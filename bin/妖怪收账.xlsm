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Sheet1!$A$1:$BP$135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6" i="1"/>
  <c r="BU6" i="1"/>
  <c r="BV6" i="1"/>
  <c r="BW6" i="1"/>
  <c r="BX6" i="1"/>
  <c r="BY6" i="1"/>
  <c r="BZ6" i="1"/>
  <c r="CA6" i="1"/>
  <c r="CB6" i="1"/>
  <c r="CC6" i="1"/>
  <c r="CD6" i="1"/>
  <c r="CE6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9" i="1"/>
  <c r="BU9" i="1"/>
  <c r="BV9" i="1"/>
  <c r="BW9" i="1"/>
  <c r="BX9" i="1"/>
  <c r="BY9" i="1"/>
  <c r="BZ9" i="1"/>
  <c r="CA9" i="1"/>
  <c r="CB9" i="1"/>
  <c r="CC9" i="1"/>
  <c r="CD9" i="1"/>
  <c r="CE9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BP3" i="1"/>
  <c r="BP4" i="1"/>
  <c r="BP5" i="1"/>
  <c r="BP6" i="1"/>
  <c r="BP7" i="1"/>
  <c r="BP8" i="1"/>
  <c r="BP9" i="1"/>
  <c r="BP55" i="1"/>
  <c r="BP11" i="1"/>
  <c r="BP46" i="1"/>
  <c r="BP26" i="1"/>
  <c r="BP27" i="1"/>
  <c r="BP10" i="1"/>
  <c r="BP15" i="1"/>
  <c r="BP16" i="1"/>
  <c r="BP17" i="1"/>
  <c r="BP18" i="1"/>
  <c r="BP19" i="1"/>
  <c r="BP20" i="1"/>
  <c r="BP21" i="1"/>
  <c r="BP22" i="1"/>
  <c r="BP23" i="1"/>
  <c r="BP47" i="1"/>
  <c r="BP29" i="1"/>
  <c r="BP30" i="1"/>
  <c r="BP28" i="1"/>
  <c r="BP38" i="1"/>
  <c r="BP57" i="1"/>
  <c r="BP24" i="1"/>
  <c r="BP12" i="1"/>
  <c r="BP13" i="1"/>
  <c r="BP14" i="1"/>
  <c r="BP31" i="1"/>
  <c r="BP32" i="1"/>
  <c r="BP33" i="1"/>
  <c r="BP49" i="1"/>
  <c r="BP36" i="1"/>
  <c r="BP25" i="1"/>
  <c r="BP83" i="1"/>
  <c r="BP74" i="1"/>
  <c r="BP39" i="1"/>
  <c r="BP40" i="1"/>
  <c r="BP41" i="1"/>
  <c r="BP42" i="1"/>
  <c r="BP43" i="1"/>
  <c r="BP88" i="1"/>
  <c r="BP48" i="1"/>
  <c r="BP54" i="1"/>
  <c r="BP50" i="1"/>
  <c r="BP51" i="1"/>
  <c r="BP52" i="1"/>
  <c r="BP45" i="1"/>
  <c r="BP53" i="1"/>
  <c r="BP58" i="1"/>
  <c r="BP59" i="1"/>
  <c r="BP65" i="1"/>
  <c r="BP35" i="1"/>
  <c r="BP60" i="1"/>
  <c r="BP64" i="1"/>
  <c r="BP66" i="1"/>
  <c r="BP68" i="1"/>
  <c r="BP70" i="1"/>
  <c r="BP71" i="1"/>
  <c r="BP72" i="1"/>
  <c r="BP73" i="1"/>
  <c r="BP75" i="1"/>
  <c r="BP76" i="1"/>
  <c r="BP44" i="1"/>
  <c r="BP77" i="1"/>
  <c r="BP79" i="1"/>
  <c r="BP80" i="1"/>
  <c r="BP56" i="1"/>
  <c r="BP69" i="1"/>
  <c r="BP37" i="1"/>
  <c r="BP81" i="1"/>
  <c r="BP82" i="1"/>
  <c r="BP89" i="1"/>
  <c r="BP90" i="1"/>
  <c r="BP67" i="1"/>
  <c r="BP84" i="1"/>
  <c r="BP61" i="1"/>
  <c r="BP62" i="1"/>
  <c r="BP63" i="1"/>
  <c r="BP78" i="1"/>
  <c r="BP85" i="1"/>
  <c r="BP86" i="1"/>
  <c r="BP87" i="1"/>
  <c r="BP116" i="1"/>
  <c r="BP94" i="1"/>
  <c r="BP95" i="1"/>
  <c r="BP92" i="1"/>
  <c r="BP93" i="1"/>
  <c r="BP96" i="1"/>
  <c r="BP97" i="1"/>
  <c r="BP98" i="1"/>
  <c r="BP99" i="1"/>
  <c r="BP100" i="1"/>
  <c r="BP103" i="1"/>
  <c r="BP104" i="1"/>
  <c r="BP105" i="1"/>
  <c r="BP106" i="1"/>
  <c r="BP107" i="1"/>
  <c r="BP108" i="1"/>
  <c r="BP109" i="1"/>
  <c r="BP110" i="1"/>
  <c r="BP111" i="1"/>
  <c r="BP112" i="1"/>
  <c r="BP113" i="1"/>
  <c r="BP101" i="1"/>
  <c r="BP102" i="1"/>
  <c r="BP114" i="1"/>
  <c r="BP115" i="1"/>
  <c r="BP118" i="1"/>
  <c r="BP117" i="1"/>
  <c r="BP91" i="1"/>
  <c r="BP120" i="1"/>
  <c r="BP121" i="1"/>
  <c r="BP122" i="1"/>
  <c r="BP123" i="1"/>
  <c r="BP124" i="1"/>
  <c r="BP125" i="1"/>
  <c r="BP127" i="1"/>
  <c r="BP126" i="1"/>
  <c r="BP119" i="1"/>
  <c r="BP128" i="1"/>
  <c r="BP129" i="1"/>
  <c r="BP130" i="1"/>
  <c r="BP131" i="1"/>
  <c r="BP132" i="1"/>
  <c r="BP133" i="1"/>
  <c r="BP134" i="1"/>
  <c r="CF132" i="1" l="1"/>
  <c r="CF131" i="1"/>
  <c r="CF127" i="1"/>
  <c r="CF64" i="1"/>
  <c r="CF32" i="1"/>
  <c r="CF15" i="1"/>
  <c r="CF5" i="1"/>
  <c r="CF4" i="1"/>
  <c r="CF92" i="1"/>
  <c r="CF60" i="1"/>
  <c r="CF31" i="1"/>
  <c r="CF27" i="1"/>
  <c r="CF94" i="1"/>
  <c r="CF44" i="1"/>
  <c r="CF65" i="1"/>
  <c r="CF49" i="1"/>
  <c r="CF33" i="1"/>
  <c r="CF12" i="1"/>
  <c r="CF18" i="1"/>
  <c r="CF17" i="1"/>
  <c r="CF16" i="1"/>
  <c r="CF26" i="1"/>
  <c r="CF9" i="1"/>
  <c r="CF3" i="1"/>
  <c r="CF128" i="1"/>
  <c r="CF126" i="1"/>
  <c r="CF85" i="1"/>
  <c r="CF67" i="1"/>
  <c r="CF82" i="1"/>
  <c r="CF37" i="1"/>
  <c r="CF69" i="1"/>
  <c r="CF56" i="1"/>
  <c r="CF80" i="1"/>
  <c r="CF79" i="1"/>
  <c r="CF45" i="1"/>
  <c r="CF52" i="1"/>
  <c r="CF51" i="1"/>
  <c r="CF50" i="1"/>
  <c r="CF54" i="1"/>
  <c r="CF48" i="1"/>
  <c r="CF88" i="1"/>
  <c r="CF24" i="1"/>
  <c r="CF29" i="1"/>
  <c r="CF47" i="1"/>
  <c r="CF21" i="1"/>
  <c r="CF20" i="1"/>
  <c r="CF19" i="1"/>
  <c r="CF46" i="1"/>
  <c r="CF55" i="1"/>
  <c r="CS131" i="1"/>
  <c r="CM131" i="1" l="1"/>
  <c r="CO131" i="1" l="1"/>
  <c r="CK131" i="1"/>
  <c r="CI131" i="1"/>
  <c r="CN131" i="1"/>
  <c r="CP131" i="1"/>
  <c r="CJ131" i="1"/>
  <c r="CL131" i="1"/>
  <c r="CG131" i="1"/>
  <c r="CQ131" i="1"/>
  <c r="CH131" i="1"/>
  <c r="CR131" i="1"/>
  <c r="CS3" i="1"/>
  <c r="CS4" i="1"/>
  <c r="CS5" i="1"/>
  <c r="CS56" i="1"/>
  <c r="CS50" i="1"/>
  <c r="CS9" i="1"/>
  <c r="CS15" i="1"/>
  <c r="CS16" i="1"/>
  <c r="CS17" i="1"/>
  <c r="CS18" i="1"/>
  <c r="CS19" i="1"/>
  <c r="CS20" i="1"/>
  <c r="CS21" i="1"/>
  <c r="CS49" i="1"/>
  <c r="CS55" i="1"/>
  <c r="CS45" i="1"/>
  <c r="CS26" i="1"/>
  <c r="CS27" i="1"/>
  <c r="CS54" i="1"/>
  <c r="CS88" i="1"/>
  <c r="CS29" i="1"/>
  <c r="CS60" i="1"/>
  <c r="CS24" i="1"/>
  <c r="CS31" i="1"/>
  <c r="CS32" i="1"/>
  <c r="CS33" i="1"/>
  <c r="CS44" i="1"/>
  <c r="CS69" i="1"/>
  <c r="CS48" i="1"/>
  <c r="CS12" i="1"/>
  <c r="CS47" i="1"/>
  <c r="CS51" i="1"/>
  <c r="CS52" i="1"/>
  <c r="CS37" i="1"/>
  <c r="CS79" i="1"/>
  <c r="CS80" i="1"/>
  <c r="CS82" i="1"/>
  <c r="CS65" i="1"/>
  <c r="CS64" i="1"/>
  <c r="CS126" i="1"/>
  <c r="CS67" i="1"/>
  <c r="CS46" i="1"/>
  <c r="CS85" i="1"/>
  <c r="CS127" i="1"/>
  <c r="CS92" i="1"/>
  <c r="CS94" i="1"/>
  <c r="CS132" i="1"/>
  <c r="CS128" i="1"/>
  <c r="CS2" i="1"/>
  <c r="CS135" i="1" l="1"/>
  <c r="BU2" i="1"/>
  <c r="BV2" i="1"/>
  <c r="BW2" i="1"/>
  <c r="BX2" i="1"/>
  <c r="BY2" i="1"/>
  <c r="BZ2" i="1"/>
  <c r="CA2" i="1"/>
  <c r="CB2" i="1"/>
  <c r="CC2" i="1"/>
  <c r="CD2" i="1"/>
  <c r="CE2" i="1"/>
  <c r="BT2" i="1"/>
  <c r="CR50" i="1" l="1"/>
  <c r="CR16" i="1"/>
  <c r="CN15" i="1"/>
  <c r="CA135" i="1"/>
  <c r="CC135" i="1"/>
  <c r="BX135" i="1"/>
  <c r="BZ135" i="1"/>
  <c r="BV135" i="1"/>
  <c r="BU135" i="1"/>
  <c r="CD135" i="1"/>
  <c r="BY135" i="1"/>
  <c r="CB135" i="1"/>
  <c r="CE135" i="1"/>
  <c r="CK46" i="1"/>
  <c r="CM55" i="1"/>
  <c r="CI32" i="1"/>
  <c r="CJ12" i="1"/>
  <c r="CG64" i="1"/>
  <c r="CN5" i="1"/>
  <c r="CN4" i="1"/>
  <c r="CN3" i="1"/>
  <c r="CG128" i="1"/>
  <c r="CK85" i="1"/>
  <c r="CK127" i="1"/>
  <c r="CR67" i="1"/>
  <c r="CJ80" i="1"/>
  <c r="CH48" i="1"/>
  <c r="CQ45" i="1"/>
  <c r="CR54" i="1"/>
  <c r="CH26" i="1"/>
  <c r="CN69" i="1"/>
  <c r="CH49" i="1"/>
  <c r="CL31" i="1"/>
  <c r="CH60" i="1"/>
  <c r="CO9" i="1"/>
  <c r="CH20" i="1"/>
  <c r="CP19" i="1"/>
  <c r="CN18" i="1"/>
  <c r="CR17" i="1"/>
  <c r="CG44" i="1"/>
  <c r="CQ56" i="1"/>
  <c r="CR132" i="1"/>
  <c r="CJ88" i="1"/>
  <c r="CO94" i="1"/>
  <c r="CN126" i="1"/>
  <c r="CR79" i="1"/>
  <c r="CR37" i="1"/>
  <c r="CH29" i="1"/>
  <c r="CK27" i="1"/>
  <c r="CN52" i="1"/>
  <c r="CL51" i="1"/>
  <c r="CN82" i="1"/>
  <c r="CI47" i="1"/>
  <c r="CO33" i="1"/>
  <c r="CM24" i="1"/>
  <c r="CM21" i="1"/>
  <c r="CF2" i="1"/>
  <c r="CH2" i="1" s="1"/>
  <c r="CK65" i="1"/>
  <c r="CG92" i="1"/>
  <c r="BW135" i="1"/>
  <c r="BT135" i="1"/>
  <c r="BP2" i="1"/>
  <c r="CN20" i="1" l="1"/>
  <c r="CK20" i="1"/>
  <c r="CP4" i="1"/>
  <c r="CJ54" i="1"/>
  <c r="CI55" i="1"/>
  <c r="CJ5" i="1"/>
  <c r="CH55" i="1"/>
  <c r="CP55" i="1"/>
  <c r="CG55" i="1"/>
  <c r="CR55" i="1"/>
  <c r="CN45" i="1"/>
  <c r="CK55" i="1"/>
  <c r="CI46" i="1"/>
  <c r="CP46" i="1"/>
  <c r="CQ46" i="1"/>
  <c r="CH46" i="1"/>
  <c r="CO46" i="1"/>
  <c r="CG46" i="1"/>
  <c r="CP9" i="1"/>
  <c r="CO37" i="1"/>
  <c r="CR51" i="1"/>
  <c r="CP20" i="1"/>
  <c r="CQ12" i="1"/>
  <c r="CJ4" i="1"/>
  <c r="CL4" i="1"/>
  <c r="CM46" i="1"/>
  <c r="CM51" i="1"/>
  <c r="CK17" i="1"/>
  <c r="CN67" i="1"/>
  <c r="CN12" i="1"/>
  <c r="CO67" i="1"/>
  <c r="CM12" i="1"/>
  <c r="CI12" i="1"/>
  <c r="CR12" i="1"/>
  <c r="CL49" i="1"/>
  <c r="CN2" i="1"/>
  <c r="CK12" i="1"/>
  <c r="CL85" i="1"/>
  <c r="CI69" i="1"/>
  <c r="CQ85" i="1"/>
  <c r="CJ85" i="1"/>
  <c r="CH12" i="1"/>
  <c r="CP12" i="1"/>
  <c r="CH56" i="1"/>
  <c r="CG45" i="1"/>
  <c r="CG12" i="1"/>
  <c r="CO45" i="1"/>
  <c r="CO12" i="1"/>
  <c r="CR3" i="1"/>
  <c r="CL12" i="1"/>
  <c r="CI67" i="1"/>
  <c r="CO85" i="1"/>
  <c r="CQ67" i="1"/>
  <c r="CM17" i="1"/>
  <c r="CP56" i="1"/>
  <c r="CJ45" i="1"/>
  <c r="CR64" i="1"/>
  <c r="CQ64" i="1"/>
  <c r="CP64" i="1"/>
  <c r="CN64" i="1"/>
  <c r="CM64" i="1"/>
  <c r="CJ64" i="1"/>
  <c r="CJ32" i="1"/>
  <c r="CO64" i="1"/>
  <c r="CP24" i="1"/>
  <c r="CH64" i="1"/>
  <c r="CG24" i="1"/>
  <c r="CK64" i="1"/>
  <c r="CI64" i="1"/>
  <c r="CR31" i="1"/>
  <c r="CL80" i="1"/>
  <c r="CQ16" i="1"/>
  <c r="CQ80" i="1"/>
  <c r="CK31" i="1"/>
  <c r="CK88" i="1"/>
  <c r="CN16" i="1"/>
  <c r="CN37" i="1"/>
  <c r="CP16" i="1"/>
  <c r="CL88" i="1"/>
  <c r="CH16" i="1"/>
  <c r="CO88" i="1"/>
  <c r="CO16" i="1"/>
  <c r="CN80" i="1"/>
  <c r="CI88" i="1"/>
  <c r="CK16" i="1"/>
  <c r="CM80" i="1"/>
  <c r="CH88" i="1"/>
  <c r="CO80" i="1"/>
  <c r="CI80" i="1"/>
  <c r="CR88" i="1"/>
  <c r="CI16" i="1"/>
  <c r="CQ31" i="1"/>
  <c r="CH80" i="1"/>
  <c r="CQ88" i="1"/>
  <c r="CP31" i="1"/>
  <c r="CG80" i="1"/>
  <c r="CN88" i="1"/>
  <c r="CR2" i="1"/>
  <c r="CM82" i="1"/>
  <c r="CJ31" i="1"/>
  <c r="CM31" i="1"/>
  <c r="CR80" i="1"/>
  <c r="CI65" i="1"/>
  <c r="CJ16" i="1"/>
  <c r="CK132" i="1"/>
  <c r="CO56" i="1"/>
  <c r="CR45" i="1"/>
  <c r="CG20" i="1"/>
  <c r="CL67" i="1"/>
  <c r="CI9" i="1"/>
  <c r="CR47" i="1"/>
  <c r="CJ46" i="1"/>
  <c r="CM3" i="1"/>
  <c r="CJ55" i="1"/>
  <c r="CM2" i="1"/>
  <c r="CK94" i="1"/>
  <c r="CJ2" i="1"/>
  <c r="CM26" i="1"/>
  <c r="CP27" i="1"/>
  <c r="CQ79" i="1"/>
  <c r="CI3" i="1"/>
  <c r="CN55" i="1"/>
  <c r="CI2" i="1"/>
  <c r="CM132" i="1"/>
  <c r="CP37" i="1"/>
  <c r="CL79" i="1"/>
  <c r="CG3" i="1"/>
  <c r="CM47" i="1"/>
  <c r="CN56" i="1"/>
  <c r="CK69" i="1"/>
  <c r="CM45" i="1"/>
  <c r="CQ20" i="1"/>
  <c r="CR46" i="1"/>
  <c r="CH67" i="1"/>
  <c r="CP54" i="1"/>
  <c r="CI92" i="1"/>
  <c r="CO55" i="1"/>
  <c r="CN26" i="1"/>
  <c r="CL92" i="1"/>
  <c r="CL56" i="1"/>
  <c r="CQ69" i="1"/>
  <c r="CO92" i="1"/>
  <c r="CL45" i="1"/>
  <c r="CO47" i="1"/>
  <c r="CG48" i="1"/>
  <c r="CH4" i="1"/>
  <c r="CR92" i="1"/>
  <c r="CL55" i="1"/>
  <c r="CK56" i="1"/>
  <c r="CO69" i="1"/>
  <c r="CK45" i="1"/>
  <c r="CL47" i="1"/>
  <c r="CI20" i="1"/>
  <c r="CR48" i="1"/>
  <c r="CQ15" i="1"/>
  <c r="CN92" i="1"/>
  <c r="CH47" i="1"/>
  <c r="CI48" i="1"/>
  <c r="CK47" i="1"/>
  <c r="CO48" i="1"/>
  <c r="CP15" i="1"/>
  <c r="CM92" i="1"/>
  <c r="CN9" i="1"/>
  <c r="CN24" i="1"/>
  <c r="CL64" i="1"/>
  <c r="CL48" i="1"/>
  <c r="CM15" i="1"/>
  <c r="CJ92" i="1"/>
  <c r="CI24" i="1"/>
  <c r="CJ15" i="1"/>
  <c r="CQ94" i="1"/>
  <c r="CM60" i="1"/>
  <c r="CI15" i="1"/>
  <c r="CP94" i="1"/>
  <c r="CI60" i="1"/>
  <c r="CG15" i="1"/>
  <c r="CN94" i="1"/>
  <c r="CL15" i="1"/>
  <c r="CK92" i="1"/>
  <c r="CQ47" i="1"/>
  <c r="CJ94" i="1"/>
  <c r="CN48" i="1"/>
  <c r="CQ48" i="1"/>
  <c r="CK15" i="1"/>
  <c r="CN47" i="1"/>
  <c r="CG94" i="1"/>
  <c r="CP48" i="1"/>
  <c r="CJ48" i="1"/>
  <c r="CG47" i="1"/>
  <c r="CL94" i="1"/>
  <c r="CM48" i="1"/>
  <c r="CJ37" i="1"/>
  <c r="CQ4" i="1"/>
  <c r="CO3" i="1"/>
  <c r="CI127" i="1"/>
  <c r="CM9" i="1"/>
  <c r="CP69" i="1"/>
  <c r="CH24" i="1"/>
  <c r="CN128" i="1"/>
  <c r="CJ51" i="1"/>
  <c r="CM20" i="1"/>
  <c r="CQ26" i="1"/>
  <c r="CH37" i="1"/>
  <c r="CK79" i="1"/>
  <c r="CO17" i="1"/>
  <c r="CG132" i="1"/>
  <c r="CJ9" i="1"/>
  <c r="CG69" i="1"/>
  <c r="CQ24" i="1"/>
  <c r="CQ51" i="1"/>
  <c r="CJ20" i="1"/>
  <c r="CP26" i="1"/>
  <c r="CQ132" i="1"/>
  <c r="CJ50" i="1"/>
  <c r="CG37" i="1"/>
  <c r="CL17" i="1"/>
  <c r="CL132" i="1"/>
  <c r="CL2" i="1"/>
  <c r="CG9" i="1"/>
  <c r="CL69" i="1"/>
  <c r="CO24" i="1"/>
  <c r="CK51" i="1"/>
  <c r="CR20" i="1"/>
  <c r="CJ26" i="1"/>
  <c r="CN46" i="1"/>
  <c r="CP67" i="1"/>
  <c r="CI4" i="1"/>
  <c r="CQ3" i="1"/>
  <c r="CK18" i="1"/>
  <c r="CI26" i="1"/>
  <c r="CJ3" i="1"/>
  <c r="CJ24" i="1"/>
  <c r="CM37" i="1"/>
  <c r="CJ79" i="1"/>
  <c r="CL3" i="1"/>
  <c r="CQ17" i="1"/>
  <c r="CH32" i="1"/>
  <c r="CO132" i="1"/>
  <c r="CM56" i="1"/>
  <c r="CL9" i="1"/>
  <c r="CM69" i="1"/>
  <c r="CQ49" i="1"/>
  <c r="CP51" i="1"/>
  <c r="CK128" i="1"/>
  <c r="CO20" i="1"/>
  <c r="CQ2" i="1"/>
  <c r="CG26" i="1"/>
  <c r="CP132" i="1"/>
  <c r="CL46" i="1"/>
  <c r="CG27" i="1"/>
  <c r="CL37" i="1"/>
  <c r="CP79" i="1"/>
  <c r="CM4" i="1"/>
  <c r="CK3" i="1"/>
  <c r="CJ17" i="1"/>
  <c r="CO32" i="1"/>
  <c r="CQ55" i="1"/>
  <c r="CP2" i="1"/>
  <c r="CI56" i="1"/>
  <c r="CK9" i="1"/>
  <c r="CJ69" i="1"/>
  <c r="CM49" i="1"/>
  <c r="CN51" i="1"/>
  <c r="CL20" i="1"/>
  <c r="CO2" i="1"/>
  <c r="CO26" i="1"/>
  <c r="CN132" i="1"/>
  <c r="CR27" i="1"/>
  <c r="CK37" i="1"/>
  <c r="CM79" i="1"/>
  <c r="CR4" i="1"/>
  <c r="CH3" i="1"/>
  <c r="CN17" i="1"/>
  <c r="CH69" i="1"/>
  <c r="CR69" i="1"/>
  <c r="CI51" i="1"/>
  <c r="CJ132" i="1"/>
  <c r="CI37" i="1"/>
  <c r="CJ67" i="1"/>
  <c r="CN79" i="1"/>
  <c r="CK4" i="1"/>
  <c r="CP3" i="1"/>
  <c r="CI17" i="1"/>
  <c r="CH51" i="1"/>
  <c r="CQ37" i="1"/>
  <c r="CO79" i="1"/>
  <c r="CP17" i="1"/>
  <c r="CG2" i="1"/>
  <c r="CI132" i="1"/>
  <c r="CK67" i="1"/>
  <c r="CI79" i="1"/>
  <c r="CR126" i="1"/>
  <c r="CO126" i="1"/>
  <c r="CL126" i="1"/>
  <c r="CI44" i="1"/>
  <c r="CK126" i="1"/>
  <c r="CH44" i="1"/>
  <c r="CP44" i="1"/>
  <c r="CH126" i="1"/>
  <c r="CR44" i="1"/>
  <c r="CM44" i="1"/>
  <c r="CO44" i="1"/>
  <c r="CQ33" i="1"/>
  <c r="CL44" i="1"/>
  <c r="CJ33" i="1"/>
  <c r="CM33" i="1"/>
  <c r="CK44" i="1"/>
  <c r="CI82" i="1"/>
  <c r="CO65" i="1"/>
  <c r="CQ126" i="1"/>
  <c r="CN44" i="1"/>
  <c r="CM18" i="1"/>
  <c r="CP126" i="1"/>
  <c r="CH82" i="1"/>
  <c r="CL16" i="1"/>
  <c r="CL18" i="1"/>
  <c r="CP60" i="1"/>
  <c r="CJ126" i="1"/>
  <c r="CJ29" i="1"/>
  <c r="CO50" i="1"/>
  <c r="CL32" i="1"/>
  <c r="CR29" i="1"/>
  <c r="CK49" i="1"/>
  <c r="CI33" i="1"/>
  <c r="CP85" i="1"/>
  <c r="CL50" i="1"/>
  <c r="CI27" i="1"/>
  <c r="CI5" i="1"/>
  <c r="CJ18" i="1"/>
  <c r="CO54" i="1"/>
  <c r="CK32" i="1"/>
  <c r="CO29" i="1"/>
  <c r="CG85" i="1"/>
  <c r="CG33" i="1"/>
  <c r="CN85" i="1"/>
  <c r="CK50" i="1"/>
  <c r="CJ27" i="1"/>
  <c r="CR5" i="1"/>
  <c r="CH18" i="1"/>
  <c r="CL54" i="1"/>
  <c r="CQ32" i="1"/>
  <c r="CL29" i="1"/>
  <c r="CL33" i="1"/>
  <c r="CM85" i="1"/>
  <c r="CQ27" i="1"/>
  <c r="CL5" i="1"/>
  <c r="CI18" i="1"/>
  <c r="CK54" i="1"/>
  <c r="CK29" i="1"/>
  <c r="CI128" i="1"/>
  <c r="CK33" i="1"/>
  <c r="CN27" i="1"/>
  <c r="CK5" i="1"/>
  <c r="CG18" i="1"/>
  <c r="CJ49" i="1"/>
  <c r="CH128" i="1"/>
  <c r="CM29" i="1"/>
  <c r="CM27" i="1"/>
  <c r="CH5" i="1"/>
  <c r="CR65" i="1"/>
  <c r="CR18" i="1"/>
  <c r="CM32" i="1"/>
  <c r="CI49" i="1"/>
  <c r="CR128" i="1"/>
  <c r="CN49" i="1"/>
  <c r="CQ50" i="1"/>
  <c r="CH27" i="1"/>
  <c r="CO18" i="1"/>
  <c r="CP32" i="1"/>
  <c r="CQ128" i="1"/>
  <c r="CM50" i="1"/>
  <c r="CQ54" i="1"/>
  <c r="CN32" i="1"/>
  <c r="CG49" i="1"/>
  <c r="CI85" i="1"/>
  <c r="CP49" i="1"/>
  <c r="CO128" i="1"/>
  <c r="CH50" i="1"/>
  <c r="CO27" i="1"/>
  <c r="CQ5" i="1"/>
  <c r="CP18" i="1"/>
  <c r="CJ19" i="1"/>
  <c r="CN54" i="1"/>
  <c r="CG32" i="1"/>
  <c r="CQ29" i="1"/>
  <c r="CR49" i="1"/>
  <c r="CP33" i="1"/>
  <c r="CH85" i="1"/>
  <c r="CP50" i="1"/>
  <c r="CL27" i="1"/>
  <c r="CP5" i="1"/>
  <c r="CQ18" i="1"/>
  <c r="CQ19" i="1"/>
  <c r="CM54" i="1"/>
  <c r="CR32" i="1"/>
  <c r="CP29" i="1"/>
  <c r="CO49" i="1"/>
  <c r="CN33" i="1"/>
  <c r="CR85" i="1"/>
  <c r="CL128" i="1"/>
  <c r="CI50" i="1"/>
  <c r="CM5" i="1"/>
  <c r="CI19" i="1"/>
  <c r="CI54" i="1"/>
  <c r="CJ21" i="1"/>
  <c r="CH15" i="1"/>
  <c r="CH92" i="1"/>
  <c r="CG88" i="1"/>
  <c r="CG31" i="1"/>
  <c r="CK80" i="1"/>
  <c r="CJ56" i="1"/>
  <c r="CH9" i="1"/>
  <c r="CN29" i="1"/>
  <c r="CP88" i="1"/>
  <c r="CR24" i="1"/>
  <c r="CM126" i="1"/>
  <c r="CP128" i="1"/>
  <c r="CH33" i="1"/>
  <c r="CG51" i="1"/>
  <c r="CP47" i="1"/>
  <c r="CI94" i="1"/>
  <c r="CK2" i="1"/>
  <c r="CQ44" i="1"/>
  <c r="CR26" i="1"/>
  <c r="CK48" i="1"/>
  <c r="CN50" i="1"/>
  <c r="CM67" i="1"/>
  <c r="CG5" i="1"/>
  <c r="CH21" i="1"/>
  <c r="CJ82" i="1"/>
  <c r="CH79" i="1"/>
  <c r="CH65" i="1"/>
  <c r="CG4" i="1"/>
  <c r="CM16" i="1"/>
  <c r="CH17" i="1"/>
  <c r="CN19" i="1"/>
  <c r="CN60" i="1"/>
  <c r="CH54" i="1"/>
  <c r="CH127" i="1"/>
  <c r="CI52" i="1"/>
  <c r="CN21" i="1"/>
  <c r="CR127" i="1"/>
  <c r="CH31" i="1"/>
  <c r="CR15" i="1"/>
  <c r="CH52" i="1"/>
  <c r="CQ92" i="1"/>
  <c r="CM94" i="1"/>
  <c r="CO31" i="1"/>
  <c r="CG56" i="1"/>
  <c r="CR9" i="1"/>
  <c r="CI29" i="1"/>
  <c r="CM88" i="1"/>
  <c r="CL24" i="1"/>
  <c r="CI45" i="1"/>
  <c r="CI126" i="1"/>
  <c r="CM128" i="1"/>
  <c r="CR33" i="1"/>
  <c r="CO51" i="1"/>
  <c r="CJ47" i="1"/>
  <c r="CR94" i="1"/>
  <c r="CJ44" i="1"/>
  <c r="CL26" i="1"/>
  <c r="CH132" i="1"/>
  <c r="CG50" i="1"/>
  <c r="CG67" i="1"/>
  <c r="CO5" i="1"/>
  <c r="CG21" i="1"/>
  <c r="CG82" i="1"/>
  <c r="CG79" i="1"/>
  <c r="CQ65" i="1"/>
  <c r="CO4" i="1"/>
  <c r="CG16" i="1"/>
  <c r="CG17" i="1"/>
  <c r="CG19" i="1"/>
  <c r="CG60" i="1"/>
  <c r="CG54" i="1"/>
  <c r="CQ127" i="1"/>
  <c r="CO15" i="1"/>
  <c r="CQ52" i="1"/>
  <c r="CP92" i="1"/>
  <c r="CH94" i="1"/>
  <c r="CP80" i="1"/>
  <c r="CQ9" i="1"/>
  <c r="CR56" i="1"/>
  <c r="CG29" i="1"/>
  <c r="CK24" i="1"/>
  <c r="CG126" i="1"/>
  <c r="CJ128" i="1"/>
  <c r="CK26" i="1"/>
  <c r="CR21" i="1"/>
  <c r="CR82" i="1"/>
  <c r="CP65" i="1"/>
  <c r="CR19" i="1"/>
  <c r="CR60" i="1"/>
  <c r="CP127" i="1"/>
  <c r="CM52" i="1"/>
  <c r="CP52" i="1"/>
  <c r="CO21" i="1"/>
  <c r="CO82" i="1"/>
  <c r="CN65" i="1"/>
  <c r="CO19" i="1"/>
  <c r="CO60" i="1"/>
  <c r="CN127" i="1"/>
  <c r="CJ52" i="1"/>
  <c r="CL21" i="1"/>
  <c r="CL82" i="1"/>
  <c r="CM65" i="1"/>
  <c r="CL19" i="1"/>
  <c r="CL60" i="1"/>
  <c r="CM127" i="1"/>
  <c r="CG52" i="1"/>
  <c r="CK21" i="1"/>
  <c r="CK82" i="1"/>
  <c r="CJ65" i="1"/>
  <c r="CK19" i="1"/>
  <c r="CK60" i="1"/>
  <c r="CJ127" i="1"/>
  <c r="CH45" i="1"/>
  <c r="CP45" i="1"/>
  <c r="CR52" i="1"/>
  <c r="CQ21" i="1"/>
  <c r="CP82" i="1"/>
  <c r="CG65" i="1"/>
  <c r="CM19" i="1"/>
  <c r="CQ60" i="1"/>
  <c r="CG127" i="1"/>
  <c r="CO52" i="1"/>
  <c r="CP21" i="1"/>
  <c r="CO127" i="1"/>
  <c r="CL52" i="1"/>
  <c r="CI21" i="1"/>
  <c r="CQ82" i="1"/>
  <c r="CL65" i="1"/>
  <c r="CH19" i="1"/>
  <c r="CJ60" i="1"/>
  <c r="CL127" i="1"/>
  <c r="CI31" i="1"/>
  <c r="CN31" i="1"/>
  <c r="CK52" i="1"/>
  <c r="CR135" i="1" l="1"/>
  <c r="CN135" i="1"/>
  <c r="CJ135" i="1"/>
  <c r="CH135" i="1"/>
  <c r="CM135" i="1"/>
  <c r="CL135" i="1"/>
  <c r="CQ135" i="1"/>
  <c r="CG135" i="1"/>
  <c r="CK135" i="1"/>
  <c r="CP135" i="1"/>
  <c r="CO135" i="1"/>
  <c r="CI135" i="1"/>
  <c r="BM135" i="1" l="1"/>
  <c r="BM137" i="1" s="1"/>
  <c r="AM135" i="1"/>
  <c r="AM137" i="1" s="1"/>
  <c r="L135" i="1"/>
  <c r="L137" i="1" s="1"/>
  <c r="AY135" i="1"/>
  <c r="AY137" i="1" s="1"/>
  <c r="BK135" i="1"/>
  <c r="BK137" i="1" s="1"/>
  <c r="AJ135" i="1"/>
  <c r="AJ137" i="1" s="1"/>
  <c r="AW135" i="1"/>
  <c r="AW137" i="1" s="1"/>
  <c r="BH135" i="1"/>
  <c r="BH137" i="1" s="1"/>
  <c r="AU135" i="1"/>
  <c r="AU137" i="1" s="1"/>
  <c r="AH135" i="1"/>
  <c r="AH137" i="1" s="1"/>
  <c r="AL135" i="1"/>
  <c r="AL137" i="1" s="1"/>
  <c r="BD135" i="1"/>
  <c r="BD137" i="1" s="1"/>
  <c r="BA135" i="1"/>
  <c r="BA137" i="1" s="1"/>
  <c r="BL135" i="1"/>
  <c r="BL137" i="1" s="1"/>
  <c r="AZ135" i="1"/>
  <c r="AZ137" i="1" s="1"/>
  <c r="J135" i="1"/>
  <c r="J137" i="1" s="1"/>
  <c r="H135" i="1"/>
  <c r="H137" i="1" s="1"/>
  <c r="G135" i="1"/>
  <c r="G137" i="1" s="1"/>
  <c r="BG135" i="1"/>
  <c r="BG137" i="1" s="1"/>
  <c r="AQ135" i="1"/>
  <c r="AQ137" i="1" s="1"/>
  <c r="AE135" i="1"/>
  <c r="AE137" i="1" s="1"/>
  <c r="F135" i="1"/>
  <c r="F137" i="1" s="1"/>
  <c r="BB135" i="1"/>
  <c r="BB137" i="1" s="1"/>
  <c r="BJ135" i="1"/>
  <c r="BJ137" i="1" s="1"/>
  <c r="AX135" i="1"/>
  <c r="AX137" i="1" s="1"/>
  <c r="AI135" i="1"/>
  <c r="AI137" i="1" s="1"/>
  <c r="I135" i="1"/>
  <c r="I137" i="1" s="1"/>
  <c r="AG135" i="1"/>
  <c r="AG137" i="1" s="1"/>
  <c r="BE135" i="1"/>
  <c r="BE137" i="1" s="1"/>
  <c r="AF135" i="1"/>
  <c r="AF137" i="1" s="1"/>
  <c r="BF135" i="1"/>
  <c r="BF137" i="1" s="1"/>
  <c r="AS135" i="1"/>
  <c r="AS137" i="1" s="1"/>
  <c r="O135" i="1"/>
  <c r="O137" i="1" s="1"/>
  <c r="BO135" i="1"/>
  <c r="BO137" i="1" s="1"/>
  <c r="AR135" i="1"/>
  <c r="AR137" i="1" s="1"/>
  <c r="N135" i="1"/>
  <c r="N137" i="1" s="1"/>
  <c r="K135" i="1"/>
  <c r="K137" i="1" s="1"/>
  <c r="AK135" i="1"/>
  <c r="AK137" i="1" s="1"/>
  <c r="BI135" i="1"/>
  <c r="BI137" i="1" s="1"/>
  <c r="AT135" i="1"/>
  <c r="AT137" i="1" s="1"/>
  <c r="AV135" i="1"/>
  <c r="AV137" i="1" s="1"/>
  <c r="E135" i="1"/>
  <c r="E137" i="1" s="1"/>
  <c r="BN135" i="1"/>
  <c r="BN137" i="1" s="1"/>
  <c r="AN135" i="1"/>
  <c r="AN137" i="1" s="1"/>
  <c r="M135" i="1"/>
  <c r="M137" i="1" s="1"/>
  <c r="AP135" i="1"/>
  <c r="AP137" i="1" s="1"/>
  <c r="BC135" i="1"/>
  <c r="BC137" i="1" s="1"/>
  <c r="AO135" i="1"/>
  <c r="AO137" i="1" s="1"/>
  <c r="V135" i="1"/>
  <c r="V137" i="1" s="1"/>
  <c r="Y135" i="1"/>
  <c r="Y137" i="1" s="1"/>
  <c r="W135" i="1"/>
  <c r="W137" i="1" s="1"/>
  <c r="S135" i="1"/>
  <c r="S137" i="1" s="1"/>
  <c r="X135" i="1"/>
  <c r="X137" i="1" s="1"/>
  <c r="R135" i="1"/>
  <c r="R137" i="1" s="1"/>
  <c r="Z135" i="1"/>
  <c r="Z137" i="1" s="1"/>
  <c r="U135" i="1"/>
  <c r="U137" i="1" s="1"/>
  <c r="T135" i="1"/>
  <c r="T137" i="1" s="1"/>
  <c r="AC135" i="1"/>
  <c r="AC137" i="1" s="1"/>
  <c r="Q135" i="1"/>
  <c r="Q137" i="1" s="1"/>
  <c r="AB135" i="1"/>
  <c r="AB137" i="1" s="1"/>
  <c r="P135" i="1"/>
  <c r="P137" i="1" s="1"/>
  <c r="AA135" i="1"/>
  <c r="AA137" i="1" s="1"/>
  <c r="AD135" i="1"/>
  <c r="AD137" i="1" s="1"/>
</calcChain>
</file>

<file path=xl/sharedStrings.xml><?xml version="1.0" encoding="utf-8"?>
<sst xmlns="http://schemas.openxmlformats.org/spreadsheetml/2006/main" count="675" uniqueCount="301">
  <si>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</si>
  <si>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</si>
  <si>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</si>
  <si>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</si>
  <si>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</si>
  <si>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</si>
  <si>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</si>
  <si>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</si>
  <si>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</si>
  <si>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</si>
  <si>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</si>
  <si>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</si>
  <si>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</si>
  <si>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</si>
  <si>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</si>
  <si>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</si>
  <si>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</si>
  <si>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</si>
  <si>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</si>
  <si>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</si>
  <si>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</si>
  <si>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</si>
  <si>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</si>
  <si>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</si>
  <si>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</si>
  <si>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</si>
  <si>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</si>
  <si>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</si>
  <si>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</si>
  <si>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</si>
  <si>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</si>
  <si>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</si>
  <si>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</si>
  <si>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</si>
  <si>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</si>
  <si>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</si>
  <si>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</si>
  <si>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</si>
  <si>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</si>
  <si>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</si>
  <si>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</si>
  <si>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</si>
  <si>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</si>
  <si>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</si>
  <si>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</si>
  <si>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</si>
  <si>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</si>
  <si>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</si>
  <si>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</si>
  <si>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</si>
  <si>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</si>
  <si>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</si>
  <si>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</si>
  <si>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</si>
  <si>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</si>
  <si>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</si>
  <si>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</si>
  <si>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</si>
  <si>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</si>
  <si>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</si>
  <si>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</si>
  <si>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</si>
  <si>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</si>
  <si>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</si>
  <si>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</si>
  <si>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</si>
  <si>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</si>
  <si>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</si>
  <si>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</si>
  <si>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</si>
  <si>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</si>
  <si>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</si>
  <si>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</si>
  <si>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</si>
  <si>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</si>
  <si>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</si>
  <si>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</si>
  <si>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</si>
  <si>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</si>
  <si>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</si>
  <si>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</si>
  <si>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</si>
  <si>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</si>
  <si>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</si>
  <si>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</si>
  <si>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</si>
  <si>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</si>
  <si>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</si>
  <si>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</si>
  <si>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</si>
  <si>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</si>
  <si>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</si>
  <si>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</si>
  <si>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</si>
  <si>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</si>
  <si>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</si>
  <si>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</si>
  <si>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</si>
  <si>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</si>
  <si>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</si>
  <si>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</si>
  <si>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</si>
  <si>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</si>
  <si>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囚牛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</si>
  <si>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</si>
  <si>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</si>
  <si>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</si>
  <si>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</si>
  <si>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</si>
  <si>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</si>
  <si>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</si>
  <si>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</si>
  <si>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</si>
  <si>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</si>
  <si>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</si>
  <si>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</si>
  <si>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</si>
  <si>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</si>
  <si>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</si>
  <si>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</si>
  <si>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</si>
  <si>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</si>
  <si>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</si>
  <si>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</si>
  <si>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</si>
  <si>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</si>
  <si>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</si>
  <si>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</si>
  <si>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</si>
  <si>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</si>
  <si>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</si>
  <si>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</si>
  <si>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</si>
  <si>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</si>
  <si>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</si>
  <si>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</si>
  <si>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</si>
  <si>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</si>
  <si>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</si>
  <si>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</si>
  <si>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</si>
  <si>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</si>
  <si>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</si>
  <si>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</si>
  <si>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</si>
  <si>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</si>
  <si>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</si>
  <si>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</si>
  <si>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</si>
  <si>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</si>
  <si>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</si>
  <si>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</si>
  <si>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</si>
  <si>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</si>
  <si>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</si>
  <si>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</si>
  <si>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</si>
  <si>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</si>
  <si>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</si>
  <si>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</si>
  <si>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成年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</si>
  <si>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</si>
  <si>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</si>
  <si>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</si>
  <si>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</si>
  <si>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</si>
  <si>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</si>
  <si>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</si>
  <si>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</si>
  <si>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</si>
  <si>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</si>
  <si>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</si>
  <si>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</si>
  <si>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</si>
  <si>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</si>
  <si>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</si>
  <si>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</si>
  <si>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</si>
  <si>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</si>
  <si>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</si>
  <si>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</si>
  <si>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</si>
  <si>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</si>
  <si>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</si>
  <si>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</si>
  <si>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</si>
  <si>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</si>
  <si>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</si>
  <si>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墓烛幽儿</t>
    <phoneticPr fontId="1" type="noConversion"/>
  </si>
  <si>
    <t>瘾者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</si>
  <si>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</si>
  <si>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</si>
  <si>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</si>
  <si>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</si>
  <si>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新兵尼禄</t>
    <phoneticPr fontId="1" type="noConversion"/>
  </si>
  <si>
    <t>诸葛孔明</t>
    <phoneticPr fontId="1" type="noConversion"/>
  </si>
  <si>
    <t>诸葛孔明</t>
    <phoneticPr fontId="1" type="noConversion"/>
  </si>
  <si>
    <t>铁拐李</t>
    <phoneticPr fontId="1" type="noConversion"/>
  </si>
  <si>
    <t>莲藕大佛</t>
    <phoneticPr fontId="1" type="noConversion"/>
  </si>
  <si>
    <t>嘲风</t>
    <phoneticPr fontId="1" type="noConversion"/>
  </si>
  <si>
    <t>刘备</t>
    <phoneticPr fontId="1" type="noConversion"/>
  </si>
  <si>
    <t>地</t>
    <phoneticPr fontId="1" type="noConversion"/>
  </si>
  <si>
    <t>糯米(2),</t>
    <phoneticPr fontId="1" type="noConversion"/>
  </si>
  <si>
    <t>太一之轮(1),</t>
    <phoneticPr fontId="1" type="noConversion"/>
  </si>
  <si>
    <t>螃蟹(5),</t>
    <phoneticPr fontId="1" type="noConversion"/>
  </si>
  <si>
    <t>仙丹(5),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</si>
  <si>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</si>
  <si>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</si>
  <si>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</si>
  <si>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</si>
  <si>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彗星(5),</t>
    <phoneticPr fontId="1" type="noConversion"/>
  </si>
  <si>
    <t>桂花(5),</t>
    <phoneticPr fontId="1" type="noConversion"/>
  </si>
  <si>
    <t>幸运符文叉大(3),</t>
    <phoneticPr fontId="1" type="noConversion"/>
  </si>
  <si>
    <t>幸运符文叉大(3),</t>
    <phoneticPr fontId="1" type="noConversion"/>
  </si>
  <si>
    <t>金钗(5),</t>
    <phoneticPr fontId="1" type="noConversion"/>
  </si>
  <si>
    <t>神农鼎(6),</t>
    <phoneticPr fontId="1" type="noConversion"/>
  </si>
  <si>
    <t>东皇钟(6),_x000D_
盘古斧(1),</t>
    <phoneticPr fontId="1" type="noConversion"/>
  </si>
  <si>
    <t>龙灵不朽藤(9),</t>
    <phoneticPr fontId="1" type="noConversion"/>
  </si>
  <si>
    <t>愚山乾坤石(6),</t>
    <phoneticPr fontId="1" type="noConversion"/>
  </si>
  <si>
    <t>秘窟冰晶卵(12),</t>
    <phoneticPr fontId="1" type="noConversion"/>
  </si>
  <si>
    <t>彗星(15),</t>
    <phoneticPr fontId="1" type="noConversion"/>
  </si>
  <si>
    <t>金甲虫(42),</t>
    <phoneticPr fontId="1" type="noConversion"/>
  </si>
  <si>
    <t>金甲虫(192),</t>
    <phoneticPr fontId="1" type="noConversion"/>
  </si>
  <si>
    <t>糯米(5),_x000D_
粽叶(1),</t>
    <phoneticPr fontId="1" type="noConversion"/>
  </si>
  <si>
    <t>愚山乾坤石(1),_x000D_
魅力符文叉大(1),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</si>
  <si>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</si>
  <si>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</si>
  <si>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欠条中(4),_x000D_
筹码中(4),</t>
    <phoneticPr fontId="1" type="noConversion"/>
  </si>
  <si>
    <t>太一之轮(2),_x000D_
幸运符文叉大(3),</t>
    <phoneticPr fontId="1" type="noConversion"/>
  </si>
  <si>
    <t>女娲石(3),_x000D_
神农鼎(5),</t>
    <phoneticPr fontId="1" type="noConversion"/>
  </si>
  <si>
    <t>炼妖壶(4),_x000D_
仙丹(5),</t>
    <phoneticPr fontId="1" type="noConversion"/>
  </si>
  <si>
    <t>神农鼎(6),_x000D_
力量符文叉大(4),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</si>
  <si>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</si>
  <si>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</si>
  <si>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六方天运骰(2),_x000D_
魅力符文叉大(6),</t>
    <phoneticPr fontId="1" type="noConversion"/>
  </si>
  <si>
    <t>炼妖壶(5),_x000D_
赤焰十字星(3),</t>
    <phoneticPr fontId="1" type="noConversion"/>
  </si>
  <si>
    <t>赤焰十字星(3),_x000D_
幸运符文叉大(3),</t>
    <phoneticPr fontId="1" type="noConversion"/>
  </si>
  <si>
    <t>神农鼎(10),_x000D_
六方天运骰(2),</t>
    <phoneticPr fontId="1" type="noConversion"/>
  </si>
  <si>
    <t>神农鼎(6),_x000D_
赤焰十字星(3),</t>
    <phoneticPr fontId="1" type="noConversion"/>
  </si>
  <si>
    <t>太一之轮(2),_x000D_
秘窟冰晶卵(7),</t>
    <phoneticPr fontId="1" type="noConversion"/>
  </si>
  <si>
    <t>炼妖壶(5),_x000D_
龙灵不朽藤(9),</t>
    <phoneticPr fontId="1" type="noConversion"/>
  </si>
  <si>
    <t>神农鼎(6),_x000D_
愚山乾坤石(6),</t>
    <phoneticPr fontId="1" type="noConversion"/>
  </si>
  <si>
    <t>炼妖壶(5),_x000D_
秘窟冰晶卵(7),</t>
    <phoneticPr fontId="1" type="noConversion"/>
  </si>
  <si>
    <t>女娲石(8),_x000D_
愚山乾坤石(6),</t>
    <phoneticPr fontId="1" type="noConversion"/>
  </si>
  <si>
    <t>女娲石(8),_x000D_
愚山乾坤石(6),</t>
    <phoneticPr fontId="1" type="noConversion"/>
  </si>
  <si>
    <t>秘窟冰晶卵(7),_x000D_
魅力符文叉大(6),</t>
    <phoneticPr fontId="1" type="noConversion"/>
  </si>
  <si>
    <t>金甲虫(7),_x000D_
魅力符文叉大(11),</t>
    <phoneticPr fontId="1" type="noConversion"/>
  </si>
  <si>
    <t>太一之轮(11),_x000D_
幸运符文叉大(8),</t>
    <phoneticPr fontId="1" type="noConversion"/>
  </si>
  <si>
    <t>六方天运骰(12),_x000D_
力量符文叉大(16),</t>
    <phoneticPr fontId="1" type="noConversion"/>
  </si>
  <si>
    <t>炼妖壶(19),_x000D_
轩辕剑(14),</t>
    <phoneticPr fontId="1" type="noConversion"/>
  </si>
  <si>
    <t>太一之轮(16),_x000D_
幸运符文叉大(13),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</si>
  <si>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</si>
  <si>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</si>
  <si>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</si>
  <si>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筹码大(1),</t>
    <phoneticPr fontId="1" type="noConversion"/>
  </si>
  <si>
    <t>炼妖壶(5),_x000D_
太一之轮(2),_x000D_
六方天运骰(2),</t>
    <phoneticPr fontId="1" type="noConversion"/>
  </si>
  <si>
    <t>太一之轮(2),_x000D_
六方天运骰(2),_x000D_
幸运符文叉大(3),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</si>
  <si>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</si>
  <si>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</si>
  <si>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欠条大(8),_x000D_
骰子大(4),_x000D_
六方天运骰(2),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</si>
  <si>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</si>
  <si>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</si>
  <si>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崆峒印(1),_x000D_
智慧符文叉大(2),_x000D_
魅力符文叉大(11),</t>
    <phoneticPr fontId="1" type="noConversion"/>
  </si>
  <si>
    <t>太一之轮(1),_x000D_
糯米(5),_x000D_
粽叶(10),</t>
    <phoneticPr fontId="1" type="noConversion"/>
  </si>
  <si>
    <t>女娲石(4),_x000D_
神农鼎(6),_x000D_
龙灵不朽藤(9),</t>
    <phoneticPr fontId="1" type="noConversion"/>
  </si>
  <si>
    <t>欠条大(8),_x000D_
钱袋大(10),</t>
    <phoneticPr fontId="1" type="noConversion"/>
  </si>
  <si>
    <t>神农鼎(6),_x000D_
秘窟冰晶卵(7),_x000D_
力量符文叉大(6),</t>
    <phoneticPr fontId="1" type="noConversion"/>
  </si>
  <si>
    <t>糯米(10),_x000D_
粽叶(10),_x000D_
龙灵不朽藤(4),</t>
    <phoneticPr fontId="1" type="noConversion"/>
  </si>
  <si>
    <t>东皇钟(1),_x000D_
女娲石(13),_x000D_
愚山乾坤石(11),</t>
    <phoneticPr fontId="1" type="noConversion"/>
  </si>
  <si>
    <t>东皇钟(1),_x000D_
女娲石(13),_x000D_
愚山乾坤石(11),</t>
    <phoneticPr fontId="1" type="noConversion"/>
  </si>
  <si>
    <t>炼妖壶(9),_x000D_
愚山乾坤石(6),_x000D_
力量符文叉大(11),</t>
    <phoneticPr fontId="1" type="noConversion"/>
  </si>
  <si>
    <t>钱袋大(10),_x000D_
筹码大(9),_x000D_
秘窟冰晶卵(7),</t>
    <phoneticPr fontId="1" type="noConversion"/>
  </si>
  <si>
    <t>钱袋大(10),_x000D_
筹码大(9),_x000D_
秘窟冰晶卵(7),</t>
    <phoneticPr fontId="1" type="noConversion"/>
  </si>
  <si>
    <t>女娲石(13),_x000D_
神农鼎(15),_x000D_
幸运符文叉大(8),</t>
    <phoneticPr fontId="1" type="noConversion"/>
  </si>
  <si>
    <t>女娲石(13),_x000D_
神农鼎(15),_x000D_
幸运符文叉大(8),</t>
    <phoneticPr fontId="1" type="noConversion"/>
  </si>
  <si>
    <t>女娲石(13),_x000D_
神农鼎(15),_x000D_
龙灵不朽藤(14),</t>
    <phoneticPr fontId="1" type="noConversion"/>
  </si>
  <si>
    <t>女娲石(13),_x000D_
神农鼎(15),_x000D_
龙灵不朽藤(14),</t>
    <phoneticPr fontId="1" type="noConversion"/>
  </si>
  <si>
    <t>女娲石(18),_x000D_
神农鼎(20),_x000D_
幸运符文叉大(13),</t>
    <phoneticPr fontId="1" type="noConversion"/>
  </si>
  <si>
    <t>赤焰十字星(33),_x000D_
力量符文叉大(36),_x000D_
逆鳞(3),</t>
    <phoneticPr fontId="1" type="noConversion"/>
  </si>
  <si>
    <t>女娲石(3),_x000D_
骰子小(3),_x000D_
筹码小(5),_x000D_
庄家令牌中(3),</t>
    <phoneticPr fontId="1" type="noConversion"/>
  </si>
  <si>
    <t>欠条中(4),_x000D_
骰子小(8),_x000D_
筹码中(4),_x000D_
庄家令牌小(2),</t>
    <phoneticPr fontId="1" type="noConversion"/>
  </si>
  <si>
    <t>神农鼎(7),_x000D_
欠条中(6),_x000D_
钱袋中(2),_x000D_
筹码大(6),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</si>
  <si>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</si>
  <si>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</si>
  <si>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</si>
  <si>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</si>
  <si>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</si>
  <si>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</si>
  <si>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女娲石(8),_x000D_
骰子大(4),_x000D_
庄家令牌大(6),_x000D_
赤焰十字星(3),</t>
    <phoneticPr fontId="1" type="noConversion"/>
  </si>
  <si>
    <t>太一之轮(6),_x000D_
欠条大(8),_x000D_
骰子大(4),_x000D_
龙灵不朽藤(9),</t>
    <phoneticPr fontId="1" type="noConversion"/>
  </si>
  <si>
    <t>东皇钟(1),_x000D_
崆峒印(6),_x000D_
力量符文叉大(11),_x000D_
幸运符文叉大(8),</t>
    <phoneticPr fontId="1" type="noConversion"/>
  </si>
  <si>
    <t>神农鼎(10),_x000D_
欠条大(8),_x000D_
骰子大(4),_x000D_
愚山乾坤石(6),</t>
    <phoneticPr fontId="1" type="noConversion"/>
  </si>
  <si>
    <t>神农鼎(10),_x000D_
欠条大(8),_x000D_
钱袋大(10),</t>
    <phoneticPr fontId="1" type="noConversion"/>
  </si>
  <si>
    <t>欠条小(8),_x000D_
钱袋小(9),_x000D_
骰子小(8),_x000D_
筹码小(10),</t>
    <phoneticPr fontId="1" type="noConversion"/>
  </si>
  <si>
    <t>欠条小(8),_x000D_
钱袋小(9),_x000D_
骰子小(8),_x000D_
筹码小(10),</t>
    <phoneticPr fontId="1" type="noConversion"/>
  </si>
  <si>
    <t>欠条小(8),_x000D_
钱袋小(9),_x000D_
骰子小(8),_x000D_
筹码小(10),</t>
    <phoneticPr fontId="1" type="noConversion"/>
  </si>
  <si>
    <t>女娲石(8),_x000D_
六方天运骰(7),_x000D_
魅力符文叉大(11),_x000D_
幸运符文叉大(8),</t>
    <phoneticPr fontId="1" type="noConversion"/>
  </si>
  <si>
    <t>女娲石(8),_x000D_
彗星(25),_x000D_
赤焰十字星(3),_x000D_
魅力符文叉大(6),</t>
    <phoneticPr fontId="1" type="noConversion"/>
  </si>
  <si>
    <t>炼妖壶(14),_x000D_
神农鼎(15),_x000D_
赤焰十字星(8),_x000D_
幸运符文叉大(8),</t>
    <phoneticPr fontId="1" type="noConversion"/>
  </si>
  <si>
    <t>超进阶素材土(29),_x000D_
超进阶素材木(29),_x000D_
超进阶素材光(50),_x000D_
超进阶素材暗(50),</t>
    <phoneticPr fontId="1" type="noConversion"/>
  </si>
  <si>
    <t>超进阶素材水(17),_x000D_
超进阶素材火(50),_x000D_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</si>
</sst>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0" fillId="0" borderId="0" xfId="0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139</xdr:row>
          <xdr:rowOff>28575</xdr:rowOff>
        </xdr:from>
        <xdr:to>
          <xdr:col>1</xdr:col>
          <xdr:colOff>428625</xdr:colOff>
          <xdr:row>140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7"/>
  <sheetViews>
    <sheetView tabSelected="1" workbookViewId="0">
      <pane xSplit="2" ySplit="1" topLeftCell="BL8" activePane="bottomRight" state="frozen"/>
      <selection pane="topRight" activeCell="C1" sqref="C1"/>
      <selection pane="bottomLeft" activeCell="A3" sqref="A3"/>
      <selection pane="bottomRight" activeCell="BS25" activeCellId="1" sqref="BS10 BS25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85</v>
      </c>
      <c r="B1" s="8" t="s">
        <v>86</v>
      </c>
      <c r="C1" s="8" t="s">
        <v>88</v>
      </c>
      <c r="D1" s="8" t="s">
        <v>87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28</v>
      </c>
      <c r="J1" s="9" t="s">
        <v>82</v>
      </c>
      <c r="K1" s="9" t="s">
        <v>29</v>
      </c>
      <c r="L1" s="9" t="s">
        <v>51</v>
      </c>
      <c r="M1" s="9" t="s">
        <v>54</v>
      </c>
      <c r="N1" s="9" t="s">
        <v>59</v>
      </c>
      <c r="O1" s="9" t="s">
        <v>53</v>
      </c>
      <c r="P1" s="30" t="s">
        <v>127</v>
      </c>
      <c r="Q1" s="30" t="s">
        <v>139</v>
      </c>
      <c r="R1" s="30" t="s">
        <v>133</v>
      </c>
      <c r="S1" s="30" t="s">
        <v>128</v>
      </c>
      <c r="T1" s="30" t="s">
        <v>137</v>
      </c>
      <c r="U1" s="30" t="s">
        <v>143</v>
      </c>
      <c r="V1" s="30" t="s">
        <v>129</v>
      </c>
      <c r="W1" s="30" t="s">
        <v>136</v>
      </c>
      <c r="X1" s="30" t="s">
        <v>134</v>
      </c>
      <c r="Y1" s="30" t="s">
        <v>130</v>
      </c>
      <c r="Z1" s="30" t="s">
        <v>138</v>
      </c>
      <c r="AA1" s="30" t="s">
        <v>145</v>
      </c>
      <c r="AB1" s="30" t="s">
        <v>132</v>
      </c>
      <c r="AC1" s="30" t="s">
        <v>131</v>
      </c>
      <c r="AD1" s="30" t="s">
        <v>156</v>
      </c>
      <c r="AE1" s="8" t="s">
        <v>10</v>
      </c>
      <c r="AF1" s="8" t="s">
        <v>35</v>
      </c>
      <c r="AG1" s="8" t="s">
        <v>36</v>
      </c>
      <c r="AH1" s="8" t="s">
        <v>72</v>
      </c>
      <c r="AI1" s="8" t="s">
        <v>73</v>
      </c>
      <c r="AJ1" s="8" t="s">
        <v>75</v>
      </c>
      <c r="AK1" s="8" t="s">
        <v>76</v>
      </c>
      <c r="AL1" s="8" t="s">
        <v>78</v>
      </c>
      <c r="AM1" s="8" t="s">
        <v>60</v>
      </c>
      <c r="AN1" s="8" t="s">
        <v>62</v>
      </c>
      <c r="AO1" s="8" t="s">
        <v>115</v>
      </c>
      <c r="AP1" s="8" t="s">
        <v>116</v>
      </c>
      <c r="AQ1" s="10" t="s">
        <v>48</v>
      </c>
      <c r="AR1" s="10" t="s">
        <v>5</v>
      </c>
      <c r="AS1" s="10" t="s">
        <v>33</v>
      </c>
      <c r="AT1" s="10" t="s">
        <v>65</v>
      </c>
      <c r="AU1" s="10" t="s">
        <v>70</v>
      </c>
      <c r="AV1" s="10" t="s">
        <v>58</v>
      </c>
      <c r="AW1" s="11" t="s">
        <v>6</v>
      </c>
      <c r="AX1" s="11" t="s">
        <v>7</v>
      </c>
      <c r="AY1" s="11" t="s">
        <v>49</v>
      </c>
      <c r="AZ1" s="11" t="s">
        <v>9</v>
      </c>
      <c r="BA1" s="11" t="s">
        <v>57</v>
      </c>
      <c r="BB1" s="11" t="s">
        <v>14</v>
      </c>
      <c r="BC1" s="28" t="s">
        <v>112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40</v>
      </c>
      <c r="BK1" s="8" t="s">
        <v>41</v>
      </c>
      <c r="BL1" s="8" t="s">
        <v>42</v>
      </c>
      <c r="BM1" s="8" t="s">
        <v>43</v>
      </c>
      <c r="BN1" s="8" t="s">
        <v>44</v>
      </c>
      <c r="BO1" s="8" t="s">
        <v>45</v>
      </c>
      <c r="BP1" s="12" t="s">
        <v>93</v>
      </c>
      <c r="BQ1" s="8" t="s">
        <v>94</v>
      </c>
      <c r="BR1" s="16" t="s">
        <v>95</v>
      </c>
      <c r="BS1" s="16"/>
      <c r="BT1" s="10" t="s">
        <v>48</v>
      </c>
      <c r="BU1" s="10" t="s">
        <v>5</v>
      </c>
      <c r="BV1" s="10" t="s">
        <v>33</v>
      </c>
      <c r="BW1" s="10" t="s">
        <v>65</v>
      </c>
      <c r="BX1" s="10" t="s">
        <v>70</v>
      </c>
      <c r="BY1" s="10" t="s">
        <v>58</v>
      </c>
      <c r="BZ1" s="11" t="s">
        <v>6</v>
      </c>
      <c r="CA1" s="11" t="s">
        <v>7</v>
      </c>
      <c r="CB1" s="11" t="s">
        <v>49</v>
      </c>
      <c r="CC1" s="11" t="s">
        <v>9</v>
      </c>
      <c r="CD1" s="11" t="s">
        <v>57</v>
      </c>
      <c r="CE1" s="11" t="s">
        <v>14</v>
      </c>
      <c r="CF1" s="8"/>
      <c r="CG1" s="10" t="s">
        <v>48</v>
      </c>
      <c r="CH1" s="10" t="s">
        <v>5</v>
      </c>
      <c r="CI1" s="10" t="s">
        <v>33</v>
      </c>
      <c r="CJ1" s="10" t="s">
        <v>65</v>
      </c>
      <c r="CK1" s="10" t="s">
        <v>70</v>
      </c>
      <c r="CL1" s="10" t="s">
        <v>58</v>
      </c>
      <c r="CM1" s="11" t="s">
        <v>6</v>
      </c>
      <c r="CN1" s="11" t="s">
        <v>7</v>
      </c>
      <c r="CO1" s="11" t="s">
        <v>49</v>
      </c>
      <c r="CP1" s="11" t="s">
        <v>9</v>
      </c>
      <c r="CQ1" s="11" t="s">
        <v>57</v>
      </c>
      <c r="CR1" s="11" t="s">
        <v>14</v>
      </c>
      <c r="CS1" s="27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IF(AQ2&gt;AQ$136, AQ2-AQ$136,"")</f>
        <v/>
      </c>
      <c r="BU2" s="1" t="str">
        <f>IF(AR2&gt;AR$136, AR2-AR$136,"")</f>
        <v/>
      </c>
      <c r="BV2" s="1" t="str">
        <f>IF(AS2&gt;AS$136, AS2-AS$136,"")</f>
        <v/>
      </c>
      <c r="BW2" s="1" t="str">
        <f>IF(AT2&gt;AT$136, AT2-AT$136,"")</f>
        <v/>
      </c>
      <c r="BX2" s="1" t="str">
        <f>IF(AU2&gt;AU$136, AU2-AU$136,"")</f>
        <v/>
      </c>
      <c r="BY2" s="1" t="str">
        <f>IF(AV2&gt;AV$136, AV2-AV$136,"")</f>
        <v/>
      </c>
      <c r="BZ2" s="1" t="str">
        <f>IF(AW2&gt;AW$136, AW2-AW$136,"")</f>
        <v/>
      </c>
      <c r="CA2" s="1" t="str">
        <f>IF(AX2&gt;AX$136, AX2-AX$136,"")</f>
        <v/>
      </c>
      <c r="CB2" s="1" t="str">
        <f>IF(AY2&gt;AY$136, AY2-AY$136,"")</f>
        <v/>
      </c>
      <c r="CC2" s="1" t="str">
        <f>IF(AZ2&gt;AZ$136, AZ2-AZ$136,"")</f>
        <v/>
      </c>
      <c r="CD2" s="1" t="str">
        <f>IF(BA2&gt;BA$136, BA2-BA$136,"")</f>
        <v/>
      </c>
      <c r="CE2" s="1" t="str">
        <f>IF(BB2&gt;BB$136, BB2-BB$136,"")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18">
        <f>SUM(AE2:BO2)</f>
        <v>80</v>
      </c>
    </row>
    <row r="3" spans="1:97" x14ac:dyDescent="0.15">
      <c r="A3" s="1">
        <v>15</v>
      </c>
      <c r="B3" s="1" t="s">
        <v>30</v>
      </c>
      <c r="C3" s="1" t="s">
        <v>31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IF(AQ3&gt;AQ$136, AQ3-AQ$136,"")</f>
        <v/>
      </c>
      <c r="BU3" s="1" t="str">
        <f>IF(AR3&gt;AR$136, AR3-AR$136,"")</f>
        <v/>
      </c>
      <c r="BV3" s="1" t="str">
        <f>IF(AS3&gt;AS$136, AS3-AS$136,"")</f>
        <v/>
      </c>
      <c r="BW3" s="1" t="str">
        <f>IF(AT3&gt;AT$136, AT3-AT$136,"")</f>
        <v/>
      </c>
      <c r="BX3" s="1" t="str">
        <f>IF(AU3&gt;AU$136, AU3-AU$136,"")</f>
        <v/>
      </c>
      <c r="BY3" s="1" t="str">
        <f>IF(AV3&gt;AV$136, AV3-AV$136,"")</f>
        <v/>
      </c>
      <c r="BZ3" s="1" t="str">
        <f>IF(AW3&gt;AW$136, AW3-AW$136,"")</f>
        <v/>
      </c>
      <c r="CA3" s="1" t="str">
        <f>IF(AX3&gt;AX$136, AX3-AX$136,"")</f>
        <v/>
      </c>
      <c r="CB3" s="1" t="str">
        <f>IF(AY3&gt;AY$136, AY3-AY$136,"")</f>
        <v/>
      </c>
      <c r="CC3" s="1" t="str">
        <f>IF(AZ3&gt;AZ$136, AZ3-AZ$136,"")</f>
        <v/>
      </c>
      <c r="CD3" s="1" t="str">
        <f>IF(BA3&gt;BA$136, BA3-BA$136,"")</f>
        <v/>
      </c>
      <c r="CE3" s="1" t="str">
        <f>IF(BB3&gt;BB$136, BB3-BB$136,"")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18">
        <f>SUM(AE3:BO3)</f>
        <v>80</v>
      </c>
    </row>
    <row r="4" spans="1:97" x14ac:dyDescent="0.15">
      <c r="A4" s="1">
        <v>35</v>
      </c>
      <c r="B4" s="1" t="s">
        <v>46</v>
      </c>
      <c r="C4" s="1" t="s">
        <v>47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IF(AQ4&gt;AQ$136, AQ4-AQ$136,"")</f>
        <v/>
      </c>
      <c r="BU4" s="1" t="str">
        <f>IF(AR4&gt;AR$136, AR4-AR$136,"")</f>
        <v/>
      </c>
      <c r="BV4" s="1" t="str">
        <f>IF(AS4&gt;AS$136, AS4-AS$136,"")</f>
        <v/>
      </c>
      <c r="BW4" s="1" t="str">
        <f>IF(AT4&gt;AT$136, AT4-AT$136,"")</f>
        <v/>
      </c>
      <c r="BX4" s="1" t="str">
        <f>IF(AU4&gt;AU$136, AU4-AU$136,"")</f>
        <v/>
      </c>
      <c r="BY4" s="1" t="str">
        <f>IF(AV4&gt;AV$136, AV4-AV$136,"")</f>
        <v/>
      </c>
      <c r="BZ4" s="1" t="str">
        <f>IF(AW4&gt;AW$136, AW4-AW$136,"")</f>
        <v/>
      </c>
      <c r="CA4" s="1" t="str">
        <f>IF(AX4&gt;AX$136, AX4-AX$136,"")</f>
        <v/>
      </c>
      <c r="CB4" s="1" t="str">
        <f>IF(AY4&gt;AY$136, AY4-AY$136,"")</f>
        <v/>
      </c>
      <c r="CC4" s="1" t="str">
        <f>IF(AZ4&gt;AZ$136, AZ4-AZ$136,"")</f>
        <v/>
      </c>
      <c r="CD4" s="1" t="str">
        <f>IF(BA4&gt;BA$136, BA4-BA$136,"")</f>
        <v/>
      </c>
      <c r="CE4" s="1" t="str">
        <f>IF(BB4&gt;BB$136, BB4-BB$136,"")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18">
        <f>SUM(AE4:BO4)</f>
        <v>80</v>
      </c>
    </row>
    <row r="5" spans="1:97" x14ac:dyDescent="0.15">
      <c r="A5" s="1">
        <v>55</v>
      </c>
      <c r="B5" s="1" t="s">
        <v>55</v>
      </c>
      <c r="C5" s="1" t="s">
        <v>56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IF(AQ5&gt;AQ$136, AQ5-AQ$136,"")</f>
        <v/>
      </c>
      <c r="BU5" s="1" t="str">
        <f>IF(AR5&gt;AR$136, AR5-AR$136,"")</f>
        <v/>
      </c>
      <c r="BV5" s="1" t="str">
        <f>IF(AS5&gt;AS$136, AS5-AS$136,"")</f>
        <v/>
      </c>
      <c r="BW5" s="1" t="str">
        <f>IF(AT5&gt;AT$136, AT5-AT$136,"")</f>
        <v/>
      </c>
      <c r="BX5" s="1" t="str">
        <f>IF(AU5&gt;AU$136, AU5-AU$136,"")</f>
        <v/>
      </c>
      <c r="BY5" s="1" t="str">
        <f>IF(AV5&gt;AV$136, AV5-AV$136,"")</f>
        <v/>
      </c>
      <c r="BZ5" s="1" t="str">
        <f>IF(AW5&gt;AW$136, AW5-AW$136,"")</f>
        <v/>
      </c>
      <c r="CA5" s="1" t="str">
        <f>IF(AX5&gt;AX$136, AX5-AX$136,"")</f>
        <v/>
      </c>
      <c r="CB5" s="1" t="str">
        <f>IF(AY5&gt;AY$136, AY5-AY$136,"")</f>
        <v/>
      </c>
      <c r="CC5" s="1" t="str">
        <f>IF(AZ5&gt;AZ$136, AZ5-AZ$136,"")</f>
        <v/>
      </c>
      <c r="CD5" s="1" t="str">
        <f>IF(BA5&gt;BA$136, BA5-BA$136,"")</f>
        <v/>
      </c>
      <c r="CE5" s="1" t="str">
        <f>IF(BB5&gt;BB$136, BB5-BB$136,"")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18">
        <f>SUM(AE5:BO5)</f>
        <v>80</v>
      </c>
    </row>
    <row r="6" spans="1:97" s="25" customFormat="1" x14ac:dyDescent="0.15">
      <c r="A6" s="1"/>
      <c r="B6" s="1" t="s">
        <v>109</v>
      </c>
      <c r="C6" s="1" t="s">
        <v>110</v>
      </c>
      <c r="D6" s="1" t="s">
        <v>108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IF(AQ6&gt;AQ$136, AQ6-AQ$136,"")</f>
        <v/>
      </c>
      <c r="BU6" s="1" t="str">
        <f>IF(AR6&gt;AR$136, AR6-AR$136,"")</f>
        <v/>
      </c>
      <c r="BV6" s="1" t="str">
        <f>IF(AS6&gt;AS$136, AS6-AS$136,"")</f>
        <v/>
      </c>
      <c r="BW6" s="1" t="str">
        <f>IF(AT6&gt;AT$136, AT6-AT$136,"")</f>
        <v/>
      </c>
      <c r="BX6" s="1" t="str">
        <f>IF(AU6&gt;AU$136, AU6-AU$136,"")</f>
        <v/>
      </c>
      <c r="BY6" s="1" t="str">
        <f>IF(AV6&gt;AV$136, AV6-AV$136,"")</f>
        <v/>
      </c>
      <c r="BZ6" s="1" t="str">
        <f>IF(AW6&gt;AW$136, AW6-AW$136,"")</f>
        <v/>
      </c>
      <c r="CA6" s="1" t="str">
        <f>IF(AX6&gt;AX$136, AX6-AX$136,"")</f>
        <v/>
      </c>
      <c r="CB6" s="1" t="str">
        <f>IF(AY6&gt;AY$136, AY6-AY$136,"")</f>
        <v/>
      </c>
      <c r="CC6" s="1" t="str">
        <f>IF(AZ6&gt;AZ$136, AZ6-AZ$136,"")</f>
        <v/>
      </c>
      <c r="CD6" s="1" t="str">
        <f>IF(BA6&gt;BA$136, BA6-BA$136,"")</f>
        <v/>
      </c>
      <c r="CE6" s="1" t="str">
        <f>IF(BB6&gt;BB$136, BB6-BB$136,"")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8"/>
    </row>
    <row r="7" spans="1:97" s="25" customFormat="1" x14ac:dyDescent="0.15">
      <c r="A7" s="1"/>
      <c r="B7" s="1" t="s">
        <v>176</v>
      </c>
      <c r="C7" s="1" t="s">
        <v>118</v>
      </c>
      <c r="D7" s="1" t="s">
        <v>108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IF(AQ7&gt;AQ$136, AQ7-AQ$136,"")</f>
        <v/>
      </c>
      <c r="BU7" s="1" t="str">
        <f>IF(AR7&gt;AR$136, AR7-AR$136,"")</f>
        <v/>
      </c>
      <c r="BV7" s="1" t="str">
        <f>IF(AS7&gt;AS$136, AS7-AS$136,"")</f>
        <v/>
      </c>
      <c r="BW7" s="1" t="str">
        <f>IF(AT7&gt;AT$136, AT7-AT$136,"")</f>
        <v/>
      </c>
      <c r="BX7" s="1" t="str">
        <f>IF(AU7&gt;AU$136, AU7-AU$136,"")</f>
        <v/>
      </c>
      <c r="BY7" s="1" t="str">
        <f>IF(AV7&gt;AV$136, AV7-AV$136,"")</f>
        <v/>
      </c>
      <c r="BZ7" s="1" t="str">
        <f>IF(AW7&gt;AW$136, AW7-AW$136,"")</f>
        <v/>
      </c>
      <c r="CA7" s="1" t="str">
        <f>IF(AX7&gt;AX$136, AX7-AX$136,"")</f>
        <v/>
      </c>
      <c r="CB7" s="1" t="str">
        <f>IF(AY7&gt;AY$136, AY7-AY$136,"")</f>
        <v/>
      </c>
      <c r="CC7" s="1" t="str">
        <f>IF(AZ7&gt;AZ$136, AZ7-AZ$136,"")</f>
        <v/>
      </c>
      <c r="CD7" s="1" t="str">
        <f>IF(BA7&gt;BA$136, BA7-BA$136,"")</f>
        <v/>
      </c>
      <c r="CE7" s="1" t="str">
        <f>IF(BB7&gt;BB$136, BB7-BB$136,"")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8"/>
    </row>
    <row r="8" spans="1:97" x14ac:dyDescent="0.15">
      <c r="A8" s="1"/>
      <c r="B8" s="1" t="s">
        <v>184</v>
      </c>
      <c r="C8" s="1" t="s">
        <v>106</v>
      </c>
      <c r="D8" s="1" t="s">
        <v>108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IF(AQ8&gt;AQ$136, AQ8-AQ$136,"")</f>
        <v/>
      </c>
      <c r="BU8" s="1" t="str">
        <f>IF(AR8&gt;AR$136, AR8-AR$136,"")</f>
        <v/>
      </c>
      <c r="BV8" s="1" t="str">
        <f>IF(AS8&gt;AS$136, AS8-AS$136,"")</f>
        <v/>
      </c>
      <c r="BW8" s="1" t="str">
        <f>IF(AT8&gt;AT$136, AT8-AT$136,"")</f>
        <v/>
      </c>
      <c r="BX8" s="1" t="str">
        <f>IF(AU8&gt;AU$136, AU8-AU$136,"")</f>
        <v/>
      </c>
      <c r="BY8" s="1" t="str">
        <f>IF(AV8&gt;AV$136, AV8-AV$136,"")</f>
        <v/>
      </c>
      <c r="BZ8" s="1" t="str">
        <f>IF(AW8&gt;AW$136, AW8-AW$136,"")</f>
        <v/>
      </c>
      <c r="CA8" s="1" t="str">
        <f>IF(AX8&gt;AX$136, AX8-AX$136,"")</f>
        <v/>
      </c>
      <c r="CB8" s="1" t="str">
        <f>IF(AY8&gt;AY$136, AY8-AY$136,"")</f>
        <v/>
      </c>
      <c r="CC8" s="1" t="str">
        <f>IF(AZ8&gt;AZ$136, AZ8-AZ$136,"")</f>
        <v/>
      </c>
      <c r="CD8" s="1" t="str">
        <f>IF(BA8&gt;BA$136, BA8-BA$136,"")</f>
        <v/>
      </c>
      <c r="CE8" s="1" t="str">
        <f>IF(BB8&gt;BB$136, BB8-BB$136,"")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8"/>
    </row>
    <row r="9" spans="1:97" x14ac:dyDescent="0.15">
      <c r="A9" s="1">
        <v>91</v>
      </c>
      <c r="B9" s="3" t="s">
        <v>81</v>
      </c>
      <c r="C9" s="3" t="s">
        <v>80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IF(AQ9&gt;AQ$136, AQ9-AQ$136,"")</f>
        <v/>
      </c>
      <c r="BU9" s="1" t="str">
        <f>IF(AR9&gt;AR$136, AR9-AR$136,"")</f>
        <v/>
      </c>
      <c r="BV9" s="1" t="str">
        <f>IF(AS9&gt;AS$136, AS9-AS$136,"")</f>
        <v/>
      </c>
      <c r="BW9" s="1" t="str">
        <f>IF(AT9&gt;AT$136, AT9-AT$136,"")</f>
        <v/>
      </c>
      <c r="BX9" s="1" t="str">
        <f>IF(AU9&gt;AU$136, AU9-AU$136,"")</f>
        <v/>
      </c>
      <c r="BY9" s="1" t="str">
        <f>IF(AV9&gt;AV$136, AV9-AV$136,"")</f>
        <v/>
      </c>
      <c r="BZ9" s="1" t="str">
        <f>IF(AW9&gt;AW$136, AW9-AW$136,"")</f>
        <v/>
      </c>
      <c r="CA9" s="1" t="str">
        <f>IF(AX9&gt;AX$136, AX9-AX$136,"")</f>
        <v/>
      </c>
      <c r="CB9" s="1" t="str">
        <f>IF(AY9&gt;AY$136, AY9-AY$136,"")</f>
        <v/>
      </c>
      <c r="CC9" s="1" t="str">
        <f>IF(AZ9&gt;AZ$136, AZ9-AZ$136,"")</f>
        <v/>
      </c>
      <c r="CD9" s="1" t="str">
        <f>IF(BA9&gt;BA$136, BA9-BA$136,"")</f>
        <v/>
      </c>
      <c r="CE9" s="1" t="str">
        <f>IF(BB9&gt;BB$136, BB9-BB$136,"")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18">
        <f>SUM(AE9:BO9)</f>
        <v>5</v>
      </c>
    </row>
    <row r="10" spans="1:97" s="25" customFormat="1" x14ac:dyDescent="0.15">
      <c r="A10" s="1"/>
      <c r="B10" s="1" t="s">
        <v>189</v>
      </c>
      <c r="C10" s="1" t="s">
        <v>121</v>
      </c>
      <c r="D10" s="1" t="s">
        <v>107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>
        <v>5</v>
      </c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5</v>
      </c>
      <c r="BQ10" s="1">
        <v>1</v>
      </c>
      <c r="BR10" s="17">
        <v>1</v>
      </c>
      <c r="BS10" s="17" t="s">
        <v>203</v>
      </c>
      <c r="BT10" s="1" t="str">
        <f>IF(AQ10&gt;AQ$136, AQ10-AQ$136,"")</f>
        <v/>
      </c>
      <c r="BU10" s="1" t="str">
        <f>IF(AR10&gt;AR$136, AR10-AR$136,"")</f>
        <v/>
      </c>
      <c r="BV10" s="1" t="str">
        <f>IF(AS10&gt;AS$136, AS10-AS$136,"")</f>
        <v/>
      </c>
      <c r="BW10" s="1" t="str">
        <f>IF(AT10&gt;AT$136, AT10-AT$136,"")</f>
        <v/>
      </c>
      <c r="BX10" s="1" t="str">
        <f>IF(AU10&gt;AU$136, AU10-AU$136,"")</f>
        <v/>
      </c>
      <c r="BY10" s="1" t="str">
        <f>IF(AV10&gt;AV$136, AV10-AV$136,"")</f>
        <v/>
      </c>
      <c r="BZ10" s="1" t="str">
        <f>IF(AW10&gt;AW$136, AW10-AW$136,"")</f>
        <v/>
      </c>
      <c r="CA10" s="1" t="str">
        <f>IF(AX10&gt;AX$136, AX10-AX$136,"")</f>
        <v/>
      </c>
      <c r="CB10" s="1" t="str">
        <f>IF(AY10&gt;AY$136, AY10-AY$136,"")</f>
        <v/>
      </c>
      <c r="CC10" s="1" t="str">
        <f>IF(AZ10&gt;AZ$136, AZ10-AZ$136,"")</f>
        <v/>
      </c>
      <c r="CD10" s="1" t="str">
        <f>IF(BA10&gt;BA$136, BA10-BA$136,"")</f>
        <v/>
      </c>
      <c r="CE10" s="1" t="str">
        <f>IF(BB10&gt;BB$136, BB10-BB$136,"")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8"/>
    </row>
    <row r="11" spans="1:97" x14ac:dyDescent="0.15">
      <c r="A11" s="1"/>
      <c r="B11" s="1" t="s">
        <v>117</v>
      </c>
      <c r="C11" s="1" t="s">
        <v>110</v>
      </c>
      <c r="D11" s="1" t="s">
        <v>114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>
        <v>2</v>
      </c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</v>
      </c>
      <c r="BQ11" s="1">
        <v>2</v>
      </c>
      <c r="BR11" s="17">
        <v>1</v>
      </c>
      <c r="BS11" s="17" t="s">
        <v>202</v>
      </c>
      <c r="BT11" s="1" t="str">
        <f>IF(AQ11&gt;AQ$136, AQ11-AQ$136,"")</f>
        <v/>
      </c>
      <c r="BU11" s="1" t="str">
        <f>IF(AR11&gt;AR$136, AR11-AR$136,"")</f>
        <v/>
      </c>
      <c r="BV11" s="1" t="str">
        <f>IF(AS11&gt;AS$136, AS11-AS$136,"")</f>
        <v/>
      </c>
      <c r="BW11" s="1" t="str">
        <f>IF(AT11&gt;AT$136, AT11-AT$136,"")</f>
        <v/>
      </c>
      <c r="BX11" s="1" t="str">
        <f>IF(AU11&gt;AU$136, AU11-AU$136,"")</f>
        <v/>
      </c>
      <c r="BY11" s="1" t="str">
        <f>IF(AV11&gt;AV$136, AV11-AV$136,"")</f>
        <v/>
      </c>
      <c r="BZ11" s="1" t="str">
        <f>IF(AW11&gt;AW$136, AW11-AW$136,"")</f>
        <v/>
      </c>
      <c r="CA11" s="1" t="str">
        <f>IF(AX11&gt;AX$136, AX11-AX$136,"")</f>
        <v/>
      </c>
      <c r="CB11" s="1" t="str">
        <f>IF(AY11&gt;AY$136, AY11-AY$136,"")</f>
        <v/>
      </c>
      <c r="CC11" s="1" t="str">
        <f>IF(AZ11&gt;AZ$136, AZ11-AZ$136,"")</f>
        <v/>
      </c>
      <c r="CD11" s="1" t="str">
        <f>IF(BA11&gt;BA$136, BA11-BA$136,"")</f>
        <v/>
      </c>
      <c r="CE11" s="1" t="str">
        <f>IF(BB11&gt;BB$136, BB11-BB$136,"")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8"/>
    </row>
    <row r="12" spans="1:97" x14ac:dyDescent="0.15">
      <c r="A12" s="1">
        <v>94</v>
      </c>
      <c r="B12" s="3" t="s">
        <v>83</v>
      </c>
      <c r="C12" s="3" t="s">
        <v>69</v>
      </c>
      <c r="D12" s="1" t="s">
        <v>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>
        <v>10</v>
      </c>
      <c r="BB12" s="2">
        <v>10</v>
      </c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20</v>
      </c>
      <c r="BQ12" s="1">
        <v>3</v>
      </c>
      <c r="BR12" s="17">
        <v>1</v>
      </c>
      <c r="BS12" s="17" t="s">
        <v>212</v>
      </c>
      <c r="BT12" s="1" t="str">
        <f>IF(AQ12&gt;AQ$136, AQ12-AQ$136,"")</f>
        <v/>
      </c>
      <c r="BU12" s="1" t="str">
        <f>IF(AR12&gt;AR$136, AR12-AR$136,"")</f>
        <v/>
      </c>
      <c r="BV12" s="1" t="str">
        <f>IF(AS12&gt;AS$136, AS12-AS$136,"")</f>
        <v/>
      </c>
      <c r="BW12" s="1" t="str">
        <f>IF(AT12&gt;AT$136, AT12-AT$136,"")</f>
        <v/>
      </c>
      <c r="BX12" s="1" t="str">
        <f>IF(AU12&gt;AU$136, AU12-AU$136,"")</f>
        <v/>
      </c>
      <c r="BY12" s="1" t="str">
        <f>IF(AV12&gt;AV$136, AV12-AV$136,"")</f>
        <v/>
      </c>
      <c r="BZ12" s="1" t="str">
        <f>IF(AW12&gt;AW$136, AW12-AW$136,"")</f>
        <v/>
      </c>
      <c r="CA12" s="1" t="str">
        <f>IF(AX12&gt;AX$136, AX12-AX$136,"")</f>
        <v/>
      </c>
      <c r="CB12" s="1" t="str">
        <f>IF(AY12&gt;AY$136, AY12-AY$136,"")</f>
        <v/>
      </c>
      <c r="CC12" s="1" t="str">
        <f>IF(AZ12&gt;AZ$136, AZ12-AZ$136,"")</f>
        <v/>
      </c>
      <c r="CD12" s="1">
        <f>IF(BA12&gt;BA$136, BA12-BA$136,"")</f>
        <v>3</v>
      </c>
      <c r="CE12" s="1" t="str">
        <f>IF(BB12&gt;BB$136, BB12-BB$136,"")</f>
        <v/>
      </c>
      <c r="CF12" s="1">
        <f>COUNTIF(BT12:CE12, "&gt;0")</f>
        <v>1</v>
      </c>
      <c r="CG12" s="1" t="str">
        <f>IF($CF12=1,BT12,"")</f>
        <v/>
      </c>
      <c r="CH12" s="1" t="str">
        <f>IF($CF12=1,BU12,"")</f>
        <v/>
      </c>
      <c r="CI12" s="1" t="str">
        <f>IF($CF12=1,BV12,"")</f>
        <v/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>
        <f>IF($CF12=1,CD12,"")</f>
        <v>3</v>
      </c>
      <c r="CR12" s="1" t="str">
        <f>IF($CF12=1,CE12,"")</f>
        <v/>
      </c>
      <c r="CS12" s="18">
        <f>SUM(AE12:BO12)</f>
        <v>20</v>
      </c>
    </row>
    <row r="13" spans="1:97" x14ac:dyDescent="0.15">
      <c r="A13" s="1"/>
      <c r="B13" s="1" t="s">
        <v>193</v>
      </c>
      <c r="C13" s="1" t="s">
        <v>121</v>
      </c>
      <c r="D13" s="1" t="s">
        <v>107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>
        <v>10</v>
      </c>
      <c r="BB13" s="2">
        <v>10</v>
      </c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20</v>
      </c>
      <c r="BQ13" s="1">
        <v>3</v>
      </c>
      <c r="BR13" s="17">
        <v>1</v>
      </c>
      <c r="BS13" s="17" t="s">
        <v>213</v>
      </c>
      <c r="BT13" s="1" t="str">
        <f>IF(AQ13&gt;AQ$136, AQ13-AQ$136,"")</f>
        <v/>
      </c>
      <c r="BU13" s="1" t="str">
        <f>IF(AR13&gt;AR$136, AR13-AR$136,"")</f>
        <v/>
      </c>
      <c r="BV13" s="1" t="str">
        <f>IF(AS13&gt;AS$136, AS13-AS$136,"")</f>
        <v/>
      </c>
      <c r="BW13" s="1" t="str">
        <f>IF(AT13&gt;AT$136, AT13-AT$136,"")</f>
        <v/>
      </c>
      <c r="BX13" s="1" t="str">
        <f>IF(AU13&gt;AU$136, AU13-AU$136,"")</f>
        <v/>
      </c>
      <c r="BY13" s="1" t="str">
        <f>IF(AV13&gt;AV$136, AV13-AV$136,"")</f>
        <v/>
      </c>
      <c r="BZ13" s="1" t="str">
        <f>IF(AW13&gt;AW$136, AW13-AW$136,"")</f>
        <v/>
      </c>
      <c r="CA13" s="1" t="str">
        <f>IF(AX13&gt;AX$136, AX13-AX$136,"")</f>
        <v/>
      </c>
      <c r="CB13" s="1" t="str">
        <f>IF(AY13&gt;AY$136, AY13-AY$136,"")</f>
        <v/>
      </c>
      <c r="CC13" s="1" t="str">
        <f>IF(AZ13&gt;AZ$136, AZ13-AZ$136,"")</f>
        <v/>
      </c>
      <c r="CD13" s="1">
        <f>IF(BA13&gt;BA$136, BA13-BA$136,"")</f>
        <v>3</v>
      </c>
      <c r="CE13" s="1" t="str">
        <f>IF(BB13&gt;BB$136, BB13-BB$136,"")</f>
        <v/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8"/>
    </row>
    <row r="14" spans="1:97" x14ac:dyDescent="0.15">
      <c r="A14" s="1"/>
      <c r="B14" s="1" t="s">
        <v>188</v>
      </c>
      <c r="C14" s="1" t="s">
        <v>151</v>
      </c>
      <c r="D14" s="1" t="s">
        <v>125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>
        <v>10</v>
      </c>
      <c r="BB14" s="2">
        <v>10</v>
      </c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20</v>
      </c>
      <c r="BQ14" s="1">
        <v>3</v>
      </c>
      <c r="BR14" s="17">
        <v>1</v>
      </c>
      <c r="BS14" s="17" t="s">
        <v>212</v>
      </c>
      <c r="BT14" s="1" t="str">
        <f>IF(AQ14&gt;AQ$136, AQ14-AQ$136,"")</f>
        <v/>
      </c>
      <c r="BU14" s="1" t="str">
        <f>IF(AR14&gt;AR$136, AR14-AR$136,"")</f>
        <v/>
      </c>
      <c r="BV14" s="1" t="str">
        <f>IF(AS14&gt;AS$136, AS14-AS$136,"")</f>
        <v/>
      </c>
      <c r="BW14" s="1" t="str">
        <f>IF(AT14&gt;AT$136, AT14-AT$136,"")</f>
        <v/>
      </c>
      <c r="BX14" s="1" t="str">
        <f>IF(AU14&gt;AU$136, AU14-AU$136,"")</f>
        <v/>
      </c>
      <c r="BY14" s="1" t="str">
        <f>IF(AV14&gt;AV$136, AV14-AV$136,"")</f>
        <v/>
      </c>
      <c r="BZ14" s="1" t="str">
        <f>IF(AW14&gt;AW$136, AW14-AW$136,"")</f>
        <v/>
      </c>
      <c r="CA14" s="1" t="str">
        <f>IF(AX14&gt;AX$136, AX14-AX$136,"")</f>
        <v/>
      </c>
      <c r="CB14" s="1" t="str">
        <f>IF(AY14&gt;AY$136, AY14-AY$136,"")</f>
        <v/>
      </c>
      <c r="CC14" s="1" t="str">
        <f>IF(AZ14&gt;AZ$136, AZ14-AZ$136,"")</f>
        <v/>
      </c>
      <c r="CD14" s="1">
        <f>IF(BA14&gt;BA$136, BA14-BA$136,"")</f>
        <v>3</v>
      </c>
      <c r="CE14" s="1" t="str">
        <f>IF(BB14&gt;BB$136, BB14-BB$136,"")</f>
        <v/>
      </c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8"/>
    </row>
    <row r="15" spans="1:97" x14ac:dyDescent="0.15">
      <c r="A15" s="1">
        <v>17</v>
      </c>
      <c r="B15" s="1" t="s">
        <v>34</v>
      </c>
      <c r="C15" s="1" t="s">
        <v>31</v>
      </c>
      <c r="D15" s="1" t="s">
        <v>24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1"/>
      <c r="AF15" s="1">
        <v>5</v>
      </c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5</v>
      </c>
      <c r="BQ15" s="1">
        <v>5</v>
      </c>
      <c r="BR15" s="17">
        <v>1</v>
      </c>
      <c r="BS15" s="17" t="s">
        <v>204</v>
      </c>
      <c r="BT15" s="1" t="str">
        <f>IF(AQ15&gt;AQ$136, AQ15-AQ$136,"")</f>
        <v/>
      </c>
      <c r="BU15" s="1" t="str">
        <f>IF(AR15&gt;AR$136, AR15-AR$136,"")</f>
        <v/>
      </c>
      <c r="BV15" s="1" t="str">
        <f>IF(AS15&gt;AS$136, AS15-AS$136,"")</f>
        <v/>
      </c>
      <c r="BW15" s="1" t="str">
        <f>IF(AT15&gt;AT$136, AT15-AT$136,"")</f>
        <v/>
      </c>
      <c r="BX15" s="1" t="str">
        <f>IF(AU15&gt;AU$136, AU15-AU$136,"")</f>
        <v/>
      </c>
      <c r="BY15" s="1" t="str">
        <f>IF(AV15&gt;AV$136, AV15-AV$136,"")</f>
        <v/>
      </c>
      <c r="BZ15" s="1" t="str">
        <f>IF(AW15&gt;AW$136, AW15-AW$136,"")</f>
        <v/>
      </c>
      <c r="CA15" s="1" t="str">
        <f>IF(AX15&gt;AX$136, AX15-AX$136,"")</f>
        <v/>
      </c>
      <c r="CB15" s="1" t="str">
        <f>IF(AY15&gt;AY$136, AY15-AY$136,"")</f>
        <v/>
      </c>
      <c r="CC15" s="1" t="str">
        <f>IF(AZ15&gt;AZ$136, AZ15-AZ$136,"")</f>
        <v/>
      </c>
      <c r="CD15" s="1" t="str">
        <f>IF(BA15&gt;BA$136, BA15-BA$136,"")</f>
        <v/>
      </c>
      <c r="CE15" s="1" t="str">
        <f>IF(BB15&gt;BB$136, BB15-BB$136,"")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18">
        <f>SUM(AE15:BO15)</f>
        <v>5</v>
      </c>
    </row>
    <row r="16" spans="1:97" x14ac:dyDescent="0.15">
      <c r="A16" s="1">
        <v>18</v>
      </c>
      <c r="B16" s="1" t="s">
        <v>34</v>
      </c>
      <c r="C16" s="1" t="s">
        <v>31</v>
      </c>
      <c r="D16" s="1" t="s">
        <v>25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1"/>
      <c r="AF16" s="1"/>
      <c r="AG16" s="1">
        <v>5</v>
      </c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5</v>
      </c>
      <c r="BQ16" s="1">
        <v>5</v>
      </c>
      <c r="BR16" s="17">
        <v>1</v>
      </c>
      <c r="BS16" s="17" t="s">
        <v>205</v>
      </c>
      <c r="BT16" s="1" t="str">
        <f>IF(AQ16&gt;AQ$136, AQ16-AQ$136,"")</f>
        <v/>
      </c>
      <c r="BU16" s="1" t="str">
        <f>IF(AR16&gt;AR$136, AR16-AR$136,"")</f>
        <v/>
      </c>
      <c r="BV16" s="1" t="str">
        <f>IF(AS16&gt;AS$136, AS16-AS$136,"")</f>
        <v/>
      </c>
      <c r="BW16" s="1" t="str">
        <f>IF(AT16&gt;AT$136, AT16-AT$136,"")</f>
        <v/>
      </c>
      <c r="BX16" s="1" t="str">
        <f>IF(AU16&gt;AU$136, AU16-AU$136,"")</f>
        <v/>
      </c>
      <c r="BY16" s="1" t="str">
        <f>IF(AV16&gt;AV$136, AV16-AV$136,"")</f>
        <v/>
      </c>
      <c r="BZ16" s="1" t="str">
        <f>IF(AW16&gt;AW$136, AW16-AW$136,"")</f>
        <v/>
      </c>
      <c r="CA16" s="1" t="str">
        <f>IF(AX16&gt;AX$136, AX16-AX$136,"")</f>
        <v/>
      </c>
      <c r="CB16" s="1" t="str">
        <f>IF(AY16&gt;AY$136, AY16-AY$136,"")</f>
        <v/>
      </c>
      <c r="CC16" s="1" t="str">
        <f>IF(AZ16&gt;AZ$136, AZ16-AZ$136,"")</f>
        <v/>
      </c>
      <c r="CD16" s="1" t="str">
        <f>IF(BA16&gt;BA$136, BA16-BA$136,"")</f>
        <v/>
      </c>
      <c r="CE16" s="1" t="str">
        <f>IF(BB16&gt;BB$136, BB16-BB$136,"")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18">
        <f>SUM(AE16:BO16)</f>
        <v>5</v>
      </c>
    </row>
    <row r="17" spans="1:97" x14ac:dyDescent="0.15">
      <c r="A17" s="1">
        <v>19</v>
      </c>
      <c r="B17" s="1" t="s">
        <v>37</v>
      </c>
      <c r="C17" s="1" t="s">
        <v>31</v>
      </c>
      <c r="D17" s="1" t="s">
        <v>24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1"/>
      <c r="AF17" s="1"/>
      <c r="AG17" s="1">
        <v>5</v>
      </c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5</v>
      </c>
      <c r="BQ17" s="1">
        <v>5</v>
      </c>
      <c r="BR17" s="17">
        <v>1</v>
      </c>
      <c r="BS17" s="17" t="s">
        <v>206</v>
      </c>
      <c r="BT17" s="1" t="str">
        <f>IF(AQ17&gt;AQ$136, AQ17-AQ$136,"")</f>
        <v/>
      </c>
      <c r="BU17" s="1" t="str">
        <f>IF(AR17&gt;AR$136, AR17-AR$136,"")</f>
        <v/>
      </c>
      <c r="BV17" s="1" t="str">
        <f>IF(AS17&gt;AS$136, AS17-AS$136,"")</f>
        <v/>
      </c>
      <c r="BW17" s="1" t="str">
        <f>IF(AT17&gt;AT$136, AT17-AT$136,"")</f>
        <v/>
      </c>
      <c r="BX17" s="1" t="str">
        <f>IF(AU17&gt;AU$136, AU17-AU$136,"")</f>
        <v/>
      </c>
      <c r="BY17" s="1" t="str">
        <f>IF(AV17&gt;AV$136, AV17-AV$136,"")</f>
        <v/>
      </c>
      <c r="BZ17" s="1" t="str">
        <f>IF(AW17&gt;AW$136, AW17-AW$136,"")</f>
        <v/>
      </c>
      <c r="CA17" s="1" t="str">
        <f>IF(AX17&gt;AX$136, AX17-AX$136,"")</f>
        <v/>
      </c>
      <c r="CB17" s="1" t="str">
        <f>IF(AY17&gt;AY$136, AY17-AY$136,"")</f>
        <v/>
      </c>
      <c r="CC17" s="1" t="str">
        <f>IF(AZ17&gt;AZ$136, AZ17-AZ$136,"")</f>
        <v/>
      </c>
      <c r="CD17" s="1" t="str">
        <f>IF(BA17&gt;BA$136, BA17-BA$136,"")</f>
        <v/>
      </c>
      <c r="CE17" s="1" t="str">
        <f>IF(BB17&gt;BB$136, BB17-BB$136,"")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18">
        <f>SUM(AE17:BO17)</f>
        <v>5</v>
      </c>
    </row>
    <row r="18" spans="1:97" x14ac:dyDescent="0.15">
      <c r="A18" s="1">
        <v>32</v>
      </c>
      <c r="B18" s="1" t="s">
        <v>77</v>
      </c>
      <c r="C18" s="1" t="s">
        <v>31</v>
      </c>
      <c r="D18" s="1" t="s">
        <v>24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1"/>
      <c r="AF18" s="1"/>
      <c r="AG18" s="1"/>
      <c r="AH18" s="1"/>
      <c r="AI18" s="1">
        <v>5</v>
      </c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5</v>
      </c>
      <c r="BR18" s="17">
        <v>1</v>
      </c>
      <c r="BS18" s="17" t="s">
        <v>207</v>
      </c>
      <c r="BT18" s="1" t="str">
        <f>IF(AQ18&gt;AQ$136, AQ18-AQ$136,"")</f>
        <v/>
      </c>
      <c r="BU18" s="1" t="str">
        <f>IF(AR18&gt;AR$136, AR18-AR$136,"")</f>
        <v/>
      </c>
      <c r="BV18" s="1" t="str">
        <f>IF(AS18&gt;AS$136, AS18-AS$136,"")</f>
        <v/>
      </c>
      <c r="BW18" s="1" t="str">
        <f>IF(AT18&gt;AT$136, AT18-AT$136,"")</f>
        <v/>
      </c>
      <c r="BX18" s="1" t="str">
        <f>IF(AU18&gt;AU$136, AU18-AU$136,"")</f>
        <v/>
      </c>
      <c r="BY18" s="1" t="str">
        <f>IF(AV18&gt;AV$136, AV18-AV$136,"")</f>
        <v/>
      </c>
      <c r="BZ18" s="1" t="str">
        <f>IF(AW18&gt;AW$136, AW18-AW$136,"")</f>
        <v/>
      </c>
      <c r="CA18" s="1" t="str">
        <f>IF(AX18&gt;AX$136, AX18-AX$136,"")</f>
        <v/>
      </c>
      <c r="CB18" s="1" t="str">
        <f>IF(AY18&gt;AY$136, AY18-AY$136,"")</f>
        <v/>
      </c>
      <c r="CC18" s="1" t="str">
        <f>IF(AZ18&gt;AZ$136, AZ18-AZ$136,"")</f>
        <v/>
      </c>
      <c r="CD18" s="1" t="str">
        <f>IF(BA18&gt;BA$136, BA18-BA$136,"")</f>
        <v/>
      </c>
      <c r="CE18" s="1" t="str">
        <f>IF(BB18&gt;BB$136, BB18-BB$136,"")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18">
        <f>SUM(AE18:BO18)</f>
        <v>5</v>
      </c>
    </row>
    <row r="19" spans="1:97" x14ac:dyDescent="0.15">
      <c r="A19" s="1">
        <v>33</v>
      </c>
      <c r="B19" s="1" t="s">
        <v>77</v>
      </c>
      <c r="C19" s="1" t="s">
        <v>31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1"/>
      <c r="AF19" s="1"/>
      <c r="AG19" s="1"/>
      <c r="AH19" s="1">
        <v>5</v>
      </c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5</v>
      </c>
      <c r="BR19" s="17">
        <v>1</v>
      </c>
      <c r="BS19" s="17" t="s">
        <v>208</v>
      </c>
      <c r="BT19" s="1" t="str">
        <f>IF(AQ19&gt;AQ$136, AQ19-AQ$136,"")</f>
        <v/>
      </c>
      <c r="BU19" s="1" t="str">
        <f>IF(AR19&gt;AR$136, AR19-AR$136,"")</f>
        <v/>
      </c>
      <c r="BV19" s="1" t="str">
        <f>IF(AS19&gt;AS$136, AS19-AS$136,"")</f>
        <v/>
      </c>
      <c r="BW19" s="1" t="str">
        <f>IF(AT19&gt;AT$136, AT19-AT$136,"")</f>
        <v/>
      </c>
      <c r="BX19" s="1" t="str">
        <f>IF(AU19&gt;AU$136, AU19-AU$136,"")</f>
        <v/>
      </c>
      <c r="BY19" s="1" t="str">
        <f>IF(AV19&gt;AV$136, AV19-AV$136,"")</f>
        <v/>
      </c>
      <c r="BZ19" s="1" t="str">
        <f>IF(AW19&gt;AW$136, AW19-AW$136,"")</f>
        <v/>
      </c>
      <c r="CA19" s="1" t="str">
        <f>IF(AX19&gt;AX$136, AX19-AX$136,"")</f>
        <v/>
      </c>
      <c r="CB19" s="1" t="str">
        <f>IF(AY19&gt;AY$136, AY19-AY$136,"")</f>
        <v/>
      </c>
      <c r="CC19" s="1" t="str">
        <f>IF(AZ19&gt;AZ$136, AZ19-AZ$136,"")</f>
        <v/>
      </c>
      <c r="CD19" s="1" t="str">
        <f>IF(BA19&gt;BA$136, BA19-BA$136,"")</f>
        <v/>
      </c>
      <c r="CE19" s="1" t="str">
        <f>IF(BB19&gt;BB$136, BB19-BB$136,"")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18">
        <f>SUM(AE19:BO19)</f>
        <v>5</v>
      </c>
    </row>
    <row r="20" spans="1:97" x14ac:dyDescent="0.15">
      <c r="A20" s="1">
        <v>63</v>
      </c>
      <c r="B20" s="3" t="s">
        <v>61</v>
      </c>
      <c r="C20" s="1" t="s">
        <v>56</v>
      </c>
      <c r="D20" s="1" t="s">
        <v>24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1"/>
      <c r="AF20" s="1"/>
      <c r="AG20" s="1"/>
      <c r="AH20" s="1"/>
      <c r="AI20" s="1"/>
      <c r="AJ20" s="1"/>
      <c r="AK20" s="1"/>
      <c r="AL20" s="1"/>
      <c r="AM20" s="1"/>
      <c r="AN20" s="1">
        <v>5</v>
      </c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5</v>
      </c>
      <c r="BR20" s="17">
        <v>1</v>
      </c>
      <c r="BS20" s="17" t="s">
        <v>209</v>
      </c>
      <c r="BT20" s="1" t="str">
        <f>IF(AQ20&gt;AQ$136, AQ20-AQ$136,"")</f>
        <v/>
      </c>
      <c r="BU20" s="1" t="str">
        <f>IF(AR20&gt;AR$136, AR20-AR$136,"")</f>
        <v/>
      </c>
      <c r="BV20" s="1" t="str">
        <f>IF(AS20&gt;AS$136, AS20-AS$136,"")</f>
        <v/>
      </c>
      <c r="BW20" s="1" t="str">
        <f>IF(AT20&gt;AT$136, AT20-AT$136,"")</f>
        <v/>
      </c>
      <c r="BX20" s="1" t="str">
        <f>IF(AU20&gt;AU$136, AU20-AU$136,"")</f>
        <v/>
      </c>
      <c r="BY20" s="1" t="str">
        <f>IF(AV20&gt;AV$136, AV20-AV$136,"")</f>
        <v/>
      </c>
      <c r="BZ20" s="1" t="str">
        <f>IF(AW20&gt;AW$136, AW20-AW$136,"")</f>
        <v/>
      </c>
      <c r="CA20" s="1" t="str">
        <f>IF(AX20&gt;AX$136, AX20-AX$136,"")</f>
        <v/>
      </c>
      <c r="CB20" s="1" t="str">
        <f>IF(AY20&gt;AY$136, AY20-AY$136,"")</f>
        <v/>
      </c>
      <c r="CC20" s="1" t="str">
        <f>IF(AZ20&gt;AZ$136, AZ20-AZ$136,"")</f>
        <v/>
      </c>
      <c r="CD20" s="1" t="str">
        <f>IF(BA20&gt;BA$136, BA20-BA$136,"")</f>
        <v/>
      </c>
      <c r="CE20" s="1" t="str">
        <f>IF(BB20&gt;BB$136, BB20-BB$136,"")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18">
        <f>SUM(AE20:BO20)</f>
        <v>5</v>
      </c>
    </row>
    <row r="21" spans="1:97" x14ac:dyDescent="0.15">
      <c r="A21" s="1">
        <v>90</v>
      </c>
      <c r="B21" s="3" t="s">
        <v>81</v>
      </c>
      <c r="C21" s="3" t="s">
        <v>80</v>
      </c>
      <c r="D21" s="1" t="s">
        <v>24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1"/>
      <c r="AF21" s="1"/>
      <c r="AG21" s="1"/>
      <c r="AH21" s="1"/>
      <c r="AI21" s="1"/>
      <c r="AJ21" s="1"/>
      <c r="AK21" s="1"/>
      <c r="AL21" s="1"/>
      <c r="AM21" s="1"/>
      <c r="AN21" s="1">
        <v>5</v>
      </c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5</v>
      </c>
      <c r="BQ21" s="1">
        <v>5</v>
      </c>
      <c r="BR21" s="17">
        <v>1</v>
      </c>
      <c r="BS21" s="17" t="s">
        <v>210</v>
      </c>
      <c r="BT21" s="1" t="str">
        <f>IF(AQ21&gt;AQ$136, AQ21-AQ$136,"")</f>
        <v/>
      </c>
      <c r="BU21" s="1" t="str">
        <f>IF(AR21&gt;AR$136, AR21-AR$136,"")</f>
        <v/>
      </c>
      <c r="BV21" s="1" t="str">
        <f>IF(AS21&gt;AS$136, AS21-AS$136,"")</f>
        <v/>
      </c>
      <c r="BW21" s="1" t="str">
        <f>IF(AT21&gt;AT$136, AT21-AT$136,"")</f>
        <v/>
      </c>
      <c r="BX21" s="1" t="str">
        <f>IF(AU21&gt;AU$136, AU21-AU$136,"")</f>
        <v/>
      </c>
      <c r="BY21" s="1" t="str">
        <f>IF(AV21&gt;AV$136, AV21-AV$136,"")</f>
        <v/>
      </c>
      <c r="BZ21" s="1" t="str">
        <f>IF(AW21&gt;AW$136, AW21-AW$136,"")</f>
        <v/>
      </c>
      <c r="CA21" s="1" t="str">
        <f>IF(AX21&gt;AX$136, AX21-AX$136,"")</f>
        <v/>
      </c>
      <c r="CB21" s="1" t="str">
        <f>IF(AY21&gt;AY$136, AY21-AY$136,"")</f>
        <v/>
      </c>
      <c r="CC21" s="1" t="str">
        <f>IF(AZ21&gt;AZ$136, AZ21-AZ$136,"")</f>
        <v/>
      </c>
      <c r="CD21" s="1" t="str">
        <f>IF(BA21&gt;BA$136, BA21-BA$136,"")</f>
        <v/>
      </c>
      <c r="CE21" s="1" t="str">
        <f>IF(BB21&gt;BB$136, BB21-BB$136,"")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18">
        <f>SUM(AE21:BO21)</f>
        <v>5</v>
      </c>
    </row>
    <row r="22" spans="1:97" x14ac:dyDescent="0.15">
      <c r="A22" s="1"/>
      <c r="B22" s="1" t="s">
        <v>120</v>
      </c>
      <c r="C22" s="1" t="s">
        <v>118</v>
      </c>
      <c r="D22" s="1" t="s">
        <v>114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1"/>
      <c r="AF22" s="1"/>
      <c r="AG22" s="1"/>
      <c r="AH22" s="1">
        <v>5</v>
      </c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5</v>
      </c>
      <c r="BQ22" s="1">
        <v>5</v>
      </c>
      <c r="BR22" s="17">
        <v>1</v>
      </c>
      <c r="BS22" s="17" t="s">
        <v>211</v>
      </c>
      <c r="BT22" s="1" t="str">
        <f>IF(AQ22&gt;AQ$136, AQ22-AQ$136,"")</f>
        <v/>
      </c>
      <c r="BU22" s="1" t="str">
        <f>IF(AR22&gt;AR$136, AR22-AR$136,"")</f>
        <v/>
      </c>
      <c r="BV22" s="1" t="str">
        <f>IF(AS22&gt;AS$136, AS22-AS$136,"")</f>
        <v/>
      </c>
      <c r="BW22" s="1" t="str">
        <f>IF(AT22&gt;AT$136, AT22-AT$136,"")</f>
        <v/>
      </c>
      <c r="BX22" s="1" t="str">
        <f>IF(AU22&gt;AU$136, AU22-AU$136,"")</f>
        <v/>
      </c>
      <c r="BY22" s="1" t="str">
        <f>IF(AV22&gt;AV$136, AV22-AV$136,"")</f>
        <v/>
      </c>
      <c r="BZ22" s="1" t="str">
        <f>IF(AW22&gt;AW$136, AW22-AW$136,"")</f>
        <v/>
      </c>
      <c r="CA22" s="1" t="str">
        <f>IF(AX22&gt;AX$136, AX22-AX$136,"")</f>
        <v/>
      </c>
      <c r="CB22" s="1" t="str">
        <f>IF(AY22&gt;AY$136, AY22-AY$136,"")</f>
        <v/>
      </c>
      <c r="CC22" s="1" t="str">
        <f>IF(AZ22&gt;AZ$136, AZ22-AZ$136,"")</f>
        <v/>
      </c>
      <c r="CD22" s="1" t="str">
        <f>IF(BA22&gt;BA$136, BA22-BA$136,"")</f>
        <v/>
      </c>
      <c r="CE22" s="1" t="str">
        <f>IF(BB22&gt;BB$136, BB22-BB$136,"")</f>
        <v/>
      </c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8"/>
    </row>
    <row r="23" spans="1:97" x14ac:dyDescent="0.15">
      <c r="A23" s="1"/>
      <c r="B23" s="1" t="s">
        <v>120</v>
      </c>
      <c r="C23" s="1" t="s">
        <v>118</v>
      </c>
      <c r="D23" s="1" t="s">
        <v>108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1"/>
      <c r="AF23" s="1"/>
      <c r="AG23" s="1"/>
      <c r="AH23" s="1"/>
      <c r="AI23" s="1">
        <v>5</v>
      </c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5</v>
      </c>
      <c r="BQ23" s="1">
        <v>5</v>
      </c>
      <c r="BR23" s="17">
        <v>1</v>
      </c>
      <c r="BS23" s="17" t="s">
        <v>207</v>
      </c>
      <c r="BT23" s="1" t="str">
        <f>IF(AQ23&gt;AQ$136, AQ23-AQ$136,"")</f>
        <v/>
      </c>
      <c r="BU23" s="1" t="str">
        <f>IF(AR23&gt;AR$136, AR23-AR$136,"")</f>
        <v/>
      </c>
      <c r="BV23" s="1" t="str">
        <f>IF(AS23&gt;AS$136, AS23-AS$136,"")</f>
        <v/>
      </c>
      <c r="BW23" s="1" t="str">
        <f>IF(AT23&gt;AT$136, AT23-AT$136,"")</f>
        <v/>
      </c>
      <c r="BX23" s="1" t="str">
        <f>IF(AU23&gt;AU$136, AU23-AU$136,"")</f>
        <v/>
      </c>
      <c r="BY23" s="1" t="str">
        <f>IF(AV23&gt;AV$136, AV23-AV$136,"")</f>
        <v/>
      </c>
      <c r="BZ23" s="1" t="str">
        <f>IF(AW23&gt;AW$136, AW23-AW$136,"")</f>
        <v/>
      </c>
      <c r="CA23" s="1" t="str">
        <f>IF(AX23&gt;AX$136, AX23-AX$136,"")</f>
        <v/>
      </c>
      <c r="CB23" s="1" t="str">
        <f>IF(AY23&gt;AY$136, AY23-AY$136,"")</f>
        <v/>
      </c>
      <c r="CC23" s="1" t="str">
        <f>IF(AZ23&gt;AZ$136, AZ23-AZ$136,"")</f>
        <v/>
      </c>
      <c r="CD23" s="1" t="str">
        <f>IF(BA23&gt;BA$136, BA23-BA$136,"")</f>
        <v/>
      </c>
      <c r="CE23" s="1" t="str">
        <f>IF(BB23&gt;BB$136, BB23-BB$136,"")</f>
        <v/>
      </c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8"/>
    </row>
    <row r="24" spans="1:97" s="25" customFormat="1" x14ac:dyDescent="0.15">
      <c r="A24" s="1">
        <v>62</v>
      </c>
      <c r="B24" s="1" t="s">
        <v>104</v>
      </c>
      <c r="C24" s="1" t="s">
        <v>56</v>
      </c>
      <c r="D24" s="1" t="s">
        <v>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1"/>
      <c r="AF24" s="1"/>
      <c r="AG24" s="1"/>
      <c r="AH24" s="1"/>
      <c r="AI24" s="1"/>
      <c r="AJ24" s="1"/>
      <c r="AK24" s="1"/>
      <c r="AL24" s="1"/>
      <c r="AM24" s="1">
        <v>15</v>
      </c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15</v>
      </c>
      <c r="BQ24" s="1">
        <v>5</v>
      </c>
      <c r="BR24" s="17">
        <v>1</v>
      </c>
      <c r="BS24" s="17" t="s">
        <v>214</v>
      </c>
      <c r="BT24" s="1" t="str">
        <f>IF(AQ24&gt;AQ$136, AQ24-AQ$136,"")</f>
        <v/>
      </c>
      <c r="BU24" s="1" t="str">
        <f>IF(AR24&gt;AR$136, AR24-AR$136,"")</f>
        <v/>
      </c>
      <c r="BV24" s="1" t="str">
        <f>IF(AS24&gt;AS$136, AS24-AS$136,"")</f>
        <v/>
      </c>
      <c r="BW24" s="1" t="str">
        <f>IF(AT24&gt;AT$136, AT24-AT$136,"")</f>
        <v/>
      </c>
      <c r="BX24" s="1" t="str">
        <f>IF(AU24&gt;AU$136, AU24-AU$136,"")</f>
        <v/>
      </c>
      <c r="BY24" s="1" t="str">
        <f>IF(AV24&gt;AV$136, AV24-AV$136,"")</f>
        <v/>
      </c>
      <c r="BZ24" s="1" t="str">
        <f>IF(AW24&gt;AW$136, AW24-AW$136,"")</f>
        <v/>
      </c>
      <c r="CA24" s="1" t="str">
        <f>IF(AX24&gt;AX$136, AX24-AX$136,"")</f>
        <v/>
      </c>
      <c r="CB24" s="1" t="str">
        <f>IF(AY24&gt;AY$136, AY24-AY$136,"")</f>
        <v/>
      </c>
      <c r="CC24" s="1" t="str">
        <f>IF(AZ24&gt;AZ$136, AZ24-AZ$136,"")</f>
        <v/>
      </c>
      <c r="CD24" s="1" t="str">
        <f>IF(BA24&gt;BA$136, BA24-BA$136,"")</f>
        <v/>
      </c>
      <c r="CE24" s="1" t="str">
        <f>IF(BB24&gt;BB$136, BB24-BB$136,"")</f>
        <v/>
      </c>
      <c r="CF24" s="1">
        <f>COUNTIF(BT24:CE24, "&gt;0")</f>
        <v>0</v>
      </c>
      <c r="CG24" s="1" t="str">
        <f>IF($CF24=1,BT24,"")</f>
        <v/>
      </c>
      <c r="CH24" s="1" t="str">
        <f>IF($CF24=1,BU24,"")</f>
        <v/>
      </c>
      <c r="CI24" s="1" t="str">
        <f>IF($CF24=1,BV24,"")</f>
        <v/>
      </c>
      <c r="CJ24" s="1" t="str">
        <f>IF($CF24=1,BW24,"")</f>
        <v/>
      </c>
      <c r="CK24" s="1" t="str">
        <f>IF($CF24=1,BX24,"")</f>
        <v/>
      </c>
      <c r="CL24" s="1" t="str">
        <f>IF($CF24=1,BY24,"")</f>
        <v/>
      </c>
      <c r="CM24" s="1" t="str">
        <f>IF($CF24=1,BZ24,"")</f>
        <v/>
      </c>
      <c r="CN24" s="1" t="str">
        <f>IF($CF24=1,CA24,"")</f>
        <v/>
      </c>
      <c r="CO24" s="1" t="str">
        <f>IF($CF24=1,CB24,"")</f>
        <v/>
      </c>
      <c r="CP24" s="1" t="str">
        <f>IF($CF24=1,CC24,"")</f>
        <v/>
      </c>
      <c r="CQ24" s="1" t="str">
        <f>IF($CF24=1,CD24,"")</f>
        <v/>
      </c>
      <c r="CR24" s="1" t="str">
        <f>IF($CF24=1,CE24,"")</f>
        <v/>
      </c>
      <c r="CS24" s="18">
        <f>SUM(AE24:BO24)</f>
        <v>15</v>
      </c>
    </row>
    <row r="25" spans="1:97" x14ac:dyDescent="0.15">
      <c r="A25" s="1"/>
      <c r="B25" s="1" t="s">
        <v>195</v>
      </c>
      <c r="C25" s="1" t="s">
        <v>121</v>
      </c>
      <c r="D25" s="1" t="s">
        <v>108</v>
      </c>
      <c r="E25" s="6"/>
      <c r="F25" s="6"/>
      <c r="G25" s="6"/>
      <c r="H25" s="6">
        <v>6</v>
      </c>
      <c r="I25" s="6"/>
      <c r="J25" s="6">
        <v>6</v>
      </c>
      <c r="K25" s="6"/>
      <c r="L25" s="6"/>
      <c r="M25" s="6"/>
      <c r="N25" s="6"/>
      <c r="O25" s="6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>
        <v>8</v>
      </c>
      <c r="AU25" s="4"/>
      <c r="AV25" s="4"/>
      <c r="AW25" s="2"/>
      <c r="AX25" s="2"/>
      <c r="AY25" s="2">
        <v>8</v>
      </c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28</v>
      </c>
      <c r="BQ25" s="1">
        <v>6</v>
      </c>
      <c r="BR25" s="17">
        <v>1</v>
      </c>
      <c r="BS25" s="17" t="s">
        <v>215</v>
      </c>
      <c r="BT25" s="1" t="str">
        <f>IF(AQ25&gt;AQ$136, AQ25-AQ$136,"")</f>
        <v/>
      </c>
      <c r="BU25" s="1" t="str">
        <f>IF(AR25&gt;AR$136, AR25-AR$136,"")</f>
        <v/>
      </c>
      <c r="BV25" s="1" t="str">
        <f>IF(AS25&gt;AS$136, AS25-AS$136,"")</f>
        <v/>
      </c>
      <c r="BW25" s="1" t="str">
        <f>IF(AT25&gt;AT$136, AT25-AT$136,"")</f>
        <v/>
      </c>
      <c r="BX25" s="1" t="str">
        <f>IF(AU25&gt;AU$136, AU25-AU$136,"")</f>
        <v/>
      </c>
      <c r="BY25" s="1" t="str">
        <f>IF(AV25&gt;AV$136, AV25-AV$136,"")</f>
        <v/>
      </c>
      <c r="BZ25" s="1" t="str">
        <f>IF(AW25&gt;AW$136, AW25-AW$136,"")</f>
        <v/>
      </c>
      <c r="CA25" s="1" t="str">
        <f>IF(AX25&gt;AX$136, AX25-AX$136,"")</f>
        <v/>
      </c>
      <c r="CB25" s="1" t="str">
        <f>IF(AY25&gt;AY$136, AY25-AY$136,"")</f>
        <v/>
      </c>
      <c r="CC25" s="1" t="str">
        <f>IF(AZ25&gt;AZ$136, AZ25-AZ$136,"")</f>
        <v/>
      </c>
      <c r="CD25" s="1" t="str">
        <f>IF(BA25&gt;BA$136, BA25-BA$136,"")</f>
        <v/>
      </c>
      <c r="CE25" s="1" t="str">
        <f>IF(BB25&gt;BB$136, BB25-BB$136,"")</f>
        <v/>
      </c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8"/>
    </row>
    <row r="26" spans="1:97" x14ac:dyDescent="0.15">
      <c r="A26" s="1">
        <v>5</v>
      </c>
      <c r="B26" s="1" t="s">
        <v>22</v>
      </c>
      <c r="C26" s="1" t="s">
        <v>2</v>
      </c>
      <c r="D26" s="1" t="s">
        <v>12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>
        <v>10</v>
      </c>
      <c r="AS26" s="4"/>
      <c r="AT26" s="4"/>
      <c r="AU26" s="4"/>
      <c r="AV26" s="4"/>
      <c r="AW26" s="2"/>
      <c r="AX26" s="2"/>
      <c r="AY26" s="2"/>
      <c r="AZ26" s="2"/>
      <c r="BA26" s="2"/>
      <c r="BB26" s="2">
        <v>10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20</v>
      </c>
      <c r="BQ26" s="1">
        <v>6</v>
      </c>
      <c r="BR26" s="17">
        <v>1</v>
      </c>
      <c r="BS26" s="17" t="s">
        <v>218</v>
      </c>
      <c r="BT26" s="1" t="str">
        <f>IF(AQ26&gt;AQ$136, AQ26-AQ$136,"")</f>
        <v/>
      </c>
      <c r="BU26" s="1">
        <f>IF(AR26&gt;AR$136, AR26-AR$136,"")</f>
        <v>6</v>
      </c>
      <c r="BV26" s="1" t="str">
        <f>IF(AS26&gt;AS$136, AS26-AS$136,"")</f>
        <v/>
      </c>
      <c r="BW26" s="1" t="str">
        <f>IF(AT26&gt;AT$136, AT26-AT$136,"")</f>
        <v/>
      </c>
      <c r="BX26" s="1" t="str">
        <f>IF(AU26&gt;AU$136, AU26-AU$136,"")</f>
        <v/>
      </c>
      <c r="BY26" s="1" t="str">
        <f>IF(AV26&gt;AV$136, AV26-AV$136,"")</f>
        <v/>
      </c>
      <c r="BZ26" s="1" t="str">
        <f>IF(AW26&gt;AW$136, AW26-AW$136,"")</f>
        <v/>
      </c>
      <c r="CA26" s="1" t="str">
        <f>IF(AX26&gt;AX$136, AX26-AX$136,"")</f>
        <v/>
      </c>
      <c r="CB26" s="1" t="str">
        <f>IF(AY26&gt;AY$136, AY26-AY$136,"")</f>
        <v/>
      </c>
      <c r="CC26" s="1" t="str">
        <f>IF(AZ26&gt;AZ$136, AZ26-AZ$136,"")</f>
        <v/>
      </c>
      <c r="CD26" s="1" t="str">
        <f>IF(BA26&gt;BA$136, BA26-BA$136,"")</f>
        <v/>
      </c>
      <c r="CE26" s="1" t="str">
        <f>IF(BB26&gt;BB$136, BB26-BB$136,"")</f>
        <v/>
      </c>
      <c r="CF26" s="1">
        <f>COUNTIF(BT26:CE26, "&gt;0")</f>
        <v>1</v>
      </c>
      <c r="CG26" s="1" t="str">
        <f>IF($CF26=1,BT26,"")</f>
        <v/>
      </c>
      <c r="CH26" s="1">
        <f>IF($CF26=1,BU26,"")</f>
        <v>6</v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18">
        <f>SUM(AE26:BO26)</f>
        <v>20</v>
      </c>
    </row>
    <row r="27" spans="1:97" x14ac:dyDescent="0.15">
      <c r="A27" s="1">
        <v>6</v>
      </c>
      <c r="B27" s="1" t="s">
        <v>52</v>
      </c>
      <c r="C27" s="1" t="s">
        <v>2</v>
      </c>
      <c r="D27" s="1" t="s">
        <v>23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>
        <v>10</v>
      </c>
      <c r="AS27" s="4"/>
      <c r="AT27" s="4"/>
      <c r="AU27" s="4"/>
      <c r="AV27" s="4"/>
      <c r="AW27" s="2"/>
      <c r="AX27" s="2"/>
      <c r="AY27" s="2"/>
      <c r="AZ27" s="2"/>
      <c r="BA27" s="2"/>
      <c r="BB27" s="2">
        <v>10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20</v>
      </c>
      <c r="BQ27" s="1">
        <v>6</v>
      </c>
      <c r="BR27" s="17">
        <v>1</v>
      </c>
      <c r="BS27" s="17" t="s">
        <v>218</v>
      </c>
      <c r="BT27" s="1" t="str">
        <f>IF(AQ27&gt;AQ$136, AQ27-AQ$136,"")</f>
        <v/>
      </c>
      <c r="BU27" s="1">
        <f>IF(AR27&gt;AR$136, AR27-AR$136,"")</f>
        <v>6</v>
      </c>
      <c r="BV27" s="1" t="str">
        <f>IF(AS27&gt;AS$136, AS27-AS$136,"")</f>
        <v/>
      </c>
      <c r="BW27" s="1" t="str">
        <f>IF(AT27&gt;AT$136, AT27-AT$136,"")</f>
        <v/>
      </c>
      <c r="BX27" s="1" t="str">
        <f>IF(AU27&gt;AU$136, AU27-AU$136,"")</f>
        <v/>
      </c>
      <c r="BY27" s="1" t="str">
        <f>IF(AV27&gt;AV$136, AV27-AV$136,"")</f>
        <v/>
      </c>
      <c r="BZ27" s="1" t="str">
        <f>IF(AW27&gt;AW$136, AW27-AW$136,"")</f>
        <v/>
      </c>
      <c r="CA27" s="1" t="str">
        <f>IF(AX27&gt;AX$136, AX27-AX$136,"")</f>
        <v/>
      </c>
      <c r="CB27" s="1" t="str">
        <f>IF(AY27&gt;AY$136, AY27-AY$136,"")</f>
        <v/>
      </c>
      <c r="CC27" s="1" t="str">
        <f>IF(AZ27&gt;AZ$136, AZ27-AZ$136,"")</f>
        <v/>
      </c>
      <c r="CD27" s="1" t="str">
        <f>IF(BA27&gt;BA$136, BA27-BA$136,"")</f>
        <v/>
      </c>
      <c r="CE27" s="1" t="str">
        <f>IF(BB27&gt;BB$136, BB27-BB$136,"")</f>
        <v/>
      </c>
      <c r="CF27" s="1">
        <f>COUNTIF(BT27:CE27, "&gt;0")</f>
        <v>1</v>
      </c>
      <c r="CG27" s="1" t="str">
        <f>IF($CF27=1,BT27,"")</f>
        <v/>
      </c>
      <c r="CH27" s="1">
        <f>IF($CF27=1,BU27,"")</f>
        <v>6</v>
      </c>
      <c r="CI27" s="1" t="str">
        <f>IF($CF27=1,BV27,"")</f>
        <v/>
      </c>
      <c r="CJ27" s="1" t="str">
        <f>IF($CF27=1,BW27,"")</f>
        <v/>
      </c>
      <c r="CK27" s="1" t="str">
        <f>IF($CF27=1,BX27,"")</f>
        <v/>
      </c>
      <c r="CL27" s="1" t="str">
        <f>IF($CF27=1,BY27,"")</f>
        <v/>
      </c>
      <c r="CM27" s="1" t="str">
        <f>IF($CF27=1,BZ27,"")</f>
        <v/>
      </c>
      <c r="CN27" s="1" t="str">
        <f>IF($CF27=1,CA27,"")</f>
        <v/>
      </c>
      <c r="CO27" s="1" t="str">
        <f>IF($CF27=1,CB27,"")</f>
        <v/>
      </c>
      <c r="CP27" s="1" t="str">
        <f>IF($CF27=1,CC27,"")</f>
        <v/>
      </c>
      <c r="CQ27" s="1" t="str">
        <f>IF($CF27=1,CD27,"")</f>
        <v/>
      </c>
      <c r="CR27" s="1" t="str">
        <f>IF($CF27=1,CE27,"")</f>
        <v/>
      </c>
      <c r="CS27" s="18">
        <f>SUM(AE27:BO27)</f>
        <v>20</v>
      </c>
    </row>
    <row r="28" spans="1:97" x14ac:dyDescent="0.15">
      <c r="A28" s="1"/>
      <c r="B28" s="1" t="s">
        <v>171</v>
      </c>
      <c r="C28" s="1" t="s">
        <v>110</v>
      </c>
      <c r="D28" s="1" t="s">
        <v>107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>
        <v>10</v>
      </c>
      <c r="AT28" s="4"/>
      <c r="AU28" s="4"/>
      <c r="AV28" s="4"/>
      <c r="AW28" s="2"/>
      <c r="AX28" s="2"/>
      <c r="AY28" s="2"/>
      <c r="AZ28" s="2"/>
      <c r="BA28" s="2"/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20</v>
      </c>
      <c r="BQ28" s="1">
        <v>9</v>
      </c>
      <c r="BR28" s="17">
        <v>1</v>
      </c>
      <c r="BS28" s="17" t="s">
        <v>217</v>
      </c>
      <c r="BT28" s="1" t="str">
        <f>IF(AQ28&gt;AQ$136, AQ28-AQ$136,"")</f>
        <v/>
      </c>
      <c r="BU28" s="1" t="str">
        <f>IF(AR28&gt;AR$136, AR28-AR$136,"")</f>
        <v/>
      </c>
      <c r="BV28" s="1">
        <f>IF(AS28&gt;AS$136, AS28-AS$136,"")</f>
        <v>9</v>
      </c>
      <c r="BW28" s="1" t="str">
        <f>IF(AT28&gt;AT$136, AT28-AT$136,"")</f>
        <v/>
      </c>
      <c r="BX28" s="1" t="str">
        <f>IF(AU28&gt;AU$136, AU28-AU$136,"")</f>
        <v/>
      </c>
      <c r="BY28" s="1" t="str">
        <f>IF(AV28&gt;AV$136, AV28-AV$136,"")</f>
        <v/>
      </c>
      <c r="BZ28" s="1" t="str">
        <f>IF(AW28&gt;AW$136, AW28-AW$136,"")</f>
        <v/>
      </c>
      <c r="CA28" s="1" t="str">
        <f>IF(AX28&gt;AX$136, AX28-AX$136,"")</f>
        <v/>
      </c>
      <c r="CB28" s="1" t="str">
        <f>IF(AY28&gt;AY$136, AY28-AY$136,"")</f>
        <v/>
      </c>
      <c r="CC28" s="1" t="str">
        <f>IF(AZ28&gt;AZ$136, AZ28-AZ$136,"")</f>
        <v/>
      </c>
      <c r="CD28" s="1" t="str">
        <f>IF(BA28&gt;BA$136, BA28-BA$136,"")</f>
        <v/>
      </c>
      <c r="CE28" s="1" t="str">
        <f>IF(BB28&gt;BB$136, BB28-BB$136,"")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>
        <v>34</v>
      </c>
      <c r="B29" s="1" t="s">
        <v>46</v>
      </c>
      <c r="C29" s="1" t="s">
        <v>47</v>
      </c>
      <c r="D29" s="1" t="s">
        <v>25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>
        <v>15</v>
      </c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>
        <v>15</v>
      </c>
      <c r="BC29" s="14"/>
      <c r="BD29" s="1"/>
      <c r="BE29" s="1"/>
      <c r="BF29" s="1"/>
      <c r="BG29" s="1"/>
      <c r="BH29" s="1">
        <v>15</v>
      </c>
      <c r="BI29" s="1">
        <v>15</v>
      </c>
      <c r="BJ29" s="1"/>
      <c r="BK29" s="1"/>
      <c r="BL29" s="1"/>
      <c r="BM29" s="1"/>
      <c r="BN29" s="1"/>
      <c r="BO29" s="1"/>
      <c r="BP29" s="1">
        <f>SUM(E29:BO29)</f>
        <v>60</v>
      </c>
      <c r="BQ29" s="1">
        <v>12</v>
      </c>
      <c r="BR29" s="17">
        <v>1</v>
      </c>
      <c r="BS29" s="17" t="s">
        <v>219</v>
      </c>
      <c r="BT29" s="1">
        <f>IF(AQ29&gt;AQ$136, AQ29-AQ$136,"")</f>
        <v>12</v>
      </c>
      <c r="BU29" s="1" t="str">
        <f>IF(AR29&gt;AR$136, AR29-AR$136,"")</f>
        <v/>
      </c>
      <c r="BV29" s="1" t="str">
        <f>IF(AS29&gt;AS$136, AS29-AS$136,"")</f>
        <v/>
      </c>
      <c r="BW29" s="1" t="str">
        <f>IF(AT29&gt;AT$136, AT29-AT$136,"")</f>
        <v/>
      </c>
      <c r="BX29" s="1" t="str">
        <f>IF(AU29&gt;AU$136, AU29-AU$136,"")</f>
        <v/>
      </c>
      <c r="BY29" s="1" t="str">
        <f>IF(AV29&gt;AV$136, AV29-AV$136,"")</f>
        <v/>
      </c>
      <c r="BZ29" s="1" t="str">
        <f>IF(AW29&gt;AW$136, AW29-AW$136,"")</f>
        <v/>
      </c>
      <c r="CA29" s="1" t="str">
        <f>IF(AX29&gt;AX$136, AX29-AX$136,"")</f>
        <v/>
      </c>
      <c r="CB29" s="1" t="str">
        <f>IF(AY29&gt;AY$136, AY29-AY$136,"")</f>
        <v/>
      </c>
      <c r="CC29" s="1" t="str">
        <f>IF(AZ29&gt;AZ$136, AZ29-AZ$136,"")</f>
        <v/>
      </c>
      <c r="CD29" s="1" t="str">
        <f>IF(BA29&gt;BA$136, BA29-BA$136,"")</f>
        <v/>
      </c>
      <c r="CE29" s="1" t="str">
        <f>IF(BB29&gt;BB$136, BB29-BB$136,"")</f>
        <v/>
      </c>
      <c r="CF29" s="1">
        <f>COUNTIF(BT29:CE29, "&gt;0")</f>
        <v>1</v>
      </c>
      <c r="CG29" s="1">
        <f>IF($CF29=1,BT29,"")</f>
        <v>12</v>
      </c>
      <c r="CH29" s="1" t="str">
        <f>IF($CF29=1,BU29,"")</f>
        <v/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18">
        <f>SUM(AE29:BO29)</f>
        <v>60</v>
      </c>
    </row>
    <row r="30" spans="1:97" x14ac:dyDescent="0.15">
      <c r="A30" s="1"/>
      <c r="B30" s="1" t="s">
        <v>185</v>
      </c>
      <c r="C30" s="1" t="s">
        <v>106</v>
      </c>
      <c r="D30" s="1" t="s">
        <v>107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>
        <v>15</v>
      </c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>
        <v>15</v>
      </c>
      <c r="BC30" s="14"/>
      <c r="BD30" s="1"/>
      <c r="BE30" s="1"/>
      <c r="BF30" s="1"/>
      <c r="BG30" s="1"/>
      <c r="BH30" s="1">
        <v>15</v>
      </c>
      <c r="BI30" s="1">
        <v>15</v>
      </c>
      <c r="BJ30" s="1"/>
      <c r="BK30" s="1"/>
      <c r="BL30" s="1"/>
      <c r="BM30" s="1"/>
      <c r="BN30" s="1"/>
      <c r="BO30" s="1"/>
      <c r="BP30" s="1">
        <f>SUM(E30:BO30)</f>
        <v>60</v>
      </c>
      <c r="BQ30" s="1">
        <v>12</v>
      </c>
      <c r="BR30" s="17">
        <v>1</v>
      </c>
      <c r="BS30" s="17" t="s">
        <v>219</v>
      </c>
      <c r="BT30" s="1">
        <f>IF(AQ30&gt;AQ$136, AQ30-AQ$136,"")</f>
        <v>12</v>
      </c>
      <c r="BU30" s="1" t="str">
        <f>IF(AR30&gt;AR$136, AR30-AR$136,"")</f>
        <v/>
      </c>
      <c r="BV30" s="1" t="str">
        <f>IF(AS30&gt;AS$136, AS30-AS$136,"")</f>
        <v/>
      </c>
      <c r="BW30" s="1" t="str">
        <f>IF(AT30&gt;AT$136, AT30-AT$136,"")</f>
        <v/>
      </c>
      <c r="BX30" s="1" t="str">
        <f>IF(AU30&gt;AU$136, AU30-AU$136,"")</f>
        <v/>
      </c>
      <c r="BY30" s="1" t="str">
        <f>IF(AV30&gt;AV$136, AV30-AV$136,"")</f>
        <v/>
      </c>
      <c r="BZ30" s="1" t="str">
        <f>IF(AW30&gt;AW$136, AW30-AW$136,"")</f>
        <v/>
      </c>
      <c r="CA30" s="1" t="str">
        <f>IF(AX30&gt;AX$136, AX30-AX$136,"")</f>
        <v/>
      </c>
      <c r="CB30" s="1" t="str">
        <f>IF(AY30&gt;AY$136, AY30-AY$136,"")</f>
        <v/>
      </c>
      <c r="CC30" s="1" t="str">
        <f>IF(AZ30&gt;AZ$136, AZ30-AZ$136,"")</f>
        <v/>
      </c>
      <c r="CD30" s="1" t="str">
        <f>IF(BA30&gt;BA$136, BA30-BA$136,"")</f>
        <v/>
      </c>
      <c r="CE30" s="1" t="str">
        <f>IF(BB30&gt;BB$136, BB30-BB$136,"")</f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>
        <v>64</v>
      </c>
      <c r="B31" s="3" t="s">
        <v>61</v>
      </c>
      <c r="C31" s="1" t="s">
        <v>56</v>
      </c>
      <c r="D31" s="1" t="s">
        <v>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1"/>
      <c r="AF31" s="1"/>
      <c r="AG31" s="1"/>
      <c r="AH31" s="1"/>
      <c r="AI31" s="1"/>
      <c r="AJ31" s="1"/>
      <c r="AK31" s="1"/>
      <c r="AL31" s="1"/>
      <c r="AM31" s="1"/>
      <c r="AN31" s="1">
        <v>15</v>
      </c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15</v>
      </c>
      <c r="BQ31" s="1">
        <v>15</v>
      </c>
      <c r="BR31" s="17">
        <v>1</v>
      </c>
      <c r="BS31" s="17" t="s">
        <v>220</v>
      </c>
      <c r="BT31" s="1" t="str">
        <f>IF(AQ31&gt;AQ$136, AQ31-AQ$136,"")</f>
        <v/>
      </c>
      <c r="BU31" s="1" t="str">
        <f>IF(AR31&gt;AR$136, AR31-AR$136,"")</f>
        <v/>
      </c>
      <c r="BV31" s="1" t="str">
        <f>IF(AS31&gt;AS$136, AS31-AS$136,"")</f>
        <v/>
      </c>
      <c r="BW31" s="1" t="str">
        <f>IF(AT31&gt;AT$136, AT31-AT$136,"")</f>
        <v/>
      </c>
      <c r="BX31" s="1" t="str">
        <f>IF(AU31&gt;AU$136, AU31-AU$136,"")</f>
        <v/>
      </c>
      <c r="BY31" s="1" t="str">
        <f>IF(AV31&gt;AV$136, AV31-AV$136,"")</f>
        <v/>
      </c>
      <c r="BZ31" s="1" t="str">
        <f>IF(AW31&gt;AW$136, AW31-AW$136,"")</f>
        <v/>
      </c>
      <c r="CA31" s="1" t="str">
        <f>IF(AX31&gt;AX$136, AX31-AX$136,"")</f>
        <v/>
      </c>
      <c r="CB31" s="1" t="str">
        <f>IF(AY31&gt;AY$136, AY31-AY$136,"")</f>
        <v/>
      </c>
      <c r="CC31" s="1" t="str">
        <f>IF(AZ31&gt;AZ$136, AZ31-AZ$136,"")</f>
        <v/>
      </c>
      <c r="CD31" s="1" t="str">
        <f>IF(BA31&gt;BA$136, BA31-BA$136,"")</f>
        <v/>
      </c>
      <c r="CE31" s="1" t="str">
        <f>IF(BB31&gt;BB$136, BB31-BB$136,"")</f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18">
        <f>SUM(AE31:BO31)</f>
        <v>15</v>
      </c>
    </row>
    <row r="32" spans="1:97" x14ac:dyDescent="0.15">
      <c r="A32" s="1">
        <v>98</v>
      </c>
      <c r="B32" s="3" t="s">
        <v>172</v>
      </c>
      <c r="C32" s="3" t="s">
        <v>69</v>
      </c>
      <c r="D32" s="1" t="s">
        <v>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1">
        <v>50</v>
      </c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50</v>
      </c>
      <c r="BQ32" s="1">
        <v>42</v>
      </c>
      <c r="BR32" s="17">
        <v>1</v>
      </c>
      <c r="BS32" s="17" t="s">
        <v>221</v>
      </c>
      <c r="BT32" s="1" t="str">
        <f>IF(AQ32&gt;AQ$136, AQ32-AQ$136,"")</f>
        <v/>
      </c>
      <c r="BU32" s="1" t="str">
        <f>IF(AR32&gt;AR$136, AR32-AR$136,"")</f>
        <v/>
      </c>
      <c r="BV32" s="1" t="str">
        <f>IF(AS32&gt;AS$136, AS32-AS$136,"")</f>
        <v/>
      </c>
      <c r="BW32" s="1" t="str">
        <f>IF(AT32&gt;AT$136, AT32-AT$136,"")</f>
        <v/>
      </c>
      <c r="BX32" s="1" t="str">
        <f>IF(AU32&gt;AU$136, AU32-AU$136,"")</f>
        <v/>
      </c>
      <c r="BY32" s="1" t="str">
        <f>IF(AV32&gt;AV$136, AV32-AV$136,"")</f>
        <v/>
      </c>
      <c r="BZ32" s="1" t="str">
        <f>IF(AW32&gt;AW$136, AW32-AW$136,"")</f>
        <v/>
      </c>
      <c r="CA32" s="1" t="str">
        <f>IF(AX32&gt;AX$136, AX32-AX$136,"")</f>
        <v/>
      </c>
      <c r="CB32" s="1" t="str">
        <f>IF(AY32&gt;AY$136, AY32-AY$136,"")</f>
        <v/>
      </c>
      <c r="CC32" s="1" t="str">
        <f>IF(AZ32&gt;AZ$136, AZ32-AZ$136,"")</f>
        <v/>
      </c>
      <c r="CD32" s="1" t="str">
        <f>IF(BA32&gt;BA$136, BA32-BA$136,"")</f>
        <v/>
      </c>
      <c r="CE32" s="1" t="str">
        <f>IF(BB32&gt;BB$136, BB32-BB$136,"")</f>
        <v/>
      </c>
      <c r="CF32" s="1">
        <f>COUNTIF(BT32:CE32, "&gt;0")</f>
        <v>0</v>
      </c>
      <c r="CG32" s="1" t="str">
        <f>IF($CF32=1,BT32,"")</f>
        <v/>
      </c>
      <c r="CH32" s="1" t="str">
        <f>IF($CF32=1,BU32,"")</f>
        <v/>
      </c>
      <c r="CI32" s="1" t="str">
        <f>IF($CF32=1,BV32,"")</f>
        <v/>
      </c>
      <c r="CJ32" s="1" t="str">
        <f>IF($CF32=1,BW32,"")</f>
        <v/>
      </c>
      <c r="CK32" s="1" t="str">
        <f>IF($CF32=1,BX32,"")</f>
        <v/>
      </c>
      <c r="CL32" s="1" t="str">
        <f>IF($CF32=1,BY32,"")</f>
        <v/>
      </c>
      <c r="CM32" s="1" t="str">
        <f>IF($CF32=1,BZ32,"")</f>
        <v/>
      </c>
      <c r="CN32" s="1" t="str">
        <f>IF($CF32=1,CA32,"")</f>
        <v/>
      </c>
      <c r="CO32" s="1" t="str">
        <f>IF($CF32=1,CB32,"")</f>
        <v/>
      </c>
      <c r="CP32" s="1" t="str">
        <f>IF($CF32=1,CC32,"")</f>
        <v/>
      </c>
      <c r="CQ32" s="1" t="str">
        <f>IF($CF32=1,CD32,"")</f>
        <v/>
      </c>
      <c r="CR32" s="1" t="str">
        <f>IF($CF32=1,CE32,"")</f>
        <v/>
      </c>
      <c r="CS32" s="18">
        <f>SUM(AE32:BO32)</f>
        <v>50</v>
      </c>
    </row>
    <row r="33" spans="1:97" x14ac:dyDescent="0.15">
      <c r="A33" s="1">
        <v>99</v>
      </c>
      <c r="B33" s="3" t="s">
        <v>172</v>
      </c>
      <c r="C33" s="3" t="s">
        <v>69</v>
      </c>
      <c r="D33" s="1" t="s">
        <v>13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1">
        <v>200</v>
      </c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200</v>
      </c>
      <c r="BQ33" s="1">
        <v>192</v>
      </c>
      <c r="BR33" s="17">
        <v>1</v>
      </c>
      <c r="BS33" s="17" t="s">
        <v>222</v>
      </c>
      <c r="BT33" s="1" t="str">
        <f>IF(AQ33&gt;AQ$136, AQ33-AQ$136,"")</f>
        <v/>
      </c>
      <c r="BU33" s="1" t="str">
        <f>IF(AR33&gt;AR$136, AR33-AR$136,"")</f>
        <v/>
      </c>
      <c r="BV33" s="1" t="str">
        <f>IF(AS33&gt;AS$136, AS33-AS$136,"")</f>
        <v/>
      </c>
      <c r="BW33" s="1" t="str">
        <f>IF(AT33&gt;AT$136, AT33-AT$136,"")</f>
        <v/>
      </c>
      <c r="BX33" s="1" t="str">
        <f>IF(AU33&gt;AU$136, AU33-AU$136,"")</f>
        <v/>
      </c>
      <c r="BY33" s="1" t="str">
        <f>IF(AV33&gt;AV$136, AV33-AV$136,"")</f>
        <v/>
      </c>
      <c r="BZ33" s="1" t="str">
        <f>IF(AW33&gt;AW$136, AW33-AW$136,"")</f>
        <v/>
      </c>
      <c r="CA33" s="1" t="str">
        <f>IF(AX33&gt;AX$136, AX33-AX$136,"")</f>
        <v/>
      </c>
      <c r="CB33" s="1" t="str">
        <f>IF(AY33&gt;AY$136, AY33-AY$136,"")</f>
        <v/>
      </c>
      <c r="CC33" s="1" t="str">
        <f>IF(AZ33&gt;AZ$136, AZ33-AZ$136,"")</f>
        <v/>
      </c>
      <c r="CD33" s="1" t="str">
        <f>IF(BA33&gt;BA$136, BA33-BA$136,"")</f>
        <v/>
      </c>
      <c r="CE33" s="1" t="str">
        <f>IF(BB33&gt;BB$136, BB33-BB$136,"")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18">
        <f>SUM(AE33:BO33)</f>
        <v>200</v>
      </c>
    </row>
    <row r="34" spans="1:97" ht="27" x14ac:dyDescent="0.15">
      <c r="A34" s="1"/>
      <c r="B34" s="1" t="s">
        <v>200</v>
      </c>
      <c r="C34" s="1" t="s">
        <v>201</v>
      </c>
      <c r="D34" s="1" t="s">
        <v>108</v>
      </c>
      <c r="E34" s="6"/>
      <c r="F34" s="6"/>
      <c r="G34" s="6"/>
      <c r="H34" s="6"/>
      <c r="I34" s="6"/>
      <c r="J34" s="6">
        <v>4</v>
      </c>
      <c r="K34" s="6"/>
      <c r="L34" s="6"/>
      <c r="M34" s="6">
        <v>4</v>
      </c>
      <c r="N34" s="6"/>
      <c r="O34" s="6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>
        <v>5</v>
      </c>
      <c r="AS34" s="4"/>
      <c r="AT34" s="4"/>
      <c r="AU34" s="4"/>
      <c r="AV34" s="4"/>
      <c r="AW34" s="2"/>
      <c r="AX34" s="2"/>
      <c r="AY34" s="2"/>
      <c r="AZ34" s="2">
        <v>5</v>
      </c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v>2</v>
      </c>
      <c r="BR34" s="17">
        <v>2</v>
      </c>
      <c r="BS34" s="17" t="s">
        <v>224</v>
      </c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ht="27" x14ac:dyDescent="0.15">
      <c r="A35" s="1"/>
      <c r="B35" s="1" t="s">
        <v>173</v>
      </c>
      <c r="C35" s="1" t="s">
        <v>153</v>
      </c>
      <c r="D35" s="1" t="s">
        <v>126</v>
      </c>
      <c r="E35" s="6"/>
      <c r="F35" s="6"/>
      <c r="G35" s="6"/>
      <c r="H35" s="6"/>
      <c r="I35" s="6"/>
      <c r="J35" s="6"/>
      <c r="K35" s="6"/>
      <c r="L35" s="6">
        <v>6</v>
      </c>
      <c r="M35" s="6"/>
      <c r="N35" s="6"/>
      <c r="O35" s="6">
        <v>6</v>
      </c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>
        <v>10</v>
      </c>
      <c r="BB35" s="2">
        <v>10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32</v>
      </c>
      <c r="BQ35" s="1">
        <v>5</v>
      </c>
      <c r="BR35" s="17">
        <v>2</v>
      </c>
      <c r="BS35" s="17" t="s">
        <v>228</v>
      </c>
      <c r="BT35" s="1" t="str">
        <f>IF(AQ35&gt;AQ$136, AQ35-AQ$136,"")</f>
        <v/>
      </c>
      <c r="BU35" s="1" t="str">
        <f>IF(AR35&gt;AR$136, AR35-AR$136,"")</f>
        <v/>
      </c>
      <c r="BV35" s="1" t="str">
        <f>IF(AS35&gt;AS$136, AS35-AS$136,"")</f>
        <v/>
      </c>
      <c r="BW35" s="1" t="str">
        <f>IF(AT35&gt;AT$136, AT35-AT$136,"")</f>
        <v/>
      </c>
      <c r="BX35" s="1" t="str">
        <f>IF(AU35&gt;AU$136, AU35-AU$136,"")</f>
        <v/>
      </c>
      <c r="BY35" s="1" t="str">
        <f>IF(AV35&gt;AV$136, AV35-AV$136,"")</f>
        <v/>
      </c>
      <c r="BZ35" s="1" t="str">
        <f>IF(AW35&gt;AW$136, AW35-AW$136,"")</f>
        <v/>
      </c>
      <c r="CA35" s="1" t="str">
        <f>IF(AX35&gt;AX$136, AX35-AX$136,"")</f>
        <v/>
      </c>
      <c r="CB35" s="1" t="str">
        <f>IF(AY35&gt;AY$136, AY35-AY$136,"")</f>
        <v/>
      </c>
      <c r="CC35" s="1" t="str">
        <f>IF(AZ35&gt;AZ$136, AZ35-AZ$136,"")</f>
        <v/>
      </c>
      <c r="CD35" s="1">
        <f>IF(BA35&gt;BA$136, BA35-BA$136,"")</f>
        <v>3</v>
      </c>
      <c r="CE35" s="1" t="str">
        <f>IF(BB35&gt;BB$136, BB35-BB$136,"")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ht="27" x14ac:dyDescent="0.15">
      <c r="A36" s="1"/>
      <c r="B36" s="1" t="s">
        <v>117</v>
      </c>
      <c r="C36" s="1" t="s">
        <v>110</v>
      </c>
      <c r="D36" s="1" t="s">
        <v>107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>
        <v>5</v>
      </c>
      <c r="AP36" s="1">
        <v>1</v>
      </c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6</v>
      </c>
      <c r="BQ36" s="1">
        <v>6</v>
      </c>
      <c r="BR36" s="17">
        <v>2</v>
      </c>
      <c r="BS36" s="17" t="s">
        <v>223</v>
      </c>
      <c r="BT36" s="1" t="str">
        <f>IF(AQ36&gt;AQ$136, AQ36-AQ$136,"")</f>
        <v/>
      </c>
      <c r="BU36" s="1" t="str">
        <f>IF(AR36&gt;AR$136, AR36-AR$136,"")</f>
        <v/>
      </c>
      <c r="BV36" s="1" t="str">
        <f>IF(AS36&gt;AS$136, AS36-AS$136,"")</f>
        <v/>
      </c>
      <c r="BW36" s="1" t="str">
        <f>IF(AT36&gt;AT$136, AT36-AT$136,"")</f>
        <v/>
      </c>
      <c r="BX36" s="1" t="str">
        <f>IF(AU36&gt;AU$136, AU36-AU$136,"")</f>
        <v/>
      </c>
      <c r="BY36" s="1" t="str">
        <f>IF(AV36&gt;AV$136, AV36-AV$136,"")</f>
        <v/>
      </c>
      <c r="BZ36" s="1" t="str">
        <f>IF(AW36&gt;AW$136, AW36-AW$136,"")</f>
        <v/>
      </c>
      <c r="CA36" s="1" t="str">
        <f>IF(AX36&gt;AX$136, AX36-AX$136,"")</f>
        <v/>
      </c>
      <c r="CB36" s="1" t="str">
        <f>IF(AY36&gt;AY$136, AY36-AY$136,"")</f>
        <v/>
      </c>
      <c r="CC36" s="1" t="str">
        <f>IF(AZ36&gt;AZ$136, AZ36-AZ$136,"")</f>
        <v/>
      </c>
      <c r="CD36" s="1" t="str">
        <f>IF(BA36&gt;BA$136, BA36-BA$136,"")</f>
        <v/>
      </c>
      <c r="CE36" s="1" t="str">
        <f>IF(BB36&gt;BB$136, BB36-BB$136,"")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ht="27" x14ac:dyDescent="0.15">
      <c r="A37" s="1">
        <v>72</v>
      </c>
      <c r="B37" s="3" t="s">
        <v>91</v>
      </c>
      <c r="C37" s="1" t="s">
        <v>56</v>
      </c>
      <c r="D37" s="1" t="s">
        <v>13</v>
      </c>
      <c r="E37" s="6"/>
      <c r="F37" s="6"/>
      <c r="G37" s="6"/>
      <c r="H37" s="6"/>
      <c r="I37" s="6"/>
      <c r="J37" s="6"/>
      <c r="K37" s="6"/>
      <c r="L37" s="6">
        <v>6</v>
      </c>
      <c r="M37" s="6">
        <v>6</v>
      </c>
      <c r="N37" s="6"/>
      <c r="O37" s="6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>
        <v>10</v>
      </c>
      <c r="AW37" s="2"/>
      <c r="AX37" s="2"/>
      <c r="AY37" s="2"/>
      <c r="AZ37" s="2"/>
      <c r="BA37" s="2">
        <v>10</v>
      </c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32</v>
      </c>
      <c r="BQ37" s="1">
        <v>6</v>
      </c>
      <c r="BR37" s="17">
        <v>2</v>
      </c>
      <c r="BS37" s="17" t="s">
        <v>236</v>
      </c>
      <c r="BT37" s="1" t="str">
        <f>IF(AQ37&gt;AQ$136, AQ37-AQ$136,"")</f>
        <v/>
      </c>
      <c r="BU37" s="1" t="str">
        <f>IF(AR37&gt;AR$136, AR37-AR$136,"")</f>
        <v/>
      </c>
      <c r="BV37" s="1" t="str">
        <f>IF(AS37&gt;AS$136, AS37-AS$136,"")</f>
        <v/>
      </c>
      <c r="BW37" s="1" t="str">
        <f>IF(AT37&gt;AT$136, AT37-AT$136,"")</f>
        <v/>
      </c>
      <c r="BX37" s="1" t="str">
        <f>IF(AU37&gt;AU$136, AU37-AU$136,"")</f>
        <v/>
      </c>
      <c r="BY37" s="1">
        <f>IF(AV37&gt;AV$136, AV37-AV$136,"")</f>
        <v>3</v>
      </c>
      <c r="BZ37" s="1" t="str">
        <f>IF(AW37&gt;AW$136, AW37-AW$136,"")</f>
        <v/>
      </c>
      <c r="CA37" s="1" t="str">
        <f>IF(AX37&gt;AX$136, AX37-AX$136,"")</f>
        <v/>
      </c>
      <c r="CB37" s="1" t="str">
        <f>IF(AY37&gt;AY$136, AY37-AY$136,"")</f>
        <v/>
      </c>
      <c r="CC37" s="1" t="str">
        <f>IF(AZ37&gt;AZ$136, AZ37-AZ$136,"")</f>
        <v/>
      </c>
      <c r="CD37" s="1">
        <f>IF(BA37&gt;BA$136, BA37-BA$136,"")</f>
        <v>3</v>
      </c>
      <c r="CE37" s="1" t="str">
        <f>IF(BB37&gt;BB$136, BB37-BB$136,"")</f>
        <v/>
      </c>
      <c r="CF37" s="1">
        <f>COUNTIF(BT37:CE37, "&gt;0")</f>
        <v>2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18">
        <f>SUM(AE37:BO37)</f>
        <v>20</v>
      </c>
    </row>
    <row r="38" spans="1:97" ht="27" x14ac:dyDescent="0.15">
      <c r="A38" s="1"/>
      <c r="B38" s="1" t="s">
        <v>166</v>
      </c>
      <c r="C38" s="1" t="s">
        <v>31</v>
      </c>
      <c r="D38" s="1" t="s">
        <v>160</v>
      </c>
      <c r="E38" s="6">
        <v>20</v>
      </c>
      <c r="F38" s="6"/>
      <c r="G38" s="6"/>
      <c r="H38" s="6"/>
      <c r="I38" s="6">
        <v>20</v>
      </c>
      <c r="J38" s="6">
        <v>20</v>
      </c>
      <c r="K38" s="6"/>
      <c r="L38" s="6"/>
      <c r="M38" s="6"/>
      <c r="N38" s="6"/>
      <c r="O38" s="6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60</v>
      </c>
      <c r="BQ38" s="1">
        <v>7</v>
      </c>
      <c r="BR38" s="17">
        <v>2</v>
      </c>
      <c r="BS38" s="17" t="s">
        <v>216</v>
      </c>
      <c r="BT38" s="1" t="str">
        <f>IF(AQ38&gt;AQ$136, AQ38-AQ$136,"")</f>
        <v/>
      </c>
      <c r="BU38" s="1" t="str">
        <f>IF(AR38&gt;AR$136, AR38-AR$136,"")</f>
        <v/>
      </c>
      <c r="BV38" s="1" t="str">
        <f>IF(AS38&gt;AS$136, AS38-AS$136,"")</f>
        <v/>
      </c>
      <c r="BW38" s="1" t="str">
        <f>IF(AT38&gt;AT$136, AT38-AT$136,"")</f>
        <v/>
      </c>
      <c r="BX38" s="1" t="str">
        <f>IF(AU38&gt;AU$136, AU38-AU$136,"")</f>
        <v/>
      </c>
      <c r="BY38" s="1" t="str">
        <f>IF(AV38&gt;AV$136, AV38-AV$136,"")</f>
        <v/>
      </c>
      <c r="BZ38" s="1" t="str">
        <f>IF(AW38&gt;AW$136, AW38-AW$136,"")</f>
        <v/>
      </c>
      <c r="CA38" s="1" t="str">
        <f>IF(AX38&gt;AX$136, AX38-AX$136,"")</f>
        <v/>
      </c>
      <c r="CB38" s="1" t="str">
        <f>IF(AY38&gt;AY$136, AY38-AY$136,"")</f>
        <v/>
      </c>
      <c r="CC38" s="1" t="str">
        <f>IF(AZ38&gt;AZ$136, AZ38-AZ$136,"")</f>
        <v/>
      </c>
      <c r="CD38" s="1" t="str">
        <f>IF(BA38&gt;BA$136, BA38-BA$136,"")</f>
        <v/>
      </c>
      <c r="CE38" s="1" t="str">
        <f>IF(BB38&gt;BB$136, BB38-BB$136,"")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ht="27" x14ac:dyDescent="0.15">
      <c r="A39" s="1"/>
      <c r="B39" s="1" t="s">
        <v>113</v>
      </c>
      <c r="C39" s="1" t="s">
        <v>110</v>
      </c>
      <c r="D39" s="1" t="s">
        <v>114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>
        <v>3</v>
      </c>
      <c r="AP39" s="1">
        <v>5</v>
      </c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8</v>
      </c>
      <c r="BQ39" s="1">
        <v>8</v>
      </c>
      <c r="BR39" s="17">
        <v>2</v>
      </c>
      <c r="BS39" s="17" t="s">
        <v>225</v>
      </c>
      <c r="BT39" s="1" t="str">
        <f>IF(AQ39&gt;AQ$136, AQ39-AQ$136,"")</f>
        <v/>
      </c>
      <c r="BU39" s="1" t="str">
        <f>IF(AR39&gt;AR$136, AR39-AR$136,"")</f>
        <v/>
      </c>
      <c r="BV39" s="1" t="str">
        <f>IF(AS39&gt;AS$136, AS39-AS$136,"")</f>
        <v/>
      </c>
      <c r="BW39" s="1" t="str">
        <f>IF(AT39&gt;AT$136, AT39-AT$136,"")</f>
        <v/>
      </c>
      <c r="BX39" s="1" t="str">
        <f>IF(AU39&gt;AU$136, AU39-AU$136,"")</f>
        <v/>
      </c>
      <c r="BY39" s="1" t="str">
        <f>IF(AV39&gt;AV$136, AV39-AV$136,"")</f>
        <v/>
      </c>
      <c r="BZ39" s="1" t="str">
        <f>IF(AW39&gt;AW$136, AW39-AW$136,"")</f>
        <v/>
      </c>
      <c r="CA39" s="1" t="str">
        <f>IF(AX39&gt;AX$136, AX39-AX$136,"")</f>
        <v/>
      </c>
      <c r="CB39" s="1" t="str">
        <f>IF(AY39&gt;AY$136, AY39-AY$136,"")</f>
        <v/>
      </c>
      <c r="CC39" s="1" t="str">
        <f>IF(AZ39&gt;AZ$136, AZ39-AZ$136,"")</f>
        <v/>
      </c>
      <c r="CD39" s="1" t="str">
        <f>IF(BA39&gt;BA$136, BA39-BA$136,"")</f>
        <v/>
      </c>
      <c r="CE39" s="1" t="str">
        <f>IF(BB39&gt;BB$136, BB39-BB$136,"")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ht="27" x14ac:dyDescent="0.15">
      <c r="A40" s="1"/>
      <c r="B40" s="1" t="s">
        <v>135</v>
      </c>
      <c r="C40" s="1" t="s">
        <v>123</v>
      </c>
      <c r="D40" s="1" t="s">
        <v>125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1"/>
      <c r="Q40" s="31">
        <v>5</v>
      </c>
      <c r="R40" s="31">
        <v>2</v>
      </c>
      <c r="S40" s="31"/>
      <c r="T40" s="31">
        <v>5</v>
      </c>
      <c r="U40" s="31"/>
      <c r="V40" s="31"/>
      <c r="W40" s="31"/>
      <c r="X40" s="31"/>
      <c r="Y40" s="31"/>
      <c r="Z40" s="31">
        <v>5</v>
      </c>
      <c r="AA40" s="31"/>
      <c r="AB40" s="31"/>
      <c r="AC40" s="31"/>
      <c r="AD40" s="3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17</v>
      </c>
      <c r="BQ40" s="1">
        <v>8</v>
      </c>
      <c r="BR40" s="17">
        <v>2</v>
      </c>
      <c r="BS40" s="17" t="s">
        <v>226</v>
      </c>
      <c r="BT40" s="1" t="str">
        <f>IF(AQ40&gt;AQ$136, AQ40-AQ$136,"")</f>
        <v/>
      </c>
      <c r="BU40" s="1" t="str">
        <f>IF(AR40&gt;AR$136, AR40-AR$136,"")</f>
        <v/>
      </c>
      <c r="BV40" s="1" t="str">
        <f>IF(AS40&gt;AS$136, AS40-AS$136,"")</f>
        <v/>
      </c>
      <c r="BW40" s="1" t="str">
        <f>IF(AT40&gt;AT$136, AT40-AT$136,"")</f>
        <v/>
      </c>
      <c r="BX40" s="1" t="str">
        <f>IF(AU40&gt;AU$136, AU40-AU$136,"")</f>
        <v/>
      </c>
      <c r="BY40" s="1" t="str">
        <f>IF(AV40&gt;AV$136, AV40-AV$136,"")</f>
        <v/>
      </c>
      <c r="BZ40" s="1" t="str">
        <f>IF(AW40&gt;AW$136, AW40-AW$136,"")</f>
        <v/>
      </c>
      <c r="CA40" s="1" t="str">
        <f>IF(AX40&gt;AX$136, AX40-AX$136,"")</f>
        <v/>
      </c>
      <c r="CB40" s="1" t="str">
        <f>IF(AY40&gt;AY$136, AY40-AY$136,"")</f>
        <v/>
      </c>
      <c r="CC40" s="1" t="str">
        <f>IF(AZ40&gt;AZ$136, AZ40-AZ$136,"")</f>
        <v/>
      </c>
      <c r="CD40" s="1" t="str">
        <f>IF(BA40&gt;BA$136, BA40-BA$136,"")</f>
        <v/>
      </c>
      <c r="CE40" s="1" t="str">
        <f>IF(BB40&gt;BB$136, BB40-BB$136,"")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8"/>
    </row>
    <row r="41" spans="1:97" ht="27" x14ac:dyDescent="0.15">
      <c r="A41" s="1"/>
      <c r="B41" s="1" t="s">
        <v>140</v>
      </c>
      <c r="C41" s="1" t="s">
        <v>123</v>
      </c>
      <c r="D41" s="1" t="s">
        <v>125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1"/>
      <c r="Q41" s="31">
        <v>5</v>
      </c>
      <c r="R41" s="31">
        <v>2</v>
      </c>
      <c r="S41" s="31"/>
      <c r="T41" s="31">
        <v>5</v>
      </c>
      <c r="U41" s="31"/>
      <c r="V41" s="31"/>
      <c r="W41" s="31"/>
      <c r="X41" s="31"/>
      <c r="Y41" s="31"/>
      <c r="Z41" s="31">
        <v>5</v>
      </c>
      <c r="AA41" s="31"/>
      <c r="AB41" s="31"/>
      <c r="AC41" s="31"/>
      <c r="AD41" s="3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17</v>
      </c>
      <c r="BQ41" s="1">
        <v>8</v>
      </c>
      <c r="BR41" s="17">
        <v>2</v>
      </c>
      <c r="BS41" s="17" t="s">
        <v>227</v>
      </c>
      <c r="BT41" s="1" t="str">
        <f>IF(AQ41&gt;AQ$136, AQ41-AQ$136,"")</f>
        <v/>
      </c>
      <c r="BU41" s="1" t="str">
        <f>IF(AR41&gt;AR$136, AR41-AR$136,"")</f>
        <v/>
      </c>
      <c r="BV41" s="1" t="str">
        <f>IF(AS41&gt;AS$136, AS41-AS$136,"")</f>
        <v/>
      </c>
      <c r="BW41" s="1" t="str">
        <f>IF(AT41&gt;AT$136, AT41-AT$136,"")</f>
        <v/>
      </c>
      <c r="BX41" s="1" t="str">
        <f>IF(AU41&gt;AU$136, AU41-AU$136,"")</f>
        <v/>
      </c>
      <c r="BY41" s="1" t="str">
        <f>IF(AV41&gt;AV$136, AV41-AV$136,"")</f>
        <v/>
      </c>
      <c r="BZ41" s="1" t="str">
        <f>IF(AW41&gt;AW$136, AW41-AW$136,"")</f>
        <v/>
      </c>
      <c r="CA41" s="1" t="str">
        <f>IF(AX41&gt;AX$136, AX41-AX$136,"")</f>
        <v/>
      </c>
      <c r="CB41" s="1" t="str">
        <f>IF(AY41&gt;AY$136, AY41-AY$136,"")</f>
        <v/>
      </c>
      <c r="CC41" s="1" t="str">
        <f>IF(AZ41&gt;AZ$136, AZ41-AZ$136,"")</f>
        <v/>
      </c>
      <c r="CD41" s="1" t="str">
        <f>IF(BA41&gt;BA$136, BA41-BA$136,"")</f>
        <v/>
      </c>
      <c r="CE41" s="1" t="str">
        <f>IF(BB41&gt;BB$136, BB41-BB$136,"")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8"/>
    </row>
    <row r="42" spans="1:97" ht="27" x14ac:dyDescent="0.15">
      <c r="A42" s="1"/>
      <c r="B42" s="1" t="s">
        <v>148</v>
      </c>
      <c r="C42" s="1" t="s">
        <v>146</v>
      </c>
      <c r="D42" s="1" t="s">
        <v>125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31"/>
      <c r="Q42" s="31">
        <v>5</v>
      </c>
      <c r="R42" s="31">
        <v>2</v>
      </c>
      <c r="S42" s="31"/>
      <c r="T42" s="31">
        <v>5</v>
      </c>
      <c r="U42" s="31"/>
      <c r="V42" s="31"/>
      <c r="W42" s="31"/>
      <c r="X42" s="31"/>
      <c r="Y42" s="31"/>
      <c r="Z42" s="31">
        <v>5</v>
      </c>
      <c r="AA42" s="31"/>
      <c r="AB42" s="31"/>
      <c r="AC42" s="31"/>
      <c r="AD42" s="3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17</v>
      </c>
      <c r="BQ42" s="1">
        <v>8</v>
      </c>
      <c r="BR42" s="17">
        <v>2</v>
      </c>
      <c r="BS42" s="17" t="s">
        <v>226</v>
      </c>
      <c r="BT42" s="1" t="str">
        <f>IF(AQ42&gt;AQ$136, AQ42-AQ$136,"")</f>
        <v/>
      </c>
      <c r="BU42" s="1" t="str">
        <f>IF(AR42&gt;AR$136, AR42-AR$136,"")</f>
        <v/>
      </c>
      <c r="BV42" s="1" t="str">
        <f>IF(AS42&gt;AS$136, AS42-AS$136,"")</f>
        <v/>
      </c>
      <c r="BW42" s="1" t="str">
        <f>IF(AT42&gt;AT$136, AT42-AT$136,"")</f>
        <v/>
      </c>
      <c r="BX42" s="1" t="str">
        <f>IF(AU42&gt;AU$136, AU42-AU$136,"")</f>
        <v/>
      </c>
      <c r="BY42" s="1" t="str">
        <f>IF(AV42&gt;AV$136, AV42-AV$136,"")</f>
        <v/>
      </c>
      <c r="BZ42" s="1" t="str">
        <f>IF(AW42&gt;AW$136, AW42-AW$136,"")</f>
        <v/>
      </c>
      <c r="CA42" s="1" t="str">
        <f>IF(AX42&gt;AX$136, AX42-AX$136,"")</f>
        <v/>
      </c>
      <c r="CB42" s="1" t="str">
        <f>IF(AY42&gt;AY$136, AY42-AY$136,"")</f>
        <v/>
      </c>
      <c r="CC42" s="1" t="str">
        <f>IF(AZ42&gt;AZ$136, AZ42-AZ$136,"")</f>
        <v/>
      </c>
      <c r="CD42" s="1" t="str">
        <f>IF(BA42&gt;BA$136, BA42-BA$136,"")</f>
        <v/>
      </c>
      <c r="CE42" s="1" t="str">
        <f>IF(BB42&gt;BB$136, BB42-BB$136,"")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8"/>
    </row>
    <row r="43" spans="1:97" ht="27" x14ac:dyDescent="0.15">
      <c r="A43" s="1"/>
      <c r="B43" s="1" t="s">
        <v>150</v>
      </c>
      <c r="C43" s="1" t="s">
        <v>151</v>
      </c>
      <c r="D43" s="1" t="s">
        <v>125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31"/>
      <c r="Q43" s="31">
        <v>5</v>
      </c>
      <c r="R43" s="31"/>
      <c r="S43" s="31"/>
      <c r="T43" s="31">
        <v>5</v>
      </c>
      <c r="U43" s="31"/>
      <c r="V43" s="31"/>
      <c r="W43" s="31"/>
      <c r="X43" s="31">
        <v>2</v>
      </c>
      <c r="Y43" s="31"/>
      <c r="Z43" s="31">
        <v>5</v>
      </c>
      <c r="AA43" s="31"/>
      <c r="AB43" s="31"/>
      <c r="AC43" s="31"/>
      <c r="AD43" s="3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17</v>
      </c>
      <c r="BQ43" s="1">
        <v>8</v>
      </c>
      <c r="BR43" s="17">
        <v>2</v>
      </c>
      <c r="BS43" s="17" t="s">
        <v>227</v>
      </c>
      <c r="BT43" s="1" t="str">
        <f>IF(AQ43&gt;AQ$136, AQ43-AQ$136,"")</f>
        <v/>
      </c>
      <c r="BU43" s="1" t="str">
        <f>IF(AR43&gt;AR$136, AR43-AR$136,"")</f>
        <v/>
      </c>
      <c r="BV43" s="1" t="str">
        <f>IF(AS43&gt;AS$136, AS43-AS$136,"")</f>
        <v/>
      </c>
      <c r="BW43" s="1" t="str">
        <f>IF(AT43&gt;AT$136, AT43-AT$136,"")</f>
        <v/>
      </c>
      <c r="BX43" s="1" t="str">
        <f>IF(AU43&gt;AU$136, AU43-AU$136,"")</f>
        <v/>
      </c>
      <c r="BY43" s="1" t="str">
        <f>IF(AV43&gt;AV$136, AV43-AV$136,"")</f>
        <v/>
      </c>
      <c r="BZ43" s="1" t="str">
        <f>IF(AW43&gt;AW$136, AW43-AW$136,"")</f>
        <v/>
      </c>
      <c r="CA43" s="1" t="str">
        <f>IF(AX43&gt;AX$136, AX43-AX$136,"")</f>
        <v/>
      </c>
      <c r="CB43" s="1" t="str">
        <f>IF(AY43&gt;AY$136, AY43-AY$136,"")</f>
        <v/>
      </c>
      <c r="CC43" s="1" t="str">
        <f>IF(AZ43&gt;AZ$136, AZ43-AZ$136,"")</f>
        <v/>
      </c>
      <c r="CD43" s="1" t="str">
        <f>IF(BA43&gt;BA$136, BA43-BA$136,"")</f>
        <v/>
      </c>
      <c r="CE43" s="1" t="str">
        <f>IF(BB43&gt;BB$136, BB43-BB$136,"")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8"/>
    </row>
    <row r="44" spans="1:97" ht="27" x14ac:dyDescent="0.15">
      <c r="A44" s="1">
        <v>84</v>
      </c>
      <c r="B44" s="3" t="s">
        <v>198</v>
      </c>
      <c r="C44" s="3" t="s">
        <v>64</v>
      </c>
      <c r="D44" s="1" t="s">
        <v>13</v>
      </c>
      <c r="E44" s="6"/>
      <c r="F44" s="6"/>
      <c r="G44" s="6">
        <v>5</v>
      </c>
      <c r="H44" s="6">
        <v>5</v>
      </c>
      <c r="I44" s="6"/>
      <c r="J44" s="6"/>
      <c r="K44" s="6"/>
      <c r="L44" s="6"/>
      <c r="M44" s="6"/>
      <c r="N44" s="6"/>
      <c r="O44" s="6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>
        <v>5</v>
      </c>
      <c r="BB44" s="2">
        <v>5</v>
      </c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20</v>
      </c>
      <c r="BQ44" s="1">
        <v>8</v>
      </c>
      <c r="BR44" s="17">
        <v>2</v>
      </c>
      <c r="BS44" s="17" t="s">
        <v>229</v>
      </c>
      <c r="BT44" s="1" t="str">
        <f>IF(AQ44&gt;AQ$136, AQ44-AQ$136,"")</f>
        <v/>
      </c>
      <c r="BU44" s="1" t="str">
        <f>IF(AR44&gt;AR$136, AR44-AR$136,"")</f>
        <v/>
      </c>
      <c r="BV44" s="1" t="str">
        <f>IF(AS44&gt;AS$136, AS44-AS$136,"")</f>
        <v/>
      </c>
      <c r="BW44" s="1" t="str">
        <f>IF(AT44&gt;AT$136, AT44-AT$136,"")</f>
        <v/>
      </c>
      <c r="BX44" s="1" t="str">
        <f>IF(AU44&gt;AU$136, AU44-AU$136,"")</f>
        <v/>
      </c>
      <c r="BY44" s="1" t="str">
        <f>IF(AV44&gt;AV$136, AV44-AV$136,"")</f>
        <v/>
      </c>
      <c r="BZ44" s="1" t="str">
        <f>IF(AW44&gt;AW$136, AW44-AW$136,"")</f>
        <v/>
      </c>
      <c r="CA44" s="1" t="str">
        <f>IF(AX44&gt;AX$136, AX44-AX$136,"")</f>
        <v/>
      </c>
      <c r="CB44" s="1" t="str">
        <f>IF(AY44&gt;AY$136, AY44-AY$136,"")</f>
        <v/>
      </c>
      <c r="CC44" s="1" t="str">
        <f>IF(AZ44&gt;AZ$136, AZ44-AZ$136,"")</f>
        <v/>
      </c>
      <c r="CD44" s="1" t="str">
        <f>IF(BA44&gt;BA$136, BA44-BA$136,"")</f>
        <v/>
      </c>
      <c r="CE44" s="1" t="str">
        <f>IF(BB44&gt;BB$136, BB44-BB$136,"")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18">
        <f>SUM(AE44:BO44)</f>
        <v>10</v>
      </c>
    </row>
    <row r="45" spans="1:97" ht="27" x14ac:dyDescent="0.15">
      <c r="A45" s="1">
        <v>82</v>
      </c>
      <c r="B45" s="3" t="s">
        <v>68</v>
      </c>
      <c r="C45" s="3" t="s">
        <v>64</v>
      </c>
      <c r="D45" s="1" t="s">
        <v>13</v>
      </c>
      <c r="E45" s="6"/>
      <c r="F45" s="6"/>
      <c r="G45" s="6"/>
      <c r="H45" s="6"/>
      <c r="I45" s="6"/>
      <c r="J45" s="6"/>
      <c r="K45" s="6"/>
      <c r="L45" s="6">
        <v>6</v>
      </c>
      <c r="M45" s="6"/>
      <c r="N45" s="6">
        <v>6</v>
      </c>
      <c r="O45" s="6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>
        <v>10</v>
      </c>
      <c r="AU45" s="4"/>
      <c r="AV45" s="4"/>
      <c r="AW45" s="2"/>
      <c r="AX45" s="2"/>
      <c r="AY45" s="2"/>
      <c r="AZ45" s="2">
        <v>10</v>
      </c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32</v>
      </c>
      <c r="BQ45" s="1">
        <v>8</v>
      </c>
      <c r="BR45" s="17">
        <v>2</v>
      </c>
      <c r="BS45" s="17" t="s">
        <v>234</v>
      </c>
      <c r="BT45" s="1" t="str">
        <f>IF(AQ45&gt;AQ$136, AQ45-AQ$136,"")</f>
        <v/>
      </c>
      <c r="BU45" s="1" t="str">
        <f>IF(AR45&gt;AR$136, AR45-AR$136,"")</f>
        <v/>
      </c>
      <c r="BV45" s="1" t="str">
        <f>IF(AS45&gt;AS$136, AS45-AS$136,"")</f>
        <v/>
      </c>
      <c r="BW45" s="1">
        <f>IF(AT45&gt;AT$136, AT45-AT$136,"")</f>
        <v>2</v>
      </c>
      <c r="BX45" s="1" t="str">
        <f>IF(AU45&gt;AU$136, AU45-AU$136,"")</f>
        <v/>
      </c>
      <c r="BY45" s="1" t="str">
        <f>IF(AV45&gt;AV$136, AV45-AV$136,"")</f>
        <v/>
      </c>
      <c r="BZ45" s="1" t="str">
        <f>IF(AW45&gt;AW$136, AW45-AW$136,"")</f>
        <v/>
      </c>
      <c r="CA45" s="1" t="str">
        <f>IF(AX45&gt;AX$136, AX45-AX$136,"")</f>
        <v/>
      </c>
      <c r="CB45" s="1" t="str">
        <f>IF(AY45&gt;AY$136, AY45-AY$136,"")</f>
        <v/>
      </c>
      <c r="CC45" s="1">
        <f>IF(AZ45&gt;AZ$136, AZ45-AZ$136,"")</f>
        <v>6</v>
      </c>
      <c r="CD45" s="1" t="str">
        <f>IF(BA45&gt;BA$136, BA45-BA$136,"")</f>
        <v/>
      </c>
      <c r="CE45" s="1" t="str">
        <f>IF(BB45&gt;BB$136, BB45-BB$136,"")</f>
        <v/>
      </c>
      <c r="CF45" s="1">
        <f>COUNTIF(BT45:CE45, "&gt;0")</f>
        <v>2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18">
        <f>SUM(AE45:BO45)</f>
        <v>20</v>
      </c>
    </row>
    <row r="46" spans="1:97" ht="27" x14ac:dyDescent="0.15">
      <c r="A46" s="1">
        <v>68</v>
      </c>
      <c r="B46" s="3" t="s">
        <v>103</v>
      </c>
      <c r="C46" s="1" t="s">
        <v>56</v>
      </c>
      <c r="D46" s="1" t="s">
        <v>13</v>
      </c>
      <c r="E46" s="6"/>
      <c r="F46" s="6">
        <v>6</v>
      </c>
      <c r="G46" s="6"/>
      <c r="H46" s="6"/>
      <c r="I46" s="6"/>
      <c r="J46" s="6"/>
      <c r="K46" s="6"/>
      <c r="L46" s="6"/>
      <c r="M46" s="6"/>
      <c r="N46" s="6">
        <v>6</v>
      </c>
      <c r="O46" s="6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>
        <v>10</v>
      </c>
      <c r="AW46" s="2"/>
      <c r="AX46" s="2"/>
      <c r="AY46" s="2"/>
      <c r="AZ46" s="2"/>
      <c r="BA46" s="2"/>
      <c r="BB46" s="2">
        <v>10</v>
      </c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32</v>
      </c>
      <c r="BQ46" s="1">
        <v>8</v>
      </c>
      <c r="BR46" s="17">
        <v>2</v>
      </c>
      <c r="BS46" s="17" t="s">
        <v>235</v>
      </c>
      <c r="BT46" s="1" t="str">
        <f>IF(AQ46&gt;AQ$136, AQ46-AQ$136,"")</f>
        <v/>
      </c>
      <c r="BU46" s="1" t="str">
        <f>IF(AR46&gt;AR$136, AR46-AR$136,"")</f>
        <v/>
      </c>
      <c r="BV46" s="1" t="str">
        <f>IF(AS46&gt;AS$136, AS46-AS$136,"")</f>
        <v/>
      </c>
      <c r="BW46" s="1" t="str">
        <f>IF(AT46&gt;AT$136, AT46-AT$136,"")</f>
        <v/>
      </c>
      <c r="BX46" s="1" t="str">
        <f>IF(AU46&gt;AU$136, AU46-AU$136,"")</f>
        <v/>
      </c>
      <c r="BY46" s="1">
        <f>IF(AV46&gt;AV$136, AV46-AV$136,"")</f>
        <v>3</v>
      </c>
      <c r="BZ46" s="1" t="str">
        <f>IF(AW46&gt;AW$136, AW46-AW$136,"")</f>
        <v/>
      </c>
      <c r="CA46" s="1" t="str">
        <f>IF(AX46&gt;AX$136, AX46-AX$136,"")</f>
        <v/>
      </c>
      <c r="CB46" s="1" t="str">
        <f>IF(AY46&gt;AY$136, AY46-AY$136,"")</f>
        <v/>
      </c>
      <c r="CC46" s="1" t="str">
        <f>IF(AZ46&gt;AZ$136, AZ46-AZ$136,"")</f>
        <v/>
      </c>
      <c r="CD46" s="1" t="str">
        <f>IF(BA46&gt;BA$136, BA46-BA$136,"")</f>
        <v/>
      </c>
      <c r="CE46" s="1" t="str">
        <f>IF(BB46&gt;BB$136, BB46-BB$136,"")</f>
        <v/>
      </c>
      <c r="CF46" s="1">
        <f>COUNTIF(BT46:CE46, "&gt;0")</f>
        <v>1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>
        <f>IF($CF46=1,BY46,"")</f>
        <v>3</v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18">
        <f>SUM(AE46:BO46)</f>
        <v>20</v>
      </c>
    </row>
    <row r="47" spans="1:97" ht="27" x14ac:dyDescent="0.15">
      <c r="A47" s="1">
        <v>20</v>
      </c>
      <c r="B47" s="1" t="s">
        <v>37</v>
      </c>
      <c r="C47" s="1" t="s">
        <v>31</v>
      </c>
      <c r="D47" s="1" t="s">
        <v>25</v>
      </c>
      <c r="E47" s="6"/>
      <c r="F47" s="6">
        <v>5</v>
      </c>
      <c r="G47" s="6"/>
      <c r="H47" s="6"/>
      <c r="I47" s="6"/>
      <c r="J47" s="6"/>
      <c r="K47" s="6"/>
      <c r="L47" s="6"/>
      <c r="M47" s="6"/>
      <c r="N47" s="6"/>
      <c r="O47" s="6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1"/>
      <c r="AF47" s="1"/>
      <c r="AG47" s="1">
        <v>5</v>
      </c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10</v>
      </c>
      <c r="BQ47" s="1">
        <v>9</v>
      </c>
      <c r="BR47" s="17">
        <v>2</v>
      </c>
      <c r="BS47" s="17" t="s">
        <v>230</v>
      </c>
      <c r="BT47" s="1" t="str">
        <f>IF(AQ47&gt;AQ$136, AQ47-AQ$136,"")</f>
        <v/>
      </c>
      <c r="BU47" s="1" t="str">
        <f>IF(AR47&gt;AR$136, AR47-AR$136,"")</f>
        <v/>
      </c>
      <c r="BV47" s="1" t="str">
        <f>IF(AS47&gt;AS$136, AS47-AS$136,"")</f>
        <v/>
      </c>
      <c r="BW47" s="1" t="str">
        <f>IF(AT47&gt;AT$136, AT47-AT$136,"")</f>
        <v/>
      </c>
      <c r="BX47" s="1" t="str">
        <f>IF(AU47&gt;AU$136, AU47-AU$136,"")</f>
        <v/>
      </c>
      <c r="BY47" s="1" t="str">
        <f>IF(AV47&gt;AV$136, AV47-AV$136,"")</f>
        <v/>
      </c>
      <c r="BZ47" s="1" t="str">
        <f>IF(AW47&gt;AW$136, AW47-AW$136,"")</f>
        <v/>
      </c>
      <c r="CA47" s="1" t="str">
        <f>IF(AX47&gt;AX$136, AX47-AX$136,"")</f>
        <v/>
      </c>
      <c r="CB47" s="1" t="str">
        <f>IF(AY47&gt;AY$136, AY47-AY$136,"")</f>
        <v/>
      </c>
      <c r="CC47" s="1" t="str">
        <f>IF(AZ47&gt;AZ$136, AZ47-AZ$136,"")</f>
        <v/>
      </c>
      <c r="CD47" s="1" t="str">
        <f>IF(BA47&gt;BA$136, BA47-BA$136,"")</f>
        <v/>
      </c>
      <c r="CE47" s="1" t="str">
        <f>IF(BB47&gt;BB$136, BB47-BB$136,"")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18">
        <f>SUM(AE47:BO47)</f>
        <v>5</v>
      </c>
    </row>
    <row r="48" spans="1:97" ht="27" x14ac:dyDescent="0.15">
      <c r="A48" s="1">
        <v>69</v>
      </c>
      <c r="B48" s="3" t="s">
        <v>63</v>
      </c>
      <c r="C48" s="1" t="s">
        <v>56</v>
      </c>
      <c r="D48" s="1" t="s">
        <v>13</v>
      </c>
      <c r="E48" s="6"/>
      <c r="F48" s="6"/>
      <c r="G48" s="6"/>
      <c r="H48" s="6">
        <v>6</v>
      </c>
      <c r="I48" s="6">
        <v>6</v>
      </c>
      <c r="J48" s="6"/>
      <c r="K48" s="6"/>
      <c r="L48" s="6"/>
      <c r="M48" s="6"/>
      <c r="N48" s="6"/>
      <c r="O48" s="6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>
        <v>10</v>
      </c>
      <c r="AW48" s="2"/>
      <c r="AX48" s="2">
        <v>10</v>
      </c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32</v>
      </c>
      <c r="BQ48" s="1">
        <v>9</v>
      </c>
      <c r="BR48" s="17">
        <v>2</v>
      </c>
      <c r="BS48" s="17" t="s">
        <v>238</v>
      </c>
      <c r="BT48" s="1" t="str">
        <f>IF(AQ48&gt;AQ$136, AQ48-AQ$136,"")</f>
        <v/>
      </c>
      <c r="BU48" s="1" t="str">
        <f>IF(AR48&gt;AR$136, AR48-AR$136,"")</f>
        <v/>
      </c>
      <c r="BV48" s="1" t="str">
        <f>IF(AS48&gt;AS$136, AS48-AS$136,"")</f>
        <v/>
      </c>
      <c r="BW48" s="1" t="str">
        <f>IF(AT48&gt;AT$136, AT48-AT$136,"")</f>
        <v/>
      </c>
      <c r="BX48" s="1" t="str">
        <f>IF(AU48&gt;AU$136, AU48-AU$136,"")</f>
        <v/>
      </c>
      <c r="BY48" s="1">
        <f>IF(AV48&gt;AV$136, AV48-AV$136,"")</f>
        <v>3</v>
      </c>
      <c r="BZ48" s="1" t="str">
        <f>IF(AW48&gt;AW$136, AW48-AW$136,"")</f>
        <v/>
      </c>
      <c r="CA48" s="1" t="str">
        <f>IF(AX48&gt;AX$136, AX48-AX$136,"")</f>
        <v/>
      </c>
      <c r="CB48" s="1" t="str">
        <f>IF(AY48&gt;AY$136, AY48-AY$136,"")</f>
        <v/>
      </c>
      <c r="CC48" s="1" t="str">
        <f>IF(AZ48&gt;AZ$136, AZ48-AZ$136,"")</f>
        <v/>
      </c>
      <c r="CD48" s="1" t="str">
        <f>IF(BA48&gt;BA$136, BA48-BA$136,"")</f>
        <v/>
      </c>
      <c r="CE48" s="1" t="str">
        <f>IF(BB48&gt;BB$136, BB48-BB$136,"")</f>
        <v/>
      </c>
      <c r="CF48" s="1">
        <f>COUNTIF(BT48:CE48, "&gt;0")</f>
        <v>1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>
        <f>IF($CF48=1,BY48,"")</f>
        <v>3</v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18">
        <f>SUM(AE48:BO48)</f>
        <v>20</v>
      </c>
    </row>
    <row r="49" spans="1:97" ht="27" x14ac:dyDescent="0.15">
      <c r="A49" s="1">
        <v>41</v>
      </c>
      <c r="B49" s="1" t="s">
        <v>199</v>
      </c>
      <c r="C49" s="1" t="s">
        <v>47</v>
      </c>
      <c r="D49" s="1" t="s">
        <v>13</v>
      </c>
      <c r="E49" s="6"/>
      <c r="F49" s="6"/>
      <c r="G49" s="6"/>
      <c r="H49" s="6"/>
      <c r="I49" s="6"/>
      <c r="J49" s="6"/>
      <c r="K49" s="6"/>
      <c r="L49" s="6">
        <v>6</v>
      </c>
      <c r="M49" s="6"/>
      <c r="N49" s="6"/>
      <c r="O49" s="6">
        <v>6</v>
      </c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>
        <v>10</v>
      </c>
      <c r="AR49" s="4"/>
      <c r="AS49" s="4"/>
      <c r="AT49" s="4"/>
      <c r="AU49" s="4"/>
      <c r="AV49" s="4"/>
      <c r="AW49" s="2"/>
      <c r="AX49" s="2">
        <v>10</v>
      </c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32</v>
      </c>
      <c r="BQ49" s="1">
        <v>9</v>
      </c>
      <c r="BR49" s="17">
        <v>2</v>
      </c>
      <c r="BS49" s="17" t="s">
        <v>239</v>
      </c>
      <c r="BT49" s="1">
        <f>IF(AQ49&gt;AQ$136, AQ49-AQ$136,"")</f>
        <v>7</v>
      </c>
      <c r="BU49" s="1" t="str">
        <f>IF(AR49&gt;AR$136, AR49-AR$136,"")</f>
        <v/>
      </c>
      <c r="BV49" s="1" t="str">
        <f>IF(AS49&gt;AS$136, AS49-AS$136,"")</f>
        <v/>
      </c>
      <c r="BW49" s="1" t="str">
        <f>IF(AT49&gt;AT$136, AT49-AT$136,"")</f>
        <v/>
      </c>
      <c r="BX49" s="1" t="str">
        <f>IF(AU49&gt;AU$136, AU49-AU$136,"")</f>
        <v/>
      </c>
      <c r="BY49" s="1" t="str">
        <f>IF(AV49&gt;AV$136, AV49-AV$136,"")</f>
        <v/>
      </c>
      <c r="BZ49" s="1" t="str">
        <f>IF(AW49&gt;AW$136, AW49-AW$136,"")</f>
        <v/>
      </c>
      <c r="CA49" s="1" t="str">
        <f>IF(AX49&gt;AX$136, AX49-AX$136,"")</f>
        <v/>
      </c>
      <c r="CB49" s="1" t="str">
        <f>IF(AY49&gt;AY$136, AY49-AY$136,"")</f>
        <v/>
      </c>
      <c r="CC49" s="1" t="str">
        <f>IF(AZ49&gt;AZ$136, AZ49-AZ$136,"")</f>
        <v/>
      </c>
      <c r="CD49" s="1" t="str">
        <f>IF(BA49&gt;BA$136, BA49-BA$136,"")</f>
        <v/>
      </c>
      <c r="CE49" s="1" t="str">
        <f>IF(BB49&gt;BB$136, BB49-BB$136,"")</f>
        <v/>
      </c>
      <c r="CF49" s="1">
        <f>COUNTIF(BT49:CE49, "&gt;0")</f>
        <v>1</v>
      </c>
      <c r="CG49" s="1">
        <f>IF($CF49=1,BT49,"")</f>
        <v>7</v>
      </c>
      <c r="CH49" s="1" t="str">
        <f>IF($CF49=1,BU49,"")</f>
        <v/>
      </c>
      <c r="CI49" s="1" t="str">
        <f>IF($CF49=1,BV49,"")</f>
        <v/>
      </c>
      <c r="CJ49" s="1" t="str">
        <f>IF($CF49=1,BW49,"")</f>
        <v/>
      </c>
      <c r="CK49" s="1" t="str">
        <f>IF($CF49=1,BX49,"")</f>
        <v/>
      </c>
      <c r="CL49" s="1" t="str">
        <f>IF($CF49=1,BY49,"")</f>
        <v/>
      </c>
      <c r="CM49" s="1" t="str">
        <f>IF($CF49=1,BZ49,"")</f>
        <v/>
      </c>
      <c r="CN49" s="1" t="str">
        <f>IF($CF49=1,CA49,"")</f>
        <v/>
      </c>
      <c r="CO49" s="1" t="str">
        <f>IF($CF49=1,CB49,"")</f>
        <v/>
      </c>
      <c r="CP49" s="1" t="str">
        <f>IF($CF49=1,CC49,"")</f>
        <v/>
      </c>
      <c r="CQ49" s="1" t="str">
        <f>IF($CF49=1,CD49,"")</f>
        <v/>
      </c>
      <c r="CR49" s="1" t="str">
        <f>IF($CF49=1,CE49,"")</f>
        <v/>
      </c>
      <c r="CS49" s="18">
        <f>SUM(AE49:BO49)</f>
        <v>20</v>
      </c>
    </row>
    <row r="50" spans="1:97" ht="27" x14ac:dyDescent="0.15">
      <c r="A50" s="1">
        <v>101</v>
      </c>
      <c r="B50" s="3" t="s">
        <v>101</v>
      </c>
      <c r="C50" s="3" t="s">
        <v>69</v>
      </c>
      <c r="D50" s="1" t="s">
        <v>13</v>
      </c>
      <c r="E50" s="6"/>
      <c r="F50" s="6"/>
      <c r="G50" s="6"/>
      <c r="H50" s="6">
        <v>6</v>
      </c>
      <c r="I50" s="6">
        <v>6</v>
      </c>
      <c r="J50" s="6"/>
      <c r="K50" s="6"/>
      <c r="L50" s="6"/>
      <c r="M50" s="6"/>
      <c r="N50" s="6"/>
      <c r="O50" s="6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>
        <v>8</v>
      </c>
      <c r="AV50" s="4"/>
      <c r="AW50" s="2">
        <v>8</v>
      </c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28</v>
      </c>
      <c r="BQ50" s="1">
        <v>10</v>
      </c>
      <c r="BR50" s="17">
        <v>2</v>
      </c>
      <c r="BS50" s="17" t="s">
        <v>231</v>
      </c>
      <c r="BT50" s="1" t="str">
        <f>IF(AQ50&gt;AQ$136, AQ50-AQ$136,"")</f>
        <v/>
      </c>
      <c r="BU50" s="1" t="str">
        <f>IF(AR50&gt;AR$136, AR50-AR$136,"")</f>
        <v/>
      </c>
      <c r="BV50" s="1" t="str">
        <f>IF(AS50&gt;AS$136, AS50-AS$136,"")</f>
        <v/>
      </c>
      <c r="BW50" s="1" t="str">
        <f>IF(AT50&gt;AT$136, AT50-AT$136,"")</f>
        <v/>
      </c>
      <c r="BX50" s="1" t="str">
        <f>IF(AU50&gt;AU$136, AU50-AU$136,"")</f>
        <v/>
      </c>
      <c r="BY50" s="1" t="str">
        <f>IF(AV50&gt;AV$136, AV50-AV$136,"")</f>
        <v/>
      </c>
      <c r="BZ50" s="1">
        <f>IF(AW50&gt;AW$136, AW50-AW$136,"")</f>
        <v>4</v>
      </c>
      <c r="CA50" s="1" t="str">
        <f>IF(AX50&gt;AX$136, AX50-AX$136,"")</f>
        <v/>
      </c>
      <c r="CB50" s="1" t="str">
        <f>IF(AY50&gt;AY$136, AY50-AY$136,"")</f>
        <v/>
      </c>
      <c r="CC50" s="1" t="str">
        <f>IF(AZ50&gt;AZ$136, AZ50-AZ$136,"")</f>
        <v/>
      </c>
      <c r="CD50" s="1" t="str">
        <f>IF(BA50&gt;BA$136, BA50-BA$136,"")</f>
        <v/>
      </c>
      <c r="CE50" s="1" t="str">
        <f>IF(BB50&gt;BB$136, BB50-BB$136,"")</f>
        <v/>
      </c>
      <c r="CF50" s="1">
        <f>COUNTIF(BT50:CE50, "&gt;0")</f>
        <v>1</v>
      </c>
      <c r="CG50" s="1" t="str">
        <f>IF($CF50=1,BT50,"")</f>
        <v/>
      </c>
      <c r="CH50" s="1" t="str">
        <f>IF($CF50=1,BU50,"")</f>
        <v/>
      </c>
      <c r="CI50" s="1" t="str">
        <f>IF($CF50=1,BV50,"")</f>
        <v/>
      </c>
      <c r="CJ50" s="1" t="str">
        <f>IF($CF50=1,BW50,"")</f>
        <v/>
      </c>
      <c r="CK50" s="1" t="str">
        <f>IF($CF50=1,BX50,"")</f>
        <v/>
      </c>
      <c r="CL50" s="1" t="str">
        <f>IF($CF50=1,BY50,"")</f>
        <v/>
      </c>
      <c r="CM50" s="1">
        <f>IF($CF50=1,BZ50,"")</f>
        <v>4</v>
      </c>
      <c r="CN50" s="1" t="str">
        <f>IF($CF50=1,CA50,"")</f>
        <v/>
      </c>
      <c r="CO50" s="1" t="str">
        <f>IF($CF50=1,CB50,"")</f>
        <v/>
      </c>
      <c r="CP50" s="1" t="str">
        <f>IF($CF50=1,CC50,"")</f>
        <v/>
      </c>
      <c r="CQ50" s="1" t="str">
        <f>IF($CF50=1,CD50,"")</f>
        <v/>
      </c>
      <c r="CR50" s="1" t="str">
        <f>IF($CF50=1,CE50,"")</f>
        <v/>
      </c>
      <c r="CS50" s="18">
        <f>SUM(AE50:BO50)</f>
        <v>16</v>
      </c>
    </row>
    <row r="51" spans="1:97" ht="27" x14ac:dyDescent="0.15">
      <c r="A51" s="1">
        <v>27</v>
      </c>
      <c r="B51" s="1" t="s">
        <v>74</v>
      </c>
      <c r="C51" s="1" t="s">
        <v>31</v>
      </c>
      <c r="D51" s="1" t="s">
        <v>24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1"/>
      <c r="AF51" s="1"/>
      <c r="AG51" s="1"/>
      <c r="AH51" s="1">
        <v>5</v>
      </c>
      <c r="AI51" s="1">
        <v>5</v>
      </c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10</v>
      </c>
      <c r="BQ51" s="1">
        <v>10</v>
      </c>
      <c r="BR51" s="17">
        <v>2</v>
      </c>
      <c r="BS51" s="17" t="s">
        <v>232</v>
      </c>
      <c r="BT51" s="1" t="str">
        <f>IF(AQ51&gt;AQ$136, AQ51-AQ$136,"")</f>
        <v/>
      </c>
      <c r="BU51" s="1" t="str">
        <f>IF(AR51&gt;AR$136, AR51-AR$136,"")</f>
        <v/>
      </c>
      <c r="BV51" s="1" t="str">
        <f>IF(AS51&gt;AS$136, AS51-AS$136,"")</f>
        <v/>
      </c>
      <c r="BW51" s="1" t="str">
        <f>IF(AT51&gt;AT$136, AT51-AT$136,"")</f>
        <v/>
      </c>
      <c r="BX51" s="1" t="str">
        <f>IF(AU51&gt;AU$136, AU51-AU$136,"")</f>
        <v/>
      </c>
      <c r="BY51" s="1" t="str">
        <f>IF(AV51&gt;AV$136, AV51-AV$136,"")</f>
        <v/>
      </c>
      <c r="BZ51" s="1" t="str">
        <f>IF(AW51&gt;AW$136, AW51-AW$136,"")</f>
        <v/>
      </c>
      <c r="CA51" s="1" t="str">
        <f>IF(AX51&gt;AX$136, AX51-AX$136,"")</f>
        <v/>
      </c>
      <c r="CB51" s="1" t="str">
        <f>IF(AY51&gt;AY$136, AY51-AY$136,"")</f>
        <v/>
      </c>
      <c r="CC51" s="1" t="str">
        <f>IF(AZ51&gt;AZ$136, AZ51-AZ$136,"")</f>
        <v/>
      </c>
      <c r="CD51" s="1" t="str">
        <f>IF(BA51&gt;BA$136, BA51-BA$136,"")</f>
        <v/>
      </c>
      <c r="CE51" s="1" t="str">
        <f>IF(BB51&gt;BB$136, BB51-BB$136,"")</f>
        <v/>
      </c>
      <c r="CF51" s="1">
        <f>COUNTIF(BT51:CE51, "&gt;0")</f>
        <v>0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18">
        <f>SUM(AE51:BO51)</f>
        <v>10</v>
      </c>
    </row>
    <row r="52" spans="1:97" ht="27" x14ac:dyDescent="0.15">
      <c r="A52" s="1">
        <v>88</v>
      </c>
      <c r="B52" s="3" t="s">
        <v>79</v>
      </c>
      <c r="C52" s="3" t="s">
        <v>80</v>
      </c>
      <c r="D52" s="1" t="s">
        <v>24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1"/>
      <c r="AF52" s="1"/>
      <c r="AG52" s="1"/>
      <c r="AH52" s="1">
        <v>5</v>
      </c>
      <c r="AI52" s="1">
        <v>5</v>
      </c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10</v>
      </c>
      <c r="BQ52" s="1">
        <v>10</v>
      </c>
      <c r="BR52" s="17">
        <v>2</v>
      </c>
      <c r="BS52" s="17" t="s">
        <v>233</v>
      </c>
      <c r="BT52" s="1" t="str">
        <f>IF(AQ52&gt;AQ$136, AQ52-AQ$136,"")</f>
        <v/>
      </c>
      <c r="BU52" s="1" t="str">
        <f>IF(AR52&gt;AR$136, AR52-AR$136,"")</f>
        <v/>
      </c>
      <c r="BV52" s="1" t="str">
        <f>IF(AS52&gt;AS$136, AS52-AS$136,"")</f>
        <v/>
      </c>
      <c r="BW52" s="1" t="str">
        <f>IF(AT52&gt;AT$136, AT52-AT$136,"")</f>
        <v/>
      </c>
      <c r="BX52" s="1" t="str">
        <f>IF(AU52&gt;AU$136, AU52-AU$136,"")</f>
        <v/>
      </c>
      <c r="BY52" s="1" t="str">
        <f>IF(AV52&gt;AV$136, AV52-AV$136,"")</f>
        <v/>
      </c>
      <c r="BZ52" s="1" t="str">
        <f>IF(AW52&gt;AW$136, AW52-AW$136,"")</f>
        <v/>
      </c>
      <c r="CA52" s="1" t="str">
        <f>IF(AX52&gt;AX$136, AX52-AX$136,"")</f>
        <v/>
      </c>
      <c r="CB52" s="1" t="str">
        <f>IF(AY52&gt;AY$136, AY52-AY$136,"")</f>
        <v/>
      </c>
      <c r="CC52" s="1" t="str">
        <f>IF(AZ52&gt;AZ$136, AZ52-AZ$136,"")</f>
        <v/>
      </c>
      <c r="CD52" s="1" t="str">
        <f>IF(BA52&gt;BA$136, BA52-BA$136,"")</f>
        <v/>
      </c>
      <c r="CE52" s="1" t="str">
        <f>IF(BB52&gt;BB$136, BB52-BB$136,"")</f>
        <v/>
      </c>
      <c r="CF52" s="1">
        <f>COUNTIF(BT52:CE52, "&gt;0")</f>
        <v>0</v>
      </c>
      <c r="CG52" s="1" t="str">
        <f>IF($CF52=1,BT52,"")</f>
        <v/>
      </c>
      <c r="CH52" s="1" t="str">
        <f>IF($CF52=1,BU52,"")</f>
        <v/>
      </c>
      <c r="CI52" s="1" t="str">
        <f>IF($CF52=1,BV52,"")</f>
        <v/>
      </c>
      <c r="CJ52" s="1" t="str">
        <f>IF($CF52=1,BW52,"")</f>
        <v/>
      </c>
      <c r="CK52" s="1" t="str">
        <f>IF($CF52=1,BX52,"")</f>
        <v/>
      </c>
      <c r="CL52" s="1" t="str">
        <f>IF($CF52=1,BY52,"")</f>
        <v/>
      </c>
      <c r="CM52" s="1" t="str">
        <f>IF($CF52=1,BZ52,"")</f>
        <v/>
      </c>
      <c r="CN52" s="1" t="str">
        <f>IF($CF52=1,CA52,"")</f>
        <v/>
      </c>
      <c r="CO52" s="1" t="str">
        <f>IF($CF52=1,CB52,"")</f>
        <v/>
      </c>
      <c r="CP52" s="1" t="str">
        <f>IF($CF52=1,CC52,"")</f>
        <v/>
      </c>
      <c r="CQ52" s="1" t="str">
        <f>IF($CF52=1,CD52,"")</f>
        <v/>
      </c>
      <c r="CR52" s="1" t="str">
        <f>IF($CF52=1,CE52,"")</f>
        <v/>
      </c>
      <c r="CS52" s="18">
        <f>SUM(AE52:BO52)</f>
        <v>10</v>
      </c>
    </row>
    <row r="53" spans="1:97" ht="27" x14ac:dyDescent="0.15">
      <c r="A53" s="1"/>
      <c r="B53" s="1" t="s">
        <v>191</v>
      </c>
      <c r="C53" s="1" t="s">
        <v>121</v>
      </c>
      <c r="D53" s="1" t="s">
        <v>108</v>
      </c>
      <c r="E53" s="6"/>
      <c r="F53" s="6"/>
      <c r="G53" s="6"/>
      <c r="H53" s="6">
        <v>10</v>
      </c>
      <c r="I53" s="6"/>
      <c r="J53" s="6">
        <v>10</v>
      </c>
      <c r="K53" s="6"/>
      <c r="L53" s="6"/>
      <c r="M53" s="6"/>
      <c r="N53" s="6"/>
      <c r="O53" s="6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>
        <v>10</v>
      </c>
      <c r="AU53" s="4"/>
      <c r="AV53" s="4"/>
      <c r="AW53" s="2"/>
      <c r="AX53" s="2"/>
      <c r="AY53" s="2">
        <v>10</v>
      </c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40</v>
      </c>
      <c r="BQ53" s="1">
        <v>12</v>
      </c>
      <c r="BR53" s="17">
        <v>2</v>
      </c>
      <c r="BS53" s="17" t="s">
        <v>237</v>
      </c>
      <c r="BT53" s="1" t="str">
        <f>IF(AQ53&gt;AQ$136, AQ53-AQ$136,"")</f>
        <v/>
      </c>
      <c r="BU53" s="1" t="str">
        <f>IF(AR53&gt;AR$136, AR53-AR$136,"")</f>
        <v/>
      </c>
      <c r="BV53" s="1" t="str">
        <f>IF(AS53&gt;AS$136, AS53-AS$136,"")</f>
        <v/>
      </c>
      <c r="BW53" s="1">
        <f>IF(AT53&gt;AT$136, AT53-AT$136,"")</f>
        <v>2</v>
      </c>
      <c r="BX53" s="1" t="str">
        <f>IF(AU53&gt;AU$136, AU53-AU$136,"")</f>
        <v/>
      </c>
      <c r="BY53" s="1" t="str">
        <f>IF(AV53&gt;AV$136, AV53-AV$136,"")</f>
        <v/>
      </c>
      <c r="BZ53" s="1" t="str">
        <f>IF(AW53&gt;AW$136, AW53-AW$136,"")</f>
        <v/>
      </c>
      <c r="CA53" s="1" t="str">
        <f>IF(AX53&gt;AX$136, AX53-AX$136,"")</f>
        <v/>
      </c>
      <c r="CB53" s="1" t="str">
        <f>IF(AY53&gt;AY$136, AY53-AY$136,"")</f>
        <v/>
      </c>
      <c r="CC53" s="1" t="str">
        <f>IF(AZ53&gt;AZ$136, AZ53-AZ$136,"")</f>
        <v/>
      </c>
      <c r="CD53" s="1" t="str">
        <f>IF(BA53&gt;BA$136, BA53-BA$136,"")</f>
        <v/>
      </c>
      <c r="CE53" s="1" t="str">
        <f>IF(BB53&gt;BB$136, BB53-BB$136,"")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8"/>
    </row>
    <row r="54" spans="1:97" ht="27" x14ac:dyDescent="0.15">
      <c r="A54" s="1">
        <v>8</v>
      </c>
      <c r="B54" s="1" t="s">
        <v>174</v>
      </c>
      <c r="C54" s="1" t="s">
        <v>2</v>
      </c>
      <c r="D54" s="1" t="s">
        <v>26</v>
      </c>
      <c r="E54" s="6">
        <v>6</v>
      </c>
      <c r="F54" s="6"/>
      <c r="G54" s="6"/>
      <c r="H54" s="6">
        <v>6</v>
      </c>
      <c r="I54" s="6"/>
      <c r="J54" s="6"/>
      <c r="K54" s="6"/>
      <c r="L54" s="6"/>
      <c r="M54" s="6"/>
      <c r="N54" s="6"/>
      <c r="O54" s="6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>
        <v>10</v>
      </c>
      <c r="AS54" s="4"/>
      <c r="AT54" s="4"/>
      <c r="AU54" s="4"/>
      <c r="AV54" s="4"/>
      <c r="AW54" s="2"/>
      <c r="AX54" s="2"/>
      <c r="AY54" s="2"/>
      <c r="AZ54" s="2"/>
      <c r="BA54" s="2"/>
      <c r="BB54" s="2">
        <v>10</v>
      </c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12</v>
      </c>
      <c r="BR54" s="17">
        <v>2</v>
      </c>
      <c r="BS54" s="17" t="s">
        <v>241</v>
      </c>
      <c r="BT54" s="1" t="str">
        <f>IF(AQ54&gt;AQ$136, AQ54-AQ$136,"")</f>
        <v/>
      </c>
      <c r="BU54" s="1">
        <f>IF(AR54&gt;AR$136, AR54-AR$136,"")</f>
        <v>6</v>
      </c>
      <c r="BV54" s="1" t="str">
        <f>IF(AS54&gt;AS$136, AS54-AS$136,"")</f>
        <v/>
      </c>
      <c r="BW54" s="1" t="str">
        <f>IF(AT54&gt;AT$136, AT54-AT$136,"")</f>
        <v/>
      </c>
      <c r="BX54" s="1" t="str">
        <f>IF(AU54&gt;AU$136, AU54-AU$136,"")</f>
        <v/>
      </c>
      <c r="BY54" s="1" t="str">
        <f>IF(AV54&gt;AV$136, AV54-AV$136,"")</f>
        <v/>
      </c>
      <c r="BZ54" s="1" t="str">
        <f>IF(AW54&gt;AW$136, AW54-AW$136,"")</f>
        <v/>
      </c>
      <c r="CA54" s="1" t="str">
        <f>IF(AX54&gt;AX$136, AX54-AX$136,"")</f>
        <v/>
      </c>
      <c r="CB54" s="1" t="str">
        <f>IF(AY54&gt;AY$136, AY54-AY$136,"")</f>
        <v/>
      </c>
      <c r="CC54" s="1" t="str">
        <f>IF(AZ54&gt;AZ$136, AZ54-AZ$136,"")</f>
        <v/>
      </c>
      <c r="CD54" s="1" t="str">
        <f>IF(BA54&gt;BA$136, BA54-BA$136,"")</f>
        <v/>
      </c>
      <c r="CE54" s="1" t="str">
        <f>IF(BB54&gt;BB$136, BB54-BB$136,"")</f>
        <v/>
      </c>
      <c r="CF54" s="1">
        <f>COUNTIF(BT54:CE54, "&gt;0")</f>
        <v>1</v>
      </c>
      <c r="CG54" s="1" t="str">
        <f>IF($CF54=1,BT54,"")</f>
        <v/>
      </c>
      <c r="CH54" s="1">
        <f>IF($CF54=1,BU54,"")</f>
        <v>6</v>
      </c>
      <c r="CI54" s="1" t="str">
        <f>IF($CF54=1,BV54,"")</f>
        <v/>
      </c>
      <c r="CJ54" s="1" t="str">
        <f>IF($CF54=1,BW54,"")</f>
        <v/>
      </c>
      <c r="CK54" s="1" t="str">
        <f>IF($CF54=1,BX54,"")</f>
        <v/>
      </c>
      <c r="CL54" s="1" t="str">
        <f>IF($CF54=1,BY54,"")</f>
        <v/>
      </c>
      <c r="CM54" s="1" t="str">
        <f>IF($CF54=1,BZ54,"")</f>
        <v/>
      </c>
      <c r="CN54" s="1" t="str">
        <f>IF($CF54=1,CA54,"")</f>
        <v/>
      </c>
      <c r="CO54" s="1" t="str">
        <f>IF($CF54=1,CB54,"")</f>
        <v/>
      </c>
      <c r="CP54" s="1" t="str">
        <f>IF($CF54=1,CC54,"")</f>
        <v/>
      </c>
      <c r="CQ54" s="1" t="str">
        <f>IF($CF54=1,CD54,"")</f>
        <v/>
      </c>
      <c r="CR54" s="1" t="str">
        <f>IF($CF54=1,CE54,"")</f>
        <v/>
      </c>
      <c r="CS54" s="18">
        <f>SUM(AE54:BO54)</f>
        <v>20</v>
      </c>
    </row>
    <row r="55" spans="1:97" ht="27" x14ac:dyDescent="0.15">
      <c r="A55" s="1">
        <v>39</v>
      </c>
      <c r="B55" s="1" t="s">
        <v>50</v>
      </c>
      <c r="C55" s="1" t="s">
        <v>47</v>
      </c>
      <c r="D55" s="1" t="s">
        <v>26</v>
      </c>
      <c r="E55" s="6"/>
      <c r="F55" s="6">
        <v>6</v>
      </c>
      <c r="G55" s="6"/>
      <c r="H55" s="6"/>
      <c r="I55" s="6"/>
      <c r="J55" s="6"/>
      <c r="K55" s="6"/>
      <c r="L55" s="6">
        <v>6</v>
      </c>
      <c r="M55" s="6"/>
      <c r="N55" s="6"/>
      <c r="O55" s="6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>
        <v>10</v>
      </c>
      <c r="AR55" s="4"/>
      <c r="AS55" s="4"/>
      <c r="AT55" s="4"/>
      <c r="AU55" s="4"/>
      <c r="AV55" s="4"/>
      <c r="AW55" s="2"/>
      <c r="AX55" s="2">
        <v>10</v>
      </c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32</v>
      </c>
      <c r="BQ55" s="1">
        <v>12</v>
      </c>
      <c r="BR55" s="17">
        <v>2</v>
      </c>
      <c r="BS55" s="17" t="s">
        <v>242</v>
      </c>
      <c r="BT55" s="1">
        <f>IF(AQ55&gt;AQ$136, AQ55-AQ$136,"")</f>
        <v>7</v>
      </c>
      <c r="BU55" s="1" t="str">
        <f>IF(AR55&gt;AR$136, AR55-AR$136,"")</f>
        <v/>
      </c>
      <c r="BV55" s="1" t="str">
        <f>IF(AS55&gt;AS$136, AS55-AS$136,"")</f>
        <v/>
      </c>
      <c r="BW55" s="1" t="str">
        <f>IF(AT55&gt;AT$136, AT55-AT$136,"")</f>
        <v/>
      </c>
      <c r="BX55" s="1" t="str">
        <f>IF(AU55&gt;AU$136, AU55-AU$136,"")</f>
        <v/>
      </c>
      <c r="BY55" s="1" t="str">
        <f>IF(AV55&gt;AV$136, AV55-AV$136,"")</f>
        <v/>
      </c>
      <c r="BZ55" s="1" t="str">
        <f>IF(AW55&gt;AW$136, AW55-AW$136,"")</f>
        <v/>
      </c>
      <c r="CA55" s="1" t="str">
        <f>IF(AX55&gt;AX$136, AX55-AX$136,"")</f>
        <v/>
      </c>
      <c r="CB55" s="1" t="str">
        <f>IF(AY55&gt;AY$136, AY55-AY$136,"")</f>
        <v/>
      </c>
      <c r="CC55" s="1" t="str">
        <f>IF(AZ55&gt;AZ$136, AZ55-AZ$136,"")</f>
        <v/>
      </c>
      <c r="CD55" s="1" t="str">
        <f>IF(BA55&gt;BA$136, BA55-BA$136,"")</f>
        <v/>
      </c>
      <c r="CE55" s="1" t="str">
        <f>IF(BB55&gt;BB$136, BB55-BB$136,"")</f>
        <v/>
      </c>
      <c r="CF55" s="1">
        <f>COUNTIF(BT55:CE55, "&gt;0")</f>
        <v>1</v>
      </c>
      <c r="CG55" s="1">
        <f>IF($CF55=1,BT55,"")</f>
        <v>7</v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18">
        <f>SUM(AE55:BO55)</f>
        <v>20</v>
      </c>
    </row>
    <row r="56" spans="1:97" ht="27" x14ac:dyDescent="0.15">
      <c r="A56" s="1">
        <v>45</v>
      </c>
      <c r="B56" s="1" t="s">
        <v>105</v>
      </c>
      <c r="C56" s="1" t="s">
        <v>47</v>
      </c>
      <c r="D56" s="1" t="s">
        <v>13</v>
      </c>
      <c r="E56" s="6">
        <v>6</v>
      </c>
      <c r="F56" s="6"/>
      <c r="G56" s="6"/>
      <c r="H56" s="6"/>
      <c r="I56" s="6"/>
      <c r="J56" s="6"/>
      <c r="K56" s="6"/>
      <c r="L56" s="6"/>
      <c r="M56" s="6">
        <v>6</v>
      </c>
      <c r="N56" s="6"/>
      <c r="O56" s="6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>
        <v>10</v>
      </c>
      <c r="AR56" s="4"/>
      <c r="AS56" s="4"/>
      <c r="AT56" s="4"/>
      <c r="AU56" s="4"/>
      <c r="AV56" s="4"/>
      <c r="AW56" s="2"/>
      <c r="AX56" s="2"/>
      <c r="AY56" s="2"/>
      <c r="AZ56" s="2">
        <v>10</v>
      </c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32</v>
      </c>
      <c r="BQ56" s="1">
        <v>13</v>
      </c>
      <c r="BR56" s="17">
        <v>2</v>
      </c>
      <c r="BS56" s="17" t="s">
        <v>245</v>
      </c>
      <c r="BT56" s="1">
        <f>IF(AQ56&gt;AQ$136, AQ56-AQ$136,"")</f>
        <v>7</v>
      </c>
      <c r="BU56" s="1" t="str">
        <f>IF(AR56&gt;AR$136, AR56-AR$136,"")</f>
        <v/>
      </c>
      <c r="BV56" s="1" t="str">
        <f>IF(AS56&gt;AS$136, AS56-AS$136,"")</f>
        <v/>
      </c>
      <c r="BW56" s="1" t="str">
        <f>IF(AT56&gt;AT$136, AT56-AT$136,"")</f>
        <v/>
      </c>
      <c r="BX56" s="1" t="str">
        <f>IF(AU56&gt;AU$136, AU56-AU$136,"")</f>
        <v/>
      </c>
      <c r="BY56" s="1" t="str">
        <f>IF(AV56&gt;AV$136, AV56-AV$136,"")</f>
        <v/>
      </c>
      <c r="BZ56" s="1" t="str">
        <f>IF(AW56&gt;AW$136, AW56-AW$136,"")</f>
        <v/>
      </c>
      <c r="CA56" s="1" t="str">
        <f>IF(AX56&gt;AX$136, AX56-AX$136,"")</f>
        <v/>
      </c>
      <c r="CB56" s="1" t="str">
        <f>IF(AY56&gt;AY$136, AY56-AY$136,"")</f>
        <v/>
      </c>
      <c r="CC56" s="1">
        <f>IF(AZ56&gt;AZ$136, AZ56-AZ$136,"")</f>
        <v>6</v>
      </c>
      <c r="CD56" s="1" t="str">
        <f>IF(BA56&gt;BA$136, BA56-BA$136,"")</f>
        <v/>
      </c>
      <c r="CE56" s="1" t="str">
        <f>IF(BB56&gt;BB$136, BB56-BB$136,"")</f>
        <v/>
      </c>
      <c r="CF56" s="1">
        <f>COUNTIF(BT56:CE56, "&gt;0")</f>
        <v>2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18">
        <f>SUM(AE56:BO56)</f>
        <v>20</v>
      </c>
    </row>
    <row r="57" spans="1:97" ht="27" x14ac:dyDescent="0.15">
      <c r="A57" s="1"/>
      <c r="B57" s="1" t="s">
        <v>197</v>
      </c>
      <c r="C57" s="1" t="s">
        <v>110</v>
      </c>
      <c r="D57" s="1" t="s">
        <v>108</v>
      </c>
      <c r="E57" s="6">
        <v>6</v>
      </c>
      <c r="F57" s="6">
        <v>6</v>
      </c>
      <c r="G57" s="6"/>
      <c r="H57" s="6"/>
      <c r="I57" s="6"/>
      <c r="J57" s="6"/>
      <c r="K57" s="6"/>
      <c r="L57" s="6"/>
      <c r="M57" s="6"/>
      <c r="N57" s="6"/>
      <c r="O57" s="6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>
        <v>10</v>
      </c>
      <c r="AT57" s="4"/>
      <c r="AU57" s="4"/>
      <c r="AV57" s="4"/>
      <c r="AW57" s="2"/>
      <c r="AX57" s="2">
        <v>10</v>
      </c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32</v>
      </c>
      <c r="BQ57" s="1">
        <v>14</v>
      </c>
      <c r="BR57" s="17">
        <v>2</v>
      </c>
      <c r="BS57" s="17" t="s">
        <v>240</v>
      </c>
      <c r="BT57" s="1" t="str">
        <f>IF(AQ57&gt;AQ$136, AQ57-AQ$136,"")</f>
        <v/>
      </c>
      <c r="BU57" s="1" t="str">
        <f>IF(AR57&gt;AR$136, AR57-AR$136,"")</f>
        <v/>
      </c>
      <c r="BV57" s="1">
        <f>IF(AS57&gt;AS$136, AS57-AS$136,"")</f>
        <v>9</v>
      </c>
      <c r="BW57" s="1" t="str">
        <f>IF(AT57&gt;AT$136, AT57-AT$136,"")</f>
        <v/>
      </c>
      <c r="BX57" s="1" t="str">
        <f>IF(AU57&gt;AU$136, AU57-AU$136,"")</f>
        <v/>
      </c>
      <c r="BY57" s="1" t="str">
        <f>IF(AV57&gt;AV$136, AV57-AV$136,"")</f>
        <v/>
      </c>
      <c r="BZ57" s="1" t="str">
        <f>IF(AW57&gt;AW$136, AW57-AW$136,"")</f>
        <v/>
      </c>
      <c r="CA57" s="1" t="str">
        <f>IF(AX57&gt;AX$136, AX57-AX$136,"")</f>
        <v/>
      </c>
      <c r="CB57" s="1" t="str">
        <f>IF(AY57&gt;AY$136, AY57-AY$136,"")</f>
        <v/>
      </c>
      <c r="CC57" s="1" t="str">
        <f>IF(AZ57&gt;AZ$136, AZ57-AZ$136,"")</f>
        <v/>
      </c>
      <c r="CD57" s="1" t="str">
        <f>IF(BA57&gt;BA$136, BA57-BA$136,"")</f>
        <v/>
      </c>
      <c r="CE57" s="1" t="str">
        <f>IF(BB57&gt;BB$136, BB57-BB$136,"")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8"/>
    </row>
    <row r="58" spans="1:97" ht="27" x14ac:dyDescent="0.15">
      <c r="A58" s="1"/>
      <c r="B58" s="1" t="s">
        <v>181</v>
      </c>
      <c r="C58" s="1" t="s">
        <v>118</v>
      </c>
      <c r="D58" s="1" t="s">
        <v>108</v>
      </c>
      <c r="E58" s="6">
        <v>10</v>
      </c>
      <c r="F58" s="6"/>
      <c r="G58" s="6">
        <v>10</v>
      </c>
      <c r="H58" s="6"/>
      <c r="I58" s="6"/>
      <c r="J58" s="6"/>
      <c r="K58" s="6"/>
      <c r="L58" s="6"/>
      <c r="M58" s="6"/>
      <c r="N58" s="6"/>
      <c r="O58" s="6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>
        <v>10</v>
      </c>
      <c r="AS58" s="4"/>
      <c r="AT58" s="4"/>
      <c r="AU58" s="4"/>
      <c r="AV58" s="4"/>
      <c r="AW58" s="2"/>
      <c r="AX58" s="2"/>
      <c r="AY58" s="2"/>
      <c r="AZ58" s="2"/>
      <c r="BA58" s="2"/>
      <c r="BB58" s="2">
        <v>10</v>
      </c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40</v>
      </c>
      <c r="BQ58" s="1">
        <v>14</v>
      </c>
      <c r="BR58" s="17">
        <v>2</v>
      </c>
      <c r="BS58" s="17" t="s">
        <v>243</v>
      </c>
      <c r="BT58" s="1" t="str">
        <f>IF(AQ58&gt;AQ$136, AQ58-AQ$136,"")</f>
        <v/>
      </c>
      <c r="BU58" s="1">
        <f>IF(AR58&gt;AR$136, AR58-AR$136,"")</f>
        <v>6</v>
      </c>
      <c r="BV58" s="1" t="str">
        <f>IF(AS58&gt;AS$136, AS58-AS$136,"")</f>
        <v/>
      </c>
      <c r="BW58" s="1" t="str">
        <f>IF(AT58&gt;AT$136, AT58-AT$136,"")</f>
        <v/>
      </c>
      <c r="BX58" s="1" t="str">
        <f>IF(AU58&gt;AU$136, AU58-AU$136,"")</f>
        <v/>
      </c>
      <c r="BY58" s="1" t="str">
        <f>IF(AV58&gt;AV$136, AV58-AV$136,"")</f>
        <v/>
      </c>
      <c r="BZ58" s="1" t="str">
        <f>IF(AW58&gt;AW$136, AW58-AW$136,"")</f>
        <v/>
      </c>
      <c r="CA58" s="1" t="str">
        <f>IF(AX58&gt;AX$136, AX58-AX$136,"")</f>
        <v/>
      </c>
      <c r="CB58" s="1" t="str">
        <f>IF(AY58&gt;AY$136, AY58-AY$136,"")</f>
        <v/>
      </c>
      <c r="CC58" s="1" t="str">
        <f>IF(AZ58&gt;AZ$136, AZ58-AZ$136,"")</f>
        <v/>
      </c>
      <c r="CD58" s="1" t="str">
        <f>IF(BA58&gt;BA$136, BA58-BA$136,"")</f>
        <v/>
      </c>
      <c r="CE58" s="1" t="str">
        <f>IF(BB58&gt;BB$136, BB58-BB$136,"")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8"/>
    </row>
    <row r="59" spans="1:97" ht="27" x14ac:dyDescent="0.15">
      <c r="A59" s="1"/>
      <c r="B59" s="1" t="s">
        <v>179</v>
      </c>
      <c r="C59" s="1" t="s">
        <v>152</v>
      </c>
      <c r="D59" s="1" t="s">
        <v>126</v>
      </c>
      <c r="E59" s="6">
        <v>10</v>
      </c>
      <c r="F59" s="6"/>
      <c r="G59" s="6">
        <v>10</v>
      </c>
      <c r="H59" s="6"/>
      <c r="I59" s="6"/>
      <c r="J59" s="6"/>
      <c r="K59" s="6"/>
      <c r="L59" s="6"/>
      <c r="M59" s="6"/>
      <c r="N59" s="6"/>
      <c r="O59" s="6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>
        <v>10</v>
      </c>
      <c r="AS59" s="4"/>
      <c r="AT59" s="4"/>
      <c r="AU59" s="4"/>
      <c r="AV59" s="4"/>
      <c r="AW59" s="2"/>
      <c r="AX59" s="2"/>
      <c r="AY59" s="2"/>
      <c r="AZ59" s="2"/>
      <c r="BA59" s="2"/>
      <c r="BB59" s="2">
        <v>10</v>
      </c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40</v>
      </c>
      <c r="BQ59" s="1">
        <v>14</v>
      </c>
      <c r="BR59" s="17">
        <v>2</v>
      </c>
      <c r="BS59" s="17" t="s">
        <v>244</v>
      </c>
      <c r="BT59" s="1" t="str">
        <f>IF(AQ59&gt;AQ$136, AQ59-AQ$136,"")</f>
        <v/>
      </c>
      <c r="BU59" s="1">
        <f>IF(AR59&gt;AR$136, AR59-AR$136,"")</f>
        <v>6</v>
      </c>
      <c r="BV59" s="1" t="str">
        <f>IF(AS59&gt;AS$136, AS59-AS$136,"")</f>
        <v/>
      </c>
      <c r="BW59" s="1" t="str">
        <f>IF(AT59&gt;AT$136, AT59-AT$136,"")</f>
        <v/>
      </c>
      <c r="BX59" s="1" t="str">
        <f>IF(AU59&gt;AU$136, AU59-AU$136,"")</f>
        <v/>
      </c>
      <c r="BY59" s="1" t="str">
        <f>IF(AV59&gt;AV$136, AV59-AV$136,"")</f>
        <v/>
      </c>
      <c r="BZ59" s="1" t="str">
        <f>IF(AW59&gt;AW$136, AW59-AW$136,"")</f>
        <v/>
      </c>
      <c r="CA59" s="1" t="str">
        <f>IF(AX59&gt;AX$136, AX59-AX$136,"")</f>
        <v/>
      </c>
      <c r="CB59" s="1" t="str">
        <f>IF(AY59&gt;AY$136, AY59-AY$136,"")</f>
        <v/>
      </c>
      <c r="CC59" s="1" t="str">
        <f>IF(AZ59&gt;AZ$136, AZ59-AZ$136,"")</f>
        <v/>
      </c>
      <c r="CD59" s="1" t="str">
        <f>IF(BA59&gt;BA$136, BA59-BA$136,"")</f>
        <v/>
      </c>
      <c r="CE59" s="1" t="str">
        <f>IF(BB59&gt;BB$136, BB59-BB$136,"")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8"/>
    </row>
    <row r="60" spans="1:97" ht="27" x14ac:dyDescent="0.15">
      <c r="A60" s="1">
        <v>2</v>
      </c>
      <c r="B60" s="1" t="s">
        <v>8</v>
      </c>
      <c r="C60" s="1" t="s">
        <v>2</v>
      </c>
      <c r="D60" s="1" t="s">
        <v>1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1">
        <v>15</v>
      </c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>
        <v>15</v>
      </c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30</v>
      </c>
      <c r="BQ60" s="1">
        <v>18</v>
      </c>
      <c r="BR60" s="17">
        <v>2</v>
      </c>
      <c r="BS60" s="17" t="s">
        <v>246</v>
      </c>
      <c r="BT60" s="1" t="str">
        <f>IF(AQ60&gt;AQ$136, AQ60-AQ$136,"")</f>
        <v/>
      </c>
      <c r="BU60" s="1" t="str">
        <f>IF(AR60&gt;AR$136, AR60-AR$136,"")</f>
        <v/>
      </c>
      <c r="BV60" s="1" t="str">
        <f>IF(AS60&gt;AS$136, AS60-AS$136,"")</f>
        <v/>
      </c>
      <c r="BW60" s="1" t="str">
        <f>IF(AT60&gt;AT$136, AT60-AT$136,"")</f>
        <v/>
      </c>
      <c r="BX60" s="1" t="str">
        <f>IF(AU60&gt;AU$136, AU60-AU$136,"")</f>
        <v/>
      </c>
      <c r="BY60" s="1" t="str">
        <f>IF(AV60&gt;AV$136, AV60-AV$136,"")</f>
        <v/>
      </c>
      <c r="BZ60" s="1" t="str">
        <f>IF(AW60&gt;AW$136, AW60-AW$136,"")</f>
        <v/>
      </c>
      <c r="CA60" s="1" t="str">
        <f>IF(AX60&gt;AX$136, AX60-AX$136,"")</f>
        <v/>
      </c>
      <c r="CB60" s="1" t="str">
        <f>IF(AY60&gt;AY$136, AY60-AY$136,"")</f>
        <v/>
      </c>
      <c r="CC60" s="1">
        <f>IF(AZ60&gt;AZ$136, AZ60-AZ$136,"")</f>
        <v>11</v>
      </c>
      <c r="CD60" s="1" t="str">
        <f>IF(BA60&gt;BA$136, BA60-BA$136,"")</f>
        <v/>
      </c>
      <c r="CE60" s="1" t="str">
        <f>IF(BB60&gt;BB$136, BB60-BB$136,"")</f>
        <v/>
      </c>
      <c r="CF60" s="1">
        <f>COUNTIF(BT60:CE60, "&gt;0")</f>
        <v>1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>
        <f>IF($CF60=1,CC60,"")</f>
        <v>11</v>
      </c>
      <c r="CQ60" s="1" t="str">
        <f>IF($CF60=1,CD60,"")</f>
        <v/>
      </c>
      <c r="CR60" s="1" t="str">
        <f>IF($CF60=1,CE60,"")</f>
        <v/>
      </c>
      <c r="CS60" s="18">
        <f>SUM(AE60:BO60)</f>
        <v>30</v>
      </c>
    </row>
    <row r="61" spans="1:97" ht="27" x14ac:dyDescent="0.15">
      <c r="A61" s="1"/>
      <c r="B61" s="1" t="s">
        <v>141</v>
      </c>
      <c r="C61" s="1" t="s">
        <v>142</v>
      </c>
      <c r="D61" s="1" t="s">
        <v>126</v>
      </c>
      <c r="E61" s="6">
        <v>10</v>
      </c>
      <c r="F61" s="6"/>
      <c r="G61" s="6"/>
      <c r="H61" s="6"/>
      <c r="I61" s="6"/>
      <c r="J61" s="6"/>
      <c r="K61" s="6"/>
      <c r="L61" s="6"/>
      <c r="M61" s="6"/>
      <c r="N61" s="6"/>
      <c r="O61" s="6"/>
      <c r="P61" s="31"/>
      <c r="Q61" s="31"/>
      <c r="R61" s="31">
        <v>10</v>
      </c>
      <c r="S61" s="31"/>
      <c r="T61" s="31"/>
      <c r="U61" s="31">
        <v>10</v>
      </c>
      <c r="V61" s="31"/>
      <c r="W61" s="31"/>
      <c r="X61" s="31"/>
      <c r="Y61" s="31"/>
      <c r="Z61" s="31"/>
      <c r="AA61" s="31"/>
      <c r="AB61" s="31"/>
      <c r="AC61" s="31"/>
      <c r="AD61" s="3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>
        <v>10</v>
      </c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40</v>
      </c>
      <c r="BQ61" s="1">
        <v>18</v>
      </c>
      <c r="BR61" s="17">
        <v>2</v>
      </c>
      <c r="BS61" s="17" t="s">
        <v>265</v>
      </c>
      <c r="BT61" s="1" t="str">
        <f>IF(AQ61&gt;AQ$136, AQ61-AQ$136,"")</f>
        <v/>
      </c>
      <c r="BU61" s="1" t="str">
        <f>IF(AR61&gt;AR$136, AR61-AR$136,"")</f>
        <v/>
      </c>
      <c r="BV61" s="1" t="str">
        <f>IF(AS61&gt;AS$136, AS61-AS$136,"")</f>
        <v/>
      </c>
      <c r="BW61" s="1" t="str">
        <f>IF(AT61&gt;AT$136, AT61-AT$136,"")</f>
        <v/>
      </c>
      <c r="BX61" s="1" t="str">
        <f>IF(AU61&gt;AU$136, AU61-AU$136,"")</f>
        <v/>
      </c>
      <c r="BY61" s="1" t="str">
        <f>IF(AV61&gt;AV$136, AV61-AV$136,"")</f>
        <v/>
      </c>
      <c r="BZ61" s="1" t="str">
        <f>IF(AW61&gt;AW$136, AW61-AW$136,"")</f>
        <v/>
      </c>
      <c r="CA61" s="1" t="str">
        <f>IF(AX61&gt;AX$136, AX61-AX$136,"")</f>
        <v/>
      </c>
      <c r="CB61" s="1" t="str">
        <f>IF(AY61&gt;AY$136, AY61-AY$136,"")</f>
        <v/>
      </c>
      <c r="CC61" s="1" t="str">
        <f>IF(AZ61&gt;AZ$136, AZ61-AZ$136,"")</f>
        <v/>
      </c>
      <c r="CD61" s="1" t="str">
        <f>IF(BA61&gt;BA$136, BA61-BA$136,"")</f>
        <v/>
      </c>
      <c r="CE61" s="1" t="str">
        <f>IF(BB61&gt;BB$136, BB61-BB$136,"")</f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ht="27" x14ac:dyDescent="0.15">
      <c r="A62" s="1"/>
      <c r="B62" s="1" t="s">
        <v>147</v>
      </c>
      <c r="C62" s="1" t="s">
        <v>146</v>
      </c>
      <c r="D62" s="1" t="s">
        <v>126</v>
      </c>
      <c r="E62" s="6">
        <v>10</v>
      </c>
      <c r="F62" s="6"/>
      <c r="G62" s="6"/>
      <c r="H62" s="6"/>
      <c r="I62" s="6"/>
      <c r="J62" s="6"/>
      <c r="K62" s="6"/>
      <c r="L62" s="6"/>
      <c r="M62" s="6"/>
      <c r="N62" s="6"/>
      <c r="O62" s="6"/>
      <c r="P62" s="31"/>
      <c r="Q62" s="31"/>
      <c r="R62" s="31">
        <v>10</v>
      </c>
      <c r="S62" s="31"/>
      <c r="T62" s="31"/>
      <c r="U62" s="31">
        <v>10</v>
      </c>
      <c r="V62" s="31"/>
      <c r="W62" s="31"/>
      <c r="X62" s="31"/>
      <c r="Y62" s="31"/>
      <c r="Z62" s="31"/>
      <c r="AA62" s="31"/>
      <c r="AB62" s="31"/>
      <c r="AC62" s="31"/>
      <c r="AD62" s="3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>
        <v>10</v>
      </c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40</v>
      </c>
      <c r="BQ62" s="1">
        <v>18</v>
      </c>
      <c r="BR62" s="17">
        <v>2</v>
      </c>
      <c r="BS62" s="17" t="s">
        <v>265</v>
      </c>
      <c r="BT62" s="1" t="str">
        <f>IF(AQ62&gt;AQ$136, AQ62-AQ$136,"")</f>
        <v/>
      </c>
      <c r="BU62" s="1" t="str">
        <f>IF(AR62&gt;AR$136, AR62-AR$136,"")</f>
        <v/>
      </c>
      <c r="BV62" s="1" t="str">
        <f>IF(AS62&gt;AS$136, AS62-AS$136,"")</f>
        <v/>
      </c>
      <c r="BW62" s="1" t="str">
        <f>IF(AT62&gt;AT$136, AT62-AT$136,"")</f>
        <v/>
      </c>
      <c r="BX62" s="1" t="str">
        <f>IF(AU62&gt;AU$136, AU62-AU$136,"")</f>
        <v/>
      </c>
      <c r="BY62" s="1" t="str">
        <f>IF(AV62&gt;AV$136, AV62-AV$136,"")</f>
        <v/>
      </c>
      <c r="BZ62" s="1" t="str">
        <f>IF(AW62&gt;AW$136, AW62-AW$136,"")</f>
        <v/>
      </c>
      <c r="CA62" s="1" t="str">
        <f>IF(AX62&gt;AX$136, AX62-AX$136,"")</f>
        <v/>
      </c>
      <c r="CB62" s="1" t="str">
        <f>IF(AY62&gt;AY$136, AY62-AY$136,"")</f>
        <v/>
      </c>
      <c r="CC62" s="1" t="str">
        <f>IF(AZ62&gt;AZ$136, AZ62-AZ$136,"")</f>
        <v/>
      </c>
      <c r="CD62" s="1" t="str">
        <f>IF(BA62&gt;BA$136, BA62-BA$136,"")</f>
        <v/>
      </c>
      <c r="CE62" s="1" t="str">
        <f>IF(BB62&gt;BB$136, BB62-BB$136,"")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8"/>
    </row>
    <row r="63" spans="1:97" ht="27" x14ac:dyDescent="0.15">
      <c r="A63" s="1"/>
      <c r="B63" s="1" t="s">
        <v>157</v>
      </c>
      <c r="C63" s="1" t="s">
        <v>153</v>
      </c>
      <c r="D63" s="1" t="s">
        <v>126</v>
      </c>
      <c r="E63" s="6">
        <v>10</v>
      </c>
      <c r="F63" s="6"/>
      <c r="G63" s="6"/>
      <c r="H63" s="6"/>
      <c r="I63" s="6"/>
      <c r="J63" s="6"/>
      <c r="K63" s="6"/>
      <c r="L63" s="6"/>
      <c r="M63" s="6"/>
      <c r="N63" s="6"/>
      <c r="O63" s="6"/>
      <c r="P63" s="31"/>
      <c r="Q63" s="31"/>
      <c r="R63" s="31">
        <v>10</v>
      </c>
      <c r="S63" s="31"/>
      <c r="T63" s="31"/>
      <c r="U63" s="31">
        <v>10</v>
      </c>
      <c r="V63" s="31"/>
      <c r="W63" s="31"/>
      <c r="X63" s="31"/>
      <c r="Y63" s="31"/>
      <c r="Z63" s="31"/>
      <c r="AA63" s="31"/>
      <c r="AB63" s="31"/>
      <c r="AC63" s="31"/>
      <c r="AD63" s="3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>
        <v>10</v>
      </c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40</v>
      </c>
      <c r="BQ63" s="1">
        <v>18</v>
      </c>
      <c r="BR63" s="17">
        <v>2</v>
      </c>
      <c r="BS63" s="17" t="s">
        <v>265</v>
      </c>
      <c r="BT63" s="1" t="str">
        <f>IF(AQ63&gt;AQ$136, AQ63-AQ$136,"")</f>
        <v/>
      </c>
      <c r="BU63" s="1" t="str">
        <f>IF(AR63&gt;AR$136, AR63-AR$136,"")</f>
        <v/>
      </c>
      <c r="BV63" s="1" t="str">
        <f>IF(AS63&gt;AS$136, AS63-AS$136,"")</f>
        <v/>
      </c>
      <c r="BW63" s="1" t="str">
        <f>IF(AT63&gt;AT$136, AT63-AT$136,"")</f>
        <v/>
      </c>
      <c r="BX63" s="1" t="str">
        <f>IF(AU63&gt;AU$136, AU63-AU$136,"")</f>
        <v/>
      </c>
      <c r="BY63" s="1" t="str">
        <f>IF(AV63&gt;AV$136, AV63-AV$136,"")</f>
        <v/>
      </c>
      <c r="BZ63" s="1" t="str">
        <f>IF(AW63&gt;AW$136, AW63-AW$136,"")</f>
        <v/>
      </c>
      <c r="CA63" s="1" t="str">
        <f>IF(AX63&gt;AX$136, AX63-AX$136,"")</f>
        <v/>
      </c>
      <c r="CB63" s="1" t="str">
        <f>IF(AY63&gt;AY$136, AY63-AY$136,"")</f>
        <v/>
      </c>
      <c r="CC63" s="1" t="str">
        <f>IF(AZ63&gt;AZ$136, AZ63-AZ$136,"")</f>
        <v/>
      </c>
      <c r="CD63" s="1" t="str">
        <f>IF(BA63&gt;BA$136, BA63-BA$136,"")</f>
        <v/>
      </c>
      <c r="CE63" s="1" t="str">
        <f>IF(BB63&gt;BB$136, BB63-BB$136,"")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8"/>
    </row>
    <row r="64" spans="1:97" ht="27" x14ac:dyDescent="0.15">
      <c r="A64" s="1">
        <v>95</v>
      </c>
      <c r="B64" s="3" t="s">
        <v>84</v>
      </c>
      <c r="C64" s="3" t="s">
        <v>69</v>
      </c>
      <c r="D64" s="1" t="s">
        <v>1</v>
      </c>
      <c r="E64" s="6"/>
      <c r="F64" s="6"/>
      <c r="G64" s="6"/>
      <c r="H64" s="6"/>
      <c r="I64" s="6"/>
      <c r="J64" s="6"/>
      <c r="K64" s="6"/>
      <c r="L64" s="6">
        <v>15</v>
      </c>
      <c r="M64" s="6"/>
      <c r="N64" s="6"/>
      <c r="O64" s="6">
        <v>15</v>
      </c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>
        <v>15</v>
      </c>
      <c r="BB64" s="2">
        <v>15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60</v>
      </c>
      <c r="BQ64" s="1">
        <v>19</v>
      </c>
      <c r="BR64" s="17">
        <v>2</v>
      </c>
      <c r="BS64" s="17" t="s">
        <v>247</v>
      </c>
      <c r="BT64" s="1" t="str">
        <f>IF(AQ64&gt;AQ$136, AQ64-AQ$136,"")</f>
        <v/>
      </c>
      <c r="BU64" s="1" t="str">
        <f>IF(AR64&gt;AR$136, AR64-AR$136,"")</f>
        <v/>
      </c>
      <c r="BV64" s="1" t="str">
        <f>IF(AS64&gt;AS$136, AS64-AS$136,"")</f>
        <v/>
      </c>
      <c r="BW64" s="1" t="str">
        <f>IF(AT64&gt;AT$136, AT64-AT$136,"")</f>
        <v/>
      </c>
      <c r="BX64" s="1" t="str">
        <f>IF(AU64&gt;AU$136, AU64-AU$136,"")</f>
        <v/>
      </c>
      <c r="BY64" s="1" t="str">
        <f>IF(AV64&gt;AV$136, AV64-AV$136,"")</f>
        <v/>
      </c>
      <c r="BZ64" s="1" t="str">
        <f>IF(AW64&gt;AW$136, AW64-AW$136,"")</f>
        <v/>
      </c>
      <c r="CA64" s="1" t="str">
        <f>IF(AX64&gt;AX$136, AX64-AX$136,"")</f>
        <v/>
      </c>
      <c r="CB64" s="1" t="str">
        <f>IF(AY64&gt;AY$136, AY64-AY$136,"")</f>
        <v/>
      </c>
      <c r="CC64" s="1" t="str">
        <f>IF(AZ64&gt;AZ$136, AZ64-AZ$136,"")</f>
        <v/>
      </c>
      <c r="CD64" s="1">
        <f>IF(BA64&gt;BA$136, BA64-BA$136,"")</f>
        <v>8</v>
      </c>
      <c r="CE64" s="1" t="str">
        <f>IF(BB64&gt;BB$136, BB64-BB$136,"")</f>
        <v/>
      </c>
      <c r="CF64" s="1">
        <f>COUNTIF(BT64:CE64, "&gt;0")</f>
        <v>1</v>
      </c>
      <c r="CG64" s="1" t="str">
        <f>IF($CF64=1,BT64,"")</f>
        <v/>
      </c>
      <c r="CH64" s="1" t="str">
        <f>IF($CF64=1,BU64,"")</f>
        <v/>
      </c>
      <c r="CI64" s="1" t="str">
        <f>IF($CF64=1,BV64,"")</f>
        <v/>
      </c>
      <c r="CJ64" s="1" t="str">
        <f>IF($CF64=1,BW64,"")</f>
        <v/>
      </c>
      <c r="CK64" s="1" t="str">
        <f>IF($CF64=1,BX64,"")</f>
        <v/>
      </c>
      <c r="CL64" s="1" t="str">
        <f>IF($CF64=1,BY64,"")</f>
        <v/>
      </c>
      <c r="CM64" s="1" t="str">
        <f>IF($CF64=1,BZ64,"")</f>
        <v/>
      </c>
      <c r="CN64" s="1" t="str">
        <f>IF($CF64=1,CA64,"")</f>
        <v/>
      </c>
      <c r="CO64" s="1" t="str">
        <f>IF($CF64=1,CB64,"")</f>
        <v/>
      </c>
      <c r="CP64" s="1" t="str">
        <f>IF($CF64=1,CC64,"")</f>
        <v/>
      </c>
      <c r="CQ64" s="1">
        <f>IF($CF64=1,CD64,"")</f>
        <v>8</v>
      </c>
      <c r="CR64" s="1" t="str">
        <f>IF($CF64=1,CE64,"")</f>
        <v/>
      </c>
      <c r="CS64" s="18">
        <f>SUM(AE64:BO64)</f>
        <v>30</v>
      </c>
    </row>
    <row r="65" spans="1:97" ht="27" x14ac:dyDescent="0.15">
      <c r="A65" s="1">
        <v>77</v>
      </c>
      <c r="B65" s="3" t="s">
        <v>169</v>
      </c>
      <c r="C65" s="3" t="s">
        <v>64</v>
      </c>
      <c r="D65" s="1" t="s">
        <v>13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>
        <v>20</v>
      </c>
      <c r="AU65" s="4"/>
      <c r="AV65" s="4"/>
      <c r="AW65" s="2">
        <v>20</v>
      </c>
      <c r="AX65" s="2">
        <v>20</v>
      </c>
      <c r="AY65" s="2"/>
      <c r="AZ65" s="2"/>
      <c r="BA65" s="2"/>
      <c r="BB65" s="2">
        <v>10</v>
      </c>
      <c r="BC65" s="14"/>
      <c r="BD65" s="1"/>
      <c r="BE65" s="1"/>
      <c r="BF65" s="1"/>
      <c r="BG65" s="1"/>
      <c r="BH65" s="1">
        <v>20</v>
      </c>
      <c r="BI65" s="1"/>
      <c r="BJ65" s="1"/>
      <c r="BK65" s="1"/>
      <c r="BL65" s="1"/>
      <c r="BM65" s="1"/>
      <c r="BN65" s="1"/>
      <c r="BO65" s="1"/>
      <c r="BP65" s="1">
        <f>SUM(E65:BO65)</f>
        <v>90</v>
      </c>
      <c r="BQ65" s="1">
        <v>28</v>
      </c>
      <c r="BR65" s="17">
        <v>2</v>
      </c>
      <c r="BS65" s="17" t="s">
        <v>248</v>
      </c>
      <c r="BT65" s="1" t="str">
        <f>IF(AQ65&gt;AQ$136, AQ65-AQ$136,"")</f>
        <v/>
      </c>
      <c r="BU65" s="1" t="str">
        <f>IF(AR65&gt;AR$136, AR65-AR$136,"")</f>
        <v/>
      </c>
      <c r="BV65" s="1" t="str">
        <f>IF(AS65&gt;AS$136, AS65-AS$136,"")</f>
        <v/>
      </c>
      <c r="BW65" s="1">
        <f>IF(AT65&gt;AT$136, AT65-AT$136,"")</f>
        <v>12</v>
      </c>
      <c r="BX65" s="1" t="str">
        <f>IF(AU65&gt;AU$136, AU65-AU$136,"")</f>
        <v/>
      </c>
      <c r="BY65" s="1" t="str">
        <f>IF(AV65&gt;AV$136, AV65-AV$136,"")</f>
        <v/>
      </c>
      <c r="BZ65" s="1">
        <f>IF(AW65&gt;AW$136, AW65-AW$136,"")</f>
        <v>16</v>
      </c>
      <c r="CA65" s="1" t="str">
        <f>IF(AX65&gt;AX$136, AX65-AX$136,"")</f>
        <v/>
      </c>
      <c r="CB65" s="1" t="str">
        <f>IF(AY65&gt;AY$136, AY65-AY$136,"")</f>
        <v/>
      </c>
      <c r="CC65" s="1" t="str">
        <f>IF(AZ65&gt;AZ$136, AZ65-AZ$136,"")</f>
        <v/>
      </c>
      <c r="CD65" s="1" t="str">
        <f>IF(BA65&gt;BA$136, BA65-BA$136,"")</f>
        <v/>
      </c>
      <c r="CE65" s="1" t="str">
        <f>IF(BB65&gt;BB$136, BB65-BB$136,"")</f>
        <v/>
      </c>
      <c r="CF65" s="1">
        <f>COUNTIF(BT65:CE65, "&gt;0")</f>
        <v>2</v>
      </c>
      <c r="CG65" s="1" t="str">
        <f>IF($CF65=1,BT65,"")</f>
        <v/>
      </c>
      <c r="CH65" s="1" t="str">
        <f>IF($CF65=1,BU65,"")</f>
        <v/>
      </c>
      <c r="CI65" s="1" t="str">
        <f>IF($CF65=1,BV65,"")</f>
        <v/>
      </c>
      <c r="CJ65" s="1" t="str">
        <f>IF($CF65=1,BW65,"")</f>
        <v/>
      </c>
      <c r="CK65" s="1" t="str">
        <f>IF($CF65=1,BX65,"")</f>
        <v/>
      </c>
      <c r="CL65" s="1" t="str">
        <f>IF($CF65=1,BY65,"")</f>
        <v/>
      </c>
      <c r="CM65" s="1" t="str">
        <f>IF($CF65=1,BZ65,"")</f>
        <v/>
      </c>
      <c r="CN65" s="1" t="str">
        <f>IF($CF65=1,CA65,"")</f>
        <v/>
      </c>
      <c r="CO65" s="1" t="str">
        <f>IF($CF65=1,CB65,"")</f>
        <v/>
      </c>
      <c r="CP65" s="1" t="str">
        <f>IF($CF65=1,CC65,"")</f>
        <v/>
      </c>
      <c r="CQ65" s="1" t="str">
        <f>IF($CF65=1,CD65,"")</f>
        <v/>
      </c>
      <c r="CR65" s="1" t="str">
        <f>IF($CF65=1,CE65,"")</f>
        <v/>
      </c>
      <c r="CS65" s="18">
        <f>SUM(AE65:BO65)</f>
        <v>90</v>
      </c>
    </row>
    <row r="66" spans="1:97" ht="27" x14ac:dyDescent="0.15">
      <c r="A66" s="1"/>
      <c r="B66" s="1" t="s">
        <v>170</v>
      </c>
      <c r="C66" s="1" t="s">
        <v>122</v>
      </c>
      <c r="D66" s="1" t="s">
        <v>107</v>
      </c>
      <c r="E66" s="6"/>
      <c r="F66" s="6"/>
      <c r="G66" s="6"/>
      <c r="H66" s="6"/>
      <c r="I66" s="6"/>
      <c r="J66" s="6"/>
      <c r="K66" s="6"/>
      <c r="L66" s="6">
        <v>20</v>
      </c>
      <c r="M66" s="6"/>
      <c r="N66" s="6"/>
      <c r="O66" s="6">
        <v>20</v>
      </c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>
        <v>20</v>
      </c>
      <c r="BB66" s="2">
        <v>20</v>
      </c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80</v>
      </c>
      <c r="BQ66" s="1">
        <v>29</v>
      </c>
      <c r="BR66" s="17">
        <v>2</v>
      </c>
      <c r="BS66" s="17" t="s">
        <v>250</v>
      </c>
      <c r="BT66" s="1" t="str">
        <f>IF(AQ66&gt;AQ$136, AQ66-AQ$136,"")</f>
        <v/>
      </c>
      <c r="BU66" s="1" t="str">
        <f>IF(AR66&gt;AR$136, AR66-AR$136,"")</f>
        <v/>
      </c>
      <c r="BV66" s="1" t="str">
        <f>IF(AS66&gt;AS$136, AS66-AS$136,"")</f>
        <v/>
      </c>
      <c r="BW66" s="1" t="str">
        <f>IF(AT66&gt;AT$136, AT66-AT$136,"")</f>
        <v/>
      </c>
      <c r="BX66" s="1" t="str">
        <f>IF(AU66&gt;AU$136, AU66-AU$136,"")</f>
        <v/>
      </c>
      <c r="BY66" s="1" t="str">
        <f>IF(AV66&gt;AV$136, AV66-AV$136,"")</f>
        <v/>
      </c>
      <c r="BZ66" s="1" t="str">
        <f>IF(AW66&gt;AW$136, AW66-AW$136,"")</f>
        <v/>
      </c>
      <c r="CA66" s="1" t="str">
        <f>IF(AX66&gt;AX$136, AX66-AX$136,"")</f>
        <v/>
      </c>
      <c r="CB66" s="1" t="str">
        <f>IF(AY66&gt;AY$136, AY66-AY$136,"")</f>
        <v/>
      </c>
      <c r="CC66" s="1" t="str">
        <f>IF(AZ66&gt;AZ$136, AZ66-AZ$136,"")</f>
        <v/>
      </c>
      <c r="CD66" s="1">
        <f>IF(BA66&gt;BA$136, BA66-BA$136,"")</f>
        <v>13</v>
      </c>
      <c r="CE66" s="1" t="str">
        <f>IF(BB66&gt;BB$136, BB66-BB$136,"")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8"/>
    </row>
    <row r="67" spans="1:97" ht="27" x14ac:dyDescent="0.15">
      <c r="A67" s="19">
        <v>93</v>
      </c>
      <c r="B67" s="26" t="s">
        <v>194</v>
      </c>
      <c r="C67" s="26" t="s">
        <v>80</v>
      </c>
      <c r="D67" s="19" t="s">
        <v>1</v>
      </c>
      <c r="E67" s="20"/>
      <c r="F67" s="20">
        <v>20</v>
      </c>
      <c r="G67" s="20"/>
      <c r="H67" s="20"/>
      <c r="I67" s="20"/>
      <c r="J67" s="20"/>
      <c r="K67" s="20">
        <v>20</v>
      </c>
      <c r="L67" s="20"/>
      <c r="M67" s="20"/>
      <c r="N67" s="20">
        <v>20</v>
      </c>
      <c r="O67" s="20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21"/>
      <c r="AR67" s="21"/>
      <c r="AS67" s="21"/>
      <c r="AT67" s="21"/>
      <c r="AU67" s="21"/>
      <c r="AV67" s="21"/>
      <c r="AW67" s="22"/>
      <c r="AX67" s="22"/>
      <c r="AY67" s="22"/>
      <c r="AZ67" s="22"/>
      <c r="BA67" s="22"/>
      <c r="BB67" s="22"/>
      <c r="BC67" s="2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">
        <f>SUM(E67:BO67)</f>
        <v>60</v>
      </c>
      <c r="BQ67" s="19">
        <v>33</v>
      </c>
      <c r="BR67" s="23">
        <v>2</v>
      </c>
      <c r="BS67" s="23" t="s">
        <v>249</v>
      </c>
      <c r="BT67" s="1" t="str">
        <f>IF(AQ67&gt;AQ$136, AQ67-AQ$136,"")</f>
        <v/>
      </c>
      <c r="BU67" s="1" t="str">
        <f>IF(AR67&gt;AR$136, AR67-AR$136,"")</f>
        <v/>
      </c>
      <c r="BV67" s="1" t="str">
        <f>IF(AS67&gt;AS$136, AS67-AS$136,"")</f>
        <v/>
      </c>
      <c r="BW67" s="1" t="str">
        <f>IF(AT67&gt;AT$136, AT67-AT$136,"")</f>
        <v/>
      </c>
      <c r="BX67" s="1" t="str">
        <f>IF(AU67&gt;AU$136, AU67-AU$136,"")</f>
        <v/>
      </c>
      <c r="BY67" s="1" t="str">
        <f>IF(AV67&gt;AV$136, AV67-AV$136,"")</f>
        <v/>
      </c>
      <c r="BZ67" s="1" t="str">
        <f>IF(AW67&gt;AW$136, AW67-AW$136,"")</f>
        <v/>
      </c>
      <c r="CA67" s="1" t="str">
        <f>IF(AX67&gt;AX$136, AX67-AX$136,"")</f>
        <v/>
      </c>
      <c r="CB67" s="1" t="str">
        <f>IF(AY67&gt;AY$136, AY67-AY$136,"")</f>
        <v/>
      </c>
      <c r="CC67" s="1" t="str">
        <f>IF(AZ67&gt;AZ$136, AZ67-AZ$136,"")</f>
        <v/>
      </c>
      <c r="CD67" s="1" t="str">
        <f>IF(BA67&gt;BA$136, BA67-BA$136,"")</f>
        <v/>
      </c>
      <c r="CE67" s="1" t="str">
        <f>IF(BB67&gt;BB$136, BB67-BB$136,"")</f>
        <v/>
      </c>
      <c r="CF67" s="19">
        <f>COUNTIF(BT67:CE67, "&gt;0")</f>
        <v>0</v>
      </c>
      <c r="CG67" s="19" t="str">
        <f>IF($CF67=1,BT67,"")</f>
        <v/>
      </c>
      <c r="CH67" s="19" t="str">
        <f>IF($CF67=1,BU67,"")</f>
        <v/>
      </c>
      <c r="CI67" s="19" t="str">
        <f>IF($CF67=1,BV67,"")</f>
        <v/>
      </c>
      <c r="CJ67" s="19" t="str">
        <f>IF($CF67=1,BW67,"")</f>
        <v/>
      </c>
      <c r="CK67" s="19" t="str">
        <f>IF($CF67=1,BX67,"")</f>
        <v/>
      </c>
      <c r="CL67" s="19" t="str">
        <f>IF($CF67=1,BY67,"")</f>
        <v/>
      </c>
      <c r="CM67" s="19" t="str">
        <f>IF($CF67=1,BZ67,"")</f>
        <v/>
      </c>
      <c r="CN67" s="19" t="str">
        <f>IF($CF67=1,CA67,"")</f>
        <v/>
      </c>
      <c r="CO67" s="19" t="str">
        <f>IF($CF67=1,CB67,"")</f>
        <v/>
      </c>
      <c r="CP67" s="19" t="str">
        <f>IF($CF67=1,CC67,"")</f>
        <v/>
      </c>
      <c r="CQ67" s="19" t="str">
        <f>IF($CF67=1,CD67,"")</f>
        <v/>
      </c>
      <c r="CR67" s="19" t="str">
        <f>IF($CF67=1,CE67,"")</f>
        <v/>
      </c>
      <c r="CS67" s="24">
        <f>SUM(AE67:BO67)</f>
        <v>0</v>
      </c>
    </row>
    <row r="68" spans="1:97" ht="40.5" x14ac:dyDescent="0.15">
      <c r="A68" s="1"/>
      <c r="B68" s="1" t="s">
        <v>157</v>
      </c>
      <c r="C68" s="1" t="s">
        <v>153</v>
      </c>
      <c r="D68" s="1" t="s">
        <v>125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1"/>
      <c r="Q68" s="31"/>
      <c r="R68" s="31"/>
      <c r="S68" s="31"/>
      <c r="T68" s="31"/>
      <c r="U68" s="31">
        <v>2</v>
      </c>
      <c r="V68" s="31"/>
      <c r="W68" s="31"/>
      <c r="X68" s="31"/>
      <c r="Y68" s="31"/>
      <c r="Z68" s="31"/>
      <c r="AA68" s="31">
        <v>2</v>
      </c>
      <c r="AB68" s="31"/>
      <c r="AC68" s="31">
        <v>5</v>
      </c>
      <c r="AD68" s="31">
        <v>2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11</v>
      </c>
      <c r="BQ68" s="1">
        <v>6</v>
      </c>
      <c r="BR68" s="17">
        <v>3</v>
      </c>
      <c r="BS68" s="17" t="s">
        <v>251</v>
      </c>
      <c r="BT68" s="1" t="str">
        <f>IF(AQ68&gt;AQ$136, AQ68-AQ$136,"")</f>
        <v/>
      </c>
      <c r="BU68" s="1" t="str">
        <f>IF(AR68&gt;AR$136, AR68-AR$136,"")</f>
        <v/>
      </c>
      <c r="BV68" s="1" t="str">
        <f>IF(AS68&gt;AS$136, AS68-AS$136,"")</f>
        <v/>
      </c>
      <c r="BW68" s="1" t="str">
        <f>IF(AT68&gt;AT$136, AT68-AT$136,"")</f>
        <v/>
      </c>
      <c r="BX68" s="1" t="str">
        <f>IF(AU68&gt;AU$136, AU68-AU$136,"")</f>
        <v/>
      </c>
      <c r="BY68" s="1" t="str">
        <f>IF(AV68&gt;AV$136, AV68-AV$136,"")</f>
        <v/>
      </c>
      <c r="BZ68" s="1" t="str">
        <f>IF(AW68&gt;AW$136, AW68-AW$136,"")</f>
        <v/>
      </c>
      <c r="CA68" s="1" t="str">
        <f>IF(AX68&gt;AX$136, AX68-AX$136,"")</f>
        <v/>
      </c>
      <c r="CB68" s="1" t="str">
        <f>IF(AY68&gt;AY$136, AY68-AY$136,"")</f>
        <v/>
      </c>
      <c r="CC68" s="1" t="str">
        <f>IF(AZ68&gt;AZ$136, AZ68-AZ$136,"")</f>
        <v/>
      </c>
      <c r="CD68" s="1" t="str">
        <f>IF(BA68&gt;BA$136, BA68-BA$136,"")</f>
        <v/>
      </c>
      <c r="CE68" s="1" t="str">
        <f>IF(BB68&gt;BB$136, BB68-BB$136,"")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8"/>
    </row>
    <row r="69" spans="1:97" ht="40.5" x14ac:dyDescent="0.15">
      <c r="A69" s="1">
        <v>81</v>
      </c>
      <c r="B69" s="3" t="s">
        <v>67</v>
      </c>
      <c r="C69" s="3" t="s">
        <v>64</v>
      </c>
      <c r="D69" s="1" t="s">
        <v>13</v>
      </c>
      <c r="E69" s="6"/>
      <c r="F69" s="6"/>
      <c r="G69" s="6"/>
      <c r="H69" s="6"/>
      <c r="I69" s="6"/>
      <c r="J69" s="6"/>
      <c r="K69" s="6"/>
      <c r="L69" s="6">
        <v>6</v>
      </c>
      <c r="M69" s="6"/>
      <c r="N69" s="6"/>
      <c r="O69" s="6">
        <v>6</v>
      </c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>
        <v>10</v>
      </c>
      <c r="AU69" s="4"/>
      <c r="AV69" s="4"/>
      <c r="AW69" s="2"/>
      <c r="AX69" s="2"/>
      <c r="AY69" s="2"/>
      <c r="AZ69" s="2"/>
      <c r="BA69" s="2">
        <v>10</v>
      </c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32</v>
      </c>
      <c r="BQ69" s="1">
        <v>7</v>
      </c>
      <c r="BR69" s="17">
        <v>3</v>
      </c>
      <c r="BS69" s="17" t="s">
        <v>256</v>
      </c>
      <c r="BT69" s="1" t="str">
        <f>IF(AQ69&gt;AQ$136, AQ69-AQ$136,"")</f>
        <v/>
      </c>
      <c r="BU69" s="1" t="str">
        <f>IF(AR69&gt;AR$136, AR69-AR$136,"")</f>
        <v/>
      </c>
      <c r="BV69" s="1" t="str">
        <f>IF(AS69&gt;AS$136, AS69-AS$136,"")</f>
        <v/>
      </c>
      <c r="BW69" s="1">
        <f>IF(AT69&gt;AT$136, AT69-AT$136,"")</f>
        <v>2</v>
      </c>
      <c r="BX69" s="1" t="str">
        <f>IF(AU69&gt;AU$136, AU69-AU$136,"")</f>
        <v/>
      </c>
      <c r="BY69" s="1" t="str">
        <f>IF(AV69&gt;AV$136, AV69-AV$136,"")</f>
        <v/>
      </c>
      <c r="BZ69" s="1" t="str">
        <f>IF(AW69&gt;AW$136, AW69-AW$136,"")</f>
        <v/>
      </c>
      <c r="CA69" s="1" t="str">
        <f>IF(AX69&gt;AX$136, AX69-AX$136,"")</f>
        <v/>
      </c>
      <c r="CB69" s="1" t="str">
        <f>IF(AY69&gt;AY$136, AY69-AY$136,"")</f>
        <v/>
      </c>
      <c r="CC69" s="1" t="str">
        <f>IF(AZ69&gt;AZ$136, AZ69-AZ$136,"")</f>
        <v/>
      </c>
      <c r="CD69" s="1">
        <f>IF(BA69&gt;BA$136, BA69-BA$136,"")</f>
        <v>3</v>
      </c>
      <c r="CE69" s="1" t="str">
        <f>IF(BB69&gt;BB$136, BB69-BB$136,"")</f>
        <v/>
      </c>
      <c r="CF69" s="1">
        <f>COUNTIF(BT69:CE69, "&gt;0")</f>
        <v>2</v>
      </c>
      <c r="CG69" s="1" t="str">
        <f>IF($CF69=1,BT69,"")</f>
        <v/>
      </c>
      <c r="CH69" s="1" t="str">
        <f>IF($CF69=1,BU69,"")</f>
        <v/>
      </c>
      <c r="CI69" s="1" t="str">
        <f>IF($CF69=1,BV69,"")</f>
        <v/>
      </c>
      <c r="CJ69" s="1" t="str">
        <f>IF($CF69=1,BW69,"")</f>
        <v/>
      </c>
      <c r="CK69" s="1" t="str">
        <f>IF($CF69=1,BX69,"")</f>
        <v/>
      </c>
      <c r="CL69" s="1" t="str">
        <f>IF($CF69=1,BY69,"")</f>
        <v/>
      </c>
      <c r="CM69" s="1" t="str">
        <f>IF($CF69=1,BZ69,"")</f>
        <v/>
      </c>
      <c r="CN69" s="1" t="str">
        <f>IF($CF69=1,CA69,"")</f>
        <v/>
      </c>
      <c r="CO69" s="1" t="str">
        <f>IF($CF69=1,CB69,"")</f>
        <v/>
      </c>
      <c r="CP69" s="1" t="str">
        <f>IF($CF69=1,CC69,"")</f>
        <v/>
      </c>
      <c r="CQ69" s="1" t="str">
        <f>IF($CF69=1,CD69,"")</f>
        <v/>
      </c>
      <c r="CR69" s="1" t="str">
        <f>IF($CF69=1,CE69,"")</f>
        <v/>
      </c>
      <c r="CS69" s="18">
        <f>SUM(AE69:BO69)</f>
        <v>20</v>
      </c>
    </row>
    <row r="70" spans="1:97" ht="40.5" x14ac:dyDescent="0.15">
      <c r="A70" s="1"/>
      <c r="B70" s="1" t="s">
        <v>150</v>
      </c>
      <c r="C70" s="1" t="s">
        <v>151</v>
      </c>
      <c r="D70" s="1" t="s">
        <v>126</v>
      </c>
      <c r="E70" s="6"/>
      <c r="F70" s="6"/>
      <c r="G70" s="6"/>
      <c r="H70" s="6"/>
      <c r="I70" s="6"/>
      <c r="J70" s="6"/>
      <c r="K70" s="6"/>
      <c r="L70" s="6">
        <v>7</v>
      </c>
      <c r="M70" s="6"/>
      <c r="N70" s="6"/>
      <c r="O70" s="6"/>
      <c r="P70" s="31"/>
      <c r="Q70" s="31">
        <v>7</v>
      </c>
      <c r="R70" s="31"/>
      <c r="S70" s="31"/>
      <c r="T70" s="31">
        <v>7</v>
      </c>
      <c r="U70" s="31"/>
      <c r="V70" s="31"/>
      <c r="W70" s="31"/>
      <c r="X70" s="31">
        <v>7</v>
      </c>
      <c r="Y70" s="31"/>
      <c r="Z70" s="31"/>
      <c r="AA70" s="31"/>
      <c r="AB70" s="31"/>
      <c r="AC70" s="31"/>
      <c r="AD70" s="3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28</v>
      </c>
      <c r="BQ70" s="1">
        <v>9</v>
      </c>
      <c r="BR70" s="17">
        <v>3</v>
      </c>
      <c r="BS70" s="17" t="s">
        <v>252</v>
      </c>
      <c r="BT70" s="1" t="str">
        <f>IF(AQ70&gt;AQ$136, AQ70-AQ$136,"")</f>
        <v/>
      </c>
      <c r="BU70" s="1" t="str">
        <f>IF(AR70&gt;AR$136, AR70-AR$136,"")</f>
        <v/>
      </c>
      <c r="BV70" s="1" t="str">
        <f>IF(AS70&gt;AS$136, AS70-AS$136,"")</f>
        <v/>
      </c>
      <c r="BW70" s="1" t="str">
        <f>IF(AT70&gt;AT$136, AT70-AT$136,"")</f>
        <v/>
      </c>
      <c r="BX70" s="1" t="str">
        <f>IF(AU70&gt;AU$136, AU70-AU$136,"")</f>
        <v/>
      </c>
      <c r="BY70" s="1" t="str">
        <f>IF(AV70&gt;AV$136, AV70-AV$136,"")</f>
        <v/>
      </c>
      <c r="BZ70" s="1" t="str">
        <f>IF(AW70&gt;AW$136, AW70-AW$136,"")</f>
        <v/>
      </c>
      <c r="CA70" s="1" t="str">
        <f>IF(AX70&gt;AX$136, AX70-AX$136,"")</f>
        <v/>
      </c>
      <c r="CB70" s="1" t="str">
        <f>IF(AY70&gt;AY$136, AY70-AY$136,"")</f>
        <v/>
      </c>
      <c r="CC70" s="1" t="str">
        <f>IF(AZ70&gt;AZ$136, AZ70-AZ$136,"")</f>
        <v/>
      </c>
      <c r="CD70" s="1" t="str">
        <f>IF(BA70&gt;BA$136, BA70-BA$136,"")</f>
        <v/>
      </c>
      <c r="CE70" s="1" t="str">
        <f>IF(BB70&gt;BB$136, BB70-BB$136,"")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ht="40.5" x14ac:dyDescent="0.15">
      <c r="A71" s="1"/>
      <c r="B71" s="1" t="s">
        <v>144</v>
      </c>
      <c r="C71" s="1" t="s">
        <v>142</v>
      </c>
      <c r="D71" s="1" t="s">
        <v>125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31"/>
      <c r="Q71" s="31">
        <v>5</v>
      </c>
      <c r="R71" s="31"/>
      <c r="S71" s="31"/>
      <c r="T71" s="31">
        <v>5</v>
      </c>
      <c r="U71" s="31"/>
      <c r="V71" s="31"/>
      <c r="W71" s="31"/>
      <c r="X71" s="31"/>
      <c r="Y71" s="31"/>
      <c r="Z71" s="31">
        <v>5</v>
      </c>
      <c r="AA71" s="31">
        <v>2</v>
      </c>
      <c r="AB71" s="31"/>
      <c r="AC71" s="31"/>
      <c r="AD71" s="3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17</v>
      </c>
      <c r="BQ71" s="1">
        <v>9</v>
      </c>
      <c r="BR71" s="17">
        <v>3</v>
      </c>
      <c r="BS71" s="17" t="s">
        <v>253</v>
      </c>
      <c r="BT71" s="1" t="str">
        <f>IF(AQ71&gt;AQ$136, AQ71-AQ$136,"")</f>
        <v/>
      </c>
      <c r="BU71" s="1" t="str">
        <f>IF(AR71&gt;AR$136, AR71-AR$136,"")</f>
        <v/>
      </c>
      <c r="BV71" s="1" t="str">
        <f>IF(AS71&gt;AS$136, AS71-AS$136,"")</f>
        <v/>
      </c>
      <c r="BW71" s="1" t="str">
        <f>IF(AT71&gt;AT$136, AT71-AT$136,"")</f>
        <v/>
      </c>
      <c r="BX71" s="1" t="str">
        <f>IF(AU71&gt;AU$136, AU71-AU$136,"")</f>
        <v/>
      </c>
      <c r="BY71" s="1" t="str">
        <f>IF(AV71&gt;AV$136, AV71-AV$136,"")</f>
        <v/>
      </c>
      <c r="BZ71" s="1" t="str">
        <f>IF(AW71&gt;AW$136, AW71-AW$136,"")</f>
        <v/>
      </c>
      <c r="CA71" s="1" t="str">
        <f>IF(AX71&gt;AX$136, AX71-AX$136,"")</f>
        <v/>
      </c>
      <c r="CB71" s="1" t="str">
        <f>IF(AY71&gt;AY$136, AY71-AY$136,"")</f>
        <v/>
      </c>
      <c r="CC71" s="1" t="str">
        <f>IF(AZ71&gt;AZ$136, AZ71-AZ$136,"")</f>
        <v/>
      </c>
      <c r="CD71" s="1" t="str">
        <f>IF(BA71&gt;BA$136, BA71-BA$136,"")</f>
        <v/>
      </c>
      <c r="CE71" s="1" t="str">
        <f>IF(BB71&gt;BB$136, BB71-BB$136,"")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ht="40.5" x14ac:dyDescent="0.15">
      <c r="A72" s="1"/>
      <c r="B72" s="1" t="s">
        <v>154</v>
      </c>
      <c r="C72" s="1" t="s">
        <v>153</v>
      </c>
      <c r="D72" s="1" t="s">
        <v>125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31"/>
      <c r="Q72" s="31">
        <v>5</v>
      </c>
      <c r="R72" s="31"/>
      <c r="S72" s="31"/>
      <c r="T72" s="31">
        <v>5</v>
      </c>
      <c r="U72" s="31"/>
      <c r="V72" s="31"/>
      <c r="W72" s="31"/>
      <c r="X72" s="31"/>
      <c r="Y72" s="31"/>
      <c r="Z72" s="31">
        <v>5</v>
      </c>
      <c r="AA72" s="31">
        <v>2</v>
      </c>
      <c r="AB72" s="31"/>
      <c r="AC72" s="31"/>
      <c r="AD72" s="3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17</v>
      </c>
      <c r="BQ72" s="1">
        <v>9</v>
      </c>
      <c r="BR72" s="17">
        <v>3</v>
      </c>
      <c r="BS72" s="17" t="s">
        <v>254</v>
      </c>
      <c r="BT72" s="1" t="str">
        <f>IF(AQ72&gt;AQ$136, AQ72-AQ$136,"")</f>
        <v/>
      </c>
      <c r="BU72" s="1" t="str">
        <f>IF(AR72&gt;AR$136, AR72-AR$136,"")</f>
        <v/>
      </c>
      <c r="BV72" s="1" t="str">
        <f>IF(AS72&gt;AS$136, AS72-AS$136,"")</f>
        <v/>
      </c>
      <c r="BW72" s="1" t="str">
        <f>IF(AT72&gt;AT$136, AT72-AT$136,"")</f>
        <v/>
      </c>
      <c r="BX72" s="1" t="str">
        <f>IF(AU72&gt;AU$136, AU72-AU$136,"")</f>
        <v/>
      </c>
      <c r="BY72" s="1" t="str">
        <f>IF(AV72&gt;AV$136, AV72-AV$136,"")</f>
        <v/>
      </c>
      <c r="BZ72" s="1" t="str">
        <f>IF(AW72&gt;AW$136, AW72-AW$136,"")</f>
        <v/>
      </c>
      <c r="CA72" s="1" t="str">
        <f>IF(AX72&gt;AX$136, AX72-AX$136,"")</f>
        <v/>
      </c>
      <c r="CB72" s="1" t="str">
        <f>IF(AY72&gt;AY$136, AY72-AY$136,"")</f>
        <v/>
      </c>
      <c r="CC72" s="1" t="str">
        <f>IF(AZ72&gt;AZ$136, AZ72-AZ$136,"")</f>
        <v/>
      </c>
      <c r="CD72" s="1" t="str">
        <f>IF(BA72&gt;BA$136, BA72-BA$136,"")</f>
        <v/>
      </c>
      <c r="CE72" s="1" t="str">
        <f>IF(BB72&gt;BB$136, BB72-BB$136,"")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ht="40.5" x14ac:dyDescent="0.15">
      <c r="A73" s="1"/>
      <c r="B73" s="1" t="s">
        <v>161</v>
      </c>
      <c r="C73" s="1" t="s">
        <v>121</v>
      </c>
      <c r="D73" s="1" t="s">
        <v>163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31"/>
      <c r="Q73" s="31">
        <v>5</v>
      </c>
      <c r="R73" s="31"/>
      <c r="S73" s="31"/>
      <c r="T73" s="31">
        <v>5</v>
      </c>
      <c r="U73" s="31"/>
      <c r="V73" s="31"/>
      <c r="W73" s="31"/>
      <c r="X73" s="31"/>
      <c r="Y73" s="31"/>
      <c r="Z73" s="31">
        <v>5</v>
      </c>
      <c r="AA73" s="31">
        <v>2</v>
      </c>
      <c r="AB73" s="31"/>
      <c r="AC73" s="31"/>
      <c r="AD73" s="3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17</v>
      </c>
      <c r="BQ73" s="1">
        <v>9</v>
      </c>
      <c r="BR73" s="17">
        <v>3</v>
      </c>
      <c r="BS73" s="17" t="s">
        <v>253</v>
      </c>
      <c r="BT73" s="1" t="str">
        <f>IF(AQ73&gt;AQ$136, AQ73-AQ$136,"")</f>
        <v/>
      </c>
      <c r="BU73" s="1" t="str">
        <f>IF(AR73&gt;AR$136, AR73-AR$136,"")</f>
        <v/>
      </c>
      <c r="BV73" s="1" t="str">
        <f>IF(AS73&gt;AS$136, AS73-AS$136,"")</f>
        <v/>
      </c>
      <c r="BW73" s="1" t="str">
        <f>IF(AT73&gt;AT$136, AT73-AT$136,"")</f>
        <v/>
      </c>
      <c r="BX73" s="1" t="str">
        <f>IF(AU73&gt;AU$136, AU73-AU$136,"")</f>
        <v/>
      </c>
      <c r="BY73" s="1" t="str">
        <f>IF(AV73&gt;AV$136, AV73-AV$136,"")</f>
        <v/>
      </c>
      <c r="BZ73" s="1" t="str">
        <f>IF(AW73&gt;AW$136, AW73-AW$136,"")</f>
        <v/>
      </c>
      <c r="CA73" s="1" t="str">
        <f>IF(AX73&gt;AX$136, AX73-AX$136,"")</f>
        <v/>
      </c>
      <c r="CB73" s="1" t="str">
        <f>IF(AY73&gt;AY$136, AY73-AY$136,"")</f>
        <v/>
      </c>
      <c r="CC73" s="1" t="str">
        <f>IF(AZ73&gt;AZ$136, AZ73-AZ$136,"")</f>
        <v/>
      </c>
      <c r="CD73" s="1" t="str">
        <f>IF(BA73&gt;BA$136, BA73-BA$136,"")</f>
        <v/>
      </c>
      <c r="CE73" s="1" t="str">
        <f>IF(BB73&gt;BB$136, BB73-BB$136,"")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8"/>
    </row>
    <row r="74" spans="1:97" ht="40.5" x14ac:dyDescent="0.15">
      <c r="A74" s="1"/>
      <c r="B74" s="1" t="s">
        <v>189</v>
      </c>
      <c r="C74" s="1" t="s">
        <v>121</v>
      </c>
      <c r="D74" s="1" t="s">
        <v>108</v>
      </c>
      <c r="E74" s="6"/>
      <c r="F74" s="6">
        <v>6</v>
      </c>
      <c r="G74" s="6"/>
      <c r="H74" s="6"/>
      <c r="I74" s="6"/>
      <c r="J74" s="6"/>
      <c r="K74" s="6"/>
      <c r="L74" s="6"/>
      <c r="M74" s="6"/>
      <c r="N74" s="6"/>
      <c r="O74" s="6">
        <v>6</v>
      </c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>
        <v>10</v>
      </c>
      <c r="AU74" s="4"/>
      <c r="AV74" s="4"/>
      <c r="AW74" s="2"/>
      <c r="AX74" s="2"/>
      <c r="AY74" s="2">
        <v>10</v>
      </c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32</v>
      </c>
      <c r="BQ74" s="1">
        <v>9</v>
      </c>
      <c r="BR74" s="17">
        <v>3</v>
      </c>
      <c r="BS74" s="17" t="s">
        <v>255</v>
      </c>
      <c r="BT74" s="1" t="str">
        <f>IF(AQ74&gt;AQ$136, AQ74-AQ$136,"")</f>
        <v/>
      </c>
      <c r="BU74" s="1" t="str">
        <f>IF(AR74&gt;AR$136, AR74-AR$136,"")</f>
        <v/>
      </c>
      <c r="BV74" s="1" t="str">
        <f>IF(AS74&gt;AS$136, AS74-AS$136,"")</f>
        <v/>
      </c>
      <c r="BW74" s="1">
        <f>IF(AT74&gt;AT$136, AT74-AT$136,"")</f>
        <v>2</v>
      </c>
      <c r="BX74" s="1" t="str">
        <f>IF(AU74&gt;AU$136, AU74-AU$136,"")</f>
        <v/>
      </c>
      <c r="BY74" s="1" t="str">
        <f>IF(AV74&gt;AV$136, AV74-AV$136,"")</f>
        <v/>
      </c>
      <c r="BZ74" s="1" t="str">
        <f>IF(AW74&gt;AW$136, AW74-AW$136,"")</f>
        <v/>
      </c>
      <c r="CA74" s="1" t="str">
        <f>IF(AX74&gt;AX$136, AX74-AX$136,"")</f>
        <v/>
      </c>
      <c r="CB74" s="1" t="str">
        <f>IF(AY74&gt;AY$136, AY74-AY$136,"")</f>
        <v/>
      </c>
      <c r="CC74" s="1" t="str">
        <f>IF(AZ74&gt;AZ$136, AZ74-AZ$136,"")</f>
        <v/>
      </c>
      <c r="CD74" s="1" t="str">
        <f>IF(BA74&gt;BA$136, BA74-BA$136,"")</f>
        <v/>
      </c>
      <c r="CE74" s="1" t="str">
        <f>IF(BB74&gt;BB$136, BB74-BB$136,"")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ht="40.5" x14ac:dyDescent="0.15">
      <c r="A75" s="1"/>
      <c r="B75" s="1" t="s">
        <v>157</v>
      </c>
      <c r="C75" s="1" t="s">
        <v>153</v>
      </c>
      <c r="D75" s="1" t="s">
        <v>124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31"/>
      <c r="Q75" s="31">
        <v>5</v>
      </c>
      <c r="R75" s="31"/>
      <c r="S75" s="31"/>
      <c r="T75" s="31">
        <v>5</v>
      </c>
      <c r="U75" s="31"/>
      <c r="V75" s="31"/>
      <c r="W75" s="31">
        <v>5</v>
      </c>
      <c r="X75" s="31"/>
      <c r="Y75" s="31"/>
      <c r="Z75" s="31">
        <v>5</v>
      </c>
      <c r="AA75" s="31"/>
      <c r="AB75" s="31"/>
      <c r="AC75" s="31"/>
      <c r="AD75" s="3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20</v>
      </c>
      <c r="BQ75" s="1">
        <v>11</v>
      </c>
      <c r="BR75" s="17">
        <v>3</v>
      </c>
      <c r="BS75" s="17" t="s">
        <v>257</v>
      </c>
      <c r="BT75" s="1" t="str">
        <f>IF(AQ75&gt;AQ$136, AQ75-AQ$136,"")</f>
        <v/>
      </c>
      <c r="BU75" s="1" t="str">
        <f>IF(AR75&gt;AR$136, AR75-AR$136,"")</f>
        <v/>
      </c>
      <c r="BV75" s="1" t="str">
        <f>IF(AS75&gt;AS$136, AS75-AS$136,"")</f>
        <v/>
      </c>
      <c r="BW75" s="1" t="str">
        <f>IF(AT75&gt;AT$136, AT75-AT$136,"")</f>
        <v/>
      </c>
      <c r="BX75" s="1" t="str">
        <f>IF(AU75&gt;AU$136, AU75-AU$136,"")</f>
        <v/>
      </c>
      <c r="BY75" s="1" t="str">
        <f>IF(AV75&gt;AV$136, AV75-AV$136,"")</f>
        <v/>
      </c>
      <c r="BZ75" s="1" t="str">
        <f>IF(AW75&gt;AW$136, AW75-AW$136,"")</f>
        <v/>
      </c>
      <c r="CA75" s="1" t="str">
        <f>IF(AX75&gt;AX$136, AX75-AX$136,"")</f>
        <v/>
      </c>
      <c r="CB75" s="1" t="str">
        <f>IF(AY75&gt;AY$136, AY75-AY$136,"")</f>
        <v/>
      </c>
      <c r="CC75" s="1" t="str">
        <f>IF(AZ75&gt;AZ$136, AZ75-AZ$136,"")</f>
        <v/>
      </c>
      <c r="CD75" s="1" t="str">
        <f>IF(BA75&gt;BA$136, BA75-BA$136,"")</f>
        <v/>
      </c>
      <c r="CE75" s="1" t="str">
        <f>IF(BB75&gt;BB$136, BB75-BB$136,"")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ht="40.5" x14ac:dyDescent="0.15">
      <c r="A76" s="1"/>
      <c r="B76" s="1" t="s">
        <v>148</v>
      </c>
      <c r="C76" s="1" t="s">
        <v>146</v>
      </c>
      <c r="D76" s="1" t="s">
        <v>126</v>
      </c>
      <c r="E76" s="6"/>
      <c r="F76" s="6"/>
      <c r="G76" s="6"/>
      <c r="H76" s="6"/>
      <c r="I76" s="6">
        <v>7</v>
      </c>
      <c r="J76" s="6"/>
      <c r="K76" s="6"/>
      <c r="L76" s="6"/>
      <c r="M76" s="6"/>
      <c r="N76" s="6"/>
      <c r="O76" s="6"/>
      <c r="P76" s="31"/>
      <c r="Q76" s="31">
        <v>7</v>
      </c>
      <c r="R76" s="31">
        <v>7</v>
      </c>
      <c r="S76" s="31"/>
      <c r="T76" s="31">
        <v>7</v>
      </c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28</v>
      </c>
      <c r="BQ76" s="1">
        <v>13</v>
      </c>
      <c r="BR76" s="17">
        <v>3</v>
      </c>
      <c r="BS76" s="17" t="s">
        <v>258</v>
      </c>
      <c r="BT76" s="1" t="str">
        <f>IF(AQ76&gt;AQ$136, AQ76-AQ$136,"")</f>
        <v/>
      </c>
      <c r="BU76" s="1" t="str">
        <f>IF(AR76&gt;AR$136, AR76-AR$136,"")</f>
        <v/>
      </c>
      <c r="BV76" s="1" t="str">
        <f>IF(AS76&gt;AS$136, AS76-AS$136,"")</f>
        <v/>
      </c>
      <c r="BW76" s="1" t="str">
        <f>IF(AT76&gt;AT$136, AT76-AT$136,"")</f>
        <v/>
      </c>
      <c r="BX76" s="1" t="str">
        <f>IF(AU76&gt;AU$136, AU76-AU$136,"")</f>
        <v/>
      </c>
      <c r="BY76" s="1" t="str">
        <f>IF(AV76&gt;AV$136, AV76-AV$136,"")</f>
        <v/>
      </c>
      <c r="BZ76" s="1" t="str">
        <f>IF(AW76&gt;AW$136, AW76-AW$136,"")</f>
        <v/>
      </c>
      <c r="CA76" s="1" t="str">
        <f>IF(AX76&gt;AX$136, AX76-AX$136,"")</f>
        <v/>
      </c>
      <c r="CB76" s="1" t="str">
        <f>IF(AY76&gt;AY$136, AY76-AY$136,"")</f>
        <v/>
      </c>
      <c r="CC76" s="1" t="str">
        <f>IF(AZ76&gt;AZ$136, AZ76-AZ$136,"")</f>
        <v/>
      </c>
      <c r="CD76" s="1" t="str">
        <f>IF(BA76&gt;BA$136, BA76-BA$136,"")</f>
        <v/>
      </c>
      <c r="CE76" s="1" t="str">
        <f>IF(BB76&gt;BB$136, BB76-BB$136,"")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8"/>
    </row>
    <row r="77" spans="1:97" ht="40.5" x14ac:dyDescent="0.15">
      <c r="A77" s="1"/>
      <c r="B77" s="1" t="s">
        <v>168</v>
      </c>
      <c r="C77" s="1" t="s">
        <v>123</v>
      </c>
      <c r="D77" s="1" t="s">
        <v>126</v>
      </c>
      <c r="E77" s="6"/>
      <c r="F77" s="6"/>
      <c r="G77" s="6"/>
      <c r="H77" s="6"/>
      <c r="I77" s="6">
        <v>10</v>
      </c>
      <c r="J77" s="6"/>
      <c r="K77" s="6"/>
      <c r="L77" s="6"/>
      <c r="M77" s="6"/>
      <c r="N77" s="6"/>
      <c r="O77" s="6"/>
      <c r="P77" s="31"/>
      <c r="Q77" s="31"/>
      <c r="R77" s="31">
        <v>10</v>
      </c>
      <c r="S77" s="31"/>
      <c r="T77" s="31"/>
      <c r="U77" s="31"/>
      <c r="V77" s="31"/>
      <c r="W77" s="31"/>
      <c r="X77" s="31">
        <v>10</v>
      </c>
      <c r="Y77" s="31"/>
      <c r="Z77" s="31"/>
      <c r="AA77" s="31"/>
      <c r="AB77" s="31"/>
      <c r="AC77" s="31"/>
      <c r="AD77" s="3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>
        <v>10</v>
      </c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40</v>
      </c>
      <c r="BQ77" s="1">
        <v>14</v>
      </c>
      <c r="BR77" s="17">
        <v>3</v>
      </c>
      <c r="BS77" s="17" t="s">
        <v>259</v>
      </c>
      <c r="BT77" s="1" t="str">
        <f>IF(AQ77&gt;AQ$136, AQ77-AQ$136,"")</f>
        <v/>
      </c>
      <c r="BU77" s="1" t="str">
        <f>IF(AR77&gt;AR$136, AR77-AR$136,"")</f>
        <v/>
      </c>
      <c r="BV77" s="1" t="str">
        <f>IF(AS77&gt;AS$136, AS77-AS$136,"")</f>
        <v/>
      </c>
      <c r="BW77" s="1">
        <f>IF(AT77&gt;AT$136, AT77-AT$136,"")</f>
        <v>2</v>
      </c>
      <c r="BX77" s="1" t="str">
        <f>IF(AU77&gt;AU$136, AU77-AU$136,"")</f>
        <v/>
      </c>
      <c r="BY77" s="1" t="str">
        <f>IF(AV77&gt;AV$136, AV77-AV$136,"")</f>
        <v/>
      </c>
      <c r="BZ77" s="1" t="str">
        <f>IF(AW77&gt;AW$136, AW77-AW$136,"")</f>
        <v/>
      </c>
      <c r="CA77" s="1" t="str">
        <f>IF(AX77&gt;AX$136, AX77-AX$136,"")</f>
        <v/>
      </c>
      <c r="CB77" s="1" t="str">
        <f>IF(AY77&gt;AY$136, AY77-AY$136,"")</f>
        <v/>
      </c>
      <c r="CC77" s="1" t="str">
        <f>IF(AZ77&gt;AZ$136, AZ77-AZ$136,"")</f>
        <v/>
      </c>
      <c r="CD77" s="1" t="str">
        <f>IF(BA77&gt;BA$136, BA77-BA$136,"")</f>
        <v/>
      </c>
      <c r="CE77" s="1" t="str">
        <f>IF(BB77&gt;BB$136, BB77-BB$136,"")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8"/>
    </row>
    <row r="78" spans="1:97" ht="40.5" x14ac:dyDescent="0.15">
      <c r="A78" s="1"/>
      <c r="B78" s="1" t="s">
        <v>182</v>
      </c>
      <c r="C78" s="1" t="s">
        <v>146</v>
      </c>
      <c r="D78" s="1" t="s">
        <v>125</v>
      </c>
      <c r="E78" s="6"/>
      <c r="F78" s="6"/>
      <c r="G78" s="6"/>
      <c r="H78" s="6"/>
      <c r="I78" s="6"/>
      <c r="J78" s="6">
        <v>10</v>
      </c>
      <c r="K78" s="6"/>
      <c r="L78" s="6">
        <v>10</v>
      </c>
      <c r="M78" s="6">
        <v>10</v>
      </c>
      <c r="N78" s="6"/>
      <c r="O78" s="6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>
        <v>15</v>
      </c>
      <c r="AZ78" s="2">
        <v>15</v>
      </c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60</v>
      </c>
      <c r="BQ78" s="1">
        <v>14</v>
      </c>
      <c r="BR78" s="17">
        <v>3</v>
      </c>
      <c r="BS78" s="17" t="s">
        <v>262</v>
      </c>
      <c r="BT78" s="1" t="str">
        <f>IF(AQ78&gt;AQ$136, AQ78-AQ$136,"")</f>
        <v/>
      </c>
      <c r="BU78" s="1" t="str">
        <f>IF(AR78&gt;AR$136, AR78-AR$136,"")</f>
        <v/>
      </c>
      <c r="BV78" s="1" t="str">
        <f>IF(AS78&gt;AS$136, AS78-AS$136,"")</f>
        <v/>
      </c>
      <c r="BW78" s="1" t="str">
        <f>IF(AT78&gt;AT$136, AT78-AT$136,"")</f>
        <v/>
      </c>
      <c r="BX78" s="1" t="str">
        <f>IF(AU78&gt;AU$136, AU78-AU$136,"")</f>
        <v/>
      </c>
      <c r="BY78" s="1" t="str">
        <f>IF(AV78&gt;AV$136, AV78-AV$136,"")</f>
        <v/>
      </c>
      <c r="BZ78" s="1" t="str">
        <f>IF(AW78&gt;AW$136, AW78-AW$136,"")</f>
        <v/>
      </c>
      <c r="CA78" s="1" t="str">
        <f>IF(AX78&gt;AX$136, AX78-AX$136,"")</f>
        <v/>
      </c>
      <c r="CB78" s="1">
        <f>IF(AY78&gt;AY$136, AY78-AY$136,"")</f>
        <v>2</v>
      </c>
      <c r="CC78" s="1">
        <f>IF(AZ78&gt;AZ$136, AZ78-AZ$136,"")</f>
        <v>11</v>
      </c>
      <c r="CD78" s="1" t="str">
        <f>IF(BA78&gt;BA$136, BA78-BA$136,"")</f>
        <v/>
      </c>
      <c r="CE78" s="1" t="str">
        <f>IF(BB78&gt;BB$136, BB78-BB$136,"")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8"/>
    </row>
    <row r="79" spans="1:97" ht="40.5" x14ac:dyDescent="0.15">
      <c r="A79" s="1">
        <v>28</v>
      </c>
      <c r="B79" s="1" t="s">
        <v>74</v>
      </c>
      <c r="C79" s="1" t="s">
        <v>31</v>
      </c>
      <c r="D79" s="1" t="s">
        <v>1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1"/>
      <c r="AF79" s="1"/>
      <c r="AG79" s="1"/>
      <c r="AH79" s="1">
        <v>5</v>
      </c>
      <c r="AI79" s="1">
        <v>5</v>
      </c>
      <c r="AJ79" s="1">
        <v>5</v>
      </c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15</v>
      </c>
      <c r="BQ79" s="1">
        <v>15</v>
      </c>
      <c r="BR79" s="17">
        <v>3</v>
      </c>
      <c r="BS79" s="17" t="s">
        <v>260</v>
      </c>
      <c r="BT79" s="1" t="str">
        <f>IF(AQ79&gt;AQ$136, AQ79-AQ$136,"")</f>
        <v/>
      </c>
      <c r="BU79" s="1" t="str">
        <f>IF(AR79&gt;AR$136, AR79-AR$136,"")</f>
        <v/>
      </c>
      <c r="BV79" s="1" t="str">
        <f>IF(AS79&gt;AS$136, AS79-AS$136,"")</f>
        <v/>
      </c>
      <c r="BW79" s="1" t="str">
        <f>IF(AT79&gt;AT$136, AT79-AT$136,"")</f>
        <v/>
      </c>
      <c r="BX79" s="1" t="str">
        <f>IF(AU79&gt;AU$136, AU79-AU$136,"")</f>
        <v/>
      </c>
      <c r="BY79" s="1" t="str">
        <f>IF(AV79&gt;AV$136, AV79-AV$136,"")</f>
        <v/>
      </c>
      <c r="BZ79" s="1" t="str">
        <f>IF(AW79&gt;AW$136, AW79-AW$136,"")</f>
        <v/>
      </c>
      <c r="CA79" s="1" t="str">
        <f>IF(AX79&gt;AX$136, AX79-AX$136,"")</f>
        <v/>
      </c>
      <c r="CB79" s="1" t="str">
        <f>IF(AY79&gt;AY$136, AY79-AY$136,"")</f>
        <v/>
      </c>
      <c r="CC79" s="1" t="str">
        <f>IF(AZ79&gt;AZ$136, AZ79-AZ$136,"")</f>
        <v/>
      </c>
      <c r="CD79" s="1" t="str">
        <f>IF(BA79&gt;BA$136, BA79-BA$136,"")</f>
        <v/>
      </c>
      <c r="CE79" s="1" t="str">
        <f>IF(BB79&gt;BB$136, BB79-BB$136,"")</f>
        <v/>
      </c>
      <c r="CF79" s="1">
        <f>COUNTIF(BT79:CE79, "&gt;0")</f>
        <v>0</v>
      </c>
      <c r="CG79" s="1" t="str">
        <f>IF($CF79=1,BT79,"")</f>
        <v/>
      </c>
      <c r="CH79" s="1" t="str">
        <f>IF($CF79=1,BU79,"")</f>
        <v/>
      </c>
      <c r="CI79" s="1" t="str">
        <f>IF($CF79=1,BV79,"")</f>
        <v/>
      </c>
      <c r="CJ79" s="1" t="str">
        <f>IF($CF79=1,BW79,"")</f>
        <v/>
      </c>
      <c r="CK79" s="1" t="str">
        <f>IF($CF79=1,BX79,"")</f>
        <v/>
      </c>
      <c r="CL79" s="1" t="str">
        <f>IF($CF79=1,BY79,"")</f>
        <v/>
      </c>
      <c r="CM79" s="1" t="str">
        <f>IF($CF79=1,BZ79,"")</f>
        <v/>
      </c>
      <c r="CN79" s="1" t="str">
        <f>IF($CF79=1,CA79,"")</f>
        <v/>
      </c>
      <c r="CO79" s="1" t="str">
        <f>IF($CF79=1,CB79,"")</f>
        <v/>
      </c>
      <c r="CP79" s="1" t="str">
        <f>IF($CF79=1,CC79,"")</f>
        <v/>
      </c>
      <c r="CQ79" s="1" t="str">
        <f>IF($CF79=1,CD79,"")</f>
        <v/>
      </c>
      <c r="CR79" s="1" t="str">
        <f>IF($CF79=1,CE79,"")</f>
        <v/>
      </c>
      <c r="CS79" s="18">
        <f>SUM(AE79:BO79)</f>
        <v>15</v>
      </c>
    </row>
    <row r="80" spans="1:97" ht="40.5" x14ac:dyDescent="0.15">
      <c r="A80" s="1">
        <v>89</v>
      </c>
      <c r="B80" s="3" t="s">
        <v>79</v>
      </c>
      <c r="C80" s="3" t="s">
        <v>80</v>
      </c>
      <c r="D80" s="1" t="s">
        <v>1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1"/>
      <c r="AF80" s="1">
        <v>5</v>
      </c>
      <c r="AG80" s="1"/>
      <c r="AH80" s="1">
        <v>5</v>
      </c>
      <c r="AI80" s="1">
        <v>5</v>
      </c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15</v>
      </c>
      <c r="BQ80" s="1">
        <v>15</v>
      </c>
      <c r="BR80" s="17">
        <v>3</v>
      </c>
      <c r="BS80" s="17" t="s">
        <v>261</v>
      </c>
      <c r="BT80" s="1" t="str">
        <f>IF(AQ80&gt;AQ$136, AQ80-AQ$136,"")</f>
        <v/>
      </c>
      <c r="BU80" s="1" t="str">
        <f>IF(AR80&gt;AR$136, AR80-AR$136,"")</f>
        <v/>
      </c>
      <c r="BV80" s="1" t="str">
        <f>IF(AS80&gt;AS$136, AS80-AS$136,"")</f>
        <v/>
      </c>
      <c r="BW80" s="1" t="str">
        <f>IF(AT80&gt;AT$136, AT80-AT$136,"")</f>
        <v/>
      </c>
      <c r="BX80" s="1" t="str">
        <f>IF(AU80&gt;AU$136, AU80-AU$136,"")</f>
        <v/>
      </c>
      <c r="BY80" s="1" t="str">
        <f>IF(AV80&gt;AV$136, AV80-AV$136,"")</f>
        <v/>
      </c>
      <c r="BZ80" s="1" t="str">
        <f>IF(AW80&gt;AW$136, AW80-AW$136,"")</f>
        <v/>
      </c>
      <c r="CA80" s="1" t="str">
        <f>IF(AX80&gt;AX$136, AX80-AX$136,"")</f>
        <v/>
      </c>
      <c r="CB80" s="1" t="str">
        <f>IF(AY80&gt;AY$136, AY80-AY$136,"")</f>
        <v/>
      </c>
      <c r="CC80" s="1" t="str">
        <f>IF(AZ80&gt;AZ$136, AZ80-AZ$136,"")</f>
        <v/>
      </c>
      <c r="CD80" s="1" t="str">
        <f>IF(BA80&gt;BA$136, BA80-BA$136,"")</f>
        <v/>
      </c>
      <c r="CE80" s="1" t="str">
        <f>IF(BB80&gt;BB$136, BB80-BB$136,"")</f>
        <v/>
      </c>
      <c r="CF80" s="1">
        <f>COUNTIF(BT80:CE80, "&gt;0")</f>
        <v>0</v>
      </c>
      <c r="CG80" s="1" t="str">
        <f>IF($CF80=1,BT80,"")</f>
        <v/>
      </c>
      <c r="CH80" s="1" t="str">
        <f>IF($CF80=1,BU80,"")</f>
        <v/>
      </c>
      <c r="CI80" s="1" t="str">
        <f>IF($CF80=1,BV80,"")</f>
        <v/>
      </c>
      <c r="CJ80" s="1" t="str">
        <f>IF($CF80=1,BW80,"")</f>
        <v/>
      </c>
      <c r="CK80" s="1" t="str">
        <f>IF($CF80=1,BX80,"")</f>
        <v/>
      </c>
      <c r="CL80" s="1" t="str">
        <f>IF($CF80=1,BY80,"")</f>
        <v/>
      </c>
      <c r="CM80" s="1" t="str">
        <f>IF($CF80=1,BZ80,"")</f>
        <v/>
      </c>
      <c r="CN80" s="1" t="str">
        <f>IF($CF80=1,CA80,"")</f>
        <v/>
      </c>
      <c r="CO80" s="1" t="str">
        <f>IF($CF80=1,CB80,"")</f>
        <v/>
      </c>
      <c r="CP80" s="1" t="str">
        <f>IF($CF80=1,CC80,"")</f>
        <v/>
      </c>
      <c r="CQ80" s="1" t="str">
        <f>IF($CF80=1,CD80,"")</f>
        <v/>
      </c>
      <c r="CR80" s="1" t="str">
        <f>IF($CF80=1,CE80,"")</f>
        <v/>
      </c>
      <c r="CS80" s="18">
        <f>SUM(AE80:BO80)</f>
        <v>15</v>
      </c>
    </row>
    <row r="81" spans="1:97" ht="40.5" x14ac:dyDescent="0.15">
      <c r="A81" s="1"/>
      <c r="B81" s="1" t="s">
        <v>113</v>
      </c>
      <c r="C81" s="1" t="s">
        <v>110</v>
      </c>
      <c r="D81" s="1" t="s">
        <v>107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>
        <v>5</v>
      </c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>
        <v>5</v>
      </c>
      <c r="AP81" s="1">
        <v>10</v>
      </c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</v>
      </c>
      <c r="BQ81" s="1">
        <v>16</v>
      </c>
      <c r="BR81" s="17">
        <v>3</v>
      </c>
      <c r="BS81" s="17" t="s">
        <v>263</v>
      </c>
      <c r="BT81" s="1" t="str">
        <f>IF(AQ81&gt;AQ$136, AQ81-AQ$136,"")</f>
        <v/>
      </c>
      <c r="BU81" s="1" t="str">
        <f>IF(AR81&gt;AR$136, AR81-AR$136,"")</f>
        <v/>
      </c>
      <c r="BV81" s="1" t="str">
        <f>IF(AS81&gt;AS$136, AS81-AS$136,"")</f>
        <v/>
      </c>
      <c r="BW81" s="1" t="str">
        <f>IF(AT81&gt;AT$136, AT81-AT$136,"")</f>
        <v/>
      </c>
      <c r="BX81" s="1" t="str">
        <f>IF(AU81&gt;AU$136, AU81-AU$136,"")</f>
        <v/>
      </c>
      <c r="BY81" s="1" t="str">
        <f>IF(AV81&gt;AV$136, AV81-AV$136,"")</f>
        <v/>
      </c>
      <c r="BZ81" s="1" t="str">
        <f>IF(AW81&gt;AW$136, AW81-AW$136,"")</f>
        <v/>
      </c>
      <c r="CA81" s="1" t="str">
        <f>IF(AX81&gt;AX$136, AX81-AX$136,"")</f>
        <v/>
      </c>
      <c r="CB81" s="1" t="str">
        <f>IF(AY81&gt;AY$136, AY81-AY$136,"")</f>
        <v/>
      </c>
      <c r="CC81" s="1" t="str">
        <f>IF(AZ81&gt;AZ$136, AZ81-AZ$136,"")</f>
        <v/>
      </c>
      <c r="CD81" s="1" t="str">
        <f>IF(BA81&gt;BA$136, BA81-BA$136,"")</f>
        <v/>
      </c>
      <c r="CE81" s="1" t="str">
        <f>IF(BB81&gt;BB$136, BB81-BB$136,"")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8"/>
    </row>
    <row r="82" spans="1:97" ht="40.5" x14ac:dyDescent="0.15">
      <c r="A82" s="1">
        <v>21</v>
      </c>
      <c r="B82" s="1" t="s">
        <v>38</v>
      </c>
      <c r="C82" s="1" t="s">
        <v>31</v>
      </c>
      <c r="D82" s="1" t="s">
        <v>26</v>
      </c>
      <c r="E82" s="6"/>
      <c r="F82" s="6"/>
      <c r="G82" s="6">
        <v>6</v>
      </c>
      <c r="H82" s="6">
        <v>6</v>
      </c>
      <c r="I82" s="6"/>
      <c r="J82" s="6"/>
      <c r="K82" s="6"/>
      <c r="L82" s="6"/>
      <c r="M82" s="6"/>
      <c r="N82" s="6"/>
      <c r="O82" s="6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>
        <v>10</v>
      </c>
      <c r="AT82" s="4"/>
      <c r="AU82" s="4"/>
      <c r="AV82" s="4"/>
      <c r="AW82" s="2"/>
      <c r="AX82" s="2"/>
      <c r="AY82" s="2"/>
      <c r="AZ82" s="2"/>
      <c r="BA82" s="2"/>
      <c r="BB82" s="2">
        <v>10</v>
      </c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32</v>
      </c>
      <c r="BQ82" s="1">
        <v>19</v>
      </c>
      <c r="BR82" s="17">
        <v>3</v>
      </c>
      <c r="BS82" s="17" t="s">
        <v>264</v>
      </c>
      <c r="BT82" s="1" t="str">
        <f>IF(AQ82&gt;AQ$136, AQ82-AQ$136,"")</f>
        <v/>
      </c>
      <c r="BU82" s="1" t="str">
        <f>IF(AR82&gt;AR$136, AR82-AR$136,"")</f>
        <v/>
      </c>
      <c r="BV82" s="1">
        <f>IF(AS82&gt;AS$136, AS82-AS$136,"")</f>
        <v>9</v>
      </c>
      <c r="BW82" s="1" t="str">
        <f>IF(AT82&gt;AT$136, AT82-AT$136,"")</f>
        <v/>
      </c>
      <c r="BX82" s="1" t="str">
        <f>IF(AU82&gt;AU$136, AU82-AU$136,"")</f>
        <v/>
      </c>
      <c r="BY82" s="1" t="str">
        <f>IF(AV82&gt;AV$136, AV82-AV$136,"")</f>
        <v/>
      </c>
      <c r="BZ82" s="1" t="str">
        <f>IF(AW82&gt;AW$136, AW82-AW$136,"")</f>
        <v/>
      </c>
      <c r="CA82" s="1" t="str">
        <f>IF(AX82&gt;AX$136, AX82-AX$136,"")</f>
        <v/>
      </c>
      <c r="CB82" s="1" t="str">
        <f>IF(AY82&gt;AY$136, AY82-AY$136,"")</f>
        <v/>
      </c>
      <c r="CC82" s="1" t="str">
        <f>IF(AZ82&gt;AZ$136, AZ82-AZ$136,"")</f>
        <v/>
      </c>
      <c r="CD82" s="1" t="str">
        <f>IF(BA82&gt;BA$136, BA82-BA$136,"")</f>
        <v/>
      </c>
      <c r="CE82" s="1" t="str">
        <f>IF(BB82&gt;BB$136, BB82-BB$136,"")</f>
        <v/>
      </c>
      <c r="CF82" s="1">
        <f>COUNTIF(BT82:CE82, "&gt;0")</f>
        <v>1</v>
      </c>
      <c r="CG82" s="1" t="str">
        <f>IF($CF82=1,BT82,"")</f>
        <v/>
      </c>
      <c r="CH82" s="1" t="str">
        <f>IF($CF82=1,BU82,"")</f>
        <v/>
      </c>
      <c r="CI82" s="1">
        <f>IF($CF82=1,BV82,"")</f>
        <v>9</v>
      </c>
      <c r="CJ82" s="1" t="str">
        <f>IF($CF82=1,BW82,"")</f>
        <v/>
      </c>
      <c r="CK82" s="1" t="str">
        <f>IF($CF82=1,BX82,"")</f>
        <v/>
      </c>
      <c r="CL82" s="1" t="str">
        <f>IF($CF82=1,BY82,"")</f>
        <v/>
      </c>
      <c r="CM82" s="1" t="str">
        <f>IF($CF82=1,BZ82,"")</f>
        <v/>
      </c>
      <c r="CN82" s="1" t="str">
        <f>IF($CF82=1,CA82,"")</f>
        <v/>
      </c>
      <c r="CO82" s="1" t="str">
        <f>IF($CF82=1,CB82,"")</f>
        <v/>
      </c>
      <c r="CP82" s="1" t="str">
        <f>IF($CF82=1,CC82,"")</f>
        <v/>
      </c>
      <c r="CQ82" s="1" t="str">
        <f>IF($CF82=1,CD82,"")</f>
        <v/>
      </c>
      <c r="CR82" s="1" t="str">
        <f>IF($CF82=1,CE82,"")</f>
        <v/>
      </c>
      <c r="CS82" s="18">
        <f>SUM(AE82:BO82)</f>
        <v>20</v>
      </c>
    </row>
    <row r="83" spans="1:97" ht="40.5" x14ac:dyDescent="0.15">
      <c r="A83" s="1"/>
      <c r="B83" s="1" t="s">
        <v>190</v>
      </c>
      <c r="C83" s="1" t="s">
        <v>106</v>
      </c>
      <c r="D83" s="1" t="s">
        <v>108</v>
      </c>
      <c r="E83" s="6"/>
      <c r="F83" s="6"/>
      <c r="G83" s="6"/>
      <c r="H83" s="6">
        <v>6</v>
      </c>
      <c r="I83" s="6"/>
      <c r="J83" s="6"/>
      <c r="K83" s="6">
        <v>6</v>
      </c>
      <c r="L83" s="6"/>
      <c r="M83" s="6"/>
      <c r="N83" s="6"/>
      <c r="O83" s="6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>
        <v>10</v>
      </c>
      <c r="AR83" s="4"/>
      <c r="AS83" s="4"/>
      <c r="AT83" s="4"/>
      <c r="AU83" s="4"/>
      <c r="AV83" s="4"/>
      <c r="AW83" s="2">
        <v>10</v>
      </c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32</v>
      </c>
      <c r="BQ83" s="1">
        <v>19</v>
      </c>
      <c r="BR83" s="17">
        <v>3</v>
      </c>
      <c r="BS83" s="17" t="s">
        <v>266</v>
      </c>
      <c r="BT83" s="1">
        <f>IF(AQ83&gt;AQ$136, AQ83-AQ$136,"")</f>
        <v>7</v>
      </c>
      <c r="BU83" s="1" t="str">
        <f>IF(AR83&gt;AR$136, AR83-AR$136,"")</f>
        <v/>
      </c>
      <c r="BV83" s="1" t="str">
        <f>IF(AS83&gt;AS$136, AS83-AS$136,"")</f>
        <v/>
      </c>
      <c r="BW83" s="1" t="str">
        <f>IF(AT83&gt;AT$136, AT83-AT$136,"")</f>
        <v/>
      </c>
      <c r="BX83" s="1" t="str">
        <f>IF(AU83&gt;AU$136, AU83-AU$136,"")</f>
        <v/>
      </c>
      <c r="BY83" s="1" t="str">
        <f>IF(AV83&gt;AV$136, AV83-AV$136,"")</f>
        <v/>
      </c>
      <c r="BZ83" s="1">
        <f>IF(AW83&gt;AW$136, AW83-AW$136,"")</f>
        <v>6</v>
      </c>
      <c r="CA83" s="1" t="str">
        <f>IF(AX83&gt;AX$136, AX83-AX$136,"")</f>
        <v/>
      </c>
      <c r="CB83" s="1" t="str">
        <f>IF(AY83&gt;AY$136, AY83-AY$136,"")</f>
        <v/>
      </c>
      <c r="CC83" s="1" t="str">
        <f>IF(AZ83&gt;AZ$136, AZ83-AZ$136,"")</f>
        <v/>
      </c>
      <c r="CD83" s="1" t="str">
        <f>IF(BA83&gt;BA$136, BA83-BA$136,"")</f>
        <v/>
      </c>
      <c r="CE83" s="1" t="str">
        <f>IF(BB83&gt;BB$136, BB83-BB$136,"")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8"/>
    </row>
    <row r="84" spans="1:97" ht="40.5" x14ac:dyDescent="0.15">
      <c r="A84" s="1"/>
      <c r="B84" s="1" t="s">
        <v>113</v>
      </c>
      <c r="C84" s="1" t="s">
        <v>110</v>
      </c>
      <c r="D84" s="1" t="s">
        <v>108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>
        <v>10</v>
      </c>
      <c r="AP84" s="1">
        <v>10</v>
      </c>
      <c r="AQ84" s="4"/>
      <c r="AR84" s="4"/>
      <c r="AS84" s="4">
        <v>5</v>
      </c>
      <c r="AT84" s="4"/>
      <c r="AU84" s="4"/>
      <c r="AV84" s="4"/>
      <c r="AW84" s="2"/>
      <c r="AX84" s="2">
        <v>5</v>
      </c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30</v>
      </c>
      <c r="BQ84" s="1">
        <v>24</v>
      </c>
      <c r="BR84" s="17">
        <v>3</v>
      </c>
      <c r="BS84" s="17" t="s">
        <v>267</v>
      </c>
      <c r="BT84" s="1" t="str">
        <f>IF(AQ84&gt;AQ$136, AQ84-AQ$136,"")</f>
        <v/>
      </c>
      <c r="BU84" s="1" t="str">
        <f>IF(AR84&gt;AR$136, AR84-AR$136,"")</f>
        <v/>
      </c>
      <c r="BV84" s="1">
        <f>IF(AS84&gt;AS$136, AS84-AS$136,"")</f>
        <v>4</v>
      </c>
      <c r="BW84" s="1" t="str">
        <f>IF(AT84&gt;AT$136, AT84-AT$136,"")</f>
        <v/>
      </c>
      <c r="BX84" s="1" t="str">
        <f>IF(AU84&gt;AU$136, AU84-AU$136,"")</f>
        <v/>
      </c>
      <c r="BY84" s="1" t="str">
        <f>IF(AV84&gt;AV$136, AV84-AV$136,"")</f>
        <v/>
      </c>
      <c r="BZ84" s="1" t="str">
        <f>IF(AW84&gt;AW$136, AW84-AW$136,"")</f>
        <v/>
      </c>
      <c r="CA84" s="1" t="str">
        <f>IF(AX84&gt;AX$136, AX84-AX$136,"")</f>
        <v/>
      </c>
      <c r="CB84" s="1" t="str">
        <f>IF(AY84&gt;AY$136, AY84-AY$136,"")</f>
        <v/>
      </c>
      <c r="CC84" s="1" t="str">
        <f>IF(AZ84&gt;AZ$136, AZ84-AZ$136,"")</f>
        <v/>
      </c>
      <c r="CD84" s="1" t="str">
        <f>IF(BA84&gt;BA$136, BA84-BA$136,"")</f>
        <v/>
      </c>
      <c r="CE84" s="1" t="str">
        <f>IF(BB84&gt;BB$136, BB84-BB$136,"")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8"/>
    </row>
    <row r="85" spans="1:97" ht="40.5" x14ac:dyDescent="0.15">
      <c r="A85" s="1">
        <v>3</v>
      </c>
      <c r="B85" s="1" t="s">
        <v>11</v>
      </c>
      <c r="C85" s="1" t="s">
        <v>2</v>
      </c>
      <c r="D85" s="1" t="s">
        <v>12</v>
      </c>
      <c r="E85" s="6">
        <v>15</v>
      </c>
      <c r="F85" s="6"/>
      <c r="G85" s="6">
        <v>15</v>
      </c>
      <c r="H85" s="6"/>
      <c r="I85" s="6"/>
      <c r="J85" s="6"/>
      <c r="K85" s="6"/>
      <c r="L85" s="6"/>
      <c r="M85" s="6"/>
      <c r="N85" s="6"/>
      <c r="O85" s="6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15</v>
      </c>
      <c r="AS85" s="4"/>
      <c r="AT85" s="4"/>
      <c r="AU85" s="4"/>
      <c r="AV85" s="4"/>
      <c r="AW85" s="2"/>
      <c r="AX85" s="2"/>
      <c r="AY85" s="2"/>
      <c r="AZ85" s="2"/>
      <c r="BA85" s="2"/>
      <c r="BB85" s="2">
        <v>15</v>
      </c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60</v>
      </c>
      <c r="BQ85" s="1">
        <v>25</v>
      </c>
      <c r="BR85" s="17">
        <v>3</v>
      </c>
      <c r="BS85" s="17" t="s">
        <v>268</v>
      </c>
      <c r="BT85" s="1" t="str">
        <f>IF(AQ85&gt;AQ$136, AQ85-AQ$136,"")</f>
        <v/>
      </c>
      <c r="BU85" s="1">
        <f>IF(AR85&gt;AR$136, AR85-AR$136,"")</f>
        <v>11</v>
      </c>
      <c r="BV85" s="1" t="str">
        <f>IF(AS85&gt;AS$136, AS85-AS$136,"")</f>
        <v/>
      </c>
      <c r="BW85" s="1" t="str">
        <f>IF(AT85&gt;AT$136, AT85-AT$136,"")</f>
        <v/>
      </c>
      <c r="BX85" s="1" t="str">
        <f>IF(AU85&gt;AU$136, AU85-AU$136,"")</f>
        <v/>
      </c>
      <c r="BY85" s="1" t="str">
        <f>IF(AV85&gt;AV$136, AV85-AV$136,"")</f>
        <v/>
      </c>
      <c r="BZ85" s="1" t="str">
        <f>IF(AW85&gt;AW$136, AW85-AW$136,"")</f>
        <v/>
      </c>
      <c r="CA85" s="1" t="str">
        <f>IF(AX85&gt;AX$136, AX85-AX$136,"")</f>
        <v/>
      </c>
      <c r="CB85" s="1" t="str">
        <f>IF(AY85&gt;AY$136, AY85-AY$136,"")</f>
        <v/>
      </c>
      <c r="CC85" s="1" t="str">
        <f>IF(AZ85&gt;AZ$136, AZ85-AZ$136,"")</f>
        <v/>
      </c>
      <c r="CD85" s="1" t="str">
        <f>IF(BA85&gt;BA$136, BA85-BA$136,"")</f>
        <v/>
      </c>
      <c r="CE85" s="1" t="str">
        <f>IF(BB85&gt;BB$136, BB85-BB$136,"")</f>
        <v/>
      </c>
      <c r="CF85" s="1">
        <f>COUNTIF(BT85:CE85, "&gt;0")</f>
        <v>1</v>
      </c>
      <c r="CG85" s="1" t="str">
        <f>IF($CF85=1,BT85,"")</f>
        <v/>
      </c>
      <c r="CH85" s="1">
        <f>IF($CF85=1,BU85,"")</f>
        <v>11</v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 t="str">
        <f>IF($CF85=1,CD85,"")</f>
        <v/>
      </c>
      <c r="CR85" s="1" t="str">
        <f>IF($CF85=1,CE85,"")</f>
        <v/>
      </c>
      <c r="CS85" s="18">
        <f>SUM(AE85:BO85)</f>
        <v>30</v>
      </c>
    </row>
    <row r="86" spans="1:97" ht="40.5" x14ac:dyDescent="0.15">
      <c r="A86" s="1"/>
      <c r="B86" s="1" t="s">
        <v>175</v>
      </c>
      <c r="C86" s="1" t="s">
        <v>118</v>
      </c>
      <c r="D86" s="1" t="s">
        <v>107</v>
      </c>
      <c r="E86" s="6">
        <v>15</v>
      </c>
      <c r="F86" s="6"/>
      <c r="G86" s="6">
        <v>15</v>
      </c>
      <c r="H86" s="6"/>
      <c r="I86" s="6"/>
      <c r="J86" s="6"/>
      <c r="K86" s="6"/>
      <c r="L86" s="6"/>
      <c r="M86" s="6"/>
      <c r="N86" s="6"/>
      <c r="O86" s="6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>
        <v>15</v>
      </c>
      <c r="AS86" s="4"/>
      <c r="AT86" s="4"/>
      <c r="AU86" s="4"/>
      <c r="AV86" s="4"/>
      <c r="AW86" s="2"/>
      <c r="AX86" s="2"/>
      <c r="AY86" s="2"/>
      <c r="AZ86" s="2"/>
      <c r="BA86" s="2"/>
      <c r="BB86" s="2">
        <v>15</v>
      </c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60</v>
      </c>
      <c r="BQ86" s="1">
        <v>25</v>
      </c>
      <c r="BR86" s="17">
        <v>3</v>
      </c>
      <c r="BS86" s="17" t="s">
        <v>269</v>
      </c>
      <c r="BT86" s="1" t="str">
        <f>IF(AQ86&gt;AQ$136, AQ86-AQ$136,"")</f>
        <v/>
      </c>
      <c r="BU86" s="1">
        <f>IF(AR86&gt;AR$136, AR86-AR$136,"")</f>
        <v>11</v>
      </c>
      <c r="BV86" s="1" t="str">
        <f>IF(AS86&gt;AS$136, AS86-AS$136,"")</f>
        <v/>
      </c>
      <c r="BW86" s="1" t="str">
        <f>IF(AT86&gt;AT$136, AT86-AT$136,"")</f>
        <v/>
      </c>
      <c r="BX86" s="1" t="str">
        <f>IF(AU86&gt;AU$136, AU86-AU$136,"")</f>
        <v/>
      </c>
      <c r="BY86" s="1" t="str">
        <f>IF(AV86&gt;AV$136, AV86-AV$136,"")</f>
        <v/>
      </c>
      <c r="BZ86" s="1" t="str">
        <f>IF(AW86&gt;AW$136, AW86-AW$136,"")</f>
        <v/>
      </c>
      <c r="CA86" s="1" t="str">
        <f>IF(AX86&gt;AX$136, AX86-AX$136,"")</f>
        <v/>
      </c>
      <c r="CB86" s="1" t="str">
        <f>IF(AY86&gt;AY$136, AY86-AY$136,"")</f>
        <v/>
      </c>
      <c r="CC86" s="1" t="str">
        <f>IF(AZ86&gt;AZ$136, AZ86-AZ$136,"")</f>
        <v/>
      </c>
      <c r="CD86" s="1" t="str">
        <f>IF(BA86&gt;BA$136, BA86-BA$136,"")</f>
        <v/>
      </c>
      <c r="CE86" s="1" t="str">
        <f>IF(BB86&gt;BB$136, BB86-BB$136,"")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8"/>
    </row>
    <row r="87" spans="1:97" ht="40.5" x14ac:dyDescent="0.15">
      <c r="A87" s="1"/>
      <c r="B87" s="1" t="s">
        <v>177</v>
      </c>
      <c r="C87" s="1" t="s">
        <v>118</v>
      </c>
      <c r="D87" s="1" t="s">
        <v>107</v>
      </c>
      <c r="E87" s="6">
        <v>15</v>
      </c>
      <c r="F87" s="6"/>
      <c r="G87" s="6">
        <v>15</v>
      </c>
      <c r="H87" s="6"/>
      <c r="I87" s="6"/>
      <c r="J87" s="6"/>
      <c r="K87" s="6"/>
      <c r="L87" s="6"/>
      <c r="M87" s="6"/>
      <c r="N87" s="6"/>
      <c r="O87" s="6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15</v>
      </c>
      <c r="AS87" s="4"/>
      <c r="AT87" s="4"/>
      <c r="AU87" s="4"/>
      <c r="AV87" s="4"/>
      <c r="AW87" s="2"/>
      <c r="AX87" s="2"/>
      <c r="AY87" s="2"/>
      <c r="AZ87" s="2"/>
      <c r="BA87" s="2"/>
      <c r="BB87" s="2">
        <v>15</v>
      </c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60</v>
      </c>
      <c r="BQ87" s="1">
        <v>25</v>
      </c>
      <c r="BR87" s="17">
        <v>3</v>
      </c>
      <c r="BS87" s="17" t="s">
        <v>269</v>
      </c>
      <c r="BT87" s="1" t="str">
        <f>IF(AQ87&gt;AQ$136, AQ87-AQ$136,"")</f>
        <v/>
      </c>
      <c r="BU87" s="1">
        <f>IF(AR87&gt;AR$136, AR87-AR$136,"")</f>
        <v>11</v>
      </c>
      <c r="BV87" s="1" t="str">
        <f>IF(AS87&gt;AS$136, AS87-AS$136,"")</f>
        <v/>
      </c>
      <c r="BW87" s="1" t="str">
        <f>IF(AT87&gt;AT$136, AT87-AT$136,"")</f>
        <v/>
      </c>
      <c r="BX87" s="1" t="str">
        <f>IF(AU87&gt;AU$136, AU87-AU$136,"")</f>
        <v/>
      </c>
      <c r="BY87" s="1" t="str">
        <f>IF(AV87&gt;AV$136, AV87-AV$136,"")</f>
        <v/>
      </c>
      <c r="BZ87" s="1" t="str">
        <f>IF(AW87&gt;AW$136, AW87-AW$136,"")</f>
        <v/>
      </c>
      <c r="CA87" s="1" t="str">
        <f>IF(AX87&gt;AX$136, AX87-AX$136,"")</f>
        <v/>
      </c>
      <c r="CB87" s="1" t="str">
        <f>IF(AY87&gt;AY$136, AY87-AY$136,"")</f>
        <v/>
      </c>
      <c r="CC87" s="1" t="str">
        <f>IF(AZ87&gt;AZ$136, AZ87-AZ$136,"")</f>
        <v/>
      </c>
      <c r="CD87" s="1" t="str">
        <f>IF(BA87&gt;BA$136, BA87-BA$136,"")</f>
        <v/>
      </c>
      <c r="CE87" s="1" t="str">
        <f>IF(BB87&gt;BB$136, BB87-BB$136,"")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ht="40.5" x14ac:dyDescent="0.15">
      <c r="A88" s="1">
        <v>1</v>
      </c>
      <c r="B88" s="1" t="s">
        <v>0</v>
      </c>
      <c r="C88" s="1" t="s">
        <v>2</v>
      </c>
      <c r="D88" s="1" t="s">
        <v>1</v>
      </c>
      <c r="E88" s="6">
        <v>10</v>
      </c>
      <c r="F88" s="6">
        <v>10</v>
      </c>
      <c r="G88" s="6"/>
      <c r="H88" s="6"/>
      <c r="I88" s="6"/>
      <c r="J88" s="6"/>
      <c r="K88" s="6"/>
      <c r="L88" s="6"/>
      <c r="M88" s="6"/>
      <c r="N88" s="6"/>
      <c r="O88" s="6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10</v>
      </c>
      <c r="AS88" s="4"/>
      <c r="AT88" s="4"/>
      <c r="AU88" s="4"/>
      <c r="AV88" s="4"/>
      <c r="AW88" s="2">
        <v>15</v>
      </c>
      <c r="AX88" s="2">
        <v>15</v>
      </c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60</v>
      </c>
      <c r="BQ88" s="1">
        <v>26</v>
      </c>
      <c r="BR88" s="17">
        <v>3</v>
      </c>
      <c r="BS88" s="17" t="s">
        <v>270</v>
      </c>
      <c r="BT88" s="1" t="str">
        <f>IF(AQ88&gt;AQ$136, AQ88-AQ$136,"")</f>
        <v/>
      </c>
      <c r="BU88" s="1">
        <f>IF(AR88&gt;AR$136, AR88-AR$136,"")</f>
        <v>6</v>
      </c>
      <c r="BV88" s="1" t="str">
        <f>IF(AS88&gt;AS$136, AS88-AS$136,"")</f>
        <v/>
      </c>
      <c r="BW88" s="1" t="str">
        <f>IF(AT88&gt;AT$136, AT88-AT$136,"")</f>
        <v/>
      </c>
      <c r="BX88" s="1" t="str">
        <f>IF(AU88&gt;AU$136, AU88-AU$136,"")</f>
        <v/>
      </c>
      <c r="BY88" s="1" t="str">
        <f>IF(AV88&gt;AV$136, AV88-AV$136,"")</f>
        <v/>
      </c>
      <c r="BZ88" s="1">
        <f>IF(AW88&gt;AW$136, AW88-AW$136,"")</f>
        <v>11</v>
      </c>
      <c r="CA88" s="1" t="str">
        <f>IF(AX88&gt;AX$136, AX88-AX$136,"")</f>
        <v/>
      </c>
      <c r="CB88" s="1" t="str">
        <f>IF(AY88&gt;AY$136, AY88-AY$136,"")</f>
        <v/>
      </c>
      <c r="CC88" s="1" t="str">
        <f>IF(AZ88&gt;AZ$136, AZ88-AZ$136,"")</f>
        <v/>
      </c>
      <c r="CD88" s="1" t="str">
        <f>IF(BA88&gt;BA$136, BA88-BA$136,"")</f>
        <v/>
      </c>
      <c r="CE88" s="1" t="str">
        <f>IF(BB88&gt;BB$136, BB88-BB$136,"")</f>
        <v/>
      </c>
      <c r="CF88" s="1">
        <f>COUNTIF(BT88:CE88, "&gt;0")</f>
        <v>2</v>
      </c>
      <c r="CG88" s="1" t="str">
        <f>IF($CF88=1,BT88,"")</f>
        <v/>
      </c>
      <c r="CH88" s="1" t="str">
        <f>IF($CF88=1,BU88,"")</f>
        <v/>
      </c>
      <c r="CI88" s="1" t="str">
        <f>IF($CF88=1,BV88,"")</f>
        <v/>
      </c>
      <c r="CJ88" s="1" t="str">
        <f>IF($CF88=1,BW88,"")</f>
        <v/>
      </c>
      <c r="CK88" s="1" t="str">
        <f>IF($CF88=1,BX88,"")</f>
        <v/>
      </c>
      <c r="CL88" s="1" t="str">
        <f>IF($CF88=1,BY88,"")</f>
        <v/>
      </c>
      <c r="CM88" s="1" t="str">
        <f>IF($CF88=1,BZ88,"")</f>
        <v/>
      </c>
      <c r="CN88" s="1" t="str">
        <f>IF($CF88=1,CA88,"")</f>
        <v/>
      </c>
      <c r="CO88" s="1" t="str">
        <f>IF($CF88=1,CB88,"")</f>
        <v/>
      </c>
      <c r="CP88" s="1" t="str">
        <f>IF($CF88=1,CC88,"")</f>
        <v/>
      </c>
      <c r="CQ88" s="1" t="str">
        <f>IF($CF88=1,CD88,"")</f>
        <v/>
      </c>
      <c r="CR88" s="1" t="str">
        <f>IF($CF88=1,CE88,"")</f>
        <v/>
      </c>
      <c r="CS88" s="18">
        <f>SUM(AE88:BO88)</f>
        <v>40</v>
      </c>
    </row>
    <row r="89" spans="1:97" ht="40.5" x14ac:dyDescent="0.15">
      <c r="A89" s="1"/>
      <c r="B89" s="1" t="s">
        <v>149</v>
      </c>
      <c r="C89" s="1" t="s">
        <v>151</v>
      </c>
      <c r="D89" s="1" t="s">
        <v>126</v>
      </c>
      <c r="E89" s="6"/>
      <c r="F89" s="6"/>
      <c r="G89" s="6"/>
      <c r="H89" s="6"/>
      <c r="I89" s="6"/>
      <c r="J89" s="6">
        <v>10</v>
      </c>
      <c r="K89" s="6"/>
      <c r="L89" s="6"/>
      <c r="M89" s="6"/>
      <c r="N89" s="6"/>
      <c r="O89" s="6"/>
      <c r="P89" s="31"/>
      <c r="Q89" s="31"/>
      <c r="R89" s="31"/>
      <c r="S89" s="31"/>
      <c r="T89" s="31"/>
      <c r="U89" s="31">
        <v>10</v>
      </c>
      <c r="V89" s="31"/>
      <c r="W89" s="31"/>
      <c r="X89" s="31"/>
      <c r="Y89" s="31"/>
      <c r="Z89" s="31"/>
      <c r="AA89" s="31">
        <v>10</v>
      </c>
      <c r="AB89" s="31"/>
      <c r="AC89" s="31"/>
      <c r="AD89" s="3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>
        <v>10</v>
      </c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26</v>
      </c>
      <c r="BR89" s="17">
        <v>3</v>
      </c>
      <c r="BS89" s="17" t="s">
        <v>271</v>
      </c>
      <c r="BT89" s="1">
        <f>IF(AQ89&gt;AQ$136, AQ89-AQ$136,"")</f>
        <v>7</v>
      </c>
      <c r="BU89" s="1" t="str">
        <f>IF(AR89&gt;AR$136, AR89-AR$136,"")</f>
        <v/>
      </c>
      <c r="BV89" s="1" t="str">
        <f>IF(AS89&gt;AS$136, AS89-AS$136,"")</f>
        <v/>
      </c>
      <c r="BW89" s="1" t="str">
        <f>IF(AT89&gt;AT$136, AT89-AT$136,"")</f>
        <v/>
      </c>
      <c r="BX89" s="1" t="str">
        <f>IF(AU89&gt;AU$136, AU89-AU$136,"")</f>
        <v/>
      </c>
      <c r="BY89" s="1" t="str">
        <f>IF(AV89&gt;AV$136, AV89-AV$136,"")</f>
        <v/>
      </c>
      <c r="BZ89" s="1" t="str">
        <f>IF(AW89&gt;AW$136, AW89-AW$136,"")</f>
        <v/>
      </c>
      <c r="CA89" s="1" t="str">
        <f>IF(AX89&gt;AX$136, AX89-AX$136,"")</f>
        <v/>
      </c>
      <c r="CB89" s="1" t="str">
        <f>IF(AY89&gt;AY$136, AY89-AY$136,"")</f>
        <v/>
      </c>
      <c r="CC89" s="1" t="str">
        <f>IF(AZ89&gt;AZ$136, AZ89-AZ$136,"")</f>
        <v/>
      </c>
      <c r="CD89" s="1" t="str">
        <f>IF(BA89&gt;BA$136, BA89-BA$136,"")</f>
        <v/>
      </c>
      <c r="CE89" s="1" t="str">
        <f>IF(BB89&gt;BB$136, BB89-BB$136,"")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ht="40.5" x14ac:dyDescent="0.15">
      <c r="A90" s="1"/>
      <c r="B90" s="1" t="s">
        <v>159</v>
      </c>
      <c r="C90" s="1" t="s">
        <v>153</v>
      </c>
      <c r="D90" s="1" t="s">
        <v>126</v>
      </c>
      <c r="E90" s="6"/>
      <c r="F90" s="6"/>
      <c r="G90" s="6"/>
      <c r="H90" s="6"/>
      <c r="I90" s="6"/>
      <c r="J90" s="6">
        <v>10</v>
      </c>
      <c r="K90" s="6"/>
      <c r="L90" s="6"/>
      <c r="M90" s="6"/>
      <c r="N90" s="6"/>
      <c r="O90" s="6"/>
      <c r="P90" s="31"/>
      <c r="Q90" s="31"/>
      <c r="R90" s="31"/>
      <c r="S90" s="31"/>
      <c r="T90" s="31"/>
      <c r="U90" s="31">
        <v>10</v>
      </c>
      <c r="V90" s="31"/>
      <c r="W90" s="31"/>
      <c r="X90" s="31"/>
      <c r="Y90" s="31"/>
      <c r="Z90" s="31"/>
      <c r="AA90" s="31">
        <v>10</v>
      </c>
      <c r="AB90" s="31"/>
      <c r="AC90" s="31"/>
      <c r="AD90" s="3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>
        <v>10</v>
      </c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26</v>
      </c>
      <c r="BR90" s="17">
        <v>3</v>
      </c>
      <c r="BS90" s="17" t="s">
        <v>272</v>
      </c>
      <c r="BT90" s="1">
        <f>IF(AQ90&gt;AQ$136, AQ90-AQ$136,"")</f>
        <v>7</v>
      </c>
      <c r="BU90" s="1" t="str">
        <f>IF(AR90&gt;AR$136, AR90-AR$136,"")</f>
        <v/>
      </c>
      <c r="BV90" s="1" t="str">
        <f>IF(AS90&gt;AS$136, AS90-AS$136,"")</f>
        <v/>
      </c>
      <c r="BW90" s="1" t="str">
        <f>IF(AT90&gt;AT$136, AT90-AT$136,"")</f>
        <v/>
      </c>
      <c r="BX90" s="1" t="str">
        <f>IF(AU90&gt;AU$136, AU90-AU$136,"")</f>
        <v/>
      </c>
      <c r="BY90" s="1" t="str">
        <f>IF(AV90&gt;AV$136, AV90-AV$136,"")</f>
        <v/>
      </c>
      <c r="BZ90" s="1" t="str">
        <f>IF(AW90&gt;AW$136, AW90-AW$136,"")</f>
        <v/>
      </c>
      <c r="CA90" s="1" t="str">
        <f>IF(AX90&gt;AX$136, AX90-AX$136,"")</f>
        <v/>
      </c>
      <c r="CB90" s="1" t="str">
        <f>IF(AY90&gt;AY$136, AY90-AY$136,"")</f>
        <v/>
      </c>
      <c r="CC90" s="1" t="str">
        <f>IF(AZ90&gt;AZ$136, AZ90-AZ$136,"")</f>
        <v/>
      </c>
      <c r="CD90" s="1" t="str">
        <f>IF(BA90&gt;BA$136, BA90-BA$136,"")</f>
        <v/>
      </c>
      <c r="CE90" s="1" t="str">
        <f>IF(BB90&gt;BB$136, BB90-BB$136,"")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8"/>
    </row>
    <row r="91" spans="1:97" ht="40.5" x14ac:dyDescent="0.15">
      <c r="A91" s="1"/>
      <c r="B91" s="1" t="s">
        <v>155</v>
      </c>
      <c r="C91" s="1" t="s">
        <v>153</v>
      </c>
      <c r="D91" s="1" t="s">
        <v>126</v>
      </c>
      <c r="E91" s="6"/>
      <c r="F91" s="6"/>
      <c r="G91" s="6"/>
      <c r="H91" s="6">
        <v>10</v>
      </c>
      <c r="I91" s="6"/>
      <c r="J91" s="6"/>
      <c r="K91" s="6"/>
      <c r="L91" s="6"/>
      <c r="M91" s="6"/>
      <c r="N91" s="6"/>
      <c r="O91" s="6"/>
      <c r="P91" s="31"/>
      <c r="Q91" s="31"/>
      <c r="R91" s="31">
        <v>10</v>
      </c>
      <c r="S91" s="31"/>
      <c r="T91" s="31"/>
      <c r="U91" s="31">
        <v>10</v>
      </c>
      <c r="V91" s="31"/>
      <c r="W91" s="31"/>
      <c r="X91" s="31"/>
      <c r="Y91" s="31"/>
      <c r="Z91" s="31"/>
      <c r="AA91" s="31"/>
      <c r="AB91" s="31"/>
      <c r="AC91" s="31"/>
      <c r="AD91" s="3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>
        <v>10</v>
      </c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28</v>
      </c>
      <c r="BR91" s="17">
        <v>3</v>
      </c>
      <c r="BS91" s="17" t="s">
        <v>292</v>
      </c>
      <c r="BT91" s="1" t="str">
        <f>IF(AQ91&gt;AQ$136, AQ91-AQ$136,"")</f>
        <v/>
      </c>
      <c r="BU91" s="1" t="str">
        <f>IF(AR91&gt;AR$136, AR91-AR$136,"")</f>
        <v/>
      </c>
      <c r="BV91" s="1" t="str">
        <f>IF(AS91&gt;AS$136, AS91-AS$136,"")</f>
        <v/>
      </c>
      <c r="BW91" s="1" t="str">
        <f>IF(AT91&gt;AT$136, AT91-AT$136,"")</f>
        <v/>
      </c>
      <c r="BX91" s="1" t="str">
        <f>IF(AU91&gt;AU$136, AU91-AU$136,"")</f>
        <v/>
      </c>
      <c r="BY91" s="1" t="str">
        <f>IF(AV91&gt;AV$136, AV91-AV$136,"")</f>
        <v/>
      </c>
      <c r="BZ91" s="1" t="str">
        <f>IF(AW91&gt;AW$136, AW91-AW$136,"")</f>
        <v/>
      </c>
      <c r="CA91" s="1" t="str">
        <f>IF(AX91&gt;AX$136, AX91-AX$136,"")</f>
        <v/>
      </c>
      <c r="CB91" s="1" t="str">
        <f>IF(AY91&gt;AY$136, AY91-AY$136,"")</f>
        <v/>
      </c>
      <c r="CC91" s="1" t="str">
        <f>IF(AZ91&gt;AZ$136, AZ91-AZ$136,"")</f>
        <v/>
      </c>
      <c r="CD91" s="1" t="str">
        <f>IF(BA91&gt;BA$136, BA91-BA$136,"")</f>
        <v/>
      </c>
      <c r="CE91" s="1" t="str">
        <f>IF(BB91&gt;BB$136, BB91-BB$136,"")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40.5" x14ac:dyDescent="0.15">
      <c r="A92" s="1">
        <v>78</v>
      </c>
      <c r="B92" s="3" t="s">
        <v>66</v>
      </c>
      <c r="C92" s="3" t="s">
        <v>64</v>
      </c>
      <c r="D92" s="1" t="s">
        <v>1</v>
      </c>
      <c r="E92" s="6"/>
      <c r="F92" s="6"/>
      <c r="G92" s="6">
        <v>15</v>
      </c>
      <c r="H92" s="6">
        <v>15</v>
      </c>
      <c r="I92" s="6"/>
      <c r="J92" s="6"/>
      <c r="K92" s="6"/>
      <c r="L92" s="6"/>
      <c r="M92" s="6"/>
      <c r="N92" s="6"/>
      <c r="O92" s="6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>
        <v>15</v>
      </c>
      <c r="BB92" s="2">
        <v>15</v>
      </c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60</v>
      </c>
      <c r="BQ92" s="1">
        <v>36</v>
      </c>
      <c r="BR92" s="17">
        <v>3</v>
      </c>
      <c r="BS92" s="17" t="s">
        <v>273</v>
      </c>
      <c r="BT92" s="1" t="str">
        <f>IF(AQ92&gt;AQ$136, AQ92-AQ$136,"")</f>
        <v/>
      </c>
      <c r="BU92" s="1" t="str">
        <f>IF(AR92&gt;AR$136, AR92-AR$136,"")</f>
        <v/>
      </c>
      <c r="BV92" s="1" t="str">
        <f>IF(AS92&gt;AS$136, AS92-AS$136,"")</f>
        <v/>
      </c>
      <c r="BW92" s="1" t="str">
        <f>IF(AT92&gt;AT$136, AT92-AT$136,"")</f>
        <v/>
      </c>
      <c r="BX92" s="1" t="str">
        <f>IF(AU92&gt;AU$136, AU92-AU$136,"")</f>
        <v/>
      </c>
      <c r="BY92" s="1" t="str">
        <f>IF(AV92&gt;AV$136, AV92-AV$136,"")</f>
        <v/>
      </c>
      <c r="BZ92" s="1" t="str">
        <f>IF(AW92&gt;AW$136, AW92-AW$136,"")</f>
        <v/>
      </c>
      <c r="CA92" s="1" t="str">
        <f>IF(AX92&gt;AX$136, AX92-AX$136,"")</f>
        <v/>
      </c>
      <c r="CB92" s="1" t="str">
        <f>IF(AY92&gt;AY$136, AY92-AY$136,"")</f>
        <v/>
      </c>
      <c r="CC92" s="1" t="str">
        <f>IF(AZ92&gt;AZ$136, AZ92-AZ$136,"")</f>
        <v/>
      </c>
      <c r="CD92" s="1">
        <f>IF(BA92&gt;BA$136, BA92-BA$136,"")</f>
        <v>8</v>
      </c>
      <c r="CE92" s="1" t="str">
        <f>IF(BB92&gt;BB$136, BB92-BB$136,"")</f>
        <v/>
      </c>
      <c r="CF92" s="1">
        <f>COUNTIF(BT92:CE92, "&gt;0")</f>
        <v>1</v>
      </c>
      <c r="CG92" s="1" t="str">
        <f>IF($CF92=1,BT92,"")</f>
        <v/>
      </c>
      <c r="CH92" s="1" t="str">
        <f>IF($CF92=1,BU92,"")</f>
        <v/>
      </c>
      <c r="CI92" s="1" t="str">
        <f>IF($CF92=1,BV92,"")</f>
        <v/>
      </c>
      <c r="CJ92" s="1" t="str">
        <f>IF($CF92=1,BW92,"")</f>
        <v/>
      </c>
      <c r="CK92" s="1" t="str">
        <f>IF($CF92=1,BX92,"")</f>
        <v/>
      </c>
      <c r="CL92" s="1" t="str">
        <f>IF($CF92=1,BY92,"")</f>
        <v/>
      </c>
      <c r="CM92" s="1" t="str">
        <f>IF($CF92=1,BZ92,"")</f>
        <v/>
      </c>
      <c r="CN92" s="1" t="str">
        <f>IF($CF92=1,CA92,"")</f>
        <v/>
      </c>
      <c r="CO92" s="1" t="str">
        <f>IF($CF92=1,CB92,"")</f>
        <v/>
      </c>
      <c r="CP92" s="1" t="str">
        <f>IF($CF92=1,CC92,"")</f>
        <v/>
      </c>
      <c r="CQ92" s="1">
        <f>IF($CF92=1,CD92,"")</f>
        <v>8</v>
      </c>
      <c r="CR92" s="1" t="str">
        <f>IF($CF92=1,CE92,"")</f>
        <v/>
      </c>
      <c r="CS92" s="18">
        <f>SUM(AE92:BO92)</f>
        <v>30</v>
      </c>
    </row>
    <row r="93" spans="1:97" ht="40.5" x14ac:dyDescent="0.15">
      <c r="A93" s="1"/>
      <c r="B93" s="1" t="s">
        <v>187</v>
      </c>
      <c r="C93" s="1" t="s">
        <v>121</v>
      </c>
      <c r="D93" s="1" t="s">
        <v>107</v>
      </c>
      <c r="E93" s="6"/>
      <c r="F93" s="6"/>
      <c r="G93" s="6">
        <v>15</v>
      </c>
      <c r="H93" s="6">
        <v>15</v>
      </c>
      <c r="I93" s="6"/>
      <c r="J93" s="6"/>
      <c r="K93" s="6"/>
      <c r="L93" s="6"/>
      <c r="M93" s="6"/>
      <c r="N93" s="6"/>
      <c r="O93" s="6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>
        <v>15</v>
      </c>
      <c r="BB93" s="2">
        <v>15</v>
      </c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60</v>
      </c>
      <c r="BQ93" s="1">
        <v>36</v>
      </c>
      <c r="BR93" s="17">
        <v>3</v>
      </c>
      <c r="BS93" s="17" t="s">
        <v>274</v>
      </c>
      <c r="BT93" s="1" t="str">
        <f>IF(AQ93&gt;AQ$136, AQ93-AQ$136,"")</f>
        <v/>
      </c>
      <c r="BU93" s="1" t="str">
        <f>IF(AR93&gt;AR$136, AR93-AR$136,"")</f>
        <v/>
      </c>
      <c r="BV93" s="1" t="str">
        <f>IF(AS93&gt;AS$136, AS93-AS$136,"")</f>
        <v/>
      </c>
      <c r="BW93" s="1" t="str">
        <f>IF(AT93&gt;AT$136, AT93-AT$136,"")</f>
        <v/>
      </c>
      <c r="BX93" s="1" t="str">
        <f>IF(AU93&gt;AU$136, AU93-AU$136,"")</f>
        <v/>
      </c>
      <c r="BY93" s="1" t="str">
        <f>IF(AV93&gt;AV$136, AV93-AV$136,"")</f>
        <v/>
      </c>
      <c r="BZ93" s="1" t="str">
        <f>IF(AW93&gt;AW$136, AW93-AW$136,"")</f>
        <v/>
      </c>
      <c r="CA93" s="1" t="str">
        <f>IF(AX93&gt;AX$136, AX93-AX$136,"")</f>
        <v/>
      </c>
      <c r="CB93" s="1" t="str">
        <f>IF(AY93&gt;AY$136, AY93-AY$136,"")</f>
        <v/>
      </c>
      <c r="CC93" s="1" t="str">
        <f>IF(AZ93&gt;AZ$136, AZ93-AZ$136,"")</f>
        <v/>
      </c>
      <c r="CD93" s="1">
        <f>IF(BA93&gt;BA$136, BA93-BA$136,"")</f>
        <v>8</v>
      </c>
      <c r="CE93" s="1" t="str">
        <f>IF(BB93&gt;BB$136, BB93-BB$136,"")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40.5" x14ac:dyDescent="0.15">
      <c r="A94" s="1">
        <v>14</v>
      </c>
      <c r="B94" s="1" t="s">
        <v>30</v>
      </c>
      <c r="C94" s="1" t="s">
        <v>31</v>
      </c>
      <c r="D94" s="1" t="s">
        <v>32</v>
      </c>
      <c r="E94" s="6"/>
      <c r="F94" s="6"/>
      <c r="G94" s="6">
        <v>15</v>
      </c>
      <c r="H94" s="6">
        <v>15</v>
      </c>
      <c r="I94" s="6"/>
      <c r="J94" s="6"/>
      <c r="K94" s="6"/>
      <c r="L94" s="6"/>
      <c r="M94" s="6"/>
      <c r="N94" s="6"/>
      <c r="O94" s="6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>
        <v>15</v>
      </c>
      <c r="AT94" s="4"/>
      <c r="AU94" s="4"/>
      <c r="AV94" s="4"/>
      <c r="AW94" s="2"/>
      <c r="AX94" s="2"/>
      <c r="AY94" s="2"/>
      <c r="AZ94" s="2"/>
      <c r="BA94" s="2"/>
      <c r="BB94" s="2">
        <v>15</v>
      </c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60</v>
      </c>
      <c r="BQ94" s="1">
        <v>42</v>
      </c>
      <c r="BR94" s="17">
        <v>3</v>
      </c>
      <c r="BS94" s="17" t="s">
        <v>275</v>
      </c>
      <c r="BT94" s="1" t="str">
        <f>IF(AQ94&gt;AQ$136, AQ94-AQ$136,"")</f>
        <v/>
      </c>
      <c r="BU94" s="1" t="str">
        <f>IF(AR94&gt;AR$136, AR94-AR$136,"")</f>
        <v/>
      </c>
      <c r="BV94" s="1">
        <f>IF(AS94&gt;AS$136, AS94-AS$136,"")</f>
        <v>14</v>
      </c>
      <c r="BW94" s="1" t="str">
        <f>IF(AT94&gt;AT$136, AT94-AT$136,"")</f>
        <v/>
      </c>
      <c r="BX94" s="1" t="str">
        <f>IF(AU94&gt;AU$136, AU94-AU$136,"")</f>
        <v/>
      </c>
      <c r="BY94" s="1" t="str">
        <f>IF(AV94&gt;AV$136, AV94-AV$136,"")</f>
        <v/>
      </c>
      <c r="BZ94" s="1" t="str">
        <f>IF(AW94&gt;AW$136, AW94-AW$136,"")</f>
        <v/>
      </c>
      <c r="CA94" s="1" t="str">
        <f>IF(AX94&gt;AX$136, AX94-AX$136,"")</f>
        <v/>
      </c>
      <c r="CB94" s="1" t="str">
        <f>IF(AY94&gt;AY$136, AY94-AY$136,"")</f>
        <v/>
      </c>
      <c r="CC94" s="1" t="str">
        <f>IF(AZ94&gt;AZ$136, AZ94-AZ$136,"")</f>
        <v/>
      </c>
      <c r="CD94" s="1" t="str">
        <f>IF(BA94&gt;BA$136, BA94-BA$136,"")</f>
        <v/>
      </c>
      <c r="CE94" s="1" t="str">
        <f>IF(BB94&gt;BB$136, BB94-BB$136,"")</f>
        <v/>
      </c>
      <c r="CF94" s="1">
        <f>COUNTIF(BT94:CE94, "&gt;0")</f>
        <v>1</v>
      </c>
      <c r="CG94" s="1" t="str">
        <f>IF($CF94=1,BT94,"")</f>
        <v/>
      </c>
      <c r="CH94" s="1" t="str">
        <f>IF($CF94=1,BU94,"")</f>
        <v/>
      </c>
      <c r="CI94" s="1">
        <f>IF($CF94=1,BV94,"")</f>
        <v>14</v>
      </c>
      <c r="CJ94" s="1" t="str">
        <f>IF($CF94=1,BW94,"")</f>
        <v/>
      </c>
      <c r="CK94" s="1" t="str">
        <f>IF($CF94=1,BX94,"")</f>
        <v/>
      </c>
      <c r="CL94" s="1" t="str">
        <f>IF($CF94=1,BY94,"")</f>
        <v/>
      </c>
      <c r="CM94" s="1" t="str">
        <f>IF($CF94=1,BZ94,"")</f>
        <v/>
      </c>
      <c r="CN94" s="1" t="str">
        <f>IF($CF94=1,CA94,"")</f>
        <v/>
      </c>
      <c r="CO94" s="1" t="str">
        <f>IF($CF94=1,CB94,"")</f>
        <v/>
      </c>
      <c r="CP94" s="1" t="str">
        <f>IF($CF94=1,CC94,"")</f>
        <v/>
      </c>
      <c r="CQ94" s="1" t="str">
        <f>IF($CF94=1,CD94,"")</f>
        <v/>
      </c>
      <c r="CR94" s="1" t="str">
        <f>IF($CF94=1,CE94,"")</f>
        <v/>
      </c>
      <c r="CS94" s="18">
        <f>SUM(AE94:BO94)</f>
        <v>30</v>
      </c>
    </row>
    <row r="95" spans="1:97" ht="40.5" x14ac:dyDescent="0.15">
      <c r="A95" s="1"/>
      <c r="B95" s="1" t="s">
        <v>109</v>
      </c>
      <c r="C95" s="1" t="s">
        <v>110</v>
      </c>
      <c r="D95" s="1" t="s">
        <v>107</v>
      </c>
      <c r="E95" s="6"/>
      <c r="F95" s="6"/>
      <c r="G95" s="6">
        <v>15</v>
      </c>
      <c r="H95" s="6">
        <v>15</v>
      </c>
      <c r="I95" s="6"/>
      <c r="J95" s="6"/>
      <c r="K95" s="6"/>
      <c r="L95" s="6"/>
      <c r="M95" s="6"/>
      <c r="N95" s="6"/>
      <c r="O95" s="6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>
        <v>15</v>
      </c>
      <c r="AT95" s="4"/>
      <c r="AU95" s="4"/>
      <c r="AV95" s="4"/>
      <c r="AW95" s="2"/>
      <c r="AX95" s="2"/>
      <c r="AY95" s="2"/>
      <c r="AZ95" s="2"/>
      <c r="BA95" s="2"/>
      <c r="BB95" s="2">
        <v>15</v>
      </c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60</v>
      </c>
      <c r="BQ95" s="1">
        <v>42</v>
      </c>
      <c r="BR95" s="17">
        <v>3</v>
      </c>
      <c r="BS95" s="17" t="s">
        <v>276</v>
      </c>
      <c r="BT95" s="1" t="str">
        <f>IF(AQ95&gt;AQ$136, AQ95-AQ$136,"")</f>
        <v/>
      </c>
      <c r="BU95" s="1" t="str">
        <f>IF(AR95&gt;AR$136, AR95-AR$136,"")</f>
        <v/>
      </c>
      <c r="BV95" s="1">
        <f>IF(AS95&gt;AS$136, AS95-AS$136,"")</f>
        <v>14</v>
      </c>
      <c r="BW95" s="1" t="str">
        <f>IF(AT95&gt;AT$136, AT95-AT$136,"")</f>
        <v/>
      </c>
      <c r="BX95" s="1" t="str">
        <f>IF(AU95&gt;AU$136, AU95-AU$136,"")</f>
        <v/>
      </c>
      <c r="BY95" s="1" t="str">
        <f>IF(AV95&gt;AV$136, AV95-AV$136,"")</f>
        <v/>
      </c>
      <c r="BZ95" s="1" t="str">
        <f>IF(AW95&gt;AW$136, AW95-AW$136,"")</f>
        <v/>
      </c>
      <c r="CA95" s="1" t="str">
        <f>IF(AX95&gt;AX$136, AX95-AX$136,"")</f>
        <v/>
      </c>
      <c r="CB95" s="1" t="str">
        <f>IF(AY95&gt;AY$136, AY95-AY$136,"")</f>
        <v/>
      </c>
      <c r="CC95" s="1" t="str">
        <f>IF(AZ95&gt;AZ$136, AZ95-AZ$136,"")</f>
        <v/>
      </c>
      <c r="CD95" s="1" t="str">
        <f>IF(BA95&gt;BA$136, BA95-BA$136,"")</f>
        <v/>
      </c>
      <c r="CE95" s="1" t="str">
        <f>IF(BB95&gt;BB$136, BB95-BB$136,"")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ht="40.5" x14ac:dyDescent="0.15">
      <c r="A96" s="1"/>
      <c r="B96" s="1" t="s">
        <v>186</v>
      </c>
      <c r="C96" s="1" t="s">
        <v>121</v>
      </c>
      <c r="D96" s="1" t="s">
        <v>107</v>
      </c>
      <c r="E96" s="6"/>
      <c r="F96" s="6"/>
      <c r="G96" s="6">
        <v>20</v>
      </c>
      <c r="H96" s="6">
        <v>20</v>
      </c>
      <c r="I96" s="6"/>
      <c r="J96" s="6"/>
      <c r="K96" s="6"/>
      <c r="L96" s="6"/>
      <c r="M96" s="6"/>
      <c r="N96" s="6"/>
      <c r="O96" s="6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>
        <v>20</v>
      </c>
      <c r="BB96" s="2">
        <v>20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80</v>
      </c>
      <c r="BQ96" s="1">
        <v>51</v>
      </c>
      <c r="BR96" s="17">
        <v>3</v>
      </c>
      <c r="BS96" s="17" t="s">
        <v>277</v>
      </c>
      <c r="BT96" s="1" t="str">
        <f>IF(AQ96&gt;AQ$136, AQ96-AQ$136,"")</f>
        <v/>
      </c>
      <c r="BU96" s="1" t="str">
        <f>IF(AR96&gt;AR$136, AR96-AR$136,"")</f>
        <v/>
      </c>
      <c r="BV96" s="1" t="str">
        <f>IF(AS96&gt;AS$136, AS96-AS$136,"")</f>
        <v/>
      </c>
      <c r="BW96" s="1" t="str">
        <f>IF(AT96&gt;AT$136, AT96-AT$136,"")</f>
        <v/>
      </c>
      <c r="BX96" s="1" t="str">
        <f>IF(AU96&gt;AU$136, AU96-AU$136,"")</f>
        <v/>
      </c>
      <c r="BY96" s="1" t="str">
        <f>IF(AV96&gt;AV$136, AV96-AV$136,"")</f>
        <v/>
      </c>
      <c r="BZ96" s="1" t="str">
        <f>IF(AW96&gt;AW$136, AW96-AW$136,"")</f>
        <v/>
      </c>
      <c r="CA96" s="1" t="str">
        <f>IF(AX96&gt;AX$136, AX96-AX$136,"")</f>
        <v/>
      </c>
      <c r="CB96" s="1" t="str">
        <f>IF(AY96&gt;AY$136, AY96-AY$136,"")</f>
        <v/>
      </c>
      <c r="CC96" s="1" t="str">
        <f>IF(AZ96&gt;AZ$136, AZ96-AZ$136,"")</f>
        <v/>
      </c>
      <c r="CD96" s="1">
        <f>IF(BA96&gt;BA$136, BA96-BA$136,"")</f>
        <v>13</v>
      </c>
      <c r="CE96" s="1" t="str">
        <f>IF(BB96&gt;BB$136, BB96-BB$136,"")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8"/>
    </row>
    <row r="97" spans="1:97" ht="40.5" x14ac:dyDescent="0.15">
      <c r="A97" s="1"/>
      <c r="B97" s="1" t="s">
        <v>109</v>
      </c>
      <c r="C97" s="1" t="s">
        <v>110</v>
      </c>
      <c r="D97" s="1" t="s">
        <v>111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>
        <v>40</v>
      </c>
      <c r="AW97" s="2">
        <v>40</v>
      </c>
      <c r="AX97" s="2"/>
      <c r="AY97" s="2"/>
      <c r="AZ97" s="2"/>
      <c r="BA97" s="2"/>
      <c r="BB97" s="2">
        <v>40</v>
      </c>
      <c r="BC97" s="14">
        <v>10</v>
      </c>
      <c r="BD97" s="1">
        <v>50</v>
      </c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180</v>
      </c>
      <c r="BQ97" s="1">
        <v>72</v>
      </c>
      <c r="BR97" s="17">
        <v>3</v>
      </c>
      <c r="BS97" s="17" t="s">
        <v>278</v>
      </c>
      <c r="BT97" s="1" t="str">
        <f>IF(AQ97&gt;AQ$136, AQ97-AQ$136,"")</f>
        <v/>
      </c>
      <c r="BU97" s="1" t="str">
        <f>IF(AR97&gt;AR$136, AR97-AR$136,"")</f>
        <v/>
      </c>
      <c r="BV97" s="1" t="str">
        <f>IF(AS97&gt;AS$136, AS97-AS$136,"")</f>
        <v/>
      </c>
      <c r="BW97" s="1" t="str">
        <f>IF(AT97&gt;AT$136, AT97-AT$136,"")</f>
        <v/>
      </c>
      <c r="BX97" s="1" t="str">
        <f>IF(AU97&gt;AU$136, AU97-AU$136,"")</f>
        <v/>
      </c>
      <c r="BY97" s="1">
        <f>IF(AV97&gt;AV$136, AV97-AV$136,"")</f>
        <v>33</v>
      </c>
      <c r="BZ97" s="1">
        <f>IF(AW97&gt;AW$136, AW97-AW$136,"")</f>
        <v>36</v>
      </c>
      <c r="CA97" s="1" t="str">
        <f>IF(AX97&gt;AX$136, AX97-AX$136,"")</f>
        <v/>
      </c>
      <c r="CB97" s="1" t="str">
        <f>IF(AY97&gt;AY$136, AY97-AY$136,"")</f>
        <v/>
      </c>
      <c r="CC97" s="1" t="str">
        <f>IF(AZ97&gt;AZ$136, AZ97-AZ$136,"")</f>
        <v/>
      </c>
      <c r="CD97" s="1" t="str">
        <f>IF(BA97&gt;BA$136, BA97-BA$136,"")</f>
        <v/>
      </c>
      <c r="CE97" s="1" t="str">
        <f>IF(BB97&gt;BB$136, BB97-BB$136,"")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54" x14ac:dyDescent="0.15">
      <c r="A98" s="1"/>
      <c r="B98" s="1" t="s">
        <v>158</v>
      </c>
      <c r="C98" s="1" t="s">
        <v>153</v>
      </c>
      <c r="D98" s="1" t="s">
        <v>126</v>
      </c>
      <c r="E98" s="6"/>
      <c r="F98" s="6"/>
      <c r="G98" s="6">
        <v>5</v>
      </c>
      <c r="H98" s="6"/>
      <c r="I98" s="6"/>
      <c r="J98" s="6"/>
      <c r="K98" s="6"/>
      <c r="L98" s="6"/>
      <c r="M98" s="6"/>
      <c r="N98" s="6"/>
      <c r="O98" s="6"/>
      <c r="P98" s="31"/>
      <c r="Q98" s="31"/>
      <c r="R98" s="31"/>
      <c r="S98" s="31"/>
      <c r="T98" s="31"/>
      <c r="U98" s="31"/>
      <c r="V98" s="31">
        <v>5</v>
      </c>
      <c r="W98" s="31"/>
      <c r="X98" s="31"/>
      <c r="Y98" s="31">
        <v>5</v>
      </c>
      <c r="Z98" s="31"/>
      <c r="AA98" s="31"/>
      <c r="AB98" s="31"/>
      <c r="AC98" s="31">
        <v>5</v>
      </c>
      <c r="AD98" s="3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20</v>
      </c>
      <c r="BQ98" s="1">
        <v>14</v>
      </c>
      <c r="BR98" s="17">
        <v>4</v>
      </c>
      <c r="BS98" s="17" t="s">
        <v>279</v>
      </c>
      <c r="BT98" s="1" t="str">
        <f>IF(AQ98&gt;AQ$136, AQ98-AQ$136,"")</f>
        <v/>
      </c>
      <c r="BU98" s="1" t="str">
        <f>IF(AR98&gt;AR$136, AR98-AR$136,"")</f>
        <v/>
      </c>
      <c r="BV98" s="1" t="str">
        <f>IF(AS98&gt;AS$136, AS98-AS$136,"")</f>
        <v/>
      </c>
      <c r="BW98" s="1" t="str">
        <f>IF(AT98&gt;AT$136, AT98-AT$136,"")</f>
        <v/>
      </c>
      <c r="BX98" s="1" t="str">
        <f>IF(AU98&gt;AU$136, AU98-AU$136,"")</f>
        <v/>
      </c>
      <c r="BY98" s="1" t="str">
        <f>IF(AV98&gt;AV$136, AV98-AV$136,"")</f>
        <v/>
      </c>
      <c r="BZ98" s="1" t="str">
        <f>IF(AW98&gt;AW$136, AW98-AW$136,"")</f>
        <v/>
      </c>
      <c r="CA98" s="1" t="str">
        <f>IF(AX98&gt;AX$136, AX98-AX$136,"")</f>
        <v/>
      </c>
      <c r="CB98" s="1" t="str">
        <f>IF(AY98&gt;AY$136, AY98-AY$136,"")</f>
        <v/>
      </c>
      <c r="CC98" s="1" t="str">
        <f>IF(AZ98&gt;AZ$136, AZ98-AZ$136,"")</f>
        <v/>
      </c>
      <c r="CD98" s="1" t="str">
        <f>IF(BA98&gt;BA$136, BA98-BA$136,"")</f>
        <v/>
      </c>
      <c r="CE98" s="1" t="str">
        <f>IF(BB98&gt;BB$136, BB98-BB$136,"")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ht="54" x14ac:dyDescent="0.15">
      <c r="A99" s="1"/>
      <c r="B99" s="1" t="s">
        <v>155</v>
      </c>
      <c r="C99" s="1" t="s">
        <v>153</v>
      </c>
      <c r="D99" s="1" t="s">
        <v>125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31"/>
      <c r="Q99" s="31">
        <v>5</v>
      </c>
      <c r="R99" s="31"/>
      <c r="S99" s="31"/>
      <c r="T99" s="31"/>
      <c r="U99" s="31"/>
      <c r="V99" s="31">
        <v>10</v>
      </c>
      <c r="W99" s="31"/>
      <c r="X99" s="31"/>
      <c r="Y99" s="31"/>
      <c r="Z99" s="31">
        <v>5</v>
      </c>
      <c r="AA99" s="31"/>
      <c r="AB99" s="31">
        <v>10</v>
      </c>
      <c r="AC99" s="31"/>
      <c r="AD99" s="3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30</v>
      </c>
      <c r="BQ99" s="1">
        <v>18</v>
      </c>
      <c r="BR99" s="17">
        <v>4</v>
      </c>
      <c r="BS99" s="17" t="s">
        <v>280</v>
      </c>
      <c r="BT99" s="1" t="str">
        <f>IF(AQ99&gt;AQ$136, AQ99-AQ$136,"")</f>
        <v/>
      </c>
      <c r="BU99" s="1" t="str">
        <f>IF(AR99&gt;AR$136, AR99-AR$136,"")</f>
        <v/>
      </c>
      <c r="BV99" s="1" t="str">
        <f>IF(AS99&gt;AS$136, AS99-AS$136,"")</f>
        <v/>
      </c>
      <c r="BW99" s="1" t="str">
        <f>IF(AT99&gt;AT$136, AT99-AT$136,"")</f>
        <v/>
      </c>
      <c r="BX99" s="1" t="str">
        <f>IF(AU99&gt;AU$136, AU99-AU$136,"")</f>
        <v/>
      </c>
      <c r="BY99" s="1" t="str">
        <f>IF(AV99&gt;AV$136, AV99-AV$136,"")</f>
        <v/>
      </c>
      <c r="BZ99" s="1" t="str">
        <f>IF(AW99&gt;AW$136, AW99-AW$136,"")</f>
        <v/>
      </c>
      <c r="CA99" s="1" t="str">
        <f>IF(AX99&gt;AX$136, AX99-AX$136,"")</f>
        <v/>
      </c>
      <c r="CB99" s="1" t="str">
        <f>IF(AY99&gt;AY$136, AY99-AY$136,"")</f>
        <v/>
      </c>
      <c r="CC99" s="1" t="str">
        <f>IF(AZ99&gt;AZ$136, AZ99-AZ$136,"")</f>
        <v/>
      </c>
      <c r="CD99" s="1" t="str">
        <f>IF(BA99&gt;BA$136, BA99-BA$136,"")</f>
        <v/>
      </c>
      <c r="CE99" s="1" t="str">
        <f>IF(BB99&gt;BB$136, BB99-BB$136,"")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54" x14ac:dyDescent="0.15">
      <c r="A100" s="1"/>
      <c r="B100" s="1" t="s">
        <v>144</v>
      </c>
      <c r="C100" s="1" t="s">
        <v>142</v>
      </c>
      <c r="D100" s="1" t="s">
        <v>126</v>
      </c>
      <c r="E100" s="6"/>
      <c r="F100" s="6"/>
      <c r="G100" s="6"/>
      <c r="H100" s="6">
        <v>7</v>
      </c>
      <c r="I100" s="6"/>
      <c r="J100" s="6"/>
      <c r="K100" s="6"/>
      <c r="L100" s="6"/>
      <c r="M100" s="6"/>
      <c r="N100" s="6"/>
      <c r="O100" s="6"/>
      <c r="P100" s="31"/>
      <c r="Q100" s="31">
        <v>7</v>
      </c>
      <c r="R100" s="31"/>
      <c r="S100" s="31"/>
      <c r="T100" s="31">
        <v>7</v>
      </c>
      <c r="U100" s="31"/>
      <c r="V100" s="31"/>
      <c r="W100" s="31"/>
      <c r="X100" s="31"/>
      <c r="Y100" s="31"/>
      <c r="Z100" s="31"/>
      <c r="AA100" s="31">
        <v>7</v>
      </c>
      <c r="AB100" s="31"/>
      <c r="AC100" s="31"/>
      <c r="AD100" s="3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28</v>
      </c>
      <c r="BQ100" s="1">
        <v>21</v>
      </c>
      <c r="BR100" s="17">
        <v>4</v>
      </c>
      <c r="BS100" s="17" t="s">
        <v>281</v>
      </c>
      <c r="BT100" s="1" t="str">
        <f>IF(AQ100&gt;AQ$136, AQ100-AQ$136,"")</f>
        <v/>
      </c>
      <c r="BU100" s="1" t="str">
        <f>IF(AR100&gt;AR$136, AR100-AR$136,"")</f>
        <v/>
      </c>
      <c r="BV100" s="1" t="str">
        <f>IF(AS100&gt;AS$136, AS100-AS$136,"")</f>
        <v/>
      </c>
      <c r="BW100" s="1" t="str">
        <f>IF(AT100&gt;AT$136, AT100-AT$136,"")</f>
        <v/>
      </c>
      <c r="BX100" s="1" t="str">
        <f>IF(AU100&gt;AU$136, AU100-AU$136,"")</f>
        <v/>
      </c>
      <c r="BY100" s="1" t="str">
        <f>IF(AV100&gt;AV$136, AV100-AV$136,"")</f>
        <v/>
      </c>
      <c r="BZ100" s="1" t="str">
        <f>IF(AW100&gt;AW$136, AW100-AW$136,"")</f>
        <v/>
      </c>
      <c r="CA100" s="1" t="str">
        <f>IF(AX100&gt;AX$136, AX100-AX$136,"")</f>
        <v/>
      </c>
      <c r="CB100" s="1" t="str">
        <f>IF(AY100&gt;AY$136, AY100-AY$136,"")</f>
        <v/>
      </c>
      <c r="CC100" s="1" t="str">
        <f>IF(AZ100&gt;AZ$136, AZ100-AZ$136,"")</f>
        <v/>
      </c>
      <c r="CD100" s="1" t="str">
        <f>IF(BA100&gt;BA$136, BA100-BA$136,"")</f>
        <v/>
      </c>
      <c r="CE100" s="1" t="str">
        <f>IF(BB100&gt;BB$136, BB100-BB$136,"")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8"/>
    </row>
    <row r="101" spans="1:97" ht="54" x14ac:dyDescent="0.15">
      <c r="A101" s="1"/>
      <c r="B101" s="1" t="s">
        <v>154</v>
      </c>
      <c r="C101" s="1" t="s">
        <v>153</v>
      </c>
      <c r="D101" s="1" t="s">
        <v>126</v>
      </c>
      <c r="E101" s="6"/>
      <c r="F101" s="6"/>
      <c r="G101" s="6">
        <v>10</v>
      </c>
      <c r="H101" s="6"/>
      <c r="I101" s="6"/>
      <c r="J101" s="6"/>
      <c r="K101" s="6"/>
      <c r="L101" s="6"/>
      <c r="M101" s="6"/>
      <c r="N101" s="6"/>
      <c r="O101" s="6"/>
      <c r="P101" s="31"/>
      <c r="Q101" s="31"/>
      <c r="R101" s="31"/>
      <c r="S101" s="31"/>
      <c r="T101" s="31"/>
      <c r="U101" s="31"/>
      <c r="V101" s="31"/>
      <c r="W101" s="31"/>
      <c r="X101" s="31">
        <v>10</v>
      </c>
      <c r="Y101" s="31"/>
      <c r="Z101" s="31"/>
      <c r="AA101" s="31"/>
      <c r="AB101" s="31"/>
      <c r="AC101" s="31"/>
      <c r="AD101" s="31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>
        <v>10</v>
      </c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40</v>
      </c>
      <c r="BQ101" s="1">
        <v>21</v>
      </c>
      <c r="BR101" s="17">
        <v>4</v>
      </c>
      <c r="BS101" s="17" t="s">
        <v>288</v>
      </c>
      <c r="BT101" s="1" t="str">
        <f>IF(AQ101&gt;AQ$136, AQ101-AQ$136,"")</f>
        <v/>
      </c>
      <c r="BU101" s="1" t="str">
        <f>IF(AR101&gt;AR$136, AR101-AR$136,"")</f>
        <v/>
      </c>
      <c r="BV101" s="1" t="str">
        <f>IF(AS101&gt;AS$136, AS101-AS$136,"")</f>
        <v/>
      </c>
      <c r="BW101" s="1" t="str">
        <f>IF(AT101&gt;AT$136, AT101-AT$136,"")</f>
        <v/>
      </c>
      <c r="BX101" s="1" t="str">
        <f>IF(AU101&gt;AU$136, AU101-AU$136,"")</f>
        <v/>
      </c>
      <c r="BY101" s="1">
        <f>IF(AV101&gt;AV$136, AV101-AV$136,"")</f>
        <v>3</v>
      </c>
      <c r="BZ101" s="1" t="str">
        <f>IF(AW101&gt;AW$136, AW101-AW$136,"")</f>
        <v/>
      </c>
      <c r="CA101" s="1" t="str">
        <f>IF(AX101&gt;AX$136, AX101-AX$136,"")</f>
        <v/>
      </c>
      <c r="CB101" s="1" t="str">
        <f>IF(AY101&gt;AY$136, AY101-AY$136,"")</f>
        <v/>
      </c>
      <c r="CC101" s="1" t="str">
        <f>IF(AZ101&gt;AZ$136, AZ101-AZ$136,"")</f>
        <v/>
      </c>
      <c r="CD101" s="1" t="str">
        <f>IF(BA101&gt;BA$136, BA101-BA$136,"")</f>
        <v/>
      </c>
      <c r="CE101" s="1" t="str">
        <f>IF(BB101&gt;BB$136, BB101-BB$136,"")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8"/>
    </row>
    <row r="102" spans="1:97" ht="54" x14ac:dyDescent="0.15">
      <c r="A102" s="1"/>
      <c r="B102" s="1" t="s">
        <v>161</v>
      </c>
      <c r="C102" s="1" t="s">
        <v>121</v>
      </c>
      <c r="D102" s="1" t="s">
        <v>164</v>
      </c>
      <c r="E102" s="6"/>
      <c r="F102" s="6"/>
      <c r="G102" s="6">
        <v>10</v>
      </c>
      <c r="H102" s="6"/>
      <c r="I102" s="6"/>
      <c r="J102" s="6"/>
      <c r="K102" s="6"/>
      <c r="L102" s="6"/>
      <c r="M102" s="6"/>
      <c r="N102" s="6"/>
      <c r="O102" s="6"/>
      <c r="P102" s="31"/>
      <c r="Q102" s="31"/>
      <c r="R102" s="31"/>
      <c r="S102" s="31"/>
      <c r="T102" s="31"/>
      <c r="U102" s="31"/>
      <c r="V102" s="31"/>
      <c r="W102" s="31"/>
      <c r="X102" s="31">
        <v>10</v>
      </c>
      <c r="Y102" s="31"/>
      <c r="Z102" s="31"/>
      <c r="AA102" s="31"/>
      <c r="AB102" s="31"/>
      <c r="AC102" s="31"/>
      <c r="AD102" s="31">
        <v>10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>
        <v>10</v>
      </c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40</v>
      </c>
      <c r="BQ102" s="1">
        <v>21</v>
      </c>
      <c r="BR102" s="17">
        <v>4</v>
      </c>
      <c r="BS102" s="17" t="s">
        <v>288</v>
      </c>
      <c r="BT102" s="1" t="str">
        <f>IF(AQ102&gt;AQ$136, AQ102-AQ$136,"")</f>
        <v/>
      </c>
      <c r="BU102" s="1" t="str">
        <f>IF(AR102&gt;AR$136, AR102-AR$136,"")</f>
        <v/>
      </c>
      <c r="BV102" s="1" t="str">
        <f>IF(AS102&gt;AS$136, AS102-AS$136,"")</f>
        <v/>
      </c>
      <c r="BW102" s="1" t="str">
        <f>IF(AT102&gt;AT$136, AT102-AT$136,"")</f>
        <v/>
      </c>
      <c r="BX102" s="1" t="str">
        <f>IF(AU102&gt;AU$136, AU102-AU$136,"")</f>
        <v/>
      </c>
      <c r="BY102" s="1">
        <f>IF(AV102&gt;AV$136, AV102-AV$136,"")</f>
        <v>3</v>
      </c>
      <c r="BZ102" s="1" t="str">
        <f>IF(AW102&gt;AW$136, AW102-AW$136,"")</f>
        <v/>
      </c>
      <c r="CA102" s="1" t="str">
        <f>IF(AX102&gt;AX$136, AX102-AX$136,"")</f>
        <v/>
      </c>
      <c r="CB102" s="1" t="str">
        <f>IF(AY102&gt;AY$136, AY102-AY$136,"")</f>
        <v/>
      </c>
      <c r="CC102" s="1" t="str">
        <f>IF(AZ102&gt;AZ$136, AZ102-AZ$136,"")</f>
        <v/>
      </c>
      <c r="CD102" s="1" t="str">
        <f>IF(BA102&gt;BA$136, BA102-BA$136,"")</f>
        <v/>
      </c>
      <c r="CE102" s="1" t="str">
        <f>IF(BB102&gt;BB$136, BB102-BB$136,"")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8"/>
    </row>
    <row r="103" spans="1:97" ht="54" x14ac:dyDescent="0.15">
      <c r="A103" s="1"/>
      <c r="B103" s="1" t="s">
        <v>135</v>
      </c>
      <c r="C103" s="1" t="s">
        <v>123</v>
      </c>
      <c r="D103" s="1" t="s">
        <v>124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31">
        <v>10</v>
      </c>
      <c r="Q103" s="31"/>
      <c r="R103" s="31"/>
      <c r="S103" s="31">
        <v>10</v>
      </c>
      <c r="T103" s="31"/>
      <c r="U103" s="31"/>
      <c r="V103" s="31"/>
      <c r="W103" s="31">
        <v>5</v>
      </c>
      <c r="X103" s="31"/>
      <c r="Y103" s="31"/>
      <c r="Z103" s="31"/>
      <c r="AA103" s="31"/>
      <c r="AB103" s="31">
        <v>10</v>
      </c>
      <c r="AC103" s="31"/>
      <c r="AD103" s="3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282</v>
      </c>
      <c r="BT103" s="1" t="str">
        <f>IF(AQ103&gt;AQ$136, AQ103-AQ$136,"")</f>
        <v/>
      </c>
      <c r="BU103" s="1" t="str">
        <f>IF(AR103&gt;AR$136, AR103-AR$136,"")</f>
        <v/>
      </c>
      <c r="BV103" s="1" t="str">
        <f>IF(AS103&gt;AS$136, AS103-AS$136,"")</f>
        <v/>
      </c>
      <c r="BW103" s="1" t="str">
        <f>IF(AT103&gt;AT$136, AT103-AT$136,"")</f>
        <v/>
      </c>
      <c r="BX103" s="1" t="str">
        <f>IF(AU103&gt;AU$136, AU103-AU$136,"")</f>
        <v/>
      </c>
      <c r="BY103" s="1" t="str">
        <f>IF(AV103&gt;AV$136, AV103-AV$136,"")</f>
        <v/>
      </c>
      <c r="BZ103" s="1" t="str">
        <f>IF(AW103&gt;AW$136, AW103-AW$136,"")</f>
        <v/>
      </c>
      <c r="CA103" s="1" t="str">
        <f>IF(AX103&gt;AX$136, AX103-AX$136,"")</f>
        <v/>
      </c>
      <c r="CB103" s="1" t="str">
        <f>IF(AY103&gt;AY$136, AY103-AY$136,"")</f>
        <v/>
      </c>
      <c r="CC103" s="1" t="str">
        <f>IF(AZ103&gt;AZ$136, AZ103-AZ$136,"")</f>
        <v/>
      </c>
      <c r="CD103" s="1" t="str">
        <f>IF(BA103&gt;BA$136, BA103-BA$136,"")</f>
        <v/>
      </c>
      <c r="CE103" s="1" t="str">
        <f>IF(BB103&gt;BB$136, BB103-BB$136,"")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8"/>
    </row>
    <row r="104" spans="1:97" ht="54" x14ac:dyDescent="0.15">
      <c r="A104" s="1"/>
      <c r="B104" s="1" t="s">
        <v>140</v>
      </c>
      <c r="C104" s="1" t="s">
        <v>123</v>
      </c>
      <c r="D104" s="1" t="s">
        <v>124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31">
        <v>10</v>
      </c>
      <c r="Q104" s="31"/>
      <c r="R104" s="31"/>
      <c r="S104" s="31">
        <v>10</v>
      </c>
      <c r="T104" s="31"/>
      <c r="U104" s="31"/>
      <c r="V104" s="31"/>
      <c r="W104" s="31">
        <v>5</v>
      </c>
      <c r="X104" s="31"/>
      <c r="Y104" s="31"/>
      <c r="Z104" s="31"/>
      <c r="AA104" s="31"/>
      <c r="AB104" s="31">
        <v>10</v>
      </c>
      <c r="AC104" s="31"/>
      <c r="AD104" s="3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283</v>
      </c>
      <c r="BT104" s="1" t="str">
        <f>IF(AQ104&gt;AQ$136, AQ104-AQ$136,"")</f>
        <v/>
      </c>
      <c r="BU104" s="1" t="str">
        <f>IF(AR104&gt;AR$136, AR104-AR$136,"")</f>
        <v/>
      </c>
      <c r="BV104" s="1" t="str">
        <f>IF(AS104&gt;AS$136, AS104-AS$136,"")</f>
        <v/>
      </c>
      <c r="BW104" s="1" t="str">
        <f>IF(AT104&gt;AT$136, AT104-AT$136,"")</f>
        <v/>
      </c>
      <c r="BX104" s="1" t="str">
        <f>IF(AU104&gt;AU$136, AU104-AU$136,"")</f>
        <v/>
      </c>
      <c r="BY104" s="1" t="str">
        <f>IF(AV104&gt;AV$136, AV104-AV$136,"")</f>
        <v/>
      </c>
      <c r="BZ104" s="1" t="str">
        <f>IF(AW104&gt;AW$136, AW104-AW$136,"")</f>
        <v/>
      </c>
      <c r="CA104" s="1" t="str">
        <f>IF(AX104&gt;AX$136, AX104-AX$136,"")</f>
        <v/>
      </c>
      <c r="CB104" s="1" t="str">
        <f>IF(AY104&gt;AY$136, AY104-AY$136,"")</f>
        <v/>
      </c>
      <c r="CC104" s="1" t="str">
        <f>IF(AZ104&gt;AZ$136, AZ104-AZ$136,"")</f>
        <v/>
      </c>
      <c r="CD104" s="1" t="str">
        <f>IF(BA104&gt;BA$136, BA104-BA$136,"")</f>
        <v/>
      </c>
      <c r="CE104" s="1" t="str">
        <f>IF(BB104&gt;BB$136, BB104-BB$136,"")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54" x14ac:dyDescent="0.15">
      <c r="A105" s="1"/>
      <c r="B105" s="1" t="s">
        <v>144</v>
      </c>
      <c r="C105" s="1" t="s">
        <v>142</v>
      </c>
      <c r="D105" s="1" t="s">
        <v>124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31">
        <v>10</v>
      </c>
      <c r="Q105" s="31"/>
      <c r="R105" s="31"/>
      <c r="S105" s="31">
        <v>10</v>
      </c>
      <c r="T105" s="31"/>
      <c r="U105" s="31"/>
      <c r="V105" s="31"/>
      <c r="W105" s="31">
        <v>5</v>
      </c>
      <c r="X105" s="31"/>
      <c r="Y105" s="31"/>
      <c r="Z105" s="31"/>
      <c r="AA105" s="31"/>
      <c r="AB105" s="31">
        <v>10</v>
      </c>
      <c r="AC105" s="31"/>
      <c r="AD105" s="3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22</v>
      </c>
      <c r="BR105" s="17">
        <v>4</v>
      </c>
      <c r="BS105" s="17" t="s">
        <v>282</v>
      </c>
      <c r="BT105" s="1" t="str">
        <f>IF(AQ105&gt;AQ$136, AQ105-AQ$136,"")</f>
        <v/>
      </c>
      <c r="BU105" s="1" t="str">
        <f>IF(AR105&gt;AR$136, AR105-AR$136,"")</f>
        <v/>
      </c>
      <c r="BV105" s="1" t="str">
        <f>IF(AS105&gt;AS$136, AS105-AS$136,"")</f>
        <v/>
      </c>
      <c r="BW105" s="1" t="str">
        <f>IF(AT105&gt;AT$136, AT105-AT$136,"")</f>
        <v/>
      </c>
      <c r="BX105" s="1" t="str">
        <f>IF(AU105&gt;AU$136, AU105-AU$136,"")</f>
        <v/>
      </c>
      <c r="BY105" s="1" t="str">
        <f>IF(AV105&gt;AV$136, AV105-AV$136,"")</f>
        <v/>
      </c>
      <c r="BZ105" s="1" t="str">
        <f>IF(AW105&gt;AW$136, AW105-AW$136,"")</f>
        <v/>
      </c>
      <c r="CA105" s="1" t="str">
        <f>IF(AX105&gt;AX$136, AX105-AX$136,"")</f>
        <v/>
      </c>
      <c r="CB105" s="1" t="str">
        <f>IF(AY105&gt;AY$136, AY105-AY$136,"")</f>
        <v/>
      </c>
      <c r="CC105" s="1" t="str">
        <f>IF(AZ105&gt;AZ$136, AZ105-AZ$136,"")</f>
        <v/>
      </c>
      <c r="CD105" s="1" t="str">
        <f>IF(BA105&gt;BA$136, BA105-BA$136,"")</f>
        <v/>
      </c>
      <c r="CE105" s="1" t="str">
        <f>IF(BB105&gt;BB$136, BB105-BB$136,"")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54" x14ac:dyDescent="0.15">
      <c r="A106" s="1"/>
      <c r="B106" s="1" t="s">
        <v>148</v>
      </c>
      <c r="C106" s="1" t="s">
        <v>146</v>
      </c>
      <c r="D106" s="1" t="s">
        <v>124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31">
        <v>10</v>
      </c>
      <c r="Q106" s="31"/>
      <c r="R106" s="31"/>
      <c r="S106" s="31">
        <v>10</v>
      </c>
      <c r="T106" s="31"/>
      <c r="U106" s="31"/>
      <c r="V106" s="31"/>
      <c r="W106" s="31">
        <v>5</v>
      </c>
      <c r="X106" s="31"/>
      <c r="Y106" s="31"/>
      <c r="Z106" s="31"/>
      <c r="AA106" s="31"/>
      <c r="AB106" s="31">
        <v>10</v>
      </c>
      <c r="AC106" s="31"/>
      <c r="AD106" s="3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22</v>
      </c>
      <c r="BR106" s="17">
        <v>4</v>
      </c>
      <c r="BS106" s="17" t="s">
        <v>283</v>
      </c>
      <c r="BT106" s="1" t="str">
        <f>IF(AQ106&gt;AQ$136, AQ106-AQ$136,"")</f>
        <v/>
      </c>
      <c r="BU106" s="1" t="str">
        <f>IF(AR106&gt;AR$136, AR106-AR$136,"")</f>
        <v/>
      </c>
      <c r="BV106" s="1" t="str">
        <f>IF(AS106&gt;AS$136, AS106-AS$136,"")</f>
        <v/>
      </c>
      <c r="BW106" s="1" t="str">
        <f>IF(AT106&gt;AT$136, AT106-AT$136,"")</f>
        <v/>
      </c>
      <c r="BX106" s="1" t="str">
        <f>IF(AU106&gt;AU$136, AU106-AU$136,"")</f>
        <v/>
      </c>
      <c r="BY106" s="1" t="str">
        <f>IF(AV106&gt;AV$136, AV106-AV$136,"")</f>
        <v/>
      </c>
      <c r="BZ106" s="1" t="str">
        <f>IF(AW106&gt;AW$136, AW106-AW$136,"")</f>
        <v/>
      </c>
      <c r="CA106" s="1" t="str">
        <f>IF(AX106&gt;AX$136, AX106-AX$136,"")</f>
        <v/>
      </c>
      <c r="CB106" s="1" t="str">
        <f>IF(AY106&gt;AY$136, AY106-AY$136,"")</f>
        <v/>
      </c>
      <c r="CC106" s="1" t="str">
        <f>IF(AZ106&gt;AZ$136, AZ106-AZ$136,"")</f>
        <v/>
      </c>
      <c r="CD106" s="1" t="str">
        <f>IF(BA106&gt;BA$136, BA106-BA$136,"")</f>
        <v/>
      </c>
      <c r="CE106" s="1" t="str">
        <f>IF(BB106&gt;BB$136, BB106-BB$136,"")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54" x14ac:dyDescent="0.15">
      <c r="A107" s="1"/>
      <c r="B107" s="1" t="s">
        <v>154</v>
      </c>
      <c r="C107" s="1" t="s">
        <v>153</v>
      </c>
      <c r="D107" s="1" t="s">
        <v>124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31">
        <v>10</v>
      </c>
      <c r="Q107" s="31"/>
      <c r="R107" s="31"/>
      <c r="S107" s="31">
        <v>10</v>
      </c>
      <c r="T107" s="31"/>
      <c r="U107" s="31"/>
      <c r="V107" s="31"/>
      <c r="W107" s="31">
        <v>5</v>
      </c>
      <c r="X107" s="31"/>
      <c r="Y107" s="31"/>
      <c r="Z107" s="31"/>
      <c r="AA107" s="31"/>
      <c r="AB107" s="31">
        <v>10</v>
      </c>
      <c r="AC107" s="31"/>
      <c r="AD107" s="3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22</v>
      </c>
      <c r="BR107" s="17">
        <v>4</v>
      </c>
      <c r="BS107" s="17" t="s">
        <v>282</v>
      </c>
      <c r="BT107" s="1" t="str">
        <f>IF(AQ107&gt;AQ$136, AQ107-AQ$136,"")</f>
        <v/>
      </c>
      <c r="BU107" s="1" t="str">
        <f>IF(AR107&gt;AR$136, AR107-AR$136,"")</f>
        <v/>
      </c>
      <c r="BV107" s="1" t="str">
        <f>IF(AS107&gt;AS$136, AS107-AS$136,"")</f>
        <v/>
      </c>
      <c r="BW107" s="1" t="str">
        <f>IF(AT107&gt;AT$136, AT107-AT$136,"")</f>
        <v/>
      </c>
      <c r="BX107" s="1" t="str">
        <f>IF(AU107&gt;AU$136, AU107-AU$136,"")</f>
        <v/>
      </c>
      <c r="BY107" s="1" t="str">
        <f>IF(AV107&gt;AV$136, AV107-AV$136,"")</f>
        <v/>
      </c>
      <c r="BZ107" s="1" t="str">
        <f>IF(AW107&gt;AW$136, AW107-AW$136,"")</f>
        <v/>
      </c>
      <c r="CA107" s="1" t="str">
        <f>IF(AX107&gt;AX$136, AX107-AX$136,"")</f>
        <v/>
      </c>
      <c r="CB107" s="1" t="str">
        <f>IF(AY107&gt;AY$136, AY107-AY$136,"")</f>
        <v/>
      </c>
      <c r="CC107" s="1" t="str">
        <f>IF(AZ107&gt;AZ$136, AZ107-AZ$136,"")</f>
        <v/>
      </c>
      <c r="CD107" s="1" t="str">
        <f>IF(BA107&gt;BA$136, BA107-BA$136,"")</f>
        <v/>
      </c>
      <c r="CE107" s="1" t="str">
        <f>IF(BB107&gt;BB$136, BB107-BB$136,"")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54" x14ac:dyDescent="0.15">
      <c r="A108" s="1"/>
      <c r="B108" s="1" t="s">
        <v>161</v>
      </c>
      <c r="C108" s="1" t="s">
        <v>121</v>
      </c>
      <c r="D108" s="1" t="s">
        <v>162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31">
        <v>10</v>
      </c>
      <c r="Q108" s="31"/>
      <c r="R108" s="31"/>
      <c r="S108" s="31">
        <v>10</v>
      </c>
      <c r="T108" s="31"/>
      <c r="U108" s="31"/>
      <c r="V108" s="31"/>
      <c r="W108" s="31">
        <v>5</v>
      </c>
      <c r="X108" s="31"/>
      <c r="Y108" s="31"/>
      <c r="Z108" s="31"/>
      <c r="AA108" s="31"/>
      <c r="AB108" s="31">
        <v>10</v>
      </c>
      <c r="AC108" s="31"/>
      <c r="AD108" s="3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22</v>
      </c>
      <c r="BR108" s="17">
        <v>4</v>
      </c>
      <c r="BS108" s="17" t="s">
        <v>282</v>
      </c>
      <c r="BT108" s="1" t="str">
        <f>IF(AQ108&gt;AQ$136, AQ108-AQ$136,"")</f>
        <v/>
      </c>
      <c r="BU108" s="1" t="str">
        <f>IF(AR108&gt;AR$136, AR108-AR$136,"")</f>
        <v/>
      </c>
      <c r="BV108" s="1" t="str">
        <f>IF(AS108&gt;AS$136, AS108-AS$136,"")</f>
        <v/>
      </c>
      <c r="BW108" s="1" t="str">
        <f>IF(AT108&gt;AT$136, AT108-AT$136,"")</f>
        <v/>
      </c>
      <c r="BX108" s="1" t="str">
        <f>IF(AU108&gt;AU$136, AU108-AU$136,"")</f>
        <v/>
      </c>
      <c r="BY108" s="1" t="str">
        <f>IF(AV108&gt;AV$136, AV108-AV$136,"")</f>
        <v/>
      </c>
      <c r="BZ108" s="1" t="str">
        <f>IF(AW108&gt;AW$136, AW108-AW$136,"")</f>
        <v/>
      </c>
      <c r="CA108" s="1" t="str">
        <f>IF(AX108&gt;AX$136, AX108-AX$136,"")</f>
        <v/>
      </c>
      <c r="CB108" s="1" t="str">
        <f>IF(AY108&gt;AY$136, AY108-AY$136,"")</f>
        <v/>
      </c>
      <c r="CC108" s="1" t="str">
        <f>IF(AZ108&gt;AZ$136, AZ108-AZ$136,"")</f>
        <v/>
      </c>
      <c r="CD108" s="1" t="str">
        <f>IF(BA108&gt;BA$136, BA108-BA$136,"")</f>
        <v/>
      </c>
      <c r="CE108" s="1" t="str">
        <f>IF(BB108&gt;BB$136, BB108-BB$136,"")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8"/>
    </row>
    <row r="109" spans="1:97" ht="54" x14ac:dyDescent="0.15">
      <c r="A109" s="1"/>
      <c r="B109" s="1" t="s">
        <v>167</v>
      </c>
      <c r="C109" s="1" t="s">
        <v>123</v>
      </c>
      <c r="D109" s="1" t="s">
        <v>125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31"/>
      <c r="Q109" s="31"/>
      <c r="R109" s="31"/>
      <c r="S109" s="31"/>
      <c r="T109" s="31"/>
      <c r="U109" s="31"/>
      <c r="V109" s="31">
        <v>10</v>
      </c>
      <c r="W109" s="31"/>
      <c r="X109" s="31"/>
      <c r="Y109" s="31">
        <v>10</v>
      </c>
      <c r="Z109" s="31"/>
      <c r="AA109" s="31"/>
      <c r="AB109" s="31">
        <v>10</v>
      </c>
      <c r="AC109" s="31">
        <v>5</v>
      </c>
      <c r="AD109" s="3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23</v>
      </c>
      <c r="BR109" s="17">
        <v>4</v>
      </c>
      <c r="BS109" s="17" t="s">
        <v>284</v>
      </c>
      <c r="BT109" s="1" t="str">
        <f>IF(AQ109&gt;AQ$136, AQ109-AQ$136,"")</f>
        <v/>
      </c>
      <c r="BU109" s="1" t="str">
        <f>IF(AR109&gt;AR$136, AR109-AR$136,"")</f>
        <v/>
      </c>
      <c r="BV109" s="1" t="str">
        <f>IF(AS109&gt;AS$136, AS109-AS$136,"")</f>
        <v/>
      </c>
      <c r="BW109" s="1" t="str">
        <f>IF(AT109&gt;AT$136, AT109-AT$136,"")</f>
        <v/>
      </c>
      <c r="BX109" s="1" t="str">
        <f>IF(AU109&gt;AU$136, AU109-AU$136,"")</f>
        <v/>
      </c>
      <c r="BY109" s="1" t="str">
        <f>IF(AV109&gt;AV$136, AV109-AV$136,"")</f>
        <v/>
      </c>
      <c r="BZ109" s="1" t="str">
        <f>IF(AW109&gt;AW$136, AW109-AW$136,"")</f>
        <v/>
      </c>
      <c r="CA109" s="1" t="str">
        <f>IF(AX109&gt;AX$136, AX109-AX$136,"")</f>
        <v/>
      </c>
      <c r="CB109" s="1" t="str">
        <f>IF(AY109&gt;AY$136, AY109-AY$136,"")</f>
        <v/>
      </c>
      <c r="CC109" s="1" t="str">
        <f>IF(AZ109&gt;AZ$136, AZ109-AZ$136,"")</f>
        <v/>
      </c>
      <c r="CD109" s="1" t="str">
        <f>IF(BA109&gt;BA$136, BA109-BA$136,"")</f>
        <v/>
      </c>
      <c r="CE109" s="1" t="str">
        <f>IF(BB109&gt;BB$136, BB109-BB$136,"")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54" x14ac:dyDescent="0.15">
      <c r="A110" s="1"/>
      <c r="B110" s="1" t="s">
        <v>149</v>
      </c>
      <c r="C110" s="1" t="s">
        <v>151</v>
      </c>
      <c r="D110" s="1" t="s">
        <v>125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1"/>
      <c r="Q110" s="31"/>
      <c r="R110" s="31"/>
      <c r="S110" s="31"/>
      <c r="T110" s="31"/>
      <c r="U110" s="31"/>
      <c r="V110" s="31">
        <v>10</v>
      </c>
      <c r="W110" s="31"/>
      <c r="X110" s="31"/>
      <c r="Y110" s="31">
        <v>10</v>
      </c>
      <c r="Z110" s="31"/>
      <c r="AA110" s="31"/>
      <c r="AB110" s="31">
        <v>10</v>
      </c>
      <c r="AC110" s="31">
        <v>5</v>
      </c>
      <c r="AD110" s="3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23</v>
      </c>
      <c r="BR110" s="17">
        <v>4</v>
      </c>
      <c r="BS110" s="17" t="s">
        <v>284</v>
      </c>
      <c r="BT110" s="1" t="str">
        <f>IF(AQ110&gt;AQ$136, AQ110-AQ$136,"")</f>
        <v/>
      </c>
      <c r="BU110" s="1" t="str">
        <f>IF(AR110&gt;AR$136, AR110-AR$136,"")</f>
        <v/>
      </c>
      <c r="BV110" s="1" t="str">
        <f>IF(AS110&gt;AS$136, AS110-AS$136,"")</f>
        <v/>
      </c>
      <c r="BW110" s="1" t="str">
        <f>IF(AT110&gt;AT$136, AT110-AT$136,"")</f>
        <v/>
      </c>
      <c r="BX110" s="1" t="str">
        <f>IF(AU110&gt;AU$136, AU110-AU$136,"")</f>
        <v/>
      </c>
      <c r="BY110" s="1" t="str">
        <f>IF(AV110&gt;AV$136, AV110-AV$136,"")</f>
        <v/>
      </c>
      <c r="BZ110" s="1" t="str">
        <f>IF(AW110&gt;AW$136, AW110-AW$136,"")</f>
        <v/>
      </c>
      <c r="CA110" s="1" t="str">
        <f>IF(AX110&gt;AX$136, AX110-AX$136,"")</f>
        <v/>
      </c>
      <c r="CB110" s="1" t="str">
        <f>IF(AY110&gt;AY$136, AY110-AY$136,"")</f>
        <v/>
      </c>
      <c r="CC110" s="1" t="str">
        <f>IF(AZ110&gt;AZ$136, AZ110-AZ$136,"")</f>
        <v/>
      </c>
      <c r="CD110" s="1" t="str">
        <f>IF(BA110&gt;BA$136, BA110-BA$136,"")</f>
        <v/>
      </c>
      <c r="CE110" s="1" t="str">
        <f>IF(BB110&gt;BB$136, BB110-BB$136,"")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54" x14ac:dyDescent="0.15">
      <c r="A111" s="1"/>
      <c r="B111" s="1" t="s">
        <v>158</v>
      </c>
      <c r="C111" s="1" t="s">
        <v>153</v>
      </c>
      <c r="D111" s="1" t="s">
        <v>125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1"/>
      <c r="Q111" s="31"/>
      <c r="R111" s="31"/>
      <c r="S111" s="31"/>
      <c r="T111" s="31"/>
      <c r="U111" s="31"/>
      <c r="V111" s="31">
        <v>10</v>
      </c>
      <c r="W111" s="31"/>
      <c r="X111" s="31"/>
      <c r="Y111" s="31">
        <v>10</v>
      </c>
      <c r="Z111" s="31"/>
      <c r="AA111" s="31"/>
      <c r="AB111" s="31">
        <v>10</v>
      </c>
      <c r="AC111" s="31">
        <v>5</v>
      </c>
      <c r="AD111" s="3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23</v>
      </c>
      <c r="BR111" s="17">
        <v>4</v>
      </c>
      <c r="BS111" s="17" t="s">
        <v>285</v>
      </c>
      <c r="BT111" s="1" t="str">
        <f>IF(AQ111&gt;AQ$136, AQ111-AQ$136,"")</f>
        <v/>
      </c>
      <c r="BU111" s="1" t="str">
        <f>IF(AR111&gt;AR$136, AR111-AR$136,"")</f>
        <v/>
      </c>
      <c r="BV111" s="1" t="str">
        <f>IF(AS111&gt;AS$136, AS111-AS$136,"")</f>
        <v/>
      </c>
      <c r="BW111" s="1" t="str">
        <f>IF(AT111&gt;AT$136, AT111-AT$136,"")</f>
        <v/>
      </c>
      <c r="BX111" s="1" t="str">
        <f>IF(AU111&gt;AU$136, AU111-AU$136,"")</f>
        <v/>
      </c>
      <c r="BY111" s="1" t="str">
        <f>IF(AV111&gt;AV$136, AV111-AV$136,"")</f>
        <v/>
      </c>
      <c r="BZ111" s="1" t="str">
        <f>IF(AW111&gt;AW$136, AW111-AW$136,"")</f>
        <v/>
      </c>
      <c r="CA111" s="1" t="str">
        <f>IF(AX111&gt;AX$136, AX111-AX$136,"")</f>
        <v/>
      </c>
      <c r="CB111" s="1" t="str">
        <f>IF(AY111&gt;AY$136, AY111-AY$136,"")</f>
        <v/>
      </c>
      <c r="CC111" s="1" t="str">
        <f>IF(AZ111&gt;AZ$136, AZ111-AZ$136,"")</f>
        <v/>
      </c>
      <c r="CD111" s="1" t="str">
        <f>IF(BA111&gt;BA$136, BA111-BA$136,"")</f>
        <v/>
      </c>
      <c r="CE111" s="1" t="str">
        <f>IF(BB111&gt;BB$136, BB111-BB$136,"")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54" x14ac:dyDescent="0.15">
      <c r="A112" s="1"/>
      <c r="B112" s="1" t="s">
        <v>159</v>
      </c>
      <c r="C112" s="1" t="s">
        <v>153</v>
      </c>
      <c r="D112" s="1" t="s">
        <v>125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1"/>
      <c r="Q112" s="31"/>
      <c r="R112" s="31"/>
      <c r="S112" s="31"/>
      <c r="T112" s="31"/>
      <c r="U112" s="31"/>
      <c r="V112" s="31">
        <v>10</v>
      </c>
      <c r="W112" s="31"/>
      <c r="X112" s="31"/>
      <c r="Y112" s="31">
        <v>10</v>
      </c>
      <c r="Z112" s="31"/>
      <c r="AA112" s="31"/>
      <c r="AB112" s="31">
        <v>10</v>
      </c>
      <c r="AC112" s="31">
        <v>5</v>
      </c>
      <c r="AD112" s="3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23</v>
      </c>
      <c r="BR112" s="17">
        <v>4</v>
      </c>
      <c r="BS112" s="17" t="s">
        <v>284</v>
      </c>
      <c r="BT112" s="1" t="str">
        <f>IF(AQ112&gt;AQ$136, AQ112-AQ$136,"")</f>
        <v/>
      </c>
      <c r="BU112" s="1" t="str">
        <f>IF(AR112&gt;AR$136, AR112-AR$136,"")</f>
        <v/>
      </c>
      <c r="BV112" s="1" t="str">
        <f>IF(AS112&gt;AS$136, AS112-AS$136,"")</f>
        <v/>
      </c>
      <c r="BW112" s="1" t="str">
        <f>IF(AT112&gt;AT$136, AT112-AT$136,"")</f>
        <v/>
      </c>
      <c r="BX112" s="1" t="str">
        <f>IF(AU112&gt;AU$136, AU112-AU$136,"")</f>
        <v/>
      </c>
      <c r="BY112" s="1" t="str">
        <f>IF(AV112&gt;AV$136, AV112-AV$136,"")</f>
        <v/>
      </c>
      <c r="BZ112" s="1" t="str">
        <f>IF(AW112&gt;AW$136, AW112-AW$136,"")</f>
        <v/>
      </c>
      <c r="CA112" s="1" t="str">
        <f>IF(AX112&gt;AX$136, AX112-AX$136,"")</f>
        <v/>
      </c>
      <c r="CB112" s="1" t="str">
        <f>IF(AY112&gt;AY$136, AY112-AY$136,"")</f>
        <v/>
      </c>
      <c r="CC112" s="1" t="str">
        <f>IF(AZ112&gt;AZ$136, AZ112-AZ$136,"")</f>
        <v/>
      </c>
      <c r="CD112" s="1" t="str">
        <f>IF(BA112&gt;BA$136, BA112-BA$136,"")</f>
        <v/>
      </c>
      <c r="CE112" s="1" t="str">
        <f>IF(BB112&gt;BB$136, BB112-BB$136,"")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54" x14ac:dyDescent="0.15">
      <c r="A113" s="1"/>
      <c r="B113" s="1" t="s">
        <v>150</v>
      </c>
      <c r="C113" s="1" t="s">
        <v>151</v>
      </c>
      <c r="D113" s="1" t="s">
        <v>124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1">
        <v>10</v>
      </c>
      <c r="Q113" s="31"/>
      <c r="R113" s="31"/>
      <c r="S113" s="31">
        <v>10</v>
      </c>
      <c r="T113" s="31"/>
      <c r="U113" s="31"/>
      <c r="V113" s="31"/>
      <c r="W113" s="31"/>
      <c r="X113" s="31"/>
      <c r="Y113" s="31"/>
      <c r="Z113" s="31">
        <v>5</v>
      </c>
      <c r="AA113" s="31"/>
      <c r="AB113" s="31">
        <v>10</v>
      </c>
      <c r="AC113" s="31"/>
      <c r="AD113" s="3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35</v>
      </c>
      <c r="BQ113" s="1">
        <v>23</v>
      </c>
      <c r="BR113" s="17">
        <v>4</v>
      </c>
      <c r="BS113" s="17" t="s">
        <v>286</v>
      </c>
      <c r="BT113" s="1" t="str">
        <f>IF(AQ113&gt;AQ$136, AQ113-AQ$136,"")</f>
        <v/>
      </c>
      <c r="BU113" s="1" t="str">
        <f>IF(AR113&gt;AR$136, AR113-AR$136,"")</f>
        <v/>
      </c>
      <c r="BV113" s="1" t="str">
        <f>IF(AS113&gt;AS$136, AS113-AS$136,"")</f>
        <v/>
      </c>
      <c r="BW113" s="1" t="str">
        <f>IF(AT113&gt;AT$136, AT113-AT$136,"")</f>
        <v/>
      </c>
      <c r="BX113" s="1" t="str">
        <f>IF(AU113&gt;AU$136, AU113-AU$136,"")</f>
        <v/>
      </c>
      <c r="BY113" s="1" t="str">
        <f>IF(AV113&gt;AV$136, AV113-AV$136,"")</f>
        <v/>
      </c>
      <c r="BZ113" s="1" t="str">
        <f>IF(AW113&gt;AW$136, AW113-AW$136,"")</f>
        <v/>
      </c>
      <c r="CA113" s="1" t="str">
        <f>IF(AX113&gt;AX$136, AX113-AX$136,"")</f>
        <v/>
      </c>
      <c r="CB113" s="1" t="str">
        <f>IF(AY113&gt;AY$136, AY113-AY$136,"")</f>
        <v/>
      </c>
      <c r="CC113" s="1" t="str">
        <f>IF(AZ113&gt;AZ$136, AZ113-AZ$136,"")</f>
        <v/>
      </c>
      <c r="CD113" s="1" t="str">
        <f>IF(BA113&gt;BA$136, BA113-BA$136,"")</f>
        <v/>
      </c>
      <c r="CE113" s="1" t="str">
        <f>IF(BB113&gt;BB$136, BB113-BB$136,"")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54" x14ac:dyDescent="0.15">
      <c r="A114" s="1"/>
      <c r="B114" s="1" t="s">
        <v>141</v>
      </c>
      <c r="C114" s="1" t="s">
        <v>142</v>
      </c>
      <c r="D114" s="1" t="s">
        <v>125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31"/>
      <c r="Q114" s="31">
        <v>5</v>
      </c>
      <c r="R114" s="31"/>
      <c r="S114" s="31"/>
      <c r="T114" s="31"/>
      <c r="U114" s="31"/>
      <c r="V114" s="31">
        <v>10</v>
      </c>
      <c r="W114" s="31"/>
      <c r="X114" s="31"/>
      <c r="Y114" s="31">
        <v>10</v>
      </c>
      <c r="Z114" s="31"/>
      <c r="AA114" s="31"/>
      <c r="AB114" s="31">
        <v>10</v>
      </c>
      <c r="AC114" s="31"/>
      <c r="AD114" s="3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35</v>
      </c>
      <c r="BQ114" s="1">
        <v>24</v>
      </c>
      <c r="BR114" s="17">
        <v>4</v>
      </c>
      <c r="BS114" s="17" t="s">
        <v>287</v>
      </c>
      <c r="BT114" s="1" t="str">
        <f>IF(AQ114&gt;AQ$136, AQ114-AQ$136,"")</f>
        <v/>
      </c>
      <c r="BU114" s="1" t="str">
        <f>IF(AR114&gt;AR$136, AR114-AR$136,"")</f>
        <v/>
      </c>
      <c r="BV114" s="1" t="str">
        <f>IF(AS114&gt;AS$136, AS114-AS$136,"")</f>
        <v/>
      </c>
      <c r="BW114" s="1" t="str">
        <f>IF(AT114&gt;AT$136, AT114-AT$136,"")</f>
        <v/>
      </c>
      <c r="BX114" s="1" t="str">
        <f>IF(AU114&gt;AU$136, AU114-AU$136,"")</f>
        <v/>
      </c>
      <c r="BY114" s="1" t="str">
        <f>IF(AV114&gt;AV$136, AV114-AV$136,"")</f>
        <v/>
      </c>
      <c r="BZ114" s="1" t="str">
        <f>IF(AW114&gt;AW$136, AW114-AW$136,"")</f>
        <v/>
      </c>
      <c r="CA114" s="1" t="str">
        <f>IF(AX114&gt;AX$136, AX114-AX$136,"")</f>
        <v/>
      </c>
      <c r="CB114" s="1" t="str">
        <f>IF(AY114&gt;AY$136, AY114-AY$136,"")</f>
        <v/>
      </c>
      <c r="CC114" s="1" t="str">
        <f>IF(AZ114&gt;AZ$136, AZ114-AZ$136,"")</f>
        <v/>
      </c>
      <c r="CD114" s="1" t="str">
        <f>IF(BA114&gt;BA$136, BA114-BA$136,"")</f>
        <v/>
      </c>
      <c r="CE114" s="1" t="str">
        <f>IF(BB114&gt;BB$136, BB114-BB$136,"")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8"/>
    </row>
    <row r="115" spans="1:97" ht="54" x14ac:dyDescent="0.15">
      <c r="A115" s="1"/>
      <c r="B115" s="1" t="s">
        <v>147</v>
      </c>
      <c r="C115" s="1" t="s">
        <v>146</v>
      </c>
      <c r="D115" s="1" t="s">
        <v>125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31"/>
      <c r="Q115" s="31">
        <v>5</v>
      </c>
      <c r="R115" s="31"/>
      <c r="S115" s="31"/>
      <c r="T115" s="31"/>
      <c r="U115" s="31"/>
      <c r="V115" s="31">
        <v>10</v>
      </c>
      <c r="W115" s="31"/>
      <c r="X115" s="31"/>
      <c r="Y115" s="31">
        <v>10</v>
      </c>
      <c r="Z115" s="31"/>
      <c r="AA115" s="31"/>
      <c r="AB115" s="31">
        <v>10</v>
      </c>
      <c r="AC115" s="31"/>
      <c r="AD115" s="3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35</v>
      </c>
      <c r="BQ115" s="1">
        <v>24</v>
      </c>
      <c r="BR115" s="17">
        <v>4</v>
      </c>
      <c r="BS115" s="17" t="s">
        <v>287</v>
      </c>
      <c r="BT115" s="1" t="str">
        <f>IF(AQ115&gt;AQ$136, AQ115-AQ$136,"")</f>
        <v/>
      </c>
      <c r="BU115" s="1" t="str">
        <f>IF(AR115&gt;AR$136, AR115-AR$136,"")</f>
        <v/>
      </c>
      <c r="BV115" s="1" t="str">
        <f>IF(AS115&gt;AS$136, AS115-AS$136,"")</f>
        <v/>
      </c>
      <c r="BW115" s="1" t="str">
        <f>IF(AT115&gt;AT$136, AT115-AT$136,"")</f>
        <v/>
      </c>
      <c r="BX115" s="1" t="str">
        <f>IF(AU115&gt;AU$136, AU115-AU$136,"")</f>
        <v/>
      </c>
      <c r="BY115" s="1" t="str">
        <f>IF(AV115&gt;AV$136, AV115-AV$136,"")</f>
        <v/>
      </c>
      <c r="BZ115" s="1" t="str">
        <f>IF(AW115&gt;AW$136, AW115-AW$136,"")</f>
        <v/>
      </c>
      <c r="CA115" s="1" t="str">
        <f>IF(AX115&gt;AX$136, AX115-AX$136,"")</f>
        <v/>
      </c>
      <c r="CB115" s="1" t="str">
        <f>IF(AY115&gt;AY$136, AY115-AY$136,"")</f>
        <v/>
      </c>
      <c r="CC115" s="1" t="str">
        <f>IF(AZ115&gt;AZ$136, AZ115-AZ$136,"")</f>
        <v/>
      </c>
      <c r="CD115" s="1" t="str">
        <f>IF(BA115&gt;BA$136, BA115-BA$136,"")</f>
        <v/>
      </c>
      <c r="CE115" s="1" t="str">
        <f>IF(BB115&gt;BB$136, BB115-BB$136,"")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54" x14ac:dyDescent="0.15">
      <c r="A116" s="1"/>
      <c r="B116" s="1" t="s">
        <v>183</v>
      </c>
      <c r="C116" s="1" t="s">
        <v>146</v>
      </c>
      <c r="D116" s="1" t="s">
        <v>125</v>
      </c>
      <c r="E116" s="6">
        <v>15</v>
      </c>
      <c r="F116" s="6"/>
      <c r="G116" s="6"/>
      <c r="H116" s="6"/>
      <c r="I116" s="6"/>
      <c r="J116" s="6"/>
      <c r="K116" s="6"/>
      <c r="L116" s="6"/>
      <c r="M116" s="6">
        <v>15</v>
      </c>
      <c r="N116" s="6"/>
      <c r="O116" s="6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>
        <v>15</v>
      </c>
      <c r="AX116" s="2"/>
      <c r="AY116" s="2"/>
      <c r="AZ116" s="2"/>
      <c r="BA116" s="2">
        <v>15</v>
      </c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60</v>
      </c>
      <c r="BQ116" s="1">
        <v>26</v>
      </c>
      <c r="BR116" s="17">
        <v>4</v>
      </c>
      <c r="BS116" s="17" t="s">
        <v>290</v>
      </c>
      <c r="BT116" s="1" t="str">
        <f>IF(AQ116&gt;AQ$136, AQ116-AQ$136,"")</f>
        <v/>
      </c>
      <c r="BU116" s="1" t="str">
        <f>IF(AR116&gt;AR$136, AR116-AR$136,"")</f>
        <v/>
      </c>
      <c r="BV116" s="1" t="str">
        <f>IF(AS116&gt;AS$136, AS116-AS$136,"")</f>
        <v/>
      </c>
      <c r="BW116" s="1" t="str">
        <f>IF(AT116&gt;AT$136, AT116-AT$136,"")</f>
        <v/>
      </c>
      <c r="BX116" s="1" t="str">
        <f>IF(AU116&gt;AU$136, AU116-AU$136,"")</f>
        <v/>
      </c>
      <c r="BY116" s="1" t="str">
        <f>IF(AV116&gt;AV$136, AV116-AV$136,"")</f>
        <v/>
      </c>
      <c r="BZ116" s="1">
        <f>IF(AW116&gt;AW$136, AW116-AW$136,"")</f>
        <v>11</v>
      </c>
      <c r="CA116" s="1" t="str">
        <f>IF(AX116&gt;AX$136, AX116-AX$136,"")</f>
        <v/>
      </c>
      <c r="CB116" s="1" t="str">
        <f>IF(AY116&gt;AY$136, AY116-AY$136,"")</f>
        <v/>
      </c>
      <c r="CC116" s="1" t="str">
        <f>IF(AZ116&gt;AZ$136, AZ116-AZ$136,"")</f>
        <v/>
      </c>
      <c r="CD116" s="1">
        <f>IF(BA116&gt;BA$136, BA116-BA$136,"")</f>
        <v>8</v>
      </c>
      <c r="CE116" s="1" t="str">
        <f>IF(BB116&gt;BB$136, BB116-BB$136,"")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54" x14ac:dyDescent="0.15">
      <c r="A117" s="1"/>
      <c r="B117" s="1" t="s">
        <v>135</v>
      </c>
      <c r="C117" s="1" t="s">
        <v>123</v>
      </c>
      <c r="D117" s="1" t="s">
        <v>126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>
        <v>10</v>
      </c>
      <c r="P117" s="31"/>
      <c r="Q117" s="31"/>
      <c r="R117" s="31">
        <v>10</v>
      </c>
      <c r="S117" s="31"/>
      <c r="T117" s="31"/>
      <c r="U117" s="31"/>
      <c r="V117" s="31"/>
      <c r="W117" s="31"/>
      <c r="X117" s="31">
        <v>10</v>
      </c>
      <c r="Y117" s="31"/>
      <c r="Z117" s="31"/>
      <c r="AA117" s="31"/>
      <c r="AB117" s="31"/>
      <c r="AC117" s="31"/>
      <c r="AD117" s="3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>
        <v>10</v>
      </c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27</v>
      </c>
      <c r="BR117" s="17">
        <v>4</v>
      </c>
      <c r="BS117" s="17" t="s">
        <v>289</v>
      </c>
      <c r="BT117" s="1" t="str">
        <f>IF(AQ117&gt;AQ$136, AQ117-AQ$136,"")</f>
        <v/>
      </c>
      <c r="BU117" s="1" t="str">
        <f>IF(AR117&gt;AR$136, AR117-AR$136,"")</f>
        <v/>
      </c>
      <c r="BV117" s="1">
        <f>IF(AS117&gt;AS$136, AS117-AS$136,"")</f>
        <v>9</v>
      </c>
      <c r="BW117" s="1" t="str">
        <f>IF(AT117&gt;AT$136, AT117-AT$136,"")</f>
        <v/>
      </c>
      <c r="BX117" s="1" t="str">
        <f>IF(AU117&gt;AU$136, AU117-AU$136,"")</f>
        <v/>
      </c>
      <c r="BY117" s="1" t="str">
        <f>IF(AV117&gt;AV$136, AV117-AV$136,"")</f>
        <v/>
      </c>
      <c r="BZ117" s="1" t="str">
        <f>IF(AW117&gt;AW$136, AW117-AW$136,"")</f>
        <v/>
      </c>
      <c r="CA117" s="1" t="str">
        <f>IF(AX117&gt;AX$136, AX117-AX$136,"")</f>
        <v/>
      </c>
      <c r="CB117" s="1" t="str">
        <f>IF(AY117&gt;AY$136, AY117-AY$136,"")</f>
        <v/>
      </c>
      <c r="CC117" s="1" t="str">
        <f>IF(AZ117&gt;AZ$136, AZ117-AZ$136,"")</f>
        <v/>
      </c>
      <c r="CD117" s="1" t="str">
        <f>IF(BA117&gt;BA$136, BA117-BA$136,"")</f>
        <v/>
      </c>
      <c r="CE117" s="1" t="str">
        <f>IF(BB117&gt;BB$136, BB117-BB$136,"")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8"/>
    </row>
    <row r="118" spans="1:97" ht="54" x14ac:dyDescent="0.15">
      <c r="A118" s="1"/>
      <c r="B118" s="1" t="s">
        <v>140</v>
      </c>
      <c r="C118" s="1" t="s">
        <v>123</v>
      </c>
      <c r="D118" s="1" t="s">
        <v>126</v>
      </c>
      <c r="E118" s="6"/>
      <c r="F118" s="6"/>
      <c r="G118" s="6"/>
      <c r="H118" s="6">
        <v>10</v>
      </c>
      <c r="I118" s="6"/>
      <c r="J118" s="6"/>
      <c r="K118" s="6"/>
      <c r="L118" s="6"/>
      <c r="M118" s="6"/>
      <c r="N118" s="6"/>
      <c r="O118" s="6"/>
      <c r="P118" s="31"/>
      <c r="Q118" s="31"/>
      <c r="R118" s="31">
        <v>10</v>
      </c>
      <c r="S118" s="31"/>
      <c r="T118" s="31"/>
      <c r="U118" s="31"/>
      <c r="V118" s="31"/>
      <c r="W118" s="31"/>
      <c r="X118" s="31">
        <v>10</v>
      </c>
      <c r="Y118" s="31"/>
      <c r="Z118" s="31"/>
      <c r="AA118" s="31"/>
      <c r="AB118" s="31"/>
      <c r="AC118" s="31"/>
      <c r="AD118" s="3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>
        <v>10</v>
      </c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28</v>
      </c>
      <c r="BR118" s="17">
        <v>4</v>
      </c>
      <c r="BS118" s="17" t="s">
        <v>291</v>
      </c>
      <c r="BT118" s="1" t="str">
        <f>IF(AQ118&gt;AQ$136, AQ118-AQ$136,"")</f>
        <v/>
      </c>
      <c r="BU118" s="1">
        <f>IF(AR118&gt;AR$136, AR118-AR$136,"")</f>
        <v>6</v>
      </c>
      <c r="BV118" s="1" t="str">
        <f>IF(AS118&gt;AS$136, AS118-AS$136,"")</f>
        <v/>
      </c>
      <c r="BW118" s="1" t="str">
        <f>IF(AT118&gt;AT$136, AT118-AT$136,"")</f>
        <v/>
      </c>
      <c r="BX118" s="1" t="str">
        <f>IF(AU118&gt;AU$136, AU118-AU$136,"")</f>
        <v/>
      </c>
      <c r="BY118" s="1" t="str">
        <f>IF(AV118&gt;AV$136, AV118-AV$136,"")</f>
        <v/>
      </c>
      <c r="BZ118" s="1" t="str">
        <f>IF(AW118&gt;AW$136, AW118-AW$136,"")</f>
        <v/>
      </c>
      <c r="CA118" s="1" t="str">
        <f>IF(AX118&gt;AX$136, AX118-AX$136,"")</f>
        <v/>
      </c>
      <c r="CB118" s="1" t="str">
        <f>IF(AY118&gt;AY$136, AY118-AY$136,"")</f>
        <v/>
      </c>
      <c r="CC118" s="1" t="str">
        <f>IF(AZ118&gt;AZ$136, AZ118-AZ$136,"")</f>
        <v/>
      </c>
      <c r="CD118" s="1" t="str">
        <f>IF(BA118&gt;BA$136, BA118-BA$136,"")</f>
        <v/>
      </c>
      <c r="CE118" s="1" t="str">
        <f>IF(BB118&gt;BB$136, BB118-BB$136,"")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54" x14ac:dyDescent="0.15">
      <c r="A119" s="1"/>
      <c r="B119" s="1" t="s">
        <v>165</v>
      </c>
      <c r="C119" s="1" t="s">
        <v>106</v>
      </c>
      <c r="D119" s="1" t="s">
        <v>108</v>
      </c>
      <c r="E119" s="6">
        <v>10</v>
      </c>
      <c r="F119" s="6"/>
      <c r="G119" s="6">
        <v>10</v>
      </c>
      <c r="H119" s="6"/>
      <c r="I119" s="6"/>
      <c r="J119" s="6"/>
      <c r="K119" s="6"/>
      <c r="L119" s="6"/>
      <c r="M119" s="6"/>
      <c r="N119" s="6"/>
      <c r="O119" s="6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>
        <v>15</v>
      </c>
      <c r="AU119" s="4"/>
      <c r="AV119" s="4"/>
      <c r="AW119" s="2"/>
      <c r="AX119" s="2"/>
      <c r="AY119" s="2"/>
      <c r="AZ119" s="2">
        <v>15</v>
      </c>
      <c r="BA119" s="2">
        <v>15</v>
      </c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65</v>
      </c>
      <c r="BQ119" s="1">
        <v>34</v>
      </c>
      <c r="BR119" s="17">
        <v>4</v>
      </c>
      <c r="BS119" s="17" t="s">
        <v>296</v>
      </c>
      <c r="BT119" s="1" t="str">
        <f>IF(AQ119&gt;AQ$136, AQ119-AQ$136,"")</f>
        <v/>
      </c>
      <c r="BU119" s="1" t="str">
        <f>IF(AR119&gt;AR$136, AR119-AR$136,"")</f>
        <v/>
      </c>
      <c r="BV119" s="1" t="str">
        <f>IF(AS119&gt;AS$136, AS119-AS$136,"")</f>
        <v/>
      </c>
      <c r="BW119" s="1">
        <f>IF(AT119&gt;AT$136, AT119-AT$136,"")</f>
        <v>7</v>
      </c>
      <c r="BX119" s="1" t="str">
        <f>IF(AU119&gt;AU$136, AU119-AU$136,"")</f>
        <v/>
      </c>
      <c r="BY119" s="1" t="str">
        <f>IF(AV119&gt;AV$136, AV119-AV$136,"")</f>
        <v/>
      </c>
      <c r="BZ119" s="1" t="str">
        <f>IF(AW119&gt;AW$136, AW119-AW$136,"")</f>
        <v/>
      </c>
      <c r="CA119" s="1" t="str">
        <f>IF(AX119&gt;AX$136, AX119-AX$136,"")</f>
        <v/>
      </c>
      <c r="CB119" s="1" t="str">
        <f>IF(AY119&gt;AY$136, AY119-AY$136,"")</f>
        <v/>
      </c>
      <c r="CC119" s="1">
        <f>IF(AZ119&gt;AZ$136, AZ119-AZ$136,"")</f>
        <v>11</v>
      </c>
      <c r="CD119" s="1">
        <f>IF(BA119&gt;BA$136, BA119-BA$136,"")</f>
        <v>8</v>
      </c>
      <c r="CE119" s="1" t="str">
        <f>IF(BB119&gt;BB$136, BB119-BB$136,"")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54" x14ac:dyDescent="0.15">
      <c r="A120" s="1"/>
      <c r="B120" s="1" t="s">
        <v>141</v>
      </c>
      <c r="C120" s="1" t="s">
        <v>142</v>
      </c>
      <c r="D120" s="1" t="s">
        <v>124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31">
        <v>10</v>
      </c>
      <c r="Q120" s="31"/>
      <c r="R120" s="31"/>
      <c r="S120" s="31">
        <v>10</v>
      </c>
      <c r="T120" s="31"/>
      <c r="U120" s="31"/>
      <c r="V120" s="31">
        <v>10</v>
      </c>
      <c r="W120" s="31"/>
      <c r="X120" s="31"/>
      <c r="Y120" s="31">
        <v>10</v>
      </c>
      <c r="Z120" s="31"/>
      <c r="AA120" s="31"/>
      <c r="AB120" s="31"/>
      <c r="AC120" s="31"/>
      <c r="AD120" s="3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35</v>
      </c>
      <c r="BR120" s="17">
        <v>4</v>
      </c>
      <c r="BS120" s="17" t="s">
        <v>293</v>
      </c>
      <c r="BT120" s="1" t="str">
        <f>IF(AQ120&gt;AQ$136, AQ120-AQ$136,"")</f>
        <v/>
      </c>
      <c r="BU120" s="1" t="str">
        <f>IF(AR120&gt;AR$136, AR120-AR$136,"")</f>
        <v/>
      </c>
      <c r="BV120" s="1" t="str">
        <f>IF(AS120&gt;AS$136, AS120-AS$136,"")</f>
        <v/>
      </c>
      <c r="BW120" s="1" t="str">
        <f>IF(AT120&gt;AT$136, AT120-AT$136,"")</f>
        <v/>
      </c>
      <c r="BX120" s="1" t="str">
        <f>IF(AU120&gt;AU$136, AU120-AU$136,"")</f>
        <v/>
      </c>
      <c r="BY120" s="1" t="str">
        <f>IF(AV120&gt;AV$136, AV120-AV$136,"")</f>
        <v/>
      </c>
      <c r="BZ120" s="1" t="str">
        <f>IF(AW120&gt;AW$136, AW120-AW$136,"")</f>
        <v/>
      </c>
      <c r="CA120" s="1" t="str">
        <f>IF(AX120&gt;AX$136, AX120-AX$136,"")</f>
        <v/>
      </c>
      <c r="CB120" s="1" t="str">
        <f>IF(AY120&gt;AY$136, AY120-AY$136,"")</f>
        <v/>
      </c>
      <c r="CC120" s="1" t="str">
        <f>IF(AZ120&gt;AZ$136, AZ120-AZ$136,"")</f>
        <v/>
      </c>
      <c r="CD120" s="1" t="str">
        <f>IF(BA120&gt;BA$136, BA120-BA$136,"")</f>
        <v/>
      </c>
      <c r="CE120" s="1" t="str">
        <f>IF(BB120&gt;BB$136, BB120-BB$136,"")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54" x14ac:dyDescent="0.15">
      <c r="A121" s="1"/>
      <c r="B121" s="1" t="s">
        <v>147</v>
      </c>
      <c r="C121" s="1" t="s">
        <v>146</v>
      </c>
      <c r="D121" s="1" t="s">
        <v>124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31">
        <v>10</v>
      </c>
      <c r="Q121" s="31"/>
      <c r="R121" s="31"/>
      <c r="S121" s="31">
        <v>10</v>
      </c>
      <c r="T121" s="31"/>
      <c r="U121" s="31"/>
      <c r="V121" s="31">
        <v>10</v>
      </c>
      <c r="W121" s="31"/>
      <c r="X121" s="31"/>
      <c r="Y121" s="31">
        <v>10</v>
      </c>
      <c r="Z121" s="31"/>
      <c r="AA121" s="31"/>
      <c r="AB121" s="31"/>
      <c r="AC121" s="31"/>
      <c r="AD121" s="3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35</v>
      </c>
      <c r="BR121" s="17">
        <v>4</v>
      </c>
      <c r="BS121" s="17" t="s">
        <v>294</v>
      </c>
      <c r="BT121" s="1" t="str">
        <f>IF(AQ121&gt;AQ$136, AQ121-AQ$136,"")</f>
        <v/>
      </c>
      <c r="BU121" s="1" t="str">
        <f>IF(AR121&gt;AR$136, AR121-AR$136,"")</f>
        <v/>
      </c>
      <c r="BV121" s="1" t="str">
        <f>IF(AS121&gt;AS$136, AS121-AS$136,"")</f>
        <v/>
      </c>
      <c r="BW121" s="1" t="str">
        <f>IF(AT121&gt;AT$136, AT121-AT$136,"")</f>
        <v/>
      </c>
      <c r="BX121" s="1" t="str">
        <f>IF(AU121&gt;AU$136, AU121-AU$136,"")</f>
        <v/>
      </c>
      <c r="BY121" s="1" t="str">
        <f>IF(AV121&gt;AV$136, AV121-AV$136,"")</f>
        <v/>
      </c>
      <c r="BZ121" s="1" t="str">
        <f>IF(AW121&gt;AW$136, AW121-AW$136,"")</f>
        <v/>
      </c>
      <c r="CA121" s="1" t="str">
        <f>IF(AX121&gt;AX$136, AX121-AX$136,"")</f>
        <v/>
      </c>
      <c r="CB121" s="1" t="str">
        <f>IF(AY121&gt;AY$136, AY121-AY$136,"")</f>
        <v/>
      </c>
      <c r="CC121" s="1" t="str">
        <f>IF(AZ121&gt;AZ$136, AZ121-AZ$136,"")</f>
        <v/>
      </c>
      <c r="CD121" s="1" t="str">
        <f>IF(BA121&gt;BA$136, BA121-BA$136,"")</f>
        <v/>
      </c>
      <c r="CE121" s="1" t="str">
        <f>IF(BB121&gt;BB$136, BB121-BB$136,"")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54" x14ac:dyDescent="0.15">
      <c r="A122" s="1"/>
      <c r="B122" s="1" t="s">
        <v>149</v>
      </c>
      <c r="C122" s="1" t="s">
        <v>151</v>
      </c>
      <c r="D122" s="1" t="s">
        <v>124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1">
        <v>10</v>
      </c>
      <c r="Q122" s="31"/>
      <c r="R122" s="31"/>
      <c r="S122" s="31">
        <v>10</v>
      </c>
      <c r="T122" s="31"/>
      <c r="U122" s="31"/>
      <c r="V122" s="31">
        <v>10</v>
      </c>
      <c r="W122" s="31"/>
      <c r="X122" s="31"/>
      <c r="Y122" s="31">
        <v>10</v>
      </c>
      <c r="Z122" s="31"/>
      <c r="AA122" s="31"/>
      <c r="AB122" s="31"/>
      <c r="AC122" s="31"/>
      <c r="AD122" s="3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35</v>
      </c>
      <c r="BR122" s="17">
        <v>4</v>
      </c>
      <c r="BS122" s="17" t="s">
        <v>294</v>
      </c>
      <c r="BT122" s="1" t="str">
        <f>IF(AQ122&gt;AQ$136, AQ122-AQ$136,"")</f>
        <v/>
      </c>
      <c r="BU122" s="1" t="str">
        <f>IF(AR122&gt;AR$136, AR122-AR$136,"")</f>
        <v/>
      </c>
      <c r="BV122" s="1" t="str">
        <f>IF(AS122&gt;AS$136, AS122-AS$136,"")</f>
        <v/>
      </c>
      <c r="BW122" s="1" t="str">
        <f>IF(AT122&gt;AT$136, AT122-AT$136,"")</f>
        <v/>
      </c>
      <c r="BX122" s="1" t="str">
        <f>IF(AU122&gt;AU$136, AU122-AU$136,"")</f>
        <v/>
      </c>
      <c r="BY122" s="1" t="str">
        <f>IF(AV122&gt;AV$136, AV122-AV$136,"")</f>
        <v/>
      </c>
      <c r="BZ122" s="1" t="str">
        <f>IF(AW122&gt;AW$136, AW122-AW$136,"")</f>
        <v/>
      </c>
      <c r="CA122" s="1" t="str">
        <f>IF(AX122&gt;AX$136, AX122-AX$136,"")</f>
        <v/>
      </c>
      <c r="CB122" s="1" t="str">
        <f>IF(AY122&gt;AY$136, AY122-AY$136,"")</f>
        <v/>
      </c>
      <c r="CC122" s="1" t="str">
        <f>IF(AZ122&gt;AZ$136, AZ122-AZ$136,"")</f>
        <v/>
      </c>
      <c r="CD122" s="1" t="str">
        <f>IF(BA122&gt;BA$136, BA122-BA$136,"")</f>
        <v/>
      </c>
      <c r="CE122" s="1" t="str">
        <f>IF(BB122&gt;BB$136, BB122-BB$136,"")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54" x14ac:dyDescent="0.15">
      <c r="A123" s="1"/>
      <c r="B123" s="1" t="s">
        <v>155</v>
      </c>
      <c r="C123" s="1" t="s">
        <v>153</v>
      </c>
      <c r="D123" s="1" t="s">
        <v>124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31">
        <v>10</v>
      </c>
      <c r="Q123" s="31"/>
      <c r="R123" s="31"/>
      <c r="S123" s="31">
        <v>10</v>
      </c>
      <c r="T123" s="31"/>
      <c r="U123" s="31"/>
      <c r="V123" s="31">
        <v>10</v>
      </c>
      <c r="W123" s="31"/>
      <c r="X123" s="31"/>
      <c r="Y123" s="31">
        <v>10</v>
      </c>
      <c r="Z123" s="31"/>
      <c r="AA123" s="31"/>
      <c r="AB123" s="31"/>
      <c r="AC123" s="31"/>
      <c r="AD123" s="3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35</v>
      </c>
      <c r="BR123" s="17">
        <v>4</v>
      </c>
      <c r="BS123" s="17" t="s">
        <v>294</v>
      </c>
      <c r="BT123" s="1" t="str">
        <f>IF(AQ123&gt;AQ$136, AQ123-AQ$136,"")</f>
        <v/>
      </c>
      <c r="BU123" s="1" t="str">
        <f>IF(AR123&gt;AR$136, AR123-AR$136,"")</f>
        <v/>
      </c>
      <c r="BV123" s="1" t="str">
        <f>IF(AS123&gt;AS$136, AS123-AS$136,"")</f>
        <v/>
      </c>
      <c r="BW123" s="1" t="str">
        <f>IF(AT123&gt;AT$136, AT123-AT$136,"")</f>
        <v/>
      </c>
      <c r="BX123" s="1" t="str">
        <f>IF(AU123&gt;AU$136, AU123-AU$136,"")</f>
        <v/>
      </c>
      <c r="BY123" s="1" t="str">
        <f>IF(AV123&gt;AV$136, AV123-AV$136,"")</f>
        <v/>
      </c>
      <c r="BZ123" s="1" t="str">
        <f>IF(AW123&gt;AW$136, AW123-AW$136,"")</f>
        <v/>
      </c>
      <c r="CA123" s="1" t="str">
        <f>IF(AX123&gt;AX$136, AX123-AX$136,"")</f>
        <v/>
      </c>
      <c r="CB123" s="1" t="str">
        <f>IF(AY123&gt;AY$136, AY123-AY$136,"")</f>
        <v/>
      </c>
      <c r="CC123" s="1" t="str">
        <f>IF(AZ123&gt;AZ$136, AZ123-AZ$136,"")</f>
        <v/>
      </c>
      <c r="CD123" s="1" t="str">
        <f>IF(BA123&gt;BA$136, BA123-BA$136,"")</f>
        <v/>
      </c>
      <c r="CE123" s="1" t="str">
        <f>IF(BB123&gt;BB$136, BB123-BB$136,"")</f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54" x14ac:dyDescent="0.15">
      <c r="A124" s="1"/>
      <c r="B124" s="1" t="s">
        <v>158</v>
      </c>
      <c r="C124" s="1" t="s">
        <v>153</v>
      </c>
      <c r="D124" s="1" t="s">
        <v>124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1">
        <v>10</v>
      </c>
      <c r="Q124" s="31"/>
      <c r="R124" s="31"/>
      <c r="S124" s="31">
        <v>10</v>
      </c>
      <c r="T124" s="31"/>
      <c r="U124" s="31"/>
      <c r="V124" s="31">
        <v>10</v>
      </c>
      <c r="W124" s="31"/>
      <c r="X124" s="31"/>
      <c r="Y124" s="31">
        <v>10</v>
      </c>
      <c r="Z124" s="31"/>
      <c r="AA124" s="31"/>
      <c r="AB124" s="31"/>
      <c r="AC124" s="31"/>
      <c r="AD124" s="3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35</v>
      </c>
      <c r="BR124" s="17">
        <v>4</v>
      </c>
      <c r="BS124" s="17" t="s">
        <v>295</v>
      </c>
      <c r="BT124" s="1" t="str">
        <f>IF(AQ124&gt;AQ$136, AQ124-AQ$136,"")</f>
        <v/>
      </c>
      <c r="BU124" s="1" t="str">
        <f>IF(AR124&gt;AR$136, AR124-AR$136,"")</f>
        <v/>
      </c>
      <c r="BV124" s="1" t="str">
        <f>IF(AS124&gt;AS$136, AS124-AS$136,"")</f>
        <v/>
      </c>
      <c r="BW124" s="1" t="str">
        <f>IF(AT124&gt;AT$136, AT124-AT$136,"")</f>
        <v/>
      </c>
      <c r="BX124" s="1" t="str">
        <f>IF(AU124&gt;AU$136, AU124-AU$136,"")</f>
        <v/>
      </c>
      <c r="BY124" s="1" t="str">
        <f>IF(AV124&gt;AV$136, AV124-AV$136,"")</f>
        <v/>
      </c>
      <c r="BZ124" s="1" t="str">
        <f>IF(AW124&gt;AW$136, AW124-AW$136,"")</f>
        <v/>
      </c>
      <c r="CA124" s="1" t="str">
        <f>IF(AX124&gt;AX$136, AX124-AX$136,"")</f>
        <v/>
      </c>
      <c r="CB124" s="1" t="str">
        <f>IF(AY124&gt;AY$136, AY124-AY$136,"")</f>
        <v/>
      </c>
      <c r="CC124" s="1" t="str">
        <f>IF(AZ124&gt;AZ$136, AZ124-AZ$136,"")</f>
        <v/>
      </c>
      <c r="CD124" s="1" t="str">
        <f>IF(BA124&gt;BA$136, BA124-BA$136,"")</f>
        <v/>
      </c>
      <c r="CE124" s="1" t="str">
        <f>IF(BB124&gt;BB$136, BB124-BB$136,"")</f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54" x14ac:dyDescent="0.15">
      <c r="A125" s="1"/>
      <c r="B125" s="1" t="s">
        <v>159</v>
      </c>
      <c r="C125" s="1" t="s">
        <v>153</v>
      </c>
      <c r="D125" s="1" t="s">
        <v>124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1">
        <v>10</v>
      </c>
      <c r="Q125" s="31"/>
      <c r="R125" s="31"/>
      <c r="S125" s="31">
        <v>10</v>
      </c>
      <c r="T125" s="31"/>
      <c r="U125" s="31"/>
      <c r="V125" s="31">
        <v>10</v>
      </c>
      <c r="W125" s="31"/>
      <c r="X125" s="31"/>
      <c r="Y125" s="31">
        <v>10</v>
      </c>
      <c r="Z125" s="31"/>
      <c r="AA125" s="31"/>
      <c r="AB125" s="31"/>
      <c r="AC125" s="31"/>
      <c r="AD125" s="3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35</v>
      </c>
      <c r="BR125" s="17">
        <v>4</v>
      </c>
      <c r="BS125" s="17" t="s">
        <v>294</v>
      </c>
      <c r="BT125" s="1" t="str">
        <f>IF(AQ125&gt;AQ$136, AQ125-AQ$136,"")</f>
        <v/>
      </c>
      <c r="BU125" s="1" t="str">
        <f>IF(AR125&gt;AR$136, AR125-AR$136,"")</f>
        <v/>
      </c>
      <c r="BV125" s="1" t="str">
        <f>IF(AS125&gt;AS$136, AS125-AS$136,"")</f>
        <v/>
      </c>
      <c r="BW125" s="1" t="str">
        <f>IF(AT125&gt;AT$136, AT125-AT$136,"")</f>
        <v/>
      </c>
      <c r="BX125" s="1" t="str">
        <f>IF(AU125&gt;AU$136, AU125-AU$136,"")</f>
        <v/>
      </c>
      <c r="BY125" s="1" t="str">
        <f>IF(AV125&gt;AV$136, AV125-AV$136,"")</f>
        <v/>
      </c>
      <c r="BZ125" s="1" t="str">
        <f>IF(AW125&gt;AW$136, AW125-AW$136,"")</f>
        <v/>
      </c>
      <c r="CA125" s="1" t="str">
        <f>IF(AX125&gt;AX$136, AX125-AX$136,"")</f>
        <v/>
      </c>
      <c r="CB125" s="1" t="str">
        <f>IF(AY125&gt;AY$136, AY125-AY$136,"")</f>
        <v/>
      </c>
      <c r="CC125" s="1" t="str">
        <f>IF(AZ125&gt;AZ$136, AZ125-AZ$136,"")</f>
        <v/>
      </c>
      <c r="CD125" s="1" t="str">
        <f>IF(BA125&gt;BA$136, BA125-BA$136,"")</f>
        <v/>
      </c>
      <c r="CE125" s="1" t="str">
        <f>IF(BB125&gt;BB$136, BB125-BB$136,"")</f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54" x14ac:dyDescent="0.15">
      <c r="A126" s="1">
        <v>65</v>
      </c>
      <c r="B126" s="3" t="s">
        <v>61</v>
      </c>
      <c r="C126" s="1" t="s">
        <v>56</v>
      </c>
      <c r="D126" s="1" t="s">
        <v>13</v>
      </c>
      <c r="E126" s="6"/>
      <c r="F126" s="6"/>
      <c r="G126" s="6">
        <v>10</v>
      </c>
      <c r="H126" s="6"/>
      <c r="I126" s="6"/>
      <c r="J126" s="6"/>
      <c r="K126" s="6"/>
      <c r="L126" s="6"/>
      <c r="M126" s="6"/>
      <c r="N126" s="6"/>
      <c r="O126" s="6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1"/>
      <c r="AF126" s="1"/>
      <c r="AG126" s="1"/>
      <c r="AH126" s="1"/>
      <c r="AI126" s="1"/>
      <c r="AJ126" s="1"/>
      <c r="AK126" s="1"/>
      <c r="AL126" s="1"/>
      <c r="AM126" s="1"/>
      <c r="AN126" s="1">
        <v>25</v>
      </c>
      <c r="AO126" s="1"/>
      <c r="AP126" s="1"/>
      <c r="AQ126" s="4"/>
      <c r="AR126" s="4"/>
      <c r="AS126" s="4"/>
      <c r="AT126" s="4"/>
      <c r="AU126" s="4"/>
      <c r="AV126" s="4">
        <v>10</v>
      </c>
      <c r="AW126" s="2"/>
      <c r="AX126" s="2"/>
      <c r="AY126" s="2"/>
      <c r="AZ126" s="2">
        <v>10</v>
      </c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55</v>
      </c>
      <c r="BQ126" s="1">
        <v>42</v>
      </c>
      <c r="BR126" s="17">
        <v>4</v>
      </c>
      <c r="BS126" s="17" t="s">
        <v>297</v>
      </c>
      <c r="BT126" s="1" t="str">
        <f>IF(AQ126&gt;AQ$136, AQ126-AQ$136,"")</f>
        <v/>
      </c>
      <c r="BU126" s="1" t="str">
        <f>IF(AR126&gt;AR$136, AR126-AR$136,"")</f>
        <v/>
      </c>
      <c r="BV126" s="1" t="str">
        <f>IF(AS126&gt;AS$136, AS126-AS$136,"")</f>
        <v/>
      </c>
      <c r="BW126" s="1" t="str">
        <f>IF(AT126&gt;AT$136, AT126-AT$136,"")</f>
        <v/>
      </c>
      <c r="BX126" s="1" t="str">
        <f>IF(AU126&gt;AU$136, AU126-AU$136,"")</f>
        <v/>
      </c>
      <c r="BY126" s="1">
        <f>IF(AV126&gt;AV$136, AV126-AV$136,"")</f>
        <v>3</v>
      </c>
      <c r="BZ126" s="1" t="str">
        <f>IF(AW126&gt;AW$136, AW126-AW$136,"")</f>
        <v/>
      </c>
      <c r="CA126" s="1" t="str">
        <f>IF(AX126&gt;AX$136, AX126-AX$136,"")</f>
        <v/>
      </c>
      <c r="CB126" s="1" t="str">
        <f>IF(AY126&gt;AY$136, AY126-AY$136,"")</f>
        <v/>
      </c>
      <c r="CC126" s="1">
        <f>IF(AZ126&gt;AZ$136, AZ126-AZ$136,"")</f>
        <v>6</v>
      </c>
      <c r="CD126" s="1" t="str">
        <f>IF(BA126&gt;BA$136, BA126-BA$136,"")</f>
        <v/>
      </c>
      <c r="CE126" s="1" t="str">
        <f>IF(BB126&gt;BB$136, BB126-BB$136,"")</f>
        <v/>
      </c>
      <c r="CF126" s="1">
        <f>COUNTIF(BT126:CE126, "&gt;0")</f>
        <v>2</v>
      </c>
      <c r="CG126" s="1" t="str">
        <f>IF($CF126=1,BT126,"")</f>
        <v/>
      </c>
      <c r="CH126" s="1" t="str">
        <f>IF($CF126=1,BU126,"")</f>
        <v/>
      </c>
      <c r="CI126" s="1" t="str">
        <f>IF($CF126=1,BV126,"")</f>
        <v/>
      </c>
      <c r="CJ126" s="1" t="str">
        <f>IF($CF126=1,BW126,"")</f>
        <v/>
      </c>
      <c r="CK126" s="1" t="str">
        <f>IF($CF126=1,BX126,"")</f>
        <v/>
      </c>
      <c r="CL126" s="1" t="str">
        <f>IF($CF126=1,BY126,"")</f>
        <v/>
      </c>
      <c r="CM126" s="1" t="str">
        <f>IF($CF126=1,BZ126,"")</f>
        <v/>
      </c>
      <c r="CN126" s="1" t="str">
        <f>IF($CF126=1,CA126,"")</f>
        <v/>
      </c>
      <c r="CO126" s="1" t="str">
        <f>IF($CF126=1,CB126,"")</f>
        <v/>
      </c>
      <c r="CP126" s="1" t="str">
        <f>IF($CF126=1,CC126,"")</f>
        <v/>
      </c>
      <c r="CQ126" s="1" t="str">
        <f>IF($CF126=1,CD126,"")</f>
        <v/>
      </c>
      <c r="CR126" s="1" t="str">
        <f>IF($CF126=1,CE126,"")</f>
        <v/>
      </c>
      <c r="CS126" s="18">
        <f>SUM(AE126:BO126)</f>
        <v>45</v>
      </c>
    </row>
    <row r="127" spans="1:97" ht="54" x14ac:dyDescent="0.15">
      <c r="A127" s="1">
        <v>54</v>
      </c>
      <c r="B127" s="1" t="s">
        <v>55</v>
      </c>
      <c r="C127" s="1" t="s">
        <v>56</v>
      </c>
      <c r="D127" s="1" t="s">
        <v>1</v>
      </c>
      <c r="E127" s="6"/>
      <c r="F127" s="6">
        <v>15</v>
      </c>
      <c r="G127" s="6"/>
      <c r="H127" s="6">
        <v>15</v>
      </c>
      <c r="I127" s="6"/>
      <c r="J127" s="6"/>
      <c r="K127" s="6"/>
      <c r="L127" s="6"/>
      <c r="M127" s="6"/>
      <c r="N127" s="6"/>
      <c r="O127" s="6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>
        <v>15</v>
      </c>
      <c r="AW127" s="2"/>
      <c r="AX127" s="2"/>
      <c r="AY127" s="2"/>
      <c r="AZ127" s="2"/>
      <c r="BA127" s="2">
        <v>15</v>
      </c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60</v>
      </c>
      <c r="BQ127" s="1">
        <v>45</v>
      </c>
      <c r="BR127" s="17">
        <v>4</v>
      </c>
      <c r="BS127" s="17" t="s">
        <v>298</v>
      </c>
      <c r="BT127" s="1" t="str">
        <f>IF(AQ127&gt;AQ$136, AQ127-AQ$136,"")</f>
        <v/>
      </c>
      <c r="BU127" s="1" t="str">
        <f>IF(AR127&gt;AR$136, AR127-AR$136,"")</f>
        <v/>
      </c>
      <c r="BV127" s="1" t="str">
        <f>IF(AS127&gt;AS$136, AS127-AS$136,"")</f>
        <v/>
      </c>
      <c r="BW127" s="1" t="str">
        <f>IF(AT127&gt;AT$136, AT127-AT$136,"")</f>
        <v/>
      </c>
      <c r="BX127" s="1" t="str">
        <f>IF(AU127&gt;AU$136, AU127-AU$136,"")</f>
        <v/>
      </c>
      <c r="BY127" s="1">
        <f>IF(AV127&gt;AV$136, AV127-AV$136,"")</f>
        <v>8</v>
      </c>
      <c r="BZ127" s="1" t="str">
        <f>IF(AW127&gt;AW$136, AW127-AW$136,"")</f>
        <v/>
      </c>
      <c r="CA127" s="1" t="str">
        <f>IF(AX127&gt;AX$136, AX127-AX$136,"")</f>
        <v/>
      </c>
      <c r="CB127" s="1" t="str">
        <f>IF(AY127&gt;AY$136, AY127-AY$136,"")</f>
        <v/>
      </c>
      <c r="CC127" s="1" t="str">
        <f>IF(AZ127&gt;AZ$136, AZ127-AZ$136,"")</f>
        <v/>
      </c>
      <c r="CD127" s="1">
        <f>IF(BA127&gt;BA$136, BA127-BA$136,"")</f>
        <v>8</v>
      </c>
      <c r="CE127" s="1" t="str">
        <f>IF(BB127&gt;BB$136, BB127-BB$136,"")</f>
        <v/>
      </c>
      <c r="CF127" s="1">
        <f>COUNTIF(BT127:CE127, "&gt;0")</f>
        <v>2</v>
      </c>
      <c r="CG127" s="1" t="str">
        <f>IF($CF127=1,BT127,"")</f>
        <v/>
      </c>
      <c r="CH127" s="1" t="str">
        <f>IF($CF127=1,BU127,"")</f>
        <v/>
      </c>
      <c r="CI127" s="1" t="str">
        <f>IF($CF127=1,BV127,"")</f>
        <v/>
      </c>
      <c r="CJ127" s="1" t="str">
        <f>IF($CF127=1,BW127,"")</f>
        <v/>
      </c>
      <c r="CK127" s="1" t="str">
        <f>IF($CF127=1,BX127,"")</f>
        <v/>
      </c>
      <c r="CL127" s="1" t="str">
        <f>IF($CF127=1,BY127,"")</f>
        <v/>
      </c>
      <c r="CM127" s="1" t="str">
        <f>IF($CF127=1,BZ127,"")</f>
        <v/>
      </c>
      <c r="CN127" s="1" t="str">
        <f>IF($CF127=1,CA127,"")</f>
        <v/>
      </c>
      <c r="CO127" s="1" t="str">
        <f>IF($CF127=1,CB127,"")</f>
        <v/>
      </c>
      <c r="CP127" s="1" t="str">
        <f>IF($CF127=1,CC127,"")</f>
        <v/>
      </c>
      <c r="CQ127" s="1" t="str">
        <f>IF($CF127=1,CD127,"")</f>
        <v/>
      </c>
      <c r="CR127" s="1" t="str">
        <f>IF($CF127=1,CE127,"")</f>
        <v/>
      </c>
      <c r="CS127" s="18">
        <f>SUM(AE127:BO127)</f>
        <v>30</v>
      </c>
    </row>
    <row r="128" spans="1:97" ht="54" x14ac:dyDescent="0.15">
      <c r="A128" s="1">
        <v>23</v>
      </c>
      <c r="B128" s="1" t="s">
        <v>102</v>
      </c>
      <c r="C128" s="1" t="s">
        <v>31</v>
      </c>
      <c r="D128" s="1" t="s">
        <v>39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>
        <v>50</v>
      </c>
      <c r="BK128" s="1">
        <v>50</v>
      </c>
      <c r="BL128" s="1"/>
      <c r="BM128" s="1"/>
      <c r="BN128" s="1">
        <v>50</v>
      </c>
      <c r="BO128" s="1">
        <v>50</v>
      </c>
      <c r="BP128" s="1">
        <f>SUM(E128:BO128)</f>
        <v>200</v>
      </c>
      <c r="BQ128" s="1">
        <v>158</v>
      </c>
      <c r="BR128" s="17">
        <v>4</v>
      </c>
      <c r="BS128" s="17" t="s">
        <v>299</v>
      </c>
      <c r="BT128" s="1" t="str">
        <f>IF(AQ128&gt;AQ$136, AQ128-AQ$136,"")</f>
        <v/>
      </c>
      <c r="BU128" s="1" t="str">
        <f>IF(AR128&gt;AR$136, AR128-AR$136,"")</f>
        <v/>
      </c>
      <c r="BV128" s="1" t="str">
        <f>IF(AS128&gt;AS$136, AS128-AS$136,"")</f>
        <v/>
      </c>
      <c r="BW128" s="1" t="str">
        <f>IF(AT128&gt;AT$136, AT128-AT$136,"")</f>
        <v/>
      </c>
      <c r="BX128" s="1" t="str">
        <f>IF(AU128&gt;AU$136, AU128-AU$136,"")</f>
        <v/>
      </c>
      <c r="BY128" s="1" t="str">
        <f>IF(AV128&gt;AV$136, AV128-AV$136,"")</f>
        <v/>
      </c>
      <c r="BZ128" s="1" t="str">
        <f>IF(AW128&gt;AW$136, AW128-AW$136,"")</f>
        <v/>
      </c>
      <c r="CA128" s="1" t="str">
        <f>IF(AX128&gt;AX$136, AX128-AX$136,"")</f>
        <v/>
      </c>
      <c r="CB128" s="1" t="str">
        <f>IF(AY128&gt;AY$136, AY128-AY$136,"")</f>
        <v/>
      </c>
      <c r="CC128" s="1" t="str">
        <f>IF(AZ128&gt;AZ$136, AZ128-AZ$136,"")</f>
        <v/>
      </c>
      <c r="CD128" s="1" t="str">
        <f>IF(BA128&gt;BA$136, BA128-BA$136,"")</f>
        <v/>
      </c>
      <c r="CE128" s="1" t="str">
        <f>IF(BB128&gt;BB$136, BB128-BB$136,"")</f>
        <v/>
      </c>
      <c r="CF128" s="1">
        <f>COUNTIF(BT128:CE128, "&gt;0")</f>
        <v>0</v>
      </c>
      <c r="CG128" s="1" t="str">
        <f>IF($CF128=1,BT128,"")</f>
        <v/>
      </c>
      <c r="CH128" s="1" t="str">
        <f>IF($CF128=1,BU128,"")</f>
        <v/>
      </c>
      <c r="CI128" s="1" t="str">
        <f>IF($CF128=1,BV128,"")</f>
        <v/>
      </c>
      <c r="CJ128" s="1" t="str">
        <f>IF($CF128=1,BW128,"")</f>
        <v/>
      </c>
      <c r="CK128" s="1" t="str">
        <f>IF($CF128=1,BX128,"")</f>
        <v/>
      </c>
      <c r="CL128" s="1" t="str">
        <f>IF($CF128=1,BY128,"")</f>
        <v/>
      </c>
      <c r="CM128" s="1" t="str">
        <f>IF($CF128=1,BZ128,"")</f>
        <v/>
      </c>
      <c r="CN128" s="1" t="str">
        <f>IF($CF128=1,CA128,"")</f>
        <v/>
      </c>
      <c r="CO128" s="1" t="str">
        <f>IF($CF128=1,CB128,"")</f>
        <v/>
      </c>
      <c r="CP128" s="1" t="str">
        <f>IF($CF128=1,CC128,"")</f>
        <v/>
      </c>
      <c r="CQ128" s="1" t="str">
        <f>IF($CF128=1,CD128,"")</f>
        <v/>
      </c>
      <c r="CR128" s="1" t="str">
        <f>IF($CF128=1,CE128,"")</f>
        <v/>
      </c>
      <c r="CS128" s="18">
        <f>SUM(AE128:BO128)</f>
        <v>200</v>
      </c>
    </row>
    <row r="129" spans="1:97" ht="54" x14ac:dyDescent="0.15">
      <c r="A129" s="1"/>
      <c r="B129" s="1" t="s">
        <v>180</v>
      </c>
      <c r="C129" s="1" t="s">
        <v>118</v>
      </c>
      <c r="D129" s="1" t="s">
        <v>119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>
        <v>50</v>
      </c>
      <c r="BK129" s="1">
        <v>50</v>
      </c>
      <c r="BL129" s="1"/>
      <c r="BM129" s="1"/>
      <c r="BN129" s="1">
        <v>50</v>
      </c>
      <c r="BO129" s="1">
        <v>50</v>
      </c>
      <c r="BP129" s="1">
        <f>SUM(E129:BO129)</f>
        <v>200</v>
      </c>
      <c r="BQ129" s="1">
        <v>158</v>
      </c>
      <c r="BR129" s="17">
        <v>4</v>
      </c>
      <c r="BS129" s="17" t="s">
        <v>299</v>
      </c>
      <c r="BT129" s="1" t="str">
        <f>IF(AQ129&gt;AQ$136, AQ129-AQ$136,"")</f>
        <v/>
      </c>
      <c r="BU129" s="1" t="str">
        <f>IF(AR129&gt;AR$136, AR129-AR$136,"")</f>
        <v/>
      </c>
      <c r="BV129" s="1" t="str">
        <f>IF(AS129&gt;AS$136, AS129-AS$136,"")</f>
        <v/>
      </c>
      <c r="BW129" s="1" t="str">
        <f>IF(AT129&gt;AT$136, AT129-AT$136,"")</f>
        <v/>
      </c>
      <c r="BX129" s="1" t="str">
        <f>IF(AU129&gt;AU$136, AU129-AU$136,"")</f>
        <v/>
      </c>
      <c r="BY129" s="1" t="str">
        <f>IF(AV129&gt;AV$136, AV129-AV$136,"")</f>
        <v/>
      </c>
      <c r="BZ129" s="1" t="str">
        <f>IF(AW129&gt;AW$136, AW129-AW$136,"")</f>
        <v/>
      </c>
      <c r="CA129" s="1" t="str">
        <f>IF(AX129&gt;AX$136, AX129-AX$136,"")</f>
        <v/>
      </c>
      <c r="CB129" s="1" t="str">
        <f>IF(AY129&gt;AY$136, AY129-AY$136,"")</f>
        <v/>
      </c>
      <c r="CC129" s="1" t="str">
        <f>IF(AZ129&gt;AZ$136, AZ129-AZ$136,"")</f>
        <v/>
      </c>
      <c r="CD129" s="1" t="str">
        <f>IF(BA129&gt;BA$136, BA129-BA$136,"")</f>
        <v/>
      </c>
      <c r="CE129" s="1" t="str">
        <f>IF(BB129&gt;BB$136, BB129-BB$136,"")</f>
        <v/>
      </c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54" x14ac:dyDescent="0.15">
      <c r="A130" s="1"/>
      <c r="B130" s="1" t="s">
        <v>178</v>
      </c>
      <c r="C130" s="1" t="s">
        <v>152</v>
      </c>
      <c r="D130" s="1" t="s">
        <v>39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>
        <v>50</v>
      </c>
      <c r="BK130" s="1">
        <v>50</v>
      </c>
      <c r="BL130" s="1"/>
      <c r="BM130" s="1"/>
      <c r="BN130" s="1">
        <v>50</v>
      </c>
      <c r="BO130" s="1">
        <v>50</v>
      </c>
      <c r="BP130" s="1">
        <f>SUM(E130:BO130)</f>
        <v>200</v>
      </c>
      <c r="BQ130" s="1">
        <v>158</v>
      </c>
      <c r="BR130" s="17">
        <v>4</v>
      </c>
      <c r="BS130" s="17" t="s">
        <v>299</v>
      </c>
      <c r="BT130" s="1" t="str">
        <f>IF(AQ130&gt;AQ$136, AQ130-AQ$136,"")</f>
        <v/>
      </c>
      <c r="BU130" s="1" t="str">
        <f>IF(AR130&gt;AR$136, AR130-AR$136,"")</f>
        <v/>
      </c>
      <c r="BV130" s="1" t="str">
        <f>IF(AS130&gt;AS$136, AS130-AS$136,"")</f>
        <v/>
      </c>
      <c r="BW130" s="1" t="str">
        <f>IF(AT130&gt;AT$136, AT130-AT$136,"")</f>
        <v/>
      </c>
      <c r="BX130" s="1" t="str">
        <f>IF(AU130&gt;AU$136, AU130-AU$136,"")</f>
        <v/>
      </c>
      <c r="BY130" s="1" t="str">
        <f>IF(AV130&gt;AV$136, AV130-AV$136,"")</f>
        <v/>
      </c>
      <c r="BZ130" s="1" t="str">
        <f>IF(AW130&gt;AW$136, AW130-AW$136,"")</f>
        <v/>
      </c>
      <c r="CA130" s="1" t="str">
        <f>IF(AX130&gt;AX$136, AX130-AX$136,"")</f>
        <v/>
      </c>
      <c r="CB130" s="1" t="str">
        <f>IF(AY130&gt;AY$136, AY130-AY$136,"")</f>
        <v/>
      </c>
      <c r="CC130" s="1" t="str">
        <f>IF(AZ130&gt;AZ$136, AZ130-AZ$136,"")</f>
        <v/>
      </c>
      <c r="CD130" s="1" t="str">
        <f>IF(BA130&gt;BA$136, BA130-BA$136,"")</f>
        <v/>
      </c>
      <c r="CE130" s="1" t="str">
        <f>IF(BB130&gt;BB$136, BB130-BB$136,"")</f>
        <v/>
      </c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54" x14ac:dyDescent="0.15">
      <c r="A131" s="1">
        <v>102</v>
      </c>
      <c r="B131" s="3" t="s">
        <v>100</v>
      </c>
      <c r="C131" s="3" t="s">
        <v>69</v>
      </c>
      <c r="D131" s="1" t="s">
        <v>39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>
        <v>50</v>
      </c>
      <c r="BK131" s="1">
        <v>50</v>
      </c>
      <c r="BL131" s="1"/>
      <c r="BM131" s="1"/>
      <c r="BN131" s="1">
        <v>50</v>
      </c>
      <c r="BO131" s="1">
        <v>50</v>
      </c>
      <c r="BP131" s="1">
        <f>SUM(E131:BO131)</f>
        <v>200</v>
      </c>
      <c r="BQ131" s="1">
        <v>158</v>
      </c>
      <c r="BR131" s="17">
        <v>4</v>
      </c>
      <c r="BS131" s="17" t="s">
        <v>299</v>
      </c>
      <c r="BT131" s="1" t="str">
        <f>IF(AQ131&gt;AQ$136, AQ131-AQ$136,"")</f>
        <v/>
      </c>
      <c r="BU131" s="1" t="str">
        <f>IF(AR131&gt;AR$136, AR131-AR$136,"")</f>
        <v/>
      </c>
      <c r="BV131" s="1" t="str">
        <f>IF(AS131&gt;AS$136, AS131-AS$136,"")</f>
        <v/>
      </c>
      <c r="BW131" s="1" t="str">
        <f>IF(AT131&gt;AT$136, AT131-AT$136,"")</f>
        <v/>
      </c>
      <c r="BX131" s="1" t="str">
        <f>IF(AU131&gt;AU$136, AU131-AU$136,"")</f>
        <v/>
      </c>
      <c r="BY131" s="1" t="str">
        <f>IF(AV131&gt;AV$136, AV131-AV$136,"")</f>
        <v/>
      </c>
      <c r="BZ131" s="1" t="str">
        <f>IF(AW131&gt;AW$136, AW131-AW$136,"")</f>
        <v/>
      </c>
      <c r="CA131" s="1" t="str">
        <f>IF(AX131&gt;AX$136, AX131-AX$136,"")</f>
        <v/>
      </c>
      <c r="CB131" s="1" t="str">
        <f>IF(AY131&gt;AY$136, AY131-AY$136,"")</f>
        <v/>
      </c>
      <c r="CC131" s="1" t="str">
        <f>IF(AZ131&gt;AZ$136, AZ131-AZ$136,"")</f>
        <v/>
      </c>
      <c r="CD131" s="1" t="str">
        <f>IF(BA131&gt;BA$136, BA131-BA$136,"")</f>
        <v/>
      </c>
      <c r="CE131" s="1" t="str">
        <f>IF(BB131&gt;BB$136, BB131-BB$136,"")</f>
        <v/>
      </c>
      <c r="CF131" s="1">
        <f>COUNTIF(BT131:CE131, "&gt;0")</f>
        <v>0</v>
      </c>
      <c r="CG131" s="1" t="str">
        <f>IF($CF131=1,BT131,"")</f>
        <v/>
      </c>
      <c r="CH131" s="1" t="str">
        <f>IF($CF131=1,BU131,"")</f>
        <v/>
      </c>
      <c r="CI131" s="1" t="str">
        <f>IF($CF131=1,BV131,"")</f>
        <v/>
      </c>
      <c r="CJ131" s="1" t="str">
        <f>IF($CF131=1,BW131,"")</f>
        <v/>
      </c>
      <c r="CK131" s="1" t="str">
        <f>IF($CF131=1,BX131,"")</f>
        <v/>
      </c>
      <c r="CL131" s="1" t="str">
        <f>IF($CF131=1,BY131,"")</f>
        <v/>
      </c>
      <c r="CM131" s="1" t="str">
        <f>IF($CF131=1,BZ131,"")</f>
        <v/>
      </c>
      <c r="CN131" s="1" t="str">
        <f>IF($CF131=1,CA131,"")</f>
        <v/>
      </c>
      <c r="CO131" s="1" t="str">
        <f>IF($CF131=1,CB131,"")</f>
        <v/>
      </c>
      <c r="CP131" s="1" t="str">
        <f>IF($CF131=1,CC131,"")</f>
        <v/>
      </c>
      <c r="CQ131" s="1" t="str">
        <f>IF($CF131=1,CD131,"")</f>
        <v/>
      </c>
      <c r="CR131" s="1" t="str">
        <f>IF($CF131=1,CE131,"")</f>
        <v/>
      </c>
      <c r="CS131" s="18">
        <f>SUM(AE131:BO131)</f>
        <v>200</v>
      </c>
    </row>
    <row r="132" spans="1:97" ht="54" x14ac:dyDescent="0.15">
      <c r="A132" s="1">
        <v>85</v>
      </c>
      <c r="B132" s="3" t="s">
        <v>198</v>
      </c>
      <c r="C132" s="3" t="s">
        <v>64</v>
      </c>
      <c r="D132" s="1" t="s">
        <v>39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>
        <v>50</v>
      </c>
      <c r="BM132" s="1">
        <v>50</v>
      </c>
      <c r="BN132" s="1">
        <v>50</v>
      </c>
      <c r="BO132" s="1">
        <v>50</v>
      </c>
      <c r="BP132" s="1">
        <f>SUM(E132:BO132)</f>
        <v>200</v>
      </c>
      <c r="BQ132" s="1">
        <v>167</v>
      </c>
      <c r="BR132" s="17">
        <v>4</v>
      </c>
      <c r="BS132" s="17" t="s">
        <v>300</v>
      </c>
      <c r="BT132" s="1" t="str">
        <f>IF(AQ132&gt;AQ$136, AQ132-AQ$136,"")</f>
        <v/>
      </c>
      <c r="BU132" s="1" t="str">
        <f>IF(AR132&gt;AR$136, AR132-AR$136,"")</f>
        <v/>
      </c>
      <c r="BV132" s="1" t="str">
        <f>IF(AS132&gt;AS$136, AS132-AS$136,"")</f>
        <v/>
      </c>
      <c r="BW132" s="1" t="str">
        <f>IF(AT132&gt;AT$136, AT132-AT$136,"")</f>
        <v/>
      </c>
      <c r="BX132" s="1" t="str">
        <f>IF(AU132&gt;AU$136, AU132-AU$136,"")</f>
        <v/>
      </c>
      <c r="BY132" s="1" t="str">
        <f>IF(AV132&gt;AV$136, AV132-AV$136,"")</f>
        <v/>
      </c>
      <c r="BZ132" s="1" t="str">
        <f>IF(AW132&gt;AW$136, AW132-AW$136,"")</f>
        <v/>
      </c>
      <c r="CA132" s="1" t="str">
        <f>IF(AX132&gt;AX$136, AX132-AX$136,"")</f>
        <v/>
      </c>
      <c r="CB132" s="1" t="str">
        <f>IF(AY132&gt;AY$136, AY132-AY$136,"")</f>
        <v/>
      </c>
      <c r="CC132" s="1" t="str">
        <f>IF(AZ132&gt;AZ$136, AZ132-AZ$136,"")</f>
        <v/>
      </c>
      <c r="CD132" s="1" t="str">
        <f>IF(BA132&gt;BA$136, BA132-BA$136,"")</f>
        <v/>
      </c>
      <c r="CE132" s="1" t="str">
        <f>IF(BB132&gt;BB$136, BB132-BB$136,"")</f>
        <v/>
      </c>
      <c r="CF132" s="1">
        <f>COUNTIF(BT132:CE132, "&gt;0")</f>
        <v>0</v>
      </c>
      <c r="CG132" s="1" t="str">
        <f>IF($CF132=1,BT132,"")</f>
        <v/>
      </c>
      <c r="CH132" s="1" t="str">
        <f>IF($CF132=1,BU132,"")</f>
        <v/>
      </c>
      <c r="CI132" s="1" t="str">
        <f>IF($CF132=1,BV132,"")</f>
        <v/>
      </c>
      <c r="CJ132" s="1" t="str">
        <f>IF($CF132=1,BW132,"")</f>
        <v/>
      </c>
      <c r="CK132" s="1" t="str">
        <f>IF($CF132=1,BX132,"")</f>
        <v/>
      </c>
      <c r="CL132" s="1" t="str">
        <f>IF($CF132=1,BY132,"")</f>
        <v/>
      </c>
      <c r="CM132" s="1" t="str">
        <f>IF($CF132=1,BZ132,"")</f>
        <v/>
      </c>
      <c r="CN132" s="1" t="str">
        <f>IF($CF132=1,CA132,"")</f>
        <v/>
      </c>
      <c r="CO132" s="1" t="str">
        <f>IF($CF132=1,CB132,"")</f>
        <v/>
      </c>
      <c r="CP132" s="1" t="str">
        <f>IF($CF132=1,CC132,"")</f>
        <v/>
      </c>
      <c r="CQ132" s="1" t="str">
        <f>IF($CF132=1,CD132,"")</f>
        <v/>
      </c>
      <c r="CR132" s="1" t="str">
        <f>IF($CF132=1,CE132,"")</f>
        <v/>
      </c>
      <c r="CS132" s="18">
        <f>SUM(AE132:BO132)</f>
        <v>200</v>
      </c>
    </row>
    <row r="133" spans="1:97" ht="54" x14ac:dyDescent="0.15">
      <c r="A133" s="1"/>
      <c r="B133" s="1" t="s">
        <v>192</v>
      </c>
      <c r="C133" s="1" t="s">
        <v>121</v>
      </c>
      <c r="D133" s="1" t="s">
        <v>119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>
        <v>50</v>
      </c>
      <c r="BM133" s="1">
        <v>50</v>
      </c>
      <c r="BN133" s="1">
        <v>50</v>
      </c>
      <c r="BO133" s="1">
        <v>50</v>
      </c>
      <c r="BP133" s="1">
        <f>SUM(E133:BO133)</f>
        <v>200</v>
      </c>
      <c r="BQ133" s="1">
        <v>167</v>
      </c>
      <c r="BR133" s="17">
        <v>4</v>
      </c>
      <c r="BS133" s="17" t="s">
        <v>300</v>
      </c>
      <c r="BT133" s="1" t="str">
        <f>IF(AQ133&gt;AQ$136, AQ133-AQ$136,"")</f>
        <v/>
      </c>
      <c r="BU133" s="1" t="str">
        <f>IF(AR133&gt;AR$136, AR133-AR$136,"")</f>
        <v/>
      </c>
      <c r="BV133" s="1" t="str">
        <f>IF(AS133&gt;AS$136, AS133-AS$136,"")</f>
        <v/>
      </c>
      <c r="BW133" s="1" t="str">
        <f>IF(AT133&gt;AT$136, AT133-AT$136,"")</f>
        <v/>
      </c>
      <c r="BX133" s="1" t="str">
        <f>IF(AU133&gt;AU$136, AU133-AU$136,"")</f>
        <v/>
      </c>
      <c r="BY133" s="1" t="str">
        <f>IF(AV133&gt;AV$136, AV133-AV$136,"")</f>
        <v/>
      </c>
      <c r="BZ133" s="1" t="str">
        <f>IF(AW133&gt;AW$136, AW133-AW$136,"")</f>
        <v/>
      </c>
      <c r="CA133" s="1" t="str">
        <f>IF(AX133&gt;AX$136, AX133-AX$136,"")</f>
        <v/>
      </c>
      <c r="CB133" s="1" t="str">
        <f>IF(AY133&gt;AY$136, AY133-AY$136,"")</f>
        <v/>
      </c>
      <c r="CC133" s="1" t="str">
        <f>IF(AZ133&gt;AZ$136, AZ133-AZ$136,"")</f>
        <v/>
      </c>
      <c r="CD133" s="1" t="str">
        <f>IF(BA133&gt;BA$136, BA133-BA$136,"")</f>
        <v/>
      </c>
      <c r="CE133" s="1" t="str">
        <f>IF(BB133&gt;BB$136, BB133-BB$136,"")</f>
        <v/>
      </c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54" x14ac:dyDescent="0.15">
      <c r="A134" s="1"/>
      <c r="B134" s="1" t="s">
        <v>196</v>
      </c>
      <c r="C134" s="1" t="s">
        <v>121</v>
      </c>
      <c r="D134" s="1" t="s">
        <v>119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>
        <v>50</v>
      </c>
      <c r="BM134" s="1">
        <v>50</v>
      </c>
      <c r="BN134" s="1">
        <v>50</v>
      </c>
      <c r="BO134" s="1">
        <v>50</v>
      </c>
      <c r="BP134" s="1">
        <f>SUM(E134:BO134)</f>
        <v>200</v>
      </c>
      <c r="BQ134" s="1">
        <v>167</v>
      </c>
      <c r="BR134" s="17">
        <v>4</v>
      </c>
      <c r="BS134" s="17" t="s">
        <v>300</v>
      </c>
      <c r="BT134" s="1" t="str">
        <f>IF(AQ134&gt;AQ$136, AQ134-AQ$136,"")</f>
        <v/>
      </c>
      <c r="BU134" s="1" t="str">
        <f>IF(AR134&gt;AR$136, AR134-AR$136,"")</f>
        <v/>
      </c>
      <c r="BV134" s="1" t="str">
        <f>IF(AS134&gt;AS$136, AS134-AS$136,"")</f>
        <v/>
      </c>
      <c r="BW134" s="1" t="str">
        <f>IF(AT134&gt;AT$136, AT134-AT$136,"")</f>
        <v/>
      </c>
      <c r="BX134" s="1" t="str">
        <f>IF(AU134&gt;AU$136, AU134-AU$136,"")</f>
        <v/>
      </c>
      <c r="BY134" s="1" t="str">
        <f>IF(AV134&gt;AV$136, AV134-AV$136,"")</f>
        <v/>
      </c>
      <c r="BZ134" s="1" t="str">
        <f>IF(AW134&gt;AW$136, AW134-AW$136,"")</f>
        <v/>
      </c>
      <c r="CA134" s="1" t="str">
        <f>IF(AX134&gt;AX$136, AX134-AX$136,"")</f>
        <v/>
      </c>
      <c r="CB134" s="1" t="str">
        <f>IF(AY134&gt;AY$136, AY134-AY$136,"")</f>
        <v/>
      </c>
      <c r="CC134" s="1" t="str">
        <f>IF(AZ134&gt;AZ$136, AZ134-AZ$136,"")</f>
        <v/>
      </c>
      <c r="CD134" s="1" t="str">
        <f>IF(BA134&gt;BA$136, BA134-BA$136,"")</f>
        <v/>
      </c>
      <c r="CE134" s="1" t="str">
        <f>IF(BB134&gt;BB$136, BB134-BB$136,"")</f>
        <v/>
      </c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x14ac:dyDescent="0.15">
      <c r="A135" s="1"/>
      <c r="B135" s="1" t="s">
        <v>71</v>
      </c>
      <c r="C135" s="1"/>
      <c r="D135" s="1"/>
      <c r="E135" s="6">
        <f>SUM(E2:E134)</f>
        <v>168</v>
      </c>
      <c r="F135" s="6">
        <f>SUM(F2:F134)</f>
        <v>74</v>
      </c>
      <c r="G135" s="6">
        <f>SUM(G2:G134)</f>
        <v>201</v>
      </c>
      <c r="H135" s="6">
        <f>SUM(H2:H134)</f>
        <v>173</v>
      </c>
      <c r="I135" s="6">
        <f>SUM(I2:I134)</f>
        <v>49</v>
      </c>
      <c r="J135" s="6">
        <f>SUM(J2:J134)</f>
        <v>70</v>
      </c>
      <c r="K135" s="6">
        <f>SUM(K2:K134)</f>
        <v>26</v>
      </c>
      <c r="L135" s="6">
        <f>SUM(L2:L134)</f>
        <v>88</v>
      </c>
      <c r="M135" s="6">
        <f>SUM(M2:M134)</f>
        <v>41</v>
      </c>
      <c r="N135" s="6">
        <f>SUM(N2:N134)</f>
        <v>32</v>
      </c>
      <c r="O135" s="6">
        <f>SUM(O2:O134)</f>
        <v>79</v>
      </c>
      <c r="P135" s="31">
        <f>SUM(P2:P134)</f>
        <v>130</v>
      </c>
      <c r="Q135" s="31">
        <f>SUM(Q2:Q134)</f>
        <v>76</v>
      </c>
      <c r="R135" s="31">
        <f>SUM(R2:R134)</f>
        <v>83</v>
      </c>
      <c r="S135" s="31">
        <f>SUM(S2:S134)</f>
        <v>130</v>
      </c>
      <c r="T135" s="31">
        <f>SUM(T2:T134)</f>
        <v>61</v>
      </c>
      <c r="U135" s="31">
        <f>SUM(U2:U134)</f>
        <v>62</v>
      </c>
      <c r="V135" s="31">
        <f>SUM(V2:V134)</f>
        <v>135</v>
      </c>
      <c r="W135" s="31">
        <f>SUM(W2:W134)</f>
        <v>35</v>
      </c>
      <c r="X135" s="31">
        <f>SUM(X2:X134)</f>
        <v>59</v>
      </c>
      <c r="Y135" s="31">
        <f>SUM(Y2:Y134)</f>
        <v>125</v>
      </c>
      <c r="Z135" s="31">
        <f>SUM(Z2:Z134)</f>
        <v>50</v>
      </c>
      <c r="AA135" s="31">
        <f>SUM(AA2:AA134)</f>
        <v>35</v>
      </c>
      <c r="AB135" s="31">
        <f>SUM(AB2:AB134)</f>
        <v>140</v>
      </c>
      <c r="AC135" s="31">
        <f>SUM(AC2:AC134)</f>
        <v>30</v>
      </c>
      <c r="AD135" s="31">
        <f>SUM(AD2:AD134)</f>
        <v>22</v>
      </c>
      <c r="AE135" s="1">
        <f>SUM(AE2:AE134)</f>
        <v>265</v>
      </c>
      <c r="AF135" s="1">
        <f>SUM(AF2:AF134)</f>
        <v>10</v>
      </c>
      <c r="AG135" s="1">
        <f>SUM(AG2:AG134)</f>
        <v>15</v>
      </c>
      <c r="AH135" s="1">
        <f>SUM(AH2:AH134)</f>
        <v>30</v>
      </c>
      <c r="AI135" s="1">
        <f>SUM(AI2:AI134)</f>
        <v>30</v>
      </c>
      <c r="AJ135" s="1">
        <f>SUM(AJ2:AJ134)</f>
        <v>5</v>
      </c>
      <c r="AK135" s="1">
        <f>SUM(AK2:AK134)</f>
        <v>0</v>
      </c>
      <c r="AL135" s="1">
        <f>SUM(AL2:AL134)</f>
        <v>0</v>
      </c>
      <c r="AM135" s="1">
        <f>SUM(AM2:AM134)</f>
        <v>20</v>
      </c>
      <c r="AN135" s="1">
        <f>SUM(AN2:AN134)</f>
        <v>50</v>
      </c>
      <c r="AO135" s="1">
        <f>SUM(AO2:AO134)</f>
        <v>25</v>
      </c>
      <c r="AP135" s="1">
        <f>SUM(AP2:AP134)</f>
        <v>26</v>
      </c>
      <c r="AQ135" s="4">
        <f>SUM(AQ2:AQ134)</f>
        <v>90</v>
      </c>
      <c r="AR135" s="4">
        <f>SUM(AR2:AR134)</f>
        <v>120</v>
      </c>
      <c r="AS135" s="4">
        <f>SUM(AS2:AS134)</f>
        <v>75</v>
      </c>
      <c r="AT135" s="4">
        <f>SUM(AT2:AT134)</f>
        <v>93</v>
      </c>
      <c r="AU135" s="4">
        <f>SUM(AU2:AU134)</f>
        <v>48</v>
      </c>
      <c r="AV135" s="4">
        <f>SUM(AV2:AV134)</f>
        <v>115</v>
      </c>
      <c r="AW135" s="2">
        <f>SUM(AW2:AW134)</f>
        <v>108</v>
      </c>
      <c r="AX135" s="2">
        <f>SUM(AX2:AX134)</f>
        <v>80</v>
      </c>
      <c r="AY135" s="2">
        <f>SUM(AY2:AY134)</f>
        <v>43</v>
      </c>
      <c r="AZ135" s="2">
        <f>SUM(AZ2:AZ134)</f>
        <v>80</v>
      </c>
      <c r="BA135" s="2">
        <f>SUM(BA2:BA134)</f>
        <v>195</v>
      </c>
      <c r="BB135" s="2">
        <f>SUM(BB2:BB134)</f>
        <v>365</v>
      </c>
      <c r="BC135" s="1">
        <f>SUM(BC2:BC134)</f>
        <v>10</v>
      </c>
      <c r="BD135" s="1">
        <f>SUM(BD2:BD134)</f>
        <v>150</v>
      </c>
      <c r="BE135" s="1">
        <f>SUM(BE2:BE134)</f>
        <v>100</v>
      </c>
      <c r="BF135" s="1">
        <f>SUM(BF2:BF134)</f>
        <v>120</v>
      </c>
      <c r="BG135" s="1">
        <f>SUM(BG2:BG134)</f>
        <v>120</v>
      </c>
      <c r="BH135" s="1">
        <f>SUM(BH2:BH134)</f>
        <v>110</v>
      </c>
      <c r="BI135" s="1">
        <f>SUM(BI2:BI134)</f>
        <v>90</v>
      </c>
      <c r="BJ135" s="1">
        <f>SUM(BJ2:BJ134)</f>
        <v>200</v>
      </c>
      <c r="BK135" s="1">
        <f>SUM(BK2:BK134)</f>
        <v>200</v>
      </c>
      <c r="BL135" s="1">
        <f>SUM(BL2:BL134)</f>
        <v>150</v>
      </c>
      <c r="BM135" s="1">
        <f>SUM(BM2:BM134)</f>
        <v>150</v>
      </c>
      <c r="BN135" s="1">
        <f>SUM(BN2:BN134)</f>
        <v>350</v>
      </c>
      <c r="BO135" s="1">
        <f>SUM(BO2:BO134)</f>
        <v>350</v>
      </c>
      <c r="BP135" s="1"/>
      <c r="BQ135" s="1"/>
      <c r="BR135" s="17"/>
      <c r="BS135" s="17"/>
      <c r="BT135" s="1">
        <f>MIN(BT2:BT134)</f>
        <v>7</v>
      </c>
      <c r="BU135" s="1">
        <f>MIN(BU2:BU134)</f>
        <v>6</v>
      </c>
      <c r="BV135" s="1">
        <f>MIN(BV2:BV134)</f>
        <v>4</v>
      </c>
      <c r="BW135" s="1">
        <f>MIN(BW2:BW134)</f>
        <v>2</v>
      </c>
      <c r="BX135" s="1">
        <f>MIN(BX2:BX134)</f>
        <v>0</v>
      </c>
      <c r="BY135" s="1">
        <f>MIN(BY2:BY134)</f>
        <v>3</v>
      </c>
      <c r="BZ135" s="1">
        <f>MIN(BZ2:BZ134)</f>
        <v>4</v>
      </c>
      <c r="CA135" s="1">
        <f>MIN(CA2:CA134)</f>
        <v>0</v>
      </c>
      <c r="CB135" s="1">
        <f>MIN(CB2:CB134)</f>
        <v>2</v>
      </c>
      <c r="CC135" s="1">
        <f>MIN(CC2:CC134)</f>
        <v>6</v>
      </c>
      <c r="CD135" s="1">
        <f>MIN(CD2:CD134)</f>
        <v>3</v>
      </c>
      <c r="CE135" s="1">
        <f>MIN(CE2:CE134)</f>
        <v>0</v>
      </c>
      <c r="CF135" s="1"/>
      <c r="CG135" s="1">
        <f>MIN(CG2:CG134)</f>
        <v>7</v>
      </c>
      <c r="CH135" s="1">
        <f>MIN(CH2:CH134)</f>
        <v>6</v>
      </c>
      <c r="CI135" s="1">
        <f>MIN(CI2:CI134)</f>
        <v>9</v>
      </c>
      <c r="CJ135" s="1">
        <f>MIN(CJ2:CJ134)</f>
        <v>0</v>
      </c>
      <c r="CK135" s="1">
        <f>MIN(CK2:CK134)</f>
        <v>0</v>
      </c>
      <c r="CL135" s="1">
        <f>MIN(CL2:CL134)</f>
        <v>3</v>
      </c>
      <c r="CM135" s="1">
        <f>MIN(CM2:CM134)</f>
        <v>4</v>
      </c>
      <c r="CN135" s="1">
        <f>MIN(CN2:CN134)</f>
        <v>0</v>
      </c>
      <c r="CO135" s="1">
        <f>MIN(CO2:CO134)</f>
        <v>0</v>
      </c>
      <c r="CP135" s="1">
        <f>MIN(CP2:CP134)</f>
        <v>11</v>
      </c>
      <c r="CQ135" s="1">
        <f>MIN(CQ2:CQ134)</f>
        <v>3</v>
      </c>
      <c r="CR135" s="1">
        <f>MIN(CR2:CR134)</f>
        <v>0</v>
      </c>
      <c r="CS135" s="18">
        <f>COUNTIF(CS2:CS134,"=0")</f>
        <v>1</v>
      </c>
    </row>
    <row r="136" spans="1:97" x14ac:dyDescent="0.15">
      <c r="A136" s="1"/>
      <c r="B136" s="3" t="s">
        <v>92</v>
      </c>
      <c r="C136" s="1"/>
      <c r="D136" s="1"/>
      <c r="E136" s="1">
        <v>14</v>
      </c>
      <c r="F136" s="1">
        <v>1</v>
      </c>
      <c r="G136" s="1">
        <v>2</v>
      </c>
      <c r="H136" s="1">
        <v>0</v>
      </c>
      <c r="I136" s="1">
        <v>19</v>
      </c>
      <c r="J136" s="1">
        <v>26</v>
      </c>
      <c r="K136" s="1">
        <v>6</v>
      </c>
      <c r="L136" s="1">
        <v>47</v>
      </c>
      <c r="M136" s="1">
        <v>9</v>
      </c>
      <c r="N136" s="1">
        <v>22</v>
      </c>
      <c r="O136" s="1">
        <v>4</v>
      </c>
      <c r="P136" s="14">
        <v>2</v>
      </c>
      <c r="Q136" s="14">
        <v>1</v>
      </c>
      <c r="R136" s="14">
        <v>2</v>
      </c>
      <c r="S136" s="14">
        <v>1</v>
      </c>
      <c r="T136" s="14">
        <v>5</v>
      </c>
      <c r="U136" s="14">
        <v>0</v>
      </c>
      <c r="V136" s="14">
        <v>2</v>
      </c>
      <c r="W136" s="14">
        <v>2</v>
      </c>
      <c r="X136" s="14">
        <v>6</v>
      </c>
      <c r="Y136" s="14">
        <v>0</v>
      </c>
      <c r="Z136" s="14">
        <v>1</v>
      </c>
      <c r="AA136" s="14">
        <v>1</v>
      </c>
      <c r="AB136" s="14">
        <v>8</v>
      </c>
      <c r="AC136" s="14">
        <v>2</v>
      </c>
      <c r="AD136" s="14">
        <v>4</v>
      </c>
      <c r="AE136" s="1">
        <v>8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33</v>
      </c>
      <c r="AL136" s="1">
        <v>43</v>
      </c>
      <c r="AM136" s="1">
        <v>10</v>
      </c>
      <c r="AN136" s="1">
        <v>0</v>
      </c>
      <c r="AO136" s="1">
        <v>0</v>
      </c>
      <c r="AP136" s="1">
        <v>0</v>
      </c>
      <c r="AQ136" s="14">
        <v>3</v>
      </c>
      <c r="AR136" s="14">
        <v>4</v>
      </c>
      <c r="AS136" s="14">
        <v>1</v>
      </c>
      <c r="AT136" s="14">
        <v>8</v>
      </c>
      <c r="AU136" s="14">
        <v>10</v>
      </c>
      <c r="AV136" s="14">
        <v>7</v>
      </c>
      <c r="AW136" s="14">
        <v>4</v>
      </c>
      <c r="AX136" s="14">
        <v>34</v>
      </c>
      <c r="AY136" s="14">
        <v>13</v>
      </c>
      <c r="AZ136" s="14">
        <v>4</v>
      </c>
      <c r="BA136" s="14">
        <v>7</v>
      </c>
      <c r="BB136" s="14">
        <v>142</v>
      </c>
      <c r="BC136" s="14">
        <v>7</v>
      </c>
      <c r="BD136" s="1">
        <v>98</v>
      </c>
      <c r="BE136" s="1">
        <v>124</v>
      </c>
      <c r="BF136" s="1">
        <v>133</v>
      </c>
      <c r="BG136" s="1">
        <v>142</v>
      </c>
      <c r="BH136" s="1">
        <v>77</v>
      </c>
      <c r="BI136" s="1">
        <v>90</v>
      </c>
      <c r="BJ136" s="1">
        <v>21</v>
      </c>
      <c r="BK136" s="1">
        <v>21</v>
      </c>
      <c r="BL136" s="1">
        <v>33</v>
      </c>
      <c r="BM136" s="1"/>
      <c r="BN136" s="1"/>
      <c r="BO136" s="1"/>
      <c r="BP136" s="1"/>
      <c r="BQ136" s="1"/>
      <c r="BR136" s="17"/>
      <c r="BS136" s="17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33"/>
    </row>
    <row r="137" spans="1:97" x14ac:dyDescent="0.15">
      <c r="A137" s="1"/>
      <c r="B137" s="3" t="s">
        <v>99</v>
      </c>
      <c r="C137" s="1"/>
      <c r="D137" s="1"/>
      <c r="E137" s="1">
        <f>E136-E135</f>
        <v>-154</v>
      </c>
      <c r="F137" s="1">
        <f>F136-F135</f>
        <v>-73</v>
      </c>
      <c r="G137" s="1">
        <f>G136-G135</f>
        <v>-199</v>
      </c>
      <c r="H137" s="1">
        <f>H136-H135</f>
        <v>-173</v>
      </c>
      <c r="I137" s="1">
        <f>I136-I135</f>
        <v>-30</v>
      </c>
      <c r="J137" s="1">
        <f>J136-J135</f>
        <v>-44</v>
      </c>
      <c r="K137" s="1">
        <f>K136-K135</f>
        <v>-20</v>
      </c>
      <c r="L137" s="1">
        <f>L136-L135</f>
        <v>-41</v>
      </c>
      <c r="M137" s="1">
        <f>M136-M135</f>
        <v>-32</v>
      </c>
      <c r="N137" s="1">
        <f>N136-N135</f>
        <v>-10</v>
      </c>
      <c r="O137" s="1">
        <f>O136-O135</f>
        <v>-75</v>
      </c>
      <c r="P137" s="1">
        <f>P136-P135</f>
        <v>-128</v>
      </c>
      <c r="Q137" s="1">
        <f>Q136-Q135</f>
        <v>-75</v>
      </c>
      <c r="R137" s="1">
        <f>R136-R135</f>
        <v>-81</v>
      </c>
      <c r="S137" s="1">
        <f>S136-S135</f>
        <v>-129</v>
      </c>
      <c r="T137" s="1">
        <f>T136-T135</f>
        <v>-56</v>
      </c>
      <c r="U137" s="1">
        <f>U136-U135</f>
        <v>-62</v>
      </c>
      <c r="V137" s="1">
        <f>V136-V135</f>
        <v>-133</v>
      </c>
      <c r="W137" s="1">
        <f>W136-W135</f>
        <v>-33</v>
      </c>
      <c r="X137" s="1">
        <f>X136-X135</f>
        <v>-53</v>
      </c>
      <c r="Y137" s="1">
        <f>Y136-Y135</f>
        <v>-125</v>
      </c>
      <c r="Z137" s="1">
        <f>Z136-Z135</f>
        <v>-49</v>
      </c>
      <c r="AA137" s="1">
        <f>AA136-AA135</f>
        <v>-34</v>
      </c>
      <c r="AB137" s="1">
        <f>AB136-AB135</f>
        <v>-132</v>
      </c>
      <c r="AC137" s="1">
        <f>AC136-AC135</f>
        <v>-28</v>
      </c>
      <c r="AD137" s="1">
        <f>AD136-AD135</f>
        <v>-18</v>
      </c>
      <c r="AE137" s="1">
        <f>AE136-AE135</f>
        <v>-257</v>
      </c>
      <c r="AF137" s="1">
        <f>AF136-AF135</f>
        <v>-10</v>
      </c>
      <c r="AG137" s="1">
        <f>AG136-AG135</f>
        <v>-15</v>
      </c>
      <c r="AH137" s="1">
        <f>AH136-AH135</f>
        <v>-30</v>
      </c>
      <c r="AI137" s="1">
        <f>AI136-AI135</f>
        <v>-30</v>
      </c>
      <c r="AJ137" s="1">
        <f>AJ136-AJ135</f>
        <v>-5</v>
      </c>
      <c r="AK137" s="1">
        <f>AK136-AK135</f>
        <v>33</v>
      </c>
      <c r="AL137" s="1">
        <f>AL136-AL135</f>
        <v>43</v>
      </c>
      <c r="AM137" s="1">
        <f>AM136-AM135</f>
        <v>-10</v>
      </c>
      <c r="AN137" s="1">
        <f>AN136-AN135</f>
        <v>-50</v>
      </c>
      <c r="AO137" s="1">
        <f>AO136-AO135</f>
        <v>-25</v>
      </c>
      <c r="AP137" s="1">
        <f>AP136-AP135</f>
        <v>-26</v>
      </c>
      <c r="AQ137" s="1">
        <f>AQ136-AQ135</f>
        <v>-87</v>
      </c>
      <c r="AR137" s="1">
        <f>AR136-AR135</f>
        <v>-116</v>
      </c>
      <c r="AS137" s="1">
        <f>AS136-AS135</f>
        <v>-74</v>
      </c>
      <c r="AT137" s="1">
        <f>AT136-AT135</f>
        <v>-85</v>
      </c>
      <c r="AU137" s="1">
        <f>AU136-AU135</f>
        <v>-38</v>
      </c>
      <c r="AV137" s="1">
        <f>AV136-AV135</f>
        <v>-108</v>
      </c>
      <c r="AW137" s="1">
        <f>AW136-AW135</f>
        <v>-104</v>
      </c>
      <c r="AX137" s="1">
        <f>AX136-AX135</f>
        <v>-46</v>
      </c>
      <c r="AY137" s="1">
        <f>AY136-AY135</f>
        <v>-30</v>
      </c>
      <c r="AZ137" s="1">
        <f>AZ136-AZ135</f>
        <v>-76</v>
      </c>
      <c r="BA137" s="1">
        <f>BA136-BA135</f>
        <v>-188</v>
      </c>
      <c r="BB137" s="1">
        <f>BB136-BB135</f>
        <v>-223</v>
      </c>
      <c r="BC137" s="1">
        <f>BC136-BC135</f>
        <v>-3</v>
      </c>
      <c r="BD137" s="1">
        <f>BD136-BD135</f>
        <v>-52</v>
      </c>
      <c r="BE137" s="1">
        <f>BE136-BE135</f>
        <v>24</v>
      </c>
      <c r="BF137" s="1">
        <f>BF136-BF135</f>
        <v>13</v>
      </c>
      <c r="BG137" s="1">
        <f>BG136-BG135</f>
        <v>22</v>
      </c>
      <c r="BH137" s="1">
        <f>BH136-BH135</f>
        <v>-33</v>
      </c>
      <c r="BI137" s="1">
        <f>BI136-BI135</f>
        <v>0</v>
      </c>
      <c r="BJ137" s="1">
        <f>BJ136-BJ135</f>
        <v>-179</v>
      </c>
      <c r="BK137" s="1">
        <f>BK136-BK135</f>
        <v>-179</v>
      </c>
      <c r="BL137" s="1">
        <f>BL136-BL135</f>
        <v>-117</v>
      </c>
      <c r="BM137" s="1">
        <f>BM136-BM135</f>
        <v>-150</v>
      </c>
      <c r="BN137" s="1">
        <f>BN136-BN135</f>
        <v>-350</v>
      </c>
      <c r="BO137" s="1">
        <f>BO136-BO135</f>
        <v>-350</v>
      </c>
      <c r="BP137" s="1"/>
      <c r="BQ137" s="1"/>
      <c r="BR137" s="17"/>
      <c r="BS137" s="17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33"/>
    </row>
  </sheetData>
  <autoFilter ref="A1:BP135"/>
  <sortState ref="A2:CS137">
    <sortCondition ref="BR2:BR137"/>
    <sortCondition ref="BQ2:BQ137"/>
  </sortState>
  <phoneticPr fontId="1" type="noConversion"/>
  <conditionalFormatting sqref="E25">
    <cfRule type="cellIs" dxfId="2" priority="4" operator="greaterThan">
      <formula>$E$136</formula>
    </cfRule>
  </conditionalFormatting>
  <conditionalFormatting sqref="E135">
    <cfRule type="cellIs" dxfId="1" priority="3" operator="greaterThan">
      <formula>$E$136</formula>
    </cfRule>
  </conditionalFormatting>
  <conditionalFormatting sqref="E137:BO13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139</xdr:row>
                    <xdr:rowOff>28575</xdr:rowOff>
                  </from>
                  <to>
                    <xdr:col>1</xdr:col>
                    <xdr:colOff>428625</xdr:colOff>
                    <xdr:row>140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89</v>
      </c>
      <c r="B1" s="5" t="s">
        <v>86</v>
      </c>
      <c r="C1" s="5" t="s">
        <v>90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57</v>
      </c>
      <c r="C3" s="1">
        <v>120</v>
      </c>
    </row>
    <row r="4" spans="1:3" x14ac:dyDescent="0.15">
      <c r="A4" s="1">
        <v>4</v>
      </c>
      <c r="B4" s="4" t="s">
        <v>58</v>
      </c>
      <c r="C4" s="1">
        <v>85</v>
      </c>
    </row>
    <row r="5" spans="1:3" x14ac:dyDescent="0.15">
      <c r="A5" s="1">
        <v>3</v>
      </c>
      <c r="B5" s="4" t="s">
        <v>48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33</v>
      </c>
      <c r="C10" s="1">
        <v>45</v>
      </c>
    </row>
    <row r="11" spans="1:3" x14ac:dyDescent="0.15">
      <c r="A11" s="1">
        <v>5</v>
      </c>
      <c r="B11" s="4" t="s">
        <v>65</v>
      </c>
      <c r="C11" s="1">
        <v>45</v>
      </c>
    </row>
    <row r="12" spans="1:3" x14ac:dyDescent="0.15">
      <c r="A12" s="1">
        <v>11</v>
      </c>
      <c r="B12" s="2" t="s">
        <v>49</v>
      </c>
      <c r="C12" s="1">
        <v>10</v>
      </c>
    </row>
    <row r="13" spans="1:3" x14ac:dyDescent="0.15">
      <c r="A13" s="1">
        <v>6</v>
      </c>
      <c r="B13" s="4" t="s">
        <v>70</v>
      </c>
      <c r="C13" s="1">
        <v>8</v>
      </c>
    </row>
    <row r="19" spans="7:18" x14ac:dyDescent="0.15">
      <c r="G19" s="10" t="s">
        <v>48</v>
      </c>
      <c r="H19" s="10" t="s">
        <v>5</v>
      </c>
      <c r="I19" s="10" t="s">
        <v>33</v>
      </c>
      <c r="J19" s="10" t="s">
        <v>65</v>
      </c>
      <c r="K19" s="10" t="s">
        <v>70</v>
      </c>
      <c r="L19" s="10" t="s">
        <v>58</v>
      </c>
      <c r="M19" s="11" t="s">
        <v>6</v>
      </c>
      <c r="N19" s="11" t="s">
        <v>7</v>
      </c>
      <c r="O19" s="11" t="s">
        <v>49</v>
      </c>
      <c r="P19" s="11" t="s">
        <v>9</v>
      </c>
      <c r="Q19" s="11" t="s">
        <v>57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96</v>
      </c>
      <c r="B1" s="8" t="s">
        <v>97</v>
      </c>
      <c r="C1" s="8" t="s">
        <v>98</v>
      </c>
    </row>
    <row r="2" spans="1:3" x14ac:dyDescent="0.15">
      <c r="A2" s="1">
        <v>5</v>
      </c>
      <c r="B2" s="10" t="s">
        <v>70</v>
      </c>
      <c r="C2" s="1">
        <v>0</v>
      </c>
    </row>
    <row r="3" spans="1:3" x14ac:dyDescent="0.15">
      <c r="A3" s="1">
        <v>9</v>
      </c>
      <c r="B3" s="11" t="s">
        <v>49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65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48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33</v>
      </c>
      <c r="C11" s="1">
        <v>5</v>
      </c>
    </row>
    <row r="12" spans="1:3" x14ac:dyDescent="0.15">
      <c r="A12" s="1">
        <v>11</v>
      </c>
      <c r="B12" s="11" t="s">
        <v>57</v>
      </c>
      <c r="C12" s="1">
        <v>5</v>
      </c>
    </row>
    <row r="13" spans="1:3" x14ac:dyDescent="0.15">
      <c r="A13" s="1">
        <v>6</v>
      </c>
      <c r="B13" s="10" t="s">
        <v>58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48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33</v>
      </c>
      <c r="C4">
        <v>0</v>
      </c>
    </row>
    <row r="5" spans="2:3" x14ac:dyDescent="0.15">
      <c r="B5" s="10" t="s">
        <v>70</v>
      </c>
      <c r="C5">
        <v>0</v>
      </c>
    </row>
    <row r="6" spans="2:3" x14ac:dyDescent="0.15">
      <c r="B6" s="11" t="s">
        <v>49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57</v>
      </c>
      <c r="C8">
        <v>0</v>
      </c>
    </row>
    <row r="9" spans="2:3" x14ac:dyDescent="0.15">
      <c r="B9" s="10" t="s">
        <v>65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2020-02-24T02:23:49Z</dcterms:modified>
</cp:coreProperties>
</file>