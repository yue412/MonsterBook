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Sheet1!$A$1:$BP$144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T3" i="1" l="1"/>
  <c r="BU3" i="1"/>
  <c r="BV3" i="1"/>
  <c r="BW3" i="1"/>
  <c r="BX3" i="1"/>
  <c r="BY3" i="1"/>
  <c r="BZ3" i="1"/>
  <c r="CA3" i="1"/>
  <c r="CB3" i="1"/>
  <c r="CC3" i="1"/>
  <c r="CD3" i="1"/>
  <c r="CE3" i="1"/>
  <c r="BT4" i="1"/>
  <c r="BU4" i="1"/>
  <c r="BV4" i="1"/>
  <c r="BW4" i="1"/>
  <c r="BX4" i="1"/>
  <c r="BY4" i="1"/>
  <c r="BZ4" i="1"/>
  <c r="CA4" i="1"/>
  <c r="CB4" i="1"/>
  <c r="CC4" i="1"/>
  <c r="CD4" i="1"/>
  <c r="CE4" i="1"/>
  <c r="BT5" i="1"/>
  <c r="BU5" i="1"/>
  <c r="BV5" i="1"/>
  <c r="BW5" i="1"/>
  <c r="BX5" i="1"/>
  <c r="BY5" i="1"/>
  <c r="BZ5" i="1"/>
  <c r="CA5" i="1"/>
  <c r="CB5" i="1"/>
  <c r="CC5" i="1"/>
  <c r="CD5" i="1"/>
  <c r="CE5" i="1"/>
  <c r="BT6" i="1"/>
  <c r="BU6" i="1"/>
  <c r="BV6" i="1"/>
  <c r="BW6" i="1"/>
  <c r="BX6" i="1"/>
  <c r="BY6" i="1"/>
  <c r="BZ6" i="1"/>
  <c r="CA6" i="1"/>
  <c r="CB6" i="1"/>
  <c r="CC6" i="1"/>
  <c r="CD6" i="1"/>
  <c r="CE6" i="1"/>
  <c r="BT7" i="1"/>
  <c r="BU7" i="1"/>
  <c r="BV7" i="1"/>
  <c r="BW7" i="1"/>
  <c r="BX7" i="1"/>
  <c r="BY7" i="1"/>
  <c r="BZ7" i="1"/>
  <c r="CA7" i="1"/>
  <c r="CB7" i="1"/>
  <c r="CC7" i="1"/>
  <c r="CD7" i="1"/>
  <c r="CE7" i="1"/>
  <c r="BT8" i="1"/>
  <c r="BU8" i="1"/>
  <c r="BV8" i="1"/>
  <c r="BW8" i="1"/>
  <c r="BX8" i="1"/>
  <c r="BY8" i="1"/>
  <c r="BZ8" i="1"/>
  <c r="CA8" i="1"/>
  <c r="CB8" i="1"/>
  <c r="CC8" i="1"/>
  <c r="CD8" i="1"/>
  <c r="CE8" i="1"/>
  <c r="BT9" i="1"/>
  <c r="BU9" i="1"/>
  <c r="BV9" i="1"/>
  <c r="BW9" i="1"/>
  <c r="BX9" i="1"/>
  <c r="BY9" i="1"/>
  <c r="BZ9" i="1"/>
  <c r="CA9" i="1"/>
  <c r="CB9" i="1"/>
  <c r="CC9" i="1"/>
  <c r="CD9" i="1"/>
  <c r="CE9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BT105" i="1"/>
  <c r="BU105" i="1"/>
  <c r="BV105" i="1"/>
  <c r="BW105" i="1"/>
  <c r="BX105" i="1"/>
  <c r="BY105" i="1"/>
  <c r="BZ105" i="1"/>
  <c r="CA105" i="1"/>
  <c r="CB105" i="1"/>
  <c r="CC105" i="1"/>
  <c r="CD105" i="1"/>
  <c r="CE105" i="1"/>
  <c r="BT106" i="1"/>
  <c r="BU106" i="1"/>
  <c r="BV106" i="1"/>
  <c r="BW106" i="1"/>
  <c r="BX106" i="1"/>
  <c r="BY106" i="1"/>
  <c r="BZ106" i="1"/>
  <c r="CA106" i="1"/>
  <c r="CB106" i="1"/>
  <c r="CC106" i="1"/>
  <c r="CD106" i="1"/>
  <c r="CE106" i="1"/>
  <c r="BT107" i="1"/>
  <c r="BU107" i="1"/>
  <c r="BV107" i="1"/>
  <c r="BW107" i="1"/>
  <c r="BX107" i="1"/>
  <c r="BY107" i="1"/>
  <c r="BZ107" i="1"/>
  <c r="CA107" i="1"/>
  <c r="CB107" i="1"/>
  <c r="CC107" i="1"/>
  <c r="CD107" i="1"/>
  <c r="CE107" i="1"/>
  <c r="BT108" i="1"/>
  <c r="BU108" i="1"/>
  <c r="BV108" i="1"/>
  <c r="BW108" i="1"/>
  <c r="BX108" i="1"/>
  <c r="BY108" i="1"/>
  <c r="BZ108" i="1"/>
  <c r="CA108" i="1"/>
  <c r="CB108" i="1"/>
  <c r="CC108" i="1"/>
  <c r="CD108" i="1"/>
  <c r="CE108" i="1"/>
  <c r="BT109" i="1"/>
  <c r="BU109" i="1"/>
  <c r="BV109" i="1"/>
  <c r="BW109" i="1"/>
  <c r="BX109" i="1"/>
  <c r="BY109" i="1"/>
  <c r="BZ109" i="1"/>
  <c r="CA109" i="1"/>
  <c r="CB109" i="1"/>
  <c r="CC109" i="1"/>
  <c r="CD109" i="1"/>
  <c r="CE109" i="1"/>
  <c r="BT110" i="1"/>
  <c r="BU110" i="1"/>
  <c r="BV110" i="1"/>
  <c r="BW110" i="1"/>
  <c r="BX110" i="1"/>
  <c r="BY110" i="1"/>
  <c r="BZ110" i="1"/>
  <c r="CA110" i="1"/>
  <c r="CB110" i="1"/>
  <c r="CC110" i="1"/>
  <c r="CD110" i="1"/>
  <c r="CE110" i="1"/>
  <c r="BT111" i="1"/>
  <c r="BU111" i="1"/>
  <c r="BV111" i="1"/>
  <c r="BW111" i="1"/>
  <c r="BX111" i="1"/>
  <c r="BY111" i="1"/>
  <c r="BZ111" i="1"/>
  <c r="CA111" i="1"/>
  <c r="CB111" i="1"/>
  <c r="CC111" i="1"/>
  <c r="CD111" i="1"/>
  <c r="CE111" i="1"/>
  <c r="BT112" i="1"/>
  <c r="BU112" i="1"/>
  <c r="BV112" i="1"/>
  <c r="BW112" i="1"/>
  <c r="BX112" i="1"/>
  <c r="BY112" i="1"/>
  <c r="BZ112" i="1"/>
  <c r="CA112" i="1"/>
  <c r="CB112" i="1"/>
  <c r="CC112" i="1"/>
  <c r="CD112" i="1"/>
  <c r="CE112" i="1"/>
  <c r="BT113" i="1"/>
  <c r="BU113" i="1"/>
  <c r="BV113" i="1"/>
  <c r="BW113" i="1"/>
  <c r="BX113" i="1"/>
  <c r="BY113" i="1"/>
  <c r="BZ113" i="1"/>
  <c r="CA113" i="1"/>
  <c r="CB113" i="1"/>
  <c r="CC113" i="1"/>
  <c r="CD113" i="1"/>
  <c r="CE113" i="1"/>
  <c r="BT114" i="1"/>
  <c r="BU114" i="1"/>
  <c r="BV114" i="1"/>
  <c r="BW114" i="1"/>
  <c r="BX114" i="1"/>
  <c r="BY114" i="1"/>
  <c r="BZ114" i="1"/>
  <c r="CA114" i="1"/>
  <c r="CB114" i="1"/>
  <c r="CC114" i="1"/>
  <c r="CD114" i="1"/>
  <c r="CE114" i="1"/>
  <c r="BT115" i="1"/>
  <c r="BU115" i="1"/>
  <c r="BV115" i="1"/>
  <c r="BW115" i="1"/>
  <c r="BX115" i="1"/>
  <c r="BY115" i="1"/>
  <c r="BZ115" i="1"/>
  <c r="CA115" i="1"/>
  <c r="CB115" i="1"/>
  <c r="CC115" i="1"/>
  <c r="CD115" i="1"/>
  <c r="CE115" i="1"/>
  <c r="BT118" i="1"/>
  <c r="BU118" i="1"/>
  <c r="BV118" i="1"/>
  <c r="BW118" i="1"/>
  <c r="BX118" i="1"/>
  <c r="BY118" i="1"/>
  <c r="BZ118" i="1"/>
  <c r="CA118" i="1"/>
  <c r="CB118" i="1"/>
  <c r="CC118" i="1"/>
  <c r="CD118" i="1"/>
  <c r="CE118" i="1"/>
  <c r="BT119" i="1"/>
  <c r="BU119" i="1"/>
  <c r="BV119" i="1"/>
  <c r="BW119" i="1"/>
  <c r="BX119" i="1"/>
  <c r="BY119" i="1"/>
  <c r="BZ119" i="1"/>
  <c r="CA119" i="1"/>
  <c r="CB119" i="1"/>
  <c r="CC119" i="1"/>
  <c r="CD119" i="1"/>
  <c r="CE119" i="1"/>
  <c r="BT120" i="1"/>
  <c r="BU120" i="1"/>
  <c r="BV120" i="1"/>
  <c r="BW120" i="1"/>
  <c r="BX120" i="1"/>
  <c r="BY120" i="1"/>
  <c r="BZ120" i="1"/>
  <c r="CA120" i="1"/>
  <c r="CB120" i="1"/>
  <c r="CC120" i="1"/>
  <c r="CD120" i="1"/>
  <c r="CE120" i="1"/>
  <c r="BT121" i="1"/>
  <c r="BU121" i="1"/>
  <c r="BV121" i="1"/>
  <c r="BW121" i="1"/>
  <c r="BX121" i="1"/>
  <c r="BY121" i="1"/>
  <c r="BZ121" i="1"/>
  <c r="CA121" i="1"/>
  <c r="CB121" i="1"/>
  <c r="CC121" i="1"/>
  <c r="CD121" i="1"/>
  <c r="CE121" i="1"/>
  <c r="BT122" i="1"/>
  <c r="BU122" i="1"/>
  <c r="BV122" i="1"/>
  <c r="BW122" i="1"/>
  <c r="BX122" i="1"/>
  <c r="BY122" i="1"/>
  <c r="BZ122" i="1"/>
  <c r="CA122" i="1"/>
  <c r="CB122" i="1"/>
  <c r="CC122" i="1"/>
  <c r="CD122" i="1"/>
  <c r="CE122" i="1"/>
  <c r="BT116" i="1"/>
  <c r="BU116" i="1"/>
  <c r="BV116" i="1"/>
  <c r="BW116" i="1"/>
  <c r="BX116" i="1"/>
  <c r="BY116" i="1"/>
  <c r="BZ116" i="1"/>
  <c r="CA116" i="1"/>
  <c r="CB116" i="1"/>
  <c r="CC116" i="1"/>
  <c r="CD116" i="1"/>
  <c r="CE116" i="1"/>
  <c r="BT117" i="1"/>
  <c r="BU117" i="1"/>
  <c r="BV117" i="1"/>
  <c r="BW117" i="1"/>
  <c r="BX117" i="1"/>
  <c r="BY117" i="1"/>
  <c r="BZ117" i="1"/>
  <c r="CA117" i="1"/>
  <c r="CB117" i="1"/>
  <c r="CC117" i="1"/>
  <c r="CD117" i="1"/>
  <c r="CE117" i="1"/>
  <c r="BT123" i="1"/>
  <c r="BU123" i="1"/>
  <c r="BV123" i="1"/>
  <c r="BW123" i="1"/>
  <c r="BX123" i="1"/>
  <c r="BY123" i="1"/>
  <c r="BZ123" i="1"/>
  <c r="CA123" i="1"/>
  <c r="CB123" i="1"/>
  <c r="CC123" i="1"/>
  <c r="CD123" i="1"/>
  <c r="CE123" i="1"/>
  <c r="BT124" i="1"/>
  <c r="BU124" i="1"/>
  <c r="BV124" i="1"/>
  <c r="BW124" i="1"/>
  <c r="BX124" i="1"/>
  <c r="BY124" i="1"/>
  <c r="BZ124" i="1"/>
  <c r="CA124" i="1"/>
  <c r="CB124" i="1"/>
  <c r="CC124" i="1"/>
  <c r="CD124" i="1"/>
  <c r="CE124" i="1"/>
  <c r="BT125" i="1"/>
  <c r="BU125" i="1"/>
  <c r="BV125" i="1"/>
  <c r="BW125" i="1"/>
  <c r="BX125" i="1"/>
  <c r="BY125" i="1"/>
  <c r="BZ125" i="1"/>
  <c r="CA125" i="1"/>
  <c r="CB125" i="1"/>
  <c r="CC125" i="1"/>
  <c r="CD125" i="1"/>
  <c r="CE125" i="1"/>
  <c r="BT126" i="1"/>
  <c r="BU126" i="1"/>
  <c r="BV126" i="1"/>
  <c r="BW126" i="1"/>
  <c r="BX126" i="1"/>
  <c r="BY126" i="1"/>
  <c r="BZ126" i="1"/>
  <c r="CA126" i="1"/>
  <c r="CB126" i="1"/>
  <c r="CC126" i="1"/>
  <c r="CD126" i="1"/>
  <c r="CE126" i="1"/>
  <c r="BT127" i="1"/>
  <c r="BU127" i="1"/>
  <c r="BV127" i="1"/>
  <c r="BW127" i="1"/>
  <c r="BX127" i="1"/>
  <c r="BY127" i="1"/>
  <c r="BZ127" i="1"/>
  <c r="CA127" i="1"/>
  <c r="CB127" i="1"/>
  <c r="CC127" i="1"/>
  <c r="CD127" i="1"/>
  <c r="CE127" i="1"/>
  <c r="BT128" i="1"/>
  <c r="BU128" i="1"/>
  <c r="BV128" i="1"/>
  <c r="BW128" i="1"/>
  <c r="BX128" i="1"/>
  <c r="BY128" i="1"/>
  <c r="BZ128" i="1"/>
  <c r="CA128" i="1"/>
  <c r="CB128" i="1"/>
  <c r="CC128" i="1"/>
  <c r="CD128" i="1"/>
  <c r="CE128" i="1"/>
  <c r="BT129" i="1"/>
  <c r="BU129" i="1"/>
  <c r="BV129" i="1"/>
  <c r="BW129" i="1"/>
  <c r="BX129" i="1"/>
  <c r="BY129" i="1"/>
  <c r="BZ129" i="1"/>
  <c r="CA129" i="1"/>
  <c r="CB129" i="1"/>
  <c r="CC129" i="1"/>
  <c r="CD129" i="1"/>
  <c r="CE129" i="1"/>
  <c r="BT130" i="1"/>
  <c r="BU130" i="1"/>
  <c r="BV130" i="1"/>
  <c r="BW130" i="1"/>
  <c r="BX130" i="1"/>
  <c r="BY130" i="1"/>
  <c r="BZ130" i="1"/>
  <c r="CA130" i="1"/>
  <c r="CB130" i="1"/>
  <c r="CC130" i="1"/>
  <c r="CD130" i="1"/>
  <c r="CE130" i="1"/>
  <c r="BT131" i="1"/>
  <c r="BU131" i="1"/>
  <c r="BV131" i="1"/>
  <c r="BW131" i="1"/>
  <c r="BX131" i="1"/>
  <c r="BY131" i="1"/>
  <c r="BZ131" i="1"/>
  <c r="CA131" i="1"/>
  <c r="CB131" i="1"/>
  <c r="CC131" i="1"/>
  <c r="CD131" i="1"/>
  <c r="CE131" i="1"/>
  <c r="BT132" i="1"/>
  <c r="BU132" i="1"/>
  <c r="BV132" i="1"/>
  <c r="BW132" i="1"/>
  <c r="BX132" i="1"/>
  <c r="BY132" i="1"/>
  <c r="BZ132" i="1"/>
  <c r="CA132" i="1"/>
  <c r="CB132" i="1"/>
  <c r="CC132" i="1"/>
  <c r="CD132" i="1"/>
  <c r="CE132" i="1"/>
  <c r="BT133" i="1"/>
  <c r="BU133" i="1"/>
  <c r="BV133" i="1"/>
  <c r="BW133" i="1"/>
  <c r="BX133" i="1"/>
  <c r="BY133" i="1"/>
  <c r="BZ133" i="1"/>
  <c r="CA133" i="1"/>
  <c r="CB133" i="1"/>
  <c r="CC133" i="1"/>
  <c r="CD133" i="1"/>
  <c r="CE133" i="1"/>
  <c r="BT136" i="1"/>
  <c r="BU136" i="1"/>
  <c r="BV136" i="1"/>
  <c r="BW136" i="1"/>
  <c r="BX136" i="1"/>
  <c r="BY136" i="1"/>
  <c r="BZ136" i="1"/>
  <c r="CA136" i="1"/>
  <c r="CB136" i="1"/>
  <c r="CC136" i="1"/>
  <c r="CD136" i="1"/>
  <c r="CE136" i="1"/>
  <c r="BT134" i="1"/>
  <c r="BU134" i="1"/>
  <c r="BV134" i="1"/>
  <c r="BW134" i="1"/>
  <c r="BX134" i="1"/>
  <c r="BY134" i="1"/>
  <c r="BZ134" i="1"/>
  <c r="CA134" i="1"/>
  <c r="CB134" i="1"/>
  <c r="CC134" i="1"/>
  <c r="CD134" i="1"/>
  <c r="CE134" i="1"/>
  <c r="BT135" i="1"/>
  <c r="BU135" i="1"/>
  <c r="BV135" i="1"/>
  <c r="BW135" i="1"/>
  <c r="BX135" i="1"/>
  <c r="BY135" i="1"/>
  <c r="BZ135" i="1"/>
  <c r="CA135" i="1"/>
  <c r="CB135" i="1"/>
  <c r="CC135" i="1"/>
  <c r="CD135" i="1"/>
  <c r="CE135" i="1"/>
  <c r="BT137" i="1"/>
  <c r="BU137" i="1"/>
  <c r="BV137" i="1"/>
  <c r="BW137" i="1"/>
  <c r="BX137" i="1"/>
  <c r="BY137" i="1"/>
  <c r="BZ137" i="1"/>
  <c r="CA137" i="1"/>
  <c r="CB137" i="1"/>
  <c r="CC137" i="1"/>
  <c r="CD137" i="1"/>
  <c r="CE137" i="1"/>
  <c r="BT138" i="1"/>
  <c r="BU138" i="1"/>
  <c r="BV138" i="1"/>
  <c r="BW138" i="1"/>
  <c r="BX138" i="1"/>
  <c r="BY138" i="1"/>
  <c r="BZ138" i="1"/>
  <c r="CA138" i="1"/>
  <c r="CB138" i="1"/>
  <c r="CC138" i="1"/>
  <c r="CD138" i="1"/>
  <c r="CE138" i="1"/>
  <c r="BT139" i="1"/>
  <c r="BU139" i="1"/>
  <c r="BV139" i="1"/>
  <c r="BW139" i="1"/>
  <c r="BX139" i="1"/>
  <c r="BY139" i="1"/>
  <c r="BZ139" i="1"/>
  <c r="CA139" i="1"/>
  <c r="CB139" i="1"/>
  <c r="CC139" i="1"/>
  <c r="CD139" i="1"/>
  <c r="CE139" i="1"/>
  <c r="BT140" i="1"/>
  <c r="BU140" i="1"/>
  <c r="BV140" i="1"/>
  <c r="BW140" i="1"/>
  <c r="BX140" i="1"/>
  <c r="BY140" i="1"/>
  <c r="BZ140" i="1"/>
  <c r="CA140" i="1"/>
  <c r="CB140" i="1"/>
  <c r="CC140" i="1"/>
  <c r="CD140" i="1"/>
  <c r="CE140" i="1"/>
  <c r="BT141" i="1"/>
  <c r="BU141" i="1"/>
  <c r="BV141" i="1"/>
  <c r="BW141" i="1"/>
  <c r="BX141" i="1"/>
  <c r="BY141" i="1"/>
  <c r="BZ141" i="1"/>
  <c r="CA141" i="1"/>
  <c r="CB141" i="1"/>
  <c r="CC141" i="1"/>
  <c r="CD141" i="1"/>
  <c r="CE141" i="1"/>
  <c r="BT142" i="1"/>
  <c r="BU142" i="1"/>
  <c r="BV142" i="1"/>
  <c r="BW142" i="1"/>
  <c r="BX142" i="1"/>
  <c r="BY142" i="1"/>
  <c r="BZ142" i="1"/>
  <c r="CA142" i="1"/>
  <c r="CB142" i="1"/>
  <c r="CC142" i="1"/>
  <c r="CD142" i="1"/>
  <c r="CE142" i="1"/>
  <c r="BT143" i="1"/>
  <c r="BU143" i="1"/>
  <c r="BV143" i="1"/>
  <c r="BW143" i="1"/>
  <c r="BX143" i="1"/>
  <c r="BY143" i="1"/>
  <c r="BZ143" i="1"/>
  <c r="CA143" i="1"/>
  <c r="CB143" i="1"/>
  <c r="CC143" i="1"/>
  <c r="CD143" i="1"/>
  <c r="CE143" i="1"/>
  <c r="BP3" i="1"/>
  <c r="BP4" i="1"/>
  <c r="BP5" i="1"/>
  <c r="BP6" i="1"/>
  <c r="BP7" i="1"/>
  <c r="BP8" i="1"/>
  <c r="BP9" i="1"/>
  <c r="BP17" i="1"/>
  <c r="BP18" i="1"/>
  <c r="BP10" i="1"/>
  <c r="BP44" i="1"/>
  <c r="BP11" i="1"/>
  <c r="BP12" i="1"/>
  <c r="BP46" i="1"/>
  <c r="BP13" i="1"/>
  <c r="BP14" i="1"/>
  <c r="BP15" i="1"/>
  <c r="BP19" i="1"/>
  <c r="BP20" i="1"/>
  <c r="BP16" i="1"/>
  <c r="BP22" i="1"/>
  <c r="BP23" i="1"/>
  <c r="BP24" i="1"/>
  <c r="BP25" i="1"/>
  <c r="BP26" i="1"/>
  <c r="BP27" i="1"/>
  <c r="BP28" i="1"/>
  <c r="BP29" i="1"/>
  <c r="BP30" i="1"/>
  <c r="BP31" i="1"/>
  <c r="BP55" i="1"/>
  <c r="BP32" i="1"/>
  <c r="BP33" i="1"/>
  <c r="BP34" i="1"/>
  <c r="BP35" i="1"/>
  <c r="BP59" i="1"/>
  <c r="BP36" i="1"/>
  <c r="BP37" i="1"/>
  <c r="BP38" i="1"/>
  <c r="BP39" i="1"/>
  <c r="BP40" i="1"/>
  <c r="BP41" i="1"/>
  <c r="BP42" i="1"/>
  <c r="BP43" i="1"/>
  <c r="BP45" i="1"/>
  <c r="BP47" i="1"/>
  <c r="BP71" i="1"/>
  <c r="BP77" i="1"/>
  <c r="BP48" i="1"/>
  <c r="BP49" i="1"/>
  <c r="BP50" i="1"/>
  <c r="BP51" i="1"/>
  <c r="BP52" i="1"/>
  <c r="BP60" i="1"/>
  <c r="BP53" i="1"/>
  <c r="BP56" i="1"/>
  <c r="BP54" i="1"/>
  <c r="BP57" i="1"/>
  <c r="BP58" i="1"/>
  <c r="BP61" i="1"/>
  <c r="BP62" i="1"/>
  <c r="BP64" i="1"/>
  <c r="BP65" i="1"/>
  <c r="BP66" i="1"/>
  <c r="BP63" i="1"/>
  <c r="BP67" i="1"/>
  <c r="BP68" i="1"/>
  <c r="BP69" i="1"/>
  <c r="BP70" i="1"/>
  <c r="BP72" i="1"/>
  <c r="BP73" i="1"/>
  <c r="BP74" i="1"/>
  <c r="BP75" i="1"/>
  <c r="BP76" i="1"/>
  <c r="BP78" i="1"/>
  <c r="BP79" i="1"/>
  <c r="BP80" i="1"/>
  <c r="BP81" i="1"/>
  <c r="BP82" i="1"/>
  <c r="BP83" i="1"/>
  <c r="BP84" i="1"/>
  <c r="BP85" i="1"/>
  <c r="BP86" i="1"/>
  <c r="BP87" i="1"/>
  <c r="BP88" i="1"/>
  <c r="BP89" i="1"/>
  <c r="BP90" i="1"/>
  <c r="BP100" i="1"/>
  <c r="BP94" i="1"/>
  <c r="BP91" i="1"/>
  <c r="BP92" i="1"/>
  <c r="BP93" i="1"/>
  <c r="BP95" i="1"/>
  <c r="BP96" i="1"/>
  <c r="BP97" i="1"/>
  <c r="BP98" i="1"/>
  <c r="BP99" i="1"/>
  <c r="BP101" i="1"/>
  <c r="BP102" i="1"/>
  <c r="BP103" i="1"/>
  <c r="BP104" i="1"/>
  <c r="BP105" i="1"/>
  <c r="BP106" i="1"/>
  <c r="BP107" i="1"/>
  <c r="BP108" i="1"/>
  <c r="BP109" i="1"/>
  <c r="BP110" i="1"/>
  <c r="BP111" i="1"/>
  <c r="BP112" i="1"/>
  <c r="BP113" i="1"/>
  <c r="BP114" i="1"/>
  <c r="BP115" i="1"/>
  <c r="BP118" i="1"/>
  <c r="BP119" i="1"/>
  <c r="BP120" i="1"/>
  <c r="BP121" i="1"/>
  <c r="BP122" i="1"/>
  <c r="BP116" i="1"/>
  <c r="BP117" i="1"/>
  <c r="BP123" i="1"/>
  <c r="BP124" i="1"/>
  <c r="BP125" i="1"/>
  <c r="BP126" i="1"/>
  <c r="BP127" i="1"/>
  <c r="BP128" i="1"/>
  <c r="BP129" i="1"/>
  <c r="BP130" i="1"/>
  <c r="BP131" i="1"/>
  <c r="BP132" i="1"/>
  <c r="BP133" i="1"/>
  <c r="BP136" i="1"/>
  <c r="BP134" i="1"/>
  <c r="BP135" i="1"/>
  <c r="BP137" i="1"/>
  <c r="BP138" i="1"/>
  <c r="BP139" i="1"/>
  <c r="BP140" i="1"/>
  <c r="BP141" i="1"/>
  <c r="BP142" i="1"/>
  <c r="BP143" i="1"/>
  <c r="CF141" i="1" l="1"/>
  <c r="CF140" i="1"/>
  <c r="CF136" i="1"/>
  <c r="CF68" i="1"/>
  <c r="CF41" i="1"/>
  <c r="CF23" i="1"/>
  <c r="CF5" i="1"/>
  <c r="CF4" i="1"/>
  <c r="CF103" i="1"/>
  <c r="CF67" i="1"/>
  <c r="CF40" i="1"/>
  <c r="CF20" i="1"/>
  <c r="CF101" i="1"/>
  <c r="CF79" i="1"/>
  <c r="CF66" i="1"/>
  <c r="CF43" i="1"/>
  <c r="CF42" i="1"/>
  <c r="CF37" i="1"/>
  <c r="CF26" i="1"/>
  <c r="CF25" i="1"/>
  <c r="CF24" i="1"/>
  <c r="CF19" i="1"/>
  <c r="CF9" i="1"/>
  <c r="CF3" i="1"/>
  <c r="CF137" i="1"/>
  <c r="CF134" i="1"/>
  <c r="CF96" i="1"/>
  <c r="CF100" i="1"/>
  <c r="CF88" i="1"/>
  <c r="CF86" i="1"/>
  <c r="CF85" i="1"/>
  <c r="CF84" i="1"/>
  <c r="CF83" i="1"/>
  <c r="CF82" i="1"/>
  <c r="CF61" i="1"/>
  <c r="CF58" i="1"/>
  <c r="CF57" i="1"/>
  <c r="CF54" i="1"/>
  <c r="CF56" i="1"/>
  <c r="CF53" i="1"/>
  <c r="CF60" i="1"/>
  <c r="CF36" i="1"/>
  <c r="CF32" i="1"/>
  <c r="CF55" i="1"/>
  <c r="CF29" i="1"/>
  <c r="CF28" i="1"/>
  <c r="CF27" i="1"/>
  <c r="CF15" i="1"/>
  <c r="CF14" i="1"/>
  <c r="CF13" i="1"/>
  <c r="CF46" i="1"/>
  <c r="CF44" i="1"/>
  <c r="CS140" i="1"/>
  <c r="CM140" i="1" l="1"/>
  <c r="CO140" i="1" l="1"/>
  <c r="CK140" i="1"/>
  <c r="CI140" i="1"/>
  <c r="CN140" i="1"/>
  <c r="CP140" i="1"/>
  <c r="CJ140" i="1"/>
  <c r="CL140" i="1"/>
  <c r="CG140" i="1"/>
  <c r="CQ140" i="1"/>
  <c r="CH140" i="1"/>
  <c r="CR140" i="1"/>
  <c r="CS3" i="1"/>
  <c r="CS4" i="1"/>
  <c r="CS5" i="1"/>
  <c r="CS84" i="1"/>
  <c r="CS14" i="1"/>
  <c r="CS15" i="1"/>
  <c r="CS54" i="1"/>
  <c r="CS9" i="1"/>
  <c r="CS23" i="1"/>
  <c r="CS24" i="1"/>
  <c r="CS25" i="1"/>
  <c r="CS26" i="1"/>
  <c r="CS27" i="1"/>
  <c r="CS28" i="1"/>
  <c r="CS29" i="1"/>
  <c r="CS43" i="1"/>
  <c r="CS44" i="1"/>
  <c r="CS61" i="1"/>
  <c r="CS19" i="1"/>
  <c r="CS20" i="1"/>
  <c r="CS56" i="1"/>
  <c r="CS60" i="1"/>
  <c r="CS32" i="1"/>
  <c r="CS67" i="1"/>
  <c r="CS36" i="1"/>
  <c r="CS40" i="1"/>
  <c r="CS41" i="1"/>
  <c r="CS42" i="1"/>
  <c r="CS13" i="1"/>
  <c r="CS79" i="1"/>
  <c r="CS85" i="1"/>
  <c r="CS53" i="1"/>
  <c r="CS37" i="1"/>
  <c r="CS55" i="1"/>
  <c r="CS57" i="1"/>
  <c r="CS58" i="1"/>
  <c r="CS86" i="1"/>
  <c r="CS82" i="1"/>
  <c r="CS83" i="1"/>
  <c r="CS88" i="1"/>
  <c r="CS66" i="1"/>
  <c r="CS68" i="1"/>
  <c r="CS134" i="1"/>
  <c r="CS100" i="1"/>
  <c r="CS46" i="1"/>
  <c r="CS96" i="1"/>
  <c r="CS136" i="1"/>
  <c r="CS103" i="1"/>
  <c r="CS101" i="1"/>
  <c r="CS141" i="1"/>
  <c r="CS137" i="1"/>
  <c r="CS2" i="1"/>
  <c r="CS144" i="1" l="1"/>
  <c r="BU2" i="1"/>
  <c r="BV2" i="1"/>
  <c r="BW2" i="1"/>
  <c r="BX2" i="1"/>
  <c r="BY2" i="1"/>
  <c r="BZ2" i="1"/>
  <c r="CA2" i="1"/>
  <c r="CB2" i="1"/>
  <c r="CC2" i="1"/>
  <c r="CD2" i="1"/>
  <c r="CE2" i="1"/>
  <c r="BT2" i="1"/>
  <c r="CR54" i="1" l="1"/>
  <c r="CR24" i="1"/>
  <c r="CN23" i="1"/>
  <c r="CA144" i="1"/>
  <c r="CC144" i="1"/>
  <c r="BX144" i="1"/>
  <c r="BZ144" i="1"/>
  <c r="BV144" i="1"/>
  <c r="BU144" i="1"/>
  <c r="CD144" i="1"/>
  <c r="BY144" i="1"/>
  <c r="CB144" i="1"/>
  <c r="CE144" i="1"/>
  <c r="CK46" i="1"/>
  <c r="CM44" i="1"/>
  <c r="CI41" i="1"/>
  <c r="CJ37" i="1"/>
  <c r="CG68" i="1"/>
  <c r="CN5" i="1"/>
  <c r="CN4" i="1"/>
  <c r="CN3" i="1"/>
  <c r="CG137" i="1"/>
  <c r="CK96" i="1"/>
  <c r="CK136" i="1"/>
  <c r="CR100" i="1"/>
  <c r="CJ83" i="1"/>
  <c r="CH53" i="1"/>
  <c r="CQ61" i="1"/>
  <c r="CR56" i="1"/>
  <c r="CH19" i="1"/>
  <c r="CN85" i="1"/>
  <c r="CH43" i="1"/>
  <c r="CL40" i="1"/>
  <c r="CH67" i="1"/>
  <c r="CO9" i="1"/>
  <c r="CH28" i="1"/>
  <c r="CP27" i="1"/>
  <c r="CN26" i="1"/>
  <c r="CR25" i="1"/>
  <c r="CG79" i="1"/>
  <c r="CQ84" i="1"/>
  <c r="CN15" i="1"/>
  <c r="CI14" i="1"/>
  <c r="CR141" i="1"/>
  <c r="CJ60" i="1"/>
  <c r="CO101" i="1"/>
  <c r="CN134" i="1"/>
  <c r="CR82" i="1"/>
  <c r="CR86" i="1"/>
  <c r="CH32" i="1"/>
  <c r="CK20" i="1"/>
  <c r="CN58" i="1"/>
  <c r="CL57" i="1"/>
  <c r="CN88" i="1"/>
  <c r="CI55" i="1"/>
  <c r="CH13" i="1"/>
  <c r="CO42" i="1"/>
  <c r="CM36" i="1"/>
  <c r="CM29" i="1"/>
  <c r="CF2" i="1"/>
  <c r="CH2" i="1" s="1"/>
  <c r="CK66" i="1"/>
  <c r="CG103" i="1"/>
  <c r="BW144" i="1"/>
  <c r="BT144" i="1"/>
  <c r="BP2" i="1"/>
  <c r="CN28" i="1" l="1"/>
  <c r="CK28" i="1"/>
  <c r="CP4" i="1"/>
  <c r="CJ56" i="1"/>
  <c r="CI44" i="1"/>
  <c r="CJ5" i="1"/>
  <c r="CQ14" i="1"/>
  <c r="CH44" i="1"/>
  <c r="CP44" i="1"/>
  <c r="CG44" i="1"/>
  <c r="CR44" i="1"/>
  <c r="CN61" i="1"/>
  <c r="CK44" i="1"/>
  <c r="CI46" i="1"/>
  <c r="CP46" i="1"/>
  <c r="CQ46" i="1"/>
  <c r="CH46" i="1"/>
  <c r="CO46" i="1"/>
  <c r="CG46" i="1"/>
  <c r="CP9" i="1"/>
  <c r="CO86" i="1"/>
  <c r="CR57" i="1"/>
  <c r="CP28" i="1"/>
  <c r="CN14" i="1"/>
  <c r="CQ37" i="1"/>
  <c r="CJ4" i="1"/>
  <c r="CL4" i="1"/>
  <c r="CM46" i="1"/>
  <c r="CM57" i="1"/>
  <c r="CK25" i="1"/>
  <c r="CN100" i="1"/>
  <c r="CN37" i="1"/>
  <c r="CO100" i="1"/>
  <c r="CM37" i="1"/>
  <c r="CI37" i="1"/>
  <c r="CR37" i="1"/>
  <c r="CL43" i="1"/>
  <c r="CN2" i="1"/>
  <c r="CK37" i="1"/>
  <c r="CL96" i="1"/>
  <c r="CQ15" i="1"/>
  <c r="CI85" i="1"/>
  <c r="CQ96" i="1"/>
  <c r="CJ96" i="1"/>
  <c r="CH37" i="1"/>
  <c r="CP37" i="1"/>
  <c r="CH84" i="1"/>
  <c r="CG61" i="1"/>
  <c r="CG37" i="1"/>
  <c r="CO61" i="1"/>
  <c r="CO37" i="1"/>
  <c r="CR3" i="1"/>
  <c r="CL37" i="1"/>
  <c r="CI100" i="1"/>
  <c r="CO96" i="1"/>
  <c r="CQ100" i="1"/>
  <c r="CM25" i="1"/>
  <c r="CP84" i="1"/>
  <c r="CJ61" i="1"/>
  <c r="CR68" i="1"/>
  <c r="CQ68" i="1"/>
  <c r="CP68" i="1"/>
  <c r="CN68" i="1"/>
  <c r="CM68" i="1"/>
  <c r="CJ68" i="1"/>
  <c r="CJ41" i="1"/>
  <c r="CO68" i="1"/>
  <c r="CP36" i="1"/>
  <c r="CH68" i="1"/>
  <c r="CG36" i="1"/>
  <c r="CK68" i="1"/>
  <c r="CI68" i="1"/>
  <c r="CR40" i="1"/>
  <c r="CL83" i="1"/>
  <c r="CQ24" i="1"/>
  <c r="CQ83" i="1"/>
  <c r="CK40" i="1"/>
  <c r="CK60" i="1"/>
  <c r="CN24" i="1"/>
  <c r="CN86" i="1"/>
  <c r="CP24" i="1"/>
  <c r="CL60" i="1"/>
  <c r="CH24" i="1"/>
  <c r="CO60" i="1"/>
  <c r="CO24" i="1"/>
  <c r="CN83" i="1"/>
  <c r="CI60" i="1"/>
  <c r="CK24" i="1"/>
  <c r="CM83" i="1"/>
  <c r="CH60" i="1"/>
  <c r="CO83" i="1"/>
  <c r="CI83" i="1"/>
  <c r="CR60" i="1"/>
  <c r="CI24" i="1"/>
  <c r="CQ40" i="1"/>
  <c r="CH83" i="1"/>
  <c r="CQ60" i="1"/>
  <c r="CP40" i="1"/>
  <c r="CG83" i="1"/>
  <c r="CN60" i="1"/>
  <c r="CR2" i="1"/>
  <c r="CM88" i="1"/>
  <c r="CJ40" i="1"/>
  <c r="CM40" i="1"/>
  <c r="CR83" i="1"/>
  <c r="CI66" i="1"/>
  <c r="CJ24" i="1"/>
  <c r="CR14" i="1"/>
  <c r="CK141" i="1"/>
  <c r="CO84" i="1"/>
  <c r="CR61" i="1"/>
  <c r="CG28" i="1"/>
  <c r="CL100" i="1"/>
  <c r="CL14" i="1"/>
  <c r="CI9" i="1"/>
  <c r="CR55" i="1"/>
  <c r="CJ46" i="1"/>
  <c r="CM3" i="1"/>
  <c r="CJ44" i="1"/>
  <c r="CM2" i="1"/>
  <c r="CK101" i="1"/>
  <c r="CJ2" i="1"/>
  <c r="CM19" i="1"/>
  <c r="CP20" i="1"/>
  <c r="CQ82" i="1"/>
  <c r="CI3" i="1"/>
  <c r="CN44" i="1"/>
  <c r="CI2" i="1"/>
  <c r="CM141" i="1"/>
  <c r="CP86" i="1"/>
  <c r="CL82" i="1"/>
  <c r="CG3" i="1"/>
  <c r="CM55" i="1"/>
  <c r="CN84" i="1"/>
  <c r="CK85" i="1"/>
  <c r="CM61" i="1"/>
  <c r="CQ28" i="1"/>
  <c r="CR46" i="1"/>
  <c r="CH100" i="1"/>
  <c r="CP56" i="1"/>
  <c r="CM14" i="1"/>
  <c r="CI103" i="1"/>
  <c r="CO44" i="1"/>
  <c r="CN19" i="1"/>
  <c r="CL103" i="1"/>
  <c r="CL84" i="1"/>
  <c r="CQ85" i="1"/>
  <c r="CO103" i="1"/>
  <c r="CL61" i="1"/>
  <c r="CO55" i="1"/>
  <c r="CG53" i="1"/>
  <c r="CH4" i="1"/>
  <c r="CG14" i="1"/>
  <c r="CR103" i="1"/>
  <c r="CL44" i="1"/>
  <c r="CK84" i="1"/>
  <c r="CO85" i="1"/>
  <c r="CK61" i="1"/>
  <c r="CL55" i="1"/>
  <c r="CI28" i="1"/>
  <c r="CR53" i="1"/>
  <c r="CQ23" i="1"/>
  <c r="CN103" i="1"/>
  <c r="CH55" i="1"/>
  <c r="CI53" i="1"/>
  <c r="CK55" i="1"/>
  <c r="CO53" i="1"/>
  <c r="CO14" i="1"/>
  <c r="CP23" i="1"/>
  <c r="CM103" i="1"/>
  <c r="CN9" i="1"/>
  <c r="CN36" i="1"/>
  <c r="CL68" i="1"/>
  <c r="CL53" i="1"/>
  <c r="CM23" i="1"/>
  <c r="CJ103" i="1"/>
  <c r="CI36" i="1"/>
  <c r="CJ23" i="1"/>
  <c r="CQ101" i="1"/>
  <c r="CM67" i="1"/>
  <c r="CI23" i="1"/>
  <c r="CP101" i="1"/>
  <c r="CI67" i="1"/>
  <c r="CG23" i="1"/>
  <c r="CN101" i="1"/>
  <c r="CL23" i="1"/>
  <c r="CK103" i="1"/>
  <c r="CQ55" i="1"/>
  <c r="CJ101" i="1"/>
  <c r="CN53" i="1"/>
  <c r="CQ53" i="1"/>
  <c r="CK23" i="1"/>
  <c r="CN55" i="1"/>
  <c r="CG101" i="1"/>
  <c r="CP53" i="1"/>
  <c r="CJ53" i="1"/>
  <c r="CG55" i="1"/>
  <c r="CL101" i="1"/>
  <c r="CM53" i="1"/>
  <c r="CJ86" i="1"/>
  <c r="CQ4" i="1"/>
  <c r="CO3" i="1"/>
  <c r="CI136" i="1"/>
  <c r="CK14" i="1"/>
  <c r="CM9" i="1"/>
  <c r="CP85" i="1"/>
  <c r="CH36" i="1"/>
  <c r="CN137" i="1"/>
  <c r="CJ57" i="1"/>
  <c r="CM28" i="1"/>
  <c r="CL15" i="1"/>
  <c r="CQ19" i="1"/>
  <c r="CH86" i="1"/>
  <c r="CK82" i="1"/>
  <c r="CO25" i="1"/>
  <c r="CH14" i="1"/>
  <c r="CG141" i="1"/>
  <c r="CJ9" i="1"/>
  <c r="CG85" i="1"/>
  <c r="CQ36" i="1"/>
  <c r="CQ57" i="1"/>
  <c r="CJ28" i="1"/>
  <c r="CK15" i="1"/>
  <c r="CP19" i="1"/>
  <c r="CQ141" i="1"/>
  <c r="CJ54" i="1"/>
  <c r="CG86" i="1"/>
  <c r="CL25" i="1"/>
  <c r="CL141" i="1"/>
  <c r="CL2" i="1"/>
  <c r="CG9" i="1"/>
  <c r="CL85" i="1"/>
  <c r="CO36" i="1"/>
  <c r="CK57" i="1"/>
  <c r="CR28" i="1"/>
  <c r="CJ19" i="1"/>
  <c r="CN46" i="1"/>
  <c r="CP100" i="1"/>
  <c r="CI4" i="1"/>
  <c r="CQ3" i="1"/>
  <c r="CK26" i="1"/>
  <c r="CI19" i="1"/>
  <c r="CJ3" i="1"/>
  <c r="CJ36" i="1"/>
  <c r="CM86" i="1"/>
  <c r="CJ82" i="1"/>
  <c r="CL3" i="1"/>
  <c r="CQ25" i="1"/>
  <c r="CP14" i="1"/>
  <c r="CH41" i="1"/>
  <c r="CO141" i="1"/>
  <c r="CM84" i="1"/>
  <c r="CL9" i="1"/>
  <c r="CM85" i="1"/>
  <c r="CQ43" i="1"/>
  <c r="CP57" i="1"/>
  <c r="CK137" i="1"/>
  <c r="CO28" i="1"/>
  <c r="CQ2" i="1"/>
  <c r="CG19" i="1"/>
  <c r="CP141" i="1"/>
  <c r="CL46" i="1"/>
  <c r="CG20" i="1"/>
  <c r="CL86" i="1"/>
  <c r="CP82" i="1"/>
  <c r="CM4" i="1"/>
  <c r="CK3" i="1"/>
  <c r="CJ25" i="1"/>
  <c r="CJ14" i="1"/>
  <c r="CO41" i="1"/>
  <c r="CQ44" i="1"/>
  <c r="CP2" i="1"/>
  <c r="CI84" i="1"/>
  <c r="CK9" i="1"/>
  <c r="CJ85" i="1"/>
  <c r="CM43" i="1"/>
  <c r="CN57" i="1"/>
  <c r="CL28" i="1"/>
  <c r="CO2" i="1"/>
  <c r="CO19" i="1"/>
  <c r="CN141" i="1"/>
  <c r="CR20" i="1"/>
  <c r="CK86" i="1"/>
  <c r="CM82" i="1"/>
  <c r="CR4" i="1"/>
  <c r="CH3" i="1"/>
  <c r="CN25" i="1"/>
  <c r="CH85" i="1"/>
  <c r="CR85" i="1"/>
  <c r="CI57" i="1"/>
  <c r="CJ141" i="1"/>
  <c r="CI86" i="1"/>
  <c r="CJ100" i="1"/>
  <c r="CN82" i="1"/>
  <c r="CK4" i="1"/>
  <c r="CP3" i="1"/>
  <c r="CI25" i="1"/>
  <c r="CH57" i="1"/>
  <c r="CQ86" i="1"/>
  <c r="CO82" i="1"/>
  <c r="CP25" i="1"/>
  <c r="CG2" i="1"/>
  <c r="CI141" i="1"/>
  <c r="CK100" i="1"/>
  <c r="CI82" i="1"/>
  <c r="CR13" i="1"/>
  <c r="CR134" i="1"/>
  <c r="CO13" i="1"/>
  <c r="CO134" i="1"/>
  <c r="CL13" i="1"/>
  <c r="CL134" i="1"/>
  <c r="CI79" i="1"/>
  <c r="CK134" i="1"/>
  <c r="CH79" i="1"/>
  <c r="CP79" i="1"/>
  <c r="CH134" i="1"/>
  <c r="CR79" i="1"/>
  <c r="CM79" i="1"/>
  <c r="CM15" i="1"/>
  <c r="CO79" i="1"/>
  <c r="CP13" i="1"/>
  <c r="CQ42" i="1"/>
  <c r="CJ15" i="1"/>
  <c r="CL79" i="1"/>
  <c r="CM13" i="1"/>
  <c r="CJ42" i="1"/>
  <c r="CM42" i="1"/>
  <c r="CG15" i="1"/>
  <c r="CK79" i="1"/>
  <c r="CI88" i="1"/>
  <c r="CO66" i="1"/>
  <c r="CJ13" i="1"/>
  <c r="CQ134" i="1"/>
  <c r="CN79" i="1"/>
  <c r="CR15" i="1"/>
  <c r="CM26" i="1"/>
  <c r="CI13" i="1"/>
  <c r="CP134" i="1"/>
  <c r="CO15" i="1"/>
  <c r="CH88" i="1"/>
  <c r="CL24" i="1"/>
  <c r="CL26" i="1"/>
  <c r="CP67" i="1"/>
  <c r="CG13" i="1"/>
  <c r="CJ134" i="1"/>
  <c r="CJ32" i="1"/>
  <c r="CO54" i="1"/>
  <c r="CL41" i="1"/>
  <c r="CR32" i="1"/>
  <c r="CK43" i="1"/>
  <c r="CI42" i="1"/>
  <c r="CP96" i="1"/>
  <c r="CL54" i="1"/>
  <c r="CI20" i="1"/>
  <c r="CI5" i="1"/>
  <c r="CJ26" i="1"/>
  <c r="CO56" i="1"/>
  <c r="CK41" i="1"/>
  <c r="CO32" i="1"/>
  <c r="CG96" i="1"/>
  <c r="CG42" i="1"/>
  <c r="CN96" i="1"/>
  <c r="CK54" i="1"/>
  <c r="CJ20" i="1"/>
  <c r="CR5" i="1"/>
  <c r="CH26" i="1"/>
  <c r="CL56" i="1"/>
  <c r="CQ41" i="1"/>
  <c r="CL32" i="1"/>
  <c r="CL42" i="1"/>
  <c r="CM96" i="1"/>
  <c r="CQ20" i="1"/>
  <c r="CL5" i="1"/>
  <c r="CI26" i="1"/>
  <c r="CK56" i="1"/>
  <c r="CK32" i="1"/>
  <c r="CI137" i="1"/>
  <c r="CK42" i="1"/>
  <c r="CN20" i="1"/>
  <c r="CK5" i="1"/>
  <c r="CG26" i="1"/>
  <c r="CJ43" i="1"/>
  <c r="CH137" i="1"/>
  <c r="CM32" i="1"/>
  <c r="CM20" i="1"/>
  <c r="CH5" i="1"/>
  <c r="CR66" i="1"/>
  <c r="CR26" i="1"/>
  <c r="CM41" i="1"/>
  <c r="CI43" i="1"/>
  <c r="CR137" i="1"/>
  <c r="CN43" i="1"/>
  <c r="CQ54" i="1"/>
  <c r="CH20" i="1"/>
  <c r="CO26" i="1"/>
  <c r="CP41" i="1"/>
  <c r="CQ137" i="1"/>
  <c r="CM54" i="1"/>
  <c r="CQ56" i="1"/>
  <c r="CN41" i="1"/>
  <c r="CG43" i="1"/>
  <c r="CI96" i="1"/>
  <c r="CP43" i="1"/>
  <c r="CO137" i="1"/>
  <c r="CH54" i="1"/>
  <c r="CO20" i="1"/>
  <c r="CQ5" i="1"/>
  <c r="CP26" i="1"/>
  <c r="CJ27" i="1"/>
  <c r="CN56" i="1"/>
  <c r="CG41" i="1"/>
  <c r="CQ32" i="1"/>
  <c r="CR43" i="1"/>
  <c r="CP42" i="1"/>
  <c r="CH96" i="1"/>
  <c r="CP54" i="1"/>
  <c r="CL20" i="1"/>
  <c r="CP5" i="1"/>
  <c r="CQ26" i="1"/>
  <c r="CQ27" i="1"/>
  <c r="CM56" i="1"/>
  <c r="CR41" i="1"/>
  <c r="CP32" i="1"/>
  <c r="CO43" i="1"/>
  <c r="CN42" i="1"/>
  <c r="CR96" i="1"/>
  <c r="CL137" i="1"/>
  <c r="CI54" i="1"/>
  <c r="CM5" i="1"/>
  <c r="CI27" i="1"/>
  <c r="CI56" i="1"/>
  <c r="CJ29" i="1"/>
  <c r="CH23" i="1"/>
  <c r="CK13" i="1"/>
  <c r="CH103" i="1"/>
  <c r="CG60" i="1"/>
  <c r="CG40" i="1"/>
  <c r="CK83" i="1"/>
  <c r="CI15" i="1"/>
  <c r="CJ84" i="1"/>
  <c r="CH9" i="1"/>
  <c r="CN32" i="1"/>
  <c r="CP60" i="1"/>
  <c r="CR36" i="1"/>
  <c r="CM134" i="1"/>
  <c r="CP137" i="1"/>
  <c r="CH42" i="1"/>
  <c r="CG57" i="1"/>
  <c r="CP55" i="1"/>
  <c r="CI101" i="1"/>
  <c r="CK2" i="1"/>
  <c r="CQ79" i="1"/>
  <c r="CR19" i="1"/>
  <c r="CK53" i="1"/>
  <c r="CN54" i="1"/>
  <c r="CM100" i="1"/>
  <c r="CG5" i="1"/>
  <c r="CH29" i="1"/>
  <c r="CJ88" i="1"/>
  <c r="CH82" i="1"/>
  <c r="CH66" i="1"/>
  <c r="CG4" i="1"/>
  <c r="CM24" i="1"/>
  <c r="CH25" i="1"/>
  <c r="CN27" i="1"/>
  <c r="CN67" i="1"/>
  <c r="CH56" i="1"/>
  <c r="CH136" i="1"/>
  <c r="CI58" i="1"/>
  <c r="CN29" i="1"/>
  <c r="CR136" i="1"/>
  <c r="CH40" i="1"/>
  <c r="CR23" i="1"/>
  <c r="CH58" i="1"/>
  <c r="CQ103" i="1"/>
  <c r="CM101" i="1"/>
  <c r="CO40" i="1"/>
  <c r="CH15" i="1"/>
  <c r="CG84" i="1"/>
  <c r="CR9" i="1"/>
  <c r="CI32" i="1"/>
  <c r="CM60" i="1"/>
  <c r="CL36" i="1"/>
  <c r="CI61" i="1"/>
  <c r="CI134" i="1"/>
  <c r="CM137" i="1"/>
  <c r="CR42" i="1"/>
  <c r="CO57" i="1"/>
  <c r="CJ55" i="1"/>
  <c r="CR101" i="1"/>
  <c r="CN13" i="1"/>
  <c r="CP15" i="1"/>
  <c r="CJ79" i="1"/>
  <c r="CL19" i="1"/>
  <c r="CH141" i="1"/>
  <c r="CG54" i="1"/>
  <c r="CG100" i="1"/>
  <c r="CO5" i="1"/>
  <c r="CG29" i="1"/>
  <c r="CG88" i="1"/>
  <c r="CG82" i="1"/>
  <c r="CQ66" i="1"/>
  <c r="CO4" i="1"/>
  <c r="CG24" i="1"/>
  <c r="CG25" i="1"/>
  <c r="CG27" i="1"/>
  <c r="CG67" i="1"/>
  <c r="CG56" i="1"/>
  <c r="CQ136" i="1"/>
  <c r="CO23" i="1"/>
  <c r="CQ13" i="1"/>
  <c r="CQ58" i="1"/>
  <c r="CP103" i="1"/>
  <c r="CH101" i="1"/>
  <c r="CP83" i="1"/>
  <c r="CQ9" i="1"/>
  <c r="CR84" i="1"/>
  <c r="CG32" i="1"/>
  <c r="CK36" i="1"/>
  <c r="CG134" i="1"/>
  <c r="CJ137" i="1"/>
  <c r="CK19" i="1"/>
  <c r="CR29" i="1"/>
  <c r="CR88" i="1"/>
  <c r="CP66" i="1"/>
  <c r="CR27" i="1"/>
  <c r="CR67" i="1"/>
  <c r="CP136" i="1"/>
  <c r="CM58" i="1"/>
  <c r="CP58" i="1"/>
  <c r="CO29" i="1"/>
  <c r="CO88" i="1"/>
  <c r="CN66" i="1"/>
  <c r="CO27" i="1"/>
  <c r="CO67" i="1"/>
  <c r="CN136" i="1"/>
  <c r="CJ58" i="1"/>
  <c r="CL29" i="1"/>
  <c r="CL88" i="1"/>
  <c r="CM66" i="1"/>
  <c r="CL27" i="1"/>
  <c r="CL67" i="1"/>
  <c r="CM136" i="1"/>
  <c r="CG58" i="1"/>
  <c r="CK29" i="1"/>
  <c r="CK88" i="1"/>
  <c r="CJ66" i="1"/>
  <c r="CK27" i="1"/>
  <c r="CK67" i="1"/>
  <c r="CJ136" i="1"/>
  <c r="CH61" i="1"/>
  <c r="CP61" i="1"/>
  <c r="CR58" i="1"/>
  <c r="CQ29" i="1"/>
  <c r="CP88" i="1"/>
  <c r="CG66" i="1"/>
  <c r="CM27" i="1"/>
  <c r="CQ67" i="1"/>
  <c r="CG136" i="1"/>
  <c r="CO58" i="1"/>
  <c r="CP29" i="1"/>
  <c r="CO136" i="1"/>
  <c r="CL58" i="1"/>
  <c r="CI29" i="1"/>
  <c r="CQ88" i="1"/>
  <c r="CL66" i="1"/>
  <c r="CH27" i="1"/>
  <c r="CJ67" i="1"/>
  <c r="CL136" i="1"/>
  <c r="CI40" i="1"/>
  <c r="CN40" i="1"/>
  <c r="CK58" i="1"/>
  <c r="CR144" i="1" l="1"/>
  <c r="CN144" i="1"/>
  <c r="CJ144" i="1"/>
  <c r="CH144" i="1"/>
  <c r="CM144" i="1"/>
  <c r="CL144" i="1"/>
  <c r="CQ144" i="1"/>
  <c r="CG144" i="1"/>
  <c r="CK144" i="1"/>
  <c r="CP144" i="1"/>
  <c r="CO144" i="1"/>
  <c r="CI144" i="1"/>
  <c r="BM144" i="1" l="1"/>
  <c r="BM146" i="1" s="1"/>
  <c r="AM144" i="1"/>
  <c r="AM146" i="1" s="1"/>
  <c r="L144" i="1"/>
  <c r="L146" i="1" s="1"/>
  <c r="AY144" i="1"/>
  <c r="AY146" i="1" s="1"/>
  <c r="BK144" i="1"/>
  <c r="BK146" i="1" s="1"/>
  <c r="AJ144" i="1"/>
  <c r="AJ146" i="1" s="1"/>
  <c r="AW144" i="1"/>
  <c r="AW146" i="1" s="1"/>
  <c r="BH144" i="1"/>
  <c r="BH146" i="1" s="1"/>
  <c r="AU144" i="1"/>
  <c r="AU146" i="1" s="1"/>
  <c r="AH144" i="1"/>
  <c r="AH146" i="1" s="1"/>
  <c r="AL144" i="1"/>
  <c r="AL146" i="1" s="1"/>
  <c r="BD144" i="1"/>
  <c r="BD146" i="1" s="1"/>
  <c r="BA144" i="1"/>
  <c r="BA146" i="1" s="1"/>
  <c r="BL144" i="1"/>
  <c r="BL146" i="1" s="1"/>
  <c r="AZ144" i="1"/>
  <c r="AZ146" i="1" s="1"/>
  <c r="J144" i="1"/>
  <c r="J146" i="1" s="1"/>
  <c r="H144" i="1"/>
  <c r="H146" i="1" s="1"/>
  <c r="G144" i="1"/>
  <c r="G146" i="1" s="1"/>
  <c r="BG144" i="1"/>
  <c r="BG146" i="1" s="1"/>
  <c r="AQ144" i="1"/>
  <c r="AQ146" i="1" s="1"/>
  <c r="AE144" i="1"/>
  <c r="AE146" i="1" s="1"/>
  <c r="F144" i="1"/>
  <c r="F146" i="1" s="1"/>
  <c r="BB144" i="1"/>
  <c r="BB146" i="1" s="1"/>
  <c r="BJ144" i="1"/>
  <c r="BJ146" i="1" s="1"/>
  <c r="AX144" i="1"/>
  <c r="AX146" i="1" s="1"/>
  <c r="AI144" i="1"/>
  <c r="AI146" i="1" s="1"/>
  <c r="I144" i="1"/>
  <c r="I146" i="1" s="1"/>
  <c r="AG144" i="1"/>
  <c r="AG146" i="1" s="1"/>
  <c r="BE144" i="1"/>
  <c r="BE146" i="1" s="1"/>
  <c r="AF144" i="1"/>
  <c r="AF146" i="1" s="1"/>
  <c r="BF144" i="1"/>
  <c r="BF146" i="1" s="1"/>
  <c r="AS144" i="1"/>
  <c r="AS146" i="1" s="1"/>
  <c r="O144" i="1"/>
  <c r="O146" i="1" s="1"/>
  <c r="BO144" i="1"/>
  <c r="BO146" i="1" s="1"/>
  <c r="AR144" i="1"/>
  <c r="AR146" i="1" s="1"/>
  <c r="N144" i="1"/>
  <c r="N146" i="1" s="1"/>
  <c r="K144" i="1"/>
  <c r="K146" i="1" s="1"/>
  <c r="AK144" i="1"/>
  <c r="AK146" i="1" s="1"/>
  <c r="BI144" i="1"/>
  <c r="BI146" i="1" s="1"/>
  <c r="AT144" i="1"/>
  <c r="AT146" i="1" s="1"/>
  <c r="AV144" i="1"/>
  <c r="AV146" i="1" s="1"/>
  <c r="E144" i="1"/>
  <c r="E146" i="1" s="1"/>
  <c r="BN144" i="1"/>
  <c r="BN146" i="1" s="1"/>
  <c r="AN144" i="1"/>
  <c r="AN146" i="1" s="1"/>
  <c r="M144" i="1"/>
  <c r="M146" i="1" s="1"/>
  <c r="AP144" i="1"/>
  <c r="AP146" i="1" s="1"/>
  <c r="BC144" i="1"/>
  <c r="BC146" i="1" s="1"/>
  <c r="AO144" i="1"/>
  <c r="AO146" i="1" s="1"/>
  <c r="V144" i="1"/>
  <c r="V146" i="1" s="1"/>
  <c r="Y144" i="1"/>
  <c r="Y146" i="1" s="1"/>
  <c r="W144" i="1"/>
  <c r="W146" i="1" s="1"/>
  <c r="S144" i="1"/>
  <c r="S146" i="1" s="1"/>
  <c r="X144" i="1"/>
  <c r="X146" i="1" s="1"/>
  <c r="R144" i="1"/>
  <c r="R146" i="1" s="1"/>
  <c r="Z144" i="1"/>
  <c r="Z146" i="1" s="1"/>
  <c r="U144" i="1"/>
  <c r="U146" i="1" s="1"/>
  <c r="T144" i="1"/>
  <c r="T146" i="1" s="1"/>
  <c r="AC144" i="1"/>
  <c r="AC146" i="1" s="1"/>
  <c r="Q144" i="1"/>
  <c r="Q146" i="1" s="1"/>
  <c r="AB144" i="1"/>
  <c r="AB146" i="1" s="1"/>
  <c r="P144" i="1"/>
  <c r="P146" i="1" s="1"/>
  <c r="AA144" i="1"/>
  <c r="AA146" i="1" s="1"/>
  <c r="AD144" i="1"/>
  <c r="AD146" i="1" s="1"/>
</calcChain>
</file>

<file path=xl/sharedStrings.xml><?xml version="1.0" encoding="utf-8"?>
<sst xmlns="http://schemas.openxmlformats.org/spreadsheetml/2006/main" count="711" uniqueCount="314">
  <si>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</si>
  <si>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</si>
  <si>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</si>
  <si>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</si>
  <si>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</si>
  <si>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</si>
  <si>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</si>
  <si>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</si>
  <si>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</si>
  <si>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</si>
  <si>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</si>
  <si>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</si>
  <si>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</si>
  <si>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</si>
  <si>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</si>
  <si>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</si>
  <si>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</si>
  <si>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</si>
  <si>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</si>
  <si>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</si>
  <si>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</si>
  <si>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</si>
  <si>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</si>
  <si>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</si>
  <si>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</si>
  <si>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</si>
  <si>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</si>
  <si>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</si>
  <si>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</si>
  <si>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</si>
  <si>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</si>
  <si>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</si>
  <si>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</si>
  <si>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</si>
  <si>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</si>
  <si>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</si>
  <si>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</si>
  <si>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</si>
  <si>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</si>
  <si>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</si>
  <si>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</si>
  <si>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</si>
  <si>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</si>
  <si>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</si>
  <si>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</si>
  <si>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</si>
  <si>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神将关云长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</si>
  <si>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</si>
  <si>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</si>
  <si>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</si>
  <si>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</si>
  <si>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</si>
  <si>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</si>
  <si>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</si>
  <si>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风仆</t>
    <phoneticPr fontId="1" type="noConversion"/>
  </si>
  <si>
    <t>成年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</si>
  <si>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</si>
  <si>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</si>
  <si>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</si>
  <si>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</si>
  <si>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</si>
  <si>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</si>
  <si>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</si>
  <si>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</si>
  <si>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</si>
  <si>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</si>
  <si>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汉钟离</t>
    <phoneticPr fontId="1" type="noConversion"/>
  </si>
  <si>
    <t>光</t>
    <phoneticPr fontId="1" type="noConversion"/>
  </si>
  <si>
    <t>六方天运骰</t>
    <phoneticPr fontId="1" type="noConversion"/>
  </si>
  <si>
    <t>芝鼠</t>
    <phoneticPr fontId="1" type="noConversion"/>
  </si>
  <si>
    <t>九色鹿</t>
    <phoneticPr fontId="1" type="noConversion"/>
  </si>
  <si>
    <t>妲己</t>
    <phoneticPr fontId="1" type="noConversion"/>
  </si>
  <si>
    <t>藕丁小童子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</si>
  <si>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</si>
  <si>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</si>
  <si>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</si>
  <si>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</si>
  <si>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</si>
  <si>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</si>
  <si>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</si>
  <si>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</si>
  <si>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</si>
  <si>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</si>
  <si>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</si>
  <si>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</si>
  <si>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</si>
  <si>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</si>
  <si>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</si>
  <si>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</si>
  <si>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</si>
  <si>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</si>
  <si>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</si>
  <si>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</si>
  <si>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</si>
  <si>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</si>
  <si>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</si>
  <si>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</si>
  <si>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</si>
  <si>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</si>
  <si>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</si>
  <si>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</si>
  <si>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</si>
  <si>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</si>
  <si>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</si>
  <si>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名将吕布威登</t>
    <phoneticPr fontId="1" type="noConversion"/>
  </si>
  <si>
    <t>名将吕布威登</t>
    <phoneticPr fontId="1" type="noConversion"/>
  </si>
  <si>
    <t>碧水独角兽</t>
    <phoneticPr fontId="1" type="noConversion"/>
  </si>
  <si>
    <t>囚牛</t>
    <phoneticPr fontId="1" type="noConversion"/>
  </si>
  <si>
    <t>赤笛仔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</si>
  <si>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</si>
  <si>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</si>
  <si>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</si>
  <si>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</si>
  <si>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</si>
  <si>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</si>
  <si>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</si>
  <si>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</si>
  <si>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</si>
  <si>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</si>
  <si>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</si>
  <si>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</si>
  <si>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</si>
  <si>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</si>
  <si>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</si>
  <si>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</si>
  <si>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火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</si>
  <si>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</si>
  <si>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</si>
  <si>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</si>
  <si>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</si>
  <si>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</si>
  <si>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</si>
  <si>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</si>
  <si>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</si>
  <si>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</si>
  <si>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</si>
  <si>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</si>
  <si>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</si>
  <si>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</si>
  <si>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</si>
  <si>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</si>
  <si>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</si>
  <si>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</si>
  <si>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</si>
  <si>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</si>
  <si>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</si>
  <si>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</si>
  <si>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</si>
  <si>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</si>
  <si>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</si>
  <si>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</si>
  <si>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</si>
  <si>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</si>
  <si>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</si>
  <si>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</si>
  <si>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</si>
  <si>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</si>
  <si>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</si>
  <si>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</si>
  <si>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</si>
  <si>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</si>
  <si>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</si>
  <si>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</si>
  <si>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</si>
  <si>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暗卒</t>
    <phoneticPr fontId="1" type="noConversion"/>
  </si>
  <si>
    <t>成年</t>
    <phoneticPr fontId="1" type="noConversion"/>
  </si>
  <si>
    <t>敖钦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</si>
  <si>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</si>
  <si>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</si>
  <si>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</si>
  <si>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</si>
  <si>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</si>
  <si>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新兵盖尔</t>
    <phoneticPr fontId="1" type="noConversion"/>
  </si>
  <si>
    <t>眼符</t>
    <phoneticPr fontId="1" type="noConversion"/>
  </si>
  <si>
    <t>眼符</t>
    <phoneticPr fontId="1" type="noConversion"/>
  </si>
  <si>
    <t>樱灵</t>
    <phoneticPr fontId="1" type="noConversion"/>
  </si>
  <si>
    <t>煤西</t>
    <phoneticPr fontId="1" type="noConversion"/>
  </si>
  <si>
    <t>小穗儿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</si>
  <si>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</si>
  <si>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</si>
  <si>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</si>
  <si>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蛋黄喵</t>
    <phoneticPr fontId="1" type="noConversion"/>
  </si>
  <si>
    <t>蛋黄喵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</si>
  <si>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</si>
  <si>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</si>
  <si>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</si>
  <si>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</si>
  <si>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</si>
  <si>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蛟女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</si>
  <si>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</si>
  <si>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</si>
  <si>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</si>
  <si>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</si>
  <si>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牛金宝</t>
    <phoneticPr fontId="1" type="noConversion"/>
  </si>
  <si>
    <t>白鹿</t>
    <phoneticPr fontId="1" type="noConversion"/>
  </si>
  <si>
    <t>墓烛幽儿</t>
    <phoneticPr fontId="1" type="noConversion"/>
  </si>
  <si>
    <t>囚仔</t>
    <phoneticPr fontId="1" type="noConversion"/>
  </si>
  <si>
    <t>望仔</t>
    <phoneticPr fontId="1" type="noConversion"/>
  </si>
  <si>
    <t>瘾者</t>
    <phoneticPr fontId="1" type="noConversion"/>
  </si>
  <si>
    <t>葫芦侠</t>
    <phoneticPr fontId="1" type="noConversion"/>
  </si>
  <si>
    <t>葫芦侠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</si>
  <si>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</si>
  <si>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</si>
  <si>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</si>
  <si>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小诸葛</t>
  </si>
  <si>
    <t>星道士</t>
    <phoneticPr fontId="1" type="noConversion"/>
  </si>
  <si>
    <t>光</t>
    <phoneticPr fontId="1" type="noConversion"/>
  </si>
  <si>
    <t>成年</t>
    <phoneticPr fontId="1" type="noConversion"/>
  </si>
  <si>
    <t>炼妖壶(4),</t>
  </si>
  <si>
    <t>秘窟冰晶卵(1),</t>
    <phoneticPr fontId="1" type="noConversion"/>
  </si>
  <si>
    <t>炼妖壶(5),_x000D_
秘窟冰晶卵(1),</t>
    <phoneticPr fontId="1" type="noConversion"/>
  </si>
  <si>
    <t>女娲石(2),</t>
    <phoneticPr fontId="1" type="noConversion"/>
  </si>
  <si>
    <t>糯米(2),</t>
    <phoneticPr fontId="1" type="noConversion"/>
  </si>
  <si>
    <t>炼妖壶(5),_x000D_
赤焰十字星(2),</t>
    <phoneticPr fontId="1" type="noConversion"/>
  </si>
  <si>
    <t>龙灵不朽藤(3),</t>
    <phoneticPr fontId="1" type="noConversion"/>
  </si>
  <si>
    <t>太一之轮(3),</t>
    <phoneticPr fontId="1" type="noConversion"/>
  </si>
  <si>
    <t>太一之轮(3),</t>
    <phoneticPr fontId="1" type="noConversion"/>
  </si>
  <si>
    <t>愚山乾坤石(4),</t>
    <phoneticPr fontId="1" type="noConversion"/>
  </si>
  <si>
    <t>神农鼎(5),</t>
    <phoneticPr fontId="1" type="noConversion"/>
  </si>
  <si>
    <t>螃蟹(5),</t>
    <phoneticPr fontId="1" type="noConversion"/>
  </si>
  <si>
    <t>仙丹(5),</t>
    <phoneticPr fontId="1" type="noConversion"/>
  </si>
  <si>
    <t>桂花酒(5),</t>
    <phoneticPr fontId="1" type="noConversion"/>
  </si>
  <si>
    <t>桂花(5),</t>
    <phoneticPr fontId="1" type="noConversion"/>
  </si>
  <si>
    <t>彗星(5),</t>
    <phoneticPr fontId="1" type="noConversion"/>
  </si>
  <si>
    <t>桂花(5),</t>
    <phoneticPr fontId="1" type="noConversion"/>
  </si>
  <si>
    <t>炼妖壶(4),_x000D_
仙丹(5),</t>
    <phoneticPr fontId="1" type="noConversion"/>
  </si>
  <si>
    <t>秘窟冰晶卵(6),</t>
    <phoneticPr fontId="1" type="noConversion"/>
  </si>
  <si>
    <t>龙灵不朽藤(8),</t>
    <phoneticPr fontId="1" type="noConversion"/>
  </si>
  <si>
    <t>东皇钟(8),</t>
    <phoneticPr fontId="1" type="noConversion"/>
  </si>
  <si>
    <t>炼妖壶(5),_x000D_
龙灵不朽藤(8),</t>
    <phoneticPr fontId="1" type="noConversion"/>
  </si>
  <si>
    <t>金钗(8),</t>
    <phoneticPr fontId="1" type="noConversion"/>
  </si>
  <si>
    <t>幸运符文叉大(9),</t>
    <phoneticPr fontId="1" type="noConversion"/>
  </si>
  <si>
    <t>幸运符文叉大(9),</t>
    <phoneticPr fontId="1" type="noConversion"/>
  </si>
  <si>
    <t>彗星(15),</t>
    <phoneticPr fontId="1" type="noConversion"/>
  </si>
  <si>
    <t>金甲虫(45),</t>
    <phoneticPr fontId="1" type="noConversion"/>
  </si>
  <si>
    <t>金甲虫(195),</t>
    <phoneticPr fontId="1" type="noConversion"/>
  </si>
  <si>
    <t>太一之轮(4),_x000D_
秘窟冰晶卵(1),</t>
    <phoneticPr fontId="1" type="noConversion"/>
  </si>
  <si>
    <t>糯米(5),_x000D_
粽叶(1),</t>
    <phoneticPr fontId="1" type="noConversion"/>
  </si>
  <si>
    <t>神农鼎(6),_x000D_
六方天运骰(1),</t>
    <phoneticPr fontId="1" type="noConversion"/>
  </si>
  <si>
    <t>神农鼎(6),_x000D_
轩辕剑(2),_x000D_
秘窟冰晶卵(1),</t>
    <phoneticPr fontId="1" type="noConversion"/>
  </si>
  <si>
    <t>炼妖壶(5),_x000D_
太一之轮(4),_x000D_
六方天运骰(3),</t>
    <phoneticPr fontId="1" type="noConversion"/>
  </si>
  <si>
    <t>糯米(3),_x000D_
粽叶(5),</t>
    <phoneticPr fontId="1" type="noConversion"/>
  </si>
  <si>
    <t>欠条中(4),_x000D_
筹码中(4),</t>
    <phoneticPr fontId="1" type="noConversion"/>
  </si>
  <si>
    <t>炼妖壶(9),_x000D_
愚山乾坤石(4),</t>
    <phoneticPr fontId="1" type="noConversion"/>
  </si>
  <si>
    <t>神农鼎(6),_x000D_
赤焰十字星(2),</t>
    <phoneticPr fontId="1" type="noConversion"/>
  </si>
  <si>
    <t>神农鼎(6),_x000D_
愚山乾坤石(4),</t>
    <phoneticPr fontId="1" type="noConversion"/>
  </si>
  <si>
    <t>神农鼎(6),_x000D_
月冕霓晴符(2),</t>
    <phoneticPr fontId="1" type="noConversion"/>
  </si>
  <si>
    <t>桂花(5),_x000D_
桂花酒(5),</t>
    <phoneticPr fontId="1" type="noConversion"/>
  </si>
  <si>
    <t>六方天运骰(3),_x000D_
魅力符文叉大(10),</t>
    <phoneticPr fontId="1" type="noConversion"/>
  </si>
  <si>
    <t>神农鼎(10),_x000D_
六方天运骰(3),</t>
    <phoneticPr fontId="1" type="noConversion"/>
  </si>
  <si>
    <t>女娲石(10),_x000D_
愚山乾坤石(4),</t>
    <phoneticPr fontId="1" type="noConversion"/>
  </si>
  <si>
    <t>女娲石(10),_x000D_
愚山乾坤石(4),</t>
    <phoneticPr fontId="1" type="noConversion"/>
  </si>
  <si>
    <t>六方天运骰(13),_x000D_
力量符文叉大(1),</t>
    <phoneticPr fontId="1" type="noConversion"/>
  </si>
  <si>
    <t>太一之轮(4),_x000D_
幸运符文叉大(9),</t>
    <phoneticPr fontId="1" type="noConversion"/>
  </si>
  <si>
    <t>金甲虫(10),_x000D_
魅力符文叉大(15),</t>
    <phoneticPr fontId="1" type="noConversion"/>
  </si>
  <si>
    <t>太一之轮(13),_x000D_
幸运符文叉大(14),</t>
    <phoneticPr fontId="1" type="noConversion"/>
  </si>
  <si>
    <t>太一之轮(18),_x000D_
幸运符文叉大(19),</t>
    <phoneticPr fontId="1" type="noConversion"/>
  </si>
  <si>
    <t>钱袋大(2),_x000D_
筹码大(1),_x000D_
庄家令牌中(3),</t>
    <phoneticPr fontId="1" type="noConversion"/>
  </si>
  <si>
    <t>欠条中(6),_x000D_
钱袋中(2),_x000D_
骰子大(1),</t>
    <phoneticPr fontId="1" type="noConversion"/>
  </si>
  <si>
    <t>欠条中(4),_x000D_
筹码中(4),_x000D_
筹码大(1),</t>
    <phoneticPr fontId="1" type="noConversion"/>
  </si>
  <si>
    <t>欠条中(4),_x000D_
筹码中(4),_x000D_
筹码大(1),</t>
    <phoneticPr fontId="1" type="noConversion"/>
  </si>
  <si>
    <t>欠条中(4),_x000D_
骰子中(3),_x000D_
筹码中(4),</t>
    <phoneticPr fontId="1" type="noConversion"/>
  </si>
  <si>
    <t>欠条中(6),_x000D_
欠条大(5),_x000D_
钱袋中(2),</t>
    <phoneticPr fontId="1" type="noConversion"/>
  </si>
  <si>
    <t>女娲石(5),_x000D_
神农鼎(5),_x000D_
幸运符文叉大(4),</t>
    <phoneticPr fontId="1" type="noConversion"/>
  </si>
  <si>
    <t>女娲石(6),_x000D_
神农鼎(6),_x000D_
赤焰十字星(2),</t>
    <phoneticPr fontId="1" type="noConversion"/>
  </si>
  <si>
    <t>欠条大(8),_x000D_
骰子大(4),_x000D_
六方天运骰(3),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</si>
  <si>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</si>
  <si>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</si>
  <si>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崆峒印(5),_x000D_
秘窟冰晶卵(1),_x000D_
魅力符文叉大(10),</t>
    <phoneticPr fontId="1" type="noConversion"/>
  </si>
  <si>
    <t>太一之轮(4),_x000D_
六方天运骰(3),_x000D_
幸运符文叉大(9),</t>
    <phoneticPr fontId="1" type="noConversion"/>
  </si>
  <si>
    <t>崆峒印(5),_x000D_
赤焰十字星(2),_x000D_
幸运符文叉大(9),</t>
    <phoneticPr fontId="1" type="noConversion"/>
  </si>
  <si>
    <t>太一之轮(3),_x000D_
糯米(5),_x000D_
粽叶(10),</t>
    <phoneticPr fontId="1" type="noConversion"/>
  </si>
  <si>
    <t>女娲石(6),_x000D_
神农鼎(6),_x000D_
龙灵不朽藤(8),</t>
    <phoneticPr fontId="1" type="noConversion"/>
  </si>
  <si>
    <t>钱袋大(10),_x000D_
筹码大(9),_x000D_
秘窟冰晶卵(1),</t>
    <phoneticPr fontId="1" type="noConversion"/>
  </si>
  <si>
    <t>钱袋大(10),_x000D_
筹码大(9),_x000D_
秘窟冰晶卵(1),</t>
    <phoneticPr fontId="1" type="noConversion"/>
  </si>
  <si>
    <t>炼妖壶(19),_x000D_
轩辕剑(16),_x000D_
伏羲琴(7),</t>
    <phoneticPr fontId="1" type="noConversion"/>
  </si>
  <si>
    <t>糯米(10),_x000D_
粽叶(10),_x000D_
龙灵不朽藤(3),</t>
    <phoneticPr fontId="1" type="noConversion"/>
  </si>
  <si>
    <t>欠条大(8),_x000D_
钱袋大(10),_x000D_
月冕霓晴符(4),</t>
    <phoneticPr fontId="1" type="noConversion"/>
  </si>
  <si>
    <t>欠条大(8),_x000D_
钱袋大(10),_x000D_
月冕霓晴符(4),</t>
    <phoneticPr fontId="1" type="noConversion"/>
  </si>
  <si>
    <t>崆峒印(9),_x000D_
智慧符文叉大(2),_x000D_
魅力符文叉大(15),</t>
    <phoneticPr fontId="1" type="noConversion"/>
  </si>
  <si>
    <t>东皇钟(3),_x000D_
女娲石(15),_x000D_
愚山乾坤石(9),</t>
    <phoneticPr fontId="1" type="noConversion"/>
  </si>
  <si>
    <t>东皇钟(3),_x000D_
女娲石(15),_x000D_
愚山乾坤石(9),</t>
    <phoneticPr fontId="1" type="noConversion"/>
  </si>
  <si>
    <t>东皇钟(3),_x000D_
崆峒印(14),_x000D_
幸运符文叉大(14),</t>
    <phoneticPr fontId="1" type="noConversion"/>
  </si>
  <si>
    <t>女娲石(15),_x000D_
神农鼎(15),_x000D_
龙灵不朽藤(13),</t>
    <phoneticPr fontId="1" type="noConversion"/>
  </si>
  <si>
    <t>女娲石(15),_x000D_
神农鼎(15),_x000D_
龙灵不朽藤(13),</t>
    <phoneticPr fontId="1" type="noConversion"/>
  </si>
  <si>
    <t>女娲石(15),_x000D_
神农鼎(15),_x000D_
幸运符文叉大(14),</t>
    <phoneticPr fontId="1" type="noConversion"/>
  </si>
  <si>
    <t>女娲石(20),_x000D_
神农鼎(20),_x000D_
幸运符文叉大(19),</t>
    <phoneticPr fontId="1" type="noConversion"/>
  </si>
  <si>
    <t>赤焰十字星(32),_x000D_
力量符文叉大(21),_x000D_
逆鳞(10),</t>
    <phoneticPr fontId="1" type="noConversion"/>
  </si>
  <si>
    <t>女娲石(5),_x000D_
骰子小(3),_x000D_
筹码小(5),_x000D_
庄家令牌中(3),</t>
    <phoneticPr fontId="1" type="noConversion"/>
  </si>
  <si>
    <t>欠条中(4),_x000D_
骰子小(8),_x000D_
筹码中(4),_x000D_
庄家令牌小(2),</t>
    <phoneticPr fontId="1" type="noConversion"/>
  </si>
  <si>
    <t>神农鼎(7),_x000D_
欠条中(6),_x000D_
钱袋中(2),_x000D_
筹码大(6),</t>
    <phoneticPr fontId="1" type="noConversion"/>
  </si>
  <si>
    <t>欠条小(8),_x000D_
钱袋小(9),_x000D_
骰子中(3),_x000D_
庄家令牌小(2),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</si>
  <si>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</si>
  <si>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</si>
  <si>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骰子小(8),_x000D_
筹码小(10),_x000D_
庄家令牌小(2),_x000D_
庄家令牌中(3),</t>
    <phoneticPr fontId="1" type="noConversion"/>
  </si>
  <si>
    <t>欠条小(8),_x000D_
钱袋小(9),_x000D_
筹码中(4),_x000D_
庄家令牌小(2),</t>
    <phoneticPr fontId="1" type="noConversion"/>
  </si>
  <si>
    <t>女娲石(10),_x000D_
骰子大(4),_x000D_
庄家令牌大(6),_x000D_
赤焰十字星(2),</t>
    <phoneticPr fontId="1" type="noConversion"/>
  </si>
  <si>
    <t>欠条中(4),_x000D_
骰子小(8),_x000D_
筹码小(10),_x000D_
庄家令牌小(2),</t>
    <phoneticPr fontId="1" type="noConversion"/>
  </si>
  <si>
    <t>欠条中(4),_x000D_
骰子小(8),_x000D_
筹码小(10),_x000D_
庄家令牌小(2),</t>
    <phoneticPr fontId="1" type="noConversion"/>
  </si>
  <si>
    <t>神农鼎(10),_x000D_
欠条大(8),_x000D_
骰子大(4),_x000D_
愚山乾坤石(4),</t>
    <phoneticPr fontId="1" type="noConversion"/>
  </si>
  <si>
    <t>太一之轮(8),_x000D_
欠条大(8),_x000D_
骰子大(4),_x000D_
龙灵不朽藤(8),</t>
    <phoneticPr fontId="1" type="noConversion"/>
  </si>
  <si>
    <t>神农鼎(10),_x000D_
欠条大(8),_x000D_
钱袋大(10),_x000D_
月冕霓晴符(4),</t>
    <phoneticPr fontId="1" type="noConversion"/>
  </si>
  <si>
    <t>欠条小(8),_x000D_
钱袋小(9),_x000D_
骰子小(8),_x000D_
筹码小(10),</t>
    <phoneticPr fontId="1" type="noConversion"/>
  </si>
  <si>
    <t>欠条小(8),_x000D_
钱袋小(9),_x000D_
骰子小(8),_x000D_
筹码小(10),</t>
    <phoneticPr fontId="1" type="noConversion"/>
  </si>
  <si>
    <t>欠条小(8),_x000D_
钱袋小(9),_x000D_
骰子小(8),_x000D_
筹码小(10),</t>
    <phoneticPr fontId="1" type="noConversion"/>
  </si>
  <si>
    <t>炼妖壶(14),_x000D_
神农鼎(15),_x000D_
赤焰十字星(7),_x000D_
幸运符文叉大(14),</t>
    <phoneticPr fontId="1" type="noConversion"/>
  </si>
  <si>
    <t>女娲石(10),_x000D_
彗星(25),_x000D_
赤焰十字星(2),_x000D_
魅力符文叉大(10),</t>
    <phoneticPr fontId="1" type="noConversion"/>
  </si>
  <si>
    <t>女娲石(10),_x000D_
六方天运骰(8),_x000D_
魅力符文叉大(15),_x000D_
幸运符文叉大(14),</t>
    <phoneticPr fontId="1" type="noConversion"/>
  </si>
  <si>
    <t>超进阶素材土(37),_x000D_
超进阶素材木(37),_x000D_
超进阶素材光(50),_x000D_
超进阶素材暗(50),</t>
    <phoneticPr fontId="1" type="noConversion"/>
  </si>
  <si>
    <t>超进阶素材水(25),_x000D_
超进阶素材火(50),_x000D_
超进阶素材光(50),_x000D_
超进阶素材暗(50),</t>
    <phoneticPr fontId="1" type="noConversion"/>
  </si>
  <si>
    <t>崆峒印(4),</t>
  </si>
  <si>
    <t>超进阶素材水(25),_x000D_
超进阶素材火(50),_x000D_
超进阶素材光(50),_x000D_
超进阶素材暗(50),</t>
    <phoneticPr fontId="1" type="noConversion"/>
  </si>
  <si>
    <t>乹毷</t>
    <phoneticPr fontId="1" type="noConversion"/>
  </si>
  <si>
    <t>新兵尼禄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</si>
</sst>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2" xfId="0" applyFill="1" applyBorder="1">
      <alignment vertical="center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2" xfId="0" applyFont="1" applyFill="1" applyBorder="1">
      <alignment vertical="center"/>
    </xf>
    <xf numFmtId="0" fontId="5" fillId="0" borderId="0" xfId="0" applyFont="1">
      <alignment vertical="center"/>
    </xf>
    <xf numFmtId="0" fontId="5" fillId="0" borderId="1" xfId="0" applyFont="1" applyFill="1" applyBorder="1">
      <alignment vertical="center"/>
    </xf>
    <xf numFmtId="0" fontId="4" fillId="0" borderId="1" xfId="0" applyFont="1" applyFill="1" applyBorder="1">
      <alignment vertical="center"/>
    </xf>
    <xf numFmtId="0" fontId="2" fillId="0" borderId="0" xfId="0" applyFont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0" fillId="0" borderId="0" xfId="0" applyBorder="1">
      <alignment vertical="center"/>
    </xf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148</xdr:row>
          <xdr:rowOff>28575</xdr:rowOff>
        </xdr:from>
        <xdr:to>
          <xdr:col>1</xdr:col>
          <xdr:colOff>428625</xdr:colOff>
          <xdr:row>149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46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B18" sqref="B18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8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89</v>
      </c>
      <c r="B1" s="8" t="s">
        <v>90</v>
      </c>
      <c r="C1" s="8" t="s">
        <v>92</v>
      </c>
      <c r="D1" s="8" t="s">
        <v>91</v>
      </c>
      <c r="E1" s="9" t="s">
        <v>3</v>
      </c>
      <c r="F1" s="9" t="s">
        <v>4</v>
      </c>
      <c r="G1" s="9" t="s">
        <v>15</v>
      </c>
      <c r="H1" s="9" t="s">
        <v>27</v>
      </c>
      <c r="I1" s="9" t="s">
        <v>28</v>
      </c>
      <c r="J1" s="9" t="s">
        <v>86</v>
      </c>
      <c r="K1" s="9" t="s">
        <v>29</v>
      </c>
      <c r="L1" s="9" t="s">
        <v>52</v>
      </c>
      <c r="M1" s="9" t="s">
        <v>57</v>
      </c>
      <c r="N1" s="9" t="s">
        <v>62</v>
      </c>
      <c r="O1" s="9" t="s">
        <v>56</v>
      </c>
      <c r="P1" s="31" t="s">
        <v>132</v>
      </c>
      <c r="Q1" s="31" t="s">
        <v>144</v>
      </c>
      <c r="R1" s="31" t="s">
        <v>138</v>
      </c>
      <c r="S1" s="31" t="s">
        <v>133</v>
      </c>
      <c r="T1" s="31" t="s">
        <v>142</v>
      </c>
      <c r="U1" s="31" t="s">
        <v>148</v>
      </c>
      <c r="V1" s="31" t="s">
        <v>134</v>
      </c>
      <c r="W1" s="31" t="s">
        <v>141</v>
      </c>
      <c r="X1" s="31" t="s">
        <v>139</v>
      </c>
      <c r="Y1" s="31" t="s">
        <v>135</v>
      </c>
      <c r="Z1" s="31" t="s">
        <v>143</v>
      </c>
      <c r="AA1" s="31" t="s">
        <v>150</v>
      </c>
      <c r="AB1" s="31" t="s">
        <v>137</v>
      </c>
      <c r="AC1" s="31" t="s">
        <v>136</v>
      </c>
      <c r="AD1" s="31" t="s">
        <v>161</v>
      </c>
      <c r="AE1" s="8" t="s">
        <v>10</v>
      </c>
      <c r="AF1" s="8" t="s">
        <v>35</v>
      </c>
      <c r="AG1" s="8" t="s">
        <v>36</v>
      </c>
      <c r="AH1" s="8" t="s">
        <v>76</v>
      </c>
      <c r="AI1" s="8" t="s">
        <v>77</v>
      </c>
      <c r="AJ1" s="8" t="s">
        <v>79</v>
      </c>
      <c r="AK1" s="8" t="s">
        <v>80</v>
      </c>
      <c r="AL1" s="8" t="s">
        <v>82</v>
      </c>
      <c r="AM1" s="8" t="s">
        <v>63</v>
      </c>
      <c r="AN1" s="8" t="s">
        <v>65</v>
      </c>
      <c r="AO1" s="8" t="s">
        <v>119</v>
      </c>
      <c r="AP1" s="8" t="s">
        <v>120</v>
      </c>
      <c r="AQ1" s="10" t="s">
        <v>49</v>
      </c>
      <c r="AR1" s="10" t="s">
        <v>5</v>
      </c>
      <c r="AS1" s="10" t="s">
        <v>33</v>
      </c>
      <c r="AT1" s="10" t="s">
        <v>68</v>
      </c>
      <c r="AU1" s="10" t="s">
        <v>74</v>
      </c>
      <c r="AV1" s="10" t="s">
        <v>61</v>
      </c>
      <c r="AW1" s="11" t="s">
        <v>6</v>
      </c>
      <c r="AX1" s="11" t="s">
        <v>7</v>
      </c>
      <c r="AY1" s="11" t="s">
        <v>50</v>
      </c>
      <c r="AZ1" s="11" t="s">
        <v>9</v>
      </c>
      <c r="BA1" s="11" t="s">
        <v>60</v>
      </c>
      <c r="BB1" s="11" t="s">
        <v>14</v>
      </c>
      <c r="BC1" s="29" t="s">
        <v>116</v>
      </c>
      <c r="BD1" s="8" t="s">
        <v>19</v>
      </c>
      <c r="BE1" s="8" t="s">
        <v>18</v>
      </c>
      <c r="BF1" s="8" t="s">
        <v>16</v>
      </c>
      <c r="BG1" s="8" t="s">
        <v>17</v>
      </c>
      <c r="BH1" s="8" t="s">
        <v>20</v>
      </c>
      <c r="BI1" s="8" t="s">
        <v>21</v>
      </c>
      <c r="BJ1" s="8" t="s">
        <v>40</v>
      </c>
      <c r="BK1" s="8" t="s">
        <v>41</v>
      </c>
      <c r="BL1" s="8" t="s">
        <v>42</v>
      </c>
      <c r="BM1" s="8" t="s">
        <v>43</v>
      </c>
      <c r="BN1" s="8" t="s">
        <v>44</v>
      </c>
      <c r="BO1" s="8" t="s">
        <v>45</v>
      </c>
      <c r="BP1" s="12" t="s">
        <v>97</v>
      </c>
      <c r="BQ1" s="8" t="s">
        <v>98</v>
      </c>
      <c r="BR1" s="16" t="s">
        <v>99</v>
      </c>
      <c r="BS1" s="16"/>
      <c r="BT1" s="10" t="s">
        <v>49</v>
      </c>
      <c r="BU1" s="10" t="s">
        <v>5</v>
      </c>
      <c r="BV1" s="10" t="s">
        <v>33</v>
      </c>
      <c r="BW1" s="10" t="s">
        <v>68</v>
      </c>
      <c r="BX1" s="10" t="s">
        <v>74</v>
      </c>
      <c r="BY1" s="10" t="s">
        <v>61</v>
      </c>
      <c r="BZ1" s="11" t="s">
        <v>6</v>
      </c>
      <c r="CA1" s="11" t="s">
        <v>7</v>
      </c>
      <c r="CB1" s="11" t="s">
        <v>50</v>
      </c>
      <c r="CC1" s="11" t="s">
        <v>9</v>
      </c>
      <c r="CD1" s="11" t="s">
        <v>60</v>
      </c>
      <c r="CE1" s="11" t="s">
        <v>14</v>
      </c>
      <c r="CF1" s="8"/>
      <c r="CG1" s="10" t="s">
        <v>49</v>
      </c>
      <c r="CH1" s="10" t="s">
        <v>5</v>
      </c>
      <c r="CI1" s="10" t="s">
        <v>33</v>
      </c>
      <c r="CJ1" s="10" t="s">
        <v>68</v>
      </c>
      <c r="CK1" s="10" t="s">
        <v>74</v>
      </c>
      <c r="CL1" s="10" t="s">
        <v>61</v>
      </c>
      <c r="CM1" s="11" t="s">
        <v>6</v>
      </c>
      <c r="CN1" s="11" t="s">
        <v>7</v>
      </c>
      <c r="CO1" s="11" t="s">
        <v>50</v>
      </c>
      <c r="CP1" s="11" t="s">
        <v>9</v>
      </c>
      <c r="CQ1" s="11" t="s">
        <v>60</v>
      </c>
      <c r="CR1" s="11" t="s">
        <v>14</v>
      </c>
      <c r="CS1" s="28"/>
    </row>
    <row r="2" spans="1:97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>
        <v>20</v>
      </c>
      <c r="BG2" s="1">
        <v>20</v>
      </c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 t="shared" ref="BP2:BP20" si="0">SUM(E2:BO2)</f>
        <v>80</v>
      </c>
      <c r="BQ2" s="1">
        <v>0</v>
      </c>
      <c r="BR2" s="17">
        <v>0</v>
      </c>
      <c r="BS2" s="17"/>
      <c r="BT2" s="1" t="str">
        <f>IF(AQ2&gt;AQ$145, AQ2-AQ$145,"")</f>
        <v/>
      </c>
      <c r="BU2" s="1" t="str">
        <f>IF(AR2&gt;AR$145, AR2-AR$145,"")</f>
        <v/>
      </c>
      <c r="BV2" s="1" t="str">
        <f>IF(AS2&gt;AS$145, AS2-AS$145,"")</f>
        <v/>
      </c>
      <c r="BW2" s="1" t="str">
        <f>IF(AT2&gt;AT$145, AT2-AT$145,"")</f>
        <v/>
      </c>
      <c r="BX2" s="1" t="str">
        <f>IF(AU2&gt;AU$145, AU2-AU$145,"")</f>
        <v/>
      </c>
      <c r="BY2" s="1" t="str">
        <f>IF(AV2&gt;AV$145, AV2-AV$145,"")</f>
        <v/>
      </c>
      <c r="BZ2" s="1" t="str">
        <f>IF(AW2&gt;AW$145, AW2-AW$145,"")</f>
        <v/>
      </c>
      <c r="CA2" s="1" t="str">
        <f>IF(AX2&gt;AX$145, AX2-AX$145,"")</f>
        <v/>
      </c>
      <c r="CB2" s="1" t="str">
        <f>IF(AY2&gt;AY$145, AY2-AY$145,"")</f>
        <v/>
      </c>
      <c r="CC2" s="1" t="str">
        <f>IF(AZ2&gt;AZ$145, AZ2-AZ$145,"")</f>
        <v/>
      </c>
      <c r="CD2" s="1" t="str">
        <f>IF(BA2&gt;BA$145, BA2-BA$145,"")</f>
        <v/>
      </c>
      <c r="CE2" s="1" t="str">
        <f>IF(BB2&gt;BB$145, BB2-BB$145,"")</f>
        <v/>
      </c>
      <c r="CF2" s="1">
        <f>12-COUNTA(BT2:CE2)</f>
        <v>0</v>
      </c>
      <c r="CG2" s="1" t="str">
        <f t="shared" ref="CG2:CR5" si="1">IF($CF2=1,BT2,"")</f>
        <v/>
      </c>
      <c r="CH2" s="1" t="str">
        <f t="shared" si="1"/>
        <v/>
      </c>
      <c r="CI2" s="1" t="str">
        <f t="shared" si="1"/>
        <v/>
      </c>
      <c r="CJ2" s="1" t="str">
        <f t="shared" si="1"/>
        <v/>
      </c>
      <c r="CK2" s="1" t="str">
        <f t="shared" si="1"/>
        <v/>
      </c>
      <c r="CL2" s="1" t="str">
        <f t="shared" si="1"/>
        <v/>
      </c>
      <c r="CM2" s="1" t="str">
        <f t="shared" si="1"/>
        <v/>
      </c>
      <c r="CN2" s="1" t="str">
        <f t="shared" si="1"/>
        <v/>
      </c>
      <c r="CO2" s="1" t="str">
        <f t="shared" si="1"/>
        <v/>
      </c>
      <c r="CP2" s="1" t="str">
        <f t="shared" si="1"/>
        <v/>
      </c>
      <c r="CQ2" s="1" t="str">
        <f t="shared" si="1"/>
        <v/>
      </c>
      <c r="CR2" s="1" t="str">
        <f t="shared" si="1"/>
        <v/>
      </c>
      <c r="CS2" s="18">
        <f>SUM(AE2:BO2)</f>
        <v>80</v>
      </c>
    </row>
    <row r="3" spans="1:97" x14ac:dyDescent="0.15">
      <c r="A3" s="1">
        <v>15</v>
      </c>
      <c r="B3" s="1" t="s">
        <v>30</v>
      </c>
      <c r="C3" s="1" t="s">
        <v>31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32"/>
      <c r="Q3" s="32"/>
      <c r="R3" s="32"/>
      <c r="S3" s="32"/>
      <c r="T3" s="32"/>
      <c r="U3" s="32"/>
      <c r="V3" s="32"/>
      <c r="W3" s="32"/>
      <c r="X3" s="32"/>
      <c r="Y3" s="32"/>
      <c r="Z3" s="32"/>
      <c r="AA3" s="32"/>
      <c r="AB3" s="32"/>
      <c r="AC3" s="32"/>
      <c r="AD3" s="32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 t="shared" si="0"/>
        <v>80</v>
      </c>
      <c r="BQ3" s="1">
        <v>0</v>
      </c>
      <c r="BR3" s="17">
        <v>0</v>
      </c>
      <c r="BS3" s="17"/>
      <c r="BT3" s="1" t="str">
        <f>IF(AQ3&gt;AQ$145, AQ3-AQ$145,"")</f>
        <v/>
      </c>
      <c r="BU3" s="1" t="str">
        <f>IF(AR3&gt;AR$145, AR3-AR$145,"")</f>
        <v/>
      </c>
      <c r="BV3" s="1" t="str">
        <f>IF(AS3&gt;AS$145, AS3-AS$145,"")</f>
        <v/>
      </c>
      <c r="BW3" s="1" t="str">
        <f>IF(AT3&gt;AT$145, AT3-AT$145,"")</f>
        <v/>
      </c>
      <c r="BX3" s="1" t="str">
        <f>IF(AU3&gt;AU$145, AU3-AU$145,"")</f>
        <v/>
      </c>
      <c r="BY3" s="1" t="str">
        <f>IF(AV3&gt;AV$145, AV3-AV$145,"")</f>
        <v/>
      </c>
      <c r="BZ3" s="1" t="str">
        <f>IF(AW3&gt;AW$145, AW3-AW$145,"")</f>
        <v/>
      </c>
      <c r="CA3" s="1" t="str">
        <f>IF(AX3&gt;AX$145, AX3-AX$145,"")</f>
        <v/>
      </c>
      <c r="CB3" s="1" t="str">
        <f>IF(AY3&gt;AY$145, AY3-AY$145,"")</f>
        <v/>
      </c>
      <c r="CC3" s="1" t="str">
        <f>IF(AZ3&gt;AZ$145, AZ3-AZ$145,"")</f>
        <v/>
      </c>
      <c r="CD3" s="1" t="str">
        <f>IF(BA3&gt;BA$145, BA3-BA$145,"")</f>
        <v/>
      </c>
      <c r="CE3" s="1" t="str">
        <f>IF(BB3&gt;BB$145, BB3-BB$145,"")</f>
        <v/>
      </c>
      <c r="CF3" s="1">
        <f>12-COUNTA(BT3:CE3)</f>
        <v>0</v>
      </c>
      <c r="CG3" s="1" t="str">
        <f t="shared" si="1"/>
        <v/>
      </c>
      <c r="CH3" s="1" t="str">
        <f t="shared" si="1"/>
        <v/>
      </c>
      <c r="CI3" s="1" t="str">
        <f t="shared" si="1"/>
        <v/>
      </c>
      <c r="CJ3" s="1" t="str">
        <f t="shared" si="1"/>
        <v/>
      </c>
      <c r="CK3" s="1" t="str">
        <f t="shared" si="1"/>
        <v/>
      </c>
      <c r="CL3" s="1" t="str">
        <f t="shared" si="1"/>
        <v/>
      </c>
      <c r="CM3" s="1" t="str">
        <f t="shared" si="1"/>
        <v/>
      </c>
      <c r="CN3" s="1" t="str">
        <f t="shared" si="1"/>
        <v/>
      </c>
      <c r="CO3" s="1" t="str">
        <f t="shared" si="1"/>
        <v/>
      </c>
      <c r="CP3" s="1" t="str">
        <f t="shared" si="1"/>
        <v/>
      </c>
      <c r="CQ3" s="1" t="str">
        <f t="shared" si="1"/>
        <v/>
      </c>
      <c r="CR3" s="1" t="str">
        <f t="shared" si="1"/>
        <v/>
      </c>
      <c r="CS3" s="18">
        <f>SUM(AE3:BO3)</f>
        <v>80</v>
      </c>
    </row>
    <row r="4" spans="1:97" x14ac:dyDescent="0.15">
      <c r="A4" s="1">
        <v>35</v>
      </c>
      <c r="B4" s="1" t="s">
        <v>47</v>
      </c>
      <c r="C4" s="1" t="s">
        <v>48</v>
      </c>
      <c r="D4" s="1" t="s">
        <v>26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32"/>
      <c r="Q4" s="32"/>
      <c r="R4" s="32"/>
      <c r="S4" s="32"/>
      <c r="T4" s="32"/>
      <c r="U4" s="32"/>
      <c r="V4" s="32"/>
      <c r="W4" s="32"/>
      <c r="X4" s="32"/>
      <c r="Y4" s="32"/>
      <c r="Z4" s="32"/>
      <c r="AA4" s="32"/>
      <c r="AB4" s="32"/>
      <c r="AC4" s="32"/>
      <c r="AD4" s="32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>
        <v>20</v>
      </c>
      <c r="BG4" s="1">
        <v>20</v>
      </c>
      <c r="BH4" s="1"/>
      <c r="BI4" s="1"/>
      <c r="BJ4" s="1"/>
      <c r="BK4" s="1"/>
      <c r="BL4" s="1"/>
      <c r="BM4" s="1"/>
      <c r="BN4" s="1"/>
      <c r="BO4" s="1"/>
      <c r="BP4" s="1">
        <f t="shared" si="0"/>
        <v>80</v>
      </c>
      <c r="BQ4" s="1">
        <v>0</v>
      </c>
      <c r="BR4" s="17">
        <v>0</v>
      </c>
      <c r="BS4" s="17"/>
      <c r="BT4" s="1" t="str">
        <f>IF(AQ4&gt;AQ$145, AQ4-AQ$145,"")</f>
        <v/>
      </c>
      <c r="BU4" s="1" t="str">
        <f>IF(AR4&gt;AR$145, AR4-AR$145,"")</f>
        <v/>
      </c>
      <c r="BV4" s="1" t="str">
        <f>IF(AS4&gt;AS$145, AS4-AS$145,"")</f>
        <v/>
      </c>
      <c r="BW4" s="1" t="str">
        <f>IF(AT4&gt;AT$145, AT4-AT$145,"")</f>
        <v/>
      </c>
      <c r="BX4" s="1" t="str">
        <f>IF(AU4&gt;AU$145, AU4-AU$145,"")</f>
        <v/>
      </c>
      <c r="BY4" s="1" t="str">
        <f>IF(AV4&gt;AV$145, AV4-AV$145,"")</f>
        <v/>
      </c>
      <c r="BZ4" s="1" t="str">
        <f>IF(AW4&gt;AW$145, AW4-AW$145,"")</f>
        <v/>
      </c>
      <c r="CA4" s="1" t="str">
        <f>IF(AX4&gt;AX$145, AX4-AX$145,"")</f>
        <v/>
      </c>
      <c r="CB4" s="1" t="str">
        <f>IF(AY4&gt;AY$145, AY4-AY$145,"")</f>
        <v/>
      </c>
      <c r="CC4" s="1" t="str">
        <f>IF(AZ4&gt;AZ$145, AZ4-AZ$145,"")</f>
        <v/>
      </c>
      <c r="CD4" s="1" t="str">
        <f>IF(BA4&gt;BA$145, BA4-BA$145,"")</f>
        <v/>
      </c>
      <c r="CE4" s="1" t="str">
        <f>IF(BB4&gt;BB$145, BB4-BB$145,"")</f>
        <v/>
      </c>
      <c r="CF4" s="1">
        <f>12-COUNTA(BT4:CE4)</f>
        <v>0</v>
      </c>
      <c r="CG4" s="1" t="str">
        <f t="shared" si="1"/>
        <v/>
      </c>
      <c r="CH4" s="1" t="str">
        <f t="shared" si="1"/>
        <v/>
      </c>
      <c r="CI4" s="1" t="str">
        <f t="shared" si="1"/>
        <v/>
      </c>
      <c r="CJ4" s="1" t="str">
        <f t="shared" si="1"/>
        <v/>
      </c>
      <c r="CK4" s="1" t="str">
        <f t="shared" si="1"/>
        <v/>
      </c>
      <c r="CL4" s="1" t="str">
        <f t="shared" si="1"/>
        <v/>
      </c>
      <c r="CM4" s="1" t="str">
        <f t="shared" si="1"/>
        <v/>
      </c>
      <c r="CN4" s="1" t="str">
        <f t="shared" si="1"/>
        <v/>
      </c>
      <c r="CO4" s="1" t="str">
        <f t="shared" si="1"/>
        <v/>
      </c>
      <c r="CP4" s="1" t="str">
        <f t="shared" si="1"/>
        <v/>
      </c>
      <c r="CQ4" s="1" t="str">
        <f t="shared" si="1"/>
        <v/>
      </c>
      <c r="CR4" s="1" t="str">
        <f t="shared" si="1"/>
        <v/>
      </c>
      <c r="CS4" s="18">
        <f>SUM(AE4:BO4)</f>
        <v>80</v>
      </c>
    </row>
    <row r="5" spans="1:97" x14ac:dyDescent="0.15">
      <c r="A5" s="1">
        <v>55</v>
      </c>
      <c r="B5" s="1" t="s">
        <v>58</v>
      </c>
      <c r="C5" s="1" t="s">
        <v>59</v>
      </c>
      <c r="D5" s="1" t="s">
        <v>13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32"/>
      <c r="Q5" s="32"/>
      <c r="R5" s="32"/>
      <c r="S5" s="32"/>
      <c r="T5" s="32"/>
      <c r="U5" s="32"/>
      <c r="V5" s="32"/>
      <c r="W5" s="32"/>
      <c r="X5" s="32"/>
      <c r="Y5" s="32"/>
      <c r="Z5" s="32"/>
      <c r="AA5" s="32"/>
      <c r="AB5" s="32"/>
      <c r="AC5" s="32"/>
      <c r="AD5" s="32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/>
      <c r="BG5" s="1"/>
      <c r="BH5" s="1">
        <v>20</v>
      </c>
      <c r="BI5" s="1">
        <v>20</v>
      </c>
      <c r="BJ5" s="1"/>
      <c r="BK5" s="1"/>
      <c r="BL5" s="1"/>
      <c r="BM5" s="1"/>
      <c r="BN5" s="1"/>
      <c r="BO5" s="1"/>
      <c r="BP5" s="1">
        <f t="shared" si="0"/>
        <v>80</v>
      </c>
      <c r="BQ5" s="1">
        <v>0</v>
      </c>
      <c r="BR5" s="17">
        <v>0</v>
      </c>
      <c r="BS5" s="17"/>
      <c r="BT5" s="1" t="str">
        <f>IF(AQ5&gt;AQ$145, AQ5-AQ$145,"")</f>
        <v/>
      </c>
      <c r="BU5" s="1" t="str">
        <f>IF(AR5&gt;AR$145, AR5-AR$145,"")</f>
        <v/>
      </c>
      <c r="BV5" s="1" t="str">
        <f>IF(AS5&gt;AS$145, AS5-AS$145,"")</f>
        <v/>
      </c>
      <c r="BW5" s="1" t="str">
        <f>IF(AT5&gt;AT$145, AT5-AT$145,"")</f>
        <v/>
      </c>
      <c r="BX5" s="1" t="str">
        <f>IF(AU5&gt;AU$145, AU5-AU$145,"")</f>
        <v/>
      </c>
      <c r="BY5" s="1" t="str">
        <f>IF(AV5&gt;AV$145, AV5-AV$145,"")</f>
        <v/>
      </c>
      <c r="BZ5" s="1" t="str">
        <f>IF(AW5&gt;AW$145, AW5-AW$145,"")</f>
        <v/>
      </c>
      <c r="CA5" s="1" t="str">
        <f>IF(AX5&gt;AX$145, AX5-AX$145,"")</f>
        <v/>
      </c>
      <c r="CB5" s="1" t="str">
        <f>IF(AY5&gt;AY$145, AY5-AY$145,"")</f>
        <v/>
      </c>
      <c r="CC5" s="1" t="str">
        <f>IF(AZ5&gt;AZ$145, AZ5-AZ$145,"")</f>
        <v/>
      </c>
      <c r="CD5" s="1" t="str">
        <f>IF(BA5&gt;BA$145, BA5-BA$145,"")</f>
        <v/>
      </c>
      <c r="CE5" s="1" t="str">
        <f>IF(BB5&gt;BB$145, BB5-BB$145,"")</f>
        <v/>
      </c>
      <c r="CF5" s="1">
        <f>12-COUNTA(BT5:CE5)</f>
        <v>0</v>
      </c>
      <c r="CG5" s="1" t="str">
        <f t="shared" si="1"/>
        <v/>
      </c>
      <c r="CH5" s="1" t="str">
        <f t="shared" si="1"/>
        <v/>
      </c>
      <c r="CI5" s="1" t="str">
        <f t="shared" si="1"/>
        <v/>
      </c>
      <c r="CJ5" s="1" t="str">
        <f t="shared" si="1"/>
        <v/>
      </c>
      <c r="CK5" s="1" t="str">
        <f t="shared" si="1"/>
        <v/>
      </c>
      <c r="CL5" s="1" t="str">
        <f t="shared" si="1"/>
        <v/>
      </c>
      <c r="CM5" s="1" t="str">
        <f t="shared" si="1"/>
        <v/>
      </c>
      <c r="CN5" s="1" t="str">
        <f t="shared" si="1"/>
        <v/>
      </c>
      <c r="CO5" s="1" t="str">
        <f t="shared" si="1"/>
        <v/>
      </c>
      <c r="CP5" s="1" t="str">
        <f t="shared" si="1"/>
        <v/>
      </c>
      <c r="CQ5" s="1" t="str">
        <f t="shared" si="1"/>
        <v/>
      </c>
      <c r="CR5" s="1" t="str">
        <f t="shared" si="1"/>
        <v/>
      </c>
      <c r="CS5" s="18">
        <f>SUM(AE5:BO5)</f>
        <v>80</v>
      </c>
    </row>
    <row r="6" spans="1:97" s="25" customFormat="1" x14ac:dyDescent="0.15">
      <c r="A6" s="1"/>
      <c r="B6" s="1" t="s">
        <v>113</v>
      </c>
      <c r="C6" s="1" t="s">
        <v>114</v>
      </c>
      <c r="D6" s="1" t="s">
        <v>112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32"/>
      <c r="Q6" s="32"/>
      <c r="R6" s="32"/>
      <c r="S6" s="32"/>
      <c r="T6" s="32"/>
      <c r="U6" s="32"/>
      <c r="V6" s="32"/>
      <c r="W6" s="32"/>
      <c r="X6" s="32"/>
      <c r="Y6" s="32"/>
      <c r="Z6" s="32"/>
      <c r="AA6" s="32"/>
      <c r="AB6" s="32"/>
      <c r="AC6" s="32"/>
      <c r="AD6" s="32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>
        <v>20</v>
      </c>
      <c r="BE6" s="1">
        <v>20</v>
      </c>
      <c r="BF6" s="1">
        <v>20</v>
      </c>
      <c r="BG6" s="1">
        <v>20</v>
      </c>
      <c r="BH6" s="1"/>
      <c r="BI6" s="1"/>
      <c r="BJ6" s="1"/>
      <c r="BK6" s="1"/>
      <c r="BL6" s="1"/>
      <c r="BM6" s="1"/>
      <c r="BN6" s="1"/>
      <c r="BO6" s="1"/>
      <c r="BP6" s="1">
        <f t="shared" si="0"/>
        <v>80</v>
      </c>
      <c r="BQ6" s="1">
        <v>0</v>
      </c>
      <c r="BR6" s="17">
        <v>0</v>
      </c>
      <c r="BS6" s="17"/>
      <c r="BT6" s="1" t="str">
        <f>IF(AQ6&gt;AQ$145, AQ6-AQ$145,"")</f>
        <v/>
      </c>
      <c r="BU6" s="1" t="str">
        <f>IF(AR6&gt;AR$145, AR6-AR$145,"")</f>
        <v/>
      </c>
      <c r="BV6" s="1" t="str">
        <f>IF(AS6&gt;AS$145, AS6-AS$145,"")</f>
        <v/>
      </c>
      <c r="BW6" s="1" t="str">
        <f>IF(AT6&gt;AT$145, AT6-AT$145,"")</f>
        <v/>
      </c>
      <c r="BX6" s="1" t="str">
        <f>IF(AU6&gt;AU$145, AU6-AU$145,"")</f>
        <v/>
      </c>
      <c r="BY6" s="1" t="str">
        <f>IF(AV6&gt;AV$145, AV6-AV$145,"")</f>
        <v/>
      </c>
      <c r="BZ6" s="1" t="str">
        <f>IF(AW6&gt;AW$145, AW6-AW$145,"")</f>
        <v/>
      </c>
      <c r="CA6" s="1" t="str">
        <f>IF(AX6&gt;AX$145, AX6-AX$145,"")</f>
        <v/>
      </c>
      <c r="CB6" s="1" t="str">
        <f>IF(AY6&gt;AY$145, AY6-AY$145,"")</f>
        <v/>
      </c>
      <c r="CC6" s="1" t="str">
        <f>IF(AZ6&gt;AZ$145, AZ6-AZ$145,"")</f>
        <v/>
      </c>
      <c r="CD6" s="1" t="str">
        <f>IF(BA6&gt;BA$145, BA6-BA$145,"")</f>
        <v/>
      </c>
      <c r="CE6" s="1" t="str">
        <f>IF(BB6&gt;BB$145, BB6-BB$145,"")</f>
        <v/>
      </c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8"/>
    </row>
    <row r="7" spans="1:97" s="25" customFormat="1" x14ac:dyDescent="0.15">
      <c r="A7" s="1"/>
      <c r="B7" s="1" t="s">
        <v>182</v>
      </c>
      <c r="C7" s="1" t="s">
        <v>122</v>
      </c>
      <c r="D7" s="1" t="s">
        <v>112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32"/>
      <c r="Q7" s="32"/>
      <c r="R7" s="32"/>
      <c r="S7" s="32"/>
      <c r="T7" s="32"/>
      <c r="U7" s="32"/>
      <c r="V7" s="32"/>
      <c r="W7" s="32"/>
      <c r="X7" s="32"/>
      <c r="Y7" s="32"/>
      <c r="Z7" s="32"/>
      <c r="AA7" s="32"/>
      <c r="AB7" s="32"/>
      <c r="AC7" s="32"/>
      <c r="AD7" s="32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>
        <v>20</v>
      </c>
      <c r="BG7" s="1">
        <v>20</v>
      </c>
      <c r="BH7" s="1">
        <v>20</v>
      </c>
      <c r="BI7" s="1">
        <v>20</v>
      </c>
      <c r="BJ7" s="1"/>
      <c r="BK7" s="1"/>
      <c r="BL7" s="1"/>
      <c r="BM7" s="1"/>
      <c r="BN7" s="1"/>
      <c r="BO7" s="1"/>
      <c r="BP7" s="1">
        <f t="shared" si="0"/>
        <v>80</v>
      </c>
      <c r="BQ7" s="1">
        <v>0</v>
      </c>
      <c r="BR7" s="17">
        <v>0</v>
      </c>
      <c r="BS7" s="17"/>
      <c r="BT7" s="1" t="str">
        <f>IF(AQ7&gt;AQ$145, AQ7-AQ$145,"")</f>
        <v/>
      </c>
      <c r="BU7" s="1" t="str">
        <f>IF(AR7&gt;AR$145, AR7-AR$145,"")</f>
        <v/>
      </c>
      <c r="BV7" s="1" t="str">
        <f>IF(AS7&gt;AS$145, AS7-AS$145,"")</f>
        <v/>
      </c>
      <c r="BW7" s="1" t="str">
        <f>IF(AT7&gt;AT$145, AT7-AT$145,"")</f>
        <v/>
      </c>
      <c r="BX7" s="1" t="str">
        <f>IF(AU7&gt;AU$145, AU7-AU$145,"")</f>
        <v/>
      </c>
      <c r="BY7" s="1" t="str">
        <f>IF(AV7&gt;AV$145, AV7-AV$145,"")</f>
        <v/>
      </c>
      <c r="BZ7" s="1" t="str">
        <f>IF(AW7&gt;AW$145, AW7-AW$145,"")</f>
        <v/>
      </c>
      <c r="CA7" s="1" t="str">
        <f>IF(AX7&gt;AX$145, AX7-AX$145,"")</f>
        <v/>
      </c>
      <c r="CB7" s="1" t="str">
        <f>IF(AY7&gt;AY$145, AY7-AY$145,"")</f>
        <v/>
      </c>
      <c r="CC7" s="1" t="str">
        <f>IF(AZ7&gt;AZ$145, AZ7-AZ$145,"")</f>
        <v/>
      </c>
      <c r="CD7" s="1" t="str">
        <f>IF(BA7&gt;BA$145, BA7-BA$145,"")</f>
        <v/>
      </c>
      <c r="CE7" s="1" t="str">
        <f>IF(BB7&gt;BB$145, BB7-BB$145,"")</f>
        <v/>
      </c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8"/>
    </row>
    <row r="8" spans="1:97" x14ac:dyDescent="0.15">
      <c r="A8" s="1"/>
      <c r="B8" s="1" t="s">
        <v>190</v>
      </c>
      <c r="C8" s="1" t="s">
        <v>110</v>
      </c>
      <c r="D8" s="1" t="s">
        <v>112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32"/>
      <c r="Q8" s="32"/>
      <c r="R8" s="32"/>
      <c r="S8" s="32"/>
      <c r="T8" s="32"/>
      <c r="U8" s="32"/>
      <c r="V8" s="32"/>
      <c r="W8" s="32"/>
      <c r="X8" s="32"/>
      <c r="Y8" s="32"/>
      <c r="Z8" s="32"/>
      <c r="AA8" s="32"/>
      <c r="AB8" s="32"/>
      <c r="AC8" s="32"/>
      <c r="AD8" s="32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>
        <v>20</v>
      </c>
      <c r="BE8" s="1">
        <v>20</v>
      </c>
      <c r="BF8" s="1">
        <v>20</v>
      </c>
      <c r="BG8" s="1">
        <v>20</v>
      </c>
      <c r="BH8" s="1"/>
      <c r="BI8" s="1"/>
      <c r="BJ8" s="1"/>
      <c r="BK8" s="1"/>
      <c r="BL8" s="1"/>
      <c r="BM8" s="1"/>
      <c r="BN8" s="1"/>
      <c r="BO8" s="1"/>
      <c r="BP8" s="1">
        <f t="shared" si="0"/>
        <v>80</v>
      </c>
      <c r="BQ8" s="1">
        <v>0</v>
      </c>
      <c r="BR8" s="17">
        <v>0</v>
      </c>
      <c r="BS8" s="17"/>
      <c r="BT8" s="1" t="str">
        <f>IF(AQ8&gt;AQ$145, AQ8-AQ$145,"")</f>
        <v/>
      </c>
      <c r="BU8" s="1" t="str">
        <f>IF(AR8&gt;AR$145, AR8-AR$145,"")</f>
        <v/>
      </c>
      <c r="BV8" s="1" t="str">
        <f>IF(AS8&gt;AS$145, AS8-AS$145,"")</f>
        <v/>
      </c>
      <c r="BW8" s="1" t="str">
        <f>IF(AT8&gt;AT$145, AT8-AT$145,"")</f>
        <v/>
      </c>
      <c r="BX8" s="1" t="str">
        <f>IF(AU8&gt;AU$145, AU8-AU$145,"")</f>
        <v/>
      </c>
      <c r="BY8" s="1" t="str">
        <f>IF(AV8&gt;AV$145, AV8-AV$145,"")</f>
        <v/>
      </c>
      <c r="BZ8" s="1" t="str">
        <f>IF(AW8&gt;AW$145, AW8-AW$145,"")</f>
        <v/>
      </c>
      <c r="CA8" s="1" t="str">
        <f>IF(AX8&gt;AX$145, AX8-AX$145,"")</f>
        <v/>
      </c>
      <c r="CB8" s="1" t="str">
        <f>IF(AY8&gt;AY$145, AY8-AY$145,"")</f>
        <v/>
      </c>
      <c r="CC8" s="1" t="str">
        <f>IF(AZ8&gt;AZ$145, AZ8-AZ$145,"")</f>
        <v/>
      </c>
      <c r="CD8" s="1" t="str">
        <f>IF(BA8&gt;BA$145, BA8-BA$145,"")</f>
        <v/>
      </c>
      <c r="CE8" s="1" t="str">
        <f>IF(BB8&gt;BB$145, BB8-BB$145,"")</f>
        <v/>
      </c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8"/>
    </row>
    <row r="9" spans="1:97" x14ac:dyDescent="0.15">
      <c r="A9" s="1">
        <v>91</v>
      </c>
      <c r="B9" s="3" t="s">
        <v>85</v>
      </c>
      <c r="C9" s="3" t="s">
        <v>84</v>
      </c>
      <c r="D9" s="1" t="s">
        <v>1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  <c r="AB9" s="32"/>
      <c r="AC9" s="32"/>
      <c r="AD9" s="32"/>
      <c r="AE9" s="1"/>
      <c r="AF9" s="1"/>
      <c r="AG9" s="1"/>
      <c r="AH9" s="1"/>
      <c r="AI9" s="1"/>
      <c r="AJ9" s="1"/>
      <c r="AK9" s="1"/>
      <c r="AL9" s="1"/>
      <c r="AM9" s="1">
        <v>5</v>
      </c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 t="shared" si="0"/>
        <v>5</v>
      </c>
      <c r="BQ9" s="1">
        <v>0</v>
      </c>
      <c r="BR9" s="17">
        <v>0</v>
      </c>
      <c r="BS9" s="17"/>
      <c r="BT9" s="1" t="str">
        <f>IF(AQ9&gt;AQ$145, AQ9-AQ$145,"")</f>
        <v/>
      </c>
      <c r="BU9" s="1" t="str">
        <f>IF(AR9&gt;AR$145, AR9-AR$145,"")</f>
        <v/>
      </c>
      <c r="BV9" s="1" t="str">
        <f>IF(AS9&gt;AS$145, AS9-AS$145,"")</f>
        <v/>
      </c>
      <c r="BW9" s="1" t="str">
        <f>IF(AT9&gt;AT$145, AT9-AT$145,"")</f>
        <v/>
      </c>
      <c r="BX9" s="1" t="str">
        <f>IF(AU9&gt;AU$145, AU9-AU$145,"")</f>
        <v/>
      </c>
      <c r="BY9" s="1" t="str">
        <f>IF(AV9&gt;AV$145, AV9-AV$145,"")</f>
        <v/>
      </c>
      <c r="BZ9" s="1" t="str">
        <f>IF(AW9&gt;AW$145, AW9-AW$145,"")</f>
        <v/>
      </c>
      <c r="CA9" s="1" t="str">
        <f>IF(AX9&gt;AX$145, AX9-AX$145,"")</f>
        <v/>
      </c>
      <c r="CB9" s="1" t="str">
        <f>IF(AY9&gt;AY$145, AY9-AY$145,"")</f>
        <v/>
      </c>
      <c r="CC9" s="1" t="str">
        <f>IF(AZ9&gt;AZ$145, AZ9-AZ$145,"")</f>
        <v/>
      </c>
      <c r="CD9" s="1" t="str">
        <f>IF(BA9&gt;BA$145, BA9-BA$145,"")</f>
        <v/>
      </c>
      <c r="CE9" s="1" t="str">
        <f>IF(BB9&gt;BB$145, BB9-BB$145,"")</f>
        <v/>
      </c>
      <c r="CF9" s="1">
        <f>COUNTIF(BT9:CE9, "&gt;0")</f>
        <v>0</v>
      </c>
      <c r="CG9" s="1" t="str">
        <f t="shared" ref="CG9:CR9" si="2">IF($CF9=1,BT9,"")</f>
        <v/>
      </c>
      <c r="CH9" s="1" t="str">
        <f t="shared" si="2"/>
        <v/>
      </c>
      <c r="CI9" s="1" t="str">
        <f t="shared" si="2"/>
        <v/>
      </c>
      <c r="CJ9" s="1" t="str">
        <f t="shared" si="2"/>
        <v/>
      </c>
      <c r="CK9" s="1" t="str">
        <f t="shared" si="2"/>
        <v/>
      </c>
      <c r="CL9" s="1" t="str">
        <f t="shared" si="2"/>
        <v/>
      </c>
      <c r="CM9" s="1" t="str">
        <f t="shared" si="2"/>
        <v/>
      </c>
      <c r="CN9" s="1" t="str">
        <f t="shared" si="2"/>
        <v/>
      </c>
      <c r="CO9" s="1" t="str">
        <f t="shared" si="2"/>
        <v/>
      </c>
      <c r="CP9" s="1" t="str">
        <f t="shared" si="2"/>
        <v/>
      </c>
      <c r="CQ9" s="1" t="str">
        <f t="shared" si="2"/>
        <v/>
      </c>
      <c r="CR9" s="1" t="str">
        <f t="shared" si="2"/>
        <v/>
      </c>
      <c r="CS9" s="18">
        <f>SUM(AE9:BO9)</f>
        <v>5</v>
      </c>
    </row>
    <row r="10" spans="1:97" x14ac:dyDescent="0.15">
      <c r="A10" s="1"/>
      <c r="B10" s="1" t="s">
        <v>194</v>
      </c>
      <c r="C10" s="1" t="s">
        <v>110</v>
      </c>
      <c r="D10" s="1" t="s">
        <v>111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  <c r="AB10" s="32"/>
      <c r="AC10" s="32"/>
      <c r="AD10" s="32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>
        <v>10</v>
      </c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>
        <v>10</v>
      </c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 t="shared" si="0"/>
        <v>20</v>
      </c>
      <c r="BQ10" s="1">
        <v>1</v>
      </c>
      <c r="BR10" s="17">
        <v>1</v>
      </c>
      <c r="BS10" s="17" t="s">
        <v>209</v>
      </c>
      <c r="BT10" s="1">
        <f>IF(AQ10&gt;AQ$145, AQ10-AQ$145,"")</f>
        <v>1</v>
      </c>
      <c r="BU10" s="1" t="str">
        <f>IF(AR10&gt;AR$145, AR10-AR$145,"")</f>
        <v/>
      </c>
      <c r="BV10" s="1" t="str">
        <f>IF(AS10&gt;AS$145, AS10-AS$145,"")</f>
        <v/>
      </c>
      <c r="BW10" s="1" t="str">
        <f>IF(AT10&gt;AT$145, AT10-AT$145,"")</f>
        <v/>
      </c>
      <c r="BX10" s="1" t="str">
        <f>IF(AU10&gt;AU$145, AU10-AU$145,"")</f>
        <v/>
      </c>
      <c r="BY10" s="1" t="str">
        <f>IF(AV10&gt;AV$145, AV10-AV$145,"")</f>
        <v/>
      </c>
      <c r="BZ10" s="1" t="str">
        <f>IF(AW10&gt;AW$145, AW10-AW$145,"")</f>
        <v/>
      </c>
      <c r="CA10" s="1" t="str">
        <f>IF(AX10&gt;AX$145, AX10-AX$145,"")</f>
        <v/>
      </c>
      <c r="CB10" s="1" t="str">
        <f>IF(AY10&gt;AY$145, AY10-AY$145,"")</f>
        <v/>
      </c>
      <c r="CC10" s="1" t="str">
        <f>IF(AZ10&gt;AZ$145, AZ10-AZ$145,"")</f>
        <v/>
      </c>
      <c r="CD10" s="1" t="str">
        <f>IF(BA10&gt;BA$145, BA10-BA$145,"")</f>
        <v/>
      </c>
      <c r="CE10" s="1" t="str">
        <f>IF(BB10&gt;BB$145, BB10-BB$145,"")</f>
        <v/>
      </c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8"/>
    </row>
    <row r="11" spans="1:97" x14ac:dyDescent="0.15">
      <c r="A11" s="1"/>
      <c r="B11" s="1" t="s">
        <v>196</v>
      </c>
      <c r="C11" s="1" t="s">
        <v>125</v>
      </c>
      <c r="D11" s="1" t="s">
        <v>111</v>
      </c>
      <c r="E11" s="6"/>
      <c r="F11" s="6"/>
      <c r="G11" s="6">
        <v>2</v>
      </c>
      <c r="H11" s="6"/>
      <c r="I11" s="6"/>
      <c r="J11" s="6"/>
      <c r="K11" s="6"/>
      <c r="L11" s="6"/>
      <c r="M11" s="6"/>
      <c r="N11" s="6"/>
      <c r="O11" s="6"/>
      <c r="P11" s="32"/>
      <c r="Q11" s="32"/>
      <c r="R11" s="32"/>
      <c r="S11" s="32"/>
      <c r="T11" s="32"/>
      <c r="U11" s="32"/>
      <c r="V11" s="32"/>
      <c r="W11" s="32"/>
      <c r="X11" s="32"/>
      <c r="Y11" s="32"/>
      <c r="Z11" s="32"/>
      <c r="AA11" s="32"/>
      <c r="AB11" s="32"/>
      <c r="AC11" s="32"/>
      <c r="AD11" s="32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 t="shared" si="0"/>
        <v>2</v>
      </c>
      <c r="BQ11" s="1">
        <v>2</v>
      </c>
      <c r="BR11" s="17">
        <v>1</v>
      </c>
      <c r="BS11" s="17" t="s">
        <v>211</v>
      </c>
      <c r="BT11" s="1" t="str">
        <f>IF(AQ11&gt;AQ$145, AQ11-AQ$145,"")</f>
        <v/>
      </c>
      <c r="BU11" s="1" t="str">
        <f>IF(AR11&gt;AR$145, AR11-AR$145,"")</f>
        <v/>
      </c>
      <c r="BV11" s="1" t="str">
        <f>IF(AS11&gt;AS$145, AS11-AS$145,"")</f>
        <v/>
      </c>
      <c r="BW11" s="1" t="str">
        <f>IF(AT11&gt;AT$145, AT11-AT$145,"")</f>
        <v/>
      </c>
      <c r="BX11" s="1" t="str">
        <f>IF(AU11&gt;AU$145, AU11-AU$145,"")</f>
        <v/>
      </c>
      <c r="BY11" s="1" t="str">
        <f>IF(AV11&gt;AV$145, AV11-AV$145,"")</f>
        <v/>
      </c>
      <c r="BZ11" s="1" t="str">
        <f>IF(AW11&gt;AW$145, AW11-AW$145,"")</f>
        <v/>
      </c>
      <c r="CA11" s="1" t="str">
        <f>IF(AX11&gt;AX$145, AX11-AX$145,"")</f>
        <v/>
      </c>
      <c r="CB11" s="1" t="str">
        <f>IF(AY11&gt;AY$145, AY11-AY$145,"")</f>
        <v/>
      </c>
      <c r="CC11" s="1" t="str">
        <f>IF(AZ11&gt;AZ$145, AZ11-AZ$145,"")</f>
        <v/>
      </c>
      <c r="CD11" s="1" t="str">
        <f>IF(BA11&gt;BA$145, BA11-BA$145,"")</f>
        <v/>
      </c>
      <c r="CE11" s="1" t="str">
        <f>IF(BB11&gt;BB$145, BB11-BB$145,"")</f>
        <v/>
      </c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8"/>
    </row>
    <row r="12" spans="1:97" s="25" customFormat="1" x14ac:dyDescent="0.15">
      <c r="A12" s="1"/>
      <c r="B12" s="1" t="s">
        <v>121</v>
      </c>
      <c r="C12" s="1" t="s">
        <v>114</v>
      </c>
      <c r="D12" s="1" t="s">
        <v>118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2"/>
      <c r="AA12" s="32"/>
      <c r="AB12" s="32"/>
      <c r="AC12" s="32"/>
      <c r="AD12" s="32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>
        <v>2</v>
      </c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 t="shared" si="0"/>
        <v>2</v>
      </c>
      <c r="BQ12" s="1">
        <v>2</v>
      </c>
      <c r="BR12" s="17">
        <v>1</v>
      </c>
      <c r="BS12" s="17" t="s">
        <v>212</v>
      </c>
      <c r="BT12" s="1" t="str">
        <f>IF(AQ12&gt;AQ$145, AQ12-AQ$145,"")</f>
        <v/>
      </c>
      <c r="BU12" s="1" t="str">
        <f>IF(AR12&gt;AR$145, AR12-AR$145,"")</f>
        <v/>
      </c>
      <c r="BV12" s="1" t="str">
        <f>IF(AS12&gt;AS$145, AS12-AS$145,"")</f>
        <v/>
      </c>
      <c r="BW12" s="1" t="str">
        <f>IF(AT12&gt;AT$145, AT12-AT$145,"")</f>
        <v/>
      </c>
      <c r="BX12" s="1" t="str">
        <f>IF(AU12&gt;AU$145, AU12-AU$145,"")</f>
        <v/>
      </c>
      <c r="BY12" s="1" t="str">
        <f>IF(AV12&gt;AV$145, AV12-AV$145,"")</f>
        <v/>
      </c>
      <c r="BZ12" s="1" t="str">
        <f>IF(AW12&gt;AW$145, AW12-AW$145,"")</f>
        <v/>
      </c>
      <c r="CA12" s="1" t="str">
        <f>IF(AX12&gt;AX$145, AX12-AX$145,"")</f>
        <v/>
      </c>
      <c r="CB12" s="1" t="str">
        <f>IF(AY12&gt;AY$145, AY12-AY$145,"")</f>
        <v/>
      </c>
      <c r="CC12" s="1" t="str">
        <f>IF(AZ12&gt;AZ$145, AZ12-AZ$145,"")</f>
        <v/>
      </c>
      <c r="CD12" s="1" t="str">
        <f>IF(BA12&gt;BA$145, BA12-BA$145,"")</f>
        <v/>
      </c>
      <c r="CE12" s="1" t="str">
        <f>IF(BB12&gt;BB$145, BB12-BB$145,"")</f>
        <v/>
      </c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8"/>
    </row>
    <row r="13" spans="1:97" x14ac:dyDescent="0.15">
      <c r="A13" s="1">
        <v>24</v>
      </c>
      <c r="B13" s="1" t="s">
        <v>46</v>
      </c>
      <c r="C13" s="1" t="s">
        <v>31</v>
      </c>
      <c r="D13" s="1" t="s">
        <v>26</v>
      </c>
      <c r="E13" s="6"/>
      <c r="F13" s="6"/>
      <c r="G13" s="6"/>
      <c r="H13" s="6"/>
      <c r="I13" s="6">
        <v>4</v>
      </c>
      <c r="J13" s="6"/>
      <c r="K13" s="6">
        <v>4</v>
      </c>
      <c r="L13" s="6"/>
      <c r="M13" s="6"/>
      <c r="N13" s="6"/>
      <c r="O13" s="6"/>
      <c r="P13" s="32"/>
      <c r="Q13" s="32"/>
      <c r="R13" s="32"/>
      <c r="S13" s="32"/>
      <c r="T13" s="32"/>
      <c r="U13" s="32"/>
      <c r="V13" s="32"/>
      <c r="W13" s="32"/>
      <c r="X13" s="32"/>
      <c r="Y13" s="32"/>
      <c r="Z13" s="32"/>
      <c r="AA13" s="32"/>
      <c r="AB13" s="32"/>
      <c r="AC13" s="32"/>
      <c r="AD13" s="32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>
        <v>5</v>
      </c>
      <c r="AT13" s="4"/>
      <c r="AU13" s="4"/>
      <c r="AV13" s="4"/>
      <c r="AW13" s="2">
        <v>5</v>
      </c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 t="shared" si="0"/>
        <v>18</v>
      </c>
      <c r="BQ13" s="1">
        <v>3</v>
      </c>
      <c r="BR13" s="17">
        <v>1</v>
      </c>
      <c r="BS13" s="17" t="s">
        <v>214</v>
      </c>
      <c r="BT13" s="1" t="str">
        <f>IF(AQ13&gt;AQ$145, AQ13-AQ$145,"")</f>
        <v/>
      </c>
      <c r="BU13" s="1" t="str">
        <f>IF(AR13&gt;AR$145, AR13-AR$145,"")</f>
        <v/>
      </c>
      <c r="BV13" s="1">
        <f>IF(AS13&gt;AS$145, AS13-AS$145,"")</f>
        <v>3</v>
      </c>
      <c r="BW13" s="1" t="str">
        <f>IF(AT13&gt;AT$145, AT13-AT$145,"")</f>
        <v/>
      </c>
      <c r="BX13" s="1" t="str">
        <f>IF(AU13&gt;AU$145, AU13-AU$145,"")</f>
        <v/>
      </c>
      <c r="BY13" s="1" t="str">
        <f>IF(AV13&gt;AV$145, AV13-AV$145,"")</f>
        <v/>
      </c>
      <c r="BZ13" s="1" t="str">
        <f>IF(AW13&gt;AW$145, AW13-AW$145,"")</f>
        <v/>
      </c>
      <c r="CA13" s="1" t="str">
        <f>IF(AX13&gt;AX$145, AX13-AX$145,"")</f>
        <v/>
      </c>
      <c r="CB13" s="1" t="str">
        <f>IF(AY13&gt;AY$145, AY13-AY$145,"")</f>
        <v/>
      </c>
      <c r="CC13" s="1" t="str">
        <f>IF(AZ13&gt;AZ$145, AZ13-AZ$145,"")</f>
        <v/>
      </c>
      <c r="CD13" s="1" t="str">
        <f>IF(BA13&gt;BA$145, BA13-BA$145,"")</f>
        <v/>
      </c>
      <c r="CE13" s="1" t="str">
        <f>IF(BB13&gt;BB$145, BB13-BB$145,"")</f>
        <v/>
      </c>
      <c r="CF13" s="1">
        <f>COUNTIF(BT13:CE13, "&gt;0")</f>
        <v>1</v>
      </c>
      <c r="CG13" s="1" t="str">
        <f t="shared" ref="CG13:CR15" si="3">IF($CF13=1,BT13,"")</f>
        <v/>
      </c>
      <c r="CH13" s="1" t="str">
        <f t="shared" si="3"/>
        <v/>
      </c>
      <c r="CI13" s="1">
        <f t="shared" si="3"/>
        <v>3</v>
      </c>
      <c r="CJ13" s="1" t="str">
        <f t="shared" si="3"/>
        <v/>
      </c>
      <c r="CK13" s="1" t="str">
        <f t="shared" si="3"/>
        <v/>
      </c>
      <c r="CL13" s="1" t="str">
        <f t="shared" si="3"/>
        <v/>
      </c>
      <c r="CM13" s="1" t="str">
        <f t="shared" si="3"/>
        <v/>
      </c>
      <c r="CN13" s="1" t="str">
        <f t="shared" si="3"/>
        <v/>
      </c>
      <c r="CO13" s="1" t="str">
        <f t="shared" si="3"/>
        <v/>
      </c>
      <c r="CP13" s="1" t="str">
        <f t="shared" si="3"/>
        <v/>
      </c>
      <c r="CQ13" s="1" t="str">
        <f t="shared" si="3"/>
        <v/>
      </c>
      <c r="CR13" s="1" t="str">
        <f t="shared" si="3"/>
        <v/>
      </c>
      <c r="CS13" s="18">
        <f>SUM(AE13:BO13)</f>
        <v>10</v>
      </c>
    </row>
    <row r="14" spans="1:97" x14ac:dyDescent="0.15">
      <c r="A14" s="19">
        <v>40</v>
      </c>
      <c r="B14" s="19" t="s">
        <v>54</v>
      </c>
      <c r="C14" s="19" t="s">
        <v>48</v>
      </c>
      <c r="D14" s="19" t="s">
        <v>55</v>
      </c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>
        <v>5</v>
      </c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21"/>
      <c r="AR14" s="21"/>
      <c r="AS14" s="21"/>
      <c r="AT14" s="21"/>
      <c r="AU14" s="21"/>
      <c r="AV14" s="21"/>
      <c r="AW14" s="22"/>
      <c r="AX14" s="22"/>
      <c r="AY14" s="22"/>
      <c r="AZ14" s="22"/>
      <c r="BA14" s="22"/>
      <c r="BB14" s="22"/>
      <c r="BC14" s="30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">
        <f t="shared" si="0"/>
        <v>5</v>
      </c>
      <c r="BQ14" s="19">
        <v>3</v>
      </c>
      <c r="BR14" s="23">
        <v>1</v>
      </c>
      <c r="BS14" s="23" t="s">
        <v>215</v>
      </c>
      <c r="BT14" s="1" t="str">
        <f>IF(AQ14&gt;AQ$145, AQ14-AQ$145,"")</f>
        <v/>
      </c>
      <c r="BU14" s="1" t="str">
        <f>IF(AR14&gt;AR$145, AR14-AR$145,"")</f>
        <v/>
      </c>
      <c r="BV14" s="1" t="str">
        <f>IF(AS14&gt;AS$145, AS14-AS$145,"")</f>
        <v/>
      </c>
      <c r="BW14" s="1" t="str">
        <f>IF(AT14&gt;AT$145, AT14-AT$145,"")</f>
        <v/>
      </c>
      <c r="BX14" s="1" t="str">
        <f>IF(AU14&gt;AU$145, AU14-AU$145,"")</f>
        <v/>
      </c>
      <c r="BY14" s="1" t="str">
        <f>IF(AV14&gt;AV$145, AV14-AV$145,"")</f>
        <v/>
      </c>
      <c r="BZ14" s="1" t="str">
        <f>IF(AW14&gt;AW$145, AW14-AW$145,"")</f>
        <v/>
      </c>
      <c r="CA14" s="1" t="str">
        <f>IF(AX14&gt;AX$145, AX14-AX$145,"")</f>
        <v/>
      </c>
      <c r="CB14" s="1" t="str">
        <f>IF(AY14&gt;AY$145, AY14-AY$145,"")</f>
        <v/>
      </c>
      <c r="CC14" s="1" t="str">
        <f>IF(AZ14&gt;AZ$145, AZ14-AZ$145,"")</f>
        <v/>
      </c>
      <c r="CD14" s="1" t="str">
        <f>IF(BA14&gt;BA$145, BA14-BA$145,"")</f>
        <v/>
      </c>
      <c r="CE14" s="1" t="str">
        <f>IF(BB14&gt;BB$145, BB14-BB$145,"")</f>
        <v/>
      </c>
      <c r="CF14" s="19">
        <f>COUNTIF(BT14:CE14, "&gt;0")</f>
        <v>0</v>
      </c>
      <c r="CG14" s="19" t="str">
        <f t="shared" si="3"/>
        <v/>
      </c>
      <c r="CH14" s="19" t="str">
        <f t="shared" si="3"/>
        <v/>
      </c>
      <c r="CI14" s="19" t="str">
        <f t="shared" si="3"/>
        <v/>
      </c>
      <c r="CJ14" s="19" t="str">
        <f t="shared" si="3"/>
        <v/>
      </c>
      <c r="CK14" s="19" t="str">
        <f t="shared" si="3"/>
        <v/>
      </c>
      <c r="CL14" s="19" t="str">
        <f t="shared" si="3"/>
        <v/>
      </c>
      <c r="CM14" s="19" t="str">
        <f t="shared" si="3"/>
        <v/>
      </c>
      <c r="CN14" s="19" t="str">
        <f t="shared" si="3"/>
        <v/>
      </c>
      <c r="CO14" s="19" t="str">
        <f t="shared" si="3"/>
        <v/>
      </c>
      <c r="CP14" s="19" t="str">
        <f t="shared" si="3"/>
        <v/>
      </c>
      <c r="CQ14" s="19" t="str">
        <f t="shared" si="3"/>
        <v/>
      </c>
      <c r="CR14" s="19" t="str">
        <f t="shared" si="3"/>
        <v/>
      </c>
      <c r="CS14" s="24">
        <f>SUM(AE14:BO14)</f>
        <v>0</v>
      </c>
    </row>
    <row r="15" spans="1:97" x14ac:dyDescent="0.15">
      <c r="A15" s="19">
        <v>83</v>
      </c>
      <c r="B15" s="26" t="s">
        <v>72</v>
      </c>
      <c r="C15" s="26" t="s">
        <v>67</v>
      </c>
      <c r="D15" s="19" t="s">
        <v>1</v>
      </c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>
        <v>5</v>
      </c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1"/>
      <c r="AR15" s="21"/>
      <c r="AS15" s="21"/>
      <c r="AT15" s="21"/>
      <c r="AU15" s="21"/>
      <c r="AV15" s="21"/>
      <c r="AW15" s="22"/>
      <c r="AX15" s="22"/>
      <c r="AY15" s="22"/>
      <c r="AZ15" s="22"/>
      <c r="BA15" s="22"/>
      <c r="BB15" s="22"/>
      <c r="BC15" s="30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">
        <f t="shared" si="0"/>
        <v>5</v>
      </c>
      <c r="BQ15" s="19">
        <v>3</v>
      </c>
      <c r="BR15" s="23">
        <v>1</v>
      </c>
      <c r="BS15" s="23" t="s">
        <v>216</v>
      </c>
      <c r="BT15" s="1" t="str">
        <f>IF(AQ15&gt;AQ$145, AQ15-AQ$145,"")</f>
        <v/>
      </c>
      <c r="BU15" s="1" t="str">
        <f>IF(AR15&gt;AR$145, AR15-AR$145,"")</f>
        <v/>
      </c>
      <c r="BV15" s="1" t="str">
        <f>IF(AS15&gt;AS$145, AS15-AS$145,"")</f>
        <v/>
      </c>
      <c r="BW15" s="1" t="str">
        <f>IF(AT15&gt;AT$145, AT15-AT$145,"")</f>
        <v/>
      </c>
      <c r="BX15" s="1" t="str">
        <f>IF(AU15&gt;AU$145, AU15-AU$145,"")</f>
        <v/>
      </c>
      <c r="BY15" s="1" t="str">
        <f>IF(AV15&gt;AV$145, AV15-AV$145,"")</f>
        <v/>
      </c>
      <c r="BZ15" s="1" t="str">
        <f>IF(AW15&gt;AW$145, AW15-AW$145,"")</f>
        <v/>
      </c>
      <c r="CA15" s="1" t="str">
        <f>IF(AX15&gt;AX$145, AX15-AX$145,"")</f>
        <v/>
      </c>
      <c r="CB15" s="1" t="str">
        <f>IF(AY15&gt;AY$145, AY15-AY$145,"")</f>
        <v/>
      </c>
      <c r="CC15" s="1" t="str">
        <f>IF(AZ15&gt;AZ$145, AZ15-AZ$145,"")</f>
        <v/>
      </c>
      <c r="CD15" s="1" t="str">
        <f>IF(BA15&gt;BA$145, BA15-BA$145,"")</f>
        <v/>
      </c>
      <c r="CE15" s="1" t="str">
        <f>IF(BB15&gt;BB$145, BB15-BB$145,"")</f>
        <v/>
      </c>
      <c r="CF15" s="19">
        <f>COUNTIF(BT15:CE15, "&gt;0")</f>
        <v>0</v>
      </c>
      <c r="CG15" s="19" t="str">
        <f t="shared" si="3"/>
        <v/>
      </c>
      <c r="CH15" s="19" t="str">
        <f t="shared" si="3"/>
        <v/>
      </c>
      <c r="CI15" s="19" t="str">
        <f t="shared" si="3"/>
        <v/>
      </c>
      <c r="CJ15" s="19" t="str">
        <f t="shared" si="3"/>
        <v/>
      </c>
      <c r="CK15" s="19" t="str">
        <f t="shared" si="3"/>
        <v/>
      </c>
      <c r="CL15" s="19" t="str">
        <f t="shared" si="3"/>
        <v/>
      </c>
      <c r="CM15" s="19" t="str">
        <f t="shared" si="3"/>
        <v/>
      </c>
      <c r="CN15" s="19" t="str">
        <f t="shared" si="3"/>
        <v/>
      </c>
      <c r="CO15" s="19" t="str">
        <f t="shared" si="3"/>
        <v/>
      </c>
      <c r="CP15" s="19" t="str">
        <f t="shared" si="3"/>
        <v/>
      </c>
      <c r="CQ15" s="19" t="str">
        <f t="shared" si="3"/>
        <v/>
      </c>
      <c r="CR15" s="19" t="str">
        <f t="shared" si="3"/>
        <v/>
      </c>
      <c r="CS15" s="24">
        <f>SUM(AE15:BO15)</f>
        <v>0</v>
      </c>
    </row>
    <row r="16" spans="1:97" x14ac:dyDescent="0.15">
      <c r="A16" s="1"/>
      <c r="B16" s="1" t="s">
        <v>198</v>
      </c>
      <c r="C16" s="1" t="s">
        <v>126</v>
      </c>
      <c r="D16" s="1" t="s">
        <v>111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>
        <v>5</v>
      </c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2"/>
      <c r="AA16" s="32"/>
      <c r="AB16" s="32"/>
      <c r="AC16" s="32"/>
      <c r="AD16" s="32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 t="shared" si="0"/>
        <v>5</v>
      </c>
      <c r="BQ16" s="1">
        <v>3</v>
      </c>
      <c r="BR16" s="17">
        <v>1</v>
      </c>
      <c r="BS16" s="17" t="s">
        <v>216</v>
      </c>
      <c r="BT16" s="1" t="str">
        <f>IF(AQ16&gt;AQ$145, AQ16-AQ$145,"")</f>
        <v/>
      </c>
      <c r="BU16" s="1" t="str">
        <f>IF(AR16&gt;AR$145, AR16-AR$145,"")</f>
        <v/>
      </c>
      <c r="BV16" s="1" t="str">
        <f>IF(AS16&gt;AS$145, AS16-AS$145,"")</f>
        <v/>
      </c>
      <c r="BW16" s="1" t="str">
        <f>IF(AT16&gt;AT$145, AT16-AT$145,"")</f>
        <v/>
      </c>
      <c r="BX16" s="1" t="str">
        <f>IF(AU16&gt;AU$145, AU16-AU$145,"")</f>
        <v/>
      </c>
      <c r="BY16" s="1" t="str">
        <f>IF(AV16&gt;AV$145, AV16-AV$145,"")</f>
        <v/>
      </c>
      <c r="BZ16" s="1" t="str">
        <f>IF(AW16&gt;AW$145, AW16-AW$145,"")</f>
        <v/>
      </c>
      <c r="CA16" s="1" t="str">
        <f>IF(AX16&gt;AX$145, AX16-AX$145,"")</f>
        <v/>
      </c>
      <c r="CB16" s="1" t="str">
        <f>IF(AY16&gt;AY$145, AY16-AY$145,"")</f>
        <v/>
      </c>
      <c r="CC16" s="1" t="str">
        <f>IF(AZ16&gt;AZ$145, AZ16-AZ$145,"")</f>
        <v/>
      </c>
      <c r="CD16" s="1" t="str">
        <f>IF(BA16&gt;BA$145, BA16-BA$145,"")</f>
        <v/>
      </c>
      <c r="CE16" s="1" t="str">
        <f>IF(BB16&gt;BB$145, BB16-BB$145,"")</f>
        <v/>
      </c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8"/>
    </row>
    <row r="17" spans="1:97" x14ac:dyDescent="0.15">
      <c r="A17" s="1"/>
      <c r="B17" s="1" t="s">
        <v>200</v>
      </c>
      <c r="C17" s="1" t="s">
        <v>114</v>
      </c>
      <c r="D17" s="1" t="s">
        <v>111</v>
      </c>
      <c r="E17" s="6"/>
      <c r="F17" s="6">
        <v>5</v>
      </c>
      <c r="G17" s="6"/>
      <c r="H17" s="6"/>
      <c r="I17" s="6"/>
      <c r="J17" s="6"/>
      <c r="K17" s="6"/>
      <c r="L17" s="6"/>
      <c r="M17" s="6"/>
      <c r="N17" s="6"/>
      <c r="O17" s="6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 t="shared" si="0"/>
        <v>5</v>
      </c>
      <c r="BQ17" s="1">
        <v>4</v>
      </c>
      <c r="BR17" s="17">
        <v>1</v>
      </c>
      <c r="BS17" s="17" t="s">
        <v>208</v>
      </c>
      <c r="BT17" s="1" t="str">
        <f>IF(AQ17&gt;AQ$145, AQ17-AQ$145,"")</f>
        <v/>
      </c>
      <c r="BU17" s="1" t="str">
        <f>IF(AR17&gt;AR$145, AR17-AR$145,"")</f>
        <v/>
      </c>
      <c r="BV17" s="1" t="str">
        <f>IF(AS17&gt;AS$145, AS17-AS$145,"")</f>
        <v/>
      </c>
      <c r="BW17" s="1" t="str">
        <f>IF(AT17&gt;AT$145, AT17-AT$145,"")</f>
        <v/>
      </c>
      <c r="BX17" s="1" t="str">
        <f>IF(AU17&gt;AU$145, AU17-AU$145,"")</f>
        <v/>
      </c>
      <c r="BY17" s="1" t="str">
        <f>IF(AV17&gt;AV$145, AV17-AV$145,"")</f>
        <v/>
      </c>
      <c r="BZ17" s="1" t="str">
        <f>IF(AW17&gt;AW$145, AW17-AW$145,"")</f>
        <v/>
      </c>
      <c r="CA17" s="1" t="str">
        <f>IF(AX17&gt;AX$145, AX17-AX$145,"")</f>
        <v/>
      </c>
      <c r="CB17" s="1" t="str">
        <f>IF(AY17&gt;AY$145, AY17-AY$145,"")</f>
        <v/>
      </c>
      <c r="CC17" s="1" t="str">
        <f>IF(AZ17&gt;AZ$145, AZ17-AZ$145,"")</f>
        <v/>
      </c>
      <c r="CD17" s="1" t="str">
        <f>IF(BA17&gt;BA$145, BA17-BA$145,"")</f>
        <v/>
      </c>
      <c r="CE17" s="1" t="str">
        <f>IF(BB17&gt;BB$145, BB17-BB$145,"")</f>
        <v/>
      </c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8"/>
    </row>
    <row r="18" spans="1:97" x14ac:dyDescent="0.15">
      <c r="A18" s="1"/>
      <c r="B18" s="1" t="s">
        <v>197</v>
      </c>
      <c r="C18" s="1" t="s">
        <v>126</v>
      </c>
      <c r="D18" s="1" t="s">
        <v>111</v>
      </c>
      <c r="E18" s="6"/>
      <c r="F18" s="6">
        <v>5</v>
      </c>
      <c r="G18" s="6"/>
      <c r="H18" s="6"/>
      <c r="I18" s="6"/>
      <c r="J18" s="6"/>
      <c r="K18" s="6"/>
      <c r="L18" s="6"/>
      <c r="M18" s="6"/>
      <c r="N18" s="6"/>
      <c r="O18" s="6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2"/>
      <c r="AA18" s="32"/>
      <c r="AB18" s="32"/>
      <c r="AC18" s="32"/>
      <c r="AD18" s="32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 t="shared" si="0"/>
        <v>5</v>
      </c>
      <c r="BQ18" s="1">
        <v>4</v>
      </c>
      <c r="BR18" s="17">
        <v>1</v>
      </c>
      <c r="BS18" s="17" t="s">
        <v>208</v>
      </c>
      <c r="BT18" s="1" t="str">
        <f>IF(AQ18&gt;AQ$145, AQ18-AQ$145,"")</f>
        <v/>
      </c>
      <c r="BU18" s="1" t="str">
        <f>IF(AR18&gt;AR$145, AR18-AR$145,"")</f>
        <v/>
      </c>
      <c r="BV18" s="1" t="str">
        <f>IF(AS18&gt;AS$145, AS18-AS$145,"")</f>
        <v/>
      </c>
      <c r="BW18" s="1" t="str">
        <f>IF(AT18&gt;AT$145, AT18-AT$145,"")</f>
        <v/>
      </c>
      <c r="BX18" s="1" t="str">
        <f>IF(AU18&gt;AU$145, AU18-AU$145,"")</f>
        <v/>
      </c>
      <c r="BY18" s="1" t="str">
        <f>IF(AV18&gt;AV$145, AV18-AV$145,"")</f>
        <v/>
      </c>
      <c r="BZ18" s="1" t="str">
        <f>IF(AW18&gt;AW$145, AW18-AW$145,"")</f>
        <v/>
      </c>
      <c r="CA18" s="1" t="str">
        <f>IF(AX18&gt;AX$145, AX18-AX$145,"")</f>
        <v/>
      </c>
      <c r="CB18" s="1" t="str">
        <f>IF(AY18&gt;AY$145, AY18-AY$145,"")</f>
        <v/>
      </c>
      <c r="CC18" s="1" t="str">
        <f>IF(AZ18&gt;AZ$145, AZ18-AZ$145,"")</f>
        <v/>
      </c>
      <c r="CD18" s="1" t="str">
        <f>IF(BA18&gt;BA$145, BA18-BA$145,"")</f>
        <v/>
      </c>
      <c r="CE18" s="1" t="str">
        <f>IF(BB18&gt;BB$145, BB18-BB$145,"")</f>
        <v/>
      </c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8"/>
    </row>
    <row r="19" spans="1:97" x14ac:dyDescent="0.15">
      <c r="A19" s="1">
        <v>5</v>
      </c>
      <c r="B19" s="1" t="s">
        <v>22</v>
      </c>
      <c r="C19" s="1" t="s">
        <v>2</v>
      </c>
      <c r="D19" s="1" t="s">
        <v>12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2"/>
      <c r="AA19" s="32"/>
      <c r="AB19" s="32"/>
      <c r="AC19" s="32"/>
      <c r="AD19" s="32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>
        <v>10</v>
      </c>
      <c r="AS19" s="4"/>
      <c r="AT19" s="4"/>
      <c r="AU19" s="4"/>
      <c r="AV19" s="4"/>
      <c r="AW19" s="2"/>
      <c r="AX19" s="2"/>
      <c r="AY19" s="2"/>
      <c r="AZ19" s="2"/>
      <c r="BA19" s="2"/>
      <c r="BB19" s="2">
        <v>10</v>
      </c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 t="shared" si="0"/>
        <v>20</v>
      </c>
      <c r="BQ19" s="1">
        <v>4</v>
      </c>
      <c r="BR19" s="17">
        <v>1</v>
      </c>
      <c r="BS19" s="17" t="s">
        <v>217</v>
      </c>
      <c r="BT19" s="1" t="str">
        <f>IF(AQ19&gt;AQ$145, AQ19-AQ$145,"")</f>
        <v/>
      </c>
      <c r="BU19" s="1">
        <f>IF(AR19&gt;AR$145, AR19-AR$145,"")</f>
        <v>4</v>
      </c>
      <c r="BV19" s="1" t="str">
        <f>IF(AS19&gt;AS$145, AS19-AS$145,"")</f>
        <v/>
      </c>
      <c r="BW19" s="1" t="str">
        <f>IF(AT19&gt;AT$145, AT19-AT$145,"")</f>
        <v/>
      </c>
      <c r="BX19" s="1" t="str">
        <f>IF(AU19&gt;AU$145, AU19-AU$145,"")</f>
        <v/>
      </c>
      <c r="BY19" s="1" t="str">
        <f>IF(AV19&gt;AV$145, AV19-AV$145,"")</f>
        <v/>
      </c>
      <c r="BZ19" s="1" t="str">
        <f>IF(AW19&gt;AW$145, AW19-AW$145,"")</f>
        <v/>
      </c>
      <c r="CA19" s="1" t="str">
        <f>IF(AX19&gt;AX$145, AX19-AX$145,"")</f>
        <v/>
      </c>
      <c r="CB19" s="1" t="str">
        <f>IF(AY19&gt;AY$145, AY19-AY$145,"")</f>
        <v/>
      </c>
      <c r="CC19" s="1" t="str">
        <f>IF(AZ19&gt;AZ$145, AZ19-AZ$145,"")</f>
        <v/>
      </c>
      <c r="CD19" s="1" t="str">
        <f>IF(BA19&gt;BA$145, BA19-BA$145,"")</f>
        <v/>
      </c>
      <c r="CE19" s="1" t="str">
        <f>IF(BB19&gt;BB$145, BB19-BB$145,"")</f>
        <v/>
      </c>
      <c r="CF19" s="1">
        <f>COUNTIF(BT19:CE19, "&gt;0")</f>
        <v>1</v>
      </c>
      <c r="CG19" s="1" t="str">
        <f t="shared" ref="CG19:CR20" si="4">IF($CF19=1,BT19,"")</f>
        <v/>
      </c>
      <c r="CH19" s="1">
        <f t="shared" si="4"/>
        <v>4</v>
      </c>
      <c r="CI19" s="1" t="str">
        <f t="shared" si="4"/>
        <v/>
      </c>
      <c r="CJ19" s="1" t="str">
        <f t="shared" si="4"/>
        <v/>
      </c>
      <c r="CK19" s="1" t="str">
        <f t="shared" si="4"/>
        <v/>
      </c>
      <c r="CL19" s="1" t="str">
        <f t="shared" si="4"/>
        <v/>
      </c>
      <c r="CM19" s="1" t="str">
        <f t="shared" si="4"/>
        <v/>
      </c>
      <c r="CN19" s="1" t="str">
        <f t="shared" si="4"/>
        <v/>
      </c>
      <c r="CO19" s="1" t="str">
        <f t="shared" si="4"/>
        <v/>
      </c>
      <c r="CP19" s="1" t="str">
        <f t="shared" si="4"/>
        <v/>
      </c>
      <c r="CQ19" s="1" t="str">
        <f t="shared" si="4"/>
        <v/>
      </c>
      <c r="CR19" s="1" t="str">
        <f t="shared" si="4"/>
        <v/>
      </c>
      <c r="CS19" s="18">
        <f>SUM(AE19:BO19)</f>
        <v>20</v>
      </c>
    </row>
    <row r="20" spans="1:97" s="25" customFormat="1" x14ac:dyDescent="0.15">
      <c r="A20" s="1">
        <v>6</v>
      </c>
      <c r="B20" s="1" t="s">
        <v>53</v>
      </c>
      <c r="C20" s="1" t="s">
        <v>2</v>
      </c>
      <c r="D20" s="1" t="s">
        <v>23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2"/>
      <c r="AA20" s="32"/>
      <c r="AB20" s="32"/>
      <c r="AC20" s="32"/>
      <c r="AD20" s="32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>
        <v>10</v>
      </c>
      <c r="AS20" s="4"/>
      <c r="AT20" s="4"/>
      <c r="AU20" s="4"/>
      <c r="AV20" s="4"/>
      <c r="AW20" s="2"/>
      <c r="AX20" s="2"/>
      <c r="AY20" s="2"/>
      <c r="AZ20" s="2"/>
      <c r="BA20" s="2"/>
      <c r="BB20" s="2">
        <v>10</v>
      </c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 t="shared" si="0"/>
        <v>20</v>
      </c>
      <c r="BQ20" s="1">
        <v>4</v>
      </c>
      <c r="BR20" s="17">
        <v>1</v>
      </c>
      <c r="BS20" s="17" t="s">
        <v>217</v>
      </c>
      <c r="BT20" s="1" t="str">
        <f>IF(AQ20&gt;AQ$145, AQ20-AQ$145,"")</f>
        <v/>
      </c>
      <c r="BU20" s="1">
        <f>IF(AR20&gt;AR$145, AR20-AR$145,"")</f>
        <v>4</v>
      </c>
      <c r="BV20" s="1" t="str">
        <f>IF(AS20&gt;AS$145, AS20-AS$145,"")</f>
        <v/>
      </c>
      <c r="BW20" s="1" t="str">
        <f>IF(AT20&gt;AT$145, AT20-AT$145,"")</f>
        <v/>
      </c>
      <c r="BX20" s="1" t="str">
        <f>IF(AU20&gt;AU$145, AU20-AU$145,"")</f>
        <v/>
      </c>
      <c r="BY20" s="1" t="str">
        <f>IF(AV20&gt;AV$145, AV20-AV$145,"")</f>
        <v/>
      </c>
      <c r="BZ20" s="1" t="str">
        <f>IF(AW20&gt;AW$145, AW20-AW$145,"")</f>
        <v/>
      </c>
      <c r="CA20" s="1" t="str">
        <f>IF(AX20&gt;AX$145, AX20-AX$145,"")</f>
        <v/>
      </c>
      <c r="CB20" s="1" t="str">
        <f>IF(AY20&gt;AY$145, AY20-AY$145,"")</f>
        <v/>
      </c>
      <c r="CC20" s="1" t="str">
        <f>IF(AZ20&gt;AZ$145, AZ20-AZ$145,"")</f>
        <v/>
      </c>
      <c r="CD20" s="1" t="str">
        <f>IF(BA20&gt;BA$145, BA20-BA$145,"")</f>
        <v/>
      </c>
      <c r="CE20" s="1" t="str">
        <f>IF(BB20&gt;BB$145, BB20-BB$145,"")</f>
        <v/>
      </c>
      <c r="CF20" s="1">
        <f>COUNTIF(BT20:CE20, "&gt;0")</f>
        <v>1</v>
      </c>
      <c r="CG20" s="1" t="str">
        <f t="shared" si="4"/>
        <v/>
      </c>
      <c r="CH20" s="1">
        <f t="shared" si="4"/>
        <v>4</v>
      </c>
      <c r="CI20" s="1" t="str">
        <f t="shared" si="4"/>
        <v/>
      </c>
      <c r="CJ20" s="1" t="str">
        <f t="shared" si="4"/>
        <v/>
      </c>
      <c r="CK20" s="1" t="str">
        <f t="shared" si="4"/>
        <v/>
      </c>
      <c r="CL20" s="1" t="str">
        <f t="shared" si="4"/>
        <v/>
      </c>
      <c r="CM20" s="1" t="str">
        <f t="shared" si="4"/>
        <v/>
      </c>
      <c r="CN20" s="1" t="str">
        <f t="shared" si="4"/>
        <v/>
      </c>
      <c r="CO20" s="1" t="str">
        <f t="shared" si="4"/>
        <v/>
      </c>
      <c r="CP20" s="1" t="str">
        <f t="shared" si="4"/>
        <v/>
      </c>
      <c r="CQ20" s="1" t="str">
        <f t="shared" si="4"/>
        <v/>
      </c>
      <c r="CR20" s="1" t="str">
        <f t="shared" si="4"/>
        <v/>
      </c>
      <c r="CS20" s="18">
        <f>SUM(AE20:BO20)</f>
        <v>20</v>
      </c>
    </row>
    <row r="21" spans="1:97" x14ac:dyDescent="0.15">
      <c r="A21" s="1"/>
      <c r="B21" s="1" t="s">
        <v>205</v>
      </c>
      <c r="C21" s="1" t="s">
        <v>206</v>
      </c>
      <c r="D21" s="1" t="s">
        <v>207</v>
      </c>
      <c r="E21" s="6"/>
      <c r="F21" s="6"/>
      <c r="G21" s="6"/>
      <c r="H21" s="6"/>
      <c r="I21" s="6"/>
      <c r="J21" s="6"/>
      <c r="K21" s="6"/>
      <c r="L21" s="6"/>
      <c r="M21" s="6">
        <v>5</v>
      </c>
      <c r="N21" s="6"/>
      <c r="O21" s="6"/>
      <c r="P21" s="32"/>
      <c r="Q21" s="32"/>
      <c r="R21" s="32"/>
      <c r="S21" s="32"/>
      <c r="T21" s="32"/>
      <c r="U21" s="32"/>
      <c r="V21" s="32"/>
      <c r="W21" s="32"/>
      <c r="X21" s="32"/>
      <c r="Y21" s="32"/>
      <c r="Z21" s="32"/>
      <c r="AA21" s="32"/>
      <c r="AB21" s="32"/>
      <c r="AC21" s="32"/>
      <c r="AD21" s="32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v>4</v>
      </c>
      <c r="BR21" s="17">
        <v>1</v>
      </c>
      <c r="BS21" s="17" t="s">
        <v>310</v>
      </c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8"/>
    </row>
    <row r="22" spans="1:97" x14ac:dyDescent="0.15">
      <c r="A22" s="1"/>
      <c r="B22" s="1" t="s">
        <v>204</v>
      </c>
      <c r="C22" s="1" t="s">
        <v>126</v>
      </c>
      <c r="D22" s="1" t="s">
        <v>111</v>
      </c>
      <c r="E22" s="6"/>
      <c r="F22" s="6"/>
      <c r="G22" s="6"/>
      <c r="H22" s="6">
        <v>5</v>
      </c>
      <c r="I22" s="6"/>
      <c r="J22" s="6"/>
      <c r="K22" s="6"/>
      <c r="L22" s="6"/>
      <c r="M22" s="6"/>
      <c r="N22" s="6"/>
      <c r="O22" s="6"/>
      <c r="P22" s="32"/>
      <c r="Q22" s="32"/>
      <c r="R22" s="32"/>
      <c r="S22" s="32"/>
      <c r="T22" s="32"/>
      <c r="U22" s="32"/>
      <c r="V22" s="32"/>
      <c r="W22" s="32"/>
      <c r="X22" s="32"/>
      <c r="Y22" s="32"/>
      <c r="Z22" s="32"/>
      <c r="AA22" s="32"/>
      <c r="AB22" s="32"/>
      <c r="AC22" s="32"/>
      <c r="AD22" s="32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 t="shared" ref="BP22:BP53" si="5">SUM(E22:BO22)</f>
        <v>5</v>
      </c>
      <c r="BQ22" s="1">
        <v>5</v>
      </c>
      <c r="BR22" s="17">
        <v>1</v>
      </c>
      <c r="BS22" s="17" t="s">
        <v>218</v>
      </c>
      <c r="BT22" s="1" t="str">
        <f t="shared" ref="BT22:BT53" si="6">IF(AQ22&gt;AQ$145, AQ22-AQ$145,"")</f>
        <v/>
      </c>
      <c r="BU22" s="1" t="str">
        <f t="shared" ref="BU22:BU53" si="7">IF(AR22&gt;AR$145, AR22-AR$145,"")</f>
        <v/>
      </c>
      <c r="BV22" s="1" t="str">
        <f t="shared" ref="BV22:BV53" si="8">IF(AS22&gt;AS$145, AS22-AS$145,"")</f>
        <v/>
      </c>
      <c r="BW22" s="1" t="str">
        <f t="shared" ref="BW22:BW53" si="9">IF(AT22&gt;AT$145, AT22-AT$145,"")</f>
        <v/>
      </c>
      <c r="BX22" s="1" t="str">
        <f t="shared" ref="BX22:BX53" si="10">IF(AU22&gt;AU$145, AU22-AU$145,"")</f>
        <v/>
      </c>
      <c r="BY22" s="1" t="str">
        <f t="shared" ref="BY22:BY53" si="11">IF(AV22&gt;AV$145, AV22-AV$145,"")</f>
        <v/>
      </c>
      <c r="BZ22" s="1" t="str">
        <f t="shared" ref="BZ22:BZ53" si="12">IF(AW22&gt;AW$145, AW22-AW$145,"")</f>
        <v/>
      </c>
      <c r="CA22" s="1" t="str">
        <f t="shared" ref="CA22:CA53" si="13">IF(AX22&gt;AX$145, AX22-AX$145,"")</f>
        <v/>
      </c>
      <c r="CB22" s="1" t="str">
        <f t="shared" ref="CB22:CB53" si="14">IF(AY22&gt;AY$145, AY22-AY$145,"")</f>
        <v/>
      </c>
      <c r="CC22" s="1" t="str">
        <f t="shared" ref="CC22:CC53" si="15">IF(AZ22&gt;AZ$145, AZ22-AZ$145,"")</f>
        <v/>
      </c>
      <c r="CD22" s="1" t="str">
        <f t="shared" ref="CD22:CD53" si="16">IF(BA22&gt;BA$145, BA22-BA$145,"")</f>
        <v/>
      </c>
      <c r="CE22" s="1" t="str">
        <f t="shared" ref="CE22:CE53" si="17">IF(BB22&gt;BB$145, BB22-BB$145,"")</f>
        <v/>
      </c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8"/>
    </row>
    <row r="23" spans="1:97" x14ac:dyDescent="0.15">
      <c r="A23" s="1">
        <v>17</v>
      </c>
      <c r="B23" s="1" t="s">
        <v>34</v>
      </c>
      <c r="C23" s="1" t="s">
        <v>31</v>
      </c>
      <c r="D23" s="1" t="s">
        <v>24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32"/>
      <c r="Q23" s="32"/>
      <c r="R23" s="32"/>
      <c r="S23" s="32"/>
      <c r="T23" s="32"/>
      <c r="U23" s="32"/>
      <c r="V23" s="32"/>
      <c r="W23" s="32"/>
      <c r="X23" s="32"/>
      <c r="Y23" s="32"/>
      <c r="Z23" s="32"/>
      <c r="AA23" s="32"/>
      <c r="AB23" s="32"/>
      <c r="AC23" s="32"/>
      <c r="AD23" s="32"/>
      <c r="AE23" s="1"/>
      <c r="AF23" s="1">
        <v>5</v>
      </c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 t="shared" si="5"/>
        <v>5</v>
      </c>
      <c r="BQ23" s="1">
        <v>5</v>
      </c>
      <c r="BR23" s="17">
        <v>1</v>
      </c>
      <c r="BS23" s="17" t="s">
        <v>219</v>
      </c>
      <c r="BT23" s="1" t="str">
        <f t="shared" si="6"/>
        <v/>
      </c>
      <c r="BU23" s="1" t="str">
        <f t="shared" si="7"/>
        <v/>
      </c>
      <c r="BV23" s="1" t="str">
        <f t="shared" si="8"/>
        <v/>
      </c>
      <c r="BW23" s="1" t="str">
        <f t="shared" si="9"/>
        <v/>
      </c>
      <c r="BX23" s="1" t="str">
        <f t="shared" si="10"/>
        <v/>
      </c>
      <c r="BY23" s="1" t="str">
        <f t="shared" si="11"/>
        <v/>
      </c>
      <c r="BZ23" s="1" t="str">
        <f t="shared" si="12"/>
        <v/>
      </c>
      <c r="CA23" s="1" t="str">
        <f t="shared" si="13"/>
        <v/>
      </c>
      <c r="CB23" s="1" t="str">
        <f t="shared" si="14"/>
        <v/>
      </c>
      <c r="CC23" s="1" t="str">
        <f t="shared" si="15"/>
        <v/>
      </c>
      <c r="CD23" s="1" t="str">
        <f t="shared" si="16"/>
        <v/>
      </c>
      <c r="CE23" s="1" t="str">
        <f t="shared" si="17"/>
        <v/>
      </c>
      <c r="CF23" s="1">
        <f t="shared" ref="CF23:CF29" si="18">COUNTIF(BT23:CE23, "&gt;0")</f>
        <v>0</v>
      </c>
      <c r="CG23" s="1" t="str">
        <f t="shared" ref="CG23:CR29" si="19">IF($CF23=1,BT23,"")</f>
        <v/>
      </c>
      <c r="CH23" s="1" t="str">
        <f t="shared" si="19"/>
        <v/>
      </c>
      <c r="CI23" s="1" t="str">
        <f t="shared" si="19"/>
        <v/>
      </c>
      <c r="CJ23" s="1" t="str">
        <f t="shared" si="19"/>
        <v/>
      </c>
      <c r="CK23" s="1" t="str">
        <f t="shared" si="19"/>
        <v/>
      </c>
      <c r="CL23" s="1" t="str">
        <f t="shared" si="19"/>
        <v/>
      </c>
      <c r="CM23" s="1" t="str">
        <f t="shared" si="19"/>
        <v/>
      </c>
      <c r="CN23" s="1" t="str">
        <f t="shared" si="19"/>
        <v/>
      </c>
      <c r="CO23" s="1" t="str">
        <f t="shared" si="19"/>
        <v/>
      </c>
      <c r="CP23" s="1" t="str">
        <f t="shared" si="19"/>
        <v/>
      </c>
      <c r="CQ23" s="1" t="str">
        <f t="shared" si="19"/>
        <v/>
      </c>
      <c r="CR23" s="1" t="str">
        <f t="shared" si="19"/>
        <v/>
      </c>
      <c r="CS23" s="18">
        <f t="shared" ref="CS23:CS29" si="20">SUM(AE23:BO23)</f>
        <v>5</v>
      </c>
    </row>
    <row r="24" spans="1:97" x14ac:dyDescent="0.15">
      <c r="A24" s="1">
        <v>18</v>
      </c>
      <c r="B24" s="1" t="s">
        <v>34</v>
      </c>
      <c r="C24" s="1" t="s">
        <v>31</v>
      </c>
      <c r="D24" s="1" t="s">
        <v>25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1"/>
      <c r="AF24" s="1"/>
      <c r="AG24" s="1">
        <v>5</v>
      </c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 t="shared" si="5"/>
        <v>5</v>
      </c>
      <c r="BQ24" s="1">
        <v>5</v>
      </c>
      <c r="BR24" s="17">
        <v>1</v>
      </c>
      <c r="BS24" s="17" t="s">
        <v>220</v>
      </c>
      <c r="BT24" s="1" t="str">
        <f t="shared" si="6"/>
        <v/>
      </c>
      <c r="BU24" s="1" t="str">
        <f t="shared" si="7"/>
        <v/>
      </c>
      <c r="BV24" s="1" t="str">
        <f t="shared" si="8"/>
        <v/>
      </c>
      <c r="BW24" s="1" t="str">
        <f t="shared" si="9"/>
        <v/>
      </c>
      <c r="BX24" s="1" t="str">
        <f t="shared" si="10"/>
        <v/>
      </c>
      <c r="BY24" s="1" t="str">
        <f t="shared" si="11"/>
        <v/>
      </c>
      <c r="BZ24" s="1" t="str">
        <f t="shared" si="12"/>
        <v/>
      </c>
      <c r="CA24" s="1" t="str">
        <f t="shared" si="13"/>
        <v/>
      </c>
      <c r="CB24" s="1" t="str">
        <f t="shared" si="14"/>
        <v/>
      </c>
      <c r="CC24" s="1" t="str">
        <f t="shared" si="15"/>
        <v/>
      </c>
      <c r="CD24" s="1" t="str">
        <f t="shared" si="16"/>
        <v/>
      </c>
      <c r="CE24" s="1" t="str">
        <f t="shared" si="17"/>
        <v/>
      </c>
      <c r="CF24" s="1">
        <f t="shared" si="18"/>
        <v>0</v>
      </c>
      <c r="CG24" s="1" t="str">
        <f t="shared" si="19"/>
        <v/>
      </c>
      <c r="CH24" s="1" t="str">
        <f t="shared" si="19"/>
        <v/>
      </c>
      <c r="CI24" s="1" t="str">
        <f t="shared" si="19"/>
        <v/>
      </c>
      <c r="CJ24" s="1" t="str">
        <f t="shared" si="19"/>
        <v/>
      </c>
      <c r="CK24" s="1" t="str">
        <f t="shared" si="19"/>
        <v/>
      </c>
      <c r="CL24" s="1" t="str">
        <f t="shared" si="19"/>
        <v/>
      </c>
      <c r="CM24" s="1" t="str">
        <f t="shared" si="19"/>
        <v/>
      </c>
      <c r="CN24" s="1" t="str">
        <f t="shared" si="19"/>
        <v/>
      </c>
      <c r="CO24" s="1" t="str">
        <f t="shared" si="19"/>
        <v/>
      </c>
      <c r="CP24" s="1" t="str">
        <f t="shared" si="19"/>
        <v/>
      </c>
      <c r="CQ24" s="1" t="str">
        <f t="shared" si="19"/>
        <v/>
      </c>
      <c r="CR24" s="1" t="str">
        <f t="shared" si="19"/>
        <v/>
      </c>
      <c r="CS24" s="18">
        <f t="shared" si="20"/>
        <v>5</v>
      </c>
    </row>
    <row r="25" spans="1:97" x14ac:dyDescent="0.15">
      <c r="A25" s="1">
        <v>19</v>
      </c>
      <c r="B25" s="1" t="s">
        <v>37</v>
      </c>
      <c r="C25" s="1" t="s">
        <v>31</v>
      </c>
      <c r="D25" s="1" t="s">
        <v>24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32"/>
      <c r="Q25" s="32"/>
      <c r="R25" s="32"/>
      <c r="S25" s="32"/>
      <c r="T25" s="32"/>
      <c r="U25" s="32"/>
      <c r="V25" s="32"/>
      <c r="W25" s="32"/>
      <c r="X25" s="32"/>
      <c r="Y25" s="32"/>
      <c r="Z25" s="32"/>
      <c r="AA25" s="32"/>
      <c r="AB25" s="32"/>
      <c r="AC25" s="32"/>
      <c r="AD25" s="32"/>
      <c r="AE25" s="1"/>
      <c r="AF25" s="1"/>
      <c r="AG25" s="1">
        <v>5</v>
      </c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 t="shared" si="5"/>
        <v>5</v>
      </c>
      <c r="BQ25" s="1">
        <v>5</v>
      </c>
      <c r="BR25" s="17">
        <v>1</v>
      </c>
      <c r="BS25" s="17" t="s">
        <v>220</v>
      </c>
      <c r="BT25" s="1" t="str">
        <f t="shared" si="6"/>
        <v/>
      </c>
      <c r="BU25" s="1" t="str">
        <f t="shared" si="7"/>
        <v/>
      </c>
      <c r="BV25" s="1" t="str">
        <f t="shared" si="8"/>
        <v/>
      </c>
      <c r="BW25" s="1" t="str">
        <f t="shared" si="9"/>
        <v/>
      </c>
      <c r="BX25" s="1" t="str">
        <f t="shared" si="10"/>
        <v/>
      </c>
      <c r="BY25" s="1" t="str">
        <f t="shared" si="11"/>
        <v/>
      </c>
      <c r="BZ25" s="1" t="str">
        <f t="shared" si="12"/>
        <v/>
      </c>
      <c r="CA25" s="1" t="str">
        <f t="shared" si="13"/>
        <v/>
      </c>
      <c r="CB25" s="1" t="str">
        <f t="shared" si="14"/>
        <v/>
      </c>
      <c r="CC25" s="1" t="str">
        <f t="shared" si="15"/>
        <v/>
      </c>
      <c r="CD25" s="1" t="str">
        <f t="shared" si="16"/>
        <v/>
      </c>
      <c r="CE25" s="1" t="str">
        <f t="shared" si="17"/>
        <v/>
      </c>
      <c r="CF25" s="1">
        <f t="shared" si="18"/>
        <v>0</v>
      </c>
      <c r="CG25" s="1" t="str">
        <f t="shared" si="19"/>
        <v/>
      </c>
      <c r="CH25" s="1" t="str">
        <f t="shared" si="19"/>
        <v/>
      </c>
      <c r="CI25" s="1" t="str">
        <f t="shared" si="19"/>
        <v/>
      </c>
      <c r="CJ25" s="1" t="str">
        <f t="shared" si="19"/>
        <v/>
      </c>
      <c r="CK25" s="1" t="str">
        <f t="shared" si="19"/>
        <v/>
      </c>
      <c r="CL25" s="1" t="str">
        <f t="shared" si="19"/>
        <v/>
      </c>
      <c r="CM25" s="1" t="str">
        <f t="shared" si="19"/>
        <v/>
      </c>
      <c r="CN25" s="1" t="str">
        <f t="shared" si="19"/>
        <v/>
      </c>
      <c r="CO25" s="1" t="str">
        <f t="shared" si="19"/>
        <v/>
      </c>
      <c r="CP25" s="1" t="str">
        <f t="shared" si="19"/>
        <v/>
      </c>
      <c r="CQ25" s="1" t="str">
        <f t="shared" si="19"/>
        <v/>
      </c>
      <c r="CR25" s="1" t="str">
        <f t="shared" si="19"/>
        <v/>
      </c>
      <c r="CS25" s="18">
        <f t="shared" si="20"/>
        <v>5</v>
      </c>
    </row>
    <row r="26" spans="1:97" x14ac:dyDescent="0.15">
      <c r="A26" s="1">
        <v>32</v>
      </c>
      <c r="B26" s="1" t="s">
        <v>81</v>
      </c>
      <c r="C26" s="1" t="s">
        <v>31</v>
      </c>
      <c r="D26" s="1" t="s">
        <v>24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1"/>
      <c r="AF26" s="1"/>
      <c r="AG26" s="1"/>
      <c r="AH26" s="1"/>
      <c r="AI26" s="1">
        <v>5</v>
      </c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 t="shared" si="5"/>
        <v>5</v>
      </c>
      <c r="BQ26" s="1">
        <v>5</v>
      </c>
      <c r="BR26" s="17">
        <v>1</v>
      </c>
      <c r="BS26" s="17" t="s">
        <v>221</v>
      </c>
      <c r="BT26" s="1" t="str">
        <f t="shared" si="6"/>
        <v/>
      </c>
      <c r="BU26" s="1" t="str">
        <f t="shared" si="7"/>
        <v/>
      </c>
      <c r="BV26" s="1" t="str">
        <f t="shared" si="8"/>
        <v/>
      </c>
      <c r="BW26" s="1" t="str">
        <f t="shared" si="9"/>
        <v/>
      </c>
      <c r="BX26" s="1" t="str">
        <f t="shared" si="10"/>
        <v/>
      </c>
      <c r="BY26" s="1" t="str">
        <f t="shared" si="11"/>
        <v/>
      </c>
      <c r="BZ26" s="1" t="str">
        <f t="shared" si="12"/>
        <v/>
      </c>
      <c r="CA26" s="1" t="str">
        <f t="shared" si="13"/>
        <v/>
      </c>
      <c r="CB26" s="1" t="str">
        <f t="shared" si="14"/>
        <v/>
      </c>
      <c r="CC26" s="1" t="str">
        <f t="shared" si="15"/>
        <v/>
      </c>
      <c r="CD26" s="1" t="str">
        <f t="shared" si="16"/>
        <v/>
      </c>
      <c r="CE26" s="1" t="str">
        <f t="shared" si="17"/>
        <v/>
      </c>
      <c r="CF26" s="1">
        <f t="shared" si="18"/>
        <v>0</v>
      </c>
      <c r="CG26" s="1" t="str">
        <f t="shared" si="19"/>
        <v/>
      </c>
      <c r="CH26" s="1" t="str">
        <f t="shared" si="19"/>
        <v/>
      </c>
      <c r="CI26" s="1" t="str">
        <f t="shared" si="19"/>
        <v/>
      </c>
      <c r="CJ26" s="1" t="str">
        <f t="shared" si="19"/>
        <v/>
      </c>
      <c r="CK26" s="1" t="str">
        <f t="shared" si="19"/>
        <v/>
      </c>
      <c r="CL26" s="1" t="str">
        <f t="shared" si="19"/>
        <v/>
      </c>
      <c r="CM26" s="1" t="str">
        <f t="shared" si="19"/>
        <v/>
      </c>
      <c r="CN26" s="1" t="str">
        <f t="shared" si="19"/>
        <v/>
      </c>
      <c r="CO26" s="1" t="str">
        <f t="shared" si="19"/>
        <v/>
      </c>
      <c r="CP26" s="1" t="str">
        <f t="shared" si="19"/>
        <v/>
      </c>
      <c r="CQ26" s="1" t="str">
        <f t="shared" si="19"/>
        <v/>
      </c>
      <c r="CR26" s="1" t="str">
        <f t="shared" si="19"/>
        <v/>
      </c>
      <c r="CS26" s="18">
        <f t="shared" si="20"/>
        <v>5</v>
      </c>
    </row>
    <row r="27" spans="1:97" x14ac:dyDescent="0.15">
      <c r="A27" s="1">
        <v>33</v>
      </c>
      <c r="B27" s="1" t="s">
        <v>81</v>
      </c>
      <c r="C27" s="1" t="s">
        <v>31</v>
      </c>
      <c r="D27" s="1" t="s">
        <v>1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1"/>
      <c r="AF27" s="1"/>
      <c r="AG27" s="1"/>
      <c r="AH27" s="1">
        <v>5</v>
      </c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 t="shared" si="5"/>
        <v>5</v>
      </c>
      <c r="BQ27" s="1">
        <v>5</v>
      </c>
      <c r="BR27" s="17">
        <v>1</v>
      </c>
      <c r="BS27" s="17" t="s">
        <v>222</v>
      </c>
      <c r="BT27" s="1" t="str">
        <f t="shared" si="6"/>
        <v/>
      </c>
      <c r="BU27" s="1" t="str">
        <f t="shared" si="7"/>
        <v/>
      </c>
      <c r="BV27" s="1" t="str">
        <f t="shared" si="8"/>
        <v/>
      </c>
      <c r="BW27" s="1" t="str">
        <f t="shared" si="9"/>
        <v/>
      </c>
      <c r="BX27" s="1" t="str">
        <f t="shared" si="10"/>
        <v/>
      </c>
      <c r="BY27" s="1" t="str">
        <f t="shared" si="11"/>
        <v/>
      </c>
      <c r="BZ27" s="1" t="str">
        <f t="shared" si="12"/>
        <v/>
      </c>
      <c r="CA27" s="1" t="str">
        <f t="shared" si="13"/>
        <v/>
      </c>
      <c r="CB27" s="1" t="str">
        <f t="shared" si="14"/>
        <v/>
      </c>
      <c r="CC27" s="1" t="str">
        <f t="shared" si="15"/>
        <v/>
      </c>
      <c r="CD27" s="1" t="str">
        <f t="shared" si="16"/>
        <v/>
      </c>
      <c r="CE27" s="1" t="str">
        <f t="shared" si="17"/>
        <v/>
      </c>
      <c r="CF27" s="1">
        <f t="shared" si="18"/>
        <v>0</v>
      </c>
      <c r="CG27" s="1" t="str">
        <f t="shared" si="19"/>
        <v/>
      </c>
      <c r="CH27" s="1" t="str">
        <f t="shared" si="19"/>
        <v/>
      </c>
      <c r="CI27" s="1" t="str">
        <f t="shared" si="19"/>
        <v/>
      </c>
      <c r="CJ27" s="1" t="str">
        <f t="shared" si="19"/>
        <v/>
      </c>
      <c r="CK27" s="1" t="str">
        <f t="shared" si="19"/>
        <v/>
      </c>
      <c r="CL27" s="1" t="str">
        <f t="shared" si="19"/>
        <v/>
      </c>
      <c r="CM27" s="1" t="str">
        <f t="shared" si="19"/>
        <v/>
      </c>
      <c r="CN27" s="1" t="str">
        <f t="shared" si="19"/>
        <v/>
      </c>
      <c r="CO27" s="1" t="str">
        <f t="shared" si="19"/>
        <v/>
      </c>
      <c r="CP27" s="1" t="str">
        <f t="shared" si="19"/>
        <v/>
      </c>
      <c r="CQ27" s="1" t="str">
        <f t="shared" si="19"/>
        <v/>
      </c>
      <c r="CR27" s="1" t="str">
        <f t="shared" si="19"/>
        <v/>
      </c>
      <c r="CS27" s="18">
        <f t="shared" si="20"/>
        <v>5</v>
      </c>
    </row>
    <row r="28" spans="1:97" x14ac:dyDescent="0.15">
      <c r="A28" s="1">
        <v>63</v>
      </c>
      <c r="B28" s="3" t="s">
        <v>64</v>
      </c>
      <c r="C28" s="1" t="s">
        <v>59</v>
      </c>
      <c r="D28" s="1" t="s">
        <v>24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32"/>
      <c r="Q28" s="32"/>
      <c r="R28" s="32"/>
      <c r="S28" s="32"/>
      <c r="T28" s="32"/>
      <c r="U28" s="32"/>
      <c r="V28" s="32"/>
      <c r="W28" s="32"/>
      <c r="X28" s="32"/>
      <c r="Y28" s="32"/>
      <c r="Z28" s="32"/>
      <c r="AA28" s="32"/>
      <c r="AB28" s="32"/>
      <c r="AC28" s="32"/>
      <c r="AD28" s="32"/>
      <c r="AE28" s="1"/>
      <c r="AF28" s="1"/>
      <c r="AG28" s="1"/>
      <c r="AH28" s="1"/>
      <c r="AI28" s="1"/>
      <c r="AJ28" s="1"/>
      <c r="AK28" s="1"/>
      <c r="AL28" s="1"/>
      <c r="AM28" s="1"/>
      <c r="AN28" s="1">
        <v>5</v>
      </c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 t="shared" si="5"/>
        <v>5</v>
      </c>
      <c r="BQ28" s="1">
        <v>5</v>
      </c>
      <c r="BR28" s="17">
        <v>1</v>
      </c>
      <c r="BS28" s="17" t="s">
        <v>223</v>
      </c>
      <c r="BT28" s="1" t="str">
        <f t="shared" si="6"/>
        <v/>
      </c>
      <c r="BU28" s="1" t="str">
        <f t="shared" si="7"/>
        <v/>
      </c>
      <c r="BV28" s="1" t="str">
        <f t="shared" si="8"/>
        <v/>
      </c>
      <c r="BW28" s="1" t="str">
        <f t="shared" si="9"/>
        <v/>
      </c>
      <c r="BX28" s="1" t="str">
        <f t="shared" si="10"/>
        <v/>
      </c>
      <c r="BY28" s="1" t="str">
        <f t="shared" si="11"/>
        <v/>
      </c>
      <c r="BZ28" s="1" t="str">
        <f t="shared" si="12"/>
        <v/>
      </c>
      <c r="CA28" s="1" t="str">
        <f t="shared" si="13"/>
        <v/>
      </c>
      <c r="CB28" s="1" t="str">
        <f t="shared" si="14"/>
        <v/>
      </c>
      <c r="CC28" s="1" t="str">
        <f t="shared" si="15"/>
        <v/>
      </c>
      <c r="CD28" s="1" t="str">
        <f t="shared" si="16"/>
        <v/>
      </c>
      <c r="CE28" s="1" t="str">
        <f t="shared" si="17"/>
        <v/>
      </c>
      <c r="CF28" s="1">
        <f t="shared" si="18"/>
        <v>0</v>
      </c>
      <c r="CG28" s="1" t="str">
        <f t="shared" si="19"/>
        <v/>
      </c>
      <c r="CH28" s="1" t="str">
        <f t="shared" si="19"/>
        <v/>
      </c>
      <c r="CI28" s="1" t="str">
        <f t="shared" si="19"/>
        <v/>
      </c>
      <c r="CJ28" s="1" t="str">
        <f t="shared" si="19"/>
        <v/>
      </c>
      <c r="CK28" s="1" t="str">
        <f t="shared" si="19"/>
        <v/>
      </c>
      <c r="CL28" s="1" t="str">
        <f t="shared" si="19"/>
        <v/>
      </c>
      <c r="CM28" s="1" t="str">
        <f t="shared" si="19"/>
        <v/>
      </c>
      <c r="CN28" s="1" t="str">
        <f t="shared" si="19"/>
        <v/>
      </c>
      <c r="CO28" s="1" t="str">
        <f t="shared" si="19"/>
        <v/>
      </c>
      <c r="CP28" s="1" t="str">
        <f t="shared" si="19"/>
        <v/>
      </c>
      <c r="CQ28" s="1" t="str">
        <f t="shared" si="19"/>
        <v/>
      </c>
      <c r="CR28" s="1" t="str">
        <f t="shared" si="19"/>
        <v/>
      </c>
      <c r="CS28" s="18">
        <f t="shared" si="20"/>
        <v>5</v>
      </c>
    </row>
    <row r="29" spans="1:97" x14ac:dyDescent="0.15">
      <c r="A29" s="1">
        <v>90</v>
      </c>
      <c r="B29" s="3" t="s">
        <v>85</v>
      </c>
      <c r="C29" s="3" t="s">
        <v>84</v>
      </c>
      <c r="D29" s="1" t="s">
        <v>24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32"/>
      <c r="Q29" s="32"/>
      <c r="R29" s="32"/>
      <c r="S29" s="32"/>
      <c r="T29" s="32"/>
      <c r="U29" s="32"/>
      <c r="V29" s="32"/>
      <c r="W29" s="32"/>
      <c r="X29" s="32"/>
      <c r="Y29" s="32"/>
      <c r="Z29" s="32"/>
      <c r="AA29" s="32"/>
      <c r="AB29" s="32"/>
      <c r="AC29" s="32"/>
      <c r="AD29" s="32"/>
      <c r="AE29" s="1"/>
      <c r="AF29" s="1"/>
      <c r="AG29" s="1"/>
      <c r="AH29" s="1"/>
      <c r="AI29" s="1"/>
      <c r="AJ29" s="1"/>
      <c r="AK29" s="1"/>
      <c r="AL29" s="1"/>
      <c r="AM29" s="1"/>
      <c r="AN29" s="1">
        <v>5</v>
      </c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 t="shared" si="5"/>
        <v>5</v>
      </c>
      <c r="BQ29" s="1">
        <v>5</v>
      </c>
      <c r="BR29" s="17">
        <v>1</v>
      </c>
      <c r="BS29" s="17" t="s">
        <v>223</v>
      </c>
      <c r="BT29" s="1" t="str">
        <f t="shared" si="6"/>
        <v/>
      </c>
      <c r="BU29" s="1" t="str">
        <f t="shared" si="7"/>
        <v/>
      </c>
      <c r="BV29" s="1" t="str">
        <f t="shared" si="8"/>
        <v/>
      </c>
      <c r="BW29" s="1" t="str">
        <f t="shared" si="9"/>
        <v/>
      </c>
      <c r="BX29" s="1" t="str">
        <f t="shared" si="10"/>
        <v/>
      </c>
      <c r="BY29" s="1" t="str">
        <f t="shared" si="11"/>
        <v/>
      </c>
      <c r="BZ29" s="1" t="str">
        <f t="shared" si="12"/>
        <v/>
      </c>
      <c r="CA29" s="1" t="str">
        <f t="shared" si="13"/>
        <v/>
      </c>
      <c r="CB29" s="1" t="str">
        <f t="shared" si="14"/>
        <v/>
      </c>
      <c r="CC29" s="1" t="str">
        <f t="shared" si="15"/>
        <v/>
      </c>
      <c r="CD29" s="1" t="str">
        <f t="shared" si="16"/>
        <v/>
      </c>
      <c r="CE29" s="1" t="str">
        <f t="shared" si="17"/>
        <v/>
      </c>
      <c r="CF29" s="1">
        <f t="shared" si="18"/>
        <v>0</v>
      </c>
      <c r="CG29" s="1" t="str">
        <f t="shared" si="19"/>
        <v/>
      </c>
      <c r="CH29" s="1" t="str">
        <f t="shared" si="19"/>
        <v/>
      </c>
      <c r="CI29" s="1" t="str">
        <f t="shared" si="19"/>
        <v/>
      </c>
      <c r="CJ29" s="1" t="str">
        <f t="shared" si="19"/>
        <v/>
      </c>
      <c r="CK29" s="1" t="str">
        <f t="shared" si="19"/>
        <v/>
      </c>
      <c r="CL29" s="1" t="str">
        <f t="shared" si="19"/>
        <v/>
      </c>
      <c r="CM29" s="1" t="str">
        <f t="shared" si="19"/>
        <v/>
      </c>
      <c r="CN29" s="1" t="str">
        <f t="shared" si="19"/>
        <v/>
      </c>
      <c r="CO29" s="1" t="str">
        <f t="shared" si="19"/>
        <v/>
      </c>
      <c r="CP29" s="1" t="str">
        <f t="shared" si="19"/>
        <v/>
      </c>
      <c r="CQ29" s="1" t="str">
        <f t="shared" si="19"/>
        <v/>
      </c>
      <c r="CR29" s="1" t="str">
        <f t="shared" si="19"/>
        <v/>
      </c>
      <c r="CS29" s="18">
        <f t="shared" si="20"/>
        <v>5</v>
      </c>
    </row>
    <row r="30" spans="1:97" x14ac:dyDescent="0.15">
      <c r="A30" s="1"/>
      <c r="B30" s="1" t="s">
        <v>124</v>
      </c>
      <c r="C30" s="1" t="s">
        <v>122</v>
      </c>
      <c r="D30" s="1" t="s">
        <v>118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32"/>
      <c r="Q30" s="32"/>
      <c r="R30" s="32"/>
      <c r="S30" s="32"/>
      <c r="T30" s="32"/>
      <c r="U30" s="32"/>
      <c r="V30" s="32"/>
      <c r="W30" s="32"/>
      <c r="X30" s="32"/>
      <c r="Y30" s="32"/>
      <c r="Z30" s="32"/>
      <c r="AA30" s="32"/>
      <c r="AB30" s="32"/>
      <c r="AC30" s="32"/>
      <c r="AD30" s="32"/>
      <c r="AE30" s="1"/>
      <c r="AF30" s="1"/>
      <c r="AG30" s="1"/>
      <c r="AH30" s="1">
        <v>5</v>
      </c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 t="shared" si="5"/>
        <v>5</v>
      </c>
      <c r="BQ30" s="1">
        <v>5</v>
      </c>
      <c r="BR30" s="17">
        <v>1</v>
      </c>
      <c r="BS30" s="17" t="s">
        <v>224</v>
      </c>
      <c r="BT30" s="1" t="str">
        <f t="shared" si="6"/>
        <v/>
      </c>
      <c r="BU30" s="1" t="str">
        <f t="shared" si="7"/>
        <v/>
      </c>
      <c r="BV30" s="1" t="str">
        <f t="shared" si="8"/>
        <v/>
      </c>
      <c r="BW30" s="1" t="str">
        <f t="shared" si="9"/>
        <v/>
      </c>
      <c r="BX30" s="1" t="str">
        <f t="shared" si="10"/>
        <v/>
      </c>
      <c r="BY30" s="1" t="str">
        <f t="shared" si="11"/>
        <v/>
      </c>
      <c r="BZ30" s="1" t="str">
        <f t="shared" si="12"/>
        <v/>
      </c>
      <c r="CA30" s="1" t="str">
        <f t="shared" si="13"/>
        <v/>
      </c>
      <c r="CB30" s="1" t="str">
        <f t="shared" si="14"/>
        <v/>
      </c>
      <c r="CC30" s="1" t="str">
        <f t="shared" si="15"/>
        <v/>
      </c>
      <c r="CD30" s="1" t="str">
        <f t="shared" si="16"/>
        <v/>
      </c>
      <c r="CE30" s="1" t="str">
        <f t="shared" si="17"/>
        <v/>
      </c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8"/>
    </row>
    <row r="31" spans="1:97" x14ac:dyDescent="0.15">
      <c r="A31" s="1"/>
      <c r="B31" s="1" t="s">
        <v>124</v>
      </c>
      <c r="C31" s="1" t="s">
        <v>122</v>
      </c>
      <c r="D31" s="1" t="s">
        <v>112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32"/>
      <c r="Q31" s="32"/>
      <c r="R31" s="32"/>
      <c r="S31" s="32"/>
      <c r="T31" s="32"/>
      <c r="U31" s="32"/>
      <c r="V31" s="32"/>
      <c r="W31" s="32"/>
      <c r="X31" s="32"/>
      <c r="Y31" s="32"/>
      <c r="Z31" s="32"/>
      <c r="AA31" s="32"/>
      <c r="AB31" s="32"/>
      <c r="AC31" s="32"/>
      <c r="AD31" s="32"/>
      <c r="AE31" s="1"/>
      <c r="AF31" s="1"/>
      <c r="AG31" s="1"/>
      <c r="AH31" s="1"/>
      <c r="AI31" s="1">
        <v>5</v>
      </c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 t="shared" si="5"/>
        <v>5</v>
      </c>
      <c r="BQ31" s="1">
        <v>5</v>
      </c>
      <c r="BR31" s="17">
        <v>1</v>
      </c>
      <c r="BS31" s="17" t="s">
        <v>221</v>
      </c>
      <c r="BT31" s="1" t="str">
        <f t="shared" si="6"/>
        <v/>
      </c>
      <c r="BU31" s="1" t="str">
        <f t="shared" si="7"/>
        <v/>
      </c>
      <c r="BV31" s="1" t="str">
        <f t="shared" si="8"/>
        <v/>
      </c>
      <c r="BW31" s="1" t="str">
        <f t="shared" si="9"/>
        <v/>
      </c>
      <c r="BX31" s="1" t="str">
        <f t="shared" si="10"/>
        <v/>
      </c>
      <c r="BY31" s="1" t="str">
        <f t="shared" si="11"/>
        <v/>
      </c>
      <c r="BZ31" s="1" t="str">
        <f t="shared" si="12"/>
        <v/>
      </c>
      <c r="CA31" s="1" t="str">
        <f t="shared" si="13"/>
        <v/>
      </c>
      <c r="CB31" s="1" t="str">
        <f t="shared" si="14"/>
        <v/>
      </c>
      <c r="CC31" s="1" t="str">
        <f t="shared" si="15"/>
        <v/>
      </c>
      <c r="CD31" s="1" t="str">
        <f t="shared" si="16"/>
        <v/>
      </c>
      <c r="CE31" s="1" t="str">
        <f t="shared" si="17"/>
        <v/>
      </c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8"/>
    </row>
    <row r="32" spans="1:97" x14ac:dyDescent="0.15">
      <c r="A32" s="1">
        <v>34</v>
      </c>
      <c r="B32" s="1" t="s">
        <v>47</v>
      </c>
      <c r="C32" s="1" t="s">
        <v>48</v>
      </c>
      <c r="D32" s="1" t="s">
        <v>25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32"/>
      <c r="Q32" s="32"/>
      <c r="R32" s="32"/>
      <c r="S32" s="32"/>
      <c r="T32" s="32"/>
      <c r="U32" s="32"/>
      <c r="V32" s="32"/>
      <c r="W32" s="32"/>
      <c r="X32" s="32"/>
      <c r="Y32" s="32"/>
      <c r="Z32" s="32"/>
      <c r="AA32" s="32"/>
      <c r="AB32" s="32"/>
      <c r="AC32" s="32"/>
      <c r="AD32" s="32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>
        <v>15</v>
      </c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>
        <v>15</v>
      </c>
      <c r="BC32" s="14"/>
      <c r="BD32" s="1"/>
      <c r="BE32" s="1"/>
      <c r="BF32" s="1"/>
      <c r="BG32" s="1"/>
      <c r="BH32" s="1">
        <v>15</v>
      </c>
      <c r="BI32" s="1">
        <v>15</v>
      </c>
      <c r="BJ32" s="1"/>
      <c r="BK32" s="1"/>
      <c r="BL32" s="1"/>
      <c r="BM32" s="1"/>
      <c r="BN32" s="1"/>
      <c r="BO32" s="1"/>
      <c r="BP32" s="1">
        <f t="shared" si="5"/>
        <v>60</v>
      </c>
      <c r="BQ32" s="1">
        <v>6</v>
      </c>
      <c r="BR32" s="17">
        <v>1</v>
      </c>
      <c r="BS32" s="17" t="s">
        <v>226</v>
      </c>
      <c r="BT32" s="1">
        <f t="shared" si="6"/>
        <v>6</v>
      </c>
      <c r="BU32" s="1" t="str">
        <f t="shared" si="7"/>
        <v/>
      </c>
      <c r="BV32" s="1" t="str">
        <f t="shared" si="8"/>
        <v/>
      </c>
      <c r="BW32" s="1" t="str">
        <f t="shared" si="9"/>
        <v/>
      </c>
      <c r="BX32" s="1" t="str">
        <f t="shared" si="10"/>
        <v/>
      </c>
      <c r="BY32" s="1" t="str">
        <f t="shared" si="11"/>
        <v/>
      </c>
      <c r="BZ32" s="1" t="str">
        <f t="shared" si="12"/>
        <v/>
      </c>
      <c r="CA32" s="1" t="str">
        <f t="shared" si="13"/>
        <v/>
      </c>
      <c r="CB32" s="1" t="str">
        <f t="shared" si="14"/>
        <v/>
      </c>
      <c r="CC32" s="1" t="str">
        <f t="shared" si="15"/>
        <v/>
      </c>
      <c r="CD32" s="1" t="str">
        <f t="shared" si="16"/>
        <v/>
      </c>
      <c r="CE32" s="1" t="str">
        <f t="shared" si="17"/>
        <v/>
      </c>
      <c r="CF32" s="1">
        <f>COUNTIF(BT32:CE32, "&gt;0")</f>
        <v>1</v>
      </c>
      <c r="CG32" s="1">
        <f t="shared" ref="CG32:CR32" si="21">IF($CF32=1,BT32,"")</f>
        <v>6</v>
      </c>
      <c r="CH32" s="1" t="str">
        <f t="shared" si="21"/>
        <v/>
      </c>
      <c r="CI32" s="1" t="str">
        <f t="shared" si="21"/>
        <v/>
      </c>
      <c r="CJ32" s="1" t="str">
        <f t="shared" si="21"/>
        <v/>
      </c>
      <c r="CK32" s="1" t="str">
        <f t="shared" si="21"/>
        <v/>
      </c>
      <c r="CL32" s="1" t="str">
        <f t="shared" si="21"/>
        <v/>
      </c>
      <c r="CM32" s="1" t="str">
        <f t="shared" si="21"/>
        <v/>
      </c>
      <c r="CN32" s="1" t="str">
        <f t="shared" si="21"/>
        <v/>
      </c>
      <c r="CO32" s="1" t="str">
        <f t="shared" si="21"/>
        <v/>
      </c>
      <c r="CP32" s="1" t="str">
        <f t="shared" si="21"/>
        <v/>
      </c>
      <c r="CQ32" s="1" t="str">
        <f t="shared" si="21"/>
        <v/>
      </c>
      <c r="CR32" s="1" t="str">
        <f t="shared" si="21"/>
        <v/>
      </c>
      <c r="CS32" s="18">
        <f>SUM(AE32:BO32)</f>
        <v>60</v>
      </c>
    </row>
    <row r="33" spans="1:97" s="25" customFormat="1" x14ac:dyDescent="0.15">
      <c r="A33" s="1"/>
      <c r="B33" s="1" t="s">
        <v>191</v>
      </c>
      <c r="C33" s="1" t="s">
        <v>110</v>
      </c>
      <c r="D33" s="1" t="s">
        <v>111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32"/>
      <c r="Q33" s="32"/>
      <c r="R33" s="32"/>
      <c r="S33" s="32"/>
      <c r="T33" s="32"/>
      <c r="U33" s="32"/>
      <c r="V33" s="32"/>
      <c r="W33" s="32"/>
      <c r="X33" s="32"/>
      <c r="Y33" s="32"/>
      <c r="Z33" s="32"/>
      <c r="AA33" s="32"/>
      <c r="AB33" s="32"/>
      <c r="AC33" s="32"/>
      <c r="AD33" s="32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>
        <v>15</v>
      </c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>
        <v>15</v>
      </c>
      <c r="BC33" s="14"/>
      <c r="BD33" s="1"/>
      <c r="BE33" s="1"/>
      <c r="BF33" s="1"/>
      <c r="BG33" s="1"/>
      <c r="BH33" s="1">
        <v>15</v>
      </c>
      <c r="BI33" s="1">
        <v>15</v>
      </c>
      <c r="BJ33" s="1"/>
      <c r="BK33" s="1"/>
      <c r="BL33" s="1"/>
      <c r="BM33" s="1"/>
      <c r="BN33" s="1"/>
      <c r="BO33" s="1"/>
      <c r="BP33" s="1">
        <f t="shared" si="5"/>
        <v>60</v>
      </c>
      <c r="BQ33" s="1">
        <v>6</v>
      </c>
      <c r="BR33" s="17">
        <v>1</v>
      </c>
      <c r="BS33" s="17" t="s">
        <v>226</v>
      </c>
      <c r="BT33" s="1">
        <f t="shared" si="6"/>
        <v>6</v>
      </c>
      <c r="BU33" s="1" t="str">
        <f t="shared" si="7"/>
        <v/>
      </c>
      <c r="BV33" s="1" t="str">
        <f t="shared" si="8"/>
        <v/>
      </c>
      <c r="BW33" s="1" t="str">
        <f t="shared" si="9"/>
        <v/>
      </c>
      <c r="BX33" s="1" t="str">
        <f t="shared" si="10"/>
        <v/>
      </c>
      <c r="BY33" s="1" t="str">
        <f t="shared" si="11"/>
        <v/>
      </c>
      <c r="BZ33" s="1" t="str">
        <f t="shared" si="12"/>
        <v/>
      </c>
      <c r="CA33" s="1" t="str">
        <f t="shared" si="13"/>
        <v/>
      </c>
      <c r="CB33" s="1" t="str">
        <f t="shared" si="14"/>
        <v/>
      </c>
      <c r="CC33" s="1" t="str">
        <f t="shared" si="15"/>
        <v/>
      </c>
      <c r="CD33" s="1" t="str">
        <f t="shared" si="16"/>
        <v/>
      </c>
      <c r="CE33" s="1" t="str">
        <f t="shared" si="17"/>
        <v/>
      </c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8"/>
    </row>
    <row r="34" spans="1:97" x14ac:dyDescent="0.15">
      <c r="A34" s="1"/>
      <c r="B34" s="1" t="s">
        <v>177</v>
      </c>
      <c r="C34" s="1" t="s">
        <v>114</v>
      </c>
      <c r="D34" s="1" t="s">
        <v>111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32"/>
      <c r="Q34" s="32"/>
      <c r="R34" s="32"/>
      <c r="S34" s="32"/>
      <c r="T34" s="32"/>
      <c r="U34" s="32"/>
      <c r="V34" s="32"/>
      <c r="W34" s="32"/>
      <c r="X34" s="32"/>
      <c r="Y34" s="32"/>
      <c r="Z34" s="32"/>
      <c r="AA34" s="32"/>
      <c r="AB34" s="32"/>
      <c r="AC34" s="32"/>
      <c r="AD34" s="32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>
        <v>10</v>
      </c>
      <c r="AT34" s="4"/>
      <c r="AU34" s="4"/>
      <c r="AV34" s="4"/>
      <c r="AW34" s="2"/>
      <c r="AX34" s="2"/>
      <c r="AY34" s="2"/>
      <c r="AZ34" s="2"/>
      <c r="BA34" s="2"/>
      <c r="BB34" s="2">
        <v>10</v>
      </c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 t="shared" si="5"/>
        <v>20</v>
      </c>
      <c r="BQ34" s="1">
        <v>8</v>
      </c>
      <c r="BR34" s="17">
        <v>1</v>
      </c>
      <c r="BS34" s="17" t="s">
        <v>227</v>
      </c>
      <c r="BT34" s="1" t="str">
        <f t="shared" si="6"/>
        <v/>
      </c>
      <c r="BU34" s="1" t="str">
        <f t="shared" si="7"/>
        <v/>
      </c>
      <c r="BV34" s="1">
        <f t="shared" si="8"/>
        <v>8</v>
      </c>
      <c r="BW34" s="1" t="str">
        <f t="shared" si="9"/>
        <v/>
      </c>
      <c r="BX34" s="1" t="str">
        <f t="shared" si="10"/>
        <v/>
      </c>
      <c r="BY34" s="1" t="str">
        <f t="shared" si="11"/>
        <v/>
      </c>
      <c r="BZ34" s="1" t="str">
        <f t="shared" si="12"/>
        <v/>
      </c>
      <c r="CA34" s="1" t="str">
        <f t="shared" si="13"/>
        <v/>
      </c>
      <c r="CB34" s="1" t="str">
        <f t="shared" si="14"/>
        <v/>
      </c>
      <c r="CC34" s="1" t="str">
        <f t="shared" si="15"/>
        <v/>
      </c>
      <c r="CD34" s="1" t="str">
        <f t="shared" si="16"/>
        <v/>
      </c>
      <c r="CE34" s="1" t="str">
        <f t="shared" si="17"/>
        <v/>
      </c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8"/>
    </row>
    <row r="35" spans="1:97" x14ac:dyDescent="0.15">
      <c r="A35" s="1"/>
      <c r="B35" s="1" t="s">
        <v>172</v>
      </c>
      <c r="C35" s="1" t="s">
        <v>31</v>
      </c>
      <c r="D35" s="1" t="s">
        <v>165</v>
      </c>
      <c r="E35" s="6">
        <v>20</v>
      </c>
      <c r="F35" s="6"/>
      <c r="G35" s="6"/>
      <c r="H35" s="6"/>
      <c r="I35" s="6">
        <v>20</v>
      </c>
      <c r="J35" s="6">
        <v>20</v>
      </c>
      <c r="K35" s="6"/>
      <c r="L35" s="6"/>
      <c r="M35" s="6"/>
      <c r="N35" s="6"/>
      <c r="O35" s="6"/>
      <c r="P35" s="32"/>
      <c r="Q35" s="32"/>
      <c r="R35" s="32"/>
      <c r="S35" s="32"/>
      <c r="T35" s="32"/>
      <c r="U35" s="32"/>
      <c r="V35" s="32"/>
      <c r="W35" s="32"/>
      <c r="X35" s="32"/>
      <c r="Y35" s="32"/>
      <c r="Z35" s="32"/>
      <c r="AA35" s="32"/>
      <c r="AB35" s="32"/>
      <c r="AC35" s="32"/>
      <c r="AD35" s="32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 t="shared" si="5"/>
        <v>60</v>
      </c>
      <c r="BQ35" s="1">
        <v>8</v>
      </c>
      <c r="BR35" s="17">
        <v>1</v>
      </c>
      <c r="BS35" s="17" t="s">
        <v>228</v>
      </c>
      <c r="BT35" s="1" t="str">
        <f t="shared" si="6"/>
        <v/>
      </c>
      <c r="BU35" s="1" t="str">
        <f t="shared" si="7"/>
        <v/>
      </c>
      <c r="BV35" s="1" t="str">
        <f t="shared" si="8"/>
        <v/>
      </c>
      <c r="BW35" s="1" t="str">
        <f t="shared" si="9"/>
        <v/>
      </c>
      <c r="BX35" s="1" t="str">
        <f t="shared" si="10"/>
        <v/>
      </c>
      <c r="BY35" s="1" t="str">
        <f t="shared" si="11"/>
        <v/>
      </c>
      <c r="BZ35" s="1" t="str">
        <f t="shared" si="12"/>
        <v/>
      </c>
      <c r="CA35" s="1" t="str">
        <f t="shared" si="13"/>
        <v/>
      </c>
      <c r="CB35" s="1" t="str">
        <f t="shared" si="14"/>
        <v/>
      </c>
      <c r="CC35" s="1" t="str">
        <f t="shared" si="15"/>
        <v/>
      </c>
      <c r="CD35" s="1" t="str">
        <f t="shared" si="16"/>
        <v/>
      </c>
      <c r="CE35" s="1" t="str">
        <f t="shared" si="17"/>
        <v/>
      </c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8"/>
    </row>
    <row r="36" spans="1:97" x14ac:dyDescent="0.15">
      <c r="A36" s="1">
        <v>62</v>
      </c>
      <c r="B36" s="1" t="s">
        <v>108</v>
      </c>
      <c r="C36" s="1" t="s">
        <v>59</v>
      </c>
      <c r="D36" s="1" t="s">
        <v>1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32"/>
      <c r="Q36" s="32"/>
      <c r="R36" s="32"/>
      <c r="S36" s="32"/>
      <c r="T36" s="32"/>
      <c r="U36" s="32"/>
      <c r="V36" s="32"/>
      <c r="W36" s="32"/>
      <c r="X36" s="32"/>
      <c r="Y36" s="32"/>
      <c r="Z36" s="32"/>
      <c r="AA36" s="32"/>
      <c r="AB36" s="32"/>
      <c r="AC36" s="32"/>
      <c r="AD36" s="32"/>
      <c r="AE36" s="1"/>
      <c r="AF36" s="1"/>
      <c r="AG36" s="1"/>
      <c r="AH36" s="1"/>
      <c r="AI36" s="1"/>
      <c r="AJ36" s="1"/>
      <c r="AK36" s="1"/>
      <c r="AL36" s="1"/>
      <c r="AM36" s="1">
        <v>15</v>
      </c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 t="shared" si="5"/>
        <v>15</v>
      </c>
      <c r="BQ36" s="1">
        <v>8</v>
      </c>
      <c r="BR36" s="17">
        <v>1</v>
      </c>
      <c r="BS36" s="17" t="s">
        <v>230</v>
      </c>
      <c r="BT36" s="1" t="str">
        <f t="shared" si="6"/>
        <v/>
      </c>
      <c r="BU36" s="1" t="str">
        <f t="shared" si="7"/>
        <v/>
      </c>
      <c r="BV36" s="1" t="str">
        <f t="shared" si="8"/>
        <v/>
      </c>
      <c r="BW36" s="1" t="str">
        <f t="shared" si="9"/>
        <v/>
      </c>
      <c r="BX36" s="1" t="str">
        <f t="shared" si="10"/>
        <v/>
      </c>
      <c r="BY36" s="1" t="str">
        <f t="shared" si="11"/>
        <v/>
      </c>
      <c r="BZ36" s="1" t="str">
        <f t="shared" si="12"/>
        <v/>
      </c>
      <c r="CA36" s="1" t="str">
        <f t="shared" si="13"/>
        <v/>
      </c>
      <c r="CB36" s="1" t="str">
        <f t="shared" si="14"/>
        <v/>
      </c>
      <c r="CC36" s="1" t="str">
        <f t="shared" si="15"/>
        <v/>
      </c>
      <c r="CD36" s="1" t="str">
        <f t="shared" si="16"/>
        <v/>
      </c>
      <c r="CE36" s="1" t="str">
        <f t="shared" si="17"/>
        <v/>
      </c>
      <c r="CF36" s="1">
        <f>COUNTIF(BT36:CE36, "&gt;0")</f>
        <v>0</v>
      </c>
      <c r="CG36" s="1" t="str">
        <f t="shared" ref="CG36:CR37" si="22">IF($CF36=1,BT36,"")</f>
        <v/>
      </c>
      <c r="CH36" s="1" t="str">
        <f t="shared" si="22"/>
        <v/>
      </c>
      <c r="CI36" s="1" t="str">
        <f t="shared" si="22"/>
        <v/>
      </c>
      <c r="CJ36" s="1" t="str">
        <f t="shared" si="22"/>
        <v/>
      </c>
      <c r="CK36" s="1" t="str">
        <f t="shared" si="22"/>
        <v/>
      </c>
      <c r="CL36" s="1" t="str">
        <f t="shared" si="22"/>
        <v/>
      </c>
      <c r="CM36" s="1" t="str">
        <f t="shared" si="22"/>
        <v/>
      </c>
      <c r="CN36" s="1" t="str">
        <f t="shared" si="22"/>
        <v/>
      </c>
      <c r="CO36" s="1" t="str">
        <f t="shared" si="22"/>
        <v/>
      </c>
      <c r="CP36" s="1" t="str">
        <f t="shared" si="22"/>
        <v/>
      </c>
      <c r="CQ36" s="1" t="str">
        <f t="shared" si="22"/>
        <v/>
      </c>
      <c r="CR36" s="1" t="str">
        <f t="shared" si="22"/>
        <v/>
      </c>
      <c r="CS36" s="18">
        <f>SUM(AE36:BO36)</f>
        <v>15</v>
      </c>
    </row>
    <row r="37" spans="1:97" x14ac:dyDescent="0.15">
      <c r="A37" s="1">
        <v>94</v>
      </c>
      <c r="B37" s="3" t="s">
        <v>87</v>
      </c>
      <c r="C37" s="3" t="s">
        <v>73</v>
      </c>
      <c r="D37" s="1" t="s">
        <v>1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>
        <v>10</v>
      </c>
      <c r="BB37" s="2">
        <v>10</v>
      </c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 t="shared" si="5"/>
        <v>20</v>
      </c>
      <c r="BQ37" s="1">
        <v>9</v>
      </c>
      <c r="BR37" s="17">
        <v>1</v>
      </c>
      <c r="BS37" s="17" t="s">
        <v>231</v>
      </c>
      <c r="BT37" s="1" t="str">
        <f t="shared" si="6"/>
        <v/>
      </c>
      <c r="BU37" s="1" t="str">
        <f t="shared" si="7"/>
        <v/>
      </c>
      <c r="BV37" s="1" t="str">
        <f t="shared" si="8"/>
        <v/>
      </c>
      <c r="BW37" s="1" t="str">
        <f t="shared" si="9"/>
        <v/>
      </c>
      <c r="BX37" s="1" t="str">
        <f t="shared" si="10"/>
        <v/>
      </c>
      <c r="BY37" s="1" t="str">
        <f t="shared" si="11"/>
        <v/>
      </c>
      <c r="BZ37" s="1" t="str">
        <f t="shared" si="12"/>
        <v/>
      </c>
      <c r="CA37" s="1" t="str">
        <f t="shared" si="13"/>
        <v/>
      </c>
      <c r="CB37" s="1" t="str">
        <f t="shared" si="14"/>
        <v/>
      </c>
      <c r="CC37" s="1" t="str">
        <f t="shared" si="15"/>
        <v/>
      </c>
      <c r="CD37" s="1">
        <f t="shared" si="16"/>
        <v>9</v>
      </c>
      <c r="CE37" s="1" t="str">
        <f t="shared" si="17"/>
        <v/>
      </c>
      <c r="CF37" s="1">
        <f>COUNTIF(BT37:CE37, "&gt;0")</f>
        <v>1</v>
      </c>
      <c r="CG37" s="1" t="str">
        <f t="shared" si="22"/>
        <v/>
      </c>
      <c r="CH37" s="1" t="str">
        <f t="shared" si="22"/>
        <v/>
      </c>
      <c r="CI37" s="1" t="str">
        <f t="shared" si="22"/>
        <v/>
      </c>
      <c r="CJ37" s="1" t="str">
        <f t="shared" si="22"/>
        <v/>
      </c>
      <c r="CK37" s="1" t="str">
        <f t="shared" si="22"/>
        <v/>
      </c>
      <c r="CL37" s="1" t="str">
        <f t="shared" si="22"/>
        <v/>
      </c>
      <c r="CM37" s="1" t="str">
        <f t="shared" si="22"/>
        <v/>
      </c>
      <c r="CN37" s="1" t="str">
        <f t="shared" si="22"/>
        <v/>
      </c>
      <c r="CO37" s="1" t="str">
        <f t="shared" si="22"/>
        <v/>
      </c>
      <c r="CP37" s="1" t="str">
        <f t="shared" si="22"/>
        <v/>
      </c>
      <c r="CQ37" s="1">
        <f t="shared" si="22"/>
        <v>9</v>
      </c>
      <c r="CR37" s="1" t="str">
        <f t="shared" si="22"/>
        <v/>
      </c>
      <c r="CS37" s="18">
        <f>SUM(AE37:BO37)</f>
        <v>20</v>
      </c>
    </row>
    <row r="38" spans="1:97" x14ac:dyDescent="0.15">
      <c r="A38" s="1"/>
      <c r="B38" s="1" t="s">
        <v>312</v>
      </c>
      <c r="C38" s="1" t="s">
        <v>126</v>
      </c>
      <c r="D38" s="1" t="s">
        <v>111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32"/>
      <c r="Q38" s="32"/>
      <c r="R38" s="32"/>
      <c r="S38" s="32"/>
      <c r="T38" s="32"/>
      <c r="U38" s="32"/>
      <c r="V38" s="32"/>
      <c r="W38" s="32"/>
      <c r="X38" s="32"/>
      <c r="Y38" s="32"/>
      <c r="Z38" s="32"/>
      <c r="AA38" s="32"/>
      <c r="AB38" s="32"/>
      <c r="AC38" s="32"/>
      <c r="AD38" s="32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>
        <v>10</v>
      </c>
      <c r="BB38" s="2">
        <v>10</v>
      </c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 t="shared" si="5"/>
        <v>20</v>
      </c>
      <c r="BQ38" s="1">
        <v>9</v>
      </c>
      <c r="BR38" s="17">
        <v>1</v>
      </c>
      <c r="BS38" s="17" t="s">
        <v>231</v>
      </c>
      <c r="BT38" s="1" t="str">
        <f t="shared" si="6"/>
        <v/>
      </c>
      <c r="BU38" s="1" t="str">
        <f t="shared" si="7"/>
        <v/>
      </c>
      <c r="BV38" s="1" t="str">
        <f t="shared" si="8"/>
        <v/>
      </c>
      <c r="BW38" s="1" t="str">
        <f t="shared" si="9"/>
        <v/>
      </c>
      <c r="BX38" s="1" t="str">
        <f t="shared" si="10"/>
        <v/>
      </c>
      <c r="BY38" s="1" t="str">
        <f t="shared" si="11"/>
        <v/>
      </c>
      <c r="BZ38" s="1" t="str">
        <f t="shared" si="12"/>
        <v/>
      </c>
      <c r="CA38" s="1" t="str">
        <f t="shared" si="13"/>
        <v/>
      </c>
      <c r="CB38" s="1" t="str">
        <f t="shared" si="14"/>
        <v/>
      </c>
      <c r="CC38" s="1" t="str">
        <f t="shared" si="15"/>
        <v/>
      </c>
      <c r="CD38" s="1">
        <f t="shared" si="16"/>
        <v>9</v>
      </c>
      <c r="CE38" s="1" t="str">
        <f t="shared" si="17"/>
        <v/>
      </c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8"/>
    </row>
    <row r="39" spans="1:97" x14ac:dyDescent="0.15">
      <c r="A39" s="1"/>
      <c r="B39" s="1" t="s">
        <v>195</v>
      </c>
      <c r="C39" s="1" t="s">
        <v>156</v>
      </c>
      <c r="D39" s="1" t="s">
        <v>130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32"/>
      <c r="Q39" s="32"/>
      <c r="R39" s="32"/>
      <c r="S39" s="32"/>
      <c r="T39" s="32"/>
      <c r="U39" s="32"/>
      <c r="V39" s="32"/>
      <c r="W39" s="32"/>
      <c r="X39" s="32"/>
      <c r="Y39" s="32"/>
      <c r="Z39" s="32"/>
      <c r="AA39" s="32"/>
      <c r="AB39" s="32"/>
      <c r="AC39" s="32"/>
      <c r="AD39" s="32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>
        <v>10</v>
      </c>
      <c r="BB39" s="2">
        <v>10</v>
      </c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 t="shared" si="5"/>
        <v>20</v>
      </c>
      <c r="BQ39" s="1">
        <v>9</v>
      </c>
      <c r="BR39" s="17">
        <v>1</v>
      </c>
      <c r="BS39" s="17" t="s">
        <v>232</v>
      </c>
      <c r="BT39" s="1" t="str">
        <f t="shared" si="6"/>
        <v/>
      </c>
      <c r="BU39" s="1" t="str">
        <f t="shared" si="7"/>
        <v/>
      </c>
      <c r="BV39" s="1" t="str">
        <f t="shared" si="8"/>
        <v/>
      </c>
      <c r="BW39" s="1" t="str">
        <f t="shared" si="9"/>
        <v/>
      </c>
      <c r="BX39" s="1" t="str">
        <f t="shared" si="10"/>
        <v/>
      </c>
      <c r="BY39" s="1" t="str">
        <f t="shared" si="11"/>
        <v/>
      </c>
      <c r="BZ39" s="1" t="str">
        <f t="shared" si="12"/>
        <v/>
      </c>
      <c r="CA39" s="1" t="str">
        <f t="shared" si="13"/>
        <v/>
      </c>
      <c r="CB39" s="1" t="str">
        <f t="shared" si="14"/>
        <v/>
      </c>
      <c r="CC39" s="1" t="str">
        <f t="shared" si="15"/>
        <v/>
      </c>
      <c r="CD39" s="1">
        <f t="shared" si="16"/>
        <v>9</v>
      </c>
      <c r="CE39" s="1" t="str">
        <f t="shared" si="17"/>
        <v/>
      </c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8"/>
    </row>
    <row r="40" spans="1:97" x14ac:dyDescent="0.15">
      <c r="A40" s="1">
        <v>64</v>
      </c>
      <c r="B40" s="3" t="s">
        <v>64</v>
      </c>
      <c r="C40" s="1" t="s">
        <v>59</v>
      </c>
      <c r="D40" s="1" t="s">
        <v>1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32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2"/>
      <c r="AC40" s="32"/>
      <c r="AD40" s="32"/>
      <c r="AE40" s="1"/>
      <c r="AF40" s="1"/>
      <c r="AG40" s="1"/>
      <c r="AH40" s="1"/>
      <c r="AI40" s="1"/>
      <c r="AJ40" s="1"/>
      <c r="AK40" s="1"/>
      <c r="AL40" s="1"/>
      <c r="AM40" s="1"/>
      <c r="AN40" s="1">
        <v>15</v>
      </c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 t="shared" si="5"/>
        <v>15</v>
      </c>
      <c r="BQ40" s="1">
        <v>15</v>
      </c>
      <c r="BR40" s="17">
        <v>1</v>
      </c>
      <c r="BS40" s="17" t="s">
        <v>233</v>
      </c>
      <c r="BT40" s="1" t="str">
        <f t="shared" si="6"/>
        <v/>
      </c>
      <c r="BU40" s="1" t="str">
        <f t="shared" si="7"/>
        <v/>
      </c>
      <c r="BV40" s="1" t="str">
        <f t="shared" si="8"/>
        <v/>
      </c>
      <c r="BW40" s="1" t="str">
        <f t="shared" si="9"/>
        <v/>
      </c>
      <c r="BX40" s="1" t="str">
        <f t="shared" si="10"/>
        <v/>
      </c>
      <c r="BY40" s="1" t="str">
        <f t="shared" si="11"/>
        <v/>
      </c>
      <c r="BZ40" s="1" t="str">
        <f t="shared" si="12"/>
        <v/>
      </c>
      <c r="CA40" s="1" t="str">
        <f t="shared" si="13"/>
        <v/>
      </c>
      <c r="CB40" s="1" t="str">
        <f t="shared" si="14"/>
        <v/>
      </c>
      <c r="CC40" s="1" t="str">
        <f t="shared" si="15"/>
        <v/>
      </c>
      <c r="CD40" s="1" t="str">
        <f t="shared" si="16"/>
        <v/>
      </c>
      <c r="CE40" s="1" t="str">
        <f t="shared" si="17"/>
        <v/>
      </c>
      <c r="CF40" s="1">
        <f>COUNTIF(BT40:CE40, "&gt;0")</f>
        <v>0</v>
      </c>
      <c r="CG40" s="1" t="str">
        <f t="shared" ref="CG40:CR44" si="23">IF($CF40=1,BT40,"")</f>
        <v/>
      </c>
      <c r="CH40" s="1" t="str">
        <f t="shared" si="23"/>
        <v/>
      </c>
      <c r="CI40" s="1" t="str">
        <f t="shared" si="23"/>
        <v/>
      </c>
      <c r="CJ40" s="1" t="str">
        <f t="shared" si="23"/>
        <v/>
      </c>
      <c r="CK40" s="1" t="str">
        <f t="shared" si="23"/>
        <v/>
      </c>
      <c r="CL40" s="1" t="str">
        <f t="shared" si="23"/>
        <v/>
      </c>
      <c r="CM40" s="1" t="str">
        <f t="shared" si="23"/>
        <v/>
      </c>
      <c r="CN40" s="1" t="str">
        <f t="shared" si="23"/>
        <v/>
      </c>
      <c r="CO40" s="1" t="str">
        <f t="shared" si="23"/>
        <v/>
      </c>
      <c r="CP40" s="1" t="str">
        <f t="shared" si="23"/>
        <v/>
      </c>
      <c r="CQ40" s="1" t="str">
        <f t="shared" si="23"/>
        <v/>
      </c>
      <c r="CR40" s="1" t="str">
        <f t="shared" si="23"/>
        <v/>
      </c>
      <c r="CS40" s="18">
        <f>SUM(AE40:BO40)</f>
        <v>15</v>
      </c>
    </row>
    <row r="41" spans="1:97" x14ac:dyDescent="0.15">
      <c r="A41" s="1">
        <v>98</v>
      </c>
      <c r="B41" s="3" t="s">
        <v>178</v>
      </c>
      <c r="C41" s="3" t="s">
        <v>73</v>
      </c>
      <c r="D41" s="1" t="s">
        <v>1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32"/>
      <c r="Q41" s="32"/>
      <c r="R41" s="32"/>
      <c r="S41" s="32"/>
      <c r="T41" s="32"/>
      <c r="U41" s="32"/>
      <c r="V41" s="32"/>
      <c r="W41" s="32"/>
      <c r="X41" s="32"/>
      <c r="Y41" s="32"/>
      <c r="Z41" s="32"/>
      <c r="AA41" s="32"/>
      <c r="AB41" s="32"/>
      <c r="AC41" s="32"/>
      <c r="AD41" s="32"/>
      <c r="AE41" s="1">
        <v>50</v>
      </c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 t="shared" si="5"/>
        <v>50</v>
      </c>
      <c r="BQ41" s="1">
        <v>45</v>
      </c>
      <c r="BR41" s="17">
        <v>1</v>
      </c>
      <c r="BS41" s="17" t="s">
        <v>234</v>
      </c>
      <c r="BT41" s="1" t="str">
        <f t="shared" si="6"/>
        <v/>
      </c>
      <c r="BU41" s="1" t="str">
        <f t="shared" si="7"/>
        <v/>
      </c>
      <c r="BV41" s="1" t="str">
        <f t="shared" si="8"/>
        <v/>
      </c>
      <c r="BW41" s="1" t="str">
        <f t="shared" si="9"/>
        <v/>
      </c>
      <c r="BX41" s="1" t="str">
        <f t="shared" si="10"/>
        <v/>
      </c>
      <c r="BY41" s="1" t="str">
        <f t="shared" si="11"/>
        <v/>
      </c>
      <c r="BZ41" s="1" t="str">
        <f t="shared" si="12"/>
        <v/>
      </c>
      <c r="CA41" s="1" t="str">
        <f t="shared" si="13"/>
        <v/>
      </c>
      <c r="CB41" s="1" t="str">
        <f t="shared" si="14"/>
        <v/>
      </c>
      <c r="CC41" s="1" t="str">
        <f t="shared" si="15"/>
        <v/>
      </c>
      <c r="CD41" s="1" t="str">
        <f t="shared" si="16"/>
        <v/>
      </c>
      <c r="CE41" s="1" t="str">
        <f t="shared" si="17"/>
        <v/>
      </c>
      <c r="CF41" s="1">
        <f>COUNTIF(BT41:CE41, "&gt;0")</f>
        <v>0</v>
      </c>
      <c r="CG41" s="1" t="str">
        <f t="shared" si="23"/>
        <v/>
      </c>
      <c r="CH41" s="1" t="str">
        <f t="shared" si="23"/>
        <v/>
      </c>
      <c r="CI41" s="1" t="str">
        <f t="shared" si="23"/>
        <v/>
      </c>
      <c r="CJ41" s="1" t="str">
        <f t="shared" si="23"/>
        <v/>
      </c>
      <c r="CK41" s="1" t="str">
        <f t="shared" si="23"/>
        <v/>
      </c>
      <c r="CL41" s="1" t="str">
        <f t="shared" si="23"/>
        <v/>
      </c>
      <c r="CM41" s="1" t="str">
        <f t="shared" si="23"/>
        <v/>
      </c>
      <c r="CN41" s="1" t="str">
        <f t="shared" si="23"/>
        <v/>
      </c>
      <c r="CO41" s="1" t="str">
        <f t="shared" si="23"/>
        <v/>
      </c>
      <c r="CP41" s="1" t="str">
        <f t="shared" si="23"/>
        <v/>
      </c>
      <c r="CQ41" s="1" t="str">
        <f t="shared" si="23"/>
        <v/>
      </c>
      <c r="CR41" s="1" t="str">
        <f t="shared" si="23"/>
        <v/>
      </c>
      <c r="CS41" s="18">
        <f>SUM(AE41:BO41)</f>
        <v>50</v>
      </c>
    </row>
    <row r="42" spans="1:97" x14ac:dyDescent="0.15">
      <c r="A42" s="1">
        <v>99</v>
      </c>
      <c r="B42" s="3" t="s">
        <v>178</v>
      </c>
      <c r="C42" s="3" t="s">
        <v>73</v>
      </c>
      <c r="D42" s="1" t="s">
        <v>13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32"/>
      <c r="Q42" s="32"/>
      <c r="R42" s="32"/>
      <c r="S42" s="32"/>
      <c r="T42" s="32"/>
      <c r="U42" s="32"/>
      <c r="V42" s="32"/>
      <c r="W42" s="32"/>
      <c r="X42" s="32"/>
      <c r="Y42" s="32"/>
      <c r="Z42" s="32"/>
      <c r="AA42" s="32"/>
      <c r="AB42" s="32"/>
      <c r="AC42" s="32"/>
      <c r="AD42" s="32"/>
      <c r="AE42" s="1">
        <v>200</v>
      </c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 t="shared" si="5"/>
        <v>200</v>
      </c>
      <c r="BQ42" s="1">
        <v>195</v>
      </c>
      <c r="BR42" s="17">
        <v>1</v>
      </c>
      <c r="BS42" s="17" t="s">
        <v>235</v>
      </c>
      <c r="BT42" s="1" t="str">
        <f t="shared" si="6"/>
        <v/>
      </c>
      <c r="BU42" s="1" t="str">
        <f t="shared" si="7"/>
        <v/>
      </c>
      <c r="BV42" s="1" t="str">
        <f t="shared" si="8"/>
        <v/>
      </c>
      <c r="BW42" s="1" t="str">
        <f t="shared" si="9"/>
        <v/>
      </c>
      <c r="BX42" s="1" t="str">
        <f t="shared" si="10"/>
        <v/>
      </c>
      <c r="BY42" s="1" t="str">
        <f t="shared" si="11"/>
        <v/>
      </c>
      <c r="BZ42" s="1" t="str">
        <f t="shared" si="12"/>
        <v/>
      </c>
      <c r="CA42" s="1" t="str">
        <f t="shared" si="13"/>
        <v/>
      </c>
      <c r="CB42" s="1" t="str">
        <f t="shared" si="14"/>
        <v/>
      </c>
      <c r="CC42" s="1" t="str">
        <f t="shared" si="15"/>
        <v/>
      </c>
      <c r="CD42" s="1" t="str">
        <f t="shared" si="16"/>
        <v/>
      </c>
      <c r="CE42" s="1" t="str">
        <f t="shared" si="17"/>
        <v/>
      </c>
      <c r="CF42" s="1">
        <f>COUNTIF(BT42:CE42, "&gt;0")</f>
        <v>0</v>
      </c>
      <c r="CG42" s="1" t="str">
        <f t="shared" si="23"/>
        <v/>
      </c>
      <c r="CH42" s="1" t="str">
        <f t="shared" si="23"/>
        <v/>
      </c>
      <c r="CI42" s="1" t="str">
        <f t="shared" si="23"/>
        <v/>
      </c>
      <c r="CJ42" s="1" t="str">
        <f t="shared" si="23"/>
        <v/>
      </c>
      <c r="CK42" s="1" t="str">
        <f t="shared" si="23"/>
        <v/>
      </c>
      <c r="CL42" s="1" t="str">
        <f t="shared" si="23"/>
        <v/>
      </c>
      <c r="CM42" s="1" t="str">
        <f t="shared" si="23"/>
        <v/>
      </c>
      <c r="CN42" s="1" t="str">
        <f t="shared" si="23"/>
        <v/>
      </c>
      <c r="CO42" s="1" t="str">
        <f t="shared" si="23"/>
        <v/>
      </c>
      <c r="CP42" s="1" t="str">
        <f t="shared" si="23"/>
        <v/>
      </c>
      <c r="CQ42" s="1" t="str">
        <f t="shared" si="23"/>
        <v/>
      </c>
      <c r="CR42" s="1" t="str">
        <f t="shared" si="23"/>
        <v/>
      </c>
      <c r="CS42" s="18">
        <f>SUM(AE42:BO42)</f>
        <v>200</v>
      </c>
    </row>
    <row r="43" spans="1:97" ht="27" x14ac:dyDescent="0.15">
      <c r="A43" s="1">
        <v>41</v>
      </c>
      <c r="B43" s="1" t="s">
        <v>54</v>
      </c>
      <c r="C43" s="1" t="s">
        <v>48</v>
      </c>
      <c r="D43" s="1" t="s">
        <v>13</v>
      </c>
      <c r="E43" s="6"/>
      <c r="F43" s="6"/>
      <c r="G43" s="6"/>
      <c r="H43" s="6"/>
      <c r="I43" s="6"/>
      <c r="J43" s="6"/>
      <c r="K43" s="6"/>
      <c r="L43" s="6">
        <v>6</v>
      </c>
      <c r="M43" s="6"/>
      <c r="N43" s="6"/>
      <c r="O43" s="6">
        <v>6</v>
      </c>
      <c r="P43" s="32"/>
      <c r="Q43" s="32"/>
      <c r="R43" s="32"/>
      <c r="S43" s="32"/>
      <c r="T43" s="32"/>
      <c r="U43" s="32"/>
      <c r="V43" s="32"/>
      <c r="W43" s="32"/>
      <c r="X43" s="32"/>
      <c r="Y43" s="32"/>
      <c r="Z43" s="32"/>
      <c r="AA43" s="32"/>
      <c r="AB43" s="32"/>
      <c r="AC43" s="32"/>
      <c r="AD43" s="32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>
        <v>10</v>
      </c>
      <c r="AR43" s="4"/>
      <c r="AS43" s="4"/>
      <c r="AT43" s="4"/>
      <c r="AU43" s="4"/>
      <c r="AV43" s="4"/>
      <c r="AW43" s="2"/>
      <c r="AX43" s="2">
        <v>10</v>
      </c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 t="shared" si="5"/>
        <v>32</v>
      </c>
      <c r="BQ43" s="1">
        <v>5</v>
      </c>
      <c r="BR43" s="17">
        <v>2</v>
      </c>
      <c r="BS43" s="17" t="s">
        <v>236</v>
      </c>
      <c r="BT43" s="1">
        <f t="shared" si="6"/>
        <v>1</v>
      </c>
      <c r="BU43" s="1" t="str">
        <f t="shared" si="7"/>
        <v/>
      </c>
      <c r="BV43" s="1" t="str">
        <f t="shared" si="8"/>
        <v/>
      </c>
      <c r="BW43" s="1" t="str">
        <f t="shared" si="9"/>
        <v/>
      </c>
      <c r="BX43" s="1" t="str">
        <f t="shared" si="10"/>
        <v/>
      </c>
      <c r="BY43" s="1" t="str">
        <f t="shared" si="11"/>
        <v/>
      </c>
      <c r="BZ43" s="1" t="str">
        <f t="shared" si="12"/>
        <v/>
      </c>
      <c r="CA43" s="1" t="str">
        <f t="shared" si="13"/>
        <v/>
      </c>
      <c r="CB43" s="1" t="str">
        <f t="shared" si="14"/>
        <v/>
      </c>
      <c r="CC43" s="1" t="str">
        <f t="shared" si="15"/>
        <v/>
      </c>
      <c r="CD43" s="1" t="str">
        <f t="shared" si="16"/>
        <v/>
      </c>
      <c r="CE43" s="1" t="str">
        <f t="shared" si="17"/>
        <v/>
      </c>
      <c r="CF43" s="1">
        <f>COUNTIF(BT43:CE43, "&gt;0")</f>
        <v>1</v>
      </c>
      <c r="CG43" s="1">
        <f t="shared" si="23"/>
        <v>1</v>
      </c>
      <c r="CH43" s="1" t="str">
        <f t="shared" si="23"/>
        <v/>
      </c>
      <c r="CI43" s="1" t="str">
        <f t="shared" si="23"/>
        <v/>
      </c>
      <c r="CJ43" s="1" t="str">
        <f t="shared" si="23"/>
        <v/>
      </c>
      <c r="CK43" s="1" t="str">
        <f t="shared" si="23"/>
        <v/>
      </c>
      <c r="CL43" s="1" t="str">
        <f t="shared" si="23"/>
        <v/>
      </c>
      <c r="CM43" s="1" t="str">
        <f t="shared" si="23"/>
        <v/>
      </c>
      <c r="CN43" s="1" t="str">
        <f t="shared" si="23"/>
        <v/>
      </c>
      <c r="CO43" s="1" t="str">
        <f t="shared" si="23"/>
        <v/>
      </c>
      <c r="CP43" s="1" t="str">
        <f t="shared" si="23"/>
        <v/>
      </c>
      <c r="CQ43" s="1" t="str">
        <f t="shared" si="23"/>
        <v/>
      </c>
      <c r="CR43" s="1" t="str">
        <f t="shared" si="23"/>
        <v/>
      </c>
      <c r="CS43" s="18">
        <f>SUM(AE43:BO43)</f>
        <v>20</v>
      </c>
    </row>
    <row r="44" spans="1:97" ht="27" x14ac:dyDescent="0.15">
      <c r="A44" s="1">
        <v>39</v>
      </c>
      <c r="B44" s="1" t="s">
        <v>51</v>
      </c>
      <c r="C44" s="1" t="s">
        <v>48</v>
      </c>
      <c r="D44" s="1" t="s">
        <v>26</v>
      </c>
      <c r="E44" s="6"/>
      <c r="F44" s="6">
        <v>6</v>
      </c>
      <c r="G44" s="6"/>
      <c r="H44" s="6"/>
      <c r="I44" s="6"/>
      <c r="J44" s="6"/>
      <c r="K44" s="6"/>
      <c r="L44" s="6">
        <v>6</v>
      </c>
      <c r="M44" s="6"/>
      <c r="N44" s="6"/>
      <c r="O44" s="6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  <c r="AC44" s="32"/>
      <c r="AD44" s="32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>
        <v>10</v>
      </c>
      <c r="AR44" s="4"/>
      <c r="AS44" s="4"/>
      <c r="AT44" s="4"/>
      <c r="AU44" s="4"/>
      <c r="AV44" s="4"/>
      <c r="AW44" s="2"/>
      <c r="AX44" s="2">
        <v>10</v>
      </c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 t="shared" si="5"/>
        <v>32</v>
      </c>
      <c r="BQ44" s="1">
        <v>6</v>
      </c>
      <c r="BR44" s="17">
        <v>2</v>
      </c>
      <c r="BS44" s="17" t="s">
        <v>210</v>
      </c>
      <c r="BT44" s="1">
        <f t="shared" si="6"/>
        <v>1</v>
      </c>
      <c r="BU44" s="1" t="str">
        <f t="shared" si="7"/>
        <v/>
      </c>
      <c r="BV44" s="1" t="str">
        <f t="shared" si="8"/>
        <v/>
      </c>
      <c r="BW44" s="1" t="str">
        <f t="shared" si="9"/>
        <v/>
      </c>
      <c r="BX44" s="1" t="str">
        <f t="shared" si="10"/>
        <v/>
      </c>
      <c r="BY44" s="1" t="str">
        <f t="shared" si="11"/>
        <v/>
      </c>
      <c r="BZ44" s="1" t="str">
        <f t="shared" si="12"/>
        <v/>
      </c>
      <c r="CA44" s="1" t="str">
        <f t="shared" si="13"/>
        <v/>
      </c>
      <c r="CB44" s="1" t="str">
        <f t="shared" si="14"/>
        <v/>
      </c>
      <c r="CC44" s="1" t="str">
        <f t="shared" si="15"/>
        <v/>
      </c>
      <c r="CD44" s="1" t="str">
        <f t="shared" si="16"/>
        <v/>
      </c>
      <c r="CE44" s="1" t="str">
        <f t="shared" si="17"/>
        <v/>
      </c>
      <c r="CF44" s="1">
        <f>COUNTIF(BT44:CE44, "&gt;0")</f>
        <v>1</v>
      </c>
      <c r="CG44" s="1">
        <f t="shared" si="23"/>
        <v>1</v>
      </c>
      <c r="CH44" s="1" t="str">
        <f t="shared" si="23"/>
        <v/>
      </c>
      <c r="CI44" s="1" t="str">
        <f t="shared" si="23"/>
        <v/>
      </c>
      <c r="CJ44" s="1" t="str">
        <f t="shared" si="23"/>
        <v/>
      </c>
      <c r="CK44" s="1" t="str">
        <f t="shared" si="23"/>
        <v/>
      </c>
      <c r="CL44" s="1" t="str">
        <f t="shared" si="23"/>
        <v/>
      </c>
      <c r="CM44" s="1" t="str">
        <f t="shared" si="23"/>
        <v/>
      </c>
      <c r="CN44" s="1" t="str">
        <f t="shared" si="23"/>
        <v/>
      </c>
      <c r="CO44" s="1" t="str">
        <f t="shared" si="23"/>
        <v/>
      </c>
      <c r="CP44" s="1" t="str">
        <f t="shared" si="23"/>
        <v/>
      </c>
      <c r="CQ44" s="1" t="str">
        <f t="shared" si="23"/>
        <v/>
      </c>
      <c r="CR44" s="1" t="str">
        <f t="shared" si="23"/>
        <v/>
      </c>
      <c r="CS44" s="18">
        <f>SUM(AE44:BO44)</f>
        <v>20</v>
      </c>
    </row>
    <row r="45" spans="1:97" ht="27" x14ac:dyDescent="0.15">
      <c r="A45" s="1"/>
      <c r="B45" s="1" t="s">
        <v>121</v>
      </c>
      <c r="C45" s="1" t="s">
        <v>114</v>
      </c>
      <c r="D45" s="1" t="s">
        <v>111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32"/>
      <c r="Q45" s="32"/>
      <c r="R45" s="32"/>
      <c r="S45" s="32"/>
      <c r="T45" s="32"/>
      <c r="U45" s="32"/>
      <c r="V45" s="32"/>
      <c r="W45" s="32"/>
      <c r="X45" s="32"/>
      <c r="Y45" s="32"/>
      <c r="Z45" s="32"/>
      <c r="AA45" s="32"/>
      <c r="AB45" s="32"/>
      <c r="AC45" s="32"/>
      <c r="AD45" s="32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>
        <v>5</v>
      </c>
      <c r="AP45" s="1">
        <v>1</v>
      </c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 t="shared" si="5"/>
        <v>6</v>
      </c>
      <c r="BQ45" s="1">
        <v>6</v>
      </c>
      <c r="BR45" s="17">
        <v>2</v>
      </c>
      <c r="BS45" s="17" t="s">
        <v>237</v>
      </c>
      <c r="BT45" s="1" t="str">
        <f t="shared" si="6"/>
        <v/>
      </c>
      <c r="BU45" s="1" t="str">
        <f t="shared" si="7"/>
        <v/>
      </c>
      <c r="BV45" s="1" t="str">
        <f t="shared" si="8"/>
        <v/>
      </c>
      <c r="BW45" s="1" t="str">
        <f t="shared" si="9"/>
        <v/>
      </c>
      <c r="BX45" s="1" t="str">
        <f t="shared" si="10"/>
        <v/>
      </c>
      <c r="BY45" s="1" t="str">
        <f t="shared" si="11"/>
        <v/>
      </c>
      <c r="BZ45" s="1" t="str">
        <f t="shared" si="12"/>
        <v/>
      </c>
      <c r="CA45" s="1" t="str">
        <f t="shared" si="13"/>
        <v/>
      </c>
      <c r="CB45" s="1" t="str">
        <f t="shared" si="14"/>
        <v/>
      </c>
      <c r="CC45" s="1" t="str">
        <f t="shared" si="15"/>
        <v/>
      </c>
      <c r="CD45" s="1" t="str">
        <f t="shared" si="16"/>
        <v/>
      </c>
      <c r="CE45" s="1" t="str">
        <f t="shared" si="17"/>
        <v/>
      </c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8"/>
    </row>
    <row r="46" spans="1:97" ht="27" x14ac:dyDescent="0.15">
      <c r="A46" s="1">
        <v>68</v>
      </c>
      <c r="B46" s="3" t="s">
        <v>107</v>
      </c>
      <c r="C46" s="1" t="s">
        <v>59</v>
      </c>
      <c r="D46" s="1" t="s">
        <v>13</v>
      </c>
      <c r="E46" s="6"/>
      <c r="F46" s="6">
        <v>6</v>
      </c>
      <c r="G46" s="6"/>
      <c r="H46" s="6"/>
      <c r="I46" s="6"/>
      <c r="J46" s="6"/>
      <c r="K46" s="6"/>
      <c r="L46" s="6"/>
      <c r="M46" s="6"/>
      <c r="N46" s="6">
        <v>6</v>
      </c>
      <c r="O46" s="6"/>
      <c r="P46" s="32"/>
      <c r="Q46" s="32"/>
      <c r="R46" s="32"/>
      <c r="S46" s="32"/>
      <c r="T46" s="32"/>
      <c r="U46" s="32"/>
      <c r="V46" s="32"/>
      <c r="W46" s="32"/>
      <c r="X46" s="32"/>
      <c r="Y46" s="32"/>
      <c r="Z46" s="32"/>
      <c r="AA46" s="32"/>
      <c r="AB46" s="32"/>
      <c r="AC46" s="32"/>
      <c r="AD46" s="32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>
        <v>10</v>
      </c>
      <c r="AW46" s="2"/>
      <c r="AX46" s="2"/>
      <c r="AY46" s="2"/>
      <c r="AZ46" s="2"/>
      <c r="BA46" s="2"/>
      <c r="BB46" s="2">
        <v>10</v>
      </c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 t="shared" si="5"/>
        <v>32</v>
      </c>
      <c r="BQ46" s="1">
        <v>7</v>
      </c>
      <c r="BR46" s="17">
        <v>2</v>
      </c>
      <c r="BS46" s="17" t="s">
        <v>213</v>
      </c>
      <c r="BT46" s="1" t="str">
        <f t="shared" si="6"/>
        <v/>
      </c>
      <c r="BU46" s="1" t="str">
        <f t="shared" si="7"/>
        <v/>
      </c>
      <c r="BV46" s="1" t="str">
        <f t="shared" si="8"/>
        <v/>
      </c>
      <c r="BW46" s="1" t="str">
        <f t="shared" si="9"/>
        <v/>
      </c>
      <c r="BX46" s="1" t="str">
        <f t="shared" si="10"/>
        <v/>
      </c>
      <c r="BY46" s="1">
        <f t="shared" si="11"/>
        <v>2</v>
      </c>
      <c r="BZ46" s="1" t="str">
        <f t="shared" si="12"/>
        <v/>
      </c>
      <c r="CA46" s="1" t="str">
        <f t="shared" si="13"/>
        <v/>
      </c>
      <c r="CB46" s="1" t="str">
        <f t="shared" si="14"/>
        <v/>
      </c>
      <c r="CC46" s="1" t="str">
        <f t="shared" si="15"/>
        <v/>
      </c>
      <c r="CD46" s="1" t="str">
        <f t="shared" si="16"/>
        <v/>
      </c>
      <c r="CE46" s="1" t="str">
        <f t="shared" si="17"/>
        <v/>
      </c>
      <c r="CF46" s="1">
        <f>COUNTIF(BT46:CE46, "&gt;0")</f>
        <v>1</v>
      </c>
      <c r="CG46" s="1" t="str">
        <f t="shared" ref="CG46:CR46" si="24">IF($CF46=1,BT46,"")</f>
        <v/>
      </c>
      <c r="CH46" s="1" t="str">
        <f t="shared" si="24"/>
        <v/>
      </c>
      <c r="CI46" s="1" t="str">
        <f t="shared" si="24"/>
        <v/>
      </c>
      <c r="CJ46" s="1" t="str">
        <f t="shared" si="24"/>
        <v/>
      </c>
      <c r="CK46" s="1" t="str">
        <f t="shared" si="24"/>
        <v/>
      </c>
      <c r="CL46" s="1">
        <f t="shared" si="24"/>
        <v>2</v>
      </c>
      <c r="CM46" s="1" t="str">
        <f t="shared" si="24"/>
        <v/>
      </c>
      <c r="CN46" s="1" t="str">
        <f t="shared" si="24"/>
        <v/>
      </c>
      <c r="CO46" s="1" t="str">
        <f t="shared" si="24"/>
        <v/>
      </c>
      <c r="CP46" s="1" t="str">
        <f t="shared" si="24"/>
        <v/>
      </c>
      <c r="CQ46" s="1" t="str">
        <f t="shared" si="24"/>
        <v/>
      </c>
      <c r="CR46" s="1" t="str">
        <f t="shared" si="24"/>
        <v/>
      </c>
      <c r="CS46" s="18">
        <f>SUM(AE46:BO46)</f>
        <v>20</v>
      </c>
    </row>
    <row r="47" spans="1:97" ht="27" x14ac:dyDescent="0.15">
      <c r="A47" s="1"/>
      <c r="B47" s="1" t="s">
        <v>204</v>
      </c>
      <c r="C47" s="1" t="s">
        <v>126</v>
      </c>
      <c r="D47" s="1" t="s">
        <v>112</v>
      </c>
      <c r="E47" s="6"/>
      <c r="F47" s="6"/>
      <c r="G47" s="6"/>
      <c r="H47" s="6">
        <v>6</v>
      </c>
      <c r="I47" s="6"/>
      <c r="J47" s="6">
        <v>6</v>
      </c>
      <c r="K47" s="6"/>
      <c r="L47" s="6"/>
      <c r="M47" s="6"/>
      <c r="N47" s="6"/>
      <c r="O47" s="6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>
        <v>8</v>
      </c>
      <c r="AU47" s="4"/>
      <c r="AV47" s="4"/>
      <c r="AW47" s="2"/>
      <c r="AX47" s="2"/>
      <c r="AY47" s="2">
        <v>8</v>
      </c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 t="shared" si="5"/>
        <v>28</v>
      </c>
      <c r="BQ47" s="1">
        <v>7</v>
      </c>
      <c r="BR47" s="17">
        <v>2</v>
      </c>
      <c r="BS47" s="17" t="s">
        <v>238</v>
      </c>
      <c r="BT47" s="1" t="str">
        <f t="shared" si="6"/>
        <v/>
      </c>
      <c r="BU47" s="1" t="str">
        <f t="shared" si="7"/>
        <v/>
      </c>
      <c r="BV47" s="1" t="str">
        <f t="shared" si="8"/>
        <v/>
      </c>
      <c r="BW47" s="1">
        <f t="shared" si="9"/>
        <v>1</v>
      </c>
      <c r="BX47" s="1" t="str">
        <f t="shared" si="10"/>
        <v/>
      </c>
      <c r="BY47" s="1" t="str">
        <f t="shared" si="11"/>
        <v/>
      </c>
      <c r="BZ47" s="1" t="str">
        <f t="shared" si="12"/>
        <v/>
      </c>
      <c r="CA47" s="1" t="str">
        <f t="shared" si="13"/>
        <v/>
      </c>
      <c r="CB47" s="1" t="str">
        <f t="shared" si="14"/>
        <v/>
      </c>
      <c r="CC47" s="1" t="str">
        <f t="shared" si="15"/>
        <v/>
      </c>
      <c r="CD47" s="1" t="str">
        <f t="shared" si="16"/>
        <v/>
      </c>
      <c r="CE47" s="1" t="str">
        <f t="shared" si="17"/>
        <v/>
      </c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8"/>
    </row>
    <row r="48" spans="1:97" ht="27" x14ac:dyDescent="0.15">
      <c r="A48" s="1"/>
      <c r="B48" s="1" t="s">
        <v>117</v>
      </c>
      <c r="C48" s="1" t="s">
        <v>114</v>
      </c>
      <c r="D48" s="1" t="s">
        <v>118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32"/>
      <c r="Q48" s="32"/>
      <c r="R48" s="32"/>
      <c r="S48" s="32"/>
      <c r="T48" s="32"/>
      <c r="U48" s="32"/>
      <c r="V48" s="32"/>
      <c r="W48" s="32"/>
      <c r="X48" s="32"/>
      <c r="Y48" s="32"/>
      <c r="Z48" s="32"/>
      <c r="AA48" s="32"/>
      <c r="AB48" s="32"/>
      <c r="AC48" s="32"/>
      <c r="AD48" s="32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>
        <v>3</v>
      </c>
      <c r="AP48" s="1">
        <v>5</v>
      </c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 t="shared" si="5"/>
        <v>8</v>
      </c>
      <c r="BQ48" s="1">
        <v>8</v>
      </c>
      <c r="BR48" s="17">
        <v>2</v>
      </c>
      <c r="BS48" s="17" t="s">
        <v>241</v>
      </c>
      <c r="BT48" s="1" t="str">
        <f t="shared" si="6"/>
        <v/>
      </c>
      <c r="BU48" s="1" t="str">
        <f t="shared" si="7"/>
        <v/>
      </c>
      <c r="BV48" s="1" t="str">
        <f t="shared" si="8"/>
        <v/>
      </c>
      <c r="BW48" s="1" t="str">
        <f t="shared" si="9"/>
        <v/>
      </c>
      <c r="BX48" s="1" t="str">
        <f t="shared" si="10"/>
        <v/>
      </c>
      <c r="BY48" s="1" t="str">
        <f t="shared" si="11"/>
        <v/>
      </c>
      <c r="BZ48" s="1" t="str">
        <f t="shared" si="12"/>
        <v/>
      </c>
      <c r="CA48" s="1" t="str">
        <f t="shared" si="13"/>
        <v/>
      </c>
      <c r="CB48" s="1" t="str">
        <f t="shared" si="14"/>
        <v/>
      </c>
      <c r="CC48" s="1" t="str">
        <f t="shared" si="15"/>
        <v/>
      </c>
      <c r="CD48" s="1" t="str">
        <f t="shared" si="16"/>
        <v/>
      </c>
      <c r="CE48" s="1" t="str">
        <f t="shared" si="17"/>
        <v/>
      </c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8"/>
    </row>
    <row r="49" spans="1:97" ht="27" x14ac:dyDescent="0.15">
      <c r="A49" s="1"/>
      <c r="B49" s="1" t="s">
        <v>140</v>
      </c>
      <c r="C49" s="1" t="s">
        <v>128</v>
      </c>
      <c r="D49" s="1" t="s">
        <v>130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32"/>
      <c r="Q49" s="32">
        <v>5</v>
      </c>
      <c r="R49" s="32">
        <v>2</v>
      </c>
      <c r="S49" s="32"/>
      <c r="T49" s="32">
        <v>5</v>
      </c>
      <c r="U49" s="32"/>
      <c r="V49" s="32"/>
      <c r="W49" s="32"/>
      <c r="X49" s="32"/>
      <c r="Y49" s="32"/>
      <c r="Z49" s="32">
        <v>5</v>
      </c>
      <c r="AA49" s="32"/>
      <c r="AB49" s="32"/>
      <c r="AC49" s="32"/>
      <c r="AD49" s="32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 t="shared" si="5"/>
        <v>17</v>
      </c>
      <c r="BQ49" s="1">
        <v>8</v>
      </c>
      <c r="BR49" s="17">
        <v>2</v>
      </c>
      <c r="BS49" s="17" t="s">
        <v>242</v>
      </c>
      <c r="BT49" s="1" t="str">
        <f t="shared" si="6"/>
        <v/>
      </c>
      <c r="BU49" s="1" t="str">
        <f t="shared" si="7"/>
        <v/>
      </c>
      <c r="BV49" s="1" t="str">
        <f t="shared" si="8"/>
        <v/>
      </c>
      <c r="BW49" s="1" t="str">
        <f t="shared" si="9"/>
        <v/>
      </c>
      <c r="BX49" s="1" t="str">
        <f t="shared" si="10"/>
        <v/>
      </c>
      <c r="BY49" s="1" t="str">
        <f t="shared" si="11"/>
        <v/>
      </c>
      <c r="BZ49" s="1" t="str">
        <f t="shared" si="12"/>
        <v/>
      </c>
      <c r="CA49" s="1" t="str">
        <f t="shared" si="13"/>
        <v/>
      </c>
      <c r="CB49" s="1" t="str">
        <f t="shared" si="14"/>
        <v/>
      </c>
      <c r="CC49" s="1" t="str">
        <f t="shared" si="15"/>
        <v/>
      </c>
      <c r="CD49" s="1" t="str">
        <f t="shared" si="16"/>
        <v/>
      </c>
      <c r="CE49" s="1" t="str">
        <f t="shared" si="17"/>
        <v/>
      </c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8"/>
    </row>
    <row r="50" spans="1:97" ht="27" x14ac:dyDescent="0.15">
      <c r="A50" s="1"/>
      <c r="B50" s="1" t="s">
        <v>145</v>
      </c>
      <c r="C50" s="1" t="s">
        <v>128</v>
      </c>
      <c r="D50" s="1" t="s">
        <v>130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32"/>
      <c r="Q50" s="32">
        <v>5</v>
      </c>
      <c r="R50" s="32">
        <v>2</v>
      </c>
      <c r="S50" s="32"/>
      <c r="T50" s="32">
        <v>5</v>
      </c>
      <c r="U50" s="32"/>
      <c r="V50" s="32"/>
      <c r="W50" s="32"/>
      <c r="X50" s="32"/>
      <c r="Y50" s="32"/>
      <c r="Z50" s="32">
        <v>5</v>
      </c>
      <c r="AA50" s="32"/>
      <c r="AB50" s="32"/>
      <c r="AC50" s="32"/>
      <c r="AD50" s="32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 t="shared" si="5"/>
        <v>17</v>
      </c>
      <c r="BQ50" s="1">
        <v>8</v>
      </c>
      <c r="BR50" s="17">
        <v>2</v>
      </c>
      <c r="BS50" s="17" t="s">
        <v>242</v>
      </c>
      <c r="BT50" s="1" t="str">
        <f t="shared" si="6"/>
        <v/>
      </c>
      <c r="BU50" s="1" t="str">
        <f t="shared" si="7"/>
        <v/>
      </c>
      <c r="BV50" s="1" t="str">
        <f t="shared" si="8"/>
        <v/>
      </c>
      <c r="BW50" s="1" t="str">
        <f t="shared" si="9"/>
        <v/>
      </c>
      <c r="BX50" s="1" t="str">
        <f t="shared" si="10"/>
        <v/>
      </c>
      <c r="BY50" s="1" t="str">
        <f t="shared" si="11"/>
        <v/>
      </c>
      <c r="BZ50" s="1" t="str">
        <f t="shared" si="12"/>
        <v/>
      </c>
      <c r="CA50" s="1" t="str">
        <f t="shared" si="13"/>
        <v/>
      </c>
      <c r="CB50" s="1" t="str">
        <f t="shared" si="14"/>
        <v/>
      </c>
      <c r="CC50" s="1" t="str">
        <f t="shared" si="15"/>
        <v/>
      </c>
      <c r="CD50" s="1" t="str">
        <f t="shared" si="16"/>
        <v/>
      </c>
      <c r="CE50" s="1" t="str">
        <f t="shared" si="17"/>
        <v/>
      </c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8"/>
    </row>
    <row r="51" spans="1:97" ht="27" x14ac:dyDescent="0.15">
      <c r="A51" s="1"/>
      <c r="B51" s="1" t="s">
        <v>153</v>
      </c>
      <c r="C51" s="1" t="s">
        <v>151</v>
      </c>
      <c r="D51" s="1" t="s">
        <v>130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32"/>
      <c r="Q51" s="32">
        <v>5</v>
      </c>
      <c r="R51" s="32">
        <v>2</v>
      </c>
      <c r="S51" s="32"/>
      <c r="T51" s="32">
        <v>5</v>
      </c>
      <c r="U51" s="32"/>
      <c r="V51" s="32"/>
      <c r="W51" s="32"/>
      <c r="X51" s="32"/>
      <c r="Y51" s="32"/>
      <c r="Z51" s="32">
        <v>5</v>
      </c>
      <c r="AA51" s="32"/>
      <c r="AB51" s="32"/>
      <c r="AC51" s="32"/>
      <c r="AD51" s="32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 t="shared" si="5"/>
        <v>17</v>
      </c>
      <c r="BQ51" s="1">
        <v>8</v>
      </c>
      <c r="BR51" s="17">
        <v>2</v>
      </c>
      <c r="BS51" s="17" t="s">
        <v>242</v>
      </c>
      <c r="BT51" s="1" t="str">
        <f t="shared" si="6"/>
        <v/>
      </c>
      <c r="BU51" s="1" t="str">
        <f t="shared" si="7"/>
        <v/>
      </c>
      <c r="BV51" s="1" t="str">
        <f t="shared" si="8"/>
        <v/>
      </c>
      <c r="BW51" s="1" t="str">
        <f t="shared" si="9"/>
        <v/>
      </c>
      <c r="BX51" s="1" t="str">
        <f t="shared" si="10"/>
        <v/>
      </c>
      <c r="BY51" s="1" t="str">
        <f t="shared" si="11"/>
        <v/>
      </c>
      <c r="BZ51" s="1" t="str">
        <f t="shared" si="12"/>
        <v/>
      </c>
      <c r="CA51" s="1" t="str">
        <f t="shared" si="13"/>
        <v/>
      </c>
      <c r="CB51" s="1" t="str">
        <f t="shared" si="14"/>
        <v/>
      </c>
      <c r="CC51" s="1" t="str">
        <f t="shared" si="15"/>
        <v/>
      </c>
      <c r="CD51" s="1" t="str">
        <f t="shared" si="16"/>
        <v/>
      </c>
      <c r="CE51" s="1" t="str">
        <f t="shared" si="17"/>
        <v/>
      </c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8"/>
    </row>
    <row r="52" spans="1:97" ht="27" x14ac:dyDescent="0.15">
      <c r="A52" s="1"/>
      <c r="B52" s="1" t="s">
        <v>155</v>
      </c>
      <c r="C52" s="1" t="s">
        <v>156</v>
      </c>
      <c r="D52" s="1" t="s">
        <v>130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32"/>
      <c r="Q52" s="32">
        <v>5</v>
      </c>
      <c r="R52" s="32"/>
      <c r="S52" s="32"/>
      <c r="T52" s="32">
        <v>5</v>
      </c>
      <c r="U52" s="32"/>
      <c r="V52" s="32"/>
      <c r="W52" s="32"/>
      <c r="X52" s="32">
        <v>2</v>
      </c>
      <c r="Y52" s="32"/>
      <c r="Z52" s="32">
        <v>5</v>
      </c>
      <c r="AA52" s="32"/>
      <c r="AB52" s="32"/>
      <c r="AC52" s="32"/>
      <c r="AD52" s="32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>
        <f t="shared" si="5"/>
        <v>17</v>
      </c>
      <c r="BQ52" s="1">
        <v>8</v>
      </c>
      <c r="BR52" s="17">
        <v>2</v>
      </c>
      <c r="BS52" s="17" t="s">
        <v>242</v>
      </c>
      <c r="BT52" s="1" t="str">
        <f t="shared" si="6"/>
        <v/>
      </c>
      <c r="BU52" s="1" t="str">
        <f t="shared" si="7"/>
        <v/>
      </c>
      <c r="BV52" s="1" t="str">
        <f t="shared" si="8"/>
        <v/>
      </c>
      <c r="BW52" s="1" t="str">
        <f t="shared" si="9"/>
        <v/>
      </c>
      <c r="BX52" s="1" t="str">
        <f t="shared" si="10"/>
        <v/>
      </c>
      <c r="BY52" s="1" t="str">
        <f t="shared" si="11"/>
        <v/>
      </c>
      <c r="BZ52" s="1" t="str">
        <f t="shared" si="12"/>
        <v/>
      </c>
      <c r="CA52" s="1" t="str">
        <f t="shared" si="13"/>
        <v/>
      </c>
      <c r="CB52" s="1" t="str">
        <f t="shared" si="14"/>
        <v/>
      </c>
      <c r="CC52" s="1" t="str">
        <f t="shared" si="15"/>
        <v/>
      </c>
      <c r="CD52" s="1" t="str">
        <f t="shared" si="16"/>
        <v/>
      </c>
      <c r="CE52" s="1" t="str">
        <f t="shared" si="17"/>
        <v/>
      </c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8"/>
    </row>
    <row r="53" spans="1:97" ht="27" x14ac:dyDescent="0.15">
      <c r="A53" s="1">
        <v>69</v>
      </c>
      <c r="B53" s="3" t="s">
        <v>66</v>
      </c>
      <c r="C53" s="1" t="s">
        <v>59</v>
      </c>
      <c r="D53" s="1" t="s">
        <v>13</v>
      </c>
      <c r="E53" s="6"/>
      <c r="F53" s="6"/>
      <c r="G53" s="6"/>
      <c r="H53" s="6">
        <v>6</v>
      </c>
      <c r="I53" s="6">
        <v>6</v>
      </c>
      <c r="J53" s="6"/>
      <c r="K53" s="6"/>
      <c r="L53" s="6"/>
      <c r="M53" s="6"/>
      <c r="N53" s="6"/>
      <c r="O53" s="6"/>
      <c r="P53" s="32"/>
      <c r="Q53" s="32"/>
      <c r="R53" s="32"/>
      <c r="S53" s="32"/>
      <c r="T53" s="32"/>
      <c r="U53" s="32"/>
      <c r="V53" s="32"/>
      <c r="W53" s="32"/>
      <c r="X53" s="32"/>
      <c r="Y53" s="32"/>
      <c r="Z53" s="32"/>
      <c r="AA53" s="32"/>
      <c r="AB53" s="32"/>
      <c r="AC53" s="32"/>
      <c r="AD53" s="32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>
        <v>10</v>
      </c>
      <c r="AW53" s="2"/>
      <c r="AX53" s="2">
        <v>10</v>
      </c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 t="shared" si="5"/>
        <v>32</v>
      </c>
      <c r="BQ53" s="1">
        <v>8</v>
      </c>
      <c r="BR53" s="17">
        <v>2</v>
      </c>
      <c r="BS53" s="17" t="s">
        <v>244</v>
      </c>
      <c r="BT53" s="1" t="str">
        <f t="shared" si="6"/>
        <v/>
      </c>
      <c r="BU53" s="1" t="str">
        <f t="shared" si="7"/>
        <v/>
      </c>
      <c r="BV53" s="1" t="str">
        <f t="shared" si="8"/>
        <v/>
      </c>
      <c r="BW53" s="1" t="str">
        <f t="shared" si="9"/>
        <v/>
      </c>
      <c r="BX53" s="1" t="str">
        <f t="shared" si="10"/>
        <v/>
      </c>
      <c r="BY53" s="1">
        <f t="shared" si="11"/>
        <v>2</v>
      </c>
      <c r="BZ53" s="1" t="str">
        <f t="shared" si="12"/>
        <v/>
      </c>
      <c r="CA53" s="1" t="str">
        <f t="shared" si="13"/>
        <v/>
      </c>
      <c r="CB53" s="1" t="str">
        <f t="shared" si="14"/>
        <v/>
      </c>
      <c r="CC53" s="1" t="str">
        <f t="shared" si="15"/>
        <v/>
      </c>
      <c r="CD53" s="1" t="str">
        <f t="shared" si="16"/>
        <v/>
      </c>
      <c r="CE53" s="1" t="str">
        <f t="shared" si="17"/>
        <v/>
      </c>
      <c r="CF53" s="1">
        <f t="shared" ref="CF53:CF58" si="25">COUNTIF(BT53:CE53, "&gt;0")</f>
        <v>1</v>
      </c>
      <c r="CG53" s="1" t="str">
        <f t="shared" ref="CG53:CR58" si="26">IF($CF53=1,BT53,"")</f>
        <v/>
      </c>
      <c r="CH53" s="1" t="str">
        <f t="shared" si="26"/>
        <v/>
      </c>
      <c r="CI53" s="1" t="str">
        <f t="shared" si="26"/>
        <v/>
      </c>
      <c r="CJ53" s="1" t="str">
        <f t="shared" si="26"/>
        <v/>
      </c>
      <c r="CK53" s="1" t="str">
        <f t="shared" si="26"/>
        <v/>
      </c>
      <c r="CL53" s="1">
        <f t="shared" si="26"/>
        <v>2</v>
      </c>
      <c r="CM53" s="1" t="str">
        <f t="shared" si="26"/>
        <v/>
      </c>
      <c r="CN53" s="1" t="str">
        <f t="shared" si="26"/>
        <v/>
      </c>
      <c r="CO53" s="1" t="str">
        <f t="shared" si="26"/>
        <v/>
      </c>
      <c r="CP53" s="1" t="str">
        <f t="shared" si="26"/>
        <v/>
      </c>
      <c r="CQ53" s="1" t="str">
        <f t="shared" si="26"/>
        <v/>
      </c>
      <c r="CR53" s="1" t="str">
        <f t="shared" si="26"/>
        <v/>
      </c>
      <c r="CS53" s="18">
        <f t="shared" ref="CS53:CS58" si="27">SUM(AE53:BO53)</f>
        <v>20</v>
      </c>
    </row>
    <row r="54" spans="1:97" ht="27" x14ac:dyDescent="0.15">
      <c r="A54" s="1">
        <v>101</v>
      </c>
      <c r="B54" s="3" t="s">
        <v>105</v>
      </c>
      <c r="C54" s="3" t="s">
        <v>73</v>
      </c>
      <c r="D54" s="1" t="s">
        <v>13</v>
      </c>
      <c r="E54" s="6"/>
      <c r="F54" s="6"/>
      <c r="G54" s="6"/>
      <c r="H54" s="6">
        <v>6</v>
      </c>
      <c r="I54" s="6">
        <v>6</v>
      </c>
      <c r="J54" s="6"/>
      <c r="K54" s="6"/>
      <c r="L54" s="6"/>
      <c r="M54" s="6"/>
      <c r="N54" s="6"/>
      <c r="O54" s="6"/>
      <c r="P54" s="32"/>
      <c r="Q54" s="32"/>
      <c r="R54" s="32"/>
      <c r="S54" s="32"/>
      <c r="T54" s="32"/>
      <c r="U54" s="32"/>
      <c r="V54" s="32"/>
      <c r="W54" s="32"/>
      <c r="X54" s="32"/>
      <c r="Y54" s="32"/>
      <c r="Z54" s="32"/>
      <c r="AA54" s="32"/>
      <c r="AB54" s="32"/>
      <c r="AC54" s="32"/>
      <c r="AD54" s="32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>
        <v>8</v>
      </c>
      <c r="AV54" s="4"/>
      <c r="AW54" s="2">
        <v>8</v>
      </c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 t="shared" ref="BP54:BP85" si="28">SUM(E54:BO54)</f>
        <v>28</v>
      </c>
      <c r="BQ54" s="1">
        <v>8</v>
      </c>
      <c r="BR54" s="17">
        <v>2</v>
      </c>
      <c r="BS54" s="17" t="s">
        <v>246</v>
      </c>
      <c r="BT54" s="1" t="str">
        <f t="shared" ref="BT54:BT85" si="29">IF(AQ54&gt;AQ$145, AQ54-AQ$145,"")</f>
        <v/>
      </c>
      <c r="BU54" s="1" t="str">
        <f t="shared" ref="BU54:BU85" si="30">IF(AR54&gt;AR$145, AR54-AR$145,"")</f>
        <v/>
      </c>
      <c r="BV54" s="1" t="str">
        <f t="shared" ref="BV54:BV85" si="31">IF(AS54&gt;AS$145, AS54-AS$145,"")</f>
        <v/>
      </c>
      <c r="BW54" s="1" t="str">
        <f t="shared" ref="BW54:BW85" si="32">IF(AT54&gt;AT$145, AT54-AT$145,"")</f>
        <v/>
      </c>
      <c r="BX54" s="1">
        <f t="shared" ref="BX54:BX85" si="33">IF(AU54&gt;AU$145, AU54-AU$145,"")</f>
        <v>2</v>
      </c>
      <c r="BY54" s="1" t="str">
        <f t="shared" ref="BY54:BY85" si="34">IF(AV54&gt;AV$145, AV54-AV$145,"")</f>
        <v/>
      </c>
      <c r="BZ54" s="1" t="str">
        <f t="shared" ref="BZ54:BZ85" si="35">IF(AW54&gt;AW$145, AW54-AW$145,"")</f>
        <v/>
      </c>
      <c r="CA54" s="1" t="str">
        <f t="shared" ref="CA54:CA85" si="36">IF(AX54&gt;AX$145, AX54-AX$145,"")</f>
        <v/>
      </c>
      <c r="CB54" s="1" t="str">
        <f t="shared" ref="CB54:CB85" si="37">IF(AY54&gt;AY$145, AY54-AY$145,"")</f>
        <v/>
      </c>
      <c r="CC54" s="1" t="str">
        <f t="shared" ref="CC54:CC85" si="38">IF(AZ54&gt;AZ$145, AZ54-AZ$145,"")</f>
        <v/>
      </c>
      <c r="CD54" s="1" t="str">
        <f t="shared" ref="CD54:CD85" si="39">IF(BA54&gt;BA$145, BA54-BA$145,"")</f>
        <v/>
      </c>
      <c r="CE54" s="1" t="str">
        <f t="shared" ref="CE54:CE85" si="40">IF(BB54&gt;BB$145, BB54-BB$145,"")</f>
        <v/>
      </c>
      <c r="CF54" s="1">
        <f t="shared" si="25"/>
        <v>1</v>
      </c>
      <c r="CG54" s="1" t="str">
        <f t="shared" si="26"/>
        <v/>
      </c>
      <c r="CH54" s="1" t="str">
        <f t="shared" si="26"/>
        <v/>
      </c>
      <c r="CI54" s="1" t="str">
        <f t="shared" si="26"/>
        <v/>
      </c>
      <c r="CJ54" s="1" t="str">
        <f t="shared" si="26"/>
        <v/>
      </c>
      <c r="CK54" s="1">
        <f t="shared" si="26"/>
        <v>2</v>
      </c>
      <c r="CL54" s="1" t="str">
        <f t="shared" si="26"/>
        <v/>
      </c>
      <c r="CM54" s="1" t="str">
        <f t="shared" si="26"/>
        <v/>
      </c>
      <c r="CN54" s="1" t="str">
        <f t="shared" si="26"/>
        <v/>
      </c>
      <c r="CO54" s="1" t="str">
        <f t="shared" si="26"/>
        <v/>
      </c>
      <c r="CP54" s="1" t="str">
        <f t="shared" si="26"/>
        <v/>
      </c>
      <c r="CQ54" s="1" t="str">
        <f t="shared" si="26"/>
        <v/>
      </c>
      <c r="CR54" s="1" t="str">
        <f t="shared" si="26"/>
        <v/>
      </c>
      <c r="CS54" s="18">
        <f t="shared" si="27"/>
        <v>16</v>
      </c>
    </row>
    <row r="55" spans="1:97" ht="27" x14ac:dyDescent="0.15">
      <c r="A55" s="1">
        <v>20</v>
      </c>
      <c r="B55" s="1" t="s">
        <v>37</v>
      </c>
      <c r="C55" s="1" t="s">
        <v>31</v>
      </c>
      <c r="D55" s="1" t="s">
        <v>25</v>
      </c>
      <c r="E55" s="6"/>
      <c r="F55" s="6">
        <v>5</v>
      </c>
      <c r="G55" s="6"/>
      <c r="H55" s="6"/>
      <c r="I55" s="6"/>
      <c r="J55" s="6"/>
      <c r="K55" s="6"/>
      <c r="L55" s="6"/>
      <c r="M55" s="6"/>
      <c r="N55" s="6"/>
      <c r="O55" s="6"/>
      <c r="P55" s="32"/>
      <c r="Q55" s="32"/>
      <c r="R55" s="32"/>
      <c r="S55" s="32"/>
      <c r="T55" s="32"/>
      <c r="U55" s="32"/>
      <c r="V55" s="32"/>
      <c r="W55" s="32"/>
      <c r="X55" s="32"/>
      <c r="Y55" s="32"/>
      <c r="Z55" s="32"/>
      <c r="AA55" s="32"/>
      <c r="AB55" s="32"/>
      <c r="AC55" s="32"/>
      <c r="AD55" s="32"/>
      <c r="AE55" s="1"/>
      <c r="AF55" s="1"/>
      <c r="AG55" s="1">
        <v>5</v>
      </c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 t="shared" si="28"/>
        <v>10</v>
      </c>
      <c r="BQ55" s="1">
        <v>9</v>
      </c>
      <c r="BR55" s="17">
        <v>2</v>
      </c>
      <c r="BS55" s="17" t="s">
        <v>225</v>
      </c>
      <c r="BT55" s="1" t="str">
        <f t="shared" si="29"/>
        <v/>
      </c>
      <c r="BU55" s="1" t="str">
        <f t="shared" si="30"/>
        <v/>
      </c>
      <c r="BV55" s="1" t="str">
        <f t="shared" si="31"/>
        <v/>
      </c>
      <c r="BW55" s="1" t="str">
        <f t="shared" si="32"/>
        <v/>
      </c>
      <c r="BX55" s="1" t="str">
        <f t="shared" si="33"/>
        <v/>
      </c>
      <c r="BY55" s="1" t="str">
        <f t="shared" si="34"/>
        <v/>
      </c>
      <c r="BZ55" s="1" t="str">
        <f t="shared" si="35"/>
        <v/>
      </c>
      <c r="CA55" s="1" t="str">
        <f t="shared" si="36"/>
        <v/>
      </c>
      <c r="CB55" s="1" t="str">
        <f t="shared" si="37"/>
        <v/>
      </c>
      <c r="CC55" s="1" t="str">
        <f t="shared" si="38"/>
        <v/>
      </c>
      <c r="CD55" s="1" t="str">
        <f t="shared" si="39"/>
        <v/>
      </c>
      <c r="CE55" s="1" t="str">
        <f t="shared" si="40"/>
        <v/>
      </c>
      <c r="CF55" s="1">
        <f t="shared" si="25"/>
        <v>0</v>
      </c>
      <c r="CG55" s="1" t="str">
        <f t="shared" si="26"/>
        <v/>
      </c>
      <c r="CH55" s="1" t="str">
        <f t="shared" si="26"/>
        <v/>
      </c>
      <c r="CI55" s="1" t="str">
        <f t="shared" si="26"/>
        <v/>
      </c>
      <c r="CJ55" s="1" t="str">
        <f t="shared" si="26"/>
        <v/>
      </c>
      <c r="CK55" s="1" t="str">
        <f t="shared" si="26"/>
        <v/>
      </c>
      <c r="CL55" s="1" t="str">
        <f t="shared" si="26"/>
        <v/>
      </c>
      <c r="CM55" s="1" t="str">
        <f t="shared" si="26"/>
        <v/>
      </c>
      <c r="CN55" s="1" t="str">
        <f t="shared" si="26"/>
        <v/>
      </c>
      <c r="CO55" s="1" t="str">
        <f t="shared" si="26"/>
        <v/>
      </c>
      <c r="CP55" s="1" t="str">
        <f t="shared" si="26"/>
        <v/>
      </c>
      <c r="CQ55" s="1" t="str">
        <f t="shared" si="26"/>
        <v/>
      </c>
      <c r="CR55" s="1" t="str">
        <f t="shared" si="26"/>
        <v/>
      </c>
      <c r="CS55" s="18">
        <f t="shared" si="27"/>
        <v>5</v>
      </c>
    </row>
    <row r="56" spans="1:97" ht="27" x14ac:dyDescent="0.15">
      <c r="A56" s="1">
        <v>8</v>
      </c>
      <c r="B56" s="1" t="s">
        <v>180</v>
      </c>
      <c r="C56" s="1" t="s">
        <v>2</v>
      </c>
      <c r="D56" s="1" t="s">
        <v>26</v>
      </c>
      <c r="E56" s="6">
        <v>6</v>
      </c>
      <c r="F56" s="6"/>
      <c r="G56" s="6"/>
      <c r="H56" s="6">
        <v>6</v>
      </c>
      <c r="I56" s="6"/>
      <c r="J56" s="6"/>
      <c r="K56" s="6"/>
      <c r="L56" s="6"/>
      <c r="M56" s="6"/>
      <c r="N56" s="6"/>
      <c r="O56" s="6"/>
      <c r="P56" s="32"/>
      <c r="Q56" s="32"/>
      <c r="R56" s="32"/>
      <c r="S56" s="32"/>
      <c r="T56" s="32"/>
      <c r="U56" s="32"/>
      <c r="V56" s="32"/>
      <c r="W56" s="32"/>
      <c r="X56" s="32"/>
      <c r="Y56" s="32"/>
      <c r="Z56" s="32"/>
      <c r="AA56" s="32"/>
      <c r="AB56" s="32"/>
      <c r="AC56" s="32"/>
      <c r="AD56" s="32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>
        <v>10</v>
      </c>
      <c r="AS56" s="4"/>
      <c r="AT56" s="4"/>
      <c r="AU56" s="4"/>
      <c r="AV56" s="4"/>
      <c r="AW56" s="2"/>
      <c r="AX56" s="2"/>
      <c r="AY56" s="2"/>
      <c r="AZ56" s="2"/>
      <c r="BA56" s="2"/>
      <c r="BB56" s="2">
        <v>10</v>
      </c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 t="shared" si="28"/>
        <v>32</v>
      </c>
      <c r="BQ56" s="1">
        <v>10</v>
      </c>
      <c r="BR56" s="17">
        <v>2</v>
      </c>
      <c r="BS56" s="17" t="s">
        <v>245</v>
      </c>
      <c r="BT56" s="1" t="str">
        <f t="shared" si="29"/>
        <v/>
      </c>
      <c r="BU56" s="1">
        <f t="shared" si="30"/>
        <v>4</v>
      </c>
      <c r="BV56" s="1" t="str">
        <f t="shared" si="31"/>
        <v/>
      </c>
      <c r="BW56" s="1" t="str">
        <f t="shared" si="32"/>
        <v/>
      </c>
      <c r="BX56" s="1" t="str">
        <f t="shared" si="33"/>
        <v/>
      </c>
      <c r="BY56" s="1" t="str">
        <f t="shared" si="34"/>
        <v/>
      </c>
      <c r="BZ56" s="1" t="str">
        <f t="shared" si="35"/>
        <v/>
      </c>
      <c r="CA56" s="1" t="str">
        <f t="shared" si="36"/>
        <v/>
      </c>
      <c r="CB56" s="1" t="str">
        <f t="shared" si="37"/>
        <v/>
      </c>
      <c r="CC56" s="1" t="str">
        <f t="shared" si="38"/>
        <v/>
      </c>
      <c r="CD56" s="1" t="str">
        <f t="shared" si="39"/>
        <v/>
      </c>
      <c r="CE56" s="1" t="str">
        <f t="shared" si="40"/>
        <v/>
      </c>
      <c r="CF56" s="1">
        <f t="shared" si="25"/>
        <v>1</v>
      </c>
      <c r="CG56" s="1" t="str">
        <f t="shared" si="26"/>
        <v/>
      </c>
      <c r="CH56" s="1">
        <f t="shared" si="26"/>
        <v>4</v>
      </c>
      <c r="CI56" s="1" t="str">
        <f t="shared" si="26"/>
        <v/>
      </c>
      <c r="CJ56" s="1" t="str">
        <f t="shared" si="26"/>
        <v/>
      </c>
      <c r="CK56" s="1" t="str">
        <f t="shared" si="26"/>
        <v/>
      </c>
      <c r="CL56" s="1" t="str">
        <f t="shared" si="26"/>
        <v/>
      </c>
      <c r="CM56" s="1" t="str">
        <f t="shared" si="26"/>
        <v/>
      </c>
      <c r="CN56" s="1" t="str">
        <f t="shared" si="26"/>
        <v/>
      </c>
      <c r="CO56" s="1" t="str">
        <f t="shared" si="26"/>
        <v/>
      </c>
      <c r="CP56" s="1" t="str">
        <f t="shared" si="26"/>
        <v/>
      </c>
      <c r="CQ56" s="1" t="str">
        <f t="shared" si="26"/>
        <v/>
      </c>
      <c r="CR56" s="1" t="str">
        <f t="shared" si="26"/>
        <v/>
      </c>
      <c r="CS56" s="18">
        <f t="shared" si="27"/>
        <v>20</v>
      </c>
    </row>
    <row r="57" spans="1:97" ht="27" x14ac:dyDescent="0.15">
      <c r="A57" s="1">
        <v>27</v>
      </c>
      <c r="B57" s="1" t="s">
        <v>78</v>
      </c>
      <c r="C57" s="1" t="s">
        <v>31</v>
      </c>
      <c r="D57" s="1" t="s">
        <v>24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32"/>
      <c r="Q57" s="32"/>
      <c r="R57" s="32"/>
      <c r="S57" s="32"/>
      <c r="T57" s="32"/>
      <c r="U57" s="32"/>
      <c r="V57" s="32"/>
      <c r="W57" s="32"/>
      <c r="X57" s="32"/>
      <c r="Y57" s="32"/>
      <c r="Z57" s="32"/>
      <c r="AA57" s="32"/>
      <c r="AB57" s="32"/>
      <c r="AC57" s="32"/>
      <c r="AD57" s="32"/>
      <c r="AE57" s="1"/>
      <c r="AF57" s="1"/>
      <c r="AG57" s="1"/>
      <c r="AH57" s="1">
        <v>5</v>
      </c>
      <c r="AI57" s="1">
        <v>5</v>
      </c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 t="shared" si="28"/>
        <v>10</v>
      </c>
      <c r="BQ57" s="1">
        <v>10</v>
      </c>
      <c r="BR57" s="17">
        <v>2</v>
      </c>
      <c r="BS57" s="17" t="s">
        <v>247</v>
      </c>
      <c r="BT57" s="1" t="str">
        <f t="shared" si="29"/>
        <v/>
      </c>
      <c r="BU57" s="1" t="str">
        <f t="shared" si="30"/>
        <v/>
      </c>
      <c r="BV57" s="1" t="str">
        <f t="shared" si="31"/>
        <v/>
      </c>
      <c r="BW57" s="1" t="str">
        <f t="shared" si="32"/>
        <v/>
      </c>
      <c r="BX57" s="1" t="str">
        <f t="shared" si="33"/>
        <v/>
      </c>
      <c r="BY57" s="1" t="str">
        <f t="shared" si="34"/>
        <v/>
      </c>
      <c r="BZ57" s="1" t="str">
        <f t="shared" si="35"/>
        <v/>
      </c>
      <c r="CA57" s="1" t="str">
        <f t="shared" si="36"/>
        <v/>
      </c>
      <c r="CB57" s="1" t="str">
        <f t="shared" si="37"/>
        <v/>
      </c>
      <c r="CC57" s="1" t="str">
        <f t="shared" si="38"/>
        <v/>
      </c>
      <c r="CD57" s="1" t="str">
        <f t="shared" si="39"/>
        <v/>
      </c>
      <c r="CE57" s="1" t="str">
        <f t="shared" si="40"/>
        <v/>
      </c>
      <c r="CF57" s="1">
        <f t="shared" si="25"/>
        <v>0</v>
      </c>
      <c r="CG57" s="1" t="str">
        <f t="shared" si="26"/>
        <v/>
      </c>
      <c r="CH57" s="1" t="str">
        <f t="shared" si="26"/>
        <v/>
      </c>
      <c r="CI57" s="1" t="str">
        <f t="shared" si="26"/>
        <v/>
      </c>
      <c r="CJ57" s="1" t="str">
        <f t="shared" si="26"/>
        <v/>
      </c>
      <c r="CK57" s="1" t="str">
        <f t="shared" si="26"/>
        <v/>
      </c>
      <c r="CL57" s="1" t="str">
        <f t="shared" si="26"/>
        <v/>
      </c>
      <c r="CM57" s="1" t="str">
        <f t="shared" si="26"/>
        <v/>
      </c>
      <c r="CN57" s="1" t="str">
        <f t="shared" si="26"/>
        <v/>
      </c>
      <c r="CO57" s="1" t="str">
        <f t="shared" si="26"/>
        <v/>
      </c>
      <c r="CP57" s="1" t="str">
        <f t="shared" si="26"/>
        <v/>
      </c>
      <c r="CQ57" s="1" t="str">
        <f t="shared" si="26"/>
        <v/>
      </c>
      <c r="CR57" s="1" t="str">
        <f t="shared" si="26"/>
        <v/>
      </c>
      <c r="CS57" s="18">
        <f t="shared" si="27"/>
        <v>10</v>
      </c>
    </row>
    <row r="58" spans="1:97" ht="27" x14ac:dyDescent="0.15">
      <c r="A58" s="1">
        <v>88</v>
      </c>
      <c r="B58" s="3" t="s">
        <v>83</v>
      </c>
      <c r="C58" s="3" t="s">
        <v>84</v>
      </c>
      <c r="D58" s="1" t="s">
        <v>24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32"/>
      <c r="Q58" s="32"/>
      <c r="R58" s="32"/>
      <c r="S58" s="32"/>
      <c r="T58" s="32"/>
      <c r="U58" s="32"/>
      <c r="V58" s="32"/>
      <c r="W58" s="32"/>
      <c r="X58" s="32"/>
      <c r="Y58" s="32"/>
      <c r="Z58" s="32"/>
      <c r="AA58" s="32"/>
      <c r="AB58" s="32"/>
      <c r="AC58" s="32"/>
      <c r="AD58" s="32"/>
      <c r="AE58" s="1"/>
      <c r="AF58" s="1"/>
      <c r="AG58" s="1"/>
      <c r="AH58" s="1">
        <v>5</v>
      </c>
      <c r="AI58" s="1">
        <v>5</v>
      </c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 t="shared" si="28"/>
        <v>10</v>
      </c>
      <c r="BQ58" s="1">
        <v>10</v>
      </c>
      <c r="BR58" s="17">
        <v>2</v>
      </c>
      <c r="BS58" s="17" t="s">
        <v>247</v>
      </c>
      <c r="BT58" s="1" t="str">
        <f t="shared" si="29"/>
        <v/>
      </c>
      <c r="BU58" s="1" t="str">
        <f t="shared" si="30"/>
        <v/>
      </c>
      <c r="BV58" s="1" t="str">
        <f t="shared" si="31"/>
        <v/>
      </c>
      <c r="BW58" s="1" t="str">
        <f t="shared" si="32"/>
        <v/>
      </c>
      <c r="BX58" s="1" t="str">
        <f t="shared" si="33"/>
        <v/>
      </c>
      <c r="BY58" s="1" t="str">
        <f t="shared" si="34"/>
        <v/>
      </c>
      <c r="BZ58" s="1" t="str">
        <f t="shared" si="35"/>
        <v/>
      </c>
      <c r="CA58" s="1" t="str">
        <f t="shared" si="36"/>
        <v/>
      </c>
      <c r="CB58" s="1" t="str">
        <f t="shared" si="37"/>
        <v/>
      </c>
      <c r="CC58" s="1" t="str">
        <f t="shared" si="38"/>
        <v/>
      </c>
      <c r="CD58" s="1" t="str">
        <f t="shared" si="39"/>
        <v/>
      </c>
      <c r="CE58" s="1" t="str">
        <f t="shared" si="40"/>
        <v/>
      </c>
      <c r="CF58" s="1">
        <f t="shared" si="25"/>
        <v>0</v>
      </c>
      <c r="CG58" s="1" t="str">
        <f t="shared" si="26"/>
        <v/>
      </c>
      <c r="CH58" s="1" t="str">
        <f t="shared" si="26"/>
        <v/>
      </c>
      <c r="CI58" s="1" t="str">
        <f t="shared" si="26"/>
        <v/>
      </c>
      <c r="CJ58" s="1" t="str">
        <f t="shared" si="26"/>
        <v/>
      </c>
      <c r="CK58" s="1" t="str">
        <f t="shared" si="26"/>
        <v/>
      </c>
      <c r="CL58" s="1" t="str">
        <f t="shared" si="26"/>
        <v/>
      </c>
      <c r="CM58" s="1" t="str">
        <f t="shared" si="26"/>
        <v/>
      </c>
      <c r="CN58" s="1" t="str">
        <f t="shared" si="26"/>
        <v/>
      </c>
      <c r="CO58" s="1" t="str">
        <f t="shared" si="26"/>
        <v/>
      </c>
      <c r="CP58" s="1" t="str">
        <f t="shared" si="26"/>
        <v/>
      </c>
      <c r="CQ58" s="1" t="str">
        <f t="shared" si="26"/>
        <v/>
      </c>
      <c r="CR58" s="1" t="str">
        <f t="shared" si="26"/>
        <v/>
      </c>
      <c r="CS58" s="18">
        <f t="shared" si="27"/>
        <v>10</v>
      </c>
    </row>
    <row r="59" spans="1:97" ht="27" x14ac:dyDescent="0.15">
      <c r="A59" s="1"/>
      <c r="B59" s="1" t="s">
        <v>199</v>
      </c>
      <c r="C59" s="1" t="s">
        <v>114</v>
      </c>
      <c r="D59" s="1" t="s">
        <v>112</v>
      </c>
      <c r="E59" s="6">
        <v>6</v>
      </c>
      <c r="F59" s="6">
        <v>6</v>
      </c>
      <c r="G59" s="6"/>
      <c r="H59" s="6"/>
      <c r="I59" s="6"/>
      <c r="J59" s="6"/>
      <c r="K59" s="6"/>
      <c r="L59" s="6"/>
      <c r="M59" s="6"/>
      <c r="N59" s="6"/>
      <c r="O59" s="6"/>
      <c r="P59" s="32"/>
      <c r="Q59" s="32"/>
      <c r="R59" s="32"/>
      <c r="S59" s="32"/>
      <c r="T59" s="32"/>
      <c r="U59" s="32"/>
      <c r="V59" s="32"/>
      <c r="W59" s="32"/>
      <c r="X59" s="32"/>
      <c r="Y59" s="32"/>
      <c r="Z59" s="32"/>
      <c r="AA59" s="32"/>
      <c r="AB59" s="32"/>
      <c r="AC59" s="32"/>
      <c r="AD59" s="32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>
        <v>10</v>
      </c>
      <c r="AT59" s="4"/>
      <c r="AU59" s="4"/>
      <c r="AV59" s="4"/>
      <c r="AW59" s="2"/>
      <c r="AX59" s="2">
        <v>10</v>
      </c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 t="shared" si="28"/>
        <v>32</v>
      </c>
      <c r="BQ59" s="1">
        <v>13</v>
      </c>
      <c r="BR59" s="17">
        <v>2</v>
      </c>
      <c r="BS59" s="17" t="s">
        <v>229</v>
      </c>
      <c r="BT59" s="1" t="str">
        <f t="shared" si="29"/>
        <v/>
      </c>
      <c r="BU59" s="1" t="str">
        <f t="shared" si="30"/>
        <v/>
      </c>
      <c r="BV59" s="1">
        <f t="shared" si="31"/>
        <v>8</v>
      </c>
      <c r="BW59" s="1" t="str">
        <f t="shared" si="32"/>
        <v/>
      </c>
      <c r="BX59" s="1" t="str">
        <f t="shared" si="33"/>
        <v/>
      </c>
      <c r="BY59" s="1" t="str">
        <f t="shared" si="34"/>
        <v/>
      </c>
      <c r="BZ59" s="1" t="str">
        <f t="shared" si="35"/>
        <v/>
      </c>
      <c r="CA59" s="1" t="str">
        <f t="shared" si="36"/>
        <v/>
      </c>
      <c r="CB59" s="1" t="str">
        <f t="shared" si="37"/>
        <v/>
      </c>
      <c r="CC59" s="1" t="str">
        <f t="shared" si="38"/>
        <v/>
      </c>
      <c r="CD59" s="1" t="str">
        <f t="shared" si="39"/>
        <v/>
      </c>
      <c r="CE59" s="1" t="str">
        <f t="shared" si="40"/>
        <v/>
      </c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8"/>
    </row>
    <row r="60" spans="1:97" ht="27" x14ac:dyDescent="0.15">
      <c r="A60" s="1">
        <v>1</v>
      </c>
      <c r="B60" s="1" t="s">
        <v>0</v>
      </c>
      <c r="C60" s="1" t="s">
        <v>2</v>
      </c>
      <c r="D60" s="1" t="s">
        <v>1</v>
      </c>
      <c r="E60" s="6">
        <v>10</v>
      </c>
      <c r="F60" s="6">
        <v>10</v>
      </c>
      <c r="G60" s="6"/>
      <c r="H60" s="6"/>
      <c r="I60" s="6"/>
      <c r="J60" s="6"/>
      <c r="K60" s="6"/>
      <c r="L60" s="6"/>
      <c r="M60" s="6"/>
      <c r="N60" s="6"/>
      <c r="O60" s="6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  <c r="AC60" s="32"/>
      <c r="AD60" s="32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>
        <v>10</v>
      </c>
      <c r="AS60" s="4"/>
      <c r="AT60" s="4"/>
      <c r="AU60" s="4"/>
      <c r="AV60" s="4"/>
      <c r="AW60" s="2">
        <v>15</v>
      </c>
      <c r="AX60" s="2">
        <v>15</v>
      </c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 t="shared" si="28"/>
        <v>60</v>
      </c>
      <c r="BQ60" s="1">
        <v>13</v>
      </c>
      <c r="BR60" s="17">
        <v>2</v>
      </c>
      <c r="BS60" s="17" t="s">
        <v>243</v>
      </c>
      <c r="BT60" s="1" t="str">
        <f t="shared" si="29"/>
        <v/>
      </c>
      <c r="BU60" s="1">
        <f t="shared" si="30"/>
        <v>4</v>
      </c>
      <c r="BV60" s="1" t="str">
        <f t="shared" si="31"/>
        <v/>
      </c>
      <c r="BW60" s="1" t="str">
        <f t="shared" si="32"/>
        <v/>
      </c>
      <c r="BX60" s="1" t="str">
        <f t="shared" si="33"/>
        <v/>
      </c>
      <c r="BY60" s="1" t="str">
        <f t="shared" si="34"/>
        <v/>
      </c>
      <c r="BZ60" s="1" t="str">
        <f t="shared" si="35"/>
        <v/>
      </c>
      <c r="CA60" s="1" t="str">
        <f t="shared" si="36"/>
        <v/>
      </c>
      <c r="CB60" s="1" t="str">
        <f t="shared" si="37"/>
        <v/>
      </c>
      <c r="CC60" s="1" t="str">
        <f t="shared" si="38"/>
        <v/>
      </c>
      <c r="CD60" s="1" t="str">
        <f t="shared" si="39"/>
        <v/>
      </c>
      <c r="CE60" s="1" t="str">
        <f t="shared" si="40"/>
        <v/>
      </c>
      <c r="CF60" s="1">
        <f>COUNTIF(BT60:CE60, "&gt;0")</f>
        <v>1</v>
      </c>
      <c r="CG60" s="1" t="str">
        <f t="shared" ref="CG60:CR61" si="41">IF($CF60=1,BT60,"")</f>
        <v/>
      </c>
      <c r="CH60" s="1">
        <f t="shared" si="41"/>
        <v>4</v>
      </c>
      <c r="CI60" s="1" t="str">
        <f t="shared" si="41"/>
        <v/>
      </c>
      <c r="CJ60" s="1" t="str">
        <f t="shared" si="41"/>
        <v/>
      </c>
      <c r="CK60" s="1" t="str">
        <f t="shared" si="41"/>
        <v/>
      </c>
      <c r="CL60" s="1" t="str">
        <f t="shared" si="41"/>
        <v/>
      </c>
      <c r="CM60" s="1" t="str">
        <f t="shared" si="41"/>
        <v/>
      </c>
      <c r="CN60" s="1" t="str">
        <f t="shared" si="41"/>
        <v/>
      </c>
      <c r="CO60" s="1" t="str">
        <f t="shared" si="41"/>
        <v/>
      </c>
      <c r="CP60" s="1" t="str">
        <f t="shared" si="41"/>
        <v/>
      </c>
      <c r="CQ60" s="1" t="str">
        <f t="shared" si="41"/>
        <v/>
      </c>
      <c r="CR60" s="1" t="str">
        <f t="shared" si="41"/>
        <v/>
      </c>
      <c r="CS60" s="18">
        <f>SUM(AE60:BO60)</f>
        <v>40</v>
      </c>
    </row>
    <row r="61" spans="1:97" ht="27" x14ac:dyDescent="0.15">
      <c r="A61" s="1">
        <v>82</v>
      </c>
      <c r="B61" s="3" t="s">
        <v>71</v>
      </c>
      <c r="C61" s="3" t="s">
        <v>67</v>
      </c>
      <c r="D61" s="1" t="s">
        <v>13</v>
      </c>
      <c r="E61" s="6"/>
      <c r="F61" s="6"/>
      <c r="G61" s="6"/>
      <c r="H61" s="6"/>
      <c r="I61" s="6"/>
      <c r="J61" s="6"/>
      <c r="K61" s="6"/>
      <c r="L61" s="6">
        <v>6</v>
      </c>
      <c r="M61" s="6"/>
      <c r="N61" s="6">
        <v>6</v>
      </c>
      <c r="O61" s="6"/>
      <c r="P61" s="32"/>
      <c r="Q61" s="32"/>
      <c r="R61" s="32"/>
      <c r="S61" s="32"/>
      <c r="T61" s="32"/>
      <c r="U61" s="32"/>
      <c r="V61" s="32"/>
      <c r="W61" s="32"/>
      <c r="X61" s="32"/>
      <c r="Y61" s="32"/>
      <c r="Z61" s="32"/>
      <c r="AA61" s="32"/>
      <c r="AB61" s="32"/>
      <c r="AC61" s="32"/>
      <c r="AD61" s="32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>
        <v>10</v>
      </c>
      <c r="AU61" s="4"/>
      <c r="AV61" s="4"/>
      <c r="AW61" s="2"/>
      <c r="AX61" s="2"/>
      <c r="AY61" s="2"/>
      <c r="AZ61" s="2">
        <v>10</v>
      </c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 t="shared" si="28"/>
        <v>32</v>
      </c>
      <c r="BQ61" s="1">
        <v>13</v>
      </c>
      <c r="BR61" s="17">
        <v>2</v>
      </c>
      <c r="BS61" s="17" t="s">
        <v>248</v>
      </c>
      <c r="BT61" s="1" t="str">
        <f t="shared" si="29"/>
        <v/>
      </c>
      <c r="BU61" s="1" t="str">
        <f t="shared" si="30"/>
        <v/>
      </c>
      <c r="BV61" s="1" t="str">
        <f t="shared" si="31"/>
        <v/>
      </c>
      <c r="BW61" s="1">
        <f t="shared" si="32"/>
        <v>3</v>
      </c>
      <c r="BX61" s="1" t="str">
        <f t="shared" si="33"/>
        <v/>
      </c>
      <c r="BY61" s="1" t="str">
        <f t="shared" si="34"/>
        <v/>
      </c>
      <c r="BZ61" s="1" t="str">
        <f t="shared" si="35"/>
        <v/>
      </c>
      <c r="CA61" s="1" t="str">
        <f t="shared" si="36"/>
        <v/>
      </c>
      <c r="CB61" s="1" t="str">
        <f t="shared" si="37"/>
        <v/>
      </c>
      <c r="CC61" s="1">
        <f t="shared" si="38"/>
        <v>10</v>
      </c>
      <c r="CD61" s="1" t="str">
        <f t="shared" si="39"/>
        <v/>
      </c>
      <c r="CE61" s="1" t="str">
        <f t="shared" si="40"/>
        <v/>
      </c>
      <c r="CF61" s="1">
        <f>COUNTIF(BT61:CE61, "&gt;0")</f>
        <v>2</v>
      </c>
      <c r="CG61" s="1" t="str">
        <f t="shared" si="41"/>
        <v/>
      </c>
      <c r="CH61" s="1" t="str">
        <f t="shared" si="41"/>
        <v/>
      </c>
      <c r="CI61" s="1" t="str">
        <f t="shared" si="41"/>
        <v/>
      </c>
      <c r="CJ61" s="1" t="str">
        <f t="shared" si="41"/>
        <v/>
      </c>
      <c r="CK61" s="1" t="str">
        <f t="shared" si="41"/>
        <v/>
      </c>
      <c r="CL61" s="1" t="str">
        <f t="shared" si="41"/>
        <v/>
      </c>
      <c r="CM61" s="1" t="str">
        <f t="shared" si="41"/>
        <v/>
      </c>
      <c r="CN61" s="1" t="str">
        <f t="shared" si="41"/>
        <v/>
      </c>
      <c r="CO61" s="1" t="str">
        <f t="shared" si="41"/>
        <v/>
      </c>
      <c r="CP61" s="1" t="str">
        <f t="shared" si="41"/>
        <v/>
      </c>
      <c r="CQ61" s="1" t="str">
        <f t="shared" si="41"/>
        <v/>
      </c>
      <c r="CR61" s="1" t="str">
        <f t="shared" si="41"/>
        <v/>
      </c>
      <c r="CS61" s="18">
        <f>SUM(AE61:BO61)</f>
        <v>20</v>
      </c>
    </row>
    <row r="62" spans="1:97" ht="27" x14ac:dyDescent="0.15">
      <c r="A62" s="1"/>
      <c r="B62" s="1" t="s">
        <v>202</v>
      </c>
      <c r="C62" s="1" t="s">
        <v>126</v>
      </c>
      <c r="D62" s="1" t="s">
        <v>112</v>
      </c>
      <c r="E62" s="6"/>
      <c r="F62" s="6"/>
      <c r="G62" s="6"/>
      <c r="H62" s="6">
        <v>10</v>
      </c>
      <c r="I62" s="6"/>
      <c r="J62" s="6">
        <v>10</v>
      </c>
      <c r="K62" s="6"/>
      <c r="L62" s="6"/>
      <c r="M62" s="6"/>
      <c r="N62" s="6"/>
      <c r="O62" s="6"/>
      <c r="P62" s="32"/>
      <c r="Q62" s="32"/>
      <c r="R62" s="32"/>
      <c r="S62" s="32"/>
      <c r="T62" s="32"/>
      <c r="U62" s="32"/>
      <c r="V62" s="32"/>
      <c r="W62" s="32"/>
      <c r="X62" s="32"/>
      <c r="Y62" s="32"/>
      <c r="Z62" s="32"/>
      <c r="AA62" s="32"/>
      <c r="AB62" s="32"/>
      <c r="AC62" s="32"/>
      <c r="AD62" s="32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>
        <v>10</v>
      </c>
      <c r="AU62" s="4"/>
      <c r="AV62" s="4"/>
      <c r="AW62" s="2"/>
      <c r="AX62" s="2"/>
      <c r="AY62" s="2">
        <v>10</v>
      </c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 t="shared" si="28"/>
        <v>40</v>
      </c>
      <c r="BQ62" s="1">
        <v>13</v>
      </c>
      <c r="BR62" s="17">
        <v>2</v>
      </c>
      <c r="BS62" s="17" t="s">
        <v>249</v>
      </c>
      <c r="BT62" s="1" t="str">
        <f t="shared" si="29"/>
        <v/>
      </c>
      <c r="BU62" s="1" t="str">
        <f t="shared" si="30"/>
        <v/>
      </c>
      <c r="BV62" s="1" t="str">
        <f t="shared" si="31"/>
        <v/>
      </c>
      <c r="BW62" s="1">
        <f t="shared" si="32"/>
        <v>3</v>
      </c>
      <c r="BX62" s="1" t="str">
        <f t="shared" si="33"/>
        <v/>
      </c>
      <c r="BY62" s="1" t="str">
        <f t="shared" si="34"/>
        <v/>
      </c>
      <c r="BZ62" s="1" t="str">
        <f t="shared" si="35"/>
        <v/>
      </c>
      <c r="CA62" s="1" t="str">
        <f t="shared" si="36"/>
        <v/>
      </c>
      <c r="CB62" s="1" t="str">
        <f t="shared" si="37"/>
        <v/>
      </c>
      <c r="CC62" s="1" t="str">
        <f t="shared" si="38"/>
        <v/>
      </c>
      <c r="CD62" s="1" t="str">
        <f t="shared" si="39"/>
        <v/>
      </c>
      <c r="CE62" s="1" t="str">
        <f t="shared" si="40"/>
        <v/>
      </c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8"/>
    </row>
    <row r="63" spans="1:97" ht="27" x14ac:dyDescent="0.15">
      <c r="A63" s="1"/>
      <c r="B63" s="1" t="s">
        <v>179</v>
      </c>
      <c r="C63" s="1" t="s">
        <v>158</v>
      </c>
      <c r="D63" s="1" t="s">
        <v>131</v>
      </c>
      <c r="E63" s="6"/>
      <c r="F63" s="6"/>
      <c r="G63" s="6"/>
      <c r="H63" s="6"/>
      <c r="I63" s="6"/>
      <c r="J63" s="6"/>
      <c r="K63" s="6"/>
      <c r="L63" s="6">
        <v>6</v>
      </c>
      <c r="M63" s="6"/>
      <c r="N63" s="6"/>
      <c r="O63" s="6">
        <v>6</v>
      </c>
      <c r="P63" s="32"/>
      <c r="Q63" s="32"/>
      <c r="R63" s="32"/>
      <c r="S63" s="32"/>
      <c r="T63" s="32"/>
      <c r="U63" s="32"/>
      <c r="V63" s="32"/>
      <c r="W63" s="32"/>
      <c r="X63" s="32"/>
      <c r="Y63" s="32"/>
      <c r="Z63" s="32"/>
      <c r="AA63" s="32"/>
      <c r="AB63" s="32"/>
      <c r="AC63" s="32"/>
      <c r="AD63" s="32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>
        <v>10</v>
      </c>
      <c r="BB63" s="2">
        <v>10</v>
      </c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 t="shared" si="28"/>
        <v>32</v>
      </c>
      <c r="BQ63" s="1">
        <v>13</v>
      </c>
      <c r="BR63" s="17">
        <v>2</v>
      </c>
      <c r="BS63" s="17" t="s">
        <v>253</v>
      </c>
      <c r="BT63" s="1" t="str">
        <f t="shared" si="29"/>
        <v/>
      </c>
      <c r="BU63" s="1" t="str">
        <f t="shared" si="30"/>
        <v/>
      </c>
      <c r="BV63" s="1" t="str">
        <f t="shared" si="31"/>
        <v/>
      </c>
      <c r="BW63" s="1" t="str">
        <f t="shared" si="32"/>
        <v/>
      </c>
      <c r="BX63" s="1" t="str">
        <f t="shared" si="33"/>
        <v/>
      </c>
      <c r="BY63" s="1" t="str">
        <f t="shared" si="34"/>
        <v/>
      </c>
      <c r="BZ63" s="1" t="str">
        <f t="shared" si="35"/>
        <v/>
      </c>
      <c r="CA63" s="1" t="str">
        <f t="shared" si="36"/>
        <v/>
      </c>
      <c r="CB63" s="1" t="str">
        <f t="shared" si="37"/>
        <v/>
      </c>
      <c r="CC63" s="1" t="str">
        <f t="shared" si="38"/>
        <v/>
      </c>
      <c r="CD63" s="1">
        <f t="shared" si="39"/>
        <v>9</v>
      </c>
      <c r="CE63" s="1" t="str">
        <f t="shared" si="40"/>
        <v/>
      </c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8"/>
    </row>
    <row r="64" spans="1:97" ht="27" x14ac:dyDescent="0.15">
      <c r="A64" s="1"/>
      <c r="B64" s="1" t="s">
        <v>187</v>
      </c>
      <c r="C64" s="1" t="s">
        <v>122</v>
      </c>
      <c r="D64" s="1" t="s">
        <v>112</v>
      </c>
      <c r="E64" s="6">
        <v>10</v>
      </c>
      <c r="F64" s="6"/>
      <c r="G64" s="6">
        <v>10</v>
      </c>
      <c r="H64" s="6"/>
      <c r="I64" s="6"/>
      <c r="J64" s="6"/>
      <c r="K64" s="6"/>
      <c r="L64" s="6"/>
      <c r="M64" s="6"/>
      <c r="N64" s="6"/>
      <c r="O64" s="6"/>
      <c r="P64" s="32"/>
      <c r="Q64" s="32"/>
      <c r="R64" s="32"/>
      <c r="S64" s="32"/>
      <c r="T64" s="32"/>
      <c r="U64" s="32"/>
      <c r="V64" s="32"/>
      <c r="W64" s="32"/>
      <c r="X64" s="32"/>
      <c r="Y64" s="32"/>
      <c r="Z64" s="32"/>
      <c r="AA64" s="32"/>
      <c r="AB64" s="32"/>
      <c r="AC64" s="32"/>
      <c r="AD64" s="32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>
        <v>10</v>
      </c>
      <c r="AS64" s="4"/>
      <c r="AT64" s="4"/>
      <c r="AU64" s="4"/>
      <c r="AV64" s="4"/>
      <c r="AW64" s="2"/>
      <c r="AX64" s="2"/>
      <c r="AY64" s="2"/>
      <c r="AZ64" s="2"/>
      <c r="BA64" s="2"/>
      <c r="BB64" s="2">
        <v>10</v>
      </c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 t="shared" si="28"/>
        <v>40</v>
      </c>
      <c r="BQ64" s="1">
        <v>14</v>
      </c>
      <c r="BR64" s="17">
        <v>2</v>
      </c>
      <c r="BS64" s="17" t="s">
        <v>250</v>
      </c>
      <c r="BT64" s="1" t="str">
        <f t="shared" si="29"/>
        <v/>
      </c>
      <c r="BU64" s="1">
        <f t="shared" si="30"/>
        <v>4</v>
      </c>
      <c r="BV64" s="1" t="str">
        <f t="shared" si="31"/>
        <v/>
      </c>
      <c r="BW64" s="1" t="str">
        <f t="shared" si="32"/>
        <v/>
      </c>
      <c r="BX64" s="1" t="str">
        <f t="shared" si="33"/>
        <v/>
      </c>
      <c r="BY64" s="1" t="str">
        <f t="shared" si="34"/>
        <v/>
      </c>
      <c r="BZ64" s="1" t="str">
        <f t="shared" si="35"/>
        <v/>
      </c>
      <c r="CA64" s="1" t="str">
        <f t="shared" si="36"/>
        <v/>
      </c>
      <c r="CB64" s="1" t="str">
        <f t="shared" si="37"/>
        <v/>
      </c>
      <c r="CC64" s="1" t="str">
        <f t="shared" si="38"/>
        <v/>
      </c>
      <c r="CD64" s="1" t="str">
        <f t="shared" si="39"/>
        <v/>
      </c>
      <c r="CE64" s="1" t="str">
        <f t="shared" si="40"/>
        <v/>
      </c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8"/>
    </row>
    <row r="65" spans="1:97" ht="27" x14ac:dyDescent="0.15">
      <c r="A65" s="1"/>
      <c r="B65" s="1" t="s">
        <v>185</v>
      </c>
      <c r="C65" s="1" t="s">
        <v>157</v>
      </c>
      <c r="D65" s="1" t="s">
        <v>131</v>
      </c>
      <c r="E65" s="6">
        <v>10</v>
      </c>
      <c r="F65" s="6"/>
      <c r="G65" s="6">
        <v>10</v>
      </c>
      <c r="H65" s="6"/>
      <c r="I65" s="6"/>
      <c r="J65" s="6"/>
      <c r="K65" s="6"/>
      <c r="L65" s="6"/>
      <c r="M65" s="6"/>
      <c r="N65" s="6"/>
      <c r="O65" s="6"/>
      <c r="P65" s="32"/>
      <c r="Q65" s="32"/>
      <c r="R65" s="32"/>
      <c r="S65" s="32"/>
      <c r="T65" s="32"/>
      <c r="U65" s="32"/>
      <c r="V65" s="32"/>
      <c r="W65" s="32"/>
      <c r="X65" s="32"/>
      <c r="Y65" s="32"/>
      <c r="Z65" s="32"/>
      <c r="AA65" s="32"/>
      <c r="AB65" s="32"/>
      <c r="AC65" s="32"/>
      <c r="AD65" s="32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>
        <v>10</v>
      </c>
      <c r="AS65" s="4"/>
      <c r="AT65" s="4"/>
      <c r="AU65" s="4"/>
      <c r="AV65" s="4"/>
      <c r="AW65" s="2"/>
      <c r="AX65" s="2"/>
      <c r="AY65" s="2"/>
      <c r="AZ65" s="2"/>
      <c r="BA65" s="2"/>
      <c r="BB65" s="2">
        <v>10</v>
      </c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 t="shared" si="28"/>
        <v>40</v>
      </c>
      <c r="BQ65" s="1">
        <v>14</v>
      </c>
      <c r="BR65" s="17">
        <v>2</v>
      </c>
      <c r="BS65" s="17" t="s">
        <v>251</v>
      </c>
      <c r="BT65" s="1" t="str">
        <f t="shared" si="29"/>
        <v/>
      </c>
      <c r="BU65" s="1">
        <f t="shared" si="30"/>
        <v>4</v>
      </c>
      <c r="BV65" s="1" t="str">
        <f t="shared" si="31"/>
        <v/>
      </c>
      <c r="BW65" s="1" t="str">
        <f t="shared" si="32"/>
        <v/>
      </c>
      <c r="BX65" s="1" t="str">
        <f t="shared" si="33"/>
        <v/>
      </c>
      <c r="BY65" s="1" t="str">
        <f t="shared" si="34"/>
        <v/>
      </c>
      <c r="BZ65" s="1" t="str">
        <f t="shared" si="35"/>
        <v/>
      </c>
      <c r="CA65" s="1" t="str">
        <f t="shared" si="36"/>
        <v/>
      </c>
      <c r="CB65" s="1" t="str">
        <f t="shared" si="37"/>
        <v/>
      </c>
      <c r="CC65" s="1" t="str">
        <f t="shared" si="38"/>
        <v/>
      </c>
      <c r="CD65" s="1" t="str">
        <f t="shared" si="39"/>
        <v/>
      </c>
      <c r="CE65" s="1" t="str">
        <f t="shared" si="40"/>
        <v/>
      </c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8"/>
    </row>
    <row r="66" spans="1:97" ht="27" x14ac:dyDescent="0.15">
      <c r="A66" s="1">
        <v>77</v>
      </c>
      <c r="B66" s="3" t="s">
        <v>175</v>
      </c>
      <c r="C66" s="3" t="s">
        <v>67</v>
      </c>
      <c r="D66" s="1" t="s">
        <v>13</v>
      </c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32"/>
      <c r="Q66" s="32"/>
      <c r="R66" s="32"/>
      <c r="S66" s="32"/>
      <c r="T66" s="32"/>
      <c r="U66" s="32"/>
      <c r="V66" s="32"/>
      <c r="W66" s="32"/>
      <c r="X66" s="32"/>
      <c r="Y66" s="32"/>
      <c r="Z66" s="32"/>
      <c r="AA66" s="32"/>
      <c r="AB66" s="32"/>
      <c r="AC66" s="32"/>
      <c r="AD66" s="32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>
        <v>20</v>
      </c>
      <c r="AU66" s="4"/>
      <c r="AV66" s="4"/>
      <c r="AW66" s="2">
        <v>20</v>
      </c>
      <c r="AX66" s="2">
        <v>20</v>
      </c>
      <c r="AY66" s="2"/>
      <c r="AZ66" s="2"/>
      <c r="BA66" s="2"/>
      <c r="BB66" s="2">
        <v>10</v>
      </c>
      <c r="BC66" s="14"/>
      <c r="BD66" s="1"/>
      <c r="BE66" s="1"/>
      <c r="BF66" s="1"/>
      <c r="BG66" s="1"/>
      <c r="BH66" s="1">
        <v>20</v>
      </c>
      <c r="BI66" s="1"/>
      <c r="BJ66" s="1"/>
      <c r="BK66" s="1"/>
      <c r="BL66" s="1"/>
      <c r="BM66" s="1"/>
      <c r="BN66" s="1"/>
      <c r="BO66" s="1"/>
      <c r="BP66" s="1">
        <f t="shared" si="28"/>
        <v>90</v>
      </c>
      <c r="BQ66" s="1">
        <v>14</v>
      </c>
      <c r="BR66" s="17">
        <v>2</v>
      </c>
      <c r="BS66" s="17" t="s">
        <v>252</v>
      </c>
      <c r="BT66" s="1" t="str">
        <f t="shared" si="29"/>
        <v/>
      </c>
      <c r="BU66" s="1" t="str">
        <f t="shared" si="30"/>
        <v/>
      </c>
      <c r="BV66" s="1" t="str">
        <f t="shared" si="31"/>
        <v/>
      </c>
      <c r="BW66" s="1">
        <f t="shared" si="32"/>
        <v>13</v>
      </c>
      <c r="BX66" s="1" t="str">
        <f t="shared" si="33"/>
        <v/>
      </c>
      <c r="BY66" s="1" t="str">
        <f t="shared" si="34"/>
        <v/>
      </c>
      <c r="BZ66" s="1">
        <f t="shared" si="35"/>
        <v>1</v>
      </c>
      <c r="CA66" s="1" t="str">
        <f t="shared" si="36"/>
        <v/>
      </c>
      <c r="CB66" s="1" t="str">
        <f t="shared" si="37"/>
        <v/>
      </c>
      <c r="CC66" s="1" t="str">
        <f t="shared" si="38"/>
        <v/>
      </c>
      <c r="CD66" s="1" t="str">
        <f t="shared" si="39"/>
        <v/>
      </c>
      <c r="CE66" s="1" t="str">
        <f t="shared" si="40"/>
        <v/>
      </c>
      <c r="CF66" s="1">
        <f>COUNTIF(BT66:CE66, "&gt;0")</f>
        <v>2</v>
      </c>
      <c r="CG66" s="1" t="str">
        <f t="shared" ref="CG66:CR68" si="42">IF($CF66=1,BT66,"")</f>
        <v/>
      </c>
      <c r="CH66" s="1" t="str">
        <f t="shared" si="42"/>
        <v/>
      </c>
      <c r="CI66" s="1" t="str">
        <f t="shared" si="42"/>
        <v/>
      </c>
      <c r="CJ66" s="1" t="str">
        <f t="shared" si="42"/>
        <v/>
      </c>
      <c r="CK66" s="1" t="str">
        <f t="shared" si="42"/>
        <v/>
      </c>
      <c r="CL66" s="1" t="str">
        <f t="shared" si="42"/>
        <v/>
      </c>
      <c r="CM66" s="1" t="str">
        <f t="shared" si="42"/>
        <v/>
      </c>
      <c r="CN66" s="1" t="str">
        <f t="shared" si="42"/>
        <v/>
      </c>
      <c r="CO66" s="1" t="str">
        <f t="shared" si="42"/>
        <v/>
      </c>
      <c r="CP66" s="1" t="str">
        <f t="shared" si="42"/>
        <v/>
      </c>
      <c r="CQ66" s="1" t="str">
        <f t="shared" si="42"/>
        <v/>
      </c>
      <c r="CR66" s="1" t="str">
        <f t="shared" si="42"/>
        <v/>
      </c>
      <c r="CS66" s="18">
        <f>SUM(AE66:BO66)</f>
        <v>90</v>
      </c>
    </row>
    <row r="67" spans="1:97" ht="27" x14ac:dyDescent="0.15">
      <c r="A67" s="1">
        <v>2</v>
      </c>
      <c r="B67" s="1" t="s">
        <v>8</v>
      </c>
      <c r="C67" s="1" t="s">
        <v>2</v>
      </c>
      <c r="D67" s="1" t="s">
        <v>1</v>
      </c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32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2"/>
      <c r="AC67" s="32"/>
      <c r="AD67" s="32"/>
      <c r="AE67" s="1">
        <v>15</v>
      </c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/>
      <c r="AV67" s="4"/>
      <c r="AW67" s="2"/>
      <c r="AX67" s="2"/>
      <c r="AY67" s="2"/>
      <c r="AZ67" s="2">
        <v>15</v>
      </c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 t="shared" si="28"/>
        <v>30</v>
      </c>
      <c r="BQ67" s="1">
        <v>25</v>
      </c>
      <c r="BR67" s="17">
        <v>2</v>
      </c>
      <c r="BS67" s="17" t="s">
        <v>254</v>
      </c>
      <c r="BT67" s="1" t="str">
        <f t="shared" si="29"/>
        <v/>
      </c>
      <c r="BU67" s="1" t="str">
        <f t="shared" si="30"/>
        <v/>
      </c>
      <c r="BV67" s="1" t="str">
        <f t="shared" si="31"/>
        <v/>
      </c>
      <c r="BW67" s="1" t="str">
        <f t="shared" si="32"/>
        <v/>
      </c>
      <c r="BX67" s="1" t="str">
        <f t="shared" si="33"/>
        <v/>
      </c>
      <c r="BY67" s="1" t="str">
        <f t="shared" si="34"/>
        <v/>
      </c>
      <c r="BZ67" s="1" t="str">
        <f t="shared" si="35"/>
        <v/>
      </c>
      <c r="CA67" s="1" t="str">
        <f t="shared" si="36"/>
        <v/>
      </c>
      <c r="CB67" s="1" t="str">
        <f t="shared" si="37"/>
        <v/>
      </c>
      <c r="CC67" s="1">
        <f t="shared" si="38"/>
        <v>15</v>
      </c>
      <c r="CD67" s="1" t="str">
        <f t="shared" si="39"/>
        <v/>
      </c>
      <c r="CE67" s="1" t="str">
        <f t="shared" si="40"/>
        <v/>
      </c>
      <c r="CF67" s="1">
        <f>COUNTIF(BT67:CE67, "&gt;0")</f>
        <v>1</v>
      </c>
      <c r="CG67" s="1" t="str">
        <f t="shared" si="42"/>
        <v/>
      </c>
      <c r="CH67" s="1" t="str">
        <f t="shared" si="42"/>
        <v/>
      </c>
      <c r="CI67" s="1" t="str">
        <f t="shared" si="42"/>
        <v/>
      </c>
      <c r="CJ67" s="1" t="str">
        <f t="shared" si="42"/>
        <v/>
      </c>
      <c r="CK67" s="1" t="str">
        <f t="shared" si="42"/>
        <v/>
      </c>
      <c r="CL67" s="1" t="str">
        <f t="shared" si="42"/>
        <v/>
      </c>
      <c r="CM67" s="1" t="str">
        <f t="shared" si="42"/>
        <v/>
      </c>
      <c r="CN67" s="1" t="str">
        <f t="shared" si="42"/>
        <v/>
      </c>
      <c r="CO67" s="1" t="str">
        <f t="shared" si="42"/>
        <v/>
      </c>
      <c r="CP67" s="1">
        <f t="shared" si="42"/>
        <v>15</v>
      </c>
      <c r="CQ67" s="1" t="str">
        <f t="shared" si="42"/>
        <v/>
      </c>
      <c r="CR67" s="1" t="str">
        <f t="shared" si="42"/>
        <v/>
      </c>
      <c r="CS67" s="18">
        <f>SUM(AE67:BO67)</f>
        <v>30</v>
      </c>
    </row>
    <row r="68" spans="1:97" ht="27" x14ac:dyDescent="0.15">
      <c r="A68" s="1">
        <v>95</v>
      </c>
      <c r="B68" s="3" t="s">
        <v>88</v>
      </c>
      <c r="C68" s="3" t="s">
        <v>73</v>
      </c>
      <c r="D68" s="1" t="s">
        <v>1</v>
      </c>
      <c r="E68" s="6"/>
      <c r="F68" s="6"/>
      <c r="G68" s="6"/>
      <c r="H68" s="6"/>
      <c r="I68" s="6"/>
      <c r="J68" s="6"/>
      <c r="K68" s="6"/>
      <c r="L68" s="6">
        <v>15</v>
      </c>
      <c r="M68" s="6"/>
      <c r="N68" s="6"/>
      <c r="O68" s="6">
        <v>15</v>
      </c>
      <c r="P68" s="32"/>
      <c r="Q68" s="32"/>
      <c r="R68" s="32"/>
      <c r="S68" s="32"/>
      <c r="T68" s="32"/>
      <c r="U68" s="32"/>
      <c r="V68" s="32"/>
      <c r="W68" s="32"/>
      <c r="X68" s="32"/>
      <c r="Y68" s="32"/>
      <c r="Z68" s="32"/>
      <c r="AA68" s="32"/>
      <c r="AB68" s="32"/>
      <c r="AC68" s="32"/>
      <c r="AD68" s="32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/>
      <c r="AX68" s="2"/>
      <c r="AY68" s="2"/>
      <c r="AZ68" s="2"/>
      <c r="BA68" s="2">
        <v>15</v>
      </c>
      <c r="BB68" s="2">
        <v>15</v>
      </c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 t="shared" si="28"/>
        <v>60</v>
      </c>
      <c r="BQ68" s="1">
        <v>27</v>
      </c>
      <c r="BR68" s="17">
        <v>2</v>
      </c>
      <c r="BS68" s="17" t="s">
        <v>255</v>
      </c>
      <c r="BT68" s="1" t="str">
        <f t="shared" si="29"/>
        <v/>
      </c>
      <c r="BU68" s="1" t="str">
        <f t="shared" si="30"/>
        <v/>
      </c>
      <c r="BV68" s="1" t="str">
        <f t="shared" si="31"/>
        <v/>
      </c>
      <c r="BW68" s="1" t="str">
        <f t="shared" si="32"/>
        <v/>
      </c>
      <c r="BX68" s="1" t="str">
        <f t="shared" si="33"/>
        <v/>
      </c>
      <c r="BY68" s="1" t="str">
        <f t="shared" si="34"/>
        <v/>
      </c>
      <c r="BZ68" s="1" t="str">
        <f t="shared" si="35"/>
        <v/>
      </c>
      <c r="CA68" s="1" t="str">
        <f t="shared" si="36"/>
        <v/>
      </c>
      <c r="CB68" s="1" t="str">
        <f t="shared" si="37"/>
        <v/>
      </c>
      <c r="CC68" s="1" t="str">
        <f t="shared" si="38"/>
        <v/>
      </c>
      <c r="CD68" s="1">
        <f t="shared" si="39"/>
        <v>14</v>
      </c>
      <c r="CE68" s="1" t="str">
        <f t="shared" si="40"/>
        <v/>
      </c>
      <c r="CF68" s="1">
        <f>COUNTIF(BT68:CE68, "&gt;0")</f>
        <v>1</v>
      </c>
      <c r="CG68" s="1" t="str">
        <f t="shared" si="42"/>
        <v/>
      </c>
      <c r="CH68" s="1" t="str">
        <f t="shared" si="42"/>
        <v/>
      </c>
      <c r="CI68" s="1" t="str">
        <f t="shared" si="42"/>
        <v/>
      </c>
      <c r="CJ68" s="1" t="str">
        <f t="shared" si="42"/>
        <v/>
      </c>
      <c r="CK68" s="1" t="str">
        <f t="shared" si="42"/>
        <v/>
      </c>
      <c r="CL68" s="1" t="str">
        <f t="shared" si="42"/>
        <v/>
      </c>
      <c r="CM68" s="1" t="str">
        <f t="shared" si="42"/>
        <v/>
      </c>
      <c r="CN68" s="1" t="str">
        <f t="shared" si="42"/>
        <v/>
      </c>
      <c r="CO68" s="1" t="str">
        <f t="shared" si="42"/>
        <v/>
      </c>
      <c r="CP68" s="1" t="str">
        <f t="shared" si="42"/>
        <v/>
      </c>
      <c r="CQ68" s="1">
        <f t="shared" si="42"/>
        <v>14</v>
      </c>
      <c r="CR68" s="1" t="str">
        <f t="shared" si="42"/>
        <v/>
      </c>
      <c r="CS68" s="18">
        <f>SUM(AE68:BO68)</f>
        <v>30</v>
      </c>
    </row>
    <row r="69" spans="1:97" ht="27" x14ac:dyDescent="0.15">
      <c r="A69" s="1"/>
      <c r="B69" s="1" t="s">
        <v>176</v>
      </c>
      <c r="C69" s="1" t="s">
        <v>127</v>
      </c>
      <c r="D69" s="1" t="s">
        <v>111</v>
      </c>
      <c r="E69" s="6"/>
      <c r="F69" s="6"/>
      <c r="G69" s="6"/>
      <c r="H69" s="6"/>
      <c r="I69" s="6"/>
      <c r="J69" s="6"/>
      <c r="K69" s="6"/>
      <c r="L69" s="6">
        <v>20</v>
      </c>
      <c r="M69" s="6"/>
      <c r="N69" s="6"/>
      <c r="O69" s="6">
        <v>20</v>
      </c>
      <c r="P69" s="32"/>
      <c r="Q69" s="32"/>
      <c r="R69" s="32"/>
      <c r="S69" s="32"/>
      <c r="T69" s="32"/>
      <c r="U69" s="32"/>
      <c r="V69" s="32"/>
      <c r="W69" s="32"/>
      <c r="X69" s="32"/>
      <c r="Y69" s="32"/>
      <c r="Z69" s="32"/>
      <c r="AA69" s="32"/>
      <c r="AB69" s="32"/>
      <c r="AC69" s="32"/>
      <c r="AD69" s="32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>
        <v>20</v>
      </c>
      <c r="BB69" s="2">
        <v>20</v>
      </c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 t="shared" si="28"/>
        <v>80</v>
      </c>
      <c r="BQ69" s="1">
        <v>37</v>
      </c>
      <c r="BR69" s="17">
        <v>2</v>
      </c>
      <c r="BS69" s="17" t="s">
        <v>256</v>
      </c>
      <c r="BT69" s="1" t="str">
        <f t="shared" si="29"/>
        <v/>
      </c>
      <c r="BU69" s="1" t="str">
        <f t="shared" si="30"/>
        <v/>
      </c>
      <c r="BV69" s="1" t="str">
        <f t="shared" si="31"/>
        <v/>
      </c>
      <c r="BW69" s="1" t="str">
        <f t="shared" si="32"/>
        <v/>
      </c>
      <c r="BX69" s="1" t="str">
        <f t="shared" si="33"/>
        <v/>
      </c>
      <c r="BY69" s="1" t="str">
        <f t="shared" si="34"/>
        <v/>
      </c>
      <c r="BZ69" s="1" t="str">
        <f t="shared" si="35"/>
        <v/>
      </c>
      <c r="CA69" s="1" t="str">
        <f t="shared" si="36"/>
        <v/>
      </c>
      <c r="CB69" s="1" t="str">
        <f t="shared" si="37"/>
        <v/>
      </c>
      <c r="CC69" s="1" t="str">
        <f t="shared" si="38"/>
        <v/>
      </c>
      <c r="CD69" s="1">
        <f t="shared" si="39"/>
        <v>19</v>
      </c>
      <c r="CE69" s="1" t="str">
        <f t="shared" si="40"/>
        <v/>
      </c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8"/>
    </row>
    <row r="70" spans="1:97" ht="40.5" x14ac:dyDescent="0.15">
      <c r="A70" s="1"/>
      <c r="B70" s="1" t="s">
        <v>162</v>
      </c>
      <c r="C70" s="1" t="s">
        <v>158</v>
      </c>
      <c r="D70" s="1" t="s">
        <v>130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32"/>
      <c r="Q70" s="32"/>
      <c r="R70" s="32"/>
      <c r="S70" s="32"/>
      <c r="T70" s="32"/>
      <c r="U70" s="32">
        <v>2</v>
      </c>
      <c r="V70" s="32"/>
      <c r="W70" s="32"/>
      <c r="X70" s="32"/>
      <c r="Y70" s="32"/>
      <c r="Z70" s="32"/>
      <c r="AA70" s="32">
        <v>2</v>
      </c>
      <c r="AB70" s="32"/>
      <c r="AC70" s="32">
        <v>5</v>
      </c>
      <c r="AD70" s="32">
        <v>2</v>
      </c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/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 t="shared" si="28"/>
        <v>11</v>
      </c>
      <c r="BQ70" s="1">
        <v>6</v>
      </c>
      <c r="BR70" s="17">
        <v>3</v>
      </c>
      <c r="BS70" s="17" t="s">
        <v>257</v>
      </c>
      <c r="BT70" s="1" t="str">
        <f t="shared" si="29"/>
        <v/>
      </c>
      <c r="BU70" s="1" t="str">
        <f t="shared" si="30"/>
        <v/>
      </c>
      <c r="BV70" s="1" t="str">
        <f t="shared" si="31"/>
        <v/>
      </c>
      <c r="BW70" s="1" t="str">
        <f t="shared" si="32"/>
        <v/>
      </c>
      <c r="BX70" s="1" t="str">
        <f t="shared" si="33"/>
        <v/>
      </c>
      <c r="BY70" s="1" t="str">
        <f t="shared" si="34"/>
        <v/>
      </c>
      <c r="BZ70" s="1" t="str">
        <f t="shared" si="35"/>
        <v/>
      </c>
      <c r="CA70" s="1" t="str">
        <f t="shared" si="36"/>
        <v/>
      </c>
      <c r="CB70" s="1" t="str">
        <f t="shared" si="37"/>
        <v/>
      </c>
      <c r="CC70" s="1" t="str">
        <f t="shared" si="38"/>
        <v/>
      </c>
      <c r="CD70" s="1" t="str">
        <f t="shared" si="39"/>
        <v/>
      </c>
      <c r="CE70" s="1" t="str">
        <f t="shared" si="40"/>
        <v/>
      </c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8"/>
    </row>
    <row r="71" spans="1:97" ht="40.5" x14ac:dyDescent="0.15">
      <c r="A71" s="1"/>
      <c r="B71" s="1" t="s">
        <v>201</v>
      </c>
      <c r="C71" s="1" t="s">
        <v>110</v>
      </c>
      <c r="D71" s="1" t="s">
        <v>112</v>
      </c>
      <c r="E71" s="6"/>
      <c r="F71" s="6"/>
      <c r="G71" s="6"/>
      <c r="H71" s="6">
        <v>6</v>
      </c>
      <c r="I71" s="6"/>
      <c r="J71" s="6"/>
      <c r="K71" s="6">
        <v>6</v>
      </c>
      <c r="L71" s="6"/>
      <c r="M71" s="6"/>
      <c r="N71" s="6"/>
      <c r="O71" s="6"/>
      <c r="P71" s="32"/>
      <c r="Q71" s="32"/>
      <c r="R71" s="32"/>
      <c r="S71" s="32"/>
      <c r="T71" s="32"/>
      <c r="U71" s="32"/>
      <c r="V71" s="32"/>
      <c r="W71" s="32"/>
      <c r="X71" s="32"/>
      <c r="Y71" s="32"/>
      <c r="Z71" s="32"/>
      <c r="AA71" s="32"/>
      <c r="AB71" s="32"/>
      <c r="AC71" s="32"/>
      <c r="AD71" s="32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>
        <v>10</v>
      </c>
      <c r="AR71" s="4"/>
      <c r="AS71" s="4"/>
      <c r="AT71" s="4"/>
      <c r="AU71" s="4"/>
      <c r="AV71" s="4"/>
      <c r="AW71" s="2">
        <v>10</v>
      </c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 t="shared" si="28"/>
        <v>32</v>
      </c>
      <c r="BQ71" s="1">
        <v>9</v>
      </c>
      <c r="BR71" s="17">
        <v>3</v>
      </c>
      <c r="BS71" s="17" t="s">
        <v>239</v>
      </c>
      <c r="BT71" s="1">
        <f t="shared" si="29"/>
        <v>1</v>
      </c>
      <c r="BU71" s="1" t="str">
        <f t="shared" si="30"/>
        <v/>
      </c>
      <c r="BV71" s="1" t="str">
        <f t="shared" si="31"/>
        <v/>
      </c>
      <c r="BW71" s="1" t="str">
        <f t="shared" si="32"/>
        <v/>
      </c>
      <c r="BX71" s="1" t="str">
        <f t="shared" si="33"/>
        <v/>
      </c>
      <c r="BY71" s="1" t="str">
        <f t="shared" si="34"/>
        <v/>
      </c>
      <c r="BZ71" s="1" t="str">
        <f t="shared" si="35"/>
        <v/>
      </c>
      <c r="CA71" s="1" t="str">
        <f t="shared" si="36"/>
        <v/>
      </c>
      <c r="CB71" s="1" t="str">
        <f t="shared" si="37"/>
        <v/>
      </c>
      <c r="CC71" s="1" t="str">
        <f t="shared" si="38"/>
        <v/>
      </c>
      <c r="CD71" s="1" t="str">
        <f t="shared" si="39"/>
        <v/>
      </c>
      <c r="CE71" s="1" t="str">
        <f t="shared" si="40"/>
        <v/>
      </c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8"/>
    </row>
    <row r="72" spans="1:97" ht="40.5" x14ac:dyDescent="0.15">
      <c r="A72" s="1"/>
      <c r="B72" s="1" t="s">
        <v>155</v>
      </c>
      <c r="C72" s="1" t="s">
        <v>156</v>
      </c>
      <c r="D72" s="1" t="s">
        <v>131</v>
      </c>
      <c r="E72" s="6"/>
      <c r="F72" s="6"/>
      <c r="G72" s="6"/>
      <c r="H72" s="6"/>
      <c r="I72" s="6"/>
      <c r="J72" s="6"/>
      <c r="K72" s="6"/>
      <c r="L72" s="6">
        <v>7</v>
      </c>
      <c r="M72" s="6"/>
      <c r="N72" s="6"/>
      <c r="O72" s="6"/>
      <c r="P72" s="32"/>
      <c r="Q72" s="32">
        <v>7</v>
      </c>
      <c r="R72" s="32"/>
      <c r="S72" s="32"/>
      <c r="T72" s="32">
        <v>7</v>
      </c>
      <c r="U72" s="32"/>
      <c r="V72" s="32"/>
      <c r="W72" s="32"/>
      <c r="X72" s="32">
        <v>7</v>
      </c>
      <c r="Y72" s="32"/>
      <c r="Z72" s="32"/>
      <c r="AA72" s="32"/>
      <c r="AB72" s="32"/>
      <c r="AC72" s="32"/>
      <c r="AD72" s="32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/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 t="shared" si="28"/>
        <v>28</v>
      </c>
      <c r="BQ72" s="1">
        <v>9</v>
      </c>
      <c r="BR72" s="17">
        <v>3</v>
      </c>
      <c r="BS72" s="17" t="s">
        <v>258</v>
      </c>
      <c r="BT72" s="1" t="str">
        <f t="shared" si="29"/>
        <v/>
      </c>
      <c r="BU72" s="1" t="str">
        <f t="shared" si="30"/>
        <v/>
      </c>
      <c r="BV72" s="1" t="str">
        <f t="shared" si="31"/>
        <v/>
      </c>
      <c r="BW72" s="1" t="str">
        <f t="shared" si="32"/>
        <v/>
      </c>
      <c r="BX72" s="1" t="str">
        <f t="shared" si="33"/>
        <v/>
      </c>
      <c r="BY72" s="1" t="str">
        <f t="shared" si="34"/>
        <v/>
      </c>
      <c r="BZ72" s="1" t="str">
        <f t="shared" si="35"/>
        <v/>
      </c>
      <c r="CA72" s="1" t="str">
        <f t="shared" si="36"/>
        <v/>
      </c>
      <c r="CB72" s="1" t="str">
        <f t="shared" si="37"/>
        <v/>
      </c>
      <c r="CC72" s="1" t="str">
        <f t="shared" si="38"/>
        <v/>
      </c>
      <c r="CD72" s="1" t="str">
        <f t="shared" si="39"/>
        <v/>
      </c>
      <c r="CE72" s="1" t="str">
        <f t="shared" si="40"/>
        <v/>
      </c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8"/>
    </row>
    <row r="73" spans="1:97" ht="40.5" x14ac:dyDescent="0.15">
      <c r="A73" s="1"/>
      <c r="B73" s="1" t="s">
        <v>149</v>
      </c>
      <c r="C73" s="1" t="s">
        <v>147</v>
      </c>
      <c r="D73" s="1" t="s">
        <v>130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32"/>
      <c r="Q73" s="32">
        <v>5</v>
      </c>
      <c r="R73" s="32"/>
      <c r="S73" s="32"/>
      <c r="T73" s="32">
        <v>5</v>
      </c>
      <c r="U73" s="32"/>
      <c r="V73" s="32"/>
      <c r="W73" s="32"/>
      <c r="X73" s="32"/>
      <c r="Y73" s="32"/>
      <c r="Z73" s="32">
        <v>5</v>
      </c>
      <c r="AA73" s="32">
        <v>2</v>
      </c>
      <c r="AB73" s="32"/>
      <c r="AC73" s="32"/>
      <c r="AD73" s="32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 t="shared" si="28"/>
        <v>17</v>
      </c>
      <c r="BQ73" s="1">
        <v>9</v>
      </c>
      <c r="BR73" s="17">
        <v>3</v>
      </c>
      <c r="BS73" s="17" t="s">
        <v>259</v>
      </c>
      <c r="BT73" s="1" t="str">
        <f t="shared" si="29"/>
        <v/>
      </c>
      <c r="BU73" s="1" t="str">
        <f t="shared" si="30"/>
        <v/>
      </c>
      <c r="BV73" s="1" t="str">
        <f t="shared" si="31"/>
        <v/>
      </c>
      <c r="BW73" s="1" t="str">
        <f t="shared" si="32"/>
        <v/>
      </c>
      <c r="BX73" s="1" t="str">
        <f t="shared" si="33"/>
        <v/>
      </c>
      <c r="BY73" s="1" t="str">
        <f t="shared" si="34"/>
        <v/>
      </c>
      <c r="BZ73" s="1" t="str">
        <f t="shared" si="35"/>
        <v/>
      </c>
      <c r="CA73" s="1" t="str">
        <f t="shared" si="36"/>
        <v/>
      </c>
      <c r="CB73" s="1" t="str">
        <f t="shared" si="37"/>
        <v/>
      </c>
      <c r="CC73" s="1" t="str">
        <f t="shared" si="38"/>
        <v/>
      </c>
      <c r="CD73" s="1" t="str">
        <f t="shared" si="39"/>
        <v/>
      </c>
      <c r="CE73" s="1" t="str">
        <f t="shared" si="40"/>
        <v/>
      </c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8"/>
    </row>
    <row r="74" spans="1:97" ht="40.5" x14ac:dyDescent="0.15">
      <c r="A74" s="1"/>
      <c r="B74" s="1" t="s">
        <v>159</v>
      </c>
      <c r="C74" s="1" t="s">
        <v>158</v>
      </c>
      <c r="D74" s="1" t="s">
        <v>130</v>
      </c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32"/>
      <c r="Q74" s="32">
        <v>5</v>
      </c>
      <c r="R74" s="32"/>
      <c r="S74" s="32"/>
      <c r="T74" s="32">
        <v>5</v>
      </c>
      <c r="U74" s="32"/>
      <c r="V74" s="32"/>
      <c r="W74" s="32"/>
      <c r="X74" s="32"/>
      <c r="Y74" s="32"/>
      <c r="Z74" s="32">
        <v>5</v>
      </c>
      <c r="AA74" s="32">
        <v>2</v>
      </c>
      <c r="AB74" s="32"/>
      <c r="AC74" s="32"/>
      <c r="AD74" s="32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 t="shared" si="28"/>
        <v>17</v>
      </c>
      <c r="BQ74" s="1">
        <v>9</v>
      </c>
      <c r="BR74" s="17">
        <v>3</v>
      </c>
      <c r="BS74" s="17" t="s">
        <v>259</v>
      </c>
      <c r="BT74" s="1" t="str">
        <f t="shared" si="29"/>
        <v/>
      </c>
      <c r="BU74" s="1" t="str">
        <f t="shared" si="30"/>
        <v/>
      </c>
      <c r="BV74" s="1" t="str">
        <f t="shared" si="31"/>
        <v/>
      </c>
      <c r="BW74" s="1" t="str">
        <f t="shared" si="32"/>
        <v/>
      </c>
      <c r="BX74" s="1" t="str">
        <f t="shared" si="33"/>
        <v/>
      </c>
      <c r="BY74" s="1" t="str">
        <f t="shared" si="34"/>
        <v/>
      </c>
      <c r="BZ74" s="1" t="str">
        <f t="shared" si="35"/>
        <v/>
      </c>
      <c r="CA74" s="1" t="str">
        <f t="shared" si="36"/>
        <v/>
      </c>
      <c r="CB74" s="1" t="str">
        <f t="shared" si="37"/>
        <v/>
      </c>
      <c r="CC74" s="1" t="str">
        <f t="shared" si="38"/>
        <v/>
      </c>
      <c r="CD74" s="1" t="str">
        <f t="shared" si="39"/>
        <v/>
      </c>
      <c r="CE74" s="1" t="str">
        <f t="shared" si="40"/>
        <v/>
      </c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8"/>
    </row>
    <row r="75" spans="1:97" ht="40.5" x14ac:dyDescent="0.15">
      <c r="A75" s="1"/>
      <c r="B75" s="1" t="s">
        <v>167</v>
      </c>
      <c r="C75" s="1" t="s">
        <v>126</v>
      </c>
      <c r="D75" s="1" t="s">
        <v>169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32"/>
      <c r="Q75" s="32">
        <v>5</v>
      </c>
      <c r="R75" s="32"/>
      <c r="S75" s="32"/>
      <c r="T75" s="32">
        <v>5</v>
      </c>
      <c r="U75" s="32"/>
      <c r="V75" s="32"/>
      <c r="W75" s="32"/>
      <c r="X75" s="32"/>
      <c r="Y75" s="32"/>
      <c r="Z75" s="32">
        <v>5</v>
      </c>
      <c r="AA75" s="32">
        <v>2</v>
      </c>
      <c r="AB75" s="32"/>
      <c r="AC75" s="32"/>
      <c r="AD75" s="32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 t="shared" si="28"/>
        <v>17</v>
      </c>
      <c r="BQ75" s="1">
        <v>9</v>
      </c>
      <c r="BR75" s="17">
        <v>3</v>
      </c>
      <c r="BS75" s="17" t="s">
        <v>260</v>
      </c>
      <c r="BT75" s="1" t="str">
        <f t="shared" si="29"/>
        <v/>
      </c>
      <c r="BU75" s="1" t="str">
        <f t="shared" si="30"/>
        <v/>
      </c>
      <c r="BV75" s="1" t="str">
        <f t="shared" si="31"/>
        <v/>
      </c>
      <c r="BW75" s="1" t="str">
        <f t="shared" si="32"/>
        <v/>
      </c>
      <c r="BX75" s="1" t="str">
        <f t="shared" si="33"/>
        <v/>
      </c>
      <c r="BY75" s="1" t="str">
        <f t="shared" si="34"/>
        <v/>
      </c>
      <c r="BZ75" s="1" t="str">
        <f t="shared" si="35"/>
        <v/>
      </c>
      <c r="CA75" s="1" t="str">
        <f t="shared" si="36"/>
        <v/>
      </c>
      <c r="CB75" s="1" t="str">
        <f t="shared" si="37"/>
        <v/>
      </c>
      <c r="CC75" s="1" t="str">
        <f t="shared" si="38"/>
        <v/>
      </c>
      <c r="CD75" s="1" t="str">
        <f t="shared" si="39"/>
        <v/>
      </c>
      <c r="CE75" s="1" t="str">
        <f t="shared" si="40"/>
        <v/>
      </c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8"/>
    </row>
    <row r="76" spans="1:97" ht="40.5" x14ac:dyDescent="0.15">
      <c r="A76" s="1"/>
      <c r="B76" s="1" t="s">
        <v>162</v>
      </c>
      <c r="C76" s="1" t="s">
        <v>158</v>
      </c>
      <c r="D76" s="1" t="s">
        <v>129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32"/>
      <c r="Q76" s="32">
        <v>5</v>
      </c>
      <c r="R76" s="32"/>
      <c r="S76" s="32"/>
      <c r="T76" s="32">
        <v>5</v>
      </c>
      <c r="U76" s="32"/>
      <c r="V76" s="32"/>
      <c r="W76" s="32">
        <v>5</v>
      </c>
      <c r="X76" s="32"/>
      <c r="Y76" s="32"/>
      <c r="Z76" s="32">
        <v>5</v>
      </c>
      <c r="AA76" s="32"/>
      <c r="AB76" s="32"/>
      <c r="AC76" s="32"/>
      <c r="AD76" s="32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 t="shared" si="28"/>
        <v>20</v>
      </c>
      <c r="BQ76" s="1">
        <v>11</v>
      </c>
      <c r="BR76" s="17">
        <v>3</v>
      </c>
      <c r="BS76" s="17" t="s">
        <v>261</v>
      </c>
      <c r="BT76" s="1" t="str">
        <f t="shared" si="29"/>
        <v/>
      </c>
      <c r="BU76" s="1" t="str">
        <f t="shared" si="30"/>
        <v/>
      </c>
      <c r="BV76" s="1" t="str">
        <f t="shared" si="31"/>
        <v/>
      </c>
      <c r="BW76" s="1" t="str">
        <f t="shared" si="32"/>
        <v/>
      </c>
      <c r="BX76" s="1" t="str">
        <f t="shared" si="33"/>
        <v/>
      </c>
      <c r="BY76" s="1" t="str">
        <f t="shared" si="34"/>
        <v/>
      </c>
      <c r="BZ76" s="1" t="str">
        <f t="shared" si="35"/>
        <v/>
      </c>
      <c r="CA76" s="1" t="str">
        <f t="shared" si="36"/>
        <v/>
      </c>
      <c r="CB76" s="1" t="str">
        <f t="shared" si="37"/>
        <v/>
      </c>
      <c r="CC76" s="1" t="str">
        <f t="shared" si="38"/>
        <v/>
      </c>
      <c r="CD76" s="1" t="str">
        <f t="shared" si="39"/>
        <v/>
      </c>
      <c r="CE76" s="1" t="str">
        <f t="shared" si="40"/>
        <v/>
      </c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8"/>
    </row>
    <row r="77" spans="1:97" ht="40.5" x14ac:dyDescent="0.15">
      <c r="A77" s="1"/>
      <c r="B77" s="1" t="s">
        <v>198</v>
      </c>
      <c r="C77" s="1" t="s">
        <v>126</v>
      </c>
      <c r="D77" s="1" t="s">
        <v>112</v>
      </c>
      <c r="E77" s="6"/>
      <c r="F77" s="6">
        <v>6</v>
      </c>
      <c r="G77" s="6"/>
      <c r="H77" s="6"/>
      <c r="I77" s="6"/>
      <c r="J77" s="6"/>
      <c r="K77" s="6"/>
      <c r="L77" s="6"/>
      <c r="M77" s="6"/>
      <c r="N77" s="6"/>
      <c r="O77" s="6">
        <v>6</v>
      </c>
      <c r="P77" s="32"/>
      <c r="Q77" s="32"/>
      <c r="R77" s="32"/>
      <c r="S77" s="32"/>
      <c r="T77" s="32"/>
      <c r="U77" s="32"/>
      <c r="V77" s="32"/>
      <c r="W77" s="32"/>
      <c r="X77" s="32"/>
      <c r="Y77" s="32"/>
      <c r="Z77" s="32"/>
      <c r="AA77" s="32"/>
      <c r="AB77" s="32"/>
      <c r="AC77" s="32"/>
      <c r="AD77" s="32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>
        <v>10</v>
      </c>
      <c r="AU77" s="4"/>
      <c r="AV77" s="4"/>
      <c r="AW77" s="2"/>
      <c r="AX77" s="2"/>
      <c r="AY77" s="2">
        <v>10</v>
      </c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 t="shared" si="28"/>
        <v>32</v>
      </c>
      <c r="BQ77" s="1">
        <v>12</v>
      </c>
      <c r="BR77" s="17">
        <v>3</v>
      </c>
      <c r="BS77" s="17" t="s">
        <v>240</v>
      </c>
      <c r="BT77" s="1" t="str">
        <f t="shared" si="29"/>
        <v/>
      </c>
      <c r="BU77" s="1" t="str">
        <f t="shared" si="30"/>
        <v/>
      </c>
      <c r="BV77" s="1" t="str">
        <f t="shared" si="31"/>
        <v/>
      </c>
      <c r="BW77" s="1">
        <f t="shared" si="32"/>
        <v>3</v>
      </c>
      <c r="BX77" s="1" t="str">
        <f t="shared" si="33"/>
        <v/>
      </c>
      <c r="BY77" s="1" t="str">
        <f t="shared" si="34"/>
        <v/>
      </c>
      <c r="BZ77" s="1" t="str">
        <f t="shared" si="35"/>
        <v/>
      </c>
      <c r="CA77" s="1" t="str">
        <f t="shared" si="36"/>
        <v/>
      </c>
      <c r="CB77" s="1" t="str">
        <f t="shared" si="37"/>
        <v/>
      </c>
      <c r="CC77" s="1" t="str">
        <f t="shared" si="38"/>
        <v/>
      </c>
      <c r="CD77" s="1" t="str">
        <f t="shared" si="39"/>
        <v/>
      </c>
      <c r="CE77" s="1" t="str">
        <f t="shared" si="40"/>
        <v/>
      </c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8"/>
    </row>
    <row r="78" spans="1:97" ht="40.5" x14ac:dyDescent="0.15">
      <c r="A78" s="1"/>
      <c r="B78" s="1" t="s">
        <v>153</v>
      </c>
      <c r="C78" s="1" t="s">
        <v>151</v>
      </c>
      <c r="D78" s="1" t="s">
        <v>131</v>
      </c>
      <c r="E78" s="6"/>
      <c r="F78" s="6"/>
      <c r="G78" s="6"/>
      <c r="H78" s="6"/>
      <c r="I78" s="6">
        <v>7</v>
      </c>
      <c r="J78" s="6"/>
      <c r="K78" s="6"/>
      <c r="L78" s="6"/>
      <c r="M78" s="6"/>
      <c r="N78" s="6"/>
      <c r="O78" s="6"/>
      <c r="P78" s="32"/>
      <c r="Q78" s="32">
        <v>7</v>
      </c>
      <c r="R78" s="32">
        <v>7</v>
      </c>
      <c r="S78" s="32"/>
      <c r="T78" s="32">
        <v>7</v>
      </c>
      <c r="U78" s="32"/>
      <c r="V78" s="32"/>
      <c r="W78" s="32"/>
      <c r="X78" s="32"/>
      <c r="Y78" s="32"/>
      <c r="Z78" s="32"/>
      <c r="AA78" s="32"/>
      <c r="AB78" s="32"/>
      <c r="AC78" s="32"/>
      <c r="AD78" s="32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 t="shared" si="28"/>
        <v>28</v>
      </c>
      <c r="BQ78" s="1">
        <v>13</v>
      </c>
      <c r="BR78" s="17">
        <v>3</v>
      </c>
      <c r="BS78" s="17" t="s">
        <v>262</v>
      </c>
      <c r="BT78" s="1" t="str">
        <f t="shared" si="29"/>
        <v/>
      </c>
      <c r="BU78" s="1" t="str">
        <f t="shared" si="30"/>
        <v/>
      </c>
      <c r="BV78" s="1" t="str">
        <f t="shared" si="31"/>
        <v/>
      </c>
      <c r="BW78" s="1" t="str">
        <f t="shared" si="32"/>
        <v/>
      </c>
      <c r="BX78" s="1" t="str">
        <f t="shared" si="33"/>
        <v/>
      </c>
      <c r="BY78" s="1" t="str">
        <f t="shared" si="34"/>
        <v/>
      </c>
      <c r="BZ78" s="1" t="str">
        <f t="shared" si="35"/>
        <v/>
      </c>
      <c r="CA78" s="1" t="str">
        <f t="shared" si="36"/>
        <v/>
      </c>
      <c r="CB78" s="1" t="str">
        <f t="shared" si="37"/>
        <v/>
      </c>
      <c r="CC78" s="1" t="str">
        <f t="shared" si="38"/>
        <v/>
      </c>
      <c r="CD78" s="1" t="str">
        <f t="shared" si="39"/>
        <v/>
      </c>
      <c r="CE78" s="1" t="str">
        <f t="shared" si="40"/>
        <v/>
      </c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8"/>
    </row>
    <row r="79" spans="1:97" ht="40.5" x14ac:dyDescent="0.15">
      <c r="A79" s="1">
        <v>84</v>
      </c>
      <c r="B79" s="3" t="s">
        <v>72</v>
      </c>
      <c r="C79" s="3" t="s">
        <v>67</v>
      </c>
      <c r="D79" s="1" t="s">
        <v>13</v>
      </c>
      <c r="E79" s="6"/>
      <c r="F79" s="6"/>
      <c r="G79" s="6">
        <v>5</v>
      </c>
      <c r="H79" s="6">
        <v>5</v>
      </c>
      <c r="I79" s="6"/>
      <c r="J79" s="6"/>
      <c r="K79" s="6"/>
      <c r="L79" s="6"/>
      <c r="M79" s="6"/>
      <c r="N79" s="6"/>
      <c r="O79" s="6"/>
      <c r="P79" s="32"/>
      <c r="Q79" s="32"/>
      <c r="R79" s="32"/>
      <c r="S79" s="32"/>
      <c r="T79" s="32"/>
      <c r="U79" s="32"/>
      <c r="V79" s="32"/>
      <c r="W79" s="32"/>
      <c r="X79" s="32"/>
      <c r="Y79" s="32"/>
      <c r="Z79" s="32"/>
      <c r="AA79" s="32"/>
      <c r="AB79" s="32"/>
      <c r="AC79" s="32"/>
      <c r="AD79" s="32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>
        <v>5</v>
      </c>
      <c r="BB79" s="2">
        <v>5</v>
      </c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 t="shared" si="28"/>
        <v>20</v>
      </c>
      <c r="BQ79" s="1">
        <v>14</v>
      </c>
      <c r="BR79" s="17">
        <v>3</v>
      </c>
      <c r="BS79" s="17" t="s">
        <v>263</v>
      </c>
      <c r="BT79" s="1" t="str">
        <f t="shared" si="29"/>
        <v/>
      </c>
      <c r="BU79" s="1" t="str">
        <f t="shared" si="30"/>
        <v/>
      </c>
      <c r="BV79" s="1" t="str">
        <f t="shared" si="31"/>
        <v/>
      </c>
      <c r="BW79" s="1" t="str">
        <f t="shared" si="32"/>
        <v/>
      </c>
      <c r="BX79" s="1" t="str">
        <f t="shared" si="33"/>
        <v/>
      </c>
      <c r="BY79" s="1" t="str">
        <f t="shared" si="34"/>
        <v/>
      </c>
      <c r="BZ79" s="1" t="str">
        <f t="shared" si="35"/>
        <v/>
      </c>
      <c r="CA79" s="1" t="str">
        <f t="shared" si="36"/>
        <v/>
      </c>
      <c r="CB79" s="1" t="str">
        <f t="shared" si="37"/>
        <v/>
      </c>
      <c r="CC79" s="1" t="str">
        <f t="shared" si="38"/>
        <v/>
      </c>
      <c r="CD79" s="1">
        <f t="shared" si="39"/>
        <v>4</v>
      </c>
      <c r="CE79" s="1" t="str">
        <f t="shared" si="40"/>
        <v/>
      </c>
      <c r="CF79" s="1">
        <f>COUNTIF(BT79:CE79, "&gt;0")</f>
        <v>1</v>
      </c>
      <c r="CG79" s="1" t="str">
        <f t="shared" ref="CG79:CR79" si="43">IF($CF79=1,BT79,"")</f>
        <v/>
      </c>
      <c r="CH79" s="1" t="str">
        <f t="shared" si="43"/>
        <v/>
      </c>
      <c r="CI79" s="1" t="str">
        <f t="shared" si="43"/>
        <v/>
      </c>
      <c r="CJ79" s="1" t="str">
        <f t="shared" si="43"/>
        <v/>
      </c>
      <c r="CK79" s="1" t="str">
        <f t="shared" si="43"/>
        <v/>
      </c>
      <c r="CL79" s="1" t="str">
        <f t="shared" si="43"/>
        <v/>
      </c>
      <c r="CM79" s="1" t="str">
        <f t="shared" si="43"/>
        <v/>
      </c>
      <c r="CN79" s="1" t="str">
        <f t="shared" si="43"/>
        <v/>
      </c>
      <c r="CO79" s="1" t="str">
        <f t="shared" si="43"/>
        <v/>
      </c>
      <c r="CP79" s="1" t="str">
        <f t="shared" si="43"/>
        <v/>
      </c>
      <c r="CQ79" s="1">
        <f t="shared" si="43"/>
        <v>4</v>
      </c>
      <c r="CR79" s="1" t="str">
        <f t="shared" si="43"/>
        <v/>
      </c>
      <c r="CS79" s="18">
        <f>SUM(AE79:BO79)</f>
        <v>10</v>
      </c>
    </row>
    <row r="80" spans="1:97" ht="40.5" x14ac:dyDescent="0.15">
      <c r="A80" s="1"/>
      <c r="B80" s="1" t="s">
        <v>166</v>
      </c>
      <c r="C80" s="1" t="s">
        <v>125</v>
      </c>
      <c r="D80" s="1" t="s">
        <v>112</v>
      </c>
      <c r="E80" s="6"/>
      <c r="F80" s="6"/>
      <c r="G80" s="6">
        <v>6</v>
      </c>
      <c r="H80" s="6">
        <v>6</v>
      </c>
      <c r="I80" s="6"/>
      <c r="J80" s="6"/>
      <c r="K80" s="6"/>
      <c r="L80" s="6"/>
      <c r="M80" s="6"/>
      <c r="N80" s="6"/>
      <c r="O80" s="6"/>
      <c r="P80" s="32"/>
      <c r="Q80" s="32"/>
      <c r="R80" s="32"/>
      <c r="S80" s="32"/>
      <c r="T80" s="32"/>
      <c r="U80" s="32"/>
      <c r="V80" s="32"/>
      <c r="W80" s="32"/>
      <c r="X80" s="32"/>
      <c r="Y80" s="32"/>
      <c r="Z80" s="32"/>
      <c r="AA80" s="32"/>
      <c r="AB80" s="32"/>
      <c r="AC80" s="32"/>
      <c r="AD80" s="32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>
        <v>10</v>
      </c>
      <c r="AW80" s="2">
        <v>10</v>
      </c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 t="shared" si="28"/>
        <v>32</v>
      </c>
      <c r="BQ80" s="1">
        <v>14</v>
      </c>
      <c r="BR80" s="17">
        <v>3</v>
      </c>
      <c r="BS80" s="17" t="s">
        <v>264</v>
      </c>
      <c r="BT80" s="1" t="str">
        <f t="shared" si="29"/>
        <v/>
      </c>
      <c r="BU80" s="1" t="str">
        <f t="shared" si="30"/>
        <v/>
      </c>
      <c r="BV80" s="1" t="str">
        <f t="shared" si="31"/>
        <v/>
      </c>
      <c r="BW80" s="1" t="str">
        <f t="shared" si="32"/>
        <v/>
      </c>
      <c r="BX80" s="1" t="str">
        <f t="shared" si="33"/>
        <v/>
      </c>
      <c r="BY80" s="1">
        <f t="shared" si="34"/>
        <v>2</v>
      </c>
      <c r="BZ80" s="1" t="str">
        <f t="shared" si="35"/>
        <v/>
      </c>
      <c r="CA80" s="1" t="str">
        <f t="shared" si="36"/>
        <v/>
      </c>
      <c r="CB80" s="1" t="str">
        <f t="shared" si="37"/>
        <v/>
      </c>
      <c r="CC80" s="1" t="str">
        <f t="shared" si="38"/>
        <v/>
      </c>
      <c r="CD80" s="1" t="str">
        <f t="shared" si="39"/>
        <v/>
      </c>
      <c r="CE80" s="1" t="str">
        <f t="shared" si="40"/>
        <v/>
      </c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8"/>
    </row>
    <row r="81" spans="1:97" ht="40.5" x14ac:dyDescent="0.15">
      <c r="A81" s="1"/>
      <c r="B81" s="1" t="s">
        <v>174</v>
      </c>
      <c r="C81" s="1" t="s">
        <v>128</v>
      </c>
      <c r="D81" s="1" t="s">
        <v>131</v>
      </c>
      <c r="E81" s="6"/>
      <c r="F81" s="6"/>
      <c r="G81" s="6"/>
      <c r="H81" s="6"/>
      <c r="I81" s="6">
        <v>10</v>
      </c>
      <c r="J81" s="6"/>
      <c r="K81" s="6"/>
      <c r="L81" s="6"/>
      <c r="M81" s="6"/>
      <c r="N81" s="6"/>
      <c r="O81" s="6"/>
      <c r="P81" s="32"/>
      <c r="Q81" s="32"/>
      <c r="R81" s="32">
        <v>10</v>
      </c>
      <c r="S81" s="32"/>
      <c r="T81" s="32"/>
      <c r="U81" s="32"/>
      <c r="V81" s="32"/>
      <c r="W81" s="32"/>
      <c r="X81" s="32">
        <v>10</v>
      </c>
      <c r="Y81" s="32"/>
      <c r="Z81" s="32"/>
      <c r="AA81" s="32"/>
      <c r="AB81" s="32"/>
      <c r="AC81" s="32"/>
      <c r="AD81" s="32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>
        <v>10</v>
      </c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 t="shared" si="28"/>
        <v>40</v>
      </c>
      <c r="BQ81" s="1">
        <v>15</v>
      </c>
      <c r="BR81" s="17">
        <v>3</v>
      </c>
      <c r="BS81" s="17" t="s">
        <v>265</v>
      </c>
      <c r="BT81" s="1" t="str">
        <f t="shared" si="29"/>
        <v/>
      </c>
      <c r="BU81" s="1" t="str">
        <f t="shared" si="30"/>
        <v/>
      </c>
      <c r="BV81" s="1" t="str">
        <f t="shared" si="31"/>
        <v/>
      </c>
      <c r="BW81" s="1">
        <f t="shared" si="32"/>
        <v>3</v>
      </c>
      <c r="BX81" s="1" t="str">
        <f t="shared" si="33"/>
        <v/>
      </c>
      <c r="BY81" s="1" t="str">
        <f t="shared" si="34"/>
        <v/>
      </c>
      <c r="BZ81" s="1" t="str">
        <f t="shared" si="35"/>
        <v/>
      </c>
      <c r="CA81" s="1" t="str">
        <f t="shared" si="36"/>
        <v/>
      </c>
      <c r="CB81" s="1" t="str">
        <f t="shared" si="37"/>
        <v/>
      </c>
      <c r="CC81" s="1" t="str">
        <f t="shared" si="38"/>
        <v/>
      </c>
      <c r="CD81" s="1" t="str">
        <f t="shared" si="39"/>
        <v/>
      </c>
      <c r="CE81" s="1" t="str">
        <f t="shared" si="40"/>
        <v/>
      </c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8"/>
    </row>
    <row r="82" spans="1:97" ht="40.5" x14ac:dyDescent="0.15">
      <c r="A82" s="1">
        <v>28</v>
      </c>
      <c r="B82" s="1" t="s">
        <v>78</v>
      </c>
      <c r="C82" s="1" t="s">
        <v>31</v>
      </c>
      <c r="D82" s="1" t="s">
        <v>1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32"/>
      <c r="Q82" s="32"/>
      <c r="R82" s="32"/>
      <c r="S82" s="32"/>
      <c r="T82" s="32"/>
      <c r="U82" s="32"/>
      <c r="V82" s="32"/>
      <c r="W82" s="32"/>
      <c r="X82" s="32"/>
      <c r="Y82" s="32"/>
      <c r="Z82" s="32"/>
      <c r="AA82" s="32"/>
      <c r="AB82" s="32"/>
      <c r="AC82" s="32"/>
      <c r="AD82" s="32"/>
      <c r="AE82" s="1"/>
      <c r="AF82" s="1"/>
      <c r="AG82" s="1"/>
      <c r="AH82" s="1">
        <v>5</v>
      </c>
      <c r="AI82" s="1">
        <v>5</v>
      </c>
      <c r="AJ82" s="1">
        <v>5</v>
      </c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 t="shared" si="28"/>
        <v>15</v>
      </c>
      <c r="BQ82" s="1">
        <v>15</v>
      </c>
      <c r="BR82" s="17">
        <v>3</v>
      </c>
      <c r="BS82" s="17" t="s">
        <v>266</v>
      </c>
      <c r="BT82" s="1" t="str">
        <f t="shared" si="29"/>
        <v/>
      </c>
      <c r="BU82" s="1" t="str">
        <f t="shared" si="30"/>
        <v/>
      </c>
      <c r="BV82" s="1" t="str">
        <f t="shared" si="31"/>
        <v/>
      </c>
      <c r="BW82" s="1" t="str">
        <f t="shared" si="32"/>
        <v/>
      </c>
      <c r="BX82" s="1" t="str">
        <f t="shared" si="33"/>
        <v/>
      </c>
      <c r="BY82" s="1" t="str">
        <f t="shared" si="34"/>
        <v/>
      </c>
      <c r="BZ82" s="1" t="str">
        <f t="shared" si="35"/>
        <v/>
      </c>
      <c r="CA82" s="1" t="str">
        <f t="shared" si="36"/>
        <v/>
      </c>
      <c r="CB82" s="1" t="str">
        <f t="shared" si="37"/>
        <v/>
      </c>
      <c r="CC82" s="1" t="str">
        <f t="shared" si="38"/>
        <v/>
      </c>
      <c r="CD82" s="1" t="str">
        <f t="shared" si="39"/>
        <v/>
      </c>
      <c r="CE82" s="1" t="str">
        <f t="shared" si="40"/>
        <v/>
      </c>
      <c r="CF82" s="1">
        <f>COUNTIF(BT82:CE82, "&gt;0")</f>
        <v>0</v>
      </c>
      <c r="CG82" s="1" t="str">
        <f t="shared" ref="CG82:CR86" si="44">IF($CF82=1,BT82,"")</f>
        <v/>
      </c>
      <c r="CH82" s="1" t="str">
        <f t="shared" si="44"/>
        <v/>
      </c>
      <c r="CI82" s="1" t="str">
        <f t="shared" si="44"/>
        <v/>
      </c>
      <c r="CJ82" s="1" t="str">
        <f t="shared" si="44"/>
        <v/>
      </c>
      <c r="CK82" s="1" t="str">
        <f t="shared" si="44"/>
        <v/>
      </c>
      <c r="CL82" s="1" t="str">
        <f t="shared" si="44"/>
        <v/>
      </c>
      <c r="CM82" s="1" t="str">
        <f t="shared" si="44"/>
        <v/>
      </c>
      <c r="CN82" s="1" t="str">
        <f t="shared" si="44"/>
        <v/>
      </c>
      <c r="CO82" s="1" t="str">
        <f t="shared" si="44"/>
        <v/>
      </c>
      <c r="CP82" s="1" t="str">
        <f t="shared" si="44"/>
        <v/>
      </c>
      <c r="CQ82" s="1" t="str">
        <f t="shared" si="44"/>
        <v/>
      </c>
      <c r="CR82" s="1" t="str">
        <f t="shared" si="44"/>
        <v/>
      </c>
      <c r="CS82" s="18">
        <f>SUM(AE82:BO82)</f>
        <v>15</v>
      </c>
    </row>
    <row r="83" spans="1:97" ht="40.5" x14ac:dyDescent="0.15">
      <c r="A83" s="1">
        <v>89</v>
      </c>
      <c r="B83" s="3" t="s">
        <v>83</v>
      </c>
      <c r="C83" s="3" t="s">
        <v>84</v>
      </c>
      <c r="D83" s="1" t="s">
        <v>1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32"/>
      <c r="Q83" s="32"/>
      <c r="R83" s="32"/>
      <c r="S83" s="32"/>
      <c r="T83" s="32"/>
      <c r="U83" s="32"/>
      <c r="V83" s="32"/>
      <c r="W83" s="32"/>
      <c r="X83" s="32"/>
      <c r="Y83" s="32"/>
      <c r="Z83" s="32"/>
      <c r="AA83" s="32"/>
      <c r="AB83" s="32"/>
      <c r="AC83" s="32"/>
      <c r="AD83" s="32"/>
      <c r="AE83" s="1"/>
      <c r="AF83" s="1">
        <v>5</v>
      </c>
      <c r="AG83" s="1"/>
      <c r="AH83" s="1">
        <v>5</v>
      </c>
      <c r="AI83" s="1">
        <v>5</v>
      </c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 t="shared" si="28"/>
        <v>15</v>
      </c>
      <c r="BQ83" s="1">
        <v>15</v>
      </c>
      <c r="BR83" s="17">
        <v>3</v>
      </c>
      <c r="BS83" s="17" t="s">
        <v>267</v>
      </c>
      <c r="BT83" s="1" t="str">
        <f t="shared" si="29"/>
        <v/>
      </c>
      <c r="BU83" s="1" t="str">
        <f t="shared" si="30"/>
        <v/>
      </c>
      <c r="BV83" s="1" t="str">
        <f t="shared" si="31"/>
        <v/>
      </c>
      <c r="BW83" s="1" t="str">
        <f t="shared" si="32"/>
        <v/>
      </c>
      <c r="BX83" s="1" t="str">
        <f t="shared" si="33"/>
        <v/>
      </c>
      <c r="BY83" s="1" t="str">
        <f t="shared" si="34"/>
        <v/>
      </c>
      <c r="BZ83" s="1" t="str">
        <f t="shared" si="35"/>
        <v/>
      </c>
      <c r="CA83" s="1" t="str">
        <f t="shared" si="36"/>
        <v/>
      </c>
      <c r="CB83" s="1" t="str">
        <f t="shared" si="37"/>
        <v/>
      </c>
      <c r="CC83" s="1" t="str">
        <f t="shared" si="38"/>
        <v/>
      </c>
      <c r="CD83" s="1" t="str">
        <f t="shared" si="39"/>
        <v/>
      </c>
      <c r="CE83" s="1" t="str">
        <f t="shared" si="40"/>
        <v/>
      </c>
      <c r="CF83" s="1">
        <f>COUNTIF(BT83:CE83, "&gt;0")</f>
        <v>0</v>
      </c>
      <c r="CG83" s="1" t="str">
        <f t="shared" si="44"/>
        <v/>
      </c>
      <c r="CH83" s="1" t="str">
        <f t="shared" si="44"/>
        <v/>
      </c>
      <c r="CI83" s="1" t="str">
        <f t="shared" si="44"/>
        <v/>
      </c>
      <c r="CJ83" s="1" t="str">
        <f t="shared" si="44"/>
        <v/>
      </c>
      <c r="CK83" s="1" t="str">
        <f t="shared" si="44"/>
        <v/>
      </c>
      <c r="CL83" s="1" t="str">
        <f t="shared" si="44"/>
        <v/>
      </c>
      <c r="CM83" s="1" t="str">
        <f t="shared" si="44"/>
        <v/>
      </c>
      <c r="CN83" s="1" t="str">
        <f t="shared" si="44"/>
        <v/>
      </c>
      <c r="CO83" s="1" t="str">
        <f t="shared" si="44"/>
        <v/>
      </c>
      <c r="CP83" s="1" t="str">
        <f t="shared" si="44"/>
        <v/>
      </c>
      <c r="CQ83" s="1" t="str">
        <f t="shared" si="44"/>
        <v/>
      </c>
      <c r="CR83" s="1" t="str">
        <f t="shared" si="44"/>
        <v/>
      </c>
      <c r="CS83" s="18">
        <f>SUM(AE83:BO83)</f>
        <v>15</v>
      </c>
    </row>
    <row r="84" spans="1:97" ht="40.5" x14ac:dyDescent="0.15">
      <c r="A84" s="1">
        <v>45</v>
      </c>
      <c r="B84" s="1" t="s">
        <v>109</v>
      </c>
      <c r="C84" s="1" t="s">
        <v>48</v>
      </c>
      <c r="D84" s="1" t="s">
        <v>13</v>
      </c>
      <c r="E84" s="6">
        <v>6</v>
      </c>
      <c r="F84" s="6"/>
      <c r="G84" s="6"/>
      <c r="H84" s="6"/>
      <c r="I84" s="6"/>
      <c r="J84" s="6"/>
      <c r="K84" s="6"/>
      <c r="L84" s="6"/>
      <c r="M84" s="6">
        <v>6</v>
      </c>
      <c r="N84" s="6"/>
      <c r="O84" s="6"/>
      <c r="P84" s="32"/>
      <c r="Q84" s="32"/>
      <c r="R84" s="32"/>
      <c r="S84" s="32"/>
      <c r="T84" s="32"/>
      <c r="U84" s="32"/>
      <c r="V84" s="32"/>
      <c r="W84" s="32"/>
      <c r="X84" s="32"/>
      <c r="Y84" s="32"/>
      <c r="Z84" s="32"/>
      <c r="AA84" s="32"/>
      <c r="AB84" s="32"/>
      <c r="AC84" s="32"/>
      <c r="AD84" s="32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>
        <v>10</v>
      </c>
      <c r="AR84" s="4"/>
      <c r="AS84" s="4"/>
      <c r="AT84" s="4"/>
      <c r="AU84" s="4"/>
      <c r="AV84" s="4"/>
      <c r="AW84" s="2"/>
      <c r="AX84" s="2"/>
      <c r="AY84" s="2"/>
      <c r="AZ84" s="2">
        <v>10</v>
      </c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 t="shared" si="28"/>
        <v>32</v>
      </c>
      <c r="BQ84" s="1">
        <v>16</v>
      </c>
      <c r="BR84" s="17">
        <v>3</v>
      </c>
      <c r="BS84" s="17" t="s">
        <v>268</v>
      </c>
      <c r="BT84" s="1">
        <f t="shared" si="29"/>
        <v>1</v>
      </c>
      <c r="BU84" s="1" t="str">
        <f t="shared" si="30"/>
        <v/>
      </c>
      <c r="BV84" s="1" t="str">
        <f t="shared" si="31"/>
        <v/>
      </c>
      <c r="BW84" s="1" t="str">
        <f t="shared" si="32"/>
        <v/>
      </c>
      <c r="BX84" s="1" t="str">
        <f t="shared" si="33"/>
        <v/>
      </c>
      <c r="BY84" s="1" t="str">
        <f t="shared" si="34"/>
        <v/>
      </c>
      <c r="BZ84" s="1" t="str">
        <f t="shared" si="35"/>
        <v/>
      </c>
      <c r="CA84" s="1" t="str">
        <f t="shared" si="36"/>
        <v/>
      </c>
      <c r="CB84" s="1" t="str">
        <f t="shared" si="37"/>
        <v/>
      </c>
      <c r="CC84" s="1">
        <f t="shared" si="38"/>
        <v>10</v>
      </c>
      <c r="CD84" s="1" t="str">
        <f t="shared" si="39"/>
        <v/>
      </c>
      <c r="CE84" s="1" t="str">
        <f t="shared" si="40"/>
        <v/>
      </c>
      <c r="CF84" s="1">
        <f>COUNTIF(BT84:CE84, "&gt;0")</f>
        <v>2</v>
      </c>
      <c r="CG84" s="1" t="str">
        <f t="shared" si="44"/>
        <v/>
      </c>
      <c r="CH84" s="1" t="str">
        <f t="shared" si="44"/>
        <v/>
      </c>
      <c r="CI84" s="1" t="str">
        <f t="shared" si="44"/>
        <v/>
      </c>
      <c r="CJ84" s="1" t="str">
        <f t="shared" si="44"/>
        <v/>
      </c>
      <c r="CK84" s="1" t="str">
        <f t="shared" si="44"/>
        <v/>
      </c>
      <c r="CL84" s="1" t="str">
        <f t="shared" si="44"/>
        <v/>
      </c>
      <c r="CM84" s="1" t="str">
        <f t="shared" si="44"/>
        <v/>
      </c>
      <c r="CN84" s="1" t="str">
        <f t="shared" si="44"/>
        <v/>
      </c>
      <c r="CO84" s="1" t="str">
        <f t="shared" si="44"/>
        <v/>
      </c>
      <c r="CP84" s="1" t="str">
        <f t="shared" si="44"/>
        <v/>
      </c>
      <c r="CQ84" s="1" t="str">
        <f t="shared" si="44"/>
        <v/>
      </c>
      <c r="CR84" s="1" t="str">
        <f t="shared" si="44"/>
        <v/>
      </c>
      <c r="CS84" s="18">
        <f>SUM(AE84:BO84)</f>
        <v>20</v>
      </c>
    </row>
    <row r="85" spans="1:97" ht="40.5" x14ac:dyDescent="0.15">
      <c r="A85" s="1">
        <v>81</v>
      </c>
      <c r="B85" s="3" t="s">
        <v>70</v>
      </c>
      <c r="C85" s="3" t="s">
        <v>67</v>
      </c>
      <c r="D85" s="1" t="s">
        <v>13</v>
      </c>
      <c r="E85" s="6"/>
      <c r="F85" s="6"/>
      <c r="G85" s="6"/>
      <c r="H85" s="6"/>
      <c r="I85" s="6"/>
      <c r="J85" s="6"/>
      <c r="K85" s="6"/>
      <c r="L85" s="6">
        <v>6</v>
      </c>
      <c r="M85" s="6"/>
      <c r="N85" s="6"/>
      <c r="O85" s="6">
        <v>6</v>
      </c>
      <c r="P85" s="32"/>
      <c r="Q85" s="32"/>
      <c r="R85" s="32"/>
      <c r="S85" s="32"/>
      <c r="T85" s="32"/>
      <c r="U85" s="32"/>
      <c r="V85" s="32"/>
      <c r="W85" s="32"/>
      <c r="X85" s="32"/>
      <c r="Y85" s="32"/>
      <c r="Z85" s="32"/>
      <c r="AA85" s="32"/>
      <c r="AB85" s="32"/>
      <c r="AC85" s="32"/>
      <c r="AD85" s="32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>
        <v>10</v>
      </c>
      <c r="AU85" s="4"/>
      <c r="AV85" s="4"/>
      <c r="AW85" s="2"/>
      <c r="AX85" s="2"/>
      <c r="AY85" s="2"/>
      <c r="AZ85" s="2"/>
      <c r="BA85" s="2">
        <v>10</v>
      </c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 t="shared" si="28"/>
        <v>32</v>
      </c>
      <c r="BQ85" s="1">
        <v>16</v>
      </c>
      <c r="BR85" s="17">
        <v>3</v>
      </c>
      <c r="BS85" s="17" t="s">
        <v>269</v>
      </c>
      <c r="BT85" s="1" t="str">
        <f t="shared" si="29"/>
        <v/>
      </c>
      <c r="BU85" s="1" t="str">
        <f t="shared" si="30"/>
        <v/>
      </c>
      <c r="BV85" s="1" t="str">
        <f t="shared" si="31"/>
        <v/>
      </c>
      <c r="BW85" s="1">
        <f t="shared" si="32"/>
        <v>3</v>
      </c>
      <c r="BX85" s="1" t="str">
        <f t="shared" si="33"/>
        <v/>
      </c>
      <c r="BY85" s="1" t="str">
        <f t="shared" si="34"/>
        <v/>
      </c>
      <c r="BZ85" s="1" t="str">
        <f t="shared" si="35"/>
        <v/>
      </c>
      <c r="CA85" s="1" t="str">
        <f t="shared" si="36"/>
        <v/>
      </c>
      <c r="CB85" s="1" t="str">
        <f t="shared" si="37"/>
        <v/>
      </c>
      <c r="CC85" s="1" t="str">
        <f t="shared" si="38"/>
        <v/>
      </c>
      <c r="CD85" s="1">
        <f t="shared" si="39"/>
        <v>9</v>
      </c>
      <c r="CE85" s="1" t="str">
        <f t="shared" si="40"/>
        <v/>
      </c>
      <c r="CF85" s="1">
        <f>COUNTIF(BT85:CE85, "&gt;0")</f>
        <v>2</v>
      </c>
      <c r="CG85" s="1" t="str">
        <f t="shared" si="44"/>
        <v/>
      </c>
      <c r="CH85" s="1" t="str">
        <f t="shared" si="44"/>
        <v/>
      </c>
      <c r="CI85" s="1" t="str">
        <f t="shared" si="44"/>
        <v/>
      </c>
      <c r="CJ85" s="1" t="str">
        <f t="shared" si="44"/>
        <v/>
      </c>
      <c r="CK85" s="1" t="str">
        <f t="shared" si="44"/>
        <v/>
      </c>
      <c r="CL85" s="1" t="str">
        <f t="shared" si="44"/>
        <v/>
      </c>
      <c r="CM85" s="1" t="str">
        <f t="shared" si="44"/>
        <v/>
      </c>
      <c r="CN85" s="1" t="str">
        <f t="shared" si="44"/>
        <v/>
      </c>
      <c r="CO85" s="1" t="str">
        <f t="shared" si="44"/>
        <v/>
      </c>
      <c r="CP85" s="1" t="str">
        <f t="shared" si="44"/>
        <v/>
      </c>
      <c r="CQ85" s="1" t="str">
        <f t="shared" si="44"/>
        <v/>
      </c>
      <c r="CR85" s="1" t="str">
        <f t="shared" si="44"/>
        <v/>
      </c>
      <c r="CS85" s="18">
        <f>SUM(AE85:BO85)</f>
        <v>20</v>
      </c>
    </row>
    <row r="86" spans="1:97" ht="40.5" x14ac:dyDescent="0.15">
      <c r="A86" s="1">
        <v>72</v>
      </c>
      <c r="B86" s="3" t="s">
        <v>95</v>
      </c>
      <c r="C86" s="1" t="s">
        <v>59</v>
      </c>
      <c r="D86" s="1" t="s">
        <v>13</v>
      </c>
      <c r="E86" s="6"/>
      <c r="F86" s="6"/>
      <c r="G86" s="6"/>
      <c r="H86" s="6"/>
      <c r="I86" s="6"/>
      <c r="J86" s="6"/>
      <c r="K86" s="6"/>
      <c r="L86" s="6">
        <v>6</v>
      </c>
      <c r="M86" s="6">
        <v>6</v>
      </c>
      <c r="N86" s="6"/>
      <c r="O86" s="6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  <c r="AC86" s="32"/>
      <c r="AD86" s="32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>
        <v>10</v>
      </c>
      <c r="AW86" s="2"/>
      <c r="AX86" s="2"/>
      <c r="AY86" s="2"/>
      <c r="AZ86" s="2"/>
      <c r="BA86" s="2">
        <v>10</v>
      </c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 t="shared" ref="BP86:BP117" si="45">SUM(E86:BO86)</f>
        <v>32</v>
      </c>
      <c r="BQ86" s="1">
        <v>16</v>
      </c>
      <c r="BR86" s="17">
        <v>3</v>
      </c>
      <c r="BS86" s="17" t="s">
        <v>270</v>
      </c>
      <c r="BT86" s="1" t="str">
        <f t="shared" ref="BT86:BT117" si="46">IF(AQ86&gt;AQ$145, AQ86-AQ$145,"")</f>
        <v/>
      </c>
      <c r="BU86" s="1" t="str">
        <f t="shared" ref="BU86:BU117" si="47">IF(AR86&gt;AR$145, AR86-AR$145,"")</f>
        <v/>
      </c>
      <c r="BV86" s="1" t="str">
        <f t="shared" ref="BV86:BV117" si="48">IF(AS86&gt;AS$145, AS86-AS$145,"")</f>
        <v/>
      </c>
      <c r="BW86" s="1" t="str">
        <f t="shared" ref="BW86:BW117" si="49">IF(AT86&gt;AT$145, AT86-AT$145,"")</f>
        <v/>
      </c>
      <c r="BX86" s="1" t="str">
        <f t="shared" ref="BX86:BX117" si="50">IF(AU86&gt;AU$145, AU86-AU$145,"")</f>
        <v/>
      </c>
      <c r="BY86" s="1">
        <f t="shared" ref="BY86:BY117" si="51">IF(AV86&gt;AV$145, AV86-AV$145,"")</f>
        <v>2</v>
      </c>
      <c r="BZ86" s="1" t="str">
        <f t="shared" ref="BZ86:BZ117" si="52">IF(AW86&gt;AW$145, AW86-AW$145,"")</f>
        <v/>
      </c>
      <c r="CA86" s="1" t="str">
        <f t="shared" ref="CA86:CA117" si="53">IF(AX86&gt;AX$145, AX86-AX$145,"")</f>
        <v/>
      </c>
      <c r="CB86" s="1" t="str">
        <f t="shared" ref="CB86:CB117" si="54">IF(AY86&gt;AY$145, AY86-AY$145,"")</f>
        <v/>
      </c>
      <c r="CC86" s="1" t="str">
        <f t="shared" ref="CC86:CC117" si="55">IF(AZ86&gt;AZ$145, AZ86-AZ$145,"")</f>
        <v/>
      </c>
      <c r="CD86" s="1">
        <f t="shared" ref="CD86:CD117" si="56">IF(BA86&gt;BA$145, BA86-BA$145,"")</f>
        <v>9</v>
      </c>
      <c r="CE86" s="1" t="str">
        <f t="shared" ref="CE86:CE117" si="57">IF(BB86&gt;BB$145, BB86-BB$145,"")</f>
        <v/>
      </c>
      <c r="CF86" s="1">
        <f>COUNTIF(BT86:CE86, "&gt;0")</f>
        <v>2</v>
      </c>
      <c r="CG86" s="1" t="str">
        <f t="shared" si="44"/>
        <v/>
      </c>
      <c r="CH86" s="1" t="str">
        <f t="shared" si="44"/>
        <v/>
      </c>
      <c r="CI86" s="1" t="str">
        <f t="shared" si="44"/>
        <v/>
      </c>
      <c r="CJ86" s="1" t="str">
        <f t="shared" si="44"/>
        <v/>
      </c>
      <c r="CK86" s="1" t="str">
        <f t="shared" si="44"/>
        <v/>
      </c>
      <c r="CL86" s="1" t="str">
        <f t="shared" si="44"/>
        <v/>
      </c>
      <c r="CM86" s="1" t="str">
        <f t="shared" si="44"/>
        <v/>
      </c>
      <c r="CN86" s="1" t="str">
        <f t="shared" si="44"/>
        <v/>
      </c>
      <c r="CO86" s="1" t="str">
        <f t="shared" si="44"/>
        <v/>
      </c>
      <c r="CP86" s="1" t="str">
        <f t="shared" si="44"/>
        <v/>
      </c>
      <c r="CQ86" s="1" t="str">
        <f t="shared" si="44"/>
        <v/>
      </c>
      <c r="CR86" s="1" t="str">
        <f t="shared" si="44"/>
        <v/>
      </c>
      <c r="CS86" s="18">
        <f>SUM(AE86:BO86)</f>
        <v>20</v>
      </c>
    </row>
    <row r="87" spans="1:97" ht="40.5" x14ac:dyDescent="0.15">
      <c r="A87" s="1"/>
      <c r="B87" s="1" t="s">
        <v>117</v>
      </c>
      <c r="C87" s="1" t="s">
        <v>114</v>
      </c>
      <c r="D87" s="1" t="s">
        <v>111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>
        <v>5</v>
      </c>
      <c r="P87" s="32"/>
      <c r="Q87" s="32"/>
      <c r="R87" s="32"/>
      <c r="S87" s="32"/>
      <c r="T87" s="32"/>
      <c r="U87" s="32"/>
      <c r="V87" s="32"/>
      <c r="W87" s="32"/>
      <c r="X87" s="32"/>
      <c r="Y87" s="32"/>
      <c r="Z87" s="32"/>
      <c r="AA87" s="32"/>
      <c r="AB87" s="32"/>
      <c r="AC87" s="32"/>
      <c r="AD87" s="32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>
        <v>5</v>
      </c>
      <c r="AP87" s="1">
        <v>10</v>
      </c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 t="shared" si="45"/>
        <v>20</v>
      </c>
      <c r="BQ87" s="1">
        <v>18</v>
      </c>
      <c r="BR87" s="17">
        <v>3</v>
      </c>
      <c r="BS87" s="17" t="s">
        <v>271</v>
      </c>
      <c r="BT87" s="1" t="str">
        <f t="shared" si="46"/>
        <v/>
      </c>
      <c r="BU87" s="1" t="str">
        <f t="shared" si="47"/>
        <v/>
      </c>
      <c r="BV87" s="1" t="str">
        <f t="shared" si="48"/>
        <v/>
      </c>
      <c r="BW87" s="1" t="str">
        <f t="shared" si="49"/>
        <v/>
      </c>
      <c r="BX87" s="1" t="str">
        <f t="shared" si="50"/>
        <v/>
      </c>
      <c r="BY87" s="1" t="str">
        <f t="shared" si="51"/>
        <v/>
      </c>
      <c r="BZ87" s="1" t="str">
        <f t="shared" si="52"/>
        <v/>
      </c>
      <c r="CA87" s="1" t="str">
        <f t="shared" si="53"/>
        <v/>
      </c>
      <c r="CB87" s="1" t="str">
        <f t="shared" si="54"/>
        <v/>
      </c>
      <c r="CC87" s="1" t="str">
        <f t="shared" si="55"/>
        <v/>
      </c>
      <c r="CD87" s="1" t="str">
        <f t="shared" si="56"/>
        <v/>
      </c>
      <c r="CE87" s="1" t="str">
        <f t="shared" si="57"/>
        <v/>
      </c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8"/>
    </row>
    <row r="88" spans="1:97" ht="40.5" x14ac:dyDescent="0.15">
      <c r="A88" s="1">
        <v>21</v>
      </c>
      <c r="B88" s="1" t="s">
        <v>38</v>
      </c>
      <c r="C88" s="1" t="s">
        <v>31</v>
      </c>
      <c r="D88" s="1" t="s">
        <v>26</v>
      </c>
      <c r="E88" s="6"/>
      <c r="F88" s="6"/>
      <c r="G88" s="6">
        <v>6</v>
      </c>
      <c r="H88" s="6">
        <v>6</v>
      </c>
      <c r="I88" s="6"/>
      <c r="J88" s="6"/>
      <c r="K88" s="6"/>
      <c r="L88" s="6"/>
      <c r="M88" s="6"/>
      <c r="N88" s="6"/>
      <c r="O88" s="6"/>
      <c r="P88" s="32"/>
      <c r="Q88" s="32"/>
      <c r="R88" s="32"/>
      <c r="S88" s="32"/>
      <c r="T88" s="32"/>
      <c r="U88" s="32"/>
      <c r="V88" s="32"/>
      <c r="W88" s="32"/>
      <c r="X88" s="32"/>
      <c r="Y88" s="32"/>
      <c r="Z88" s="32"/>
      <c r="AA88" s="32"/>
      <c r="AB88" s="32"/>
      <c r="AC88" s="32"/>
      <c r="AD88" s="32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>
        <v>10</v>
      </c>
      <c r="AT88" s="4"/>
      <c r="AU88" s="4"/>
      <c r="AV88" s="4"/>
      <c r="AW88" s="2"/>
      <c r="AX88" s="2"/>
      <c r="AY88" s="2"/>
      <c r="AZ88" s="2"/>
      <c r="BA88" s="2"/>
      <c r="BB88" s="2">
        <v>10</v>
      </c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 t="shared" si="45"/>
        <v>32</v>
      </c>
      <c r="BQ88" s="1">
        <v>20</v>
      </c>
      <c r="BR88" s="17">
        <v>3</v>
      </c>
      <c r="BS88" s="17" t="s">
        <v>272</v>
      </c>
      <c r="BT88" s="1" t="str">
        <f t="shared" si="46"/>
        <v/>
      </c>
      <c r="BU88" s="1" t="str">
        <f t="shared" si="47"/>
        <v/>
      </c>
      <c r="BV88" s="1">
        <f t="shared" si="48"/>
        <v>8</v>
      </c>
      <c r="BW88" s="1" t="str">
        <f t="shared" si="49"/>
        <v/>
      </c>
      <c r="BX88" s="1" t="str">
        <f t="shared" si="50"/>
        <v/>
      </c>
      <c r="BY88" s="1" t="str">
        <f t="shared" si="51"/>
        <v/>
      </c>
      <c r="BZ88" s="1" t="str">
        <f t="shared" si="52"/>
        <v/>
      </c>
      <c r="CA88" s="1" t="str">
        <f t="shared" si="53"/>
        <v/>
      </c>
      <c r="CB88" s="1" t="str">
        <f t="shared" si="54"/>
        <v/>
      </c>
      <c r="CC88" s="1" t="str">
        <f t="shared" si="55"/>
        <v/>
      </c>
      <c r="CD88" s="1" t="str">
        <f t="shared" si="56"/>
        <v/>
      </c>
      <c r="CE88" s="1" t="str">
        <f t="shared" si="57"/>
        <v/>
      </c>
      <c r="CF88" s="1">
        <f>COUNTIF(BT88:CE88, "&gt;0")</f>
        <v>1</v>
      </c>
      <c r="CG88" s="1" t="str">
        <f t="shared" ref="CG88:CR88" si="58">IF($CF88=1,BT88,"")</f>
        <v/>
      </c>
      <c r="CH88" s="1" t="str">
        <f t="shared" si="58"/>
        <v/>
      </c>
      <c r="CI88" s="1">
        <f t="shared" si="58"/>
        <v>8</v>
      </c>
      <c r="CJ88" s="1" t="str">
        <f t="shared" si="58"/>
        <v/>
      </c>
      <c r="CK88" s="1" t="str">
        <f t="shared" si="58"/>
        <v/>
      </c>
      <c r="CL88" s="1" t="str">
        <f t="shared" si="58"/>
        <v/>
      </c>
      <c r="CM88" s="1" t="str">
        <f t="shared" si="58"/>
        <v/>
      </c>
      <c r="CN88" s="1" t="str">
        <f t="shared" si="58"/>
        <v/>
      </c>
      <c r="CO88" s="1" t="str">
        <f t="shared" si="58"/>
        <v/>
      </c>
      <c r="CP88" s="1" t="str">
        <f t="shared" si="58"/>
        <v/>
      </c>
      <c r="CQ88" s="1" t="str">
        <f t="shared" si="58"/>
        <v/>
      </c>
      <c r="CR88" s="1" t="str">
        <f t="shared" si="58"/>
        <v/>
      </c>
      <c r="CS88" s="18">
        <f>SUM(AE88:BO88)</f>
        <v>20</v>
      </c>
    </row>
    <row r="89" spans="1:97" ht="40.5" x14ac:dyDescent="0.15">
      <c r="A89" s="1"/>
      <c r="B89" s="1" t="s">
        <v>154</v>
      </c>
      <c r="C89" s="1" t="s">
        <v>156</v>
      </c>
      <c r="D89" s="1" t="s">
        <v>131</v>
      </c>
      <c r="E89" s="6"/>
      <c r="F89" s="6"/>
      <c r="G89" s="6"/>
      <c r="H89" s="6"/>
      <c r="I89" s="6"/>
      <c r="J89" s="6">
        <v>10</v>
      </c>
      <c r="K89" s="6"/>
      <c r="L89" s="6"/>
      <c r="M89" s="6"/>
      <c r="N89" s="6"/>
      <c r="O89" s="6"/>
      <c r="P89" s="32"/>
      <c r="Q89" s="32"/>
      <c r="R89" s="32"/>
      <c r="S89" s="32"/>
      <c r="T89" s="32"/>
      <c r="U89" s="32">
        <v>10</v>
      </c>
      <c r="V89" s="32"/>
      <c r="W89" s="32"/>
      <c r="X89" s="32"/>
      <c r="Y89" s="32"/>
      <c r="Z89" s="32"/>
      <c r="AA89" s="32">
        <v>10</v>
      </c>
      <c r="AB89" s="32"/>
      <c r="AC89" s="32"/>
      <c r="AD89" s="32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>
        <v>10</v>
      </c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 t="shared" si="45"/>
        <v>40</v>
      </c>
      <c r="BQ89" s="1">
        <v>20</v>
      </c>
      <c r="BR89" s="17">
        <v>3</v>
      </c>
      <c r="BS89" s="17" t="s">
        <v>273</v>
      </c>
      <c r="BT89" s="1">
        <f t="shared" si="46"/>
        <v>1</v>
      </c>
      <c r="BU89" s="1" t="str">
        <f t="shared" si="47"/>
        <v/>
      </c>
      <c r="BV89" s="1" t="str">
        <f t="shared" si="48"/>
        <v/>
      </c>
      <c r="BW89" s="1" t="str">
        <f t="shared" si="49"/>
        <v/>
      </c>
      <c r="BX89" s="1" t="str">
        <f t="shared" si="50"/>
        <v/>
      </c>
      <c r="BY89" s="1" t="str">
        <f t="shared" si="51"/>
        <v/>
      </c>
      <c r="BZ89" s="1" t="str">
        <f t="shared" si="52"/>
        <v/>
      </c>
      <c r="CA89" s="1" t="str">
        <f t="shared" si="53"/>
        <v/>
      </c>
      <c r="CB89" s="1" t="str">
        <f t="shared" si="54"/>
        <v/>
      </c>
      <c r="CC89" s="1" t="str">
        <f t="shared" si="55"/>
        <v/>
      </c>
      <c r="CD89" s="1" t="str">
        <f t="shared" si="56"/>
        <v/>
      </c>
      <c r="CE89" s="1" t="str">
        <f t="shared" si="57"/>
        <v/>
      </c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8"/>
    </row>
    <row r="90" spans="1:97" ht="40.5" x14ac:dyDescent="0.15">
      <c r="A90" s="1"/>
      <c r="B90" s="1" t="s">
        <v>164</v>
      </c>
      <c r="C90" s="1" t="s">
        <v>158</v>
      </c>
      <c r="D90" s="1" t="s">
        <v>131</v>
      </c>
      <c r="E90" s="6"/>
      <c r="F90" s="6"/>
      <c r="G90" s="6"/>
      <c r="H90" s="6"/>
      <c r="I90" s="6"/>
      <c r="J90" s="6">
        <v>10</v>
      </c>
      <c r="K90" s="6"/>
      <c r="L90" s="6"/>
      <c r="M90" s="6"/>
      <c r="N90" s="6"/>
      <c r="O90" s="6"/>
      <c r="P90" s="32"/>
      <c r="Q90" s="32"/>
      <c r="R90" s="32"/>
      <c r="S90" s="32"/>
      <c r="T90" s="32"/>
      <c r="U90" s="32">
        <v>10</v>
      </c>
      <c r="V90" s="32"/>
      <c r="W90" s="32"/>
      <c r="X90" s="32"/>
      <c r="Y90" s="32"/>
      <c r="Z90" s="32"/>
      <c r="AA90" s="32">
        <v>10</v>
      </c>
      <c r="AB90" s="32"/>
      <c r="AC90" s="32"/>
      <c r="AD90" s="32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>
        <v>10</v>
      </c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 t="shared" si="45"/>
        <v>40</v>
      </c>
      <c r="BQ90" s="1">
        <v>20</v>
      </c>
      <c r="BR90" s="17">
        <v>3</v>
      </c>
      <c r="BS90" s="17" t="s">
        <v>274</v>
      </c>
      <c r="BT90" s="1">
        <f t="shared" si="46"/>
        <v>1</v>
      </c>
      <c r="BU90" s="1" t="str">
        <f t="shared" si="47"/>
        <v/>
      </c>
      <c r="BV90" s="1" t="str">
        <f t="shared" si="48"/>
        <v/>
      </c>
      <c r="BW90" s="1" t="str">
        <f t="shared" si="49"/>
        <v/>
      </c>
      <c r="BX90" s="1" t="str">
        <f t="shared" si="50"/>
        <v/>
      </c>
      <c r="BY90" s="1" t="str">
        <f t="shared" si="51"/>
        <v/>
      </c>
      <c r="BZ90" s="1" t="str">
        <f t="shared" si="52"/>
        <v/>
      </c>
      <c r="CA90" s="1" t="str">
        <f t="shared" si="53"/>
        <v/>
      </c>
      <c r="CB90" s="1" t="str">
        <f t="shared" si="54"/>
        <v/>
      </c>
      <c r="CC90" s="1" t="str">
        <f t="shared" si="55"/>
        <v/>
      </c>
      <c r="CD90" s="1" t="str">
        <f t="shared" si="56"/>
        <v/>
      </c>
      <c r="CE90" s="1" t="str">
        <f t="shared" si="57"/>
        <v/>
      </c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8"/>
    </row>
    <row r="91" spans="1:97" ht="40.5" x14ac:dyDescent="0.15">
      <c r="A91" s="1"/>
      <c r="B91" s="1" t="s">
        <v>146</v>
      </c>
      <c r="C91" s="1" t="s">
        <v>147</v>
      </c>
      <c r="D91" s="1" t="s">
        <v>131</v>
      </c>
      <c r="E91" s="6">
        <v>10</v>
      </c>
      <c r="F91" s="6"/>
      <c r="G91" s="6"/>
      <c r="H91" s="6"/>
      <c r="I91" s="6"/>
      <c r="J91" s="6"/>
      <c r="K91" s="6"/>
      <c r="L91" s="6"/>
      <c r="M91" s="6"/>
      <c r="N91" s="6"/>
      <c r="O91" s="6"/>
      <c r="P91" s="32"/>
      <c r="Q91" s="32"/>
      <c r="R91" s="32">
        <v>10</v>
      </c>
      <c r="S91" s="32"/>
      <c r="T91" s="32"/>
      <c r="U91" s="32">
        <v>10</v>
      </c>
      <c r="V91" s="32"/>
      <c r="W91" s="32"/>
      <c r="X91" s="32"/>
      <c r="Y91" s="32"/>
      <c r="Z91" s="32"/>
      <c r="AA91" s="32"/>
      <c r="AB91" s="32"/>
      <c r="AC91" s="32"/>
      <c r="AD91" s="32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>
        <v>10</v>
      </c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 t="shared" si="45"/>
        <v>40</v>
      </c>
      <c r="BQ91" s="1">
        <v>22</v>
      </c>
      <c r="BR91" s="17">
        <v>3</v>
      </c>
      <c r="BS91" s="17" t="s">
        <v>277</v>
      </c>
      <c r="BT91" s="1" t="str">
        <f t="shared" si="46"/>
        <v/>
      </c>
      <c r="BU91" s="1" t="str">
        <f t="shared" si="47"/>
        <v/>
      </c>
      <c r="BV91" s="1" t="str">
        <f t="shared" si="48"/>
        <v/>
      </c>
      <c r="BW91" s="1" t="str">
        <f t="shared" si="49"/>
        <v/>
      </c>
      <c r="BX91" s="1">
        <f t="shared" si="50"/>
        <v>4</v>
      </c>
      <c r="BY91" s="1" t="str">
        <f t="shared" si="51"/>
        <v/>
      </c>
      <c r="BZ91" s="1" t="str">
        <f t="shared" si="52"/>
        <v/>
      </c>
      <c r="CA91" s="1" t="str">
        <f t="shared" si="53"/>
        <v/>
      </c>
      <c r="CB91" s="1" t="str">
        <f t="shared" si="54"/>
        <v/>
      </c>
      <c r="CC91" s="1" t="str">
        <f t="shared" si="55"/>
        <v/>
      </c>
      <c r="CD91" s="1" t="str">
        <f t="shared" si="56"/>
        <v/>
      </c>
      <c r="CE91" s="1" t="str">
        <f t="shared" si="57"/>
        <v/>
      </c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8"/>
    </row>
    <row r="92" spans="1:97" ht="40.5" x14ac:dyDescent="0.15">
      <c r="A92" s="1"/>
      <c r="B92" s="1" t="s">
        <v>152</v>
      </c>
      <c r="C92" s="1" t="s">
        <v>151</v>
      </c>
      <c r="D92" s="1" t="s">
        <v>131</v>
      </c>
      <c r="E92" s="6">
        <v>10</v>
      </c>
      <c r="F92" s="6"/>
      <c r="G92" s="6"/>
      <c r="H92" s="6"/>
      <c r="I92" s="6"/>
      <c r="J92" s="6"/>
      <c r="K92" s="6"/>
      <c r="L92" s="6"/>
      <c r="M92" s="6"/>
      <c r="N92" s="6"/>
      <c r="O92" s="6"/>
      <c r="P92" s="32"/>
      <c r="Q92" s="32"/>
      <c r="R92" s="32">
        <v>10</v>
      </c>
      <c r="S92" s="32"/>
      <c r="T92" s="32"/>
      <c r="U92" s="32">
        <v>10</v>
      </c>
      <c r="V92" s="32"/>
      <c r="W92" s="32"/>
      <c r="X92" s="32"/>
      <c r="Y92" s="32"/>
      <c r="Z92" s="32"/>
      <c r="AA92" s="32"/>
      <c r="AB92" s="32"/>
      <c r="AC92" s="32"/>
      <c r="AD92" s="32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>
        <v>10</v>
      </c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 t="shared" si="45"/>
        <v>40</v>
      </c>
      <c r="BQ92" s="1">
        <v>22</v>
      </c>
      <c r="BR92" s="17">
        <v>3</v>
      </c>
      <c r="BS92" s="17" t="s">
        <v>278</v>
      </c>
      <c r="BT92" s="1" t="str">
        <f t="shared" si="46"/>
        <v/>
      </c>
      <c r="BU92" s="1" t="str">
        <f t="shared" si="47"/>
        <v/>
      </c>
      <c r="BV92" s="1" t="str">
        <f t="shared" si="48"/>
        <v/>
      </c>
      <c r="BW92" s="1" t="str">
        <f t="shared" si="49"/>
        <v/>
      </c>
      <c r="BX92" s="1">
        <f t="shared" si="50"/>
        <v>4</v>
      </c>
      <c r="BY92" s="1" t="str">
        <f t="shared" si="51"/>
        <v/>
      </c>
      <c r="BZ92" s="1" t="str">
        <f t="shared" si="52"/>
        <v/>
      </c>
      <c r="CA92" s="1" t="str">
        <f t="shared" si="53"/>
        <v/>
      </c>
      <c r="CB92" s="1" t="str">
        <f t="shared" si="54"/>
        <v/>
      </c>
      <c r="CC92" s="1" t="str">
        <f t="shared" si="55"/>
        <v/>
      </c>
      <c r="CD92" s="1" t="str">
        <f t="shared" si="56"/>
        <v/>
      </c>
      <c r="CE92" s="1" t="str">
        <f t="shared" si="57"/>
        <v/>
      </c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8"/>
    </row>
    <row r="93" spans="1:97" ht="40.5" x14ac:dyDescent="0.15">
      <c r="A93" s="1"/>
      <c r="B93" s="1" t="s">
        <v>162</v>
      </c>
      <c r="C93" s="1" t="s">
        <v>158</v>
      </c>
      <c r="D93" s="1" t="s">
        <v>131</v>
      </c>
      <c r="E93" s="6">
        <v>10</v>
      </c>
      <c r="F93" s="6"/>
      <c r="G93" s="6"/>
      <c r="H93" s="6"/>
      <c r="I93" s="6"/>
      <c r="J93" s="6"/>
      <c r="K93" s="6"/>
      <c r="L93" s="6"/>
      <c r="M93" s="6"/>
      <c r="N93" s="6"/>
      <c r="O93" s="6"/>
      <c r="P93" s="32"/>
      <c r="Q93" s="32"/>
      <c r="R93" s="32">
        <v>10</v>
      </c>
      <c r="S93" s="32"/>
      <c r="T93" s="32"/>
      <c r="U93" s="32">
        <v>10</v>
      </c>
      <c r="V93" s="32"/>
      <c r="W93" s="32"/>
      <c r="X93" s="32"/>
      <c r="Y93" s="32"/>
      <c r="Z93" s="32"/>
      <c r="AA93" s="32"/>
      <c r="AB93" s="32"/>
      <c r="AC93" s="32"/>
      <c r="AD93" s="32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>
        <v>10</v>
      </c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 t="shared" si="45"/>
        <v>40</v>
      </c>
      <c r="BQ93" s="1">
        <v>22</v>
      </c>
      <c r="BR93" s="17">
        <v>3</v>
      </c>
      <c r="BS93" s="17" t="s">
        <v>278</v>
      </c>
      <c r="BT93" s="1" t="str">
        <f t="shared" si="46"/>
        <v/>
      </c>
      <c r="BU93" s="1" t="str">
        <f t="shared" si="47"/>
        <v/>
      </c>
      <c r="BV93" s="1" t="str">
        <f t="shared" si="48"/>
        <v/>
      </c>
      <c r="BW93" s="1" t="str">
        <f t="shared" si="49"/>
        <v/>
      </c>
      <c r="BX93" s="1">
        <f t="shared" si="50"/>
        <v>4</v>
      </c>
      <c r="BY93" s="1" t="str">
        <f t="shared" si="51"/>
        <v/>
      </c>
      <c r="BZ93" s="1" t="str">
        <f t="shared" si="52"/>
        <v/>
      </c>
      <c r="CA93" s="1" t="str">
        <f t="shared" si="53"/>
        <v/>
      </c>
      <c r="CB93" s="1" t="str">
        <f t="shared" si="54"/>
        <v/>
      </c>
      <c r="CC93" s="1" t="str">
        <f t="shared" si="55"/>
        <v/>
      </c>
      <c r="CD93" s="1" t="str">
        <f t="shared" si="56"/>
        <v/>
      </c>
      <c r="CE93" s="1" t="str">
        <f t="shared" si="57"/>
        <v/>
      </c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8"/>
    </row>
    <row r="94" spans="1:97" ht="40.5" x14ac:dyDescent="0.15">
      <c r="A94" s="1"/>
      <c r="B94" s="1" t="s">
        <v>117</v>
      </c>
      <c r="C94" s="1" t="s">
        <v>114</v>
      </c>
      <c r="D94" s="1" t="s">
        <v>112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32"/>
      <c r="Q94" s="32"/>
      <c r="R94" s="32"/>
      <c r="S94" s="32"/>
      <c r="T94" s="32"/>
      <c r="U94" s="32"/>
      <c r="V94" s="32"/>
      <c r="W94" s="32"/>
      <c r="X94" s="32"/>
      <c r="Y94" s="32"/>
      <c r="Z94" s="32"/>
      <c r="AA94" s="32"/>
      <c r="AB94" s="32"/>
      <c r="AC94" s="32"/>
      <c r="AD94" s="32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>
        <v>10</v>
      </c>
      <c r="AP94" s="1">
        <v>10</v>
      </c>
      <c r="AQ94" s="4"/>
      <c r="AR94" s="4"/>
      <c r="AS94" s="4">
        <v>5</v>
      </c>
      <c r="AT94" s="4"/>
      <c r="AU94" s="4"/>
      <c r="AV94" s="4"/>
      <c r="AW94" s="2"/>
      <c r="AX94" s="2">
        <v>5</v>
      </c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 t="shared" si="45"/>
        <v>30</v>
      </c>
      <c r="BQ94" s="1">
        <v>23</v>
      </c>
      <c r="BR94" s="17">
        <v>3</v>
      </c>
      <c r="BS94" s="17" t="s">
        <v>276</v>
      </c>
      <c r="BT94" s="1" t="str">
        <f t="shared" si="46"/>
        <v/>
      </c>
      <c r="BU94" s="1" t="str">
        <f t="shared" si="47"/>
        <v/>
      </c>
      <c r="BV94" s="1">
        <f t="shared" si="48"/>
        <v>3</v>
      </c>
      <c r="BW94" s="1" t="str">
        <f t="shared" si="49"/>
        <v/>
      </c>
      <c r="BX94" s="1" t="str">
        <f t="shared" si="50"/>
        <v/>
      </c>
      <c r="BY94" s="1" t="str">
        <f t="shared" si="51"/>
        <v/>
      </c>
      <c r="BZ94" s="1" t="str">
        <f t="shared" si="52"/>
        <v/>
      </c>
      <c r="CA94" s="1" t="str">
        <f t="shared" si="53"/>
        <v/>
      </c>
      <c r="CB94" s="1" t="str">
        <f t="shared" si="54"/>
        <v/>
      </c>
      <c r="CC94" s="1" t="str">
        <f t="shared" si="55"/>
        <v/>
      </c>
      <c r="CD94" s="1" t="str">
        <f t="shared" si="56"/>
        <v/>
      </c>
      <c r="CE94" s="1" t="str">
        <f t="shared" si="57"/>
        <v/>
      </c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8"/>
    </row>
    <row r="95" spans="1:97" ht="40.5" x14ac:dyDescent="0.15">
      <c r="A95" s="1"/>
      <c r="B95" s="1" t="s">
        <v>188</v>
      </c>
      <c r="C95" s="1" t="s">
        <v>151</v>
      </c>
      <c r="D95" s="1" t="s">
        <v>130</v>
      </c>
      <c r="E95" s="6"/>
      <c r="F95" s="6"/>
      <c r="G95" s="6"/>
      <c r="H95" s="6"/>
      <c r="I95" s="6"/>
      <c r="J95" s="6">
        <v>10</v>
      </c>
      <c r="K95" s="6"/>
      <c r="L95" s="6">
        <v>10</v>
      </c>
      <c r="M95" s="6">
        <v>10</v>
      </c>
      <c r="N95" s="6"/>
      <c r="O95" s="6"/>
      <c r="P95" s="32"/>
      <c r="Q95" s="32"/>
      <c r="R95" s="32"/>
      <c r="S95" s="32"/>
      <c r="T95" s="32"/>
      <c r="U95" s="32"/>
      <c r="V95" s="32"/>
      <c r="W95" s="32"/>
      <c r="X95" s="32"/>
      <c r="Y95" s="32"/>
      <c r="Z95" s="32"/>
      <c r="AA95" s="32"/>
      <c r="AB95" s="32"/>
      <c r="AC95" s="32"/>
      <c r="AD95" s="32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>
        <v>15</v>
      </c>
      <c r="AZ95" s="2">
        <v>15</v>
      </c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 t="shared" si="45"/>
        <v>60</v>
      </c>
      <c r="BQ95" s="1">
        <v>26</v>
      </c>
      <c r="BR95" s="17">
        <v>3</v>
      </c>
      <c r="BS95" s="17" t="s">
        <v>279</v>
      </c>
      <c r="BT95" s="1" t="str">
        <f t="shared" si="46"/>
        <v/>
      </c>
      <c r="BU95" s="1" t="str">
        <f t="shared" si="47"/>
        <v/>
      </c>
      <c r="BV95" s="1" t="str">
        <f t="shared" si="48"/>
        <v/>
      </c>
      <c r="BW95" s="1" t="str">
        <f t="shared" si="49"/>
        <v/>
      </c>
      <c r="BX95" s="1" t="str">
        <f t="shared" si="50"/>
        <v/>
      </c>
      <c r="BY95" s="1" t="str">
        <f t="shared" si="51"/>
        <v/>
      </c>
      <c r="BZ95" s="1" t="str">
        <f t="shared" si="52"/>
        <v/>
      </c>
      <c r="CA95" s="1" t="str">
        <f t="shared" si="53"/>
        <v/>
      </c>
      <c r="CB95" s="1">
        <f t="shared" si="54"/>
        <v>2</v>
      </c>
      <c r="CC95" s="1">
        <f t="shared" si="55"/>
        <v>15</v>
      </c>
      <c r="CD95" s="1" t="str">
        <f t="shared" si="56"/>
        <v/>
      </c>
      <c r="CE95" s="1" t="str">
        <f t="shared" si="57"/>
        <v/>
      </c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8"/>
    </row>
    <row r="96" spans="1:97" ht="40.5" x14ac:dyDescent="0.15">
      <c r="A96" s="1">
        <v>3</v>
      </c>
      <c r="B96" s="1" t="s">
        <v>11</v>
      </c>
      <c r="C96" s="1" t="s">
        <v>2</v>
      </c>
      <c r="D96" s="1" t="s">
        <v>12</v>
      </c>
      <c r="E96" s="6">
        <v>15</v>
      </c>
      <c r="F96" s="6"/>
      <c r="G96" s="6">
        <v>15</v>
      </c>
      <c r="H96" s="6"/>
      <c r="I96" s="6"/>
      <c r="J96" s="6"/>
      <c r="K96" s="6"/>
      <c r="L96" s="6"/>
      <c r="M96" s="6"/>
      <c r="N96" s="6"/>
      <c r="O96" s="6"/>
      <c r="P96" s="32"/>
      <c r="Q96" s="32"/>
      <c r="R96" s="32"/>
      <c r="S96" s="32"/>
      <c r="T96" s="32"/>
      <c r="U96" s="32"/>
      <c r="V96" s="32"/>
      <c r="W96" s="32"/>
      <c r="X96" s="32"/>
      <c r="Y96" s="32"/>
      <c r="Z96" s="32"/>
      <c r="AA96" s="32"/>
      <c r="AB96" s="32"/>
      <c r="AC96" s="32"/>
      <c r="AD96" s="32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>
        <v>15</v>
      </c>
      <c r="AS96" s="4"/>
      <c r="AT96" s="4"/>
      <c r="AU96" s="4"/>
      <c r="AV96" s="4"/>
      <c r="AW96" s="2"/>
      <c r="AX96" s="2"/>
      <c r="AY96" s="2"/>
      <c r="AZ96" s="2"/>
      <c r="BA96" s="2"/>
      <c r="BB96" s="2">
        <v>15</v>
      </c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 t="shared" si="45"/>
        <v>60</v>
      </c>
      <c r="BQ96" s="1">
        <v>27</v>
      </c>
      <c r="BR96" s="17">
        <v>3</v>
      </c>
      <c r="BS96" s="17" t="s">
        <v>280</v>
      </c>
      <c r="BT96" s="1" t="str">
        <f t="shared" si="46"/>
        <v/>
      </c>
      <c r="BU96" s="1">
        <f t="shared" si="47"/>
        <v>9</v>
      </c>
      <c r="BV96" s="1" t="str">
        <f t="shared" si="48"/>
        <v/>
      </c>
      <c r="BW96" s="1" t="str">
        <f t="shared" si="49"/>
        <v/>
      </c>
      <c r="BX96" s="1" t="str">
        <f t="shared" si="50"/>
        <v/>
      </c>
      <c r="BY96" s="1" t="str">
        <f t="shared" si="51"/>
        <v/>
      </c>
      <c r="BZ96" s="1" t="str">
        <f t="shared" si="52"/>
        <v/>
      </c>
      <c r="CA96" s="1" t="str">
        <f t="shared" si="53"/>
        <v/>
      </c>
      <c r="CB96" s="1" t="str">
        <f t="shared" si="54"/>
        <v/>
      </c>
      <c r="CC96" s="1" t="str">
        <f t="shared" si="55"/>
        <v/>
      </c>
      <c r="CD96" s="1" t="str">
        <f t="shared" si="56"/>
        <v/>
      </c>
      <c r="CE96" s="1" t="str">
        <f t="shared" si="57"/>
        <v/>
      </c>
      <c r="CF96" s="1">
        <f>COUNTIF(BT96:CE96, "&gt;0")</f>
        <v>1</v>
      </c>
      <c r="CG96" s="1" t="str">
        <f t="shared" ref="CG96:CR96" si="59">IF($CF96=1,BT96,"")</f>
        <v/>
      </c>
      <c r="CH96" s="1">
        <f t="shared" si="59"/>
        <v>9</v>
      </c>
      <c r="CI96" s="1" t="str">
        <f t="shared" si="59"/>
        <v/>
      </c>
      <c r="CJ96" s="1" t="str">
        <f t="shared" si="59"/>
        <v/>
      </c>
      <c r="CK96" s="1" t="str">
        <f t="shared" si="59"/>
        <v/>
      </c>
      <c r="CL96" s="1" t="str">
        <f t="shared" si="59"/>
        <v/>
      </c>
      <c r="CM96" s="1" t="str">
        <f t="shared" si="59"/>
        <v/>
      </c>
      <c r="CN96" s="1" t="str">
        <f t="shared" si="59"/>
        <v/>
      </c>
      <c r="CO96" s="1" t="str">
        <f t="shared" si="59"/>
        <v/>
      </c>
      <c r="CP96" s="1" t="str">
        <f t="shared" si="59"/>
        <v/>
      </c>
      <c r="CQ96" s="1" t="str">
        <f t="shared" si="59"/>
        <v/>
      </c>
      <c r="CR96" s="1" t="str">
        <f t="shared" si="59"/>
        <v/>
      </c>
      <c r="CS96" s="18">
        <f>SUM(AE96:BO96)</f>
        <v>30</v>
      </c>
    </row>
    <row r="97" spans="1:97" ht="40.5" x14ac:dyDescent="0.15">
      <c r="A97" s="1"/>
      <c r="B97" s="1" t="s">
        <v>181</v>
      </c>
      <c r="C97" s="1" t="s">
        <v>122</v>
      </c>
      <c r="D97" s="1" t="s">
        <v>111</v>
      </c>
      <c r="E97" s="6">
        <v>15</v>
      </c>
      <c r="F97" s="6"/>
      <c r="G97" s="6">
        <v>15</v>
      </c>
      <c r="H97" s="6"/>
      <c r="I97" s="6"/>
      <c r="J97" s="6"/>
      <c r="K97" s="6"/>
      <c r="L97" s="6"/>
      <c r="M97" s="6"/>
      <c r="N97" s="6"/>
      <c r="O97" s="6"/>
      <c r="P97" s="32"/>
      <c r="Q97" s="32"/>
      <c r="R97" s="32"/>
      <c r="S97" s="32"/>
      <c r="T97" s="32"/>
      <c r="U97" s="32"/>
      <c r="V97" s="32"/>
      <c r="W97" s="32"/>
      <c r="X97" s="32"/>
      <c r="Y97" s="32"/>
      <c r="Z97" s="32"/>
      <c r="AA97" s="32"/>
      <c r="AB97" s="32"/>
      <c r="AC97" s="32"/>
      <c r="AD97" s="32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>
        <v>15</v>
      </c>
      <c r="AS97" s="4"/>
      <c r="AT97" s="4"/>
      <c r="AU97" s="4"/>
      <c r="AV97" s="4"/>
      <c r="AW97" s="2"/>
      <c r="AX97" s="2"/>
      <c r="AY97" s="2"/>
      <c r="AZ97" s="2"/>
      <c r="BA97" s="2"/>
      <c r="BB97" s="2">
        <v>15</v>
      </c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 t="shared" si="45"/>
        <v>60</v>
      </c>
      <c r="BQ97" s="1">
        <v>27</v>
      </c>
      <c r="BR97" s="17">
        <v>3</v>
      </c>
      <c r="BS97" s="17" t="s">
        <v>281</v>
      </c>
      <c r="BT97" s="1" t="str">
        <f t="shared" si="46"/>
        <v/>
      </c>
      <c r="BU97" s="1">
        <f t="shared" si="47"/>
        <v>9</v>
      </c>
      <c r="BV97" s="1" t="str">
        <f t="shared" si="48"/>
        <v/>
      </c>
      <c r="BW97" s="1" t="str">
        <f t="shared" si="49"/>
        <v/>
      </c>
      <c r="BX97" s="1" t="str">
        <f t="shared" si="50"/>
        <v/>
      </c>
      <c r="BY97" s="1" t="str">
        <f t="shared" si="51"/>
        <v/>
      </c>
      <c r="BZ97" s="1" t="str">
        <f t="shared" si="52"/>
        <v/>
      </c>
      <c r="CA97" s="1" t="str">
        <f t="shared" si="53"/>
        <v/>
      </c>
      <c r="CB97" s="1" t="str">
        <f t="shared" si="54"/>
        <v/>
      </c>
      <c r="CC97" s="1" t="str">
        <f t="shared" si="55"/>
        <v/>
      </c>
      <c r="CD97" s="1" t="str">
        <f t="shared" si="56"/>
        <v/>
      </c>
      <c r="CE97" s="1" t="str">
        <f t="shared" si="57"/>
        <v/>
      </c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8"/>
    </row>
    <row r="98" spans="1:97" ht="40.5" x14ac:dyDescent="0.15">
      <c r="A98" s="1"/>
      <c r="B98" s="1" t="s">
        <v>183</v>
      </c>
      <c r="C98" s="1" t="s">
        <v>122</v>
      </c>
      <c r="D98" s="1" t="s">
        <v>111</v>
      </c>
      <c r="E98" s="6">
        <v>15</v>
      </c>
      <c r="F98" s="6"/>
      <c r="G98" s="6">
        <v>15</v>
      </c>
      <c r="H98" s="6"/>
      <c r="I98" s="6"/>
      <c r="J98" s="6"/>
      <c r="K98" s="6"/>
      <c r="L98" s="6"/>
      <c r="M98" s="6"/>
      <c r="N98" s="6"/>
      <c r="O98" s="6"/>
      <c r="P98" s="32"/>
      <c r="Q98" s="32"/>
      <c r="R98" s="32"/>
      <c r="S98" s="32"/>
      <c r="T98" s="32"/>
      <c r="U98" s="32"/>
      <c r="V98" s="32"/>
      <c r="W98" s="32"/>
      <c r="X98" s="32"/>
      <c r="Y98" s="32"/>
      <c r="Z98" s="32"/>
      <c r="AA98" s="32"/>
      <c r="AB98" s="32"/>
      <c r="AC98" s="32"/>
      <c r="AD98" s="32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>
        <v>15</v>
      </c>
      <c r="AS98" s="4"/>
      <c r="AT98" s="4"/>
      <c r="AU98" s="4"/>
      <c r="AV98" s="4"/>
      <c r="AW98" s="2"/>
      <c r="AX98" s="2"/>
      <c r="AY98" s="2"/>
      <c r="AZ98" s="2"/>
      <c r="BA98" s="2"/>
      <c r="BB98" s="2">
        <v>15</v>
      </c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 t="shared" si="45"/>
        <v>60</v>
      </c>
      <c r="BQ98" s="1">
        <v>27</v>
      </c>
      <c r="BR98" s="17">
        <v>3</v>
      </c>
      <c r="BS98" s="17" t="s">
        <v>281</v>
      </c>
      <c r="BT98" s="1" t="str">
        <f t="shared" si="46"/>
        <v/>
      </c>
      <c r="BU98" s="1">
        <f t="shared" si="47"/>
        <v>9</v>
      </c>
      <c r="BV98" s="1" t="str">
        <f t="shared" si="48"/>
        <v/>
      </c>
      <c r="BW98" s="1" t="str">
        <f t="shared" si="49"/>
        <v/>
      </c>
      <c r="BX98" s="1" t="str">
        <f t="shared" si="50"/>
        <v/>
      </c>
      <c r="BY98" s="1" t="str">
        <f t="shared" si="51"/>
        <v/>
      </c>
      <c r="BZ98" s="1" t="str">
        <f t="shared" si="52"/>
        <v/>
      </c>
      <c r="CA98" s="1" t="str">
        <f t="shared" si="53"/>
        <v/>
      </c>
      <c r="CB98" s="1" t="str">
        <f t="shared" si="54"/>
        <v/>
      </c>
      <c r="CC98" s="1" t="str">
        <f t="shared" si="55"/>
        <v/>
      </c>
      <c r="CD98" s="1" t="str">
        <f t="shared" si="56"/>
        <v/>
      </c>
      <c r="CE98" s="1" t="str">
        <f t="shared" si="57"/>
        <v/>
      </c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8"/>
    </row>
    <row r="99" spans="1:97" ht="40.5" x14ac:dyDescent="0.15">
      <c r="A99" s="1"/>
      <c r="B99" s="1" t="s">
        <v>189</v>
      </c>
      <c r="C99" s="1" t="s">
        <v>151</v>
      </c>
      <c r="D99" s="1" t="s">
        <v>130</v>
      </c>
      <c r="E99" s="6">
        <v>15</v>
      </c>
      <c r="F99" s="6"/>
      <c r="G99" s="6"/>
      <c r="H99" s="6"/>
      <c r="I99" s="6"/>
      <c r="J99" s="6"/>
      <c r="K99" s="6"/>
      <c r="L99" s="6"/>
      <c r="M99" s="6">
        <v>15</v>
      </c>
      <c r="N99" s="6"/>
      <c r="O99" s="6"/>
      <c r="P99" s="32"/>
      <c r="Q99" s="32"/>
      <c r="R99" s="32"/>
      <c r="S99" s="32"/>
      <c r="T99" s="32"/>
      <c r="U99" s="32"/>
      <c r="V99" s="32"/>
      <c r="W99" s="32"/>
      <c r="X99" s="32"/>
      <c r="Y99" s="32"/>
      <c r="Z99" s="32"/>
      <c r="AA99" s="32"/>
      <c r="AB99" s="32"/>
      <c r="AC99" s="32"/>
      <c r="AD99" s="32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>
        <v>15</v>
      </c>
      <c r="AX99" s="2"/>
      <c r="AY99" s="2"/>
      <c r="AZ99" s="2"/>
      <c r="BA99" s="2">
        <v>15</v>
      </c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 t="shared" si="45"/>
        <v>60</v>
      </c>
      <c r="BQ99" s="1">
        <v>31</v>
      </c>
      <c r="BR99" s="17">
        <v>3</v>
      </c>
      <c r="BS99" s="17" t="s">
        <v>282</v>
      </c>
      <c r="BT99" s="1" t="str">
        <f t="shared" si="46"/>
        <v/>
      </c>
      <c r="BU99" s="1" t="str">
        <f t="shared" si="47"/>
        <v/>
      </c>
      <c r="BV99" s="1" t="str">
        <f t="shared" si="48"/>
        <v/>
      </c>
      <c r="BW99" s="1" t="str">
        <f t="shared" si="49"/>
        <v/>
      </c>
      <c r="BX99" s="1" t="str">
        <f t="shared" si="50"/>
        <v/>
      </c>
      <c r="BY99" s="1" t="str">
        <f t="shared" si="51"/>
        <v/>
      </c>
      <c r="BZ99" s="1" t="str">
        <f t="shared" si="52"/>
        <v/>
      </c>
      <c r="CA99" s="1" t="str">
        <f t="shared" si="53"/>
        <v/>
      </c>
      <c r="CB99" s="1" t="str">
        <f t="shared" si="54"/>
        <v/>
      </c>
      <c r="CC99" s="1" t="str">
        <f t="shared" si="55"/>
        <v/>
      </c>
      <c r="CD99" s="1">
        <f t="shared" si="56"/>
        <v>14</v>
      </c>
      <c r="CE99" s="1" t="str">
        <f t="shared" si="57"/>
        <v/>
      </c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8"/>
    </row>
    <row r="100" spans="1:97" ht="40.5" x14ac:dyDescent="0.15">
      <c r="A100" s="19">
        <v>93</v>
      </c>
      <c r="B100" s="27" t="s">
        <v>313</v>
      </c>
      <c r="C100" s="27" t="s">
        <v>84</v>
      </c>
      <c r="D100" s="19" t="s">
        <v>1</v>
      </c>
      <c r="E100" s="20"/>
      <c r="F100" s="20">
        <v>20</v>
      </c>
      <c r="G100" s="20"/>
      <c r="H100" s="20"/>
      <c r="I100" s="20"/>
      <c r="J100" s="20"/>
      <c r="K100" s="20">
        <v>20</v>
      </c>
      <c r="L100" s="20"/>
      <c r="M100" s="20"/>
      <c r="N100" s="20">
        <v>20</v>
      </c>
      <c r="O100" s="20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19"/>
      <c r="AF100" s="19"/>
      <c r="AG100" s="19"/>
      <c r="AH100" s="19"/>
      <c r="AI100" s="19"/>
      <c r="AJ100" s="19"/>
      <c r="AK100" s="19"/>
      <c r="AL100" s="19"/>
      <c r="AM100" s="19"/>
      <c r="AN100" s="19"/>
      <c r="AO100" s="19"/>
      <c r="AP100" s="19"/>
      <c r="AQ100" s="21"/>
      <c r="AR100" s="21"/>
      <c r="AS100" s="21"/>
      <c r="AT100" s="21"/>
      <c r="AU100" s="21"/>
      <c r="AV100" s="21"/>
      <c r="AW100" s="22"/>
      <c r="AX100" s="22"/>
      <c r="AY100" s="22"/>
      <c r="AZ100" s="22"/>
      <c r="BA100" s="22"/>
      <c r="BB100" s="22"/>
      <c r="BC100" s="30"/>
      <c r="BD100" s="19"/>
      <c r="BE100" s="19"/>
      <c r="BF100" s="19"/>
      <c r="BG100" s="19"/>
      <c r="BH100" s="19"/>
      <c r="BI100" s="19"/>
      <c r="BJ100" s="19"/>
      <c r="BK100" s="19"/>
      <c r="BL100" s="19"/>
      <c r="BM100" s="19"/>
      <c r="BN100" s="19"/>
      <c r="BO100" s="19"/>
      <c r="BP100" s="1">
        <f t="shared" si="45"/>
        <v>60</v>
      </c>
      <c r="BQ100" s="19">
        <v>42</v>
      </c>
      <c r="BR100" s="23">
        <v>3</v>
      </c>
      <c r="BS100" s="23" t="s">
        <v>275</v>
      </c>
      <c r="BT100" s="1" t="str">
        <f t="shared" si="46"/>
        <v/>
      </c>
      <c r="BU100" s="1" t="str">
        <f t="shared" si="47"/>
        <v/>
      </c>
      <c r="BV100" s="1" t="str">
        <f t="shared" si="48"/>
        <v/>
      </c>
      <c r="BW100" s="1" t="str">
        <f t="shared" si="49"/>
        <v/>
      </c>
      <c r="BX100" s="1" t="str">
        <f t="shared" si="50"/>
        <v/>
      </c>
      <c r="BY100" s="1" t="str">
        <f t="shared" si="51"/>
        <v/>
      </c>
      <c r="BZ100" s="1" t="str">
        <f t="shared" si="52"/>
        <v/>
      </c>
      <c r="CA100" s="1" t="str">
        <f t="shared" si="53"/>
        <v/>
      </c>
      <c r="CB100" s="1" t="str">
        <f t="shared" si="54"/>
        <v/>
      </c>
      <c r="CC100" s="1" t="str">
        <f t="shared" si="55"/>
        <v/>
      </c>
      <c r="CD100" s="1" t="str">
        <f t="shared" si="56"/>
        <v/>
      </c>
      <c r="CE100" s="1" t="str">
        <f t="shared" si="57"/>
        <v/>
      </c>
      <c r="CF100" s="19">
        <f>COUNTIF(BT100:CE100, "&gt;0")</f>
        <v>0</v>
      </c>
      <c r="CG100" s="19" t="str">
        <f t="shared" ref="CG100:CR101" si="60">IF($CF100=1,BT100,"")</f>
        <v/>
      </c>
      <c r="CH100" s="19" t="str">
        <f t="shared" si="60"/>
        <v/>
      </c>
      <c r="CI100" s="19" t="str">
        <f t="shared" si="60"/>
        <v/>
      </c>
      <c r="CJ100" s="19" t="str">
        <f t="shared" si="60"/>
        <v/>
      </c>
      <c r="CK100" s="19" t="str">
        <f t="shared" si="60"/>
        <v/>
      </c>
      <c r="CL100" s="19" t="str">
        <f t="shared" si="60"/>
        <v/>
      </c>
      <c r="CM100" s="19" t="str">
        <f t="shared" si="60"/>
        <v/>
      </c>
      <c r="CN100" s="19" t="str">
        <f t="shared" si="60"/>
        <v/>
      </c>
      <c r="CO100" s="19" t="str">
        <f t="shared" si="60"/>
        <v/>
      </c>
      <c r="CP100" s="19" t="str">
        <f t="shared" si="60"/>
        <v/>
      </c>
      <c r="CQ100" s="19" t="str">
        <f t="shared" si="60"/>
        <v/>
      </c>
      <c r="CR100" s="19" t="str">
        <f t="shared" si="60"/>
        <v/>
      </c>
      <c r="CS100" s="24">
        <f>SUM(AE100:BO100)</f>
        <v>0</v>
      </c>
    </row>
    <row r="101" spans="1:97" ht="40.5" x14ac:dyDescent="0.15">
      <c r="A101" s="1">
        <v>14</v>
      </c>
      <c r="B101" s="1" t="s">
        <v>30</v>
      </c>
      <c r="C101" s="1" t="s">
        <v>31</v>
      </c>
      <c r="D101" s="1" t="s">
        <v>32</v>
      </c>
      <c r="E101" s="6"/>
      <c r="F101" s="6"/>
      <c r="G101" s="6">
        <v>15</v>
      </c>
      <c r="H101" s="6">
        <v>15</v>
      </c>
      <c r="I101" s="6"/>
      <c r="J101" s="6"/>
      <c r="K101" s="6"/>
      <c r="L101" s="6"/>
      <c r="M101" s="6"/>
      <c r="N101" s="6"/>
      <c r="O101" s="6"/>
      <c r="P101" s="32"/>
      <c r="Q101" s="32"/>
      <c r="R101" s="32"/>
      <c r="S101" s="32"/>
      <c r="T101" s="32"/>
      <c r="U101" s="32"/>
      <c r="V101" s="32"/>
      <c r="W101" s="32"/>
      <c r="X101" s="32"/>
      <c r="Y101" s="32"/>
      <c r="Z101" s="32"/>
      <c r="AA101" s="32"/>
      <c r="AB101" s="32"/>
      <c r="AC101" s="32"/>
      <c r="AD101" s="32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>
        <v>15</v>
      </c>
      <c r="AT101" s="4"/>
      <c r="AU101" s="4"/>
      <c r="AV101" s="4"/>
      <c r="AW101" s="2"/>
      <c r="AX101" s="2"/>
      <c r="AY101" s="2"/>
      <c r="AZ101" s="2"/>
      <c r="BA101" s="2"/>
      <c r="BB101" s="2">
        <v>15</v>
      </c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 t="shared" si="45"/>
        <v>60</v>
      </c>
      <c r="BQ101" s="1">
        <v>43</v>
      </c>
      <c r="BR101" s="17">
        <v>3</v>
      </c>
      <c r="BS101" s="17" t="s">
        <v>283</v>
      </c>
      <c r="BT101" s="1" t="str">
        <f t="shared" si="46"/>
        <v/>
      </c>
      <c r="BU101" s="1" t="str">
        <f t="shared" si="47"/>
        <v/>
      </c>
      <c r="BV101" s="1">
        <f t="shared" si="48"/>
        <v>13</v>
      </c>
      <c r="BW101" s="1" t="str">
        <f t="shared" si="49"/>
        <v/>
      </c>
      <c r="BX101" s="1" t="str">
        <f t="shared" si="50"/>
        <v/>
      </c>
      <c r="BY101" s="1" t="str">
        <f t="shared" si="51"/>
        <v/>
      </c>
      <c r="BZ101" s="1" t="str">
        <f t="shared" si="52"/>
        <v/>
      </c>
      <c r="CA101" s="1" t="str">
        <f t="shared" si="53"/>
        <v/>
      </c>
      <c r="CB101" s="1" t="str">
        <f t="shared" si="54"/>
        <v/>
      </c>
      <c r="CC101" s="1" t="str">
        <f t="shared" si="55"/>
        <v/>
      </c>
      <c r="CD101" s="1" t="str">
        <f t="shared" si="56"/>
        <v/>
      </c>
      <c r="CE101" s="1" t="str">
        <f t="shared" si="57"/>
        <v/>
      </c>
      <c r="CF101" s="1">
        <f>COUNTIF(BT101:CE101, "&gt;0")</f>
        <v>1</v>
      </c>
      <c r="CG101" s="1" t="str">
        <f t="shared" si="60"/>
        <v/>
      </c>
      <c r="CH101" s="1" t="str">
        <f t="shared" si="60"/>
        <v/>
      </c>
      <c r="CI101" s="1">
        <f t="shared" si="60"/>
        <v>13</v>
      </c>
      <c r="CJ101" s="1" t="str">
        <f t="shared" si="60"/>
        <v/>
      </c>
      <c r="CK101" s="1" t="str">
        <f t="shared" si="60"/>
        <v/>
      </c>
      <c r="CL101" s="1" t="str">
        <f t="shared" si="60"/>
        <v/>
      </c>
      <c r="CM101" s="1" t="str">
        <f t="shared" si="60"/>
        <v/>
      </c>
      <c r="CN101" s="1" t="str">
        <f t="shared" si="60"/>
        <v/>
      </c>
      <c r="CO101" s="1" t="str">
        <f t="shared" si="60"/>
        <v/>
      </c>
      <c r="CP101" s="1" t="str">
        <f t="shared" si="60"/>
        <v/>
      </c>
      <c r="CQ101" s="1" t="str">
        <f t="shared" si="60"/>
        <v/>
      </c>
      <c r="CR101" s="1" t="str">
        <f t="shared" si="60"/>
        <v/>
      </c>
      <c r="CS101" s="18">
        <f>SUM(AE101:BO101)</f>
        <v>30</v>
      </c>
    </row>
    <row r="102" spans="1:97" ht="40.5" x14ac:dyDescent="0.15">
      <c r="A102" s="1"/>
      <c r="B102" s="1" t="s">
        <v>113</v>
      </c>
      <c r="C102" s="1" t="s">
        <v>114</v>
      </c>
      <c r="D102" s="1" t="s">
        <v>111</v>
      </c>
      <c r="E102" s="6"/>
      <c r="F102" s="6"/>
      <c r="G102" s="6">
        <v>15</v>
      </c>
      <c r="H102" s="6">
        <v>15</v>
      </c>
      <c r="I102" s="6"/>
      <c r="J102" s="6"/>
      <c r="K102" s="6"/>
      <c r="L102" s="6"/>
      <c r="M102" s="6"/>
      <c r="N102" s="6"/>
      <c r="O102" s="6"/>
      <c r="P102" s="32"/>
      <c r="Q102" s="32"/>
      <c r="R102" s="32"/>
      <c r="S102" s="32"/>
      <c r="T102" s="32"/>
      <c r="U102" s="32"/>
      <c r="V102" s="32"/>
      <c r="W102" s="32"/>
      <c r="X102" s="32"/>
      <c r="Y102" s="32"/>
      <c r="Z102" s="32"/>
      <c r="AA102" s="32"/>
      <c r="AB102" s="32"/>
      <c r="AC102" s="32"/>
      <c r="AD102" s="32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>
        <v>15</v>
      </c>
      <c r="AT102" s="4"/>
      <c r="AU102" s="4"/>
      <c r="AV102" s="4"/>
      <c r="AW102" s="2"/>
      <c r="AX102" s="2"/>
      <c r="AY102" s="2"/>
      <c r="AZ102" s="2"/>
      <c r="BA102" s="2"/>
      <c r="BB102" s="2">
        <v>15</v>
      </c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 t="shared" si="45"/>
        <v>60</v>
      </c>
      <c r="BQ102" s="1">
        <v>43</v>
      </c>
      <c r="BR102" s="17">
        <v>3</v>
      </c>
      <c r="BS102" s="17" t="s">
        <v>284</v>
      </c>
      <c r="BT102" s="1" t="str">
        <f t="shared" si="46"/>
        <v/>
      </c>
      <c r="BU102" s="1" t="str">
        <f t="shared" si="47"/>
        <v/>
      </c>
      <c r="BV102" s="1">
        <f t="shared" si="48"/>
        <v>13</v>
      </c>
      <c r="BW102" s="1" t="str">
        <f t="shared" si="49"/>
        <v/>
      </c>
      <c r="BX102" s="1" t="str">
        <f t="shared" si="50"/>
        <v/>
      </c>
      <c r="BY102" s="1" t="str">
        <f t="shared" si="51"/>
        <v/>
      </c>
      <c r="BZ102" s="1" t="str">
        <f t="shared" si="52"/>
        <v/>
      </c>
      <c r="CA102" s="1" t="str">
        <f t="shared" si="53"/>
        <v/>
      </c>
      <c r="CB102" s="1" t="str">
        <f t="shared" si="54"/>
        <v/>
      </c>
      <c r="CC102" s="1" t="str">
        <f t="shared" si="55"/>
        <v/>
      </c>
      <c r="CD102" s="1" t="str">
        <f t="shared" si="56"/>
        <v/>
      </c>
      <c r="CE102" s="1" t="str">
        <f t="shared" si="57"/>
        <v/>
      </c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8"/>
    </row>
    <row r="103" spans="1:97" ht="40.5" x14ac:dyDescent="0.15">
      <c r="A103" s="1">
        <v>78</v>
      </c>
      <c r="B103" s="3" t="s">
        <v>69</v>
      </c>
      <c r="C103" s="3" t="s">
        <v>67</v>
      </c>
      <c r="D103" s="1" t="s">
        <v>1</v>
      </c>
      <c r="E103" s="6"/>
      <c r="F103" s="6"/>
      <c r="G103" s="6">
        <v>15</v>
      </c>
      <c r="H103" s="6">
        <v>15</v>
      </c>
      <c r="I103" s="6"/>
      <c r="J103" s="6"/>
      <c r="K103" s="6"/>
      <c r="L103" s="6"/>
      <c r="M103" s="6"/>
      <c r="N103" s="6"/>
      <c r="O103" s="6"/>
      <c r="P103" s="32"/>
      <c r="Q103" s="32"/>
      <c r="R103" s="32"/>
      <c r="S103" s="32"/>
      <c r="T103" s="32"/>
      <c r="U103" s="32"/>
      <c r="V103" s="32"/>
      <c r="W103" s="32"/>
      <c r="X103" s="32"/>
      <c r="Y103" s="32"/>
      <c r="Z103" s="32"/>
      <c r="AA103" s="32"/>
      <c r="AB103" s="32"/>
      <c r="AC103" s="32"/>
      <c r="AD103" s="32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>
        <v>15</v>
      </c>
      <c r="BB103" s="2">
        <v>15</v>
      </c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 t="shared" si="45"/>
        <v>60</v>
      </c>
      <c r="BQ103" s="1">
        <v>44</v>
      </c>
      <c r="BR103" s="17">
        <v>3</v>
      </c>
      <c r="BS103" s="17" t="s">
        <v>285</v>
      </c>
      <c r="BT103" s="1" t="str">
        <f t="shared" si="46"/>
        <v/>
      </c>
      <c r="BU103" s="1" t="str">
        <f t="shared" si="47"/>
        <v/>
      </c>
      <c r="BV103" s="1" t="str">
        <f t="shared" si="48"/>
        <v/>
      </c>
      <c r="BW103" s="1" t="str">
        <f t="shared" si="49"/>
        <v/>
      </c>
      <c r="BX103" s="1" t="str">
        <f t="shared" si="50"/>
        <v/>
      </c>
      <c r="BY103" s="1" t="str">
        <f t="shared" si="51"/>
        <v/>
      </c>
      <c r="BZ103" s="1" t="str">
        <f t="shared" si="52"/>
        <v/>
      </c>
      <c r="CA103" s="1" t="str">
        <f t="shared" si="53"/>
        <v/>
      </c>
      <c r="CB103" s="1" t="str">
        <f t="shared" si="54"/>
        <v/>
      </c>
      <c r="CC103" s="1" t="str">
        <f t="shared" si="55"/>
        <v/>
      </c>
      <c r="CD103" s="1">
        <f t="shared" si="56"/>
        <v>14</v>
      </c>
      <c r="CE103" s="1" t="str">
        <f t="shared" si="57"/>
        <v/>
      </c>
      <c r="CF103" s="1">
        <f>COUNTIF(BT103:CE103, "&gt;0")</f>
        <v>1</v>
      </c>
      <c r="CG103" s="1" t="str">
        <f t="shared" ref="CG103:CR103" si="61">IF($CF103=1,BT103,"")</f>
        <v/>
      </c>
      <c r="CH103" s="1" t="str">
        <f t="shared" si="61"/>
        <v/>
      </c>
      <c r="CI103" s="1" t="str">
        <f t="shared" si="61"/>
        <v/>
      </c>
      <c r="CJ103" s="1" t="str">
        <f t="shared" si="61"/>
        <v/>
      </c>
      <c r="CK103" s="1" t="str">
        <f t="shared" si="61"/>
        <v/>
      </c>
      <c r="CL103" s="1" t="str">
        <f t="shared" si="61"/>
        <v/>
      </c>
      <c r="CM103" s="1" t="str">
        <f t="shared" si="61"/>
        <v/>
      </c>
      <c r="CN103" s="1" t="str">
        <f t="shared" si="61"/>
        <v/>
      </c>
      <c r="CO103" s="1" t="str">
        <f t="shared" si="61"/>
        <v/>
      </c>
      <c r="CP103" s="1" t="str">
        <f t="shared" si="61"/>
        <v/>
      </c>
      <c r="CQ103" s="1">
        <f t="shared" si="61"/>
        <v>14</v>
      </c>
      <c r="CR103" s="1" t="str">
        <f t="shared" si="61"/>
        <v/>
      </c>
      <c r="CS103" s="18">
        <f>SUM(AE103:BO103)</f>
        <v>30</v>
      </c>
    </row>
    <row r="104" spans="1:97" ht="40.5" x14ac:dyDescent="0.15">
      <c r="A104" s="1"/>
      <c r="B104" s="1" t="s">
        <v>193</v>
      </c>
      <c r="C104" s="1" t="s">
        <v>126</v>
      </c>
      <c r="D104" s="1" t="s">
        <v>111</v>
      </c>
      <c r="E104" s="6"/>
      <c r="F104" s="6"/>
      <c r="G104" s="6">
        <v>15</v>
      </c>
      <c r="H104" s="6">
        <v>15</v>
      </c>
      <c r="I104" s="6"/>
      <c r="J104" s="6"/>
      <c r="K104" s="6"/>
      <c r="L104" s="6"/>
      <c r="M104" s="6"/>
      <c r="N104" s="6"/>
      <c r="O104" s="6"/>
      <c r="P104" s="32"/>
      <c r="Q104" s="32"/>
      <c r="R104" s="32"/>
      <c r="S104" s="32"/>
      <c r="T104" s="32"/>
      <c r="U104" s="32"/>
      <c r="V104" s="32"/>
      <c r="W104" s="32"/>
      <c r="X104" s="32"/>
      <c r="Y104" s="32"/>
      <c r="Z104" s="32"/>
      <c r="AA104" s="32"/>
      <c r="AB104" s="32"/>
      <c r="AC104" s="32"/>
      <c r="AD104" s="32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>
        <v>15</v>
      </c>
      <c r="BB104" s="2">
        <v>15</v>
      </c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 t="shared" si="45"/>
        <v>60</v>
      </c>
      <c r="BQ104" s="1">
        <v>44</v>
      </c>
      <c r="BR104" s="17">
        <v>3</v>
      </c>
      <c r="BS104" s="17" t="s">
        <v>285</v>
      </c>
      <c r="BT104" s="1" t="str">
        <f t="shared" si="46"/>
        <v/>
      </c>
      <c r="BU104" s="1" t="str">
        <f t="shared" si="47"/>
        <v/>
      </c>
      <c r="BV104" s="1" t="str">
        <f t="shared" si="48"/>
        <v/>
      </c>
      <c r="BW104" s="1" t="str">
        <f t="shared" si="49"/>
        <v/>
      </c>
      <c r="BX104" s="1" t="str">
        <f t="shared" si="50"/>
        <v/>
      </c>
      <c r="BY104" s="1" t="str">
        <f t="shared" si="51"/>
        <v/>
      </c>
      <c r="BZ104" s="1" t="str">
        <f t="shared" si="52"/>
        <v/>
      </c>
      <c r="CA104" s="1" t="str">
        <f t="shared" si="53"/>
        <v/>
      </c>
      <c r="CB104" s="1" t="str">
        <f t="shared" si="54"/>
        <v/>
      </c>
      <c r="CC104" s="1" t="str">
        <f t="shared" si="55"/>
        <v/>
      </c>
      <c r="CD104" s="1">
        <f t="shared" si="56"/>
        <v>14</v>
      </c>
      <c r="CE104" s="1" t="str">
        <f t="shared" si="57"/>
        <v/>
      </c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8"/>
    </row>
    <row r="105" spans="1:97" ht="40.5" x14ac:dyDescent="0.15">
      <c r="A105" s="1"/>
      <c r="B105" s="1" t="s">
        <v>192</v>
      </c>
      <c r="C105" s="1" t="s">
        <v>126</v>
      </c>
      <c r="D105" s="1" t="s">
        <v>111</v>
      </c>
      <c r="E105" s="6"/>
      <c r="F105" s="6"/>
      <c r="G105" s="6">
        <v>20</v>
      </c>
      <c r="H105" s="6">
        <v>20</v>
      </c>
      <c r="I105" s="6"/>
      <c r="J105" s="6"/>
      <c r="K105" s="6"/>
      <c r="L105" s="6"/>
      <c r="M105" s="6"/>
      <c r="N105" s="6"/>
      <c r="O105" s="6"/>
      <c r="P105" s="32"/>
      <c r="Q105" s="32"/>
      <c r="R105" s="32"/>
      <c r="S105" s="32"/>
      <c r="T105" s="32"/>
      <c r="U105" s="32"/>
      <c r="V105" s="32"/>
      <c r="W105" s="32"/>
      <c r="X105" s="32"/>
      <c r="Y105" s="32"/>
      <c r="Z105" s="32"/>
      <c r="AA105" s="32"/>
      <c r="AB105" s="32"/>
      <c r="AC105" s="32"/>
      <c r="AD105" s="32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>
        <v>20</v>
      </c>
      <c r="BB105" s="2">
        <v>20</v>
      </c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 t="shared" si="45"/>
        <v>80</v>
      </c>
      <c r="BQ105" s="1">
        <v>59</v>
      </c>
      <c r="BR105" s="17">
        <v>3</v>
      </c>
      <c r="BS105" s="17" t="s">
        <v>286</v>
      </c>
      <c r="BT105" s="1" t="str">
        <f t="shared" si="46"/>
        <v/>
      </c>
      <c r="BU105" s="1" t="str">
        <f t="shared" si="47"/>
        <v/>
      </c>
      <c r="BV105" s="1" t="str">
        <f t="shared" si="48"/>
        <v/>
      </c>
      <c r="BW105" s="1" t="str">
        <f t="shared" si="49"/>
        <v/>
      </c>
      <c r="BX105" s="1" t="str">
        <f t="shared" si="50"/>
        <v/>
      </c>
      <c r="BY105" s="1" t="str">
        <f t="shared" si="51"/>
        <v/>
      </c>
      <c r="BZ105" s="1" t="str">
        <f t="shared" si="52"/>
        <v/>
      </c>
      <c r="CA105" s="1" t="str">
        <f t="shared" si="53"/>
        <v/>
      </c>
      <c r="CB105" s="1" t="str">
        <f t="shared" si="54"/>
        <v/>
      </c>
      <c r="CC105" s="1" t="str">
        <f t="shared" si="55"/>
        <v/>
      </c>
      <c r="CD105" s="1">
        <f t="shared" si="56"/>
        <v>19</v>
      </c>
      <c r="CE105" s="1" t="str">
        <f t="shared" si="57"/>
        <v/>
      </c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8"/>
    </row>
    <row r="106" spans="1:97" ht="40.5" x14ac:dyDescent="0.15">
      <c r="A106" s="1"/>
      <c r="B106" s="1" t="s">
        <v>113</v>
      </c>
      <c r="C106" s="1" t="s">
        <v>114</v>
      </c>
      <c r="D106" s="1" t="s">
        <v>115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32"/>
      <c r="Q106" s="32"/>
      <c r="R106" s="32"/>
      <c r="S106" s="32"/>
      <c r="T106" s="32"/>
      <c r="U106" s="32"/>
      <c r="V106" s="32"/>
      <c r="W106" s="32"/>
      <c r="X106" s="32"/>
      <c r="Y106" s="32"/>
      <c r="Z106" s="32"/>
      <c r="AA106" s="32"/>
      <c r="AB106" s="32"/>
      <c r="AC106" s="32"/>
      <c r="AD106" s="32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>
        <v>40</v>
      </c>
      <c r="AW106" s="2">
        <v>40</v>
      </c>
      <c r="AX106" s="2"/>
      <c r="AY106" s="2"/>
      <c r="AZ106" s="2"/>
      <c r="BA106" s="2"/>
      <c r="BB106" s="2">
        <v>40</v>
      </c>
      <c r="BC106" s="14">
        <v>10</v>
      </c>
      <c r="BD106" s="1">
        <v>50</v>
      </c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 t="shared" si="45"/>
        <v>180</v>
      </c>
      <c r="BQ106" s="1">
        <v>63</v>
      </c>
      <c r="BR106" s="17">
        <v>3</v>
      </c>
      <c r="BS106" s="17" t="s">
        <v>287</v>
      </c>
      <c r="BT106" s="1" t="str">
        <f t="shared" si="46"/>
        <v/>
      </c>
      <c r="BU106" s="1" t="str">
        <f t="shared" si="47"/>
        <v/>
      </c>
      <c r="BV106" s="1" t="str">
        <f t="shared" si="48"/>
        <v/>
      </c>
      <c r="BW106" s="1" t="str">
        <f t="shared" si="49"/>
        <v/>
      </c>
      <c r="BX106" s="1" t="str">
        <f t="shared" si="50"/>
        <v/>
      </c>
      <c r="BY106" s="1">
        <f t="shared" si="51"/>
        <v>32</v>
      </c>
      <c r="BZ106" s="1">
        <f t="shared" si="52"/>
        <v>21</v>
      </c>
      <c r="CA106" s="1" t="str">
        <f t="shared" si="53"/>
        <v/>
      </c>
      <c r="CB106" s="1" t="str">
        <f t="shared" si="54"/>
        <v/>
      </c>
      <c r="CC106" s="1" t="str">
        <f t="shared" si="55"/>
        <v/>
      </c>
      <c r="CD106" s="1" t="str">
        <f t="shared" si="56"/>
        <v/>
      </c>
      <c r="CE106" s="1" t="str">
        <f t="shared" si="57"/>
        <v/>
      </c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8"/>
    </row>
    <row r="107" spans="1:97" ht="54" x14ac:dyDescent="0.15">
      <c r="A107" s="1"/>
      <c r="B107" s="1" t="s">
        <v>163</v>
      </c>
      <c r="C107" s="1" t="s">
        <v>158</v>
      </c>
      <c r="D107" s="1" t="s">
        <v>131</v>
      </c>
      <c r="E107" s="6"/>
      <c r="F107" s="6"/>
      <c r="G107" s="6">
        <v>5</v>
      </c>
      <c r="H107" s="6"/>
      <c r="I107" s="6"/>
      <c r="J107" s="6"/>
      <c r="K107" s="6"/>
      <c r="L107" s="6"/>
      <c r="M107" s="6"/>
      <c r="N107" s="6"/>
      <c r="O107" s="6"/>
      <c r="P107" s="32"/>
      <c r="Q107" s="32"/>
      <c r="R107" s="32"/>
      <c r="S107" s="32"/>
      <c r="T107" s="32"/>
      <c r="U107" s="32"/>
      <c r="V107" s="32">
        <v>5</v>
      </c>
      <c r="W107" s="32"/>
      <c r="X107" s="32"/>
      <c r="Y107" s="32">
        <v>5</v>
      </c>
      <c r="Z107" s="32"/>
      <c r="AA107" s="32"/>
      <c r="AB107" s="32"/>
      <c r="AC107" s="32">
        <v>5</v>
      </c>
      <c r="AD107" s="32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 t="shared" si="45"/>
        <v>20</v>
      </c>
      <c r="BQ107" s="1">
        <v>16</v>
      </c>
      <c r="BR107" s="17">
        <v>4</v>
      </c>
      <c r="BS107" s="17" t="s">
        <v>288</v>
      </c>
      <c r="BT107" s="1" t="str">
        <f t="shared" si="46"/>
        <v/>
      </c>
      <c r="BU107" s="1" t="str">
        <f t="shared" si="47"/>
        <v/>
      </c>
      <c r="BV107" s="1" t="str">
        <f t="shared" si="48"/>
        <v/>
      </c>
      <c r="BW107" s="1" t="str">
        <f t="shared" si="49"/>
        <v/>
      </c>
      <c r="BX107" s="1" t="str">
        <f t="shared" si="50"/>
        <v/>
      </c>
      <c r="BY107" s="1" t="str">
        <f t="shared" si="51"/>
        <v/>
      </c>
      <c r="BZ107" s="1" t="str">
        <f t="shared" si="52"/>
        <v/>
      </c>
      <c r="CA107" s="1" t="str">
        <f t="shared" si="53"/>
        <v/>
      </c>
      <c r="CB107" s="1" t="str">
        <f t="shared" si="54"/>
        <v/>
      </c>
      <c r="CC107" s="1" t="str">
        <f t="shared" si="55"/>
        <v/>
      </c>
      <c r="CD107" s="1" t="str">
        <f t="shared" si="56"/>
        <v/>
      </c>
      <c r="CE107" s="1" t="str">
        <f t="shared" si="57"/>
        <v/>
      </c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8"/>
    </row>
    <row r="108" spans="1:97" ht="54" x14ac:dyDescent="0.15">
      <c r="A108" s="1"/>
      <c r="B108" s="1" t="s">
        <v>160</v>
      </c>
      <c r="C108" s="1" t="s">
        <v>158</v>
      </c>
      <c r="D108" s="1" t="s">
        <v>130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32"/>
      <c r="Q108" s="32">
        <v>5</v>
      </c>
      <c r="R108" s="32"/>
      <c r="S108" s="32"/>
      <c r="T108" s="32"/>
      <c r="U108" s="32"/>
      <c r="V108" s="32">
        <v>10</v>
      </c>
      <c r="W108" s="32"/>
      <c r="X108" s="32"/>
      <c r="Y108" s="32"/>
      <c r="Z108" s="32">
        <v>5</v>
      </c>
      <c r="AA108" s="32"/>
      <c r="AB108" s="32">
        <v>10</v>
      </c>
      <c r="AC108" s="32"/>
      <c r="AD108" s="32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 t="shared" si="45"/>
        <v>30</v>
      </c>
      <c r="BQ108" s="1">
        <v>18</v>
      </c>
      <c r="BR108" s="17">
        <v>4</v>
      </c>
      <c r="BS108" s="17" t="s">
        <v>289</v>
      </c>
      <c r="BT108" s="1" t="str">
        <f t="shared" si="46"/>
        <v/>
      </c>
      <c r="BU108" s="1" t="str">
        <f t="shared" si="47"/>
        <v/>
      </c>
      <c r="BV108" s="1" t="str">
        <f t="shared" si="48"/>
        <v/>
      </c>
      <c r="BW108" s="1" t="str">
        <f t="shared" si="49"/>
        <v/>
      </c>
      <c r="BX108" s="1" t="str">
        <f t="shared" si="50"/>
        <v/>
      </c>
      <c r="BY108" s="1" t="str">
        <f t="shared" si="51"/>
        <v/>
      </c>
      <c r="BZ108" s="1" t="str">
        <f t="shared" si="52"/>
        <v/>
      </c>
      <c r="CA108" s="1" t="str">
        <f t="shared" si="53"/>
        <v/>
      </c>
      <c r="CB108" s="1" t="str">
        <f t="shared" si="54"/>
        <v/>
      </c>
      <c r="CC108" s="1" t="str">
        <f t="shared" si="55"/>
        <v/>
      </c>
      <c r="CD108" s="1" t="str">
        <f t="shared" si="56"/>
        <v/>
      </c>
      <c r="CE108" s="1" t="str">
        <f t="shared" si="57"/>
        <v/>
      </c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8"/>
    </row>
    <row r="109" spans="1:97" ht="54" x14ac:dyDescent="0.15">
      <c r="A109" s="1"/>
      <c r="B109" s="1" t="s">
        <v>149</v>
      </c>
      <c r="C109" s="1" t="s">
        <v>147</v>
      </c>
      <c r="D109" s="1" t="s">
        <v>131</v>
      </c>
      <c r="E109" s="6"/>
      <c r="F109" s="6"/>
      <c r="G109" s="6"/>
      <c r="H109" s="6">
        <v>7</v>
      </c>
      <c r="I109" s="6"/>
      <c r="J109" s="6"/>
      <c r="K109" s="6"/>
      <c r="L109" s="6"/>
      <c r="M109" s="6"/>
      <c r="N109" s="6"/>
      <c r="O109" s="6"/>
      <c r="P109" s="32"/>
      <c r="Q109" s="32">
        <v>7</v>
      </c>
      <c r="R109" s="32"/>
      <c r="S109" s="32"/>
      <c r="T109" s="32">
        <v>7</v>
      </c>
      <c r="U109" s="32"/>
      <c r="V109" s="32"/>
      <c r="W109" s="32"/>
      <c r="X109" s="32"/>
      <c r="Y109" s="32"/>
      <c r="Z109" s="32"/>
      <c r="AA109" s="32">
        <v>7</v>
      </c>
      <c r="AB109" s="32"/>
      <c r="AC109" s="32"/>
      <c r="AD109" s="32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 t="shared" si="45"/>
        <v>28</v>
      </c>
      <c r="BQ109" s="1">
        <v>21</v>
      </c>
      <c r="BR109" s="17">
        <v>4</v>
      </c>
      <c r="BS109" s="17" t="s">
        <v>290</v>
      </c>
      <c r="BT109" s="1" t="str">
        <f t="shared" si="46"/>
        <v/>
      </c>
      <c r="BU109" s="1" t="str">
        <f t="shared" si="47"/>
        <v/>
      </c>
      <c r="BV109" s="1" t="str">
        <f t="shared" si="48"/>
        <v/>
      </c>
      <c r="BW109" s="1" t="str">
        <f t="shared" si="49"/>
        <v/>
      </c>
      <c r="BX109" s="1" t="str">
        <f t="shared" si="50"/>
        <v/>
      </c>
      <c r="BY109" s="1" t="str">
        <f t="shared" si="51"/>
        <v/>
      </c>
      <c r="BZ109" s="1" t="str">
        <f t="shared" si="52"/>
        <v/>
      </c>
      <c r="CA109" s="1" t="str">
        <f t="shared" si="53"/>
        <v/>
      </c>
      <c r="CB109" s="1" t="str">
        <f t="shared" si="54"/>
        <v/>
      </c>
      <c r="CC109" s="1" t="str">
        <f t="shared" si="55"/>
        <v/>
      </c>
      <c r="CD109" s="1" t="str">
        <f t="shared" si="56"/>
        <v/>
      </c>
      <c r="CE109" s="1" t="str">
        <f t="shared" si="57"/>
        <v/>
      </c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8"/>
    </row>
    <row r="110" spans="1:97" ht="54" x14ac:dyDescent="0.15">
      <c r="A110" s="1"/>
      <c r="B110" s="1" t="s">
        <v>140</v>
      </c>
      <c r="C110" s="1" t="s">
        <v>128</v>
      </c>
      <c r="D110" s="1" t="s">
        <v>129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32">
        <v>10</v>
      </c>
      <c r="Q110" s="32"/>
      <c r="R110" s="32"/>
      <c r="S110" s="32">
        <v>10</v>
      </c>
      <c r="T110" s="32"/>
      <c r="U110" s="32"/>
      <c r="V110" s="32"/>
      <c r="W110" s="32">
        <v>5</v>
      </c>
      <c r="X110" s="32"/>
      <c r="Y110" s="32"/>
      <c r="Z110" s="32"/>
      <c r="AA110" s="32"/>
      <c r="AB110" s="32">
        <v>10</v>
      </c>
      <c r="AC110" s="32"/>
      <c r="AD110" s="32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 t="shared" si="45"/>
        <v>35</v>
      </c>
      <c r="BQ110" s="1">
        <v>22</v>
      </c>
      <c r="BR110" s="17">
        <v>4</v>
      </c>
      <c r="BS110" s="17" t="s">
        <v>291</v>
      </c>
      <c r="BT110" s="1" t="str">
        <f t="shared" si="46"/>
        <v/>
      </c>
      <c r="BU110" s="1" t="str">
        <f t="shared" si="47"/>
        <v/>
      </c>
      <c r="BV110" s="1" t="str">
        <f t="shared" si="48"/>
        <v/>
      </c>
      <c r="BW110" s="1" t="str">
        <f t="shared" si="49"/>
        <v/>
      </c>
      <c r="BX110" s="1" t="str">
        <f t="shared" si="50"/>
        <v/>
      </c>
      <c r="BY110" s="1" t="str">
        <f t="shared" si="51"/>
        <v/>
      </c>
      <c r="BZ110" s="1" t="str">
        <f t="shared" si="52"/>
        <v/>
      </c>
      <c r="CA110" s="1" t="str">
        <f t="shared" si="53"/>
        <v/>
      </c>
      <c r="CB110" s="1" t="str">
        <f t="shared" si="54"/>
        <v/>
      </c>
      <c r="CC110" s="1" t="str">
        <f t="shared" si="55"/>
        <v/>
      </c>
      <c r="CD110" s="1" t="str">
        <f t="shared" si="56"/>
        <v/>
      </c>
      <c r="CE110" s="1" t="str">
        <f t="shared" si="57"/>
        <v/>
      </c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8"/>
    </row>
    <row r="111" spans="1:97" ht="54" x14ac:dyDescent="0.15">
      <c r="A111" s="1"/>
      <c r="B111" s="1" t="s">
        <v>145</v>
      </c>
      <c r="C111" s="1" t="s">
        <v>128</v>
      </c>
      <c r="D111" s="1" t="s">
        <v>129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32">
        <v>10</v>
      </c>
      <c r="Q111" s="32"/>
      <c r="R111" s="32"/>
      <c r="S111" s="32">
        <v>10</v>
      </c>
      <c r="T111" s="32"/>
      <c r="U111" s="32"/>
      <c r="V111" s="32"/>
      <c r="W111" s="32">
        <v>5</v>
      </c>
      <c r="X111" s="32"/>
      <c r="Y111" s="32"/>
      <c r="Z111" s="32"/>
      <c r="AA111" s="32"/>
      <c r="AB111" s="32">
        <v>10</v>
      </c>
      <c r="AC111" s="32"/>
      <c r="AD111" s="32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 t="shared" si="45"/>
        <v>35</v>
      </c>
      <c r="BQ111" s="1">
        <v>22</v>
      </c>
      <c r="BR111" s="17">
        <v>4</v>
      </c>
      <c r="BS111" s="17" t="s">
        <v>292</v>
      </c>
      <c r="BT111" s="1" t="str">
        <f t="shared" si="46"/>
        <v/>
      </c>
      <c r="BU111" s="1" t="str">
        <f t="shared" si="47"/>
        <v/>
      </c>
      <c r="BV111" s="1" t="str">
        <f t="shared" si="48"/>
        <v/>
      </c>
      <c r="BW111" s="1" t="str">
        <f t="shared" si="49"/>
        <v/>
      </c>
      <c r="BX111" s="1" t="str">
        <f t="shared" si="50"/>
        <v/>
      </c>
      <c r="BY111" s="1" t="str">
        <f t="shared" si="51"/>
        <v/>
      </c>
      <c r="BZ111" s="1" t="str">
        <f t="shared" si="52"/>
        <v/>
      </c>
      <c r="CA111" s="1" t="str">
        <f t="shared" si="53"/>
        <v/>
      </c>
      <c r="CB111" s="1" t="str">
        <f t="shared" si="54"/>
        <v/>
      </c>
      <c r="CC111" s="1" t="str">
        <f t="shared" si="55"/>
        <v/>
      </c>
      <c r="CD111" s="1" t="str">
        <f t="shared" si="56"/>
        <v/>
      </c>
      <c r="CE111" s="1" t="str">
        <f t="shared" si="57"/>
        <v/>
      </c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8"/>
    </row>
    <row r="112" spans="1:97" ht="54" x14ac:dyDescent="0.15">
      <c r="A112" s="1"/>
      <c r="B112" s="1" t="s">
        <v>149</v>
      </c>
      <c r="C112" s="1" t="s">
        <v>147</v>
      </c>
      <c r="D112" s="1" t="s">
        <v>129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32">
        <v>10</v>
      </c>
      <c r="Q112" s="32"/>
      <c r="R112" s="32"/>
      <c r="S112" s="32">
        <v>10</v>
      </c>
      <c r="T112" s="32"/>
      <c r="U112" s="32"/>
      <c r="V112" s="32"/>
      <c r="W112" s="32">
        <v>5</v>
      </c>
      <c r="X112" s="32"/>
      <c r="Y112" s="32"/>
      <c r="Z112" s="32"/>
      <c r="AA112" s="32"/>
      <c r="AB112" s="32">
        <v>10</v>
      </c>
      <c r="AC112" s="32"/>
      <c r="AD112" s="32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 t="shared" si="45"/>
        <v>35</v>
      </c>
      <c r="BQ112" s="1">
        <v>22</v>
      </c>
      <c r="BR112" s="17">
        <v>4</v>
      </c>
      <c r="BS112" s="17" t="s">
        <v>291</v>
      </c>
      <c r="BT112" s="1" t="str">
        <f t="shared" si="46"/>
        <v/>
      </c>
      <c r="BU112" s="1" t="str">
        <f t="shared" si="47"/>
        <v/>
      </c>
      <c r="BV112" s="1" t="str">
        <f t="shared" si="48"/>
        <v/>
      </c>
      <c r="BW112" s="1" t="str">
        <f t="shared" si="49"/>
        <v/>
      </c>
      <c r="BX112" s="1" t="str">
        <f t="shared" si="50"/>
        <v/>
      </c>
      <c r="BY112" s="1" t="str">
        <f t="shared" si="51"/>
        <v/>
      </c>
      <c r="BZ112" s="1" t="str">
        <f t="shared" si="52"/>
        <v/>
      </c>
      <c r="CA112" s="1" t="str">
        <f t="shared" si="53"/>
        <v/>
      </c>
      <c r="CB112" s="1" t="str">
        <f t="shared" si="54"/>
        <v/>
      </c>
      <c r="CC112" s="1" t="str">
        <f t="shared" si="55"/>
        <v/>
      </c>
      <c r="CD112" s="1" t="str">
        <f t="shared" si="56"/>
        <v/>
      </c>
      <c r="CE112" s="1" t="str">
        <f t="shared" si="57"/>
        <v/>
      </c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8"/>
    </row>
    <row r="113" spans="1:97" ht="54" x14ac:dyDescent="0.15">
      <c r="A113" s="1"/>
      <c r="B113" s="1" t="s">
        <v>153</v>
      </c>
      <c r="C113" s="1" t="s">
        <v>151</v>
      </c>
      <c r="D113" s="1" t="s">
        <v>129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32">
        <v>10</v>
      </c>
      <c r="Q113" s="32"/>
      <c r="R113" s="32"/>
      <c r="S113" s="32">
        <v>10</v>
      </c>
      <c r="T113" s="32"/>
      <c r="U113" s="32"/>
      <c r="V113" s="32"/>
      <c r="W113" s="32">
        <v>5</v>
      </c>
      <c r="X113" s="32"/>
      <c r="Y113" s="32"/>
      <c r="Z113" s="32"/>
      <c r="AA113" s="32"/>
      <c r="AB113" s="32">
        <v>10</v>
      </c>
      <c r="AC113" s="32"/>
      <c r="AD113" s="32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 t="shared" si="45"/>
        <v>35</v>
      </c>
      <c r="BQ113" s="1">
        <v>22</v>
      </c>
      <c r="BR113" s="17">
        <v>4</v>
      </c>
      <c r="BS113" s="17" t="s">
        <v>291</v>
      </c>
      <c r="BT113" s="1" t="str">
        <f t="shared" si="46"/>
        <v/>
      </c>
      <c r="BU113" s="1" t="str">
        <f t="shared" si="47"/>
        <v/>
      </c>
      <c r="BV113" s="1" t="str">
        <f t="shared" si="48"/>
        <v/>
      </c>
      <c r="BW113" s="1" t="str">
        <f t="shared" si="49"/>
        <v/>
      </c>
      <c r="BX113" s="1" t="str">
        <f t="shared" si="50"/>
        <v/>
      </c>
      <c r="BY113" s="1" t="str">
        <f t="shared" si="51"/>
        <v/>
      </c>
      <c r="BZ113" s="1" t="str">
        <f t="shared" si="52"/>
        <v/>
      </c>
      <c r="CA113" s="1" t="str">
        <f t="shared" si="53"/>
        <v/>
      </c>
      <c r="CB113" s="1" t="str">
        <f t="shared" si="54"/>
        <v/>
      </c>
      <c r="CC113" s="1" t="str">
        <f t="shared" si="55"/>
        <v/>
      </c>
      <c r="CD113" s="1" t="str">
        <f t="shared" si="56"/>
        <v/>
      </c>
      <c r="CE113" s="1" t="str">
        <f t="shared" si="57"/>
        <v/>
      </c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8"/>
    </row>
    <row r="114" spans="1:97" ht="54" x14ac:dyDescent="0.15">
      <c r="A114" s="1"/>
      <c r="B114" s="1" t="s">
        <v>159</v>
      </c>
      <c r="C114" s="1" t="s">
        <v>158</v>
      </c>
      <c r="D114" s="1" t="s">
        <v>129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32">
        <v>10</v>
      </c>
      <c r="Q114" s="32"/>
      <c r="R114" s="32"/>
      <c r="S114" s="32">
        <v>10</v>
      </c>
      <c r="T114" s="32"/>
      <c r="U114" s="32"/>
      <c r="V114" s="32"/>
      <c r="W114" s="32">
        <v>5</v>
      </c>
      <c r="X114" s="32"/>
      <c r="Y114" s="32"/>
      <c r="Z114" s="32"/>
      <c r="AA114" s="32"/>
      <c r="AB114" s="32">
        <v>10</v>
      </c>
      <c r="AC114" s="32"/>
      <c r="AD114" s="32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 t="shared" si="45"/>
        <v>35</v>
      </c>
      <c r="BQ114" s="1">
        <v>22</v>
      </c>
      <c r="BR114" s="17">
        <v>4</v>
      </c>
      <c r="BS114" s="17" t="s">
        <v>291</v>
      </c>
      <c r="BT114" s="1" t="str">
        <f t="shared" si="46"/>
        <v/>
      </c>
      <c r="BU114" s="1" t="str">
        <f t="shared" si="47"/>
        <v/>
      </c>
      <c r="BV114" s="1" t="str">
        <f t="shared" si="48"/>
        <v/>
      </c>
      <c r="BW114" s="1" t="str">
        <f t="shared" si="49"/>
        <v/>
      </c>
      <c r="BX114" s="1" t="str">
        <f t="shared" si="50"/>
        <v/>
      </c>
      <c r="BY114" s="1" t="str">
        <f t="shared" si="51"/>
        <v/>
      </c>
      <c r="BZ114" s="1" t="str">
        <f t="shared" si="52"/>
        <v/>
      </c>
      <c r="CA114" s="1" t="str">
        <f t="shared" si="53"/>
        <v/>
      </c>
      <c r="CB114" s="1" t="str">
        <f t="shared" si="54"/>
        <v/>
      </c>
      <c r="CC114" s="1" t="str">
        <f t="shared" si="55"/>
        <v/>
      </c>
      <c r="CD114" s="1" t="str">
        <f t="shared" si="56"/>
        <v/>
      </c>
      <c r="CE114" s="1" t="str">
        <f t="shared" si="57"/>
        <v/>
      </c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8"/>
    </row>
    <row r="115" spans="1:97" ht="54" x14ac:dyDescent="0.15">
      <c r="A115" s="1"/>
      <c r="B115" s="1" t="s">
        <v>167</v>
      </c>
      <c r="C115" s="1" t="s">
        <v>126</v>
      </c>
      <c r="D115" s="1" t="s">
        <v>168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32">
        <v>10</v>
      </c>
      <c r="Q115" s="32"/>
      <c r="R115" s="32"/>
      <c r="S115" s="32">
        <v>10</v>
      </c>
      <c r="T115" s="32"/>
      <c r="U115" s="32"/>
      <c r="V115" s="32"/>
      <c r="W115" s="32">
        <v>5</v>
      </c>
      <c r="X115" s="32"/>
      <c r="Y115" s="32"/>
      <c r="Z115" s="32"/>
      <c r="AA115" s="32"/>
      <c r="AB115" s="32">
        <v>10</v>
      </c>
      <c r="AC115" s="32"/>
      <c r="AD115" s="32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 t="shared" si="45"/>
        <v>35</v>
      </c>
      <c r="BQ115" s="1">
        <v>22</v>
      </c>
      <c r="BR115" s="17">
        <v>4</v>
      </c>
      <c r="BS115" s="17" t="s">
        <v>292</v>
      </c>
      <c r="BT115" s="1" t="str">
        <f t="shared" si="46"/>
        <v/>
      </c>
      <c r="BU115" s="1" t="str">
        <f t="shared" si="47"/>
        <v/>
      </c>
      <c r="BV115" s="1" t="str">
        <f t="shared" si="48"/>
        <v/>
      </c>
      <c r="BW115" s="1" t="str">
        <f t="shared" si="49"/>
        <v/>
      </c>
      <c r="BX115" s="1" t="str">
        <f t="shared" si="50"/>
        <v/>
      </c>
      <c r="BY115" s="1" t="str">
        <f t="shared" si="51"/>
        <v/>
      </c>
      <c r="BZ115" s="1" t="str">
        <f t="shared" si="52"/>
        <v/>
      </c>
      <c r="CA115" s="1" t="str">
        <f t="shared" si="53"/>
        <v/>
      </c>
      <c r="CB115" s="1" t="str">
        <f t="shared" si="54"/>
        <v/>
      </c>
      <c r="CC115" s="1" t="str">
        <f t="shared" si="55"/>
        <v/>
      </c>
      <c r="CD115" s="1" t="str">
        <f t="shared" si="56"/>
        <v/>
      </c>
      <c r="CE115" s="1" t="str">
        <f t="shared" si="57"/>
        <v/>
      </c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8"/>
    </row>
    <row r="116" spans="1:97" ht="54" x14ac:dyDescent="0.15">
      <c r="A116" s="1"/>
      <c r="B116" s="1" t="s">
        <v>159</v>
      </c>
      <c r="C116" s="1" t="s">
        <v>158</v>
      </c>
      <c r="D116" s="1" t="s">
        <v>131</v>
      </c>
      <c r="E116" s="6"/>
      <c r="F116" s="6"/>
      <c r="G116" s="6">
        <v>10</v>
      </c>
      <c r="H116" s="6"/>
      <c r="I116" s="6"/>
      <c r="J116" s="6"/>
      <c r="K116" s="6"/>
      <c r="L116" s="6"/>
      <c r="M116" s="6"/>
      <c r="N116" s="6"/>
      <c r="O116" s="6"/>
      <c r="P116" s="32"/>
      <c r="Q116" s="32"/>
      <c r="R116" s="32"/>
      <c r="S116" s="32"/>
      <c r="T116" s="32"/>
      <c r="U116" s="32"/>
      <c r="V116" s="32"/>
      <c r="W116" s="32"/>
      <c r="X116" s="32">
        <v>10</v>
      </c>
      <c r="Y116" s="32"/>
      <c r="Z116" s="32"/>
      <c r="AA116" s="32"/>
      <c r="AB116" s="32"/>
      <c r="AC116" s="32"/>
      <c r="AD116" s="32">
        <v>10</v>
      </c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>
        <v>10</v>
      </c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 t="shared" si="45"/>
        <v>40</v>
      </c>
      <c r="BQ116" s="1">
        <v>22</v>
      </c>
      <c r="BR116" s="17">
        <v>4</v>
      </c>
      <c r="BS116" s="17" t="s">
        <v>296</v>
      </c>
      <c r="BT116" s="1" t="str">
        <f t="shared" si="46"/>
        <v/>
      </c>
      <c r="BU116" s="1" t="str">
        <f t="shared" si="47"/>
        <v/>
      </c>
      <c r="BV116" s="1" t="str">
        <f t="shared" si="48"/>
        <v/>
      </c>
      <c r="BW116" s="1" t="str">
        <f t="shared" si="49"/>
        <v/>
      </c>
      <c r="BX116" s="1" t="str">
        <f t="shared" si="50"/>
        <v/>
      </c>
      <c r="BY116" s="1">
        <f t="shared" si="51"/>
        <v>2</v>
      </c>
      <c r="BZ116" s="1" t="str">
        <f t="shared" si="52"/>
        <v/>
      </c>
      <c r="CA116" s="1" t="str">
        <f t="shared" si="53"/>
        <v/>
      </c>
      <c r="CB116" s="1" t="str">
        <f t="shared" si="54"/>
        <v/>
      </c>
      <c r="CC116" s="1" t="str">
        <f t="shared" si="55"/>
        <v/>
      </c>
      <c r="CD116" s="1" t="str">
        <f t="shared" si="56"/>
        <v/>
      </c>
      <c r="CE116" s="1" t="str">
        <f t="shared" si="57"/>
        <v/>
      </c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8"/>
    </row>
    <row r="117" spans="1:97" ht="54" x14ac:dyDescent="0.15">
      <c r="A117" s="1"/>
      <c r="B117" s="1" t="s">
        <v>167</v>
      </c>
      <c r="C117" s="1" t="s">
        <v>126</v>
      </c>
      <c r="D117" s="1" t="s">
        <v>170</v>
      </c>
      <c r="E117" s="6"/>
      <c r="F117" s="6"/>
      <c r="G117" s="6">
        <v>10</v>
      </c>
      <c r="H117" s="6"/>
      <c r="I117" s="6"/>
      <c r="J117" s="6"/>
      <c r="K117" s="6"/>
      <c r="L117" s="6"/>
      <c r="M117" s="6"/>
      <c r="N117" s="6"/>
      <c r="O117" s="6"/>
      <c r="P117" s="32"/>
      <c r="Q117" s="32"/>
      <c r="R117" s="32"/>
      <c r="S117" s="32"/>
      <c r="T117" s="32"/>
      <c r="U117" s="32"/>
      <c r="V117" s="32"/>
      <c r="W117" s="32"/>
      <c r="X117" s="32">
        <v>10</v>
      </c>
      <c r="Y117" s="32"/>
      <c r="Z117" s="32"/>
      <c r="AA117" s="32"/>
      <c r="AB117" s="32"/>
      <c r="AC117" s="32"/>
      <c r="AD117" s="32">
        <v>10</v>
      </c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>
        <v>10</v>
      </c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 t="shared" si="45"/>
        <v>40</v>
      </c>
      <c r="BQ117" s="1">
        <v>22</v>
      </c>
      <c r="BR117" s="17">
        <v>4</v>
      </c>
      <c r="BS117" s="17" t="s">
        <v>296</v>
      </c>
      <c r="BT117" s="1" t="str">
        <f t="shared" si="46"/>
        <v/>
      </c>
      <c r="BU117" s="1" t="str">
        <f t="shared" si="47"/>
        <v/>
      </c>
      <c r="BV117" s="1" t="str">
        <f t="shared" si="48"/>
        <v/>
      </c>
      <c r="BW117" s="1" t="str">
        <f t="shared" si="49"/>
        <v/>
      </c>
      <c r="BX117" s="1" t="str">
        <f t="shared" si="50"/>
        <v/>
      </c>
      <c r="BY117" s="1">
        <f t="shared" si="51"/>
        <v>2</v>
      </c>
      <c r="BZ117" s="1" t="str">
        <f t="shared" si="52"/>
        <v/>
      </c>
      <c r="CA117" s="1" t="str">
        <f t="shared" si="53"/>
        <v/>
      </c>
      <c r="CB117" s="1" t="str">
        <f t="shared" si="54"/>
        <v/>
      </c>
      <c r="CC117" s="1" t="str">
        <f t="shared" si="55"/>
        <v/>
      </c>
      <c r="CD117" s="1" t="str">
        <f t="shared" si="56"/>
        <v/>
      </c>
      <c r="CE117" s="1" t="str">
        <f t="shared" si="57"/>
        <v/>
      </c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8"/>
    </row>
    <row r="118" spans="1:97" ht="54" x14ac:dyDescent="0.15">
      <c r="A118" s="1"/>
      <c r="B118" s="1" t="s">
        <v>173</v>
      </c>
      <c r="C118" s="1" t="s">
        <v>128</v>
      </c>
      <c r="D118" s="1" t="s">
        <v>130</v>
      </c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32"/>
      <c r="Q118" s="32"/>
      <c r="R118" s="32"/>
      <c r="S118" s="32"/>
      <c r="T118" s="32"/>
      <c r="U118" s="32"/>
      <c r="V118" s="32">
        <v>10</v>
      </c>
      <c r="W118" s="32"/>
      <c r="X118" s="32"/>
      <c r="Y118" s="32">
        <v>10</v>
      </c>
      <c r="Z118" s="32"/>
      <c r="AA118" s="32"/>
      <c r="AB118" s="32">
        <v>10</v>
      </c>
      <c r="AC118" s="32">
        <v>5</v>
      </c>
      <c r="AD118" s="32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/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 t="shared" ref="BP118:BP149" si="62">SUM(E118:BO118)</f>
        <v>35</v>
      </c>
      <c r="BQ118" s="1">
        <v>23</v>
      </c>
      <c r="BR118" s="17">
        <v>4</v>
      </c>
      <c r="BS118" s="17" t="s">
        <v>293</v>
      </c>
      <c r="BT118" s="1" t="str">
        <f t="shared" ref="BT118:BT143" si="63">IF(AQ118&gt;AQ$145, AQ118-AQ$145,"")</f>
        <v/>
      </c>
      <c r="BU118" s="1" t="str">
        <f t="shared" ref="BU118:BU143" si="64">IF(AR118&gt;AR$145, AR118-AR$145,"")</f>
        <v/>
      </c>
      <c r="BV118" s="1" t="str">
        <f t="shared" ref="BV118:BV143" si="65">IF(AS118&gt;AS$145, AS118-AS$145,"")</f>
        <v/>
      </c>
      <c r="BW118" s="1" t="str">
        <f t="shared" ref="BW118:BW143" si="66">IF(AT118&gt;AT$145, AT118-AT$145,"")</f>
        <v/>
      </c>
      <c r="BX118" s="1" t="str">
        <f t="shared" ref="BX118:BX143" si="67">IF(AU118&gt;AU$145, AU118-AU$145,"")</f>
        <v/>
      </c>
      <c r="BY118" s="1" t="str">
        <f t="shared" ref="BY118:BY143" si="68">IF(AV118&gt;AV$145, AV118-AV$145,"")</f>
        <v/>
      </c>
      <c r="BZ118" s="1" t="str">
        <f t="shared" ref="BZ118:BZ143" si="69">IF(AW118&gt;AW$145, AW118-AW$145,"")</f>
        <v/>
      </c>
      <c r="CA118" s="1" t="str">
        <f t="shared" ref="CA118:CA143" si="70">IF(AX118&gt;AX$145, AX118-AX$145,"")</f>
        <v/>
      </c>
      <c r="CB118" s="1" t="str">
        <f t="shared" ref="CB118:CB143" si="71">IF(AY118&gt;AY$145, AY118-AY$145,"")</f>
        <v/>
      </c>
      <c r="CC118" s="1" t="str">
        <f t="shared" ref="CC118:CC143" si="72">IF(AZ118&gt;AZ$145, AZ118-AZ$145,"")</f>
        <v/>
      </c>
      <c r="CD118" s="1" t="str">
        <f t="shared" ref="CD118:CD143" si="73">IF(BA118&gt;BA$145, BA118-BA$145,"")</f>
        <v/>
      </c>
      <c r="CE118" s="1" t="str">
        <f t="shared" ref="CE118:CE143" si="74">IF(BB118&gt;BB$145, BB118-BB$145,"")</f>
        <v/>
      </c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8"/>
    </row>
    <row r="119" spans="1:97" ht="54" x14ac:dyDescent="0.15">
      <c r="A119" s="1"/>
      <c r="B119" s="1" t="s">
        <v>154</v>
      </c>
      <c r="C119" s="1" t="s">
        <v>156</v>
      </c>
      <c r="D119" s="1" t="s">
        <v>130</v>
      </c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32"/>
      <c r="Q119" s="32"/>
      <c r="R119" s="32"/>
      <c r="S119" s="32"/>
      <c r="T119" s="32"/>
      <c r="U119" s="32"/>
      <c r="V119" s="32">
        <v>10</v>
      </c>
      <c r="W119" s="32"/>
      <c r="X119" s="32"/>
      <c r="Y119" s="32">
        <v>10</v>
      </c>
      <c r="Z119" s="32"/>
      <c r="AA119" s="32"/>
      <c r="AB119" s="32">
        <v>10</v>
      </c>
      <c r="AC119" s="32">
        <v>5</v>
      </c>
      <c r="AD119" s="32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/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 t="shared" si="62"/>
        <v>35</v>
      </c>
      <c r="BQ119" s="1">
        <v>23</v>
      </c>
      <c r="BR119" s="17">
        <v>4</v>
      </c>
      <c r="BS119" s="17" t="s">
        <v>294</v>
      </c>
      <c r="BT119" s="1" t="str">
        <f t="shared" si="63"/>
        <v/>
      </c>
      <c r="BU119" s="1" t="str">
        <f t="shared" si="64"/>
        <v/>
      </c>
      <c r="BV119" s="1" t="str">
        <f t="shared" si="65"/>
        <v/>
      </c>
      <c r="BW119" s="1" t="str">
        <f t="shared" si="66"/>
        <v/>
      </c>
      <c r="BX119" s="1" t="str">
        <f t="shared" si="67"/>
        <v/>
      </c>
      <c r="BY119" s="1" t="str">
        <f t="shared" si="68"/>
        <v/>
      </c>
      <c r="BZ119" s="1" t="str">
        <f t="shared" si="69"/>
        <v/>
      </c>
      <c r="CA119" s="1" t="str">
        <f t="shared" si="70"/>
        <v/>
      </c>
      <c r="CB119" s="1" t="str">
        <f t="shared" si="71"/>
        <v/>
      </c>
      <c r="CC119" s="1" t="str">
        <f t="shared" si="72"/>
        <v/>
      </c>
      <c r="CD119" s="1" t="str">
        <f t="shared" si="73"/>
        <v/>
      </c>
      <c r="CE119" s="1" t="str">
        <f t="shared" si="74"/>
        <v/>
      </c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8"/>
    </row>
    <row r="120" spans="1:97" ht="54" x14ac:dyDescent="0.15">
      <c r="A120" s="1"/>
      <c r="B120" s="1" t="s">
        <v>163</v>
      </c>
      <c r="C120" s="1" t="s">
        <v>158</v>
      </c>
      <c r="D120" s="1" t="s">
        <v>130</v>
      </c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32"/>
      <c r="Q120" s="32"/>
      <c r="R120" s="32"/>
      <c r="S120" s="32"/>
      <c r="T120" s="32"/>
      <c r="U120" s="32"/>
      <c r="V120" s="32">
        <v>10</v>
      </c>
      <c r="W120" s="32"/>
      <c r="X120" s="32"/>
      <c r="Y120" s="32">
        <v>10</v>
      </c>
      <c r="Z120" s="32"/>
      <c r="AA120" s="32"/>
      <c r="AB120" s="32">
        <v>10</v>
      </c>
      <c r="AC120" s="32">
        <v>5</v>
      </c>
      <c r="AD120" s="32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4"/>
      <c r="AR120" s="4"/>
      <c r="AS120" s="4"/>
      <c r="AT120" s="4"/>
      <c r="AU120" s="4"/>
      <c r="AV120" s="4"/>
      <c r="AW120" s="2"/>
      <c r="AX120" s="2"/>
      <c r="AY120" s="2"/>
      <c r="AZ120" s="2"/>
      <c r="BA120" s="2"/>
      <c r="BB120" s="2"/>
      <c r="BC120" s="14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>
        <f t="shared" si="62"/>
        <v>35</v>
      </c>
      <c r="BQ120" s="1">
        <v>23</v>
      </c>
      <c r="BR120" s="17">
        <v>4</v>
      </c>
      <c r="BS120" s="17" t="s">
        <v>293</v>
      </c>
      <c r="BT120" s="1" t="str">
        <f t="shared" si="63"/>
        <v/>
      </c>
      <c r="BU120" s="1" t="str">
        <f t="shared" si="64"/>
        <v/>
      </c>
      <c r="BV120" s="1" t="str">
        <f t="shared" si="65"/>
        <v/>
      </c>
      <c r="BW120" s="1" t="str">
        <f t="shared" si="66"/>
        <v/>
      </c>
      <c r="BX120" s="1" t="str">
        <f t="shared" si="67"/>
        <v/>
      </c>
      <c r="BY120" s="1" t="str">
        <f t="shared" si="68"/>
        <v/>
      </c>
      <c r="BZ120" s="1" t="str">
        <f t="shared" si="69"/>
        <v/>
      </c>
      <c r="CA120" s="1" t="str">
        <f t="shared" si="70"/>
        <v/>
      </c>
      <c r="CB120" s="1" t="str">
        <f t="shared" si="71"/>
        <v/>
      </c>
      <c r="CC120" s="1" t="str">
        <f t="shared" si="72"/>
        <v/>
      </c>
      <c r="CD120" s="1" t="str">
        <f t="shared" si="73"/>
        <v/>
      </c>
      <c r="CE120" s="1" t="str">
        <f t="shared" si="74"/>
        <v/>
      </c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8"/>
    </row>
    <row r="121" spans="1:97" ht="54" x14ac:dyDescent="0.15">
      <c r="A121" s="1"/>
      <c r="B121" s="1" t="s">
        <v>164</v>
      </c>
      <c r="C121" s="1" t="s">
        <v>158</v>
      </c>
      <c r="D121" s="1" t="s">
        <v>130</v>
      </c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32"/>
      <c r="Q121" s="32"/>
      <c r="R121" s="32"/>
      <c r="S121" s="32"/>
      <c r="T121" s="32"/>
      <c r="U121" s="32"/>
      <c r="V121" s="32">
        <v>10</v>
      </c>
      <c r="W121" s="32"/>
      <c r="X121" s="32"/>
      <c r="Y121" s="32">
        <v>10</v>
      </c>
      <c r="Z121" s="32"/>
      <c r="AA121" s="32"/>
      <c r="AB121" s="32">
        <v>10</v>
      </c>
      <c r="AC121" s="32">
        <v>5</v>
      </c>
      <c r="AD121" s="32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/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>
        <f t="shared" si="62"/>
        <v>35</v>
      </c>
      <c r="BQ121" s="1">
        <v>23</v>
      </c>
      <c r="BR121" s="17">
        <v>4</v>
      </c>
      <c r="BS121" s="17" t="s">
        <v>294</v>
      </c>
      <c r="BT121" s="1" t="str">
        <f t="shared" si="63"/>
        <v/>
      </c>
      <c r="BU121" s="1" t="str">
        <f t="shared" si="64"/>
        <v/>
      </c>
      <c r="BV121" s="1" t="str">
        <f t="shared" si="65"/>
        <v/>
      </c>
      <c r="BW121" s="1" t="str">
        <f t="shared" si="66"/>
        <v/>
      </c>
      <c r="BX121" s="1" t="str">
        <f t="shared" si="67"/>
        <v/>
      </c>
      <c r="BY121" s="1" t="str">
        <f t="shared" si="68"/>
        <v/>
      </c>
      <c r="BZ121" s="1" t="str">
        <f t="shared" si="69"/>
        <v/>
      </c>
      <c r="CA121" s="1" t="str">
        <f t="shared" si="70"/>
        <v/>
      </c>
      <c r="CB121" s="1" t="str">
        <f t="shared" si="71"/>
        <v/>
      </c>
      <c r="CC121" s="1" t="str">
        <f t="shared" si="72"/>
        <v/>
      </c>
      <c r="CD121" s="1" t="str">
        <f t="shared" si="73"/>
        <v/>
      </c>
      <c r="CE121" s="1" t="str">
        <f t="shared" si="74"/>
        <v/>
      </c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8"/>
    </row>
    <row r="122" spans="1:97" ht="54" x14ac:dyDescent="0.15">
      <c r="A122" s="1"/>
      <c r="B122" s="1" t="s">
        <v>155</v>
      </c>
      <c r="C122" s="1" t="s">
        <v>156</v>
      </c>
      <c r="D122" s="1" t="s">
        <v>129</v>
      </c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32">
        <v>10</v>
      </c>
      <c r="Q122" s="32"/>
      <c r="R122" s="32"/>
      <c r="S122" s="32">
        <v>10</v>
      </c>
      <c r="T122" s="32"/>
      <c r="U122" s="32"/>
      <c r="V122" s="32"/>
      <c r="W122" s="32"/>
      <c r="X122" s="32"/>
      <c r="Y122" s="32"/>
      <c r="Z122" s="32">
        <v>5</v>
      </c>
      <c r="AA122" s="32"/>
      <c r="AB122" s="32">
        <v>10</v>
      </c>
      <c r="AC122" s="32"/>
      <c r="AD122" s="32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/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>
        <f t="shared" si="62"/>
        <v>35</v>
      </c>
      <c r="BQ122" s="1">
        <v>23</v>
      </c>
      <c r="BR122" s="17">
        <v>4</v>
      </c>
      <c r="BS122" s="17" t="s">
        <v>295</v>
      </c>
      <c r="BT122" s="1" t="str">
        <f t="shared" si="63"/>
        <v/>
      </c>
      <c r="BU122" s="1" t="str">
        <f t="shared" si="64"/>
        <v/>
      </c>
      <c r="BV122" s="1" t="str">
        <f t="shared" si="65"/>
        <v/>
      </c>
      <c r="BW122" s="1" t="str">
        <f t="shared" si="66"/>
        <v/>
      </c>
      <c r="BX122" s="1" t="str">
        <f t="shared" si="67"/>
        <v/>
      </c>
      <c r="BY122" s="1" t="str">
        <f t="shared" si="68"/>
        <v/>
      </c>
      <c r="BZ122" s="1" t="str">
        <f t="shared" si="69"/>
        <v/>
      </c>
      <c r="CA122" s="1" t="str">
        <f t="shared" si="70"/>
        <v/>
      </c>
      <c r="CB122" s="1" t="str">
        <f t="shared" si="71"/>
        <v/>
      </c>
      <c r="CC122" s="1" t="str">
        <f t="shared" si="72"/>
        <v/>
      </c>
      <c r="CD122" s="1" t="str">
        <f t="shared" si="73"/>
        <v/>
      </c>
      <c r="CE122" s="1" t="str">
        <f t="shared" si="74"/>
        <v/>
      </c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8"/>
    </row>
    <row r="123" spans="1:97" ht="54" x14ac:dyDescent="0.15">
      <c r="A123" s="1"/>
      <c r="B123" s="1" t="s">
        <v>146</v>
      </c>
      <c r="C123" s="1" t="s">
        <v>147</v>
      </c>
      <c r="D123" s="1" t="s">
        <v>130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32"/>
      <c r="Q123" s="32">
        <v>5</v>
      </c>
      <c r="R123" s="32"/>
      <c r="S123" s="32"/>
      <c r="T123" s="32"/>
      <c r="U123" s="32"/>
      <c r="V123" s="32">
        <v>10</v>
      </c>
      <c r="W123" s="32"/>
      <c r="X123" s="32"/>
      <c r="Y123" s="32">
        <v>10</v>
      </c>
      <c r="Z123" s="32"/>
      <c r="AA123" s="32"/>
      <c r="AB123" s="32">
        <v>10</v>
      </c>
      <c r="AC123" s="32"/>
      <c r="AD123" s="32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/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>
        <f t="shared" si="62"/>
        <v>35</v>
      </c>
      <c r="BQ123" s="1">
        <v>24</v>
      </c>
      <c r="BR123" s="17">
        <v>4</v>
      </c>
      <c r="BS123" s="17" t="s">
        <v>297</v>
      </c>
      <c r="BT123" s="1" t="str">
        <f t="shared" si="63"/>
        <v/>
      </c>
      <c r="BU123" s="1" t="str">
        <f t="shared" si="64"/>
        <v/>
      </c>
      <c r="BV123" s="1" t="str">
        <f t="shared" si="65"/>
        <v/>
      </c>
      <c r="BW123" s="1" t="str">
        <f t="shared" si="66"/>
        <v/>
      </c>
      <c r="BX123" s="1" t="str">
        <f t="shared" si="67"/>
        <v/>
      </c>
      <c r="BY123" s="1" t="str">
        <f t="shared" si="68"/>
        <v/>
      </c>
      <c r="BZ123" s="1" t="str">
        <f t="shared" si="69"/>
        <v/>
      </c>
      <c r="CA123" s="1" t="str">
        <f t="shared" si="70"/>
        <v/>
      </c>
      <c r="CB123" s="1" t="str">
        <f t="shared" si="71"/>
        <v/>
      </c>
      <c r="CC123" s="1" t="str">
        <f t="shared" si="72"/>
        <v/>
      </c>
      <c r="CD123" s="1" t="str">
        <f t="shared" si="73"/>
        <v/>
      </c>
      <c r="CE123" s="1" t="str">
        <f t="shared" si="74"/>
        <v/>
      </c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8"/>
    </row>
    <row r="124" spans="1:97" ht="54" x14ac:dyDescent="0.15">
      <c r="A124" s="1"/>
      <c r="B124" s="1" t="s">
        <v>152</v>
      </c>
      <c r="C124" s="1" t="s">
        <v>151</v>
      </c>
      <c r="D124" s="1" t="s">
        <v>130</v>
      </c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32"/>
      <c r="Q124" s="32">
        <v>5</v>
      </c>
      <c r="R124" s="32"/>
      <c r="S124" s="32"/>
      <c r="T124" s="32"/>
      <c r="U124" s="32"/>
      <c r="V124" s="32">
        <v>10</v>
      </c>
      <c r="W124" s="32"/>
      <c r="X124" s="32"/>
      <c r="Y124" s="32">
        <v>10</v>
      </c>
      <c r="Z124" s="32"/>
      <c r="AA124" s="32"/>
      <c r="AB124" s="32">
        <v>10</v>
      </c>
      <c r="AC124" s="32"/>
      <c r="AD124" s="32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/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>
        <f t="shared" si="62"/>
        <v>35</v>
      </c>
      <c r="BQ124" s="1">
        <v>24</v>
      </c>
      <c r="BR124" s="17">
        <v>4</v>
      </c>
      <c r="BS124" s="17" t="s">
        <v>298</v>
      </c>
      <c r="BT124" s="1" t="str">
        <f t="shared" si="63"/>
        <v/>
      </c>
      <c r="BU124" s="1" t="str">
        <f t="shared" si="64"/>
        <v/>
      </c>
      <c r="BV124" s="1" t="str">
        <f t="shared" si="65"/>
        <v/>
      </c>
      <c r="BW124" s="1" t="str">
        <f t="shared" si="66"/>
        <v/>
      </c>
      <c r="BX124" s="1" t="str">
        <f t="shared" si="67"/>
        <v/>
      </c>
      <c r="BY124" s="1" t="str">
        <f t="shared" si="68"/>
        <v/>
      </c>
      <c r="BZ124" s="1" t="str">
        <f t="shared" si="69"/>
        <v/>
      </c>
      <c r="CA124" s="1" t="str">
        <f t="shared" si="70"/>
        <v/>
      </c>
      <c r="CB124" s="1" t="str">
        <f t="shared" si="71"/>
        <v/>
      </c>
      <c r="CC124" s="1" t="str">
        <f t="shared" si="72"/>
        <v/>
      </c>
      <c r="CD124" s="1" t="str">
        <f t="shared" si="73"/>
        <v/>
      </c>
      <c r="CE124" s="1" t="str">
        <f t="shared" si="74"/>
        <v/>
      </c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8"/>
    </row>
    <row r="125" spans="1:97" ht="54" x14ac:dyDescent="0.15">
      <c r="A125" s="1"/>
      <c r="B125" s="1" t="s">
        <v>145</v>
      </c>
      <c r="C125" s="1" t="s">
        <v>128</v>
      </c>
      <c r="D125" s="1" t="s">
        <v>131</v>
      </c>
      <c r="E125" s="6"/>
      <c r="F125" s="6"/>
      <c r="G125" s="6"/>
      <c r="H125" s="6">
        <v>10</v>
      </c>
      <c r="I125" s="6"/>
      <c r="J125" s="6"/>
      <c r="K125" s="6"/>
      <c r="L125" s="6"/>
      <c r="M125" s="6"/>
      <c r="N125" s="6"/>
      <c r="O125" s="6"/>
      <c r="P125" s="32"/>
      <c r="Q125" s="32"/>
      <c r="R125" s="32">
        <v>10</v>
      </c>
      <c r="S125" s="32"/>
      <c r="T125" s="32"/>
      <c r="U125" s="32"/>
      <c r="V125" s="32"/>
      <c r="W125" s="32"/>
      <c r="X125" s="32">
        <v>10</v>
      </c>
      <c r="Y125" s="32"/>
      <c r="Z125" s="32"/>
      <c r="AA125" s="32"/>
      <c r="AB125" s="32"/>
      <c r="AC125" s="32"/>
      <c r="AD125" s="32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>
        <v>10</v>
      </c>
      <c r="AS125" s="4"/>
      <c r="AT125" s="4"/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>
        <f t="shared" si="62"/>
        <v>40</v>
      </c>
      <c r="BQ125" s="1">
        <v>26</v>
      </c>
      <c r="BR125" s="17">
        <v>4</v>
      </c>
      <c r="BS125" s="17" t="s">
        <v>299</v>
      </c>
      <c r="BT125" s="1" t="str">
        <f t="shared" si="63"/>
        <v/>
      </c>
      <c r="BU125" s="1">
        <f t="shared" si="64"/>
        <v>4</v>
      </c>
      <c r="BV125" s="1" t="str">
        <f t="shared" si="65"/>
        <v/>
      </c>
      <c r="BW125" s="1" t="str">
        <f t="shared" si="66"/>
        <v/>
      </c>
      <c r="BX125" s="1" t="str">
        <f t="shared" si="67"/>
        <v/>
      </c>
      <c r="BY125" s="1" t="str">
        <f t="shared" si="68"/>
        <v/>
      </c>
      <c r="BZ125" s="1" t="str">
        <f t="shared" si="69"/>
        <v/>
      </c>
      <c r="CA125" s="1" t="str">
        <f t="shared" si="70"/>
        <v/>
      </c>
      <c r="CB125" s="1" t="str">
        <f t="shared" si="71"/>
        <v/>
      </c>
      <c r="CC125" s="1" t="str">
        <f t="shared" si="72"/>
        <v/>
      </c>
      <c r="CD125" s="1" t="str">
        <f t="shared" si="73"/>
        <v/>
      </c>
      <c r="CE125" s="1" t="str">
        <f t="shared" si="74"/>
        <v/>
      </c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8"/>
    </row>
    <row r="126" spans="1:97" ht="54" x14ac:dyDescent="0.15">
      <c r="A126" s="1"/>
      <c r="B126" s="1" t="s">
        <v>140</v>
      </c>
      <c r="C126" s="1" t="s">
        <v>128</v>
      </c>
      <c r="D126" s="1" t="s">
        <v>131</v>
      </c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>
        <v>10</v>
      </c>
      <c r="P126" s="32"/>
      <c r="Q126" s="32"/>
      <c r="R126" s="32">
        <v>10</v>
      </c>
      <c r="S126" s="32"/>
      <c r="T126" s="32"/>
      <c r="U126" s="32"/>
      <c r="V126" s="32"/>
      <c r="W126" s="32"/>
      <c r="X126" s="32">
        <v>10</v>
      </c>
      <c r="Y126" s="32"/>
      <c r="Z126" s="32"/>
      <c r="AA126" s="32"/>
      <c r="AB126" s="32"/>
      <c r="AC126" s="32"/>
      <c r="AD126" s="32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>
        <v>10</v>
      </c>
      <c r="AT126" s="4"/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>
        <f t="shared" si="62"/>
        <v>40</v>
      </c>
      <c r="BQ126" s="1">
        <v>28</v>
      </c>
      <c r="BR126" s="17">
        <v>4</v>
      </c>
      <c r="BS126" s="17" t="s">
        <v>300</v>
      </c>
      <c r="BT126" s="1" t="str">
        <f t="shared" si="63"/>
        <v/>
      </c>
      <c r="BU126" s="1" t="str">
        <f t="shared" si="64"/>
        <v/>
      </c>
      <c r="BV126" s="1">
        <f t="shared" si="65"/>
        <v>8</v>
      </c>
      <c r="BW126" s="1" t="str">
        <f t="shared" si="66"/>
        <v/>
      </c>
      <c r="BX126" s="1" t="str">
        <f t="shared" si="67"/>
        <v/>
      </c>
      <c r="BY126" s="1" t="str">
        <f t="shared" si="68"/>
        <v/>
      </c>
      <c r="BZ126" s="1" t="str">
        <f t="shared" si="69"/>
        <v/>
      </c>
      <c r="CA126" s="1" t="str">
        <f t="shared" si="70"/>
        <v/>
      </c>
      <c r="CB126" s="1" t="str">
        <f t="shared" si="71"/>
        <v/>
      </c>
      <c r="CC126" s="1" t="str">
        <f t="shared" si="72"/>
        <v/>
      </c>
      <c r="CD126" s="1" t="str">
        <f t="shared" si="73"/>
        <v/>
      </c>
      <c r="CE126" s="1" t="str">
        <f t="shared" si="74"/>
        <v/>
      </c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8"/>
    </row>
    <row r="127" spans="1:97" ht="54" x14ac:dyDescent="0.15">
      <c r="A127" s="1"/>
      <c r="B127" s="1" t="s">
        <v>160</v>
      </c>
      <c r="C127" s="1" t="s">
        <v>158</v>
      </c>
      <c r="D127" s="1" t="s">
        <v>131</v>
      </c>
      <c r="E127" s="6"/>
      <c r="F127" s="6"/>
      <c r="G127" s="6"/>
      <c r="H127" s="6">
        <v>10</v>
      </c>
      <c r="I127" s="6"/>
      <c r="J127" s="6"/>
      <c r="K127" s="6"/>
      <c r="L127" s="6"/>
      <c r="M127" s="6"/>
      <c r="N127" s="6"/>
      <c r="O127" s="6"/>
      <c r="P127" s="32"/>
      <c r="Q127" s="32"/>
      <c r="R127" s="32">
        <v>10</v>
      </c>
      <c r="S127" s="32"/>
      <c r="T127" s="32"/>
      <c r="U127" s="32">
        <v>10</v>
      </c>
      <c r="V127" s="32"/>
      <c r="W127" s="32"/>
      <c r="X127" s="32"/>
      <c r="Y127" s="32"/>
      <c r="Z127" s="32"/>
      <c r="AA127" s="32"/>
      <c r="AB127" s="32"/>
      <c r="AC127" s="32"/>
      <c r="AD127" s="32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4"/>
      <c r="AR127" s="4"/>
      <c r="AS127" s="4"/>
      <c r="AT127" s="4"/>
      <c r="AU127" s="4">
        <v>10</v>
      </c>
      <c r="AV127" s="4"/>
      <c r="AW127" s="2"/>
      <c r="AX127" s="2"/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>
        <f t="shared" si="62"/>
        <v>40</v>
      </c>
      <c r="BQ127" s="1">
        <v>32</v>
      </c>
      <c r="BR127" s="17">
        <v>4</v>
      </c>
      <c r="BS127" s="17" t="s">
        <v>301</v>
      </c>
      <c r="BT127" s="1" t="str">
        <f t="shared" si="63"/>
        <v/>
      </c>
      <c r="BU127" s="1" t="str">
        <f t="shared" si="64"/>
        <v/>
      </c>
      <c r="BV127" s="1" t="str">
        <f t="shared" si="65"/>
        <v/>
      </c>
      <c r="BW127" s="1" t="str">
        <f t="shared" si="66"/>
        <v/>
      </c>
      <c r="BX127" s="1">
        <f t="shared" si="67"/>
        <v>4</v>
      </c>
      <c r="BY127" s="1" t="str">
        <f t="shared" si="68"/>
        <v/>
      </c>
      <c r="BZ127" s="1" t="str">
        <f t="shared" si="69"/>
        <v/>
      </c>
      <c r="CA127" s="1" t="str">
        <f t="shared" si="70"/>
        <v/>
      </c>
      <c r="CB127" s="1" t="str">
        <f t="shared" si="71"/>
        <v/>
      </c>
      <c r="CC127" s="1" t="str">
        <f t="shared" si="72"/>
        <v/>
      </c>
      <c r="CD127" s="1" t="str">
        <f t="shared" si="73"/>
        <v/>
      </c>
      <c r="CE127" s="1" t="str">
        <f t="shared" si="74"/>
        <v/>
      </c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8"/>
    </row>
    <row r="128" spans="1:97" ht="54" x14ac:dyDescent="0.15">
      <c r="A128" s="1"/>
      <c r="B128" s="1" t="s">
        <v>146</v>
      </c>
      <c r="C128" s="1" t="s">
        <v>147</v>
      </c>
      <c r="D128" s="1" t="s">
        <v>129</v>
      </c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32">
        <v>10</v>
      </c>
      <c r="Q128" s="32"/>
      <c r="R128" s="32"/>
      <c r="S128" s="32">
        <v>10</v>
      </c>
      <c r="T128" s="32"/>
      <c r="U128" s="32"/>
      <c r="V128" s="32">
        <v>10</v>
      </c>
      <c r="W128" s="32"/>
      <c r="X128" s="32"/>
      <c r="Y128" s="32">
        <v>10</v>
      </c>
      <c r="Z128" s="32"/>
      <c r="AA128" s="32"/>
      <c r="AB128" s="32"/>
      <c r="AC128" s="32"/>
      <c r="AD128" s="32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4"/>
      <c r="AR128" s="4"/>
      <c r="AS128" s="4"/>
      <c r="AT128" s="4"/>
      <c r="AU128" s="4"/>
      <c r="AV128" s="4"/>
      <c r="AW128" s="2"/>
      <c r="AX128" s="2"/>
      <c r="AY128" s="2"/>
      <c r="AZ128" s="2"/>
      <c r="BA128" s="2"/>
      <c r="BB128" s="2"/>
      <c r="BC128" s="14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>
        <f t="shared" si="62"/>
        <v>40</v>
      </c>
      <c r="BQ128" s="1">
        <v>35</v>
      </c>
      <c r="BR128" s="17">
        <v>4</v>
      </c>
      <c r="BS128" s="17" t="s">
        <v>302</v>
      </c>
      <c r="BT128" s="1" t="str">
        <f t="shared" si="63"/>
        <v/>
      </c>
      <c r="BU128" s="1" t="str">
        <f t="shared" si="64"/>
        <v/>
      </c>
      <c r="BV128" s="1" t="str">
        <f t="shared" si="65"/>
        <v/>
      </c>
      <c r="BW128" s="1" t="str">
        <f t="shared" si="66"/>
        <v/>
      </c>
      <c r="BX128" s="1" t="str">
        <f t="shared" si="67"/>
        <v/>
      </c>
      <c r="BY128" s="1" t="str">
        <f t="shared" si="68"/>
        <v/>
      </c>
      <c r="BZ128" s="1" t="str">
        <f t="shared" si="69"/>
        <v/>
      </c>
      <c r="CA128" s="1" t="str">
        <f t="shared" si="70"/>
        <v/>
      </c>
      <c r="CB128" s="1" t="str">
        <f t="shared" si="71"/>
        <v/>
      </c>
      <c r="CC128" s="1" t="str">
        <f t="shared" si="72"/>
        <v/>
      </c>
      <c r="CD128" s="1" t="str">
        <f t="shared" si="73"/>
        <v/>
      </c>
      <c r="CE128" s="1" t="str">
        <f t="shared" si="74"/>
        <v/>
      </c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8"/>
    </row>
    <row r="129" spans="1:97" ht="54" x14ac:dyDescent="0.15">
      <c r="A129" s="1"/>
      <c r="B129" s="1" t="s">
        <v>152</v>
      </c>
      <c r="C129" s="1" t="s">
        <v>151</v>
      </c>
      <c r="D129" s="1" t="s">
        <v>129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32">
        <v>10</v>
      </c>
      <c r="Q129" s="32"/>
      <c r="R129" s="32"/>
      <c r="S129" s="32">
        <v>10</v>
      </c>
      <c r="T129" s="32"/>
      <c r="U129" s="32"/>
      <c r="V129" s="32">
        <v>10</v>
      </c>
      <c r="W129" s="32"/>
      <c r="X129" s="32"/>
      <c r="Y129" s="32">
        <v>10</v>
      </c>
      <c r="Z129" s="32"/>
      <c r="AA129" s="32"/>
      <c r="AB129" s="32"/>
      <c r="AC129" s="32"/>
      <c r="AD129" s="32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>
        <f t="shared" si="62"/>
        <v>40</v>
      </c>
      <c r="BQ129" s="1">
        <v>35</v>
      </c>
      <c r="BR129" s="17">
        <v>4</v>
      </c>
      <c r="BS129" s="17" t="s">
        <v>303</v>
      </c>
      <c r="BT129" s="1" t="str">
        <f t="shared" si="63"/>
        <v/>
      </c>
      <c r="BU129" s="1" t="str">
        <f t="shared" si="64"/>
        <v/>
      </c>
      <c r="BV129" s="1" t="str">
        <f t="shared" si="65"/>
        <v/>
      </c>
      <c r="BW129" s="1" t="str">
        <f t="shared" si="66"/>
        <v/>
      </c>
      <c r="BX129" s="1" t="str">
        <f t="shared" si="67"/>
        <v/>
      </c>
      <c r="BY129" s="1" t="str">
        <f t="shared" si="68"/>
        <v/>
      </c>
      <c r="BZ129" s="1" t="str">
        <f t="shared" si="69"/>
        <v/>
      </c>
      <c r="CA129" s="1" t="str">
        <f t="shared" si="70"/>
        <v/>
      </c>
      <c r="CB129" s="1" t="str">
        <f t="shared" si="71"/>
        <v/>
      </c>
      <c r="CC129" s="1" t="str">
        <f t="shared" si="72"/>
        <v/>
      </c>
      <c r="CD129" s="1" t="str">
        <f t="shared" si="73"/>
        <v/>
      </c>
      <c r="CE129" s="1" t="str">
        <f t="shared" si="74"/>
        <v/>
      </c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8"/>
    </row>
    <row r="130" spans="1:97" ht="54" x14ac:dyDescent="0.15">
      <c r="A130" s="1"/>
      <c r="B130" s="1" t="s">
        <v>154</v>
      </c>
      <c r="C130" s="1" t="s">
        <v>156</v>
      </c>
      <c r="D130" s="1" t="s">
        <v>129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32">
        <v>10</v>
      </c>
      <c r="Q130" s="32"/>
      <c r="R130" s="32"/>
      <c r="S130" s="32">
        <v>10</v>
      </c>
      <c r="T130" s="32"/>
      <c r="U130" s="32"/>
      <c r="V130" s="32">
        <v>10</v>
      </c>
      <c r="W130" s="32"/>
      <c r="X130" s="32"/>
      <c r="Y130" s="32">
        <v>10</v>
      </c>
      <c r="Z130" s="32"/>
      <c r="AA130" s="32"/>
      <c r="AB130" s="32"/>
      <c r="AC130" s="32"/>
      <c r="AD130" s="32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>
        <f t="shared" si="62"/>
        <v>40</v>
      </c>
      <c r="BQ130" s="1">
        <v>35</v>
      </c>
      <c r="BR130" s="17">
        <v>4</v>
      </c>
      <c r="BS130" s="17" t="s">
        <v>304</v>
      </c>
      <c r="BT130" s="1" t="str">
        <f t="shared" si="63"/>
        <v/>
      </c>
      <c r="BU130" s="1" t="str">
        <f t="shared" si="64"/>
        <v/>
      </c>
      <c r="BV130" s="1" t="str">
        <f t="shared" si="65"/>
        <v/>
      </c>
      <c r="BW130" s="1" t="str">
        <f t="shared" si="66"/>
        <v/>
      </c>
      <c r="BX130" s="1" t="str">
        <f t="shared" si="67"/>
        <v/>
      </c>
      <c r="BY130" s="1" t="str">
        <f t="shared" si="68"/>
        <v/>
      </c>
      <c r="BZ130" s="1" t="str">
        <f t="shared" si="69"/>
        <v/>
      </c>
      <c r="CA130" s="1" t="str">
        <f t="shared" si="70"/>
        <v/>
      </c>
      <c r="CB130" s="1" t="str">
        <f t="shared" si="71"/>
        <v/>
      </c>
      <c r="CC130" s="1" t="str">
        <f t="shared" si="72"/>
        <v/>
      </c>
      <c r="CD130" s="1" t="str">
        <f t="shared" si="73"/>
        <v/>
      </c>
      <c r="CE130" s="1" t="str">
        <f t="shared" si="74"/>
        <v/>
      </c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8"/>
    </row>
    <row r="131" spans="1:97" ht="54" x14ac:dyDescent="0.15">
      <c r="A131" s="1"/>
      <c r="B131" s="1" t="s">
        <v>160</v>
      </c>
      <c r="C131" s="1" t="s">
        <v>158</v>
      </c>
      <c r="D131" s="1" t="s">
        <v>129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32">
        <v>10</v>
      </c>
      <c r="Q131" s="32"/>
      <c r="R131" s="32"/>
      <c r="S131" s="32">
        <v>10</v>
      </c>
      <c r="T131" s="32"/>
      <c r="U131" s="32"/>
      <c r="V131" s="32">
        <v>10</v>
      </c>
      <c r="W131" s="32"/>
      <c r="X131" s="32"/>
      <c r="Y131" s="32">
        <v>10</v>
      </c>
      <c r="Z131" s="32"/>
      <c r="AA131" s="32"/>
      <c r="AB131" s="32"/>
      <c r="AC131" s="32"/>
      <c r="AD131" s="32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>
        <f t="shared" si="62"/>
        <v>40</v>
      </c>
      <c r="BQ131" s="1">
        <v>35</v>
      </c>
      <c r="BR131" s="17">
        <v>4</v>
      </c>
      <c r="BS131" s="17" t="s">
        <v>304</v>
      </c>
      <c r="BT131" s="1" t="str">
        <f t="shared" si="63"/>
        <v/>
      </c>
      <c r="BU131" s="1" t="str">
        <f t="shared" si="64"/>
        <v/>
      </c>
      <c r="BV131" s="1" t="str">
        <f t="shared" si="65"/>
        <v/>
      </c>
      <c r="BW131" s="1" t="str">
        <f t="shared" si="66"/>
        <v/>
      </c>
      <c r="BX131" s="1" t="str">
        <f t="shared" si="67"/>
        <v/>
      </c>
      <c r="BY131" s="1" t="str">
        <f t="shared" si="68"/>
        <v/>
      </c>
      <c r="BZ131" s="1" t="str">
        <f t="shared" si="69"/>
        <v/>
      </c>
      <c r="CA131" s="1" t="str">
        <f t="shared" si="70"/>
        <v/>
      </c>
      <c r="CB131" s="1" t="str">
        <f t="shared" si="71"/>
        <v/>
      </c>
      <c r="CC131" s="1" t="str">
        <f t="shared" si="72"/>
        <v/>
      </c>
      <c r="CD131" s="1" t="str">
        <f t="shared" si="73"/>
        <v/>
      </c>
      <c r="CE131" s="1" t="str">
        <f t="shared" si="74"/>
        <v/>
      </c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8"/>
    </row>
    <row r="132" spans="1:97" ht="54" x14ac:dyDescent="0.15">
      <c r="A132" s="1"/>
      <c r="B132" s="1" t="s">
        <v>163</v>
      </c>
      <c r="C132" s="1" t="s">
        <v>158</v>
      </c>
      <c r="D132" s="1" t="s">
        <v>129</v>
      </c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32">
        <v>10</v>
      </c>
      <c r="Q132" s="32"/>
      <c r="R132" s="32"/>
      <c r="S132" s="32">
        <v>10</v>
      </c>
      <c r="T132" s="32"/>
      <c r="U132" s="32"/>
      <c r="V132" s="32">
        <v>10</v>
      </c>
      <c r="W132" s="32"/>
      <c r="X132" s="32"/>
      <c r="Y132" s="32">
        <v>10</v>
      </c>
      <c r="Z132" s="32"/>
      <c r="AA132" s="32"/>
      <c r="AB132" s="32"/>
      <c r="AC132" s="32"/>
      <c r="AD132" s="32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>
        <f t="shared" si="62"/>
        <v>40</v>
      </c>
      <c r="BQ132" s="1">
        <v>35</v>
      </c>
      <c r="BR132" s="17">
        <v>4</v>
      </c>
      <c r="BS132" s="17" t="s">
        <v>303</v>
      </c>
      <c r="BT132" s="1" t="str">
        <f t="shared" si="63"/>
        <v/>
      </c>
      <c r="BU132" s="1" t="str">
        <f t="shared" si="64"/>
        <v/>
      </c>
      <c r="BV132" s="1" t="str">
        <f t="shared" si="65"/>
        <v/>
      </c>
      <c r="BW132" s="1" t="str">
        <f t="shared" si="66"/>
        <v/>
      </c>
      <c r="BX132" s="1" t="str">
        <f t="shared" si="67"/>
        <v/>
      </c>
      <c r="BY132" s="1" t="str">
        <f t="shared" si="68"/>
        <v/>
      </c>
      <c r="BZ132" s="1" t="str">
        <f t="shared" si="69"/>
        <v/>
      </c>
      <c r="CA132" s="1" t="str">
        <f t="shared" si="70"/>
        <v/>
      </c>
      <c r="CB132" s="1" t="str">
        <f t="shared" si="71"/>
        <v/>
      </c>
      <c r="CC132" s="1" t="str">
        <f t="shared" si="72"/>
        <v/>
      </c>
      <c r="CD132" s="1" t="str">
        <f t="shared" si="73"/>
        <v/>
      </c>
      <c r="CE132" s="1" t="str">
        <f t="shared" si="74"/>
        <v/>
      </c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8"/>
    </row>
    <row r="133" spans="1:97" ht="54" x14ac:dyDescent="0.15">
      <c r="A133" s="1"/>
      <c r="B133" s="1" t="s">
        <v>164</v>
      </c>
      <c r="C133" s="1" t="s">
        <v>158</v>
      </c>
      <c r="D133" s="1" t="s">
        <v>129</v>
      </c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32">
        <v>10</v>
      </c>
      <c r="Q133" s="32"/>
      <c r="R133" s="32"/>
      <c r="S133" s="32">
        <v>10</v>
      </c>
      <c r="T133" s="32"/>
      <c r="U133" s="32"/>
      <c r="V133" s="32">
        <v>10</v>
      </c>
      <c r="W133" s="32"/>
      <c r="X133" s="32"/>
      <c r="Y133" s="32">
        <v>10</v>
      </c>
      <c r="Z133" s="32"/>
      <c r="AA133" s="32"/>
      <c r="AB133" s="32"/>
      <c r="AC133" s="32"/>
      <c r="AD133" s="32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>
        <f t="shared" si="62"/>
        <v>40</v>
      </c>
      <c r="BQ133" s="1">
        <v>35</v>
      </c>
      <c r="BR133" s="17">
        <v>4</v>
      </c>
      <c r="BS133" s="17" t="s">
        <v>304</v>
      </c>
      <c r="BT133" s="1" t="str">
        <f t="shared" si="63"/>
        <v/>
      </c>
      <c r="BU133" s="1" t="str">
        <f t="shared" si="64"/>
        <v/>
      </c>
      <c r="BV133" s="1" t="str">
        <f t="shared" si="65"/>
        <v/>
      </c>
      <c r="BW133" s="1" t="str">
        <f t="shared" si="66"/>
        <v/>
      </c>
      <c r="BX133" s="1" t="str">
        <f t="shared" si="67"/>
        <v/>
      </c>
      <c r="BY133" s="1" t="str">
        <f t="shared" si="68"/>
        <v/>
      </c>
      <c r="BZ133" s="1" t="str">
        <f t="shared" si="69"/>
        <v/>
      </c>
      <c r="CA133" s="1" t="str">
        <f t="shared" si="70"/>
        <v/>
      </c>
      <c r="CB133" s="1" t="str">
        <f t="shared" si="71"/>
        <v/>
      </c>
      <c r="CC133" s="1" t="str">
        <f t="shared" si="72"/>
        <v/>
      </c>
      <c r="CD133" s="1" t="str">
        <f t="shared" si="73"/>
        <v/>
      </c>
      <c r="CE133" s="1" t="str">
        <f t="shared" si="74"/>
        <v/>
      </c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8"/>
    </row>
    <row r="134" spans="1:97" ht="54" x14ac:dyDescent="0.15">
      <c r="A134" s="1">
        <v>65</v>
      </c>
      <c r="B134" s="3" t="s">
        <v>64</v>
      </c>
      <c r="C134" s="1" t="s">
        <v>59</v>
      </c>
      <c r="D134" s="1" t="s">
        <v>13</v>
      </c>
      <c r="E134" s="6"/>
      <c r="F134" s="6"/>
      <c r="G134" s="6">
        <v>10</v>
      </c>
      <c r="H134" s="6"/>
      <c r="I134" s="6"/>
      <c r="J134" s="6"/>
      <c r="K134" s="6"/>
      <c r="L134" s="6"/>
      <c r="M134" s="6"/>
      <c r="N134" s="6"/>
      <c r="O134" s="6"/>
      <c r="P134" s="32"/>
      <c r="Q134" s="32"/>
      <c r="R134" s="32"/>
      <c r="S134" s="32"/>
      <c r="T134" s="32"/>
      <c r="U134" s="32"/>
      <c r="V134" s="32"/>
      <c r="W134" s="32"/>
      <c r="X134" s="32"/>
      <c r="Y134" s="32"/>
      <c r="Z134" s="32"/>
      <c r="AA134" s="32"/>
      <c r="AB134" s="32"/>
      <c r="AC134" s="32"/>
      <c r="AD134" s="32"/>
      <c r="AE134" s="1"/>
      <c r="AF134" s="1"/>
      <c r="AG134" s="1"/>
      <c r="AH134" s="1"/>
      <c r="AI134" s="1"/>
      <c r="AJ134" s="1"/>
      <c r="AK134" s="1"/>
      <c r="AL134" s="1"/>
      <c r="AM134" s="1"/>
      <c r="AN134" s="1">
        <v>25</v>
      </c>
      <c r="AO134" s="1"/>
      <c r="AP134" s="1"/>
      <c r="AQ134" s="4"/>
      <c r="AR134" s="4"/>
      <c r="AS134" s="4"/>
      <c r="AT134" s="4"/>
      <c r="AU134" s="4"/>
      <c r="AV134" s="4">
        <v>10</v>
      </c>
      <c r="AW134" s="2"/>
      <c r="AX134" s="2"/>
      <c r="AY134" s="2"/>
      <c r="AZ134" s="2">
        <v>10</v>
      </c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>
        <f t="shared" si="62"/>
        <v>55</v>
      </c>
      <c r="BQ134" s="1">
        <v>47</v>
      </c>
      <c r="BR134" s="17">
        <v>4</v>
      </c>
      <c r="BS134" s="17" t="s">
        <v>306</v>
      </c>
      <c r="BT134" s="1" t="str">
        <f t="shared" si="63"/>
        <v/>
      </c>
      <c r="BU134" s="1" t="str">
        <f t="shared" si="64"/>
        <v/>
      </c>
      <c r="BV134" s="1" t="str">
        <f t="shared" si="65"/>
        <v/>
      </c>
      <c r="BW134" s="1" t="str">
        <f t="shared" si="66"/>
        <v/>
      </c>
      <c r="BX134" s="1" t="str">
        <f t="shared" si="67"/>
        <v/>
      </c>
      <c r="BY134" s="1">
        <f t="shared" si="68"/>
        <v>2</v>
      </c>
      <c r="BZ134" s="1" t="str">
        <f t="shared" si="69"/>
        <v/>
      </c>
      <c r="CA134" s="1" t="str">
        <f t="shared" si="70"/>
        <v/>
      </c>
      <c r="CB134" s="1" t="str">
        <f t="shared" si="71"/>
        <v/>
      </c>
      <c r="CC134" s="1">
        <f t="shared" si="72"/>
        <v>10</v>
      </c>
      <c r="CD134" s="1" t="str">
        <f t="shared" si="73"/>
        <v/>
      </c>
      <c r="CE134" s="1" t="str">
        <f t="shared" si="74"/>
        <v/>
      </c>
      <c r="CF134" s="1">
        <f>COUNTIF(BT134:CE134, "&gt;0")</f>
        <v>2</v>
      </c>
      <c r="CG134" s="1" t="str">
        <f t="shared" ref="CG134:CR134" si="75">IF($CF134=1,BT134,"")</f>
        <v/>
      </c>
      <c r="CH134" s="1" t="str">
        <f t="shared" si="75"/>
        <v/>
      </c>
      <c r="CI134" s="1" t="str">
        <f t="shared" si="75"/>
        <v/>
      </c>
      <c r="CJ134" s="1" t="str">
        <f t="shared" si="75"/>
        <v/>
      </c>
      <c r="CK134" s="1" t="str">
        <f t="shared" si="75"/>
        <v/>
      </c>
      <c r="CL134" s="1" t="str">
        <f t="shared" si="75"/>
        <v/>
      </c>
      <c r="CM134" s="1" t="str">
        <f t="shared" si="75"/>
        <v/>
      </c>
      <c r="CN134" s="1" t="str">
        <f t="shared" si="75"/>
        <v/>
      </c>
      <c r="CO134" s="1" t="str">
        <f t="shared" si="75"/>
        <v/>
      </c>
      <c r="CP134" s="1" t="str">
        <f t="shared" si="75"/>
        <v/>
      </c>
      <c r="CQ134" s="1" t="str">
        <f t="shared" si="75"/>
        <v/>
      </c>
      <c r="CR134" s="1" t="str">
        <f t="shared" si="75"/>
        <v/>
      </c>
      <c r="CS134" s="18">
        <f>SUM(AE134:BO134)</f>
        <v>45</v>
      </c>
    </row>
    <row r="135" spans="1:97" ht="54" x14ac:dyDescent="0.15">
      <c r="A135" s="1"/>
      <c r="B135" s="1" t="s">
        <v>171</v>
      </c>
      <c r="C135" s="1" t="s">
        <v>110</v>
      </c>
      <c r="D135" s="1" t="s">
        <v>112</v>
      </c>
      <c r="E135" s="6">
        <v>10</v>
      </c>
      <c r="F135" s="6"/>
      <c r="G135" s="6">
        <v>10</v>
      </c>
      <c r="H135" s="6"/>
      <c r="I135" s="6"/>
      <c r="J135" s="6"/>
      <c r="K135" s="6"/>
      <c r="L135" s="6"/>
      <c r="M135" s="6"/>
      <c r="N135" s="6"/>
      <c r="O135" s="6"/>
      <c r="P135" s="32"/>
      <c r="Q135" s="32"/>
      <c r="R135" s="32"/>
      <c r="S135" s="32"/>
      <c r="T135" s="32"/>
      <c r="U135" s="32"/>
      <c r="V135" s="32"/>
      <c r="W135" s="32"/>
      <c r="X135" s="32"/>
      <c r="Y135" s="32"/>
      <c r="Z135" s="32"/>
      <c r="AA135" s="32"/>
      <c r="AB135" s="32"/>
      <c r="AC135" s="32"/>
      <c r="AD135" s="32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>
        <v>15</v>
      </c>
      <c r="AU135" s="4"/>
      <c r="AV135" s="4"/>
      <c r="AW135" s="2"/>
      <c r="AX135" s="2"/>
      <c r="AY135" s="2"/>
      <c r="AZ135" s="2">
        <v>15</v>
      </c>
      <c r="BA135" s="2">
        <v>15</v>
      </c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>
        <f t="shared" si="62"/>
        <v>65</v>
      </c>
      <c r="BQ135" s="1">
        <v>47</v>
      </c>
      <c r="BR135" s="17">
        <v>4</v>
      </c>
      <c r="BS135" s="17" t="s">
        <v>307</v>
      </c>
      <c r="BT135" s="1" t="str">
        <f t="shared" si="63"/>
        <v/>
      </c>
      <c r="BU135" s="1" t="str">
        <f t="shared" si="64"/>
        <v/>
      </c>
      <c r="BV135" s="1" t="str">
        <f t="shared" si="65"/>
        <v/>
      </c>
      <c r="BW135" s="1">
        <f t="shared" si="66"/>
        <v>8</v>
      </c>
      <c r="BX135" s="1" t="str">
        <f t="shared" si="67"/>
        <v/>
      </c>
      <c r="BY135" s="1" t="str">
        <f t="shared" si="68"/>
        <v/>
      </c>
      <c r="BZ135" s="1" t="str">
        <f t="shared" si="69"/>
        <v/>
      </c>
      <c r="CA135" s="1" t="str">
        <f t="shared" si="70"/>
        <v/>
      </c>
      <c r="CB135" s="1" t="str">
        <f t="shared" si="71"/>
        <v/>
      </c>
      <c r="CC135" s="1">
        <f t="shared" si="72"/>
        <v>15</v>
      </c>
      <c r="CD135" s="1">
        <f t="shared" si="73"/>
        <v>14</v>
      </c>
      <c r="CE135" s="1" t="str">
        <f t="shared" si="74"/>
        <v/>
      </c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8"/>
    </row>
    <row r="136" spans="1:97" ht="54" x14ac:dyDescent="0.15">
      <c r="A136" s="1">
        <v>54</v>
      </c>
      <c r="B136" s="1" t="s">
        <v>58</v>
      </c>
      <c r="C136" s="1" t="s">
        <v>59</v>
      </c>
      <c r="D136" s="1" t="s">
        <v>1</v>
      </c>
      <c r="E136" s="6"/>
      <c r="F136" s="6">
        <v>15</v>
      </c>
      <c r="G136" s="6"/>
      <c r="H136" s="6">
        <v>15</v>
      </c>
      <c r="I136" s="6"/>
      <c r="J136" s="6"/>
      <c r="K136" s="6"/>
      <c r="L136" s="6"/>
      <c r="M136" s="6"/>
      <c r="N136" s="6"/>
      <c r="O136" s="6"/>
      <c r="P136" s="32"/>
      <c r="Q136" s="32"/>
      <c r="R136" s="32"/>
      <c r="S136" s="32"/>
      <c r="T136" s="32"/>
      <c r="U136" s="32"/>
      <c r="V136" s="32"/>
      <c r="W136" s="32"/>
      <c r="X136" s="32"/>
      <c r="Y136" s="32"/>
      <c r="Z136" s="32"/>
      <c r="AA136" s="32"/>
      <c r="AB136" s="32"/>
      <c r="AC136" s="32"/>
      <c r="AD136" s="32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/>
      <c r="AR136" s="4"/>
      <c r="AS136" s="4"/>
      <c r="AT136" s="4"/>
      <c r="AU136" s="4"/>
      <c r="AV136" s="4">
        <v>15</v>
      </c>
      <c r="AW136" s="2"/>
      <c r="AX136" s="2"/>
      <c r="AY136" s="2"/>
      <c r="AZ136" s="2"/>
      <c r="BA136" s="2">
        <v>15</v>
      </c>
      <c r="BB136" s="2"/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>
        <f t="shared" si="62"/>
        <v>60</v>
      </c>
      <c r="BQ136" s="1">
        <v>50</v>
      </c>
      <c r="BR136" s="17">
        <v>4</v>
      </c>
      <c r="BS136" s="17" t="s">
        <v>305</v>
      </c>
      <c r="BT136" s="1" t="str">
        <f t="shared" si="63"/>
        <v/>
      </c>
      <c r="BU136" s="1" t="str">
        <f t="shared" si="64"/>
        <v/>
      </c>
      <c r="BV136" s="1" t="str">
        <f t="shared" si="65"/>
        <v/>
      </c>
      <c r="BW136" s="1" t="str">
        <f t="shared" si="66"/>
        <v/>
      </c>
      <c r="BX136" s="1" t="str">
        <f t="shared" si="67"/>
        <v/>
      </c>
      <c r="BY136" s="1">
        <f t="shared" si="68"/>
        <v>7</v>
      </c>
      <c r="BZ136" s="1" t="str">
        <f t="shared" si="69"/>
        <v/>
      </c>
      <c r="CA136" s="1" t="str">
        <f t="shared" si="70"/>
        <v/>
      </c>
      <c r="CB136" s="1" t="str">
        <f t="shared" si="71"/>
        <v/>
      </c>
      <c r="CC136" s="1" t="str">
        <f t="shared" si="72"/>
        <v/>
      </c>
      <c r="CD136" s="1">
        <f t="shared" si="73"/>
        <v>14</v>
      </c>
      <c r="CE136" s="1" t="str">
        <f t="shared" si="74"/>
        <v/>
      </c>
      <c r="CF136" s="1">
        <f>COUNTIF(BT136:CE136, "&gt;0")</f>
        <v>2</v>
      </c>
      <c r="CG136" s="1" t="str">
        <f t="shared" ref="CG136:CR137" si="76">IF($CF136=1,BT136,"")</f>
        <v/>
      </c>
      <c r="CH136" s="1" t="str">
        <f t="shared" si="76"/>
        <v/>
      </c>
      <c r="CI136" s="1" t="str">
        <f t="shared" si="76"/>
        <v/>
      </c>
      <c r="CJ136" s="1" t="str">
        <f t="shared" si="76"/>
        <v/>
      </c>
      <c r="CK136" s="1" t="str">
        <f t="shared" si="76"/>
        <v/>
      </c>
      <c r="CL136" s="1" t="str">
        <f t="shared" si="76"/>
        <v/>
      </c>
      <c r="CM136" s="1" t="str">
        <f t="shared" si="76"/>
        <v/>
      </c>
      <c r="CN136" s="1" t="str">
        <f t="shared" si="76"/>
        <v/>
      </c>
      <c r="CO136" s="1" t="str">
        <f t="shared" si="76"/>
        <v/>
      </c>
      <c r="CP136" s="1" t="str">
        <f t="shared" si="76"/>
        <v/>
      </c>
      <c r="CQ136" s="1" t="str">
        <f t="shared" si="76"/>
        <v/>
      </c>
      <c r="CR136" s="1" t="str">
        <f t="shared" si="76"/>
        <v/>
      </c>
      <c r="CS136" s="18">
        <f>SUM(AE136:BO136)</f>
        <v>30</v>
      </c>
    </row>
    <row r="137" spans="1:97" ht="54" x14ac:dyDescent="0.15">
      <c r="A137" s="1">
        <v>23</v>
      </c>
      <c r="B137" s="1" t="s">
        <v>106</v>
      </c>
      <c r="C137" s="1" t="s">
        <v>31</v>
      </c>
      <c r="D137" s="1" t="s">
        <v>39</v>
      </c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32"/>
      <c r="Q137" s="32"/>
      <c r="R137" s="32"/>
      <c r="S137" s="32"/>
      <c r="T137" s="32"/>
      <c r="U137" s="32"/>
      <c r="V137" s="32"/>
      <c r="W137" s="32"/>
      <c r="X137" s="32"/>
      <c r="Y137" s="32"/>
      <c r="Z137" s="32"/>
      <c r="AA137" s="32"/>
      <c r="AB137" s="32"/>
      <c r="AC137" s="32"/>
      <c r="AD137" s="32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/>
      <c r="AR137" s="4"/>
      <c r="AS137" s="4"/>
      <c r="AT137" s="4"/>
      <c r="AU137" s="4"/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>
        <v>50</v>
      </c>
      <c r="BK137" s="1">
        <v>50</v>
      </c>
      <c r="BL137" s="1"/>
      <c r="BM137" s="1"/>
      <c r="BN137" s="1">
        <v>50</v>
      </c>
      <c r="BO137" s="1">
        <v>50</v>
      </c>
      <c r="BP137" s="1">
        <f t="shared" si="62"/>
        <v>200</v>
      </c>
      <c r="BQ137" s="1">
        <v>174</v>
      </c>
      <c r="BR137" s="17">
        <v>4</v>
      </c>
      <c r="BS137" s="17" t="s">
        <v>308</v>
      </c>
      <c r="BT137" s="1" t="str">
        <f t="shared" si="63"/>
        <v/>
      </c>
      <c r="BU137" s="1" t="str">
        <f t="shared" si="64"/>
        <v/>
      </c>
      <c r="BV137" s="1" t="str">
        <f t="shared" si="65"/>
        <v/>
      </c>
      <c r="BW137" s="1" t="str">
        <f t="shared" si="66"/>
        <v/>
      </c>
      <c r="BX137" s="1" t="str">
        <f t="shared" si="67"/>
        <v/>
      </c>
      <c r="BY137" s="1" t="str">
        <f t="shared" si="68"/>
        <v/>
      </c>
      <c r="BZ137" s="1" t="str">
        <f t="shared" si="69"/>
        <v/>
      </c>
      <c r="CA137" s="1" t="str">
        <f t="shared" si="70"/>
        <v/>
      </c>
      <c r="CB137" s="1" t="str">
        <f t="shared" si="71"/>
        <v/>
      </c>
      <c r="CC137" s="1" t="str">
        <f t="shared" si="72"/>
        <v/>
      </c>
      <c r="CD137" s="1" t="str">
        <f t="shared" si="73"/>
        <v/>
      </c>
      <c r="CE137" s="1" t="str">
        <f t="shared" si="74"/>
        <v/>
      </c>
      <c r="CF137" s="1">
        <f>COUNTIF(BT137:CE137, "&gt;0")</f>
        <v>0</v>
      </c>
      <c r="CG137" s="1" t="str">
        <f t="shared" si="76"/>
        <v/>
      </c>
      <c r="CH137" s="1" t="str">
        <f t="shared" si="76"/>
        <v/>
      </c>
      <c r="CI137" s="1" t="str">
        <f t="shared" si="76"/>
        <v/>
      </c>
      <c r="CJ137" s="1" t="str">
        <f t="shared" si="76"/>
        <v/>
      </c>
      <c r="CK137" s="1" t="str">
        <f t="shared" si="76"/>
        <v/>
      </c>
      <c r="CL137" s="1" t="str">
        <f t="shared" si="76"/>
        <v/>
      </c>
      <c r="CM137" s="1" t="str">
        <f t="shared" si="76"/>
        <v/>
      </c>
      <c r="CN137" s="1" t="str">
        <f t="shared" si="76"/>
        <v/>
      </c>
      <c r="CO137" s="1" t="str">
        <f t="shared" si="76"/>
        <v/>
      </c>
      <c r="CP137" s="1" t="str">
        <f t="shared" si="76"/>
        <v/>
      </c>
      <c r="CQ137" s="1" t="str">
        <f t="shared" si="76"/>
        <v/>
      </c>
      <c r="CR137" s="1" t="str">
        <f t="shared" si="76"/>
        <v/>
      </c>
      <c r="CS137" s="18">
        <f>SUM(AE137:BO137)</f>
        <v>200</v>
      </c>
    </row>
    <row r="138" spans="1:97" ht="54" x14ac:dyDescent="0.15">
      <c r="A138" s="1"/>
      <c r="B138" s="1" t="s">
        <v>186</v>
      </c>
      <c r="C138" s="1" t="s">
        <v>122</v>
      </c>
      <c r="D138" s="1" t="s">
        <v>123</v>
      </c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32"/>
      <c r="Q138" s="32"/>
      <c r="R138" s="32"/>
      <c r="S138" s="32"/>
      <c r="T138" s="32"/>
      <c r="U138" s="32"/>
      <c r="V138" s="32"/>
      <c r="W138" s="32"/>
      <c r="X138" s="32"/>
      <c r="Y138" s="32"/>
      <c r="Z138" s="32"/>
      <c r="AA138" s="32"/>
      <c r="AB138" s="32"/>
      <c r="AC138" s="32"/>
      <c r="AD138" s="32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4"/>
      <c r="AR138" s="4"/>
      <c r="AS138" s="4"/>
      <c r="AT138" s="4"/>
      <c r="AU138" s="4"/>
      <c r="AV138" s="4"/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>
        <v>50</v>
      </c>
      <c r="BK138" s="1">
        <v>50</v>
      </c>
      <c r="BL138" s="1"/>
      <c r="BM138" s="1"/>
      <c r="BN138" s="1">
        <v>50</v>
      </c>
      <c r="BO138" s="1">
        <v>50</v>
      </c>
      <c r="BP138" s="1">
        <f t="shared" si="62"/>
        <v>200</v>
      </c>
      <c r="BQ138" s="1">
        <v>174</v>
      </c>
      <c r="BR138" s="17">
        <v>4</v>
      </c>
      <c r="BS138" s="17" t="s">
        <v>308</v>
      </c>
      <c r="BT138" s="1" t="str">
        <f t="shared" si="63"/>
        <v/>
      </c>
      <c r="BU138" s="1" t="str">
        <f t="shared" si="64"/>
        <v/>
      </c>
      <c r="BV138" s="1" t="str">
        <f t="shared" si="65"/>
        <v/>
      </c>
      <c r="BW138" s="1" t="str">
        <f t="shared" si="66"/>
        <v/>
      </c>
      <c r="BX138" s="1" t="str">
        <f t="shared" si="67"/>
        <v/>
      </c>
      <c r="BY138" s="1" t="str">
        <f t="shared" si="68"/>
        <v/>
      </c>
      <c r="BZ138" s="1" t="str">
        <f t="shared" si="69"/>
        <v/>
      </c>
      <c r="CA138" s="1" t="str">
        <f t="shared" si="70"/>
        <v/>
      </c>
      <c r="CB138" s="1" t="str">
        <f t="shared" si="71"/>
        <v/>
      </c>
      <c r="CC138" s="1" t="str">
        <f t="shared" si="72"/>
        <v/>
      </c>
      <c r="CD138" s="1" t="str">
        <f t="shared" si="73"/>
        <v/>
      </c>
      <c r="CE138" s="1" t="str">
        <f t="shared" si="74"/>
        <v/>
      </c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8"/>
    </row>
    <row r="139" spans="1:97" ht="54" x14ac:dyDescent="0.15">
      <c r="A139" s="1"/>
      <c r="B139" s="1" t="s">
        <v>184</v>
      </c>
      <c r="C139" s="1" t="s">
        <v>157</v>
      </c>
      <c r="D139" s="1" t="s">
        <v>39</v>
      </c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32"/>
      <c r="Q139" s="32"/>
      <c r="R139" s="32"/>
      <c r="S139" s="32"/>
      <c r="T139" s="32"/>
      <c r="U139" s="32"/>
      <c r="V139" s="32"/>
      <c r="W139" s="32"/>
      <c r="X139" s="32"/>
      <c r="Y139" s="32"/>
      <c r="Z139" s="32"/>
      <c r="AA139" s="32"/>
      <c r="AB139" s="32"/>
      <c r="AC139" s="32"/>
      <c r="AD139" s="32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/>
      <c r="AS139" s="4"/>
      <c r="AT139" s="4"/>
      <c r="AU139" s="4"/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>
        <v>50</v>
      </c>
      <c r="BK139" s="1">
        <v>50</v>
      </c>
      <c r="BL139" s="1"/>
      <c r="BM139" s="1"/>
      <c r="BN139" s="1">
        <v>50</v>
      </c>
      <c r="BO139" s="1">
        <v>50</v>
      </c>
      <c r="BP139" s="1">
        <f t="shared" si="62"/>
        <v>200</v>
      </c>
      <c r="BQ139" s="1">
        <v>174</v>
      </c>
      <c r="BR139" s="17">
        <v>4</v>
      </c>
      <c r="BS139" s="17" t="s">
        <v>308</v>
      </c>
      <c r="BT139" s="1" t="str">
        <f t="shared" si="63"/>
        <v/>
      </c>
      <c r="BU139" s="1" t="str">
        <f t="shared" si="64"/>
        <v/>
      </c>
      <c r="BV139" s="1" t="str">
        <f t="shared" si="65"/>
        <v/>
      </c>
      <c r="BW139" s="1" t="str">
        <f t="shared" si="66"/>
        <v/>
      </c>
      <c r="BX139" s="1" t="str">
        <f t="shared" si="67"/>
        <v/>
      </c>
      <c r="BY139" s="1" t="str">
        <f t="shared" si="68"/>
        <v/>
      </c>
      <c r="BZ139" s="1" t="str">
        <f t="shared" si="69"/>
        <v/>
      </c>
      <c r="CA139" s="1" t="str">
        <f t="shared" si="70"/>
        <v/>
      </c>
      <c r="CB139" s="1" t="str">
        <f t="shared" si="71"/>
        <v/>
      </c>
      <c r="CC139" s="1" t="str">
        <f t="shared" si="72"/>
        <v/>
      </c>
      <c r="CD139" s="1" t="str">
        <f t="shared" si="73"/>
        <v/>
      </c>
      <c r="CE139" s="1" t="str">
        <f t="shared" si="74"/>
        <v/>
      </c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8"/>
    </row>
    <row r="140" spans="1:97" ht="54" x14ac:dyDescent="0.15">
      <c r="A140" s="1">
        <v>102</v>
      </c>
      <c r="B140" s="3" t="s">
        <v>104</v>
      </c>
      <c r="C140" s="3" t="s">
        <v>73</v>
      </c>
      <c r="D140" s="1" t="s">
        <v>39</v>
      </c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32"/>
      <c r="Q140" s="32"/>
      <c r="R140" s="32"/>
      <c r="S140" s="32"/>
      <c r="T140" s="32"/>
      <c r="U140" s="32"/>
      <c r="V140" s="32"/>
      <c r="W140" s="32"/>
      <c r="X140" s="32"/>
      <c r="Y140" s="32"/>
      <c r="Z140" s="32"/>
      <c r="AA140" s="32"/>
      <c r="AB140" s="32"/>
      <c r="AC140" s="32"/>
      <c r="AD140" s="32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/>
      <c r="AS140" s="4"/>
      <c r="AT140" s="4"/>
      <c r="AU140" s="4"/>
      <c r="AV140" s="4"/>
      <c r="AW140" s="2"/>
      <c r="AX140" s="2"/>
      <c r="AY140" s="2"/>
      <c r="AZ140" s="2"/>
      <c r="BA140" s="2"/>
      <c r="BB140" s="2"/>
      <c r="BC140" s="14"/>
      <c r="BD140" s="1"/>
      <c r="BE140" s="1"/>
      <c r="BF140" s="1"/>
      <c r="BG140" s="1"/>
      <c r="BH140" s="1"/>
      <c r="BI140" s="1"/>
      <c r="BJ140" s="1">
        <v>50</v>
      </c>
      <c r="BK140" s="1">
        <v>50</v>
      </c>
      <c r="BL140" s="1"/>
      <c r="BM140" s="1"/>
      <c r="BN140" s="1">
        <v>50</v>
      </c>
      <c r="BO140" s="1">
        <v>50</v>
      </c>
      <c r="BP140" s="1">
        <f t="shared" si="62"/>
        <v>200</v>
      </c>
      <c r="BQ140" s="1">
        <v>174</v>
      </c>
      <c r="BR140" s="17">
        <v>4</v>
      </c>
      <c r="BS140" s="17" t="s">
        <v>308</v>
      </c>
      <c r="BT140" s="1" t="str">
        <f t="shared" si="63"/>
        <v/>
      </c>
      <c r="BU140" s="1" t="str">
        <f t="shared" si="64"/>
        <v/>
      </c>
      <c r="BV140" s="1" t="str">
        <f t="shared" si="65"/>
        <v/>
      </c>
      <c r="BW140" s="1" t="str">
        <f t="shared" si="66"/>
        <v/>
      </c>
      <c r="BX140" s="1" t="str">
        <f t="shared" si="67"/>
        <v/>
      </c>
      <c r="BY140" s="1" t="str">
        <f t="shared" si="68"/>
        <v/>
      </c>
      <c r="BZ140" s="1" t="str">
        <f t="shared" si="69"/>
        <v/>
      </c>
      <c r="CA140" s="1" t="str">
        <f t="shared" si="70"/>
        <v/>
      </c>
      <c r="CB140" s="1" t="str">
        <f t="shared" si="71"/>
        <v/>
      </c>
      <c r="CC140" s="1" t="str">
        <f t="shared" si="72"/>
        <v/>
      </c>
      <c r="CD140" s="1" t="str">
        <f t="shared" si="73"/>
        <v/>
      </c>
      <c r="CE140" s="1" t="str">
        <f t="shared" si="74"/>
        <v/>
      </c>
      <c r="CF140" s="1">
        <f>COUNTIF(BT140:CE140, "&gt;0")</f>
        <v>0</v>
      </c>
      <c r="CG140" s="1" t="str">
        <f t="shared" ref="CG140:CR141" si="77">IF($CF140=1,BT140,"")</f>
        <v/>
      </c>
      <c r="CH140" s="1" t="str">
        <f t="shared" si="77"/>
        <v/>
      </c>
      <c r="CI140" s="1" t="str">
        <f t="shared" si="77"/>
        <v/>
      </c>
      <c r="CJ140" s="1" t="str">
        <f t="shared" si="77"/>
        <v/>
      </c>
      <c r="CK140" s="1" t="str">
        <f t="shared" si="77"/>
        <v/>
      </c>
      <c r="CL140" s="1" t="str">
        <f t="shared" si="77"/>
        <v/>
      </c>
      <c r="CM140" s="1" t="str">
        <f t="shared" si="77"/>
        <v/>
      </c>
      <c r="CN140" s="1" t="str">
        <f t="shared" si="77"/>
        <v/>
      </c>
      <c r="CO140" s="1" t="str">
        <f t="shared" si="77"/>
        <v/>
      </c>
      <c r="CP140" s="1" t="str">
        <f t="shared" si="77"/>
        <v/>
      </c>
      <c r="CQ140" s="1" t="str">
        <f t="shared" si="77"/>
        <v/>
      </c>
      <c r="CR140" s="1" t="str">
        <f t="shared" si="77"/>
        <v/>
      </c>
      <c r="CS140" s="18">
        <f>SUM(AE140:BO140)</f>
        <v>200</v>
      </c>
    </row>
    <row r="141" spans="1:97" ht="54" x14ac:dyDescent="0.15">
      <c r="A141" s="1">
        <v>85</v>
      </c>
      <c r="B141" s="3" t="s">
        <v>72</v>
      </c>
      <c r="C141" s="3" t="s">
        <v>67</v>
      </c>
      <c r="D141" s="1" t="s">
        <v>39</v>
      </c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32"/>
      <c r="Q141" s="32"/>
      <c r="R141" s="32"/>
      <c r="S141" s="32"/>
      <c r="T141" s="32"/>
      <c r="U141" s="32"/>
      <c r="V141" s="32"/>
      <c r="W141" s="32"/>
      <c r="X141" s="32"/>
      <c r="Y141" s="32"/>
      <c r="Z141" s="32"/>
      <c r="AA141" s="32"/>
      <c r="AB141" s="32"/>
      <c r="AC141" s="32"/>
      <c r="AD141" s="32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4"/>
      <c r="AR141" s="4"/>
      <c r="AS141" s="4"/>
      <c r="AT141" s="4"/>
      <c r="AU141" s="4"/>
      <c r="AV141" s="4"/>
      <c r="AW141" s="2"/>
      <c r="AX141" s="2"/>
      <c r="AY141" s="2"/>
      <c r="AZ141" s="2"/>
      <c r="BA141" s="2"/>
      <c r="BB141" s="2"/>
      <c r="BC141" s="14"/>
      <c r="BD141" s="1"/>
      <c r="BE141" s="1"/>
      <c r="BF141" s="1"/>
      <c r="BG141" s="1"/>
      <c r="BH141" s="1"/>
      <c r="BI141" s="1"/>
      <c r="BJ141" s="1"/>
      <c r="BK141" s="1"/>
      <c r="BL141" s="1">
        <v>50</v>
      </c>
      <c r="BM141" s="1">
        <v>50</v>
      </c>
      <c r="BN141" s="1">
        <v>50</v>
      </c>
      <c r="BO141" s="1">
        <v>50</v>
      </c>
      <c r="BP141" s="1">
        <f t="shared" si="62"/>
        <v>200</v>
      </c>
      <c r="BQ141" s="1">
        <v>175</v>
      </c>
      <c r="BR141" s="17">
        <v>4</v>
      </c>
      <c r="BS141" s="17" t="s">
        <v>309</v>
      </c>
      <c r="BT141" s="1" t="str">
        <f t="shared" si="63"/>
        <v/>
      </c>
      <c r="BU141" s="1" t="str">
        <f t="shared" si="64"/>
        <v/>
      </c>
      <c r="BV141" s="1" t="str">
        <f t="shared" si="65"/>
        <v/>
      </c>
      <c r="BW141" s="1" t="str">
        <f t="shared" si="66"/>
        <v/>
      </c>
      <c r="BX141" s="1" t="str">
        <f t="shared" si="67"/>
        <v/>
      </c>
      <c r="BY141" s="1" t="str">
        <f t="shared" si="68"/>
        <v/>
      </c>
      <c r="BZ141" s="1" t="str">
        <f t="shared" si="69"/>
        <v/>
      </c>
      <c r="CA141" s="1" t="str">
        <f t="shared" si="70"/>
        <v/>
      </c>
      <c r="CB141" s="1" t="str">
        <f t="shared" si="71"/>
        <v/>
      </c>
      <c r="CC141" s="1" t="str">
        <f t="shared" si="72"/>
        <v/>
      </c>
      <c r="CD141" s="1" t="str">
        <f t="shared" si="73"/>
        <v/>
      </c>
      <c r="CE141" s="1" t="str">
        <f t="shared" si="74"/>
        <v/>
      </c>
      <c r="CF141" s="1">
        <f>COUNTIF(BT141:CE141, "&gt;0")</f>
        <v>0</v>
      </c>
      <c r="CG141" s="1" t="str">
        <f t="shared" si="77"/>
        <v/>
      </c>
      <c r="CH141" s="1" t="str">
        <f t="shared" si="77"/>
        <v/>
      </c>
      <c r="CI141" s="1" t="str">
        <f t="shared" si="77"/>
        <v/>
      </c>
      <c r="CJ141" s="1" t="str">
        <f t="shared" si="77"/>
        <v/>
      </c>
      <c r="CK141" s="1" t="str">
        <f t="shared" si="77"/>
        <v/>
      </c>
      <c r="CL141" s="1" t="str">
        <f t="shared" si="77"/>
        <v/>
      </c>
      <c r="CM141" s="1" t="str">
        <f t="shared" si="77"/>
        <v/>
      </c>
      <c r="CN141" s="1" t="str">
        <f t="shared" si="77"/>
        <v/>
      </c>
      <c r="CO141" s="1" t="str">
        <f t="shared" si="77"/>
        <v/>
      </c>
      <c r="CP141" s="1" t="str">
        <f t="shared" si="77"/>
        <v/>
      </c>
      <c r="CQ141" s="1" t="str">
        <f t="shared" si="77"/>
        <v/>
      </c>
      <c r="CR141" s="1" t="str">
        <f t="shared" si="77"/>
        <v/>
      </c>
      <c r="CS141" s="18">
        <f>SUM(AE141:BO141)</f>
        <v>200</v>
      </c>
    </row>
    <row r="142" spans="1:97" ht="54" x14ac:dyDescent="0.15">
      <c r="A142" s="1"/>
      <c r="B142" s="1" t="s">
        <v>203</v>
      </c>
      <c r="C142" s="1" t="s">
        <v>126</v>
      </c>
      <c r="D142" s="1" t="s">
        <v>123</v>
      </c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32"/>
      <c r="Q142" s="32"/>
      <c r="R142" s="32"/>
      <c r="S142" s="32"/>
      <c r="T142" s="32"/>
      <c r="U142" s="32"/>
      <c r="V142" s="32"/>
      <c r="W142" s="32"/>
      <c r="X142" s="32"/>
      <c r="Y142" s="32"/>
      <c r="Z142" s="32"/>
      <c r="AA142" s="32"/>
      <c r="AB142" s="32"/>
      <c r="AC142" s="32"/>
      <c r="AD142" s="32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/>
      <c r="AR142" s="4"/>
      <c r="AS142" s="4"/>
      <c r="AT142" s="4"/>
      <c r="AU142" s="4"/>
      <c r="AV142" s="4"/>
      <c r="AW142" s="2"/>
      <c r="AX142" s="2"/>
      <c r="AY142" s="2"/>
      <c r="AZ142" s="2"/>
      <c r="BA142" s="2"/>
      <c r="BB142" s="2"/>
      <c r="BC142" s="14"/>
      <c r="BD142" s="1"/>
      <c r="BE142" s="1"/>
      <c r="BF142" s="1"/>
      <c r="BG142" s="1"/>
      <c r="BH142" s="1"/>
      <c r="BI142" s="1"/>
      <c r="BJ142" s="1"/>
      <c r="BK142" s="1"/>
      <c r="BL142" s="1">
        <v>50</v>
      </c>
      <c r="BM142" s="1">
        <v>50</v>
      </c>
      <c r="BN142" s="1">
        <v>50</v>
      </c>
      <c r="BO142" s="1">
        <v>50</v>
      </c>
      <c r="BP142" s="1">
        <f t="shared" si="62"/>
        <v>200</v>
      </c>
      <c r="BQ142" s="1">
        <v>175</v>
      </c>
      <c r="BR142" s="17">
        <v>4</v>
      </c>
      <c r="BS142" s="17" t="s">
        <v>309</v>
      </c>
      <c r="BT142" s="1" t="str">
        <f t="shared" si="63"/>
        <v/>
      </c>
      <c r="BU142" s="1" t="str">
        <f t="shared" si="64"/>
        <v/>
      </c>
      <c r="BV142" s="1" t="str">
        <f t="shared" si="65"/>
        <v/>
      </c>
      <c r="BW142" s="1" t="str">
        <f t="shared" si="66"/>
        <v/>
      </c>
      <c r="BX142" s="1" t="str">
        <f t="shared" si="67"/>
        <v/>
      </c>
      <c r="BY142" s="1" t="str">
        <f t="shared" si="68"/>
        <v/>
      </c>
      <c r="BZ142" s="1" t="str">
        <f t="shared" si="69"/>
        <v/>
      </c>
      <c r="CA142" s="1" t="str">
        <f t="shared" si="70"/>
        <v/>
      </c>
      <c r="CB142" s="1" t="str">
        <f t="shared" si="71"/>
        <v/>
      </c>
      <c r="CC142" s="1" t="str">
        <f t="shared" si="72"/>
        <v/>
      </c>
      <c r="CD142" s="1" t="str">
        <f t="shared" si="73"/>
        <v/>
      </c>
      <c r="CE142" s="1" t="str">
        <f t="shared" si="74"/>
        <v/>
      </c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8"/>
    </row>
    <row r="143" spans="1:97" ht="54" x14ac:dyDescent="0.15">
      <c r="A143" s="1"/>
      <c r="B143" s="1" t="s">
        <v>204</v>
      </c>
      <c r="C143" s="1" t="s">
        <v>126</v>
      </c>
      <c r="D143" s="1" t="s">
        <v>123</v>
      </c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32"/>
      <c r="Q143" s="32"/>
      <c r="R143" s="32"/>
      <c r="S143" s="32"/>
      <c r="T143" s="32"/>
      <c r="U143" s="32"/>
      <c r="V143" s="32"/>
      <c r="W143" s="32"/>
      <c r="X143" s="32"/>
      <c r="Y143" s="32"/>
      <c r="Z143" s="32"/>
      <c r="AA143" s="32"/>
      <c r="AB143" s="32"/>
      <c r="AC143" s="32"/>
      <c r="AD143" s="32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/>
      <c r="AS143" s="4"/>
      <c r="AT143" s="4"/>
      <c r="AU143" s="4"/>
      <c r="AV143" s="4"/>
      <c r="AW143" s="2"/>
      <c r="AX143" s="2"/>
      <c r="AY143" s="2"/>
      <c r="AZ143" s="2"/>
      <c r="BA143" s="2"/>
      <c r="BB143" s="2"/>
      <c r="BC143" s="14"/>
      <c r="BD143" s="1"/>
      <c r="BE143" s="1"/>
      <c r="BF143" s="1"/>
      <c r="BG143" s="1"/>
      <c r="BH143" s="1"/>
      <c r="BI143" s="1"/>
      <c r="BJ143" s="1"/>
      <c r="BK143" s="1"/>
      <c r="BL143" s="1">
        <v>50</v>
      </c>
      <c r="BM143" s="1">
        <v>50</v>
      </c>
      <c r="BN143" s="1">
        <v>50</v>
      </c>
      <c r="BO143" s="1">
        <v>50</v>
      </c>
      <c r="BP143" s="1">
        <f t="shared" si="62"/>
        <v>200</v>
      </c>
      <c r="BQ143" s="1">
        <v>175</v>
      </c>
      <c r="BR143" s="17">
        <v>4</v>
      </c>
      <c r="BS143" s="17" t="s">
        <v>311</v>
      </c>
      <c r="BT143" s="1" t="str">
        <f t="shared" si="63"/>
        <v/>
      </c>
      <c r="BU143" s="1" t="str">
        <f t="shared" si="64"/>
        <v/>
      </c>
      <c r="BV143" s="1" t="str">
        <f t="shared" si="65"/>
        <v/>
      </c>
      <c r="BW143" s="1" t="str">
        <f t="shared" si="66"/>
        <v/>
      </c>
      <c r="BX143" s="1" t="str">
        <f t="shared" si="67"/>
        <v/>
      </c>
      <c r="BY143" s="1" t="str">
        <f t="shared" si="68"/>
        <v/>
      </c>
      <c r="BZ143" s="1" t="str">
        <f t="shared" si="69"/>
        <v/>
      </c>
      <c r="CA143" s="1" t="str">
        <f t="shared" si="70"/>
        <v/>
      </c>
      <c r="CB143" s="1" t="str">
        <f t="shared" si="71"/>
        <v/>
      </c>
      <c r="CC143" s="1" t="str">
        <f t="shared" si="72"/>
        <v/>
      </c>
      <c r="CD143" s="1" t="str">
        <f t="shared" si="73"/>
        <v/>
      </c>
      <c r="CE143" s="1" t="str">
        <f t="shared" si="74"/>
        <v/>
      </c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8"/>
    </row>
    <row r="144" spans="1:97" x14ac:dyDescent="0.15">
      <c r="A144" s="1"/>
      <c r="B144" s="1" t="s">
        <v>75</v>
      </c>
      <c r="C144" s="1"/>
      <c r="D144" s="1"/>
      <c r="E144" s="6">
        <f>SUM(E2:E143)</f>
        <v>168</v>
      </c>
      <c r="F144" s="6">
        <f>SUM(F2:F143)</f>
        <v>84</v>
      </c>
      <c r="G144" s="6">
        <f>SUM(G2:G143)</f>
        <v>209</v>
      </c>
      <c r="H144" s="6">
        <f>SUM(H2:H143)</f>
        <v>184</v>
      </c>
      <c r="I144" s="6">
        <f>SUM(I2:I143)</f>
        <v>53</v>
      </c>
      <c r="J144" s="6">
        <f>SUM(J2:J143)</f>
        <v>66</v>
      </c>
      <c r="K144" s="6">
        <f>SUM(K2:K143)</f>
        <v>30</v>
      </c>
      <c r="L144" s="6">
        <f>SUM(L2:L143)</f>
        <v>88</v>
      </c>
      <c r="M144" s="6">
        <f>SUM(M2:M143)</f>
        <v>42</v>
      </c>
      <c r="N144" s="6">
        <f>SUM(N2:N143)</f>
        <v>32</v>
      </c>
      <c r="O144" s="6">
        <f>SUM(O2:O143)</f>
        <v>89</v>
      </c>
      <c r="P144" s="32">
        <f>SUM(P2:P143)</f>
        <v>130</v>
      </c>
      <c r="Q144" s="32">
        <f>SUM(Q2:Q143)</f>
        <v>76</v>
      </c>
      <c r="R144" s="32">
        <f>SUM(R2:R143)</f>
        <v>83</v>
      </c>
      <c r="S144" s="32">
        <f>SUM(S2:S143)</f>
        <v>130</v>
      </c>
      <c r="T144" s="32">
        <f>SUM(T2:T143)</f>
        <v>61</v>
      </c>
      <c r="U144" s="32">
        <f>SUM(U2:U143)</f>
        <v>62</v>
      </c>
      <c r="V144" s="32">
        <f>SUM(V2:V143)</f>
        <v>135</v>
      </c>
      <c r="W144" s="32">
        <f>SUM(W2:W143)</f>
        <v>35</v>
      </c>
      <c r="X144" s="32">
        <f>SUM(X2:X143)</f>
        <v>59</v>
      </c>
      <c r="Y144" s="32">
        <f>SUM(Y2:Y143)</f>
        <v>125</v>
      </c>
      <c r="Z144" s="32">
        <f>SUM(Z2:Z143)</f>
        <v>50</v>
      </c>
      <c r="AA144" s="32">
        <f>SUM(AA2:AA143)</f>
        <v>35</v>
      </c>
      <c r="AB144" s="32">
        <f>SUM(AB2:AB143)</f>
        <v>140</v>
      </c>
      <c r="AC144" s="32">
        <f>SUM(AC2:AC143)</f>
        <v>30</v>
      </c>
      <c r="AD144" s="32">
        <f>SUM(AD2:AD143)</f>
        <v>22</v>
      </c>
      <c r="AE144" s="1">
        <f>SUM(AE2:AE143)</f>
        <v>265</v>
      </c>
      <c r="AF144" s="1">
        <f>SUM(AF2:AF143)</f>
        <v>10</v>
      </c>
      <c r="AG144" s="1">
        <f>SUM(AG2:AG143)</f>
        <v>15</v>
      </c>
      <c r="AH144" s="1">
        <f>SUM(AH2:AH143)</f>
        <v>30</v>
      </c>
      <c r="AI144" s="1">
        <f>SUM(AI2:AI143)</f>
        <v>30</v>
      </c>
      <c r="AJ144" s="1">
        <f>SUM(AJ2:AJ143)</f>
        <v>5</v>
      </c>
      <c r="AK144" s="1">
        <f>SUM(AK2:AK143)</f>
        <v>0</v>
      </c>
      <c r="AL144" s="1">
        <f>SUM(AL2:AL143)</f>
        <v>0</v>
      </c>
      <c r="AM144" s="1">
        <f>SUM(AM2:AM143)</f>
        <v>20</v>
      </c>
      <c r="AN144" s="1">
        <f>SUM(AN2:AN143)</f>
        <v>50</v>
      </c>
      <c r="AO144" s="1">
        <f>SUM(AO2:AO143)</f>
        <v>25</v>
      </c>
      <c r="AP144" s="1">
        <f>SUM(AP2:AP143)</f>
        <v>26</v>
      </c>
      <c r="AQ144" s="4">
        <f>SUM(AQ2:AQ143)</f>
        <v>100</v>
      </c>
      <c r="AR144" s="4">
        <f>SUM(AR2:AR143)</f>
        <v>115</v>
      </c>
      <c r="AS144" s="4">
        <f>SUM(AS2:AS143)</f>
        <v>80</v>
      </c>
      <c r="AT144" s="4">
        <f>SUM(AT2:AT143)</f>
        <v>93</v>
      </c>
      <c r="AU144" s="4">
        <f>SUM(AU2:AU143)</f>
        <v>48</v>
      </c>
      <c r="AV144" s="4">
        <f>SUM(AV2:AV143)</f>
        <v>125</v>
      </c>
      <c r="AW144" s="2">
        <f>SUM(AW2:AW143)</f>
        <v>123</v>
      </c>
      <c r="AX144" s="2">
        <f>SUM(AX2:AX143)</f>
        <v>80</v>
      </c>
      <c r="AY144" s="2">
        <f>SUM(AY2:AY143)</f>
        <v>43</v>
      </c>
      <c r="AZ144" s="2">
        <f>SUM(AZ2:AZ143)</f>
        <v>75</v>
      </c>
      <c r="BA144" s="2">
        <f>SUM(BA2:BA143)</f>
        <v>195</v>
      </c>
      <c r="BB144" s="2">
        <f>SUM(BB2:BB143)</f>
        <v>375</v>
      </c>
      <c r="BC144" s="1">
        <f>SUM(BC2:BC143)</f>
        <v>10</v>
      </c>
      <c r="BD144" s="1">
        <f>SUM(BD2:BD143)</f>
        <v>150</v>
      </c>
      <c r="BE144" s="1">
        <f>SUM(BE2:BE143)</f>
        <v>100</v>
      </c>
      <c r="BF144" s="1">
        <f>SUM(BF2:BF143)</f>
        <v>120</v>
      </c>
      <c r="BG144" s="1">
        <f>SUM(BG2:BG143)</f>
        <v>120</v>
      </c>
      <c r="BH144" s="1">
        <f>SUM(BH2:BH143)</f>
        <v>110</v>
      </c>
      <c r="BI144" s="1">
        <f>SUM(BI2:BI143)</f>
        <v>90</v>
      </c>
      <c r="BJ144" s="1">
        <f>SUM(BJ2:BJ143)</f>
        <v>200</v>
      </c>
      <c r="BK144" s="1">
        <f>SUM(BK2:BK143)</f>
        <v>200</v>
      </c>
      <c r="BL144" s="1">
        <f>SUM(BL2:BL143)</f>
        <v>150</v>
      </c>
      <c r="BM144" s="1">
        <f>SUM(BM2:BM143)</f>
        <v>150</v>
      </c>
      <c r="BN144" s="1">
        <f>SUM(BN2:BN143)</f>
        <v>350</v>
      </c>
      <c r="BO144" s="1">
        <f>SUM(BO2:BO143)</f>
        <v>350</v>
      </c>
      <c r="BP144" s="1"/>
      <c r="BQ144" s="1"/>
      <c r="BR144" s="17"/>
      <c r="BS144" s="17"/>
      <c r="BT144" s="1">
        <f>MIN(BT2:BT143)</f>
        <v>1</v>
      </c>
      <c r="BU144" s="1">
        <f>MIN(BU2:BU143)</f>
        <v>4</v>
      </c>
      <c r="BV144" s="1">
        <f>MIN(BV2:BV143)</f>
        <v>3</v>
      </c>
      <c r="BW144" s="1">
        <f>MIN(BW2:BW143)</f>
        <v>1</v>
      </c>
      <c r="BX144" s="1">
        <f>MIN(BX2:BX143)</f>
        <v>2</v>
      </c>
      <c r="BY144" s="1">
        <f>MIN(BY2:BY143)</f>
        <v>2</v>
      </c>
      <c r="BZ144" s="1">
        <f>MIN(BZ2:BZ143)</f>
        <v>1</v>
      </c>
      <c r="CA144" s="1">
        <f>MIN(CA2:CA143)</f>
        <v>0</v>
      </c>
      <c r="CB144" s="1">
        <f>MIN(CB2:CB143)</f>
        <v>2</v>
      </c>
      <c r="CC144" s="1">
        <f>MIN(CC2:CC143)</f>
        <v>10</v>
      </c>
      <c r="CD144" s="1">
        <f>MIN(CD2:CD143)</f>
        <v>4</v>
      </c>
      <c r="CE144" s="1">
        <f>MIN(CE2:CE143)</f>
        <v>0</v>
      </c>
      <c r="CF144" s="1"/>
      <c r="CG144" s="1">
        <f>MIN(CG2:CG143)</f>
        <v>1</v>
      </c>
      <c r="CH144" s="1">
        <f>MIN(CH2:CH143)</f>
        <v>4</v>
      </c>
      <c r="CI144" s="1">
        <f>MIN(CI2:CI143)</f>
        <v>3</v>
      </c>
      <c r="CJ144" s="1">
        <f>MIN(CJ2:CJ143)</f>
        <v>0</v>
      </c>
      <c r="CK144" s="1">
        <f>MIN(CK2:CK143)</f>
        <v>2</v>
      </c>
      <c r="CL144" s="1">
        <f>MIN(CL2:CL143)</f>
        <v>2</v>
      </c>
      <c r="CM144" s="1">
        <f>MIN(CM2:CM143)</f>
        <v>0</v>
      </c>
      <c r="CN144" s="1">
        <f>MIN(CN2:CN143)</f>
        <v>0</v>
      </c>
      <c r="CO144" s="1">
        <f>MIN(CO2:CO143)</f>
        <v>0</v>
      </c>
      <c r="CP144" s="1">
        <f>MIN(CP2:CP143)</f>
        <v>15</v>
      </c>
      <c r="CQ144" s="1">
        <f>MIN(CQ2:CQ143)</f>
        <v>4</v>
      </c>
      <c r="CR144" s="1">
        <f>MIN(CR2:CR143)</f>
        <v>0</v>
      </c>
      <c r="CS144" s="18">
        <f>COUNTIF(CS2:CS143,"=0")</f>
        <v>3</v>
      </c>
    </row>
    <row r="145" spans="1:97" x14ac:dyDescent="0.15">
      <c r="A145" s="1"/>
      <c r="B145" s="3" t="s">
        <v>96</v>
      </c>
      <c r="C145" s="1"/>
      <c r="D145" s="1"/>
      <c r="E145" s="1">
        <v>12</v>
      </c>
      <c r="F145" s="1">
        <v>1</v>
      </c>
      <c r="G145" s="1">
        <v>0</v>
      </c>
      <c r="H145" s="1">
        <v>0</v>
      </c>
      <c r="I145" s="1">
        <v>28</v>
      </c>
      <c r="J145" s="1">
        <v>27</v>
      </c>
      <c r="K145" s="1">
        <v>4</v>
      </c>
      <c r="L145" s="1">
        <v>35</v>
      </c>
      <c r="M145" s="1">
        <v>1</v>
      </c>
      <c r="N145" s="1">
        <v>13</v>
      </c>
      <c r="O145" s="1">
        <v>2</v>
      </c>
      <c r="P145" s="14">
        <v>2</v>
      </c>
      <c r="Q145" s="14">
        <v>1</v>
      </c>
      <c r="R145" s="14">
        <v>2</v>
      </c>
      <c r="S145" s="14">
        <v>1</v>
      </c>
      <c r="T145" s="14">
        <v>5</v>
      </c>
      <c r="U145" s="14">
        <v>0</v>
      </c>
      <c r="V145" s="14">
        <v>2</v>
      </c>
      <c r="W145" s="14">
        <v>2</v>
      </c>
      <c r="X145" s="14">
        <v>6</v>
      </c>
      <c r="Y145" s="14">
        <v>0</v>
      </c>
      <c r="Z145" s="14">
        <v>1</v>
      </c>
      <c r="AA145" s="14">
        <v>1</v>
      </c>
      <c r="AB145" s="14">
        <v>8</v>
      </c>
      <c r="AC145" s="14">
        <v>2</v>
      </c>
      <c r="AD145" s="14">
        <v>4</v>
      </c>
      <c r="AE145" s="1">
        <v>5</v>
      </c>
      <c r="AF145" s="1">
        <v>0</v>
      </c>
      <c r="AG145" s="1">
        <v>0</v>
      </c>
      <c r="AH145" s="1">
        <v>0</v>
      </c>
      <c r="AI145" s="1">
        <v>0</v>
      </c>
      <c r="AJ145" s="1">
        <v>0</v>
      </c>
      <c r="AK145" s="1">
        <v>33</v>
      </c>
      <c r="AL145" s="1">
        <v>43</v>
      </c>
      <c r="AM145" s="1">
        <v>7</v>
      </c>
      <c r="AN145" s="1">
        <v>0</v>
      </c>
      <c r="AO145" s="1">
        <v>0</v>
      </c>
      <c r="AP145" s="1">
        <v>0</v>
      </c>
      <c r="AQ145" s="14">
        <v>9</v>
      </c>
      <c r="AR145" s="14">
        <v>6</v>
      </c>
      <c r="AS145" s="14">
        <v>2</v>
      </c>
      <c r="AT145" s="14">
        <v>7</v>
      </c>
      <c r="AU145" s="14">
        <v>6</v>
      </c>
      <c r="AV145" s="14">
        <v>8</v>
      </c>
      <c r="AW145" s="14">
        <v>19</v>
      </c>
      <c r="AX145" s="14">
        <v>25</v>
      </c>
      <c r="AY145" s="14">
        <v>13</v>
      </c>
      <c r="AZ145" s="14">
        <v>0</v>
      </c>
      <c r="BA145" s="14">
        <v>1</v>
      </c>
      <c r="BB145" s="14">
        <v>150</v>
      </c>
      <c r="BC145" s="14"/>
      <c r="BD145" s="1">
        <v>66</v>
      </c>
      <c r="BE145" s="1">
        <v>124</v>
      </c>
      <c r="BF145" s="1">
        <v>133</v>
      </c>
      <c r="BG145" s="1">
        <v>142</v>
      </c>
      <c r="BH145" s="1">
        <v>45</v>
      </c>
      <c r="BI145" s="1">
        <v>53</v>
      </c>
      <c r="BJ145" s="1">
        <v>13</v>
      </c>
      <c r="BK145" s="1">
        <v>13</v>
      </c>
      <c r="BL145" s="1">
        <v>25</v>
      </c>
      <c r="BM145" s="1"/>
      <c r="BN145" s="1"/>
      <c r="BO145" s="1"/>
      <c r="BP145" s="1"/>
      <c r="BQ145" s="1"/>
      <c r="BR145" s="17"/>
      <c r="BS145" s="17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34"/>
    </row>
    <row r="146" spans="1:97" x14ac:dyDescent="0.15">
      <c r="A146" s="1"/>
      <c r="B146" s="3" t="s">
        <v>103</v>
      </c>
      <c r="C146" s="1"/>
      <c r="D146" s="1"/>
      <c r="E146" s="1">
        <f t="shared" ref="E146:AJ146" si="78">E145-E144</f>
        <v>-156</v>
      </c>
      <c r="F146" s="1">
        <f t="shared" si="78"/>
        <v>-83</v>
      </c>
      <c r="G146" s="1">
        <f t="shared" si="78"/>
        <v>-209</v>
      </c>
      <c r="H146" s="1">
        <f t="shared" si="78"/>
        <v>-184</v>
      </c>
      <c r="I146" s="1">
        <f t="shared" si="78"/>
        <v>-25</v>
      </c>
      <c r="J146" s="1">
        <f t="shared" si="78"/>
        <v>-39</v>
      </c>
      <c r="K146" s="1">
        <f t="shared" si="78"/>
        <v>-26</v>
      </c>
      <c r="L146" s="1">
        <f t="shared" si="78"/>
        <v>-53</v>
      </c>
      <c r="M146" s="1">
        <f t="shared" si="78"/>
        <v>-41</v>
      </c>
      <c r="N146" s="1">
        <f t="shared" si="78"/>
        <v>-19</v>
      </c>
      <c r="O146" s="1">
        <f t="shared" si="78"/>
        <v>-87</v>
      </c>
      <c r="P146" s="1">
        <f t="shared" si="78"/>
        <v>-128</v>
      </c>
      <c r="Q146" s="1">
        <f t="shared" si="78"/>
        <v>-75</v>
      </c>
      <c r="R146" s="1">
        <f t="shared" si="78"/>
        <v>-81</v>
      </c>
      <c r="S146" s="1">
        <f t="shared" si="78"/>
        <v>-129</v>
      </c>
      <c r="T146" s="1">
        <f t="shared" si="78"/>
        <v>-56</v>
      </c>
      <c r="U146" s="1">
        <f t="shared" si="78"/>
        <v>-62</v>
      </c>
      <c r="V146" s="1">
        <f t="shared" si="78"/>
        <v>-133</v>
      </c>
      <c r="W146" s="1">
        <f t="shared" si="78"/>
        <v>-33</v>
      </c>
      <c r="X146" s="1">
        <f t="shared" si="78"/>
        <v>-53</v>
      </c>
      <c r="Y146" s="1">
        <f t="shared" si="78"/>
        <v>-125</v>
      </c>
      <c r="Z146" s="1">
        <f t="shared" si="78"/>
        <v>-49</v>
      </c>
      <c r="AA146" s="1">
        <f t="shared" si="78"/>
        <v>-34</v>
      </c>
      <c r="AB146" s="1">
        <f t="shared" si="78"/>
        <v>-132</v>
      </c>
      <c r="AC146" s="1">
        <f t="shared" si="78"/>
        <v>-28</v>
      </c>
      <c r="AD146" s="1">
        <f t="shared" si="78"/>
        <v>-18</v>
      </c>
      <c r="AE146" s="1">
        <f t="shared" si="78"/>
        <v>-260</v>
      </c>
      <c r="AF146" s="1">
        <f t="shared" si="78"/>
        <v>-10</v>
      </c>
      <c r="AG146" s="1">
        <f t="shared" si="78"/>
        <v>-15</v>
      </c>
      <c r="AH146" s="1">
        <f t="shared" si="78"/>
        <v>-30</v>
      </c>
      <c r="AI146" s="1">
        <f t="shared" si="78"/>
        <v>-30</v>
      </c>
      <c r="AJ146" s="1">
        <f t="shared" si="78"/>
        <v>-5</v>
      </c>
      <c r="AK146" s="1">
        <f t="shared" ref="AK146:BP146" si="79">AK145-AK144</f>
        <v>33</v>
      </c>
      <c r="AL146" s="1">
        <f t="shared" si="79"/>
        <v>43</v>
      </c>
      <c r="AM146" s="1">
        <f t="shared" si="79"/>
        <v>-13</v>
      </c>
      <c r="AN146" s="1">
        <f t="shared" si="79"/>
        <v>-50</v>
      </c>
      <c r="AO146" s="1">
        <f t="shared" si="79"/>
        <v>-25</v>
      </c>
      <c r="AP146" s="1">
        <f t="shared" si="79"/>
        <v>-26</v>
      </c>
      <c r="AQ146" s="1">
        <f t="shared" si="79"/>
        <v>-91</v>
      </c>
      <c r="AR146" s="1">
        <f t="shared" si="79"/>
        <v>-109</v>
      </c>
      <c r="AS146" s="1">
        <f t="shared" si="79"/>
        <v>-78</v>
      </c>
      <c r="AT146" s="1">
        <f t="shared" si="79"/>
        <v>-86</v>
      </c>
      <c r="AU146" s="1">
        <f t="shared" si="79"/>
        <v>-42</v>
      </c>
      <c r="AV146" s="1">
        <f t="shared" si="79"/>
        <v>-117</v>
      </c>
      <c r="AW146" s="1">
        <f t="shared" si="79"/>
        <v>-104</v>
      </c>
      <c r="AX146" s="1">
        <f t="shared" si="79"/>
        <v>-55</v>
      </c>
      <c r="AY146" s="1">
        <f t="shared" si="79"/>
        <v>-30</v>
      </c>
      <c r="AZ146" s="1">
        <f t="shared" si="79"/>
        <v>-75</v>
      </c>
      <c r="BA146" s="1">
        <f t="shared" si="79"/>
        <v>-194</v>
      </c>
      <c r="BB146" s="1">
        <f t="shared" si="79"/>
        <v>-225</v>
      </c>
      <c r="BC146" s="1">
        <f t="shared" si="79"/>
        <v>-10</v>
      </c>
      <c r="BD146" s="1">
        <f t="shared" si="79"/>
        <v>-84</v>
      </c>
      <c r="BE146" s="1">
        <f t="shared" si="79"/>
        <v>24</v>
      </c>
      <c r="BF146" s="1">
        <f t="shared" si="79"/>
        <v>13</v>
      </c>
      <c r="BG146" s="1">
        <f t="shared" si="79"/>
        <v>22</v>
      </c>
      <c r="BH146" s="1">
        <f t="shared" si="79"/>
        <v>-65</v>
      </c>
      <c r="BI146" s="1">
        <f t="shared" si="79"/>
        <v>-37</v>
      </c>
      <c r="BJ146" s="1">
        <f t="shared" si="79"/>
        <v>-187</v>
      </c>
      <c r="BK146" s="1">
        <f t="shared" si="79"/>
        <v>-187</v>
      </c>
      <c r="BL146" s="1">
        <f t="shared" si="79"/>
        <v>-125</v>
      </c>
      <c r="BM146" s="1">
        <f t="shared" si="79"/>
        <v>-150</v>
      </c>
      <c r="BN146" s="1">
        <f t="shared" si="79"/>
        <v>-350</v>
      </c>
      <c r="BO146" s="1">
        <f t="shared" si="79"/>
        <v>-350</v>
      </c>
      <c r="BP146" s="1"/>
      <c r="BQ146" s="1"/>
      <c r="BR146" s="17"/>
      <c r="BS146" s="17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34"/>
    </row>
  </sheetData>
  <autoFilter ref="A1:BP144"/>
  <sortState ref="A2:CS148">
    <sortCondition ref="BR2:BR148"/>
    <sortCondition ref="BQ2:BQ148"/>
  </sortState>
  <phoneticPr fontId="1" type="noConversion"/>
  <conditionalFormatting sqref="E34">
    <cfRule type="cellIs" dxfId="2" priority="4" operator="greaterThan">
      <formula>$E$145</formula>
    </cfRule>
  </conditionalFormatting>
  <conditionalFormatting sqref="E144">
    <cfRule type="cellIs" dxfId="1" priority="3" operator="greaterThan">
      <formula>$E$145</formula>
    </cfRule>
  </conditionalFormatting>
  <conditionalFormatting sqref="E146:BO14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8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148</xdr:row>
                    <xdr:rowOff>28575</xdr:rowOff>
                  </from>
                  <to>
                    <xdr:col>1</xdr:col>
                    <xdr:colOff>428625</xdr:colOff>
                    <xdr:row>149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93</v>
      </c>
      <c r="B1" s="5" t="s">
        <v>90</v>
      </c>
      <c r="C1" s="5" t="s">
        <v>94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60</v>
      </c>
      <c r="C3" s="1">
        <v>120</v>
      </c>
    </row>
    <row r="4" spans="1:3" x14ac:dyDescent="0.15">
      <c r="A4" s="1">
        <v>4</v>
      </c>
      <c r="B4" s="4" t="s">
        <v>61</v>
      </c>
      <c r="C4" s="1">
        <v>85</v>
      </c>
    </row>
    <row r="5" spans="1:3" x14ac:dyDescent="0.15">
      <c r="A5" s="1">
        <v>3</v>
      </c>
      <c r="B5" s="4" t="s">
        <v>49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33</v>
      </c>
      <c r="C10" s="1">
        <v>45</v>
      </c>
    </row>
    <row r="11" spans="1:3" x14ac:dyDescent="0.15">
      <c r="A11" s="1">
        <v>5</v>
      </c>
      <c r="B11" s="4" t="s">
        <v>68</v>
      </c>
      <c r="C11" s="1">
        <v>45</v>
      </c>
    </row>
    <row r="12" spans="1:3" x14ac:dyDescent="0.15">
      <c r="A12" s="1">
        <v>11</v>
      </c>
      <c r="B12" s="2" t="s">
        <v>50</v>
      </c>
      <c r="C12" s="1">
        <v>10</v>
      </c>
    </row>
    <row r="13" spans="1:3" x14ac:dyDescent="0.15">
      <c r="A13" s="1">
        <v>6</v>
      </c>
      <c r="B13" s="4" t="s">
        <v>74</v>
      </c>
      <c r="C13" s="1">
        <v>8</v>
      </c>
    </row>
    <row r="19" spans="7:18" x14ac:dyDescent="0.15">
      <c r="G19" s="10" t="s">
        <v>49</v>
      </c>
      <c r="H19" s="10" t="s">
        <v>5</v>
      </c>
      <c r="I19" s="10" t="s">
        <v>33</v>
      </c>
      <c r="J19" s="10" t="s">
        <v>68</v>
      </c>
      <c r="K19" s="10" t="s">
        <v>74</v>
      </c>
      <c r="L19" s="10" t="s">
        <v>61</v>
      </c>
      <c r="M19" s="11" t="s">
        <v>6</v>
      </c>
      <c r="N19" s="11" t="s">
        <v>7</v>
      </c>
      <c r="O19" s="11" t="s">
        <v>50</v>
      </c>
      <c r="P19" s="11" t="s">
        <v>9</v>
      </c>
      <c r="Q19" s="11" t="s">
        <v>60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100</v>
      </c>
      <c r="B1" s="8" t="s">
        <v>101</v>
      </c>
      <c r="C1" s="8" t="s">
        <v>102</v>
      </c>
    </row>
    <row r="2" spans="1:3" x14ac:dyDescent="0.15">
      <c r="A2" s="1">
        <v>5</v>
      </c>
      <c r="B2" s="10" t="s">
        <v>74</v>
      </c>
      <c r="C2" s="1">
        <v>0</v>
      </c>
    </row>
    <row r="3" spans="1:3" x14ac:dyDescent="0.15">
      <c r="A3" s="1">
        <v>9</v>
      </c>
      <c r="B3" s="11" t="s">
        <v>50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68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49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33</v>
      </c>
      <c r="C11" s="1">
        <v>5</v>
      </c>
    </row>
    <row r="12" spans="1:3" x14ac:dyDescent="0.15">
      <c r="A12" s="1">
        <v>11</v>
      </c>
      <c r="B12" s="11" t="s">
        <v>60</v>
      </c>
      <c r="C12" s="1">
        <v>5</v>
      </c>
    </row>
    <row r="13" spans="1:3" x14ac:dyDescent="0.15">
      <c r="A13" s="1">
        <v>6</v>
      </c>
      <c r="B13" s="10" t="s">
        <v>61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49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33</v>
      </c>
      <c r="C4">
        <v>0</v>
      </c>
    </row>
    <row r="5" spans="2:3" x14ac:dyDescent="0.15">
      <c r="B5" s="10" t="s">
        <v>74</v>
      </c>
      <c r="C5">
        <v>0</v>
      </c>
    </row>
    <row r="6" spans="2:3" x14ac:dyDescent="0.15">
      <c r="B6" s="11" t="s">
        <v>50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60</v>
      </c>
      <c r="C8">
        <v>0</v>
      </c>
    </row>
    <row r="9" spans="2:3" x14ac:dyDescent="0.15">
      <c r="B9" s="10" t="s">
        <v>68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61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2020-02-14T11:37:10Z</dcterms:modified>
</cp:coreProperties>
</file>