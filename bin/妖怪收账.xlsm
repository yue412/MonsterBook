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Sheet1!$A$1:$BT$147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T4" i="1"/>
  <c r="BT5" i="1"/>
  <c r="BT6" i="1"/>
  <c r="BT7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8" i="1"/>
  <c r="BT27" i="1"/>
  <c r="BT29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8" i="1"/>
  <c r="BT9" i="1"/>
  <c r="BT49" i="1"/>
  <c r="BT50" i="1"/>
  <c r="BT51" i="1"/>
  <c r="BT52" i="1"/>
  <c r="BT53" i="1"/>
  <c r="BT54" i="1"/>
  <c r="BT26" i="1"/>
  <c r="BT30" i="1"/>
  <c r="BT31" i="1"/>
  <c r="BT32" i="1"/>
  <c r="BT33" i="1"/>
  <c r="BT47" i="1"/>
  <c r="BT48" i="1"/>
  <c r="BT61" i="1"/>
  <c r="BT59" i="1"/>
  <c r="BT60" i="1"/>
  <c r="BT58" i="1"/>
  <c r="BT63" i="1"/>
  <c r="BT62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55" i="1"/>
  <c r="BT90" i="1"/>
  <c r="BT91" i="1"/>
  <c r="BT92" i="1"/>
  <c r="BT95" i="1"/>
  <c r="BT93" i="1"/>
  <c r="BT94" i="1"/>
  <c r="BT56" i="1"/>
  <c r="BT98" i="1"/>
  <c r="BT99" i="1"/>
  <c r="BT96" i="1"/>
  <c r="BT100" i="1"/>
  <c r="BT101" i="1"/>
  <c r="BT102" i="1"/>
  <c r="BT103" i="1"/>
  <c r="BT57" i="1"/>
  <c r="BT104" i="1"/>
  <c r="BT105" i="1"/>
  <c r="BT97" i="1"/>
  <c r="BT106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5" i="1"/>
  <c r="BT120" i="1"/>
  <c r="BT126" i="1"/>
  <c r="BT121" i="1"/>
  <c r="BT122" i="1"/>
  <c r="BT123" i="1"/>
  <c r="BT124" i="1"/>
  <c r="BT127" i="1"/>
  <c r="BT128" i="1"/>
  <c r="BT107" i="1"/>
  <c r="BT129" i="1"/>
  <c r="BT130" i="1"/>
  <c r="BT131" i="1"/>
  <c r="BT134" i="1"/>
  <c r="BT135" i="1"/>
  <c r="BT136" i="1"/>
  <c r="BT137" i="1"/>
  <c r="BT138" i="1"/>
  <c r="BT139" i="1"/>
  <c r="BT132" i="1"/>
  <c r="BT133" i="1"/>
  <c r="BT2" i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33" i="1" l="1"/>
  <c r="BP117" i="1"/>
  <c r="BP125" i="1"/>
  <c r="BP103" i="1"/>
  <c r="BP129" i="1"/>
  <c r="BP130" i="1"/>
  <c r="BP131" i="1"/>
  <c r="BP104" i="1"/>
  <c r="BP105" i="1"/>
  <c r="BP107" i="1"/>
  <c r="BP94" i="1"/>
  <c r="BP121" i="1"/>
  <c r="BP122" i="1"/>
  <c r="BP123" i="1"/>
  <c r="BP124" i="1"/>
  <c r="BP116" i="1"/>
  <c r="BP78" i="1"/>
  <c r="BP79" i="1"/>
  <c r="BP60" i="1"/>
  <c r="BP106" i="1"/>
  <c r="BP80" i="1"/>
  <c r="BP28" i="1"/>
  <c r="BP88" i="1"/>
  <c r="BP73" i="1"/>
  <c r="BP74" i="1"/>
  <c r="BP75" i="1"/>
  <c r="BP76" i="1"/>
  <c r="BP89" i="1"/>
  <c r="BP27" i="1"/>
  <c r="BP77" i="1"/>
  <c r="BP84" i="1"/>
  <c r="BP20" i="1"/>
  <c r="BP21" i="1"/>
  <c r="BP22" i="1"/>
  <c r="BP23" i="1"/>
  <c r="BP118" i="1"/>
  <c r="BP24" i="1"/>
  <c r="BP85" i="1"/>
  <c r="BP25" i="1"/>
  <c r="BP39" i="1"/>
  <c r="BP11" i="1"/>
  <c r="BP40" i="1"/>
  <c r="BP41" i="1"/>
  <c r="BP42" i="1"/>
  <c r="BP43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E144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E143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C140" i="1"/>
  <c r="AX140" i="1"/>
  <c r="AY140" i="1"/>
  <c r="AZ140" i="1"/>
  <c r="BA140" i="1"/>
  <c r="BB140" i="1"/>
  <c r="AW140" i="1"/>
  <c r="AR140" i="1"/>
  <c r="AS140" i="1"/>
  <c r="AT140" i="1"/>
  <c r="AU140" i="1"/>
  <c r="AV140" i="1"/>
  <c r="AQ140" i="1"/>
  <c r="AF140" i="1"/>
  <c r="AG140" i="1"/>
  <c r="AH140" i="1"/>
  <c r="AI140" i="1"/>
  <c r="AJ140" i="1"/>
  <c r="AK140" i="1"/>
  <c r="AL140" i="1"/>
  <c r="AM140" i="1"/>
  <c r="AN140" i="1"/>
  <c r="AO140" i="1"/>
  <c r="AP140" i="1"/>
  <c r="AE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P140" i="1"/>
  <c r="F140" i="1"/>
  <c r="G140" i="1"/>
  <c r="H140" i="1"/>
  <c r="I140" i="1"/>
  <c r="J140" i="1"/>
  <c r="K140" i="1"/>
  <c r="L140" i="1"/>
  <c r="M140" i="1"/>
  <c r="N140" i="1"/>
  <c r="O140" i="1"/>
  <c r="E140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31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91" i="1"/>
  <c r="BP57" i="1"/>
  <c r="BP29" i="1"/>
  <c r="CJ2" i="8" l="1"/>
  <c r="CK2" i="8"/>
  <c r="CR4" i="8"/>
  <c r="CN2" i="8"/>
  <c r="CM2" i="8"/>
  <c r="CG2" i="8"/>
  <c r="CH2" i="8"/>
  <c r="CL2" i="8"/>
  <c r="CQ2" i="8"/>
  <c r="CI2" i="8"/>
  <c r="CO2" i="8"/>
  <c r="CP2" i="8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A145" i="1"/>
  <c r="BB145" i="1"/>
  <c r="BA146" i="1"/>
  <c r="BB146" i="1"/>
  <c r="AQ145" i="1"/>
  <c r="AR145" i="1"/>
  <c r="AS145" i="1"/>
  <c r="AT145" i="1"/>
  <c r="AU145" i="1"/>
  <c r="AV145" i="1"/>
  <c r="AW145" i="1"/>
  <c r="AX145" i="1"/>
  <c r="AY145" i="1"/>
  <c r="AZ145" i="1"/>
  <c r="AQ146" i="1"/>
  <c r="AR146" i="1"/>
  <c r="AS146" i="1"/>
  <c r="AT146" i="1"/>
  <c r="AU146" i="1"/>
  <c r="AV146" i="1"/>
  <c r="AW146" i="1"/>
  <c r="AX146" i="1"/>
  <c r="AY146" i="1"/>
  <c r="AZ146" i="1"/>
  <c r="AI145" i="1"/>
  <c r="AJ145" i="1"/>
  <c r="AK145" i="1"/>
  <c r="AL145" i="1"/>
  <c r="AM145" i="1"/>
  <c r="AN145" i="1"/>
  <c r="AO145" i="1"/>
  <c r="AP145" i="1"/>
  <c r="AI146" i="1"/>
  <c r="AJ146" i="1"/>
  <c r="AK146" i="1"/>
  <c r="AL146" i="1"/>
  <c r="AM146" i="1"/>
  <c r="AN146" i="1"/>
  <c r="AO146" i="1"/>
  <c r="AP146" i="1"/>
  <c r="AC145" i="1"/>
  <c r="AD145" i="1"/>
  <c r="AE145" i="1"/>
  <c r="AF145" i="1"/>
  <c r="AG145" i="1"/>
  <c r="AH145" i="1"/>
  <c r="AC146" i="1"/>
  <c r="AD146" i="1"/>
  <c r="AE146" i="1"/>
  <c r="AF146" i="1"/>
  <c r="AG146" i="1"/>
  <c r="AH146" i="1"/>
  <c r="W145" i="1"/>
  <c r="X145" i="1"/>
  <c r="Y145" i="1"/>
  <c r="Z145" i="1"/>
  <c r="AA145" i="1"/>
  <c r="AB145" i="1"/>
  <c r="W146" i="1"/>
  <c r="X146" i="1"/>
  <c r="Y146" i="1"/>
  <c r="Z146" i="1"/>
  <c r="AA146" i="1"/>
  <c r="AB146" i="1"/>
  <c r="P145" i="1"/>
  <c r="Q145" i="1"/>
  <c r="R145" i="1"/>
  <c r="S145" i="1"/>
  <c r="T145" i="1"/>
  <c r="U145" i="1"/>
  <c r="V145" i="1"/>
  <c r="P146" i="1"/>
  <c r="Q146" i="1"/>
  <c r="R146" i="1"/>
  <c r="S146" i="1"/>
  <c r="T146" i="1"/>
  <c r="U146" i="1"/>
  <c r="V146" i="1"/>
  <c r="G145" i="1"/>
  <c r="H145" i="1"/>
  <c r="I145" i="1"/>
  <c r="J145" i="1"/>
  <c r="K145" i="1"/>
  <c r="L145" i="1"/>
  <c r="M145" i="1"/>
  <c r="N145" i="1"/>
  <c r="O145" i="1"/>
  <c r="G146" i="1"/>
  <c r="H146" i="1"/>
  <c r="I146" i="1"/>
  <c r="J146" i="1"/>
  <c r="K146" i="1"/>
  <c r="L146" i="1"/>
  <c r="M146" i="1"/>
  <c r="N146" i="1"/>
  <c r="O146" i="1"/>
  <c r="F145" i="1"/>
  <c r="F146" i="1"/>
  <c r="E146" i="1"/>
  <c r="E145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7" i="1"/>
  <c r="BP50" i="1"/>
  <c r="BP49" i="1"/>
  <c r="BP51" i="1"/>
  <c r="BP52" i="1"/>
  <c r="BP45" i="1"/>
  <c r="BP46" i="1"/>
  <c r="BP53" i="1"/>
  <c r="BP54" i="1"/>
  <c r="BP58" i="1"/>
  <c r="BP26" i="1"/>
  <c r="BP30" i="1"/>
  <c r="BP63" i="1"/>
  <c r="BP64" i="1"/>
  <c r="BP65" i="1"/>
  <c r="BP90" i="1"/>
  <c r="BP96" i="1"/>
  <c r="BP6" i="1"/>
  <c r="BP95" i="1"/>
  <c r="BP66" i="1"/>
  <c r="BP67" i="1"/>
  <c r="BP68" i="1"/>
  <c r="BP69" i="1"/>
  <c r="BP56" i="1"/>
  <c r="BP98" i="1"/>
  <c r="BP99" i="1"/>
  <c r="BP61" i="1"/>
  <c r="BP8" i="1"/>
  <c r="BP9" i="1"/>
  <c r="BP32" i="1"/>
  <c r="BP59" i="1"/>
  <c r="BP62" i="1"/>
  <c r="BP18" i="1"/>
  <c r="BP44" i="1"/>
  <c r="BP70" i="1"/>
  <c r="BP71" i="1"/>
  <c r="BP72" i="1"/>
  <c r="BP92" i="1"/>
  <c r="BP55" i="1"/>
  <c r="BP93" i="1"/>
  <c r="BP127" i="1"/>
  <c r="BP128" i="1"/>
  <c r="BP97" i="1"/>
  <c r="BP33" i="1"/>
  <c r="BP100" i="1"/>
  <c r="BP101" i="1"/>
  <c r="BP102" i="1"/>
  <c r="BP47" i="1"/>
  <c r="BP48" i="1"/>
  <c r="BP108" i="1"/>
  <c r="BP111" i="1"/>
  <c r="BP135" i="1"/>
  <c r="BP19" i="1"/>
  <c r="BP119" i="1"/>
  <c r="BP126" i="1"/>
  <c r="BP12" i="1"/>
  <c r="BP13" i="1"/>
  <c r="BP14" i="1"/>
  <c r="BP15" i="1"/>
  <c r="BP16" i="1"/>
  <c r="BP17" i="1"/>
  <c r="BP81" i="1"/>
  <c r="BP82" i="1"/>
  <c r="BP83" i="1"/>
  <c r="BP10" i="1"/>
  <c r="BP86" i="1"/>
  <c r="BP87" i="1"/>
  <c r="BP132" i="1"/>
  <c r="BP120" i="1"/>
  <c r="BP134" i="1"/>
  <c r="BP34" i="1"/>
  <c r="BP35" i="1"/>
  <c r="BP36" i="1"/>
  <c r="BP37" i="1"/>
  <c r="BP38" i="1"/>
  <c r="BP109" i="1"/>
  <c r="BP110" i="1"/>
  <c r="BP112" i="1"/>
  <c r="BP113" i="1"/>
  <c r="BP114" i="1"/>
  <c r="BP115" i="1"/>
  <c r="BP137" i="1"/>
  <c r="BP138" i="1"/>
  <c r="BP139" i="1"/>
  <c r="BP136" i="1" l="1"/>
  <c r="BM142" i="1" l="1"/>
  <c r="AM142" i="1"/>
  <c r="L142" i="1"/>
  <c r="BK142" i="1"/>
  <c r="AJ142" i="1"/>
  <c r="BH142" i="1"/>
  <c r="AH142" i="1"/>
  <c r="AL142" i="1"/>
  <c r="BD142" i="1"/>
  <c r="BL142" i="1"/>
  <c r="J142" i="1"/>
  <c r="H142" i="1"/>
  <c r="G142" i="1"/>
  <c r="BG142" i="1"/>
  <c r="AE142" i="1"/>
  <c r="F142" i="1"/>
  <c r="BJ142" i="1"/>
  <c r="AI142" i="1"/>
  <c r="I142" i="1"/>
  <c r="AG142" i="1"/>
  <c r="BE142" i="1"/>
  <c r="AF142" i="1"/>
  <c r="BF142" i="1"/>
  <c r="O142" i="1"/>
  <c r="BO142" i="1"/>
  <c r="N142" i="1"/>
  <c r="K142" i="1"/>
  <c r="AK142" i="1"/>
  <c r="BI142" i="1"/>
  <c r="E142" i="1"/>
  <c r="BN142" i="1"/>
  <c r="AN142" i="1"/>
  <c r="M142" i="1"/>
  <c r="AP142" i="1"/>
  <c r="BC142" i="1"/>
  <c r="AO142" i="1"/>
  <c r="V142" i="1"/>
  <c r="Y142" i="1"/>
  <c r="W142" i="1"/>
  <c r="S142" i="1"/>
  <c r="X142" i="1"/>
  <c r="R142" i="1"/>
  <c r="Z142" i="1"/>
  <c r="U142" i="1"/>
  <c r="T142" i="1"/>
  <c r="AC142" i="1"/>
  <c r="Q142" i="1"/>
  <c r="AB142" i="1"/>
  <c r="P142" i="1"/>
  <c r="AA142" i="1"/>
  <c r="AD142" i="1"/>
  <c r="AR142" i="1" l="1"/>
  <c r="AU142" i="1"/>
  <c r="BB142" i="1"/>
  <c r="AS142" i="1"/>
  <c r="AW142" i="1"/>
  <c r="AT142" i="1"/>
  <c r="AY142" i="1"/>
  <c r="AZ142" i="1"/>
  <c r="AV142" i="1"/>
  <c r="AQ142" i="1"/>
  <c r="AX142" i="1"/>
  <c r="BA142" i="1"/>
</calcChain>
</file>

<file path=xl/sharedStrings.xml><?xml version="1.0" encoding="utf-8"?>
<sst xmlns="http://schemas.openxmlformats.org/spreadsheetml/2006/main" count="853" uniqueCount="325">
  <si>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</si>
  <si>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</si>
  <si>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</si>
  <si>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</si>
  <si>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</si>
  <si>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</si>
  <si>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</si>
  <si>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</si>
  <si>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</si>
  <si>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</si>
  <si>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</si>
  <si>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</si>
  <si>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</si>
  <si>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</si>
  <si>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</si>
  <si>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</si>
  <si>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</si>
  <si>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</si>
  <si>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</si>
  <si>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</si>
  <si>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</si>
  <si>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</si>
  <si>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</si>
  <si>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</si>
  <si>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</si>
  <si>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</si>
  <si>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</si>
  <si>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</si>
  <si>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</si>
  <si>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</si>
  <si>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</si>
  <si>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</si>
  <si>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</si>
  <si>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</si>
  <si>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</si>
  <si>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</si>
  <si>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</si>
  <si>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</si>
  <si>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</si>
  <si>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</si>
  <si>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</si>
  <si>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</si>
  <si>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</si>
  <si>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</si>
  <si>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</si>
  <si>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</si>
  <si>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</si>
  <si>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</si>
  <si>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</si>
  <si>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</si>
  <si>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</si>
  <si>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</si>
  <si>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</si>
  <si>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</si>
  <si>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</si>
  <si>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</si>
  <si>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</si>
  <si>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</si>
  <si>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</si>
  <si>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</si>
  <si>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</si>
  <si>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</si>
  <si>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</si>
  <si>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</si>
  <si>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</si>
  <si>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</si>
  <si>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</si>
  <si>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</si>
  <si>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</si>
  <si>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</si>
  <si>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</si>
  <si>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</si>
  <si>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</si>
  <si>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</si>
  <si>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</si>
  <si>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</si>
  <si>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</si>
  <si>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</si>
  <si>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</si>
  <si>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</si>
  <si>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</si>
  <si>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</si>
  <si>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</si>
  <si>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</si>
  <si>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</si>
  <si>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</si>
  <si>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</si>
  <si>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</si>
  <si>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</si>
  <si>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</si>
  <si>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</si>
  <si>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</si>
  <si>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</si>
  <si>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</si>
  <si>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</si>
  <si>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</si>
  <si>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</si>
  <si>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</si>
  <si>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</si>
  <si>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</si>
  <si>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</si>
  <si>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</si>
  <si>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</si>
  <si>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</si>
  <si>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</si>
  <si>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</si>
  <si>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</si>
  <si>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</si>
  <si>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</si>
  <si>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</si>
  <si>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</si>
  <si>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</si>
  <si>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</si>
  <si>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</si>
  <si>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</si>
  <si>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</si>
  <si>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</si>
  <si>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</si>
  <si>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</si>
  <si>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</si>
  <si>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</si>
  <si>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</si>
  <si>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</si>
  <si>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</si>
  <si>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</si>
  <si>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</si>
  <si>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</si>
  <si>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</si>
  <si>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</si>
  <si>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</si>
  <si>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</si>
  <si>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</si>
  <si>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</si>
  <si>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</si>
  <si>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</si>
  <si>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</si>
  <si>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</si>
  <si>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</si>
  <si>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</si>
  <si>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</si>
  <si>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</si>
  <si>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</si>
  <si>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</si>
  <si>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</si>
  <si>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</si>
  <si>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</si>
  <si>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</si>
  <si>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</si>
  <si>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</si>
  <si>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</si>
  <si>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</si>
  <si>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</si>
  <si>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</si>
  <si>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</si>
  <si>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</si>
  <si>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</si>
  <si>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</si>
  <si>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</si>
  <si>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</si>
  <si>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</si>
  <si>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</si>
  <si>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</si>
  <si>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</si>
  <si>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</si>
  <si>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</si>
  <si>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</si>
  <si>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</si>
  <si>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</si>
  <si>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</si>
  <si>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</si>
  <si>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</si>
  <si>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</si>
  <si>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</si>
  <si>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</si>
  <si>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</si>
  <si>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</si>
  <si>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</si>
  <si>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</si>
  <si>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</si>
  <si>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</si>
  <si>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</si>
  <si>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</si>
  <si>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</si>
  <si>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</si>
  <si>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</si>
  <si>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</si>
  <si>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</si>
  <si>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</si>
  <si>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</si>
  <si>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</si>
  <si>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</si>
  <si>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</si>
  <si>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</si>
  <si>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</si>
  <si>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</si>
  <si>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</si>
  <si>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</si>
  <si>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</si>
  <si>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</si>
  <si>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</si>
  <si>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</si>
  <si>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</si>
  <si>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</si>
  <si>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</si>
  <si>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</si>
  <si>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</si>
  <si>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</si>
  <si>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</si>
  <si>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</si>
  <si>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</si>
  <si>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</si>
  <si>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</si>
  <si>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</si>
  <si>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</si>
  <si>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</si>
  <si>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</si>
  <si>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</si>
  <si>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</si>
  <si>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</si>
  <si>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</si>
  <si>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</si>
  <si>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</si>
  <si>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</si>
  <si>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</si>
  <si>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</si>
  <si>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欠条中(4),_x000D_
欠条大(3),</t>
    <phoneticPr fontId="1" type="noConversion"/>
  </si>
  <si>
    <t>超进阶素材光(45),_x000D_
超进阶素材暗(45),</t>
    <phoneticPr fontId="1" type="noConversion"/>
  </si>
  <si>
    <t>骰子中(1),</t>
    <phoneticPr fontId="1" type="noConversion"/>
  </si>
  <si>
    <t>庄家令牌中(1),</t>
    <phoneticPr fontId="1" type="noConversion"/>
  </si>
  <si>
    <t>彗星(14),</t>
    <phoneticPr fontId="1" type="noConversion"/>
  </si>
  <si>
    <t>螃蟹(5),</t>
    <phoneticPr fontId="1" type="noConversion"/>
  </si>
  <si>
    <t>糯米(5),_x000D_
粽叶(1),</t>
    <phoneticPr fontId="1" type="noConversion"/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</si>
  <si>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</si>
  <si>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</si>
  <si>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</si>
  <si>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</si>
  <si>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</si>
  <si>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</si>
  <si>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</si>
  <si>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</si>
  <si>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</si>
  <si>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</si>
  <si>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</si>
  <si>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</si>
  <si>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</si>
  <si>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</si>
  <si>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</si>
  <si>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</si>
  <si>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</si>
  <si>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</si>
  <si>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</si>
  <si>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</si>
  <si>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</si>
  <si>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</si>
  <si>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骰子小(4),_x000D_
庄家令牌中(1),</t>
    <phoneticPr fontId="1" type="noConversion"/>
  </si>
  <si>
    <t>欠条中(2),_x000D_
骰子小(4),</t>
    <phoneticPr fontId="1" type="noConversion"/>
  </si>
  <si>
    <t>糯米(2),</t>
    <phoneticPr fontId="1" type="noConversion"/>
  </si>
  <si>
    <t>糯米(3),</t>
    <phoneticPr fontId="1" type="noConversion"/>
  </si>
  <si>
    <t>愚山乾坤石(4),</t>
    <phoneticPr fontId="1" type="noConversion"/>
  </si>
  <si>
    <t>桂花(5),</t>
    <phoneticPr fontId="1" type="noConversion"/>
  </si>
  <si>
    <t>欠条大(6),_x000D_
钱袋大(7),</t>
    <phoneticPr fontId="1" type="noConversion"/>
  </si>
  <si>
    <t>桂花(5),_x000D_
桂花酒(5),_x000D_
灯笼(5),</t>
    <phoneticPr fontId="1" type="noConversion"/>
  </si>
  <si>
    <t>欠条中(2),_x000D_
筹码中(1),</t>
    <phoneticPr fontId="1" type="noConversion"/>
  </si>
  <si>
    <t>骰子小(4),</t>
    <phoneticPr fontId="1" type="noConversion"/>
  </si>
  <si>
    <t>欠条中(2),_x000D_
骰子中(1),_x000D_
筹码中(1),</t>
    <phoneticPr fontId="1" type="noConversion"/>
  </si>
  <si>
    <t>骰子小(4),_x000D_
筹码中(1),_x000D_
庄家令牌中(1),</t>
    <phoneticPr fontId="1" type="noConversion"/>
  </si>
  <si>
    <t>麻将</t>
    <phoneticPr fontId="1" type="noConversion"/>
  </si>
  <si>
    <t>筹码中(1),</t>
    <phoneticPr fontId="1" type="noConversion"/>
  </si>
  <si>
    <t>骰子中(1),</t>
    <phoneticPr fontId="1" type="noConversion"/>
  </si>
  <si>
    <t>庄家令牌中(1),</t>
    <phoneticPr fontId="1" type="noConversion"/>
  </si>
  <si>
    <t>欠条中(2),</t>
    <phoneticPr fontId="1" type="noConversion"/>
  </si>
  <si>
    <t>骰子小(4),</t>
    <phoneticPr fontId="1" type="noConversion"/>
  </si>
  <si>
    <t>欠条中(4),</t>
    <phoneticPr fontId="1" type="noConversion"/>
  </si>
  <si>
    <t>彗星(4),</t>
    <phoneticPr fontId="1" type="noConversion"/>
  </si>
  <si>
    <t>彗星(4),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</si>
  <si>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</si>
  <si>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</si>
  <si>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</si>
  <si>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龙灵不朽藤(1),</t>
    <phoneticPr fontId="1" type="noConversion"/>
  </si>
  <si>
    <t>幸运符文叉大(3),</t>
    <phoneticPr fontId="1" type="noConversion"/>
  </si>
  <si>
    <t>幸运符文叉大(3),</t>
    <phoneticPr fontId="1" type="noConversion"/>
  </si>
  <si>
    <t>神农鼎(10),</t>
    <phoneticPr fontId="1" type="noConversion"/>
  </si>
  <si>
    <t>幸运符文叉大(8),</t>
    <phoneticPr fontId="1" type="noConversion"/>
  </si>
  <si>
    <t>幸运符文叉大(8),</t>
    <phoneticPr fontId="1" type="noConversion"/>
  </si>
  <si>
    <t>秘窟冰晶卵(7),</t>
    <phoneticPr fontId="1" type="noConversion"/>
  </si>
  <si>
    <t>幸运符文叉大(13),</t>
    <phoneticPr fontId="1" type="noConversion"/>
  </si>
  <si>
    <t>金甲虫(44),</t>
    <phoneticPr fontId="1" type="noConversion"/>
  </si>
  <si>
    <t>金甲虫(194),</t>
    <phoneticPr fontId="1" type="noConversion"/>
  </si>
  <si>
    <t>欠条中(2),_x000D_
筹码中(1),</t>
    <phoneticPr fontId="1" type="noConversion"/>
  </si>
  <si>
    <t>骰子大(2),_x000D_
庄家令牌大(2),</t>
    <phoneticPr fontId="1" type="noConversion"/>
  </si>
  <si>
    <t>骰子小(4),_x000D_
庄家令牌中(1),</t>
    <phoneticPr fontId="1" type="noConversion"/>
  </si>
  <si>
    <t>欠条中(2),_x000D_
骰子小(4),</t>
    <phoneticPr fontId="1" type="noConversion"/>
  </si>
  <si>
    <t>神农鼎(5),</t>
    <phoneticPr fontId="1" type="noConversion"/>
  </si>
  <si>
    <t>糯米(3),_x000D_
粽叶(5),</t>
    <phoneticPr fontId="1" type="noConversion"/>
  </si>
  <si>
    <t>欠条大(6),_x000D_
骰子大(2),</t>
    <phoneticPr fontId="1" type="noConversion"/>
  </si>
  <si>
    <t>神农鼎(6),</t>
    <phoneticPr fontId="1" type="noConversion"/>
  </si>
  <si>
    <t>桂花(5),_x000D_
桂花酒(5),</t>
    <phoneticPr fontId="1" type="noConversion"/>
  </si>
  <si>
    <t>神农鼎(6),_x000D_
秘窟冰晶卵(2),</t>
    <phoneticPr fontId="1" type="noConversion"/>
  </si>
  <si>
    <t>欠条大(6),_x000D_
钱袋大(7),</t>
    <phoneticPr fontId="1" type="noConversion"/>
  </si>
  <si>
    <t>魅力符文叉大(6),</t>
    <phoneticPr fontId="1" type="noConversion"/>
  </si>
  <si>
    <t>钱袋大(7),_x000D_
筹码大(7),</t>
    <phoneticPr fontId="1" type="noConversion"/>
  </si>
  <si>
    <t>糯米(5),_x000D_
粽叶(10),</t>
    <phoneticPr fontId="1" type="noConversion"/>
  </si>
  <si>
    <t>秘窟冰晶卵(2),_x000D_
魅力符文叉大(6),</t>
    <phoneticPr fontId="1" type="noConversion"/>
  </si>
  <si>
    <t>魅力符文叉大(11),_x000D_
幸运符文叉大(8),</t>
    <phoneticPr fontId="1" type="noConversion"/>
  </si>
  <si>
    <t>神农鼎(15),_x000D_
龙灵不朽藤(6),</t>
    <phoneticPr fontId="1" type="noConversion"/>
  </si>
  <si>
    <t>神农鼎(15),_x000D_
幸运符文叉大(8),</t>
    <phoneticPr fontId="1" type="noConversion"/>
  </si>
  <si>
    <t>彗星(24),_x000D_
魅力符文叉大(6),</t>
    <phoneticPr fontId="1" type="noConversion"/>
  </si>
  <si>
    <t>神农鼎(20),_x000D_
幸运符文叉大(13),</t>
    <phoneticPr fontId="1" type="noConversion"/>
  </si>
  <si>
    <t>超进阶素材光(45),_x000D_
超进阶素材暗(45),</t>
    <phoneticPr fontId="1" type="noConversion"/>
  </si>
  <si>
    <t>欠条中(2),_x000D_
骰子中(1),_x000D_
庄家令牌中(1),</t>
    <phoneticPr fontId="1" type="noConversion"/>
  </si>
  <si>
    <t>欠条中(2),_x000D_
骰子小(4),_x000D_
筹码中(1),</t>
    <phoneticPr fontId="1" type="noConversion"/>
  </si>
  <si>
    <t>骰子大(2),_x000D_
筹码大(7),_x000D_
庄家令牌大(2),</t>
    <phoneticPr fontId="1" type="noConversion"/>
  </si>
  <si>
    <t>欠条大(6),_x000D_
骰子大(2),_x000D_
龙灵不朽藤(1),</t>
    <phoneticPr fontId="1" type="noConversion"/>
  </si>
  <si>
    <t>神农鼎(7),_x000D_
欠条中(4),_x000D_
筹码大(4),</t>
    <phoneticPr fontId="1" type="noConversion"/>
  </si>
  <si>
    <t>筹码大(7),_x000D_
庄家令牌大(2),_x000D_
龙灵不朽藤(1),</t>
    <phoneticPr fontId="1" type="noConversion"/>
  </si>
  <si>
    <t>筹码大(7),_x000D_
庄家令牌大(2),_x000D_
龙灵不朽藤(1),</t>
    <phoneticPr fontId="1" type="noConversion"/>
  </si>
  <si>
    <t>螃蟹(5),_x000D_
桂花(5),_x000D_
桂花酒(5),</t>
    <phoneticPr fontId="1" type="noConversion"/>
  </si>
  <si>
    <t>糯米(10),_x000D_
粽叶(10),</t>
    <phoneticPr fontId="1" type="noConversion"/>
  </si>
  <si>
    <t>钱袋大(7),_x000D_
筹码大(7),_x000D_
秘窟冰晶卵(2),</t>
    <phoneticPr fontId="1" type="noConversion"/>
  </si>
  <si>
    <t>钱袋大(7),_x000D_
筹码大(7),_x000D_
秘窟冰晶卵(2),</t>
    <phoneticPr fontId="1" type="noConversion"/>
  </si>
  <si>
    <t>神农鼎(10),_x000D_
欠条大(6),_x000D_
钱袋大(7),</t>
    <phoneticPr fontId="1" type="noConversion"/>
  </si>
  <si>
    <t>赤焰十字星(17),_x000D_
力量符文叉大(21),_x000D_
技巧符文叉大(13),</t>
    <phoneticPr fontId="1" type="noConversion"/>
  </si>
  <si>
    <t>秘窟冰晶卵(32),_x000D_
力量符文叉大(21),_x000D_
速度符文叉大(13),</t>
    <phoneticPr fontId="1" type="noConversion"/>
  </si>
  <si>
    <t>超进阶素材火(42),_x000D_
超进阶素材光(45),_x000D_
超进阶素材暗(45),</t>
    <phoneticPr fontId="1" type="noConversion"/>
  </si>
  <si>
    <t>神农鼎(10),_x000D_
欠条大(6),_x000D_
骰子大(2),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</si>
</sst>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146</xdr:row>
          <xdr:rowOff>28575</xdr:rowOff>
        </xdr:from>
        <xdr:to>
          <xdr:col>1</xdr:col>
          <xdr:colOff>428625</xdr:colOff>
          <xdr:row>147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47"/>
  <sheetViews>
    <sheetView tabSelected="1" workbookViewId="0">
      <pane xSplit="2" ySplit="1" topLeftCell="BI2" activePane="bottomRight" state="frozen"/>
      <selection pane="topRight" activeCell="C1" sqref="C1"/>
      <selection pane="bottomLeft" activeCell="A3" sqref="A3"/>
      <selection pane="bottomRight" activeCell="B27" sqref="B27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2" s="13" customFormat="1">
      <c r="A1" s="8" t="s">
        <v>69</v>
      </c>
      <c r="B1" s="8" t="s">
        <v>70</v>
      </c>
      <c r="C1" s="8" t="s">
        <v>72</v>
      </c>
      <c r="D1" s="8" t="s">
        <v>71</v>
      </c>
      <c r="E1" s="9" t="s">
        <v>2</v>
      </c>
      <c r="F1" s="9" t="s">
        <v>3</v>
      </c>
      <c r="G1" s="9" t="s">
        <v>12</v>
      </c>
      <c r="H1" s="9" t="s">
        <v>22</v>
      </c>
      <c r="I1" s="9" t="s">
        <v>23</v>
      </c>
      <c r="J1" s="9" t="s">
        <v>67</v>
      </c>
      <c r="K1" s="9" t="s">
        <v>24</v>
      </c>
      <c r="L1" s="9" t="s">
        <v>40</v>
      </c>
      <c r="M1" s="9" t="s">
        <v>42</v>
      </c>
      <c r="N1" s="9" t="s">
        <v>47</v>
      </c>
      <c r="O1" s="9" t="s">
        <v>41</v>
      </c>
      <c r="P1" s="27" t="s">
        <v>106</v>
      </c>
      <c r="Q1" s="27" t="s">
        <v>118</v>
      </c>
      <c r="R1" s="27" t="s">
        <v>112</v>
      </c>
      <c r="S1" s="27" t="s">
        <v>107</v>
      </c>
      <c r="T1" s="27" t="s">
        <v>116</v>
      </c>
      <c r="U1" s="27" t="s">
        <v>122</v>
      </c>
      <c r="V1" s="27" t="s">
        <v>108</v>
      </c>
      <c r="W1" s="27" t="s">
        <v>115</v>
      </c>
      <c r="X1" s="27" t="s">
        <v>113</v>
      </c>
      <c r="Y1" s="27" t="s">
        <v>109</v>
      </c>
      <c r="Z1" s="27" t="s">
        <v>117</v>
      </c>
      <c r="AA1" s="27" t="s">
        <v>124</v>
      </c>
      <c r="AB1" s="27" t="s">
        <v>111</v>
      </c>
      <c r="AC1" s="27" t="s">
        <v>110</v>
      </c>
      <c r="AD1" s="27" t="s">
        <v>135</v>
      </c>
      <c r="AE1" s="8" t="s">
        <v>8</v>
      </c>
      <c r="AF1" s="8" t="s">
        <v>28</v>
      </c>
      <c r="AG1" s="8" t="s">
        <v>29</v>
      </c>
      <c r="AH1" s="8" t="s">
        <v>57</v>
      </c>
      <c r="AI1" s="8" t="s">
        <v>58</v>
      </c>
      <c r="AJ1" s="8" t="s">
        <v>60</v>
      </c>
      <c r="AK1" s="8" t="s">
        <v>61</v>
      </c>
      <c r="AL1" s="8" t="s">
        <v>63</v>
      </c>
      <c r="AM1" s="8" t="s">
        <v>48</v>
      </c>
      <c r="AN1" s="8" t="s">
        <v>50</v>
      </c>
      <c r="AO1" s="8" t="s">
        <v>94</v>
      </c>
      <c r="AP1" s="8" t="s">
        <v>95</v>
      </c>
      <c r="AQ1" s="10" t="s">
        <v>38</v>
      </c>
      <c r="AR1" s="10" t="s">
        <v>4</v>
      </c>
      <c r="AS1" s="10" t="s">
        <v>26</v>
      </c>
      <c r="AT1" s="10" t="s">
        <v>52</v>
      </c>
      <c r="AU1" s="10" t="s">
        <v>55</v>
      </c>
      <c r="AV1" s="10" t="s">
        <v>46</v>
      </c>
      <c r="AW1" s="11" t="s">
        <v>5</v>
      </c>
      <c r="AX1" s="11" t="s">
        <v>6</v>
      </c>
      <c r="AY1" s="11" t="s">
        <v>39</v>
      </c>
      <c r="AZ1" s="11" t="s">
        <v>7</v>
      </c>
      <c r="BA1" s="11" t="s">
        <v>45</v>
      </c>
      <c r="BB1" s="11" t="s">
        <v>11</v>
      </c>
      <c r="BC1" s="25" t="s">
        <v>91</v>
      </c>
      <c r="BD1" s="8" t="s">
        <v>16</v>
      </c>
      <c r="BE1" s="8" t="s">
        <v>15</v>
      </c>
      <c r="BF1" s="8" t="s">
        <v>13</v>
      </c>
      <c r="BG1" s="8" t="s">
        <v>14</v>
      </c>
      <c r="BH1" s="8" t="s">
        <v>17</v>
      </c>
      <c r="BI1" s="8" t="s">
        <v>18</v>
      </c>
      <c r="BJ1" s="8" t="s">
        <v>31</v>
      </c>
      <c r="BK1" s="8" t="s">
        <v>32</v>
      </c>
      <c r="BL1" s="8" t="s">
        <v>33</v>
      </c>
      <c r="BM1" s="8" t="s">
        <v>34</v>
      </c>
      <c r="BN1" s="8" t="s">
        <v>35</v>
      </c>
      <c r="BO1" s="8" t="s">
        <v>36</v>
      </c>
      <c r="BP1" s="12" t="s">
        <v>76</v>
      </c>
      <c r="BQ1" s="8" t="s">
        <v>77</v>
      </c>
      <c r="BR1" s="16" t="s">
        <v>78</v>
      </c>
      <c r="BS1" s="16"/>
      <c r="BT1" s="13" t="s">
        <v>266</v>
      </c>
    </row>
    <row r="2" spans="1:72">
      <c r="A2" s="1">
        <v>55</v>
      </c>
      <c r="B2" s="1" t="s">
        <v>43</v>
      </c>
      <c r="C2" s="1" t="s">
        <v>44</v>
      </c>
      <c r="D2" s="1" t="s">
        <v>10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</row>
    <row r="3" spans="1:72">
      <c r="A3" s="1"/>
      <c r="B3" s="1" t="s">
        <v>88</v>
      </c>
      <c r="C3" s="1" t="s">
        <v>89</v>
      </c>
      <c r="D3" s="1" t="s">
        <v>87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</row>
    <row r="4" spans="1:72" s="23" customFormat="1">
      <c r="A4" s="1"/>
      <c r="B4" s="1" t="s">
        <v>149</v>
      </c>
      <c r="C4" s="1" t="s">
        <v>97</v>
      </c>
      <c r="D4" s="1" t="s">
        <v>87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>
        <v>20</v>
      </c>
      <c r="BG4" s="1">
        <v>20</v>
      </c>
      <c r="BH4" s="1">
        <v>20</v>
      </c>
      <c r="BI4" s="1">
        <v>20</v>
      </c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</row>
    <row r="5" spans="1:72" s="23" customFormat="1">
      <c r="A5" s="1"/>
      <c r="B5" s="1" t="s">
        <v>156</v>
      </c>
      <c r="C5" s="1" t="s">
        <v>85</v>
      </c>
      <c r="D5" s="1" t="s">
        <v>87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>
        <v>20</v>
      </c>
      <c r="BG5" s="1">
        <v>20</v>
      </c>
      <c r="BH5" s="1"/>
      <c r="BI5" s="1"/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>
        <f>SUM(P5:AD5)</f>
        <v>0</v>
      </c>
    </row>
    <row r="6" spans="1:72">
      <c r="A6" s="1"/>
      <c r="B6" s="1" t="s">
        <v>181</v>
      </c>
      <c r="C6" s="1" t="s">
        <v>100</v>
      </c>
      <c r="D6" s="1" t="s">
        <v>87</v>
      </c>
      <c r="E6" s="6"/>
      <c r="F6" s="6">
        <v>6</v>
      </c>
      <c r="G6" s="6"/>
      <c r="H6" s="6"/>
      <c r="I6" s="6"/>
      <c r="J6" s="6"/>
      <c r="K6" s="6"/>
      <c r="L6" s="6"/>
      <c r="M6" s="6"/>
      <c r="N6" s="6"/>
      <c r="O6" s="6">
        <v>6</v>
      </c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>
        <v>10</v>
      </c>
      <c r="AU6" s="4"/>
      <c r="AV6" s="4"/>
      <c r="AW6" s="2"/>
      <c r="AX6" s="2"/>
      <c r="AY6" s="2">
        <v>10</v>
      </c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</row>
    <row r="7" spans="1:72" s="39" customFormat="1">
      <c r="A7" s="1">
        <v>91</v>
      </c>
      <c r="B7" s="3" t="s">
        <v>66</v>
      </c>
      <c r="C7" s="3" t="s">
        <v>65</v>
      </c>
      <c r="D7" s="1" t="s">
        <v>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>
        <v>5</v>
      </c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5</v>
      </c>
      <c r="BQ7" s="1">
        <v>0</v>
      </c>
      <c r="BR7" s="17">
        <v>0</v>
      </c>
      <c r="BS7" s="17"/>
      <c r="BT7">
        <f>SUM(P7:AD7)</f>
        <v>0</v>
      </c>
    </row>
    <row r="8" spans="1:72">
      <c r="A8" s="1"/>
      <c r="B8" s="1" t="s">
        <v>154</v>
      </c>
      <c r="C8" s="1" t="s">
        <v>97</v>
      </c>
      <c r="D8" s="1" t="s">
        <v>87</v>
      </c>
      <c r="E8" s="6">
        <v>10</v>
      </c>
      <c r="F8" s="6"/>
      <c r="G8" s="6">
        <v>10</v>
      </c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>
        <v>10</v>
      </c>
      <c r="AS8" s="4"/>
      <c r="AT8" s="4"/>
      <c r="AU8" s="4"/>
      <c r="AV8" s="4"/>
      <c r="AW8" s="2"/>
      <c r="AX8" s="2"/>
      <c r="AY8" s="2"/>
      <c r="AZ8" s="2"/>
      <c r="BA8" s="2"/>
      <c r="BB8" s="2">
        <v>10</v>
      </c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>
        <f>SUM(P8:AD8)</f>
        <v>0</v>
      </c>
    </row>
    <row r="9" spans="1:72">
      <c r="A9" s="1"/>
      <c r="B9" s="1" t="s">
        <v>152</v>
      </c>
      <c r="C9" s="1" t="s">
        <v>131</v>
      </c>
      <c r="D9" s="1" t="s">
        <v>105</v>
      </c>
      <c r="E9" s="6">
        <v>10</v>
      </c>
      <c r="F9" s="6"/>
      <c r="G9" s="6">
        <v>10</v>
      </c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>
        <v>10</v>
      </c>
      <c r="AS9" s="4"/>
      <c r="AT9" s="4"/>
      <c r="AU9" s="4"/>
      <c r="AV9" s="4"/>
      <c r="AW9" s="2"/>
      <c r="AX9" s="2"/>
      <c r="AY9" s="2"/>
      <c r="AZ9" s="2"/>
      <c r="BA9" s="2"/>
      <c r="BB9" s="2">
        <v>10</v>
      </c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>
        <f>SUM(P9:AD9)</f>
        <v>0</v>
      </c>
    </row>
    <row r="10" spans="1:72">
      <c r="A10" s="1"/>
      <c r="B10" s="1" t="s">
        <v>129</v>
      </c>
      <c r="C10" s="1" t="s">
        <v>130</v>
      </c>
      <c r="D10" s="1" t="s">
        <v>103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/>
      <c r="W10" s="28"/>
      <c r="X10" s="28"/>
      <c r="Y10" s="28"/>
      <c r="Z10" s="28">
        <v>5</v>
      </c>
      <c r="AA10" s="28"/>
      <c r="AB10" s="28">
        <v>10</v>
      </c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35</v>
      </c>
      <c r="BQ10" s="1">
        <v>1</v>
      </c>
      <c r="BR10" s="17">
        <v>1</v>
      </c>
      <c r="BS10" s="17" t="s">
        <v>267</v>
      </c>
      <c r="BT10">
        <f>SUM(P10:AD10)</f>
        <v>35</v>
      </c>
    </row>
    <row r="11" spans="1:72">
      <c r="A11" s="1"/>
      <c r="B11" s="3" t="s">
        <v>210</v>
      </c>
      <c r="C11" s="3" t="s">
        <v>51</v>
      </c>
      <c r="D11" s="1" t="s">
        <v>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>
        <v>2</v>
      </c>
      <c r="S11" s="28"/>
      <c r="T11" s="28"/>
      <c r="U11" s="28">
        <v>2</v>
      </c>
      <c r="V11" s="28"/>
      <c r="W11" s="28"/>
      <c r="X11" s="28">
        <v>2</v>
      </c>
      <c r="Y11" s="28"/>
      <c r="Z11" s="28">
        <v>5</v>
      </c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11</v>
      </c>
      <c r="BQ11" s="1">
        <v>1</v>
      </c>
      <c r="BR11" s="17">
        <v>1</v>
      </c>
      <c r="BS11" s="17" t="s">
        <v>267</v>
      </c>
      <c r="BT11">
        <f>SUM(P11:AD11)</f>
        <v>11</v>
      </c>
    </row>
    <row r="12" spans="1:72">
      <c r="A12" s="1"/>
      <c r="B12" s="1" t="s">
        <v>114</v>
      </c>
      <c r="C12" s="1" t="s">
        <v>102</v>
      </c>
      <c r="D12" s="1" t="s">
        <v>103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>
        <v>5</v>
      </c>
      <c r="X12" s="28"/>
      <c r="Y12" s="28"/>
      <c r="Z12" s="28"/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35</v>
      </c>
      <c r="BQ12" s="1">
        <v>1</v>
      </c>
      <c r="BR12" s="17">
        <v>1</v>
      </c>
      <c r="BS12" s="17" t="s">
        <v>268</v>
      </c>
      <c r="BT12">
        <f>SUM(P12:AD12)</f>
        <v>35</v>
      </c>
    </row>
    <row r="13" spans="1:72" s="49" customFormat="1">
      <c r="A13" s="1"/>
      <c r="B13" s="1" t="s">
        <v>119</v>
      </c>
      <c r="C13" s="1" t="s">
        <v>102</v>
      </c>
      <c r="D13" s="1" t="s">
        <v>103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/>
      <c r="W13" s="28">
        <v>5</v>
      </c>
      <c r="X13" s="28"/>
      <c r="Y13" s="28"/>
      <c r="Z13" s="28"/>
      <c r="AA13" s="28"/>
      <c r="AB13" s="28">
        <v>10</v>
      </c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35</v>
      </c>
      <c r="BQ13" s="1">
        <v>1</v>
      </c>
      <c r="BR13" s="17">
        <v>1</v>
      </c>
      <c r="BS13" s="17" t="s">
        <v>268</v>
      </c>
      <c r="BT13">
        <f>SUM(P13:AD13)</f>
        <v>35</v>
      </c>
    </row>
    <row r="14" spans="1:72">
      <c r="A14" s="1"/>
      <c r="B14" s="1" t="s">
        <v>123</v>
      </c>
      <c r="C14" s="1" t="s">
        <v>121</v>
      </c>
      <c r="D14" s="1" t="s">
        <v>103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/>
      <c r="W14" s="28">
        <v>5</v>
      </c>
      <c r="X14" s="28"/>
      <c r="Y14" s="28"/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1</v>
      </c>
      <c r="BR14" s="17">
        <v>1</v>
      </c>
      <c r="BS14" s="17" t="s">
        <v>268</v>
      </c>
      <c r="BT14">
        <f>SUM(P14:AD14)</f>
        <v>35</v>
      </c>
    </row>
    <row r="15" spans="1:72">
      <c r="A15" s="1"/>
      <c r="B15" s="1" t="s">
        <v>127</v>
      </c>
      <c r="C15" s="1" t="s">
        <v>125</v>
      </c>
      <c r="D15" s="1" t="s">
        <v>103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/>
      <c r="W15" s="28">
        <v>5</v>
      </c>
      <c r="X15" s="28"/>
      <c r="Y15" s="28"/>
      <c r="Z15" s="28"/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1</v>
      </c>
      <c r="BR15" s="17">
        <v>1</v>
      </c>
      <c r="BS15" s="17" t="s">
        <v>227</v>
      </c>
      <c r="BT15">
        <f>SUM(P15:AD15)</f>
        <v>35</v>
      </c>
    </row>
    <row r="16" spans="1:72">
      <c r="A16" s="1"/>
      <c r="B16" s="1" t="s">
        <v>133</v>
      </c>
      <c r="C16" s="1" t="s">
        <v>132</v>
      </c>
      <c r="D16" s="1" t="s">
        <v>103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/>
      <c r="W16" s="28">
        <v>5</v>
      </c>
      <c r="X16" s="28"/>
      <c r="Y16" s="28"/>
      <c r="Z16" s="28"/>
      <c r="AA16" s="28"/>
      <c r="AB16" s="28">
        <v>10</v>
      </c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1</v>
      </c>
      <c r="BR16" s="17">
        <v>1</v>
      </c>
      <c r="BS16" s="17" t="s">
        <v>268</v>
      </c>
      <c r="BT16">
        <f>SUM(P16:AD16)</f>
        <v>35</v>
      </c>
    </row>
    <row r="17" spans="1:72">
      <c r="A17" s="1"/>
      <c r="B17" s="1" t="s">
        <v>138</v>
      </c>
      <c r="C17" s="1" t="s">
        <v>100</v>
      </c>
      <c r="D17" s="1" t="s">
        <v>139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/>
      <c r="W17" s="28">
        <v>5</v>
      </c>
      <c r="X17" s="28"/>
      <c r="Y17" s="28"/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1</v>
      </c>
      <c r="BR17" s="17">
        <v>1</v>
      </c>
      <c r="BS17" s="17" t="s">
        <v>227</v>
      </c>
      <c r="BT17">
        <f>SUM(P17:AD17)</f>
        <v>35</v>
      </c>
    </row>
    <row r="18" spans="1:72">
      <c r="A18" s="59"/>
      <c r="B18" s="59" t="s">
        <v>208</v>
      </c>
      <c r="C18" s="59" t="s">
        <v>132</v>
      </c>
      <c r="D18" s="59" t="s">
        <v>104</v>
      </c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1"/>
      <c r="Q18" s="61"/>
      <c r="R18" s="61"/>
      <c r="S18" s="61"/>
      <c r="T18" s="61"/>
      <c r="U18" s="61">
        <v>2</v>
      </c>
      <c r="V18" s="61"/>
      <c r="W18" s="61"/>
      <c r="X18" s="61"/>
      <c r="Y18" s="61"/>
      <c r="Z18" s="61"/>
      <c r="AA18" s="61">
        <v>2</v>
      </c>
      <c r="AB18" s="61"/>
      <c r="AC18" s="61">
        <v>5</v>
      </c>
      <c r="AD18" s="61">
        <v>2</v>
      </c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62"/>
      <c r="AR18" s="62"/>
      <c r="AS18" s="62"/>
      <c r="AT18" s="62"/>
      <c r="AU18" s="62"/>
      <c r="AV18" s="62"/>
      <c r="AW18" s="63"/>
      <c r="AX18" s="63"/>
      <c r="AY18" s="63"/>
      <c r="AZ18" s="63"/>
      <c r="BA18" s="63"/>
      <c r="BB18" s="63"/>
      <c r="BC18" s="64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>
        <f>SUM(E18:BO18)</f>
        <v>11</v>
      </c>
      <c r="BQ18" s="59">
        <v>1</v>
      </c>
      <c r="BR18" s="65">
        <v>1</v>
      </c>
      <c r="BS18" s="65" t="s">
        <v>269</v>
      </c>
      <c r="BT18">
        <f>SUM(P18:AD18)</f>
        <v>11</v>
      </c>
    </row>
    <row r="19" spans="1:72">
      <c r="A19" s="1"/>
      <c r="B19" s="1" t="s">
        <v>136</v>
      </c>
      <c r="C19" s="1" t="s">
        <v>132</v>
      </c>
      <c r="D19" s="1" t="s">
        <v>105</v>
      </c>
      <c r="E19" s="6"/>
      <c r="F19" s="6"/>
      <c r="G19" s="6">
        <v>5</v>
      </c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>
        <v>5</v>
      </c>
      <c r="W19" s="28"/>
      <c r="X19" s="28"/>
      <c r="Y19" s="28">
        <v>5</v>
      </c>
      <c r="Z19" s="28"/>
      <c r="AA19" s="28"/>
      <c r="AB19" s="28"/>
      <c r="AC19" s="28">
        <v>5</v>
      </c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20</v>
      </c>
      <c r="BQ19" s="1">
        <v>1</v>
      </c>
      <c r="BR19" s="17">
        <v>1</v>
      </c>
      <c r="BS19" s="17" t="s">
        <v>269</v>
      </c>
      <c r="BT19">
        <f>SUM(P19:AD19)</f>
        <v>15</v>
      </c>
    </row>
    <row r="20" spans="1:72">
      <c r="A20" s="1"/>
      <c r="B20" s="3" t="s">
        <v>214</v>
      </c>
      <c r="C20" s="3" t="s">
        <v>25</v>
      </c>
      <c r="D20" s="1" t="s">
        <v>211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>
        <v>10</v>
      </c>
      <c r="Q20" s="28"/>
      <c r="R20" s="28"/>
      <c r="S20" s="28">
        <v>10</v>
      </c>
      <c r="T20" s="28"/>
      <c r="U20" s="28"/>
      <c r="V20" s="28"/>
      <c r="W20" s="28">
        <v>5</v>
      </c>
      <c r="X20" s="28"/>
      <c r="Y20" s="28"/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1</v>
      </c>
      <c r="BR20" s="17">
        <v>1</v>
      </c>
      <c r="BS20" s="17" t="s">
        <v>268</v>
      </c>
      <c r="BT20">
        <f>SUM(P20:AD20)</f>
        <v>35</v>
      </c>
    </row>
    <row r="21" spans="1:72">
      <c r="A21" s="1"/>
      <c r="B21" s="3" t="s">
        <v>215</v>
      </c>
      <c r="C21" s="3" t="s">
        <v>216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>
        <v>2</v>
      </c>
      <c r="Y21" s="28"/>
      <c r="Z21" s="28"/>
      <c r="AA21" s="28">
        <v>2</v>
      </c>
      <c r="AB21" s="28"/>
      <c r="AC21" s="28">
        <v>5</v>
      </c>
      <c r="AD21" s="28">
        <v>2</v>
      </c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11</v>
      </c>
      <c r="BQ21" s="1">
        <v>1</v>
      </c>
      <c r="BR21" s="17">
        <v>1</v>
      </c>
      <c r="BS21" s="17" t="s">
        <v>228</v>
      </c>
      <c r="BT21">
        <f>SUM(P21:AD21)</f>
        <v>11</v>
      </c>
    </row>
    <row r="22" spans="1:72">
      <c r="A22" s="1"/>
      <c r="B22" s="3" t="s">
        <v>217</v>
      </c>
      <c r="C22" s="3" t="s">
        <v>218</v>
      </c>
      <c r="D22" s="1" t="s">
        <v>211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>
        <v>5</v>
      </c>
      <c r="X22" s="28"/>
      <c r="Y22" s="28"/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1</v>
      </c>
      <c r="BR22" s="17">
        <v>1</v>
      </c>
      <c r="BS22" s="17" t="s">
        <v>268</v>
      </c>
      <c r="BT22">
        <f>SUM(P22:AD22)</f>
        <v>35</v>
      </c>
    </row>
    <row r="23" spans="1:72">
      <c r="A23" s="1"/>
      <c r="B23" s="3" t="s">
        <v>219</v>
      </c>
      <c r="C23" s="3" t="s">
        <v>218</v>
      </c>
      <c r="D23" s="1" t="s">
        <v>211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/>
      <c r="W23" s="28">
        <v>5</v>
      </c>
      <c r="X23" s="28"/>
      <c r="Y23" s="28"/>
      <c r="Z23" s="28"/>
      <c r="AA23" s="28"/>
      <c r="AB23" s="28">
        <v>10</v>
      </c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35</v>
      </c>
      <c r="BQ23" s="1">
        <v>1</v>
      </c>
      <c r="BR23" s="17">
        <v>1</v>
      </c>
      <c r="BS23" s="17" t="s">
        <v>268</v>
      </c>
      <c r="BT23">
        <f>SUM(P23:AD23)</f>
        <v>35</v>
      </c>
    </row>
    <row r="24" spans="1:72">
      <c r="A24" s="1"/>
      <c r="B24" s="3" t="s">
        <v>221</v>
      </c>
      <c r="C24" s="3" t="s">
        <v>101</v>
      </c>
      <c r="D24" s="1" t="s">
        <v>211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>
        <v>10</v>
      </c>
      <c r="Q24" s="28"/>
      <c r="R24" s="28"/>
      <c r="S24" s="28">
        <v>10</v>
      </c>
      <c r="T24" s="28"/>
      <c r="U24" s="28"/>
      <c r="V24" s="28"/>
      <c r="W24" s="28">
        <v>5</v>
      </c>
      <c r="X24" s="28"/>
      <c r="Y24" s="28"/>
      <c r="Z24" s="28"/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1</v>
      </c>
      <c r="BR24" s="17">
        <v>1</v>
      </c>
      <c r="BS24" s="17" t="s">
        <v>268</v>
      </c>
      <c r="BT24">
        <f>SUM(P24:AD24)</f>
        <v>35</v>
      </c>
    </row>
    <row r="25" spans="1:72" s="23" customFormat="1">
      <c r="A25" s="1"/>
      <c r="B25" s="3" t="s">
        <v>224</v>
      </c>
      <c r="C25" s="3" t="s">
        <v>101</v>
      </c>
      <c r="D25" s="1" t="s">
        <v>211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>
        <v>10</v>
      </c>
      <c r="Q25" s="28"/>
      <c r="R25" s="28"/>
      <c r="S25" s="28">
        <v>10</v>
      </c>
      <c r="T25" s="28"/>
      <c r="U25" s="28"/>
      <c r="V25" s="28"/>
      <c r="W25" s="28">
        <v>5</v>
      </c>
      <c r="X25" s="28"/>
      <c r="Y25" s="28"/>
      <c r="Z25" s="28"/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35</v>
      </c>
      <c r="BQ25" s="1">
        <v>1</v>
      </c>
      <c r="BR25" s="17">
        <v>1</v>
      </c>
      <c r="BS25" s="17" t="s">
        <v>227</v>
      </c>
      <c r="BT25">
        <f>SUM(P25:AD25)</f>
        <v>35</v>
      </c>
    </row>
    <row r="26" spans="1:72">
      <c r="A26" s="1"/>
      <c r="B26" s="1" t="s">
        <v>163</v>
      </c>
      <c r="C26" s="1" t="s">
        <v>89</v>
      </c>
      <c r="D26" s="1" t="s">
        <v>87</v>
      </c>
      <c r="E26" s="6">
        <v>6</v>
      </c>
      <c r="F26" s="6">
        <v>6</v>
      </c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>
        <v>10</v>
      </c>
      <c r="AT26" s="4"/>
      <c r="AU26" s="4"/>
      <c r="AV26" s="4"/>
      <c r="AW26" s="2"/>
      <c r="AX26" s="2">
        <v>10</v>
      </c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32</v>
      </c>
      <c r="BQ26" s="1">
        <v>1</v>
      </c>
      <c r="BR26" s="17">
        <v>1</v>
      </c>
      <c r="BS26" s="17" t="s">
        <v>278</v>
      </c>
      <c r="BT26">
        <f>SUM(P26:AD26)</f>
        <v>0</v>
      </c>
    </row>
    <row r="27" spans="1:72">
      <c r="A27" s="1"/>
      <c r="B27" s="3" t="s">
        <v>223</v>
      </c>
      <c r="C27" s="3" t="s">
        <v>101</v>
      </c>
      <c r="D27" s="1" t="s">
        <v>212</v>
      </c>
      <c r="E27" s="6"/>
      <c r="F27" s="6"/>
      <c r="G27" s="6"/>
      <c r="H27" s="6"/>
      <c r="I27" s="6"/>
      <c r="J27" s="6">
        <v>5</v>
      </c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/>
      <c r="U27" s="28"/>
      <c r="V27" s="28">
        <v>5</v>
      </c>
      <c r="W27" s="28"/>
      <c r="X27" s="28"/>
      <c r="Y27" s="28">
        <v>5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20</v>
      </c>
      <c r="BQ27" s="1">
        <v>2</v>
      </c>
      <c r="BR27" s="17">
        <v>1</v>
      </c>
      <c r="BS27" s="17" t="s">
        <v>270</v>
      </c>
      <c r="BT27">
        <f>SUM(P27:AD27)</f>
        <v>15</v>
      </c>
    </row>
    <row r="28" spans="1:72">
      <c r="A28" s="18"/>
      <c r="B28" s="18" t="s">
        <v>96</v>
      </c>
      <c r="C28" s="18" t="s">
        <v>89</v>
      </c>
      <c r="D28" s="18" t="s">
        <v>93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>
        <v>2</v>
      </c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">
        <f>SUM(E28:BO28)</f>
        <v>2</v>
      </c>
      <c r="BQ28" s="18">
        <v>2</v>
      </c>
      <c r="BR28" s="22">
        <v>1</v>
      </c>
      <c r="BS28" s="22" t="s">
        <v>256</v>
      </c>
      <c r="BT28">
        <f>SUM(P28:AD28)</f>
        <v>0</v>
      </c>
    </row>
    <row r="29" spans="1:72" s="48" customFormat="1">
      <c r="A29" s="18"/>
      <c r="B29" s="18" t="s">
        <v>184</v>
      </c>
      <c r="C29" s="18" t="s">
        <v>25</v>
      </c>
      <c r="D29" s="18" t="s">
        <v>185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>
        <v>3</v>
      </c>
      <c r="AP29" s="18"/>
      <c r="AQ29" s="20"/>
      <c r="AR29" s="20"/>
      <c r="AS29" s="20"/>
      <c r="AT29" s="20"/>
      <c r="AU29" s="20"/>
      <c r="AV29" s="20"/>
      <c r="AW29" s="21"/>
      <c r="AX29" s="21"/>
      <c r="AY29" s="21"/>
      <c r="AZ29" s="21"/>
      <c r="BA29" s="21"/>
      <c r="BB29" s="21"/>
      <c r="BC29" s="26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>
        <f>SUM(E29:BO29)</f>
        <v>3</v>
      </c>
      <c r="BQ29" s="18">
        <v>3</v>
      </c>
      <c r="BR29" s="22">
        <v>1</v>
      </c>
      <c r="BS29" s="22" t="s">
        <v>257</v>
      </c>
      <c r="BT29">
        <f>SUM(P29:AD29)</f>
        <v>0</v>
      </c>
    </row>
    <row r="30" spans="1:72">
      <c r="A30" s="1"/>
      <c r="B30" s="1" t="s">
        <v>162</v>
      </c>
      <c r="C30" s="1" t="s">
        <v>100</v>
      </c>
      <c r="D30" s="1" t="s">
        <v>86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>
        <v>10</v>
      </c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20</v>
      </c>
      <c r="BQ30" s="1">
        <v>3</v>
      </c>
      <c r="BR30" s="17">
        <v>1</v>
      </c>
      <c r="BS30" s="17" t="s">
        <v>279</v>
      </c>
      <c r="BT30">
        <f>SUM(P30:AD30)</f>
        <v>0</v>
      </c>
    </row>
    <row r="31" spans="1:72" s="48" customFormat="1">
      <c r="A31" s="1"/>
      <c r="B31" s="1" t="s">
        <v>188</v>
      </c>
      <c r="C31" s="1" t="s">
        <v>189</v>
      </c>
      <c r="D31" s="1" t="s">
        <v>190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>
        <v>15</v>
      </c>
      <c r="AV31" s="4"/>
      <c r="AW31" s="2"/>
      <c r="AX31" s="2"/>
      <c r="AY31" s="2">
        <v>15</v>
      </c>
      <c r="AZ31" s="2"/>
      <c r="BA31" s="2">
        <v>10</v>
      </c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3</v>
      </c>
      <c r="BR31" s="17">
        <v>1</v>
      </c>
      <c r="BS31" s="17" t="s">
        <v>279</v>
      </c>
      <c r="BT31">
        <f>SUM(P31:AD31)</f>
        <v>0</v>
      </c>
    </row>
    <row r="32" spans="1:72">
      <c r="A32" s="1"/>
      <c r="B32" s="1" t="s">
        <v>146</v>
      </c>
      <c r="C32" s="1" t="s">
        <v>132</v>
      </c>
      <c r="D32" s="1" t="s">
        <v>105</v>
      </c>
      <c r="E32" s="6"/>
      <c r="F32" s="6"/>
      <c r="G32" s="6"/>
      <c r="H32" s="6"/>
      <c r="I32" s="6"/>
      <c r="J32" s="6"/>
      <c r="K32" s="6"/>
      <c r="L32" s="6">
        <v>6</v>
      </c>
      <c r="M32" s="6"/>
      <c r="N32" s="6"/>
      <c r="O32" s="6">
        <v>6</v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>
        <v>10</v>
      </c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32</v>
      </c>
      <c r="BQ32" s="1">
        <v>3</v>
      </c>
      <c r="BR32" s="17">
        <v>1</v>
      </c>
      <c r="BS32" s="17" t="s">
        <v>279</v>
      </c>
      <c r="BT32">
        <f>SUM(P32:AD32)</f>
        <v>0</v>
      </c>
    </row>
    <row r="33" spans="1:72">
      <c r="A33" s="1">
        <v>81</v>
      </c>
      <c r="B33" s="3" t="s">
        <v>53</v>
      </c>
      <c r="C33" s="3" t="s">
        <v>51</v>
      </c>
      <c r="D33" s="1" t="s">
        <v>10</v>
      </c>
      <c r="E33" s="6"/>
      <c r="F33" s="6"/>
      <c r="G33" s="6"/>
      <c r="H33" s="6"/>
      <c r="I33" s="6"/>
      <c r="J33" s="6"/>
      <c r="K33" s="6"/>
      <c r="L33" s="6">
        <v>6</v>
      </c>
      <c r="M33" s="6"/>
      <c r="N33" s="6"/>
      <c r="O33" s="6">
        <v>6</v>
      </c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>
        <v>10</v>
      </c>
      <c r="AU33" s="4"/>
      <c r="AV33" s="4"/>
      <c r="AW33" s="2"/>
      <c r="AX33" s="2"/>
      <c r="AY33" s="2"/>
      <c r="AZ33" s="2"/>
      <c r="BA33" s="2">
        <v>10</v>
      </c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32</v>
      </c>
      <c r="BQ33" s="1">
        <v>3</v>
      </c>
      <c r="BR33" s="17">
        <v>1</v>
      </c>
      <c r="BS33" s="17" t="s">
        <v>280</v>
      </c>
      <c r="BT33">
        <f>SUM(P33:AD33)</f>
        <v>0</v>
      </c>
    </row>
    <row r="34" spans="1:72">
      <c r="A34" s="1"/>
      <c r="B34" s="1" t="s">
        <v>120</v>
      </c>
      <c r="C34" s="1" t="s">
        <v>121</v>
      </c>
      <c r="D34" s="1" t="s">
        <v>103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4</v>
      </c>
      <c r="BR34" s="17">
        <v>1</v>
      </c>
      <c r="BS34" s="17" t="s">
        <v>271</v>
      </c>
      <c r="BT34">
        <f>SUM(P34:AD34)</f>
        <v>40</v>
      </c>
    </row>
    <row r="35" spans="1:72" s="66" customFormat="1">
      <c r="A35" s="1"/>
      <c r="B35" s="1" t="s">
        <v>126</v>
      </c>
      <c r="C35" s="1" t="s">
        <v>125</v>
      </c>
      <c r="D35" s="1" t="s">
        <v>103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4</v>
      </c>
      <c r="BR35" s="17">
        <v>1</v>
      </c>
      <c r="BS35" s="17" t="s">
        <v>271</v>
      </c>
      <c r="BT35">
        <f>SUM(P35:AD35)</f>
        <v>40</v>
      </c>
    </row>
    <row r="36" spans="1:72">
      <c r="A36" s="1"/>
      <c r="B36" s="1" t="s">
        <v>128</v>
      </c>
      <c r="C36" s="1" t="s">
        <v>130</v>
      </c>
      <c r="D36" s="1" t="s">
        <v>103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>
        <v>10</v>
      </c>
      <c r="W36" s="28"/>
      <c r="X36" s="28"/>
      <c r="Y36" s="28">
        <v>10</v>
      </c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4</v>
      </c>
      <c r="BR36" s="17">
        <v>1</v>
      </c>
      <c r="BS36" s="17" t="s">
        <v>263</v>
      </c>
      <c r="BT36">
        <f>SUM(P36:AD36)</f>
        <v>40</v>
      </c>
    </row>
    <row r="37" spans="1:72">
      <c r="A37" s="1"/>
      <c r="B37" s="1" t="s">
        <v>134</v>
      </c>
      <c r="C37" s="1" t="s">
        <v>132</v>
      </c>
      <c r="D37" s="1" t="s">
        <v>103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>
        <v>10</v>
      </c>
      <c r="W37" s="28"/>
      <c r="X37" s="28"/>
      <c r="Y37" s="28">
        <v>10</v>
      </c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4</v>
      </c>
      <c r="BR37" s="17">
        <v>1</v>
      </c>
      <c r="BS37" s="17" t="s">
        <v>271</v>
      </c>
      <c r="BT37">
        <f>SUM(P37:AD37)</f>
        <v>40</v>
      </c>
    </row>
    <row r="38" spans="1:72">
      <c r="A38" s="1"/>
      <c r="B38" s="1" t="s">
        <v>136</v>
      </c>
      <c r="C38" s="1" t="s">
        <v>132</v>
      </c>
      <c r="D38" s="1" t="s">
        <v>103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40</v>
      </c>
      <c r="BQ38" s="1">
        <v>4</v>
      </c>
      <c r="BR38" s="17">
        <v>1</v>
      </c>
      <c r="BS38" s="17" t="s">
        <v>263</v>
      </c>
      <c r="BT38">
        <f>SUM(P38:AD38)</f>
        <v>40</v>
      </c>
    </row>
    <row r="39" spans="1:72" s="58" customFormat="1">
      <c r="A39" s="1"/>
      <c r="B39" s="1" t="s">
        <v>137</v>
      </c>
      <c r="C39" s="1" t="s">
        <v>132</v>
      </c>
      <c r="D39" s="1" t="s">
        <v>103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>
        <v>10</v>
      </c>
      <c r="W39" s="28"/>
      <c r="X39" s="28"/>
      <c r="Y39" s="28">
        <v>10</v>
      </c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40</v>
      </c>
      <c r="BQ39" s="1">
        <v>4</v>
      </c>
      <c r="BR39" s="17">
        <v>1</v>
      </c>
      <c r="BS39" s="17" t="s">
        <v>263</v>
      </c>
      <c r="BT39">
        <f>SUM(P39:AD39)</f>
        <v>40</v>
      </c>
    </row>
    <row r="40" spans="1:72">
      <c r="A40" s="1"/>
      <c r="B40" s="3" t="s">
        <v>213</v>
      </c>
      <c r="C40" s="3" t="s">
        <v>51</v>
      </c>
      <c r="D40" s="1" t="s">
        <v>211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>
        <v>10</v>
      </c>
      <c r="W40" s="28"/>
      <c r="X40" s="28"/>
      <c r="Y40" s="28">
        <v>10</v>
      </c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40</v>
      </c>
      <c r="BQ40" s="1">
        <v>4</v>
      </c>
      <c r="BR40" s="17">
        <v>1</v>
      </c>
      <c r="BS40" s="17" t="s">
        <v>263</v>
      </c>
      <c r="BT40">
        <f>SUM(P40:AD40)</f>
        <v>40</v>
      </c>
    </row>
    <row r="41" spans="1:72">
      <c r="A41" s="1"/>
      <c r="B41" s="3" t="s">
        <v>220</v>
      </c>
      <c r="C41" s="3" t="s">
        <v>218</v>
      </c>
      <c r="D41" s="1" t="s">
        <v>211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>
        <v>10</v>
      </c>
      <c r="W41" s="28"/>
      <c r="X41" s="28"/>
      <c r="Y41" s="28">
        <v>10</v>
      </c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40</v>
      </c>
      <c r="BQ41" s="1">
        <v>4</v>
      </c>
      <c r="BR41" s="17">
        <v>1</v>
      </c>
      <c r="BS41" s="17" t="s">
        <v>271</v>
      </c>
      <c r="BT41">
        <f>SUM(P41:AD41)</f>
        <v>40</v>
      </c>
    </row>
    <row r="42" spans="1:72">
      <c r="A42" s="1"/>
      <c r="B42" s="3" t="s">
        <v>222</v>
      </c>
      <c r="C42" s="3" t="s">
        <v>101</v>
      </c>
      <c r="D42" s="1" t="s">
        <v>211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>
        <v>10</v>
      </c>
      <c r="W42" s="28"/>
      <c r="X42" s="28"/>
      <c r="Y42" s="28">
        <v>10</v>
      </c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40</v>
      </c>
      <c r="BQ42" s="1">
        <v>4</v>
      </c>
      <c r="BR42" s="17">
        <v>1</v>
      </c>
      <c r="BS42" s="17" t="s">
        <v>263</v>
      </c>
      <c r="BT42">
        <f>SUM(P42:AD42)</f>
        <v>40</v>
      </c>
    </row>
    <row r="43" spans="1:72">
      <c r="A43" s="1"/>
      <c r="B43" s="3" t="s">
        <v>223</v>
      </c>
      <c r="C43" s="3" t="s">
        <v>101</v>
      </c>
      <c r="D43" s="1" t="s">
        <v>211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>
        <v>10</v>
      </c>
      <c r="W43" s="28"/>
      <c r="X43" s="28"/>
      <c r="Y43" s="28">
        <v>10</v>
      </c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40</v>
      </c>
      <c r="BQ43" s="1">
        <v>4</v>
      </c>
      <c r="BR43" s="17">
        <v>1</v>
      </c>
      <c r="BS43" s="17" t="s">
        <v>263</v>
      </c>
      <c r="BT43">
        <f>SUM(P43:AD43)</f>
        <v>40</v>
      </c>
    </row>
    <row r="44" spans="1:72" s="48" customFormat="1">
      <c r="A44" s="1"/>
      <c r="B44" s="1" t="s">
        <v>129</v>
      </c>
      <c r="C44" s="1" t="s">
        <v>130</v>
      </c>
      <c r="D44" s="1" t="s">
        <v>105</v>
      </c>
      <c r="E44" s="6"/>
      <c r="F44" s="6"/>
      <c r="G44" s="6"/>
      <c r="H44" s="6"/>
      <c r="I44" s="6"/>
      <c r="J44" s="6"/>
      <c r="K44" s="6"/>
      <c r="L44" s="6">
        <v>7</v>
      </c>
      <c r="M44" s="6"/>
      <c r="N44" s="6"/>
      <c r="O44" s="6"/>
      <c r="P44" s="28"/>
      <c r="Q44" s="28">
        <v>7</v>
      </c>
      <c r="R44" s="28"/>
      <c r="S44" s="28"/>
      <c r="T44" s="28">
        <v>7</v>
      </c>
      <c r="U44" s="28"/>
      <c r="V44" s="28"/>
      <c r="W44" s="28"/>
      <c r="X44" s="28">
        <v>7</v>
      </c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28</v>
      </c>
      <c r="BQ44" s="1">
        <v>4</v>
      </c>
      <c r="BR44" s="17">
        <v>1</v>
      </c>
      <c r="BS44" s="17" t="s">
        <v>272</v>
      </c>
      <c r="BT44">
        <f>SUM(P44:AD44)</f>
        <v>21</v>
      </c>
    </row>
    <row r="45" spans="1:72">
      <c r="A45" s="18">
        <v>63</v>
      </c>
      <c r="B45" s="30" t="s">
        <v>49</v>
      </c>
      <c r="C45" s="18" t="s">
        <v>44</v>
      </c>
      <c r="D45" s="18" t="s">
        <v>19</v>
      </c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18"/>
      <c r="AF45" s="18"/>
      <c r="AG45" s="18"/>
      <c r="AH45" s="18"/>
      <c r="AI45" s="18"/>
      <c r="AJ45" s="18"/>
      <c r="AK45" s="18"/>
      <c r="AL45" s="18"/>
      <c r="AM45" s="18"/>
      <c r="AN45" s="18">
        <v>5</v>
      </c>
      <c r="AO45" s="18"/>
      <c r="AP45" s="18"/>
      <c r="AQ45" s="20"/>
      <c r="AR45" s="20"/>
      <c r="AS45" s="20"/>
      <c r="AT45" s="20"/>
      <c r="AU45" s="20"/>
      <c r="AV45" s="20"/>
      <c r="AW45" s="21"/>
      <c r="AX45" s="21"/>
      <c r="AY45" s="21"/>
      <c r="AZ45" s="21"/>
      <c r="BA45" s="21"/>
      <c r="BB45" s="21"/>
      <c r="BC45" s="26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>
        <f>SUM(E45:BO45)</f>
        <v>5</v>
      </c>
      <c r="BQ45" s="18">
        <v>4</v>
      </c>
      <c r="BR45" s="22">
        <v>1</v>
      </c>
      <c r="BS45" s="22" t="s">
        <v>273</v>
      </c>
      <c r="BT45">
        <f>SUM(P45:AD45)</f>
        <v>0</v>
      </c>
    </row>
    <row r="46" spans="1:72">
      <c r="A46" s="18">
        <v>90</v>
      </c>
      <c r="B46" s="30" t="s">
        <v>66</v>
      </c>
      <c r="C46" s="30" t="s">
        <v>65</v>
      </c>
      <c r="D46" s="18" t="s">
        <v>19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5</v>
      </c>
      <c r="AO46" s="18"/>
      <c r="AP46" s="18"/>
      <c r="AQ46" s="20"/>
      <c r="AR46" s="20"/>
      <c r="AS46" s="20"/>
      <c r="AT46" s="20"/>
      <c r="AU46" s="20"/>
      <c r="AV46" s="20"/>
      <c r="AW46" s="21"/>
      <c r="AX46" s="21"/>
      <c r="AY46" s="21"/>
      <c r="AZ46" s="21"/>
      <c r="BA46" s="21"/>
      <c r="BB46" s="21"/>
      <c r="BC46" s="26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>
        <f>SUM(E46:BO46)</f>
        <v>5</v>
      </c>
      <c r="BQ46" s="18">
        <v>4</v>
      </c>
      <c r="BR46" s="22">
        <v>1</v>
      </c>
      <c r="BS46" s="22" t="s">
        <v>274</v>
      </c>
      <c r="BT46">
        <f>SUM(P46:AD46)</f>
        <v>0</v>
      </c>
    </row>
    <row r="47" spans="1:72">
      <c r="A47" s="1"/>
      <c r="B47" s="1" t="s">
        <v>148</v>
      </c>
      <c r="C47" s="1" t="s">
        <v>97</v>
      </c>
      <c r="D47" s="1" t="s">
        <v>86</v>
      </c>
      <c r="E47" s="6">
        <v>15</v>
      </c>
      <c r="F47" s="6"/>
      <c r="G47" s="6">
        <v>15</v>
      </c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>
        <v>15</v>
      </c>
      <c r="AS47" s="4"/>
      <c r="AT47" s="4"/>
      <c r="AU47" s="4"/>
      <c r="AV47" s="4"/>
      <c r="AW47" s="2"/>
      <c r="AX47" s="2"/>
      <c r="AY47" s="2"/>
      <c r="AZ47" s="2"/>
      <c r="BA47" s="2"/>
      <c r="BB47" s="2">
        <v>15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60</v>
      </c>
      <c r="BQ47" s="1">
        <v>4</v>
      </c>
      <c r="BR47" s="17">
        <v>1</v>
      </c>
      <c r="BS47" s="17" t="s">
        <v>258</v>
      </c>
      <c r="BT47">
        <f>SUM(P47:AD47)</f>
        <v>0</v>
      </c>
    </row>
    <row r="48" spans="1:72">
      <c r="A48" s="59"/>
      <c r="B48" s="59" t="s">
        <v>150</v>
      </c>
      <c r="C48" s="59" t="s">
        <v>97</v>
      </c>
      <c r="D48" s="59" t="s">
        <v>86</v>
      </c>
      <c r="E48" s="60">
        <v>15</v>
      </c>
      <c r="F48" s="60"/>
      <c r="G48" s="60">
        <v>15</v>
      </c>
      <c r="H48" s="60"/>
      <c r="I48" s="60"/>
      <c r="J48" s="60"/>
      <c r="K48" s="60"/>
      <c r="L48" s="60"/>
      <c r="M48" s="60"/>
      <c r="N48" s="60"/>
      <c r="O48" s="60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62"/>
      <c r="AR48" s="62">
        <v>15</v>
      </c>
      <c r="AS48" s="62"/>
      <c r="AT48" s="62"/>
      <c r="AU48" s="62"/>
      <c r="AV48" s="62"/>
      <c r="AW48" s="63"/>
      <c r="AX48" s="63"/>
      <c r="AY48" s="63"/>
      <c r="AZ48" s="63"/>
      <c r="BA48" s="63"/>
      <c r="BB48" s="63">
        <v>15</v>
      </c>
      <c r="BC48" s="64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>
        <f>SUM(E48:BO48)</f>
        <v>60</v>
      </c>
      <c r="BQ48" s="59">
        <v>4</v>
      </c>
      <c r="BR48" s="65">
        <v>1</v>
      </c>
      <c r="BS48" s="65" t="s">
        <v>258</v>
      </c>
      <c r="BT48">
        <f>SUM(P48:AD48)</f>
        <v>0</v>
      </c>
    </row>
    <row r="49" spans="1:72" s="48" customFormat="1">
      <c r="A49" s="1">
        <v>18</v>
      </c>
      <c r="B49" s="1" t="s">
        <v>27</v>
      </c>
      <c r="C49" s="1" t="s">
        <v>25</v>
      </c>
      <c r="D49" s="1" t="s">
        <v>20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>
        <v>5</v>
      </c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5</v>
      </c>
      <c r="BQ49" s="1">
        <v>5</v>
      </c>
      <c r="BR49" s="17">
        <v>1</v>
      </c>
      <c r="BS49" s="17" t="s">
        <v>275</v>
      </c>
      <c r="BT49">
        <f>SUM(P49:AD49)</f>
        <v>0</v>
      </c>
    </row>
    <row r="50" spans="1:72">
      <c r="A50" s="18">
        <v>17</v>
      </c>
      <c r="B50" s="18" t="s">
        <v>27</v>
      </c>
      <c r="C50" s="18" t="s">
        <v>25</v>
      </c>
      <c r="D50" s="18" t="s">
        <v>19</v>
      </c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18"/>
      <c r="AF50" s="18">
        <v>5</v>
      </c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20"/>
      <c r="AR50" s="20"/>
      <c r="AS50" s="20"/>
      <c r="AT50" s="20"/>
      <c r="AU50" s="20"/>
      <c r="AV50" s="20"/>
      <c r="AW50" s="21"/>
      <c r="AX50" s="21"/>
      <c r="AY50" s="21"/>
      <c r="AZ50" s="21"/>
      <c r="BA50" s="21"/>
      <c r="BB50" s="21"/>
      <c r="BC50" s="26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>
        <f>SUM(E50:BO50)</f>
        <v>5</v>
      </c>
      <c r="BQ50" s="18">
        <v>5</v>
      </c>
      <c r="BR50" s="22">
        <v>1</v>
      </c>
      <c r="BS50" s="22" t="s">
        <v>230</v>
      </c>
      <c r="BT50">
        <f>SUM(P50:AD50)</f>
        <v>0</v>
      </c>
    </row>
    <row r="51" spans="1:72">
      <c r="A51" s="18">
        <v>32</v>
      </c>
      <c r="B51" s="18" t="s">
        <v>62</v>
      </c>
      <c r="C51" s="18" t="s">
        <v>25</v>
      </c>
      <c r="D51" s="18" t="s">
        <v>19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18"/>
      <c r="AF51" s="18"/>
      <c r="AG51" s="18"/>
      <c r="AH51" s="18"/>
      <c r="AI51" s="18">
        <v>5</v>
      </c>
      <c r="AJ51" s="18"/>
      <c r="AK51" s="18"/>
      <c r="AL51" s="18"/>
      <c r="AM51" s="18"/>
      <c r="AN51" s="18"/>
      <c r="AO51" s="18"/>
      <c r="AP51" s="18"/>
      <c r="AQ51" s="20"/>
      <c r="AR51" s="20"/>
      <c r="AS51" s="20"/>
      <c r="AT51" s="20"/>
      <c r="AU51" s="20"/>
      <c r="AV51" s="20"/>
      <c r="AW51" s="21"/>
      <c r="AX51" s="21"/>
      <c r="AY51" s="21"/>
      <c r="AZ51" s="21"/>
      <c r="BA51" s="21"/>
      <c r="BB51" s="21"/>
      <c r="BC51" s="26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>
        <f>SUM(E51:BO51)</f>
        <v>5</v>
      </c>
      <c r="BQ51" s="18">
        <v>5</v>
      </c>
      <c r="BR51" s="22">
        <v>1</v>
      </c>
      <c r="BS51" s="22" t="s">
        <v>276</v>
      </c>
      <c r="BT51">
        <f>SUM(P51:AD51)</f>
        <v>0</v>
      </c>
    </row>
    <row r="52" spans="1:72">
      <c r="A52" s="18">
        <v>33</v>
      </c>
      <c r="B52" s="18" t="s">
        <v>62</v>
      </c>
      <c r="C52" s="18" t="s">
        <v>25</v>
      </c>
      <c r="D52" s="18" t="s">
        <v>0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18"/>
      <c r="AF52" s="18"/>
      <c r="AG52" s="18"/>
      <c r="AH52" s="18">
        <v>5</v>
      </c>
      <c r="AI52" s="18"/>
      <c r="AJ52" s="18"/>
      <c r="AK52" s="18"/>
      <c r="AL52" s="18"/>
      <c r="AM52" s="18"/>
      <c r="AN52" s="18"/>
      <c r="AO52" s="18"/>
      <c r="AP52" s="18"/>
      <c r="AQ52" s="20"/>
      <c r="AR52" s="20"/>
      <c r="AS52" s="20"/>
      <c r="AT52" s="20"/>
      <c r="AU52" s="20"/>
      <c r="AV52" s="20"/>
      <c r="AW52" s="21"/>
      <c r="AX52" s="21"/>
      <c r="AY52" s="21"/>
      <c r="AZ52" s="21"/>
      <c r="BA52" s="21"/>
      <c r="BB52" s="21"/>
      <c r="BC52" s="26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>
        <f>SUM(E52:BO52)</f>
        <v>5</v>
      </c>
      <c r="BQ52" s="18">
        <v>5</v>
      </c>
      <c r="BR52" s="22">
        <v>1</v>
      </c>
      <c r="BS52" s="22" t="s">
        <v>259</v>
      </c>
      <c r="BT52">
        <f>SUM(P52:AD52)</f>
        <v>0</v>
      </c>
    </row>
    <row r="53" spans="1:72">
      <c r="A53" s="18"/>
      <c r="B53" s="18" t="s">
        <v>99</v>
      </c>
      <c r="C53" s="18" t="s">
        <v>97</v>
      </c>
      <c r="D53" s="18" t="s">
        <v>93</v>
      </c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18"/>
      <c r="AF53" s="18"/>
      <c r="AG53" s="18"/>
      <c r="AH53" s="18">
        <v>5</v>
      </c>
      <c r="AI53" s="18"/>
      <c r="AJ53" s="18"/>
      <c r="AK53" s="18"/>
      <c r="AL53" s="18"/>
      <c r="AM53" s="18"/>
      <c r="AN53" s="18"/>
      <c r="AO53" s="18"/>
      <c r="AP53" s="18"/>
      <c r="AQ53" s="20"/>
      <c r="AR53" s="20"/>
      <c r="AS53" s="20"/>
      <c r="AT53" s="20"/>
      <c r="AU53" s="20"/>
      <c r="AV53" s="20"/>
      <c r="AW53" s="21"/>
      <c r="AX53" s="21"/>
      <c r="AY53" s="21"/>
      <c r="AZ53" s="21"/>
      <c r="BA53" s="21"/>
      <c r="BB53" s="21"/>
      <c r="BC53" s="26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>
        <f>SUM(E53:BO53)</f>
        <v>5</v>
      </c>
      <c r="BQ53" s="18">
        <v>5</v>
      </c>
      <c r="BR53" s="22">
        <v>1</v>
      </c>
      <c r="BS53" s="22" t="s">
        <v>277</v>
      </c>
      <c r="BT53">
        <f>SUM(P53:AD53)</f>
        <v>0</v>
      </c>
    </row>
    <row r="54" spans="1:72">
      <c r="A54" s="18"/>
      <c r="B54" s="18" t="s">
        <v>99</v>
      </c>
      <c r="C54" s="18" t="s">
        <v>97</v>
      </c>
      <c r="D54" s="18" t="s">
        <v>87</v>
      </c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18"/>
      <c r="AF54" s="18"/>
      <c r="AG54" s="18"/>
      <c r="AH54" s="18"/>
      <c r="AI54" s="18">
        <v>5</v>
      </c>
      <c r="AJ54" s="18"/>
      <c r="AK54" s="18"/>
      <c r="AL54" s="18"/>
      <c r="AM54" s="18"/>
      <c r="AN54" s="18"/>
      <c r="AO54" s="18"/>
      <c r="AP54" s="18"/>
      <c r="AQ54" s="20"/>
      <c r="AR54" s="20"/>
      <c r="AS54" s="20"/>
      <c r="AT54" s="20"/>
      <c r="AU54" s="20"/>
      <c r="AV54" s="20"/>
      <c r="AW54" s="21"/>
      <c r="AX54" s="21"/>
      <c r="AY54" s="21"/>
      <c r="AZ54" s="21"/>
      <c r="BA54" s="21"/>
      <c r="BB54" s="21"/>
      <c r="BC54" s="26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>
        <f>SUM(E54:BO54)</f>
        <v>5</v>
      </c>
      <c r="BQ54" s="18">
        <v>5</v>
      </c>
      <c r="BR54" s="22">
        <v>1</v>
      </c>
      <c r="BS54" s="22" t="s">
        <v>276</v>
      </c>
      <c r="BT54">
        <f>SUM(P54:AD54)</f>
        <v>0</v>
      </c>
    </row>
    <row r="55" spans="1:72">
      <c r="A55" s="31">
        <v>84</v>
      </c>
      <c r="B55" s="32" t="s">
        <v>164</v>
      </c>
      <c r="C55" s="32" t="s">
        <v>51</v>
      </c>
      <c r="D55" s="31" t="s">
        <v>10</v>
      </c>
      <c r="E55" s="33"/>
      <c r="F55" s="33"/>
      <c r="G55" s="33">
        <v>5</v>
      </c>
      <c r="H55" s="33">
        <v>5</v>
      </c>
      <c r="I55" s="33"/>
      <c r="J55" s="33"/>
      <c r="K55" s="33"/>
      <c r="L55" s="33"/>
      <c r="M55" s="33"/>
      <c r="N55" s="33"/>
      <c r="O55" s="33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5"/>
      <c r="AR55" s="35"/>
      <c r="AS55" s="35"/>
      <c r="AT55" s="35"/>
      <c r="AU55" s="35"/>
      <c r="AV55" s="35"/>
      <c r="AW55" s="36"/>
      <c r="AX55" s="36"/>
      <c r="AY55" s="36"/>
      <c r="AZ55" s="36"/>
      <c r="BA55" s="36">
        <v>5</v>
      </c>
      <c r="BB55" s="36">
        <v>5</v>
      </c>
      <c r="BC55" s="37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>
        <f>SUM(E55:BO55)</f>
        <v>20</v>
      </c>
      <c r="BQ55" s="31">
        <v>5</v>
      </c>
      <c r="BR55" s="38">
        <v>1</v>
      </c>
      <c r="BS55" s="38" t="s">
        <v>292</v>
      </c>
      <c r="BT55">
        <f>SUM(P55:AD55)</f>
        <v>0</v>
      </c>
    </row>
    <row r="56" spans="1:72">
      <c r="A56" s="1">
        <v>8</v>
      </c>
      <c r="B56" s="1" t="s">
        <v>147</v>
      </c>
      <c r="C56" s="1" t="s">
        <v>1</v>
      </c>
      <c r="D56" s="1" t="s">
        <v>21</v>
      </c>
      <c r="E56" s="6">
        <v>6</v>
      </c>
      <c r="F56" s="6"/>
      <c r="G56" s="6"/>
      <c r="H56" s="6">
        <v>6</v>
      </c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>
        <v>10</v>
      </c>
      <c r="AS56" s="4"/>
      <c r="AT56" s="4"/>
      <c r="AU56" s="4"/>
      <c r="AV56" s="4"/>
      <c r="AW56" s="2"/>
      <c r="AX56" s="2"/>
      <c r="AY56" s="2"/>
      <c r="AZ56" s="2"/>
      <c r="BA56" s="2"/>
      <c r="BB56" s="2">
        <v>10</v>
      </c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32</v>
      </c>
      <c r="BQ56" s="1">
        <v>6</v>
      </c>
      <c r="BR56" s="17">
        <v>1</v>
      </c>
      <c r="BS56" s="17" t="s">
        <v>295</v>
      </c>
      <c r="BT56">
        <f>SUM(P56:AD56)</f>
        <v>0</v>
      </c>
    </row>
    <row r="57" spans="1:72">
      <c r="A57" s="1"/>
      <c r="B57" s="1" t="s">
        <v>187</v>
      </c>
      <c r="C57" s="1" t="s">
        <v>1</v>
      </c>
      <c r="D57" s="1" t="s">
        <v>186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>
        <v>10</v>
      </c>
      <c r="AS57" s="4"/>
      <c r="AT57" s="4"/>
      <c r="AU57" s="4"/>
      <c r="AV57" s="4"/>
      <c r="AW57" s="2"/>
      <c r="AX57" s="2"/>
      <c r="AY57" s="2"/>
      <c r="AZ57" s="2">
        <v>10</v>
      </c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20</v>
      </c>
      <c r="BQ57" s="1">
        <v>6</v>
      </c>
      <c r="BR57" s="17">
        <v>1</v>
      </c>
      <c r="BS57" s="17" t="s">
        <v>299</v>
      </c>
      <c r="BT57">
        <f>SUM(P57:AD57)</f>
        <v>0</v>
      </c>
    </row>
    <row r="58" spans="1:72">
      <c r="A58" s="1"/>
      <c r="B58" s="1" t="s">
        <v>157</v>
      </c>
      <c r="C58" s="1" t="s">
        <v>85</v>
      </c>
      <c r="D58" s="1" t="s">
        <v>86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>
        <v>15</v>
      </c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>
        <v>15</v>
      </c>
      <c r="BC58" s="14"/>
      <c r="BD58" s="1"/>
      <c r="BE58" s="1"/>
      <c r="BF58" s="1"/>
      <c r="BG58" s="1"/>
      <c r="BH58" s="1">
        <v>15</v>
      </c>
      <c r="BI58" s="1">
        <v>15</v>
      </c>
      <c r="BJ58" s="1"/>
      <c r="BK58" s="1"/>
      <c r="BL58" s="1"/>
      <c r="BM58" s="1"/>
      <c r="BN58" s="1"/>
      <c r="BO58" s="1"/>
      <c r="BP58" s="1">
        <f>SUM(E58:BO58)</f>
        <v>60</v>
      </c>
      <c r="BQ58" s="1">
        <v>7</v>
      </c>
      <c r="BR58" s="17">
        <v>1</v>
      </c>
      <c r="BS58" s="17" t="s">
        <v>284</v>
      </c>
      <c r="BT58">
        <f>SUM(P58:AD58)</f>
        <v>0</v>
      </c>
    </row>
    <row r="59" spans="1:72">
      <c r="A59" s="1">
        <v>95</v>
      </c>
      <c r="B59" s="3" t="s">
        <v>68</v>
      </c>
      <c r="C59" s="3" t="s">
        <v>54</v>
      </c>
      <c r="D59" s="1" t="s">
        <v>0</v>
      </c>
      <c r="E59" s="6"/>
      <c r="F59" s="6"/>
      <c r="G59" s="6"/>
      <c r="H59" s="6"/>
      <c r="I59" s="6"/>
      <c r="J59" s="6"/>
      <c r="K59" s="6"/>
      <c r="L59" s="6">
        <v>15</v>
      </c>
      <c r="M59" s="6"/>
      <c r="N59" s="6"/>
      <c r="O59" s="6">
        <v>15</v>
      </c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>
        <v>15</v>
      </c>
      <c r="BB59" s="2">
        <v>15</v>
      </c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60</v>
      </c>
      <c r="BQ59" s="1">
        <v>8</v>
      </c>
      <c r="BR59" s="17">
        <v>1</v>
      </c>
      <c r="BS59" s="17" t="s">
        <v>282</v>
      </c>
      <c r="BT59">
        <f>SUM(P59:AD59)</f>
        <v>0</v>
      </c>
    </row>
    <row r="60" spans="1:72" s="58" customFormat="1">
      <c r="A60" s="1"/>
      <c r="B60" s="1" t="s">
        <v>155</v>
      </c>
      <c r="C60" s="1" t="s">
        <v>125</v>
      </c>
      <c r="D60" s="1" t="s">
        <v>104</v>
      </c>
      <c r="E60" s="6">
        <v>15</v>
      </c>
      <c r="F60" s="6"/>
      <c r="G60" s="6"/>
      <c r="H60" s="6"/>
      <c r="I60" s="6"/>
      <c r="J60" s="6"/>
      <c r="K60" s="6"/>
      <c r="L60" s="6"/>
      <c r="M60" s="6">
        <v>15</v>
      </c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>
        <v>15</v>
      </c>
      <c r="AX60" s="2"/>
      <c r="AY60" s="2"/>
      <c r="AZ60" s="2"/>
      <c r="BA60" s="2">
        <v>15</v>
      </c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60</v>
      </c>
      <c r="BQ60" s="1">
        <v>8</v>
      </c>
      <c r="BR60" s="17">
        <v>1</v>
      </c>
      <c r="BS60" s="17" t="s">
        <v>283</v>
      </c>
      <c r="BT60">
        <f>SUM(P60:AD60)</f>
        <v>0</v>
      </c>
    </row>
    <row r="61" spans="1:72">
      <c r="A61" s="1"/>
      <c r="B61" s="1" t="s">
        <v>160</v>
      </c>
      <c r="C61" s="1" t="s">
        <v>100</v>
      </c>
      <c r="D61" s="1" t="s">
        <v>87</v>
      </c>
      <c r="E61" s="6"/>
      <c r="F61" s="6"/>
      <c r="G61" s="6"/>
      <c r="H61" s="6">
        <v>10</v>
      </c>
      <c r="I61" s="6"/>
      <c r="J61" s="6">
        <v>10</v>
      </c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>
        <v>10</v>
      </c>
      <c r="AU61" s="4"/>
      <c r="AV61" s="4"/>
      <c r="AW61" s="2"/>
      <c r="AX61" s="2"/>
      <c r="AY61" s="2">
        <v>10</v>
      </c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40</v>
      </c>
      <c r="BQ61" s="1">
        <v>10</v>
      </c>
      <c r="BR61" s="17">
        <v>1</v>
      </c>
      <c r="BS61" s="17" t="s">
        <v>281</v>
      </c>
      <c r="BT61">
        <f>SUM(P61:AD61)</f>
        <v>0</v>
      </c>
    </row>
    <row r="62" spans="1:72">
      <c r="A62" s="59"/>
      <c r="B62" s="59" t="s">
        <v>144</v>
      </c>
      <c r="C62" s="59" t="s">
        <v>101</v>
      </c>
      <c r="D62" s="59" t="s">
        <v>86</v>
      </c>
      <c r="E62" s="60"/>
      <c r="F62" s="60"/>
      <c r="G62" s="60"/>
      <c r="H62" s="60"/>
      <c r="I62" s="60"/>
      <c r="J62" s="60"/>
      <c r="K62" s="60"/>
      <c r="L62" s="60">
        <v>20</v>
      </c>
      <c r="M62" s="60"/>
      <c r="N62" s="60"/>
      <c r="O62" s="60">
        <v>20</v>
      </c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62"/>
      <c r="AR62" s="62"/>
      <c r="AS62" s="62"/>
      <c r="AT62" s="62"/>
      <c r="AU62" s="62"/>
      <c r="AV62" s="62"/>
      <c r="AW62" s="63"/>
      <c r="AX62" s="63"/>
      <c r="AY62" s="63"/>
      <c r="AZ62" s="63"/>
      <c r="BA62" s="63">
        <v>20</v>
      </c>
      <c r="BB62" s="63">
        <v>20</v>
      </c>
      <c r="BC62" s="64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>
        <f>SUM(E62:BO62)</f>
        <v>80</v>
      </c>
      <c r="BQ62" s="59">
        <v>13</v>
      </c>
      <c r="BR62" s="65">
        <v>1</v>
      </c>
      <c r="BS62" s="65" t="s">
        <v>285</v>
      </c>
      <c r="BT62">
        <f>SUM(P62:AD62)</f>
        <v>0</v>
      </c>
    </row>
    <row r="63" spans="1:72">
      <c r="A63" s="18">
        <v>64</v>
      </c>
      <c r="B63" s="24" t="s">
        <v>49</v>
      </c>
      <c r="C63" s="18" t="s">
        <v>44</v>
      </c>
      <c r="D63" s="18" t="s">
        <v>0</v>
      </c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15</v>
      </c>
      <c r="AO63" s="18"/>
      <c r="AP63" s="18"/>
      <c r="AQ63" s="20"/>
      <c r="AR63" s="20"/>
      <c r="AS63" s="20"/>
      <c r="AT63" s="20"/>
      <c r="AU63" s="20"/>
      <c r="AV63" s="20"/>
      <c r="AW63" s="21"/>
      <c r="AX63" s="21"/>
      <c r="AY63" s="21"/>
      <c r="AZ63" s="21"/>
      <c r="BA63" s="21"/>
      <c r="BB63" s="21"/>
      <c r="BC63" s="26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>
        <f>SUM(E63:BO63)</f>
        <v>15</v>
      </c>
      <c r="BQ63" s="18">
        <v>14</v>
      </c>
      <c r="BR63" s="22">
        <v>1</v>
      </c>
      <c r="BS63" s="22" t="s">
        <v>229</v>
      </c>
      <c r="BT63">
        <f>SUM(P63:AD63)</f>
        <v>0</v>
      </c>
    </row>
    <row r="64" spans="1:72">
      <c r="A64" s="1">
        <v>98</v>
      </c>
      <c r="B64" s="3" t="s">
        <v>145</v>
      </c>
      <c r="C64" s="3" t="s">
        <v>54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>
        <v>50</v>
      </c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50</v>
      </c>
      <c r="BQ64" s="1">
        <v>44</v>
      </c>
      <c r="BR64" s="17">
        <v>1</v>
      </c>
      <c r="BS64" s="17" t="s">
        <v>286</v>
      </c>
      <c r="BT64">
        <f>SUM(P64:AD64)</f>
        <v>0</v>
      </c>
    </row>
    <row r="65" spans="1:72">
      <c r="A65" s="1">
        <v>99</v>
      </c>
      <c r="B65" s="3" t="s">
        <v>145</v>
      </c>
      <c r="C65" s="3" t="s">
        <v>54</v>
      </c>
      <c r="D65" s="1" t="s">
        <v>10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>
        <v>200</v>
      </c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200</v>
      </c>
      <c r="BQ65" s="1">
        <v>194</v>
      </c>
      <c r="BR65" s="17">
        <v>1</v>
      </c>
      <c r="BS65" s="17" t="s">
        <v>287</v>
      </c>
      <c r="BT65">
        <f>SUM(P65:AD65)</f>
        <v>0</v>
      </c>
    </row>
    <row r="66" spans="1:72" ht="27">
      <c r="A66" s="1"/>
      <c r="B66" s="1" t="s">
        <v>114</v>
      </c>
      <c r="C66" s="1" t="s">
        <v>102</v>
      </c>
      <c r="D66" s="1" t="s">
        <v>104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>
        <v>2</v>
      </c>
      <c r="S66" s="28"/>
      <c r="T66" s="28">
        <v>5</v>
      </c>
      <c r="U66" s="28"/>
      <c r="V66" s="28"/>
      <c r="W66" s="28"/>
      <c r="X66" s="28"/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17</v>
      </c>
      <c r="BQ66" s="1">
        <v>3</v>
      </c>
      <c r="BR66" s="17">
        <v>2</v>
      </c>
      <c r="BS66" s="17" t="s">
        <v>288</v>
      </c>
      <c r="BT66">
        <f>SUM(P66:AD66)</f>
        <v>17</v>
      </c>
    </row>
    <row r="67" spans="1:72" ht="27">
      <c r="A67" s="1"/>
      <c r="B67" s="1" t="s">
        <v>119</v>
      </c>
      <c r="C67" s="1" t="s">
        <v>102</v>
      </c>
      <c r="D67" s="1" t="s">
        <v>104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>
        <v>2</v>
      </c>
      <c r="S67" s="28"/>
      <c r="T67" s="28">
        <v>5</v>
      </c>
      <c r="U67" s="28"/>
      <c r="V67" s="28"/>
      <c r="W67" s="28"/>
      <c r="X67" s="28"/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17</v>
      </c>
      <c r="BQ67" s="1">
        <v>3</v>
      </c>
      <c r="BR67" s="17">
        <v>2</v>
      </c>
      <c r="BS67" s="17" t="s">
        <v>262</v>
      </c>
      <c r="BT67">
        <f>SUM(P67:AD67)</f>
        <v>17</v>
      </c>
    </row>
    <row r="68" spans="1:72" ht="27">
      <c r="A68" s="1"/>
      <c r="B68" s="1" t="s">
        <v>127</v>
      </c>
      <c r="C68" s="1" t="s">
        <v>125</v>
      </c>
      <c r="D68" s="1" t="s">
        <v>104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>
        <v>2</v>
      </c>
      <c r="S68" s="28"/>
      <c r="T68" s="28">
        <v>5</v>
      </c>
      <c r="U68" s="28"/>
      <c r="V68" s="28"/>
      <c r="W68" s="28"/>
      <c r="X68" s="28"/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3</v>
      </c>
      <c r="BR68" s="17">
        <v>2</v>
      </c>
      <c r="BS68" s="17" t="s">
        <v>262</v>
      </c>
      <c r="BT68">
        <f>SUM(P68:AD68)</f>
        <v>17</v>
      </c>
    </row>
    <row r="69" spans="1:72" ht="27">
      <c r="A69" s="1"/>
      <c r="B69" s="1" t="s">
        <v>129</v>
      </c>
      <c r="C69" s="1" t="s">
        <v>130</v>
      </c>
      <c r="D69" s="1" t="s">
        <v>104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>
        <v>2</v>
      </c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3</v>
      </c>
      <c r="BR69" s="17">
        <v>2</v>
      </c>
      <c r="BS69" s="17" t="s">
        <v>288</v>
      </c>
      <c r="BT69">
        <f>SUM(P69:AD69)</f>
        <v>17</v>
      </c>
    </row>
    <row r="70" spans="1:72" ht="27">
      <c r="A70" s="1"/>
      <c r="B70" s="1" t="s">
        <v>123</v>
      </c>
      <c r="C70" s="1" t="s">
        <v>121</v>
      </c>
      <c r="D70" s="1" t="s">
        <v>104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/>
      <c r="Y70" s="28"/>
      <c r="Z70" s="28">
        <v>5</v>
      </c>
      <c r="AA70" s="28">
        <v>2</v>
      </c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17</v>
      </c>
      <c r="BQ70" s="1">
        <v>3</v>
      </c>
      <c r="BR70" s="17">
        <v>2</v>
      </c>
      <c r="BS70" s="17" t="s">
        <v>262</v>
      </c>
      <c r="BT70">
        <f>SUM(P70:AD70)</f>
        <v>17</v>
      </c>
    </row>
    <row r="71" spans="1:72" ht="27">
      <c r="A71" s="1"/>
      <c r="B71" s="1" t="s">
        <v>133</v>
      </c>
      <c r="C71" s="1" t="s">
        <v>132</v>
      </c>
      <c r="D71" s="1" t="s">
        <v>104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/>
      <c r="Y71" s="28"/>
      <c r="Z71" s="28">
        <v>5</v>
      </c>
      <c r="AA71" s="28">
        <v>2</v>
      </c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17</v>
      </c>
      <c r="BQ71" s="1">
        <v>3</v>
      </c>
      <c r="BR71" s="17">
        <v>2</v>
      </c>
      <c r="BS71" s="17" t="s">
        <v>288</v>
      </c>
      <c r="BT71">
        <f>SUM(P71:AD71)</f>
        <v>17</v>
      </c>
    </row>
    <row r="72" spans="1:72" ht="27">
      <c r="A72" s="1"/>
      <c r="B72" s="1" t="s">
        <v>138</v>
      </c>
      <c r="C72" s="1" t="s">
        <v>100</v>
      </c>
      <c r="D72" s="1" t="s">
        <v>140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/>
      <c r="Y72" s="28"/>
      <c r="Z72" s="28">
        <v>5</v>
      </c>
      <c r="AA72" s="28">
        <v>2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17</v>
      </c>
      <c r="BQ72" s="1">
        <v>3</v>
      </c>
      <c r="BR72" s="17">
        <v>2</v>
      </c>
      <c r="BS72" s="17" t="s">
        <v>288</v>
      </c>
      <c r="BT72">
        <f>SUM(P72:AD72)</f>
        <v>17</v>
      </c>
    </row>
    <row r="73" spans="1:72" ht="27">
      <c r="A73" s="1"/>
      <c r="B73" s="3" t="s">
        <v>214</v>
      </c>
      <c r="C73" s="3" t="s">
        <v>25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/>
      <c r="X73" s="28">
        <v>2</v>
      </c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17</v>
      </c>
      <c r="BQ73" s="1">
        <v>3</v>
      </c>
      <c r="BR73" s="17">
        <v>2</v>
      </c>
      <c r="BS73" s="17" t="s">
        <v>288</v>
      </c>
      <c r="BT73">
        <f>SUM(P73:AD73)</f>
        <v>17</v>
      </c>
    </row>
    <row r="74" spans="1:72" ht="27">
      <c r="A74" s="1"/>
      <c r="B74" s="3" t="s">
        <v>217</v>
      </c>
      <c r="C74" s="3" t="s">
        <v>218</v>
      </c>
      <c r="D74" s="1" t="s"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>
        <v>5</v>
      </c>
      <c r="U74" s="28"/>
      <c r="V74" s="28"/>
      <c r="W74" s="28"/>
      <c r="X74" s="28"/>
      <c r="Y74" s="28"/>
      <c r="Z74" s="28">
        <v>5</v>
      </c>
      <c r="AA74" s="28">
        <v>2</v>
      </c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17</v>
      </c>
      <c r="BQ74" s="1">
        <v>3</v>
      </c>
      <c r="BR74" s="17">
        <v>2</v>
      </c>
      <c r="BS74" s="17" t="s">
        <v>262</v>
      </c>
      <c r="BT74">
        <f>SUM(P74:AD74)</f>
        <v>17</v>
      </c>
    </row>
    <row r="75" spans="1:72" ht="27">
      <c r="A75" s="1"/>
      <c r="B75" s="3" t="s">
        <v>219</v>
      </c>
      <c r="C75" s="3" t="s">
        <v>218</v>
      </c>
      <c r="D75" s="1" t="s">
        <v>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/>
      <c r="X75" s="28">
        <v>2</v>
      </c>
      <c r="Y75" s="28"/>
      <c r="Z75" s="28">
        <v>5</v>
      </c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17</v>
      </c>
      <c r="BQ75" s="1">
        <v>3</v>
      </c>
      <c r="BR75" s="17">
        <v>2</v>
      </c>
      <c r="BS75" s="17" t="s">
        <v>288</v>
      </c>
      <c r="BT75">
        <f>SUM(P75:AD75)</f>
        <v>17</v>
      </c>
    </row>
    <row r="76" spans="1:72" ht="27">
      <c r="A76" s="1"/>
      <c r="B76" s="3" t="s">
        <v>221</v>
      </c>
      <c r="C76" s="3" t="s">
        <v>101</v>
      </c>
      <c r="D76" s="1" t="s"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>
        <v>2</v>
      </c>
      <c r="Y76" s="28"/>
      <c r="Z76" s="28">
        <v>5</v>
      </c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3</v>
      </c>
      <c r="BR76" s="17">
        <v>2</v>
      </c>
      <c r="BS76" s="17" t="s">
        <v>262</v>
      </c>
      <c r="BT76">
        <f>SUM(P76:AD76)</f>
        <v>17</v>
      </c>
    </row>
    <row r="77" spans="1:72" ht="27">
      <c r="A77" s="1"/>
      <c r="B77" s="3" t="s">
        <v>224</v>
      </c>
      <c r="C77" s="3" t="s">
        <v>101</v>
      </c>
      <c r="D77" s="1" t="s">
        <v>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>
        <v>2</v>
      </c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3</v>
      </c>
      <c r="BR77" s="17">
        <v>2</v>
      </c>
      <c r="BS77" s="17" t="s">
        <v>262</v>
      </c>
      <c r="BT77">
        <f>SUM(P77:AD77)</f>
        <v>17</v>
      </c>
    </row>
    <row r="78" spans="1:72" ht="27">
      <c r="A78" s="1"/>
      <c r="B78" s="1" t="s">
        <v>133</v>
      </c>
      <c r="C78" s="1" t="s">
        <v>132</v>
      </c>
      <c r="D78" s="1" t="s">
        <v>105</v>
      </c>
      <c r="E78" s="6"/>
      <c r="F78" s="6"/>
      <c r="G78" s="6">
        <v>10</v>
      </c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>
        <v>10</v>
      </c>
      <c r="Y78" s="28"/>
      <c r="Z78" s="28"/>
      <c r="AA78" s="28"/>
      <c r="AB78" s="28"/>
      <c r="AC78" s="28"/>
      <c r="AD78" s="28">
        <v>10</v>
      </c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>
        <v>10</v>
      </c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40</v>
      </c>
      <c r="BQ78" s="1">
        <v>4</v>
      </c>
      <c r="BR78" s="17">
        <v>2</v>
      </c>
      <c r="BS78" s="17" t="s">
        <v>289</v>
      </c>
      <c r="BT78">
        <f>SUM(P78:AD78)</f>
        <v>20</v>
      </c>
    </row>
    <row r="79" spans="1:72" ht="27">
      <c r="A79" s="1"/>
      <c r="B79" s="1" t="s">
        <v>138</v>
      </c>
      <c r="C79" s="1" t="s">
        <v>100</v>
      </c>
      <c r="D79" s="1" t="s">
        <v>141</v>
      </c>
      <c r="E79" s="6"/>
      <c r="F79" s="6"/>
      <c r="G79" s="6">
        <v>10</v>
      </c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>
        <v>10</v>
      </c>
      <c r="Y79" s="28"/>
      <c r="Z79" s="28"/>
      <c r="AA79" s="28"/>
      <c r="AB79" s="28"/>
      <c r="AC79" s="28"/>
      <c r="AD79" s="28">
        <v>10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>
        <v>10</v>
      </c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40</v>
      </c>
      <c r="BQ79" s="1">
        <v>4</v>
      </c>
      <c r="BR79" s="17">
        <v>2</v>
      </c>
      <c r="BS79" s="17" t="s">
        <v>289</v>
      </c>
      <c r="BT79">
        <f>SUM(P79:AD79)</f>
        <v>20</v>
      </c>
    </row>
    <row r="80" spans="1:72" ht="27">
      <c r="A80" s="1"/>
      <c r="B80" s="3" t="s">
        <v>217</v>
      </c>
      <c r="C80" s="3" t="s">
        <v>218</v>
      </c>
      <c r="D80" s="1" t="s">
        <v>212</v>
      </c>
      <c r="E80" s="6"/>
      <c r="F80" s="6"/>
      <c r="G80" s="6">
        <v>10</v>
      </c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>
        <v>10</v>
      </c>
      <c r="Y80" s="28"/>
      <c r="Z80" s="28"/>
      <c r="AA80" s="28"/>
      <c r="AB80" s="28"/>
      <c r="AC80" s="28"/>
      <c r="AD80" s="28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>
        <v>10</v>
      </c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40</v>
      </c>
      <c r="BQ80" s="1">
        <v>4</v>
      </c>
      <c r="BR80" s="17">
        <v>2</v>
      </c>
      <c r="BS80" s="17" t="s">
        <v>289</v>
      </c>
      <c r="BT80">
        <f>SUM(P80:AD80)</f>
        <v>20</v>
      </c>
    </row>
    <row r="81" spans="1:72" ht="27">
      <c r="A81" s="1"/>
      <c r="B81" s="1" t="s">
        <v>128</v>
      </c>
      <c r="C81" s="1" t="s">
        <v>130</v>
      </c>
      <c r="D81" s="1" t="s">
        <v>104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>
        <v>10</v>
      </c>
      <c r="W81" s="28"/>
      <c r="X81" s="28"/>
      <c r="Y81" s="28">
        <v>10</v>
      </c>
      <c r="Z81" s="28"/>
      <c r="AA81" s="28"/>
      <c r="AB81" s="28">
        <v>10</v>
      </c>
      <c r="AC81" s="28">
        <v>5</v>
      </c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35</v>
      </c>
      <c r="BQ81" s="1">
        <v>5</v>
      </c>
      <c r="BR81" s="17">
        <v>2</v>
      </c>
      <c r="BS81" s="17" t="s">
        <v>290</v>
      </c>
      <c r="BT81">
        <f>SUM(P81:AD81)</f>
        <v>35</v>
      </c>
    </row>
    <row r="82" spans="1:72" s="66" customFormat="1" ht="27">
      <c r="A82" s="1"/>
      <c r="B82" s="1" t="s">
        <v>136</v>
      </c>
      <c r="C82" s="1" t="s">
        <v>132</v>
      </c>
      <c r="D82" s="1" t="s">
        <v>104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>
        <v>10</v>
      </c>
      <c r="W82" s="28"/>
      <c r="X82" s="28"/>
      <c r="Y82" s="28">
        <v>10</v>
      </c>
      <c r="Z82" s="28"/>
      <c r="AA82" s="28"/>
      <c r="AB82" s="28">
        <v>10</v>
      </c>
      <c r="AC82" s="28">
        <v>5</v>
      </c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35</v>
      </c>
      <c r="BQ82" s="1">
        <v>5</v>
      </c>
      <c r="BR82" s="17">
        <v>2</v>
      </c>
      <c r="BS82" s="17" t="s">
        <v>254</v>
      </c>
      <c r="BT82">
        <f>SUM(P82:AD82)</f>
        <v>35</v>
      </c>
    </row>
    <row r="83" spans="1:72" ht="27">
      <c r="A83" s="1"/>
      <c r="B83" s="1" t="s">
        <v>137</v>
      </c>
      <c r="C83" s="1" t="s">
        <v>132</v>
      </c>
      <c r="D83" s="1" t="s">
        <v>104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>
        <v>10</v>
      </c>
      <c r="W83" s="28"/>
      <c r="X83" s="28"/>
      <c r="Y83" s="28">
        <v>10</v>
      </c>
      <c r="Z83" s="28"/>
      <c r="AA83" s="28"/>
      <c r="AB83" s="28">
        <v>10</v>
      </c>
      <c r="AC83" s="28">
        <v>5</v>
      </c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35</v>
      </c>
      <c r="BQ83" s="1">
        <v>5</v>
      </c>
      <c r="BR83" s="17">
        <v>2</v>
      </c>
      <c r="BS83" s="17" t="s">
        <v>290</v>
      </c>
      <c r="BT83">
        <f>SUM(P83:AD83)</f>
        <v>35</v>
      </c>
    </row>
    <row r="84" spans="1:72" ht="27">
      <c r="A84" s="1"/>
      <c r="B84" s="3" t="s">
        <v>213</v>
      </c>
      <c r="C84" s="3" t="s">
        <v>51</v>
      </c>
      <c r="D84" s="1" t="s">
        <v>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>
        <v>10</v>
      </c>
      <c r="W84" s="28"/>
      <c r="X84" s="28"/>
      <c r="Y84" s="28">
        <v>10</v>
      </c>
      <c r="Z84" s="28"/>
      <c r="AA84" s="28"/>
      <c r="AB84" s="28">
        <v>10</v>
      </c>
      <c r="AC84" s="28">
        <v>5</v>
      </c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35</v>
      </c>
      <c r="BQ84" s="1">
        <v>5</v>
      </c>
      <c r="BR84" s="17">
        <v>2</v>
      </c>
      <c r="BS84" s="17" t="s">
        <v>290</v>
      </c>
      <c r="BT84">
        <f>SUM(P84:AD84)</f>
        <v>35</v>
      </c>
    </row>
    <row r="85" spans="1:72" ht="27">
      <c r="A85" s="1"/>
      <c r="B85" s="3" t="s">
        <v>222</v>
      </c>
      <c r="C85" s="3" t="s">
        <v>101</v>
      </c>
      <c r="D85" s="1" t="s"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>
        <v>10</v>
      </c>
      <c r="W85" s="28"/>
      <c r="X85" s="28"/>
      <c r="Y85" s="28">
        <v>10</v>
      </c>
      <c r="Z85" s="28"/>
      <c r="AA85" s="28"/>
      <c r="AB85" s="28">
        <v>10</v>
      </c>
      <c r="AC85" s="28">
        <v>5</v>
      </c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35</v>
      </c>
      <c r="BQ85" s="1">
        <v>5</v>
      </c>
      <c r="BR85" s="17">
        <v>2</v>
      </c>
      <c r="BS85" s="17" t="s">
        <v>290</v>
      </c>
      <c r="BT85">
        <f>SUM(P85:AD85)</f>
        <v>35</v>
      </c>
    </row>
    <row r="86" spans="1:72" ht="27">
      <c r="A86" s="1"/>
      <c r="B86" s="1" t="s">
        <v>120</v>
      </c>
      <c r="C86" s="1" t="s">
        <v>121</v>
      </c>
      <c r="D86" s="1" t="s">
        <v>104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>
        <v>5</v>
      </c>
      <c r="R86" s="28"/>
      <c r="S86" s="28"/>
      <c r="T86" s="28"/>
      <c r="U86" s="28"/>
      <c r="V86" s="28">
        <v>10</v>
      </c>
      <c r="W86" s="28"/>
      <c r="X86" s="28"/>
      <c r="Y86" s="28">
        <v>10</v>
      </c>
      <c r="Z86" s="28"/>
      <c r="AA86" s="28"/>
      <c r="AB86" s="28">
        <v>10</v>
      </c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35</v>
      </c>
      <c r="BQ86" s="1">
        <v>6</v>
      </c>
      <c r="BR86" s="17">
        <v>2</v>
      </c>
      <c r="BS86" s="17" t="s">
        <v>255</v>
      </c>
      <c r="BT86">
        <f>SUM(P86:AD86)</f>
        <v>35</v>
      </c>
    </row>
    <row r="87" spans="1:72" ht="27">
      <c r="A87" s="1"/>
      <c r="B87" s="1" t="s">
        <v>126</v>
      </c>
      <c r="C87" s="1" t="s">
        <v>125</v>
      </c>
      <c r="D87" s="1" t="s">
        <v>104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>
        <v>5</v>
      </c>
      <c r="R87" s="28"/>
      <c r="S87" s="28"/>
      <c r="T87" s="28"/>
      <c r="U87" s="28"/>
      <c r="V87" s="28">
        <v>10</v>
      </c>
      <c r="W87" s="28"/>
      <c r="X87" s="28"/>
      <c r="Y87" s="28">
        <v>10</v>
      </c>
      <c r="Z87" s="28"/>
      <c r="AA87" s="28"/>
      <c r="AB87" s="28">
        <v>10</v>
      </c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35</v>
      </c>
      <c r="BQ87" s="1">
        <v>6</v>
      </c>
      <c r="BR87" s="17">
        <v>2</v>
      </c>
      <c r="BS87" s="17" t="s">
        <v>291</v>
      </c>
      <c r="BT87">
        <f>SUM(P87:AD87)</f>
        <v>35</v>
      </c>
    </row>
    <row r="88" spans="1:72" ht="27">
      <c r="A88" s="1"/>
      <c r="B88" s="3" t="s">
        <v>252</v>
      </c>
      <c r="C88" s="3" t="s">
        <v>51</v>
      </c>
      <c r="D88" s="1" t="s">
        <v>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>
        <v>5</v>
      </c>
      <c r="R88" s="28"/>
      <c r="S88" s="28"/>
      <c r="T88" s="28"/>
      <c r="U88" s="28"/>
      <c r="V88" s="28">
        <v>10</v>
      </c>
      <c r="W88" s="28"/>
      <c r="X88" s="28"/>
      <c r="Y88" s="28">
        <v>10</v>
      </c>
      <c r="Z88" s="28"/>
      <c r="AA88" s="28"/>
      <c r="AB88" s="28">
        <v>10</v>
      </c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35</v>
      </c>
      <c r="BQ88" s="1">
        <v>6</v>
      </c>
      <c r="BR88" s="17">
        <v>2</v>
      </c>
      <c r="BS88" s="17" t="s">
        <v>291</v>
      </c>
      <c r="BT88">
        <f>SUM(P88:AD88)</f>
        <v>35</v>
      </c>
    </row>
    <row r="89" spans="1:72" ht="27">
      <c r="A89" s="1"/>
      <c r="B89" s="3" t="s">
        <v>223</v>
      </c>
      <c r="C89" s="3" t="s">
        <v>101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>
        <v>5</v>
      </c>
      <c r="R89" s="28"/>
      <c r="S89" s="28"/>
      <c r="T89" s="28"/>
      <c r="U89" s="28"/>
      <c r="V89" s="28">
        <v>10</v>
      </c>
      <c r="W89" s="28"/>
      <c r="X89" s="28"/>
      <c r="Y89" s="28">
        <v>10</v>
      </c>
      <c r="Z89" s="28"/>
      <c r="AA89" s="28"/>
      <c r="AB89" s="28">
        <v>10</v>
      </c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35</v>
      </c>
      <c r="BQ89" s="1">
        <v>6</v>
      </c>
      <c r="BR89" s="17">
        <v>2</v>
      </c>
      <c r="BS89" s="17" t="s">
        <v>291</v>
      </c>
      <c r="BT89">
        <f>SUM(P89:AD89)</f>
        <v>35</v>
      </c>
    </row>
    <row r="90" spans="1:72" ht="27">
      <c r="A90" s="1"/>
      <c r="B90" s="1" t="s">
        <v>96</v>
      </c>
      <c r="C90" s="1" t="s">
        <v>89</v>
      </c>
      <c r="D90" s="1" t="s">
        <v>86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>
        <v>5</v>
      </c>
      <c r="AP90" s="1">
        <v>1</v>
      </c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</v>
      </c>
      <c r="BQ90" s="1">
        <v>6</v>
      </c>
      <c r="BR90" s="17">
        <v>2</v>
      </c>
      <c r="BS90" s="17" t="s">
        <v>231</v>
      </c>
      <c r="BT90">
        <f>SUM(P90:AD90)</f>
        <v>0</v>
      </c>
    </row>
    <row r="91" spans="1:72" ht="27">
      <c r="A91" s="1"/>
      <c r="B91" s="1" t="s">
        <v>184</v>
      </c>
      <c r="C91" s="1" t="s">
        <v>25</v>
      </c>
      <c r="D91" s="1" t="s">
        <v>20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>
        <v>5</v>
      </c>
      <c r="AP91" s="1">
        <v>1</v>
      </c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6</v>
      </c>
      <c r="BQ91" s="1">
        <v>6</v>
      </c>
      <c r="BR91" s="17">
        <v>2</v>
      </c>
      <c r="BS91" s="17" t="s">
        <v>231</v>
      </c>
      <c r="BT91">
        <f>SUM(P91:AD91)</f>
        <v>0</v>
      </c>
    </row>
    <row r="92" spans="1:72" ht="27">
      <c r="A92" s="1"/>
      <c r="B92" s="1" t="s">
        <v>127</v>
      </c>
      <c r="C92" s="1" t="s">
        <v>125</v>
      </c>
      <c r="D92" s="1" t="s">
        <v>105</v>
      </c>
      <c r="E92" s="6"/>
      <c r="F92" s="6"/>
      <c r="G92" s="6"/>
      <c r="H92" s="6"/>
      <c r="I92" s="6">
        <v>7</v>
      </c>
      <c r="J92" s="6"/>
      <c r="K92" s="6"/>
      <c r="L92" s="6"/>
      <c r="M92" s="6"/>
      <c r="N92" s="6"/>
      <c r="O92" s="6"/>
      <c r="P92" s="28"/>
      <c r="Q92" s="28">
        <v>7</v>
      </c>
      <c r="R92" s="28">
        <v>7</v>
      </c>
      <c r="S92" s="28"/>
      <c r="T92" s="28">
        <v>7</v>
      </c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28</v>
      </c>
      <c r="BQ92" s="1">
        <v>7</v>
      </c>
      <c r="BR92" s="17">
        <v>2</v>
      </c>
      <c r="BS92" s="17" t="s">
        <v>225</v>
      </c>
      <c r="BT92">
        <f>SUM(P92:AD92)</f>
        <v>21</v>
      </c>
    </row>
    <row r="93" spans="1:72" ht="27">
      <c r="A93" s="50"/>
      <c r="B93" s="50" t="s">
        <v>207</v>
      </c>
      <c r="C93" s="50" t="s">
        <v>102</v>
      </c>
      <c r="D93" s="50" t="s">
        <v>105</v>
      </c>
      <c r="E93" s="51"/>
      <c r="F93" s="51"/>
      <c r="G93" s="51"/>
      <c r="H93" s="51"/>
      <c r="I93" s="51">
        <v>10</v>
      </c>
      <c r="J93" s="51"/>
      <c r="K93" s="51"/>
      <c r="L93" s="51"/>
      <c r="M93" s="51"/>
      <c r="N93" s="51"/>
      <c r="O93" s="51"/>
      <c r="P93" s="52"/>
      <c r="Q93" s="52"/>
      <c r="R93" s="52">
        <v>10</v>
      </c>
      <c r="S93" s="52"/>
      <c r="T93" s="52"/>
      <c r="U93" s="52"/>
      <c r="V93" s="52"/>
      <c r="W93" s="52"/>
      <c r="X93" s="52">
        <v>10</v>
      </c>
      <c r="Y93" s="52"/>
      <c r="Z93" s="52"/>
      <c r="AA93" s="52"/>
      <c r="AB93" s="52"/>
      <c r="AC93" s="52"/>
      <c r="AD93" s="52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3"/>
      <c r="AR93" s="53"/>
      <c r="AS93" s="53"/>
      <c r="AT93" s="53">
        <v>10</v>
      </c>
      <c r="AU93" s="53"/>
      <c r="AV93" s="53"/>
      <c r="AW93" s="54"/>
      <c r="AX93" s="54"/>
      <c r="AY93" s="54"/>
      <c r="AZ93" s="54"/>
      <c r="BA93" s="54"/>
      <c r="BB93" s="54"/>
      <c r="BC93" s="55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>
        <f>SUM(E93:BO93)</f>
        <v>40</v>
      </c>
      <c r="BQ93" s="50">
        <v>8</v>
      </c>
      <c r="BR93" s="56">
        <v>2</v>
      </c>
      <c r="BS93" s="56" t="s">
        <v>294</v>
      </c>
      <c r="BT93">
        <f>SUM(P93:AD93)</f>
        <v>20</v>
      </c>
    </row>
    <row r="94" spans="1:72" ht="27">
      <c r="A94" s="1"/>
      <c r="B94" s="3" t="s">
        <v>222</v>
      </c>
      <c r="C94" s="3" t="s">
        <v>101</v>
      </c>
      <c r="D94" s="1" t="s">
        <v>212</v>
      </c>
      <c r="E94" s="6"/>
      <c r="F94" s="6"/>
      <c r="G94" s="6"/>
      <c r="H94" s="6"/>
      <c r="I94" s="6">
        <v>10</v>
      </c>
      <c r="J94" s="6"/>
      <c r="K94" s="6"/>
      <c r="L94" s="6"/>
      <c r="M94" s="6"/>
      <c r="N94" s="6"/>
      <c r="O94" s="6"/>
      <c r="P94" s="28"/>
      <c r="Q94" s="28"/>
      <c r="R94" s="28">
        <v>10</v>
      </c>
      <c r="S94" s="28"/>
      <c r="T94" s="28"/>
      <c r="U94" s="28"/>
      <c r="V94" s="28"/>
      <c r="W94" s="28"/>
      <c r="X94" s="28">
        <v>10</v>
      </c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>
        <v>10</v>
      </c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8</v>
      </c>
      <c r="BR94" s="17">
        <v>2</v>
      </c>
      <c r="BS94" s="17" t="s">
        <v>294</v>
      </c>
      <c r="BT94">
        <f>SUM(P94:AD94)</f>
        <v>20</v>
      </c>
    </row>
    <row r="95" spans="1:72" ht="27">
      <c r="A95" s="1"/>
      <c r="B95" s="1" t="s">
        <v>92</v>
      </c>
      <c r="C95" s="1" t="s">
        <v>89</v>
      </c>
      <c r="D95" s="1" t="s">
        <v>93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>
        <v>3</v>
      </c>
      <c r="AP95" s="1">
        <v>5</v>
      </c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8</v>
      </c>
      <c r="BQ95" s="1">
        <v>8</v>
      </c>
      <c r="BR95" s="17">
        <v>2</v>
      </c>
      <c r="BS95" s="17" t="s">
        <v>293</v>
      </c>
      <c r="BT95">
        <f>SUM(P95:AD95)</f>
        <v>0</v>
      </c>
    </row>
    <row r="96" spans="1:72" ht="27">
      <c r="A96" s="1"/>
      <c r="B96" s="1" t="s">
        <v>159</v>
      </c>
      <c r="C96" s="1" t="s">
        <v>85</v>
      </c>
      <c r="D96" s="1" t="s">
        <v>87</v>
      </c>
      <c r="E96" s="6"/>
      <c r="F96" s="6"/>
      <c r="G96" s="6"/>
      <c r="H96" s="6">
        <v>6</v>
      </c>
      <c r="I96" s="6"/>
      <c r="J96" s="6"/>
      <c r="K96" s="6">
        <v>6</v>
      </c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>
        <v>10</v>
      </c>
      <c r="AR96" s="4"/>
      <c r="AS96" s="4"/>
      <c r="AT96" s="4"/>
      <c r="AU96" s="4"/>
      <c r="AV96" s="4"/>
      <c r="AW96" s="2">
        <v>10</v>
      </c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32</v>
      </c>
      <c r="BQ96" s="1">
        <v>8</v>
      </c>
      <c r="BR96" s="17">
        <v>2</v>
      </c>
      <c r="BS96" s="17" t="s">
        <v>297</v>
      </c>
      <c r="BT96">
        <f>SUM(P96:AD96)</f>
        <v>0</v>
      </c>
    </row>
    <row r="97" spans="1:72" ht="27">
      <c r="A97" s="1">
        <v>45</v>
      </c>
      <c r="B97" s="1" t="s">
        <v>84</v>
      </c>
      <c r="C97" s="1" t="s">
        <v>37</v>
      </c>
      <c r="D97" s="1" t="s">
        <v>10</v>
      </c>
      <c r="E97" s="6">
        <v>6</v>
      </c>
      <c r="F97" s="6"/>
      <c r="G97" s="6"/>
      <c r="H97" s="6"/>
      <c r="I97" s="6"/>
      <c r="J97" s="6"/>
      <c r="K97" s="6"/>
      <c r="L97" s="6"/>
      <c r="M97" s="6">
        <v>6</v>
      </c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>
        <v>10</v>
      </c>
      <c r="AR97" s="4"/>
      <c r="AS97" s="4"/>
      <c r="AT97" s="4"/>
      <c r="AU97" s="4"/>
      <c r="AV97" s="4"/>
      <c r="AW97" s="2"/>
      <c r="AX97" s="2"/>
      <c r="AY97" s="2"/>
      <c r="AZ97" s="2">
        <v>10</v>
      </c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32</v>
      </c>
      <c r="BQ97" s="1">
        <v>8</v>
      </c>
      <c r="BR97" s="17">
        <v>2</v>
      </c>
      <c r="BS97" s="17" t="s">
        <v>302</v>
      </c>
      <c r="BT97">
        <f>SUM(P97:AD97)</f>
        <v>0</v>
      </c>
    </row>
    <row r="98" spans="1:72" ht="27">
      <c r="A98" s="1">
        <v>27</v>
      </c>
      <c r="B98" s="1" t="s">
        <v>59</v>
      </c>
      <c r="C98" s="1" t="s">
        <v>25</v>
      </c>
      <c r="D98" s="1" t="s">
        <v>19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>
        <v>5</v>
      </c>
      <c r="AI98" s="1">
        <v>5</v>
      </c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10</v>
      </c>
      <c r="BQ98" s="1">
        <v>10</v>
      </c>
      <c r="BR98" s="17">
        <v>2</v>
      </c>
      <c r="BS98" s="17" t="s">
        <v>296</v>
      </c>
      <c r="BT98">
        <f>SUM(P98:AD98)</f>
        <v>0</v>
      </c>
    </row>
    <row r="99" spans="1:72" s="58" customFormat="1" ht="27">
      <c r="A99" s="1">
        <v>88</v>
      </c>
      <c r="B99" s="3" t="s">
        <v>64</v>
      </c>
      <c r="C99" s="3" t="s">
        <v>65</v>
      </c>
      <c r="D99" s="1" t="s">
        <v>19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>
        <v>5</v>
      </c>
      <c r="AI99" s="1">
        <v>5</v>
      </c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10</v>
      </c>
      <c r="BQ99" s="1">
        <v>10</v>
      </c>
      <c r="BR99" s="17">
        <v>2</v>
      </c>
      <c r="BS99" s="17" t="s">
        <v>296</v>
      </c>
      <c r="BT99">
        <f>SUM(P99:AD99)</f>
        <v>0</v>
      </c>
    </row>
    <row r="100" spans="1:72" ht="27">
      <c r="A100" s="1"/>
      <c r="B100" s="1" t="s">
        <v>120</v>
      </c>
      <c r="C100" s="1" t="s">
        <v>121</v>
      </c>
      <c r="D100" s="1" t="s">
        <v>105</v>
      </c>
      <c r="E100" s="6">
        <v>10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>
        <v>10</v>
      </c>
      <c r="S100" s="28"/>
      <c r="T100" s="28"/>
      <c r="U100" s="28">
        <v>10</v>
      </c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>
        <v>10</v>
      </c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40</v>
      </c>
      <c r="BQ100" s="1">
        <v>13</v>
      </c>
      <c r="BR100" s="17">
        <v>2</v>
      </c>
      <c r="BS100" s="17" t="s">
        <v>298</v>
      </c>
      <c r="BT100">
        <f>SUM(P100:AD100)</f>
        <v>20</v>
      </c>
    </row>
    <row r="101" spans="1:72" ht="27">
      <c r="A101" s="1"/>
      <c r="B101" s="1" t="s">
        <v>126</v>
      </c>
      <c r="C101" s="1" t="s">
        <v>125</v>
      </c>
      <c r="D101" s="1" t="s">
        <v>105</v>
      </c>
      <c r="E101" s="6">
        <v>10</v>
      </c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>
        <v>10</v>
      </c>
      <c r="S101" s="28"/>
      <c r="T101" s="28"/>
      <c r="U101" s="28">
        <v>10</v>
      </c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>
        <v>10</v>
      </c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40</v>
      </c>
      <c r="BQ101" s="1">
        <v>13</v>
      </c>
      <c r="BR101" s="17">
        <v>2</v>
      </c>
      <c r="BS101" s="17" t="s">
        <v>260</v>
      </c>
      <c r="BT101">
        <f>SUM(P101:AD101)</f>
        <v>20</v>
      </c>
    </row>
    <row r="102" spans="1:72" ht="27">
      <c r="A102" s="59"/>
      <c r="B102" s="59" t="s">
        <v>209</v>
      </c>
      <c r="C102" s="59" t="s">
        <v>132</v>
      </c>
      <c r="D102" s="59" t="s">
        <v>105</v>
      </c>
      <c r="E102" s="60">
        <v>10</v>
      </c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1"/>
      <c r="Q102" s="61"/>
      <c r="R102" s="61">
        <v>10</v>
      </c>
      <c r="S102" s="61"/>
      <c r="T102" s="61"/>
      <c r="U102" s="61">
        <v>10</v>
      </c>
      <c r="V102" s="61"/>
      <c r="W102" s="61"/>
      <c r="X102" s="61"/>
      <c r="Y102" s="61"/>
      <c r="Z102" s="61"/>
      <c r="AA102" s="61"/>
      <c r="AB102" s="61"/>
      <c r="AC102" s="61"/>
      <c r="AD102" s="61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62"/>
      <c r="AR102" s="62"/>
      <c r="AS102" s="62"/>
      <c r="AT102" s="62"/>
      <c r="AU102" s="62">
        <v>10</v>
      </c>
      <c r="AV102" s="62"/>
      <c r="AW102" s="63"/>
      <c r="AX102" s="63"/>
      <c r="AY102" s="63"/>
      <c r="AZ102" s="63"/>
      <c r="BA102" s="63"/>
      <c r="BB102" s="63"/>
      <c r="BC102" s="64"/>
      <c r="BD102" s="59"/>
      <c r="BE102" s="59"/>
      <c r="BF102" s="59"/>
      <c r="BG102" s="59"/>
      <c r="BH102" s="59"/>
      <c r="BI102" s="59"/>
      <c r="BJ102" s="59"/>
      <c r="BK102" s="59"/>
      <c r="BL102" s="59"/>
      <c r="BM102" s="59"/>
      <c r="BN102" s="59"/>
      <c r="BO102" s="59"/>
      <c r="BP102" s="59">
        <f>SUM(E102:BO102)</f>
        <v>40</v>
      </c>
      <c r="BQ102" s="59">
        <v>13</v>
      </c>
      <c r="BR102" s="65">
        <v>2</v>
      </c>
      <c r="BS102" s="65" t="s">
        <v>260</v>
      </c>
      <c r="BT102">
        <f>SUM(P102:AD102)</f>
        <v>20</v>
      </c>
    </row>
    <row r="103" spans="1:72" ht="27">
      <c r="A103" s="1"/>
      <c r="B103" s="3" t="s">
        <v>253</v>
      </c>
      <c r="C103" s="3" t="s">
        <v>51</v>
      </c>
      <c r="D103" s="1" t="s">
        <v>212</v>
      </c>
      <c r="E103" s="6">
        <v>10</v>
      </c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>
        <v>10</v>
      </c>
      <c r="S103" s="28"/>
      <c r="T103" s="28"/>
      <c r="U103" s="28">
        <v>10</v>
      </c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>
        <v>10</v>
      </c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40</v>
      </c>
      <c r="BQ103" s="1">
        <v>13</v>
      </c>
      <c r="BR103" s="17">
        <v>2</v>
      </c>
      <c r="BS103" s="17" t="s">
        <v>260</v>
      </c>
      <c r="BT103">
        <f>SUM(P103:AD103)</f>
        <v>20</v>
      </c>
    </row>
    <row r="104" spans="1:72" ht="27">
      <c r="A104" s="1"/>
      <c r="B104" s="3" t="s">
        <v>220</v>
      </c>
      <c r="C104" s="3" t="s">
        <v>218</v>
      </c>
      <c r="D104" s="1" t="s">
        <v>212</v>
      </c>
      <c r="E104" s="6"/>
      <c r="F104" s="6"/>
      <c r="G104" s="6"/>
      <c r="H104" s="6"/>
      <c r="I104" s="6"/>
      <c r="J104" s="6"/>
      <c r="K104" s="6">
        <v>10</v>
      </c>
      <c r="L104" s="6"/>
      <c r="M104" s="6"/>
      <c r="N104" s="6"/>
      <c r="O104" s="6"/>
      <c r="P104" s="28"/>
      <c r="Q104" s="28"/>
      <c r="R104" s="28"/>
      <c r="S104" s="28"/>
      <c r="T104" s="28"/>
      <c r="U104" s="28">
        <v>10</v>
      </c>
      <c r="V104" s="28"/>
      <c r="W104" s="28"/>
      <c r="X104" s="28"/>
      <c r="Y104" s="28"/>
      <c r="Z104" s="28"/>
      <c r="AA104" s="28">
        <v>10</v>
      </c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>
        <v>10</v>
      </c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40</v>
      </c>
      <c r="BQ104" s="1">
        <v>14</v>
      </c>
      <c r="BR104" s="17">
        <v>2</v>
      </c>
      <c r="BS104" s="17" t="s">
        <v>300</v>
      </c>
      <c r="BT104">
        <f>SUM(P104:AD104)</f>
        <v>20</v>
      </c>
    </row>
    <row r="105" spans="1:72" ht="27">
      <c r="A105" s="1"/>
      <c r="B105" s="1" t="s">
        <v>92</v>
      </c>
      <c r="C105" s="1" t="s">
        <v>89</v>
      </c>
      <c r="D105" s="1" t="s">
        <v>86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>
        <v>5</v>
      </c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>
        <v>5</v>
      </c>
      <c r="AP105" s="1">
        <v>10</v>
      </c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20</v>
      </c>
      <c r="BQ105" s="1">
        <v>15</v>
      </c>
      <c r="BR105" s="17">
        <v>2</v>
      </c>
      <c r="BS105" s="17" t="s">
        <v>301</v>
      </c>
      <c r="BT105">
        <f>SUM(P105:AD105)</f>
        <v>0</v>
      </c>
    </row>
    <row r="106" spans="1:72" ht="27">
      <c r="A106" s="1"/>
      <c r="B106" s="1" t="s">
        <v>142</v>
      </c>
      <c r="C106" s="1" t="s">
        <v>85</v>
      </c>
      <c r="D106" s="1" t="s">
        <v>87</v>
      </c>
      <c r="E106" s="6">
        <v>10</v>
      </c>
      <c r="F106" s="6"/>
      <c r="G106" s="6">
        <v>10</v>
      </c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>
        <v>15</v>
      </c>
      <c r="AU106" s="4"/>
      <c r="AV106" s="4"/>
      <c r="AW106" s="2"/>
      <c r="AX106" s="2"/>
      <c r="AY106" s="2"/>
      <c r="AZ106" s="2">
        <v>15</v>
      </c>
      <c r="BA106" s="2">
        <v>15</v>
      </c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65</v>
      </c>
      <c r="BQ106" s="1">
        <v>19</v>
      </c>
      <c r="BR106" s="17">
        <v>2</v>
      </c>
      <c r="BS106" s="17" t="s">
        <v>303</v>
      </c>
      <c r="BT106">
        <f>SUM(P106:AD106)</f>
        <v>0</v>
      </c>
    </row>
    <row r="107" spans="1:72" ht="27">
      <c r="A107" s="1"/>
      <c r="B107" s="1" t="s">
        <v>92</v>
      </c>
      <c r="C107" s="1" t="s">
        <v>89</v>
      </c>
      <c r="D107" s="1" t="s">
        <v>87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>
        <v>10</v>
      </c>
      <c r="AP107" s="1">
        <v>10</v>
      </c>
      <c r="AQ107" s="4"/>
      <c r="AR107" s="4"/>
      <c r="AS107" s="4">
        <v>5</v>
      </c>
      <c r="AT107" s="4"/>
      <c r="AU107" s="4"/>
      <c r="AV107" s="4"/>
      <c r="AW107" s="2"/>
      <c r="AX107" s="2">
        <v>5</v>
      </c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30</v>
      </c>
      <c r="BQ107" s="1">
        <v>20</v>
      </c>
      <c r="BR107" s="17">
        <v>2</v>
      </c>
      <c r="BS107" s="17" t="s">
        <v>317</v>
      </c>
      <c r="BT107">
        <f>SUM(P107:AD107)</f>
        <v>0</v>
      </c>
    </row>
    <row r="108" spans="1:72" ht="27">
      <c r="A108" s="1"/>
      <c r="B108" s="1" t="s">
        <v>88</v>
      </c>
      <c r="C108" s="1" t="s">
        <v>89</v>
      </c>
      <c r="D108" s="1" t="s">
        <v>86</v>
      </c>
      <c r="E108" s="6"/>
      <c r="F108" s="6"/>
      <c r="G108" s="6">
        <v>15</v>
      </c>
      <c r="H108" s="6">
        <v>15</v>
      </c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>
        <v>15</v>
      </c>
      <c r="AT108" s="4"/>
      <c r="AU108" s="4"/>
      <c r="AV108" s="4"/>
      <c r="AW108" s="2"/>
      <c r="AX108" s="2"/>
      <c r="AY108" s="2"/>
      <c r="AZ108" s="2"/>
      <c r="BA108" s="2"/>
      <c r="BB108" s="2">
        <v>15</v>
      </c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60</v>
      </c>
      <c r="BQ108" s="1">
        <v>21</v>
      </c>
      <c r="BR108" s="17">
        <v>2</v>
      </c>
      <c r="BS108" s="17" t="s">
        <v>304</v>
      </c>
      <c r="BT108">
        <f>SUM(P108:AD108)</f>
        <v>0</v>
      </c>
    </row>
    <row r="109" spans="1:72" ht="27">
      <c r="A109" s="1">
        <v>54</v>
      </c>
      <c r="B109" s="1" t="s">
        <v>43</v>
      </c>
      <c r="C109" s="1" t="s">
        <v>44</v>
      </c>
      <c r="D109" s="1" t="s">
        <v>0</v>
      </c>
      <c r="E109" s="6"/>
      <c r="F109" s="6">
        <v>15</v>
      </c>
      <c r="G109" s="6"/>
      <c r="H109" s="6">
        <v>15</v>
      </c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15</v>
      </c>
      <c r="AW109" s="2"/>
      <c r="AX109" s="2"/>
      <c r="AY109" s="2"/>
      <c r="AZ109" s="2"/>
      <c r="BA109" s="2">
        <v>15</v>
      </c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60</v>
      </c>
      <c r="BQ109" s="1">
        <v>23</v>
      </c>
      <c r="BR109" s="17">
        <v>2</v>
      </c>
      <c r="BS109" s="17" t="s">
        <v>305</v>
      </c>
      <c r="BT109">
        <f>SUM(P109:AD109)</f>
        <v>0</v>
      </c>
    </row>
    <row r="110" spans="1:72" ht="27">
      <c r="A110" s="18">
        <v>65</v>
      </c>
      <c r="B110" s="24" t="s">
        <v>49</v>
      </c>
      <c r="C110" s="18" t="s">
        <v>44</v>
      </c>
      <c r="D110" s="18" t="s">
        <v>10</v>
      </c>
      <c r="E110" s="19"/>
      <c r="F110" s="19"/>
      <c r="G110" s="19">
        <v>10</v>
      </c>
      <c r="H110" s="19"/>
      <c r="I110" s="19"/>
      <c r="J110" s="19"/>
      <c r="K110" s="19"/>
      <c r="L110" s="19"/>
      <c r="M110" s="19"/>
      <c r="N110" s="19"/>
      <c r="O110" s="1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>
        <v>25</v>
      </c>
      <c r="AO110" s="18"/>
      <c r="AP110" s="18"/>
      <c r="AQ110" s="20"/>
      <c r="AR110" s="20"/>
      <c r="AS110" s="20"/>
      <c r="AT110" s="20"/>
      <c r="AU110" s="20"/>
      <c r="AV110" s="20">
        <v>10</v>
      </c>
      <c r="AW110" s="21"/>
      <c r="AX110" s="21"/>
      <c r="AY110" s="21"/>
      <c r="AZ110" s="21">
        <v>10</v>
      </c>
      <c r="BA110" s="21"/>
      <c r="BB110" s="21"/>
      <c r="BC110" s="26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>
        <f>SUM(E110:BO110)</f>
        <v>55</v>
      </c>
      <c r="BQ110" s="18">
        <v>30</v>
      </c>
      <c r="BR110" s="22">
        <v>2</v>
      </c>
      <c r="BS110" s="22" t="s">
        <v>306</v>
      </c>
      <c r="BT110">
        <f>SUM(P110:AD110)</f>
        <v>0</v>
      </c>
    </row>
    <row r="111" spans="1:72" ht="27">
      <c r="A111" s="1"/>
      <c r="B111" s="1" t="s">
        <v>158</v>
      </c>
      <c r="C111" s="1" t="s">
        <v>100</v>
      </c>
      <c r="D111" s="1" t="s">
        <v>86</v>
      </c>
      <c r="E111" s="6"/>
      <c r="F111" s="6"/>
      <c r="G111" s="6">
        <v>20</v>
      </c>
      <c r="H111" s="6">
        <v>20</v>
      </c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>
        <v>20</v>
      </c>
      <c r="BB111" s="2">
        <v>20</v>
      </c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80</v>
      </c>
      <c r="BQ111" s="1">
        <v>33</v>
      </c>
      <c r="BR111" s="17">
        <v>2</v>
      </c>
      <c r="BS111" s="17" t="s">
        <v>307</v>
      </c>
      <c r="BT111">
        <f>SUM(P111:AD111)</f>
        <v>0</v>
      </c>
    </row>
    <row r="112" spans="1:72" ht="27">
      <c r="A112" s="1">
        <v>23</v>
      </c>
      <c r="B112" s="1" t="s">
        <v>83</v>
      </c>
      <c r="C112" s="1" t="s">
        <v>25</v>
      </c>
      <c r="D112" s="1" t="s">
        <v>30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>
        <v>50</v>
      </c>
      <c r="BK112" s="1">
        <v>50</v>
      </c>
      <c r="BL112" s="1"/>
      <c r="BM112" s="1"/>
      <c r="BN112" s="1">
        <v>50</v>
      </c>
      <c r="BO112" s="1">
        <v>50</v>
      </c>
      <c r="BP112" s="1">
        <f>SUM(E112:BO112)</f>
        <v>200</v>
      </c>
      <c r="BQ112" s="1">
        <v>90</v>
      </c>
      <c r="BR112" s="17">
        <v>2</v>
      </c>
      <c r="BS112" s="17" t="s">
        <v>308</v>
      </c>
      <c r="BT112">
        <f>SUM(P112:AD112)</f>
        <v>0</v>
      </c>
    </row>
    <row r="113" spans="1:72" ht="27">
      <c r="A113" s="1"/>
      <c r="B113" s="1" t="s">
        <v>153</v>
      </c>
      <c r="C113" s="1" t="s">
        <v>97</v>
      </c>
      <c r="D113" s="1" t="s">
        <v>98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>
        <v>50</v>
      </c>
      <c r="BK113" s="1">
        <v>50</v>
      </c>
      <c r="BL113" s="1"/>
      <c r="BM113" s="1"/>
      <c r="BN113" s="1">
        <v>50</v>
      </c>
      <c r="BO113" s="1">
        <v>50</v>
      </c>
      <c r="BP113" s="1">
        <f>SUM(E113:BO113)</f>
        <v>200</v>
      </c>
      <c r="BQ113" s="1">
        <v>90</v>
      </c>
      <c r="BR113" s="17">
        <v>2</v>
      </c>
      <c r="BS113" s="17" t="s">
        <v>226</v>
      </c>
      <c r="BT113">
        <f>SUM(P113:AD113)</f>
        <v>0</v>
      </c>
    </row>
    <row r="114" spans="1:72" ht="27">
      <c r="A114" s="1"/>
      <c r="B114" s="1" t="s">
        <v>151</v>
      </c>
      <c r="C114" s="1" t="s">
        <v>131</v>
      </c>
      <c r="D114" s="1" t="s">
        <v>30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>
        <v>50</v>
      </c>
      <c r="BK114" s="1">
        <v>50</v>
      </c>
      <c r="BL114" s="1"/>
      <c r="BM114" s="1"/>
      <c r="BN114" s="1">
        <v>50</v>
      </c>
      <c r="BO114" s="1">
        <v>50</v>
      </c>
      <c r="BP114" s="1">
        <f>SUM(E114:BO114)</f>
        <v>200</v>
      </c>
      <c r="BQ114" s="1">
        <v>90</v>
      </c>
      <c r="BR114" s="17">
        <v>2</v>
      </c>
      <c r="BS114" s="17" t="s">
        <v>308</v>
      </c>
      <c r="BT114">
        <f>SUM(P114:AD114)</f>
        <v>0</v>
      </c>
    </row>
    <row r="115" spans="1:72" s="66" customFormat="1" ht="27">
      <c r="A115" s="1">
        <v>102</v>
      </c>
      <c r="B115" s="3" t="s">
        <v>183</v>
      </c>
      <c r="C115" s="3" t="s">
        <v>54</v>
      </c>
      <c r="D115" s="1" t="s">
        <v>30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>
        <v>50</v>
      </c>
      <c r="BK115" s="1">
        <v>50</v>
      </c>
      <c r="BL115" s="1"/>
      <c r="BM115" s="1"/>
      <c r="BN115" s="1">
        <v>50</v>
      </c>
      <c r="BO115" s="1">
        <v>50</v>
      </c>
      <c r="BP115" s="1">
        <f>SUM(E115:BO115)</f>
        <v>200</v>
      </c>
      <c r="BQ115" s="1">
        <v>90</v>
      </c>
      <c r="BR115" s="17">
        <v>2</v>
      </c>
      <c r="BS115" s="17" t="s">
        <v>308</v>
      </c>
      <c r="BT115">
        <f>SUM(P115:AD115)</f>
        <v>0</v>
      </c>
    </row>
    <row r="116" spans="1:72" ht="40.5">
      <c r="A116" s="1"/>
      <c r="B116" s="3" t="s">
        <v>215</v>
      </c>
      <c r="C116" s="3" t="s">
        <v>216</v>
      </c>
      <c r="D116" s="1" t="s">
        <v>211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>
        <v>5</v>
      </c>
      <c r="R116" s="28"/>
      <c r="S116" s="28"/>
      <c r="T116" s="28">
        <v>5</v>
      </c>
      <c r="U116" s="28"/>
      <c r="V116" s="28"/>
      <c r="W116" s="28">
        <v>5</v>
      </c>
      <c r="X116" s="28"/>
      <c r="Y116" s="28"/>
      <c r="Z116" s="28">
        <v>5</v>
      </c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20</v>
      </c>
      <c r="BQ116" s="1">
        <v>4</v>
      </c>
      <c r="BR116" s="17">
        <v>3</v>
      </c>
      <c r="BS116" s="17" t="s">
        <v>264</v>
      </c>
      <c r="BT116">
        <f>SUM(P116:AD116)</f>
        <v>20</v>
      </c>
    </row>
    <row r="117" spans="1:72" ht="40.5">
      <c r="A117" s="1"/>
      <c r="B117" s="3" t="s">
        <v>210</v>
      </c>
      <c r="C117" s="3" t="s">
        <v>51</v>
      </c>
      <c r="D117" s="1" t="s">
        <v>211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>
        <v>5</v>
      </c>
      <c r="R117" s="28"/>
      <c r="S117" s="28"/>
      <c r="T117" s="28">
        <v>5</v>
      </c>
      <c r="U117" s="28"/>
      <c r="V117" s="28"/>
      <c r="W117" s="28">
        <v>5</v>
      </c>
      <c r="X117" s="28"/>
      <c r="Y117" s="28"/>
      <c r="Z117" s="28"/>
      <c r="AA117" s="28"/>
      <c r="AB117" s="28"/>
      <c r="AC117" s="28">
        <v>5</v>
      </c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20</v>
      </c>
      <c r="BQ117" s="1">
        <v>4</v>
      </c>
      <c r="BR117" s="17">
        <v>3</v>
      </c>
      <c r="BS117" s="17" t="s">
        <v>309</v>
      </c>
      <c r="BT117">
        <f>SUM(P117:AD117)</f>
        <v>20</v>
      </c>
    </row>
    <row r="118" spans="1:72" ht="40.5">
      <c r="A118" s="1"/>
      <c r="B118" s="3" t="s">
        <v>220</v>
      </c>
      <c r="C118" s="3" t="s">
        <v>218</v>
      </c>
      <c r="D118" s="1" t="s">
        <v>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>
        <v>10</v>
      </c>
      <c r="W118" s="28"/>
      <c r="X118" s="28"/>
      <c r="Y118" s="28"/>
      <c r="Z118" s="28">
        <v>5</v>
      </c>
      <c r="AA118" s="28"/>
      <c r="AB118" s="28">
        <v>10</v>
      </c>
      <c r="AC118" s="28">
        <v>5</v>
      </c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30</v>
      </c>
      <c r="BQ118" s="1">
        <v>6</v>
      </c>
      <c r="BR118" s="17">
        <v>3</v>
      </c>
      <c r="BS118" s="17" t="s">
        <v>265</v>
      </c>
      <c r="BT118">
        <f>SUM(P118:AD118)</f>
        <v>30</v>
      </c>
    </row>
    <row r="119" spans="1:72" ht="40.5">
      <c r="A119" s="1"/>
      <c r="B119" s="1" t="s">
        <v>134</v>
      </c>
      <c r="C119" s="1" t="s">
        <v>132</v>
      </c>
      <c r="D119" s="1" t="s">
        <v>104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>
        <v>5</v>
      </c>
      <c r="R119" s="28"/>
      <c r="S119" s="28"/>
      <c r="T119" s="28"/>
      <c r="U119" s="28"/>
      <c r="V119" s="28">
        <v>10</v>
      </c>
      <c r="W119" s="28"/>
      <c r="X119" s="28"/>
      <c r="Y119" s="28"/>
      <c r="Z119" s="28">
        <v>5</v>
      </c>
      <c r="AA119" s="28"/>
      <c r="AB119" s="28">
        <v>10</v>
      </c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30</v>
      </c>
      <c r="BQ119" s="1">
        <v>7</v>
      </c>
      <c r="BR119" s="17">
        <v>3</v>
      </c>
      <c r="BS119" s="17" t="s">
        <v>310</v>
      </c>
      <c r="BT119">
        <f>SUM(P119:AD119)</f>
        <v>30</v>
      </c>
    </row>
    <row r="120" spans="1:72" ht="40.5">
      <c r="A120" s="1"/>
      <c r="B120" s="1" t="s">
        <v>114</v>
      </c>
      <c r="C120" s="1" t="s">
        <v>102</v>
      </c>
      <c r="D120" s="1" t="s">
        <v>105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>
        <v>10</v>
      </c>
      <c r="P120" s="28"/>
      <c r="Q120" s="28"/>
      <c r="R120" s="28">
        <v>10</v>
      </c>
      <c r="S120" s="28"/>
      <c r="T120" s="28"/>
      <c r="U120" s="28"/>
      <c r="V120" s="28"/>
      <c r="W120" s="28"/>
      <c r="X120" s="28">
        <v>10</v>
      </c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>
        <v>10</v>
      </c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9</v>
      </c>
      <c r="BR120" s="17">
        <v>3</v>
      </c>
      <c r="BS120" s="17" t="s">
        <v>312</v>
      </c>
      <c r="BT120">
        <f>SUM(P120:AD120)</f>
        <v>20</v>
      </c>
    </row>
    <row r="121" spans="1:72" ht="40.5">
      <c r="A121" s="1"/>
      <c r="B121" s="3" t="s">
        <v>210</v>
      </c>
      <c r="C121" s="3" t="s">
        <v>51</v>
      </c>
      <c r="D121" s="1" t="s">
        <v>212</v>
      </c>
      <c r="E121" s="6"/>
      <c r="F121" s="6"/>
      <c r="G121" s="6"/>
      <c r="H121" s="6"/>
      <c r="I121" s="6"/>
      <c r="J121" s="6"/>
      <c r="K121" s="6"/>
      <c r="L121" s="6"/>
      <c r="M121" s="6">
        <v>10</v>
      </c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>
        <v>10</v>
      </c>
      <c r="AB121" s="28"/>
      <c r="AC121" s="28"/>
      <c r="AD121" s="28">
        <v>10</v>
      </c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>
        <v>10</v>
      </c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10</v>
      </c>
      <c r="BR121" s="17">
        <v>3</v>
      </c>
      <c r="BS121" s="17" t="s">
        <v>314</v>
      </c>
      <c r="BT121">
        <f>SUM(P121:AD121)</f>
        <v>20</v>
      </c>
    </row>
    <row r="122" spans="1:72" ht="40.5">
      <c r="A122" s="1"/>
      <c r="B122" s="3" t="s">
        <v>214</v>
      </c>
      <c r="C122" s="3" t="s">
        <v>25</v>
      </c>
      <c r="D122" s="1" t="s">
        <v>212</v>
      </c>
      <c r="E122" s="6"/>
      <c r="F122" s="6"/>
      <c r="G122" s="6"/>
      <c r="H122" s="6"/>
      <c r="I122" s="6"/>
      <c r="J122" s="6"/>
      <c r="K122" s="6"/>
      <c r="L122" s="6"/>
      <c r="M122" s="6">
        <v>10</v>
      </c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>
        <v>10</v>
      </c>
      <c r="AB122" s="28"/>
      <c r="AC122" s="28"/>
      <c r="AD122" s="28">
        <v>10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>
        <v>10</v>
      </c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10</v>
      </c>
      <c r="BR122" s="17">
        <v>3</v>
      </c>
      <c r="BS122" s="17" t="s">
        <v>315</v>
      </c>
      <c r="BT122">
        <f>SUM(P122:AD122)</f>
        <v>20</v>
      </c>
    </row>
    <row r="123" spans="1:72" ht="40.5">
      <c r="A123" s="1"/>
      <c r="B123" s="3" t="s">
        <v>219</v>
      </c>
      <c r="C123" s="3" t="s">
        <v>218</v>
      </c>
      <c r="D123" s="1" t="s">
        <v>212</v>
      </c>
      <c r="E123" s="6"/>
      <c r="F123" s="6"/>
      <c r="G123" s="6"/>
      <c r="H123" s="6"/>
      <c r="I123" s="6"/>
      <c r="J123" s="6"/>
      <c r="K123" s="6"/>
      <c r="L123" s="6"/>
      <c r="M123" s="6">
        <v>10</v>
      </c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>
        <v>10</v>
      </c>
      <c r="AB123" s="28"/>
      <c r="AC123" s="28"/>
      <c r="AD123" s="28">
        <v>10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>
        <v>10</v>
      </c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10</v>
      </c>
      <c r="BR123" s="17">
        <v>3</v>
      </c>
      <c r="BS123" s="17" t="s">
        <v>314</v>
      </c>
      <c r="BT123">
        <f>SUM(P123:AD123)</f>
        <v>20</v>
      </c>
    </row>
    <row r="124" spans="1:72" ht="40.5">
      <c r="A124" s="1"/>
      <c r="B124" s="3" t="s">
        <v>221</v>
      </c>
      <c r="C124" s="3" t="s">
        <v>101</v>
      </c>
      <c r="D124" s="1" t="s">
        <v>212</v>
      </c>
      <c r="E124" s="6"/>
      <c r="F124" s="6"/>
      <c r="G124" s="6"/>
      <c r="H124" s="6"/>
      <c r="I124" s="6"/>
      <c r="J124" s="6"/>
      <c r="K124" s="6"/>
      <c r="L124" s="6"/>
      <c r="M124" s="6">
        <v>10</v>
      </c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>
        <v>10</v>
      </c>
      <c r="AB124" s="28"/>
      <c r="AC124" s="28"/>
      <c r="AD124" s="28">
        <v>10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>
        <v>10</v>
      </c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10</v>
      </c>
      <c r="BR124" s="17">
        <v>3</v>
      </c>
      <c r="BS124" s="17" t="s">
        <v>314</v>
      </c>
      <c r="BT124">
        <f>SUM(P124:AD124)</f>
        <v>20</v>
      </c>
    </row>
    <row r="125" spans="1:72" ht="40.5">
      <c r="A125" s="1"/>
      <c r="B125" s="3" t="s">
        <v>215</v>
      </c>
      <c r="C125" s="3" t="s">
        <v>216</v>
      </c>
      <c r="D125" s="1" t="s">
        <v>212</v>
      </c>
      <c r="E125" s="6"/>
      <c r="F125" s="6"/>
      <c r="G125" s="6"/>
      <c r="H125" s="6"/>
      <c r="I125" s="6"/>
      <c r="J125" s="6"/>
      <c r="K125" s="6"/>
      <c r="L125" s="6"/>
      <c r="M125" s="6"/>
      <c r="N125" s="6">
        <v>10</v>
      </c>
      <c r="O125" s="6"/>
      <c r="P125" s="28"/>
      <c r="Q125" s="28"/>
      <c r="R125" s="28"/>
      <c r="S125" s="28"/>
      <c r="T125" s="28"/>
      <c r="U125" s="28"/>
      <c r="V125" s="28"/>
      <c r="W125" s="28"/>
      <c r="X125" s="28">
        <v>10</v>
      </c>
      <c r="Y125" s="28"/>
      <c r="Z125" s="28"/>
      <c r="AA125" s="28">
        <v>10</v>
      </c>
      <c r="AB125" s="28"/>
      <c r="AC125" s="28"/>
      <c r="AD125" s="28">
        <v>10</v>
      </c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11</v>
      </c>
      <c r="BR125" s="17">
        <v>3</v>
      </c>
      <c r="BS125" s="17" t="s">
        <v>311</v>
      </c>
      <c r="BT125">
        <f>SUM(P125:AD125)</f>
        <v>30</v>
      </c>
    </row>
    <row r="126" spans="1:72" ht="40.5">
      <c r="A126" s="1"/>
      <c r="B126" s="1" t="s">
        <v>123</v>
      </c>
      <c r="C126" s="1" t="s">
        <v>121</v>
      </c>
      <c r="D126" s="1" t="s">
        <v>105</v>
      </c>
      <c r="E126" s="6"/>
      <c r="F126" s="6"/>
      <c r="G126" s="6"/>
      <c r="H126" s="6">
        <v>7</v>
      </c>
      <c r="I126" s="6"/>
      <c r="J126" s="6"/>
      <c r="K126" s="6"/>
      <c r="L126" s="6"/>
      <c r="M126" s="6"/>
      <c r="N126" s="6"/>
      <c r="O126" s="6"/>
      <c r="P126" s="28"/>
      <c r="Q126" s="28">
        <v>7</v>
      </c>
      <c r="R126" s="28"/>
      <c r="S126" s="28"/>
      <c r="T126" s="28">
        <v>7</v>
      </c>
      <c r="U126" s="28"/>
      <c r="V126" s="28"/>
      <c r="W126" s="28"/>
      <c r="X126" s="28"/>
      <c r="Y126" s="28"/>
      <c r="Z126" s="28"/>
      <c r="AA126" s="28">
        <v>7</v>
      </c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28</v>
      </c>
      <c r="BQ126" s="1">
        <v>15</v>
      </c>
      <c r="BR126" s="17">
        <v>3</v>
      </c>
      <c r="BS126" s="17" t="s">
        <v>313</v>
      </c>
      <c r="BT126">
        <f>SUM(P126:AD126)</f>
        <v>21</v>
      </c>
    </row>
    <row r="127" spans="1:72" ht="40.5">
      <c r="A127" s="1">
        <v>28</v>
      </c>
      <c r="B127" s="1" t="s">
        <v>59</v>
      </c>
      <c r="C127" s="1" t="s">
        <v>25</v>
      </c>
      <c r="D127" s="1" t="s">
        <v>0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>
        <v>5</v>
      </c>
      <c r="AI127" s="1">
        <v>5</v>
      </c>
      <c r="AJ127" s="1">
        <v>5</v>
      </c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15</v>
      </c>
      <c r="BQ127" s="1">
        <v>15</v>
      </c>
      <c r="BR127" s="17">
        <v>3</v>
      </c>
      <c r="BS127" s="17" t="s">
        <v>261</v>
      </c>
      <c r="BT127">
        <f>SUM(P127:AD127)</f>
        <v>0</v>
      </c>
    </row>
    <row r="128" spans="1:72" ht="40.5">
      <c r="A128" s="1">
        <v>89</v>
      </c>
      <c r="B128" s="3" t="s">
        <v>64</v>
      </c>
      <c r="C128" s="3" t="s">
        <v>65</v>
      </c>
      <c r="D128" s="1" t="s">
        <v>0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>
        <v>5</v>
      </c>
      <c r="AG128" s="1"/>
      <c r="AH128" s="1">
        <v>5</v>
      </c>
      <c r="AI128" s="1">
        <v>5</v>
      </c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15</v>
      </c>
      <c r="BQ128" s="1">
        <v>15</v>
      </c>
      <c r="BR128" s="17">
        <v>3</v>
      </c>
      <c r="BS128" s="17" t="s">
        <v>316</v>
      </c>
      <c r="BT128">
        <f>SUM(P128:AD128)</f>
        <v>0</v>
      </c>
    </row>
    <row r="129" spans="1:72" ht="40.5">
      <c r="A129" s="1"/>
      <c r="B129" s="1" t="s">
        <v>128</v>
      </c>
      <c r="C129" s="1" t="s">
        <v>130</v>
      </c>
      <c r="D129" s="1" t="s">
        <v>105</v>
      </c>
      <c r="E129" s="6"/>
      <c r="F129" s="6"/>
      <c r="G129" s="6"/>
      <c r="H129" s="6"/>
      <c r="I129" s="6"/>
      <c r="J129" s="6">
        <v>10</v>
      </c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>
        <v>10</v>
      </c>
      <c r="V129" s="28"/>
      <c r="W129" s="28"/>
      <c r="X129" s="28"/>
      <c r="Y129" s="28"/>
      <c r="Z129" s="28"/>
      <c r="AA129" s="28">
        <v>10</v>
      </c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>
        <v>10</v>
      </c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40</v>
      </c>
      <c r="BQ129" s="1">
        <v>16</v>
      </c>
      <c r="BR129" s="17">
        <v>3</v>
      </c>
      <c r="BS129" s="17" t="s">
        <v>318</v>
      </c>
      <c r="BT129">
        <f>SUM(P129:AD129)</f>
        <v>20</v>
      </c>
    </row>
    <row r="130" spans="1:72" ht="40.5">
      <c r="A130" s="1"/>
      <c r="B130" s="1" t="s">
        <v>137</v>
      </c>
      <c r="C130" s="1" t="s">
        <v>132</v>
      </c>
      <c r="D130" s="1" t="s">
        <v>105</v>
      </c>
      <c r="E130" s="6"/>
      <c r="F130" s="6"/>
      <c r="G130" s="6"/>
      <c r="H130" s="6"/>
      <c r="I130" s="6"/>
      <c r="J130" s="6">
        <v>10</v>
      </c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>
        <v>10</v>
      </c>
      <c r="V130" s="28"/>
      <c r="W130" s="28"/>
      <c r="X130" s="28"/>
      <c r="Y130" s="28"/>
      <c r="Z130" s="28"/>
      <c r="AA130" s="28">
        <v>10</v>
      </c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>
        <v>10</v>
      </c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40</v>
      </c>
      <c r="BQ130" s="1">
        <v>16</v>
      </c>
      <c r="BR130" s="17">
        <v>3</v>
      </c>
      <c r="BS130" s="17" t="s">
        <v>319</v>
      </c>
      <c r="BT130">
        <f>SUM(P130:AD130)</f>
        <v>20</v>
      </c>
    </row>
    <row r="131" spans="1:72" ht="40.5">
      <c r="A131" s="1"/>
      <c r="B131" s="3" t="s">
        <v>213</v>
      </c>
      <c r="C131" s="3" t="s">
        <v>51</v>
      </c>
      <c r="D131" s="1" t="s">
        <v>212</v>
      </c>
      <c r="E131" s="6"/>
      <c r="F131" s="6"/>
      <c r="G131" s="6"/>
      <c r="H131" s="6"/>
      <c r="I131" s="6"/>
      <c r="J131" s="6">
        <v>10</v>
      </c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>
        <v>10</v>
      </c>
      <c r="V131" s="28"/>
      <c r="W131" s="28"/>
      <c r="X131" s="28"/>
      <c r="Y131" s="28"/>
      <c r="Z131" s="28"/>
      <c r="AA131" s="28">
        <v>10</v>
      </c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>
        <v>10</v>
      </c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40</v>
      </c>
      <c r="BQ131" s="1">
        <v>16</v>
      </c>
      <c r="BR131" s="17">
        <v>3</v>
      </c>
      <c r="BS131" s="17" t="s">
        <v>318</v>
      </c>
      <c r="BT131">
        <f>SUM(P131:AD131)</f>
        <v>20</v>
      </c>
    </row>
    <row r="132" spans="1:72" ht="40.5">
      <c r="A132" s="1"/>
      <c r="B132" s="1" t="s">
        <v>119</v>
      </c>
      <c r="C132" s="1" t="s">
        <v>102</v>
      </c>
      <c r="D132" s="1" t="s">
        <v>105</v>
      </c>
      <c r="E132" s="6"/>
      <c r="F132" s="6"/>
      <c r="G132" s="6"/>
      <c r="H132" s="6">
        <v>10</v>
      </c>
      <c r="I132" s="6"/>
      <c r="J132" s="6"/>
      <c r="K132" s="6"/>
      <c r="L132" s="6"/>
      <c r="M132" s="6"/>
      <c r="N132" s="6"/>
      <c r="O132" s="6"/>
      <c r="P132" s="28"/>
      <c r="Q132" s="28"/>
      <c r="R132" s="28">
        <v>10</v>
      </c>
      <c r="S132" s="28"/>
      <c r="T132" s="28"/>
      <c r="U132" s="28"/>
      <c r="V132" s="28"/>
      <c r="W132" s="28"/>
      <c r="X132" s="28">
        <v>10</v>
      </c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>
        <v>10</v>
      </c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40</v>
      </c>
      <c r="BQ132" s="1">
        <v>18</v>
      </c>
      <c r="BR132" s="17">
        <v>3</v>
      </c>
      <c r="BS132" s="17" t="s">
        <v>324</v>
      </c>
      <c r="BT132">
        <f>SUM(P132:AD132)</f>
        <v>20</v>
      </c>
    </row>
    <row r="133" spans="1:72" ht="40.5">
      <c r="A133" s="1"/>
      <c r="B133" s="3" t="s">
        <v>224</v>
      </c>
      <c r="C133" s="3" t="s">
        <v>101</v>
      </c>
      <c r="D133" s="1" t="s">
        <v>212</v>
      </c>
      <c r="E133" s="6"/>
      <c r="F133" s="6"/>
      <c r="G133" s="6"/>
      <c r="H133" s="6">
        <v>10</v>
      </c>
      <c r="I133" s="6"/>
      <c r="J133" s="6"/>
      <c r="K133" s="6"/>
      <c r="L133" s="6"/>
      <c r="M133" s="6"/>
      <c r="N133" s="6"/>
      <c r="O133" s="6"/>
      <c r="P133" s="28"/>
      <c r="Q133" s="28"/>
      <c r="R133" s="28">
        <v>10</v>
      </c>
      <c r="S133" s="28"/>
      <c r="T133" s="28"/>
      <c r="U133" s="28"/>
      <c r="V133" s="28"/>
      <c r="W133" s="28"/>
      <c r="X133" s="28">
        <v>10</v>
      </c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>
        <v>10</v>
      </c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18</v>
      </c>
      <c r="BR133" s="17">
        <v>3</v>
      </c>
      <c r="BS133" s="17" t="s">
        <v>324</v>
      </c>
      <c r="BT133">
        <f>SUM(P133:AD133)</f>
        <v>20</v>
      </c>
    </row>
    <row r="134" spans="1:72" ht="40.5">
      <c r="A134" s="1"/>
      <c r="B134" s="1" t="s">
        <v>134</v>
      </c>
      <c r="C134" s="1" t="s">
        <v>132</v>
      </c>
      <c r="D134" s="1" t="s">
        <v>105</v>
      </c>
      <c r="E134" s="6"/>
      <c r="F134" s="6"/>
      <c r="G134" s="6"/>
      <c r="H134" s="6">
        <v>10</v>
      </c>
      <c r="I134" s="6"/>
      <c r="J134" s="6"/>
      <c r="K134" s="6"/>
      <c r="L134" s="6"/>
      <c r="M134" s="6"/>
      <c r="N134" s="6"/>
      <c r="O134" s="6"/>
      <c r="P134" s="28"/>
      <c r="Q134" s="28"/>
      <c r="R134" s="28">
        <v>10</v>
      </c>
      <c r="S134" s="28"/>
      <c r="T134" s="28"/>
      <c r="U134" s="28">
        <v>10</v>
      </c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>
        <v>10</v>
      </c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40</v>
      </c>
      <c r="BQ134" s="1">
        <v>23</v>
      </c>
      <c r="BR134" s="17">
        <v>3</v>
      </c>
      <c r="BS134" s="17" t="s">
        <v>320</v>
      </c>
      <c r="BT134">
        <f>SUM(P134:AD134)</f>
        <v>20</v>
      </c>
    </row>
    <row r="135" spans="1:72" ht="40.5">
      <c r="A135" s="1"/>
      <c r="B135" s="1" t="s">
        <v>88</v>
      </c>
      <c r="C135" s="1" t="s">
        <v>89</v>
      </c>
      <c r="D135" s="1" t="s">
        <v>90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>
        <v>40</v>
      </c>
      <c r="AW135" s="2">
        <v>40</v>
      </c>
      <c r="AX135" s="2"/>
      <c r="AY135" s="2"/>
      <c r="AZ135" s="2"/>
      <c r="BA135" s="2"/>
      <c r="BB135" s="2">
        <v>40</v>
      </c>
      <c r="BC135" s="14">
        <v>10</v>
      </c>
      <c r="BD135" s="1">
        <v>50</v>
      </c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180</v>
      </c>
      <c r="BQ135" s="1">
        <v>51</v>
      </c>
      <c r="BR135" s="17">
        <v>3</v>
      </c>
      <c r="BS135" s="17" t="s">
        <v>321</v>
      </c>
      <c r="BT135">
        <f>SUM(P135:AD135)</f>
        <v>0</v>
      </c>
    </row>
    <row r="136" spans="1:72" ht="40.5">
      <c r="A136" s="59">
        <v>4</v>
      </c>
      <c r="B136" s="59" t="s">
        <v>9</v>
      </c>
      <c r="C136" s="59" t="s">
        <v>1</v>
      </c>
      <c r="D136" s="59" t="s">
        <v>192</v>
      </c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62">
        <v>40</v>
      </c>
      <c r="AR136" s="62"/>
      <c r="AS136" s="62"/>
      <c r="AT136" s="62"/>
      <c r="AU136" s="62"/>
      <c r="AV136" s="62"/>
      <c r="AW136" s="63">
        <v>40</v>
      </c>
      <c r="AX136" s="63">
        <v>40</v>
      </c>
      <c r="AY136" s="63"/>
      <c r="AZ136" s="63"/>
      <c r="BA136" s="63"/>
      <c r="BB136" s="63"/>
      <c r="BC136" s="64">
        <v>10</v>
      </c>
      <c r="BD136" s="59"/>
      <c r="BE136" s="59">
        <v>50</v>
      </c>
      <c r="BF136" s="59"/>
      <c r="BG136" s="59"/>
      <c r="BH136" s="59"/>
      <c r="BI136" s="59"/>
      <c r="BJ136" s="59"/>
      <c r="BK136" s="59"/>
      <c r="BL136" s="59"/>
      <c r="BM136" s="59"/>
      <c r="BN136" s="59"/>
      <c r="BO136" s="59"/>
      <c r="BP136" s="59">
        <f>SUM(E136:BO136)</f>
        <v>180</v>
      </c>
      <c r="BQ136" s="59">
        <v>66</v>
      </c>
      <c r="BR136" s="65">
        <v>3</v>
      </c>
      <c r="BS136" s="65" t="s">
        <v>322</v>
      </c>
      <c r="BT136">
        <f>SUM(P136:AD136)</f>
        <v>0</v>
      </c>
    </row>
    <row r="137" spans="1:72" ht="40.5">
      <c r="A137" s="1">
        <v>85</v>
      </c>
      <c r="B137" s="3" t="s">
        <v>164</v>
      </c>
      <c r="C137" s="3" t="s">
        <v>51</v>
      </c>
      <c r="D137" s="1" t="s">
        <v>30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>
        <v>50</v>
      </c>
      <c r="BM137" s="1">
        <v>50</v>
      </c>
      <c r="BN137" s="1">
        <v>50</v>
      </c>
      <c r="BO137" s="1">
        <v>50</v>
      </c>
      <c r="BP137" s="1">
        <f>SUM(E137:BO137)</f>
        <v>200</v>
      </c>
      <c r="BQ137" s="1">
        <v>132</v>
      </c>
      <c r="BR137" s="17">
        <v>3</v>
      </c>
      <c r="BS137" s="17" t="s">
        <v>323</v>
      </c>
      <c r="BT137">
        <f>SUM(P137:AD137)</f>
        <v>0</v>
      </c>
    </row>
    <row r="138" spans="1:72" ht="40.5">
      <c r="A138" s="1"/>
      <c r="B138" s="1" t="s">
        <v>161</v>
      </c>
      <c r="C138" s="1" t="s">
        <v>100</v>
      </c>
      <c r="D138" s="1" t="s">
        <v>98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>
        <v>50</v>
      </c>
      <c r="BM138" s="1">
        <v>50</v>
      </c>
      <c r="BN138" s="1">
        <v>50</v>
      </c>
      <c r="BO138" s="1">
        <v>50</v>
      </c>
      <c r="BP138" s="1">
        <f>SUM(E138:BO138)</f>
        <v>200</v>
      </c>
      <c r="BQ138" s="1">
        <v>132</v>
      </c>
      <c r="BR138" s="17">
        <v>3</v>
      </c>
      <c r="BS138" s="17" t="s">
        <v>323</v>
      </c>
      <c r="BT138">
        <f>SUM(P138:AD138)</f>
        <v>0</v>
      </c>
    </row>
    <row r="139" spans="1:72" ht="40.5">
      <c r="A139" s="1"/>
      <c r="B139" s="1" t="s">
        <v>182</v>
      </c>
      <c r="C139" s="1" t="s">
        <v>100</v>
      </c>
      <c r="D139" s="1" t="s">
        <v>98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>
        <v>50</v>
      </c>
      <c r="BM139" s="1">
        <v>50</v>
      </c>
      <c r="BN139" s="1">
        <v>50</v>
      </c>
      <c r="BO139" s="1">
        <v>50</v>
      </c>
      <c r="BP139" s="1">
        <f>SUM(E139:BO139)</f>
        <v>200</v>
      </c>
      <c r="BQ139" s="1">
        <v>132</v>
      </c>
      <c r="BR139" s="17">
        <v>3</v>
      </c>
      <c r="BS139" s="17" t="s">
        <v>323</v>
      </c>
      <c r="BT139">
        <f>SUM(P139:AD139)</f>
        <v>0</v>
      </c>
    </row>
    <row r="140" spans="1:72">
      <c r="A140" s="1"/>
      <c r="B140" s="1" t="s">
        <v>56</v>
      </c>
      <c r="C140" s="1"/>
      <c r="D140" s="1"/>
      <c r="E140" s="6">
        <f>SUM(E2:E139)</f>
        <v>133</v>
      </c>
      <c r="F140" s="6">
        <f>SUM(F2:F139)</f>
        <v>27</v>
      </c>
      <c r="G140" s="6">
        <f>SUM(G2:G139)</f>
        <v>145</v>
      </c>
      <c r="H140" s="6">
        <f>SUM(H2:H139)</f>
        <v>114</v>
      </c>
      <c r="I140" s="6">
        <f>SUM(I2:I139)</f>
        <v>27</v>
      </c>
      <c r="J140" s="6">
        <f>SUM(J2:J139)</f>
        <v>45</v>
      </c>
      <c r="K140" s="6">
        <f>SUM(K2:K139)</f>
        <v>16</v>
      </c>
      <c r="L140" s="6">
        <f>SUM(L2:L139)</f>
        <v>54</v>
      </c>
      <c r="M140" s="6">
        <f>SUM(M2:M139)</f>
        <v>61</v>
      </c>
      <c r="N140" s="6">
        <f>SUM(N2:N139)</f>
        <v>10</v>
      </c>
      <c r="O140" s="6">
        <f>SUM(O2:O139)</f>
        <v>68</v>
      </c>
      <c r="P140" s="28">
        <f>SUM(P2:P139)</f>
        <v>220</v>
      </c>
      <c r="Q140" s="28">
        <f>SUM(Q2:Q139)</f>
        <v>121</v>
      </c>
      <c r="R140" s="28">
        <f>SUM(R2:R139)</f>
        <v>117</v>
      </c>
      <c r="S140" s="28">
        <f>SUM(S2:S139)</f>
        <v>220</v>
      </c>
      <c r="T140" s="28">
        <f>SUM(T2:T139)</f>
        <v>91</v>
      </c>
      <c r="U140" s="28">
        <f>SUM(U2:U139)</f>
        <v>94</v>
      </c>
      <c r="V140" s="28">
        <f>SUM(V2:V139)</f>
        <v>220</v>
      </c>
      <c r="W140" s="28">
        <f>SUM(W2:W139)</f>
        <v>65</v>
      </c>
      <c r="X140" s="28">
        <f>SUM(X2:X139)</f>
        <v>109</v>
      </c>
      <c r="Y140" s="28">
        <f>SUM(Y2:Y139)</f>
        <v>200</v>
      </c>
      <c r="Z140" s="28">
        <f>SUM(Z2:Z139)</f>
        <v>85</v>
      </c>
      <c r="AA140" s="28">
        <f>SUM(AA2:AA139)</f>
        <v>109</v>
      </c>
      <c r="AB140" s="28">
        <f>SUM(AB2:AB139)</f>
        <v>230</v>
      </c>
      <c r="AC140" s="28">
        <f>SUM(AC2:AC139)</f>
        <v>50</v>
      </c>
      <c r="AD140" s="28">
        <f>SUM(AD2:AD139)</f>
        <v>84</v>
      </c>
      <c r="AE140" s="1">
        <f>SUM(AE2:AE139)</f>
        <v>250</v>
      </c>
      <c r="AF140" s="1">
        <f>SUM(AF2:AF139)</f>
        <v>10</v>
      </c>
      <c r="AG140" s="1">
        <f>SUM(AG2:AG139)</f>
        <v>5</v>
      </c>
      <c r="AH140" s="1">
        <f>SUM(AH2:AH139)</f>
        <v>30</v>
      </c>
      <c r="AI140" s="1">
        <f>SUM(AI2:AI139)</f>
        <v>30</v>
      </c>
      <c r="AJ140" s="1">
        <f>SUM(AJ2:AJ139)</f>
        <v>5</v>
      </c>
      <c r="AK140" s="1">
        <f>SUM(AK2:AK139)</f>
        <v>0</v>
      </c>
      <c r="AL140" s="1">
        <f>SUM(AL2:AL139)</f>
        <v>0</v>
      </c>
      <c r="AM140" s="1">
        <f>SUM(AM2:AM139)</f>
        <v>5</v>
      </c>
      <c r="AN140" s="1">
        <f>SUM(AN2:AN139)</f>
        <v>50</v>
      </c>
      <c r="AO140" s="1">
        <f>SUM(AO2:AO139)</f>
        <v>33</v>
      </c>
      <c r="AP140" s="1">
        <f>SUM(AP2:AP139)</f>
        <v>27</v>
      </c>
      <c r="AQ140" s="4">
        <f>SUM(AQ2:AQ139)</f>
        <v>105</v>
      </c>
      <c r="AR140" s="4">
        <f>SUM(AR2:AR139)</f>
        <v>90</v>
      </c>
      <c r="AS140" s="4">
        <f>SUM(AS2:AS139)</f>
        <v>80</v>
      </c>
      <c r="AT140" s="4">
        <f>SUM(AT2:AT139)</f>
        <v>65</v>
      </c>
      <c r="AU140" s="4">
        <f>SUM(AU2:AU139)</f>
        <v>65</v>
      </c>
      <c r="AV140" s="4">
        <f>SUM(AV2:AV139)</f>
        <v>105</v>
      </c>
      <c r="AW140" s="2">
        <f>SUM(AW2:AW139)</f>
        <v>105</v>
      </c>
      <c r="AX140" s="2">
        <f>SUM(AX2:AX139)</f>
        <v>55</v>
      </c>
      <c r="AY140" s="2">
        <f>SUM(AY2:AY139)</f>
        <v>35</v>
      </c>
      <c r="AZ140" s="2">
        <f>SUM(AZ2:AZ139)</f>
        <v>45</v>
      </c>
      <c r="BA140" s="2">
        <f>SUM(BA2:BA139)</f>
        <v>145</v>
      </c>
      <c r="BB140" s="2">
        <f>SUM(BB2:BB139)</f>
        <v>210</v>
      </c>
      <c r="BC140" s="1">
        <f>SUM(BC2:BC139)</f>
        <v>20</v>
      </c>
      <c r="BD140" s="1">
        <f>SUM(BD2:BD139)</f>
        <v>110</v>
      </c>
      <c r="BE140" s="1">
        <f>SUM(BE2:BE139)</f>
        <v>110</v>
      </c>
      <c r="BF140" s="1">
        <f>SUM(BF2:BF139)</f>
        <v>60</v>
      </c>
      <c r="BG140" s="1">
        <f>SUM(BG2:BG139)</f>
        <v>60</v>
      </c>
      <c r="BH140" s="1">
        <f>SUM(BH2:BH139)</f>
        <v>55</v>
      </c>
      <c r="BI140" s="1">
        <f>SUM(BI2:BI139)</f>
        <v>55</v>
      </c>
      <c r="BJ140" s="1">
        <f>SUM(BJ2:BJ139)</f>
        <v>200</v>
      </c>
      <c r="BK140" s="1">
        <f>SUM(BK2:BK139)</f>
        <v>200</v>
      </c>
      <c r="BL140" s="1">
        <f>SUM(BL2:BL139)</f>
        <v>150</v>
      </c>
      <c r="BM140" s="1">
        <f>SUM(BM2:BM139)</f>
        <v>150</v>
      </c>
      <c r="BN140" s="1">
        <f>SUM(BN2:BN139)</f>
        <v>350</v>
      </c>
      <c r="BO140" s="1">
        <f>SUM(BO2:BO139)</f>
        <v>350</v>
      </c>
      <c r="BP140" s="1"/>
      <c r="BQ140" s="1"/>
      <c r="BR140" s="17"/>
      <c r="BS140" s="17"/>
    </row>
    <row r="141" spans="1:72">
      <c r="A141" s="1"/>
      <c r="B141" s="3" t="s">
        <v>75</v>
      </c>
      <c r="C141" s="1"/>
      <c r="D141" s="1"/>
      <c r="E141" s="1">
        <v>43</v>
      </c>
      <c r="F141" s="1">
        <v>23</v>
      </c>
      <c r="G141" s="1">
        <v>21</v>
      </c>
      <c r="H141" s="1">
        <v>0</v>
      </c>
      <c r="I141" s="1">
        <v>68</v>
      </c>
      <c r="J141" s="1">
        <v>72</v>
      </c>
      <c r="K141" s="1">
        <v>53</v>
      </c>
      <c r="L141" s="1">
        <v>70</v>
      </c>
      <c r="M141" s="1">
        <v>44</v>
      </c>
      <c r="N141" s="1">
        <v>64</v>
      </c>
      <c r="O141" s="1">
        <v>41</v>
      </c>
      <c r="P141" s="14">
        <v>24</v>
      </c>
      <c r="Q141" s="14">
        <v>3</v>
      </c>
      <c r="R141" s="14">
        <v>4</v>
      </c>
      <c r="S141" s="14">
        <v>14</v>
      </c>
      <c r="T141" s="14">
        <v>15</v>
      </c>
      <c r="U141" s="14">
        <v>3</v>
      </c>
      <c r="V141" s="14">
        <v>6</v>
      </c>
      <c r="W141" s="14">
        <v>4</v>
      </c>
      <c r="X141" s="14">
        <v>8</v>
      </c>
      <c r="Y141" s="14">
        <v>10</v>
      </c>
      <c r="Z141" s="14">
        <v>4</v>
      </c>
      <c r="AA141" s="14">
        <v>3</v>
      </c>
      <c r="AB141" s="14">
        <v>23</v>
      </c>
      <c r="AC141" s="14">
        <v>4</v>
      </c>
      <c r="AD141" s="14">
        <v>8</v>
      </c>
      <c r="AE141" s="1">
        <v>6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33</v>
      </c>
      <c r="AL141" s="1">
        <v>43</v>
      </c>
      <c r="AM141" s="1">
        <v>5</v>
      </c>
      <c r="AN141" s="1">
        <v>1</v>
      </c>
      <c r="AO141" s="1">
        <v>0</v>
      </c>
      <c r="AP141" s="1">
        <v>0</v>
      </c>
      <c r="AQ141" s="14">
        <v>8</v>
      </c>
      <c r="AR141" s="14">
        <v>11</v>
      </c>
      <c r="AS141" s="14">
        <v>9</v>
      </c>
      <c r="AT141" s="14">
        <v>26</v>
      </c>
      <c r="AU141" s="14">
        <v>30</v>
      </c>
      <c r="AV141" s="14">
        <v>23</v>
      </c>
      <c r="AW141" s="14">
        <v>19</v>
      </c>
      <c r="AX141" s="14">
        <v>27</v>
      </c>
      <c r="AY141" s="14">
        <v>21</v>
      </c>
      <c r="AZ141" s="14">
        <v>4</v>
      </c>
      <c r="BA141" s="14">
        <v>7</v>
      </c>
      <c r="BB141" s="14">
        <v>27</v>
      </c>
      <c r="BC141" s="14">
        <v>12</v>
      </c>
      <c r="BD141" s="1">
        <v>162</v>
      </c>
      <c r="BE141" s="1">
        <v>244</v>
      </c>
      <c r="BF141" s="1">
        <v>233</v>
      </c>
      <c r="BG141" s="1">
        <v>242</v>
      </c>
      <c r="BH141" s="1">
        <v>141</v>
      </c>
      <c r="BI141" s="1">
        <v>154</v>
      </c>
      <c r="BJ141" s="1">
        <v>56</v>
      </c>
      <c r="BK141" s="1">
        <v>65</v>
      </c>
      <c r="BL141" s="1">
        <v>93</v>
      </c>
      <c r="BM141" s="1">
        <v>8</v>
      </c>
      <c r="BN141" s="1">
        <v>5</v>
      </c>
      <c r="BO141" s="1">
        <v>5</v>
      </c>
      <c r="BP141" s="1"/>
      <c r="BQ141" s="1"/>
      <c r="BR141" s="17"/>
      <c r="BS141" s="17"/>
    </row>
    <row r="142" spans="1:72">
      <c r="A142" s="1"/>
      <c r="B142" s="3" t="s">
        <v>82</v>
      </c>
      <c r="C142" s="1"/>
      <c r="D142" s="1"/>
      <c r="E142" s="1">
        <f>E141-E140</f>
        <v>-90</v>
      </c>
      <c r="F142" s="1">
        <f>F141-F140</f>
        <v>-4</v>
      </c>
      <c r="G142" s="1">
        <f>G141-G140</f>
        <v>-124</v>
      </c>
      <c r="H142" s="1">
        <f>H141-H140</f>
        <v>-114</v>
      </c>
      <c r="I142" s="1">
        <f>I141-I140</f>
        <v>41</v>
      </c>
      <c r="J142" s="1">
        <f>J141-J140</f>
        <v>27</v>
      </c>
      <c r="K142" s="1">
        <f>K141-K140</f>
        <v>37</v>
      </c>
      <c r="L142" s="1">
        <f>L141-L140</f>
        <v>16</v>
      </c>
      <c r="M142" s="1">
        <f>M141-M140</f>
        <v>-17</v>
      </c>
      <c r="N142" s="1">
        <f>N141-N140</f>
        <v>54</v>
      </c>
      <c r="O142" s="1">
        <f>O141-O140</f>
        <v>-27</v>
      </c>
      <c r="P142" s="1">
        <f>P141-P140</f>
        <v>-196</v>
      </c>
      <c r="Q142" s="1">
        <f>Q141-Q140</f>
        <v>-118</v>
      </c>
      <c r="R142" s="1">
        <f>R141-R140</f>
        <v>-113</v>
      </c>
      <c r="S142" s="1">
        <f>S141-S140</f>
        <v>-206</v>
      </c>
      <c r="T142" s="1">
        <f>T141-T140</f>
        <v>-76</v>
      </c>
      <c r="U142" s="1">
        <f>U141-U140</f>
        <v>-91</v>
      </c>
      <c r="V142" s="1">
        <f>V141-V140</f>
        <v>-214</v>
      </c>
      <c r="W142" s="1">
        <f>W141-W140</f>
        <v>-61</v>
      </c>
      <c r="X142" s="1">
        <f>X141-X140</f>
        <v>-101</v>
      </c>
      <c r="Y142" s="1">
        <f>Y141-Y140</f>
        <v>-190</v>
      </c>
      <c r="Z142" s="1">
        <f>Z141-Z140</f>
        <v>-81</v>
      </c>
      <c r="AA142" s="1">
        <f>AA141-AA140</f>
        <v>-106</v>
      </c>
      <c r="AB142" s="1">
        <f>AB141-AB140</f>
        <v>-207</v>
      </c>
      <c r="AC142" s="1">
        <f>AC141-AC140</f>
        <v>-46</v>
      </c>
      <c r="AD142" s="1">
        <f>AD141-AD140</f>
        <v>-76</v>
      </c>
      <c r="AE142" s="1">
        <f>AE141-AE140</f>
        <v>-244</v>
      </c>
      <c r="AF142" s="1">
        <f>AF141-AF140</f>
        <v>-10</v>
      </c>
      <c r="AG142" s="1">
        <f>AG141-AG140</f>
        <v>-5</v>
      </c>
      <c r="AH142" s="1">
        <f>AH141-AH140</f>
        <v>-30</v>
      </c>
      <c r="AI142" s="1">
        <f>AI141-AI140</f>
        <v>-30</v>
      </c>
      <c r="AJ142" s="1">
        <f>AJ141-AJ140</f>
        <v>-5</v>
      </c>
      <c r="AK142" s="1">
        <f>AK141-AK140</f>
        <v>33</v>
      </c>
      <c r="AL142" s="1">
        <f>AL141-AL140</f>
        <v>43</v>
      </c>
      <c r="AM142" s="1">
        <f>AM141-AM140</f>
        <v>0</v>
      </c>
      <c r="AN142" s="1">
        <f>AN141-AN140</f>
        <v>-49</v>
      </c>
      <c r="AO142" s="1">
        <f>AO141-AO140</f>
        <v>-33</v>
      </c>
      <c r="AP142" s="1">
        <f>AP141-AP140</f>
        <v>-27</v>
      </c>
      <c r="AQ142" s="1">
        <f>AQ141-AQ140</f>
        <v>-97</v>
      </c>
      <c r="AR142" s="1">
        <f>AR141-AR140</f>
        <v>-79</v>
      </c>
      <c r="AS142" s="1">
        <f>AS141-AS140</f>
        <v>-71</v>
      </c>
      <c r="AT142" s="1">
        <f>AT141-AT140</f>
        <v>-39</v>
      </c>
      <c r="AU142" s="1">
        <f>AU141-AU140</f>
        <v>-35</v>
      </c>
      <c r="AV142" s="1">
        <f>AV141-AV140</f>
        <v>-82</v>
      </c>
      <c r="AW142" s="1">
        <f>AW141-AW140</f>
        <v>-86</v>
      </c>
      <c r="AX142" s="1">
        <f>AX141-AX140</f>
        <v>-28</v>
      </c>
      <c r="AY142" s="1">
        <f>AY141-AY140</f>
        <v>-14</v>
      </c>
      <c r="AZ142" s="1">
        <f>AZ141-AZ140</f>
        <v>-41</v>
      </c>
      <c r="BA142" s="1">
        <f>BA141-BA140</f>
        <v>-138</v>
      </c>
      <c r="BB142" s="1">
        <f>BB141-BB140</f>
        <v>-183</v>
      </c>
      <c r="BC142" s="1">
        <f>BC141-BC140</f>
        <v>-8</v>
      </c>
      <c r="BD142" s="1">
        <f>BD141-BD140</f>
        <v>52</v>
      </c>
      <c r="BE142" s="1">
        <f>BE141-BE140</f>
        <v>134</v>
      </c>
      <c r="BF142" s="1">
        <f>BF141-BF140</f>
        <v>173</v>
      </c>
      <c r="BG142" s="1">
        <f>BG141-BG140</f>
        <v>182</v>
      </c>
      <c r="BH142" s="1">
        <f>BH141-BH140</f>
        <v>86</v>
      </c>
      <c r="BI142" s="1">
        <f>BI141-BI140</f>
        <v>99</v>
      </c>
      <c r="BJ142" s="1">
        <f>BJ141-BJ140</f>
        <v>-144</v>
      </c>
      <c r="BK142" s="1">
        <f>BK141-BK140</f>
        <v>-135</v>
      </c>
      <c r="BL142" s="1">
        <f>BL141-BL140</f>
        <v>-57</v>
      </c>
      <c r="BM142" s="1">
        <f>BM141-BM140</f>
        <v>-142</v>
      </c>
      <c r="BN142" s="1">
        <f>BN141-BN140</f>
        <v>-345</v>
      </c>
      <c r="BO142" s="1">
        <f>BO141-BO140</f>
        <v>-345</v>
      </c>
      <c r="BP142" s="1"/>
      <c r="BQ142" s="1"/>
      <c r="BR142" s="17"/>
      <c r="BS142" s="17"/>
    </row>
    <row r="143" spans="1:72">
      <c r="A143" s="1"/>
      <c r="B143" s="3" t="s">
        <v>165</v>
      </c>
      <c r="C143" s="1"/>
      <c r="D143" s="1"/>
      <c r="E143" s="1">
        <f>MAX(E2:E139)</f>
        <v>15</v>
      </c>
      <c r="F143" s="1">
        <f>MAX(F2:F139)</f>
        <v>15</v>
      </c>
      <c r="G143" s="1">
        <f>MAX(G2:G139)</f>
        <v>20</v>
      </c>
      <c r="H143" s="1">
        <f>MAX(H2:H139)</f>
        <v>20</v>
      </c>
      <c r="I143" s="1">
        <f>MAX(I2:I139)</f>
        <v>10</v>
      </c>
      <c r="J143" s="1">
        <f>MAX(J2:J139)</f>
        <v>10</v>
      </c>
      <c r="K143" s="1">
        <f>MAX(K2:K139)</f>
        <v>10</v>
      </c>
      <c r="L143" s="1">
        <f>MAX(L2:L139)</f>
        <v>20</v>
      </c>
      <c r="M143" s="1">
        <f>MAX(M2:M139)</f>
        <v>15</v>
      </c>
      <c r="N143" s="1">
        <f>MAX(N2:N139)</f>
        <v>10</v>
      </c>
      <c r="O143" s="1">
        <f>MAX(O2:O139)</f>
        <v>20</v>
      </c>
      <c r="P143" s="1">
        <f>MAX(P2:P139)</f>
        <v>10</v>
      </c>
      <c r="Q143" s="1">
        <f>MAX(Q2:Q139)</f>
        <v>7</v>
      </c>
      <c r="R143" s="1">
        <f>MAX(R2:R139)</f>
        <v>10</v>
      </c>
      <c r="S143" s="1">
        <f>MAX(S2:S139)</f>
        <v>10</v>
      </c>
      <c r="T143" s="1">
        <f>MAX(T2:T139)</f>
        <v>7</v>
      </c>
      <c r="U143" s="1">
        <f>MAX(U2:U139)</f>
        <v>10</v>
      </c>
      <c r="V143" s="1">
        <f>MAX(V2:V139)</f>
        <v>10</v>
      </c>
      <c r="W143" s="1">
        <f>MAX(W2:W139)</f>
        <v>5</v>
      </c>
      <c r="X143" s="1">
        <f>MAX(X2:X139)</f>
        <v>10</v>
      </c>
      <c r="Y143" s="1">
        <f>MAX(Y2:Y139)</f>
        <v>10</v>
      </c>
      <c r="Z143" s="1">
        <f>MAX(Z2:Z139)</f>
        <v>5</v>
      </c>
      <c r="AA143" s="1">
        <f>MAX(AA2:AA139)</f>
        <v>10</v>
      </c>
      <c r="AB143" s="1">
        <f>MAX(AB2:AB139)</f>
        <v>10</v>
      </c>
      <c r="AC143" s="1">
        <f>MAX(AC2:AC139)</f>
        <v>5</v>
      </c>
      <c r="AD143" s="1">
        <f>MAX(AD2:AD139)</f>
        <v>10</v>
      </c>
      <c r="AE143" s="1">
        <f>MAX(AE2:AE139)</f>
        <v>200</v>
      </c>
      <c r="AF143" s="1">
        <f>MAX(AF2:AF139)</f>
        <v>5</v>
      </c>
      <c r="AG143" s="1">
        <f>MAX(AG2:AG139)</f>
        <v>5</v>
      </c>
      <c r="AH143" s="1">
        <f>MAX(AH2:AH139)</f>
        <v>5</v>
      </c>
      <c r="AI143" s="1">
        <f>MAX(AI2:AI139)</f>
        <v>5</v>
      </c>
      <c r="AJ143" s="1">
        <f>MAX(AJ2:AJ139)</f>
        <v>5</v>
      </c>
      <c r="AK143" s="1">
        <f>MAX(AK2:AK139)</f>
        <v>0</v>
      </c>
      <c r="AL143" s="1">
        <f>MAX(AL2:AL139)</f>
        <v>0</v>
      </c>
      <c r="AM143" s="1">
        <f>MAX(AM2:AM139)</f>
        <v>5</v>
      </c>
      <c r="AN143" s="1">
        <f>MAX(AN2:AN139)</f>
        <v>25</v>
      </c>
      <c r="AO143" s="1">
        <f>MAX(AO2:AO139)</f>
        <v>10</v>
      </c>
      <c r="AP143" s="1">
        <f>MAX(AP2:AP139)</f>
        <v>10</v>
      </c>
      <c r="AQ143" s="1">
        <f>MAX(AQ2:AQ139)</f>
        <v>40</v>
      </c>
      <c r="AR143" s="1">
        <f>MAX(AR2:AR139)</f>
        <v>15</v>
      </c>
      <c r="AS143" s="1">
        <f>MAX(AS2:AS139)</f>
        <v>15</v>
      </c>
      <c r="AT143" s="1">
        <f>MAX(AT2:AT139)</f>
        <v>15</v>
      </c>
      <c r="AU143" s="1">
        <f>MAX(AU2:AU139)</f>
        <v>15</v>
      </c>
      <c r="AV143" s="1">
        <f>MAX(AV2:AV139)</f>
        <v>40</v>
      </c>
      <c r="AW143" s="1">
        <f>MAX(AW2:AW139)</f>
        <v>40</v>
      </c>
      <c r="AX143" s="1">
        <f>MAX(AX2:AX139)</f>
        <v>40</v>
      </c>
      <c r="AY143" s="1">
        <f>MAX(AY2:AY139)</f>
        <v>15</v>
      </c>
      <c r="AZ143" s="1">
        <f>MAX(AZ2:AZ139)</f>
        <v>15</v>
      </c>
      <c r="BA143" s="1">
        <f>MAX(BA2:BA139)</f>
        <v>20</v>
      </c>
      <c r="BB143" s="1">
        <f>MAX(BB2:BB139)</f>
        <v>40</v>
      </c>
      <c r="BC143" s="1">
        <f>MAX(BC2:BC139)</f>
        <v>10</v>
      </c>
      <c r="BD143" s="1">
        <f>MAX(BD2:BD139)</f>
        <v>50</v>
      </c>
      <c r="BE143" s="1">
        <f>MAX(BE2:BE139)</f>
        <v>50</v>
      </c>
      <c r="BF143" s="1">
        <f>MAX(BF2:BF139)</f>
        <v>20</v>
      </c>
      <c r="BG143" s="1">
        <f>MAX(BG2:BG139)</f>
        <v>20</v>
      </c>
      <c r="BH143" s="1">
        <f>MAX(BH2:BH139)</f>
        <v>20</v>
      </c>
      <c r="BI143" s="1">
        <f>MAX(BI2:BI139)</f>
        <v>20</v>
      </c>
      <c r="BJ143" s="1">
        <f>MAX(BJ2:BJ139)</f>
        <v>50</v>
      </c>
      <c r="BK143" s="1">
        <f>MAX(BK2:BK139)</f>
        <v>50</v>
      </c>
      <c r="BL143" s="1">
        <f>MAX(BL2:BL139)</f>
        <v>50</v>
      </c>
      <c r="BM143" s="1">
        <f>MAX(BM2:BM139)</f>
        <v>50</v>
      </c>
      <c r="BN143" s="1">
        <f>MAX(BN2:BN139)</f>
        <v>50</v>
      </c>
      <c r="BO143" s="1">
        <f>MAX(BO2:BO139)</f>
        <v>50</v>
      </c>
      <c r="BP143" s="1"/>
      <c r="BQ143" s="1"/>
      <c r="BR143" s="17"/>
      <c r="BS143" s="17"/>
    </row>
    <row r="144" spans="1:72">
      <c r="A144" s="1"/>
      <c r="B144" s="3" t="s">
        <v>166</v>
      </c>
      <c r="C144" s="1"/>
      <c r="D144" s="1"/>
      <c r="E144" s="1">
        <f>MIN(E2:E139)</f>
        <v>6</v>
      </c>
      <c r="F144" s="1">
        <f>MIN(F2:F139)</f>
        <v>6</v>
      </c>
      <c r="G144" s="1">
        <f>MIN(G2:G139)</f>
        <v>5</v>
      </c>
      <c r="H144" s="1">
        <f>MIN(H2:H139)</f>
        <v>5</v>
      </c>
      <c r="I144" s="1">
        <f>MIN(I2:I139)</f>
        <v>7</v>
      </c>
      <c r="J144" s="1">
        <f>MIN(J2:J139)</f>
        <v>5</v>
      </c>
      <c r="K144" s="1">
        <f>MIN(K2:K139)</f>
        <v>6</v>
      </c>
      <c r="L144" s="1">
        <f>MIN(L2:L139)</f>
        <v>6</v>
      </c>
      <c r="M144" s="1">
        <f>MIN(M2:M139)</f>
        <v>6</v>
      </c>
      <c r="N144" s="1">
        <f>MIN(N2:N139)</f>
        <v>10</v>
      </c>
      <c r="O144" s="1">
        <f>MIN(O2:O139)</f>
        <v>5</v>
      </c>
      <c r="P144" s="1">
        <f>MIN(P2:P139)</f>
        <v>10</v>
      </c>
      <c r="Q144" s="1">
        <f>MIN(Q2:Q139)</f>
        <v>5</v>
      </c>
      <c r="R144" s="1">
        <f>MIN(R2:R139)</f>
        <v>2</v>
      </c>
      <c r="S144" s="1">
        <f>MIN(S2:S139)</f>
        <v>10</v>
      </c>
      <c r="T144" s="1">
        <f>MIN(T2:T139)</f>
        <v>5</v>
      </c>
      <c r="U144" s="1">
        <f>MIN(U2:U139)</f>
        <v>2</v>
      </c>
      <c r="V144" s="1">
        <f>MIN(V2:V139)</f>
        <v>5</v>
      </c>
      <c r="W144" s="1">
        <f>MIN(W2:W139)</f>
        <v>5</v>
      </c>
      <c r="X144" s="1">
        <f>MIN(X2:X139)</f>
        <v>2</v>
      </c>
      <c r="Y144" s="1">
        <f>MIN(Y2:Y139)</f>
        <v>5</v>
      </c>
      <c r="Z144" s="1">
        <f>MIN(Z2:Z139)</f>
        <v>5</v>
      </c>
      <c r="AA144" s="1">
        <f>MIN(AA2:AA139)</f>
        <v>2</v>
      </c>
      <c r="AB144" s="1">
        <f>MIN(AB2:AB139)</f>
        <v>10</v>
      </c>
      <c r="AC144" s="1">
        <f>MIN(AC2:AC139)</f>
        <v>5</v>
      </c>
      <c r="AD144" s="1">
        <f>MIN(AD2:AD139)</f>
        <v>2</v>
      </c>
      <c r="AE144" s="1">
        <f>MIN(AE2:AE139)</f>
        <v>50</v>
      </c>
      <c r="AF144" s="1">
        <f>MIN(AF2:AF139)</f>
        <v>5</v>
      </c>
      <c r="AG144" s="1">
        <f>MIN(AG2:AG139)</f>
        <v>5</v>
      </c>
      <c r="AH144" s="1">
        <f>MIN(AH2:AH139)</f>
        <v>5</v>
      </c>
      <c r="AI144" s="1">
        <f>MIN(AI2:AI139)</f>
        <v>5</v>
      </c>
      <c r="AJ144" s="1">
        <f>MIN(AJ2:AJ139)</f>
        <v>5</v>
      </c>
      <c r="AK144" s="1">
        <f>MIN(AK2:AK139)</f>
        <v>0</v>
      </c>
      <c r="AL144" s="1">
        <f>MIN(AL2:AL139)</f>
        <v>0</v>
      </c>
      <c r="AM144" s="1">
        <f>MIN(AM2:AM139)</f>
        <v>5</v>
      </c>
      <c r="AN144" s="1">
        <f>MIN(AN2:AN139)</f>
        <v>5</v>
      </c>
      <c r="AO144" s="1">
        <f>MIN(AO2:AO139)</f>
        <v>2</v>
      </c>
      <c r="AP144" s="1">
        <f>MIN(AP2:AP139)</f>
        <v>1</v>
      </c>
      <c r="AQ144" s="1">
        <f>MIN(AQ2:AQ139)</f>
        <v>10</v>
      </c>
      <c r="AR144" s="1">
        <f>MIN(AR2:AR139)</f>
        <v>10</v>
      </c>
      <c r="AS144" s="1">
        <f>MIN(AS2:AS139)</f>
        <v>5</v>
      </c>
      <c r="AT144" s="1">
        <f>MIN(AT2:AT139)</f>
        <v>10</v>
      </c>
      <c r="AU144" s="1">
        <f>MIN(AU2:AU139)</f>
        <v>10</v>
      </c>
      <c r="AV144" s="1">
        <f>MIN(AV2:AV139)</f>
        <v>10</v>
      </c>
      <c r="AW144" s="1">
        <f>MIN(AW2:AW139)</f>
        <v>10</v>
      </c>
      <c r="AX144" s="1">
        <f>MIN(AX2:AX139)</f>
        <v>5</v>
      </c>
      <c r="AY144" s="1">
        <f>MIN(AY2:AY139)</f>
        <v>10</v>
      </c>
      <c r="AZ144" s="1">
        <f>MIN(AZ2:AZ139)</f>
        <v>10</v>
      </c>
      <c r="BA144" s="1">
        <f>MIN(BA2:BA139)</f>
        <v>5</v>
      </c>
      <c r="BB144" s="1">
        <f>MIN(BB2:BB139)</f>
        <v>5</v>
      </c>
      <c r="BC144" s="1">
        <f>MIN(BC2:BC139)</f>
        <v>10</v>
      </c>
      <c r="BD144" s="1">
        <f>MIN(BD2:BD139)</f>
        <v>20</v>
      </c>
      <c r="BE144" s="1">
        <f>MIN(BE2:BE139)</f>
        <v>20</v>
      </c>
      <c r="BF144" s="1">
        <f>MIN(BF2:BF139)</f>
        <v>20</v>
      </c>
      <c r="BG144" s="1">
        <f>MIN(BG2:BG139)</f>
        <v>20</v>
      </c>
      <c r="BH144" s="1">
        <f>MIN(BH2:BH139)</f>
        <v>15</v>
      </c>
      <c r="BI144" s="1">
        <f>MIN(BI2:BI139)</f>
        <v>15</v>
      </c>
      <c r="BJ144" s="1">
        <f>MIN(BJ2:BJ139)</f>
        <v>50</v>
      </c>
      <c r="BK144" s="1">
        <f>MIN(BK2:BK139)</f>
        <v>50</v>
      </c>
      <c r="BL144" s="1">
        <f>MIN(BL2:BL139)</f>
        <v>50</v>
      </c>
      <c r="BM144" s="1">
        <f>MIN(BM2:BM139)</f>
        <v>50</v>
      </c>
      <c r="BN144" s="1">
        <f>MIN(BN2:BN139)</f>
        <v>50</v>
      </c>
      <c r="BO144" s="1">
        <f>MIN(BO2:BO139)</f>
        <v>50</v>
      </c>
      <c r="BP144" s="1"/>
      <c r="BQ144" s="1"/>
      <c r="BR144" s="17"/>
      <c r="BS144" s="17"/>
    </row>
    <row r="145" spans="1:71">
      <c r="A145" s="1"/>
      <c r="B145" s="3" t="s">
        <v>167</v>
      </c>
      <c r="C145" s="1"/>
      <c r="D145" s="1"/>
      <c r="E145" s="1">
        <f>E141-E143</f>
        <v>28</v>
      </c>
      <c r="F145" s="1">
        <f>F141-F143</f>
        <v>8</v>
      </c>
      <c r="G145" s="1">
        <f>G141-G143</f>
        <v>1</v>
      </c>
      <c r="H145" s="1">
        <f>H141-H143</f>
        <v>-20</v>
      </c>
      <c r="I145" s="1">
        <f>I141-I143</f>
        <v>58</v>
      </c>
      <c r="J145" s="1">
        <f>J141-J143</f>
        <v>62</v>
      </c>
      <c r="K145" s="1">
        <f>K141-K143</f>
        <v>43</v>
      </c>
      <c r="L145" s="1">
        <f>L141-L143</f>
        <v>50</v>
      </c>
      <c r="M145" s="1">
        <f>M141-M143</f>
        <v>29</v>
      </c>
      <c r="N145" s="1">
        <f>N141-N143</f>
        <v>54</v>
      </c>
      <c r="O145" s="1">
        <f>O141-O143</f>
        <v>21</v>
      </c>
      <c r="P145" s="1">
        <f>P141-P143</f>
        <v>14</v>
      </c>
      <c r="Q145" s="1">
        <f>Q141-Q143</f>
        <v>-4</v>
      </c>
      <c r="R145" s="1">
        <f>R141-R143</f>
        <v>-6</v>
      </c>
      <c r="S145" s="1">
        <f>S141-S143</f>
        <v>4</v>
      </c>
      <c r="T145" s="1">
        <f>T141-T143</f>
        <v>8</v>
      </c>
      <c r="U145" s="1">
        <f>U141-U143</f>
        <v>-7</v>
      </c>
      <c r="V145" s="1">
        <f>V141-V143</f>
        <v>-4</v>
      </c>
      <c r="W145" s="1">
        <f>W141-W143</f>
        <v>-1</v>
      </c>
      <c r="X145" s="1">
        <f>X141-X143</f>
        <v>-2</v>
      </c>
      <c r="Y145" s="1">
        <f>Y141-Y143</f>
        <v>0</v>
      </c>
      <c r="Z145" s="1">
        <f>Z141-Z143</f>
        <v>-1</v>
      </c>
      <c r="AA145" s="1">
        <f>AA141-AA143</f>
        <v>-7</v>
      </c>
      <c r="AB145" s="1">
        <f>AB141-AB143</f>
        <v>13</v>
      </c>
      <c r="AC145" s="1">
        <f>AC141-AC143</f>
        <v>-1</v>
      </c>
      <c r="AD145" s="1">
        <f>AD141-AD143</f>
        <v>-2</v>
      </c>
      <c r="AE145" s="1">
        <f>AE141-AE143</f>
        <v>-194</v>
      </c>
      <c r="AF145" s="1">
        <f>AF141-AF143</f>
        <v>-5</v>
      </c>
      <c r="AG145" s="1">
        <f>AG141-AG143</f>
        <v>-5</v>
      </c>
      <c r="AH145" s="1">
        <f>AH141-AH143</f>
        <v>-5</v>
      </c>
      <c r="AI145" s="1">
        <f>AI141-AI143</f>
        <v>-5</v>
      </c>
      <c r="AJ145" s="1">
        <f>AJ141-AJ143</f>
        <v>-5</v>
      </c>
      <c r="AK145" s="1">
        <f>AK141-AK143</f>
        <v>33</v>
      </c>
      <c r="AL145" s="1">
        <f>AL141-AL143</f>
        <v>43</v>
      </c>
      <c r="AM145" s="1">
        <f>AM141-AM143</f>
        <v>0</v>
      </c>
      <c r="AN145" s="1">
        <f>AN141-AN143</f>
        <v>-24</v>
      </c>
      <c r="AO145" s="1">
        <f>AO141-AO143</f>
        <v>-10</v>
      </c>
      <c r="AP145" s="1">
        <f>AP141-AP143</f>
        <v>-10</v>
      </c>
      <c r="AQ145" s="1">
        <f>AQ141-AQ143</f>
        <v>-32</v>
      </c>
      <c r="AR145" s="1">
        <f>AR141-AR143</f>
        <v>-4</v>
      </c>
      <c r="AS145" s="1">
        <f>AS141-AS143</f>
        <v>-6</v>
      </c>
      <c r="AT145" s="1">
        <f>AT141-AT143</f>
        <v>11</v>
      </c>
      <c r="AU145" s="1">
        <f>AU141-AU143</f>
        <v>15</v>
      </c>
      <c r="AV145" s="1">
        <f>AV141-AV143</f>
        <v>-17</v>
      </c>
      <c r="AW145" s="1">
        <f>AW141-AW143</f>
        <v>-21</v>
      </c>
      <c r="AX145" s="1">
        <f>AX141-AX143</f>
        <v>-13</v>
      </c>
      <c r="AY145" s="1">
        <f>AY141-AY143</f>
        <v>6</v>
      </c>
      <c r="AZ145" s="1">
        <f>AZ141-AZ143</f>
        <v>-11</v>
      </c>
      <c r="BA145" s="1">
        <f>BA141-BA143</f>
        <v>-13</v>
      </c>
      <c r="BB145" s="1">
        <f>BB141-BB143</f>
        <v>-13</v>
      </c>
      <c r="BC145" s="1">
        <f>BC141-BC143</f>
        <v>2</v>
      </c>
      <c r="BD145" s="1">
        <f>BD141-BD143</f>
        <v>112</v>
      </c>
      <c r="BE145" s="1">
        <f>BE141-BE143</f>
        <v>194</v>
      </c>
      <c r="BF145" s="1">
        <f>BF141-BF143</f>
        <v>213</v>
      </c>
      <c r="BG145" s="1">
        <f>BG141-BG143</f>
        <v>222</v>
      </c>
      <c r="BH145" s="1">
        <f>BH141-BH143</f>
        <v>121</v>
      </c>
      <c r="BI145" s="1">
        <f>BI141-BI143</f>
        <v>134</v>
      </c>
      <c r="BJ145" s="1">
        <f>BJ141-BJ143</f>
        <v>6</v>
      </c>
      <c r="BK145" s="1">
        <f>BK141-BK143</f>
        <v>15</v>
      </c>
      <c r="BL145" s="1">
        <f>BL141-BL143</f>
        <v>43</v>
      </c>
      <c r="BM145" s="1">
        <f>BM141-BM143</f>
        <v>-42</v>
      </c>
      <c r="BN145" s="1">
        <f>BN141-BN143</f>
        <v>-45</v>
      </c>
      <c r="BO145" s="1">
        <f>BO141-BO143</f>
        <v>-45</v>
      </c>
      <c r="BP145" s="1"/>
      <c r="BQ145" s="1"/>
      <c r="BR145" s="17"/>
      <c r="BS145" s="17"/>
    </row>
    <row r="146" spans="1:71" s="13" customFormat="1">
      <c r="A146" s="1"/>
      <c r="B146" s="3" t="s">
        <v>168</v>
      </c>
      <c r="C146" s="1"/>
      <c r="D146" s="1"/>
      <c r="E146" s="1">
        <f>E141-E144</f>
        <v>37</v>
      </c>
      <c r="F146" s="1">
        <f>F141-F144</f>
        <v>17</v>
      </c>
      <c r="G146" s="1">
        <f>G141-G144</f>
        <v>16</v>
      </c>
      <c r="H146" s="1">
        <f>H141-H144</f>
        <v>-5</v>
      </c>
      <c r="I146" s="1">
        <f>I141-I144</f>
        <v>61</v>
      </c>
      <c r="J146" s="1">
        <f>J141-J144</f>
        <v>67</v>
      </c>
      <c r="K146" s="1">
        <f>K141-K144</f>
        <v>47</v>
      </c>
      <c r="L146" s="1">
        <f>L141-L144</f>
        <v>64</v>
      </c>
      <c r="M146" s="1">
        <f>M141-M144</f>
        <v>38</v>
      </c>
      <c r="N146" s="1">
        <f>N141-N144</f>
        <v>54</v>
      </c>
      <c r="O146" s="1">
        <f>O141-O144</f>
        <v>36</v>
      </c>
      <c r="P146" s="1">
        <f>P141-P144</f>
        <v>14</v>
      </c>
      <c r="Q146" s="1">
        <f>Q141-Q144</f>
        <v>-2</v>
      </c>
      <c r="R146" s="1">
        <f>R141-R144</f>
        <v>2</v>
      </c>
      <c r="S146" s="1">
        <f>S141-S144</f>
        <v>4</v>
      </c>
      <c r="T146" s="1">
        <f>T141-T144</f>
        <v>10</v>
      </c>
      <c r="U146" s="1">
        <f>U141-U144</f>
        <v>1</v>
      </c>
      <c r="V146" s="1">
        <f>V141-V144</f>
        <v>1</v>
      </c>
      <c r="W146" s="1">
        <f>W141-W144</f>
        <v>-1</v>
      </c>
      <c r="X146" s="1">
        <f>X141-X144</f>
        <v>6</v>
      </c>
      <c r="Y146" s="1">
        <f>Y141-Y144</f>
        <v>5</v>
      </c>
      <c r="Z146" s="1">
        <f>Z141-Z144</f>
        <v>-1</v>
      </c>
      <c r="AA146" s="1">
        <f>AA141-AA144</f>
        <v>1</v>
      </c>
      <c r="AB146" s="1">
        <f>AB141-AB144</f>
        <v>13</v>
      </c>
      <c r="AC146" s="1">
        <f>AC141-AC144</f>
        <v>-1</v>
      </c>
      <c r="AD146" s="1">
        <f>AD141-AD144</f>
        <v>6</v>
      </c>
      <c r="AE146" s="1">
        <f>AE141-AE144</f>
        <v>-44</v>
      </c>
      <c r="AF146" s="1">
        <f>AF141-AF144</f>
        <v>-5</v>
      </c>
      <c r="AG146" s="1">
        <f>AG141-AG144</f>
        <v>-5</v>
      </c>
      <c r="AH146" s="1">
        <f>AH141-AH144</f>
        <v>-5</v>
      </c>
      <c r="AI146" s="1">
        <f>AI141-AI144</f>
        <v>-5</v>
      </c>
      <c r="AJ146" s="1">
        <f>AJ141-AJ144</f>
        <v>-5</v>
      </c>
      <c r="AK146" s="1">
        <f>AK141-AK144</f>
        <v>33</v>
      </c>
      <c r="AL146" s="1">
        <f>AL141-AL144</f>
        <v>43</v>
      </c>
      <c r="AM146" s="1">
        <f>AM141-AM144</f>
        <v>0</v>
      </c>
      <c r="AN146" s="1">
        <f>AN141-AN144</f>
        <v>-4</v>
      </c>
      <c r="AO146" s="1">
        <f>AO141-AO144</f>
        <v>-2</v>
      </c>
      <c r="AP146" s="1">
        <f>AP141-AP144</f>
        <v>-1</v>
      </c>
      <c r="AQ146" s="1">
        <f>AQ141-AQ144</f>
        <v>-2</v>
      </c>
      <c r="AR146" s="1">
        <f>AR141-AR144</f>
        <v>1</v>
      </c>
      <c r="AS146" s="1">
        <f>AS141-AS144</f>
        <v>4</v>
      </c>
      <c r="AT146" s="1">
        <f>AT141-AT144</f>
        <v>16</v>
      </c>
      <c r="AU146" s="1">
        <f>AU141-AU144</f>
        <v>20</v>
      </c>
      <c r="AV146" s="1">
        <f>AV141-AV144</f>
        <v>13</v>
      </c>
      <c r="AW146" s="1">
        <f>AW141-AW144</f>
        <v>9</v>
      </c>
      <c r="AX146" s="1">
        <f>AX141-AX144</f>
        <v>22</v>
      </c>
      <c r="AY146" s="1">
        <f>AY141-AY144</f>
        <v>11</v>
      </c>
      <c r="AZ146" s="1">
        <f>AZ141-AZ144</f>
        <v>-6</v>
      </c>
      <c r="BA146" s="1">
        <f>BA141-BA144</f>
        <v>2</v>
      </c>
      <c r="BB146" s="1">
        <f>BB141-BB144</f>
        <v>22</v>
      </c>
      <c r="BC146" s="1">
        <f>BC141-BC144</f>
        <v>2</v>
      </c>
      <c r="BD146" s="1">
        <f>BD141-BD144</f>
        <v>142</v>
      </c>
      <c r="BE146" s="1">
        <f>BE141-BE144</f>
        <v>224</v>
      </c>
      <c r="BF146" s="1">
        <f>BF141-BF144</f>
        <v>213</v>
      </c>
      <c r="BG146" s="1">
        <f>BG141-BG144</f>
        <v>222</v>
      </c>
      <c r="BH146" s="1">
        <f>BH141-BH144</f>
        <v>126</v>
      </c>
      <c r="BI146" s="1">
        <f>BI141-BI144</f>
        <v>139</v>
      </c>
      <c r="BJ146" s="1">
        <f>BJ141-BJ144</f>
        <v>6</v>
      </c>
      <c r="BK146" s="1">
        <f>BK141-BK144</f>
        <v>15</v>
      </c>
      <c r="BL146" s="1">
        <f>BL141-BL144</f>
        <v>43</v>
      </c>
      <c r="BM146" s="1">
        <f>BM141-BM144</f>
        <v>-42</v>
      </c>
      <c r="BN146" s="1">
        <f>BN141-BN144</f>
        <v>-45</v>
      </c>
      <c r="BO146" s="1">
        <f>BO141-BO144</f>
        <v>-45</v>
      </c>
      <c r="BP146" s="1"/>
      <c r="BQ146" s="1"/>
      <c r="BR146" s="17"/>
      <c r="BS146" s="17"/>
    </row>
    <row r="147" spans="1:71">
      <c r="AQ147" s="7" t="s">
        <v>194</v>
      </c>
      <c r="AR147" s="7" t="s">
        <v>197</v>
      </c>
      <c r="AS147" s="7" t="s">
        <v>198</v>
      </c>
      <c r="AT147" s="7" t="s">
        <v>195</v>
      </c>
      <c r="AU147" s="7" t="s">
        <v>196</v>
      </c>
      <c r="AV147" s="7" t="s">
        <v>193</v>
      </c>
      <c r="AW147" s="7" t="s">
        <v>199</v>
      </c>
      <c r="AX147" s="7" t="s">
        <v>200</v>
      </c>
      <c r="AY147" s="7" t="s">
        <v>201</v>
      </c>
      <c r="AZ147" s="7" t="s">
        <v>202</v>
      </c>
      <c r="BA147" s="7" t="s">
        <v>203</v>
      </c>
      <c r="BB147" s="7" t="s">
        <v>204</v>
      </c>
    </row>
  </sheetData>
  <autoFilter ref="A1:BT147">
    <sortState ref="A2:BT148">
      <sortCondition ref="BR2:BR148"/>
      <sortCondition ref="BQ2:BQ148"/>
    </sortState>
  </autoFilter>
  <sortState ref="A2:CS148">
    <sortCondition ref="BR2:BR148"/>
    <sortCondition ref="BQ2:BQ148"/>
  </sortState>
  <phoneticPr fontId="1" type="noConversion"/>
  <conditionalFormatting sqref="E143:BO143">
    <cfRule type="expression" dxfId="5" priority="10">
      <formula>"&lt;=$E$135"</formula>
    </cfRule>
  </conditionalFormatting>
  <conditionalFormatting sqref="E145:BO146">
    <cfRule type="cellIs" dxfId="4" priority="1" operator="lessThan">
      <formula>0</formula>
    </cfRule>
  </conditionalFormatting>
  <conditionalFormatting sqref="E142:BO142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146</xdr:row>
                    <xdr:rowOff>28575</xdr:rowOff>
                  </from>
                  <to>
                    <xdr:col>1</xdr:col>
                    <xdr:colOff>428625</xdr:colOff>
                    <xdr:row>147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69</v>
      </c>
      <c r="B1" s="8" t="s">
        <v>70</v>
      </c>
      <c r="C1" s="8" t="s">
        <v>72</v>
      </c>
      <c r="D1" s="8" t="s">
        <v>71</v>
      </c>
      <c r="E1" s="9" t="s">
        <v>2</v>
      </c>
      <c r="F1" s="9" t="s">
        <v>3</v>
      </c>
      <c r="G1" s="9" t="s">
        <v>12</v>
      </c>
      <c r="H1" s="9" t="s">
        <v>22</v>
      </c>
      <c r="I1" s="9" t="s">
        <v>23</v>
      </c>
      <c r="J1" s="9" t="s">
        <v>67</v>
      </c>
      <c r="K1" s="9" t="s">
        <v>24</v>
      </c>
      <c r="L1" s="9" t="s">
        <v>40</v>
      </c>
      <c r="M1" s="9" t="s">
        <v>42</v>
      </c>
      <c r="N1" s="9" t="s">
        <v>47</v>
      </c>
      <c r="O1" s="9" t="s">
        <v>41</v>
      </c>
      <c r="P1" s="27" t="s">
        <v>106</v>
      </c>
      <c r="Q1" s="27" t="s">
        <v>118</v>
      </c>
      <c r="R1" s="27" t="s">
        <v>112</v>
      </c>
      <c r="S1" s="27" t="s">
        <v>107</v>
      </c>
      <c r="T1" s="27" t="s">
        <v>116</v>
      </c>
      <c r="U1" s="27" t="s">
        <v>122</v>
      </c>
      <c r="V1" s="27" t="s">
        <v>108</v>
      </c>
      <c r="W1" s="27" t="s">
        <v>115</v>
      </c>
      <c r="X1" s="27" t="s">
        <v>113</v>
      </c>
      <c r="Y1" s="27" t="s">
        <v>109</v>
      </c>
      <c r="Z1" s="27" t="s">
        <v>117</v>
      </c>
      <c r="AA1" s="27" t="s">
        <v>124</v>
      </c>
      <c r="AB1" s="27" t="s">
        <v>111</v>
      </c>
      <c r="AC1" s="27" t="s">
        <v>110</v>
      </c>
      <c r="AD1" s="27" t="s">
        <v>135</v>
      </c>
      <c r="AE1" s="8" t="s">
        <v>8</v>
      </c>
      <c r="AF1" s="8" t="s">
        <v>28</v>
      </c>
      <c r="AG1" s="8" t="s">
        <v>29</v>
      </c>
      <c r="AH1" s="8" t="s">
        <v>57</v>
      </c>
      <c r="AI1" s="8" t="s">
        <v>58</v>
      </c>
      <c r="AJ1" s="8" t="s">
        <v>60</v>
      </c>
      <c r="AK1" s="8" t="s">
        <v>61</v>
      </c>
      <c r="AL1" s="8" t="s">
        <v>63</v>
      </c>
      <c r="AM1" s="8" t="s">
        <v>48</v>
      </c>
      <c r="AN1" s="8" t="s">
        <v>50</v>
      </c>
      <c r="AO1" s="8" t="s">
        <v>94</v>
      </c>
      <c r="AP1" s="8" t="s">
        <v>95</v>
      </c>
      <c r="AQ1" s="10" t="s">
        <v>38</v>
      </c>
      <c r="AR1" s="10" t="s">
        <v>4</v>
      </c>
      <c r="AS1" s="10" t="s">
        <v>26</v>
      </c>
      <c r="AT1" s="10" t="s">
        <v>52</v>
      </c>
      <c r="AU1" s="10" t="s">
        <v>55</v>
      </c>
      <c r="AV1" s="10" t="s">
        <v>46</v>
      </c>
      <c r="AW1" s="11" t="s">
        <v>5</v>
      </c>
      <c r="AX1" s="11" t="s">
        <v>6</v>
      </c>
      <c r="AY1" s="11" t="s">
        <v>39</v>
      </c>
      <c r="AZ1" s="11" t="s">
        <v>7</v>
      </c>
      <c r="BA1" s="11" t="s">
        <v>45</v>
      </c>
      <c r="BB1" s="11" t="s">
        <v>11</v>
      </c>
      <c r="BC1" s="25" t="s">
        <v>91</v>
      </c>
      <c r="BD1" s="8" t="s">
        <v>16</v>
      </c>
      <c r="BE1" s="8" t="s">
        <v>15</v>
      </c>
      <c r="BF1" s="8" t="s">
        <v>13</v>
      </c>
      <c r="BG1" s="8" t="s">
        <v>14</v>
      </c>
      <c r="BH1" s="8" t="s">
        <v>17</v>
      </c>
      <c r="BI1" s="8" t="s">
        <v>18</v>
      </c>
      <c r="BJ1" s="8" t="s">
        <v>31</v>
      </c>
      <c r="BK1" s="8" t="s">
        <v>32</v>
      </c>
      <c r="BL1" s="8" t="s">
        <v>33</v>
      </c>
      <c r="BM1" s="8" t="s">
        <v>34</v>
      </c>
      <c r="BN1" s="8" t="s">
        <v>35</v>
      </c>
      <c r="BO1" s="8" t="s">
        <v>36</v>
      </c>
      <c r="BP1" s="12" t="s">
        <v>56</v>
      </c>
      <c r="BQ1" s="8" t="s">
        <v>77</v>
      </c>
      <c r="BR1" s="16" t="s">
        <v>78</v>
      </c>
      <c r="BS1" s="16"/>
      <c r="BT1" s="10" t="s">
        <v>38</v>
      </c>
      <c r="BU1" s="10" t="s">
        <v>4</v>
      </c>
      <c r="BV1" s="10" t="s">
        <v>26</v>
      </c>
      <c r="BW1" s="10" t="s">
        <v>52</v>
      </c>
      <c r="BX1" s="10" t="s">
        <v>55</v>
      </c>
      <c r="BY1" s="10" t="s">
        <v>46</v>
      </c>
      <c r="BZ1" s="11" t="s">
        <v>5</v>
      </c>
      <c r="CA1" s="11" t="s">
        <v>6</v>
      </c>
      <c r="CB1" s="11" t="s">
        <v>39</v>
      </c>
      <c r="CC1" s="11" t="s">
        <v>7</v>
      </c>
      <c r="CD1" s="11" t="s">
        <v>45</v>
      </c>
      <c r="CE1" s="11" t="s">
        <v>11</v>
      </c>
      <c r="CF1" s="8"/>
      <c r="CG1" s="10" t="s">
        <v>38</v>
      </c>
      <c r="CH1" s="10" t="s">
        <v>4</v>
      </c>
      <c r="CI1" s="10" t="s">
        <v>26</v>
      </c>
      <c r="CJ1" s="10" t="s">
        <v>52</v>
      </c>
      <c r="CK1" s="10" t="s">
        <v>55</v>
      </c>
      <c r="CL1" s="10" t="s">
        <v>46</v>
      </c>
      <c r="CM1" s="11" t="s">
        <v>5</v>
      </c>
      <c r="CN1" s="11" t="s">
        <v>6</v>
      </c>
      <c r="CO1" s="11" t="s">
        <v>39</v>
      </c>
      <c r="CP1" s="11" t="s">
        <v>7</v>
      </c>
      <c r="CQ1" s="11" t="s">
        <v>45</v>
      </c>
      <c r="CR1" s="11" t="s">
        <v>11</v>
      </c>
      <c r="CS1" s="8"/>
    </row>
    <row r="2" spans="1:97">
      <c r="A2" s="40">
        <v>77</v>
      </c>
      <c r="B2" s="47" t="s">
        <v>143</v>
      </c>
      <c r="C2" s="47" t="s">
        <v>51</v>
      </c>
      <c r="D2" s="40" t="s">
        <v>10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191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207</v>
      </c>
      <c r="C3" s="50" t="s">
        <v>89</v>
      </c>
      <c r="D3" s="50" t="s">
        <v>105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232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56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P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75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82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165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166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167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168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205</v>
      </c>
      <c r="AQ11" s="7" t="s">
        <v>194</v>
      </c>
      <c r="AR11" s="7" t="s">
        <v>197</v>
      </c>
      <c r="AS11" s="7" t="s">
        <v>198</v>
      </c>
      <c r="AT11" s="7" t="s">
        <v>195</v>
      </c>
      <c r="AU11" s="7" t="s">
        <v>196</v>
      </c>
      <c r="AV11" s="7" t="s">
        <v>193</v>
      </c>
      <c r="AW11" s="7" t="s">
        <v>199</v>
      </c>
      <c r="AX11" s="7" t="s">
        <v>200</v>
      </c>
      <c r="AY11" s="7" t="s">
        <v>201</v>
      </c>
      <c r="AZ11" s="7" t="s">
        <v>202</v>
      </c>
      <c r="BA11" s="7" t="s">
        <v>203</v>
      </c>
      <c r="BB11" s="7" t="s">
        <v>204</v>
      </c>
    </row>
    <row r="12" spans="1:97">
      <c r="R12" s="7" t="s">
        <v>206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73</v>
      </c>
      <c r="B1" s="5" t="s">
        <v>70</v>
      </c>
      <c r="C1" s="5" t="s">
        <v>74</v>
      </c>
    </row>
    <row r="2" spans="1:3">
      <c r="A2" s="1">
        <v>10</v>
      </c>
      <c r="B2" s="2" t="s">
        <v>11</v>
      </c>
      <c r="C2" s="1">
        <v>190</v>
      </c>
    </row>
    <row r="3" spans="1:3">
      <c r="A3" s="1">
        <v>12</v>
      </c>
      <c r="B3" s="2" t="s">
        <v>45</v>
      </c>
      <c r="C3" s="1">
        <v>120</v>
      </c>
    </row>
    <row r="4" spans="1:3">
      <c r="A4" s="1">
        <v>4</v>
      </c>
      <c r="B4" s="4" t="s">
        <v>46</v>
      </c>
      <c r="C4" s="1">
        <v>85</v>
      </c>
    </row>
    <row r="5" spans="1:3">
      <c r="A5" s="1">
        <v>3</v>
      </c>
      <c r="B5" s="4" t="s">
        <v>38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26</v>
      </c>
      <c r="C10" s="1">
        <v>45</v>
      </c>
    </row>
    <row r="11" spans="1:3">
      <c r="A11" s="1">
        <v>5</v>
      </c>
      <c r="B11" s="4" t="s">
        <v>52</v>
      </c>
      <c r="C11" s="1">
        <v>45</v>
      </c>
    </row>
    <row r="12" spans="1:3">
      <c r="A12" s="1">
        <v>11</v>
      </c>
      <c r="B12" s="2" t="s">
        <v>39</v>
      </c>
      <c r="C12" s="1">
        <v>10</v>
      </c>
    </row>
    <row r="13" spans="1:3">
      <c r="A13" s="1">
        <v>6</v>
      </c>
      <c r="B13" s="4" t="s">
        <v>55</v>
      </c>
      <c r="C13" s="1">
        <v>8</v>
      </c>
    </row>
    <row r="19" spans="3:18">
      <c r="G19" s="10" t="s">
        <v>38</v>
      </c>
      <c r="H19" s="10" t="s">
        <v>4</v>
      </c>
      <c r="I19" s="10" t="s">
        <v>26</v>
      </c>
      <c r="J19" s="10" t="s">
        <v>52</v>
      </c>
      <c r="K19" s="10" t="s">
        <v>55</v>
      </c>
      <c r="L19" s="10" t="s">
        <v>46</v>
      </c>
      <c r="M19" s="11" t="s">
        <v>5</v>
      </c>
      <c r="N19" s="11" t="s">
        <v>6</v>
      </c>
      <c r="O19" s="11" t="s">
        <v>39</v>
      </c>
      <c r="P19" s="11" t="s">
        <v>7</v>
      </c>
      <c r="Q19" s="11" t="s">
        <v>45</v>
      </c>
      <c r="R19" s="11" t="s">
        <v>11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169</v>
      </c>
      <c r="D27" t="s">
        <v>170</v>
      </c>
      <c r="E27" t="s">
        <v>171</v>
      </c>
      <c r="F27" t="s">
        <v>172</v>
      </c>
      <c r="G27" t="s">
        <v>173</v>
      </c>
      <c r="H27" t="s">
        <v>174</v>
      </c>
      <c r="I27" t="s">
        <v>175</v>
      </c>
      <c r="J27" t="s">
        <v>176</v>
      </c>
      <c r="K27" t="s">
        <v>177</v>
      </c>
      <c r="L27" t="s">
        <v>178</v>
      </c>
      <c r="M27" t="s">
        <v>179</v>
      </c>
      <c r="N27" t="s">
        <v>180</v>
      </c>
    </row>
    <row r="31" spans="3:18">
      <c r="C31">
        <v>-3</v>
      </c>
      <c r="D31" t="s">
        <v>169</v>
      </c>
    </row>
    <row r="32" spans="3:18">
      <c r="C32">
        <v>-8</v>
      </c>
      <c r="D32" t="s">
        <v>170</v>
      </c>
    </row>
    <row r="33" spans="3:4">
      <c r="C33">
        <v>-3</v>
      </c>
      <c r="D33" t="s">
        <v>171</v>
      </c>
    </row>
    <row r="34" spans="3:4">
      <c r="C34">
        <v>1</v>
      </c>
      <c r="D34" t="s">
        <v>172</v>
      </c>
    </row>
    <row r="35" spans="3:4">
      <c r="C35">
        <v>3</v>
      </c>
      <c r="D35" t="s">
        <v>173</v>
      </c>
    </row>
    <row r="36" spans="3:4">
      <c r="C36">
        <v>0</v>
      </c>
      <c r="D36" t="s">
        <v>174</v>
      </c>
    </row>
    <row r="37" spans="3:4">
      <c r="C37">
        <v>-3</v>
      </c>
      <c r="D37" t="s">
        <v>175</v>
      </c>
    </row>
    <row r="38" spans="3:4">
      <c r="C38">
        <v>30</v>
      </c>
      <c r="D38" t="s">
        <v>176</v>
      </c>
    </row>
    <row r="39" spans="3:4">
      <c r="C39">
        <v>5</v>
      </c>
      <c r="D39" t="s">
        <v>177</v>
      </c>
    </row>
    <row r="40" spans="3:4">
      <c r="C40">
        <v>-10</v>
      </c>
      <c r="D40" t="s">
        <v>178</v>
      </c>
    </row>
    <row r="41" spans="3:4">
      <c r="C41">
        <v>3</v>
      </c>
      <c r="D41" t="s">
        <v>179</v>
      </c>
    </row>
    <row r="42" spans="3:4">
      <c r="C42">
        <v>138</v>
      </c>
      <c r="D42" t="s">
        <v>180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79</v>
      </c>
      <c r="B1" s="8" t="s">
        <v>80</v>
      </c>
      <c r="C1" s="8" t="s">
        <v>81</v>
      </c>
    </row>
    <row r="2" spans="1:3">
      <c r="A2" s="1">
        <v>5</v>
      </c>
      <c r="B2" s="10" t="s">
        <v>55</v>
      </c>
      <c r="C2" s="1">
        <v>0</v>
      </c>
    </row>
    <row r="3" spans="1:3">
      <c r="A3" s="1">
        <v>9</v>
      </c>
      <c r="B3" s="11" t="s">
        <v>39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52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11</v>
      </c>
      <c r="C7" s="1">
        <v>3</v>
      </c>
    </row>
    <row r="8" spans="1:3">
      <c r="A8" s="1">
        <v>1</v>
      </c>
      <c r="B8" s="10" t="s">
        <v>38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26</v>
      </c>
      <c r="C11" s="1">
        <v>5</v>
      </c>
    </row>
    <row r="12" spans="1:3">
      <c r="A12" s="1">
        <v>11</v>
      </c>
      <c r="B12" s="11" t="s">
        <v>45</v>
      </c>
      <c r="C12" s="1">
        <v>5</v>
      </c>
    </row>
    <row r="13" spans="1:3">
      <c r="A13" s="1">
        <v>6</v>
      </c>
      <c r="B13" s="10" t="s">
        <v>46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23"/>
  <sheetViews>
    <sheetView workbookViewId="0">
      <selection activeCell="I24" sqref="I24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233</v>
      </c>
      <c r="F3" t="s">
        <v>234</v>
      </c>
      <c r="G3" t="s">
        <v>235</v>
      </c>
      <c r="H3" t="s">
        <v>236</v>
      </c>
      <c r="I3" t="s">
        <v>237</v>
      </c>
      <c r="J3" t="s">
        <v>238</v>
      </c>
    </row>
    <row r="4" spans="3:10">
      <c r="C4" s="67" t="s">
        <v>239</v>
      </c>
      <c r="D4" t="s">
        <v>240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241</v>
      </c>
      <c r="D5" t="s">
        <v>242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243</v>
      </c>
      <c r="D6" t="s">
        <v>242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244</v>
      </c>
      <c r="D7" t="s">
        <v>242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245</v>
      </c>
      <c r="D8" t="s">
        <v>246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247</v>
      </c>
      <c r="D9" t="s">
        <v>246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248</v>
      </c>
      <c r="D10" t="s">
        <v>246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251</v>
      </c>
      <c r="D11" t="s">
        <v>242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249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249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249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249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250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4:10">
      <c r="D17" t="s">
        <v>246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4:10">
      <c r="D18" t="s">
        <v>246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4:10">
      <c r="D19" t="s">
        <v>246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4:10">
      <c r="E20">
        <f>SUM(E4:E11)</f>
        <v>710</v>
      </c>
      <c r="I20">
        <f>SUM(I4:I11)</f>
        <v>450</v>
      </c>
    </row>
    <row r="21" spans="4:10">
      <c r="E21">
        <f>-E20/2*7</f>
        <v>-2485</v>
      </c>
      <c r="I21">
        <f>-I20/2*7</f>
        <v>-1575</v>
      </c>
    </row>
    <row r="22" spans="4:10">
      <c r="I22">
        <v>200</v>
      </c>
    </row>
    <row r="23" spans="4:10">
      <c r="I23">
        <f>267*0.6</f>
        <v>160.19999999999999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2020-04-23T00:38:15Z</dcterms:modified>
</cp:coreProperties>
</file>