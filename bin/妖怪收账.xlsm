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Sheet1!$A$1:$BV$98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86" i="1" l="1"/>
  <c r="BV86" i="1"/>
  <c r="BQ86" i="1"/>
  <c r="BQ87" i="1" l="1"/>
  <c r="BU68" i="1" l="1"/>
  <c r="BV68" i="1"/>
  <c r="BQ68" i="1"/>
  <c r="BU55" i="1" l="1"/>
  <c r="BV55" i="1"/>
  <c r="BQ55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24" i="1"/>
  <c r="BQ25" i="1"/>
  <c r="BQ89" i="1"/>
  <c r="BQ26" i="1"/>
  <c r="BQ49" i="1"/>
  <c r="BQ27" i="1"/>
  <c r="BQ28" i="1"/>
  <c r="BQ50" i="1"/>
  <c r="BQ74" i="1"/>
  <c r="BQ29" i="1"/>
  <c r="BQ45" i="1"/>
  <c r="BQ41" i="1"/>
  <c r="BQ75" i="1"/>
  <c r="BU24" i="1"/>
  <c r="BV24" i="1"/>
  <c r="BU25" i="1"/>
  <c r="BV25" i="1"/>
  <c r="BU89" i="1"/>
  <c r="BV89" i="1"/>
  <c r="BU26" i="1"/>
  <c r="BV26" i="1"/>
  <c r="BU49" i="1"/>
  <c r="BV49" i="1"/>
  <c r="BU27" i="1"/>
  <c r="BV27" i="1"/>
  <c r="BU28" i="1"/>
  <c r="BV28" i="1"/>
  <c r="BU50" i="1"/>
  <c r="BV50" i="1"/>
  <c r="BU74" i="1"/>
  <c r="BV74" i="1"/>
  <c r="BU29" i="1"/>
  <c r="BV29" i="1"/>
  <c r="BU45" i="1"/>
  <c r="BV45" i="1"/>
  <c r="BU41" i="1"/>
  <c r="BV41" i="1"/>
  <c r="BU75" i="1"/>
  <c r="BV75" i="1"/>
  <c r="BU61" i="1" l="1"/>
  <c r="BV61" i="1"/>
  <c r="BQ61" i="1"/>
  <c r="BU43" i="1" l="1"/>
  <c r="BV43" i="1"/>
  <c r="BU60" i="1"/>
  <c r="BV60" i="1"/>
  <c r="BQ43" i="1"/>
  <c r="BQ60" i="1"/>
  <c r="BU4" i="1" l="1"/>
  <c r="BV4" i="1"/>
  <c r="BU5" i="1"/>
  <c r="BV5" i="1"/>
  <c r="BU9" i="1"/>
  <c r="BV9" i="1"/>
  <c r="BU11" i="1"/>
  <c r="BV11" i="1"/>
  <c r="BU15" i="1"/>
  <c r="BV15" i="1"/>
  <c r="BU16" i="1"/>
  <c r="BV16" i="1"/>
  <c r="BU8" i="1"/>
  <c r="BV8" i="1"/>
  <c r="BU6" i="1"/>
  <c r="BV6" i="1"/>
  <c r="BU12" i="1"/>
  <c r="BV12" i="1"/>
  <c r="BU7" i="1"/>
  <c r="BV7" i="1"/>
  <c r="BU10" i="1"/>
  <c r="BV10" i="1"/>
  <c r="BU17" i="1"/>
  <c r="BV17" i="1"/>
  <c r="BU13" i="1"/>
  <c r="BV13" i="1"/>
  <c r="BU2" i="1"/>
  <c r="BV2" i="1"/>
  <c r="BU3" i="1"/>
  <c r="BV3" i="1"/>
  <c r="BU22" i="1"/>
  <c r="BV22" i="1"/>
  <c r="BU23" i="1"/>
  <c r="BV23" i="1"/>
  <c r="BU32" i="1"/>
  <c r="BV32" i="1"/>
  <c r="BU33" i="1"/>
  <c r="BV33" i="1"/>
  <c r="BU44" i="1"/>
  <c r="BV44" i="1"/>
  <c r="BU14" i="1"/>
  <c r="BV14" i="1"/>
  <c r="BU46" i="1"/>
  <c r="BV46" i="1"/>
  <c r="BU57" i="1"/>
  <c r="BV57" i="1"/>
  <c r="BU58" i="1"/>
  <c r="BV58" i="1"/>
  <c r="BU59" i="1"/>
  <c r="BV59" i="1"/>
  <c r="BU42" i="1"/>
  <c r="BV42" i="1"/>
  <c r="BU47" i="1"/>
  <c r="BV47" i="1"/>
  <c r="BU31" i="1"/>
  <c r="BV31" i="1"/>
  <c r="BU48" i="1"/>
  <c r="BV48" i="1"/>
  <c r="BU18" i="1"/>
  <c r="BV18" i="1"/>
  <c r="BU19" i="1"/>
  <c r="BV19" i="1"/>
  <c r="BU20" i="1"/>
  <c r="BV20" i="1"/>
  <c r="BU21" i="1"/>
  <c r="BV21" i="1"/>
  <c r="BU30" i="1"/>
  <c r="BV30" i="1"/>
  <c r="BU51" i="1"/>
  <c r="BV51" i="1"/>
  <c r="BU52" i="1"/>
  <c r="BV52" i="1"/>
  <c r="BU53" i="1"/>
  <c r="BV53" i="1"/>
  <c r="BU54" i="1"/>
  <c r="BV54" i="1"/>
  <c r="BU82" i="1"/>
  <c r="BV82" i="1"/>
  <c r="BU83" i="1"/>
  <c r="BV83" i="1"/>
  <c r="BU84" i="1"/>
  <c r="BV84" i="1"/>
  <c r="BU85" i="1"/>
  <c r="BV85" i="1"/>
  <c r="BU81" i="1"/>
  <c r="BV81" i="1"/>
  <c r="BU56" i="1"/>
  <c r="BV56" i="1"/>
  <c r="BU69" i="1"/>
  <c r="BV69" i="1"/>
  <c r="BU34" i="1"/>
  <c r="BV34" i="1"/>
  <c r="BU35" i="1"/>
  <c r="BV35" i="1"/>
  <c r="BU36" i="1"/>
  <c r="BV36" i="1"/>
  <c r="BU37" i="1"/>
  <c r="BV37" i="1"/>
  <c r="BU38" i="1"/>
  <c r="BV38" i="1"/>
  <c r="BU39" i="1"/>
  <c r="BV39" i="1"/>
  <c r="BU40" i="1"/>
  <c r="BV40" i="1"/>
  <c r="BU80" i="1"/>
  <c r="BV80" i="1"/>
  <c r="BU77" i="1"/>
  <c r="BV77" i="1"/>
  <c r="BU78" i="1"/>
  <c r="BV78" i="1"/>
  <c r="BU70" i="1"/>
  <c r="BV70" i="1"/>
  <c r="BU71" i="1"/>
  <c r="BV71" i="1"/>
  <c r="BU72" i="1"/>
  <c r="BV72" i="1"/>
  <c r="BU73" i="1"/>
  <c r="BV73" i="1"/>
  <c r="BU62" i="1"/>
  <c r="BV62" i="1"/>
  <c r="BU88" i="1"/>
  <c r="BV88" i="1"/>
  <c r="BQ88" i="1"/>
  <c r="BQ48" i="1" l="1"/>
  <c r="BQ80" i="1"/>
  <c r="BD95" i="1" l="1"/>
  <c r="BD97" i="1" s="1"/>
  <c r="BD94" i="1"/>
  <c r="BD96" i="1" s="1"/>
  <c r="BD91" i="1"/>
  <c r="BD93" i="1" s="1"/>
  <c r="BE91" i="1" l="1"/>
  <c r="BE93" i="1" s="1"/>
  <c r="BF91" i="1"/>
  <c r="BF93" i="1" s="1"/>
  <c r="BG91" i="1"/>
  <c r="BG93" i="1" s="1"/>
  <c r="BH91" i="1"/>
  <c r="BH93" i="1" s="1"/>
  <c r="BI91" i="1"/>
  <c r="BI93" i="1" s="1"/>
  <c r="BJ91" i="1"/>
  <c r="BJ93" i="1" s="1"/>
  <c r="BE94" i="1"/>
  <c r="BE96" i="1" s="1"/>
  <c r="BF94" i="1"/>
  <c r="BF96" i="1" s="1"/>
  <c r="BG94" i="1"/>
  <c r="BG96" i="1" s="1"/>
  <c r="BH94" i="1"/>
  <c r="BH96" i="1" s="1"/>
  <c r="BI94" i="1"/>
  <c r="BI96" i="1" s="1"/>
  <c r="BJ94" i="1"/>
  <c r="BJ96" i="1" s="1"/>
  <c r="BE95" i="1"/>
  <c r="BE97" i="1" s="1"/>
  <c r="BF95" i="1"/>
  <c r="BF97" i="1" s="1"/>
  <c r="BG95" i="1"/>
  <c r="BG97" i="1" s="1"/>
  <c r="BH95" i="1"/>
  <c r="BH97" i="1" s="1"/>
  <c r="BI95" i="1"/>
  <c r="BI97" i="1" s="1"/>
  <c r="BJ95" i="1"/>
  <c r="BJ97" i="1" s="1"/>
  <c r="BU76" i="1" l="1"/>
  <c r="BV76" i="1"/>
  <c r="BU63" i="1"/>
  <c r="BV63" i="1"/>
  <c r="BU64" i="1"/>
  <c r="BV64" i="1"/>
  <c r="BU65" i="1"/>
  <c r="BV65" i="1"/>
  <c r="BU90" i="1"/>
  <c r="BV90" i="1"/>
  <c r="BU79" i="1"/>
  <c r="BV79" i="1"/>
  <c r="BU87" i="1"/>
  <c r="BV87" i="1"/>
  <c r="BU66" i="1"/>
  <c r="BV66" i="1"/>
  <c r="BU67" i="1"/>
  <c r="BV67" i="1"/>
  <c r="BQ35" i="1"/>
  <c r="BQ23" i="1"/>
  <c r="BQ47" i="1"/>
  <c r="BQ21" i="1"/>
  <c r="BQ6" i="1" l="1"/>
  <c r="BQ12" i="1"/>
  <c r="BQ7" i="1"/>
  <c r="BQ10" i="1"/>
  <c r="BQ85" i="1"/>
  <c r="BQ20" i="1"/>
  <c r="BQ17" i="1"/>
  <c r="BQ42" i="1"/>
  <c r="BQ72" i="1"/>
  <c r="BQ40" i="1"/>
  <c r="BQ46" i="1"/>
  <c r="BQ34" i="1"/>
  <c r="BQ13" i="1"/>
  <c r="BQ73" i="1"/>
  <c r="BQ22" i="1" l="1"/>
  <c r="BQ81" i="1"/>
  <c r="BQ39" i="1"/>
  <c r="BQ18" i="1"/>
  <c r="BQ19" i="1"/>
  <c r="BQ71" i="1"/>
  <c r="BQ57" i="1"/>
  <c r="BQ58" i="1"/>
  <c r="BQ59" i="1"/>
  <c r="BQ82" i="1"/>
  <c r="BQ83" i="1"/>
  <c r="BQ84" i="1"/>
  <c r="BQ16" i="1"/>
  <c r="BQ33" i="1"/>
  <c r="BQ44" i="1"/>
  <c r="BQ3" i="1"/>
  <c r="BQ31" i="1"/>
  <c r="F95" i="1" l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K95" i="1"/>
  <c r="BL95" i="1"/>
  <c r="BM95" i="1"/>
  <c r="BN95" i="1"/>
  <c r="BO95" i="1"/>
  <c r="BP95" i="1"/>
  <c r="E95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K94" i="1"/>
  <c r="BL94" i="1"/>
  <c r="BM94" i="1"/>
  <c r="BN94" i="1"/>
  <c r="BO94" i="1"/>
  <c r="BP94" i="1"/>
  <c r="E94" i="1"/>
  <c r="BK91" i="1"/>
  <c r="BL91" i="1"/>
  <c r="BM91" i="1"/>
  <c r="BN91" i="1"/>
  <c r="BO91" i="1"/>
  <c r="BP91" i="1"/>
  <c r="BC91" i="1"/>
  <c r="AX91" i="1"/>
  <c r="AY91" i="1"/>
  <c r="AZ91" i="1"/>
  <c r="BA91" i="1"/>
  <c r="BB91" i="1"/>
  <c r="AW91" i="1"/>
  <c r="AR91" i="1"/>
  <c r="AS91" i="1"/>
  <c r="AT91" i="1"/>
  <c r="AU91" i="1"/>
  <c r="AV91" i="1"/>
  <c r="AQ91" i="1"/>
  <c r="AF91" i="1"/>
  <c r="AG91" i="1"/>
  <c r="AH91" i="1"/>
  <c r="AI91" i="1"/>
  <c r="AJ91" i="1"/>
  <c r="AK91" i="1"/>
  <c r="AL91" i="1"/>
  <c r="AM91" i="1"/>
  <c r="AN91" i="1"/>
  <c r="AO91" i="1"/>
  <c r="AP91" i="1"/>
  <c r="AE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P91" i="1"/>
  <c r="F91" i="1"/>
  <c r="G91" i="1"/>
  <c r="H91" i="1"/>
  <c r="I91" i="1"/>
  <c r="J91" i="1"/>
  <c r="K91" i="1"/>
  <c r="L91" i="1"/>
  <c r="M91" i="1"/>
  <c r="N91" i="1"/>
  <c r="O91" i="1"/>
  <c r="E91" i="1"/>
  <c r="BC96" i="1" l="1"/>
  <c r="BK96" i="1"/>
  <c r="BL96" i="1"/>
  <c r="BM96" i="1"/>
  <c r="BN96" i="1"/>
  <c r="BO96" i="1"/>
  <c r="BP96" i="1"/>
  <c r="BC97" i="1"/>
  <c r="BK97" i="1"/>
  <c r="BL97" i="1"/>
  <c r="BM97" i="1"/>
  <c r="BN97" i="1"/>
  <c r="BO97" i="1"/>
  <c r="BP97" i="1"/>
  <c r="BA96" i="1"/>
  <c r="BB96" i="1"/>
  <c r="BA97" i="1"/>
  <c r="BB97" i="1"/>
  <c r="AQ96" i="1"/>
  <c r="AR96" i="1"/>
  <c r="AS96" i="1"/>
  <c r="AT96" i="1"/>
  <c r="AU96" i="1"/>
  <c r="AV96" i="1"/>
  <c r="AW96" i="1"/>
  <c r="AX96" i="1"/>
  <c r="AY96" i="1"/>
  <c r="AZ96" i="1"/>
  <c r="AQ97" i="1"/>
  <c r="AR97" i="1"/>
  <c r="AS97" i="1"/>
  <c r="AT97" i="1"/>
  <c r="AU97" i="1"/>
  <c r="AV97" i="1"/>
  <c r="AW97" i="1"/>
  <c r="AX97" i="1"/>
  <c r="AY97" i="1"/>
  <c r="AZ97" i="1"/>
  <c r="AI96" i="1"/>
  <c r="AJ96" i="1"/>
  <c r="AK96" i="1"/>
  <c r="AL96" i="1"/>
  <c r="AM96" i="1"/>
  <c r="AN96" i="1"/>
  <c r="AO96" i="1"/>
  <c r="AP96" i="1"/>
  <c r="AI97" i="1"/>
  <c r="AJ97" i="1"/>
  <c r="AK97" i="1"/>
  <c r="AL97" i="1"/>
  <c r="AM97" i="1"/>
  <c r="AN97" i="1"/>
  <c r="AO97" i="1"/>
  <c r="AP97" i="1"/>
  <c r="AC96" i="1"/>
  <c r="AD96" i="1"/>
  <c r="AE96" i="1"/>
  <c r="AF96" i="1"/>
  <c r="AG96" i="1"/>
  <c r="AH96" i="1"/>
  <c r="AC97" i="1"/>
  <c r="AD97" i="1"/>
  <c r="AE97" i="1"/>
  <c r="AF97" i="1"/>
  <c r="AG97" i="1"/>
  <c r="AH97" i="1"/>
  <c r="W96" i="1"/>
  <c r="X96" i="1"/>
  <c r="Y96" i="1"/>
  <c r="Z96" i="1"/>
  <c r="AA96" i="1"/>
  <c r="AB96" i="1"/>
  <c r="W97" i="1"/>
  <c r="X97" i="1"/>
  <c r="Y97" i="1"/>
  <c r="Z97" i="1"/>
  <c r="AA97" i="1"/>
  <c r="AB97" i="1"/>
  <c r="P96" i="1"/>
  <c r="Q96" i="1"/>
  <c r="R96" i="1"/>
  <c r="S96" i="1"/>
  <c r="T96" i="1"/>
  <c r="U96" i="1"/>
  <c r="V96" i="1"/>
  <c r="P97" i="1"/>
  <c r="Q97" i="1"/>
  <c r="R97" i="1"/>
  <c r="S97" i="1"/>
  <c r="T97" i="1"/>
  <c r="U97" i="1"/>
  <c r="V97" i="1"/>
  <c r="G96" i="1"/>
  <c r="H96" i="1"/>
  <c r="I96" i="1"/>
  <c r="J96" i="1"/>
  <c r="K96" i="1"/>
  <c r="L96" i="1"/>
  <c r="M96" i="1"/>
  <c r="N96" i="1"/>
  <c r="O96" i="1"/>
  <c r="G97" i="1"/>
  <c r="H97" i="1"/>
  <c r="I97" i="1"/>
  <c r="J97" i="1"/>
  <c r="K97" i="1"/>
  <c r="L97" i="1"/>
  <c r="M97" i="1"/>
  <c r="N97" i="1"/>
  <c r="O97" i="1"/>
  <c r="F96" i="1"/>
  <c r="F97" i="1"/>
  <c r="E97" i="1"/>
  <c r="E96" i="1"/>
  <c r="BQ51" i="1" l="1"/>
  <c r="BQ52" i="1"/>
  <c r="BQ53" i="1"/>
  <c r="BQ54" i="1"/>
  <c r="BQ56" i="1"/>
  <c r="BQ69" i="1"/>
  <c r="BQ32" i="1"/>
  <c r="BQ14" i="1"/>
  <c r="BQ77" i="1"/>
  <c r="BQ78" i="1"/>
  <c r="BQ30" i="1"/>
  <c r="BQ9" i="1"/>
  <c r="BQ90" i="1"/>
  <c r="BQ79" i="1"/>
  <c r="BQ36" i="1"/>
  <c r="BQ37" i="1"/>
  <c r="BQ38" i="1"/>
  <c r="BQ62" i="1"/>
  <c r="BQ8" i="1"/>
  <c r="BQ2" i="1"/>
  <c r="BQ11" i="1"/>
  <c r="BQ15" i="1"/>
  <c r="BQ70" i="1"/>
  <c r="BQ76" i="1"/>
  <c r="BQ4" i="1"/>
  <c r="BQ5" i="1"/>
  <c r="BQ63" i="1"/>
  <c r="BQ64" i="1"/>
  <c r="BQ65" i="1"/>
  <c r="BQ66" i="1"/>
  <c r="BQ67" i="1"/>
  <c r="BN93" i="1" l="1"/>
  <c r="AM93" i="1"/>
  <c r="L93" i="1"/>
  <c r="BL93" i="1"/>
  <c r="AJ93" i="1"/>
  <c r="AH93" i="1"/>
  <c r="AL93" i="1"/>
  <c r="BM93" i="1"/>
  <c r="J93" i="1"/>
  <c r="H93" i="1"/>
  <c r="G93" i="1"/>
  <c r="AE93" i="1"/>
  <c r="F93" i="1"/>
  <c r="BK93" i="1"/>
  <c r="AI93" i="1"/>
  <c r="I93" i="1"/>
  <c r="AG93" i="1"/>
  <c r="AF93" i="1"/>
  <c r="O93" i="1"/>
  <c r="BP93" i="1"/>
  <c r="N93" i="1"/>
  <c r="K93" i="1"/>
  <c r="AK93" i="1"/>
  <c r="E93" i="1"/>
  <c r="BO93" i="1"/>
  <c r="AN93" i="1"/>
  <c r="M93" i="1"/>
  <c r="AP93" i="1"/>
  <c r="BC93" i="1"/>
  <c r="AO93" i="1"/>
  <c r="V93" i="1"/>
  <c r="Y93" i="1"/>
  <c r="W93" i="1"/>
  <c r="S93" i="1"/>
  <c r="X93" i="1"/>
  <c r="R93" i="1"/>
  <c r="Z93" i="1"/>
  <c r="U93" i="1"/>
  <c r="T93" i="1"/>
  <c r="AC93" i="1"/>
  <c r="Q93" i="1"/>
  <c r="AB93" i="1"/>
  <c r="P93" i="1"/>
  <c r="AA93" i="1"/>
  <c r="AD93" i="1"/>
  <c r="AR93" i="1" l="1"/>
  <c r="AU93" i="1"/>
  <c r="BB93" i="1"/>
  <c r="AS93" i="1"/>
  <c r="AW93" i="1"/>
  <c r="AT93" i="1"/>
  <c r="AY93" i="1"/>
  <c r="AZ93" i="1"/>
  <c r="AV93" i="1"/>
  <c r="AQ93" i="1"/>
  <c r="AX93" i="1"/>
  <c r="BA93" i="1"/>
</calcChain>
</file>

<file path=xl/sharedStrings.xml><?xml version="1.0" encoding="utf-8"?>
<sst xmlns="http://schemas.openxmlformats.org/spreadsheetml/2006/main" count="608" uniqueCount="250">
  <si>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</si>
  <si>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</si>
  <si>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</si>
  <si>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</si>
  <si>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</si>
  <si>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</si>
  <si>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</si>
  <si>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</si>
  <si>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</si>
  <si>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</si>
  <si>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</si>
  <si>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</si>
  <si>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</si>
  <si>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</si>
  <si>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</si>
  <si>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</si>
  <si>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</si>
  <si>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</si>
  <si>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</si>
  <si>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</si>
  <si>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</si>
  <si>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</si>
  <si>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</si>
  <si>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</si>
  <si>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</si>
  <si>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</si>
  <si>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</si>
  <si>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</si>
  <si>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</si>
  <si>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</si>
  <si>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</si>
  <si>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</si>
  <si>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</si>
  <si>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</si>
  <si>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</si>
  <si>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</si>
  <si>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</si>
  <si>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</si>
  <si>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</si>
  <si>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</si>
  <si>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</si>
  <si>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</si>
  <si>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</si>
  <si>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</si>
  <si>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</si>
  <si>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</si>
  <si>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</si>
  <si>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</si>
  <si>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</si>
  <si>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</si>
  <si>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</si>
  <si>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</si>
  <si>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</si>
  <si>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</si>
  <si>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</si>
  <si>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</si>
  <si>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</si>
  <si>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</si>
  <si>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</si>
  <si>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</si>
  <si>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</si>
  <si>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</si>
  <si>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</si>
  <si>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</si>
  <si>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</si>
  <si>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</si>
  <si>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</si>
  <si>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</si>
  <si>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</si>
  <si>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</si>
  <si>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</si>
  <si>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</si>
  <si>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</si>
  <si>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</si>
  <si>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</si>
  <si>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</si>
  <si>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</si>
  <si>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</si>
  <si>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</si>
  <si>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</si>
  <si>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</si>
  <si>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</si>
  <si>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</si>
  <si>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</si>
  <si>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</si>
  <si>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</si>
  <si>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</si>
  <si>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</si>
  <si>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</si>
  <si>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</si>
  <si>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</si>
  <si>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</si>
  <si>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</si>
  <si>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</si>
  <si>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</si>
  <si>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</si>
  <si>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</si>
  <si>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</si>
  <si>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</si>
  <si>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</si>
  <si>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</si>
  <si>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</si>
  <si>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</si>
  <si>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</si>
  <si>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</si>
  <si>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</si>
  <si>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</si>
  <si>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</si>
  <si>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</si>
  <si>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</si>
  <si>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</si>
  <si>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</si>
  <si>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</si>
  <si>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</si>
  <si>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</si>
  <si>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</si>
  <si>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</si>
  <si>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</si>
  <si>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</si>
  <si>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</si>
  <si>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</si>
  <si>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</si>
  <si>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</si>
  <si>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</si>
  <si>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</si>
  <si>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</si>
  <si>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</si>
  <si>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</si>
  <si>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</si>
  <si>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</si>
  <si>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</si>
  <si>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</si>
  <si>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</si>
  <si>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</si>
  <si>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</si>
  <si>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</si>
  <si>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</si>
  <si>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</si>
  <si>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</si>
  <si>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</si>
  <si>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</si>
  <si>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</si>
  <si>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</si>
  <si>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</si>
  <si>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</si>
  <si>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</si>
  <si>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</si>
  <si>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</si>
  <si>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</si>
  <si>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</si>
  <si>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</si>
  <si>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</si>
  <si>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</si>
  <si>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</si>
  <si>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</si>
  <si>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</si>
  <si>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</si>
  <si>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</si>
  <si>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</si>
  <si>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</si>
  <si>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</si>
  <si>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</si>
  <si>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</si>
  <si>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</si>
  <si>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</si>
  <si>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</si>
  <si>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</si>
  <si>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</si>
  <si>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</si>
  <si>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</si>
  <si>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</si>
  <si>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</si>
  <si>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</si>
  <si>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</si>
  <si>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</si>
  <si>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</si>
  <si>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</si>
  <si>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</si>
  <si>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</si>
  <si>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</si>
  <si>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</si>
  <si>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</si>
  <si>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</si>
  <si>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</si>
  <si>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</si>
  <si>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</si>
  <si>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</si>
  <si>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</si>
  <si>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</si>
  <si>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</si>
  <si>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</si>
  <si>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</si>
  <si>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</si>
  <si>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</si>
  <si>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</si>
  <si>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巨蟹小当家</t>
    <phoneticPr fontId="1" type="noConversion"/>
  </si>
  <si>
    <t>双戟洪少侠</t>
    <phoneticPr fontId="1" type="noConversion"/>
  </si>
  <si>
    <t>六味地糖丸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</si>
  <si>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</si>
  <si>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</si>
  <si>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</si>
  <si>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西洋棋.白后</t>
    <phoneticPr fontId="1" type="noConversion"/>
  </si>
  <si>
    <t>水</t>
    <phoneticPr fontId="1" type="noConversion"/>
  </si>
  <si>
    <t>青年</t>
    <phoneticPr fontId="1" type="noConversion"/>
  </si>
  <si>
    <t>暗士</t>
    <phoneticPr fontId="1" type="noConversion"/>
  </si>
  <si>
    <t>暗士</t>
    <phoneticPr fontId="1" type="noConversion"/>
  </si>
  <si>
    <t>暗象</t>
    <phoneticPr fontId="1" type="noConversion"/>
  </si>
  <si>
    <t>九饼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</si>
  <si>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</si>
  <si>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</si>
  <si>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</si>
  <si>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</si>
  <si>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</si>
  <si>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</si>
  <si>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光百合</t>
    <phoneticPr fontId="1" type="noConversion"/>
  </si>
  <si>
    <t>庄家令牌大(10),</t>
    <phoneticPr fontId="1" type="noConversion"/>
  </si>
  <si>
    <t>超</t>
    <phoneticPr fontId="1" type="noConversion"/>
  </si>
  <si>
    <t>庄家令牌大(2),</t>
    <phoneticPr fontId="1" type="noConversion"/>
  </si>
  <si>
    <t>桂花(5),</t>
    <phoneticPr fontId="1" type="noConversion"/>
  </si>
  <si>
    <t>桂花酒(5),</t>
    <phoneticPr fontId="1" type="noConversion"/>
  </si>
  <si>
    <t>超进阶素材光(47),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</si>
  <si>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</si>
  <si>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</si>
  <si>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</si>
  <si>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庄家令牌大(2),</t>
    <phoneticPr fontId="1" type="noConversion"/>
  </si>
  <si>
    <t>桂花(5),</t>
    <phoneticPr fontId="1" type="noConversion"/>
  </si>
  <si>
    <t>桂花酒(5),</t>
    <phoneticPr fontId="1" type="noConversion"/>
  </si>
  <si>
    <t>欠条大(1),</t>
    <phoneticPr fontId="1" type="noConversion"/>
  </si>
  <si>
    <t>欠条大(1),</t>
    <phoneticPr fontId="1" type="noConversion"/>
  </si>
  <si>
    <t>庄家令牌大(10),</t>
    <phoneticPr fontId="1" type="noConversion"/>
  </si>
  <si>
    <t>欠条大(1),_x000D_
骰子大(2),</t>
    <phoneticPr fontId="1" type="noConversion"/>
  </si>
  <si>
    <t>欠条大(1),_x000D_
骰子大(2),</t>
    <phoneticPr fontId="1" type="noConversion"/>
  </si>
  <si>
    <t>欠条大(1),_x000D_
骰子大(2),</t>
    <phoneticPr fontId="1" type="noConversion"/>
  </si>
  <si>
    <t>骰子大(2),_x000D_
庄家令牌大(10),</t>
    <phoneticPr fontId="1" type="noConversion"/>
  </si>
  <si>
    <t>骰子大(2),_x000D_
庄家令牌大(10),</t>
    <phoneticPr fontId="1" type="noConversion"/>
  </si>
  <si>
    <t>星络典(5),</t>
    <phoneticPr fontId="1" type="noConversion"/>
  </si>
  <si>
    <t>金甲虫(6),</t>
    <phoneticPr fontId="1" type="noConversion"/>
  </si>
  <si>
    <t>技巧符文叉大(26),</t>
    <phoneticPr fontId="1" type="noConversion"/>
  </si>
  <si>
    <t>幸运符文叉大(20),</t>
    <phoneticPr fontId="1" type="noConversion"/>
  </si>
  <si>
    <t>超进阶素材光(47),</t>
    <phoneticPr fontId="1" type="noConversion"/>
  </si>
  <si>
    <t>金甲虫(156),</t>
    <phoneticPr fontId="1" type="noConversion"/>
  </si>
  <si>
    <t>庄家令牌大(2),</t>
    <phoneticPr fontId="1" type="noConversion"/>
  </si>
  <si>
    <t>桂花(5),_x000D_
桂花酒(5),</t>
    <phoneticPr fontId="1" type="noConversion"/>
  </si>
  <si>
    <t>神农鼎(8),_x000D_
欠条大(1),</t>
    <phoneticPr fontId="1" type="noConversion"/>
  </si>
  <si>
    <t>神农鼎(8),_x000D_
欠条大(1),_x000D_
骰子大(2),</t>
    <phoneticPr fontId="1" type="noConversion"/>
  </si>
  <si>
    <t>神农鼎(8),_x000D_
欠条大(1),_x000D_
骰子大(2),</t>
    <phoneticPr fontId="1" type="noConversion"/>
  </si>
  <si>
    <t>欠条大(1),_x000D_
庄家令牌大(10),</t>
    <phoneticPr fontId="1" type="noConversion"/>
  </si>
  <si>
    <t>欠条大(1),_x000D_
骰子大(2),_x000D_
庄家令牌大(10),</t>
    <phoneticPr fontId="1" type="noConversion"/>
  </si>
  <si>
    <t>愚山乾坤石(8),_x000D_
魅力符文叉大(31),</t>
  </si>
  <si>
    <t>桂花(5),_x000D_
桂花酒(5),_x000D_
灯笼(5),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</si>
</sst>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97</xdr:row>
          <xdr:rowOff>28575</xdr:rowOff>
        </xdr:from>
        <xdr:to>
          <xdr:col>1</xdr:col>
          <xdr:colOff>428625</xdr:colOff>
          <xdr:row>98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98"/>
  <sheetViews>
    <sheetView tabSelected="1" workbookViewId="0">
      <pane xSplit="2" ySplit="1" topLeftCell="BK80" activePane="bottomRight" state="frozen"/>
      <selection pane="topRight" activeCell="C1" sqref="C1"/>
      <selection pane="bottomLeft" activeCell="A3" sqref="A3"/>
      <selection pane="bottomRight" activeCell="BT90" sqref="BT90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58</v>
      </c>
      <c r="B1" s="8" t="s">
        <v>59</v>
      </c>
      <c r="C1" s="8" t="s">
        <v>61</v>
      </c>
      <c r="D1" s="8" t="s">
        <v>60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57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89</v>
      </c>
      <c r="Q1" s="26" t="s">
        <v>101</v>
      </c>
      <c r="R1" s="26" t="s">
        <v>95</v>
      </c>
      <c r="S1" s="26" t="s">
        <v>90</v>
      </c>
      <c r="T1" s="26" t="s">
        <v>99</v>
      </c>
      <c r="U1" s="26" t="s">
        <v>103</v>
      </c>
      <c r="V1" s="26" t="s">
        <v>91</v>
      </c>
      <c r="W1" s="26" t="s">
        <v>98</v>
      </c>
      <c r="X1" s="26" t="s">
        <v>96</v>
      </c>
      <c r="Y1" s="26" t="s">
        <v>92</v>
      </c>
      <c r="Z1" s="26" t="s">
        <v>100</v>
      </c>
      <c r="AA1" s="26" t="s">
        <v>104</v>
      </c>
      <c r="AB1" s="26" t="s">
        <v>94</v>
      </c>
      <c r="AC1" s="26" t="s">
        <v>93</v>
      </c>
      <c r="AD1" s="26" t="s">
        <v>111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51</v>
      </c>
      <c r="AK1" s="8" t="s">
        <v>52</v>
      </c>
      <c r="AL1" s="8" t="s">
        <v>54</v>
      </c>
      <c r="AM1" s="8" t="s">
        <v>41</v>
      </c>
      <c r="AN1" s="8" t="s">
        <v>42</v>
      </c>
      <c r="AO1" s="8" t="s">
        <v>78</v>
      </c>
      <c r="AP1" s="8" t="s">
        <v>79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76</v>
      </c>
      <c r="BD1" s="8" t="s">
        <v>169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65</v>
      </c>
      <c r="BR1" s="8" t="s">
        <v>66</v>
      </c>
      <c r="BS1" s="16" t="s">
        <v>67</v>
      </c>
      <c r="BT1" s="16"/>
      <c r="BU1" s="13" t="s">
        <v>152</v>
      </c>
    </row>
    <row r="2" spans="1:74">
      <c r="A2" s="1"/>
      <c r="B2" s="1" t="s">
        <v>97</v>
      </c>
      <c r="C2" s="1" t="s">
        <v>85</v>
      </c>
      <c r="D2" s="1" t="s">
        <v>86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7">
        <v>10</v>
      </c>
      <c r="Q2" s="27"/>
      <c r="R2" s="27"/>
      <c r="S2" s="27">
        <v>10</v>
      </c>
      <c r="T2" s="27"/>
      <c r="U2" s="27"/>
      <c r="V2" s="27"/>
      <c r="W2" s="27">
        <v>5</v>
      </c>
      <c r="X2" s="27"/>
      <c r="Y2" s="27"/>
      <c r="Z2" s="27"/>
      <c r="AA2" s="27"/>
      <c r="AB2" s="27">
        <v>10</v>
      </c>
      <c r="AC2" s="27"/>
      <c r="AD2" s="27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>SUM(E2:BP2)</f>
        <v>35</v>
      </c>
      <c r="BR2" s="1">
        <v>0</v>
      </c>
      <c r="BS2" s="17">
        <v>0</v>
      </c>
      <c r="BT2" s="17"/>
      <c r="BU2">
        <f>SUM(P2:AD2)</f>
        <v>35</v>
      </c>
      <c r="BV2" s="23">
        <f>AF2+AH2+AI2+AJ2+AO2+AP2</f>
        <v>0</v>
      </c>
    </row>
    <row r="3" spans="1:74">
      <c r="A3" s="1"/>
      <c r="B3" s="3" t="s">
        <v>149</v>
      </c>
      <c r="C3" s="3" t="s">
        <v>84</v>
      </c>
      <c r="D3" s="1" t="s">
        <v>144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>
        <v>10</v>
      </c>
      <c r="Q3" s="27"/>
      <c r="R3" s="27"/>
      <c r="S3" s="27">
        <v>10</v>
      </c>
      <c r="T3" s="27"/>
      <c r="U3" s="27"/>
      <c r="V3" s="27"/>
      <c r="W3" s="27">
        <v>5</v>
      </c>
      <c r="X3" s="27"/>
      <c r="Y3" s="27"/>
      <c r="Z3" s="27"/>
      <c r="AA3" s="27"/>
      <c r="AB3" s="27">
        <v>10</v>
      </c>
      <c r="AC3" s="27"/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0</v>
      </c>
      <c r="BS3" s="17">
        <v>0</v>
      </c>
      <c r="BT3" s="17"/>
      <c r="BU3">
        <f>SUM(P3:AD3)</f>
        <v>35</v>
      </c>
      <c r="BV3" s="23">
        <f>AF3+AH3+AI3+AJ3+AO3+AP3</f>
        <v>0</v>
      </c>
    </row>
    <row r="4" spans="1:74">
      <c r="A4" s="1"/>
      <c r="B4" s="1" t="s">
        <v>106</v>
      </c>
      <c r="C4" s="1" t="s">
        <v>105</v>
      </c>
      <c r="D4" s="1" t="s">
        <v>86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>
        <v>10</v>
      </c>
      <c r="Q4" s="27"/>
      <c r="R4" s="27"/>
      <c r="S4" s="27">
        <v>10</v>
      </c>
      <c r="T4" s="27"/>
      <c r="U4" s="27"/>
      <c r="V4" s="27">
        <v>10</v>
      </c>
      <c r="W4" s="27"/>
      <c r="X4" s="27"/>
      <c r="Y4" s="27">
        <v>10</v>
      </c>
      <c r="Z4" s="27"/>
      <c r="AA4" s="27"/>
      <c r="AB4" s="27"/>
      <c r="AC4" s="27"/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>
      <c r="A5" s="1"/>
      <c r="B5" s="1" t="s">
        <v>107</v>
      </c>
      <c r="C5" s="1" t="s">
        <v>108</v>
      </c>
      <c r="D5" s="1" t="s">
        <v>86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7">
        <v>10</v>
      </c>
      <c r="Q5" s="27"/>
      <c r="R5" s="27"/>
      <c r="S5" s="27">
        <v>10</v>
      </c>
      <c r="T5" s="27"/>
      <c r="U5" s="27"/>
      <c r="V5" s="27">
        <v>10</v>
      </c>
      <c r="W5" s="27"/>
      <c r="X5" s="27"/>
      <c r="Y5" s="27">
        <v>10</v>
      </c>
      <c r="Z5" s="27"/>
      <c r="AA5" s="27"/>
      <c r="AB5" s="27"/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>
      <c r="A6" s="1"/>
      <c r="B6" s="1" t="s">
        <v>166</v>
      </c>
      <c r="C6" s="1" t="s">
        <v>154</v>
      </c>
      <c r="D6" s="1" t="s">
        <v>155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>
        <v>10</v>
      </c>
      <c r="Q6" s="27"/>
      <c r="R6" s="27"/>
      <c r="S6" s="27">
        <v>10</v>
      </c>
      <c r="T6" s="27"/>
      <c r="U6" s="27"/>
      <c r="V6" s="27">
        <v>10</v>
      </c>
      <c r="W6" s="27"/>
      <c r="X6" s="27"/>
      <c r="Y6" s="27">
        <v>10</v>
      </c>
      <c r="Z6" s="27"/>
      <c r="AA6" s="27"/>
      <c r="AB6" s="27"/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1" t="s">
        <v>153</v>
      </c>
      <c r="C7" s="1" t="s">
        <v>154</v>
      </c>
      <c r="D7" s="1" t="s">
        <v>157</v>
      </c>
      <c r="E7" s="6">
        <v>5</v>
      </c>
      <c r="F7" s="6"/>
      <c r="G7" s="6"/>
      <c r="H7" s="6"/>
      <c r="I7" s="6"/>
      <c r="J7" s="6"/>
      <c r="K7" s="6"/>
      <c r="L7" s="6"/>
      <c r="M7" s="6"/>
      <c r="N7" s="6"/>
      <c r="O7" s="6"/>
      <c r="P7" s="27"/>
      <c r="Q7" s="27"/>
      <c r="R7" s="27"/>
      <c r="S7" s="27"/>
      <c r="T7" s="27"/>
      <c r="U7" s="27"/>
      <c r="V7" s="27">
        <v>5</v>
      </c>
      <c r="W7" s="27"/>
      <c r="X7" s="27"/>
      <c r="Y7" s="27">
        <v>5</v>
      </c>
      <c r="Z7" s="27"/>
      <c r="AA7" s="27"/>
      <c r="AB7" s="27"/>
      <c r="AC7" s="27">
        <v>5</v>
      </c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20</v>
      </c>
      <c r="BR7" s="1">
        <v>0</v>
      </c>
      <c r="BS7" s="17">
        <v>0</v>
      </c>
      <c r="BT7" s="17"/>
      <c r="BU7">
        <f>SUM(P7:AD7)</f>
        <v>15</v>
      </c>
      <c r="BV7" s="23">
        <f>AF7+AH7+AI7+AJ7+AO7+AP7</f>
        <v>0</v>
      </c>
    </row>
    <row r="8" spans="1:74">
      <c r="A8" s="1"/>
      <c r="B8" s="1" t="s">
        <v>190</v>
      </c>
      <c r="C8" s="1" t="s">
        <v>110</v>
      </c>
      <c r="D8" s="1" t="s">
        <v>87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7"/>
      <c r="Q8" s="27">
        <v>5</v>
      </c>
      <c r="R8" s="27"/>
      <c r="S8" s="27"/>
      <c r="T8" s="27"/>
      <c r="U8" s="27"/>
      <c r="V8" s="27">
        <v>10</v>
      </c>
      <c r="W8" s="27"/>
      <c r="X8" s="27"/>
      <c r="Y8" s="27"/>
      <c r="Z8" s="27">
        <v>5</v>
      </c>
      <c r="AA8" s="27"/>
      <c r="AB8" s="27">
        <v>10</v>
      </c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30</v>
      </c>
      <c r="BR8" s="1">
        <v>0</v>
      </c>
      <c r="BS8" s="17">
        <v>0</v>
      </c>
      <c r="BT8" s="17"/>
      <c r="BU8">
        <f>SUM(P8:AD8)</f>
        <v>30</v>
      </c>
      <c r="BV8" s="23">
        <f>AF8+AH8+AI8+AJ8+AO8+AP8</f>
        <v>0</v>
      </c>
    </row>
    <row r="9" spans="1:74">
      <c r="A9" s="1"/>
      <c r="B9" s="1" t="s">
        <v>188</v>
      </c>
      <c r="C9" s="1" t="s">
        <v>110</v>
      </c>
      <c r="D9" s="1" t="s">
        <v>87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7"/>
      <c r="Q9" s="27">
        <v>5</v>
      </c>
      <c r="R9" s="27"/>
      <c r="S9" s="27"/>
      <c r="T9" s="27">
        <v>5</v>
      </c>
      <c r="U9" s="27"/>
      <c r="V9" s="27"/>
      <c r="W9" s="27"/>
      <c r="X9" s="27"/>
      <c r="Y9" s="27"/>
      <c r="Z9" s="27">
        <v>5</v>
      </c>
      <c r="AA9" s="27">
        <v>2</v>
      </c>
      <c r="AB9" s="27"/>
      <c r="AC9" s="27"/>
      <c r="AD9" s="27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17</v>
      </c>
      <c r="BR9" s="1">
        <v>0</v>
      </c>
      <c r="BS9" s="17">
        <v>0</v>
      </c>
      <c r="BT9" s="17"/>
      <c r="BU9">
        <f>SUM(P9:AD9)</f>
        <v>17</v>
      </c>
      <c r="BV9" s="23">
        <f>AF9+AH9+AI9+AJ9+AO9+AP9</f>
        <v>0</v>
      </c>
    </row>
    <row r="10" spans="1:74">
      <c r="A10" s="1"/>
      <c r="B10" s="1" t="s">
        <v>182</v>
      </c>
      <c r="C10" s="1" t="s">
        <v>102</v>
      </c>
      <c r="D10" s="1" t="s">
        <v>156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7"/>
      <c r="Q10" s="27">
        <v>5</v>
      </c>
      <c r="R10" s="27"/>
      <c r="S10" s="27"/>
      <c r="T10" s="27">
        <v>5</v>
      </c>
      <c r="U10" s="27"/>
      <c r="V10" s="27"/>
      <c r="W10" s="27"/>
      <c r="X10" s="27"/>
      <c r="Y10" s="27"/>
      <c r="Z10" s="27">
        <v>5</v>
      </c>
      <c r="AA10" s="27">
        <v>2</v>
      </c>
      <c r="AB10" s="27"/>
      <c r="AC10" s="27"/>
      <c r="AD10" s="27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17</v>
      </c>
      <c r="BR10" s="1">
        <v>0</v>
      </c>
      <c r="BS10" s="17">
        <v>0</v>
      </c>
      <c r="BT10" s="17"/>
      <c r="BU10">
        <f>SUM(P10:AD10)</f>
        <v>17</v>
      </c>
      <c r="BV10" s="23">
        <f>AF10+AH10+AI10+AJ10+AO10+AP10</f>
        <v>0</v>
      </c>
    </row>
    <row r="11" spans="1:74">
      <c r="A11" s="1"/>
      <c r="B11" s="1" t="s">
        <v>107</v>
      </c>
      <c r="C11" s="1" t="s">
        <v>108</v>
      </c>
      <c r="D11" s="1" t="s">
        <v>87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7"/>
      <c r="Q11" s="27"/>
      <c r="R11" s="27"/>
      <c r="S11" s="27"/>
      <c r="T11" s="27"/>
      <c r="U11" s="27"/>
      <c r="V11" s="27">
        <v>10</v>
      </c>
      <c r="W11" s="27"/>
      <c r="X11" s="27"/>
      <c r="Y11" s="27">
        <v>10</v>
      </c>
      <c r="Z11" s="27"/>
      <c r="AA11" s="27"/>
      <c r="AB11" s="27">
        <v>10</v>
      </c>
      <c r="AC11" s="27">
        <v>5</v>
      </c>
      <c r="AD11" s="27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35</v>
      </c>
      <c r="BR11" s="1">
        <v>0</v>
      </c>
      <c r="BS11" s="17">
        <v>0</v>
      </c>
      <c r="BT11" s="17"/>
      <c r="BU11">
        <f>SUM(P11:AD11)</f>
        <v>35</v>
      </c>
      <c r="BV11" s="23">
        <f>AF11+AH11+AI11+AJ11+AO11+AP11</f>
        <v>0</v>
      </c>
    </row>
    <row r="12" spans="1:74">
      <c r="A12" s="1"/>
      <c r="B12" s="1" t="s">
        <v>153</v>
      </c>
      <c r="C12" s="1" t="s">
        <v>154</v>
      </c>
      <c r="D12" s="1" t="s">
        <v>156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7"/>
      <c r="Q12" s="27"/>
      <c r="R12" s="27"/>
      <c r="S12" s="27"/>
      <c r="T12" s="27"/>
      <c r="U12" s="27"/>
      <c r="V12" s="27">
        <v>10</v>
      </c>
      <c r="W12" s="27"/>
      <c r="X12" s="27"/>
      <c r="Y12" s="27">
        <v>10</v>
      </c>
      <c r="Z12" s="27"/>
      <c r="AA12" s="27"/>
      <c r="AB12" s="27">
        <v>10</v>
      </c>
      <c r="AC12" s="27">
        <v>5</v>
      </c>
      <c r="AD12" s="27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0</v>
      </c>
      <c r="BS12" s="17">
        <v>0</v>
      </c>
      <c r="BT12" s="17"/>
      <c r="BU12">
        <f>SUM(P12:AD12)</f>
        <v>35</v>
      </c>
      <c r="BV12" s="23">
        <f>AF12+AH12+AI12+AJ12+AO12+AP12</f>
        <v>0</v>
      </c>
    </row>
    <row r="13" spans="1:74">
      <c r="A13" s="1"/>
      <c r="B13" s="1" t="s">
        <v>193</v>
      </c>
      <c r="C13" s="1" t="s">
        <v>45</v>
      </c>
      <c r="D13" s="1" t="s">
        <v>156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7"/>
      <c r="Q13" s="27"/>
      <c r="R13" s="27"/>
      <c r="S13" s="27"/>
      <c r="T13" s="27"/>
      <c r="U13" s="27"/>
      <c r="V13" s="27">
        <v>10</v>
      </c>
      <c r="W13" s="27"/>
      <c r="X13" s="27"/>
      <c r="Y13" s="27">
        <v>10</v>
      </c>
      <c r="Z13" s="27"/>
      <c r="AA13" s="27"/>
      <c r="AB13" s="27">
        <v>10</v>
      </c>
      <c r="AC13" s="27">
        <v>5</v>
      </c>
      <c r="AD13" s="27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35</v>
      </c>
      <c r="BR13" s="1">
        <v>0</v>
      </c>
      <c r="BS13" s="17">
        <v>0</v>
      </c>
      <c r="BT13" s="17"/>
      <c r="BU13">
        <f>SUM(P13:AD13)</f>
        <v>35</v>
      </c>
      <c r="BV13" s="23">
        <f>AF13+AH13+AI13+AJ13+AO13+AP13</f>
        <v>0</v>
      </c>
    </row>
    <row r="14" spans="1:74">
      <c r="A14" s="1"/>
      <c r="B14" s="1" t="s">
        <v>164</v>
      </c>
      <c r="C14" s="1" t="s">
        <v>108</v>
      </c>
      <c r="D14" s="1" t="s">
        <v>87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7"/>
      <c r="Q14" s="27">
        <v>5</v>
      </c>
      <c r="R14" s="27"/>
      <c r="S14" s="27"/>
      <c r="T14" s="27">
        <v>5</v>
      </c>
      <c r="U14" s="27"/>
      <c r="V14" s="27"/>
      <c r="W14" s="27"/>
      <c r="X14" s="27">
        <v>2</v>
      </c>
      <c r="Y14" s="27"/>
      <c r="Z14" s="27">
        <v>5</v>
      </c>
      <c r="AA14" s="27"/>
      <c r="AB14" s="27"/>
      <c r="AC14" s="27"/>
      <c r="AD14" s="27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17</v>
      </c>
      <c r="BR14" s="1">
        <v>0</v>
      </c>
      <c r="BS14" s="17">
        <v>0</v>
      </c>
      <c r="BT14" s="17"/>
      <c r="BU14">
        <f>SUM(P14:AD14)</f>
        <v>17</v>
      </c>
      <c r="BV14" s="23">
        <f>AF14+AH14+AI14+AJ14+AO14+AP14</f>
        <v>0</v>
      </c>
    </row>
    <row r="15" spans="1:74">
      <c r="A15" s="1"/>
      <c r="B15" s="1" t="s">
        <v>106</v>
      </c>
      <c r="C15" s="1" t="s">
        <v>105</v>
      </c>
      <c r="D15" s="1" t="s">
        <v>87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7"/>
      <c r="Q15" s="27">
        <v>5</v>
      </c>
      <c r="R15" s="27"/>
      <c r="S15" s="27"/>
      <c r="T15" s="27"/>
      <c r="U15" s="27"/>
      <c r="V15" s="27">
        <v>10</v>
      </c>
      <c r="W15" s="27"/>
      <c r="X15" s="27"/>
      <c r="Y15" s="27">
        <v>10</v>
      </c>
      <c r="Z15" s="27"/>
      <c r="AA15" s="27"/>
      <c r="AB15" s="27">
        <v>10</v>
      </c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>
      <c r="A16" s="1"/>
      <c r="B16" s="3" t="s">
        <v>150</v>
      </c>
      <c r="C16" s="3" t="s">
        <v>43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7"/>
      <c r="Q16" s="27">
        <v>5</v>
      </c>
      <c r="R16" s="27"/>
      <c r="S16" s="27"/>
      <c r="T16" s="27"/>
      <c r="U16" s="27"/>
      <c r="V16" s="27">
        <v>10</v>
      </c>
      <c r="W16" s="27"/>
      <c r="X16" s="27"/>
      <c r="Y16" s="27">
        <v>10</v>
      </c>
      <c r="Z16" s="27"/>
      <c r="AA16" s="27"/>
      <c r="AB16" s="27">
        <v>10</v>
      </c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35</v>
      </c>
      <c r="BR16" s="1">
        <v>0</v>
      </c>
      <c r="BS16" s="17">
        <v>0</v>
      </c>
      <c r="BT16" s="17"/>
      <c r="BU16">
        <f>SUM(P16:AD16)</f>
        <v>35</v>
      </c>
      <c r="BV16" s="23">
        <f>AF16+AH16+AI16+AJ16+AO16+AP16</f>
        <v>0</v>
      </c>
    </row>
    <row r="17" spans="1:74">
      <c r="A17" s="1"/>
      <c r="B17" s="1" t="s">
        <v>158</v>
      </c>
      <c r="C17" s="1" t="s">
        <v>43</v>
      </c>
      <c r="D17" s="1" t="s">
        <v>155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>
        <v>5</v>
      </c>
      <c r="R17" s="27"/>
      <c r="S17" s="27"/>
      <c r="T17" s="27">
        <v>5</v>
      </c>
      <c r="U17" s="27"/>
      <c r="V17" s="27"/>
      <c r="W17" s="27"/>
      <c r="X17" s="27"/>
      <c r="Y17" s="27"/>
      <c r="Z17" s="27">
        <v>5</v>
      </c>
      <c r="AA17" s="27"/>
      <c r="AB17" s="27"/>
      <c r="AC17" s="27">
        <v>5</v>
      </c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20</v>
      </c>
      <c r="BR17" s="1">
        <v>0</v>
      </c>
      <c r="BS17" s="17">
        <v>0</v>
      </c>
      <c r="BT17" s="17"/>
      <c r="BU17">
        <f>SUM(P17:AD17)</f>
        <v>20</v>
      </c>
      <c r="BV17" s="23">
        <f>AF17+AH17+AI17+AJ17+AO17+AP17</f>
        <v>0</v>
      </c>
    </row>
    <row r="18" spans="1:74">
      <c r="A18" s="1"/>
      <c r="B18" s="1" t="s">
        <v>107</v>
      </c>
      <c r="C18" s="1" t="s">
        <v>108</v>
      </c>
      <c r="D18" s="1" t="s">
        <v>88</v>
      </c>
      <c r="E18" s="6"/>
      <c r="F18" s="6"/>
      <c r="G18" s="6"/>
      <c r="H18" s="6"/>
      <c r="I18" s="6"/>
      <c r="J18" s="6">
        <v>10</v>
      </c>
      <c r="K18" s="6"/>
      <c r="L18" s="6"/>
      <c r="M18" s="6"/>
      <c r="N18" s="6"/>
      <c r="O18" s="6"/>
      <c r="P18" s="27"/>
      <c r="Q18" s="27"/>
      <c r="R18" s="27"/>
      <c r="S18" s="27"/>
      <c r="T18" s="27"/>
      <c r="U18" s="27">
        <v>10</v>
      </c>
      <c r="V18" s="27"/>
      <c r="W18" s="27"/>
      <c r="X18" s="27"/>
      <c r="Y18" s="27"/>
      <c r="Z18" s="27"/>
      <c r="AA18" s="27">
        <v>10</v>
      </c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>
        <v>10</v>
      </c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40</v>
      </c>
      <c r="BR18" s="1">
        <v>0</v>
      </c>
      <c r="BS18" s="17">
        <v>0</v>
      </c>
      <c r="BT18" s="17"/>
      <c r="BU18">
        <f>SUM(P18:AD18)</f>
        <v>20</v>
      </c>
      <c r="BV18" s="23">
        <f>AF18+AH18+AI18+AJ18+AO18+AP18</f>
        <v>0</v>
      </c>
    </row>
    <row r="19" spans="1:74">
      <c r="A19" s="1"/>
      <c r="B19" s="1" t="s">
        <v>191</v>
      </c>
      <c r="C19" s="1" t="s">
        <v>110</v>
      </c>
      <c r="D19" s="1" t="s">
        <v>88</v>
      </c>
      <c r="E19" s="6"/>
      <c r="F19" s="6"/>
      <c r="G19" s="6"/>
      <c r="H19" s="6"/>
      <c r="I19" s="6"/>
      <c r="J19" s="6">
        <v>10</v>
      </c>
      <c r="K19" s="6"/>
      <c r="L19" s="6"/>
      <c r="M19" s="6"/>
      <c r="N19" s="6"/>
      <c r="O19" s="6"/>
      <c r="P19" s="27"/>
      <c r="Q19" s="27"/>
      <c r="R19" s="27"/>
      <c r="S19" s="27"/>
      <c r="T19" s="27"/>
      <c r="U19" s="27">
        <v>10</v>
      </c>
      <c r="V19" s="27"/>
      <c r="W19" s="27"/>
      <c r="X19" s="27"/>
      <c r="Y19" s="27"/>
      <c r="Z19" s="27"/>
      <c r="AA19" s="27">
        <v>10</v>
      </c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>
        <v>10</v>
      </c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0</v>
      </c>
      <c r="BS19" s="17">
        <v>0</v>
      </c>
      <c r="BT19" s="17"/>
      <c r="BU19">
        <f>SUM(P19:AD19)</f>
        <v>20</v>
      </c>
      <c r="BV19" s="23">
        <f>AF19+AH19+AI19+AJ19+AO19+AP19</f>
        <v>0</v>
      </c>
    </row>
    <row r="20" spans="1:74">
      <c r="A20" s="1"/>
      <c r="B20" s="1" t="s">
        <v>186</v>
      </c>
      <c r="C20" s="1" t="s">
        <v>102</v>
      </c>
      <c r="D20" s="1" t="s">
        <v>157</v>
      </c>
      <c r="E20" s="6"/>
      <c r="F20" s="6"/>
      <c r="G20" s="6"/>
      <c r="H20" s="6"/>
      <c r="I20" s="6"/>
      <c r="J20" s="6">
        <v>10</v>
      </c>
      <c r="K20" s="6"/>
      <c r="L20" s="6"/>
      <c r="M20" s="6"/>
      <c r="N20" s="6"/>
      <c r="O20" s="6"/>
      <c r="P20" s="27"/>
      <c r="Q20" s="27"/>
      <c r="R20" s="27"/>
      <c r="S20" s="27"/>
      <c r="T20" s="27"/>
      <c r="U20" s="27">
        <v>10</v>
      </c>
      <c r="V20" s="27"/>
      <c r="W20" s="27"/>
      <c r="X20" s="27"/>
      <c r="Y20" s="27"/>
      <c r="Z20" s="27"/>
      <c r="AA20" s="27">
        <v>10</v>
      </c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>
        <v>10</v>
      </c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0</v>
      </c>
      <c r="BS20" s="17">
        <v>0</v>
      </c>
      <c r="BT20" s="17"/>
      <c r="BU20">
        <f>SUM(P20:AD20)</f>
        <v>20</v>
      </c>
      <c r="BV20" s="23">
        <f>AF20+AH20+AI20+AJ20+AO20+AP20</f>
        <v>0</v>
      </c>
    </row>
    <row r="21" spans="1:74">
      <c r="A21" s="1"/>
      <c r="B21" s="1" t="s">
        <v>162</v>
      </c>
      <c r="C21" s="1" t="s">
        <v>32</v>
      </c>
      <c r="D21" s="1" t="s">
        <v>161</v>
      </c>
      <c r="E21" s="6"/>
      <c r="F21" s="6"/>
      <c r="G21" s="6"/>
      <c r="H21" s="6"/>
      <c r="I21" s="6"/>
      <c r="J21" s="6">
        <v>10</v>
      </c>
      <c r="K21" s="6"/>
      <c r="L21" s="6"/>
      <c r="M21" s="6"/>
      <c r="N21" s="6"/>
      <c r="O21" s="6"/>
      <c r="P21" s="27"/>
      <c r="Q21" s="27"/>
      <c r="R21" s="27"/>
      <c r="S21" s="27"/>
      <c r="T21" s="27"/>
      <c r="U21" s="27">
        <v>10</v>
      </c>
      <c r="V21" s="27"/>
      <c r="W21" s="27"/>
      <c r="X21" s="27"/>
      <c r="Y21" s="27"/>
      <c r="Z21" s="27"/>
      <c r="AA21" s="27">
        <v>10</v>
      </c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>
        <v>10</v>
      </c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40</v>
      </c>
      <c r="BR21" s="1">
        <v>0</v>
      </c>
      <c r="BS21" s="17">
        <v>0</v>
      </c>
      <c r="BT21" s="17"/>
      <c r="BU21">
        <f>SUM(P21:AD21)</f>
        <v>20</v>
      </c>
      <c r="BV21" s="23">
        <f>AF21+AH21+AI21+AJ21+AO21+AP21</f>
        <v>0</v>
      </c>
    </row>
    <row r="22" spans="1:74">
      <c r="A22" s="1"/>
      <c r="B22" s="3" t="s">
        <v>143</v>
      </c>
      <c r="C22" s="3" t="s">
        <v>43</v>
      </c>
      <c r="D22" s="1" t="s">
        <v>144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7"/>
      <c r="Q22" s="27">
        <v>5</v>
      </c>
      <c r="R22" s="27"/>
      <c r="S22" s="27"/>
      <c r="T22" s="27">
        <v>5</v>
      </c>
      <c r="U22" s="27"/>
      <c r="V22" s="27"/>
      <c r="W22" s="27">
        <v>5</v>
      </c>
      <c r="X22" s="27"/>
      <c r="Y22" s="27"/>
      <c r="Z22" s="27"/>
      <c r="AA22" s="27"/>
      <c r="AB22" s="27"/>
      <c r="AC22" s="27">
        <v>5</v>
      </c>
      <c r="AD22" s="27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20</v>
      </c>
      <c r="BR22" s="1">
        <v>0</v>
      </c>
      <c r="BS22" s="17">
        <v>0</v>
      </c>
      <c r="BT22" s="17"/>
      <c r="BU22">
        <f>SUM(P22:AD22)</f>
        <v>20</v>
      </c>
      <c r="BV22" s="23">
        <f>AF22+AH22+AI22+AJ22+AO22+AP22</f>
        <v>0</v>
      </c>
    </row>
    <row r="23" spans="1:74">
      <c r="A23" s="1"/>
      <c r="B23" s="1" t="s">
        <v>162</v>
      </c>
      <c r="C23" s="1" t="s">
        <v>32</v>
      </c>
      <c r="D23" s="1" t="s">
        <v>159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7"/>
      <c r="Q23" s="27">
        <v>5</v>
      </c>
      <c r="R23" s="27"/>
      <c r="S23" s="27"/>
      <c r="T23" s="27"/>
      <c r="U23" s="27"/>
      <c r="V23" s="27"/>
      <c r="W23" s="27">
        <v>5</v>
      </c>
      <c r="X23" s="27"/>
      <c r="Y23" s="27"/>
      <c r="Z23" s="27">
        <v>5</v>
      </c>
      <c r="AA23" s="27"/>
      <c r="AB23" s="27"/>
      <c r="AC23" s="27">
        <v>5</v>
      </c>
      <c r="AD23" s="27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20</v>
      </c>
      <c r="BR23" s="1">
        <v>0</v>
      </c>
      <c r="BS23" s="17">
        <v>0</v>
      </c>
      <c r="BT23" s="17"/>
      <c r="BU23">
        <f>SUM(P23:AD23)</f>
        <v>20</v>
      </c>
      <c r="BV23" s="23">
        <f>AF23+AH23+AI23+AJ23+AO23+AP23</f>
        <v>0</v>
      </c>
    </row>
    <row r="24" spans="1:74">
      <c r="A24" s="1"/>
      <c r="B24" s="3" t="s">
        <v>201</v>
      </c>
      <c r="C24" s="3" t="s">
        <v>202</v>
      </c>
      <c r="D24" s="1" t="s">
        <v>203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7">
        <v>10</v>
      </c>
      <c r="Q24" s="27"/>
      <c r="R24" s="27"/>
      <c r="S24" s="27">
        <v>10</v>
      </c>
      <c r="T24" s="27"/>
      <c r="U24" s="27"/>
      <c r="V24" s="27">
        <v>10</v>
      </c>
      <c r="W24" s="27"/>
      <c r="X24" s="27"/>
      <c r="Y24" s="27">
        <v>10</v>
      </c>
      <c r="Z24" s="27"/>
      <c r="AA24" s="27"/>
      <c r="AB24" s="27">
        <v>10</v>
      </c>
      <c r="AC24" s="27"/>
      <c r="AD24" s="27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50</v>
      </c>
      <c r="BR24" s="1">
        <v>0</v>
      </c>
      <c r="BS24" s="17">
        <v>0</v>
      </c>
      <c r="BT24" s="17"/>
      <c r="BU24">
        <f>SUM(P24:AD24)</f>
        <v>50</v>
      </c>
      <c r="BV24" s="23">
        <f>AF24+AH24+AI24+AJ24+AO24+AP24</f>
        <v>0</v>
      </c>
    </row>
    <row r="25" spans="1:74">
      <c r="A25" s="1"/>
      <c r="B25" s="3" t="s">
        <v>201</v>
      </c>
      <c r="C25" s="3" t="s">
        <v>202</v>
      </c>
      <c r="D25" s="1" t="s"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7"/>
      <c r="Q25" s="27">
        <v>10</v>
      </c>
      <c r="R25" s="27"/>
      <c r="S25" s="27"/>
      <c r="T25" s="27">
        <v>10</v>
      </c>
      <c r="U25" s="27"/>
      <c r="V25" s="27"/>
      <c r="W25" s="27">
        <v>10</v>
      </c>
      <c r="X25" s="27"/>
      <c r="Y25" s="27"/>
      <c r="Z25" s="27">
        <v>10</v>
      </c>
      <c r="AA25" s="27"/>
      <c r="AB25" s="27"/>
      <c r="AC25" s="27">
        <v>10</v>
      </c>
      <c r="AD25" s="27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50</v>
      </c>
      <c r="BR25" s="1">
        <v>0</v>
      </c>
      <c r="BS25" s="17">
        <v>0</v>
      </c>
      <c r="BT25" s="17"/>
      <c r="BU25">
        <f>SUM(P25:AD25)</f>
        <v>50</v>
      </c>
      <c r="BV25" s="23">
        <f>AF25+AH25+AI25+AJ25+AO25+AP25</f>
        <v>0</v>
      </c>
    </row>
    <row r="26" spans="1:74">
      <c r="A26" s="1"/>
      <c r="B26" s="3" t="s">
        <v>204</v>
      </c>
      <c r="C26" s="3" t="s">
        <v>110</v>
      </c>
      <c r="D26" s="1" t="s">
        <v>203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/>
      <c r="Q26" s="27">
        <v>5</v>
      </c>
      <c r="R26" s="27"/>
      <c r="S26" s="27"/>
      <c r="T26" s="27"/>
      <c r="U26" s="27"/>
      <c r="V26" s="27"/>
      <c r="W26" s="27">
        <v>5</v>
      </c>
      <c r="X26" s="27"/>
      <c r="Y26" s="27"/>
      <c r="Z26" s="27">
        <v>5</v>
      </c>
      <c r="AA26" s="27"/>
      <c r="AB26" s="27"/>
      <c r="AC26" s="27">
        <v>5</v>
      </c>
      <c r="AD26" s="27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20</v>
      </c>
      <c r="BR26" s="1">
        <v>0</v>
      </c>
      <c r="BS26" s="17">
        <v>0</v>
      </c>
      <c r="BT26" s="17"/>
      <c r="BU26">
        <f>SUM(P26:AD26)</f>
        <v>20</v>
      </c>
      <c r="BV26" s="23">
        <f>AF26+AH26+AI26+AJ26+AO26+AP26</f>
        <v>0</v>
      </c>
    </row>
    <row r="27" spans="1:74">
      <c r="A27" s="1"/>
      <c r="B27" s="3" t="s">
        <v>205</v>
      </c>
      <c r="C27" s="3" t="s">
        <v>110</v>
      </c>
      <c r="D27" s="1" t="s">
        <v>145</v>
      </c>
      <c r="E27" s="6"/>
      <c r="F27" s="6"/>
      <c r="G27" s="6"/>
      <c r="H27" s="6"/>
      <c r="I27" s="6"/>
      <c r="J27" s="6">
        <v>10</v>
      </c>
      <c r="K27" s="6"/>
      <c r="L27" s="6"/>
      <c r="M27" s="6"/>
      <c r="N27" s="6"/>
      <c r="O27" s="6"/>
      <c r="P27" s="27"/>
      <c r="Q27" s="27"/>
      <c r="R27" s="27"/>
      <c r="S27" s="27"/>
      <c r="T27" s="27"/>
      <c r="U27" s="27">
        <v>10</v>
      </c>
      <c r="V27" s="27"/>
      <c r="W27" s="27"/>
      <c r="X27" s="27"/>
      <c r="Y27" s="27"/>
      <c r="Z27" s="27"/>
      <c r="AA27" s="27">
        <v>10</v>
      </c>
      <c r="AB27" s="27"/>
      <c r="AC27" s="27"/>
      <c r="AD27" s="27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>
        <v>10</v>
      </c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40</v>
      </c>
      <c r="BR27" s="1">
        <v>0</v>
      </c>
      <c r="BS27" s="17">
        <v>0</v>
      </c>
      <c r="BT27" s="17"/>
      <c r="BU27">
        <f>SUM(P27:AD27)</f>
        <v>20</v>
      </c>
      <c r="BV27" s="23">
        <f>AF27+AH27+AI27+AJ27+AO27+AP27</f>
        <v>0</v>
      </c>
    </row>
    <row r="28" spans="1:74">
      <c r="A28" s="1"/>
      <c r="B28" s="3" t="s">
        <v>206</v>
      </c>
      <c r="C28" s="3" t="s">
        <v>110</v>
      </c>
      <c r="D28" s="1" t="s">
        <v>203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>
        <v>5</v>
      </c>
      <c r="R28" s="27"/>
      <c r="S28" s="27"/>
      <c r="T28" s="27">
        <v>5</v>
      </c>
      <c r="U28" s="27"/>
      <c r="V28" s="27"/>
      <c r="W28" s="27">
        <v>5</v>
      </c>
      <c r="X28" s="27"/>
      <c r="Y28" s="27"/>
      <c r="Z28" s="27">
        <v>5</v>
      </c>
      <c r="AA28" s="27"/>
      <c r="AB28" s="27"/>
      <c r="AC28" s="27"/>
      <c r="AD28" s="27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20</v>
      </c>
      <c r="BR28" s="1">
        <v>0</v>
      </c>
      <c r="BS28" s="17">
        <v>0</v>
      </c>
      <c r="BT28" s="17"/>
      <c r="BU28">
        <f>SUM(P28:AD28)</f>
        <v>20</v>
      </c>
      <c r="BV28" s="23">
        <f>AF28+AH28+AI28+AJ28+AO28+AP28</f>
        <v>0</v>
      </c>
    </row>
    <row r="29" spans="1:74">
      <c r="A29" s="1"/>
      <c r="B29" s="3" t="s">
        <v>207</v>
      </c>
      <c r="C29" s="3" t="s">
        <v>110</v>
      </c>
      <c r="D29" s="1" t="s">
        <v>203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>
        <v>5</v>
      </c>
      <c r="R29" s="27"/>
      <c r="S29" s="27"/>
      <c r="T29" s="27">
        <v>5</v>
      </c>
      <c r="U29" s="27"/>
      <c r="V29" s="27"/>
      <c r="W29" s="27">
        <v>5</v>
      </c>
      <c r="X29" s="27"/>
      <c r="Y29" s="27"/>
      <c r="Z29" s="27">
        <v>5</v>
      </c>
      <c r="AA29" s="27"/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20</v>
      </c>
      <c r="BR29" s="1">
        <v>0</v>
      </c>
      <c r="BS29" s="17">
        <v>0</v>
      </c>
      <c r="BT29" s="17"/>
      <c r="BU29">
        <f>SUM(P29:AD29)</f>
        <v>20</v>
      </c>
      <c r="BV29" s="23">
        <f>AF29+AH29+AI29+AJ29+AO29+AP29</f>
        <v>0</v>
      </c>
    </row>
    <row r="30" spans="1:74">
      <c r="A30" s="1"/>
      <c r="B30" s="1" t="s">
        <v>164</v>
      </c>
      <c r="C30" s="1" t="s">
        <v>108</v>
      </c>
      <c r="D30" s="1" t="s">
        <v>88</v>
      </c>
      <c r="E30" s="6"/>
      <c r="F30" s="6"/>
      <c r="G30" s="6"/>
      <c r="H30" s="6"/>
      <c r="I30" s="6"/>
      <c r="J30" s="6"/>
      <c r="K30" s="6"/>
      <c r="L30" s="6">
        <v>7</v>
      </c>
      <c r="M30" s="6"/>
      <c r="N30" s="6"/>
      <c r="O30" s="6"/>
      <c r="P30" s="27"/>
      <c r="Q30" s="27">
        <v>7</v>
      </c>
      <c r="R30" s="27"/>
      <c r="S30" s="27"/>
      <c r="T30" s="27">
        <v>7</v>
      </c>
      <c r="U30" s="27"/>
      <c r="V30" s="27"/>
      <c r="W30" s="27"/>
      <c r="X30" s="27">
        <v>7</v>
      </c>
      <c r="Y30" s="27"/>
      <c r="Z30" s="27"/>
      <c r="AA30" s="27"/>
      <c r="AB30" s="27"/>
      <c r="AC30" s="27"/>
      <c r="AD30" s="27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28</v>
      </c>
      <c r="BR30" s="1">
        <v>0</v>
      </c>
      <c r="BS30" s="17">
        <v>0</v>
      </c>
      <c r="BT30" s="17"/>
      <c r="BU30">
        <f>SUM(P30:AD30)</f>
        <v>21</v>
      </c>
      <c r="BV30" s="23">
        <f>AF30+AH30+AI30+AJ30+AO30+AP30</f>
        <v>0</v>
      </c>
    </row>
    <row r="31" spans="1:74">
      <c r="A31" s="1"/>
      <c r="B31" s="3" t="s">
        <v>143</v>
      </c>
      <c r="C31" s="3" t="s">
        <v>43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/>
      <c r="R31" s="27">
        <v>2</v>
      </c>
      <c r="S31" s="27"/>
      <c r="T31" s="27"/>
      <c r="U31" s="27">
        <v>2</v>
      </c>
      <c r="V31" s="27"/>
      <c r="W31" s="27"/>
      <c r="X31" s="27">
        <v>2</v>
      </c>
      <c r="Y31" s="27"/>
      <c r="Z31" s="27">
        <v>5</v>
      </c>
      <c r="AA31" s="27"/>
      <c r="AB31" s="27"/>
      <c r="AC31" s="27"/>
      <c r="AD31" s="27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11</v>
      </c>
      <c r="BR31" s="1">
        <v>0</v>
      </c>
      <c r="BS31" s="17">
        <v>0</v>
      </c>
      <c r="BT31" s="17"/>
      <c r="BU31">
        <f>SUM(P31:AD31)</f>
        <v>11</v>
      </c>
      <c r="BV31" s="23">
        <f>AF31+AH31+AI31+AJ31+AO31+AP31</f>
        <v>0</v>
      </c>
    </row>
    <row r="32" spans="1:74">
      <c r="A32" s="1"/>
      <c r="B32" s="1" t="s">
        <v>97</v>
      </c>
      <c r="C32" s="1" t="s">
        <v>85</v>
      </c>
      <c r="D32" s="1" t="s">
        <v>87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>
        <v>5</v>
      </c>
      <c r="R32" s="27">
        <v>2</v>
      </c>
      <c r="S32" s="27"/>
      <c r="T32" s="27">
        <v>5</v>
      </c>
      <c r="U32" s="27"/>
      <c r="V32" s="27"/>
      <c r="W32" s="27"/>
      <c r="X32" s="27"/>
      <c r="Y32" s="27"/>
      <c r="Z32" s="27">
        <v>5</v>
      </c>
      <c r="AA32" s="27"/>
      <c r="AB32" s="27"/>
      <c r="AC32" s="27"/>
      <c r="AD32" s="27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17</v>
      </c>
      <c r="BR32" s="1">
        <v>0</v>
      </c>
      <c r="BS32" s="17">
        <v>0</v>
      </c>
      <c r="BT32" s="17"/>
      <c r="BU32">
        <f>SUM(P32:AD32)</f>
        <v>17</v>
      </c>
      <c r="BV32" s="23">
        <f>AF32+AH32+AI32+AJ32+AO32+AP32</f>
        <v>0</v>
      </c>
    </row>
    <row r="33" spans="1:74">
      <c r="A33" s="1"/>
      <c r="B33" s="3" t="s">
        <v>149</v>
      </c>
      <c r="C33" s="3" t="s">
        <v>84</v>
      </c>
      <c r="D33" s="1" t="s"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7"/>
      <c r="Q33" s="27">
        <v>5</v>
      </c>
      <c r="R33" s="27">
        <v>2</v>
      </c>
      <c r="S33" s="27"/>
      <c r="T33" s="27">
        <v>5</v>
      </c>
      <c r="U33" s="27"/>
      <c r="V33" s="27"/>
      <c r="W33" s="27"/>
      <c r="X33" s="27"/>
      <c r="Y33" s="27"/>
      <c r="Z33" s="27">
        <v>5</v>
      </c>
      <c r="AA33" s="27"/>
      <c r="AB33" s="27"/>
      <c r="AC33" s="27"/>
      <c r="AD33" s="27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17</v>
      </c>
      <c r="BR33" s="1">
        <v>0</v>
      </c>
      <c r="BS33" s="17">
        <v>0</v>
      </c>
      <c r="BT33" s="17"/>
      <c r="BU33">
        <f>SUM(P33:AD33)</f>
        <v>17</v>
      </c>
      <c r="BV33" s="23">
        <f>AF33+AH33+AI33+AJ33+AO33+AP33</f>
        <v>0</v>
      </c>
    </row>
    <row r="34" spans="1:74">
      <c r="A34" s="1"/>
      <c r="B34" s="1" t="s">
        <v>179</v>
      </c>
      <c r="C34" s="1" t="s">
        <v>45</v>
      </c>
      <c r="D34" s="1" t="s">
        <v>157</v>
      </c>
      <c r="E34" s="6"/>
      <c r="F34" s="6"/>
      <c r="G34" s="6"/>
      <c r="H34" s="6"/>
      <c r="I34" s="6"/>
      <c r="J34" s="6"/>
      <c r="K34" s="6"/>
      <c r="L34" s="6">
        <v>10</v>
      </c>
      <c r="M34" s="6"/>
      <c r="N34" s="6"/>
      <c r="O34" s="6"/>
      <c r="P34" s="27"/>
      <c r="Q34" s="27"/>
      <c r="R34" s="27">
        <v>10</v>
      </c>
      <c r="S34" s="27"/>
      <c r="T34" s="27"/>
      <c r="U34" s="27">
        <v>10</v>
      </c>
      <c r="V34" s="27"/>
      <c r="W34" s="27"/>
      <c r="X34" s="27"/>
      <c r="Y34" s="27"/>
      <c r="Z34" s="27"/>
      <c r="AA34" s="27"/>
      <c r="AB34" s="27"/>
      <c r="AC34" s="27"/>
      <c r="AD34" s="27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>
        <v>10</v>
      </c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40</v>
      </c>
      <c r="BR34" s="1">
        <v>1</v>
      </c>
      <c r="BS34" s="17">
        <v>1</v>
      </c>
      <c r="BT34" s="17" t="s">
        <v>227</v>
      </c>
      <c r="BU34">
        <f>SUM(P34:AD34)</f>
        <v>20</v>
      </c>
      <c r="BV34" s="23">
        <f>AF34+AH34+AI34+AJ34+AO34+AP34</f>
        <v>0</v>
      </c>
    </row>
    <row r="35" spans="1:74">
      <c r="A35" s="1"/>
      <c r="B35" s="1" t="s">
        <v>177</v>
      </c>
      <c r="C35" s="1" t="s">
        <v>45</v>
      </c>
      <c r="D35" s="1" t="s">
        <v>161</v>
      </c>
      <c r="E35" s="6"/>
      <c r="F35" s="6"/>
      <c r="G35" s="6"/>
      <c r="H35" s="6"/>
      <c r="I35" s="6"/>
      <c r="J35" s="6"/>
      <c r="K35" s="6"/>
      <c r="L35" s="6">
        <v>10</v>
      </c>
      <c r="M35" s="6"/>
      <c r="N35" s="6"/>
      <c r="O35" s="6"/>
      <c r="P35" s="27"/>
      <c r="Q35" s="27"/>
      <c r="R35" s="27">
        <v>10</v>
      </c>
      <c r="S35" s="27"/>
      <c r="T35" s="27"/>
      <c r="U35" s="27">
        <v>10</v>
      </c>
      <c r="V35" s="27"/>
      <c r="W35" s="27"/>
      <c r="X35" s="27"/>
      <c r="Y35" s="27"/>
      <c r="Z35" s="27"/>
      <c r="AA35" s="27"/>
      <c r="AB35" s="27"/>
      <c r="AC35" s="27"/>
      <c r="AD35" s="27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>
        <v>10</v>
      </c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40</v>
      </c>
      <c r="BR35" s="1">
        <v>1</v>
      </c>
      <c r="BS35" s="17">
        <v>1</v>
      </c>
      <c r="BT35" s="17" t="s">
        <v>228</v>
      </c>
      <c r="BU35">
        <f>SUM(P35:AD35)</f>
        <v>20</v>
      </c>
      <c r="BV35" s="23">
        <f>AF35+AH35+AI35+AJ35+AO35+AP35</f>
        <v>0</v>
      </c>
    </row>
    <row r="36" spans="1:74">
      <c r="A36" s="1"/>
      <c r="B36" s="1" t="s">
        <v>187</v>
      </c>
      <c r="C36" s="1" t="s">
        <v>102</v>
      </c>
      <c r="D36" s="1" t="s">
        <v>88</v>
      </c>
      <c r="E36" s="6">
        <v>10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27"/>
      <c r="Q36" s="27"/>
      <c r="R36" s="27">
        <v>10</v>
      </c>
      <c r="S36" s="27"/>
      <c r="T36" s="27"/>
      <c r="U36" s="27">
        <v>10</v>
      </c>
      <c r="V36" s="27"/>
      <c r="W36" s="27"/>
      <c r="X36" s="27"/>
      <c r="Y36" s="27"/>
      <c r="Z36" s="27"/>
      <c r="AA36" s="27"/>
      <c r="AB36" s="27"/>
      <c r="AC36" s="27"/>
      <c r="AD36" s="27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>
        <v>10</v>
      </c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40</v>
      </c>
      <c r="BR36" s="1">
        <v>1</v>
      </c>
      <c r="BS36" s="17">
        <v>1</v>
      </c>
      <c r="BT36" s="17" t="s">
        <v>227</v>
      </c>
      <c r="BU36">
        <f>SUM(P36:AD36)</f>
        <v>20</v>
      </c>
      <c r="BV36" s="23">
        <f>AF36+AH36+AI36+AJ36+AO36+AP36</f>
        <v>0</v>
      </c>
    </row>
    <row r="37" spans="1:74">
      <c r="A37" s="1"/>
      <c r="B37" s="1" t="s">
        <v>106</v>
      </c>
      <c r="C37" s="1" t="s">
        <v>105</v>
      </c>
      <c r="D37" s="1" t="s">
        <v>88</v>
      </c>
      <c r="E37" s="6">
        <v>10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27"/>
      <c r="Q37" s="27"/>
      <c r="R37" s="27">
        <v>10</v>
      </c>
      <c r="S37" s="27"/>
      <c r="T37" s="27"/>
      <c r="U37" s="27">
        <v>10</v>
      </c>
      <c r="V37" s="27"/>
      <c r="W37" s="27"/>
      <c r="X37" s="27"/>
      <c r="Y37" s="27"/>
      <c r="Z37" s="27"/>
      <c r="AA37" s="27"/>
      <c r="AB37" s="27"/>
      <c r="AC37" s="27"/>
      <c r="AD37" s="27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>
        <v>10</v>
      </c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40</v>
      </c>
      <c r="BR37" s="1">
        <v>1</v>
      </c>
      <c r="BS37" s="17">
        <v>1</v>
      </c>
      <c r="BT37" s="17" t="s">
        <v>227</v>
      </c>
      <c r="BU37">
        <f>SUM(P37:AD37)</f>
        <v>20</v>
      </c>
      <c r="BV37" s="23">
        <f>AF37+AH37+AI37+AJ37+AO37+AP37</f>
        <v>0</v>
      </c>
    </row>
    <row r="38" spans="1:74">
      <c r="A38" s="29"/>
      <c r="B38" s="29" t="s">
        <v>175</v>
      </c>
      <c r="C38" s="29" t="s">
        <v>110</v>
      </c>
      <c r="D38" s="29" t="s">
        <v>88</v>
      </c>
      <c r="E38" s="30">
        <v>10</v>
      </c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1"/>
      <c r="Q38" s="31"/>
      <c r="R38" s="31">
        <v>10</v>
      </c>
      <c r="S38" s="31"/>
      <c r="T38" s="31"/>
      <c r="U38" s="31">
        <v>10</v>
      </c>
      <c r="V38" s="31"/>
      <c r="W38" s="31"/>
      <c r="X38" s="31"/>
      <c r="Y38" s="31"/>
      <c r="Z38" s="31"/>
      <c r="AA38" s="31"/>
      <c r="AB38" s="31"/>
      <c r="AC38" s="31"/>
      <c r="AD38" s="31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32"/>
      <c r="AR38" s="32"/>
      <c r="AS38" s="32"/>
      <c r="AT38" s="32"/>
      <c r="AU38" s="32">
        <v>10</v>
      </c>
      <c r="AV38" s="32"/>
      <c r="AW38" s="33"/>
      <c r="AX38" s="33"/>
      <c r="AY38" s="33"/>
      <c r="AZ38" s="33"/>
      <c r="BA38" s="33"/>
      <c r="BB38" s="33"/>
      <c r="BC38" s="34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>
        <f>SUM(E38:BP38)</f>
        <v>40</v>
      </c>
      <c r="BR38" s="29">
        <v>1</v>
      </c>
      <c r="BS38" s="35">
        <v>1</v>
      </c>
      <c r="BT38" s="35" t="s">
        <v>227</v>
      </c>
      <c r="BU38">
        <f>SUM(P38:AD38)</f>
        <v>20</v>
      </c>
      <c r="BV38" s="23">
        <f>AF38+AH38+AI38+AJ38+AO38+AP38</f>
        <v>0</v>
      </c>
    </row>
    <row r="39" spans="1:74">
      <c r="A39" s="1"/>
      <c r="B39" s="3" t="s">
        <v>151</v>
      </c>
      <c r="C39" s="3" t="s">
        <v>43</v>
      </c>
      <c r="D39" s="1" t="s">
        <v>145</v>
      </c>
      <c r="E39" s="6">
        <v>10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27"/>
      <c r="Q39" s="27"/>
      <c r="R39" s="27">
        <v>10</v>
      </c>
      <c r="S39" s="27"/>
      <c r="T39" s="27"/>
      <c r="U39" s="27">
        <v>10</v>
      </c>
      <c r="V39" s="27"/>
      <c r="W39" s="27"/>
      <c r="X39" s="27"/>
      <c r="Y39" s="27"/>
      <c r="Z39" s="27"/>
      <c r="AA39" s="27"/>
      <c r="AB39" s="27"/>
      <c r="AC39" s="27"/>
      <c r="AD39" s="27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>
        <v>10</v>
      </c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40</v>
      </c>
      <c r="BR39" s="1">
        <v>1</v>
      </c>
      <c r="BS39" s="17">
        <v>1</v>
      </c>
      <c r="BT39" s="17" t="s">
        <v>228</v>
      </c>
      <c r="BU39">
        <f>SUM(P39:AD39)</f>
        <v>20</v>
      </c>
      <c r="BV39" s="23">
        <f>AF39+AH39+AI39+AJ39+AO39+AP39</f>
        <v>0</v>
      </c>
    </row>
    <row r="40" spans="1:74">
      <c r="A40" s="1"/>
      <c r="B40" s="1" t="s">
        <v>178</v>
      </c>
      <c r="C40" s="1" t="s">
        <v>45</v>
      </c>
      <c r="D40" s="1" t="s">
        <v>157</v>
      </c>
      <c r="E40" s="6">
        <v>10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27"/>
      <c r="Q40" s="27"/>
      <c r="R40" s="27">
        <v>10</v>
      </c>
      <c r="S40" s="27"/>
      <c r="T40" s="27"/>
      <c r="U40" s="27">
        <v>10</v>
      </c>
      <c r="V40" s="27"/>
      <c r="W40" s="27"/>
      <c r="X40" s="27"/>
      <c r="Y40" s="27"/>
      <c r="Z40" s="27"/>
      <c r="AA40" s="27"/>
      <c r="AB40" s="27"/>
      <c r="AC40" s="27"/>
      <c r="AD40" s="27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>
        <v>10</v>
      </c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40</v>
      </c>
      <c r="BR40" s="1">
        <v>1</v>
      </c>
      <c r="BS40" s="17">
        <v>1</v>
      </c>
      <c r="BT40" s="17" t="s">
        <v>228</v>
      </c>
      <c r="BU40">
        <f>SUM(P40:AD40)</f>
        <v>20</v>
      </c>
      <c r="BV40" s="23">
        <f>AF40+AH40+AI40+AJ40+AO40+AP40</f>
        <v>0</v>
      </c>
    </row>
    <row r="41" spans="1:74">
      <c r="A41" s="1"/>
      <c r="B41" s="3" t="s">
        <v>207</v>
      </c>
      <c r="C41" s="3" t="s">
        <v>110</v>
      </c>
      <c r="D41" s="1" t="s">
        <v>145</v>
      </c>
      <c r="E41" s="6">
        <v>10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27"/>
      <c r="Q41" s="27"/>
      <c r="R41" s="27">
        <v>10</v>
      </c>
      <c r="S41" s="27"/>
      <c r="T41" s="27"/>
      <c r="U41" s="27">
        <v>10</v>
      </c>
      <c r="V41" s="27"/>
      <c r="W41" s="27"/>
      <c r="X41" s="27"/>
      <c r="Y41" s="27"/>
      <c r="Z41" s="27"/>
      <c r="AA41" s="27"/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>
        <v>10</v>
      </c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1</v>
      </c>
      <c r="BS41" s="17">
        <v>1</v>
      </c>
      <c r="BT41" s="17" t="s">
        <v>228</v>
      </c>
      <c r="BU41">
        <f>SUM(P41:AD41)</f>
        <v>20</v>
      </c>
      <c r="BV41" s="23">
        <f>AF41+AH41+AI41+AJ41+AO41+AP41</f>
        <v>0</v>
      </c>
    </row>
    <row r="42" spans="1:74">
      <c r="A42" s="1"/>
      <c r="B42" s="1" t="s">
        <v>158</v>
      </c>
      <c r="C42" s="1" t="s">
        <v>43</v>
      </c>
      <c r="D42" s="1" t="s">
        <v>156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7"/>
      <c r="Q42" s="27"/>
      <c r="R42" s="27"/>
      <c r="S42" s="27"/>
      <c r="T42" s="27"/>
      <c r="U42" s="27">
        <v>2</v>
      </c>
      <c r="V42" s="27"/>
      <c r="W42" s="27">
        <v>5</v>
      </c>
      <c r="X42" s="27"/>
      <c r="Y42" s="27"/>
      <c r="Z42" s="27"/>
      <c r="AA42" s="27">
        <v>2</v>
      </c>
      <c r="AB42" s="27"/>
      <c r="AC42" s="27"/>
      <c r="AD42" s="27">
        <v>2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11</v>
      </c>
      <c r="BR42" s="1">
        <v>2</v>
      </c>
      <c r="BS42" s="17">
        <v>1</v>
      </c>
      <c r="BT42" s="17" t="s">
        <v>217</v>
      </c>
      <c r="BU42">
        <f>SUM(P42:AD42)</f>
        <v>11</v>
      </c>
      <c r="BV42" s="23">
        <f>AF42+AH42+AI42+AJ42+AO42+AP42</f>
        <v>0</v>
      </c>
    </row>
    <row r="43" spans="1:74">
      <c r="A43" s="1"/>
      <c r="B43" s="1" t="s">
        <v>180</v>
      </c>
      <c r="C43" s="1" t="s">
        <v>174</v>
      </c>
      <c r="D43" s="1" t="s">
        <v>72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7"/>
      <c r="Q43" s="27"/>
      <c r="R43" s="27"/>
      <c r="S43" s="27"/>
      <c r="T43" s="27"/>
      <c r="U43" s="27">
        <v>2</v>
      </c>
      <c r="V43" s="27"/>
      <c r="W43" s="27"/>
      <c r="X43" s="27"/>
      <c r="Y43" s="27"/>
      <c r="Z43" s="27"/>
      <c r="AA43" s="27">
        <v>2</v>
      </c>
      <c r="AB43" s="27"/>
      <c r="AC43" s="27">
        <v>5</v>
      </c>
      <c r="AD43" s="27">
        <v>2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11</v>
      </c>
      <c r="BR43" s="1">
        <v>2</v>
      </c>
      <c r="BS43" s="17">
        <v>1</v>
      </c>
      <c r="BT43" s="17" t="s">
        <v>217</v>
      </c>
      <c r="BU43">
        <f>SUM(P43:AD43)</f>
        <v>11</v>
      </c>
      <c r="BV43" s="23">
        <f>AF43+AH43+AI43+AJ43+AO43+AP43</f>
        <v>0</v>
      </c>
    </row>
    <row r="44" spans="1:74" s="42" customFormat="1">
      <c r="A44" s="1"/>
      <c r="B44" s="3" t="s">
        <v>165</v>
      </c>
      <c r="C44" s="3" t="s">
        <v>147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7"/>
      <c r="Q44" s="27"/>
      <c r="R44" s="27"/>
      <c r="S44" s="27"/>
      <c r="T44" s="27"/>
      <c r="U44" s="27"/>
      <c r="V44" s="27"/>
      <c r="W44" s="27"/>
      <c r="X44" s="27">
        <v>2</v>
      </c>
      <c r="Y44" s="27"/>
      <c r="Z44" s="27"/>
      <c r="AA44" s="27">
        <v>2</v>
      </c>
      <c r="AB44" s="27"/>
      <c r="AC44" s="27">
        <v>5</v>
      </c>
      <c r="AD44" s="27">
        <v>2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11</v>
      </c>
      <c r="BR44" s="1">
        <v>2</v>
      </c>
      <c r="BS44" s="17">
        <v>1</v>
      </c>
      <c r="BT44" s="17" t="s">
        <v>224</v>
      </c>
      <c r="BU44">
        <f>SUM(P44:AD44)</f>
        <v>11</v>
      </c>
      <c r="BV44" s="23">
        <f>AF44+AH44+AI44+AJ44+AO44+AP44</f>
        <v>0</v>
      </c>
    </row>
    <row r="45" spans="1:74" s="42" customFormat="1">
      <c r="A45" s="1"/>
      <c r="B45" s="3" t="s">
        <v>207</v>
      </c>
      <c r="C45" s="3" t="s">
        <v>110</v>
      </c>
      <c r="D45" s="1" t="s"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7"/>
      <c r="Q45" s="27"/>
      <c r="R45" s="27"/>
      <c r="S45" s="27"/>
      <c r="T45" s="27"/>
      <c r="U45" s="27">
        <v>2</v>
      </c>
      <c r="V45" s="27"/>
      <c r="W45" s="27"/>
      <c r="X45" s="27"/>
      <c r="Y45" s="27"/>
      <c r="Z45" s="27"/>
      <c r="AA45" s="27">
        <v>2</v>
      </c>
      <c r="AB45" s="27"/>
      <c r="AC45" s="27">
        <v>5</v>
      </c>
      <c r="AD45" s="27">
        <v>2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11</v>
      </c>
      <c r="BR45" s="1">
        <v>2</v>
      </c>
      <c r="BS45" s="17">
        <v>1</v>
      </c>
      <c r="BT45" s="17" t="s">
        <v>224</v>
      </c>
      <c r="BU45">
        <f>SUM(P45:AD45)</f>
        <v>11</v>
      </c>
      <c r="BV45" s="23">
        <f>AF45+AH45+AI45+AJ45+AO45+AP45</f>
        <v>0</v>
      </c>
    </row>
    <row r="46" spans="1:74" s="42" customFormat="1">
      <c r="A46" s="1"/>
      <c r="B46" s="1" t="s">
        <v>179</v>
      </c>
      <c r="C46" s="1" t="s">
        <v>45</v>
      </c>
      <c r="D46" s="1" t="s">
        <v>156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7"/>
      <c r="Q46" s="27"/>
      <c r="R46" s="27"/>
      <c r="S46" s="27"/>
      <c r="T46" s="27"/>
      <c r="U46" s="27"/>
      <c r="V46" s="27"/>
      <c r="W46" s="27"/>
      <c r="X46" s="27">
        <v>2</v>
      </c>
      <c r="Y46" s="27"/>
      <c r="Z46" s="27"/>
      <c r="AA46" s="27">
        <v>2</v>
      </c>
      <c r="AB46" s="27"/>
      <c r="AC46" s="27">
        <v>5</v>
      </c>
      <c r="AD46" s="27">
        <v>2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11</v>
      </c>
      <c r="BR46" s="1">
        <v>2</v>
      </c>
      <c r="BS46" s="17">
        <v>1</v>
      </c>
      <c r="BT46" s="17" t="s">
        <v>217</v>
      </c>
      <c r="BU46">
        <f>SUM(P46:AD46)</f>
        <v>11</v>
      </c>
      <c r="BV46" s="23">
        <f>AF46+AH46+AI46+AJ46+AO46+AP46</f>
        <v>0</v>
      </c>
    </row>
    <row r="47" spans="1:74" s="42" customFormat="1">
      <c r="A47" s="1"/>
      <c r="B47" s="1" t="s">
        <v>162</v>
      </c>
      <c r="C47" s="1" t="s">
        <v>32</v>
      </c>
      <c r="D47" s="1" t="s">
        <v>160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7"/>
      <c r="Q47" s="27"/>
      <c r="R47" s="27">
        <v>2</v>
      </c>
      <c r="S47" s="27"/>
      <c r="T47" s="27">
        <v>5</v>
      </c>
      <c r="U47" s="27"/>
      <c r="V47" s="27"/>
      <c r="W47" s="27"/>
      <c r="X47" s="27">
        <v>2</v>
      </c>
      <c r="Y47" s="27"/>
      <c r="Z47" s="27"/>
      <c r="AA47" s="27"/>
      <c r="AB47" s="27"/>
      <c r="AC47" s="27"/>
      <c r="AD47" s="27">
        <v>2</v>
      </c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11</v>
      </c>
      <c r="BR47" s="1">
        <v>2</v>
      </c>
      <c r="BS47" s="17">
        <v>1</v>
      </c>
      <c r="BT47" s="17" t="s">
        <v>217</v>
      </c>
      <c r="BU47">
        <f>SUM(P47:AD47)</f>
        <v>11</v>
      </c>
      <c r="BV47" s="23">
        <f>AF47+AH47+AI47+AJ47+AO47+AP47</f>
        <v>0</v>
      </c>
    </row>
    <row r="48" spans="1:74" s="42" customFormat="1">
      <c r="A48" s="1"/>
      <c r="B48" s="3" t="s">
        <v>181</v>
      </c>
      <c r="C48" s="3" t="s">
        <v>170</v>
      </c>
      <c r="D48" s="1" t="s"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7"/>
      <c r="Q48" s="27"/>
      <c r="R48" s="27">
        <v>2</v>
      </c>
      <c r="S48" s="27"/>
      <c r="T48" s="27"/>
      <c r="U48" s="27">
        <v>2</v>
      </c>
      <c r="V48" s="27"/>
      <c r="W48" s="27"/>
      <c r="X48" s="27"/>
      <c r="Y48" s="27"/>
      <c r="Z48" s="27"/>
      <c r="AA48" s="27"/>
      <c r="AB48" s="27"/>
      <c r="AC48" s="27">
        <v>5</v>
      </c>
      <c r="AD48" s="27">
        <v>2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11</v>
      </c>
      <c r="BR48" s="1">
        <v>2</v>
      </c>
      <c r="BS48" s="17">
        <v>1</v>
      </c>
      <c r="BT48" s="17" t="s">
        <v>241</v>
      </c>
      <c r="BU48">
        <f>SUM(P48:AD48)</f>
        <v>11</v>
      </c>
      <c r="BV48" s="23">
        <f>AF48+AH48+AI48+AJ48+AO48+AP48</f>
        <v>0</v>
      </c>
    </row>
    <row r="49" spans="1:74" s="42" customFormat="1">
      <c r="A49" s="1"/>
      <c r="B49" s="3" t="s">
        <v>205</v>
      </c>
      <c r="C49" s="3" t="s">
        <v>110</v>
      </c>
      <c r="D49" s="1" t="s">
        <v>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7"/>
      <c r="Q49" s="27"/>
      <c r="R49" s="27">
        <v>2</v>
      </c>
      <c r="S49" s="27"/>
      <c r="T49" s="27">
        <v>5</v>
      </c>
      <c r="U49" s="27"/>
      <c r="V49" s="27"/>
      <c r="W49" s="27"/>
      <c r="X49" s="27">
        <v>2</v>
      </c>
      <c r="Y49" s="27"/>
      <c r="Z49" s="27"/>
      <c r="AA49" s="27"/>
      <c r="AB49" s="27"/>
      <c r="AC49" s="27"/>
      <c r="AD49" s="27">
        <v>2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11</v>
      </c>
      <c r="BR49" s="1">
        <v>2</v>
      </c>
      <c r="BS49" s="17">
        <v>1</v>
      </c>
      <c r="BT49" s="17" t="s">
        <v>241</v>
      </c>
      <c r="BU49">
        <f>SUM(P49:AD49)</f>
        <v>11</v>
      </c>
      <c r="BV49" s="23">
        <f>AF49+AH49+AI49+AJ49+AO49+AP49</f>
        <v>0</v>
      </c>
    </row>
    <row r="50" spans="1:74" s="42" customFormat="1">
      <c r="A50" s="1"/>
      <c r="B50" s="3" t="s">
        <v>206</v>
      </c>
      <c r="C50" s="3" t="s">
        <v>110</v>
      </c>
      <c r="D50" s="1" t="s"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7"/>
      <c r="Q50" s="27"/>
      <c r="R50" s="27">
        <v>2</v>
      </c>
      <c r="S50" s="27"/>
      <c r="T50" s="27"/>
      <c r="U50" s="27">
        <v>2</v>
      </c>
      <c r="V50" s="27"/>
      <c r="W50" s="27"/>
      <c r="X50" s="27"/>
      <c r="Y50" s="27"/>
      <c r="Z50" s="27"/>
      <c r="AA50" s="27"/>
      <c r="AB50" s="27"/>
      <c r="AC50" s="27">
        <v>5</v>
      </c>
      <c r="AD50" s="27">
        <v>2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11</v>
      </c>
      <c r="BR50" s="1">
        <v>2</v>
      </c>
      <c r="BS50" s="17">
        <v>1</v>
      </c>
      <c r="BT50" s="17" t="s">
        <v>241</v>
      </c>
      <c r="BU50">
        <f>SUM(P50:AD50)</f>
        <v>11</v>
      </c>
      <c r="BV50" s="23">
        <f>AF50+AH50+AI50+AJ50+AO50+AP50</f>
        <v>0</v>
      </c>
    </row>
    <row r="51" spans="1:74" s="42" customFormat="1">
      <c r="A51" s="18">
        <v>32</v>
      </c>
      <c r="B51" s="18" t="s">
        <v>53</v>
      </c>
      <c r="C51" s="18" t="s">
        <v>21</v>
      </c>
      <c r="D51" s="18" t="s">
        <v>17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8"/>
      <c r="AF51" s="18"/>
      <c r="AG51" s="18"/>
      <c r="AH51" s="18"/>
      <c r="AI51" s="18">
        <v>5</v>
      </c>
      <c r="AJ51" s="18"/>
      <c r="AK51" s="18"/>
      <c r="AL51" s="18"/>
      <c r="AM51" s="18"/>
      <c r="AN51" s="18"/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5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>
        <f>SUM(E51:BP51)</f>
        <v>5</v>
      </c>
      <c r="BR51" s="18">
        <v>5</v>
      </c>
      <c r="BS51" s="22">
        <v>1</v>
      </c>
      <c r="BT51" s="22" t="s">
        <v>219</v>
      </c>
      <c r="BU51">
        <f>SUM(P51:AD51)</f>
        <v>0</v>
      </c>
      <c r="BV51" s="23">
        <f>AF51+AH51+AI51+AJ51+AO51+AP51</f>
        <v>5</v>
      </c>
    </row>
    <row r="52" spans="1:74" s="42" customFormat="1">
      <c r="A52" s="18">
        <v>33</v>
      </c>
      <c r="B52" s="18" t="s">
        <v>53</v>
      </c>
      <c r="C52" s="18" t="s">
        <v>21</v>
      </c>
      <c r="D52" s="18" t="s">
        <v>0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8"/>
      <c r="AF52" s="18"/>
      <c r="AG52" s="18"/>
      <c r="AH52" s="18">
        <v>5</v>
      </c>
      <c r="AI52" s="18"/>
      <c r="AJ52" s="18"/>
      <c r="AK52" s="18"/>
      <c r="AL52" s="18"/>
      <c r="AM52" s="18"/>
      <c r="AN52" s="18"/>
      <c r="AO52" s="18"/>
      <c r="AP52" s="18"/>
      <c r="AQ52" s="20"/>
      <c r="AR52" s="20"/>
      <c r="AS52" s="20"/>
      <c r="AT52" s="20"/>
      <c r="AU52" s="20"/>
      <c r="AV52" s="20"/>
      <c r="AW52" s="21"/>
      <c r="AX52" s="21"/>
      <c r="AY52" s="21"/>
      <c r="AZ52" s="21"/>
      <c r="BA52" s="21"/>
      <c r="BB52" s="21"/>
      <c r="BC52" s="25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>
        <f>SUM(E52:BP52)</f>
        <v>5</v>
      </c>
      <c r="BR52" s="18">
        <v>5</v>
      </c>
      <c r="BS52" s="22">
        <v>1</v>
      </c>
      <c r="BT52" s="22" t="s">
        <v>225</v>
      </c>
      <c r="BU52">
        <f>SUM(P52:AD52)</f>
        <v>0</v>
      </c>
      <c r="BV52" s="23">
        <f>AF52+AH52+AI52+AJ52+AO52+AP52</f>
        <v>5</v>
      </c>
    </row>
    <row r="53" spans="1:74" s="42" customFormat="1">
      <c r="A53" s="18"/>
      <c r="B53" s="18" t="s">
        <v>82</v>
      </c>
      <c r="C53" s="18" t="s">
        <v>80</v>
      </c>
      <c r="D53" s="18" t="s">
        <v>77</v>
      </c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8"/>
      <c r="AF53" s="18"/>
      <c r="AG53" s="18"/>
      <c r="AH53" s="18">
        <v>5</v>
      </c>
      <c r="AI53" s="18"/>
      <c r="AJ53" s="18"/>
      <c r="AK53" s="18"/>
      <c r="AL53" s="18"/>
      <c r="AM53" s="18"/>
      <c r="AN53" s="18"/>
      <c r="AO53" s="18"/>
      <c r="AP53" s="18"/>
      <c r="AQ53" s="20"/>
      <c r="AR53" s="20"/>
      <c r="AS53" s="20"/>
      <c r="AT53" s="20"/>
      <c r="AU53" s="20"/>
      <c r="AV53" s="20"/>
      <c r="AW53" s="21"/>
      <c r="AX53" s="21"/>
      <c r="AY53" s="21"/>
      <c r="AZ53" s="21"/>
      <c r="BA53" s="21"/>
      <c r="BB53" s="21"/>
      <c r="BC53" s="25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>
        <f>SUM(E53:BP53)</f>
        <v>5</v>
      </c>
      <c r="BR53" s="18">
        <v>5</v>
      </c>
      <c r="BS53" s="22">
        <v>1</v>
      </c>
      <c r="BT53" s="22" t="s">
        <v>218</v>
      </c>
      <c r="BU53">
        <f>SUM(P53:AD53)</f>
        <v>0</v>
      </c>
      <c r="BV53" s="23">
        <f>AF53+AH53+AI53+AJ53+AO53+AP53</f>
        <v>5</v>
      </c>
    </row>
    <row r="54" spans="1:74" s="42" customFormat="1">
      <c r="A54" s="18"/>
      <c r="B54" s="18" t="s">
        <v>82</v>
      </c>
      <c r="C54" s="18" t="s">
        <v>80</v>
      </c>
      <c r="D54" s="18" t="s">
        <v>73</v>
      </c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8"/>
      <c r="AF54" s="18"/>
      <c r="AG54" s="18"/>
      <c r="AH54" s="18"/>
      <c r="AI54" s="18">
        <v>5</v>
      </c>
      <c r="AJ54" s="18"/>
      <c r="AK54" s="18"/>
      <c r="AL54" s="18"/>
      <c r="AM54" s="18"/>
      <c r="AN54" s="18"/>
      <c r="AO54" s="18"/>
      <c r="AP54" s="18"/>
      <c r="AQ54" s="20"/>
      <c r="AR54" s="20"/>
      <c r="AS54" s="20"/>
      <c r="AT54" s="20"/>
      <c r="AU54" s="20"/>
      <c r="AV54" s="20"/>
      <c r="AW54" s="21"/>
      <c r="AX54" s="21"/>
      <c r="AY54" s="21"/>
      <c r="AZ54" s="21"/>
      <c r="BA54" s="21"/>
      <c r="BB54" s="21"/>
      <c r="BC54" s="25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>
        <f>SUM(E54:BP54)</f>
        <v>5</v>
      </c>
      <c r="BR54" s="18">
        <v>5</v>
      </c>
      <c r="BS54" s="22">
        <v>1</v>
      </c>
      <c r="BT54" s="22" t="s">
        <v>226</v>
      </c>
      <c r="BU54">
        <f>SUM(P54:AD54)</f>
        <v>0</v>
      </c>
      <c r="BV54" s="23">
        <f>AF54+AH54+AI54+AJ54+AO54+AP54</f>
        <v>5</v>
      </c>
    </row>
    <row r="55" spans="1:74" s="42" customFormat="1">
      <c r="A55" s="1"/>
      <c r="B55" s="3" t="s">
        <v>214</v>
      </c>
      <c r="C55" s="1" t="s">
        <v>43</v>
      </c>
      <c r="D55" s="1" t="s">
        <v>8</v>
      </c>
      <c r="E55" s="6"/>
      <c r="F55" s="6"/>
      <c r="G55" s="6">
        <v>10</v>
      </c>
      <c r="H55" s="6"/>
      <c r="I55" s="6"/>
      <c r="J55" s="6"/>
      <c r="K55" s="6"/>
      <c r="L55" s="6"/>
      <c r="M55" s="6"/>
      <c r="N55" s="6"/>
      <c r="O55" s="6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>
        <v>10</v>
      </c>
      <c r="AU55" s="4"/>
      <c r="AV55" s="4"/>
      <c r="AW55" s="2"/>
      <c r="AX55" s="2"/>
      <c r="AY55" s="2"/>
      <c r="AZ55" s="2"/>
      <c r="BA55" s="2"/>
      <c r="BB55" s="2"/>
      <c r="BC55" s="14"/>
      <c r="BD55" s="1">
        <v>10</v>
      </c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30</v>
      </c>
      <c r="BR55" s="1">
        <v>5</v>
      </c>
      <c r="BS55" s="17">
        <v>1</v>
      </c>
      <c r="BT55" s="17" t="s">
        <v>235</v>
      </c>
      <c r="BU55">
        <f>SUM(P55:AD55)</f>
        <v>0</v>
      </c>
      <c r="BV55" s="23">
        <f>AF55+AH55+AI55+AJ55+AO55+AP55</f>
        <v>0</v>
      </c>
    </row>
    <row r="56" spans="1:74" s="42" customFormat="1">
      <c r="A56" s="1">
        <v>98</v>
      </c>
      <c r="B56" s="3" t="s">
        <v>113</v>
      </c>
      <c r="C56" s="3" t="s">
        <v>45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1">
        <v>50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50</v>
      </c>
      <c r="BR56" s="1">
        <v>6</v>
      </c>
      <c r="BS56" s="17">
        <v>1</v>
      </c>
      <c r="BT56" s="17" t="s">
        <v>236</v>
      </c>
      <c r="BU56">
        <f>SUM(P56:AD56)</f>
        <v>0</v>
      </c>
      <c r="BV56" s="23">
        <f>AF56+AH56+AI56+AJ56+AO56+AP56</f>
        <v>0</v>
      </c>
    </row>
    <row r="57" spans="1:74" s="42" customFormat="1">
      <c r="A57" s="1"/>
      <c r="B57" s="3" t="s">
        <v>143</v>
      </c>
      <c r="C57" s="3" t="s">
        <v>43</v>
      </c>
      <c r="D57" s="1" t="s">
        <v>145</v>
      </c>
      <c r="E57" s="6"/>
      <c r="F57" s="6"/>
      <c r="G57" s="6"/>
      <c r="H57" s="6"/>
      <c r="I57" s="6"/>
      <c r="J57" s="6"/>
      <c r="K57" s="6"/>
      <c r="L57" s="6"/>
      <c r="M57" s="6">
        <v>10</v>
      </c>
      <c r="N57" s="6"/>
      <c r="O57" s="6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>
        <v>10</v>
      </c>
      <c r="AB57" s="27"/>
      <c r="AC57" s="27"/>
      <c r="AD57" s="27">
        <v>10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>
        <v>10</v>
      </c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40</v>
      </c>
      <c r="BR57" s="1">
        <v>10</v>
      </c>
      <c r="BS57" s="17">
        <v>1</v>
      </c>
      <c r="BT57" s="17" t="s">
        <v>215</v>
      </c>
      <c r="BU57">
        <f>SUM(P57:AD57)</f>
        <v>20</v>
      </c>
      <c r="BV57" s="23">
        <f>AF57+AH57+AI57+AJ57+AO57+AP57</f>
        <v>0</v>
      </c>
    </row>
    <row r="58" spans="1:74" s="42" customFormat="1">
      <c r="A58" s="1"/>
      <c r="B58" s="3" t="s">
        <v>212</v>
      </c>
      <c r="C58" s="3" t="s">
        <v>21</v>
      </c>
      <c r="D58" s="1" t="s">
        <v>145</v>
      </c>
      <c r="E58" s="6"/>
      <c r="F58" s="6"/>
      <c r="G58" s="6"/>
      <c r="H58" s="6"/>
      <c r="I58" s="6"/>
      <c r="J58" s="6"/>
      <c r="K58" s="6"/>
      <c r="L58" s="6"/>
      <c r="M58" s="6">
        <v>10</v>
      </c>
      <c r="N58" s="6"/>
      <c r="O58" s="6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>
        <v>10</v>
      </c>
      <c r="AB58" s="27"/>
      <c r="AC58" s="27"/>
      <c r="AD58" s="27">
        <v>10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>
        <v>10</v>
      </c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40</v>
      </c>
      <c r="BR58" s="1">
        <v>10</v>
      </c>
      <c r="BS58" s="17">
        <v>1</v>
      </c>
      <c r="BT58" s="17" t="s">
        <v>215</v>
      </c>
      <c r="BU58">
        <f>SUM(P58:AD58)</f>
        <v>20</v>
      </c>
      <c r="BV58" s="23">
        <f>AF58+AH58+AI58+AJ58+AO58+AP58</f>
        <v>0</v>
      </c>
    </row>
    <row r="59" spans="1:74" s="42" customFormat="1">
      <c r="A59" s="1"/>
      <c r="B59" s="3" t="s">
        <v>185</v>
      </c>
      <c r="C59" s="3" t="s">
        <v>148</v>
      </c>
      <c r="D59" s="1" t="s">
        <v>145</v>
      </c>
      <c r="E59" s="6"/>
      <c r="F59" s="6"/>
      <c r="G59" s="6"/>
      <c r="H59" s="6"/>
      <c r="I59" s="6"/>
      <c r="J59" s="6"/>
      <c r="K59" s="6"/>
      <c r="L59" s="6"/>
      <c r="M59" s="6">
        <v>10</v>
      </c>
      <c r="N59" s="6"/>
      <c r="O59" s="6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>
        <v>10</v>
      </c>
      <c r="AB59" s="27"/>
      <c r="AC59" s="27"/>
      <c r="AD59" s="27">
        <v>10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>
        <v>10</v>
      </c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40</v>
      </c>
      <c r="BR59" s="1">
        <v>10</v>
      </c>
      <c r="BS59" s="17">
        <v>1</v>
      </c>
      <c r="BT59" s="17" t="s">
        <v>229</v>
      </c>
      <c r="BU59">
        <f>SUM(P59:AD59)</f>
        <v>20</v>
      </c>
      <c r="BV59" s="23">
        <f>AF59+AH59+AI59+AJ59+AO59+AP59</f>
        <v>0</v>
      </c>
    </row>
    <row r="60" spans="1:74" s="42" customFormat="1">
      <c r="A60" s="1"/>
      <c r="B60" s="1" t="s">
        <v>180</v>
      </c>
      <c r="C60" s="1" t="s">
        <v>174</v>
      </c>
      <c r="D60" s="1" t="s">
        <v>173</v>
      </c>
      <c r="E60" s="6"/>
      <c r="F60" s="6"/>
      <c r="G60" s="6"/>
      <c r="H60" s="6"/>
      <c r="I60" s="6"/>
      <c r="J60" s="6"/>
      <c r="K60" s="6"/>
      <c r="L60" s="6"/>
      <c r="M60" s="6">
        <v>10</v>
      </c>
      <c r="N60" s="6"/>
      <c r="O60" s="6"/>
      <c r="P60" s="27"/>
      <c r="Q60" s="27"/>
      <c r="R60" s="27"/>
      <c r="S60" s="27"/>
      <c r="T60" s="27"/>
      <c r="U60" s="27">
        <v>10</v>
      </c>
      <c r="V60" s="27"/>
      <c r="W60" s="27"/>
      <c r="X60" s="27"/>
      <c r="Y60" s="27"/>
      <c r="Z60" s="27"/>
      <c r="AA60" s="27">
        <v>10</v>
      </c>
      <c r="AB60" s="27"/>
      <c r="AC60" s="27"/>
      <c r="AD60" s="27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40</v>
      </c>
      <c r="BR60" s="1">
        <v>10</v>
      </c>
      <c r="BS60" s="17">
        <v>1</v>
      </c>
      <c r="BT60" s="17" t="s">
        <v>229</v>
      </c>
      <c r="BU60">
        <f>SUM(P60:AD60)</f>
        <v>30</v>
      </c>
      <c r="BV60" s="23">
        <f>AF60+AH60+AI60+AJ60+AO60+AP60</f>
        <v>0</v>
      </c>
    </row>
    <row r="61" spans="1:74" s="42" customFormat="1">
      <c r="A61" s="1"/>
      <c r="B61" s="1" t="s">
        <v>195</v>
      </c>
      <c r="C61" s="1" t="s">
        <v>21</v>
      </c>
      <c r="D61" s="1" t="s">
        <v>176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>
        <v>40</v>
      </c>
      <c r="AR61" s="4"/>
      <c r="AS61" s="4"/>
      <c r="AT61" s="4"/>
      <c r="AU61" s="4"/>
      <c r="AV61" s="4"/>
      <c r="AW61" s="2">
        <v>40</v>
      </c>
      <c r="AX61" s="2"/>
      <c r="AY61" s="2"/>
      <c r="AZ61" s="2"/>
      <c r="BA61" s="2">
        <v>40</v>
      </c>
      <c r="BB61" s="2"/>
      <c r="BC61" s="14">
        <v>10</v>
      </c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130</v>
      </c>
      <c r="BR61" s="1">
        <v>20</v>
      </c>
      <c r="BS61" s="17">
        <v>1</v>
      </c>
      <c r="BT61" s="17" t="s">
        <v>238</v>
      </c>
      <c r="BU61">
        <f>SUM(P61:AD61)</f>
        <v>0</v>
      </c>
      <c r="BV61" s="23">
        <f>AF61+AH61+AI61+AJ61+AO61+AP61</f>
        <v>0</v>
      </c>
    </row>
    <row r="62" spans="1:74" s="42" customFormat="1">
      <c r="A62" s="1"/>
      <c r="B62" s="1" t="s">
        <v>167</v>
      </c>
      <c r="C62" s="1" t="s">
        <v>74</v>
      </c>
      <c r="D62" s="1" t="s">
        <v>75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>
        <v>40</v>
      </c>
      <c r="AW62" s="2">
        <v>40</v>
      </c>
      <c r="AX62" s="2"/>
      <c r="AY62" s="2"/>
      <c r="AZ62" s="2"/>
      <c r="BA62" s="2"/>
      <c r="BB62" s="2">
        <v>40</v>
      </c>
      <c r="BC62" s="14">
        <v>10</v>
      </c>
      <c r="BD62" s="1"/>
      <c r="BE62" s="1">
        <v>50</v>
      </c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180</v>
      </c>
      <c r="BR62" s="1">
        <v>26</v>
      </c>
      <c r="BS62" s="17">
        <v>1</v>
      </c>
      <c r="BT62" s="17" t="s">
        <v>237</v>
      </c>
      <c r="BU62">
        <f>SUM(P62:AD62)</f>
        <v>0</v>
      </c>
      <c r="BV62" s="23">
        <f>AF62+AH62+AI62+AJ62+AO62+AP62</f>
        <v>0</v>
      </c>
    </row>
    <row r="63" spans="1:74" s="42" customFormat="1">
      <c r="A63" s="1"/>
      <c r="B63" s="1" t="s">
        <v>196</v>
      </c>
      <c r="C63" s="1" t="s">
        <v>80</v>
      </c>
      <c r="D63" s="1" t="s">
        <v>81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>
        <v>50</v>
      </c>
      <c r="BL63" s="1">
        <v>50</v>
      </c>
      <c r="BM63" s="1"/>
      <c r="BN63" s="1"/>
      <c r="BO63" s="1">
        <v>50</v>
      </c>
      <c r="BP63" s="1">
        <v>50</v>
      </c>
      <c r="BQ63" s="1">
        <f>SUM(E63:BP63)</f>
        <v>200</v>
      </c>
      <c r="BR63" s="1">
        <v>47</v>
      </c>
      <c r="BS63" s="17">
        <v>1</v>
      </c>
      <c r="BT63" s="17" t="s">
        <v>239</v>
      </c>
      <c r="BU63">
        <f>SUM(P63:AD63)</f>
        <v>0</v>
      </c>
      <c r="BV63" s="23">
        <f>AF63+AH63+AI63+AJ63+AO63+AP63</f>
        <v>0</v>
      </c>
    </row>
    <row r="64" spans="1:74" s="42" customFormat="1">
      <c r="A64" s="1"/>
      <c r="B64" s="1" t="s">
        <v>197</v>
      </c>
      <c r="C64" s="1" t="s">
        <v>109</v>
      </c>
      <c r="D64" s="1" t="s">
        <v>25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>
        <v>50</v>
      </c>
      <c r="BL64" s="1">
        <v>50</v>
      </c>
      <c r="BM64" s="1"/>
      <c r="BN64" s="1"/>
      <c r="BO64" s="1">
        <v>50</v>
      </c>
      <c r="BP64" s="1">
        <v>50</v>
      </c>
      <c r="BQ64" s="1">
        <f>SUM(E64:BP64)</f>
        <v>200</v>
      </c>
      <c r="BR64" s="1">
        <v>47</v>
      </c>
      <c r="BS64" s="17">
        <v>1</v>
      </c>
      <c r="BT64" s="17" t="s">
        <v>220</v>
      </c>
      <c r="BU64">
        <f>SUM(P64:AD64)</f>
        <v>0</v>
      </c>
      <c r="BV64" s="23">
        <f>AF64+AH64+AI64+AJ64+AO64+AP64</f>
        <v>0</v>
      </c>
    </row>
    <row r="65" spans="1:74" s="42" customFormat="1">
      <c r="A65" s="1">
        <v>102</v>
      </c>
      <c r="B65" s="3" t="s">
        <v>130</v>
      </c>
      <c r="C65" s="3" t="s">
        <v>45</v>
      </c>
      <c r="D65" s="1" t="s">
        <v>25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>
        <v>50</v>
      </c>
      <c r="BL65" s="1">
        <v>50</v>
      </c>
      <c r="BM65" s="1"/>
      <c r="BN65" s="1"/>
      <c r="BO65" s="1">
        <v>50</v>
      </c>
      <c r="BP65" s="1">
        <v>50</v>
      </c>
      <c r="BQ65" s="1">
        <f>SUM(E65:BP65)</f>
        <v>200</v>
      </c>
      <c r="BR65" s="1">
        <v>47</v>
      </c>
      <c r="BS65" s="17">
        <v>1</v>
      </c>
      <c r="BT65" s="17" t="s">
        <v>239</v>
      </c>
      <c r="BU65">
        <f>SUM(P65:AD65)</f>
        <v>0</v>
      </c>
      <c r="BV65" s="23">
        <f>AF65+AH65+AI65+AJ65+AO65+AP65</f>
        <v>0</v>
      </c>
    </row>
    <row r="66" spans="1:74" s="42" customFormat="1">
      <c r="A66" s="1">
        <v>85</v>
      </c>
      <c r="B66" s="3" t="s">
        <v>168</v>
      </c>
      <c r="C66" s="3" t="s">
        <v>43</v>
      </c>
      <c r="D66" s="1" t="s">
        <v>25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>
        <v>50</v>
      </c>
      <c r="BN66" s="1">
        <v>50</v>
      </c>
      <c r="BO66" s="1">
        <v>50</v>
      </c>
      <c r="BP66" s="1">
        <v>50</v>
      </c>
      <c r="BQ66" s="1">
        <f>SUM(E66:BP66)</f>
        <v>200</v>
      </c>
      <c r="BR66" s="1">
        <v>47</v>
      </c>
      <c r="BS66" s="17">
        <v>1</v>
      </c>
      <c r="BT66" s="17" t="s">
        <v>239</v>
      </c>
      <c r="BU66">
        <f>SUM(P66:AD66)</f>
        <v>0</v>
      </c>
      <c r="BV66" s="23">
        <f>AF66+AH66+AI66+AJ66+AO66+AP66</f>
        <v>0</v>
      </c>
    </row>
    <row r="67" spans="1:74" s="42" customFormat="1">
      <c r="A67" s="1"/>
      <c r="B67" s="1" t="s">
        <v>198</v>
      </c>
      <c r="C67" s="1" t="s">
        <v>83</v>
      </c>
      <c r="D67" s="1" t="s">
        <v>81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>
        <v>50</v>
      </c>
      <c r="BN67" s="1">
        <v>50</v>
      </c>
      <c r="BO67" s="1">
        <v>50</v>
      </c>
      <c r="BP67" s="1">
        <v>50</v>
      </c>
      <c r="BQ67" s="1">
        <f>SUM(E67:BP67)</f>
        <v>200</v>
      </c>
      <c r="BR67" s="1">
        <v>47</v>
      </c>
      <c r="BS67" s="17">
        <v>1</v>
      </c>
      <c r="BT67" s="17" t="s">
        <v>239</v>
      </c>
      <c r="BU67">
        <f>SUM(P67:AD67)</f>
        <v>0</v>
      </c>
      <c r="BV67" s="23">
        <f>AF67+AH67+AI67+AJ67+AO67+AP67</f>
        <v>0</v>
      </c>
    </row>
    <row r="68" spans="1:74" s="42" customFormat="1">
      <c r="A68" s="1"/>
      <c r="B68" s="3" t="s">
        <v>221</v>
      </c>
      <c r="C68" s="3" t="s">
        <v>56</v>
      </c>
      <c r="D68" s="1" t="s">
        <v>216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>
        <v>50</v>
      </c>
      <c r="BN68" s="1">
        <v>50</v>
      </c>
      <c r="BO68" s="1">
        <v>50</v>
      </c>
      <c r="BP68" s="1">
        <v>50</v>
      </c>
      <c r="BQ68" s="1">
        <f>SUM(E68:BP68)</f>
        <v>200</v>
      </c>
      <c r="BR68" s="1">
        <v>47</v>
      </c>
      <c r="BS68" s="17">
        <v>1</v>
      </c>
      <c r="BT68" s="17" t="s">
        <v>239</v>
      </c>
      <c r="BU68">
        <f>SUM(P68:AD68)</f>
        <v>0</v>
      </c>
      <c r="BV68" s="23">
        <f>AF68+AH68+AI68+AJ68+AO68+AP68</f>
        <v>0</v>
      </c>
    </row>
    <row r="69" spans="1:74" s="42" customFormat="1">
      <c r="A69" s="1">
        <v>99</v>
      </c>
      <c r="B69" s="3" t="s">
        <v>113</v>
      </c>
      <c r="C69" s="3" t="s">
        <v>45</v>
      </c>
      <c r="D69" s="1" t="s">
        <v>8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1">
        <v>200</v>
      </c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200</v>
      </c>
      <c r="BR69" s="1">
        <v>156</v>
      </c>
      <c r="BS69" s="17">
        <v>1</v>
      </c>
      <c r="BT69" s="17" t="s">
        <v>240</v>
      </c>
      <c r="BU69">
        <f>SUM(P69:AD69)</f>
        <v>0</v>
      </c>
      <c r="BV69" s="23">
        <f>AF69+AH69+AI69+AJ69+AO69+AP69</f>
        <v>0</v>
      </c>
    </row>
    <row r="70" spans="1:74" s="42" customFormat="1" ht="27">
      <c r="A70" s="1"/>
      <c r="B70" s="1" t="s">
        <v>97</v>
      </c>
      <c r="C70" s="1" t="s">
        <v>85</v>
      </c>
      <c r="D70" s="1" t="s">
        <v>88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>
        <v>10</v>
      </c>
      <c r="P70" s="27"/>
      <c r="Q70" s="27"/>
      <c r="R70" s="27">
        <v>10</v>
      </c>
      <c r="S70" s="27"/>
      <c r="T70" s="27"/>
      <c r="U70" s="27"/>
      <c r="V70" s="27"/>
      <c r="W70" s="27"/>
      <c r="X70" s="27">
        <v>10</v>
      </c>
      <c r="Y70" s="27"/>
      <c r="Z70" s="27"/>
      <c r="AA70" s="27"/>
      <c r="AB70" s="27"/>
      <c r="AC70" s="27"/>
      <c r="AD70" s="27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>
        <v>10</v>
      </c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40</v>
      </c>
      <c r="BR70" s="1">
        <v>3</v>
      </c>
      <c r="BS70" s="17">
        <v>2</v>
      </c>
      <c r="BT70" s="17" t="s">
        <v>230</v>
      </c>
      <c r="BU70">
        <f>SUM(P70:AD70)</f>
        <v>20</v>
      </c>
      <c r="BV70" s="23">
        <f>AF70+AH70+AI70+AJ70+AO70+AP70</f>
        <v>0</v>
      </c>
    </row>
    <row r="71" spans="1:74" s="42" customFormat="1" ht="27">
      <c r="A71" s="1"/>
      <c r="B71" s="3" t="s">
        <v>192</v>
      </c>
      <c r="C71" s="3" t="s">
        <v>84</v>
      </c>
      <c r="D71" s="1" t="s">
        <v>145</v>
      </c>
      <c r="E71" s="6"/>
      <c r="F71" s="6"/>
      <c r="G71" s="6"/>
      <c r="H71" s="6"/>
      <c r="I71" s="6">
        <v>10</v>
      </c>
      <c r="J71" s="6"/>
      <c r="K71" s="6"/>
      <c r="L71" s="6"/>
      <c r="M71" s="6"/>
      <c r="N71" s="6"/>
      <c r="O71" s="6"/>
      <c r="P71" s="27"/>
      <c r="Q71" s="27"/>
      <c r="R71" s="27">
        <v>10</v>
      </c>
      <c r="S71" s="27"/>
      <c r="T71" s="27"/>
      <c r="U71" s="27"/>
      <c r="V71" s="27"/>
      <c r="W71" s="27"/>
      <c r="X71" s="27">
        <v>10</v>
      </c>
      <c r="Y71" s="27"/>
      <c r="Z71" s="27"/>
      <c r="AA71" s="27"/>
      <c r="AB71" s="27"/>
      <c r="AC71" s="27"/>
      <c r="AD71" s="27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40</v>
      </c>
      <c r="BR71" s="1">
        <v>3</v>
      </c>
      <c r="BS71" s="17">
        <v>2</v>
      </c>
      <c r="BT71" s="17" t="s">
        <v>230</v>
      </c>
      <c r="BU71">
        <f>SUM(P71:AD71)</f>
        <v>20</v>
      </c>
      <c r="BV71" s="23">
        <f>AF71+AH71+AI71+AJ71+AO71+AP71</f>
        <v>0</v>
      </c>
    </row>
    <row r="72" spans="1:74" s="42" customFormat="1" ht="27">
      <c r="A72" s="1"/>
      <c r="B72" s="1" t="s">
        <v>158</v>
      </c>
      <c r="C72" s="1" t="s">
        <v>43</v>
      </c>
      <c r="D72" s="1" t="s">
        <v>157</v>
      </c>
      <c r="E72" s="6"/>
      <c r="F72" s="6"/>
      <c r="G72" s="6"/>
      <c r="H72" s="6"/>
      <c r="I72" s="6">
        <v>10</v>
      </c>
      <c r="J72" s="6"/>
      <c r="K72" s="6"/>
      <c r="L72" s="6"/>
      <c r="M72" s="6"/>
      <c r="N72" s="6"/>
      <c r="O72" s="6"/>
      <c r="P72" s="27"/>
      <c r="Q72" s="27"/>
      <c r="R72" s="27">
        <v>10</v>
      </c>
      <c r="S72" s="27"/>
      <c r="T72" s="27"/>
      <c r="U72" s="27"/>
      <c r="V72" s="27"/>
      <c r="W72" s="27"/>
      <c r="X72" s="27">
        <v>10</v>
      </c>
      <c r="Y72" s="27"/>
      <c r="Z72" s="27"/>
      <c r="AA72" s="27"/>
      <c r="AB72" s="27"/>
      <c r="AC72" s="27"/>
      <c r="AD72" s="27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10</v>
      </c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40</v>
      </c>
      <c r="BR72" s="1">
        <v>3</v>
      </c>
      <c r="BS72" s="17">
        <v>2</v>
      </c>
      <c r="BT72" s="17" t="s">
        <v>231</v>
      </c>
      <c r="BU72">
        <f>SUM(P72:AD72)</f>
        <v>20</v>
      </c>
      <c r="BV72" s="23">
        <f>AF72+AH72+AI72+AJ72+AO72+AP72</f>
        <v>0</v>
      </c>
    </row>
    <row r="73" spans="1:74" s="42" customFormat="1" ht="27">
      <c r="A73" s="1"/>
      <c r="B73" s="1" t="s">
        <v>194</v>
      </c>
      <c r="C73" s="1" t="s">
        <v>45</v>
      </c>
      <c r="D73" s="1" t="s">
        <v>157</v>
      </c>
      <c r="E73" s="6"/>
      <c r="F73" s="6"/>
      <c r="G73" s="6"/>
      <c r="H73" s="6"/>
      <c r="I73" s="6">
        <v>10</v>
      </c>
      <c r="J73" s="6"/>
      <c r="K73" s="6"/>
      <c r="L73" s="6"/>
      <c r="M73" s="6"/>
      <c r="N73" s="6"/>
      <c r="O73" s="6"/>
      <c r="P73" s="27"/>
      <c r="Q73" s="27"/>
      <c r="R73" s="27">
        <v>10</v>
      </c>
      <c r="S73" s="27"/>
      <c r="T73" s="27"/>
      <c r="U73" s="27"/>
      <c r="V73" s="27"/>
      <c r="W73" s="27"/>
      <c r="X73" s="27">
        <v>10</v>
      </c>
      <c r="Y73" s="27"/>
      <c r="Z73" s="27"/>
      <c r="AA73" s="27"/>
      <c r="AB73" s="27"/>
      <c r="AC73" s="27"/>
      <c r="AD73" s="27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>
        <v>10</v>
      </c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40</v>
      </c>
      <c r="BR73" s="1">
        <v>3</v>
      </c>
      <c r="BS73" s="17">
        <v>2</v>
      </c>
      <c r="BT73" s="17" t="s">
        <v>231</v>
      </c>
      <c r="BU73">
        <f>SUM(P73:AD73)</f>
        <v>20</v>
      </c>
      <c r="BV73" s="23">
        <f>AF73+AH73+AI73+AJ73+AO73+AP73</f>
        <v>0</v>
      </c>
    </row>
    <row r="74" spans="1:74" s="42" customFormat="1" ht="27">
      <c r="A74" s="1"/>
      <c r="B74" s="3" t="s">
        <v>206</v>
      </c>
      <c r="C74" s="3" t="s">
        <v>110</v>
      </c>
      <c r="D74" s="1" t="s">
        <v>145</v>
      </c>
      <c r="E74" s="6"/>
      <c r="F74" s="6"/>
      <c r="G74" s="6"/>
      <c r="H74" s="6"/>
      <c r="I74" s="6">
        <v>10</v>
      </c>
      <c r="J74" s="6"/>
      <c r="K74" s="6"/>
      <c r="L74" s="6"/>
      <c r="M74" s="6"/>
      <c r="N74" s="6"/>
      <c r="O74" s="6"/>
      <c r="P74" s="27"/>
      <c r="Q74" s="27"/>
      <c r="R74" s="27">
        <v>10</v>
      </c>
      <c r="S74" s="27"/>
      <c r="T74" s="27"/>
      <c r="U74" s="27"/>
      <c r="V74" s="27"/>
      <c r="W74" s="27"/>
      <c r="X74" s="27">
        <v>10</v>
      </c>
      <c r="Y74" s="27"/>
      <c r="Z74" s="27"/>
      <c r="AA74" s="27"/>
      <c r="AB74" s="27"/>
      <c r="AC74" s="27"/>
      <c r="AD74" s="27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10</v>
      </c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40</v>
      </c>
      <c r="BR74" s="1">
        <v>3</v>
      </c>
      <c r="BS74" s="17">
        <v>2</v>
      </c>
      <c r="BT74" s="17" t="s">
        <v>232</v>
      </c>
      <c r="BU74">
        <f>SUM(P74:AD74)</f>
        <v>20</v>
      </c>
      <c r="BV74" s="23">
        <f>AF74+AH74+AI74+AJ74+AO74+AP74</f>
        <v>0</v>
      </c>
    </row>
    <row r="75" spans="1:74" s="42" customFormat="1" ht="27">
      <c r="A75" s="1"/>
      <c r="B75" s="3" t="s">
        <v>213</v>
      </c>
      <c r="C75" s="3" t="s">
        <v>208</v>
      </c>
      <c r="D75" s="1" t="s">
        <v>145</v>
      </c>
      <c r="E75" s="6"/>
      <c r="F75" s="6"/>
      <c r="G75" s="6"/>
      <c r="H75" s="6"/>
      <c r="I75" s="6">
        <v>10</v>
      </c>
      <c r="J75" s="6"/>
      <c r="K75" s="6"/>
      <c r="L75" s="6"/>
      <c r="M75" s="6"/>
      <c r="N75" s="6"/>
      <c r="O75" s="6"/>
      <c r="P75" s="27"/>
      <c r="Q75" s="27"/>
      <c r="R75" s="27">
        <v>10</v>
      </c>
      <c r="S75" s="27"/>
      <c r="T75" s="27"/>
      <c r="U75" s="27"/>
      <c r="V75" s="27"/>
      <c r="W75" s="27"/>
      <c r="X75" s="27">
        <v>10</v>
      </c>
      <c r="Y75" s="27"/>
      <c r="Z75" s="27"/>
      <c r="AA75" s="27"/>
      <c r="AB75" s="27"/>
      <c r="AC75" s="27"/>
      <c r="AD75" s="27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>
        <v>10</v>
      </c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40</v>
      </c>
      <c r="BR75" s="1">
        <v>3</v>
      </c>
      <c r="BS75" s="17">
        <v>2</v>
      </c>
      <c r="BT75" s="17" t="s">
        <v>232</v>
      </c>
      <c r="BU75">
        <f>SUM(P75:AD75)</f>
        <v>20</v>
      </c>
      <c r="BV75" s="23">
        <f>AF75+AH75+AI75+AJ75+AO75+AP75</f>
        <v>0</v>
      </c>
    </row>
    <row r="76" spans="1:74" s="42" customFormat="1" ht="27">
      <c r="A76" s="1"/>
      <c r="B76" s="1" t="s">
        <v>190</v>
      </c>
      <c r="C76" s="1" t="s">
        <v>110</v>
      </c>
      <c r="D76" s="1" t="s">
        <v>88</v>
      </c>
      <c r="E76" s="6"/>
      <c r="F76" s="6"/>
      <c r="G76" s="6"/>
      <c r="H76" s="6">
        <v>10</v>
      </c>
      <c r="I76" s="6"/>
      <c r="J76" s="6"/>
      <c r="K76" s="6"/>
      <c r="L76" s="6"/>
      <c r="M76" s="6"/>
      <c r="N76" s="6"/>
      <c r="O76" s="6"/>
      <c r="P76" s="27"/>
      <c r="Q76" s="27"/>
      <c r="R76" s="27">
        <v>10</v>
      </c>
      <c r="S76" s="27"/>
      <c r="T76" s="27"/>
      <c r="U76" s="27">
        <v>10</v>
      </c>
      <c r="V76" s="27"/>
      <c r="W76" s="27"/>
      <c r="X76" s="27"/>
      <c r="Y76" s="27"/>
      <c r="Z76" s="27"/>
      <c r="AA76" s="27"/>
      <c r="AB76" s="27"/>
      <c r="AC76" s="27"/>
      <c r="AD76" s="27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>
        <v>10</v>
      </c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40</v>
      </c>
      <c r="BR76" s="1">
        <v>9</v>
      </c>
      <c r="BS76" s="17">
        <v>2</v>
      </c>
      <c r="BT76" s="17" t="s">
        <v>243</v>
      </c>
      <c r="BU76">
        <f>SUM(P76:AD76)</f>
        <v>20</v>
      </c>
      <c r="BV76" s="23">
        <f>AF76+AH76+AI76+AJ76+AO76+AP76</f>
        <v>0</v>
      </c>
    </row>
    <row r="77" spans="1:74" s="42" customFormat="1" ht="27">
      <c r="A77" s="1">
        <v>27</v>
      </c>
      <c r="B77" s="1" t="s">
        <v>50</v>
      </c>
      <c r="C77" s="1" t="s">
        <v>21</v>
      </c>
      <c r="D77" s="1" t="s">
        <v>17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1"/>
      <c r="AF77" s="1"/>
      <c r="AG77" s="1"/>
      <c r="AH77" s="1">
        <v>5</v>
      </c>
      <c r="AI77" s="1">
        <v>5</v>
      </c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10</v>
      </c>
      <c r="BR77" s="1">
        <v>10</v>
      </c>
      <c r="BS77" s="17">
        <v>2</v>
      </c>
      <c r="BT77" s="17" t="s">
        <v>242</v>
      </c>
      <c r="BU77">
        <f>SUM(P77:AD77)</f>
        <v>0</v>
      </c>
      <c r="BV77" s="23">
        <f>AF77+AH77+AI77+AJ77+AO77+AP77</f>
        <v>10</v>
      </c>
    </row>
    <row r="78" spans="1:74" s="42" customFormat="1" ht="27">
      <c r="A78" s="1">
        <v>88</v>
      </c>
      <c r="B78" s="3" t="s">
        <v>55</v>
      </c>
      <c r="C78" s="3" t="s">
        <v>56</v>
      </c>
      <c r="D78" s="1" t="s">
        <v>17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1"/>
      <c r="AF78" s="1"/>
      <c r="AG78" s="1"/>
      <c r="AH78" s="1">
        <v>5</v>
      </c>
      <c r="AI78" s="1">
        <v>5</v>
      </c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10</v>
      </c>
      <c r="BR78" s="1">
        <v>10</v>
      </c>
      <c r="BS78" s="17">
        <v>2</v>
      </c>
      <c r="BT78" s="17" t="s">
        <v>242</v>
      </c>
      <c r="BU78">
        <f>SUM(P78:AD78)</f>
        <v>0</v>
      </c>
      <c r="BV78" s="23">
        <f>AF78+AH78+AI78+AJ78+AO78+AP78</f>
        <v>10</v>
      </c>
    </row>
    <row r="79" spans="1:74" s="42" customFormat="1" ht="27">
      <c r="A79" s="1">
        <v>89</v>
      </c>
      <c r="B79" s="3" t="s">
        <v>55</v>
      </c>
      <c r="C79" s="3" t="s">
        <v>56</v>
      </c>
      <c r="D79" s="1" t="s"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1"/>
      <c r="AF79" s="1">
        <v>5</v>
      </c>
      <c r="AG79" s="1"/>
      <c r="AH79" s="1">
        <v>5</v>
      </c>
      <c r="AI79" s="1">
        <v>5</v>
      </c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15</v>
      </c>
      <c r="BR79" s="1">
        <v>10</v>
      </c>
      <c r="BS79" s="17">
        <v>2</v>
      </c>
      <c r="BT79" s="17" t="s">
        <v>242</v>
      </c>
      <c r="BU79">
        <f>SUM(P79:AD79)</f>
        <v>0</v>
      </c>
      <c r="BV79" s="23">
        <f>AF79+AH79+AI79+AJ79+AO79+AP79</f>
        <v>15</v>
      </c>
    </row>
    <row r="80" spans="1:74" s="42" customFormat="1" ht="27">
      <c r="A80" s="1"/>
      <c r="B80" s="3" t="s">
        <v>181</v>
      </c>
      <c r="C80" s="3" t="s">
        <v>170</v>
      </c>
      <c r="D80" s="1" t="s">
        <v>88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>
        <v>10</v>
      </c>
      <c r="P80" s="27"/>
      <c r="Q80" s="27"/>
      <c r="R80" s="27">
        <v>10</v>
      </c>
      <c r="S80" s="27"/>
      <c r="T80" s="27"/>
      <c r="U80" s="27">
        <v>10</v>
      </c>
      <c r="V80" s="27"/>
      <c r="W80" s="27"/>
      <c r="X80" s="27"/>
      <c r="Y80" s="27"/>
      <c r="Z80" s="27"/>
      <c r="AA80" s="27"/>
      <c r="AB80" s="27"/>
      <c r="AC80" s="27"/>
      <c r="AD80" s="27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40</v>
      </c>
      <c r="BR80" s="1">
        <v>11</v>
      </c>
      <c r="BS80" s="17">
        <v>2</v>
      </c>
      <c r="BT80" s="17" t="s">
        <v>246</v>
      </c>
      <c r="BU80">
        <f>SUM(P80:AD80)</f>
        <v>30</v>
      </c>
      <c r="BV80" s="23">
        <f>AF80+AH80+AI80+AJ80+AO80+AP80</f>
        <v>0</v>
      </c>
    </row>
    <row r="81" spans="1:74" s="42" customFormat="1" ht="27">
      <c r="A81" s="1"/>
      <c r="B81" s="3" t="s">
        <v>165</v>
      </c>
      <c r="C81" s="3" t="s">
        <v>147</v>
      </c>
      <c r="D81" s="1" t="s">
        <v>145</v>
      </c>
      <c r="E81" s="6"/>
      <c r="F81" s="6"/>
      <c r="G81" s="6"/>
      <c r="H81" s="6"/>
      <c r="I81" s="6"/>
      <c r="J81" s="6"/>
      <c r="K81" s="6"/>
      <c r="L81" s="6"/>
      <c r="M81" s="6"/>
      <c r="N81" s="6">
        <v>10</v>
      </c>
      <c r="O81" s="6"/>
      <c r="P81" s="27"/>
      <c r="Q81" s="27"/>
      <c r="R81" s="27"/>
      <c r="S81" s="27"/>
      <c r="T81" s="27"/>
      <c r="U81" s="27"/>
      <c r="V81" s="27"/>
      <c r="W81" s="27"/>
      <c r="X81" s="27">
        <v>10</v>
      </c>
      <c r="Y81" s="27"/>
      <c r="Z81" s="27"/>
      <c r="AA81" s="27">
        <v>10</v>
      </c>
      <c r="AB81" s="27"/>
      <c r="AC81" s="27"/>
      <c r="AD81" s="27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40</v>
      </c>
      <c r="BR81" s="1">
        <v>12</v>
      </c>
      <c r="BS81" s="17">
        <v>2</v>
      </c>
      <c r="BT81" s="17" t="s">
        <v>233</v>
      </c>
      <c r="BU81">
        <f>SUM(P81:AD81)</f>
        <v>30</v>
      </c>
      <c r="BV81" s="23">
        <f>AF81+AH81+AI81+AJ81+AO81+AP81</f>
        <v>0</v>
      </c>
    </row>
    <row r="82" spans="1:74" s="42" customFormat="1" ht="27">
      <c r="A82" s="1"/>
      <c r="B82" s="1" t="s">
        <v>189</v>
      </c>
      <c r="C82" s="1" t="s">
        <v>110</v>
      </c>
      <c r="D82" s="1" t="s">
        <v>88</v>
      </c>
      <c r="E82" s="6"/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27"/>
      <c r="Q82" s="27"/>
      <c r="R82" s="27"/>
      <c r="S82" s="27"/>
      <c r="T82" s="27"/>
      <c r="U82" s="27"/>
      <c r="V82" s="27"/>
      <c r="W82" s="27"/>
      <c r="X82" s="27">
        <v>10</v>
      </c>
      <c r="Y82" s="27"/>
      <c r="Z82" s="27"/>
      <c r="AA82" s="27"/>
      <c r="AB82" s="27"/>
      <c r="AC82" s="27"/>
      <c r="AD82" s="27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10</v>
      </c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40</v>
      </c>
      <c r="BR82" s="1">
        <v>12</v>
      </c>
      <c r="BS82" s="17">
        <v>2</v>
      </c>
      <c r="BT82" s="17" t="s">
        <v>234</v>
      </c>
      <c r="BU82">
        <f>SUM(P82:AD82)</f>
        <v>20</v>
      </c>
      <c r="BV82" s="23">
        <f>AF82+AH82+AI82+AJ82+AO82+AP82</f>
        <v>0</v>
      </c>
    </row>
    <row r="83" spans="1:74" s="42" customFormat="1" ht="27">
      <c r="A83" s="1"/>
      <c r="B83" s="1" t="s">
        <v>163</v>
      </c>
      <c r="C83" s="1" t="s">
        <v>83</v>
      </c>
      <c r="D83" s="1" t="s">
        <v>112</v>
      </c>
      <c r="E83" s="6"/>
      <c r="F83" s="6"/>
      <c r="G83" s="6">
        <v>10</v>
      </c>
      <c r="H83" s="6"/>
      <c r="I83" s="6"/>
      <c r="J83" s="6"/>
      <c r="K83" s="6"/>
      <c r="L83" s="6"/>
      <c r="M83" s="6"/>
      <c r="N83" s="6"/>
      <c r="O83" s="6"/>
      <c r="P83" s="27"/>
      <c r="Q83" s="27"/>
      <c r="R83" s="27"/>
      <c r="S83" s="27"/>
      <c r="T83" s="27"/>
      <c r="U83" s="27"/>
      <c r="V83" s="27"/>
      <c r="W83" s="27"/>
      <c r="X83" s="27">
        <v>10</v>
      </c>
      <c r="Y83" s="27"/>
      <c r="Z83" s="27"/>
      <c r="AA83" s="27"/>
      <c r="AB83" s="27"/>
      <c r="AC83" s="27"/>
      <c r="AD83" s="27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>
        <v>10</v>
      </c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40</v>
      </c>
      <c r="BR83" s="1">
        <v>12</v>
      </c>
      <c r="BS83" s="17">
        <v>2</v>
      </c>
      <c r="BT83" s="17" t="s">
        <v>233</v>
      </c>
      <c r="BU83">
        <f>SUM(P83:AD83)</f>
        <v>20</v>
      </c>
      <c r="BV83" s="23">
        <f>AF83+AH83+AI83+AJ83+AO83+AP83</f>
        <v>0</v>
      </c>
    </row>
    <row r="84" spans="1:74" s="42" customFormat="1" ht="27">
      <c r="A84" s="1"/>
      <c r="B84" s="3" t="s">
        <v>211</v>
      </c>
      <c r="C84" s="3" t="s">
        <v>148</v>
      </c>
      <c r="D84" s="1" t="s">
        <v>145</v>
      </c>
      <c r="E84" s="6"/>
      <c r="F84" s="6"/>
      <c r="G84" s="6">
        <v>10</v>
      </c>
      <c r="H84" s="6"/>
      <c r="I84" s="6"/>
      <c r="J84" s="6"/>
      <c r="K84" s="6"/>
      <c r="L84" s="6"/>
      <c r="M84" s="6"/>
      <c r="N84" s="6"/>
      <c r="O84" s="6"/>
      <c r="P84" s="27"/>
      <c r="Q84" s="27"/>
      <c r="R84" s="27"/>
      <c r="S84" s="27"/>
      <c r="T84" s="27"/>
      <c r="U84" s="27"/>
      <c r="V84" s="27"/>
      <c r="W84" s="27"/>
      <c r="X84" s="27">
        <v>10</v>
      </c>
      <c r="Y84" s="27"/>
      <c r="Z84" s="27"/>
      <c r="AA84" s="27"/>
      <c r="AB84" s="27"/>
      <c r="AC84" s="27"/>
      <c r="AD84" s="27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>
        <v>10</v>
      </c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40</v>
      </c>
      <c r="BR84" s="1">
        <v>12</v>
      </c>
      <c r="BS84" s="17">
        <v>2</v>
      </c>
      <c r="BT84" s="17" t="s">
        <v>233</v>
      </c>
      <c r="BU84">
        <f>SUM(P84:AD84)</f>
        <v>20</v>
      </c>
      <c r="BV84" s="23">
        <f>AF84+AH84+AI84+AJ84+AO84+AP84</f>
        <v>0</v>
      </c>
    </row>
    <row r="85" spans="1:74" s="42" customFormat="1" ht="27">
      <c r="A85" s="1"/>
      <c r="B85" s="1" t="s">
        <v>183</v>
      </c>
      <c r="C85" s="1" t="s">
        <v>102</v>
      </c>
      <c r="D85" s="1" t="s">
        <v>157</v>
      </c>
      <c r="E85" s="6"/>
      <c r="F85" s="6"/>
      <c r="G85" s="6">
        <v>10</v>
      </c>
      <c r="H85" s="6"/>
      <c r="I85" s="6"/>
      <c r="J85" s="6"/>
      <c r="K85" s="6"/>
      <c r="L85" s="6"/>
      <c r="M85" s="6"/>
      <c r="N85" s="6"/>
      <c r="O85" s="6"/>
      <c r="P85" s="27"/>
      <c r="Q85" s="27"/>
      <c r="R85" s="27"/>
      <c r="S85" s="27"/>
      <c r="T85" s="27"/>
      <c r="U85" s="27"/>
      <c r="V85" s="27"/>
      <c r="W85" s="27"/>
      <c r="X85" s="27">
        <v>10</v>
      </c>
      <c r="Y85" s="27"/>
      <c r="Z85" s="27"/>
      <c r="AA85" s="27"/>
      <c r="AB85" s="27"/>
      <c r="AC85" s="27"/>
      <c r="AD85" s="27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>
        <v>10</v>
      </c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40</v>
      </c>
      <c r="BR85" s="1">
        <v>12</v>
      </c>
      <c r="BS85" s="17">
        <v>2</v>
      </c>
      <c r="BT85" s="17" t="s">
        <v>234</v>
      </c>
      <c r="BU85">
        <f>SUM(P85:AD85)</f>
        <v>20</v>
      </c>
      <c r="BV85" s="23">
        <f>AF85+AH85+AI85+AJ85+AO85+AP85</f>
        <v>0</v>
      </c>
    </row>
    <row r="86" spans="1:74" s="42" customFormat="1" ht="27">
      <c r="A86" s="1"/>
      <c r="B86" s="3" t="s">
        <v>222</v>
      </c>
      <c r="C86" s="3" t="s">
        <v>45</v>
      </c>
      <c r="D86" s="1" t="s">
        <v>223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40</v>
      </c>
      <c r="AS86" s="4"/>
      <c r="AT86" s="4"/>
      <c r="AU86" s="4"/>
      <c r="AV86" s="4"/>
      <c r="AW86" s="2"/>
      <c r="AX86" s="2">
        <v>40</v>
      </c>
      <c r="AY86" s="2"/>
      <c r="AZ86" s="2">
        <v>40</v>
      </c>
      <c r="BA86" s="2"/>
      <c r="BB86" s="2"/>
      <c r="BC86" s="14">
        <v>10</v>
      </c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130</v>
      </c>
      <c r="BR86" s="1">
        <v>39</v>
      </c>
      <c r="BS86" s="17">
        <v>2</v>
      </c>
      <c r="BT86" s="17" t="s">
        <v>248</v>
      </c>
      <c r="BU86">
        <f>SUM(P86:AD86)</f>
        <v>0</v>
      </c>
      <c r="BV86" s="23">
        <f>AF86+AH86+AI86+AJ86+AO86+AP86</f>
        <v>0</v>
      </c>
    </row>
    <row r="87" spans="1:74" s="42" customFormat="1" ht="40.5">
      <c r="A87" s="1"/>
      <c r="B87" s="3" t="s">
        <v>149</v>
      </c>
      <c r="C87" s="3" t="s">
        <v>84</v>
      </c>
      <c r="D87" s="1" t="s">
        <v>145</v>
      </c>
      <c r="E87" s="6"/>
      <c r="F87" s="6"/>
      <c r="G87" s="6"/>
      <c r="H87" s="6">
        <v>10</v>
      </c>
      <c r="I87" s="6"/>
      <c r="J87" s="6"/>
      <c r="K87" s="6"/>
      <c r="L87" s="6"/>
      <c r="M87" s="6"/>
      <c r="N87" s="6"/>
      <c r="O87" s="6"/>
      <c r="P87" s="27"/>
      <c r="Q87" s="27"/>
      <c r="R87" s="27">
        <v>10</v>
      </c>
      <c r="S87" s="27"/>
      <c r="T87" s="27"/>
      <c r="U87" s="27"/>
      <c r="V87" s="27"/>
      <c r="W87" s="27"/>
      <c r="X87" s="27">
        <v>10</v>
      </c>
      <c r="Y87" s="27"/>
      <c r="Z87" s="27"/>
      <c r="AA87" s="27"/>
      <c r="AB87" s="27"/>
      <c r="AC87" s="27"/>
      <c r="AD87" s="27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11</v>
      </c>
      <c r="BS87" s="17">
        <v>3</v>
      </c>
      <c r="BT87" s="17" t="s">
        <v>244</v>
      </c>
      <c r="BU87">
        <f>SUM(P87:AD87)</f>
        <v>20</v>
      </c>
      <c r="BV87" s="23">
        <f>AF87+AH87+AI87+AJ87+AO87+AP87</f>
        <v>0</v>
      </c>
    </row>
    <row r="88" spans="1:74" s="42" customFormat="1" ht="40.5">
      <c r="A88" s="1"/>
      <c r="B88" s="3" t="s">
        <v>172</v>
      </c>
      <c r="C88" s="3" t="s">
        <v>171</v>
      </c>
      <c r="D88" s="1" t="s">
        <v>8</v>
      </c>
      <c r="E88" s="6"/>
      <c r="F88" s="6"/>
      <c r="G88" s="6"/>
      <c r="H88" s="6">
        <v>10</v>
      </c>
      <c r="I88" s="6"/>
      <c r="J88" s="6"/>
      <c r="K88" s="6"/>
      <c r="L88" s="6"/>
      <c r="M88" s="6"/>
      <c r="N88" s="6"/>
      <c r="O88" s="6"/>
      <c r="P88" s="27"/>
      <c r="Q88" s="27"/>
      <c r="R88" s="27">
        <v>10</v>
      </c>
      <c r="S88" s="27"/>
      <c r="T88" s="27"/>
      <c r="U88" s="27"/>
      <c r="V88" s="27"/>
      <c r="W88" s="27"/>
      <c r="X88" s="27">
        <v>10</v>
      </c>
      <c r="Y88" s="27"/>
      <c r="Z88" s="27"/>
      <c r="AA88" s="27"/>
      <c r="AB88" s="27"/>
      <c r="AC88" s="27"/>
      <c r="AD88" s="27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11</v>
      </c>
      <c r="BS88" s="17">
        <v>3</v>
      </c>
      <c r="BT88" s="17" t="s">
        <v>245</v>
      </c>
      <c r="BU88">
        <f>SUM(P88:AD88)</f>
        <v>20</v>
      </c>
      <c r="BV88" s="23">
        <f>AF88+AH88+AI88+AJ88+AO88+AP88</f>
        <v>0</v>
      </c>
    </row>
    <row r="89" spans="1:74" s="42" customFormat="1" ht="40.5">
      <c r="A89" s="1"/>
      <c r="B89" s="3" t="s">
        <v>201</v>
      </c>
      <c r="C89" s="3" t="s">
        <v>202</v>
      </c>
      <c r="D89" s="1" t="s">
        <v>145</v>
      </c>
      <c r="E89" s="6"/>
      <c r="F89" s="6"/>
      <c r="G89" s="6"/>
      <c r="H89" s="6"/>
      <c r="I89" s="6"/>
      <c r="J89" s="6">
        <v>10</v>
      </c>
      <c r="K89" s="6"/>
      <c r="L89" s="6"/>
      <c r="M89" s="6"/>
      <c r="N89" s="6"/>
      <c r="O89" s="6"/>
      <c r="P89" s="27"/>
      <c r="Q89" s="27"/>
      <c r="R89" s="27">
        <v>10</v>
      </c>
      <c r="S89" s="27"/>
      <c r="T89" s="27"/>
      <c r="U89" s="27"/>
      <c r="V89" s="27"/>
      <c r="W89" s="27"/>
      <c r="X89" s="27">
        <v>10</v>
      </c>
      <c r="Y89" s="27"/>
      <c r="Z89" s="27"/>
      <c r="AA89" s="27"/>
      <c r="AB89" s="27"/>
      <c r="AC89" s="27"/>
      <c r="AD89" s="27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>
        <v>10</v>
      </c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50</v>
      </c>
      <c r="BR89" s="1">
        <v>13</v>
      </c>
      <c r="BS89" s="17">
        <v>3</v>
      </c>
      <c r="BT89" s="17" t="s">
        <v>247</v>
      </c>
      <c r="BU89">
        <f>SUM(P89:AD89)</f>
        <v>30</v>
      </c>
      <c r="BV89" s="23">
        <f>AF89+AH89+AI89+AJ89+AO89+AP89</f>
        <v>0</v>
      </c>
    </row>
    <row r="90" spans="1:74" s="42" customFormat="1" ht="40.5">
      <c r="A90" s="1">
        <v>28</v>
      </c>
      <c r="B90" s="1" t="s">
        <v>50</v>
      </c>
      <c r="C90" s="1" t="s">
        <v>21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1"/>
      <c r="AF90" s="1"/>
      <c r="AG90" s="1"/>
      <c r="AH90" s="1">
        <v>5</v>
      </c>
      <c r="AI90" s="1">
        <v>5</v>
      </c>
      <c r="AJ90" s="1">
        <v>5</v>
      </c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15</v>
      </c>
      <c r="BR90" s="1">
        <v>15</v>
      </c>
      <c r="BS90" s="17">
        <v>3</v>
      </c>
      <c r="BT90" s="17" t="s">
        <v>249</v>
      </c>
      <c r="BU90">
        <f>SUM(P90:AD90)</f>
        <v>0</v>
      </c>
      <c r="BV90" s="23">
        <f>AF90+AH90+AI90+AJ90+AO90+AP90</f>
        <v>15</v>
      </c>
    </row>
    <row r="91" spans="1:74">
      <c r="A91" s="1"/>
      <c r="B91" s="1" t="s">
        <v>47</v>
      </c>
      <c r="C91" s="1"/>
      <c r="D91" s="1"/>
      <c r="E91" s="6">
        <f>SUM(E2:E90)</f>
        <v>65</v>
      </c>
      <c r="F91" s="6">
        <f>SUM(F2:F90)</f>
        <v>0</v>
      </c>
      <c r="G91" s="6">
        <f>SUM(G2:G90)</f>
        <v>50</v>
      </c>
      <c r="H91" s="6">
        <f>SUM(H2:H90)</f>
        <v>30</v>
      </c>
      <c r="I91" s="6">
        <f>SUM(I2:I90)</f>
        <v>50</v>
      </c>
      <c r="J91" s="6">
        <f>SUM(J2:J90)</f>
        <v>60</v>
      </c>
      <c r="K91" s="6">
        <f>SUM(K2:K90)</f>
        <v>0</v>
      </c>
      <c r="L91" s="6">
        <f>SUM(L2:L90)</f>
        <v>27</v>
      </c>
      <c r="M91" s="6">
        <f>SUM(M2:M90)</f>
        <v>40</v>
      </c>
      <c r="N91" s="6">
        <f>SUM(N2:N90)</f>
        <v>10</v>
      </c>
      <c r="O91" s="6">
        <f>SUM(O2:O90)</f>
        <v>20</v>
      </c>
      <c r="P91" s="27">
        <f>SUM(P2:P90)</f>
        <v>60</v>
      </c>
      <c r="Q91" s="27">
        <f>SUM(Q2:Q90)</f>
        <v>87</v>
      </c>
      <c r="R91" s="27">
        <f>SUM(R2:R90)</f>
        <v>204</v>
      </c>
      <c r="S91" s="27">
        <f>SUM(S2:S90)</f>
        <v>60</v>
      </c>
      <c r="T91" s="27">
        <f>SUM(T2:T90)</f>
        <v>72</v>
      </c>
      <c r="U91" s="27">
        <f>SUM(U2:U90)</f>
        <v>172</v>
      </c>
      <c r="V91" s="27">
        <f>SUM(V2:V90)</f>
        <v>105</v>
      </c>
      <c r="W91" s="27">
        <f>SUM(W2:W90)</f>
        <v>50</v>
      </c>
      <c r="X91" s="27">
        <f>SUM(X2:X90)</f>
        <v>159</v>
      </c>
      <c r="Y91" s="27">
        <f>SUM(Y2:Y90)</f>
        <v>95</v>
      </c>
      <c r="Z91" s="27">
        <f>SUM(Z2:Z90)</f>
        <v>70</v>
      </c>
      <c r="AA91" s="27">
        <f>SUM(AA2:AA90)</f>
        <v>114</v>
      </c>
      <c r="AB91" s="27">
        <f>SUM(AB2:AB90)</f>
        <v>90</v>
      </c>
      <c r="AC91" s="27">
        <f>SUM(AC2:AC90)</f>
        <v>80</v>
      </c>
      <c r="AD91" s="27">
        <f>SUM(AD2:AD90)</f>
        <v>128</v>
      </c>
      <c r="AE91" s="1">
        <f>SUM(AE2:AE90)</f>
        <v>250</v>
      </c>
      <c r="AF91" s="1">
        <f>SUM(AF2:AF90)</f>
        <v>5</v>
      </c>
      <c r="AG91" s="1">
        <f>SUM(AG2:AG90)</f>
        <v>0</v>
      </c>
      <c r="AH91" s="1">
        <f>SUM(AH2:AH90)</f>
        <v>30</v>
      </c>
      <c r="AI91" s="1">
        <f>SUM(AI2:AI90)</f>
        <v>30</v>
      </c>
      <c r="AJ91" s="1">
        <f>SUM(AJ2:AJ90)</f>
        <v>5</v>
      </c>
      <c r="AK91" s="1">
        <f>SUM(AK2:AK90)</f>
        <v>0</v>
      </c>
      <c r="AL91" s="1">
        <f>SUM(AL2:AL90)</f>
        <v>0</v>
      </c>
      <c r="AM91" s="1">
        <f>SUM(AM2:AM90)</f>
        <v>0</v>
      </c>
      <c r="AN91" s="1">
        <f>SUM(AN2:AN90)</f>
        <v>0</v>
      </c>
      <c r="AO91" s="1">
        <f>SUM(AO2:AO90)</f>
        <v>0</v>
      </c>
      <c r="AP91" s="1">
        <f>SUM(AP2:AP90)</f>
        <v>0</v>
      </c>
      <c r="AQ91" s="4">
        <f>SUM(AQ2:AQ90)</f>
        <v>100</v>
      </c>
      <c r="AR91" s="4">
        <f>SUM(AR2:AR90)</f>
        <v>60</v>
      </c>
      <c r="AS91" s="4">
        <f>SUM(AS2:AS90)</f>
        <v>40</v>
      </c>
      <c r="AT91" s="4">
        <f>SUM(AT2:AT90)</f>
        <v>60</v>
      </c>
      <c r="AU91" s="4">
        <f>SUM(AU2:AU90)</f>
        <v>70</v>
      </c>
      <c r="AV91" s="4">
        <f>SUM(AV2:AV90)</f>
        <v>100</v>
      </c>
      <c r="AW91" s="2">
        <f>SUM(AW2:AW90)</f>
        <v>80</v>
      </c>
      <c r="AX91" s="2">
        <f>SUM(AX2:AX90)</f>
        <v>40</v>
      </c>
      <c r="AY91" s="2">
        <f>SUM(AY2:AY90)</f>
        <v>0</v>
      </c>
      <c r="AZ91" s="2">
        <f>SUM(AZ2:AZ90)</f>
        <v>40</v>
      </c>
      <c r="BA91" s="2">
        <f>SUM(BA2:BA90)</f>
        <v>40</v>
      </c>
      <c r="BB91" s="2">
        <f>SUM(BB2:BB90)</f>
        <v>40</v>
      </c>
      <c r="BC91" s="1">
        <f>SUM(BC2:BC90)</f>
        <v>30</v>
      </c>
      <c r="BD91" s="1">
        <f>SUM(BD2:BD90)</f>
        <v>10</v>
      </c>
      <c r="BE91" s="1">
        <f>SUM(BE2:BE90)</f>
        <v>50</v>
      </c>
      <c r="BF91" s="1">
        <f>SUM(BF2:BF90)</f>
        <v>0</v>
      </c>
      <c r="BG91" s="1">
        <f>SUM(BG2:BG90)</f>
        <v>0</v>
      </c>
      <c r="BH91" s="1">
        <f>SUM(BH2:BH90)</f>
        <v>0</v>
      </c>
      <c r="BI91" s="1">
        <f>SUM(BI2:BI90)</f>
        <v>0</v>
      </c>
      <c r="BJ91" s="1">
        <f>SUM(BJ2:BJ90)</f>
        <v>0</v>
      </c>
      <c r="BK91" s="1">
        <f>SUM(BK2:BK90)</f>
        <v>150</v>
      </c>
      <c r="BL91" s="1">
        <f>SUM(BL2:BL90)</f>
        <v>150</v>
      </c>
      <c r="BM91" s="1">
        <f>SUM(BM2:BM90)</f>
        <v>150</v>
      </c>
      <c r="BN91" s="1">
        <f>SUM(BN2:BN90)</f>
        <v>150</v>
      </c>
      <c r="BO91" s="1">
        <f>SUM(BO2:BO90)</f>
        <v>300</v>
      </c>
      <c r="BP91" s="1">
        <f>SUM(BP2:BP90)</f>
        <v>300</v>
      </c>
      <c r="BQ91" s="1"/>
      <c r="BR91" s="1"/>
      <c r="BS91" s="17"/>
      <c r="BT91" s="17"/>
    </row>
    <row r="92" spans="1:74">
      <c r="A92" s="1"/>
      <c r="B92" s="3" t="s">
        <v>64</v>
      </c>
      <c r="C92" s="1"/>
      <c r="D92" s="1"/>
      <c r="E92" s="1">
        <v>68</v>
      </c>
      <c r="F92" s="1">
        <v>139</v>
      </c>
      <c r="G92" s="1">
        <v>17</v>
      </c>
      <c r="H92" s="1">
        <v>2</v>
      </c>
      <c r="I92" s="1">
        <v>192</v>
      </c>
      <c r="J92" s="1">
        <v>172</v>
      </c>
      <c r="K92" s="1">
        <v>116</v>
      </c>
      <c r="L92" s="1">
        <v>120</v>
      </c>
      <c r="M92" s="1">
        <v>137</v>
      </c>
      <c r="N92" s="1">
        <v>203</v>
      </c>
      <c r="O92" s="1">
        <v>113</v>
      </c>
      <c r="P92" s="14">
        <v>218</v>
      </c>
      <c r="Q92" s="14">
        <v>45</v>
      </c>
      <c r="R92" s="14">
        <v>9</v>
      </c>
      <c r="S92" s="14">
        <v>278</v>
      </c>
      <c r="T92" s="14">
        <v>62</v>
      </c>
      <c r="U92" s="14">
        <v>10</v>
      </c>
      <c r="V92" s="14">
        <v>220</v>
      </c>
      <c r="W92" s="14">
        <v>40</v>
      </c>
      <c r="X92" s="14">
        <v>8</v>
      </c>
      <c r="Y92" s="14">
        <v>214</v>
      </c>
      <c r="Z92" s="14">
        <v>43</v>
      </c>
      <c r="AA92" s="14">
        <v>12</v>
      </c>
      <c r="AB92" s="14">
        <v>255</v>
      </c>
      <c r="AC92" s="14">
        <v>47</v>
      </c>
      <c r="AD92" s="14">
        <v>0</v>
      </c>
      <c r="AE92" s="1">
        <v>44</v>
      </c>
      <c r="AF92" s="1">
        <v>5</v>
      </c>
      <c r="AG92" s="1">
        <v>3</v>
      </c>
      <c r="AH92" s="1">
        <v>0</v>
      </c>
      <c r="AI92" s="1">
        <v>0</v>
      </c>
      <c r="AJ92" s="1">
        <v>0</v>
      </c>
      <c r="AK92" s="1">
        <v>23</v>
      </c>
      <c r="AL92" s="1">
        <v>33</v>
      </c>
      <c r="AM92" s="1">
        <v>0</v>
      </c>
      <c r="AN92" s="1">
        <v>11</v>
      </c>
      <c r="AO92" s="1">
        <v>0</v>
      </c>
      <c r="AP92" s="1">
        <v>8</v>
      </c>
      <c r="AQ92" s="14">
        <v>105</v>
      </c>
      <c r="AR92" s="14">
        <v>32</v>
      </c>
      <c r="AS92" s="14">
        <v>51</v>
      </c>
      <c r="AT92" s="14">
        <v>64</v>
      </c>
      <c r="AU92" s="14">
        <v>70</v>
      </c>
      <c r="AV92" s="14">
        <v>108</v>
      </c>
      <c r="AW92" s="14">
        <v>58</v>
      </c>
      <c r="AX92" s="14">
        <v>50</v>
      </c>
      <c r="AY92" s="14">
        <v>19</v>
      </c>
      <c r="AZ92" s="14">
        <v>9</v>
      </c>
      <c r="BA92" s="14">
        <v>20</v>
      </c>
      <c r="BB92" s="14">
        <v>14</v>
      </c>
      <c r="BC92" s="14">
        <v>15</v>
      </c>
      <c r="BD92" s="1">
        <v>5</v>
      </c>
      <c r="BE92" s="1">
        <v>255</v>
      </c>
      <c r="BF92" s="1">
        <v>396</v>
      </c>
      <c r="BG92" s="1">
        <v>312</v>
      </c>
      <c r="BH92" s="1">
        <v>330</v>
      </c>
      <c r="BI92" s="1">
        <v>162</v>
      </c>
      <c r="BJ92" s="1">
        <v>195</v>
      </c>
      <c r="BK92" s="1">
        <v>131</v>
      </c>
      <c r="BL92" s="1">
        <v>127</v>
      </c>
      <c r="BM92" s="1">
        <v>324</v>
      </c>
      <c r="BN92" s="1">
        <v>141</v>
      </c>
      <c r="BO92" s="1">
        <v>3</v>
      </c>
      <c r="BP92" s="1">
        <v>217</v>
      </c>
      <c r="BQ92" s="1"/>
      <c r="BR92" s="1"/>
      <c r="BS92" s="17"/>
      <c r="BT92" s="17"/>
    </row>
    <row r="93" spans="1:74">
      <c r="A93" s="1"/>
      <c r="B93" s="3" t="s">
        <v>71</v>
      </c>
      <c r="C93" s="1"/>
      <c r="D93" s="1"/>
      <c r="E93" s="1">
        <f>E92-E91</f>
        <v>3</v>
      </c>
      <c r="F93" s="1">
        <f>F92-F91</f>
        <v>139</v>
      </c>
      <c r="G93" s="1">
        <f>G92-G91</f>
        <v>-33</v>
      </c>
      <c r="H93" s="1">
        <f>H92-H91</f>
        <v>-28</v>
      </c>
      <c r="I93" s="1">
        <f>I92-I91</f>
        <v>142</v>
      </c>
      <c r="J93" s="1">
        <f>J92-J91</f>
        <v>112</v>
      </c>
      <c r="K93" s="1">
        <f>K92-K91</f>
        <v>116</v>
      </c>
      <c r="L93" s="1">
        <f>L92-L91</f>
        <v>93</v>
      </c>
      <c r="M93" s="1">
        <f>M92-M91</f>
        <v>97</v>
      </c>
      <c r="N93" s="1">
        <f>N92-N91</f>
        <v>193</v>
      </c>
      <c r="O93" s="1">
        <f>O92-O91</f>
        <v>93</v>
      </c>
      <c r="P93" s="1">
        <f>P92-P91</f>
        <v>158</v>
      </c>
      <c r="Q93" s="1">
        <f>Q92-Q91</f>
        <v>-42</v>
      </c>
      <c r="R93" s="1">
        <f>R92-R91</f>
        <v>-195</v>
      </c>
      <c r="S93" s="1">
        <f>S92-S91</f>
        <v>218</v>
      </c>
      <c r="T93" s="1">
        <f>T92-T91</f>
        <v>-10</v>
      </c>
      <c r="U93" s="1">
        <f>U92-U91</f>
        <v>-162</v>
      </c>
      <c r="V93" s="1">
        <f>V92-V91</f>
        <v>115</v>
      </c>
      <c r="W93" s="1">
        <f>W92-W91</f>
        <v>-10</v>
      </c>
      <c r="X93" s="1">
        <f>X92-X91</f>
        <v>-151</v>
      </c>
      <c r="Y93" s="1">
        <f>Y92-Y91</f>
        <v>119</v>
      </c>
      <c r="Z93" s="1">
        <f>Z92-Z91</f>
        <v>-27</v>
      </c>
      <c r="AA93" s="1">
        <f>AA92-AA91</f>
        <v>-102</v>
      </c>
      <c r="AB93" s="1">
        <f>AB92-AB91</f>
        <v>165</v>
      </c>
      <c r="AC93" s="1">
        <f>AC92-AC91</f>
        <v>-33</v>
      </c>
      <c r="AD93" s="1">
        <f>AD92-AD91</f>
        <v>-128</v>
      </c>
      <c r="AE93" s="1">
        <f>AE92-AE91</f>
        <v>-206</v>
      </c>
      <c r="AF93" s="1">
        <f>AF92-AF91</f>
        <v>0</v>
      </c>
      <c r="AG93" s="1">
        <f>AG92-AG91</f>
        <v>3</v>
      </c>
      <c r="AH93" s="1">
        <f>AH92-AH91</f>
        <v>-30</v>
      </c>
      <c r="AI93" s="1">
        <f>AI92-AI91</f>
        <v>-30</v>
      </c>
      <c r="AJ93" s="1">
        <f>AJ92-AJ91</f>
        <v>-5</v>
      </c>
      <c r="AK93" s="1">
        <f>AK92-AK91</f>
        <v>23</v>
      </c>
      <c r="AL93" s="1">
        <f>AL92-AL91</f>
        <v>33</v>
      </c>
      <c r="AM93" s="1">
        <f>AM92-AM91</f>
        <v>0</v>
      </c>
      <c r="AN93" s="1">
        <f>AN92-AN91</f>
        <v>11</v>
      </c>
      <c r="AO93" s="1">
        <f>AO92-AO91</f>
        <v>0</v>
      </c>
      <c r="AP93" s="1">
        <f>AP92-AP91</f>
        <v>8</v>
      </c>
      <c r="AQ93" s="1">
        <f>AQ92-AQ91</f>
        <v>5</v>
      </c>
      <c r="AR93" s="1">
        <f>AR92-AR91</f>
        <v>-28</v>
      </c>
      <c r="AS93" s="1">
        <f>AS92-AS91</f>
        <v>11</v>
      </c>
      <c r="AT93" s="1">
        <f>AT92-AT91</f>
        <v>4</v>
      </c>
      <c r="AU93" s="1">
        <f>AU92-AU91</f>
        <v>0</v>
      </c>
      <c r="AV93" s="1">
        <f>AV92-AV91</f>
        <v>8</v>
      </c>
      <c r="AW93" s="1">
        <f>AW92-AW91</f>
        <v>-22</v>
      </c>
      <c r="AX93" s="1">
        <f>AX92-AX91</f>
        <v>10</v>
      </c>
      <c r="AY93" s="1">
        <f>AY92-AY91</f>
        <v>19</v>
      </c>
      <c r="AZ93" s="1">
        <f>AZ92-AZ91</f>
        <v>-31</v>
      </c>
      <c r="BA93" s="1">
        <f>BA92-BA91</f>
        <v>-20</v>
      </c>
      <c r="BB93" s="1">
        <f>BB92-BB91</f>
        <v>-26</v>
      </c>
      <c r="BC93" s="1">
        <f>BC92-BC91</f>
        <v>-15</v>
      </c>
      <c r="BD93" s="1">
        <f>BD92-BD91</f>
        <v>-5</v>
      </c>
      <c r="BE93" s="1">
        <f>BE92-BE91</f>
        <v>205</v>
      </c>
      <c r="BF93" s="1">
        <f>BF92-BF91</f>
        <v>396</v>
      </c>
      <c r="BG93" s="1">
        <f>BG92-BG91</f>
        <v>312</v>
      </c>
      <c r="BH93" s="1">
        <f>BH92-BH91</f>
        <v>330</v>
      </c>
      <c r="BI93" s="1">
        <f>BI92-BI91</f>
        <v>162</v>
      </c>
      <c r="BJ93" s="1">
        <f>BJ92-BJ91</f>
        <v>195</v>
      </c>
      <c r="BK93" s="1">
        <f>BK92-BK91</f>
        <v>-19</v>
      </c>
      <c r="BL93" s="1">
        <f>BL92-BL91</f>
        <v>-23</v>
      </c>
      <c r="BM93" s="1">
        <f>BM92-BM91</f>
        <v>174</v>
      </c>
      <c r="BN93" s="1">
        <f>BN92-BN91</f>
        <v>-9</v>
      </c>
      <c r="BO93" s="1">
        <f>BO92-BO91</f>
        <v>-297</v>
      </c>
      <c r="BP93" s="1">
        <f>BP92-BP91</f>
        <v>-83</v>
      </c>
      <c r="BQ93" s="1"/>
      <c r="BR93" s="1"/>
      <c r="BS93" s="17"/>
      <c r="BT93" s="17"/>
    </row>
    <row r="94" spans="1:74">
      <c r="A94" s="1"/>
      <c r="B94" s="3" t="s">
        <v>114</v>
      </c>
      <c r="C94" s="1"/>
      <c r="D94" s="1"/>
      <c r="E94" s="1">
        <f>MAX(E2:E90)</f>
        <v>10</v>
      </c>
      <c r="F94" s="1">
        <f>MAX(F2:F90)</f>
        <v>0</v>
      </c>
      <c r="G94" s="1">
        <f>MAX(G2:G90)</f>
        <v>10</v>
      </c>
      <c r="H94" s="1">
        <f>MAX(H2:H90)</f>
        <v>10</v>
      </c>
      <c r="I94" s="1">
        <f>MAX(I2:I90)</f>
        <v>10</v>
      </c>
      <c r="J94" s="1">
        <f>MAX(J2:J90)</f>
        <v>10</v>
      </c>
      <c r="K94" s="1">
        <f>MAX(K2:K90)</f>
        <v>0</v>
      </c>
      <c r="L94" s="1">
        <f>MAX(L2:L90)</f>
        <v>10</v>
      </c>
      <c r="M94" s="1">
        <f>MAX(M2:M90)</f>
        <v>10</v>
      </c>
      <c r="N94" s="1">
        <f>MAX(N2:N90)</f>
        <v>10</v>
      </c>
      <c r="O94" s="1">
        <f>MAX(O2:O90)</f>
        <v>10</v>
      </c>
      <c r="P94" s="1">
        <f>MAX(P2:P90)</f>
        <v>10</v>
      </c>
      <c r="Q94" s="1">
        <f>MAX(Q2:Q90)</f>
        <v>10</v>
      </c>
      <c r="R94" s="1">
        <f>MAX(R2:R90)</f>
        <v>10</v>
      </c>
      <c r="S94" s="1">
        <f>MAX(S2:S90)</f>
        <v>10</v>
      </c>
      <c r="T94" s="1">
        <f>MAX(T2:T90)</f>
        <v>10</v>
      </c>
      <c r="U94" s="1">
        <f>MAX(U2:U90)</f>
        <v>10</v>
      </c>
      <c r="V94" s="1">
        <f>MAX(V2:V90)</f>
        <v>10</v>
      </c>
      <c r="W94" s="1">
        <f>MAX(W2:W90)</f>
        <v>10</v>
      </c>
      <c r="X94" s="1">
        <f>MAX(X2:X90)</f>
        <v>10</v>
      </c>
      <c r="Y94" s="1">
        <f>MAX(Y2:Y90)</f>
        <v>10</v>
      </c>
      <c r="Z94" s="1">
        <f>MAX(Z2:Z90)</f>
        <v>10</v>
      </c>
      <c r="AA94" s="1">
        <f>MAX(AA2:AA90)</f>
        <v>10</v>
      </c>
      <c r="AB94" s="1">
        <f>MAX(AB2:AB90)</f>
        <v>10</v>
      </c>
      <c r="AC94" s="1">
        <f>MAX(AC2:AC90)</f>
        <v>10</v>
      </c>
      <c r="AD94" s="1">
        <f>MAX(AD2:AD90)</f>
        <v>10</v>
      </c>
      <c r="AE94" s="1">
        <f>MAX(AE2:AE90)</f>
        <v>200</v>
      </c>
      <c r="AF94" s="1">
        <f>MAX(AF2:AF90)</f>
        <v>5</v>
      </c>
      <c r="AG94" s="1">
        <f>MAX(AG2:AG90)</f>
        <v>0</v>
      </c>
      <c r="AH94" s="1">
        <f>MAX(AH2:AH90)</f>
        <v>5</v>
      </c>
      <c r="AI94" s="1">
        <f>MAX(AI2:AI90)</f>
        <v>5</v>
      </c>
      <c r="AJ94" s="1">
        <f>MAX(AJ2:AJ90)</f>
        <v>5</v>
      </c>
      <c r="AK94" s="1">
        <f>MAX(AK2:AK90)</f>
        <v>0</v>
      </c>
      <c r="AL94" s="1">
        <f>MAX(AL2:AL90)</f>
        <v>0</v>
      </c>
      <c r="AM94" s="1">
        <f>MAX(AM2:AM90)</f>
        <v>0</v>
      </c>
      <c r="AN94" s="1">
        <f>MAX(AN2:AN90)</f>
        <v>0</v>
      </c>
      <c r="AO94" s="1">
        <f>MAX(AO2:AO90)</f>
        <v>0</v>
      </c>
      <c r="AP94" s="1">
        <f>MAX(AP2:AP90)</f>
        <v>0</v>
      </c>
      <c r="AQ94" s="1">
        <f>MAX(AQ2:AQ90)</f>
        <v>40</v>
      </c>
      <c r="AR94" s="1">
        <f>MAX(AR2:AR90)</f>
        <v>40</v>
      </c>
      <c r="AS94" s="1">
        <f>MAX(AS2:AS90)</f>
        <v>10</v>
      </c>
      <c r="AT94" s="1">
        <f>MAX(AT2:AT90)</f>
        <v>10</v>
      </c>
      <c r="AU94" s="1">
        <f>MAX(AU2:AU90)</f>
        <v>10</v>
      </c>
      <c r="AV94" s="1">
        <f>MAX(AV2:AV90)</f>
        <v>40</v>
      </c>
      <c r="AW94" s="1">
        <f>MAX(AW2:AW90)</f>
        <v>40</v>
      </c>
      <c r="AX94" s="1">
        <f>MAX(AX2:AX90)</f>
        <v>40</v>
      </c>
      <c r="AY94" s="1">
        <f>MAX(AY2:AY90)</f>
        <v>0</v>
      </c>
      <c r="AZ94" s="1">
        <f>MAX(AZ2:AZ90)</f>
        <v>40</v>
      </c>
      <c r="BA94" s="1">
        <f>MAX(BA2:BA90)</f>
        <v>40</v>
      </c>
      <c r="BB94" s="1">
        <f>MAX(BB2:BB90)</f>
        <v>40</v>
      </c>
      <c r="BC94" s="1">
        <f>MAX(BC2:BC90)</f>
        <v>10</v>
      </c>
      <c r="BD94" s="1">
        <f>MAX(BD2:BD90)</f>
        <v>10</v>
      </c>
      <c r="BE94" s="1">
        <f>MAX(BE2:BE90)</f>
        <v>50</v>
      </c>
      <c r="BF94" s="1">
        <f>MAX(BF2:BF90)</f>
        <v>0</v>
      </c>
      <c r="BG94" s="1">
        <f>MAX(BG2:BG90)</f>
        <v>0</v>
      </c>
      <c r="BH94" s="1">
        <f>MAX(BH2:BH90)</f>
        <v>0</v>
      </c>
      <c r="BI94" s="1">
        <f>MAX(BI2:BI90)</f>
        <v>0</v>
      </c>
      <c r="BJ94" s="1">
        <f>MAX(BJ2:BJ90)</f>
        <v>0</v>
      </c>
      <c r="BK94" s="1">
        <f>MAX(BK2:BK90)</f>
        <v>50</v>
      </c>
      <c r="BL94" s="1">
        <f>MAX(BL2:BL90)</f>
        <v>50</v>
      </c>
      <c r="BM94" s="1">
        <f>MAX(BM2:BM90)</f>
        <v>50</v>
      </c>
      <c r="BN94" s="1">
        <f>MAX(BN2:BN90)</f>
        <v>50</v>
      </c>
      <c r="BO94" s="1">
        <f>MAX(BO2:BO90)</f>
        <v>50</v>
      </c>
      <c r="BP94" s="1">
        <f>MAX(BP2:BP90)</f>
        <v>50</v>
      </c>
      <c r="BQ94" s="1"/>
      <c r="BR94" s="1"/>
      <c r="BS94" s="17"/>
      <c r="BT94" s="17"/>
    </row>
    <row r="95" spans="1:74">
      <c r="A95" s="1"/>
      <c r="B95" s="3" t="s">
        <v>115</v>
      </c>
      <c r="C95" s="1"/>
      <c r="D95" s="1"/>
      <c r="E95" s="1">
        <f>MIN(E2:E90)</f>
        <v>5</v>
      </c>
      <c r="F95" s="1">
        <f>MIN(F2:F90)</f>
        <v>0</v>
      </c>
      <c r="G95" s="1">
        <f>MIN(G2:G90)</f>
        <v>10</v>
      </c>
      <c r="H95" s="1">
        <f>MIN(H2:H90)</f>
        <v>10</v>
      </c>
      <c r="I95" s="1">
        <f>MIN(I2:I90)</f>
        <v>10</v>
      </c>
      <c r="J95" s="1">
        <f>MIN(J2:J90)</f>
        <v>10</v>
      </c>
      <c r="K95" s="1">
        <f>MIN(K2:K90)</f>
        <v>0</v>
      </c>
      <c r="L95" s="1">
        <f>MIN(L2:L90)</f>
        <v>7</v>
      </c>
      <c r="M95" s="1">
        <f>MIN(M2:M90)</f>
        <v>10</v>
      </c>
      <c r="N95" s="1">
        <f>MIN(N2:N90)</f>
        <v>10</v>
      </c>
      <c r="O95" s="1">
        <f>MIN(O2:O90)</f>
        <v>10</v>
      </c>
      <c r="P95" s="1">
        <f>MIN(P2:P90)</f>
        <v>10</v>
      </c>
      <c r="Q95" s="1">
        <f>MIN(Q2:Q90)</f>
        <v>5</v>
      </c>
      <c r="R95" s="1">
        <f>MIN(R2:R90)</f>
        <v>2</v>
      </c>
      <c r="S95" s="1">
        <f>MIN(S2:S90)</f>
        <v>10</v>
      </c>
      <c r="T95" s="1">
        <f>MIN(T2:T90)</f>
        <v>5</v>
      </c>
      <c r="U95" s="1">
        <f>MIN(U2:U90)</f>
        <v>2</v>
      </c>
      <c r="V95" s="1">
        <f>MIN(V2:V90)</f>
        <v>5</v>
      </c>
      <c r="W95" s="1">
        <f>MIN(W2:W90)</f>
        <v>5</v>
      </c>
      <c r="X95" s="1">
        <f>MIN(X2:X90)</f>
        <v>2</v>
      </c>
      <c r="Y95" s="1">
        <f>MIN(Y2:Y90)</f>
        <v>5</v>
      </c>
      <c r="Z95" s="1">
        <f>MIN(Z2:Z90)</f>
        <v>5</v>
      </c>
      <c r="AA95" s="1">
        <f>MIN(AA2:AA90)</f>
        <v>2</v>
      </c>
      <c r="AB95" s="1">
        <f>MIN(AB2:AB90)</f>
        <v>10</v>
      </c>
      <c r="AC95" s="1">
        <f>MIN(AC2:AC90)</f>
        <v>5</v>
      </c>
      <c r="AD95" s="1">
        <f>MIN(AD2:AD90)</f>
        <v>2</v>
      </c>
      <c r="AE95" s="1">
        <f>MIN(AE2:AE90)</f>
        <v>50</v>
      </c>
      <c r="AF95" s="1">
        <f>MIN(AF2:AF90)</f>
        <v>5</v>
      </c>
      <c r="AG95" s="1">
        <f>MIN(AG2:AG90)</f>
        <v>0</v>
      </c>
      <c r="AH95" s="1">
        <f>MIN(AH2:AH90)</f>
        <v>5</v>
      </c>
      <c r="AI95" s="1">
        <f>MIN(AI2:AI90)</f>
        <v>5</v>
      </c>
      <c r="AJ95" s="1">
        <f>MIN(AJ2:AJ90)</f>
        <v>5</v>
      </c>
      <c r="AK95" s="1">
        <f>MIN(AK2:AK90)</f>
        <v>0</v>
      </c>
      <c r="AL95" s="1">
        <f>MIN(AL2:AL90)</f>
        <v>0</v>
      </c>
      <c r="AM95" s="1">
        <f>MIN(AM2:AM90)</f>
        <v>0</v>
      </c>
      <c r="AN95" s="1">
        <f>MIN(AN2:AN90)</f>
        <v>0</v>
      </c>
      <c r="AO95" s="1">
        <f>MIN(AO2:AO90)</f>
        <v>0</v>
      </c>
      <c r="AP95" s="1">
        <f>MIN(AP2:AP90)</f>
        <v>0</v>
      </c>
      <c r="AQ95" s="1">
        <f>MIN(AQ2:AQ90)</f>
        <v>10</v>
      </c>
      <c r="AR95" s="1">
        <f>MIN(AR2:AR90)</f>
        <v>10</v>
      </c>
      <c r="AS95" s="1">
        <f>MIN(AS2:AS90)</f>
        <v>10</v>
      </c>
      <c r="AT95" s="1">
        <f>MIN(AT2:AT90)</f>
        <v>10</v>
      </c>
      <c r="AU95" s="1">
        <f>MIN(AU2:AU90)</f>
        <v>10</v>
      </c>
      <c r="AV95" s="1">
        <f>MIN(AV2:AV90)</f>
        <v>10</v>
      </c>
      <c r="AW95" s="1">
        <f>MIN(AW2:AW90)</f>
        <v>40</v>
      </c>
      <c r="AX95" s="1">
        <f>MIN(AX2:AX90)</f>
        <v>40</v>
      </c>
      <c r="AY95" s="1">
        <f>MIN(AY2:AY90)</f>
        <v>0</v>
      </c>
      <c r="AZ95" s="1">
        <f>MIN(AZ2:AZ90)</f>
        <v>40</v>
      </c>
      <c r="BA95" s="1">
        <f>MIN(BA2:BA90)</f>
        <v>40</v>
      </c>
      <c r="BB95" s="1">
        <f>MIN(BB2:BB90)</f>
        <v>40</v>
      </c>
      <c r="BC95" s="1">
        <f>MIN(BC2:BC90)</f>
        <v>10</v>
      </c>
      <c r="BD95" s="1">
        <f>MIN(BD2:BD90)</f>
        <v>10</v>
      </c>
      <c r="BE95" s="1">
        <f>MIN(BE2:BE90)</f>
        <v>50</v>
      </c>
      <c r="BF95" s="1">
        <f>MIN(BF2:BF90)</f>
        <v>0</v>
      </c>
      <c r="BG95" s="1">
        <f>MIN(BG2:BG90)</f>
        <v>0</v>
      </c>
      <c r="BH95" s="1">
        <f>MIN(BH2:BH90)</f>
        <v>0</v>
      </c>
      <c r="BI95" s="1">
        <f>MIN(BI2:BI90)</f>
        <v>0</v>
      </c>
      <c r="BJ95" s="1">
        <f>MIN(BJ2:BJ90)</f>
        <v>0</v>
      </c>
      <c r="BK95" s="1">
        <f>MIN(BK2:BK90)</f>
        <v>50</v>
      </c>
      <c r="BL95" s="1">
        <f>MIN(BL2:BL90)</f>
        <v>50</v>
      </c>
      <c r="BM95" s="1">
        <f>MIN(BM2:BM90)</f>
        <v>50</v>
      </c>
      <c r="BN95" s="1">
        <f>MIN(BN2:BN90)</f>
        <v>50</v>
      </c>
      <c r="BO95" s="1">
        <f>MIN(BO2:BO90)</f>
        <v>50</v>
      </c>
      <c r="BP95" s="1">
        <f>MIN(BP2:BP90)</f>
        <v>50</v>
      </c>
      <c r="BQ95" s="1"/>
      <c r="BR95" s="1"/>
      <c r="BS95" s="17"/>
      <c r="BT95" s="17"/>
    </row>
    <row r="96" spans="1:74">
      <c r="A96" s="1"/>
      <c r="B96" s="3" t="s">
        <v>116</v>
      </c>
      <c r="C96" s="1"/>
      <c r="D96" s="1"/>
      <c r="E96" s="1">
        <f>E92-E94</f>
        <v>58</v>
      </c>
      <c r="F96" s="1">
        <f>F92-F94</f>
        <v>139</v>
      </c>
      <c r="G96" s="1">
        <f>G92-G94</f>
        <v>7</v>
      </c>
      <c r="H96" s="1">
        <f>H92-H94</f>
        <v>-8</v>
      </c>
      <c r="I96" s="1">
        <f>I92-I94</f>
        <v>182</v>
      </c>
      <c r="J96" s="1">
        <f>J92-J94</f>
        <v>162</v>
      </c>
      <c r="K96" s="1">
        <f>K92-K94</f>
        <v>116</v>
      </c>
      <c r="L96" s="1">
        <f>L92-L94</f>
        <v>110</v>
      </c>
      <c r="M96" s="1">
        <f>M92-M94</f>
        <v>127</v>
      </c>
      <c r="N96" s="1">
        <f>N92-N94</f>
        <v>193</v>
      </c>
      <c r="O96" s="1">
        <f>O92-O94</f>
        <v>103</v>
      </c>
      <c r="P96" s="1">
        <f>P92-P94</f>
        <v>208</v>
      </c>
      <c r="Q96" s="1">
        <f>Q92-Q94</f>
        <v>35</v>
      </c>
      <c r="R96" s="1">
        <f>R92-R94</f>
        <v>-1</v>
      </c>
      <c r="S96" s="1">
        <f>S92-S94</f>
        <v>268</v>
      </c>
      <c r="T96" s="1">
        <f>T92-T94</f>
        <v>52</v>
      </c>
      <c r="U96" s="1">
        <f>U92-U94</f>
        <v>0</v>
      </c>
      <c r="V96" s="1">
        <f>V92-V94</f>
        <v>210</v>
      </c>
      <c r="W96" s="1">
        <f>W92-W94</f>
        <v>30</v>
      </c>
      <c r="X96" s="1">
        <f>X92-X94</f>
        <v>-2</v>
      </c>
      <c r="Y96" s="1">
        <f>Y92-Y94</f>
        <v>204</v>
      </c>
      <c r="Z96" s="1">
        <f>Z92-Z94</f>
        <v>33</v>
      </c>
      <c r="AA96" s="1">
        <f>AA92-AA94</f>
        <v>2</v>
      </c>
      <c r="AB96" s="1">
        <f>AB92-AB94</f>
        <v>245</v>
      </c>
      <c r="AC96" s="1">
        <f>AC92-AC94</f>
        <v>37</v>
      </c>
      <c r="AD96" s="1">
        <f>AD92-AD94</f>
        <v>-10</v>
      </c>
      <c r="AE96" s="1">
        <f>AE92-AE94</f>
        <v>-156</v>
      </c>
      <c r="AF96" s="1">
        <f>AF92-AF94</f>
        <v>0</v>
      </c>
      <c r="AG96" s="1">
        <f>AG92-AG94</f>
        <v>3</v>
      </c>
      <c r="AH96" s="1">
        <f>AH92-AH94</f>
        <v>-5</v>
      </c>
      <c r="AI96" s="1">
        <f>AI92-AI94</f>
        <v>-5</v>
      </c>
      <c r="AJ96" s="1">
        <f>AJ92-AJ94</f>
        <v>-5</v>
      </c>
      <c r="AK96" s="1">
        <f>AK92-AK94</f>
        <v>23</v>
      </c>
      <c r="AL96" s="1">
        <f>AL92-AL94</f>
        <v>33</v>
      </c>
      <c r="AM96" s="1">
        <f>AM92-AM94</f>
        <v>0</v>
      </c>
      <c r="AN96" s="1">
        <f>AN92-AN94</f>
        <v>11</v>
      </c>
      <c r="AO96" s="1">
        <f>AO92-AO94</f>
        <v>0</v>
      </c>
      <c r="AP96" s="1">
        <f>AP92-AP94</f>
        <v>8</v>
      </c>
      <c r="AQ96" s="1">
        <f>AQ92-AQ94</f>
        <v>65</v>
      </c>
      <c r="AR96" s="1">
        <f>AR92-AR94</f>
        <v>-8</v>
      </c>
      <c r="AS96" s="1">
        <f>AS92-AS94</f>
        <v>41</v>
      </c>
      <c r="AT96" s="1">
        <f>AT92-AT94</f>
        <v>54</v>
      </c>
      <c r="AU96" s="1">
        <f>AU92-AU94</f>
        <v>60</v>
      </c>
      <c r="AV96" s="1">
        <f>AV92-AV94</f>
        <v>68</v>
      </c>
      <c r="AW96" s="1">
        <f>AW92-AW94</f>
        <v>18</v>
      </c>
      <c r="AX96" s="1">
        <f>AX92-AX94</f>
        <v>10</v>
      </c>
      <c r="AY96" s="1">
        <f>AY92-AY94</f>
        <v>19</v>
      </c>
      <c r="AZ96" s="1">
        <f>AZ92-AZ94</f>
        <v>-31</v>
      </c>
      <c r="BA96" s="1">
        <f>BA92-BA94</f>
        <v>-20</v>
      </c>
      <c r="BB96" s="1">
        <f>BB92-BB94</f>
        <v>-26</v>
      </c>
      <c r="BC96" s="1">
        <f>BC92-BC94</f>
        <v>5</v>
      </c>
      <c r="BD96" s="1">
        <f>BD92-BD94</f>
        <v>-5</v>
      </c>
      <c r="BE96" s="1">
        <f>BE92-BE94</f>
        <v>205</v>
      </c>
      <c r="BF96" s="1">
        <f>BF92-BF94</f>
        <v>396</v>
      </c>
      <c r="BG96" s="1">
        <f>BG92-BG94</f>
        <v>312</v>
      </c>
      <c r="BH96" s="1">
        <f>BH92-BH94</f>
        <v>330</v>
      </c>
      <c r="BI96" s="1">
        <f>BI92-BI94</f>
        <v>162</v>
      </c>
      <c r="BJ96" s="1">
        <f>BJ92-BJ94</f>
        <v>195</v>
      </c>
      <c r="BK96" s="1">
        <f>BK92-BK94</f>
        <v>81</v>
      </c>
      <c r="BL96" s="1">
        <f>BL92-BL94</f>
        <v>77</v>
      </c>
      <c r="BM96" s="1">
        <f>BM92-BM94</f>
        <v>274</v>
      </c>
      <c r="BN96" s="1">
        <f>BN92-BN94</f>
        <v>91</v>
      </c>
      <c r="BO96" s="1">
        <f>BO92-BO94</f>
        <v>-47</v>
      </c>
      <c r="BP96" s="1">
        <f>BP92-BP94</f>
        <v>167</v>
      </c>
      <c r="BQ96" s="1"/>
      <c r="BR96" s="1"/>
      <c r="BS96" s="17"/>
      <c r="BT96" s="17"/>
    </row>
    <row r="97" spans="1:72" s="13" customFormat="1">
      <c r="A97" s="1"/>
      <c r="B97" s="3" t="s">
        <v>117</v>
      </c>
      <c r="C97" s="1"/>
      <c r="D97" s="1"/>
      <c r="E97" s="1">
        <f>E92-E95</f>
        <v>63</v>
      </c>
      <c r="F97" s="1">
        <f>F92-F95</f>
        <v>139</v>
      </c>
      <c r="G97" s="1">
        <f>G92-G95</f>
        <v>7</v>
      </c>
      <c r="H97" s="1">
        <f>H92-H95</f>
        <v>-8</v>
      </c>
      <c r="I97" s="1">
        <f>I92-I95</f>
        <v>182</v>
      </c>
      <c r="J97" s="1">
        <f>J92-J95</f>
        <v>162</v>
      </c>
      <c r="K97" s="1">
        <f>K92-K95</f>
        <v>116</v>
      </c>
      <c r="L97" s="1">
        <f>L92-L95</f>
        <v>113</v>
      </c>
      <c r="M97" s="1">
        <f>M92-M95</f>
        <v>127</v>
      </c>
      <c r="N97" s="1">
        <f>N92-N95</f>
        <v>193</v>
      </c>
      <c r="O97" s="1">
        <f>O92-O95</f>
        <v>103</v>
      </c>
      <c r="P97" s="1">
        <f>P92-P95</f>
        <v>208</v>
      </c>
      <c r="Q97" s="1">
        <f>Q92-Q95</f>
        <v>40</v>
      </c>
      <c r="R97" s="1">
        <f>R92-R95</f>
        <v>7</v>
      </c>
      <c r="S97" s="1">
        <f>S92-S95</f>
        <v>268</v>
      </c>
      <c r="T97" s="1">
        <f>T92-T95</f>
        <v>57</v>
      </c>
      <c r="U97" s="1">
        <f>U92-U95</f>
        <v>8</v>
      </c>
      <c r="V97" s="1">
        <f>V92-V95</f>
        <v>215</v>
      </c>
      <c r="W97" s="1">
        <f>W92-W95</f>
        <v>35</v>
      </c>
      <c r="X97" s="1">
        <f>X92-X95</f>
        <v>6</v>
      </c>
      <c r="Y97" s="1">
        <f>Y92-Y95</f>
        <v>209</v>
      </c>
      <c r="Z97" s="1">
        <f>Z92-Z95</f>
        <v>38</v>
      </c>
      <c r="AA97" s="1">
        <f>AA92-AA95</f>
        <v>10</v>
      </c>
      <c r="AB97" s="1">
        <f>AB92-AB95</f>
        <v>245</v>
      </c>
      <c r="AC97" s="1">
        <f>AC92-AC95</f>
        <v>42</v>
      </c>
      <c r="AD97" s="1">
        <f>AD92-AD95</f>
        <v>-2</v>
      </c>
      <c r="AE97" s="1">
        <f>AE92-AE95</f>
        <v>-6</v>
      </c>
      <c r="AF97" s="1">
        <f>AF92-AF95</f>
        <v>0</v>
      </c>
      <c r="AG97" s="1">
        <f>AG92-AG95</f>
        <v>3</v>
      </c>
      <c r="AH97" s="1">
        <f>AH92-AH95</f>
        <v>-5</v>
      </c>
      <c r="AI97" s="1">
        <f>AI92-AI95</f>
        <v>-5</v>
      </c>
      <c r="AJ97" s="1">
        <f>AJ92-AJ95</f>
        <v>-5</v>
      </c>
      <c r="AK97" s="1">
        <f>AK92-AK95</f>
        <v>23</v>
      </c>
      <c r="AL97" s="1">
        <f>AL92-AL95</f>
        <v>33</v>
      </c>
      <c r="AM97" s="1">
        <f>AM92-AM95</f>
        <v>0</v>
      </c>
      <c r="AN97" s="1">
        <f>AN92-AN95</f>
        <v>11</v>
      </c>
      <c r="AO97" s="1">
        <f>AO92-AO95</f>
        <v>0</v>
      </c>
      <c r="AP97" s="1">
        <f>AP92-AP95</f>
        <v>8</v>
      </c>
      <c r="AQ97" s="1">
        <f>AQ92-AQ95</f>
        <v>95</v>
      </c>
      <c r="AR97" s="1">
        <f>AR92-AR95</f>
        <v>22</v>
      </c>
      <c r="AS97" s="1">
        <f>AS92-AS95</f>
        <v>41</v>
      </c>
      <c r="AT97" s="1">
        <f>AT92-AT95</f>
        <v>54</v>
      </c>
      <c r="AU97" s="1">
        <f>AU92-AU95</f>
        <v>60</v>
      </c>
      <c r="AV97" s="1">
        <f>AV92-AV95</f>
        <v>98</v>
      </c>
      <c r="AW97" s="1">
        <f>AW92-AW95</f>
        <v>18</v>
      </c>
      <c r="AX97" s="1">
        <f>AX92-AX95</f>
        <v>10</v>
      </c>
      <c r="AY97" s="1">
        <f>AY92-AY95</f>
        <v>19</v>
      </c>
      <c r="AZ97" s="1">
        <f>AZ92-AZ95</f>
        <v>-31</v>
      </c>
      <c r="BA97" s="1">
        <f>BA92-BA95</f>
        <v>-20</v>
      </c>
      <c r="BB97" s="1">
        <f>BB92-BB95</f>
        <v>-26</v>
      </c>
      <c r="BC97" s="1">
        <f>BC92-BC95</f>
        <v>5</v>
      </c>
      <c r="BD97" s="1">
        <f>BD92-BD95</f>
        <v>-5</v>
      </c>
      <c r="BE97" s="1">
        <f>BE92-BE95</f>
        <v>205</v>
      </c>
      <c r="BF97" s="1">
        <f>BF92-BF95</f>
        <v>396</v>
      </c>
      <c r="BG97" s="1">
        <f>BG92-BG95</f>
        <v>312</v>
      </c>
      <c r="BH97" s="1">
        <f>BH92-BH95</f>
        <v>330</v>
      </c>
      <c r="BI97" s="1">
        <f>BI92-BI95</f>
        <v>162</v>
      </c>
      <c r="BJ97" s="1">
        <f>BJ92-BJ95</f>
        <v>195</v>
      </c>
      <c r="BK97" s="1">
        <f>BK92-BK95</f>
        <v>81</v>
      </c>
      <c r="BL97" s="1">
        <f>BL92-BL95</f>
        <v>77</v>
      </c>
      <c r="BM97" s="1">
        <f>BM92-BM95</f>
        <v>274</v>
      </c>
      <c r="BN97" s="1">
        <f>BN92-BN95</f>
        <v>91</v>
      </c>
      <c r="BO97" s="1">
        <f>BO92-BO95</f>
        <v>-47</v>
      </c>
      <c r="BP97" s="1">
        <f>BP92-BP95</f>
        <v>167</v>
      </c>
      <c r="BQ97" s="1"/>
      <c r="BR97" s="1"/>
      <c r="BS97" s="17"/>
      <c r="BT97" s="17"/>
    </row>
    <row r="98" spans="1:72">
      <c r="AQ98" s="7" t="s">
        <v>132</v>
      </c>
      <c r="AR98" s="7" t="s">
        <v>135</v>
      </c>
      <c r="AS98" s="7" t="s">
        <v>136</v>
      </c>
      <c r="AT98" s="7" t="s">
        <v>133</v>
      </c>
      <c r="AU98" s="7" t="s">
        <v>134</v>
      </c>
      <c r="AV98" s="7" t="s">
        <v>131</v>
      </c>
      <c r="AW98" s="7" t="s">
        <v>137</v>
      </c>
      <c r="AX98" s="7" t="s">
        <v>138</v>
      </c>
      <c r="AY98" s="7" t="s">
        <v>139</v>
      </c>
      <c r="AZ98" s="7" t="s">
        <v>140</v>
      </c>
      <c r="BA98" s="7" t="s">
        <v>141</v>
      </c>
      <c r="BB98" s="7" t="s">
        <v>142</v>
      </c>
    </row>
  </sheetData>
  <autoFilter ref="A1:BV98">
    <sortState ref="A2:BV98">
      <sortCondition ref="BS2:BS98"/>
      <sortCondition ref="BR2:BR98"/>
    </sortState>
  </autoFilter>
  <sortState ref="A2:CT148">
    <sortCondition ref="BS2:BS148"/>
    <sortCondition ref="BR2:BR148"/>
  </sortState>
  <phoneticPr fontId="1" type="noConversion"/>
  <conditionalFormatting sqref="E94:BC94 BE94:BP94">
    <cfRule type="expression" dxfId="13" priority="13">
      <formula>"&lt;=$E$135"</formula>
    </cfRule>
  </conditionalFormatting>
  <conditionalFormatting sqref="E96:BC97 BE96:BP97">
    <cfRule type="cellIs" dxfId="12" priority="4" operator="lessThan">
      <formula>0</formula>
    </cfRule>
  </conditionalFormatting>
  <conditionalFormatting sqref="E93:BC93 BE93:BP93">
    <cfRule type="cellIs" dxfId="11" priority="5" operator="lessThan">
      <formula>0</formula>
    </cfRule>
  </conditionalFormatting>
  <conditionalFormatting sqref="BD94">
    <cfRule type="expression" dxfId="10" priority="3">
      <formula>"&lt;=$E$135"</formula>
    </cfRule>
  </conditionalFormatting>
  <conditionalFormatting sqref="BD96:BD97">
    <cfRule type="cellIs" dxfId="9" priority="1" operator="lessThan">
      <formula>0</formula>
    </cfRule>
  </conditionalFormatting>
  <conditionalFormatting sqref="BD93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97</xdr:row>
                    <xdr:rowOff>28575</xdr:rowOff>
                  </from>
                  <to>
                    <xdr:col>1</xdr:col>
                    <xdr:colOff>428625</xdr:colOff>
                    <xdr:row>98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58</v>
      </c>
      <c r="B1" s="45" t="s">
        <v>59</v>
      </c>
      <c r="C1" s="45" t="s">
        <v>61</v>
      </c>
      <c r="D1" s="45" t="s">
        <v>60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57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89</v>
      </c>
      <c r="Q1" s="47" t="s">
        <v>101</v>
      </c>
      <c r="R1" s="47" t="s">
        <v>95</v>
      </c>
      <c r="S1" s="47" t="s">
        <v>90</v>
      </c>
      <c r="T1" s="47" t="s">
        <v>99</v>
      </c>
      <c r="U1" s="47" t="s">
        <v>103</v>
      </c>
      <c r="V1" s="47" t="s">
        <v>91</v>
      </c>
      <c r="W1" s="47" t="s">
        <v>98</v>
      </c>
      <c r="X1" s="47" t="s">
        <v>96</v>
      </c>
      <c r="Y1" s="47" t="s">
        <v>92</v>
      </c>
      <c r="Z1" s="47" t="s">
        <v>100</v>
      </c>
      <c r="AA1" s="47" t="s">
        <v>104</v>
      </c>
      <c r="AB1" s="47" t="s">
        <v>94</v>
      </c>
      <c r="AC1" s="47" t="s">
        <v>93</v>
      </c>
      <c r="AD1" s="47" t="s">
        <v>111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51</v>
      </c>
      <c r="AK1" s="45" t="s">
        <v>52</v>
      </c>
      <c r="AL1" s="45" t="s">
        <v>54</v>
      </c>
      <c r="AM1" s="45" t="s">
        <v>41</v>
      </c>
      <c r="AN1" s="45" t="s">
        <v>42</v>
      </c>
      <c r="AO1" s="45" t="s">
        <v>78</v>
      </c>
      <c r="AP1" s="45" t="s">
        <v>79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76</v>
      </c>
      <c r="BD1" s="45" t="s">
        <v>169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65</v>
      </c>
      <c r="BR1" s="45" t="s">
        <v>66</v>
      </c>
      <c r="BS1" s="52" t="s">
        <v>67</v>
      </c>
      <c r="BT1" s="52"/>
      <c r="BU1" s="53" t="s">
        <v>152</v>
      </c>
      <c r="BV1" s="53"/>
    </row>
    <row r="2" spans="1:74" s="60" customFormat="1">
      <c r="A2" s="58"/>
      <c r="B2" s="59" t="s">
        <v>146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209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146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199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146</v>
      </c>
      <c r="C4" s="59" t="s">
        <v>21</v>
      </c>
      <c r="D4" s="58" t="s">
        <v>145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200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184</v>
      </c>
      <c r="C5" s="59" t="s">
        <v>148</v>
      </c>
      <c r="D5" s="58" t="s">
        <v>145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210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64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71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114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115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116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117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132</v>
      </c>
      <c r="AR13" s="56" t="s">
        <v>135</v>
      </c>
      <c r="AS13" s="56" t="s">
        <v>136</v>
      </c>
      <c r="AT13" s="56" t="s">
        <v>133</v>
      </c>
      <c r="AU13" s="56" t="s">
        <v>134</v>
      </c>
      <c r="AV13" s="56" t="s">
        <v>131</v>
      </c>
      <c r="AW13" s="56" t="s">
        <v>137</v>
      </c>
      <c r="AX13" s="56" t="s">
        <v>138</v>
      </c>
      <c r="AY13" s="56" t="s">
        <v>139</v>
      </c>
      <c r="AZ13" s="56" t="s">
        <v>140</v>
      </c>
      <c r="BA13" s="56" t="s">
        <v>141</v>
      </c>
      <c r="BB13" s="56" t="s">
        <v>142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62</v>
      </c>
      <c r="B1" s="5" t="s">
        <v>59</v>
      </c>
      <c r="C1" s="5" t="s">
        <v>63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118</v>
      </c>
      <c r="D27" t="s">
        <v>119</v>
      </c>
      <c r="E27" t="s">
        <v>120</v>
      </c>
      <c r="F27" t="s">
        <v>121</v>
      </c>
      <c r="G27" t="s">
        <v>122</v>
      </c>
      <c r="H27" t="s">
        <v>123</v>
      </c>
      <c r="I27" t="s">
        <v>124</v>
      </c>
      <c r="J27" t="s">
        <v>125</v>
      </c>
      <c r="K27" t="s">
        <v>126</v>
      </c>
      <c r="L27" t="s">
        <v>127</v>
      </c>
      <c r="M27" t="s">
        <v>128</v>
      </c>
      <c r="N27" t="s">
        <v>129</v>
      </c>
    </row>
    <row r="31" spans="3:18">
      <c r="C31">
        <v>-3</v>
      </c>
      <c r="D31" t="s">
        <v>118</v>
      </c>
    </row>
    <row r="32" spans="3:18">
      <c r="C32">
        <v>-8</v>
      </c>
      <c r="D32" t="s">
        <v>119</v>
      </c>
    </row>
    <row r="33" spans="3:4">
      <c r="C33">
        <v>-3</v>
      </c>
      <c r="D33" t="s">
        <v>120</v>
      </c>
    </row>
    <row r="34" spans="3:4">
      <c r="C34">
        <v>1</v>
      </c>
      <c r="D34" t="s">
        <v>121</v>
      </c>
    </row>
    <row r="35" spans="3:4">
      <c r="C35">
        <v>3</v>
      </c>
      <c r="D35" t="s">
        <v>122</v>
      </c>
    </row>
    <row r="36" spans="3:4">
      <c r="C36">
        <v>0</v>
      </c>
      <c r="D36" t="s">
        <v>123</v>
      </c>
    </row>
    <row r="37" spans="3:4">
      <c r="C37">
        <v>-3</v>
      </c>
      <c r="D37" t="s">
        <v>124</v>
      </c>
    </row>
    <row r="38" spans="3:4">
      <c r="C38">
        <v>30</v>
      </c>
      <c r="D38" t="s">
        <v>125</v>
      </c>
    </row>
    <row r="39" spans="3:4">
      <c r="C39">
        <v>5</v>
      </c>
      <c r="D39" t="s">
        <v>126</v>
      </c>
    </row>
    <row r="40" spans="3:4">
      <c r="C40">
        <v>-10</v>
      </c>
      <c r="D40" t="s">
        <v>127</v>
      </c>
    </row>
    <row r="41" spans="3:4">
      <c r="C41">
        <v>3</v>
      </c>
      <c r="D41" t="s">
        <v>128</v>
      </c>
    </row>
    <row r="42" spans="3:4">
      <c r="C42">
        <v>138</v>
      </c>
      <c r="D42" t="s">
        <v>129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68</v>
      </c>
      <c r="B1" s="8" t="s">
        <v>69</v>
      </c>
      <c r="C1" s="8" t="s">
        <v>70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59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64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71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114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115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116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117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2020-08-31T05:40:35Z</dcterms:modified>
</cp:coreProperties>
</file>