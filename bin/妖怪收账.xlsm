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Sheet1!$A$1:$BU$157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133" i="1"/>
  <c r="BU133" i="1"/>
  <c r="BT39" i="1"/>
  <c r="BU39" i="1"/>
  <c r="BT40" i="1"/>
  <c r="BU40" i="1"/>
  <c r="BT41" i="1"/>
  <c r="BU41" i="1"/>
  <c r="BT42" i="1"/>
  <c r="BU42" i="1"/>
  <c r="BT59" i="1"/>
  <c r="BU59" i="1"/>
  <c r="BT43" i="1"/>
  <c r="BU43" i="1"/>
  <c r="BT67" i="1"/>
  <c r="BU67" i="1"/>
  <c r="BT44" i="1"/>
  <c r="BU44" i="1"/>
  <c r="BT45" i="1"/>
  <c r="BU45" i="1"/>
  <c r="BT46" i="1"/>
  <c r="BU46" i="1"/>
  <c r="BT47" i="1"/>
  <c r="BU47" i="1"/>
  <c r="BT9" i="1"/>
  <c r="BU9" i="1"/>
  <c r="BT10" i="1"/>
  <c r="BU10" i="1"/>
  <c r="BT11" i="1"/>
  <c r="BU11" i="1"/>
  <c r="BT12" i="1"/>
  <c r="BU12" i="1"/>
  <c r="BT13" i="1"/>
  <c r="BU13" i="1"/>
  <c r="BT14" i="1"/>
  <c r="BU14" i="1"/>
  <c r="BT15" i="1"/>
  <c r="BU15" i="1"/>
  <c r="BT16" i="1"/>
  <c r="BU16" i="1"/>
  <c r="BT60" i="1"/>
  <c r="BU60" i="1"/>
  <c r="BT61" i="1"/>
  <c r="BU61" i="1"/>
  <c r="BT62" i="1"/>
  <c r="BU62" i="1"/>
  <c r="BT68" i="1"/>
  <c r="BU68" i="1"/>
  <c r="BT17" i="1"/>
  <c r="BU17" i="1"/>
  <c r="BT69" i="1"/>
  <c r="BU69" i="1"/>
  <c r="BT18" i="1"/>
  <c r="BU18" i="1"/>
  <c r="BT70" i="1"/>
  <c r="BU70" i="1"/>
  <c r="BT71" i="1"/>
  <c r="BU71" i="1"/>
  <c r="BT63" i="1"/>
  <c r="BU63" i="1"/>
  <c r="BT19" i="1"/>
  <c r="BU19" i="1"/>
  <c r="BT20" i="1"/>
  <c r="BU20" i="1"/>
  <c r="BT21" i="1"/>
  <c r="BU21" i="1"/>
  <c r="BT22" i="1"/>
  <c r="BU22" i="1"/>
  <c r="BT23" i="1"/>
  <c r="BU23" i="1"/>
  <c r="BT24" i="1"/>
  <c r="BU24" i="1"/>
  <c r="BT25" i="1"/>
  <c r="BU25" i="1"/>
  <c r="BT26" i="1"/>
  <c r="BU26" i="1"/>
  <c r="BT48" i="1"/>
  <c r="BU48" i="1"/>
  <c r="BT49" i="1"/>
  <c r="BU49" i="1"/>
  <c r="BT50" i="1"/>
  <c r="BU50" i="1"/>
  <c r="BT51" i="1"/>
  <c r="BU51" i="1"/>
  <c r="BT104" i="1"/>
  <c r="BU104" i="1"/>
  <c r="BT105" i="1"/>
  <c r="BU105" i="1"/>
  <c r="BT106" i="1"/>
  <c r="BU106" i="1"/>
  <c r="BT107" i="1"/>
  <c r="BU107" i="1"/>
  <c r="BT52" i="1"/>
  <c r="BU52" i="1"/>
  <c r="BT27" i="1"/>
  <c r="BU27" i="1"/>
  <c r="BT28" i="1"/>
  <c r="BU28" i="1"/>
  <c r="BT29" i="1"/>
  <c r="BU29" i="1"/>
  <c r="BT30" i="1"/>
  <c r="BU30" i="1"/>
  <c r="BT31" i="1"/>
  <c r="BU31" i="1"/>
  <c r="BT53" i="1"/>
  <c r="BU53" i="1"/>
  <c r="BT32" i="1"/>
  <c r="BU32" i="1"/>
  <c r="BT33" i="1"/>
  <c r="BU33" i="1"/>
  <c r="BT34" i="1"/>
  <c r="BU34" i="1"/>
  <c r="BT108" i="1"/>
  <c r="BU108" i="1"/>
  <c r="BT35" i="1"/>
  <c r="BU35" i="1"/>
  <c r="BT94" i="1"/>
  <c r="BU94" i="1"/>
  <c r="BT54" i="1"/>
  <c r="BU54" i="1"/>
  <c r="BT36" i="1"/>
  <c r="BU36" i="1"/>
  <c r="BT55" i="1"/>
  <c r="BU55" i="1"/>
  <c r="BT64" i="1"/>
  <c r="BU64" i="1"/>
  <c r="BT56" i="1"/>
  <c r="BU56" i="1"/>
  <c r="BT72" i="1"/>
  <c r="BU72" i="1"/>
  <c r="BT57" i="1"/>
  <c r="BU57" i="1"/>
  <c r="BT73" i="1"/>
  <c r="BU73" i="1"/>
  <c r="BT37" i="1"/>
  <c r="BU37" i="1"/>
  <c r="BT38" i="1"/>
  <c r="BU38" i="1"/>
  <c r="BT74" i="1"/>
  <c r="BU74" i="1"/>
  <c r="BT58" i="1"/>
  <c r="BU58" i="1"/>
  <c r="BT95" i="1"/>
  <c r="BU95" i="1"/>
  <c r="BT109" i="1"/>
  <c r="BU109" i="1"/>
  <c r="BT77" i="1"/>
  <c r="BU77" i="1"/>
  <c r="BT99" i="1"/>
  <c r="BU99" i="1"/>
  <c r="BT75" i="1"/>
  <c r="BU75" i="1"/>
  <c r="BT65" i="1"/>
  <c r="BU65" i="1"/>
  <c r="BT76" i="1"/>
  <c r="BU76" i="1"/>
  <c r="BT85" i="1"/>
  <c r="BU85" i="1"/>
  <c r="BT100" i="1"/>
  <c r="BU100" i="1"/>
  <c r="BT101" i="1"/>
  <c r="BU101" i="1"/>
  <c r="BT87" i="1"/>
  <c r="BU87" i="1"/>
  <c r="BT78" i="1"/>
  <c r="BU78" i="1"/>
  <c r="BT79" i="1"/>
  <c r="BU79" i="1"/>
  <c r="BT80" i="1"/>
  <c r="BU80" i="1"/>
  <c r="BT81" i="1"/>
  <c r="BU81" i="1"/>
  <c r="BT82" i="1"/>
  <c r="BU82" i="1"/>
  <c r="BT96" i="1"/>
  <c r="BU96" i="1"/>
  <c r="BT83" i="1"/>
  <c r="BU83" i="1"/>
  <c r="BT84" i="1"/>
  <c r="BU84" i="1"/>
  <c r="BT136" i="1"/>
  <c r="BU136" i="1"/>
  <c r="BT137" i="1"/>
  <c r="BU137" i="1"/>
  <c r="BT138" i="1"/>
  <c r="BU138" i="1"/>
  <c r="BT139" i="1"/>
  <c r="BU139" i="1"/>
  <c r="BT140" i="1"/>
  <c r="BU140" i="1"/>
  <c r="BT119" i="1"/>
  <c r="BU119" i="1"/>
  <c r="BT86" i="1"/>
  <c r="BU86" i="1"/>
  <c r="BT120" i="1"/>
  <c r="BU120" i="1"/>
  <c r="BT112" i="1"/>
  <c r="BU112" i="1"/>
  <c r="BT89" i="1"/>
  <c r="BU89" i="1"/>
  <c r="BT66" i="1"/>
  <c r="BU66" i="1"/>
  <c r="BT118" i="1"/>
  <c r="BU118" i="1"/>
  <c r="BT88" i="1"/>
  <c r="BU88" i="1"/>
  <c r="BT91" i="1"/>
  <c r="BU91" i="1"/>
  <c r="BT90" i="1"/>
  <c r="BU90" i="1"/>
  <c r="BT92" i="1"/>
  <c r="BU92" i="1"/>
  <c r="BT93" i="1"/>
  <c r="BU93" i="1"/>
  <c r="BT97" i="1"/>
  <c r="BU97" i="1"/>
  <c r="BT98" i="1"/>
  <c r="BU98" i="1"/>
  <c r="BT102" i="1"/>
  <c r="BU102" i="1"/>
  <c r="BT103" i="1"/>
  <c r="BU103" i="1"/>
  <c r="BT110" i="1"/>
  <c r="BU110" i="1"/>
  <c r="BT111" i="1"/>
  <c r="BU111" i="1"/>
  <c r="BT114" i="1"/>
  <c r="BU114" i="1"/>
  <c r="BT115" i="1"/>
  <c r="BU115" i="1"/>
  <c r="BT116" i="1"/>
  <c r="BU116" i="1"/>
  <c r="BT117" i="1"/>
  <c r="BU117" i="1"/>
  <c r="BT121" i="1"/>
  <c r="BU121" i="1"/>
  <c r="BT122" i="1"/>
  <c r="BU122" i="1"/>
  <c r="BT123" i="1"/>
  <c r="BU123" i="1"/>
  <c r="BT124" i="1"/>
  <c r="BU124" i="1"/>
  <c r="BT113" i="1"/>
  <c r="BU113" i="1"/>
  <c r="BT141" i="1"/>
  <c r="BU141" i="1"/>
  <c r="BT125" i="1"/>
  <c r="BU125" i="1"/>
  <c r="BT126" i="1"/>
  <c r="BU126" i="1"/>
  <c r="BT127" i="1"/>
  <c r="BU127" i="1"/>
  <c r="BT128" i="1"/>
  <c r="BU128" i="1"/>
  <c r="BT129" i="1"/>
  <c r="BU129" i="1"/>
  <c r="BT130" i="1"/>
  <c r="BU130" i="1"/>
  <c r="BT131" i="1"/>
  <c r="BU131" i="1"/>
  <c r="BT132" i="1"/>
  <c r="BU132" i="1"/>
  <c r="BT134" i="1"/>
  <c r="BU134" i="1"/>
  <c r="BT135" i="1"/>
  <c r="BU135" i="1"/>
  <c r="BT142" i="1"/>
  <c r="BU142" i="1"/>
  <c r="BT143" i="1"/>
  <c r="BU143" i="1"/>
  <c r="BT144" i="1"/>
  <c r="BU144" i="1"/>
  <c r="BT145" i="1"/>
  <c r="BU145" i="1"/>
  <c r="BT149" i="1"/>
  <c r="BU149" i="1"/>
  <c r="BT146" i="1"/>
  <c r="BU146" i="1"/>
  <c r="BT147" i="1"/>
  <c r="BU147" i="1"/>
  <c r="BT148" i="1"/>
  <c r="BU148" i="1"/>
  <c r="BP74" i="1"/>
  <c r="BP120" i="1"/>
  <c r="BP58" i="1"/>
  <c r="BP95" i="1"/>
  <c r="BP109" i="1"/>
  <c r="BP29" i="1" l="1"/>
  <c r="BP30" i="1"/>
  <c r="BP31" i="1"/>
  <c r="BP53" i="1"/>
  <c r="BP32" i="1"/>
  <c r="BP117" i="1"/>
  <c r="BP33" i="1"/>
  <c r="BP34" i="1"/>
  <c r="BP108" i="1"/>
  <c r="BP35" i="1"/>
  <c r="BP94" i="1"/>
  <c r="BP123" i="1"/>
  <c r="BP54" i="1"/>
  <c r="BP36" i="1"/>
  <c r="BP89" i="1"/>
  <c r="BP55" i="1"/>
  <c r="BP64" i="1"/>
  <c r="BP144" i="1"/>
  <c r="BP56" i="1"/>
  <c r="BP72" i="1"/>
  <c r="BP140" i="1"/>
  <c r="BP57" i="1"/>
  <c r="BP73" i="1"/>
  <c r="BP119" i="1"/>
  <c r="BP37" i="1"/>
  <c r="BP38" i="1"/>
  <c r="BP124" i="1"/>
  <c r="BP66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3" i="1" l="1"/>
  <c r="BP52" i="1"/>
  <c r="BP112" i="1"/>
  <c r="BP139" i="1"/>
  <c r="BP105" i="1"/>
  <c r="BP106" i="1"/>
  <c r="BP107" i="1"/>
  <c r="BP104" i="1"/>
  <c r="BP113" i="1"/>
  <c r="BP125" i="1"/>
  <c r="BP122" i="1"/>
  <c r="BP48" i="1"/>
  <c r="BP49" i="1"/>
  <c r="BP50" i="1"/>
  <c r="BP51" i="1"/>
  <c r="BP114" i="1"/>
  <c r="BP115" i="1"/>
  <c r="BP102" i="1"/>
  <c r="BP116" i="1"/>
  <c r="BP75" i="1"/>
  <c r="BP25" i="1"/>
  <c r="BP69" i="1"/>
  <c r="BP18" i="1"/>
  <c r="BP70" i="1"/>
  <c r="BP71" i="1"/>
  <c r="BP63" i="1"/>
  <c r="BP21" i="1"/>
  <c r="BP43" i="1"/>
  <c r="BP67" i="1"/>
  <c r="BP44" i="1"/>
  <c r="BP45" i="1"/>
  <c r="BP27" i="1"/>
  <c r="BP46" i="1"/>
  <c r="BP22" i="1"/>
  <c r="BP47" i="1"/>
  <c r="BP13" i="1"/>
  <c r="BP133" i="1"/>
  <c r="BP14" i="1"/>
  <c r="BP15" i="1"/>
  <c r="BP16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E154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E153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C150" i="1"/>
  <c r="AX150" i="1"/>
  <c r="AY150" i="1"/>
  <c r="AZ150" i="1"/>
  <c r="BA150" i="1"/>
  <c r="BB150" i="1"/>
  <c r="AW150" i="1"/>
  <c r="AR150" i="1"/>
  <c r="AS150" i="1"/>
  <c r="AT150" i="1"/>
  <c r="AU150" i="1"/>
  <c r="AV150" i="1"/>
  <c r="AQ150" i="1"/>
  <c r="AF150" i="1"/>
  <c r="AG150" i="1"/>
  <c r="AH150" i="1"/>
  <c r="AI150" i="1"/>
  <c r="AJ150" i="1"/>
  <c r="AK150" i="1"/>
  <c r="AL150" i="1"/>
  <c r="AM150" i="1"/>
  <c r="AN150" i="1"/>
  <c r="AO150" i="1"/>
  <c r="AP150" i="1"/>
  <c r="AE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P150" i="1"/>
  <c r="F150" i="1"/>
  <c r="G150" i="1"/>
  <c r="H150" i="1"/>
  <c r="I150" i="1"/>
  <c r="J150" i="1"/>
  <c r="K150" i="1"/>
  <c r="L150" i="1"/>
  <c r="M150" i="1"/>
  <c r="N150" i="1"/>
  <c r="O150" i="1"/>
  <c r="E150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7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98" i="1"/>
  <c r="BP5" i="1"/>
  <c r="BP76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A155" i="1"/>
  <c r="BB155" i="1"/>
  <c r="BA156" i="1"/>
  <c r="BB156" i="1"/>
  <c r="AQ155" i="1"/>
  <c r="AR155" i="1"/>
  <c r="AS155" i="1"/>
  <c r="AT155" i="1"/>
  <c r="AU155" i="1"/>
  <c r="AV155" i="1"/>
  <c r="AW155" i="1"/>
  <c r="AX155" i="1"/>
  <c r="AY155" i="1"/>
  <c r="AZ155" i="1"/>
  <c r="AQ156" i="1"/>
  <c r="AR156" i="1"/>
  <c r="AS156" i="1"/>
  <c r="AT156" i="1"/>
  <c r="AU156" i="1"/>
  <c r="AV156" i="1"/>
  <c r="AW156" i="1"/>
  <c r="AX156" i="1"/>
  <c r="AY156" i="1"/>
  <c r="AZ156" i="1"/>
  <c r="AI155" i="1"/>
  <c r="AJ155" i="1"/>
  <c r="AK155" i="1"/>
  <c r="AL155" i="1"/>
  <c r="AM155" i="1"/>
  <c r="AN155" i="1"/>
  <c r="AO155" i="1"/>
  <c r="AP155" i="1"/>
  <c r="AI156" i="1"/>
  <c r="AJ156" i="1"/>
  <c r="AK156" i="1"/>
  <c r="AL156" i="1"/>
  <c r="AM156" i="1"/>
  <c r="AN156" i="1"/>
  <c r="AO156" i="1"/>
  <c r="AP156" i="1"/>
  <c r="AC155" i="1"/>
  <c r="AD155" i="1"/>
  <c r="AE155" i="1"/>
  <c r="AF155" i="1"/>
  <c r="AG155" i="1"/>
  <c r="AH155" i="1"/>
  <c r="AC156" i="1"/>
  <c r="AD156" i="1"/>
  <c r="AE156" i="1"/>
  <c r="AF156" i="1"/>
  <c r="AG156" i="1"/>
  <c r="AH156" i="1"/>
  <c r="W155" i="1"/>
  <c r="X155" i="1"/>
  <c r="Y155" i="1"/>
  <c r="Z155" i="1"/>
  <c r="AA155" i="1"/>
  <c r="AB155" i="1"/>
  <c r="W156" i="1"/>
  <c r="X156" i="1"/>
  <c r="Y156" i="1"/>
  <c r="Z156" i="1"/>
  <c r="AA156" i="1"/>
  <c r="AB156" i="1"/>
  <c r="P155" i="1"/>
  <c r="Q155" i="1"/>
  <c r="R155" i="1"/>
  <c r="S155" i="1"/>
  <c r="T155" i="1"/>
  <c r="U155" i="1"/>
  <c r="V155" i="1"/>
  <c r="P156" i="1"/>
  <c r="Q156" i="1"/>
  <c r="R156" i="1"/>
  <c r="S156" i="1"/>
  <c r="T156" i="1"/>
  <c r="U156" i="1"/>
  <c r="V156" i="1"/>
  <c r="G155" i="1"/>
  <c r="H155" i="1"/>
  <c r="I155" i="1"/>
  <c r="J155" i="1"/>
  <c r="K155" i="1"/>
  <c r="L155" i="1"/>
  <c r="M155" i="1"/>
  <c r="N155" i="1"/>
  <c r="O155" i="1"/>
  <c r="G156" i="1"/>
  <c r="H156" i="1"/>
  <c r="I156" i="1"/>
  <c r="J156" i="1"/>
  <c r="K156" i="1"/>
  <c r="L156" i="1"/>
  <c r="M156" i="1"/>
  <c r="N156" i="1"/>
  <c r="O156" i="1"/>
  <c r="F155" i="1"/>
  <c r="F156" i="1"/>
  <c r="E156" i="1"/>
  <c r="E155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78" i="1"/>
  <c r="BP65" i="1"/>
  <c r="BP79" i="1"/>
  <c r="BP80" i="1"/>
  <c r="BP77" i="1"/>
  <c r="BP81" i="1"/>
  <c r="BP82" i="1"/>
  <c r="BP8" i="1"/>
  <c r="BP91" i="1"/>
  <c r="BP92" i="1"/>
  <c r="BP93" i="1"/>
  <c r="BP97" i="1"/>
  <c r="BP83" i="1"/>
  <c r="BP6" i="1"/>
  <c r="BP103" i="1"/>
  <c r="BP60" i="1"/>
  <c r="BP61" i="1"/>
  <c r="BP62" i="1"/>
  <c r="BP68" i="1"/>
  <c r="BP84" i="1"/>
  <c r="BP110" i="1"/>
  <c r="BP111" i="1"/>
  <c r="BP88" i="1"/>
  <c r="BP100" i="1"/>
  <c r="BP101" i="1"/>
  <c r="BP26" i="1"/>
  <c r="BP99" i="1"/>
  <c r="BP59" i="1"/>
  <c r="BP87" i="1"/>
  <c r="BP17" i="1"/>
  <c r="BP85" i="1"/>
  <c r="BP96" i="1"/>
  <c r="BP134" i="1"/>
  <c r="BP135" i="1"/>
  <c r="BP4" i="1"/>
  <c r="BP136" i="1"/>
  <c r="BP137" i="1"/>
  <c r="BP138" i="1"/>
  <c r="BP118" i="1"/>
  <c r="BP126" i="1"/>
  <c r="BP149" i="1"/>
  <c r="BP128" i="1"/>
  <c r="BP28" i="1"/>
  <c r="BP86" i="1"/>
  <c r="BP39" i="1"/>
  <c r="BP40" i="1"/>
  <c r="BP41" i="1"/>
  <c r="BP42" i="1"/>
  <c r="BP19" i="1"/>
  <c r="BP20" i="1"/>
  <c r="BP23" i="1"/>
  <c r="BP24" i="1"/>
  <c r="BP142" i="1"/>
  <c r="BP121" i="1"/>
  <c r="BP141" i="1"/>
  <c r="BP9" i="1"/>
  <c r="BP10" i="1"/>
  <c r="BP11" i="1"/>
  <c r="BP12" i="1"/>
  <c r="BP90" i="1"/>
  <c r="BP127" i="1"/>
  <c r="BP129" i="1"/>
  <c r="BP130" i="1"/>
  <c r="BP131" i="1"/>
  <c r="BP132" i="1"/>
  <c r="BP146" i="1"/>
  <c r="BP147" i="1"/>
  <c r="BP148" i="1"/>
  <c r="BP145" i="1" l="1"/>
  <c r="BM152" i="1" l="1"/>
  <c r="AM152" i="1"/>
  <c r="L152" i="1"/>
  <c r="BK152" i="1"/>
  <c r="AJ152" i="1"/>
  <c r="BH152" i="1"/>
  <c r="AH152" i="1"/>
  <c r="AL152" i="1"/>
  <c r="BD152" i="1"/>
  <c r="BL152" i="1"/>
  <c r="J152" i="1"/>
  <c r="H152" i="1"/>
  <c r="G152" i="1"/>
  <c r="BG152" i="1"/>
  <c r="AE152" i="1"/>
  <c r="F152" i="1"/>
  <c r="BJ152" i="1"/>
  <c r="AI152" i="1"/>
  <c r="I152" i="1"/>
  <c r="AG152" i="1"/>
  <c r="BE152" i="1"/>
  <c r="AF152" i="1"/>
  <c r="BF152" i="1"/>
  <c r="O152" i="1"/>
  <c r="BO152" i="1"/>
  <c r="N152" i="1"/>
  <c r="K152" i="1"/>
  <c r="AK152" i="1"/>
  <c r="BI152" i="1"/>
  <c r="E152" i="1"/>
  <c r="BN152" i="1"/>
  <c r="AN152" i="1"/>
  <c r="M152" i="1"/>
  <c r="AP152" i="1"/>
  <c r="BC152" i="1"/>
  <c r="AO152" i="1"/>
  <c r="V152" i="1"/>
  <c r="Y152" i="1"/>
  <c r="W152" i="1"/>
  <c r="S152" i="1"/>
  <c r="X152" i="1"/>
  <c r="R152" i="1"/>
  <c r="Z152" i="1"/>
  <c r="U152" i="1"/>
  <c r="T152" i="1"/>
  <c r="AC152" i="1"/>
  <c r="Q152" i="1"/>
  <c r="AB152" i="1"/>
  <c r="P152" i="1"/>
  <c r="AA152" i="1"/>
  <c r="AD152" i="1"/>
  <c r="AR152" i="1" l="1"/>
  <c r="AU152" i="1"/>
  <c r="BB152" i="1"/>
  <c r="AS152" i="1"/>
  <c r="AW152" i="1"/>
  <c r="AT152" i="1"/>
  <c r="AY152" i="1"/>
  <c r="AZ152" i="1"/>
  <c r="AV152" i="1"/>
  <c r="AQ152" i="1"/>
  <c r="AX152" i="1"/>
  <c r="BA152" i="1"/>
</calcChain>
</file>

<file path=xl/sharedStrings.xml><?xml version="1.0" encoding="utf-8"?>
<sst xmlns="http://schemas.openxmlformats.org/spreadsheetml/2006/main" count="868" uniqueCount="320">
  <si>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</si>
  <si>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</si>
  <si>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</si>
  <si>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</si>
  <si>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</si>
  <si>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</si>
  <si>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</si>
  <si>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</si>
  <si>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</si>
  <si>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</si>
  <si>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</si>
  <si>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</si>
  <si>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</si>
  <si>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</si>
  <si>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</si>
  <si>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</si>
  <si>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</si>
  <si>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</si>
  <si>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</si>
  <si>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</si>
  <si>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</si>
  <si>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</si>
  <si>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</si>
  <si>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</si>
  <si>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</si>
  <si>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</si>
  <si>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</si>
  <si>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</si>
  <si>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</si>
  <si>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</si>
  <si>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</si>
  <si>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</si>
  <si>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</si>
  <si>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</si>
  <si>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</si>
  <si>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</si>
  <si>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</si>
  <si>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</si>
  <si>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</si>
  <si>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</si>
  <si>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</si>
  <si>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</si>
  <si>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</si>
  <si>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</si>
  <si>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</si>
  <si>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</si>
  <si>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</si>
  <si>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</si>
  <si>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</si>
  <si>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</si>
  <si>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</si>
  <si>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</si>
  <si>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</si>
  <si>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</si>
  <si>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</si>
  <si>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</si>
  <si>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</si>
  <si>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</si>
  <si>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</si>
  <si>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</si>
  <si>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</si>
  <si>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</si>
  <si>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</si>
  <si>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</si>
  <si>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</si>
  <si>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</si>
  <si>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</si>
  <si>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</si>
  <si>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</si>
  <si>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</si>
  <si>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</si>
  <si>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</si>
  <si>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</si>
  <si>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</si>
  <si>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</si>
  <si>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</si>
  <si>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</si>
  <si>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</si>
  <si>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</si>
  <si>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</si>
  <si>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</si>
  <si>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</si>
  <si>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</si>
  <si>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</si>
  <si>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</si>
  <si>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</si>
  <si>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</si>
  <si>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</si>
  <si>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</si>
  <si>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</si>
  <si>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</si>
  <si>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</si>
  <si>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</si>
  <si>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</si>
  <si>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</si>
  <si>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</si>
  <si>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</si>
  <si>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</si>
  <si>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</si>
  <si>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</si>
  <si>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</si>
  <si>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</si>
  <si>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</si>
  <si>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</si>
  <si>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</si>
  <si>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</si>
  <si>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</si>
  <si>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</si>
  <si>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</si>
  <si>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</si>
  <si>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</si>
  <si>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</si>
  <si>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</si>
  <si>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</si>
  <si>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</si>
  <si>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</si>
  <si>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</si>
  <si>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</si>
  <si>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</si>
  <si>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</si>
  <si>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</si>
  <si>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</si>
  <si>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</si>
  <si>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</si>
  <si>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</si>
  <si>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</si>
  <si>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</si>
  <si>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</si>
  <si>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</si>
  <si>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</si>
  <si>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</si>
  <si>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</si>
  <si>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</si>
  <si>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</si>
  <si>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</si>
  <si>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</si>
  <si>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</si>
  <si>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</si>
  <si>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</si>
  <si>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</si>
  <si>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</si>
  <si>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</si>
  <si>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</si>
  <si>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</si>
  <si>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</si>
  <si>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</si>
  <si>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</si>
  <si>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</si>
  <si>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</si>
  <si>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</si>
  <si>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</si>
  <si>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</si>
  <si>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</si>
  <si>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</si>
  <si>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</si>
  <si>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</si>
  <si>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</si>
  <si>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</si>
  <si>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</si>
  <si>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</si>
  <si>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</si>
  <si>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</si>
  <si>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</si>
  <si>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</si>
  <si>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</si>
  <si>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</si>
  <si>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</si>
  <si>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</si>
  <si>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</si>
  <si>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</si>
  <si>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</si>
  <si>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</si>
  <si>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</si>
  <si>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</si>
  <si>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</si>
  <si>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</si>
  <si>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</si>
  <si>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</si>
  <si>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</si>
  <si>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</si>
  <si>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</si>
  <si>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</si>
  <si>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</si>
  <si>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</si>
  <si>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</si>
  <si>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</si>
  <si>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</si>
  <si>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</si>
  <si>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</si>
  <si>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</si>
  <si>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</si>
  <si>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</si>
  <si>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</si>
  <si>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</si>
  <si>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</si>
  <si>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</si>
  <si>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</si>
  <si>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</si>
  <si>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</si>
  <si>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</si>
  <si>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</si>
  <si>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</si>
  <si>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</si>
  <si>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</si>
  <si>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</si>
  <si>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</si>
  <si>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</si>
  <si>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</si>
  <si>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</si>
  <si>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</si>
  <si>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</si>
  <si>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</si>
  <si>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</si>
  <si>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</si>
  <si>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</si>
  <si>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</si>
  <si>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</si>
  <si>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</si>
  <si>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</si>
  <si>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</si>
  <si>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</si>
  <si>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</si>
  <si>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</si>
  <si>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</si>
  <si>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</si>
  <si>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</si>
  <si>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</si>
  <si>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</si>
  <si>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</si>
  <si>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</si>
  <si>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无双小狮妹</t>
    <phoneticPr fontId="1" type="noConversion"/>
  </si>
  <si>
    <t>幻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</si>
  <si>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</si>
  <si>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</si>
  <si>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</si>
  <si>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</si>
  <si>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</si>
  <si>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</si>
  <si>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</si>
  <si>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</si>
  <si>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</si>
  <si>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</si>
  <si>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</si>
  <si>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</si>
  <si>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</si>
  <si>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</si>
  <si>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</si>
  <si>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</si>
  <si>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</si>
  <si>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</si>
  <si>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</si>
  <si>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五杠队长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</si>
  <si>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</si>
  <si>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</si>
  <si>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</si>
  <si>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筹码大(1),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</si>
  <si>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</si>
  <si>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</si>
  <si>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骰子中(1),</t>
    <phoneticPr fontId="1" type="noConversion"/>
  </si>
  <si>
    <t>欠条大(1),</t>
    <phoneticPr fontId="1" type="noConversion"/>
  </si>
  <si>
    <t>骰子大(2),</t>
    <phoneticPr fontId="1" type="noConversion"/>
  </si>
  <si>
    <t>糯米(2),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</si>
  <si>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</si>
  <si>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</si>
  <si>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超进阶素材光(45),_x000D_
超进阶素材暗(45),</t>
    <phoneticPr fontId="1" type="noConversion"/>
  </si>
  <si>
    <t>神农鼎(9),_x000D_
欠条大(9),_x000D_
骰子大(10),</t>
    <phoneticPr fontId="1" type="noConversion"/>
  </si>
  <si>
    <t>超进阶素材火(13),_x000D_
超进阶素材光(45),_x000D_
超进阶素材暗(45),</t>
    <phoneticPr fontId="1" type="noConversion"/>
  </si>
  <si>
    <t>骰子中(1),</t>
    <phoneticPr fontId="1" type="noConversion"/>
  </si>
  <si>
    <t>筹码大(1),</t>
    <phoneticPr fontId="1" type="noConversion"/>
  </si>
  <si>
    <t>钱袋大(1),</t>
    <phoneticPr fontId="1" type="noConversion"/>
  </si>
  <si>
    <t>欠条大(1),</t>
    <phoneticPr fontId="1" type="noConversion"/>
  </si>
  <si>
    <t>仙丹(1),</t>
    <phoneticPr fontId="1" type="noConversion"/>
  </si>
  <si>
    <t>魅力符文叉大(1),</t>
    <phoneticPr fontId="1" type="noConversion"/>
  </si>
  <si>
    <t>骰子大(2),</t>
    <phoneticPr fontId="1" type="noConversion"/>
  </si>
  <si>
    <t>糯米(3),</t>
    <phoneticPr fontId="1" type="noConversion"/>
  </si>
  <si>
    <t>彗星(5),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</si>
  <si>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</si>
  <si>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</si>
  <si>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</si>
  <si>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神农鼎(5),</t>
    <phoneticPr fontId="1" type="noConversion"/>
  </si>
  <si>
    <t>欠条大(6),</t>
    <phoneticPr fontId="1" type="noConversion"/>
  </si>
  <si>
    <t>神农鼎(6),</t>
    <phoneticPr fontId="1" type="noConversion"/>
  </si>
  <si>
    <t>骰子大(7),</t>
    <phoneticPr fontId="1" type="noConversion"/>
  </si>
  <si>
    <t>东皇钟(1),_x000D_
女娲石(6),</t>
    <phoneticPr fontId="1" type="noConversion"/>
  </si>
  <si>
    <t>东皇钟(1),_x000D_
女娲石(6),</t>
    <phoneticPr fontId="1" type="noConversion"/>
  </si>
  <si>
    <t>神农鼎(9),</t>
    <phoneticPr fontId="1" type="noConversion"/>
  </si>
  <si>
    <t>骰子大(10),</t>
    <phoneticPr fontId="1" type="noConversion"/>
  </si>
  <si>
    <t>神农鼎(14),</t>
    <phoneticPr fontId="1" type="noConversion"/>
  </si>
  <si>
    <t>彗星(15),</t>
    <phoneticPr fontId="1" type="noConversion"/>
  </si>
  <si>
    <t>金甲虫(40),</t>
    <phoneticPr fontId="1" type="noConversion"/>
  </si>
  <si>
    <t>金甲虫(190),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</si>
  <si>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</si>
  <si>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</si>
  <si>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</si>
  <si>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女娲石(1),_x000D_
神农鼎(4),</t>
    <phoneticPr fontId="1" type="noConversion"/>
  </si>
  <si>
    <t>幸运符文叉大(3),_x000D_
技巧符文叉大(3),</t>
    <phoneticPr fontId="1" type="noConversion"/>
  </si>
  <si>
    <t>钱袋大(9),_x000D_
筹码大(1),</t>
    <phoneticPr fontId="1" type="noConversion"/>
  </si>
  <si>
    <t>钱袋大(9),_x000D_
筹码大(1),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</si>
  <si>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</si>
  <si>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</si>
  <si>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骰子大(10),_x000D_
筹码大(1),</t>
    <phoneticPr fontId="1" type="noConversion"/>
  </si>
  <si>
    <t>东皇钟(6),_x000D_
女娲石(11),</t>
    <phoneticPr fontId="1" type="noConversion"/>
  </si>
  <si>
    <t>糯米(5),_x000D_
粽叶(10),</t>
    <phoneticPr fontId="1" type="noConversion"/>
  </si>
  <si>
    <t>东皇钟(1),_x000D_
欠条大(9),_x000D_
钱袋大(9),</t>
    <phoneticPr fontId="1" type="noConversion"/>
  </si>
  <si>
    <t>东皇钟(1),_x000D_
欠条大(9),_x000D_
钱袋大(9),</t>
    <phoneticPr fontId="1" type="noConversion"/>
  </si>
  <si>
    <t>欠条大(9),_x000D_
钱袋大(9),</t>
    <phoneticPr fontId="1" type="noConversion"/>
  </si>
  <si>
    <t>女娲石(6),_x000D_
骰子大(10),</t>
    <phoneticPr fontId="1" type="noConversion"/>
  </si>
  <si>
    <t>女娲石(6),_x000D_
骰子大(10),</t>
    <phoneticPr fontId="1" type="noConversion"/>
  </si>
  <si>
    <t>欠条大(9),_x000D_
骰子大(10),</t>
    <phoneticPr fontId="1" type="noConversion"/>
  </si>
  <si>
    <t>女娲石(11),_x000D_
神农鼎(14),</t>
    <phoneticPr fontId="1" type="noConversion"/>
  </si>
  <si>
    <t>女娲石(6),_x000D_
彗星(25),</t>
    <phoneticPr fontId="1" type="noConversion"/>
  </si>
  <si>
    <t>力量符文叉大(19),_x000D_
技巧符文叉大(23),</t>
    <phoneticPr fontId="1" type="noConversion"/>
  </si>
  <si>
    <t>超进阶素材光(45),_x000D_
超进阶素材暗(45),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</si>
  <si>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</si>
  <si>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</si>
  <si>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</si>
  <si>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神农鼎(9),_x000D_
欠条大(9),_x000D_
钱袋大(9),</t>
    <phoneticPr fontId="1" type="noConversion"/>
  </si>
  <si>
    <t>神农鼎(9),_x000D_
欠条大(9),_x000D_
骰子大(10),</t>
    <phoneticPr fontId="1" type="noConversion"/>
  </si>
  <si>
    <t>秘窟冰晶卵(22),_x000D_
力量符文叉大(19),_x000D_
速度符文叉大(12),</t>
    <phoneticPr fontId="1" type="noConversion"/>
  </si>
  <si>
    <t>女娲石(16),_x000D_
神农鼎(19),_x000D_
幸运符文叉大(3),_x000D_
技巧符文叉大(3),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</si>
</sst>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  <xf numFmtId="0" fontId="12" fillId="0" borderId="0" xfId="0" applyFon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156</xdr:row>
          <xdr:rowOff>28575</xdr:rowOff>
        </xdr:from>
        <xdr:to>
          <xdr:col>1</xdr:col>
          <xdr:colOff>428625</xdr:colOff>
          <xdr:row>157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7"/>
  <sheetViews>
    <sheetView tabSelected="1" workbookViewId="0">
      <pane xSplit="2" ySplit="1" topLeftCell="BJ8" activePane="bottomRight" state="frozen"/>
      <selection pane="topRight" activeCell="C1" sqref="C1"/>
      <selection pane="bottomLeft" activeCell="A3" sqref="A3"/>
      <selection pane="bottomRight" activeCell="BS126" sqref="BS126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102</v>
      </c>
      <c r="Q1" s="27" t="s">
        <v>114</v>
      </c>
      <c r="R1" s="27" t="s">
        <v>108</v>
      </c>
      <c r="S1" s="27" t="s">
        <v>103</v>
      </c>
      <c r="T1" s="27" t="s">
        <v>112</v>
      </c>
      <c r="U1" s="27" t="s">
        <v>118</v>
      </c>
      <c r="V1" s="27" t="s">
        <v>104</v>
      </c>
      <c r="W1" s="27" t="s">
        <v>111</v>
      </c>
      <c r="X1" s="27" t="s">
        <v>109</v>
      </c>
      <c r="Y1" s="27" t="s">
        <v>105</v>
      </c>
      <c r="Z1" s="27" t="s">
        <v>113</v>
      </c>
      <c r="AA1" s="27" t="s">
        <v>119</v>
      </c>
      <c r="AB1" s="27" t="s">
        <v>107</v>
      </c>
      <c r="AC1" s="27" t="s">
        <v>106</v>
      </c>
      <c r="AD1" s="27" t="s">
        <v>129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90</v>
      </c>
      <c r="AP1" s="8" t="s">
        <v>91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87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228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84</v>
      </c>
      <c r="C3" s="1" t="s">
        <v>85</v>
      </c>
      <c r="D3" s="1" t="s">
        <v>83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>
      <c r="A4" s="1">
        <v>45</v>
      </c>
      <c r="B4" s="1" t="s">
        <v>80</v>
      </c>
      <c r="C4" s="1" t="s">
        <v>36</v>
      </c>
      <c r="D4" s="1" t="s">
        <v>9</v>
      </c>
      <c r="E4" s="6">
        <v>6</v>
      </c>
      <c r="F4" s="6"/>
      <c r="G4" s="6"/>
      <c r="H4" s="6"/>
      <c r="I4" s="6"/>
      <c r="J4" s="6"/>
      <c r="K4" s="6"/>
      <c r="L4" s="6"/>
      <c r="M4" s="6">
        <v>6</v>
      </c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>
        <v>10</v>
      </c>
      <c r="AR4" s="4"/>
      <c r="AS4" s="4"/>
      <c r="AT4" s="4"/>
      <c r="AU4" s="4"/>
      <c r="AV4" s="4"/>
      <c r="AW4" s="2"/>
      <c r="AX4" s="2"/>
      <c r="AY4" s="2"/>
      <c r="AZ4" s="2">
        <v>10</v>
      </c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32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/>
      <c r="B5" s="1" t="s">
        <v>170</v>
      </c>
      <c r="C5" s="1" t="s">
        <v>1</v>
      </c>
      <c r="D5" s="1" t="s">
        <v>169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>
        <v>10</v>
      </c>
      <c r="AS5" s="4"/>
      <c r="AT5" s="4"/>
      <c r="AU5" s="4"/>
      <c r="AV5" s="4"/>
      <c r="AW5" s="2"/>
      <c r="AX5" s="2"/>
      <c r="AY5" s="2"/>
      <c r="AZ5" s="2">
        <v>10</v>
      </c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20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>
      <c r="A6" s="1"/>
      <c r="B6" s="1" t="s">
        <v>164</v>
      </c>
      <c r="C6" s="1" t="s">
        <v>96</v>
      </c>
      <c r="D6" s="1" t="s">
        <v>83</v>
      </c>
      <c r="E6" s="6"/>
      <c r="F6" s="6">
        <v>6</v>
      </c>
      <c r="G6" s="6"/>
      <c r="H6" s="6"/>
      <c r="I6" s="6"/>
      <c r="J6" s="6"/>
      <c r="K6" s="6"/>
      <c r="L6" s="6"/>
      <c r="M6" s="6"/>
      <c r="N6" s="6"/>
      <c r="O6" s="6">
        <v>6</v>
      </c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>
        <v>10</v>
      </c>
      <c r="AU6" s="4"/>
      <c r="AV6" s="4"/>
      <c r="AW6" s="2"/>
      <c r="AX6" s="2"/>
      <c r="AY6" s="2">
        <v>10</v>
      </c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/>
      <c r="B7" s="1" t="s">
        <v>171</v>
      </c>
      <c r="C7" s="1" t="s">
        <v>172</v>
      </c>
      <c r="D7" s="1" t="s">
        <v>173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>
        <v>15</v>
      </c>
      <c r="AV7" s="4"/>
      <c r="AW7" s="2"/>
      <c r="AX7" s="2"/>
      <c r="AY7" s="2">
        <v>15</v>
      </c>
      <c r="AZ7" s="2"/>
      <c r="BA7" s="2">
        <v>10</v>
      </c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 s="48" customFormat="1">
      <c r="A8" s="1"/>
      <c r="B8" s="1" t="s">
        <v>146</v>
      </c>
      <c r="C8" s="1" t="s">
        <v>96</v>
      </c>
      <c r="D8" s="1" t="s">
        <v>82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>
        <v>10</v>
      </c>
      <c r="BB8" s="2">
        <v>10</v>
      </c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20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 hidden="1">
      <c r="A9" s="1"/>
      <c r="B9" s="1" t="s">
        <v>116</v>
      </c>
      <c r="C9" s="1" t="s">
        <v>117</v>
      </c>
      <c r="D9" s="1" t="s">
        <v>99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40</v>
      </c>
      <c r="BU9" s="23">
        <f>AF9+AH9+AI9+AJ9+AO9+AP9</f>
        <v>0</v>
      </c>
    </row>
    <row r="10" spans="1:73" hidden="1">
      <c r="A10" s="1"/>
      <c r="B10" s="1" t="s">
        <v>121</v>
      </c>
      <c r="C10" s="1" t="s">
        <v>120</v>
      </c>
      <c r="D10" s="1" t="s">
        <v>99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hidden="1">
      <c r="A11" s="1"/>
      <c r="B11" s="1" t="s">
        <v>123</v>
      </c>
      <c r="C11" s="1" t="s">
        <v>124</v>
      </c>
      <c r="D11" s="1" t="s">
        <v>99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hidden="1">
      <c r="A12" s="1"/>
      <c r="B12" s="1" t="s">
        <v>128</v>
      </c>
      <c r="C12" s="1" t="s">
        <v>126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40</v>
      </c>
      <c r="BQ12" s="1">
        <v>0</v>
      </c>
      <c r="BR12" s="17">
        <v>0</v>
      </c>
      <c r="BS12" s="17"/>
      <c r="BT12">
        <f>SUM(P12:AD12)</f>
        <v>40</v>
      </c>
      <c r="BU12" s="23">
        <f>AF12+AH12+AI12+AJ12+AO12+AP12</f>
        <v>0</v>
      </c>
    </row>
    <row r="13" spans="1:73" s="23" customFormat="1" hidden="1">
      <c r="A13" s="1"/>
      <c r="B13" s="1" t="s">
        <v>130</v>
      </c>
      <c r="C13" s="1" t="s">
        <v>126</v>
      </c>
      <c r="D13" s="1" t="s">
        <v>99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40</v>
      </c>
      <c r="BQ13" s="1">
        <v>0</v>
      </c>
      <c r="BR13" s="17">
        <v>0</v>
      </c>
      <c r="BS13" s="17"/>
      <c r="BT13">
        <f>SUM(P13:AD13)</f>
        <v>40</v>
      </c>
      <c r="BU13" s="23">
        <f>AF13+AH13+AI13+AJ13+AO13+AP13</f>
        <v>0</v>
      </c>
    </row>
    <row r="14" spans="1:73" hidden="1">
      <c r="A14" s="1"/>
      <c r="B14" s="3" t="s">
        <v>196</v>
      </c>
      <c r="C14" s="3" t="s">
        <v>50</v>
      </c>
      <c r="D14" s="1" t="s">
        <v>194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40</v>
      </c>
      <c r="BQ14" s="1">
        <v>0</v>
      </c>
      <c r="BR14" s="17">
        <v>0</v>
      </c>
      <c r="BS14" s="17"/>
      <c r="BT14">
        <f>SUM(P14:AD14)</f>
        <v>40</v>
      </c>
      <c r="BU14" s="23">
        <f>AF14+AH14+AI14+AJ14+AO14+AP14</f>
        <v>0</v>
      </c>
    </row>
    <row r="15" spans="1:73" hidden="1">
      <c r="A15" s="1"/>
      <c r="B15" s="3" t="s">
        <v>202</v>
      </c>
      <c r="C15" s="3" t="s">
        <v>200</v>
      </c>
      <c r="D15" s="1" t="s">
        <v>194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40</v>
      </c>
      <c r="BQ15" s="1">
        <v>0</v>
      </c>
      <c r="BR15" s="17">
        <v>0</v>
      </c>
      <c r="BS15" s="17"/>
      <c r="BT15">
        <f>SUM(P15:AD15)</f>
        <v>40</v>
      </c>
      <c r="BU15" s="23">
        <f>AF15+AH15+AI15+AJ15+AO15+AP15</f>
        <v>0</v>
      </c>
    </row>
    <row r="16" spans="1:73" hidden="1">
      <c r="A16" s="1"/>
      <c r="B16" s="3" t="s">
        <v>204</v>
      </c>
      <c r="C16" s="3" t="s">
        <v>97</v>
      </c>
      <c r="D16" s="1" t="s">
        <v>194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40</v>
      </c>
      <c r="BQ16" s="1">
        <v>0</v>
      </c>
      <c r="BR16" s="17">
        <v>0</v>
      </c>
      <c r="BS16" s="17"/>
      <c r="BT16">
        <f>SUM(P16:AD16)</f>
        <v>40</v>
      </c>
      <c r="BU16" s="23">
        <f>AF16+AH16+AI16+AJ16+AO16+AP16</f>
        <v>0</v>
      </c>
    </row>
    <row r="17" spans="1:73" s="47" customFormat="1" hidden="1">
      <c r="A17" s="1"/>
      <c r="B17" s="1" t="s">
        <v>127</v>
      </c>
      <c r="C17" s="1" t="s">
        <v>126</v>
      </c>
      <c r="D17" s="1" t="s">
        <v>100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>
        <v>5</v>
      </c>
      <c r="R17" s="28"/>
      <c r="S17" s="28"/>
      <c r="T17" s="28">
        <v>5</v>
      </c>
      <c r="U17" s="28"/>
      <c r="V17" s="28"/>
      <c r="W17" s="28"/>
      <c r="X17" s="28"/>
      <c r="Y17" s="28"/>
      <c r="Z17" s="28">
        <v>5</v>
      </c>
      <c r="AA17" s="28">
        <v>2</v>
      </c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17</v>
      </c>
      <c r="BQ17" s="1">
        <v>0</v>
      </c>
      <c r="BR17" s="17">
        <v>0</v>
      </c>
      <c r="BS17" s="17"/>
      <c r="BT17">
        <f>SUM(P17:AD17)</f>
        <v>17</v>
      </c>
      <c r="BU17" s="23">
        <f>AF17+AH17+AI17+AJ17+AO17+AP17</f>
        <v>0</v>
      </c>
    </row>
    <row r="18" spans="1:73" hidden="1">
      <c r="A18" s="1"/>
      <c r="B18" s="3" t="s">
        <v>199</v>
      </c>
      <c r="C18" s="3" t="s">
        <v>200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>
        <v>5</v>
      </c>
      <c r="U18" s="28"/>
      <c r="V18" s="28"/>
      <c r="W18" s="28"/>
      <c r="X18" s="28"/>
      <c r="Y18" s="28"/>
      <c r="Z18" s="28">
        <v>5</v>
      </c>
      <c r="AA18" s="28">
        <v>2</v>
      </c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17</v>
      </c>
      <c r="BQ18" s="1">
        <v>0</v>
      </c>
      <c r="BR18" s="17">
        <v>0</v>
      </c>
      <c r="BS18" s="17"/>
      <c r="BT18">
        <f>SUM(P18:AD18)</f>
        <v>17</v>
      </c>
      <c r="BU18" s="23">
        <f>AF18+AH18+AI18+AJ18+AO18+AP18</f>
        <v>0</v>
      </c>
    </row>
    <row r="19" spans="1:73" hidden="1">
      <c r="A19" s="1"/>
      <c r="B19" s="1" t="s">
        <v>123</v>
      </c>
      <c r="C19" s="1" t="s">
        <v>124</v>
      </c>
      <c r="D19" s="1" t="s">
        <v>100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hidden="1">
      <c r="A20" s="1"/>
      <c r="B20" s="1" t="s">
        <v>130</v>
      </c>
      <c r="C20" s="1" t="s">
        <v>126</v>
      </c>
      <c r="D20" s="1" t="s">
        <v>100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s="65" customFormat="1" hidden="1">
      <c r="A21" s="1"/>
      <c r="B21" s="3" t="s">
        <v>196</v>
      </c>
      <c r="C21" s="3" t="s">
        <v>50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0</v>
      </c>
      <c r="BR21" s="17">
        <v>0</v>
      </c>
      <c r="BS21" s="17"/>
      <c r="BT21">
        <f>SUM(P21:AD21)</f>
        <v>35</v>
      </c>
      <c r="BU21" s="23">
        <f>AF21+AH21+AI21+AJ21+AO21+AP21</f>
        <v>0</v>
      </c>
    </row>
    <row r="22" spans="1:73" hidden="1">
      <c r="A22" s="1"/>
      <c r="B22" s="3" t="s">
        <v>204</v>
      </c>
      <c r="C22" s="3" t="s">
        <v>97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>
        <v>10</v>
      </c>
      <c r="W22" s="28"/>
      <c r="X22" s="28"/>
      <c r="Y22" s="28">
        <v>10</v>
      </c>
      <c r="Z22" s="28"/>
      <c r="AA22" s="28"/>
      <c r="AB22" s="28">
        <v>10</v>
      </c>
      <c r="AC22" s="28">
        <v>5</v>
      </c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>
        <f>SUM(P22:AD22)</f>
        <v>35</v>
      </c>
      <c r="BU22" s="23">
        <f>AF22+AH22+AI22+AJ22+AO22+AP22</f>
        <v>0</v>
      </c>
    </row>
    <row r="23" spans="1:73" hidden="1">
      <c r="A23" s="1"/>
      <c r="B23" s="1" t="s">
        <v>116</v>
      </c>
      <c r="C23" s="1" t="s">
        <v>117</v>
      </c>
      <c r="D23" s="1" t="s">
        <v>100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>
        <v>5</v>
      </c>
      <c r="R23" s="28"/>
      <c r="S23" s="28"/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0</v>
      </c>
      <c r="BR23" s="17">
        <v>0</v>
      </c>
      <c r="BS23" s="17"/>
      <c r="BT23">
        <f>SUM(P23:AD23)</f>
        <v>35</v>
      </c>
      <c r="BU23" s="23">
        <f>AF23+AH23+AI23+AJ23+AO23+AP23</f>
        <v>0</v>
      </c>
    </row>
    <row r="24" spans="1:73" s="57" customFormat="1" hidden="1">
      <c r="A24" s="1"/>
      <c r="B24" s="1" t="s">
        <v>121</v>
      </c>
      <c r="C24" s="1" t="s">
        <v>120</v>
      </c>
      <c r="D24" s="1" t="s">
        <v>100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hidden="1">
      <c r="A25" s="1"/>
      <c r="B25" s="3" t="s">
        <v>226</v>
      </c>
      <c r="C25" s="3" t="s">
        <v>50</v>
      </c>
      <c r="D25" s="1" t="s"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/>
      <c r="U25" s="28"/>
      <c r="V25" s="28">
        <v>10</v>
      </c>
      <c r="W25" s="28"/>
      <c r="X25" s="28"/>
      <c r="Y25" s="28">
        <v>10</v>
      </c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0</v>
      </c>
      <c r="BR25" s="17">
        <v>0</v>
      </c>
      <c r="BS25" s="17"/>
      <c r="BT25">
        <f>SUM(P25:AD25)</f>
        <v>35</v>
      </c>
      <c r="BU25" s="23">
        <f>AF25+AH25+AI25+AJ25+AO25+AP25</f>
        <v>0</v>
      </c>
    </row>
    <row r="26" spans="1:73">
      <c r="A26" s="1">
        <v>95</v>
      </c>
      <c r="B26" s="3" t="s">
        <v>226</v>
      </c>
      <c r="C26" s="3" t="s">
        <v>52</v>
      </c>
      <c r="D26" s="1" t="s">
        <v>0</v>
      </c>
      <c r="E26" s="6"/>
      <c r="F26" s="6"/>
      <c r="G26" s="6"/>
      <c r="H26" s="6"/>
      <c r="I26" s="6"/>
      <c r="J26" s="6"/>
      <c r="K26" s="6"/>
      <c r="L26" s="6">
        <v>15</v>
      </c>
      <c r="M26" s="6"/>
      <c r="N26" s="6"/>
      <c r="O26" s="6">
        <v>15</v>
      </c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>
        <v>15</v>
      </c>
      <c r="BB26" s="2">
        <v>15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60</v>
      </c>
      <c r="BQ26" s="1">
        <v>0</v>
      </c>
      <c r="BR26" s="17">
        <v>0</v>
      </c>
      <c r="BS26" s="17"/>
      <c r="BT26">
        <f>SUM(P26:AD26)</f>
        <v>0</v>
      </c>
      <c r="BU26" s="23">
        <f>AF26+AH26+AI26+AJ26+AO26+AP26</f>
        <v>0</v>
      </c>
    </row>
    <row r="27" spans="1:73" hidden="1">
      <c r="A27" s="1"/>
      <c r="B27" s="3" t="s">
        <v>202</v>
      </c>
      <c r="C27" s="3" t="s">
        <v>200</v>
      </c>
      <c r="D27" s="1" t="s"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>
        <v>10</v>
      </c>
      <c r="W27" s="28"/>
      <c r="X27" s="28"/>
      <c r="Y27" s="28"/>
      <c r="Z27" s="28">
        <v>5</v>
      </c>
      <c r="AA27" s="28"/>
      <c r="AB27" s="28">
        <v>10</v>
      </c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30</v>
      </c>
      <c r="BQ27" s="1">
        <v>0</v>
      </c>
      <c r="BR27" s="17">
        <v>0</v>
      </c>
      <c r="BS27" s="17"/>
      <c r="BT27">
        <f>SUM(P27:AD27)</f>
        <v>30</v>
      </c>
      <c r="BU27" s="23">
        <f>AF27+AH27+AI27+AJ27+AO27+AP27</f>
        <v>0</v>
      </c>
    </row>
    <row r="28" spans="1:73" hidden="1">
      <c r="A28" s="1"/>
      <c r="B28" s="1" t="s">
        <v>128</v>
      </c>
      <c r="C28" s="1" t="s">
        <v>126</v>
      </c>
      <c r="D28" s="1" t="s">
        <v>100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>
        <v>10</v>
      </c>
      <c r="W28" s="28"/>
      <c r="X28" s="28"/>
      <c r="Y28" s="28"/>
      <c r="Z28" s="28">
        <v>5</v>
      </c>
      <c r="AA28" s="28"/>
      <c r="AB28" s="28">
        <v>10</v>
      </c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30</v>
      </c>
      <c r="BQ28" s="1">
        <v>0</v>
      </c>
      <c r="BR28" s="17">
        <v>0</v>
      </c>
      <c r="BS28" s="17"/>
      <c r="BT28">
        <f>SUM(P28:AD28)</f>
        <v>30</v>
      </c>
      <c r="BU28" s="23">
        <f>AF28+AH28+AI28+AJ28+AO28+AP28</f>
        <v>0</v>
      </c>
    </row>
    <row r="29" spans="1:73" hidden="1">
      <c r="A29" s="1"/>
      <c r="B29" s="1" t="s">
        <v>254</v>
      </c>
      <c r="C29" s="1" t="s">
        <v>233</v>
      </c>
      <c r="D29" s="1" t="s">
        <v>234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>
        <v>10</v>
      </c>
      <c r="Q29" s="28"/>
      <c r="R29" s="28"/>
      <c r="S29" s="28">
        <v>10</v>
      </c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0</v>
      </c>
      <c r="BR29" s="17">
        <v>0</v>
      </c>
      <c r="BS29" s="17"/>
      <c r="BT29">
        <f>SUM(P29:AD29)</f>
        <v>40</v>
      </c>
      <c r="BU29" s="23">
        <f>AF29+AH29+AI29+AJ29+AO29+AP29</f>
        <v>0</v>
      </c>
    </row>
    <row r="30" spans="1:73" s="47" customFormat="1" hidden="1">
      <c r="A30" s="1"/>
      <c r="B30" s="1" t="s">
        <v>232</v>
      </c>
      <c r="C30" s="1" t="s">
        <v>233</v>
      </c>
      <c r="D30" s="1" t="s">
        <v>235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>
        <v>10</v>
      </c>
      <c r="AC30" s="28">
        <v>5</v>
      </c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35</v>
      </c>
      <c r="BQ30" s="1">
        <v>0</v>
      </c>
      <c r="BR30" s="17">
        <v>0</v>
      </c>
      <c r="BS30" s="17"/>
      <c r="BT30">
        <f>SUM(P30:AD30)</f>
        <v>35</v>
      </c>
      <c r="BU30" s="23">
        <f>AF30+AH30+AI30+AJ30+AO30+AP30</f>
        <v>0</v>
      </c>
    </row>
    <row r="31" spans="1:73" hidden="1">
      <c r="A31" s="1"/>
      <c r="B31" s="1" t="s">
        <v>232</v>
      </c>
      <c r="C31" s="1" t="s">
        <v>233</v>
      </c>
      <c r="D31" s="1" t="s">
        <v>236</v>
      </c>
      <c r="E31" s="6">
        <v>5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>
        <v>5</v>
      </c>
      <c r="W31" s="28"/>
      <c r="X31" s="28"/>
      <c r="Y31" s="28">
        <v>5</v>
      </c>
      <c r="Z31" s="28"/>
      <c r="AA31" s="28"/>
      <c r="AB31" s="28"/>
      <c r="AC31" s="28">
        <v>5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20</v>
      </c>
      <c r="BQ31" s="1">
        <v>0</v>
      </c>
      <c r="BR31" s="17">
        <v>0</v>
      </c>
      <c r="BS31" s="17"/>
      <c r="BT31">
        <f>SUM(P31:AD31)</f>
        <v>15</v>
      </c>
      <c r="BU31" s="23">
        <f>AF31+AH31+AI31+AJ31+AO31+AP31</f>
        <v>0</v>
      </c>
    </row>
    <row r="32" spans="1:73" hidden="1">
      <c r="A32" s="1"/>
      <c r="B32" s="1" t="s">
        <v>237</v>
      </c>
      <c r="C32" s="1" t="s">
        <v>117</v>
      </c>
      <c r="D32" s="1" t="s">
        <v>235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/>
      <c r="S32" s="28"/>
      <c r="T32" s="28">
        <v>5</v>
      </c>
      <c r="U32" s="28"/>
      <c r="V32" s="28"/>
      <c r="W32" s="28"/>
      <c r="X32" s="28"/>
      <c r="Y32" s="28"/>
      <c r="Z32" s="28">
        <v>5</v>
      </c>
      <c r="AA32" s="28">
        <v>2</v>
      </c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17</v>
      </c>
      <c r="BQ32" s="1">
        <v>0</v>
      </c>
      <c r="BR32" s="17">
        <v>0</v>
      </c>
      <c r="BS32" s="17"/>
      <c r="BT32">
        <f>SUM(P32:AD32)</f>
        <v>17</v>
      </c>
      <c r="BU32" s="23">
        <f>AF32+AH32+AI32+AJ32+AO32+AP32</f>
        <v>0</v>
      </c>
    </row>
    <row r="33" spans="1:73" hidden="1">
      <c r="A33" s="1"/>
      <c r="B33" s="1" t="s">
        <v>238</v>
      </c>
      <c r="C33" s="1" t="s">
        <v>117</v>
      </c>
      <c r="D33" s="1" t="s">
        <v>234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0</v>
      </c>
      <c r="BR33" s="17">
        <v>0</v>
      </c>
      <c r="BS33" s="17"/>
      <c r="BT33">
        <f>SUM(P33:AD33)</f>
        <v>40</v>
      </c>
      <c r="BU33" s="23">
        <f>AF33+AH33+AI33+AJ33+AO33+AP33</f>
        <v>0</v>
      </c>
    </row>
    <row r="34" spans="1:73" hidden="1">
      <c r="A34" s="1"/>
      <c r="B34" s="1" t="s">
        <v>238</v>
      </c>
      <c r="C34" s="1" t="s">
        <v>117</v>
      </c>
      <c r="D34" s="1" t="s">
        <v>235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>
        <v>10</v>
      </c>
      <c r="AC34" s="28">
        <v>5</v>
      </c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35</v>
      </c>
      <c r="BQ34" s="1">
        <v>0</v>
      </c>
      <c r="BR34" s="17">
        <v>0</v>
      </c>
      <c r="BS34" s="17"/>
      <c r="BT34">
        <f>SUM(P34:AD34)</f>
        <v>35</v>
      </c>
      <c r="BU34" s="23">
        <f>AF34+AH34+AI34+AJ34+AO34+AP34</f>
        <v>0</v>
      </c>
    </row>
    <row r="35" spans="1:73" hidden="1">
      <c r="A35" s="1"/>
      <c r="B35" s="1" t="s">
        <v>239</v>
      </c>
      <c r="C35" s="1" t="s">
        <v>50</v>
      </c>
      <c r="D35" s="1" t="s">
        <v>234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>
        <v>5</v>
      </c>
      <c r="R35" s="28"/>
      <c r="S35" s="28"/>
      <c r="T35" s="28">
        <v>5</v>
      </c>
      <c r="U35" s="28"/>
      <c r="V35" s="28"/>
      <c r="W35" s="28"/>
      <c r="X35" s="28"/>
      <c r="Y35" s="28"/>
      <c r="Z35" s="28">
        <v>5</v>
      </c>
      <c r="AA35" s="28"/>
      <c r="AB35" s="28"/>
      <c r="AC35" s="28">
        <v>5</v>
      </c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</v>
      </c>
      <c r="BQ35" s="1">
        <v>0</v>
      </c>
      <c r="BR35" s="17">
        <v>0</v>
      </c>
      <c r="BS35" s="17"/>
      <c r="BT35">
        <f>SUM(P35:AD35)</f>
        <v>20</v>
      </c>
      <c r="BU35" s="23">
        <f>AF35+AH35+AI35+AJ35+AO35+AP35</f>
        <v>0</v>
      </c>
    </row>
    <row r="36" spans="1:73" hidden="1">
      <c r="A36" s="1"/>
      <c r="B36" s="1" t="s">
        <v>240</v>
      </c>
      <c r="C36" s="1" t="s">
        <v>50</v>
      </c>
      <c r="D36" s="1" t="s">
        <v>235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>
        <v>5</v>
      </c>
      <c r="R36" s="28"/>
      <c r="S36" s="28"/>
      <c r="T36" s="28">
        <v>5</v>
      </c>
      <c r="U36" s="28"/>
      <c r="V36" s="28"/>
      <c r="W36" s="28"/>
      <c r="X36" s="28"/>
      <c r="Y36" s="28"/>
      <c r="Z36" s="28">
        <v>5</v>
      </c>
      <c r="AA36" s="28">
        <v>2</v>
      </c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17</v>
      </c>
      <c r="BQ36" s="1">
        <v>0</v>
      </c>
      <c r="BR36" s="17">
        <v>0</v>
      </c>
      <c r="BS36" s="17"/>
      <c r="BT36">
        <f>SUM(P36:AD36)</f>
        <v>17</v>
      </c>
      <c r="BU36" s="23">
        <f>AF36+AH36+AI36+AJ36+AO36+AP36</f>
        <v>0</v>
      </c>
    </row>
    <row r="37" spans="1:73" hidden="1">
      <c r="A37" s="1"/>
      <c r="B37" s="1" t="s">
        <v>244</v>
      </c>
      <c r="C37" s="1" t="s">
        <v>52</v>
      </c>
      <c r="D37" s="1" t="s">
        <v>234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0</v>
      </c>
      <c r="BR37" s="17">
        <v>0</v>
      </c>
      <c r="BS37" s="17"/>
      <c r="BT37">
        <f>SUM(P37:AD37)</f>
        <v>40</v>
      </c>
      <c r="BU37" s="23">
        <f>AF37+AH37+AI37+AJ37+AO37+AP37</f>
        <v>0</v>
      </c>
    </row>
    <row r="38" spans="1:73" hidden="1">
      <c r="A38" s="1"/>
      <c r="B38" s="1" t="s">
        <v>244</v>
      </c>
      <c r="C38" s="1" t="s">
        <v>52</v>
      </c>
      <c r="D38" s="1" t="s">
        <v>235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>
        <v>10</v>
      </c>
      <c r="AC38" s="28">
        <v>5</v>
      </c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0</v>
      </c>
      <c r="BR38" s="17">
        <v>0</v>
      </c>
      <c r="BS38" s="17"/>
      <c r="BT38">
        <f>SUM(P38:AD38)</f>
        <v>35</v>
      </c>
      <c r="BU38" s="23">
        <f>AF38+AH38+AI38+AJ38+AO38+AP38</f>
        <v>0</v>
      </c>
    </row>
    <row r="39" spans="1:73" hidden="1">
      <c r="A39" s="1"/>
      <c r="B39" s="1" t="s">
        <v>110</v>
      </c>
      <c r="C39" s="1" t="s">
        <v>98</v>
      </c>
      <c r="D39" s="1" t="s">
        <v>99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258</v>
      </c>
      <c r="BT39">
        <f>SUM(P39:AD39)</f>
        <v>35</v>
      </c>
      <c r="BU39" s="23">
        <f>AF39+AH39+AI39+AJ39+AO39+AP39</f>
        <v>0</v>
      </c>
    </row>
    <row r="40" spans="1:73" hidden="1">
      <c r="A40" s="1"/>
      <c r="B40" s="1" t="s">
        <v>115</v>
      </c>
      <c r="C40" s="1" t="s">
        <v>98</v>
      </c>
      <c r="D40" s="1" t="s">
        <v>99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267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1" t="s">
        <v>122</v>
      </c>
      <c r="C41" s="1" t="s">
        <v>120</v>
      </c>
      <c r="D41" s="1" t="s">
        <v>99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258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1" t="s">
        <v>127</v>
      </c>
      <c r="C42" s="1" t="s">
        <v>126</v>
      </c>
      <c r="D42" s="1" t="s">
        <v>99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267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3" t="s">
        <v>197</v>
      </c>
      <c r="C43" s="3" t="s">
        <v>24</v>
      </c>
      <c r="D43" s="1" t="s">
        <v>194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267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199</v>
      </c>
      <c r="C44" s="3" t="s">
        <v>200</v>
      </c>
      <c r="D44" s="1" t="s">
        <v>194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267</v>
      </c>
      <c r="BT44">
        <f>SUM(P44:AD44)</f>
        <v>35</v>
      </c>
      <c r="BU44" s="23">
        <f>AF44+AH44+AI44+AJ44+AO44+AP44</f>
        <v>0</v>
      </c>
    </row>
    <row r="45" spans="1:73" hidden="1">
      <c r="A45" s="1"/>
      <c r="B45" s="3" t="s">
        <v>201</v>
      </c>
      <c r="C45" s="3" t="s">
        <v>200</v>
      </c>
      <c r="D45" s="1" t="s">
        <v>194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267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3" t="s">
        <v>203</v>
      </c>
      <c r="C46" s="3" t="s">
        <v>97</v>
      </c>
      <c r="D46" s="1" t="s">
        <v>194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267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3" t="s">
        <v>205</v>
      </c>
      <c r="C47" s="3" t="s">
        <v>97</v>
      </c>
      <c r="D47" s="1" t="s">
        <v>194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267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3" t="s">
        <v>193</v>
      </c>
      <c r="C48" s="3" t="s">
        <v>50</v>
      </c>
      <c r="D48" s="1" t="s">
        <v>195</v>
      </c>
      <c r="E48" s="6"/>
      <c r="F48" s="6"/>
      <c r="G48" s="6"/>
      <c r="H48" s="6"/>
      <c r="I48" s="6"/>
      <c r="J48" s="6"/>
      <c r="K48" s="6"/>
      <c r="L48" s="6"/>
      <c r="M48" s="6">
        <v>10</v>
      </c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>
        <v>10</v>
      </c>
      <c r="AB48" s="28"/>
      <c r="AC48" s="28"/>
      <c r="AD48" s="28">
        <v>10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>
        <v>10</v>
      </c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40</v>
      </c>
      <c r="BQ48" s="1">
        <v>1</v>
      </c>
      <c r="BR48" s="17">
        <v>1</v>
      </c>
      <c r="BS48" s="17" t="s">
        <v>268</v>
      </c>
      <c r="BT48">
        <f>SUM(P48:AD48)</f>
        <v>20</v>
      </c>
      <c r="BU48" s="23">
        <f>AF48+AH48+AI48+AJ48+AO48+AP48</f>
        <v>0</v>
      </c>
    </row>
    <row r="49" spans="1:73" hidden="1">
      <c r="A49" s="1"/>
      <c r="B49" s="3" t="s">
        <v>197</v>
      </c>
      <c r="C49" s="3" t="s">
        <v>24</v>
      </c>
      <c r="D49" s="1" t="s">
        <v>195</v>
      </c>
      <c r="E49" s="6"/>
      <c r="F49" s="6"/>
      <c r="G49" s="6"/>
      <c r="H49" s="6"/>
      <c r="I49" s="6"/>
      <c r="J49" s="6"/>
      <c r="K49" s="6"/>
      <c r="L49" s="6"/>
      <c r="M49" s="6">
        <v>10</v>
      </c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>
        <v>10</v>
      </c>
      <c r="AB49" s="28"/>
      <c r="AC49" s="28"/>
      <c r="AD49" s="28">
        <v>10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40</v>
      </c>
      <c r="BQ49" s="1">
        <v>1</v>
      </c>
      <c r="BR49" s="17">
        <v>1</v>
      </c>
      <c r="BS49" s="17" t="s">
        <v>255</v>
      </c>
      <c r="BT49">
        <f>SUM(P49:AD49)</f>
        <v>20</v>
      </c>
      <c r="BU49" s="23">
        <f>AF49+AH49+AI49+AJ49+AO49+AP49</f>
        <v>0</v>
      </c>
    </row>
    <row r="50" spans="1:73" hidden="1">
      <c r="A50" s="1"/>
      <c r="B50" s="3" t="s">
        <v>201</v>
      </c>
      <c r="C50" s="3" t="s">
        <v>200</v>
      </c>
      <c r="D50" s="1" t="s">
        <v>195</v>
      </c>
      <c r="E50" s="6"/>
      <c r="F50" s="6"/>
      <c r="G50" s="6"/>
      <c r="H50" s="6"/>
      <c r="I50" s="6"/>
      <c r="J50" s="6"/>
      <c r="K50" s="6"/>
      <c r="L50" s="6"/>
      <c r="M50" s="6">
        <v>10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>
        <v>10</v>
      </c>
      <c r="AB50" s="28"/>
      <c r="AC50" s="28"/>
      <c r="AD50" s="28">
        <v>10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40</v>
      </c>
      <c r="BQ50" s="1">
        <v>1</v>
      </c>
      <c r="BR50" s="17">
        <v>1</v>
      </c>
      <c r="BS50" s="17" t="s">
        <v>268</v>
      </c>
      <c r="BT50">
        <f>SUM(P50:AD50)</f>
        <v>20</v>
      </c>
      <c r="BU50" s="23">
        <f>AF50+AH50+AI50+AJ50+AO50+AP50</f>
        <v>0</v>
      </c>
    </row>
    <row r="51" spans="1:73" hidden="1">
      <c r="A51" s="1"/>
      <c r="B51" s="3" t="s">
        <v>203</v>
      </c>
      <c r="C51" s="3" t="s">
        <v>97</v>
      </c>
      <c r="D51" s="1" t="s">
        <v>195</v>
      </c>
      <c r="E51" s="6"/>
      <c r="F51" s="6"/>
      <c r="G51" s="6"/>
      <c r="H51" s="6"/>
      <c r="I51" s="6"/>
      <c r="J51" s="6"/>
      <c r="K51" s="6"/>
      <c r="L51" s="6"/>
      <c r="M51" s="6">
        <v>10</v>
      </c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>
        <v>10</v>
      </c>
      <c r="AB51" s="28"/>
      <c r="AC51" s="28"/>
      <c r="AD51" s="28">
        <v>10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40</v>
      </c>
      <c r="BQ51" s="1">
        <v>1</v>
      </c>
      <c r="BR51" s="17">
        <v>1</v>
      </c>
      <c r="BS51" s="17" t="s">
        <v>268</v>
      </c>
      <c r="BT51">
        <f>SUM(P51:AD51)</f>
        <v>20</v>
      </c>
      <c r="BU51" s="23">
        <f>AF51+AH51+AI51+AJ51+AO51+AP51</f>
        <v>0</v>
      </c>
    </row>
    <row r="52" spans="1:73" hidden="1">
      <c r="A52" s="1"/>
      <c r="B52" s="3" t="s">
        <v>193</v>
      </c>
      <c r="C52" s="3" t="s">
        <v>50</v>
      </c>
      <c r="D52" s="1" t="s">
        <v>194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>
        <v>5</v>
      </c>
      <c r="X52" s="28"/>
      <c r="Y52" s="28"/>
      <c r="Z52" s="28"/>
      <c r="AA52" s="28"/>
      <c r="AB52" s="28"/>
      <c r="AC52" s="28">
        <v>5</v>
      </c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20</v>
      </c>
      <c r="BQ52" s="1">
        <v>1</v>
      </c>
      <c r="BR52" s="17">
        <v>1</v>
      </c>
      <c r="BS52" s="17" t="s">
        <v>267</v>
      </c>
      <c r="BT52">
        <f>SUM(P52:AD52)</f>
        <v>20</v>
      </c>
      <c r="BU52" s="23">
        <f>AF52+AH52+AI52+AJ52+AO52+AP52</f>
        <v>0</v>
      </c>
    </row>
    <row r="53" spans="1:73" hidden="1">
      <c r="A53" s="1"/>
      <c r="B53" s="1" t="s">
        <v>237</v>
      </c>
      <c r="C53" s="1" t="s">
        <v>117</v>
      </c>
      <c r="D53" s="1" t="s">
        <v>234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35</v>
      </c>
      <c r="BQ53" s="1">
        <v>1</v>
      </c>
      <c r="BR53" s="17">
        <v>1</v>
      </c>
      <c r="BS53" s="17" t="s">
        <v>267</v>
      </c>
      <c r="BT53">
        <f>SUM(P53:AD53)</f>
        <v>35</v>
      </c>
      <c r="BU53" s="23">
        <f>AF53+AH53+AI53+AJ53+AO53+AP53</f>
        <v>0</v>
      </c>
    </row>
    <row r="54" spans="1:73" hidden="1">
      <c r="A54" s="1"/>
      <c r="B54" s="1" t="s">
        <v>240</v>
      </c>
      <c r="C54" s="1" t="s">
        <v>50</v>
      </c>
      <c r="D54" s="1" t="s">
        <v>234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>
        <v>10</v>
      </c>
      <c r="Q54" s="28"/>
      <c r="R54" s="28"/>
      <c r="S54" s="28">
        <v>10</v>
      </c>
      <c r="T54" s="28"/>
      <c r="U54" s="28"/>
      <c r="V54" s="28"/>
      <c r="W54" s="28">
        <v>5</v>
      </c>
      <c r="X54" s="28"/>
      <c r="Y54" s="28"/>
      <c r="Z54" s="28"/>
      <c r="AA54" s="28"/>
      <c r="AB54" s="28">
        <v>10</v>
      </c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35</v>
      </c>
      <c r="BQ54" s="1">
        <v>1</v>
      </c>
      <c r="BR54" s="17">
        <v>1</v>
      </c>
      <c r="BS54" s="17" t="s">
        <v>258</v>
      </c>
      <c r="BT54">
        <f>SUM(P54:AD54)</f>
        <v>35</v>
      </c>
      <c r="BU54" s="23">
        <f>AF54+AH54+AI54+AJ54+AO54+AP54</f>
        <v>0</v>
      </c>
    </row>
    <row r="55" spans="1:73" hidden="1">
      <c r="A55" s="1"/>
      <c r="B55" s="1" t="s">
        <v>241</v>
      </c>
      <c r="C55" s="1" t="s">
        <v>50</v>
      </c>
      <c r="D55" s="1" t="s">
        <v>234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>
        <v>10</v>
      </c>
      <c r="Q55" s="28"/>
      <c r="R55" s="28"/>
      <c r="S55" s="28">
        <v>10</v>
      </c>
      <c r="T55" s="28"/>
      <c r="U55" s="28"/>
      <c r="V55" s="28"/>
      <c r="W55" s="28">
        <v>5</v>
      </c>
      <c r="X55" s="28"/>
      <c r="Y55" s="28"/>
      <c r="Z55" s="28"/>
      <c r="AA55" s="28"/>
      <c r="AB55" s="28">
        <v>10</v>
      </c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35</v>
      </c>
      <c r="BQ55" s="1">
        <v>1</v>
      </c>
      <c r="BR55" s="17">
        <v>1</v>
      </c>
      <c r="BS55" s="17" t="s">
        <v>258</v>
      </c>
      <c r="BT55">
        <f>SUM(P55:AD55)</f>
        <v>35</v>
      </c>
      <c r="BU55" s="23">
        <f>AF55+AH55+AI55+AJ55+AO55+AP55</f>
        <v>0</v>
      </c>
    </row>
    <row r="56" spans="1:73" hidden="1">
      <c r="A56" s="1"/>
      <c r="B56" s="1" t="s">
        <v>242</v>
      </c>
      <c r="C56" s="1" t="s">
        <v>52</v>
      </c>
      <c r="D56" s="1" t="s">
        <v>234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>
        <v>5</v>
      </c>
      <c r="U56" s="28"/>
      <c r="V56" s="28"/>
      <c r="W56" s="28">
        <v>5</v>
      </c>
      <c r="X56" s="28"/>
      <c r="Y56" s="28"/>
      <c r="Z56" s="28">
        <v>5</v>
      </c>
      <c r="AA56" s="28"/>
      <c r="AB56" s="28"/>
      <c r="AC56" s="28">
        <v>5</v>
      </c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20</v>
      </c>
      <c r="BQ56" s="1">
        <v>1</v>
      </c>
      <c r="BR56" s="17">
        <v>1</v>
      </c>
      <c r="BS56" s="17" t="s">
        <v>258</v>
      </c>
      <c r="BT56">
        <f>SUM(P56:AD56)</f>
        <v>20</v>
      </c>
      <c r="BU56" s="23">
        <f>AF56+AH56+AI56+AJ56+AO56+AP56</f>
        <v>0</v>
      </c>
    </row>
    <row r="57" spans="1:73" hidden="1">
      <c r="A57" s="1"/>
      <c r="B57" s="1" t="s">
        <v>243</v>
      </c>
      <c r="C57" s="1" t="s">
        <v>52</v>
      </c>
      <c r="D57" s="1" t="s">
        <v>234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>
        <v>5</v>
      </c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20</v>
      </c>
      <c r="BQ57" s="1">
        <v>1</v>
      </c>
      <c r="BR57" s="17">
        <v>1</v>
      </c>
      <c r="BS57" s="17" t="s">
        <v>267</v>
      </c>
      <c r="BT57">
        <f>SUM(P57:AD57)</f>
        <v>20</v>
      </c>
      <c r="BU57" s="23">
        <f>AF57+AH57+AI57+AJ57+AO57+AP57</f>
        <v>0</v>
      </c>
    </row>
    <row r="58" spans="1:73" hidden="1">
      <c r="A58" s="1"/>
      <c r="B58" s="1" t="s">
        <v>248</v>
      </c>
      <c r="C58" s="1" t="s">
        <v>36</v>
      </c>
      <c r="D58" s="1" t="s">
        <v>245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/>
      <c r="U58" s="28"/>
      <c r="V58" s="28"/>
      <c r="W58" s="28">
        <v>5</v>
      </c>
      <c r="X58" s="28"/>
      <c r="Y58" s="28"/>
      <c r="Z58" s="28">
        <v>5</v>
      </c>
      <c r="AA58" s="28"/>
      <c r="AB58" s="28"/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20</v>
      </c>
      <c r="BQ58" s="1">
        <v>1</v>
      </c>
      <c r="BR58" s="17">
        <v>1</v>
      </c>
      <c r="BS58" s="17" t="s">
        <v>267</v>
      </c>
      <c r="BT58">
        <f>SUM(P58:AD58)</f>
        <v>20</v>
      </c>
      <c r="BU58" s="23">
        <f>AF58+AH58+AI58+AJ58+AO58+AP58</f>
        <v>0</v>
      </c>
    </row>
    <row r="59" spans="1:73" s="65" customFormat="1" hidden="1">
      <c r="A59" s="58"/>
      <c r="B59" s="58" t="s">
        <v>191</v>
      </c>
      <c r="C59" s="58" t="s">
        <v>126</v>
      </c>
      <c r="D59" s="58" t="s">
        <v>100</v>
      </c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60"/>
      <c r="Q59" s="60"/>
      <c r="R59" s="60"/>
      <c r="S59" s="60"/>
      <c r="T59" s="60"/>
      <c r="U59" s="60">
        <v>2</v>
      </c>
      <c r="V59" s="60"/>
      <c r="W59" s="60"/>
      <c r="X59" s="60"/>
      <c r="Y59" s="60"/>
      <c r="Z59" s="60"/>
      <c r="AA59" s="60">
        <v>2</v>
      </c>
      <c r="AB59" s="60"/>
      <c r="AC59" s="60">
        <v>5</v>
      </c>
      <c r="AD59" s="60">
        <v>2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61"/>
      <c r="AR59" s="61"/>
      <c r="AS59" s="61"/>
      <c r="AT59" s="61"/>
      <c r="AU59" s="61"/>
      <c r="AV59" s="61"/>
      <c r="AW59" s="62"/>
      <c r="AX59" s="62"/>
      <c r="AY59" s="62"/>
      <c r="AZ59" s="62"/>
      <c r="BA59" s="62"/>
      <c r="BB59" s="62"/>
      <c r="BC59" s="63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>
        <f>SUM(E59:BO59)</f>
        <v>11</v>
      </c>
      <c r="BQ59" s="58">
        <v>1</v>
      </c>
      <c r="BR59" s="64">
        <v>1</v>
      </c>
      <c r="BS59" s="64" t="s">
        <v>269</v>
      </c>
      <c r="BT59">
        <f>SUM(P59:AD59)</f>
        <v>11</v>
      </c>
      <c r="BU59" s="23">
        <f>AF59+AH59+AI59+AJ59+AO59+AP59</f>
        <v>0</v>
      </c>
    </row>
    <row r="60" spans="1:73" hidden="1">
      <c r="A60" s="1"/>
      <c r="B60" s="1" t="s">
        <v>110</v>
      </c>
      <c r="C60" s="1" t="s">
        <v>98</v>
      </c>
      <c r="D60" s="1" t="s">
        <v>100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>
        <v>2</v>
      </c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1</v>
      </c>
      <c r="BR60" s="17">
        <v>1</v>
      </c>
      <c r="BS60" s="17" t="s">
        <v>259</v>
      </c>
      <c r="BT60">
        <f>SUM(P60:AD60)</f>
        <v>17</v>
      </c>
      <c r="BU60" s="23">
        <f>AF60+AH60+AI60+AJ60+AO60+AP60</f>
        <v>0</v>
      </c>
    </row>
    <row r="61" spans="1:73" hidden="1">
      <c r="A61" s="1"/>
      <c r="B61" s="1" t="s">
        <v>115</v>
      </c>
      <c r="C61" s="1" t="s">
        <v>98</v>
      </c>
      <c r="D61" s="1" t="s">
        <v>100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>
        <v>2</v>
      </c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1</v>
      </c>
      <c r="BR61" s="17">
        <v>1</v>
      </c>
      <c r="BS61" s="17" t="s">
        <v>259</v>
      </c>
      <c r="BT61">
        <f>SUM(P61:AD61)</f>
        <v>17</v>
      </c>
      <c r="BU61" s="23">
        <f>AF61+AH61+AI61+AJ61+AO61+AP61</f>
        <v>0</v>
      </c>
    </row>
    <row r="62" spans="1:73" hidden="1">
      <c r="A62" s="1"/>
      <c r="B62" s="1" t="s">
        <v>122</v>
      </c>
      <c r="C62" s="1" t="s">
        <v>120</v>
      </c>
      <c r="D62" s="1" t="s">
        <v>100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1</v>
      </c>
      <c r="BR62" s="17">
        <v>1</v>
      </c>
      <c r="BS62" s="17" t="s">
        <v>270</v>
      </c>
      <c r="BT62">
        <f>SUM(P62:AD62)</f>
        <v>17</v>
      </c>
      <c r="BU62" s="23">
        <f>AF62+AH62+AI62+AJ62+AO62+AP62</f>
        <v>0</v>
      </c>
    </row>
    <row r="63" spans="1:73" hidden="1">
      <c r="A63" s="1"/>
      <c r="B63" s="3" t="s">
        <v>205</v>
      </c>
      <c r="C63" s="3" t="s">
        <v>97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>
        <v>2</v>
      </c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1</v>
      </c>
      <c r="BR63" s="17">
        <v>1</v>
      </c>
      <c r="BS63" s="17" t="s">
        <v>270</v>
      </c>
      <c r="BT63">
        <f>SUM(P63:AD63)</f>
        <v>17</v>
      </c>
      <c r="BU63" s="23">
        <f>AF63+AH63+AI63+AJ63+AO63+AP63</f>
        <v>0</v>
      </c>
    </row>
    <row r="64" spans="1:73" hidden="1">
      <c r="A64" s="1"/>
      <c r="B64" s="1" t="s">
        <v>241</v>
      </c>
      <c r="C64" s="1" t="s">
        <v>50</v>
      </c>
      <c r="D64" s="1" t="s">
        <v>235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>
        <v>2</v>
      </c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1</v>
      </c>
      <c r="BR64" s="17">
        <v>1</v>
      </c>
      <c r="BS64" s="17" t="s">
        <v>259</v>
      </c>
      <c r="BT64">
        <f>SUM(P64:AD64)</f>
        <v>17</v>
      </c>
      <c r="BU64" s="23">
        <f>AF64+AH64+AI64+AJ64+AO64+AP64</f>
        <v>0</v>
      </c>
    </row>
    <row r="65" spans="1:73">
      <c r="A65" s="1">
        <v>18</v>
      </c>
      <c r="B65" s="1" t="s">
        <v>26</v>
      </c>
      <c r="C65" s="1" t="s">
        <v>24</v>
      </c>
      <c r="D65" s="1" t="s">
        <v>19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>
        <v>5</v>
      </c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5</v>
      </c>
      <c r="BQ65" s="1">
        <v>1</v>
      </c>
      <c r="BR65" s="17">
        <v>1</v>
      </c>
      <c r="BS65" s="17" t="s">
        <v>271</v>
      </c>
      <c r="BT65">
        <f>SUM(P65:AD65)</f>
        <v>0</v>
      </c>
      <c r="BU65" s="23">
        <f>AF65+AH65+AI65+AJ65+AO65+AP65</f>
        <v>0</v>
      </c>
    </row>
    <row r="66" spans="1:73">
      <c r="A66" s="1"/>
      <c r="B66" s="1" t="s">
        <v>230</v>
      </c>
      <c r="C66" s="1" t="s">
        <v>93</v>
      </c>
      <c r="D66" s="1" t="s">
        <v>231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>
        <v>40</v>
      </c>
      <c r="AV66" s="4"/>
      <c r="AW66" s="2"/>
      <c r="AX66" s="2"/>
      <c r="AY66" s="2">
        <v>40</v>
      </c>
      <c r="AZ66" s="2">
        <v>40</v>
      </c>
      <c r="BA66" s="2"/>
      <c r="BB66" s="2"/>
      <c r="BC66" s="14">
        <v>10</v>
      </c>
      <c r="BD66" s="1"/>
      <c r="BE66" s="1"/>
      <c r="BF66" s="1"/>
      <c r="BG66" s="1"/>
      <c r="BH66" s="1"/>
      <c r="BI66" s="1">
        <v>50</v>
      </c>
      <c r="BJ66" s="1"/>
      <c r="BK66" s="1"/>
      <c r="BL66" s="1"/>
      <c r="BM66" s="1"/>
      <c r="BN66" s="1"/>
      <c r="BO66" s="1"/>
      <c r="BP66" s="1">
        <f>SUM(E66:BO66)</f>
        <v>180</v>
      </c>
      <c r="BQ66" s="1">
        <v>1</v>
      </c>
      <c r="BR66" s="17">
        <v>1</v>
      </c>
      <c r="BS66" s="17" t="s">
        <v>272</v>
      </c>
      <c r="BT66">
        <f>SUM(P66:AD66)</f>
        <v>0</v>
      </c>
      <c r="BU66" s="23">
        <f>AF66+AH66+AI66+AJ66+AO66+AP66</f>
        <v>0</v>
      </c>
    </row>
    <row r="67" spans="1:73" hidden="1">
      <c r="A67" s="1"/>
      <c r="B67" s="3" t="s">
        <v>252</v>
      </c>
      <c r="C67" s="3" t="s">
        <v>198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>
        <v>2</v>
      </c>
      <c r="Y67" s="28"/>
      <c r="Z67" s="28"/>
      <c r="AA67" s="28">
        <v>2</v>
      </c>
      <c r="AB67" s="28"/>
      <c r="AC67" s="28">
        <v>5</v>
      </c>
      <c r="AD67" s="28">
        <v>2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11</v>
      </c>
      <c r="BQ67" s="1">
        <v>2</v>
      </c>
      <c r="BR67" s="17">
        <v>1</v>
      </c>
      <c r="BS67" s="17" t="s">
        <v>260</v>
      </c>
      <c r="BT67">
        <f>SUM(P67:AD67)</f>
        <v>11</v>
      </c>
      <c r="BU67" s="23">
        <f>AF67+AH67+AI67+AJ67+AO67+AP67</f>
        <v>0</v>
      </c>
    </row>
    <row r="68" spans="1:73" hidden="1">
      <c r="A68" s="1"/>
      <c r="B68" s="1" t="s">
        <v>250</v>
      </c>
      <c r="C68" s="1" t="s">
        <v>124</v>
      </c>
      <c r="D68" s="1" t="s">
        <v>100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>
        <v>2</v>
      </c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2</v>
      </c>
      <c r="BR68" s="17">
        <v>1</v>
      </c>
      <c r="BS68" s="17" t="s">
        <v>273</v>
      </c>
      <c r="BT68">
        <f>SUM(P68:AD68)</f>
        <v>17</v>
      </c>
      <c r="BU68" s="23">
        <f>AF68+AH68+AI68+AJ68+AO68+AP68</f>
        <v>0</v>
      </c>
    </row>
    <row r="69" spans="1:73" hidden="1">
      <c r="A69" s="1"/>
      <c r="B69" s="3" t="s">
        <v>197</v>
      </c>
      <c r="C69" s="3" t="s">
        <v>24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>
        <v>2</v>
      </c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2</v>
      </c>
      <c r="BR69" s="17">
        <v>1</v>
      </c>
      <c r="BS69" s="17" t="s">
        <v>260</v>
      </c>
      <c r="BT69">
        <f>SUM(P69:AD69)</f>
        <v>17</v>
      </c>
      <c r="BU69" s="23">
        <f>AF69+AH69+AI69+AJ69+AO69+AP69</f>
        <v>0</v>
      </c>
    </row>
    <row r="70" spans="1:73" hidden="1">
      <c r="A70" s="1"/>
      <c r="B70" s="3" t="s">
        <v>201</v>
      </c>
      <c r="C70" s="3" t="s">
        <v>200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>
        <v>2</v>
      </c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2</v>
      </c>
      <c r="BR70" s="17">
        <v>1</v>
      </c>
      <c r="BS70" s="17" t="s">
        <v>273</v>
      </c>
      <c r="BT70">
        <f>SUM(P70:AD70)</f>
        <v>17</v>
      </c>
      <c r="BU70" s="23">
        <f>AF70+AH70+AI70+AJ70+AO70+AP70</f>
        <v>0</v>
      </c>
    </row>
    <row r="71" spans="1:73" hidden="1">
      <c r="A71" s="1"/>
      <c r="B71" s="3" t="s">
        <v>203</v>
      </c>
      <c r="C71" s="3" t="s">
        <v>97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2</v>
      </c>
      <c r="BR71" s="17">
        <v>1</v>
      </c>
      <c r="BS71" s="17" t="s">
        <v>273</v>
      </c>
      <c r="BT71">
        <f>SUM(P71:AD71)</f>
        <v>17</v>
      </c>
      <c r="BU71" s="23">
        <f>AF71+AH71+AI71+AJ71+AO71+AP71</f>
        <v>0</v>
      </c>
    </row>
    <row r="72" spans="1:73" s="57" customFormat="1" hidden="1">
      <c r="A72" s="1"/>
      <c r="B72" s="1" t="s">
        <v>242</v>
      </c>
      <c r="C72" s="1" t="s">
        <v>52</v>
      </c>
      <c r="D72" s="1" t="s">
        <v>235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/>
      <c r="U72" s="28"/>
      <c r="V72" s="28"/>
      <c r="W72" s="28"/>
      <c r="X72" s="28">
        <v>2</v>
      </c>
      <c r="Y72" s="28"/>
      <c r="Z72" s="28"/>
      <c r="AA72" s="28">
        <v>2</v>
      </c>
      <c r="AB72" s="28"/>
      <c r="AC72" s="28"/>
      <c r="AD72" s="28">
        <v>2</v>
      </c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11</v>
      </c>
      <c r="BQ72" s="1">
        <v>2</v>
      </c>
      <c r="BR72" s="17">
        <v>1</v>
      </c>
      <c r="BS72" s="17" t="s">
        <v>273</v>
      </c>
      <c r="BT72">
        <f>SUM(P72:AD72)</f>
        <v>11</v>
      </c>
      <c r="BU72" s="23">
        <f>AF72+AH72+AI72+AJ72+AO72+AP72</f>
        <v>0</v>
      </c>
    </row>
    <row r="73" spans="1:73" hidden="1">
      <c r="A73" s="1"/>
      <c r="B73" s="1" t="s">
        <v>243</v>
      </c>
      <c r="C73" s="1" t="s">
        <v>52</v>
      </c>
      <c r="D73" s="1" t="s">
        <v>235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>
        <v>2</v>
      </c>
      <c r="Y73" s="28"/>
      <c r="Z73" s="28"/>
      <c r="AA73" s="28">
        <v>2</v>
      </c>
      <c r="AB73" s="28"/>
      <c r="AC73" s="28">
        <v>5</v>
      </c>
      <c r="AD73" s="28">
        <v>2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11</v>
      </c>
      <c r="BQ73" s="1">
        <v>2</v>
      </c>
      <c r="BR73" s="17">
        <v>1</v>
      </c>
      <c r="BS73" s="17" t="s">
        <v>273</v>
      </c>
      <c r="BT73">
        <f>SUM(P73:AD73)</f>
        <v>11</v>
      </c>
      <c r="BU73" s="23">
        <f>AF73+AH73+AI73+AJ73+AO73+AP73</f>
        <v>0</v>
      </c>
    </row>
    <row r="74" spans="1:73" hidden="1">
      <c r="A74" s="1"/>
      <c r="B74" s="1" t="s">
        <v>253</v>
      </c>
      <c r="C74" s="1" t="s">
        <v>52</v>
      </c>
      <c r="D74" s="1" t="s">
        <v>246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2</v>
      </c>
      <c r="Y74" s="28"/>
      <c r="Z74" s="28"/>
      <c r="AA74" s="28">
        <v>2</v>
      </c>
      <c r="AB74" s="28"/>
      <c r="AC74" s="28">
        <v>5</v>
      </c>
      <c r="AD74" s="28">
        <v>2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11</v>
      </c>
      <c r="BQ74" s="1">
        <v>2</v>
      </c>
      <c r="BR74" s="17">
        <v>1</v>
      </c>
      <c r="BS74" s="17" t="s">
        <v>273</v>
      </c>
      <c r="BT74">
        <f>SUM(P74:AD74)</f>
        <v>11</v>
      </c>
      <c r="BU74" s="23">
        <f>AF74+AH74+AI74+AJ74+AO74+AP74</f>
        <v>0</v>
      </c>
    </row>
    <row r="75" spans="1:73" hidden="1">
      <c r="A75" s="18"/>
      <c r="B75" s="18" t="s">
        <v>92</v>
      </c>
      <c r="C75" s="18" t="s">
        <v>85</v>
      </c>
      <c r="D75" s="18" t="s">
        <v>89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>
        <v>2</v>
      </c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">
        <f>SUM(E75:BO75)</f>
        <v>2</v>
      </c>
      <c r="BQ75" s="18">
        <v>2</v>
      </c>
      <c r="BR75" s="22">
        <v>1</v>
      </c>
      <c r="BS75" s="22" t="s">
        <v>261</v>
      </c>
      <c r="BT75">
        <f>SUM(P75:AD75)</f>
        <v>0</v>
      </c>
      <c r="BU75" s="23">
        <f>AF75+AH75+AI75+AJ75+AO75+AP75</f>
        <v>2</v>
      </c>
    </row>
    <row r="76" spans="1:73" hidden="1">
      <c r="A76" s="18"/>
      <c r="B76" s="18" t="s">
        <v>167</v>
      </c>
      <c r="C76" s="18" t="s">
        <v>24</v>
      </c>
      <c r="D76" s="18" t="s">
        <v>168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>
        <v>3</v>
      </c>
      <c r="AP76" s="18"/>
      <c r="AQ76" s="20"/>
      <c r="AR76" s="20"/>
      <c r="AS76" s="20"/>
      <c r="AT76" s="20"/>
      <c r="AU76" s="20"/>
      <c r="AV76" s="20"/>
      <c r="AW76" s="21"/>
      <c r="AX76" s="21"/>
      <c r="AY76" s="21"/>
      <c r="AZ76" s="21"/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>
        <f>SUM(E76:BO76)</f>
        <v>3</v>
      </c>
      <c r="BQ76" s="18">
        <v>3</v>
      </c>
      <c r="BR76" s="22">
        <v>1</v>
      </c>
      <c r="BS76" s="22" t="s">
        <v>274</v>
      </c>
      <c r="BT76">
        <f>SUM(P76:AD76)</f>
        <v>0</v>
      </c>
      <c r="BU76" s="23">
        <f>AF76+AH76+AI76+AJ76+AO76+AP76</f>
        <v>3</v>
      </c>
    </row>
    <row r="77" spans="1:73">
      <c r="A77" s="18">
        <v>63</v>
      </c>
      <c r="B77" s="30" t="s">
        <v>48</v>
      </c>
      <c r="C77" s="18" t="s">
        <v>43</v>
      </c>
      <c r="D77" s="18" t="s">
        <v>18</v>
      </c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18"/>
      <c r="AF77" s="18"/>
      <c r="AG77" s="18"/>
      <c r="AH77" s="18"/>
      <c r="AI77" s="18"/>
      <c r="AJ77" s="18"/>
      <c r="AK77" s="18"/>
      <c r="AL77" s="18"/>
      <c r="AM77" s="18"/>
      <c r="AN77" s="18">
        <v>5</v>
      </c>
      <c r="AO77" s="18"/>
      <c r="AP77" s="18"/>
      <c r="AQ77" s="20"/>
      <c r="AR77" s="20"/>
      <c r="AS77" s="20"/>
      <c r="AT77" s="20"/>
      <c r="AU77" s="20"/>
      <c r="AV77" s="20"/>
      <c r="AW77" s="21"/>
      <c r="AX77" s="21"/>
      <c r="AY77" s="21"/>
      <c r="AZ77" s="21"/>
      <c r="BA77" s="21"/>
      <c r="BB77" s="21"/>
      <c r="BC77" s="26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>
        <f>SUM(E77:BO77)</f>
        <v>5</v>
      </c>
      <c r="BQ77" s="18">
        <v>5</v>
      </c>
      <c r="BR77" s="22">
        <v>1</v>
      </c>
      <c r="BS77" s="22" t="s">
        <v>275</v>
      </c>
      <c r="BT77">
        <f>SUM(P77:AD77)</f>
        <v>0</v>
      </c>
      <c r="BU77" s="23">
        <f>AF77+AH77+AI77+AJ77+AO77+AP77</f>
        <v>0</v>
      </c>
    </row>
    <row r="78" spans="1:73" hidden="1">
      <c r="A78" s="18">
        <v>17</v>
      </c>
      <c r="B78" s="18" t="s">
        <v>26</v>
      </c>
      <c r="C78" s="18" t="s">
        <v>24</v>
      </c>
      <c r="D78" s="18" t="s">
        <v>18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>
        <v>5</v>
      </c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20"/>
      <c r="AR78" s="20"/>
      <c r="AS78" s="20"/>
      <c r="AT78" s="20"/>
      <c r="AU78" s="20"/>
      <c r="AV78" s="20"/>
      <c r="AW78" s="21"/>
      <c r="AX78" s="21"/>
      <c r="AY78" s="21"/>
      <c r="AZ78" s="21"/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>
        <f>SUM(E78:BO78)</f>
        <v>5</v>
      </c>
      <c r="BQ78" s="18">
        <v>5</v>
      </c>
      <c r="BR78" s="22">
        <v>1</v>
      </c>
      <c r="BS78" s="22" t="s">
        <v>276</v>
      </c>
      <c r="BT78">
        <f>SUM(P78:AD78)</f>
        <v>0</v>
      </c>
      <c r="BU78" s="23">
        <f>AF78+AH78+AI78+AJ78+AO78+AP78</f>
        <v>5</v>
      </c>
    </row>
    <row r="79" spans="1:73" hidden="1">
      <c r="A79" s="18">
        <v>32</v>
      </c>
      <c r="B79" s="18" t="s">
        <v>60</v>
      </c>
      <c r="C79" s="18" t="s">
        <v>24</v>
      </c>
      <c r="D79" s="18" t="s">
        <v>18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8"/>
      <c r="AF79" s="18"/>
      <c r="AG79" s="18"/>
      <c r="AH79" s="18"/>
      <c r="AI79" s="18">
        <v>5</v>
      </c>
      <c r="AJ79" s="18"/>
      <c r="AK79" s="18"/>
      <c r="AL79" s="18"/>
      <c r="AM79" s="18"/>
      <c r="AN79" s="18"/>
      <c r="AO79" s="18"/>
      <c r="AP79" s="18"/>
      <c r="AQ79" s="20"/>
      <c r="AR79" s="20"/>
      <c r="AS79" s="20"/>
      <c r="AT79" s="20"/>
      <c r="AU79" s="20"/>
      <c r="AV79" s="20"/>
      <c r="AW79" s="21"/>
      <c r="AX79" s="21"/>
      <c r="AY79" s="21"/>
      <c r="AZ79" s="21"/>
      <c r="BA79" s="21"/>
      <c r="BB79" s="21"/>
      <c r="BC79" s="26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>
        <f>SUM(E79:BO79)</f>
        <v>5</v>
      </c>
      <c r="BQ79" s="18">
        <v>5</v>
      </c>
      <c r="BR79" s="22">
        <v>1</v>
      </c>
      <c r="BS79" s="22" t="s">
        <v>277</v>
      </c>
      <c r="BT79">
        <f>SUM(P79:AD79)</f>
        <v>0</v>
      </c>
      <c r="BU79" s="23">
        <f>AF79+AH79+AI79+AJ79+AO79+AP79</f>
        <v>5</v>
      </c>
    </row>
    <row r="80" spans="1:73" hidden="1">
      <c r="A80" s="18">
        <v>33</v>
      </c>
      <c r="B80" s="18" t="s">
        <v>60</v>
      </c>
      <c r="C80" s="18" t="s">
        <v>24</v>
      </c>
      <c r="D80" s="18" t="s">
        <v>0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/>
      <c r="AG80" s="18"/>
      <c r="AH80" s="18">
        <v>5</v>
      </c>
      <c r="AI80" s="18"/>
      <c r="AJ80" s="18"/>
      <c r="AK80" s="18"/>
      <c r="AL80" s="18"/>
      <c r="AM80" s="18"/>
      <c r="AN80" s="18"/>
      <c r="AO80" s="18"/>
      <c r="AP80" s="18"/>
      <c r="AQ80" s="20"/>
      <c r="AR80" s="20"/>
      <c r="AS80" s="20"/>
      <c r="AT80" s="20"/>
      <c r="AU80" s="20"/>
      <c r="AV80" s="20"/>
      <c r="AW80" s="21"/>
      <c r="AX80" s="21"/>
      <c r="AY80" s="21"/>
      <c r="AZ80" s="21"/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>
        <f>SUM(E80:BO80)</f>
        <v>5</v>
      </c>
      <c r="BQ80" s="18">
        <v>5</v>
      </c>
      <c r="BR80" s="22">
        <v>1</v>
      </c>
      <c r="BS80" s="22" t="s">
        <v>278</v>
      </c>
      <c r="BT80">
        <f>SUM(P80:AD80)</f>
        <v>0</v>
      </c>
      <c r="BU80" s="23">
        <f>AF80+AH80+AI80+AJ80+AO80+AP80</f>
        <v>5</v>
      </c>
    </row>
    <row r="81" spans="1:73" hidden="1">
      <c r="A81" s="18"/>
      <c r="B81" s="18" t="s">
        <v>95</v>
      </c>
      <c r="C81" s="18" t="s">
        <v>93</v>
      </c>
      <c r="D81" s="18" t="s">
        <v>89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18"/>
      <c r="AF81" s="18"/>
      <c r="AG81" s="18"/>
      <c r="AH81" s="18">
        <v>5</v>
      </c>
      <c r="AI81" s="18"/>
      <c r="AJ81" s="18"/>
      <c r="AK81" s="18"/>
      <c r="AL81" s="18"/>
      <c r="AM81" s="18"/>
      <c r="AN81" s="18"/>
      <c r="AO81" s="18"/>
      <c r="AP81" s="18"/>
      <c r="AQ81" s="20"/>
      <c r="AR81" s="20"/>
      <c r="AS81" s="20"/>
      <c r="AT81" s="20"/>
      <c r="AU81" s="20"/>
      <c r="AV81" s="20"/>
      <c r="AW81" s="21"/>
      <c r="AX81" s="21"/>
      <c r="AY81" s="21"/>
      <c r="AZ81" s="21"/>
      <c r="BA81" s="21"/>
      <c r="BB81" s="21"/>
      <c r="BC81" s="26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>
        <f>SUM(E81:BO81)</f>
        <v>5</v>
      </c>
      <c r="BQ81" s="18">
        <v>5</v>
      </c>
      <c r="BR81" s="22">
        <v>1</v>
      </c>
      <c r="BS81" s="22" t="s">
        <v>278</v>
      </c>
      <c r="BT81">
        <f>SUM(P81:AD81)</f>
        <v>0</v>
      </c>
      <c r="BU81" s="23">
        <f>AF81+AH81+AI81+AJ81+AO81+AP81</f>
        <v>5</v>
      </c>
    </row>
    <row r="82" spans="1:73" hidden="1">
      <c r="A82" s="18"/>
      <c r="B82" s="18" t="s">
        <v>95</v>
      </c>
      <c r="C82" s="18" t="s">
        <v>93</v>
      </c>
      <c r="D82" s="18" t="s">
        <v>83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/>
      <c r="AI82" s="18">
        <v>5</v>
      </c>
      <c r="AJ82" s="18"/>
      <c r="AK82" s="18"/>
      <c r="AL82" s="18"/>
      <c r="AM82" s="18"/>
      <c r="AN82" s="18"/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>SUM(E82:BO82)</f>
        <v>5</v>
      </c>
      <c r="BQ82" s="18">
        <v>5</v>
      </c>
      <c r="BR82" s="22">
        <v>1</v>
      </c>
      <c r="BS82" s="22" t="s">
        <v>277</v>
      </c>
      <c r="BT82">
        <f>SUM(P82:AD82)</f>
        <v>0</v>
      </c>
      <c r="BU82" s="23">
        <f>AF82+AH82+AI82+AJ82+AO82+AP82</f>
        <v>5</v>
      </c>
    </row>
    <row r="83" spans="1:73">
      <c r="A83" s="1"/>
      <c r="B83" s="1" t="s">
        <v>143</v>
      </c>
      <c r="C83" s="1" t="s">
        <v>81</v>
      </c>
      <c r="D83" s="1" t="s">
        <v>83</v>
      </c>
      <c r="E83" s="6"/>
      <c r="F83" s="6"/>
      <c r="G83" s="6"/>
      <c r="H83" s="6">
        <v>6</v>
      </c>
      <c r="I83" s="6"/>
      <c r="J83" s="6"/>
      <c r="K83" s="6">
        <v>6</v>
      </c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>
        <v>10</v>
      </c>
      <c r="AR83" s="4"/>
      <c r="AS83" s="4"/>
      <c r="AT83" s="4"/>
      <c r="AU83" s="4"/>
      <c r="AV83" s="4"/>
      <c r="AW83" s="2">
        <v>10</v>
      </c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32</v>
      </c>
      <c r="BQ83" s="1">
        <v>5</v>
      </c>
      <c r="BR83" s="17">
        <v>1</v>
      </c>
      <c r="BS83" s="17" t="s">
        <v>279</v>
      </c>
      <c r="BT83">
        <f>SUM(P83:AD83)</f>
        <v>0</v>
      </c>
      <c r="BU83" s="23">
        <f>AF83+AH83+AI83+AJ83+AO83+AP83</f>
        <v>0</v>
      </c>
    </row>
    <row r="84" spans="1:73">
      <c r="A84" s="1">
        <v>8</v>
      </c>
      <c r="B84" s="1" t="s">
        <v>136</v>
      </c>
      <c r="C84" s="1" t="s">
        <v>1</v>
      </c>
      <c r="D84" s="1" t="s">
        <v>20</v>
      </c>
      <c r="E84" s="6">
        <v>6</v>
      </c>
      <c r="F84" s="6"/>
      <c r="G84" s="6"/>
      <c r="H84" s="6">
        <v>6</v>
      </c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>
        <v>10</v>
      </c>
      <c r="AS84" s="4"/>
      <c r="AT84" s="4"/>
      <c r="AU84" s="4"/>
      <c r="AV84" s="4"/>
      <c r="AW84" s="2"/>
      <c r="AX84" s="2"/>
      <c r="AY84" s="2"/>
      <c r="AZ84" s="2"/>
      <c r="BA84" s="2"/>
      <c r="BB84" s="2">
        <v>10</v>
      </c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32</v>
      </c>
      <c r="BQ84" s="1">
        <v>5</v>
      </c>
      <c r="BR84" s="17">
        <v>1</v>
      </c>
      <c r="BS84" s="17" t="s">
        <v>279</v>
      </c>
      <c r="BT84">
        <f>SUM(P84:AD84)</f>
        <v>0</v>
      </c>
      <c r="BU84" s="23">
        <f>AF84+AH84+AI84+AJ84+AO84+AP84</f>
        <v>0</v>
      </c>
    </row>
    <row r="85" spans="1:73" hidden="1">
      <c r="A85" s="1"/>
      <c r="B85" s="1" t="s">
        <v>122</v>
      </c>
      <c r="C85" s="1" t="s">
        <v>120</v>
      </c>
      <c r="D85" s="1" t="s">
        <v>101</v>
      </c>
      <c r="E85" s="6"/>
      <c r="F85" s="6"/>
      <c r="G85" s="6"/>
      <c r="H85" s="6"/>
      <c r="I85" s="6">
        <v>7</v>
      </c>
      <c r="J85" s="6"/>
      <c r="K85" s="6"/>
      <c r="L85" s="6"/>
      <c r="M85" s="6"/>
      <c r="N85" s="6"/>
      <c r="O85" s="6"/>
      <c r="P85" s="28"/>
      <c r="Q85" s="28">
        <v>7</v>
      </c>
      <c r="R85" s="28">
        <v>7</v>
      </c>
      <c r="S85" s="28"/>
      <c r="T85" s="28">
        <v>7</v>
      </c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28</v>
      </c>
      <c r="BQ85" s="1">
        <v>6</v>
      </c>
      <c r="BR85" s="17">
        <v>1</v>
      </c>
      <c r="BS85" s="17" t="s">
        <v>280</v>
      </c>
      <c r="BT85">
        <f>SUM(P85:AD85)</f>
        <v>21</v>
      </c>
      <c r="BU85" s="23">
        <f>AF85+AH85+AI85+AJ85+AO85+AP85</f>
        <v>0</v>
      </c>
    </row>
    <row r="86" spans="1:73" hidden="1">
      <c r="A86" s="1"/>
      <c r="B86" s="1" t="s">
        <v>251</v>
      </c>
      <c r="C86" s="1" t="s">
        <v>117</v>
      </c>
      <c r="D86" s="1" t="s">
        <v>101</v>
      </c>
      <c r="E86" s="6"/>
      <c r="F86" s="6"/>
      <c r="G86" s="6"/>
      <c r="H86" s="6">
        <v>7</v>
      </c>
      <c r="I86" s="6"/>
      <c r="J86" s="6"/>
      <c r="K86" s="6"/>
      <c r="L86" s="6"/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/>
      <c r="Y86" s="28"/>
      <c r="Z86" s="28"/>
      <c r="AA86" s="28">
        <v>7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6</v>
      </c>
      <c r="BR86" s="17">
        <v>1</v>
      </c>
      <c r="BS86" s="17" t="s">
        <v>281</v>
      </c>
      <c r="BT86">
        <f>SUM(P86:AD86)</f>
        <v>21</v>
      </c>
      <c r="BU86" s="23">
        <f>AF86+AH86+AI86+AJ86+AO86+AP86</f>
        <v>0</v>
      </c>
    </row>
    <row r="87" spans="1:73" hidden="1">
      <c r="A87" s="1"/>
      <c r="B87" s="1" t="s">
        <v>250</v>
      </c>
      <c r="C87" s="1" t="s">
        <v>124</v>
      </c>
      <c r="D87" s="1" t="s">
        <v>101</v>
      </c>
      <c r="E87" s="6"/>
      <c r="F87" s="6"/>
      <c r="G87" s="6"/>
      <c r="H87" s="6"/>
      <c r="I87" s="6"/>
      <c r="J87" s="6"/>
      <c r="K87" s="6"/>
      <c r="L87" s="6">
        <v>7</v>
      </c>
      <c r="M87" s="6"/>
      <c r="N87" s="6"/>
      <c r="O87" s="6"/>
      <c r="P87" s="28"/>
      <c r="Q87" s="28">
        <v>7</v>
      </c>
      <c r="R87" s="28"/>
      <c r="S87" s="28"/>
      <c r="T87" s="28">
        <v>7</v>
      </c>
      <c r="U87" s="28"/>
      <c r="V87" s="28"/>
      <c r="W87" s="28"/>
      <c r="X87" s="28">
        <v>7</v>
      </c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28</v>
      </c>
      <c r="BQ87" s="1">
        <v>7</v>
      </c>
      <c r="BR87" s="17">
        <v>1</v>
      </c>
      <c r="BS87" s="17" t="s">
        <v>282</v>
      </c>
      <c r="BT87">
        <f>SUM(P87:AD87)</f>
        <v>21</v>
      </c>
      <c r="BU87" s="23">
        <f>AF87+AH87+AI87+AJ87+AO87+AP87</f>
        <v>0</v>
      </c>
    </row>
    <row r="88" spans="1:73" s="65" customFormat="1">
      <c r="A88" s="1"/>
      <c r="B88" s="1" t="s">
        <v>144</v>
      </c>
      <c r="C88" s="1" t="s">
        <v>96</v>
      </c>
      <c r="D88" s="1" t="s">
        <v>83</v>
      </c>
      <c r="E88" s="6"/>
      <c r="F88" s="6"/>
      <c r="G88" s="6"/>
      <c r="H88" s="6">
        <v>10</v>
      </c>
      <c r="I88" s="6"/>
      <c r="J88" s="6">
        <v>10</v>
      </c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>
        <v>10</v>
      </c>
      <c r="AU88" s="4"/>
      <c r="AV88" s="4"/>
      <c r="AW88" s="2"/>
      <c r="AX88" s="2"/>
      <c r="AY88" s="2">
        <v>10</v>
      </c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9</v>
      </c>
      <c r="BR88" s="17">
        <v>1</v>
      </c>
      <c r="BS88" s="17" t="s">
        <v>285</v>
      </c>
      <c r="BT88">
        <f>SUM(P88:AD88)</f>
        <v>0</v>
      </c>
      <c r="BU88" s="23">
        <f>AF88+AH88+AI88+AJ88+AO88+AP88</f>
        <v>0</v>
      </c>
    </row>
    <row r="89" spans="1:73" hidden="1">
      <c r="A89" s="1"/>
      <c r="B89" s="1" t="s">
        <v>240</v>
      </c>
      <c r="C89" s="1" t="s">
        <v>50</v>
      </c>
      <c r="D89" s="1" t="s">
        <v>236</v>
      </c>
      <c r="E89" s="6"/>
      <c r="F89" s="6"/>
      <c r="G89" s="6"/>
      <c r="H89" s="6"/>
      <c r="I89" s="6"/>
      <c r="J89" s="6"/>
      <c r="K89" s="6"/>
      <c r="L89" s="6">
        <v>10</v>
      </c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>
        <v>10</v>
      </c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10</v>
      </c>
      <c r="BR89" s="17">
        <v>1</v>
      </c>
      <c r="BS89" s="17" t="s">
        <v>286</v>
      </c>
      <c r="BT89">
        <f>SUM(P89:AD89)</f>
        <v>20</v>
      </c>
      <c r="BU89" s="23">
        <f>AF89+AH89+AI89+AJ89+AO89+AP89</f>
        <v>0</v>
      </c>
    </row>
    <row r="90" spans="1:73">
      <c r="A90" s="1">
        <v>54</v>
      </c>
      <c r="B90" s="1" t="s">
        <v>42</v>
      </c>
      <c r="C90" s="1" t="s">
        <v>43</v>
      </c>
      <c r="D90" s="1" t="s">
        <v>0</v>
      </c>
      <c r="E90" s="6"/>
      <c r="F90" s="6">
        <v>15</v>
      </c>
      <c r="G90" s="6"/>
      <c r="H90" s="6">
        <v>15</v>
      </c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>
        <v>15</v>
      </c>
      <c r="AW90" s="2"/>
      <c r="AX90" s="2"/>
      <c r="AY90" s="2"/>
      <c r="AZ90" s="2"/>
      <c r="BA90" s="2">
        <v>15</v>
      </c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60</v>
      </c>
      <c r="BQ90" s="1">
        <v>14</v>
      </c>
      <c r="BR90" s="17">
        <v>1</v>
      </c>
      <c r="BS90" s="17" t="s">
        <v>287</v>
      </c>
      <c r="BT90">
        <f>SUM(P90:AD90)</f>
        <v>0</v>
      </c>
      <c r="BU90" s="23">
        <f>AF90+AH90+AI90+AJ90+AO90+AP90</f>
        <v>0</v>
      </c>
    </row>
    <row r="91" spans="1:73">
      <c r="A91" s="18">
        <v>64</v>
      </c>
      <c r="B91" s="24" t="s">
        <v>48</v>
      </c>
      <c r="C91" s="18" t="s">
        <v>43</v>
      </c>
      <c r="D91" s="18" t="s">
        <v>0</v>
      </c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18"/>
      <c r="AF91" s="18"/>
      <c r="AG91" s="18"/>
      <c r="AH91" s="18"/>
      <c r="AI91" s="18"/>
      <c r="AJ91" s="18"/>
      <c r="AK91" s="18"/>
      <c r="AL91" s="18"/>
      <c r="AM91" s="18"/>
      <c r="AN91" s="18">
        <v>15</v>
      </c>
      <c r="AO91" s="18"/>
      <c r="AP91" s="18"/>
      <c r="AQ91" s="20"/>
      <c r="AR91" s="20"/>
      <c r="AS91" s="20"/>
      <c r="AT91" s="20"/>
      <c r="AU91" s="20"/>
      <c r="AV91" s="20"/>
      <c r="AW91" s="21"/>
      <c r="AX91" s="21"/>
      <c r="AY91" s="21"/>
      <c r="AZ91" s="21"/>
      <c r="BA91" s="21"/>
      <c r="BB91" s="21"/>
      <c r="BC91" s="26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>
        <f>SUM(E91:BO91)</f>
        <v>15</v>
      </c>
      <c r="BQ91" s="18">
        <v>15</v>
      </c>
      <c r="BR91" s="22">
        <v>1</v>
      </c>
      <c r="BS91" s="22" t="s">
        <v>288</v>
      </c>
      <c r="BT91">
        <f>SUM(P91:AD91)</f>
        <v>0</v>
      </c>
      <c r="BU91" s="23">
        <f>AF91+AH91+AI91+AJ91+AO91+AP91</f>
        <v>0</v>
      </c>
    </row>
    <row r="92" spans="1:73">
      <c r="A92" s="1">
        <v>98</v>
      </c>
      <c r="B92" s="3" t="s">
        <v>135</v>
      </c>
      <c r="C92" s="3" t="s">
        <v>52</v>
      </c>
      <c r="D92" s="1" t="s"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>
        <v>50</v>
      </c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50</v>
      </c>
      <c r="BQ92" s="1">
        <v>40</v>
      </c>
      <c r="BR92" s="17">
        <v>1</v>
      </c>
      <c r="BS92" s="17" t="s">
        <v>289</v>
      </c>
      <c r="BT92">
        <f>SUM(P92:AD92)</f>
        <v>0</v>
      </c>
      <c r="BU92" s="23">
        <f>AF92+AH92+AI92+AJ92+AO92+AP92</f>
        <v>0</v>
      </c>
    </row>
    <row r="93" spans="1:73">
      <c r="A93" s="1">
        <v>99</v>
      </c>
      <c r="B93" s="3" t="s">
        <v>135</v>
      </c>
      <c r="C93" s="3" t="s">
        <v>52</v>
      </c>
      <c r="D93" s="1" t="s">
        <v>9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>
        <v>200</v>
      </c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200</v>
      </c>
      <c r="BQ93" s="1">
        <v>190</v>
      </c>
      <c r="BR93" s="17">
        <v>1</v>
      </c>
      <c r="BS93" s="17" t="s">
        <v>290</v>
      </c>
      <c r="BT93">
        <f>SUM(P93:AD93)</f>
        <v>0</v>
      </c>
      <c r="BU93" s="23">
        <f>AF93+AH93+AI93+AJ93+AO93+AP93</f>
        <v>0</v>
      </c>
    </row>
    <row r="94" spans="1:73" ht="27" hidden="1">
      <c r="A94" s="1"/>
      <c r="B94" s="1" t="s">
        <v>239</v>
      </c>
      <c r="C94" s="1" t="s">
        <v>50</v>
      </c>
      <c r="D94" s="1" t="s">
        <v>235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2</v>
      </c>
      <c r="V94" s="28"/>
      <c r="W94" s="28">
        <v>5</v>
      </c>
      <c r="X94" s="28"/>
      <c r="Y94" s="28"/>
      <c r="Z94" s="28"/>
      <c r="AA94" s="28">
        <v>2</v>
      </c>
      <c r="AB94" s="28"/>
      <c r="AC94" s="28"/>
      <c r="AD94" s="28">
        <v>2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11</v>
      </c>
      <c r="BQ94" s="1">
        <v>2</v>
      </c>
      <c r="BR94" s="17">
        <v>2</v>
      </c>
      <c r="BS94" s="17" t="s">
        <v>291</v>
      </c>
      <c r="BT94">
        <f>SUM(P94:AD94)</f>
        <v>11</v>
      </c>
      <c r="BU94" s="23">
        <f>AF94+AH94+AI94+AJ94+AO94+AP94</f>
        <v>0</v>
      </c>
    </row>
    <row r="95" spans="1:73" ht="27" hidden="1">
      <c r="A95" s="1"/>
      <c r="B95" s="1" t="s">
        <v>248</v>
      </c>
      <c r="C95" s="1" t="s">
        <v>36</v>
      </c>
      <c r="D95" s="1" t="s">
        <v>246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>
        <v>2</v>
      </c>
      <c r="S95" s="28"/>
      <c r="T95" s="28">
        <v>5</v>
      </c>
      <c r="U95" s="28"/>
      <c r="V95" s="28"/>
      <c r="W95" s="28"/>
      <c r="X95" s="28">
        <v>2</v>
      </c>
      <c r="Y95" s="28"/>
      <c r="Z95" s="28"/>
      <c r="AA95" s="28"/>
      <c r="AB95" s="28"/>
      <c r="AC95" s="28"/>
      <c r="AD95" s="28">
        <v>2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11</v>
      </c>
      <c r="BQ95" s="1">
        <v>3</v>
      </c>
      <c r="BR95" s="17">
        <v>2</v>
      </c>
      <c r="BS95" s="17" t="s">
        <v>292</v>
      </c>
      <c r="BT95">
        <f>SUM(P95:AD95)</f>
        <v>11</v>
      </c>
      <c r="BU95" s="23">
        <f>AF95+AH95+AI95+AJ95+AO95+AP95</f>
        <v>0</v>
      </c>
    </row>
    <row r="96" spans="1:73" ht="27">
      <c r="A96" s="31">
        <v>84</v>
      </c>
      <c r="B96" s="32" t="s">
        <v>147</v>
      </c>
      <c r="C96" s="32" t="s">
        <v>50</v>
      </c>
      <c r="D96" s="31" t="s">
        <v>9</v>
      </c>
      <c r="E96" s="33"/>
      <c r="F96" s="33"/>
      <c r="G96" s="33">
        <v>5</v>
      </c>
      <c r="H96" s="33">
        <v>5</v>
      </c>
      <c r="I96" s="33"/>
      <c r="J96" s="33"/>
      <c r="K96" s="33"/>
      <c r="L96" s="33"/>
      <c r="M96" s="33"/>
      <c r="N96" s="33"/>
      <c r="O96" s="33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5"/>
      <c r="AR96" s="35"/>
      <c r="AS96" s="35"/>
      <c r="AT96" s="35"/>
      <c r="AU96" s="35"/>
      <c r="AV96" s="35"/>
      <c r="AW96" s="36"/>
      <c r="AX96" s="36"/>
      <c r="AY96" s="36"/>
      <c r="AZ96" s="36"/>
      <c r="BA96" s="36">
        <v>5</v>
      </c>
      <c r="BB96" s="36">
        <v>5</v>
      </c>
      <c r="BC96" s="37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>
        <f>SUM(E96:BO96)</f>
        <v>20</v>
      </c>
      <c r="BQ96" s="31">
        <v>5</v>
      </c>
      <c r="BR96" s="38">
        <v>2</v>
      </c>
      <c r="BS96" s="38" t="s">
        <v>294</v>
      </c>
      <c r="BT96">
        <f>SUM(P96:AD96)</f>
        <v>0</v>
      </c>
      <c r="BU96" s="23">
        <f>AF96+AH96+AI96+AJ96+AO96+AP96</f>
        <v>0</v>
      </c>
    </row>
    <row r="97" spans="1:73" ht="27" hidden="1">
      <c r="A97" s="1"/>
      <c r="B97" s="1" t="s">
        <v>92</v>
      </c>
      <c r="C97" s="1" t="s">
        <v>85</v>
      </c>
      <c r="D97" s="1" t="s">
        <v>82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5</v>
      </c>
      <c r="AP97" s="1">
        <v>1</v>
      </c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</v>
      </c>
      <c r="BQ97" s="1">
        <v>6</v>
      </c>
      <c r="BR97" s="17">
        <v>2</v>
      </c>
      <c r="BS97" s="17" t="s">
        <v>293</v>
      </c>
      <c r="BT97">
        <f>SUM(P97:AD97)</f>
        <v>0</v>
      </c>
      <c r="BU97" s="23">
        <f>AF97+AH97+AI97+AJ97+AO97+AP97</f>
        <v>6</v>
      </c>
    </row>
    <row r="98" spans="1:73" ht="27" hidden="1">
      <c r="A98" s="1"/>
      <c r="B98" s="1" t="s">
        <v>167</v>
      </c>
      <c r="C98" s="1" t="s">
        <v>24</v>
      </c>
      <c r="D98" s="1" t="s">
        <v>19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>
        <v>5</v>
      </c>
      <c r="AP98" s="1">
        <v>1</v>
      </c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6</v>
      </c>
      <c r="BQ98" s="1">
        <v>6</v>
      </c>
      <c r="BR98" s="17">
        <v>2</v>
      </c>
      <c r="BS98" s="17" t="s">
        <v>262</v>
      </c>
      <c r="BT98">
        <f>SUM(P98:AD98)</f>
        <v>0</v>
      </c>
      <c r="BU98" s="23">
        <f>AF98+AH98+AI98+AJ98+AO98+AP98</f>
        <v>6</v>
      </c>
    </row>
    <row r="99" spans="1:73" ht="27">
      <c r="A99" s="58"/>
      <c r="B99" s="58" t="s">
        <v>134</v>
      </c>
      <c r="C99" s="58" t="s">
        <v>97</v>
      </c>
      <c r="D99" s="58" t="s">
        <v>82</v>
      </c>
      <c r="E99" s="59"/>
      <c r="F99" s="59"/>
      <c r="G99" s="59"/>
      <c r="H99" s="59"/>
      <c r="I99" s="59"/>
      <c r="J99" s="59"/>
      <c r="K99" s="59"/>
      <c r="L99" s="59">
        <v>20</v>
      </c>
      <c r="M99" s="59"/>
      <c r="N99" s="59"/>
      <c r="O99" s="59">
        <v>20</v>
      </c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61"/>
      <c r="AR99" s="61"/>
      <c r="AS99" s="61"/>
      <c r="AT99" s="61"/>
      <c r="AU99" s="61"/>
      <c r="AV99" s="61"/>
      <c r="AW99" s="62"/>
      <c r="AX99" s="62"/>
      <c r="AY99" s="62"/>
      <c r="AZ99" s="62"/>
      <c r="BA99" s="62">
        <v>20</v>
      </c>
      <c r="BB99" s="62">
        <v>20</v>
      </c>
      <c r="BC99" s="63"/>
      <c r="BD99" s="58"/>
      <c r="BE99" s="58"/>
      <c r="BF99" s="58"/>
      <c r="BG99" s="58"/>
      <c r="BH99" s="58"/>
      <c r="BI99" s="58"/>
      <c r="BJ99" s="58"/>
      <c r="BK99" s="58"/>
      <c r="BL99" s="58"/>
      <c r="BM99" s="58"/>
      <c r="BN99" s="58"/>
      <c r="BO99" s="58"/>
      <c r="BP99" s="58">
        <f>SUM(E99:BO99)</f>
        <v>80</v>
      </c>
      <c r="BQ99" s="58">
        <v>6</v>
      </c>
      <c r="BR99" s="64">
        <v>2</v>
      </c>
      <c r="BS99" s="64" t="s">
        <v>295</v>
      </c>
      <c r="BT99">
        <f>SUM(P99:AD99)</f>
        <v>0</v>
      </c>
      <c r="BU99" s="23">
        <f>AF99+AH99+AI99+AJ99+AO99+AP99</f>
        <v>0</v>
      </c>
    </row>
    <row r="100" spans="1:73" ht="27">
      <c r="A100" s="1"/>
      <c r="B100" s="1" t="s">
        <v>141</v>
      </c>
      <c r="C100" s="1" t="s">
        <v>93</v>
      </c>
      <c r="D100" s="1" t="s">
        <v>83</v>
      </c>
      <c r="E100" s="6">
        <v>10</v>
      </c>
      <c r="F100" s="6"/>
      <c r="G100" s="6">
        <v>10</v>
      </c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>
        <v>10</v>
      </c>
      <c r="AS100" s="4"/>
      <c r="AT100" s="4"/>
      <c r="AU100" s="4"/>
      <c r="AV100" s="4"/>
      <c r="AW100" s="2"/>
      <c r="AX100" s="2"/>
      <c r="AY100" s="2"/>
      <c r="AZ100" s="2"/>
      <c r="BA100" s="2"/>
      <c r="BB100" s="2">
        <v>10</v>
      </c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7</v>
      </c>
      <c r="BR100" s="17">
        <v>2</v>
      </c>
      <c r="BS100" s="17" t="s">
        <v>283</v>
      </c>
      <c r="BT100">
        <f>SUM(P100:AD100)</f>
        <v>0</v>
      </c>
      <c r="BU100" s="23">
        <f>AF100+AH100+AI100+AJ100+AO100+AP100</f>
        <v>0</v>
      </c>
    </row>
    <row r="101" spans="1:73" ht="27">
      <c r="A101" s="1"/>
      <c r="B101" s="1" t="s">
        <v>139</v>
      </c>
      <c r="C101" s="1" t="s">
        <v>125</v>
      </c>
      <c r="D101" s="1" t="s">
        <v>101</v>
      </c>
      <c r="E101" s="6">
        <v>10</v>
      </c>
      <c r="F101" s="6"/>
      <c r="G101" s="6">
        <v>10</v>
      </c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>
        <v>10</v>
      </c>
      <c r="AS101" s="4"/>
      <c r="AT101" s="4"/>
      <c r="AU101" s="4"/>
      <c r="AV101" s="4"/>
      <c r="AW101" s="2"/>
      <c r="AX101" s="2"/>
      <c r="AY101" s="2"/>
      <c r="AZ101" s="2"/>
      <c r="BA101" s="2"/>
      <c r="BB101" s="2">
        <v>10</v>
      </c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40</v>
      </c>
      <c r="BQ101" s="1">
        <v>7</v>
      </c>
      <c r="BR101" s="17">
        <v>2</v>
      </c>
      <c r="BS101" s="17" t="s">
        <v>284</v>
      </c>
      <c r="BT101">
        <f>SUM(P101:AD101)</f>
        <v>0</v>
      </c>
      <c r="BU101" s="23">
        <f>AF101+AH101+AI101+AJ101+AO101+AP101</f>
        <v>0</v>
      </c>
    </row>
    <row r="102" spans="1:73" ht="27">
      <c r="A102" s="1"/>
      <c r="B102" s="1" t="s">
        <v>132</v>
      </c>
      <c r="C102" s="1" t="s">
        <v>81</v>
      </c>
      <c r="D102" s="1" t="s">
        <v>83</v>
      </c>
      <c r="E102" s="6">
        <v>10</v>
      </c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>
        <v>15</v>
      </c>
      <c r="AU102" s="4"/>
      <c r="AV102" s="4"/>
      <c r="AW102" s="2"/>
      <c r="AX102" s="2"/>
      <c r="AY102" s="2"/>
      <c r="AZ102" s="2">
        <v>15</v>
      </c>
      <c r="BA102" s="2">
        <v>15</v>
      </c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65</v>
      </c>
      <c r="BQ102" s="1">
        <v>7</v>
      </c>
      <c r="BR102" s="17">
        <v>2</v>
      </c>
      <c r="BS102" s="17" t="s">
        <v>283</v>
      </c>
      <c r="BT102">
        <f>SUM(P102:AD102)</f>
        <v>0</v>
      </c>
      <c r="BU102" s="23">
        <f>AF102+AH102+AI102+AJ102+AO102+AP102</f>
        <v>0</v>
      </c>
    </row>
    <row r="103" spans="1:73" ht="27" hidden="1">
      <c r="A103" s="1"/>
      <c r="B103" s="1" t="s">
        <v>88</v>
      </c>
      <c r="C103" s="1" t="s">
        <v>85</v>
      </c>
      <c r="D103" s="1" t="s">
        <v>89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>
        <v>3</v>
      </c>
      <c r="AP103" s="1">
        <v>5</v>
      </c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8</v>
      </c>
      <c r="BQ103" s="1">
        <v>8</v>
      </c>
      <c r="BR103" s="17">
        <v>2</v>
      </c>
      <c r="BS103" s="17" t="s">
        <v>263</v>
      </c>
      <c r="BT103">
        <f>SUM(P103:AD103)</f>
        <v>0</v>
      </c>
      <c r="BU103" s="23">
        <f>AF103+AH103+AI103+AJ103+AO103+AP103</f>
        <v>8</v>
      </c>
    </row>
    <row r="104" spans="1:73" ht="27" hidden="1">
      <c r="A104" s="1"/>
      <c r="B104" s="3" t="s">
        <v>202</v>
      </c>
      <c r="C104" s="3" t="s">
        <v>200</v>
      </c>
      <c r="D104" s="1" t="s">
        <v>195</v>
      </c>
      <c r="E104" s="6"/>
      <c r="F104" s="6"/>
      <c r="G104" s="6"/>
      <c r="H104" s="6"/>
      <c r="I104" s="6"/>
      <c r="J104" s="6"/>
      <c r="K104" s="6">
        <v>10</v>
      </c>
      <c r="L104" s="6"/>
      <c r="M104" s="6"/>
      <c r="N104" s="6"/>
      <c r="O104" s="6"/>
      <c r="P104" s="28"/>
      <c r="Q104" s="28"/>
      <c r="R104" s="28"/>
      <c r="S104" s="28"/>
      <c r="T104" s="28"/>
      <c r="U104" s="28">
        <v>10</v>
      </c>
      <c r="V104" s="28"/>
      <c r="W104" s="28"/>
      <c r="X104" s="28"/>
      <c r="Y104" s="28"/>
      <c r="Z104" s="28"/>
      <c r="AA104" s="28">
        <v>10</v>
      </c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10</v>
      </c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40</v>
      </c>
      <c r="BQ104" s="1">
        <v>10</v>
      </c>
      <c r="BR104" s="17">
        <v>2</v>
      </c>
      <c r="BS104" s="17" t="s">
        <v>296</v>
      </c>
      <c r="BT104">
        <f>SUM(P104:AD104)</f>
        <v>20</v>
      </c>
      <c r="BU104" s="23">
        <f>AF104+AH104+AI104+AJ104+AO104+AP104</f>
        <v>0</v>
      </c>
    </row>
    <row r="105" spans="1:73" ht="27" hidden="1">
      <c r="A105" s="1"/>
      <c r="B105" s="1" t="s">
        <v>123</v>
      </c>
      <c r="C105" s="1" t="s">
        <v>124</v>
      </c>
      <c r="D105" s="1" t="s">
        <v>101</v>
      </c>
      <c r="E105" s="6"/>
      <c r="F105" s="6"/>
      <c r="G105" s="6"/>
      <c r="H105" s="6"/>
      <c r="I105" s="6"/>
      <c r="J105" s="6">
        <v>10</v>
      </c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10</v>
      </c>
      <c r="V105" s="28"/>
      <c r="W105" s="28"/>
      <c r="X105" s="28"/>
      <c r="Y105" s="28"/>
      <c r="Z105" s="28"/>
      <c r="AA105" s="28">
        <v>10</v>
      </c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40</v>
      </c>
      <c r="BQ105" s="1">
        <v>10</v>
      </c>
      <c r="BR105" s="17">
        <v>2</v>
      </c>
      <c r="BS105" s="17" t="s">
        <v>296</v>
      </c>
      <c r="BT105">
        <f>SUM(P105:AD105)</f>
        <v>20</v>
      </c>
      <c r="BU105" s="23">
        <f>AF105+AH105+AI105+AJ105+AO105+AP105</f>
        <v>0</v>
      </c>
    </row>
    <row r="106" spans="1:73" ht="27" hidden="1">
      <c r="A106" s="1"/>
      <c r="B106" s="1" t="s">
        <v>130</v>
      </c>
      <c r="C106" s="1" t="s">
        <v>126</v>
      </c>
      <c r="D106" s="1" t="s">
        <v>101</v>
      </c>
      <c r="E106" s="6"/>
      <c r="F106" s="6"/>
      <c r="G106" s="6"/>
      <c r="H106" s="6"/>
      <c r="I106" s="6"/>
      <c r="J106" s="6">
        <v>10</v>
      </c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10</v>
      </c>
      <c r="BR106" s="17">
        <v>2</v>
      </c>
      <c r="BS106" s="17" t="s">
        <v>296</v>
      </c>
      <c r="BT106">
        <f>SUM(P106:AD106)</f>
        <v>20</v>
      </c>
      <c r="BU106" s="23">
        <f>AF106+AH106+AI106+AJ106+AO106+AP106</f>
        <v>0</v>
      </c>
    </row>
    <row r="107" spans="1:73" ht="27" hidden="1">
      <c r="A107" s="1"/>
      <c r="B107" s="3" t="s">
        <v>196</v>
      </c>
      <c r="C107" s="3" t="s">
        <v>50</v>
      </c>
      <c r="D107" s="1" t="s">
        <v>195</v>
      </c>
      <c r="E107" s="6"/>
      <c r="F107" s="6"/>
      <c r="G107" s="6"/>
      <c r="H107" s="6"/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10</v>
      </c>
      <c r="V107" s="28"/>
      <c r="W107" s="28"/>
      <c r="X107" s="28"/>
      <c r="Y107" s="28"/>
      <c r="Z107" s="28"/>
      <c r="AA107" s="28">
        <v>10</v>
      </c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>
        <v>10</v>
      </c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10</v>
      </c>
      <c r="BR107" s="17">
        <v>2</v>
      </c>
      <c r="BS107" s="17" t="s">
        <v>296</v>
      </c>
      <c r="BT107">
        <f>SUM(P107:AD107)</f>
        <v>20</v>
      </c>
      <c r="BU107" s="23">
        <f>AF107+AH107+AI107+AJ107+AO107+AP107</f>
        <v>0</v>
      </c>
    </row>
    <row r="108" spans="1:73" ht="27" hidden="1">
      <c r="A108" s="1"/>
      <c r="B108" s="1" t="s">
        <v>238</v>
      </c>
      <c r="C108" s="1" t="s">
        <v>117</v>
      </c>
      <c r="D108" s="1" t="s">
        <v>236</v>
      </c>
      <c r="E108" s="6"/>
      <c r="F108" s="6"/>
      <c r="G108" s="6"/>
      <c r="H108" s="6"/>
      <c r="I108" s="6"/>
      <c r="J108" s="6">
        <v>10</v>
      </c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>
        <v>10</v>
      </c>
      <c r="V108" s="28"/>
      <c r="W108" s="28"/>
      <c r="X108" s="28"/>
      <c r="Y108" s="28"/>
      <c r="Z108" s="28"/>
      <c r="AA108" s="28">
        <v>10</v>
      </c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>
        <v>10</v>
      </c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10</v>
      </c>
      <c r="BR108" s="17">
        <v>2</v>
      </c>
      <c r="BS108" s="17" t="s">
        <v>297</v>
      </c>
      <c r="BT108">
        <f>SUM(P108:AD108)</f>
        <v>20</v>
      </c>
      <c r="BU108" s="23">
        <f>AF108+AH108+AI108+AJ108+AO108+AP108</f>
        <v>0</v>
      </c>
    </row>
    <row r="109" spans="1:73" ht="27" hidden="1">
      <c r="A109" s="1"/>
      <c r="B109" s="1" t="s">
        <v>248</v>
      </c>
      <c r="C109" s="1" t="s">
        <v>36</v>
      </c>
      <c r="D109" s="1" t="s">
        <v>247</v>
      </c>
      <c r="E109" s="6"/>
      <c r="F109" s="6"/>
      <c r="G109" s="6"/>
      <c r="H109" s="6"/>
      <c r="I109" s="6"/>
      <c r="J109" s="6">
        <v>10</v>
      </c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>
        <v>10</v>
      </c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10</v>
      </c>
      <c r="BR109" s="17">
        <v>2</v>
      </c>
      <c r="BS109" s="17" t="s">
        <v>296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>
        <v>27</v>
      </c>
      <c r="B110" s="1" t="s">
        <v>57</v>
      </c>
      <c r="C110" s="1" t="s">
        <v>24</v>
      </c>
      <c r="D110" s="1" t="s">
        <v>18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>
        <v>5</v>
      </c>
      <c r="AI110" s="1">
        <v>5</v>
      </c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10</v>
      </c>
      <c r="BQ110" s="1">
        <v>10</v>
      </c>
      <c r="BR110" s="17">
        <v>2</v>
      </c>
      <c r="BS110" s="17" t="s">
        <v>298</v>
      </c>
      <c r="BT110">
        <f>SUM(P110:AD110)</f>
        <v>0</v>
      </c>
      <c r="BU110" s="23">
        <f>AF110+AH110+AI110+AJ110+AO110+AP110</f>
        <v>10</v>
      </c>
    </row>
    <row r="111" spans="1:73" ht="27" hidden="1">
      <c r="A111" s="1">
        <v>88</v>
      </c>
      <c r="B111" s="3" t="s">
        <v>62</v>
      </c>
      <c r="C111" s="3" t="s">
        <v>63</v>
      </c>
      <c r="D111" s="1" t="s">
        <v>18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>
        <v>5</v>
      </c>
      <c r="AI111" s="1">
        <v>5</v>
      </c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10</v>
      </c>
      <c r="BQ111" s="1">
        <v>10</v>
      </c>
      <c r="BR111" s="17">
        <v>2</v>
      </c>
      <c r="BS111" s="17" t="s">
        <v>299</v>
      </c>
      <c r="BT111">
        <f>SUM(P111:AD111)</f>
        <v>0</v>
      </c>
      <c r="BU111" s="23">
        <f>AF111+AH111+AI111+AJ111+AO111+AP111</f>
        <v>10</v>
      </c>
    </row>
    <row r="112" spans="1:73" ht="27" hidden="1">
      <c r="A112" s="1"/>
      <c r="B112" s="3" t="s">
        <v>252</v>
      </c>
      <c r="C112" s="3" t="s">
        <v>198</v>
      </c>
      <c r="D112" s="1" t="s">
        <v>195</v>
      </c>
      <c r="E112" s="6"/>
      <c r="F112" s="6"/>
      <c r="G112" s="6"/>
      <c r="H112" s="6"/>
      <c r="I112" s="6"/>
      <c r="J112" s="6"/>
      <c r="K112" s="6"/>
      <c r="L112" s="6"/>
      <c r="M112" s="6"/>
      <c r="N112" s="6">
        <v>10</v>
      </c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>
        <v>10</v>
      </c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11</v>
      </c>
      <c r="BR112" s="17">
        <v>2</v>
      </c>
      <c r="BS112" s="17" t="s">
        <v>300</v>
      </c>
      <c r="BT112">
        <f>SUM(P112:AD112)</f>
        <v>30</v>
      </c>
      <c r="BU112" s="23">
        <f>AF112+AH112+AI112+AJ112+AO112+AP112</f>
        <v>0</v>
      </c>
    </row>
    <row r="113" spans="1:73" ht="27" hidden="1">
      <c r="A113" s="1"/>
      <c r="B113" s="1" t="s">
        <v>88</v>
      </c>
      <c r="C113" s="1" t="s">
        <v>85</v>
      </c>
      <c r="D113" s="1" t="s">
        <v>82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>
        <v>5</v>
      </c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>
        <v>5</v>
      </c>
      <c r="AP113" s="1">
        <v>10</v>
      </c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20</v>
      </c>
      <c r="BQ113" s="1">
        <v>15</v>
      </c>
      <c r="BR113" s="17">
        <v>2</v>
      </c>
      <c r="BS113" s="17" t="s">
        <v>302</v>
      </c>
      <c r="BT113">
        <f>SUM(P113:AD113)</f>
        <v>0</v>
      </c>
      <c r="BU113" s="23">
        <f>AF113+AH113+AI113+AJ113+AO113+AP113</f>
        <v>15</v>
      </c>
    </row>
    <row r="114" spans="1:73" ht="27" hidden="1">
      <c r="A114" s="1"/>
      <c r="B114" s="1" t="s">
        <v>127</v>
      </c>
      <c r="C114" s="1" t="s">
        <v>126</v>
      </c>
      <c r="D114" s="1" t="s">
        <v>101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/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16</v>
      </c>
      <c r="BR114" s="17">
        <v>2</v>
      </c>
      <c r="BS114" s="17" t="s">
        <v>306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/>
      <c r="B115" s="1" t="s">
        <v>249</v>
      </c>
      <c r="C115" s="1" t="s">
        <v>96</v>
      </c>
      <c r="D115" s="1" t="s">
        <v>131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16</v>
      </c>
      <c r="BR115" s="17">
        <v>2</v>
      </c>
      <c r="BS115" s="17" t="s">
        <v>306</v>
      </c>
      <c r="BT115">
        <f>SUM(P115:AD115)</f>
        <v>20</v>
      </c>
      <c r="BU115" s="23">
        <f>AF115+AH115+AI115+AJ115+AO115+AP115</f>
        <v>0</v>
      </c>
    </row>
    <row r="116" spans="1:73" ht="27" hidden="1">
      <c r="A116" s="1"/>
      <c r="B116" s="3" t="s">
        <v>199</v>
      </c>
      <c r="C116" s="3" t="s">
        <v>200</v>
      </c>
      <c r="D116" s="1" t="s">
        <v>195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16</v>
      </c>
      <c r="BR116" s="17">
        <v>2</v>
      </c>
      <c r="BS116" s="17" t="s">
        <v>307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/>
      <c r="B117" s="1" t="s">
        <v>237</v>
      </c>
      <c r="C117" s="1" t="s">
        <v>117</v>
      </c>
      <c r="D117" s="1" t="s">
        <v>236</v>
      </c>
      <c r="E117" s="6"/>
      <c r="F117" s="6"/>
      <c r="G117" s="6">
        <v>10</v>
      </c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16</v>
      </c>
      <c r="BR117" s="17">
        <v>2</v>
      </c>
      <c r="BS117" s="17" t="s">
        <v>307</v>
      </c>
      <c r="BT117">
        <f>SUM(P117:AD117)</f>
        <v>20</v>
      </c>
      <c r="BU117" s="23">
        <f>AF117+AH117+AI117+AJ117+AO117+AP117</f>
        <v>0</v>
      </c>
    </row>
    <row r="118" spans="1:73" ht="27">
      <c r="A118" s="58"/>
      <c r="B118" s="58" t="s">
        <v>137</v>
      </c>
      <c r="C118" s="58" t="s">
        <v>93</v>
      </c>
      <c r="D118" s="58" t="s">
        <v>82</v>
      </c>
      <c r="E118" s="59">
        <v>15</v>
      </c>
      <c r="F118" s="59"/>
      <c r="G118" s="59">
        <v>15</v>
      </c>
      <c r="H118" s="59"/>
      <c r="I118" s="59"/>
      <c r="J118" s="59"/>
      <c r="K118" s="59"/>
      <c r="L118" s="59"/>
      <c r="M118" s="59"/>
      <c r="N118" s="59"/>
      <c r="O118" s="59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61"/>
      <c r="AR118" s="61">
        <v>15</v>
      </c>
      <c r="AS118" s="61"/>
      <c r="AT118" s="61"/>
      <c r="AU118" s="61"/>
      <c r="AV118" s="61"/>
      <c r="AW118" s="62"/>
      <c r="AX118" s="62"/>
      <c r="AY118" s="62"/>
      <c r="AZ118" s="62"/>
      <c r="BA118" s="62"/>
      <c r="BB118" s="62">
        <v>15</v>
      </c>
      <c r="BC118" s="63"/>
      <c r="BD118" s="58"/>
      <c r="BE118" s="58"/>
      <c r="BF118" s="58"/>
      <c r="BG118" s="58"/>
      <c r="BH118" s="58"/>
      <c r="BI118" s="58"/>
      <c r="BJ118" s="58"/>
      <c r="BK118" s="58"/>
      <c r="BL118" s="58"/>
      <c r="BM118" s="58"/>
      <c r="BN118" s="58"/>
      <c r="BO118" s="58"/>
      <c r="BP118" s="58">
        <f>SUM(E118:BO118)</f>
        <v>60</v>
      </c>
      <c r="BQ118" s="58">
        <v>17</v>
      </c>
      <c r="BR118" s="64">
        <v>2</v>
      </c>
      <c r="BS118" s="64" t="s">
        <v>301</v>
      </c>
      <c r="BT118">
        <f>SUM(P118:AD118)</f>
        <v>0</v>
      </c>
      <c r="BU118" s="23">
        <f>AF118+AH118+AI118+AJ118+AO118+AP118</f>
        <v>0</v>
      </c>
    </row>
    <row r="119" spans="1:73" ht="27" hidden="1">
      <c r="A119" s="1"/>
      <c r="B119" s="1" t="s">
        <v>243</v>
      </c>
      <c r="C119" s="1" t="s">
        <v>52</v>
      </c>
      <c r="D119" s="1" t="s">
        <v>236</v>
      </c>
      <c r="E119" s="6"/>
      <c r="F119" s="6"/>
      <c r="G119" s="6"/>
      <c r="H119" s="6"/>
      <c r="I119" s="6"/>
      <c r="J119" s="6"/>
      <c r="K119" s="6"/>
      <c r="L119" s="6">
        <v>10</v>
      </c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305</v>
      </c>
      <c r="BT119">
        <f>SUM(P119:AD119)</f>
        <v>20</v>
      </c>
      <c r="BU119" s="23">
        <f>AF119+AH119+AI119+AJ119+AO119+AP119</f>
        <v>0</v>
      </c>
    </row>
    <row r="120" spans="1:73" ht="27" hidden="1">
      <c r="A120" s="1"/>
      <c r="B120" s="1" t="s">
        <v>253</v>
      </c>
      <c r="C120" s="1" t="s">
        <v>52</v>
      </c>
      <c r="D120" s="1" t="s">
        <v>247</v>
      </c>
      <c r="E120" s="6"/>
      <c r="F120" s="6"/>
      <c r="G120" s="6"/>
      <c r="H120" s="6"/>
      <c r="I120" s="6"/>
      <c r="J120" s="6"/>
      <c r="K120" s="6"/>
      <c r="L120" s="6">
        <v>10</v>
      </c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>
        <v>10</v>
      </c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18</v>
      </c>
      <c r="BR120" s="17">
        <v>2</v>
      </c>
      <c r="BS120" s="17" t="s">
        <v>305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1"/>
      <c r="B121" s="1" t="s">
        <v>110</v>
      </c>
      <c r="C121" s="1" t="s">
        <v>98</v>
      </c>
      <c r="D121" s="1" t="s">
        <v>101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>
        <v>10</v>
      </c>
      <c r="P121" s="28"/>
      <c r="Q121" s="28"/>
      <c r="R121" s="28">
        <v>10</v>
      </c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>
        <v>10</v>
      </c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19</v>
      </c>
      <c r="BR121" s="17">
        <v>2</v>
      </c>
      <c r="BS121" s="17" t="s">
        <v>308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3" t="s">
        <v>204</v>
      </c>
      <c r="C122" s="3" t="s">
        <v>97</v>
      </c>
      <c r="D122" s="1" t="s">
        <v>195</v>
      </c>
      <c r="E122" s="6"/>
      <c r="F122" s="6"/>
      <c r="G122" s="6"/>
      <c r="H122" s="6"/>
      <c r="I122" s="6">
        <v>10</v>
      </c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/>
      <c r="V122" s="28"/>
      <c r="W122" s="28"/>
      <c r="X122" s="28">
        <v>10</v>
      </c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>
        <v>10</v>
      </c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19</v>
      </c>
      <c r="BR122" s="17">
        <v>2</v>
      </c>
      <c r="BS122" s="17" t="s">
        <v>256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1"/>
      <c r="B123" s="1" t="s">
        <v>239</v>
      </c>
      <c r="C123" s="1" t="s">
        <v>50</v>
      </c>
      <c r="D123" s="1" t="s">
        <v>236</v>
      </c>
      <c r="E123" s="6"/>
      <c r="F123" s="6"/>
      <c r="G123" s="6"/>
      <c r="H123" s="6"/>
      <c r="I123" s="6">
        <v>10</v>
      </c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>
        <v>10</v>
      </c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19</v>
      </c>
      <c r="BR123" s="17">
        <v>2</v>
      </c>
      <c r="BS123" s="17" t="s">
        <v>256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1" t="s">
        <v>244</v>
      </c>
      <c r="C124" s="1" t="s">
        <v>52</v>
      </c>
      <c r="D124" s="1" t="s">
        <v>236</v>
      </c>
      <c r="E124" s="6"/>
      <c r="F124" s="6"/>
      <c r="G124" s="6"/>
      <c r="H124" s="6"/>
      <c r="I124" s="6">
        <v>10</v>
      </c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>
        <v>10</v>
      </c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19</v>
      </c>
      <c r="BR124" s="17">
        <v>2</v>
      </c>
      <c r="BS124" s="17" t="s">
        <v>308</v>
      </c>
      <c r="BT124">
        <f>SUM(P124:AD124)</f>
        <v>20</v>
      </c>
      <c r="BU124" s="23">
        <f>AF124+AH124+AI124+AJ124+AO124+AP124</f>
        <v>0</v>
      </c>
    </row>
    <row r="125" spans="1:73" ht="27" hidden="1">
      <c r="A125" s="1"/>
      <c r="B125" s="1" t="s">
        <v>88</v>
      </c>
      <c r="C125" s="1" t="s">
        <v>85</v>
      </c>
      <c r="D125" s="1" t="s">
        <v>83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>
        <v>10</v>
      </c>
      <c r="AP125" s="1">
        <v>10</v>
      </c>
      <c r="AQ125" s="4"/>
      <c r="AR125" s="4"/>
      <c r="AS125" s="4">
        <v>5</v>
      </c>
      <c r="AT125" s="4"/>
      <c r="AU125" s="4"/>
      <c r="AV125" s="4"/>
      <c r="AW125" s="2"/>
      <c r="AX125" s="2">
        <v>5</v>
      </c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30</v>
      </c>
      <c r="BQ125" s="1">
        <v>20</v>
      </c>
      <c r="BR125" s="17">
        <v>2</v>
      </c>
      <c r="BS125" s="17" t="s">
        <v>257</v>
      </c>
      <c r="BT125">
        <f>SUM(P125:AD125)</f>
        <v>0</v>
      </c>
      <c r="BU125" s="23">
        <f>AF125+AH125+AI125+AJ125+AO125+AP125</f>
        <v>20</v>
      </c>
    </row>
    <row r="126" spans="1:73" s="57" customFormat="1" ht="27">
      <c r="A126" s="49"/>
      <c r="B126" s="49" t="s">
        <v>84</v>
      </c>
      <c r="C126" s="49" t="s">
        <v>85</v>
      </c>
      <c r="D126" s="49" t="s">
        <v>82</v>
      </c>
      <c r="E126" s="50"/>
      <c r="F126" s="50"/>
      <c r="G126" s="50">
        <v>15</v>
      </c>
      <c r="H126" s="50">
        <v>15</v>
      </c>
      <c r="I126" s="50"/>
      <c r="J126" s="50"/>
      <c r="K126" s="50"/>
      <c r="L126" s="50"/>
      <c r="M126" s="50"/>
      <c r="N126" s="50"/>
      <c r="O126" s="50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52"/>
      <c r="AR126" s="52"/>
      <c r="AS126" s="52">
        <v>15</v>
      </c>
      <c r="AT126" s="52"/>
      <c r="AU126" s="52"/>
      <c r="AV126" s="52"/>
      <c r="AW126" s="53"/>
      <c r="AX126" s="53"/>
      <c r="AY126" s="53"/>
      <c r="AZ126" s="53"/>
      <c r="BA126" s="53"/>
      <c r="BB126" s="53">
        <v>15</v>
      </c>
      <c r="BC126" s="54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49">
        <f>SUM(E126:BO126)</f>
        <v>60</v>
      </c>
      <c r="BQ126" s="49">
        <v>25</v>
      </c>
      <c r="BR126" s="55">
        <v>2</v>
      </c>
      <c r="BS126" s="55" t="s">
        <v>309</v>
      </c>
      <c r="BT126" s="57">
        <f>SUM(P126:AD126)</f>
        <v>0</v>
      </c>
      <c r="BU126" s="68">
        <f>AF126+AH126+AI126+AJ126+AO126+AP126</f>
        <v>0</v>
      </c>
    </row>
    <row r="127" spans="1:73" ht="27">
      <c r="A127" s="18">
        <v>65</v>
      </c>
      <c r="B127" s="24" t="s">
        <v>48</v>
      </c>
      <c r="C127" s="18" t="s">
        <v>43</v>
      </c>
      <c r="D127" s="18" t="s">
        <v>9</v>
      </c>
      <c r="E127" s="19"/>
      <c r="F127" s="19"/>
      <c r="G127" s="19">
        <v>10</v>
      </c>
      <c r="H127" s="19"/>
      <c r="I127" s="19"/>
      <c r="J127" s="19"/>
      <c r="K127" s="19"/>
      <c r="L127" s="19"/>
      <c r="M127" s="19"/>
      <c r="N127" s="19"/>
      <c r="O127" s="1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>
        <v>25</v>
      </c>
      <c r="AO127" s="18"/>
      <c r="AP127" s="18"/>
      <c r="AQ127" s="20"/>
      <c r="AR127" s="20"/>
      <c r="AS127" s="20"/>
      <c r="AT127" s="20"/>
      <c r="AU127" s="20"/>
      <c r="AV127" s="20">
        <v>10</v>
      </c>
      <c r="AW127" s="21"/>
      <c r="AX127" s="21"/>
      <c r="AY127" s="21"/>
      <c r="AZ127" s="21">
        <v>10</v>
      </c>
      <c r="BA127" s="21"/>
      <c r="BB127" s="21"/>
      <c r="BC127" s="26"/>
      <c r="BD127" s="18"/>
      <c r="BE127" s="18"/>
      <c r="BF127" s="18"/>
      <c r="BG127" s="18"/>
      <c r="BH127" s="18"/>
      <c r="BI127" s="18"/>
      <c r="BJ127" s="18"/>
      <c r="BK127" s="18"/>
      <c r="BL127" s="18"/>
      <c r="BM127" s="18"/>
      <c r="BN127" s="18"/>
      <c r="BO127" s="18"/>
      <c r="BP127" s="18">
        <f>SUM(E127:BO127)</f>
        <v>55</v>
      </c>
      <c r="BQ127" s="18">
        <v>31</v>
      </c>
      <c r="BR127" s="22">
        <v>2</v>
      </c>
      <c r="BS127" s="22" t="s">
        <v>310</v>
      </c>
      <c r="BT127">
        <f>SUM(P127:AD127)</f>
        <v>0</v>
      </c>
      <c r="BU127" s="23">
        <f>AF127+AH127+AI127+AJ127+AO127+AP127</f>
        <v>0</v>
      </c>
    </row>
    <row r="128" spans="1:73" ht="27">
      <c r="A128" s="1"/>
      <c r="B128" s="1" t="s">
        <v>84</v>
      </c>
      <c r="C128" s="1" t="s">
        <v>85</v>
      </c>
      <c r="D128" s="1" t="s">
        <v>86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>
        <v>40</v>
      </c>
      <c r="AW128" s="2">
        <v>40</v>
      </c>
      <c r="AX128" s="2"/>
      <c r="AY128" s="2"/>
      <c r="AZ128" s="2"/>
      <c r="BA128" s="2"/>
      <c r="BB128" s="2">
        <v>40</v>
      </c>
      <c r="BC128" s="14">
        <v>10</v>
      </c>
      <c r="BD128" s="1">
        <v>50</v>
      </c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180</v>
      </c>
      <c r="BQ128" s="1">
        <v>42</v>
      </c>
      <c r="BR128" s="17">
        <v>2</v>
      </c>
      <c r="BS128" s="17" t="s">
        <v>311</v>
      </c>
      <c r="BT128">
        <f>SUM(P128:AD128)</f>
        <v>0</v>
      </c>
      <c r="BU128" s="23">
        <f>AF128+AH128+AI128+AJ128+AO128+AP128</f>
        <v>0</v>
      </c>
    </row>
    <row r="129" spans="1:73" ht="27">
      <c r="A129" s="1">
        <v>23</v>
      </c>
      <c r="B129" s="1" t="s">
        <v>79</v>
      </c>
      <c r="C129" s="1" t="s">
        <v>24</v>
      </c>
      <c r="D129" s="1" t="s">
        <v>29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>SUM(E129:BO129)</f>
        <v>200</v>
      </c>
      <c r="BQ129" s="1">
        <v>90</v>
      </c>
      <c r="BR129" s="17">
        <v>2</v>
      </c>
      <c r="BS129" s="17" t="s">
        <v>312</v>
      </c>
      <c r="BT129">
        <f>SUM(P129:AD129)</f>
        <v>0</v>
      </c>
      <c r="BU129" s="23">
        <f>AF129+AH129+AI129+AJ129+AO129+AP129</f>
        <v>0</v>
      </c>
    </row>
    <row r="130" spans="1:73" ht="27">
      <c r="A130" s="1"/>
      <c r="B130" s="1" t="s">
        <v>140</v>
      </c>
      <c r="C130" s="1" t="s">
        <v>93</v>
      </c>
      <c r="D130" s="1" t="s">
        <v>94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>SUM(E130:BO130)</f>
        <v>200</v>
      </c>
      <c r="BQ130" s="1">
        <v>90</v>
      </c>
      <c r="BR130" s="17">
        <v>2</v>
      </c>
      <c r="BS130" s="17" t="s">
        <v>312</v>
      </c>
      <c r="BT130">
        <f>SUM(P130:AD130)</f>
        <v>0</v>
      </c>
      <c r="BU130" s="23">
        <f>AF130+AH130+AI130+AJ130+AO130+AP130</f>
        <v>0</v>
      </c>
    </row>
    <row r="131" spans="1:73" ht="27">
      <c r="A131" s="1"/>
      <c r="B131" s="1" t="s">
        <v>138</v>
      </c>
      <c r="C131" s="1" t="s">
        <v>125</v>
      </c>
      <c r="D131" s="1" t="s">
        <v>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>SUM(E131:BO131)</f>
        <v>200</v>
      </c>
      <c r="BQ131" s="1">
        <v>90</v>
      </c>
      <c r="BR131" s="17">
        <v>2</v>
      </c>
      <c r="BS131" s="17" t="s">
        <v>312</v>
      </c>
      <c r="BT131">
        <f>SUM(P131:AD131)</f>
        <v>0</v>
      </c>
      <c r="BU131" s="23">
        <f>AF131+AH131+AI131+AJ131+AO131+AP131</f>
        <v>0</v>
      </c>
    </row>
    <row r="132" spans="1:73" ht="27">
      <c r="A132" s="1">
        <v>102</v>
      </c>
      <c r="B132" s="3" t="s">
        <v>166</v>
      </c>
      <c r="C132" s="3" t="s">
        <v>52</v>
      </c>
      <c r="D132" s="1" t="s">
        <v>29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>SUM(E132:BO132)</f>
        <v>200</v>
      </c>
      <c r="BQ132" s="1">
        <v>90</v>
      </c>
      <c r="BR132" s="17">
        <v>2</v>
      </c>
      <c r="BS132" s="17" t="s">
        <v>264</v>
      </c>
      <c r="BT132">
        <f>SUM(P132:AD132)</f>
        <v>0</v>
      </c>
      <c r="BU132" s="23">
        <f>AF132+AH132+AI132+AJ132+AO132+AP132</f>
        <v>0</v>
      </c>
    </row>
    <row r="133" spans="1:73" ht="40.5" hidden="1">
      <c r="A133" s="1"/>
      <c r="B133" s="3" t="s">
        <v>193</v>
      </c>
      <c r="C133" s="3" t="s">
        <v>50</v>
      </c>
      <c r="D133" s="1" t="s"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>
        <v>2</v>
      </c>
      <c r="S133" s="28"/>
      <c r="T133" s="28"/>
      <c r="U133" s="28">
        <v>2</v>
      </c>
      <c r="V133" s="28"/>
      <c r="W133" s="28"/>
      <c r="X133" s="28">
        <v>2</v>
      </c>
      <c r="Y133" s="28"/>
      <c r="Z133" s="28">
        <v>5</v>
      </c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11</v>
      </c>
      <c r="BQ133" s="1">
        <v>4</v>
      </c>
      <c r="BR133" s="17">
        <v>3</v>
      </c>
      <c r="BS133" s="17" t="s">
        <v>313</v>
      </c>
      <c r="BT133">
        <f>SUM(P133:AD133)</f>
        <v>11</v>
      </c>
      <c r="BU133" s="23">
        <f>AF133+AH133+AI133+AJ133+AO133+AP133</f>
        <v>0</v>
      </c>
    </row>
    <row r="134" spans="1:73" ht="40.5" hidden="1">
      <c r="A134" s="1">
        <v>28</v>
      </c>
      <c r="B134" s="1" t="s">
        <v>57</v>
      </c>
      <c r="C134" s="1" t="s">
        <v>24</v>
      </c>
      <c r="D134" s="1" t="s">
        <v>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>
        <v>5</v>
      </c>
      <c r="AI134" s="1">
        <v>5</v>
      </c>
      <c r="AJ134" s="1">
        <v>5</v>
      </c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15</v>
      </c>
      <c r="BQ134" s="1">
        <v>15</v>
      </c>
      <c r="BR134" s="17">
        <v>3</v>
      </c>
      <c r="BS134" s="17" t="s">
        <v>314</v>
      </c>
      <c r="BT134">
        <f>SUM(P134:AD134)</f>
        <v>0</v>
      </c>
      <c r="BU134" s="23">
        <f>AF134+AH134+AI134+AJ134+AO134+AP134</f>
        <v>15</v>
      </c>
    </row>
    <row r="135" spans="1:73" ht="40.5" hidden="1">
      <c r="A135" s="1">
        <v>89</v>
      </c>
      <c r="B135" s="3" t="s">
        <v>62</v>
      </c>
      <c r="C135" s="3" t="s">
        <v>63</v>
      </c>
      <c r="D135" s="1" t="s"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>
        <v>5</v>
      </c>
      <c r="AG135" s="1"/>
      <c r="AH135" s="1">
        <v>5</v>
      </c>
      <c r="AI135" s="1">
        <v>5</v>
      </c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15</v>
      </c>
      <c r="BQ135" s="1">
        <v>15</v>
      </c>
      <c r="BR135" s="17">
        <v>3</v>
      </c>
      <c r="BS135" s="17" t="s">
        <v>315</v>
      </c>
      <c r="BT135">
        <f>SUM(P135:AD135)</f>
        <v>0</v>
      </c>
      <c r="BU135" s="23">
        <f>AF135+AH135+AI135+AJ135+AO135+AP135</f>
        <v>15</v>
      </c>
    </row>
    <row r="136" spans="1:73" ht="40.5" hidden="1">
      <c r="A136" s="1"/>
      <c r="B136" s="1" t="s">
        <v>116</v>
      </c>
      <c r="C136" s="1" t="s">
        <v>117</v>
      </c>
      <c r="D136" s="1" t="s">
        <v>101</v>
      </c>
      <c r="E136" s="6">
        <v>10</v>
      </c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>
        <v>10</v>
      </c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10</v>
      </c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40</v>
      </c>
      <c r="BQ136" s="1">
        <v>19</v>
      </c>
      <c r="BR136" s="17">
        <v>3</v>
      </c>
      <c r="BS136" s="17" t="s">
        <v>303</v>
      </c>
      <c r="BT136">
        <f>SUM(P136:AD136)</f>
        <v>20</v>
      </c>
      <c r="BU136" s="23">
        <f>AF136+AH136+AI136+AJ136+AO136+AP136</f>
        <v>0</v>
      </c>
    </row>
    <row r="137" spans="1:73" ht="40.5" hidden="1">
      <c r="A137" s="1"/>
      <c r="B137" s="1" t="s">
        <v>121</v>
      </c>
      <c r="C137" s="1" t="s">
        <v>120</v>
      </c>
      <c r="D137" s="1" t="s">
        <v>101</v>
      </c>
      <c r="E137" s="6">
        <v>10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>
        <v>10</v>
      </c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>
        <v>10</v>
      </c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40</v>
      </c>
      <c r="BQ137" s="1">
        <v>19</v>
      </c>
      <c r="BR137" s="17">
        <v>3</v>
      </c>
      <c r="BS137" s="17" t="s">
        <v>303</v>
      </c>
      <c r="BT137">
        <f>SUM(P137:AD137)</f>
        <v>20</v>
      </c>
      <c r="BU137" s="23">
        <f>AF137+AH137+AI137+AJ137+AO137+AP137</f>
        <v>0</v>
      </c>
    </row>
    <row r="138" spans="1:73" ht="40.5" hidden="1">
      <c r="A138" s="58"/>
      <c r="B138" s="58" t="s">
        <v>192</v>
      </c>
      <c r="C138" s="58" t="s">
        <v>126</v>
      </c>
      <c r="D138" s="58" t="s">
        <v>101</v>
      </c>
      <c r="E138" s="59">
        <v>10</v>
      </c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60"/>
      <c r="Q138" s="60"/>
      <c r="R138" s="60">
        <v>10</v>
      </c>
      <c r="S138" s="60"/>
      <c r="T138" s="60"/>
      <c r="U138" s="60">
        <v>10</v>
      </c>
      <c r="V138" s="60"/>
      <c r="W138" s="60"/>
      <c r="X138" s="60"/>
      <c r="Y138" s="60"/>
      <c r="Z138" s="60"/>
      <c r="AA138" s="60"/>
      <c r="AB138" s="60"/>
      <c r="AC138" s="60"/>
      <c r="AD138" s="60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61"/>
      <c r="AR138" s="61"/>
      <c r="AS138" s="61"/>
      <c r="AT138" s="61"/>
      <c r="AU138" s="61">
        <v>10</v>
      </c>
      <c r="AV138" s="61"/>
      <c r="AW138" s="62"/>
      <c r="AX138" s="62"/>
      <c r="AY138" s="62"/>
      <c r="AZ138" s="62"/>
      <c r="BA138" s="62"/>
      <c r="BB138" s="62"/>
      <c r="BC138" s="63"/>
      <c r="BD138" s="58"/>
      <c r="BE138" s="58"/>
      <c r="BF138" s="58"/>
      <c r="BG138" s="58"/>
      <c r="BH138" s="58"/>
      <c r="BI138" s="58"/>
      <c r="BJ138" s="58"/>
      <c r="BK138" s="58"/>
      <c r="BL138" s="58"/>
      <c r="BM138" s="58"/>
      <c r="BN138" s="58"/>
      <c r="BO138" s="58"/>
      <c r="BP138" s="58">
        <f>SUM(E138:BO138)</f>
        <v>40</v>
      </c>
      <c r="BQ138" s="58">
        <v>19</v>
      </c>
      <c r="BR138" s="64">
        <v>3</v>
      </c>
      <c r="BS138" s="64" t="s">
        <v>304</v>
      </c>
      <c r="BT138">
        <f>SUM(P138:AD138)</f>
        <v>20</v>
      </c>
      <c r="BU138" s="23">
        <f>AF138+AH138+AI138+AJ138+AO138+AP138</f>
        <v>0</v>
      </c>
    </row>
    <row r="139" spans="1:73" ht="40.5" hidden="1">
      <c r="A139" s="1"/>
      <c r="B139" s="3" t="s">
        <v>227</v>
      </c>
      <c r="C139" s="3" t="s">
        <v>50</v>
      </c>
      <c r="D139" s="1" t="s">
        <v>195</v>
      </c>
      <c r="E139" s="6">
        <v>10</v>
      </c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>
        <v>10</v>
      </c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19</v>
      </c>
      <c r="BR139" s="17">
        <v>3</v>
      </c>
      <c r="BS139" s="17" t="s">
        <v>303</v>
      </c>
      <c r="BT139">
        <f>SUM(P139:AD139)</f>
        <v>20</v>
      </c>
      <c r="BU139" s="23">
        <f>AF139+AH139+AI139+AJ139+AO139+AP139</f>
        <v>0</v>
      </c>
    </row>
    <row r="140" spans="1:73" ht="40.5" hidden="1">
      <c r="A140" s="1"/>
      <c r="B140" s="1" t="s">
        <v>242</v>
      </c>
      <c r="C140" s="1" t="s">
        <v>52</v>
      </c>
      <c r="D140" s="1" t="s">
        <v>236</v>
      </c>
      <c r="E140" s="6">
        <v>10</v>
      </c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>
        <v>10</v>
      </c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19</v>
      </c>
      <c r="BR140" s="17">
        <v>3</v>
      </c>
      <c r="BS140" s="17" t="s">
        <v>303</v>
      </c>
      <c r="BT140">
        <f>SUM(P140:AD140)</f>
        <v>20</v>
      </c>
      <c r="BU140" s="23">
        <f>AF140+AH140+AI140+AJ140+AO140+AP140</f>
        <v>0</v>
      </c>
    </row>
    <row r="141" spans="1:73" ht="40.5" hidden="1">
      <c r="A141" s="1"/>
      <c r="B141" s="1" t="s">
        <v>128</v>
      </c>
      <c r="C141" s="1" t="s">
        <v>126</v>
      </c>
      <c r="D141" s="1" t="s">
        <v>101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>
        <v>10</v>
      </c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>
        <v>10</v>
      </c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40</v>
      </c>
      <c r="BQ141" s="1">
        <v>27</v>
      </c>
      <c r="BR141" s="17">
        <v>3</v>
      </c>
      <c r="BS141" s="17" t="s">
        <v>316</v>
      </c>
      <c r="BT141">
        <f>SUM(P141:AD141)</f>
        <v>20</v>
      </c>
      <c r="BU141" s="23">
        <f>AF141+AH141+AI141+AJ141+AO141+AP141</f>
        <v>0</v>
      </c>
    </row>
    <row r="142" spans="1:73" ht="40.5" hidden="1">
      <c r="A142" s="1"/>
      <c r="B142" s="1" t="s">
        <v>115</v>
      </c>
      <c r="C142" s="1" t="s">
        <v>98</v>
      </c>
      <c r="D142" s="1" t="s">
        <v>101</v>
      </c>
      <c r="E142" s="6"/>
      <c r="F142" s="6"/>
      <c r="G142" s="6"/>
      <c r="H142" s="6">
        <v>10</v>
      </c>
      <c r="I142" s="6"/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>
        <v>10</v>
      </c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40</v>
      </c>
      <c r="BQ142" s="1">
        <v>28</v>
      </c>
      <c r="BR142" s="17">
        <v>3</v>
      </c>
      <c r="BS142" s="17" t="s">
        <v>317</v>
      </c>
      <c r="BT142">
        <f>SUM(P142:AD142)</f>
        <v>20</v>
      </c>
      <c r="BU142" s="23">
        <f>AF142+AH142+AI142+AJ142+AO142+AP142</f>
        <v>0</v>
      </c>
    </row>
    <row r="143" spans="1:73" ht="40.5" hidden="1">
      <c r="A143" s="1"/>
      <c r="B143" s="3" t="s">
        <v>205</v>
      </c>
      <c r="C143" s="3" t="s">
        <v>97</v>
      </c>
      <c r="D143" s="1" t="s">
        <v>195</v>
      </c>
      <c r="E143" s="6"/>
      <c r="F143" s="6"/>
      <c r="G143" s="6"/>
      <c r="H143" s="6">
        <v>10</v>
      </c>
      <c r="I143" s="6"/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>
        <v>10</v>
      </c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40</v>
      </c>
      <c r="BQ143" s="1">
        <v>28</v>
      </c>
      <c r="BR143" s="17">
        <v>3</v>
      </c>
      <c r="BS143" s="17" t="s">
        <v>265</v>
      </c>
      <c r="BT143">
        <f>SUM(P143:AD143)</f>
        <v>20</v>
      </c>
      <c r="BU143" s="23">
        <f>AF143+AH143+AI143+AJ143+AO143+AP143</f>
        <v>0</v>
      </c>
    </row>
    <row r="144" spans="1:73" ht="40.5" hidden="1">
      <c r="A144" s="1"/>
      <c r="B144" s="1" t="s">
        <v>241</v>
      </c>
      <c r="C144" s="1" t="s">
        <v>50</v>
      </c>
      <c r="D144" s="1" t="s">
        <v>236</v>
      </c>
      <c r="E144" s="6"/>
      <c r="F144" s="6"/>
      <c r="G144" s="6"/>
      <c r="H144" s="6">
        <v>10</v>
      </c>
      <c r="I144" s="6"/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>
        <v>10</v>
      </c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40</v>
      </c>
      <c r="BQ144" s="1">
        <v>28</v>
      </c>
      <c r="BR144" s="17">
        <v>3</v>
      </c>
      <c r="BS144" s="17" t="s">
        <v>317</v>
      </c>
      <c r="BT144">
        <f>SUM(P144:AD144)</f>
        <v>20</v>
      </c>
      <c r="BU144" s="23">
        <f>AF144+AH144+AI144+AJ144+AO144+AP144</f>
        <v>0</v>
      </c>
    </row>
    <row r="145" spans="1:73" ht="40.5">
      <c r="A145" s="58">
        <v>4</v>
      </c>
      <c r="B145" s="58" t="s">
        <v>229</v>
      </c>
      <c r="C145" s="58" t="s">
        <v>1</v>
      </c>
      <c r="D145" s="58" t="s">
        <v>175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61">
        <v>40</v>
      </c>
      <c r="AR145" s="61"/>
      <c r="AS145" s="61"/>
      <c r="AT145" s="61"/>
      <c r="AU145" s="61"/>
      <c r="AV145" s="61"/>
      <c r="AW145" s="62">
        <v>40</v>
      </c>
      <c r="AX145" s="62">
        <v>40</v>
      </c>
      <c r="AY145" s="62"/>
      <c r="AZ145" s="62"/>
      <c r="BA145" s="62"/>
      <c r="BB145" s="62"/>
      <c r="BC145" s="63">
        <v>10</v>
      </c>
      <c r="BD145" s="58"/>
      <c r="BE145" s="58">
        <v>50</v>
      </c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>
        <f>SUM(E145:BO145)</f>
        <v>180</v>
      </c>
      <c r="BQ145" s="58">
        <v>53</v>
      </c>
      <c r="BR145" s="64">
        <v>3</v>
      </c>
      <c r="BS145" s="64" t="s">
        <v>318</v>
      </c>
      <c r="BT145">
        <f>SUM(P145:AD145)</f>
        <v>0</v>
      </c>
      <c r="BU145" s="23">
        <f>AF145+AH145+AI145+AJ145+AO145+AP145</f>
        <v>0</v>
      </c>
    </row>
    <row r="146" spans="1:73" ht="40.5">
      <c r="A146" s="1">
        <v>85</v>
      </c>
      <c r="B146" s="3" t="s">
        <v>147</v>
      </c>
      <c r="C146" s="3" t="s">
        <v>50</v>
      </c>
      <c r="D146" s="1" t="s">
        <v>29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>
        <v>50</v>
      </c>
      <c r="BM146" s="1">
        <v>50</v>
      </c>
      <c r="BN146" s="1">
        <v>50</v>
      </c>
      <c r="BO146" s="1">
        <v>50</v>
      </c>
      <c r="BP146" s="1">
        <f>SUM(E146:BO146)</f>
        <v>200</v>
      </c>
      <c r="BQ146" s="1">
        <v>103</v>
      </c>
      <c r="BR146" s="17">
        <v>3</v>
      </c>
      <c r="BS146" s="17" t="s">
        <v>266</v>
      </c>
      <c r="BT146">
        <f>SUM(P146:AD146)</f>
        <v>0</v>
      </c>
      <c r="BU146" s="23">
        <f>AF146+AH146+AI146+AJ146+AO146+AP146</f>
        <v>0</v>
      </c>
    </row>
    <row r="147" spans="1:73" ht="40.5">
      <c r="A147" s="1"/>
      <c r="B147" s="1" t="s">
        <v>145</v>
      </c>
      <c r="C147" s="1" t="s">
        <v>96</v>
      </c>
      <c r="D147" s="1" t="s">
        <v>94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>
        <v>50</v>
      </c>
      <c r="BM147" s="1">
        <v>50</v>
      </c>
      <c r="BN147" s="1">
        <v>50</v>
      </c>
      <c r="BO147" s="1">
        <v>50</v>
      </c>
      <c r="BP147" s="1">
        <f>SUM(E147:BO147)</f>
        <v>200</v>
      </c>
      <c r="BQ147" s="1">
        <v>103</v>
      </c>
      <c r="BR147" s="17">
        <v>3</v>
      </c>
      <c r="BS147" s="17" t="s">
        <v>266</v>
      </c>
      <c r="BT147">
        <f>SUM(P147:AD147)</f>
        <v>0</v>
      </c>
      <c r="BU147" s="23">
        <f>AF147+AH147+AI147+AJ147+AO147+AP147</f>
        <v>0</v>
      </c>
    </row>
    <row r="148" spans="1:73" ht="40.5">
      <c r="A148" s="1"/>
      <c r="B148" s="1" t="s">
        <v>165</v>
      </c>
      <c r="C148" s="1" t="s">
        <v>96</v>
      </c>
      <c r="D148" s="1" t="s">
        <v>94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>
        <v>50</v>
      </c>
      <c r="BM148" s="1">
        <v>50</v>
      </c>
      <c r="BN148" s="1">
        <v>50</v>
      </c>
      <c r="BO148" s="1">
        <v>50</v>
      </c>
      <c r="BP148" s="1">
        <f>SUM(E148:BO148)</f>
        <v>200</v>
      </c>
      <c r="BQ148" s="1">
        <v>103</v>
      </c>
      <c r="BR148" s="17">
        <v>3</v>
      </c>
      <c r="BS148" s="17" t="s">
        <v>266</v>
      </c>
      <c r="BT148">
        <f>SUM(P148:AD148)</f>
        <v>0</v>
      </c>
      <c r="BU148" s="23">
        <f>AF148+AH148+AI148+AJ148+AO148+AP148</f>
        <v>0</v>
      </c>
    </row>
    <row r="149" spans="1:73" ht="54">
      <c r="A149" s="1"/>
      <c r="B149" s="1" t="s">
        <v>142</v>
      </c>
      <c r="C149" s="1" t="s">
        <v>96</v>
      </c>
      <c r="D149" s="1" t="s">
        <v>82</v>
      </c>
      <c r="E149" s="6"/>
      <c r="F149" s="6"/>
      <c r="G149" s="6">
        <v>20</v>
      </c>
      <c r="H149" s="6">
        <v>20</v>
      </c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>
        <v>20</v>
      </c>
      <c r="BB149" s="2">
        <v>20</v>
      </c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>
        <f>SUM(E149:BO149)</f>
        <v>80</v>
      </c>
      <c r="BQ149" s="1">
        <v>41</v>
      </c>
      <c r="BR149" s="17">
        <v>4</v>
      </c>
      <c r="BS149" s="17" t="s">
        <v>319</v>
      </c>
      <c r="BT149">
        <f>SUM(P149:AD149)</f>
        <v>0</v>
      </c>
      <c r="BU149" s="23">
        <f>AF149+AH149+AI149+AJ149+AO149+AP149</f>
        <v>0</v>
      </c>
    </row>
    <row r="150" spans="1:73">
      <c r="A150" s="1"/>
      <c r="B150" s="1" t="s">
        <v>54</v>
      </c>
      <c r="C150" s="1"/>
      <c r="D150" s="1"/>
      <c r="E150" s="6">
        <f>SUM(E2:E149)</f>
        <v>112</v>
      </c>
      <c r="F150" s="6">
        <f>SUM(F2:F149)</f>
        <v>21</v>
      </c>
      <c r="G150" s="6">
        <f>SUM(G2:G149)</f>
        <v>135</v>
      </c>
      <c r="H150" s="6">
        <f>SUM(H2:H149)</f>
        <v>124</v>
      </c>
      <c r="I150" s="6">
        <f>SUM(I2:I149)</f>
        <v>37</v>
      </c>
      <c r="J150" s="6">
        <f>SUM(J2:J149)</f>
        <v>60</v>
      </c>
      <c r="K150" s="6">
        <f>SUM(K2:K149)</f>
        <v>16</v>
      </c>
      <c r="L150" s="6">
        <f>SUM(L2:L149)</f>
        <v>72</v>
      </c>
      <c r="M150" s="6">
        <f>SUM(M2:M149)</f>
        <v>46</v>
      </c>
      <c r="N150" s="6">
        <f>SUM(N2:N149)</f>
        <v>10</v>
      </c>
      <c r="O150" s="6">
        <f>SUM(O2:O149)</f>
        <v>56</v>
      </c>
      <c r="P150" s="28">
        <f>SUM(P2:P149)</f>
        <v>230</v>
      </c>
      <c r="Q150" s="28">
        <f>SUM(Q2:Q149)</f>
        <v>131</v>
      </c>
      <c r="R150" s="28">
        <f>SUM(R2:R149)</f>
        <v>171</v>
      </c>
      <c r="S150" s="28">
        <f>SUM(S2:S149)</f>
        <v>230</v>
      </c>
      <c r="T150" s="28">
        <f>SUM(T2:T149)</f>
        <v>111</v>
      </c>
      <c r="U150" s="28">
        <f>SUM(U2:U149)</f>
        <v>146</v>
      </c>
      <c r="V150" s="28">
        <f>SUM(V2:V149)</f>
        <v>235</v>
      </c>
      <c r="W150" s="28">
        <f>SUM(W2:W149)</f>
        <v>85</v>
      </c>
      <c r="X150" s="28">
        <f>SUM(X2:X149)</f>
        <v>157</v>
      </c>
      <c r="Y150" s="28">
        <f>SUM(Y2:Y149)</f>
        <v>215</v>
      </c>
      <c r="Z150" s="28">
        <f>SUM(Z2:Z149)</f>
        <v>100</v>
      </c>
      <c r="AA150" s="28">
        <f>SUM(AA2:AA149)</f>
        <v>137</v>
      </c>
      <c r="AB150" s="28">
        <f>SUM(AB2:AB149)</f>
        <v>240</v>
      </c>
      <c r="AC150" s="28">
        <f>SUM(AC2:AC149)</f>
        <v>85</v>
      </c>
      <c r="AD150" s="28">
        <f>SUM(AD2:AD149)</f>
        <v>114</v>
      </c>
      <c r="AE150" s="1">
        <f>SUM(AE2:AE149)</f>
        <v>250</v>
      </c>
      <c r="AF150" s="1">
        <f>SUM(AF2:AF149)</f>
        <v>10</v>
      </c>
      <c r="AG150" s="1">
        <f>SUM(AG2:AG149)</f>
        <v>5</v>
      </c>
      <c r="AH150" s="1">
        <f>SUM(AH2:AH149)</f>
        <v>30</v>
      </c>
      <c r="AI150" s="1">
        <f>SUM(AI2:AI149)</f>
        <v>30</v>
      </c>
      <c r="AJ150" s="1">
        <f>SUM(AJ2:AJ149)</f>
        <v>5</v>
      </c>
      <c r="AK150" s="1">
        <f>SUM(AK2:AK149)</f>
        <v>0</v>
      </c>
      <c r="AL150" s="1">
        <f>SUM(AL2:AL149)</f>
        <v>0</v>
      </c>
      <c r="AM150" s="1">
        <f>SUM(AM2:AM149)</f>
        <v>0</v>
      </c>
      <c r="AN150" s="1">
        <f>SUM(AN2:AN149)</f>
        <v>45</v>
      </c>
      <c r="AO150" s="1">
        <f>SUM(AO2:AO149)</f>
        <v>33</v>
      </c>
      <c r="AP150" s="1">
        <f>SUM(AP2:AP149)</f>
        <v>27</v>
      </c>
      <c r="AQ150" s="4">
        <f>SUM(AQ2:AQ149)</f>
        <v>110</v>
      </c>
      <c r="AR150" s="4">
        <f>SUM(AR2:AR149)</f>
        <v>85</v>
      </c>
      <c r="AS150" s="4">
        <f>SUM(AS2:AS149)</f>
        <v>70</v>
      </c>
      <c r="AT150" s="4">
        <f>SUM(AT2:AT149)</f>
        <v>75</v>
      </c>
      <c r="AU150" s="4">
        <f>SUM(AU2:AU149)</f>
        <v>115</v>
      </c>
      <c r="AV150" s="4">
        <f>SUM(AV2:AV149)</f>
        <v>135</v>
      </c>
      <c r="AW150" s="2">
        <f>SUM(AW2:AW149)</f>
        <v>90</v>
      </c>
      <c r="AX150" s="2">
        <f>SUM(AX2:AX149)</f>
        <v>45</v>
      </c>
      <c r="AY150" s="2">
        <f>SUM(AY2:AY149)</f>
        <v>75</v>
      </c>
      <c r="AZ150" s="2">
        <f>SUM(AZ2:AZ149)</f>
        <v>85</v>
      </c>
      <c r="BA150" s="2">
        <f>SUM(BA2:BA149)</f>
        <v>110</v>
      </c>
      <c r="BB150" s="2">
        <f>SUM(BB2:BB149)</f>
        <v>170</v>
      </c>
      <c r="BC150" s="1">
        <f>SUM(BC2:BC149)</f>
        <v>30</v>
      </c>
      <c r="BD150" s="1">
        <f>SUM(BD2:BD149)</f>
        <v>90</v>
      </c>
      <c r="BE150" s="1">
        <f>SUM(BE2:BE149)</f>
        <v>90</v>
      </c>
      <c r="BF150" s="1">
        <f>SUM(BF2:BF149)</f>
        <v>20</v>
      </c>
      <c r="BG150" s="1">
        <f>SUM(BG2:BG149)</f>
        <v>20</v>
      </c>
      <c r="BH150" s="1">
        <f>SUM(BH2:BH149)</f>
        <v>20</v>
      </c>
      <c r="BI150" s="1">
        <f>SUM(BI2:BI149)</f>
        <v>70</v>
      </c>
      <c r="BJ150" s="1">
        <f>SUM(BJ2:BJ149)</f>
        <v>200</v>
      </c>
      <c r="BK150" s="1">
        <f>SUM(BK2:BK149)</f>
        <v>200</v>
      </c>
      <c r="BL150" s="1">
        <f>SUM(BL2:BL149)</f>
        <v>150</v>
      </c>
      <c r="BM150" s="1">
        <f>SUM(BM2:BM149)</f>
        <v>150</v>
      </c>
      <c r="BN150" s="1">
        <f>SUM(BN2:BN149)</f>
        <v>350</v>
      </c>
      <c r="BO150" s="1">
        <f>SUM(BO2:BO149)</f>
        <v>350</v>
      </c>
      <c r="BP150" s="1"/>
      <c r="BQ150" s="1"/>
      <c r="BR150" s="17"/>
      <c r="BS150" s="17"/>
    </row>
    <row r="151" spans="1:73">
      <c r="A151" s="1"/>
      <c r="B151" s="3" t="s">
        <v>71</v>
      </c>
      <c r="C151" s="1"/>
      <c r="D151" s="1"/>
      <c r="E151" s="1">
        <v>9</v>
      </c>
      <c r="F151" s="1">
        <v>19</v>
      </c>
      <c r="G151" s="1">
        <v>4</v>
      </c>
      <c r="H151" s="1">
        <v>1</v>
      </c>
      <c r="I151" s="1">
        <v>61</v>
      </c>
      <c r="J151" s="1">
        <v>61</v>
      </c>
      <c r="K151" s="1">
        <v>56</v>
      </c>
      <c r="L151" s="1">
        <v>62</v>
      </c>
      <c r="M151" s="1">
        <v>32</v>
      </c>
      <c r="N151" s="1">
        <v>66</v>
      </c>
      <c r="O151" s="1">
        <v>31</v>
      </c>
      <c r="P151" s="14">
        <v>42</v>
      </c>
      <c r="Q151" s="14">
        <v>19</v>
      </c>
      <c r="R151" s="14">
        <v>1</v>
      </c>
      <c r="S151" s="14">
        <v>72</v>
      </c>
      <c r="T151" s="14">
        <v>23</v>
      </c>
      <c r="U151" s="14">
        <v>1</v>
      </c>
      <c r="V151" s="14">
        <v>39</v>
      </c>
      <c r="W151" s="14">
        <v>4</v>
      </c>
      <c r="X151" s="14">
        <v>0</v>
      </c>
      <c r="Y151" s="14">
        <v>41</v>
      </c>
      <c r="Z151" s="14">
        <v>15</v>
      </c>
      <c r="AA151" s="14">
        <v>9</v>
      </c>
      <c r="AB151" s="14">
        <v>67</v>
      </c>
      <c r="AC151" s="14">
        <v>11</v>
      </c>
      <c r="AD151" s="14">
        <v>12</v>
      </c>
      <c r="AE151" s="1">
        <v>10</v>
      </c>
      <c r="AF151" s="1">
        <v>0</v>
      </c>
      <c r="AG151" s="1">
        <v>4</v>
      </c>
      <c r="AH151" s="1">
        <v>0</v>
      </c>
      <c r="AI151" s="1">
        <v>0</v>
      </c>
      <c r="AJ151" s="1">
        <v>0</v>
      </c>
      <c r="AK151" s="1">
        <v>33</v>
      </c>
      <c r="AL151" s="1">
        <v>43</v>
      </c>
      <c r="AM151" s="1">
        <v>0</v>
      </c>
      <c r="AN151" s="1">
        <v>0</v>
      </c>
      <c r="AO151" s="1">
        <v>0</v>
      </c>
      <c r="AP151" s="1">
        <v>0</v>
      </c>
      <c r="AQ151" s="14">
        <v>18</v>
      </c>
      <c r="AR151" s="14">
        <v>35</v>
      </c>
      <c r="AS151" s="14">
        <v>30</v>
      </c>
      <c r="AT151" s="14">
        <v>20</v>
      </c>
      <c r="AU151" s="14">
        <v>63</v>
      </c>
      <c r="AV151" s="14">
        <v>61</v>
      </c>
      <c r="AW151" s="14">
        <v>21</v>
      </c>
      <c r="AX151" s="14">
        <v>28</v>
      </c>
      <c r="AY151" s="14">
        <v>52</v>
      </c>
      <c r="AZ151" s="14">
        <v>39</v>
      </c>
      <c r="BA151" s="14">
        <v>17</v>
      </c>
      <c r="BB151" s="14">
        <v>17</v>
      </c>
      <c r="BC151" s="14">
        <v>12</v>
      </c>
      <c r="BD151" s="1">
        <v>255</v>
      </c>
      <c r="BE151" s="1">
        <v>396</v>
      </c>
      <c r="BF151" s="1">
        <v>312</v>
      </c>
      <c r="BG151" s="1">
        <v>330</v>
      </c>
      <c r="BH151" s="1">
        <v>162</v>
      </c>
      <c r="BI151" s="1">
        <v>195</v>
      </c>
      <c r="BJ151" s="1">
        <v>80</v>
      </c>
      <c r="BK151" s="1">
        <v>89</v>
      </c>
      <c r="BL151" s="1">
        <v>140</v>
      </c>
      <c r="BM151" s="1">
        <v>37</v>
      </c>
      <c r="BN151" s="1">
        <v>5</v>
      </c>
      <c r="BO151" s="1">
        <v>5</v>
      </c>
      <c r="BP151" s="1"/>
      <c r="BQ151" s="1"/>
      <c r="BR151" s="17"/>
      <c r="BS151" s="17"/>
    </row>
    <row r="152" spans="1:73">
      <c r="A152" s="1"/>
      <c r="B152" s="3" t="s">
        <v>78</v>
      </c>
      <c r="C152" s="1"/>
      <c r="D152" s="1"/>
      <c r="E152" s="1">
        <f>E151-E150</f>
        <v>-103</v>
      </c>
      <c r="F152" s="1">
        <f>F151-F150</f>
        <v>-2</v>
      </c>
      <c r="G152" s="1">
        <f>G151-G150</f>
        <v>-131</v>
      </c>
      <c r="H152" s="1">
        <f>H151-H150</f>
        <v>-123</v>
      </c>
      <c r="I152" s="1">
        <f>I151-I150</f>
        <v>24</v>
      </c>
      <c r="J152" s="1">
        <f>J151-J150</f>
        <v>1</v>
      </c>
      <c r="K152" s="1">
        <f>K151-K150</f>
        <v>40</v>
      </c>
      <c r="L152" s="1">
        <f>L151-L150</f>
        <v>-10</v>
      </c>
      <c r="M152" s="1">
        <f>M151-M150</f>
        <v>-14</v>
      </c>
      <c r="N152" s="1">
        <f>N151-N150</f>
        <v>56</v>
      </c>
      <c r="O152" s="1">
        <f>O151-O150</f>
        <v>-25</v>
      </c>
      <c r="P152" s="1">
        <f>P151-P150</f>
        <v>-188</v>
      </c>
      <c r="Q152" s="1">
        <f>Q151-Q150</f>
        <v>-112</v>
      </c>
      <c r="R152" s="1">
        <f>R151-R150</f>
        <v>-170</v>
      </c>
      <c r="S152" s="1">
        <f>S151-S150</f>
        <v>-158</v>
      </c>
      <c r="T152" s="1">
        <f>T151-T150</f>
        <v>-88</v>
      </c>
      <c r="U152" s="1">
        <f>U151-U150</f>
        <v>-145</v>
      </c>
      <c r="V152" s="1">
        <f>V151-V150</f>
        <v>-196</v>
      </c>
      <c r="W152" s="1">
        <f>W151-W150</f>
        <v>-81</v>
      </c>
      <c r="X152" s="1">
        <f>X151-X150</f>
        <v>-157</v>
      </c>
      <c r="Y152" s="1">
        <f>Y151-Y150</f>
        <v>-174</v>
      </c>
      <c r="Z152" s="1">
        <f>Z151-Z150</f>
        <v>-85</v>
      </c>
      <c r="AA152" s="1">
        <f>AA151-AA150</f>
        <v>-128</v>
      </c>
      <c r="AB152" s="1">
        <f>AB151-AB150</f>
        <v>-173</v>
      </c>
      <c r="AC152" s="1">
        <f>AC151-AC150</f>
        <v>-74</v>
      </c>
      <c r="AD152" s="1">
        <f>AD151-AD150</f>
        <v>-102</v>
      </c>
      <c r="AE152" s="1">
        <f>AE151-AE150</f>
        <v>-240</v>
      </c>
      <c r="AF152" s="1">
        <f>AF151-AF150</f>
        <v>-10</v>
      </c>
      <c r="AG152" s="1">
        <f>AG151-AG150</f>
        <v>-1</v>
      </c>
      <c r="AH152" s="1">
        <f>AH151-AH150</f>
        <v>-30</v>
      </c>
      <c r="AI152" s="1">
        <f>AI151-AI150</f>
        <v>-30</v>
      </c>
      <c r="AJ152" s="1">
        <f>AJ151-AJ150</f>
        <v>-5</v>
      </c>
      <c r="AK152" s="1">
        <f>AK151-AK150</f>
        <v>33</v>
      </c>
      <c r="AL152" s="1">
        <f>AL151-AL150</f>
        <v>43</v>
      </c>
      <c r="AM152" s="1">
        <f>AM151-AM150</f>
        <v>0</v>
      </c>
      <c r="AN152" s="1">
        <f>AN151-AN150</f>
        <v>-45</v>
      </c>
      <c r="AO152" s="1">
        <f>AO151-AO150</f>
        <v>-33</v>
      </c>
      <c r="AP152" s="1">
        <f>AP151-AP150</f>
        <v>-27</v>
      </c>
      <c r="AQ152" s="1">
        <f>AQ151-AQ150</f>
        <v>-92</v>
      </c>
      <c r="AR152" s="1">
        <f>AR151-AR150</f>
        <v>-50</v>
      </c>
      <c r="AS152" s="1">
        <f>AS151-AS150</f>
        <v>-40</v>
      </c>
      <c r="AT152" s="1">
        <f>AT151-AT150</f>
        <v>-55</v>
      </c>
      <c r="AU152" s="1">
        <f>AU151-AU150</f>
        <v>-52</v>
      </c>
      <c r="AV152" s="1">
        <f>AV151-AV150</f>
        <v>-74</v>
      </c>
      <c r="AW152" s="1">
        <f>AW151-AW150</f>
        <v>-69</v>
      </c>
      <c r="AX152" s="1">
        <f>AX151-AX150</f>
        <v>-17</v>
      </c>
      <c r="AY152" s="1">
        <f>AY151-AY150</f>
        <v>-23</v>
      </c>
      <c r="AZ152" s="1">
        <f>AZ151-AZ150</f>
        <v>-46</v>
      </c>
      <c r="BA152" s="1">
        <f>BA151-BA150</f>
        <v>-93</v>
      </c>
      <c r="BB152" s="1">
        <f>BB151-BB150</f>
        <v>-153</v>
      </c>
      <c r="BC152" s="1">
        <f>BC151-BC150</f>
        <v>-18</v>
      </c>
      <c r="BD152" s="1">
        <f>BD151-BD150</f>
        <v>165</v>
      </c>
      <c r="BE152" s="1">
        <f>BE151-BE150</f>
        <v>306</v>
      </c>
      <c r="BF152" s="1">
        <f>BF151-BF150</f>
        <v>292</v>
      </c>
      <c r="BG152" s="1">
        <f>BG151-BG150</f>
        <v>310</v>
      </c>
      <c r="BH152" s="1">
        <f>BH151-BH150</f>
        <v>142</v>
      </c>
      <c r="BI152" s="1">
        <f>BI151-BI150</f>
        <v>125</v>
      </c>
      <c r="BJ152" s="1">
        <f>BJ151-BJ150</f>
        <v>-120</v>
      </c>
      <c r="BK152" s="1">
        <f>BK151-BK150</f>
        <v>-111</v>
      </c>
      <c r="BL152" s="1">
        <f>BL151-BL150</f>
        <v>-10</v>
      </c>
      <c r="BM152" s="1">
        <f>BM151-BM150</f>
        <v>-113</v>
      </c>
      <c r="BN152" s="1">
        <f>BN151-BN150</f>
        <v>-345</v>
      </c>
      <c r="BO152" s="1">
        <f>BO151-BO150</f>
        <v>-345</v>
      </c>
      <c r="BP152" s="1"/>
      <c r="BQ152" s="1"/>
      <c r="BR152" s="17"/>
      <c r="BS152" s="17"/>
    </row>
    <row r="153" spans="1:73">
      <c r="A153" s="1"/>
      <c r="B153" s="3" t="s">
        <v>148</v>
      </c>
      <c r="C153" s="1"/>
      <c r="D153" s="1"/>
      <c r="E153" s="1">
        <f>MAX(E2:E149)</f>
        <v>15</v>
      </c>
      <c r="F153" s="1">
        <f>MAX(F2:F149)</f>
        <v>15</v>
      </c>
      <c r="G153" s="1">
        <f>MAX(G2:G149)</f>
        <v>20</v>
      </c>
      <c r="H153" s="1">
        <f>MAX(H2:H149)</f>
        <v>20</v>
      </c>
      <c r="I153" s="1">
        <f>MAX(I2:I149)</f>
        <v>10</v>
      </c>
      <c r="J153" s="1">
        <f>MAX(J2:J149)</f>
        <v>10</v>
      </c>
      <c r="K153" s="1">
        <f>MAX(K2:K149)</f>
        <v>10</v>
      </c>
      <c r="L153" s="1">
        <f>MAX(L2:L149)</f>
        <v>20</v>
      </c>
      <c r="M153" s="1">
        <f>MAX(M2:M149)</f>
        <v>10</v>
      </c>
      <c r="N153" s="1">
        <f>MAX(N2:N149)</f>
        <v>10</v>
      </c>
      <c r="O153" s="1">
        <f>MAX(O2:O149)</f>
        <v>20</v>
      </c>
      <c r="P153" s="1">
        <f>MAX(P2:P149)</f>
        <v>10</v>
      </c>
      <c r="Q153" s="1">
        <f>MAX(Q2:Q149)</f>
        <v>7</v>
      </c>
      <c r="R153" s="1">
        <f>MAX(R2:R149)</f>
        <v>10</v>
      </c>
      <c r="S153" s="1">
        <f>MAX(S2:S149)</f>
        <v>10</v>
      </c>
      <c r="T153" s="1">
        <f>MAX(T2:T149)</f>
        <v>7</v>
      </c>
      <c r="U153" s="1">
        <f>MAX(U2:U149)</f>
        <v>10</v>
      </c>
      <c r="V153" s="1">
        <f>MAX(V2:V149)</f>
        <v>10</v>
      </c>
      <c r="W153" s="1">
        <f>MAX(W2:W149)</f>
        <v>5</v>
      </c>
      <c r="X153" s="1">
        <f>MAX(X2:X149)</f>
        <v>10</v>
      </c>
      <c r="Y153" s="1">
        <f>MAX(Y2:Y149)</f>
        <v>10</v>
      </c>
      <c r="Z153" s="1">
        <f>MAX(Z2:Z149)</f>
        <v>5</v>
      </c>
      <c r="AA153" s="1">
        <f>MAX(AA2:AA149)</f>
        <v>10</v>
      </c>
      <c r="AB153" s="1">
        <f>MAX(AB2:AB149)</f>
        <v>10</v>
      </c>
      <c r="AC153" s="1">
        <f>MAX(AC2:AC149)</f>
        <v>5</v>
      </c>
      <c r="AD153" s="1">
        <f>MAX(AD2:AD149)</f>
        <v>10</v>
      </c>
      <c r="AE153" s="1">
        <f>MAX(AE2:AE149)</f>
        <v>200</v>
      </c>
      <c r="AF153" s="1">
        <f>MAX(AF2:AF149)</f>
        <v>5</v>
      </c>
      <c r="AG153" s="1">
        <f>MAX(AG2:AG149)</f>
        <v>5</v>
      </c>
      <c r="AH153" s="1">
        <f>MAX(AH2:AH149)</f>
        <v>5</v>
      </c>
      <c r="AI153" s="1">
        <f>MAX(AI2:AI149)</f>
        <v>5</v>
      </c>
      <c r="AJ153" s="1">
        <f>MAX(AJ2:AJ149)</f>
        <v>5</v>
      </c>
      <c r="AK153" s="1">
        <f>MAX(AK2:AK149)</f>
        <v>0</v>
      </c>
      <c r="AL153" s="1">
        <f>MAX(AL2:AL149)</f>
        <v>0</v>
      </c>
      <c r="AM153" s="1">
        <f>MAX(AM2:AM149)</f>
        <v>0</v>
      </c>
      <c r="AN153" s="1">
        <f>MAX(AN2:AN149)</f>
        <v>25</v>
      </c>
      <c r="AO153" s="1">
        <f>MAX(AO2:AO149)</f>
        <v>10</v>
      </c>
      <c r="AP153" s="1">
        <f>MAX(AP2:AP149)</f>
        <v>10</v>
      </c>
      <c r="AQ153" s="1">
        <f>MAX(AQ2:AQ149)</f>
        <v>40</v>
      </c>
      <c r="AR153" s="1">
        <f>MAX(AR2:AR149)</f>
        <v>15</v>
      </c>
      <c r="AS153" s="1">
        <f>MAX(AS2:AS149)</f>
        <v>15</v>
      </c>
      <c r="AT153" s="1">
        <f>MAX(AT2:AT149)</f>
        <v>15</v>
      </c>
      <c r="AU153" s="1">
        <f>MAX(AU2:AU149)</f>
        <v>40</v>
      </c>
      <c r="AV153" s="1">
        <f>MAX(AV2:AV149)</f>
        <v>40</v>
      </c>
      <c r="AW153" s="1">
        <f>MAX(AW2:AW149)</f>
        <v>40</v>
      </c>
      <c r="AX153" s="1">
        <f>MAX(AX2:AX149)</f>
        <v>40</v>
      </c>
      <c r="AY153" s="1">
        <f>MAX(AY2:AY149)</f>
        <v>40</v>
      </c>
      <c r="AZ153" s="1">
        <f>MAX(AZ2:AZ149)</f>
        <v>40</v>
      </c>
      <c r="BA153" s="1">
        <f>MAX(BA2:BA149)</f>
        <v>20</v>
      </c>
      <c r="BB153" s="1">
        <f>MAX(BB2:BB149)</f>
        <v>40</v>
      </c>
      <c r="BC153" s="1">
        <f>MAX(BC2:BC149)</f>
        <v>10</v>
      </c>
      <c r="BD153" s="1">
        <f>MAX(BD2:BD149)</f>
        <v>50</v>
      </c>
      <c r="BE153" s="1">
        <f>MAX(BE2:BE149)</f>
        <v>50</v>
      </c>
      <c r="BF153" s="1">
        <f>MAX(BF2:BF149)</f>
        <v>20</v>
      </c>
      <c r="BG153" s="1">
        <f>MAX(BG2:BG149)</f>
        <v>20</v>
      </c>
      <c r="BH153" s="1">
        <f>MAX(BH2:BH149)</f>
        <v>20</v>
      </c>
      <c r="BI153" s="1">
        <f>MAX(BI2:BI149)</f>
        <v>50</v>
      </c>
      <c r="BJ153" s="1">
        <f>MAX(BJ2:BJ149)</f>
        <v>50</v>
      </c>
      <c r="BK153" s="1">
        <f>MAX(BK2:BK149)</f>
        <v>50</v>
      </c>
      <c r="BL153" s="1">
        <f>MAX(BL2:BL149)</f>
        <v>50</v>
      </c>
      <c r="BM153" s="1">
        <f>MAX(BM2:BM149)</f>
        <v>50</v>
      </c>
      <c r="BN153" s="1">
        <f>MAX(BN2:BN149)</f>
        <v>50</v>
      </c>
      <c r="BO153" s="1">
        <f>MAX(BO2:BO149)</f>
        <v>50</v>
      </c>
      <c r="BP153" s="1"/>
      <c r="BQ153" s="1"/>
      <c r="BR153" s="17"/>
      <c r="BS153" s="17"/>
    </row>
    <row r="154" spans="1:73">
      <c r="A154" s="1"/>
      <c r="B154" s="3" t="s">
        <v>149</v>
      </c>
      <c r="C154" s="1"/>
      <c r="D154" s="1"/>
      <c r="E154" s="1">
        <f>MIN(E2:E149)</f>
        <v>5</v>
      </c>
      <c r="F154" s="1">
        <f>MIN(F2:F149)</f>
        <v>6</v>
      </c>
      <c r="G154" s="1">
        <f>MIN(G2:G149)</f>
        <v>5</v>
      </c>
      <c r="H154" s="1">
        <f>MIN(H2:H149)</f>
        <v>5</v>
      </c>
      <c r="I154" s="1">
        <f>MIN(I2:I149)</f>
        <v>7</v>
      </c>
      <c r="J154" s="1">
        <f>MIN(J2:J149)</f>
        <v>10</v>
      </c>
      <c r="K154" s="1">
        <f>MIN(K2:K149)</f>
        <v>6</v>
      </c>
      <c r="L154" s="1">
        <f>MIN(L2:L149)</f>
        <v>7</v>
      </c>
      <c r="M154" s="1">
        <f>MIN(M2:M149)</f>
        <v>6</v>
      </c>
      <c r="N154" s="1">
        <f>MIN(N2:N149)</f>
        <v>10</v>
      </c>
      <c r="O154" s="1">
        <f>MIN(O2:O149)</f>
        <v>5</v>
      </c>
      <c r="P154" s="1">
        <f>MIN(P2:P149)</f>
        <v>10</v>
      </c>
      <c r="Q154" s="1">
        <f>MIN(Q2:Q149)</f>
        <v>5</v>
      </c>
      <c r="R154" s="1">
        <f>MIN(R2:R149)</f>
        <v>2</v>
      </c>
      <c r="S154" s="1">
        <f>MIN(S2:S149)</f>
        <v>10</v>
      </c>
      <c r="T154" s="1">
        <f>MIN(T2:T149)</f>
        <v>5</v>
      </c>
      <c r="U154" s="1">
        <f>MIN(U2:U149)</f>
        <v>2</v>
      </c>
      <c r="V154" s="1">
        <f>MIN(V2:V149)</f>
        <v>5</v>
      </c>
      <c r="W154" s="1">
        <f>MIN(W2:W149)</f>
        <v>5</v>
      </c>
      <c r="X154" s="1">
        <f>MIN(X2:X149)</f>
        <v>2</v>
      </c>
      <c r="Y154" s="1">
        <f>MIN(Y2:Y149)</f>
        <v>5</v>
      </c>
      <c r="Z154" s="1">
        <f>MIN(Z2:Z149)</f>
        <v>5</v>
      </c>
      <c r="AA154" s="1">
        <f>MIN(AA2:AA149)</f>
        <v>2</v>
      </c>
      <c r="AB154" s="1">
        <f>MIN(AB2:AB149)</f>
        <v>10</v>
      </c>
      <c r="AC154" s="1">
        <f>MIN(AC2:AC149)</f>
        <v>5</v>
      </c>
      <c r="AD154" s="1">
        <f>MIN(AD2:AD149)</f>
        <v>2</v>
      </c>
      <c r="AE154" s="1">
        <f>MIN(AE2:AE149)</f>
        <v>50</v>
      </c>
      <c r="AF154" s="1">
        <f>MIN(AF2:AF149)</f>
        <v>5</v>
      </c>
      <c r="AG154" s="1">
        <f>MIN(AG2:AG149)</f>
        <v>5</v>
      </c>
      <c r="AH154" s="1">
        <f>MIN(AH2:AH149)</f>
        <v>5</v>
      </c>
      <c r="AI154" s="1">
        <f>MIN(AI2:AI149)</f>
        <v>5</v>
      </c>
      <c r="AJ154" s="1">
        <f>MIN(AJ2:AJ149)</f>
        <v>5</v>
      </c>
      <c r="AK154" s="1">
        <f>MIN(AK2:AK149)</f>
        <v>0</v>
      </c>
      <c r="AL154" s="1">
        <f>MIN(AL2:AL149)</f>
        <v>0</v>
      </c>
      <c r="AM154" s="1">
        <f>MIN(AM2:AM149)</f>
        <v>0</v>
      </c>
      <c r="AN154" s="1">
        <f>MIN(AN2:AN149)</f>
        <v>5</v>
      </c>
      <c r="AO154" s="1">
        <f>MIN(AO2:AO149)</f>
        <v>2</v>
      </c>
      <c r="AP154" s="1">
        <f>MIN(AP2:AP149)</f>
        <v>1</v>
      </c>
      <c r="AQ154" s="1">
        <f>MIN(AQ2:AQ149)</f>
        <v>10</v>
      </c>
      <c r="AR154" s="1">
        <f>MIN(AR2:AR149)</f>
        <v>10</v>
      </c>
      <c r="AS154" s="1">
        <f>MIN(AS2:AS149)</f>
        <v>5</v>
      </c>
      <c r="AT154" s="1">
        <f>MIN(AT2:AT149)</f>
        <v>10</v>
      </c>
      <c r="AU154" s="1">
        <f>MIN(AU2:AU149)</f>
        <v>10</v>
      </c>
      <c r="AV154" s="1">
        <f>MIN(AV2:AV149)</f>
        <v>10</v>
      </c>
      <c r="AW154" s="1">
        <f>MIN(AW2:AW149)</f>
        <v>10</v>
      </c>
      <c r="AX154" s="1">
        <f>MIN(AX2:AX149)</f>
        <v>5</v>
      </c>
      <c r="AY154" s="1">
        <f>MIN(AY2:AY149)</f>
        <v>10</v>
      </c>
      <c r="AZ154" s="1">
        <f>MIN(AZ2:AZ149)</f>
        <v>10</v>
      </c>
      <c r="BA154" s="1">
        <f>MIN(BA2:BA149)</f>
        <v>5</v>
      </c>
      <c r="BB154" s="1">
        <f>MIN(BB2:BB149)</f>
        <v>5</v>
      </c>
      <c r="BC154" s="1">
        <f>MIN(BC2:BC149)</f>
        <v>10</v>
      </c>
      <c r="BD154" s="1">
        <f>MIN(BD2:BD149)</f>
        <v>20</v>
      </c>
      <c r="BE154" s="1">
        <f>MIN(BE2:BE149)</f>
        <v>20</v>
      </c>
      <c r="BF154" s="1">
        <f>MIN(BF2:BF149)</f>
        <v>20</v>
      </c>
      <c r="BG154" s="1">
        <f>MIN(BG2:BG149)</f>
        <v>20</v>
      </c>
      <c r="BH154" s="1">
        <f>MIN(BH2:BH149)</f>
        <v>20</v>
      </c>
      <c r="BI154" s="1">
        <f>MIN(BI2:BI149)</f>
        <v>20</v>
      </c>
      <c r="BJ154" s="1">
        <f>MIN(BJ2:BJ149)</f>
        <v>50</v>
      </c>
      <c r="BK154" s="1">
        <f>MIN(BK2:BK149)</f>
        <v>50</v>
      </c>
      <c r="BL154" s="1">
        <f>MIN(BL2:BL149)</f>
        <v>50</v>
      </c>
      <c r="BM154" s="1">
        <f>MIN(BM2:BM149)</f>
        <v>50</v>
      </c>
      <c r="BN154" s="1">
        <f>MIN(BN2:BN149)</f>
        <v>50</v>
      </c>
      <c r="BO154" s="1">
        <f>MIN(BO2:BO149)</f>
        <v>50</v>
      </c>
      <c r="BP154" s="1"/>
      <c r="BQ154" s="1"/>
      <c r="BR154" s="17"/>
      <c r="BS154" s="17"/>
    </row>
    <row r="155" spans="1:73">
      <c r="A155" s="1"/>
      <c r="B155" s="3" t="s">
        <v>150</v>
      </c>
      <c r="C155" s="1"/>
      <c r="D155" s="1"/>
      <c r="E155" s="1">
        <f>E151-E153</f>
        <v>-6</v>
      </c>
      <c r="F155" s="1">
        <f>F151-F153</f>
        <v>4</v>
      </c>
      <c r="G155" s="1">
        <f>G151-G153</f>
        <v>-16</v>
      </c>
      <c r="H155" s="1">
        <f>H151-H153</f>
        <v>-19</v>
      </c>
      <c r="I155" s="1">
        <f>I151-I153</f>
        <v>51</v>
      </c>
      <c r="J155" s="1">
        <f>J151-J153</f>
        <v>51</v>
      </c>
      <c r="K155" s="1">
        <f>K151-K153</f>
        <v>46</v>
      </c>
      <c r="L155" s="1">
        <f>L151-L153</f>
        <v>42</v>
      </c>
      <c r="M155" s="1">
        <f>M151-M153</f>
        <v>22</v>
      </c>
      <c r="N155" s="1">
        <f>N151-N153</f>
        <v>56</v>
      </c>
      <c r="O155" s="1">
        <f>O151-O153</f>
        <v>11</v>
      </c>
      <c r="P155" s="1">
        <f>P151-P153</f>
        <v>32</v>
      </c>
      <c r="Q155" s="1">
        <f>Q151-Q153</f>
        <v>12</v>
      </c>
      <c r="R155" s="1">
        <f>R151-R153</f>
        <v>-9</v>
      </c>
      <c r="S155" s="1">
        <f>S151-S153</f>
        <v>62</v>
      </c>
      <c r="T155" s="1">
        <f>T151-T153</f>
        <v>16</v>
      </c>
      <c r="U155" s="1">
        <f>U151-U153</f>
        <v>-9</v>
      </c>
      <c r="V155" s="1">
        <f>V151-V153</f>
        <v>29</v>
      </c>
      <c r="W155" s="1">
        <f>W151-W153</f>
        <v>-1</v>
      </c>
      <c r="X155" s="1">
        <f>X151-X153</f>
        <v>-10</v>
      </c>
      <c r="Y155" s="1">
        <f>Y151-Y153</f>
        <v>31</v>
      </c>
      <c r="Z155" s="1">
        <f>Z151-Z153</f>
        <v>10</v>
      </c>
      <c r="AA155" s="1">
        <f>AA151-AA153</f>
        <v>-1</v>
      </c>
      <c r="AB155" s="1">
        <f>AB151-AB153</f>
        <v>57</v>
      </c>
      <c r="AC155" s="1">
        <f>AC151-AC153</f>
        <v>6</v>
      </c>
      <c r="AD155" s="1">
        <f>AD151-AD153</f>
        <v>2</v>
      </c>
      <c r="AE155" s="1">
        <f>AE151-AE153</f>
        <v>-190</v>
      </c>
      <c r="AF155" s="1">
        <f>AF151-AF153</f>
        <v>-5</v>
      </c>
      <c r="AG155" s="1">
        <f>AG151-AG153</f>
        <v>-1</v>
      </c>
      <c r="AH155" s="1">
        <f>AH151-AH153</f>
        <v>-5</v>
      </c>
      <c r="AI155" s="1">
        <f>AI151-AI153</f>
        <v>-5</v>
      </c>
      <c r="AJ155" s="1">
        <f>AJ151-AJ153</f>
        <v>-5</v>
      </c>
      <c r="AK155" s="1">
        <f>AK151-AK153</f>
        <v>33</v>
      </c>
      <c r="AL155" s="1">
        <f>AL151-AL153</f>
        <v>43</v>
      </c>
      <c r="AM155" s="1">
        <f>AM151-AM153</f>
        <v>0</v>
      </c>
      <c r="AN155" s="1">
        <f>AN151-AN153</f>
        <v>-25</v>
      </c>
      <c r="AO155" s="1">
        <f>AO151-AO153</f>
        <v>-10</v>
      </c>
      <c r="AP155" s="1">
        <f>AP151-AP153</f>
        <v>-10</v>
      </c>
      <c r="AQ155" s="1">
        <f>AQ151-AQ153</f>
        <v>-22</v>
      </c>
      <c r="AR155" s="1">
        <f>AR151-AR153</f>
        <v>20</v>
      </c>
      <c r="AS155" s="1">
        <f>AS151-AS153</f>
        <v>15</v>
      </c>
      <c r="AT155" s="1">
        <f>AT151-AT153</f>
        <v>5</v>
      </c>
      <c r="AU155" s="1">
        <f>AU151-AU153</f>
        <v>23</v>
      </c>
      <c r="AV155" s="1">
        <f>AV151-AV153</f>
        <v>21</v>
      </c>
      <c r="AW155" s="1">
        <f>AW151-AW153</f>
        <v>-19</v>
      </c>
      <c r="AX155" s="1">
        <f>AX151-AX153</f>
        <v>-12</v>
      </c>
      <c r="AY155" s="1">
        <f>AY151-AY153</f>
        <v>12</v>
      </c>
      <c r="AZ155" s="1">
        <f>AZ151-AZ153</f>
        <v>-1</v>
      </c>
      <c r="BA155" s="1">
        <f>BA151-BA153</f>
        <v>-3</v>
      </c>
      <c r="BB155" s="1">
        <f>BB151-BB153</f>
        <v>-23</v>
      </c>
      <c r="BC155" s="1">
        <f>BC151-BC153</f>
        <v>2</v>
      </c>
      <c r="BD155" s="1">
        <f>BD151-BD153</f>
        <v>205</v>
      </c>
      <c r="BE155" s="1">
        <f>BE151-BE153</f>
        <v>346</v>
      </c>
      <c r="BF155" s="1">
        <f>BF151-BF153</f>
        <v>292</v>
      </c>
      <c r="BG155" s="1">
        <f>BG151-BG153</f>
        <v>310</v>
      </c>
      <c r="BH155" s="1">
        <f>BH151-BH153</f>
        <v>142</v>
      </c>
      <c r="BI155" s="1">
        <f>BI151-BI153</f>
        <v>145</v>
      </c>
      <c r="BJ155" s="1">
        <f>BJ151-BJ153</f>
        <v>30</v>
      </c>
      <c r="BK155" s="1">
        <f>BK151-BK153</f>
        <v>39</v>
      </c>
      <c r="BL155" s="1">
        <f>BL151-BL153</f>
        <v>90</v>
      </c>
      <c r="BM155" s="1">
        <f>BM151-BM153</f>
        <v>-13</v>
      </c>
      <c r="BN155" s="1">
        <f>BN151-BN153</f>
        <v>-45</v>
      </c>
      <c r="BO155" s="1">
        <f>BO151-BO153</f>
        <v>-45</v>
      </c>
      <c r="BP155" s="1"/>
      <c r="BQ155" s="1"/>
      <c r="BR155" s="17"/>
      <c r="BS155" s="17"/>
    </row>
    <row r="156" spans="1:73" s="13" customFormat="1">
      <c r="A156" s="1"/>
      <c r="B156" s="3" t="s">
        <v>151</v>
      </c>
      <c r="C156" s="1"/>
      <c r="D156" s="1"/>
      <c r="E156" s="1">
        <f>E151-E154</f>
        <v>4</v>
      </c>
      <c r="F156" s="1">
        <f>F151-F154</f>
        <v>13</v>
      </c>
      <c r="G156" s="1">
        <f>G151-G154</f>
        <v>-1</v>
      </c>
      <c r="H156" s="1">
        <f>H151-H154</f>
        <v>-4</v>
      </c>
      <c r="I156" s="1">
        <f>I151-I154</f>
        <v>54</v>
      </c>
      <c r="J156" s="1">
        <f>J151-J154</f>
        <v>51</v>
      </c>
      <c r="K156" s="1">
        <f>K151-K154</f>
        <v>50</v>
      </c>
      <c r="L156" s="1">
        <f>L151-L154</f>
        <v>55</v>
      </c>
      <c r="M156" s="1">
        <f>M151-M154</f>
        <v>26</v>
      </c>
      <c r="N156" s="1">
        <f>N151-N154</f>
        <v>56</v>
      </c>
      <c r="O156" s="1">
        <f>O151-O154</f>
        <v>26</v>
      </c>
      <c r="P156" s="1">
        <f>P151-P154</f>
        <v>32</v>
      </c>
      <c r="Q156" s="1">
        <f>Q151-Q154</f>
        <v>14</v>
      </c>
      <c r="R156" s="1">
        <f>R151-R154</f>
        <v>-1</v>
      </c>
      <c r="S156" s="1">
        <f>S151-S154</f>
        <v>62</v>
      </c>
      <c r="T156" s="1">
        <f>T151-T154</f>
        <v>18</v>
      </c>
      <c r="U156" s="1">
        <f>U151-U154</f>
        <v>-1</v>
      </c>
      <c r="V156" s="1">
        <f>V151-V154</f>
        <v>34</v>
      </c>
      <c r="W156" s="1">
        <f>W151-W154</f>
        <v>-1</v>
      </c>
      <c r="X156" s="1">
        <f>X151-X154</f>
        <v>-2</v>
      </c>
      <c r="Y156" s="1">
        <f>Y151-Y154</f>
        <v>36</v>
      </c>
      <c r="Z156" s="1">
        <f>Z151-Z154</f>
        <v>10</v>
      </c>
      <c r="AA156" s="1">
        <f>AA151-AA154</f>
        <v>7</v>
      </c>
      <c r="AB156" s="1">
        <f>AB151-AB154</f>
        <v>57</v>
      </c>
      <c r="AC156" s="1">
        <f>AC151-AC154</f>
        <v>6</v>
      </c>
      <c r="AD156" s="1">
        <f>AD151-AD154</f>
        <v>10</v>
      </c>
      <c r="AE156" s="1">
        <f>AE151-AE154</f>
        <v>-40</v>
      </c>
      <c r="AF156" s="1">
        <f>AF151-AF154</f>
        <v>-5</v>
      </c>
      <c r="AG156" s="1">
        <f>AG151-AG154</f>
        <v>-1</v>
      </c>
      <c r="AH156" s="1">
        <f>AH151-AH154</f>
        <v>-5</v>
      </c>
      <c r="AI156" s="1">
        <f>AI151-AI154</f>
        <v>-5</v>
      </c>
      <c r="AJ156" s="1">
        <f>AJ151-AJ154</f>
        <v>-5</v>
      </c>
      <c r="AK156" s="1">
        <f>AK151-AK154</f>
        <v>33</v>
      </c>
      <c r="AL156" s="1">
        <f>AL151-AL154</f>
        <v>43</v>
      </c>
      <c r="AM156" s="1">
        <f>AM151-AM154</f>
        <v>0</v>
      </c>
      <c r="AN156" s="1">
        <f>AN151-AN154</f>
        <v>-5</v>
      </c>
      <c r="AO156" s="1">
        <f>AO151-AO154</f>
        <v>-2</v>
      </c>
      <c r="AP156" s="1">
        <f>AP151-AP154</f>
        <v>-1</v>
      </c>
      <c r="AQ156" s="1">
        <f>AQ151-AQ154</f>
        <v>8</v>
      </c>
      <c r="AR156" s="1">
        <f>AR151-AR154</f>
        <v>25</v>
      </c>
      <c r="AS156" s="1">
        <f>AS151-AS154</f>
        <v>25</v>
      </c>
      <c r="AT156" s="1">
        <f>AT151-AT154</f>
        <v>10</v>
      </c>
      <c r="AU156" s="1">
        <f>AU151-AU154</f>
        <v>53</v>
      </c>
      <c r="AV156" s="1">
        <f>AV151-AV154</f>
        <v>51</v>
      </c>
      <c r="AW156" s="1">
        <f>AW151-AW154</f>
        <v>11</v>
      </c>
      <c r="AX156" s="1">
        <f>AX151-AX154</f>
        <v>23</v>
      </c>
      <c r="AY156" s="1">
        <f>AY151-AY154</f>
        <v>42</v>
      </c>
      <c r="AZ156" s="1">
        <f>AZ151-AZ154</f>
        <v>29</v>
      </c>
      <c r="BA156" s="1">
        <f>BA151-BA154</f>
        <v>12</v>
      </c>
      <c r="BB156" s="1">
        <f>BB151-BB154</f>
        <v>12</v>
      </c>
      <c r="BC156" s="1">
        <f>BC151-BC154</f>
        <v>2</v>
      </c>
      <c r="BD156" s="1">
        <f>BD151-BD154</f>
        <v>235</v>
      </c>
      <c r="BE156" s="1">
        <f>BE151-BE154</f>
        <v>376</v>
      </c>
      <c r="BF156" s="1">
        <f>BF151-BF154</f>
        <v>292</v>
      </c>
      <c r="BG156" s="1">
        <f>BG151-BG154</f>
        <v>310</v>
      </c>
      <c r="BH156" s="1">
        <f>BH151-BH154</f>
        <v>142</v>
      </c>
      <c r="BI156" s="1">
        <f>BI151-BI154</f>
        <v>175</v>
      </c>
      <c r="BJ156" s="1">
        <f>BJ151-BJ154</f>
        <v>30</v>
      </c>
      <c r="BK156" s="1">
        <f>BK151-BK154</f>
        <v>39</v>
      </c>
      <c r="BL156" s="1">
        <f>BL151-BL154</f>
        <v>90</v>
      </c>
      <c r="BM156" s="1">
        <f>BM151-BM154</f>
        <v>-13</v>
      </c>
      <c r="BN156" s="1">
        <f>BN151-BN154</f>
        <v>-45</v>
      </c>
      <c r="BO156" s="1">
        <f>BO151-BO154</f>
        <v>-45</v>
      </c>
      <c r="BP156" s="1"/>
      <c r="BQ156" s="1"/>
      <c r="BR156" s="17"/>
      <c r="BS156" s="17"/>
    </row>
    <row r="157" spans="1:73">
      <c r="AQ157" s="7" t="s">
        <v>177</v>
      </c>
      <c r="AR157" s="7" t="s">
        <v>180</v>
      </c>
      <c r="AS157" s="7" t="s">
        <v>181</v>
      </c>
      <c r="AT157" s="7" t="s">
        <v>178</v>
      </c>
      <c r="AU157" s="7" t="s">
        <v>179</v>
      </c>
      <c r="AV157" s="7" t="s">
        <v>176</v>
      </c>
      <c r="AW157" s="7" t="s">
        <v>182</v>
      </c>
      <c r="AX157" s="7" t="s">
        <v>183</v>
      </c>
      <c r="AY157" s="7" t="s">
        <v>184</v>
      </c>
      <c r="AZ157" s="7" t="s">
        <v>185</v>
      </c>
      <c r="BA157" s="7" t="s">
        <v>186</v>
      </c>
      <c r="BB157" s="7" t="s">
        <v>187</v>
      </c>
    </row>
  </sheetData>
  <autoFilter ref="A1:BU157">
    <filterColumn colId="71">
      <filters blank="1">
        <filter val="0"/>
      </filters>
    </filterColumn>
    <filterColumn colId="72">
      <filters blank="1">
        <filter val="0"/>
      </filters>
    </filterColumn>
    <sortState ref="A2:BU157">
      <sortCondition ref="BR2:BR157"/>
      <sortCondition ref="BQ2:BQ157"/>
    </sortState>
  </autoFilter>
  <sortState ref="A2:CS148">
    <sortCondition ref="BR2:BR148"/>
    <sortCondition ref="BQ2:BQ148"/>
  </sortState>
  <phoneticPr fontId="1" type="noConversion"/>
  <conditionalFormatting sqref="E153:BO153">
    <cfRule type="expression" dxfId="5" priority="10">
      <formula>"&lt;=$E$135"</formula>
    </cfRule>
  </conditionalFormatting>
  <conditionalFormatting sqref="E155:BO156">
    <cfRule type="cellIs" dxfId="4" priority="1" operator="lessThan">
      <formula>0</formula>
    </cfRule>
  </conditionalFormatting>
  <conditionalFormatting sqref="E152:BO152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156</xdr:row>
                    <xdr:rowOff>28575</xdr:rowOff>
                  </from>
                  <to>
                    <xdr:col>1</xdr:col>
                    <xdr:colOff>428625</xdr:colOff>
                    <xdr:row>157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102</v>
      </c>
      <c r="Q1" s="27" t="s">
        <v>114</v>
      </c>
      <c r="R1" s="27" t="s">
        <v>108</v>
      </c>
      <c r="S1" s="27" t="s">
        <v>103</v>
      </c>
      <c r="T1" s="27" t="s">
        <v>112</v>
      </c>
      <c r="U1" s="27" t="s">
        <v>118</v>
      </c>
      <c r="V1" s="27" t="s">
        <v>104</v>
      </c>
      <c r="W1" s="27" t="s">
        <v>111</v>
      </c>
      <c r="X1" s="27" t="s">
        <v>109</v>
      </c>
      <c r="Y1" s="27" t="s">
        <v>105</v>
      </c>
      <c r="Z1" s="27" t="s">
        <v>113</v>
      </c>
      <c r="AA1" s="27" t="s">
        <v>119</v>
      </c>
      <c r="AB1" s="27" t="s">
        <v>107</v>
      </c>
      <c r="AC1" s="27" t="s">
        <v>106</v>
      </c>
      <c r="AD1" s="27" t="s">
        <v>129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90</v>
      </c>
      <c r="AP1" s="8" t="s">
        <v>91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87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133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174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190</v>
      </c>
      <c r="C3" s="49" t="s">
        <v>85</v>
      </c>
      <c r="D3" s="49" t="s">
        <v>101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206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148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149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150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151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188</v>
      </c>
      <c r="AQ11" s="7" t="s">
        <v>177</v>
      </c>
      <c r="AR11" s="7" t="s">
        <v>180</v>
      </c>
      <c r="AS11" s="7" t="s">
        <v>181</v>
      </c>
      <c r="AT11" s="7" t="s">
        <v>178</v>
      </c>
      <c r="AU11" s="7" t="s">
        <v>179</v>
      </c>
      <c r="AV11" s="7" t="s">
        <v>176</v>
      </c>
      <c r="AW11" s="7" t="s">
        <v>182</v>
      </c>
      <c r="AX11" s="7" t="s">
        <v>183</v>
      </c>
      <c r="AY11" s="7" t="s">
        <v>184</v>
      </c>
      <c r="AZ11" s="7" t="s">
        <v>185</v>
      </c>
      <c r="BA11" s="7" t="s">
        <v>186</v>
      </c>
      <c r="BB11" s="7" t="s">
        <v>187</v>
      </c>
    </row>
    <row r="12" spans="1:97">
      <c r="R12" s="7" t="s">
        <v>189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152</v>
      </c>
      <c r="D27" t="s">
        <v>153</v>
      </c>
      <c r="E27" t="s">
        <v>154</v>
      </c>
      <c r="F27" t="s">
        <v>155</v>
      </c>
      <c r="G27" t="s">
        <v>156</v>
      </c>
      <c r="H27" t="s">
        <v>157</v>
      </c>
      <c r="I27" t="s">
        <v>158</v>
      </c>
      <c r="J27" t="s">
        <v>159</v>
      </c>
      <c r="K27" t="s">
        <v>160</v>
      </c>
      <c r="L27" t="s">
        <v>161</v>
      </c>
      <c r="M27" t="s">
        <v>162</v>
      </c>
      <c r="N27" t="s">
        <v>163</v>
      </c>
    </row>
    <row r="31" spans="3:18">
      <c r="C31">
        <v>-3</v>
      </c>
      <c r="D31" t="s">
        <v>152</v>
      </c>
    </row>
    <row r="32" spans="3:18">
      <c r="C32">
        <v>-8</v>
      </c>
      <c r="D32" t="s">
        <v>153</v>
      </c>
    </row>
    <row r="33" spans="3:4">
      <c r="C33">
        <v>-3</v>
      </c>
      <c r="D33" t="s">
        <v>154</v>
      </c>
    </row>
    <row r="34" spans="3:4">
      <c r="C34">
        <v>1</v>
      </c>
      <c r="D34" t="s">
        <v>155</v>
      </c>
    </row>
    <row r="35" spans="3:4">
      <c r="C35">
        <v>3</v>
      </c>
      <c r="D35" t="s">
        <v>156</v>
      </c>
    </row>
    <row r="36" spans="3:4">
      <c r="C36">
        <v>0</v>
      </c>
      <c r="D36" t="s">
        <v>157</v>
      </c>
    </row>
    <row r="37" spans="3:4">
      <c r="C37">
        <v>-3</v>
      </c>
      <c r="D37" t="s">
        <v>158</v>
      </c>
    </row>
    <row r="38" spans="3:4">
      <c r="C38">
        <v>30</v>
      </c>
      <c r="D38" t="s">
        <v>159</v>
      </c>
    </row>
    <row r="39" spans="3:4">
      <c r="C39">
        <v>5</v>
      </c>
      <c r="D39" t="s">
        <v>160</v>
      </c>
    </row>
    <row r="40" spans="3:4">
      <c r="C40">
        <v>-10</v>
      </c>
      <c r="D40" t="s">
        <v>161</v>
      </c>
    </row>
    <row r="41" spans="3:4">
      <c r="C41">
        <v>3</v>
      </c>
      <c r="D41" t="s">
        <v>162</v>
      </c>
    </row>
    <row r="42" spans="3:4">
      <c r="C42">
        <v>138</v>
      </c>
      <c r="D42" t="s">
        <v>163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207</v>
      </c>
      <c r="F3" t="s">
        <v>208</v>
      </c>
      <c r="G3" t="s">
        <v>209</v>
      </c>
      <c r="H3" t="s">
        <v>210</v>
      </c>
      <c r="I3" t="s">
        <v>211</v>
      </c>
      <c r="J3" t="s">
        <v>212</v>
      </c>
    </row>
    <row r="4" spans="3:10">
      <c r="C4" s="66" t="s">
        <v>213</v>
      </c>
      <c r="D4" t="s">
        <v>214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215</v>
      </c>
      <c r="D5" t="s">
        <v>216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217</v>
      </c>
      <c r="D6" t="s">
        <v>216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218</v>
      </c>
      <c r="D7" t="s">
        <v>216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219</v>
      </c>
      <c r="D8" t="s">
        <v>220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221</v>
      </c>
      <c r="D9" t="s">
        <v>220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222</v>
      </c>
      <c r="D10" t="s">
        <v>220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225</v>
      </c>
      <c r="D11" t="s">
        <v>216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223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223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223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223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224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220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220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220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2020-05-08T02:03:13Z</dcterms:modified>
</cp:coreProperties>
</file>