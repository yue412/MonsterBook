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Sheet1!$A$1:$BP$129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C133" i="1" l="1"/>
  <c r="BC135" i="1" s="1"/>
  <c r="BD133" i="1"/>
  <c r="BD135" i="1" s="1"/>
  <c r="BE133" i="1"/>
  <c r="BE135" i="1" s="1"/>
  <c r="BF133" i="1"/>
  <c r="BF135" i="1" s="1"/>
  <c r="BG133" i="1"/>
  <c r="BG135" i="1" s="1"/>
  <c r="BH133" i="1"/>
  <c r="BH135" i="1" s="1"/>
  <c r="BI133" i="1"/>
  <c r="BI135" i="1" s="1"/>
  <c r="BJ133" i="1"/>
  <c r="BJ135" i="1" s="1"/>
  <c r="BK133" i="1"/>
  <c r="BK135" i="1" s="1"/>
  <c r="BL133" i="1"/>
  <c r="BL135" i="1" s="1"/>
  <c r="BM133" i="1"/>
  <c r="BM135" i="1" s="1"/>
  <c r="BN133" i="1"/>
  <c r="BN135" i="1" s="1"/>
  <c r="BO133" i="1"/>
  <c r="BO135" i="1" s="1"/>
  <c r="BC134" i="1"/>
  <c r="BC136" i="1" s="1"/>
  <c r="BD134" i="1"/>
  <c r="BD136" i="1" s="1"/>
  <c r="BE134" i="1"/>
  <c r="BE136" i="1" s="1"/>
  <c r="BF134" i="1"/>
  <c r="BF136" i="1" s="1"/>
  <c r="BG134" i="1"/>
  <c r="BG136" i="1" s="1"/>
  <c r="BH134" i="1"/>
  <c r="BH136" i="1" s="1"/>
  <c r="BI134" i="1"/>
  <c r="BI136" i="1" s="1"/>
  <c r="BJ134" i="1"/>
  <c r="BJ136" i="1" s="1"/>
  <c r="BK134" i="1"/>
  <c r="BK136" i="1" s="1"/>
  <c r="BL134" i="1"/>
  <c r="BL136" i="1" s="1"/>
  <c r="BM134" i="1"/>
  <c r="BM136" i="1" s="1"/>
  <c r="BN134" i="1"/>
  <c r="BN136" i="1" s="1"/>
  <c r="BO134" i="1"/>
  <c r="BO136" i="1" s="1"/>
  <c r="BA133" i="1"/>
  <c r="BA135" i="1" s="1"/>
  <c r="BB133" i="1"/>
  <c r="BB135" i="1" s="1"/>
  <c r="BA134" i="1"/>
  <c r="BA136" i="1" s="1"/>
  <c r="BB134" i="1"/>
  <c r="BB136" i="1" s="1"/>
  <c r="AQ133" i="1"/>
  <c r="AQ135" i="1" s="1"/>
  <c r="AR133" i="1"/>
  <c r="AR135" i="1" s="1"/>
  <c r="AS133" i="1"/>
  <c r="AS135" i="1" s="1"/>
  <c r="AT133" i="1"/>
  <c r="AT135" i="1" s="1"/>
  <c r="AU133" i="1"/>
  <c r="AU135" i="1" s="1"/>
  <c r="AV133" i="1"/>
  <c r="AV135" i="1" s="1"/>
  <c r="AW133" i="1"/>
  <c r="AW135" i="1" s="1"/>
  <c r="AX133" i="1"/>
  <c r="AX135" i="1" s="1"/>
  <c r="AY133" i="1"/>
  <c r="AY135" i="1" s="1"/>
  <c r="AZ133" i="1"/>
  <c r="AZ135" i="1" s="1"/>
  <c r="AQ134" i="1"/>
  <c r="AQ136" i="1" s="1"/>
  <c r="AR134" i="1"/>
  <c r="AR136" i="1" s="1"/>
  <c r="AS134" i="1"/>
  <c r="AS136" i="1" s="1"/>
  <c r="AT134" i="1"/>
  <c r="AT136" i="1" s="1"/>
  <c r="AU134" i="1"/>
  <c r="AU136" i="1" s="1"/>
  <c r="AV134" i="1"/>
  <c r="AV136" i="1" s="1"/>
  <c r="AW134" i="1"/>
  <c r="AW136" i="1" s="1"/>
  <c r="AX134" i="1"/>
  <c r="AX136" i="1" s="1"/>
  <c r="AY134" i="1"/>
  <c r="AY136" i="1" s="1"/>
  <c r="AZ134" i="1"/>
  <c r="AZ136" i="1" s="1"/>
  <c r="AI133" i="1"/>
  <c r="AI135" i="1" s="1"/>
  <c r="AJ133" i="1"/>
  <c r="AJ135" i="1" s="1"/>
  <c r="AK133" i="1"/>
  <c r="AK135" i="1" s="1"/>
  <c r="AL133" i="1"/>
  <c r="AL135" i="1" s="1"/>
  <c r="AM133" i="1"/>
  <c r="AM135" i="1" s="1"/>
  <c r="AN133" i="1"/>
  <c r="AN135" i="1" s="1"/>
  <c r="AO133" i="1"/>
  <c r="AO135" i="1" s="1"/>
  <c r="AP133" i="1"/>
  <c r="AP135" i="1" s="1"/>
  <c r="AI134" i="1"/>
  <c r="AI136" i="1" s="1"/>
  <c r="AJ134" i="1"/>
  <c r="AJ136" i="1" s="1"/>
  <c r="AK134" i="1"/>
  <c r="AK136" i="1" s="1"/>
  <c r="AL134" i="1"/>
  <c r="AL136" i="1" s="1"/>
  <c r="AM134" i="1"/>
  <c r="AM136" i="1" s="1"/>
  <c r="AN134" i="1"/>
  <c r="AN136" i="1" s="1"/>
  <c r="AO134" i="1"/>
  <c r="AO136" i="1" s="1"/>
  <c r="AP134" i="1"/>
  <c r="AP136" i="1" s="1"/>
  <c r="AC133" i="1"/>
  <c r="AC135" i="1" s="1"/>
  <c r="AD133" i="1"/>
  <c r="AD135" i="1" s="1"/>
  <c r="AE133" i="1"/>
  <c r="AE135" i="1" s="1"/>
  <c r="AF133" i="1"/>
  <c r="AF135" i="1" s="1"/>
  <c r="AG133" i="1"/>
  <c r="AG135" i="1" s="1"/>
  <c r="AH133" i="1"/>
  <c r="AH135" i="1" s="1"/>
  <c r="AC134" i="1"/>
  <c r="AC136" i="1" s="1"/>
  <c r="AD134" i="1"/>
  <c r="AD136" i="1" s="1"/>
  <c r="AE134" i="1"/>
  <c r="AE136" i="1" s="1"/>
  <c r="AF134" i="1"/>
  <c r="AF136" i="1" s="1"/>
  <c r="AG134" i="1"/>
  <c r="AG136" i="1" s="1"/>
  <c r="AH134" i="1"/>
  <c r="AH136" i="1" s="1"/>
  <c r="W133" i="1"/>
  <c r="W135" i="1" s="1"/>
  <c r="X133" i="1"/>
  <c r="X135" i="1" s="1"/>
  <c r="Y133" i="1"/>
  <c r="Y135" i="1" s="1"/>
  <c r="Z133" i="1"/>
  <c r="Z135" i="1" s="1"/>
  <c r="AA133" i="1"/>
  <c r="AA135" i="1" s="1"/>
  <c r="AB133" i="1"/>
  <c r="AB135" i="1" s="1"/>
  <c r="W134" i="1"/>
  <c r="W136" i="1" s="1"/>
  <c r="X134" i="1"/>
  <c r="X136" i="1" s="1"/>
  <c r="Y134" i="1"/>
  <c r="Y136" i="1" s="1"/>
  <c r="Z134" i="1"/>
  <c r="Z136" i="1" s="1"/>
  <c r="AA134" i="1"/>
  <c r="AA136" i="1" s="1"/>
  <c r="AB134" i="1"/>
  <c r="AB136" i="1" s="1"/>
  <c r="P133" i="1"/>
  <c r="P135" i="1" s="1"/>
  <c r="Q133" i="1"/>
  <c r="Q135" i="1" s="1"/>
  <c r="R133" i="1"/>
  <c r="R135" i="1" s="1"/>
  <c r="S133" i="1"/>
  <c r="S135" i="1" s="1"/>
  <c r="T133" i="1"/>
  <c r="T135" i="1" s="1"/>
  <c r="U133" i="1"/>
  <c r="U135" i="1" s="1"/>
  <c r="V133" i="1"/>
  <c r="V135" i="1" s="1"/>
  <c r="P134" i="1"/>
  <c r="P136" i="1" s="1"/>
  <c r="Q134" i="1"/>
  <c r="Q136" i="1" s="1"/>
  <c r="R134" i="1"/>
  <c r="R136" i="1" s="1"/>
  <c r="S134" i="1"/>
  <c r="S136" i="1" s="1"/>
  <c r="T134" i="1"/>
  <c r="T136" i="1" s="1"/>
  <c r="U134" i="1"/>
  <c r="U136" i="1" s="1"/>
  <c r="V134" i="1"/>
  <c r="V136" i="1" s="1"/>
  <c r="G133" i="1"/>
  <c r="G135" i="1" s="1"/>
  <c r="H133" i="1"/>
  <c r="H135" i="1" s="1"/>
  <c r="I133" i="1"/>
  <c r="I135" i="1" s="1"/>
  <c r="J133" i="1"/>
  <c r="J135" i="1" s="1"/>
  <c r="K133" i="1"/>
  <c r="K135" i="1" s="1"/>
  <c r="L133" i="1"/>
  <c r="L135" i="1" s="1"/>
  <c r="M133" i="1"/>
  <c r="M135" i="1" s="1"/>
  <c r="N133" i="1"/>
  <c r="N135" i="1" s="1"/>
  <c r="O133" i="1"/>
  <c r="O135" i="1" s="1"/>
  <c r="G134" i="1"/>
  <c r="G136" i="1" s="1"/>
  <c r="H134" i="1"/>
  <c r="H136" i="1" s="1"/>
  <c r="I134" i="1"/>
  <c r="I136" i="1" s="1"/>
  <c r="J134" i="1"/>
  <c r="J136" i="1" s="1"/>
  <c r="K134" i="1"/>
  <c r="K136" i="1" s="1"/>
  <c r="L134" i="1"/>
  <c r="L136" i="1" s="1"/>
  <c r="M134" i="1"/>
  <c r="M136" i="1" s="1"/>
  <c r="N134" i="1"/>
  <c r="N136" i="1" s="1"/>
  <c r="O134" i="1"/>
  <c r="O136" i="1" s="1"/>
  <c r="F133" i="1"/>
  <c r="F135" i="1" s="1"/>
  <c r="F134" i="1"/>
  <c r="F136" i="1" s="1"/>
  <c r="E134" i="1"/>
  <c r="E136" i="1" s="1"/>
  <c r="E133" i="1"/>
  <c r="E135" i="1" s="1"/>
  <c r="BP3" i="1" l="1"/>
  <c r="BP4" i="1"/>
  <c r="BP5" i="1"/>
  <c r="BP6" i="1"/>
  <c r="BP7" i="1"/>
  <c r="BP8" i="1"/>
  <c r="BP9" i="1"/>
  <c r="BP55" i="1"/>
  <c r="BP11" i="1"/>
  <c r="BP24" i="1"/>
  <c r="BP25" i="1"/>
  <c r="BP15" i="1"/>
  <c r="BP16" i="1"/>
  <c r="BP17" i="1"/>
  <c r="BP18" i="1"/>
  <c r="BP19" i="1"/>
  <c r="BP20" i="1"/>
  <c r="BP21" i="1"/>
  <c r="BP22" i="1"/>
  <c r="BP23" i="1"/>
  <c r="BP50" i="1"/>
  <c r="BP39" i="1"/>
  <c r="BP40" i="1"/>
  <c r="BP29" i="1"/>
  <c r="BP10" i="1"/>
  <c r="BP54" i="1"/>
  <c r="BP14" i="1"/>
  <c r="BP31" i="1"/>
  <c r="BP32" i="1"/>
  <c r="BP41" i="1"/>
  <c r="BP42" i="1"/>
  <c r="BP43" i="1"/>
  <c r="BP44" i="1"/>
  <c r="BP53" i="1"/>
  <c r="BP89" i="1"/>
  <c r="BP45" i="1"/>
  <c r="BP46" i="1"/>
  <c r="BP47" i="1"/>
  <c r="BP48" i="1"/>
  <c r="BP49" i="1"/>
  <c r="BP93" i="1"/>
  <c r="BP34" i="1"/>
  <c r="BP26" i="1"/>
  <c r="BP12" i="1"/>
  <c r="BP51" i="1"/>
  <c r="BP52" i="1"/>
  <c r="BP60" i="1"/>
  <c r="BP83" i="1"/>
  <c r="BP27" i="1"/>
  <c r="BP28" i="1"/>
  <c r="BP74" i="1"/>
  <c r="BP33" i="1"/>
  <c r="BP67" i="1"/>
  <c r="BP61" i="1"/>
  <c r="BP72" i="1"/>
  <c r="BP75" i="1"/>
  <c r="BP76" i="1"/>
  <c r="BP77" i="1"/>
  <c r="BP78" i="1"/>
  <c r="BP79" i="1"/>
  <c r="BP80" i="1"/>
  <c r="BP82" i="1"/>
  <c r="BP13" i="1"/>
  <c r="BP91" i="1"/>
  <c r="BP85" i="1"/>
  <c r="BP86" i="1"/>
  <c r="BP59" i="1"/>
  <c r="BP58" i="1"/>
  <c r="BP57" i="1"/>
  <c r="BP56" i="1"/>
  <c r="BP30" i="1"/>
  <c r="BP94" i="1"/>
  <c r="BP95" i="1"/>
  <c r="BP73" i="1"/>
  <c r="BP92" i="1"/>
  <c r="BP62" i="1"/>
  <c r="BP63" i="1"/>
  <c r="BP64" i="1"/>
  <c r="BP71" i="1"/>
  <c r="BP35" i="1"/>
  <c r="BP36" i="1"/>
  <c r="BP37" i="1"/>
  <c r="BP70" i="1"/>
  <c r="BP65" i="1"/>
  <c r="BP66" i="1"/>
  <c r="BP68" i="1"/>
  <c r="BP69" i="1"/>
  <c r="BP96" i="1"/>
  <c r="BP99" i="1"/>
  <c r="BP81" i="1"/>
  <c r="BP100" i="1"/>
  <c r="BP84" i="1"/>
  <c r="BP103" i="1"/>
  <c r="BP104" i="1"/>
  <c r="BP105" i="1"/>
  <c r="BP106" i="1"/>
  <c r="BP107" i="1"/>
  <c r="BP108" i="1"/>
  <c r="BP109" i="1"/>
  <c r="BP110" i="1"/>
  <c r="BP111" i="1"/>
  <c r="BP112" i="1"/>
  <c r="BP113" i="1"/>
  <c r="BP87" i="1"/>
  <c r="BP88" i="1"/>
  <c r="BP114" i="1"/>
  <c r="BP115" i="1"/>
  <c r="BP101" i="1"/>
  <c r="BP102" i="1"/>
  <c r="BP90" i="1"/>
  <c r="BP116" i="1"/>
  <c r="BP117" i="1"/>
  <c r="BP118" i="1"/>
  <c r="BP119" i="1"/>
  <c r="BP120" i="1"/>
  <c r="BP121" i="1"/>
  <c r="BP122" i="1"/>
  <c r="BP98" i="1"/>
  <c r="BP97" i="1"/>
  <c r="BP123" i="1"/>
  <c r="BP124" i="1"/>
  <c r="BP125" i="1"/>
  <c r="BP126" i="1"/>
  <c r="BP127" i="1"/>
  <c r="BP128" i="1"/>
  <c r="BP129" i="1"/>
  <c r="CS126" i="1" l="1"/>
  <c r="CS3" i="1" l="1"/>
  <c r="CS4" i="1"/>
  <c r="CS5" i="1"/>
  <c r="CS59" i="1"/>
  <c r="CS12" i="1"/>
  <c r="CS9" i="1"/>
  <c r="CS15" i="1"/>
  <c r="CS16" i="1"/>
  <c r="CS17" i="1"/>
  <c r="CS18" i="1"/>
  <c r="CS19" i="1"/>
  <c r="CS20" i="1"/>
  <c r="CS21" i="1"/>
  <c r="CS55" i="1"/>
  <c r="CS60" i="1"/>
  <c r="CS24" i="1"/>
  <c r="CS25" i="1"/>
  <c r="CS26" i="1"/>
  <c r="CS93" i="1"/>
  <c r="CS39" i="1"/>
  <c r="CS67" i="1"/>
  <c r="CS14" i="1"/>
  <c r="CS41" i="1"/>
  <c r="CS42" i="1"/>
  <c r="CS43" i="1"/>
  <c r="CS13" i="1"/>
  <c r="CS58" i="1"/>
  <c r="CS34" i="1"/>
  <c r="CS31" i="1"/>
  <c r="CS50" i="1"/>
  <c r="CS51" i="1"/>
  <c r="CS52" i="1"/>
  <c r="CS57" i="1"/>
  <c r="CS85" i="1"/>
  <c r="CS86" i="1"/>
  <c r="CS30" i="1"/>
  <c r="CS74" i="1"/>
  <c r="CS61" i="1"/>
  <c r="CS98" i="1"/>
  <c r="CS73" i="1"/>
  <c r="CS35" i="1"/>
  <c r="CS122" i="1"/>
  <c r="CS68" i="1"/>
  <c r="CS65" i="1"/>
  <c r="CS127" i="1"/>
  <c r="CS123" i="1"/>
  <c r="CS2" i="1"/>
  <c r="CS130" i="1" l="1"/>
  <c r="BP2" i="1" l="1"/>
  <c r="BM130" i="1" l="1"/>
  <c r="BM132" i="1" s="1"/>
  <c r="AM130" i="1"/>
  <c r="AM132" i="1" s="1"/>
  <c r="L130" i="1"/>
  <c r="L132" i="1" s="1"/>
  <c r="AY130" i="1"/>
  <c r="BK130" i="1"/>
  <c r="BK132" i="1" s="1"/>
  <c r="AJ130" i="1"/>
  <c r="AJ132" i="1" s="1"/>
  <c r="AW130" i="1"/>
  <c r="BH130" i="1"/>
  <c r="BH132" i="1" s="1"/>
  <c r="AU130" i="1"/>
  <c r="AH130" i="1"/>
  <c r="AH132" i="1" s="1"/>
  <c r="AL130" i="1"/>
  <c r="AL132" i="1" s="1"/>
  <c r="BD130" i="1"/>
  <c r="BD132" i="1" s="1"/>
  <c r="BA130" i="1"/>
  <c r="BL130" i="1"/>
  <c r="BL132" i="1" s="1"/>
  <c r="AZ130" i="1"/>
  <c r="J130" i="1"/>
  <c r="J132" i="1" s="1"/>
  <c r="H130" i="1"/>
  <c r="H132" i="1" s="1"/>
  <c r="G130" i="1"/>
  <c r="G132" i="1" s="1"/>
  <c r="BG130" i="1"/>
  <c r="BG132" i="1" s="1"/>
  <c r="AQ130" i="1"/>
  <c r="AE130" i="1"/>
  <c r="AE132" i="1" s="1"/>
  <c r="F130" i="1"/>
  <c r="F132" i="1" s="1"/>
  <c r="BB130" i="1"/>
  <c r="BJ130" i="1"/>
  <c r="BJ132" i="1" s="1"/>
  <c r="AX130" i="1"/>
  <c r="AI130" i="1"/>
  <c r="AI132" i="1" s="1"/>
  <c r="I130" i="1"/>
  <c r="I132" i="1" s="1"/>
  <c r="AG130" i="1"/>
  <c r="AG132" i="1" s="1"/>
  <c r="BE130" i="1"/>
  <c r="BE132" i="1" s="1"/>
  <c r="AF130" i="1"/>
  <c r="AF132" i="1" s="1"/>
  <c r="BF130" i="1"/>
  <c r="BF132" i="1" s="1"/>
  <c r="AS130" i="1"/>
  <c r="O130" i="1"/>
  <c r="O132" i="1" s="1"/>
  <c r="BO130" i="1"/>
  <c r="BO132" i="1" s="1"/>
  <c r="AR130" i="1"/>
  <c r="N130" i="1"/>
  <c r="N132" i="1" s="1"/>
  <c r="K130" i="1"/>
  <c r="K132" i="1" s="1"/>
  <c r="AK130" i="1"/>
  <c r="AK132" i="1" s="1"/>
  <c r="BI130" i="1"/>
  <c r="BI132" i="1" s="1"/>
  <c r="AT130" i="1"/>
  <c r="AV130" i="1"/>
  <c r="E130" i="1"/>
  <c r="E132" i="1" s="1"/>
  <c r="BN130" i="1"/>
  <c r="BN132" i="1" s="1"/>
  <c r="AN130" i="1"/>
  <c r="AN132" i="1" s="1"/>
  <c r="M130" i="1"/>
  <c r="M132" i="1" s="1"/>
  <c r="AP130" i="1"/>
  <c r="AP132" i="1" s="1"/>
  <c r="BC130" i="1"/>
  <c r="BC132" i="1" s="1"/>
  <c r="AO130" i="1"/>
  <c r="AO132" i="1" s="1"/>
  <c r="V130" i="1"/>
  <c r="V132" i="1" s="1"/>
  <c r="Y130" i="1"/>
  <c r="Y132" i="1" s="1"/>
  <c r="W130" i="1"/>
  <c r="W132" i="1" s="1"/>
  <c r="S130" i="1"/>
  <c r="S132" i="1" s="1"/>
  <c r="X130" i="1"/>
  <c r="X132" i="1" s="1"/>
  <c r="R130" i="1"/>
  <c r="R132" i="1" s="1"/>
  <c r="Z130" i="1"/>
  <c r="Z132" i="1" s="1"/>
  <c r="U130" i="1"/>
  <c r="U132" i="1" s="1"/>
  <c r="T130" i="1"/>
  <c r="T132" i="1" s="1"/>
  <c r="AC130" i="1"/>
  <c r="AC132" i="1" s="1"/>
  <c r="Q130" i="1"/>
  <c r="Q132" i="1" s="1"/>
  <c r="AB130" i="1"/>
  <c r="AB132" i="1" s="1"/>
  <c r="P130" i="1"/>
  <c r="P132" i="1" s="1"/>
  <c r="AA130" i="1"/>
  <c r="AA132" i="1" s="1"/>
  <c r="AD130" i="1"/>
  <c r="AD132" i="1" s="1"/>
  <c r="AR132" i="1" l="1"/>
  <c r="BU55" i="1"/>
  <c r="BU22" i="1"/>
  <c r="BU42" i="1"/>
  <c r="BU93" i="1"/>
  <c r="BU67" i="1"/>
  <c r="BU85" i="1"/>
  <c r="BU5" i="1"/>
  <c r="BU17" i="1"/>
  <c r="BU54" i="1"/>
  <c r="BU45" i="1"/>
  <c r="BU83" i="1"/>
  <c r="BU79" i="1"/>
  <c r="BU63" i="1"/>
  <c r="BU70" i="1"/>
  <c r="BU65" i="1"/>
  <c r="BU66" i="1"/>
  <c r="BU68" i="1"/>
  <c r="BU69" i="1"/>
  <c r="BU96" i="1"/>
  <c r="BU99" i="1"/>
  <c r="BU81" i="1"/>
  <c r="BU100" i="1"/>
  <c r="BU84" i="1"/>
  <c r="BU103" i="1"/>
  <c r="BU104" i="1"/>
  <c r="BU105" i="1"/>
  <c r="BU106" i="1"/>
  <c r="BU107" i="1"/>
  <c r="BU108" i="1"/>
  <c r="BU109" i="1"/>
  <c r="BU110" i="1"/>
  <c r="BU111" i="1"/>
  <c r="BU112" i="1"/>
  <c r="BU113" i="1"/>
  <c r="BU87" i="1"/>
  <c r="BU88" i="1"/>
  <c r="BU114" i="1"/>
  <c r="BU115" i="1"/>
  <c r="BU101" i="1"/>
  <c r="BU102" i="1"/>
  <c r="BU90" i="1"/>
  <c r="BU116" i="1"/>
  <c r="BU117" i="1"/>
  <c r="BU118" i="1"/>
  <c r="BU119" i="1"/>
  <c r="BU50" i="1"/>
  <c r="BU26" i="1"/>
  <c r="BU72" i="1"/>
  <c r="BU59" i="1"/>
  <c r="BU9" i="1"/>
  <c r="BU21" i="1"/>
  <c r="BU41" i="1"/>
  <c r="BU49" i="1"/>
  <c r="BU33" i="1"/>
  <c r="BU91" i="1"/>
  <c r="BU92" i="1"/>
  <c r="BU36" i="1"/>
  <c r="BU4" i="1"/>
  <c r="BU16" i="1"/>
  <c r="BU10" i="1"/>
  <c r="BU89" i="1"/>
  <c r="BU60" i="1"/>
  <c r="BU78" i="1"/>
  <c r="BU11" i="1"/>
  <c r="BU23" i="1"/>
  <c r="BU43" i="1"/>
  <c r="BU34" i="1"/>
  <c r="BU61" i="1"/>
  <c r="BU86" i="1"/>
  <c r="BU30" i="1"/>
  <c r="BU73" i="1"/>
  <c r="BU35" i="1"/>
  <c r="BU6" i="1"/>
  <c r="BU18" i="1"/>
  <c r="BU14" i="1"/>
  <c r="BU46" i="1"/>
  <c r="BU27" i="1"/>
  <c r="BU80" i="1"/>
  <c r="BU7" i="1"/>
  <c r="BU15" i="1"/>
  <c r="BU48" i="1"/>
  <c r="BU58" i="1"/>
  <c r="BU3" i="1"/>
  <c r="BU20" i="1"/>
  <c r="BU12" i="1"/>
  <c r="BU76" i="1"/>
  <c r="BU98" i="1"/>
  <c r="BU123" i="1"/>
  <c r="BU125" i="1"/>
  <c r="BU129" i="1"/>
  <c r="BU8" i="1"/>
  <c r="BU44" i="1"/>
  <c r="BU37" i="1"/>
  <c r="BU121" i="1"/>
  <c r="BU97" i="1"/>
  <c r="BU124" i="1"/>
  <c r="BU128" i="1"/>
  <c r="BU39" i="1"/>
  <c r="BU57" i="1"/>
  <c r="BU62" i="1"/>
  <c r="BU71" i="1"/>
  <c r="BU127" i="1"/>
  <c r="BU24" i="1"/>
  <c r="BU95" i="1"/>
  <c r="BU122" i="1"/>
  <c r="BU126" i="1"/>
  <c r="BU51" i="1"/>
  <c r="BU120" i="1"/>
  <c r="BU82" i="1"/>
  <c r="BU56" i="1"/>
  <c r="BU40" i="1"/>
  <c r="BU28" i="1"/>
  <c r="BU77" i="1"/>
  <c r="BU25" i="1"/>
  <c r="BU47" i="1"/>
  <c r="BU52" i="1"/>
  <c r="BU31" i="1"/>
  <c r="BU53" i="1"/>
  <c r="BU13" i="1"/>
  <c r="BU19" i="1"/>
  <c r="BU29" i="1"/>
  <c r="BU74" i="1"/>
  <c r="BU94" i="1"/>
  <c r="BU64" i="1"/>
  <c r="BU32" i="1"/>
  <c r="BU75" i="1"/>
  <c r="BU2" i="1"/>
  <c r="AU132" i="1"/>
  <c r="BX3" i="1"/>
  <c r="BX4" i="1"/>
  <c r="BX5" i="1"/>
  <c r="BX6" i="1"/>
  <c r="BX7" i="1"/>
  <c r="BX8" i="1"/>
  <c r="BX9" i="1"/>
  <c r="BX55" i="1"/>
  <c r="BX11" i="1"/>
  <c r="BX24" i="1"/>
  <c r="BX25" i="1"/>
  <c r="BX15" i="1"/>
  <c r="BX16" i="1"/>
  <c r="BX17" i="1"/>
  <c r="BX18" i="1"/>
  <c r="BX19" i="1"/>
  <c r="BX20" i="1"/>
  <c r="BX21" i="1"/>
  <c r="BX22" i="1"/>
  <c r="BX23" i="1"/>
  <c r="BX50" i="1"/>
  <c r="BX39" i="1"/>
  <c r="BX40" i="1"/>
  <c r="BX29" i="1"/>
  <c r="BX10" i="1"/>
  <c r="BX54" i="1"/>
  <c r="BX14" i="1"/>
  <c r="BX31" i="1"/>
  <c r="BX32" i="1"/>
  <c r="BX41" i="1"/>
  <c r="BX42" i="1"/>
  <c r="BX43" i="1"/>
  <c r="BX44" i="1"/>
  <c r="BX53" i="1"/>
  <c r="BX89" i="1"/>
  <c r="BX45" i="1"/>
  <c r="BX46" i="1"/>
  <c r="BX47" i="1"/>
  <c r="BX48" i="1"/>
  <c r="BX49" i="1"/>
  <c r="BX93" i="1"/>
  <c r="BX34" i="1"/>
  <c r="BX26" i="1"/>
  <c r="BX12" i="1"/>
  <c r="BX51" i="1"/>
  <c r="BX52" i="1"/>
  <c r="BX60" i="1"/>
  <c r="BX83" i="1"/>
  <c r="BX27" i="1"/>
  <c r="BX28" i="1"/>
  <c r="BX74" i="1"/>
  <c r="BX33" i="1"/>
  <c r="BX67" i="1"/>
  <c r="BX61" i="1"/>
  <c r="BX72" i="1"/>
  <c r="BX75" i="1"/>
  <c r="BX76" i="1"/>
  <c r="BX77" i="1"/>
  <c r="BX78" i="1"/>
  <c r="BX79" i="1"/>
  <c r="BX80" i="1"/>
  <c r="BX82" i="1"/>
  <c r="BX13" i="1"/>
  <c r="BX91" i="1"/>
  <c r="BX85" i="1"/>
  <c r="BX86" i="1"/>
  <c r="BX59" i="1"/>
  <c r="BX58" i="1"/>
  <c r="BX57" i="1"/>
  <c r="BX56" i="1"/>
  <c r="BX95" i="1"/>
  <c r="BX64" i="1"/>
  <c r="BX94" i="1"/>
  <c r="BX62" i="1"/>
  <c r="BX37" i="1"/>
  <c r="BX92" i="1"/>
  <c r="BX36" i="1"/>
  <c r="BX96" i="1"/>
  <c r="BX110" i="1"/>
  <c r="BX112" i="1"/>
  <c r="BX68" i="1"/>
  <c r="BX108" i="1"/>
  <c r="BX87" i="1"/>
  <c r="BX115" i="1"/>
  <c r="BX118" i="1"/>
  <c r="BX100" i="1"/>
  <c r="BX90" i="1"/>
  <c r="BX99" i="1"/>
  <c r="BX111" i="1"/>
  <c r="BX65" i="1"/>
  <c r="BX106" i="1"/>
  <c r="BX71" i="1"/>
  <c r="BX104" i="1"/>
  <c r="BX69" i="1"/>
  <c r="BX109" i="1"/>
  <c r="BX113" i="1"/>
  <c r="BX114" i="1"/>
  <c r="BX73" i="1"/>
  <c r="BX84" i="1"/>
  <c r="BX121" i="1"/>
  <c r="BX122" i="1"/>
  <c r="BX98" i="1"/>
  <c r="BX97" i="1"/>
  <c r="BX123" i="1"/>
  <c r="BX124" i="1"/>
  <c r="BX125" i="1"/>
  <c r="BX126" i="1"/>
  <c r="BX127" i="1"/>
  <c r="BX128" i="1"/>
  <c r="BX129" i="1"/>
  <c r="BX116" i="1"/>
  <c r="BX63" i="1"/>
  <c r="BX35" i="1"/>
  <c r="BX66" i="1"/>
  <c r="BX107" i="1"/>
  <c r="BX120" i="1"/>
  <c r="BX105" i="1"/>
  <c r="BX88" i="1"/>
  <c r="BX119" i="1"/>
  <c r="BX30" i="1"/>
  <c r="BX81" i="1"/>
  <c r="BX70" i="1"/>
  <c r="BX101" i="1"/>
  <c r="BX103" i="1"/>
  <c r="BX102" i="1"/>
  <c r="BX117" i="1"/>
  <c r="BX2" i="1"/>
  <c r="BB132" i="1"/>
  <c r="CE11" i="1"/>
  <c r="CE23" i="1"/>
  <c r="CE43" i="1"/>
  <c r="CE34" i="1"/>
  <c r="CE61" i="1"/>
  <c r="CE86" i="1"/>
  <c r="CE6" i="1"/>
  <c r="CE18" i="1"/>
  <c r="CE14" i="1"/>
  <c r="CE46" i="1"/>
  <c r="CE27" i="1"/>
  <c r="CE80" i="1"/>
  <c r="CE30" i="1"/>
  <c r="CE92" i="1"/>
  <c r="CE36" i="1"/>
  <c r="CE24" i="1"/>
  <c r="CE39" i="1"/>
  <c r="CE44" i="1"/>
  <c r="CE12" i="1"/>
  <c r="CE75" i="1"/>
  <c r="CE58" i="1"/>
  <c r="CE55" i="1"/>
  <c r="CE22" i="1"/>
  <c r="CE42" i="1"/>
  <c r="CE93" i="1"/>
  <c r="CE67" i="1"/>
  <c r="CE85" i="1"/>
  <c r="CE56" i="1"/>
  <c r="CE95" i="1"/>
  <c r="CE71" i="1"/>
  <c r="CE5" i="1"/>
  <c r="CE17" i="1"/>
  <c r="CE54" i="1"/>
  <c r="CE45" i="1"/>
  <c r="CE83" i="1"/>
  <c r="CE79" i="1"/>
  <c r="CE50" i="1"/>
  <c r="CE26" i="1"/>
  <c r="CE72" i="1"/>
  <c r="CE59" i="1"/>
  <c r="CE64" i="1"/>
  <c r="CE7" i="1"/>
  <c r="CE19" i="1"/>
  <c r="CE31" i="1"/>
  <c r="CE47" i="1"/>
  <c r="CE28" i="1"/>
  <c r="CE82" i="1"/>
  <c r="CE53" i="1"/>
  <c r="CE13" i="1"/>
  <c r="CE35" i="1"/>
  <c r="CE66" i="1"/>
  <c r="CE113" i="1"/>
  <c r="CE114" i="1"/>
  <c r="CE29" i="1"/>
  <c r="CE15" i="1"/>
  <c r="CE48" i="1"/>
  <c r="CE60" i="1"/>
  <c r="CE70" i="1"/>
  <c r="CE105" i="1"/>
  <c r="CE110" i="1"/>
  <c r="CE120" i="1"/>
  <c r="CE121" i="1"/>
  <c r="CE122" i="1"/>
  <c r="CE97" i="1"/>
  <c r="CE123" i="1"/>
  <c r="CE125" i="1"/>
  <c r="CE126" i="1"/>
  <c r="CE128" i="1"/>
  <c r="CE129" i="1"/>
  <c r="CE57" i="1"/>
  <c r="CE68" i="1"/>
  <c r="CE108" i="1"/>
  <c r="CE112" i="1"/>
  <c r="CE119" i="1"/>
  <c r="CE3" i="1"/>
  <c r="CE32" i="1"/>
  <c r="CE89" i="1"/>
  <c r="CE91" i="1"/>
  <c r="CE94" i="1"/>
  <c r="CE96" i="1"/>
  <c r="CE98" i="1"/>
  <c r="CE124" i="1"/>
  <c r="CE127" i="1"/>
  <c r="CE16" i="1"/>
  <c r="CE20" i="1"/>
  <c r="CE10" i="1"/>
  <c r="CE33" i="1"/>
  <c r="CE103" i="1"/>
  <c r="CE88" i="1"/>
  <c r="CE101" i="1"/>
  <c r="CE116" i="1"/>
  <c r="CE8" i="1"/>
  <c r="CE49" i="1"/>
  <c r="CE4" i="1"/>
  <c r="CE41" i="1"/>
  <c r="CE76" i="1"/>
  <c r="CE100" i="1"/>
  <c r="CE21" i="1"/>
  <c r="CE51" i="1"/>
  <c r="CE9" i="1"/>
  <c r="CE62" i="1"/>
  <c r="CE99" i="1"/>
  <c r="CE87" i="1"/>
  <c r="CE115" i="1"/>
  <c r="CE90" i="1"/>
  <c r="CE118" i="1"/>
  <c r="CE63" i="1"/>
  <c r="CE84" i="1"/>
  <c r="CE102" i="1"/>
  <c r="CE40" i="1"/>
  <c r="CE37" i="1"/>
  <c r="CE104" i="1"/>
  <c r="CE107" i="1"/>
  <c r="CE25" i="1"/>
  <c r="CE77" i="1"/>
  <c r="CE69" i="1"/>
  <c r="CE109" i="1"/>
  <c r="CE111" i="1"/>
  <c r="CE52" i="1"/>
  <c r="CE73" i="1"/>
  <c r="CE117" i="1"/>
  <c r="CE78" i="1"/>
  <c r="CE106" i="1"/>
  <c r="CE81" i="1"/>
  <c r="CE65" i="1"/>
  <c r="CE74" i="1"/>
  <c r="CE2" i="1"/>
  <c r="AS132" i="1"/>
  <c r="BV3" i="1"/>
  <c r="BV15" i="1"/>
  <c r="BV29" i="1"/>
  <c r="BV53" i="1"/>
  <c r="BV52" i="1"/>
  <c r="BV77" i="1"/>
  <c r="BV56" i="1"/>
  <c r="BV95" i="1"/>
  <c r="BV64" i="1"/>
  <c r="BV55" i="1"/>
  <c r="BV22" i="1"/>
  <c r="BV42" i="1"/>
  <c r="BV93" i="1"/>
  <c r="BV67" i="1"/>
  <c r="BV85" i="1"/>
  <c r="BV5" i="1"/>
  <c r="BV17" i="1"/>
  <c r="BV54" i="1"/>
  <c r="BV45" i="1"/>
  <c r="BV83" i="1"/>
  <c r="BV79" i="1"/>
  <c r="BV63" i="1"/>
  <c r="BV70" i="1"/>
  <c r="BV65" i="1"/>
  <c r="BV66" i="1"/>
  <c r="BV68" i="1"/>
  <c r="BV69" i="1"/>
  <c r="BV96" i="1"/>
  <c r="BV99" i="1"/>
  <c r="BV81" i="1"/>
  <c r="BV100" i="1"/>
  <c r="BV84" i="1"/>
  <c r="BV103" i="1"/>
  <c r="BV104" i="1"/>
  <c r="BV105" i="1"/>
  <c r="BV106" i="1"/>
  <c r="BV107" i="1"/>
  <c r="BV108" i="1"/>
  <c r="BV109" i="1"/>
  <c r="BV110" i="1"/>
  <c r="BV111" i="1"/>
  <c r="BV112" i="1"/>
  <c r="BV113" i="1"/>
  <c r="BV25" i="1"/>
  <c r="BV40" i="1"/>
  <c r="BV51" i="1"/>
  <c r="BV76" i="1"/>
  <c r="BV57" i="1"/>
  <c r="BV9" i="1"/>
  <c r="BV21" i="1"/>
  <c r="BV41" i="1"/>
  <c r="BV49" i="1"/>
  <c r="BV33" i="1"/>
  <c r="BV91" i="1"/>
  <c r="BV92" i="1"/>
  <c r="BV36" i="1"/>
  <c r="BV4" i="1"/>
  <c r="BV16" i="1"/>
  <c r="BV10" i="1"/>
  <c r="BV89" i="1"/>
  <c r="BV60" i="1"/>
  <c r="BV78" i="1"/>
  <c r="BV11" i="1"/>
  <c r="BV23" i="1"/>
  <c r="BV43" i="1"/>
  <c r="BV34" i="1"/>
  <c r="BV61" i="1"/>
  <c r="BV86" i="1"/>
  <c r="BV30" i="1"/>
  <c r="BV73" i="1"/>
  <c r="BV35" i="1"/>
  <c r="BV19" i="1"/>
  <c r="BV26" i="1"/>
  <c r="BV74" i="1"/>
  <c r="BV50" i="1"/>
  <c r="BV32" i="1"/>
  <c r="BV75" i="1"/>
  <c r="BV94" i="1"/>
  <c r="BV62" i="1"/>
  <c r="BV71" i="1"/>
  <c r="BV114" i="1"/>
  <c r="BV117" i="1"/>
  <c r="BV20" i="1"/>
  <c r="BV12" i="1"/>
  <c r="BV102" i="1"/>
  <c r="BV8" i="1"/>
  <c r="BV44" i="1"/>
  <c r="BV80" i="1"/>
  <c r="BV39" i="1"/>
  <c r="BV27" i="1"/>
  <c r="BV24" i="1"/>
  <c r="BV46" i="1"/>
  <c r="BV37" i="1"/>
  <c r="BV121" i="1"/>
  <c r="BV122" i="1"/>
  <c r="BV98" i="1"/>
  <c r="BV97" i="1"/>
  <c r="BV123" i="1"/>
  <c r="BV124" i="1"/>
  <c r="BV125" i="1"/>
  <c r="BV126" i="1"/>
  <c r="BV127" i="1"/>
  <c r="BV128" i="1"/>
  <c r="BV129" i="1"/>
  <c r="BV14" i="1"/>
  <c r="BV18" i="1"/>
  <c r="BV82" i="1"/>
  <c r="BV72" i="1"/>
  <c r="BV6" i="1"/>
  <c r="BV28" i="1"/>
  <c r="BV88" i="1"/>
  <c r="BV101" i="1"/>
  <c r="BV116" i="1"/>
  <c r="BV119" i="1"/>
  <c r="BV47" i="1"/>
  <c r="BV59" i="1"/>
  <c r="BV31" i="1"/>
  <c r="BV13" i="1"/>
  <c r="BV7" i="1"/>
  <c r="BV48" i="1"/>
  <c r="BV58" i="1"/>
  <c r="BV90" i="1"/>
  <c r="BV118" i="1"/>
  <c r="BV87" i="1"/>
  <c r="BV120" i="1"/>
  <c r="BV115" i="1"/>
  <c r="BV2" i="1"/>
  <c r="AW132" i="1"/>
  <c r="BZ24" i="1"/>
  <c r="BZ39" i="1"/>
  <c r="BZ44" i="1"/>
  <c r="BZ12" i="1"/>
  <c r="BZ75" i="1"/>
  <c r="BZ58" i="1"/>
  <c r="BZ8" i="1"/>
  <c r="BZ20" i="1"/>
  <c r="BZ32" i="1"/>
  <c r="BZ48" i="1"/>
  <c r="BZ74" i="1"/>
  <c r="BZ13" i="1"/>
  <c r="BZ71" i="1"/>
  <c r="BZ3" i="1"/>
  <c r="BZ15" i="1"/>
  <c r="BZ29" i="1"/>
  <c r="BZ53" i="1"/>
  <c r="BZ52" i="1"/>
  <c r="BZ77" i="1"/>
  <c r="BZ50" i="1"/>
  <c r="BZ26" i="1"/>
  <c r="BZ72" i="1"/>
  <c r="BZ59" i="1"/>
  <c r="BZ63" i="1"/>
  <c r="BZ7" i="1"/>
  <c r="BZ19" i="1"/>
  <c r="BZ31" i="1"/>
  <c r="BZ47" i="1"/>
  <c r="BZ28" i="1"/>
  <c r="BZ82" i="1"/>
  <c r="BZ70" i="1"/>
  <c r="BZ65" i="1"/>
  <c r="BZ66" i="1"/>
  <c r="BZ68" i="1"/>
  <c r="BZ69" i="1"/>
  <c r="BZ96" i="1"/>
  <c r="BZ99" i="1"/>
  <c r="BZ81" i="1"/>
  <c r="BZ100" i="1"/>
  <c r="BZ84" i="1"/>
  <c r="BZ103" i="1"/>
  <c r="BZ104" i="1"/>
  <c r="BZ105" i="1"/>
  <c r="BZ106" i="1"/>
  <c r="BZ107" i="1"/>
  <c r="BZ108" i="1"/>
  <c r="BZ109" i="1"/>
  <c r="BZ110" i="1"/>
  <c r="BZ111" i="1"/>
  <c r="BZ112" i="1"/>
  <c r="BZ113" i="1"/>
  <c r="BZ87" i="1"/>
  <c r="BZ88" i="1"/>
  <c r="BZ114" i="1"/>
  <c r="BZ115" i="1"/>
  <c r="BZ101" i="1"/>
  <c r="BZ102" i="1"/>
  <c r="BZ90" i="1"/>
  <c r="BZ116" i="1"/>
  <c r="BZ117" i="1"/>
  <c r="BZ118" i="1"/>
  <c r="BZ25" i="1"/>
  <c r="BZ40" i="1"/>
  <c r="BZ51" i="1"/>
  <c r="BZ76" i="1"/>
  <c r="BZ57" i="1"/>
  <c r="BZ94" i="1"/>
  <c r="BZ62" i="1"/>
  <c r="BZ37" i="1"/>
  <c r="BZ9" i="1"/>
  <c r="BZ21" i="1"/>
  <c r="BZ41" i="1"/>
  <c r="BZ49" i="1"/>
  <c r="BZ33" i="1"/>
  <c r="BZ91" i="1"/>
  <c r="BZ23" i="1"/>
  <c r="BZ60" i="1"/>
  <c r="BZ30" i="1"/>
  <c r="BZ10" i="1"/>
  <c r="BZ64" i="1"/>
  <c r="BZ36" i="1"/>
  <c r="BZ16" i="1"/>
  <c r="BZ79" i="1"/>
  <c r="BZ85" i="1"/>
  <c r="BZ4" i="1"/>
  <c r="BZ83" i="1"/>
  <c r="BZ45" i="1"/>
  <c r="BZ54" i="1"/>
  <c r="BZ67" i="1"/>
  <c r="BZ80" i="1"/>
  <c r="BZ95" i="1"/>
  <c r="BZ17" i="1"/>
  <c r="BZ93" i="1"/>
  <c r="BZ27" i="1"/>
  <c r="BZ5" i="1"/>
  <c r="BZ42" i="1"/>
  <c r="BZ46" i="1"/>
  <c r="BZ86" i="1"/>
  <c r="BZ56" i="1"/>
  <c r="BZ22" i="1"/>
  <c r="BZ14" i="1"/>
  <c r="BZ61" i="1"/>
  <c r="BZ78" i="1"/>
  <c r="BZ35" i="1"/>
  <c r="BZ119" i="1"/>
  <c r="BZ55" i="1"/>
  <c r="BZ18" i="1"/>
  <c r="BZ34" i="1"/>
  <c r="BZ73" i="1"/>
  <c r="BZ120" i="1"/>
  <c r="BZ121" i="1"/>
  <c r="BZ122" i="1"/>
  <c r="BZ98" i="1"/>
  <c r="BZ97" i="1"/>
  <c r="BZ123" i="1"/>
  <c r="BZ124" i="1"/>
  <c r="BZ125" i="1"/>
  <c r="BZ126" i="1"/>
  <c r="BZ127" i="1"/>
  <c r="BZ128" i="1"/>
  <c r="BZ129" i="1"/>
  <c r="BZ6" i="1"/>
  <c r="BZ43" i="1"/>
  <c r="BZ11" i="1"/>
  <c r="BZ92" i="1"/>
  <c r="BZ89" i="1"/>
  <c r="BZ2" i="1"/>
  <c r="AT132" i="1"/>
  <c r="BW3" i="1"/>
  <c r="BW4" i="1"/>
  <c r="BW5" i="1"/>
  <c r="BW6" i="1"/>
  <c r="BW7" i="1"/>
  <c r="BW8" i="1"/>
  <c r="BW9" i="1"/>
  <c r="BW55" i="1"/>
  <c r="BW11" i="1"/>
  <c r="BW24" i="1"/>
  <c r="BW25" i="1"/>
  <c r="BW15" i="1"/>
  <c r="BW16" i="1"/>
  <c r="BW17" i="1"/>
  <c r="BW18" i="1"/>
  <c r="BW19" i="1"/>
  <c r="BW20" i="1"/>
  <c r="BW21" i="1"/>
  <c r="BW22" i="1"/>
  <c r="BW23" i="1"/>
  <c r="BW50" i="1"/>
  <c r="BW39" i="1"/>
  <c r="BW40" i="1"/>
  <c r="BW29" i="1"/>
  <c r="BW10" i="1"/>
  <c r="BW54" i="1"/>
  <c r="BW14" i="1"/>
  <c r="BW31" i="1"/>
  <c r="BW32" i="1"/>
  <c r="BW41" i="1"/>
  <c r="BW42" i="1"/>
  <c r="BW43" i="1"/>
  <c r="BW44" i="1"/>
  <c r="BW53" i="1"/>
  <c r="BW89" i="1"/>
  <c r="BW45" i="1"/>
  <c r="BW46" i="1"/>
  <c r="BW47" i="1"/>
  <c r="BW48" i="1"/>
  <c r="BW49" i="1"/>
  <c r="BW93" i="1"/>
  <c r="BW34" i="1"/>
  <c r="BW26" i="1"/>
  <c r="BW12" i="1"/>
  <c r="BW51" i="1"/>
  <c r="BW52" i="1"/>
  <c r="BW60" i="1"/>
  <c r="BW83" i="1"/>
  <c r="BW27" i="1"/>
  <c r="BW28" i="1"/>
  <c r="BW74" i="1"/>
  <c r="BW33" i="1"/>
  <c r="BW67" i="1"/>
  <c r="BW61" i="1"/>
  <c r="BW72" i="1"/>
  <c r="BW75" i="1"/>
  <c r="BW76" i="1"/>
  <c r="BW77" i="1"/>
  <c r="BW78" i="1"/>
  <c r="BW79" i="1"/>
  <c r="BW80" i="1"/>
  <c r="BW82" i="1"/>
  <c r="BW13" i="1"/>
  <c r="BW91" i="1"/>
  <c r="BW85" i="1"/>
  <c r="BW86" i="1"/>
  <c r="BW59" i="1"/>
  <c r="BW58" i="1"/>
  <c r="BW57" i="1"/>
  <c r="BW56" i="1"/>
  <c r="BW30" i="1"/>
  <c r="BW94" i="1"/>
  <c r="BW95" i="1"/>
  <c r="BW73" i="1"/>
  <c r="BW92" i="1"/>
  <c r="BW62" i="1"/>
  <c r="BW63" i="1"/>
  <c r="BW64" i="1"/>
  <c r="BW71" i="1"/>
  <c r="BW35" i="1"/>
  <c r="BW36" i="1"/>
  <c r="BW37" i="1"/>
  <c r="BW103" i="1"/>
  <c r="BW100" i="1"/>
  <c r="BW87" i="1"/>
  <c r="BW115" i="1"/>
  <c r="BW90" i="1"/>
  <c r="BW118" i="1"/>
  <c r="BW106" i="1"/>
  <c r="BW65" i="1"/>
  <c r="BW104" i="1"/>
  <c r="BW99" i="1"/>
  <c r="BW111" i="1"/>
  <c r="BW69" i="1"/>
  <c r="BW109" i="1"/>
  <c r="BW113" i="1"/>
  <c r="BW114" i="1"/>
  <c r="BW102" i="1"/>
  <c r="BW117" i="1"/>
  <c r="BW84" i="1"/>
  <c r="BW66" i="1"/>
  <c r="BW107" i="1"/>
  <c r="BW120" i="1"/>
  <c r="BW81" i="1"/>
  <c r="BW96" i="1"/>
  <c r="BW110" i="1"/>
  <c r="BW70" i="1"/>
  <c r="BW105" i="1"/>
  <c r="BW88" i="1"/>
  <c r="BW101" i="1"/>
  <c r="BW116" i="1"/>
  <c r="BW119" i="1"/>
  <c r="BW112" i="1"/>
  <c r="BW129" i="1"/>
  <c r="BW121" i="1"/>
  <c r="BW122" i="1"/>
  <c r="BW126" i="1"/>
  <c r="BW123" i="1"/>
  <c r="BW98" i="1"/>
  <c r="BW127" i="1"/>
  <c r="BW108" i="1"/>
  <c r="BW97" i="1"/>
  <c r="BW128" i="1"/>
  <c r="BW124" i="1"/>
  <c r="BW125" i="1"/>
  <c r="BW68" i="1"/>
  <c r="BW2" i="1"/>
  <c r="AY132" i="1"/>
  <c r="CB3" i="1"/>
  <c r="CB4" i="1"/>
  <c r="CB5" i="1"/>
  <c r="CB6" i="1"/>
  <c r="CB7" i="1"/>
  <c r="CB8" i="1"/>
  <c r="CB9" i="1"/>
  <c r="CB55" i="1"/>
  <c r="CB11" i="1"/>
  <c r="CB24" i="1"/>
  <c r="CB25" i="1"/>
  <c r="CB15" i="1"/>
  <c r="CB16" i="1"/>
  <c r="CB17" i="1"/>
  <c r="CB18" i="1"/>
  <c r="CB19" i="1"/>
  <c r="CB20" i="1"/>
  <c r="CB21" i="1"/>
  <c r="CB22" i="1"/>
  <c r="CB23" i="1"/>
  <c r="CB50" i="1"/>
  <c r="CB39" i="1"/>
  <c r="CB40" i="1"/>
  <c r="CB29" i="1"/>
  <c r="CB10" i="1"/>
  <c r="CB54" i="1"/>
  <c r="CB14" i="1"/>
  <c r="CB31" i="1"/>
  <c r="CB32" i="1"/>
  <c r="CB41" i="1"/>
  <c r="CB42" i="1"/>
  <c r="CB43" i="1"/>
  <c r="CB44" i="1"/>
  <c r="CB53" i="1"/>
  <c r="CB89" i="1"/>
  <c r="CB45" i="1"/>
  <c r="CB46" i="1"/>
  <c r="CB47" i="1"/>
  <c r="CB48" i="1"/>
  <c r="CB49" i="1"/>
  <c r="CB93" i="1"/>
  <c r="CB34" i="1"/>
  <c r="CB26" i="1"/>
  <c r="CB12" i="1"/>
  <c r="CB51" i="1"/>
  <c r="CB52" i="1"/>
  <c r="CB60" i="1"/>
  <c r="CB83" i="1"/>
  <c r="CB27" i="1"/>
  <c r="CB28" i="1"/>
  <c r="CB74" i="1"/>
  <c r="CB33" i="1"/>
  <c r="CB67" i="1"/>
  <c r="CB61" i="1"/>
  <c r="CB72" i="1"/>
  <c r="CB75" i="1"/>
  <c r="CB76" i="1"/>
  <c r="CB77" i="1"/>
  <c r="CB78" i="1"/>
  <c r="CB79" i="1"/>
  <c r="CB80" i="1"/>
  <c r="CB82" i="1"/>
  <c r="CB13" i="1"/>
  <c r="CB91" i="1"/>
  <c r="CB85" i="1"/>
  <c r="CB86" i="1"/>
  <c r="CB59" i="1"/>
  <c r="CB58" i="1"/>
  <c r="CB57" i="1"/>
  <c r="CB56" i="1"/>
  <c r="CB30" i="1"/>
  <c r="CB94" i="1"/>
  <c r="CB95" i="1"/>
  <c r="CB73" i="1"/>
  <c r="CB92" i="1"/>
  <c r="CB62" i="1"/>
  <c r="CB63" i="1"/>
  <c r="CB64" i="1"/>
  <c r="CB71" i="1"/>
  <c r="CB35" i="1"/>
  <c r="CB36" i="1"/>
  <c r="CB37" i="1"/>
  <c r="CB70" i="1"/>
  <c r="CB65" i="1"/>
  <c r="CB66" i="1"/>
  <c r="CB68" i="1"/>
  <c r="CB69" i="1"/>
  <c r="CB96" i="1"/>
  <c r="CB99" i="1"/>
  <c r="CB81" i="1"/>
  <c r="CB100" i="1"/>
  <c r="CB84" i="1"/>
  <c r="CB103" i="1"/>
  <c r="CB104" i="1"/>
  <c r="CB105" i="1"/>
  <c r="CB106" i="1"/>
  <c r="CB107" i="1"/>
  <c r="CB108" i="1"/>
  <c r="CB109" i="1"/>
  <c r="CB110" i="1"/>
  <c r="CB120" i="1"/>
  <c r="CB123" i="1"/>
  <c r="CB127" i="1"/>
  <c r="CB112" i="1"/>
  <c r="CB119" i="1"/>
  <c r="CB87" i="1"/>
  <c r="CB118" i="1"/>
  <c r="CB115" i="1"/>
  <c r="CB90" i="1"/>
  <c r="CB121" i="1"/>
  <c r="CB98" i="1"/>
  <c r="CB124" i="1"/>
  <c r="CB128" i="1"/>
  <c r="CB113" i="1"/>
  <c r="CB114" i="1"/>
  <c r="CB102" i="1"/>
  <c r="CB117" i="1"/>
  <c r="CB122" i="1"/>
  <c r="CB125" i="1"/>
  <c r="CB129" i="1"/>
  <c r="CB97" i="1"/>
  <c r="CB126" i="1"/>
  <c r="CB101" i="1"/>
  <c r="CB116" i="1"/>
  <c r="CB111" i="1"/>
  <c r="CB88" i="1"/>
  <c r="CB2" i="1"/>
  <c r="AZ132" i="1"/>
  <c r="CC3" i="1"/>
  <c r="CC4" i="1"/>
  <c r="CC5" i="1"/>
  <c r="CC6" i="1"/>
  <c r="CC7" i="1"/>
  <c r="CC8" i="1"/>
  <c r="CC9" i="1"/>
  <c r="CC55" i="1"/>
  <c r="CC11" i="1"/>
  <c r="CC24" i="1"/>
  <c r="CC25" i="1"/>
  <c r="CC15" i="1"/>
  <c r="CC16" i="1"/>
  <c r="CC17" i="1"/>
  <c r="CC18" i="1"/>
  <c r="CC19" i="1"/>
  <c r="CC20" i="1"/>
  <c r="CC21" i="1"/>
  <c r="CC22" i="1"/>
  <c r="CC23" i="1"/>
  <c r="CC50" i="1"/>
  <c r="CC39" i="1"/>
  <c r="CC40" i="1"/>
  <c r="CC29" i="1"/>
  <c r="CC10" i="1"/>
  <c r="CC54" i="1"/>
  <c r="CC14" i="1"/>
  <c r="CC31" i="1"/>
  <c r="CC32" i="1"/>
  <c r="CC41" i="1"/>
  <c r="CC42" i="1"/>
  <c r="CC43" i="1"/>
  <c r="CC44" i="1"/>
  <c r="CC53" i="1"/>
  <c r="CC89" i="1"/>
  <c r="CC45" i="1"/>
  <c r="CC46" i="1"/>
  <c r="CC47" i="1"/>
  <c r="CC48" i="1"/>
  <c r="CC49" i="1"/>
  <c r="CC93" i="1"/>
  <c r="CC34" i="1"/>
  <c r="CC26" i="1"/>
  <c r="CC12" i="1"/>
  <c r="CC51" i="1"/>
  <c r="CC52" i="1"/>
  <c r="CC60" i="1"/>
  <c r="CC83" i="1"/>
  <c r="CC27" i="1"/>
  <c r="CC28" i="1"/>
  <c r="CC74" i="1"/>
  <c r="CC33" i="1"/>
  <c r="CC67" i="1"/>
  <c r="CC61" i="1"/>
  <c r="CC72" i="1"/>
  <c r="CC75" i="1"/>
  <c r="CC76" i="1"/>
  <c r="CC77" i="1"/>
  <c r="CC78" i="1"/>
  <c r="CC79" i="1"/>
  <c r="CC80" i="1"/>
  <c r="CC82" i="1"/>
  <c r="CC13" i="1"/>
  <c r="CC91" i="1"/>
  <c r="CC85" i="1"/>
  <c r="CC86" i="1"/>
  <c r="CC59" i="1"/>
  <c r="CC58" i="1"/>
  <c r="CC57" i="1"/>
  <c r="CC56" i="1"/>
  <c r="CC30" i="1"/>
  <c r="CC94" i="1"/>
  <c r="CC95" i="1"/>
  <c r="CC73" i="1"/>
  <c r="CC35" i="1"/>
  <c r="CC64" i="1"/>
  <c r="CC63" i="1"/>
  <c r="CC70" i="1"/>
  <c r="CC103" i="1"/>
  <c r="CC88" i="1"/>
  <c r="CC101" i="1"/>
  <c r="CC116" i="1"/>
  <c r="CC92" i="1"/>
  <c r="CC68" i="1"/>
  <c r="CC108" i="1"/>
  <c r="CC112" i="1"/>
  <c r="CC119" i="1"/>
  <c r="CC36" i="1"/>
  <c r="CC100" i="1"/>
  <c r="CC65" i="1"/>
  <c r="CC106" i="1"/>
  <c r="CC62" i="1"/>
  <c r="CC99" i="1"/>
  <c r="CC87" i="1"/>
  <c r="CC115" i="1"/>
  <c r="CC90" i="1"/>
  <c r="CC118" i="1"/>
  <c r="CC71" i="1"/>
  <c r="CC37" i="1"/>
  <c r="CC69" i="1"/>
  <c r="CC109" i="1"/>
  <c r="CC111" i="1"/>
  <c r="CC84" i="1"/>
  <c r="CC66" i="1"/>
  <c r="CC107" i="1"/>
  <c r="CC113" i="1"/>
  <c r="CC114" i="1"/>
  <c r="CC102" i="1"/>
  <c r="CC117" i="1"/>
  <c r="CC81" i="1"/>
  <c r="CC105" i="1"/>
  <c r="CC121" i="1"/>
  <c r="CC125" i="1"/>
  <c r="CC104" i="1"/>
  <c r="CC122" i="1"/>
  <c r="CC126" i="1"/>
  <c r="CC98" i="1"/>
  <c r="CC110" i="1"/>
  <c r="CC97" i="1"/>
  <c r="CC127" i="1"/>
  <c r="CC128" i="1"/>
  <c r="CC123" i="1"/>
  <c r="CC129" i="1"/>
  <c r="CC96" i="1"/>
  <c r="CC120" i="1"/>
  <c r="CC124" i="1"/>
  <c r="CC2" i="1"/>
  <c r="AV132" i="1"/>
  <c r="BY8" i="1"/>
  <c r="BY20" i="1"/>
  <c r="BY32" i="1"/>
  <c r="BY48" i="1"/>
  <c r="BY74" i="1"/>
  <c r="BY13" i="1"/>
  <c r="BY71" i="1"/>
  <c r="BY3" i="1"/>
  <c r="BY15" i="1"/>
  <c r="BY29" i="1"/>
  <c r="BY53" i="1"/>
  <c r="BY52" i="1"/>
  <c r="BY77" i="1"/>
  <c r="BY55" i="1"/>
  <c r="BY22" i="1"/>
  <c r="BY42" i="1"/>
  <c r="BY93" i="1"/>
  <c r="BY67" i="1"/>
  <c r="BY85" i="1"/>
  <c r="BY56" i="1"/>
  <c r="BY95" i="1"/>
  <c r="BY64" i="1"/>
  <c r="BY7" i="1"/>
  <c r="BY19" i="1"/>
  <c r="BY31" i="1"/>
  <c r="BY47" i="1"/>
  <c r="BY28" i="1"/>
  <c r="BY82" i="1"/>
  <c r="BY70" i="1"/>
  <c r="BY65" i="1"/>
  <c r="BY66" i="1"/>
  <c r="BY68" i="1"/>
  <c r="BY69" i="1"/>
  <c r="BY96" i="1"/>
  <c r="BY99" i="1"/>
  <c r="BY81" i="1"/>
  <c r="BY100" i="1"/>
  <c r="BY84" i="1"/>
  <c r="BY103" i="1"/>
  <c r="BY104" i="1"/>
  <c r="BY105" i="1"/>
  <c r="BY106" i="1"/>
  <c r="BY107" i="1"/>
  <c r="BY108" i="1"/>
  <c r="BY109" i="1"/>
  <c r="BY110" i="1"/>
  <c r="BY111" i="1"/>
  <c r="BY112" i="1"/>
  <c r="BY113" i="1"/>
  <c r="BY87" i="1"/>
  <c r="BY88" i="1"/>
  <c r="BY114" i="1"/>
  <c r="BY115" i="1"/>
  <c r="BY101" i="1"/>
  <c r="BY102" i="1"/>
  <c r="BY90" i="1"/>
  <c r="BY116" i="1"/>
  <c r="BY117" i="1"/>
  <c r="BY118" i="1"/>
  <c r="BY119" i="1"/>
  <c r="BY120" i="1"/>
  <c r="BY25" i="1"/>
  <c r="BY40" i="1"/>
  <c r="BY51" i="1"/>
  <c r="BY76" i="1"/>
  <c r="BY57" i="1"/>
  <c r="BY94" i="1"/>
  <c r="BY62" i="1"/>
  <c r="BY37" i="1"/>
  <c r="BY9" i="1"/>
  <c r="BY21" i="1"/>
  <c r="BY41" i="1"/>
  <c r="BY49" i="1"/>
  <c r="BY33" i="1"/>
  <c r="BY91" i="1"/>
  <c r="BY4" i="1"/>
  <c r="BY16" i="1"/>
  <c r="BY10" i="1"/>
  <c r="BY89" i="1"/>
  <c r="BY60" i="1"/>
  <c r="BY78" i="1"/>
  <c r="BY92" i="1"/>
  <c r="BY36" i="1"/>
  <c r="BY11" i="1"/>
  <c r="BY72" i="1"/>
  <c r="BY79" i="1"/>
  <c r="BY58" i="1"/>
  <c r="BY50" i="1"/>
  <c r="BY83" i="1"/>
  <c r="BY75" i="1"/>
  <c r="BY45" i="1"/>
  <c r="BY12" i="1"/>
  <c r="BY54" i="1"/>
  <c r="BY44" i="1"/>
  <c r="BY80" i="1"/>
  <c r="BY17" i="1"/>
  <c r="BY39" i="1"/>
  <c r="BY27" i="1"/>
  <c r="BY5" i="1"/>
  <c r="BY24" i="1"/>
  <c r="BY46" i="1"/>
  <c r="BY86" i="1"/>
  <c r="BY14" i="1"/>
  <c r="BY61" i="1"/>
  <c r="BY59" i="1"/>
  <c r="BY18" i="1"/>
  <c r="BY34" i="1"/>
  <c r="BY73" i="1"/>
  <c r="BY121" i="1"/>
  <c r="BY122" i="1"/>
  <c r="BY98" i="1"/>
  <c r="BY97" i="1"/>
  <c r="BY123" i="1"/>
  <c r="BY124" i="1"/>
  <c r="BY125" i="1"/>
  <c r="BY126" i="1"/>
  <c r="BY127" i="1"/>
  <c r="BY128" i="1"/>
  <c r="BY129" i="1"/>
  <c r="BY30" i="1"/>
  <c r="BY6" i="1"/>
  <c r="BY43" i="1"/>
  <c r="BY63" i="1"/>
  <c r="BY35" i="1"/>
  <c r="BY23" i="1"/>
  <c r="BY26" i="1"/>
  <c r="BY2" i="1"/>
  <c r="AQ132" i="1"/>
  <c r="BT5" i="1"/>
  <c r="BT17" i="1"/>
  <c r="BT54" i="1"/>
  <c r="BT45" i="1"/>
  <c r="BT83" i="1"/>
  <c r="BT79" i="1"/>
  <c r="BT63" i="1"/>
  <c r="BT70" i="1"/>
  <c r="BT65" i="1"/>
  <c r="BT66" i="1"/>
  <c r="BT68" i="1"/>
  <c r="BT69" i="1"/>
  <c r="BT96" i="1"/>
  <c r="BT99" i="1"/>
  <c r="BT81" i="1"/>
  <c r="BT100" i="1"/>
  <c r="BT84" i="1"/>
  <c r="BT103" i="1"/>
  <c r="BT104" i="1"/>
  <c r="BT105" i="1"/>
  <c r="BT106" i="1"/>
  <c r="BT107" i="1"/>
  <c r="BT108" i="1"/>
  <c r="BT109" i="1"/>
  <c r="BT110" i="1"/>
  <c r="BT111" i="1"/>
  <c r="BT112" i="1"/>
  <c r="BT113" i="1"/>
  <c r="BT87" i="1"/>
  <c r="BT88" i="1"/>
  <c r="BT114" i="1"/>
  <c r="BT115" i="1"/>
  <c r="BT101" i="1"/>
  <c r="BT102" i="1"/>
  <c r="BT90" i="1"/>
  <c r="BT116" i="1"/>
  <c r="BT117" i="1"/>
  <c r="BT118" i="1"/>
  <c r="BT119" i="1"/>
  <c r="BT120" i="1"/>
  <c r="BT50" i="1"/>
  <c r="BT26" i="1"/>
  <c r="BT72" i="1"/>
  <c r="BT59" i="1"/>
  <c r="BT7" i="1"/>
  <c r="BT19" i="1"/>
  <c r="BT31" i="1"/>
  <c r="BT47" i="1"/>
  <c r="BT28" i="1"/>
  <c r="BT82" i="1"/>
  <c r="BT94" i="1"/>
  <c r="BT62" i="1"/>
  <c r="BT37" i="1"/>
  <c r="BT4" i="1"/>
  <c r="BT16" i="1"/>
  <c r="BT10" i="1"/>
  <c r="BT89" i="1"/>
  <c r="BT60" i="1"/>
  <c r="BT78" i="1"/>
  <c r="BT11" i="1"/>
  <c r="BT23" i="1"/>
  <c r="BT43" i="1"/>
  <c r="BT34" i="1"/>
  <c r="BT61" i="1"/>
  <c r="BT86" i="1"/>
  <c r="BT30" i="1"/>
  <c r="BT73" i="1"/>
  <c r="BT35" i="1"/>
  <c r="BT6" i="1"/>
  <c r="BT18" i="1"/>
  <c r="BT14" i="1"/>
  <c r="BT46" i="1"/>
  <c r="BT27" i="1"/>
  <c r="BT80" i="1"/>
  <c r="BT24" i="1"/>
  <c r="BT39" i="1"/>
  <c r="BT44" i="1"/>
  <c r="BT12" i="1"/>
  <c r="BT75" i="1"/>
  <c r="BT58" i="1"/>
  <c r="BT71" i="1"/>
  <c r="BT3" i="1"/>
  <c r="BT32" i="1"/>
  <c r="BT92" i="1"/>
  <c r="BT64" i="1"/>
  <c r="BT8" i="1"/>
  <c r="BT33" i="1"/>
  <c r="BT21" i="1"/>
  <c r="BT49" i="1"/>
  <c r="BT57" i="1"/>
  <c r="BT41" i="1"/>
  <c r="BT76" i="1"/>
  <c r="BT85" i="1"/>
  <c r="BT95" i="1"/>
  <c r="BT121" i="1"/>
  <c r="BT122" i="1"/>
  <c r="BT98" i="1"/>
  <c r="BT97" i="1"/>
  <c r="BT123" i="1"/>
  <c r="BT124" i="1"/>
  <c r="BT125" i="1"/>
  <c r="BT126" i="1"/>
  <c r="BT127" i="1"/>
  <c r="BT128" i="1"/>
  <c r="BT129" i="1"/>
  <c r="BT51" i="1"/>
  <c r="BT67" i="1"/>
  <c r="BT9" i="1"/>
  <c r="BT93" i="1"/>
  <c r="BT56" i="1"/>
  <c r="BT40" i="1"/>
  <c r="BT42" i="1"/>
  <c r="BT77" i="1"/>
  <c r="BT25" i="1"/>
  <c r="BT22" i="1"/>
  <c r="BT52" i="1"/>
  <c r="BT15" i="1"/>
  <c r="BT55" i="1"/>
  <c r="BT53" i="1"/>
  <c r="BT13" i="1"/>
  <c r="BT48" i="1"/>
  <c r="BT29" i="1"/>
  <c r="BT74" i="1"/>
  <c r="BT91" i="1"/>
  <c r="BT20" i="1"/>
  <c r="BT36" i="1"/>
  <c r="BT2" i="1"/>
  <c r="AX132" i="1"/>
  <c r="CA6" i="1"/>
  <c r="CA18" i="1"/>
  <c r="CA14" i="1"/>
  <c r="CA46" i="1"/>
  <c r="CA27" i="1"/>
  <c r="CA80" i="1"/>
  <c r="CA30" i="1"/>
  <c r="CA73" i="1"/>
  <c r="CA35" i="1"/>
  <c r="CA24" i="1"/>
  <c r="CA39" i="1"/>
  <c r="CA44" i="1"/>
  <c r="CA12" i="1"/>
  <c r="CA75" i="1"/>
  <c r="CA58" i="1"/>
  <c r="CA8" i="1"/>
  <c r="CA20" i="1"/>
  <c r="CA32" i="1"/>
  <c r="CA48" i="1"/>
  <c r="CA74" i="1"/>
  <c r="CA13" i="1"/>
  <c r="CA71" i="1"/>
  <c r="CA5" i="1"/>
  <c r="CA17" i="1"/>
  <c r="CA54" i="1"/>
  <c r="CA45" i="1"/>
  <c r="CA83" i="1"/>
  <c r="CA79" i="1"/>
  <c r="CA50" i="1"/>
  <c r="CA26" i="1"/>
  <c r="CA72" i="1"/>
  <c r="CA59" i="1"/>
  <c r="CA63" i="1"/>
  <c r="CA7" i="1"/>
  <c r="CA19" i="1"/>
  <c r="CA31" i="1"/>
  <c r="CA47" i="1"/>
  <c r="CA28" i="1"/>
  <c r="CA82" i="1"/>
  <c r="CA70" i="1"/>
  <c r="CA65" i="1"/>
  <c r="CA66" i="1"/>
  <c r="CA68" i="1"/>
  <c r="CA69" i="1"/>
  <c r="CA96" i="1"/>
  <c r="CA99" i="1"/>
  <c r="CA81" i="1"/>
  <c r="CA100" i="1"/>
  <c r="CA84" i="1"/>
  <c r="CA103" i="1"/>
  <c r="CA104" i="1"/>
  <c r="CA105" i="1"/>
  <c r="CA106" i="1"/>
  <c r="CA107" i="1"/>
  <c r="CA108" i="1"/>
  <c r="CA109" i="1"/>
  <c r="CA110" i="1"/>
  <c r="CA25" i="1"/>
  <c r="CA40" i="1"/>
  <c r="CA51" i="1"/>
  <c r="CA76" i="1"/>
  <c r="CA57" i="1"/>
  <c r="CA94" i="1"/>
  <c r="CA62" i="1"/>
  <c r="CA37" i="1"/>
  <c r="CA29" i="1"/>
  <c r="CA43" i="1"/>
  <c r="CA78" i="1"/>
  <c r="CA88" i="1"/>
  <c r="CA116" i="1"/>
  <c r="CA23" i="1"/>
  <c r="CA3" i="1"/>
  <c r="CA11" i="1"/>
  <c r="CA89" i="1"/>
  <c r="CA91" i="1"/>
  <c r="CA92" i="1"/>
  <c r="CA10" i="1"/>
  <c r="CA33" i="1"/>
  <c r="CA64" i="1"/>
  <c r="CA36" i="1"/>
  <c r="CA16" i="1"/>
  <c r="CA49" i="1"/>
  <c r="CA87" i="1"/>
  <c r="CA115" i="1"/>
  <c r="CA90" i="1"/>
  <c r="CA118" i="1"/>
  <c r="CA41" i="1"/>
  <c r="CA4" i="1"/>
  <c r="CA21" i="1"/>
  <c r="CA85" i="1"/>
  <c r="CA111" i="1"/>
  <c r="CA9" i="1"/>
  <c r="CA67" i="1"/>
  <c r="CA95" i="1"/>
  <c r="CA93" i="1"/>
  <c r="CA113" i="1"/>
  <c r="CA114" i="1"/>
  <c r="CA102" i="1"/>
  <c r="CA117" i="1"/>
  <c r="CA34" i="1"/>
  <c r="CA120" i="1"/>
  <c r="CA98" i="1"/>
  <c r="CA123" i="1"/>
  <c r="CA126" i="1"/>
  <c r="CA129" i="1"/>
  <c r="CA42" i="1"/>
  <c r="CA77" i="1"/>
  <c r="CA86" i="1"/>
  <c r="CA56" i="1"/>
  <c r="CA55" i="1"/>
  <c r="CA122" i="1"/>
  <c r="CA124" i="1"/>
  <c r="CA127" i="1"/>
  <c r="CA101" i="1"/>
  <c r="CA22" i="1"/>
  <c r="CA52" i="1"/>
  <c r="CA61" i="1"/>
  <c r="CA53" i="1"/>
  <c r="CA121" i="1"/>
  <c r="CA97" i="1"/>
  <c r="CA125" i="1"/>
  <c r="CA128" i="1"/>
  <c r="CA15" i="1"/>
  <c r="CA112" i="1"/>
  <c r="CA119" i="1"/>
  <c r="CA60" i="1"/>
  <c r="CA2" i="1"/>
  <c r="BA132" i="1"/>
  <c r="CD3" i="1"/>
  <c r="CD4" i="1"/>
  <c r="CD5" i="1"/>
  <c r="CD6" i="1"/>
  <c r="CD7" i="1"/>
  <c r="CD8" i="1"/>
  <c r="CD9" i="1"/>
  <c r="CD55" i="1"/>
  <c r="CD11" i="1"/>
  <c r="CD24" i="1"/>
  <c r="CD25" i="1"/>
  <c r="CD15" i="1"/>
  <c r="CD16" i="1"/>
  <c r="CD17" i="1"/>
  <c r="CD18" i="1"/>
  <c r="CD19" i="1"/>
  <c r="CD20" i="1"/>
  <c r="CD21" i="1"/>
  <c r="CD22" i="1"/>
  <c r="CD23" i="1"/>
  <c r="CD50" i="1"/>
  <c r="CD39" i="1"/>
  <c r="CD40" i="1"/>
  <c r="CD29" i="1"/>
  <c r="CD10" i="1"/>
  <c r="CD54" i="1"/>
  <c r="CD14" i="1"/>
  <c r="CD31" i="1"/>
  <c r="CD32" i="1"/>
  <c r="CD41" i="1"/>
  <c r="CD42" i="1"/>
  <c r="CD43" i="1"/>
  <c r="CD44" i="1"/>
  <c r="CD53" i="1"/>
  <c r="CD89" i="1"/>
  <c r="CD45" i="1"/>
  <c r="CD46" i="1"/>
  <c r="CD47" i="1"/>
  <c r="CD48" i="1"/>
  <c r="CD49" i="1"/>
  <c r="CD93" i="1"/>
  <c r="CD34" i="1"/>
  <c r="CD26" i="1"/>
  <c r="CD12" i="1"/>
  <c r="CD51" i="1"/>
  <c r="CD52" i="1"/>
  <c r="CD60" i="1"/>
  <c r="CD83" i="1"/>
  <c r="CD27" i="1"/>
  <c r="CD28" i="1"/>
  <c r="CD74" i="1"/>
  <c r="CD33" i="1"/>
  <c r="CD67" i="1"/>
  <c r="CD61" i="1"/>
  <c r="CD72" i="1"/>
  <c r="CD75" i="1"/>
  <c r="CD76" i="1"/>
  <c r="CD77" i="1"/>
  <c r="CD78" i="1"/>
  <c r="CD79" i="1"/>
  <c r="CD80" i="1"/>
  <c r="CD82" i="1"/>
  <c r="CD13" i="1"/>
  <c r="CD91" i="1"/>
  <c r="CD85" i="1"/>
  <c r="CD86" i="1"/>
  <c r="CD59" i="1"/>
  <c r="CD58" i="1"/>
  <c r="CD57" i="1"/>
  <c r="CD56" i="1"/>
  <c r="CD30" i="1"/>
  <c r="CD94" i="1"/>
  <c r="CD95" i="1"/>
  <c r="CD92" i="1"/>
  <c r="CD36" i="1"/>
  <c r="CD73" i="1"/>
  <c r="CD35" i="1"/>
  <c r="CD64" i="1"/>
  <c r="CD63" i="1"/>
  <c r="CD96" i="1"/>
  <c r="CD110" i="1"/>
  <c r="CD120" i="1"/>
  <c r="CD121" i="1"/>
  <c r="CD122" i="1"/>
  <c r="CD98" i="1"/>
  <c r="CD97" i="1"/>
  <c r="CD123" i="1"/>
  <c r="CD124" i="1"/>
  <c r="CD125" i="1"/>
  <c r="CD126" i="1"/>
  <c r="CD127" i="1"/>
  <c r="CD128" i="1"/>
  <c r="CD129" i="1"/>
  <c r="CD101" i="1"/>
  <c r="CD116" i="1"/>
  <c r="CD100" i="1"/>
  <c r="CD99" i="1"/>
  <c r="CD103" i="1"/>
  <c r="CD88" i="1"/>
  <c r="CD68" i="1"/>
  <c r="CD108" i="1"/>
  <c r="CD112" i="1"/>
  <c r="CD119" i="1"/>
  <c r="CD65" i="1"/>
  <c r="CD106" i="1"/>
  <c r="CD62" i="1"/>
  <c r="CD87" i="1"/>
  <c r="CD71" i="1"/>
  <c r="CD37" i="1"/>
  <c r="CD104" i="1"/>
  <c r="CD66" i="1"/>
  <c r="CD107" i="1"/>
  <c r="CD113" i="1"/>
  <c r="CD114" i="1"/>
  <c r="CD81" i="1"/>
  <c r="CD69" i="1"/>
  <c r="CD109" i="1"/>
  <c r="CD111" i="1"/>
  <c r="CD102" i="1"/>
  <c r="CD84" i="1"/>
  <c r="CD117" i="1"/>
  <c r="CD105" i="1"/>
  <c r="CD90" i="1"/>
  <c r="CD70" i="1"/>
  <c r="CD118" i="1"/>
  <c r="CD115" i="1"/>
  <c r="CD2" i="1"/>
  <c r="CF20" i="1" l="1"/>
  <c r="CH20" i="1" s="1"/>
  <c r="CF126" i="1"/>
  <c r="CF57" i="1"/>
  <c r="CF12" i="1"/>
  <c r="CF30" i="1"/>
  <c r="CF4" i="1"/>
  <c r="CF26" i="1"/>
  <c r="CF42" i="1"/>
  <c r="CF86" i="1"/>
  <c r="BZ130" i="1"/>
  <c r="BV130" i="1"/>
  <c r="CF74" i="1"/>
  <c r="CF21" i="1"/>
  <c r="CF39" i="1"/>
  <c r="CF61" i="1"/>
  <c r="CF50" i="1"/>
  <c r="CF123" i="1"/>
  <c r="CF24" i="1"/>
  <c r="CF34" i="1"/>
  <c r="BW130" i="1"/>
  <c r="CF93" i="1"/>
  <c r="CF43" i="1"/>
  <c r="CB130" i="1"/>
  <c r="CF13" i="1"/>
  <c r="CF98" i="1"/>
  <c r="CC130" i="1"/>
  <c r="CA130" i="1"/>
  <c r="CF9" i="1"/>
  <c r="CF122" i="1"/>
  <c r="CF17" i="1"/>
  <c r="CF55" i="1"/>
  <c r="CF67" i="1"/>
  <c r="CF14" i="1"/>
  <c r="CF31" i="1"/>
  <c r="CF5" i="1"/>
  <c r="CF15" i="1"/>
  <c r="CF51" i="1"/>
  <c r="CF3" i="1"/>
  <c r="BT130" i="1"/>
  <c r="CF18" i="1"/>
  <c r="CF60" i="1"/>
  <c r="CF19" i="1"/>
  <c r="CE130" i="1"/>
  <c r="CD130" i="1"/>
  <c r="CF52" i="1"/>
  <c r="CF85" i="1"/>
  <c r="CF68" i="1"/>
  <c r="CF2" i="1"/>
  <c r="CF58" i="1"/>
  <c r="CF35" i="1"/>
  <c r="CF59" i="1"/>
  <c r="BU130" i="1"/>
  <c r="CF25" i="1"/>
  <c r="CF127" i="1"/>
  <c r="CF41" i="1"/>
  <c r="CF73" i="1"/>
  <c r="CF16" i="1"/>
  <c r="CF65" i="1"/>
  <c r="BY130" i="1"/>
  <c r="BX130" i="1"/>
  <c r="CL20" i="1" l="1"/>
  <c r="CG20" i="1"/>
  <c r="CQ20" i="1"/>
  <c r="CP20" i="1"/>
  <c r="CM20" i="1"/>
  <c r="CI20" i="1"/>
  <c r="CR20" i="1"/>
  <c r="CJ20" i="1"/>
  <c r="CO20" i="1"/>
  <c r="CK20" i="1"/>
  <c r="CN20" i="1"/>
  <c r="CG68" i="1"/>
  <c r="CQ68" i="1"/>
  <c r="CH68" i="1"/>
  <c r="CR68" i="1"/>
  <c r="CI68" i="1"/>
  <c r="CM68" i="1"/>
  <c r="CL68" i="1"/>
  <c r="CP68" i="1"/>
  <c r="CO68" i="1"/>
  <c r="CK68" i="1"/>
  <c r="CN68" i="1"/>
  <c r="CJ68" i="1"/>
  <c r="CN5" i="1"/>
  <c r="CM5" i="1"/>
  <c r="CR5" i="1"/>
  <c r="CI5" i="1"/>
  <c r="CK5" i="1"/>
  <c r="CJ5" i="1"/>
  <c r="CL5" i="1"/>
  <c r="CP5" i="1"/>
  <c r="CQ5" i="1"/>
  <c r="CG5" i="1"/>
  <c r="CH5" i="1"/>
  <c r="CO5" i="1"/>
  <c r="CK74" i="1"/>
  <c r="CQ74" i="1"/>
  <c r="CM74" i="1"/>
  <c r="CL74" i="1"/>
  <c r="CG74" i="1"/>
  <c r="CP74" i="1"/>
  <c r="CJ74" i="1"/>
  <c r="CI74" i="1"/>
  <c r="CN74" i="1"/>
  <c r="CO74" i="1"/>
  <c r="CR74" i="1"/>
  <c r="CH74" i="1"/>
  <c r="CO65" i="1"/>
  <c r="CJ65" i="1"/>
  <c r="CI65" i="1"/>
  <c r="CH65" i="1"/>
  <c r="CR65" i="1"/>
  <c r="CQ65" i="1"/>
  <c r="CM65" i="1"/>
  <c r="CP65" i="1"/>
  <c r="CG65" i="1"/>
  <c r="CK65" i="1"/>
  <c r="CN65" i="1"/>
  <c r="CL65" i="1"/>
  <c r="CR85" i="1"/>
  <c r="CG85" i="1"/>
  <c r="CI85" i="1"/>
  <c r="CN85" i="1"/>
  <c r="CL85" i="1"/>
  <c r="CJ85" i="1"/>
  <c r="CM85" i="1"/>
  <c r="CH85" i="1"/>
  <c r="CO85" i="1"/>
  <c r="CQ85" i="1"/>
  <c r="CK85" i="1"/>
  <c r="CP85" i="1"/>
  <c r="CJ31" i="1"/>
  <c r="CK31" i="1"/>
  <c r="CL31" i="1"/>
  <c r="CN31" i="1"/>
  <c r="CH31" i="1"/>
  <c r="CP31" i="1"/>
  <c r="CM31" i="1"/>
  <c r="CI31" i="1"/>
  <c r="CR31" i="1"/>
  <c r="CG31" i="1"/>
  <c r="CQ31" i="1"/>
  <c r="CO31" i="1"/>
  <c r="CO43" i="1"/>
  <c r="CR43" i="1"/>
  <c r="CN43" i="1"/>
  <c r="CQ43" i="1"/>
  <c r="CK43" i="1"/>
  <c r="CP43" i="1"/>
  <c r="CH43" i="1"/>
  <c r="CJ43" i="1"/>
  <c r="CM43" i="1"/>
  <c r="CL43" i="1"/>
  <c r="CG43" i="1"/>
  <c r="CI43" i="1"/>
  <c r="CR16" i="1"/>
  <c r="CK16" i="1"/>
  <c r="CM16" i="1"/>
  <c r="CL16" i="1"/>
  <c r="CN16" i="1"/>
  <c r="CG16" i="1"/>
  <c r="CP16" i="1"/>
  <c r="CI16" i="1"/>
  <c r="CH16" i="1"/>
  <c r="CJ16" i="1"/>
  <c r="CO16" i="1"/>
  <c r="CQ16" i="1"/>
  <c r="CN52" i="1"/>
  <c r="CH52" i="1"/>
  <c r="CR52" i="1"/>
  <c r="CJ52" i="1"/>
  <c r="CL52" i="1"/>
  <c r="CM52" i="1"/>
  <c r="CP52" i="1"/>
  <c r="CG52" i="1"/>
  <c r="CO52" i="1"/>
  <c r="CK52" i="1"/>
  <c r="CI52" i="1"/>
  <c r="CQ52" i="1"/>
  <c r="CM14" i="1"/>
  <c r="CI14" i="1"/>
  <c r="CK14" i="1"/>
  <c r="CJ14" i="1"/>
  <c r="CL14" i="1"/>
  <c r="CP14" i="1"/>
  <c r="CQ14" i="1"/>
  <c r="CO14" i="1"/>
  <c r="CH14" i="1"/>
  <c r="CG14" i="1"/>
  <c r="CR14" i="1"/>
  <c r="CN14" i="1"/>
  <c r="CJ93" i="1"/>
  <c r="CN93" i="1"/>
  <c r="CK93" i="1"/>
  <c r="CH93" i="1"/>
  <c r="CP93" i="1"/>
  <c r="CR93" i="1"/>
  <c r="CG93" i="1"/>
  <c r="CL93" i="1"/>
  <c r="CM93" i="1"/>
  <c r="CO93" i="1"/>
  <c r="CQ93" i="1"/>
  <c r="CI93" i="1"/>
  <c r="CR73" i="1"/>
  <c r="CL73" i="1"/>
  <c r="CG73" i="1"/>
  <c r="CH73" i="1"/>
  <c r="CK73" i="1"/>
  <c r="CI73" i="1"/>
  <c r="CJ73" i="1"/>
  <c r="CN73" i="1"/>
  <c r="CQ73" i="1"/>
  <c r="CO73" i="1"/>
  <c r="CM73" i="1"/>
  <c r="CP73" i="1"/>
  <c r="CH67" i="1"/>
  <c r="CN67" i="1"/>
  <c r="CG67" i="1"/>
  <c r="CR67" i="1"/>
  <c r="CL67" i="1"/>
  <c r="CJ67" i="1"/>
  <c r="CQ67" i="1"/>
  <c r="CM67" i="1"/>
  <c r="CP67" i="1"/>
  <c r="CK67" i="1"/>
  <c r="CI67" i="1"/>
  <c r="CO67" i="1"/>
  <c r="CL41" i="1"/>
  <c r="CG41" i="1"/>
  <c r="CI41" i="1"/>
  <c r="CK41" i="1"/>
  <c r="CN41" i="1"/>
  <c r="CO41" i="1"/>
  <c r="CJ41" i="1"/>
  <c r="CM41" i="1"/>
  <c r="CQ41" i="1"/>
  <c r="CR41" i="1"/>
  <c r="CH41" i="1"/>
  <c r="CP41" i="1"/>
  <c r="CM55" i="1"/>
  <c r="CN55" i="1"/>
  <c r="CL55" i="1"/>
  <c r="CI55" i="1"/>
  <c r="CO55" i="1"/>
  <c r="CQ55" i="1"/>
  <c r="CJ55" i="1"/>
  <c r="CH55" i="1"/>
  <c r="CP55" i="1"/>
  <c r="CG55" i="1"/>
  <c r="CR55" i="1"/>
  <c r="CK55" i="1"/>
  <c r="CJ86" i="1"/>
  <c r="CQ86" i="1"/>
  <c r="CP86" i="1"/>
  <c r="CM86" i="1"/>
  <c r="CK86" i="1"/>
  <c r="CO86" i="1"/>
  <c r="CI86" i="1"/>
  <c r="CR86" i="1"/>
  <c r="CH86" i="1"/>
  <c r="CL86" i="1"/>
  <c r="CN86" i="1"/>
  <c r="CG86" i="1"/>
  <c r="CR127" i="1"/>
  <c r="CL127" i="1"/>
  <c r="CJ127" i="1"/>
  <c r="CI127" i="1"/>
  <c r="CG127" i="1"/>
  <c r="CN127" i="1"/>
  <c r="CH127" i="1"/>
  <c r="CM127" i="1"/>
  <c r="CP127" i="1"/>
  <c r="CK127" i="1"/>
  <c r="CQ127" i="1"/>
  <c r="CO127" i="1"/>
  <c r="CP19" i="1"/>
  <c r="CR19" i="1"/>
  <c r="CM19" i="1"/>
  <c r="CK19" i="1"/>
  <c r="CL19" i="1"/>
  <c r="CQ19" i="1"/>
  <c r="CO19" i="1"/>
  <c r="CN19" i="1"/>
  <c r="CH19" i="1"/>
  <c r="CG19" i="1"/>
  <c r="CI19" i="1"/>
  <c r="CJ19" i="1"/>
  <c r="CR17" i="1"/>
  <c r="CO17" i="1"/>
  <c r="CJ17" i="1"/>
  <c r="CH17" i="1"/>
  <c r="CK17" i="1"/>
  <c r="CG17" i="1"/>
  <c r="CM17" i="1"/>
  <c r="CI17" i="1"/>
  <c r="CQ17" i="1"/>
  <c r="CN17" i="1"/>
  <c r="CP17" i="1"/>
  <c r="CL17" i="1"/>
  <c r="CH34" i="1"/>
  <c r="CG34" i="1"/>
  <c r="CI34" i="1"/>
  <c r="CN34" i="1"/>
  <c r="CQ34" i="1"/>
  <c r="CO34" i="1"/>
  <c r="CK34" i="1"/>
  <c r="CP34" i="1"/>
  <c r="CJ34" i="1"/>
  <c r="CR34" i="1"/>
  <c r="CL34" i="1"/>
  <c r="CM34" i="1"/>
  <c r="CI42" i="1"/>
  <c r="CN42" i="1"/>
  <c r="CM42" i="1"/>
  <c r="CJ42" i="1"/>
  <c r="CO42" i="1"/>
  <c r="CQ42" i="1"/>
  <c r="CR42" i="1"/>
  <c r="CK42" i="1"/>
  <c r="CH42" i="1"/>
  <c r="CL42" i="1"/>
  <c r="CP42" i="1"/>
  <c r="CG42" i="1"/>
  <c r="CK25" i="1"/>
  <c r="CJ25" i="1"/>
  <c r="CI25" i="1"/>
  <c r="CR25" i="1"/>
  <c r="CN25" i="1"/>
  <c r="CL25" i="1"/>
  <c r="CH25" i="1"/>
  <c r="CO25" i="1"/>
  <c r="CQ25" i="1"/>
  <c r="CG25" i="1"/>
  <c r="CM25" i="1"/>
  <c r="CP25" i="1"/>
  <c r="CQ60" i="1"/>
  <c r="CH60" i="1"/>
  <c r="CP60" i="1"/>
  <c r="CK60" i="1"/>
  <c r="CJ60" i="1"/>
  <c r="CG60" i="1"/>
  <c r="CI60" i="1"/>
  <c r="CN60" i="1"/>
  <c r="CO60" i="1"/>
  <c r="CR60" i="1"/>
  <c r="CM60" i="1"/>
  <c r="CL60" i="1"/>
  <c r="CK122" i="1"/>
  <c r="CJ122" i="1"/>
  <c r="CO122" i="1"/>
  <c r="CM122" i="1"/>
  <c r="CR122" i="1"/>
  <c r="CI122" i="1"/>
  <c r="CP122" i="1"/>
  <c r="CN122" i="1"/>
  <c r="CL122" i="1"/>
  <c r="CG122" i="1"/>
  <c r="CH122" i="1"/>
  <c r="CQ122" i="1"/>
  <c r="CH24" i="1"/>
  <c r="CI24" i="1"/>
  <c r="CO24" i="1"/>
  <c r="CR24" i="1"/>
  <c r="CL24" i="1"/>
  <c r="CN24" i="1"/>
  <c r="CG24" i="1"/>
  <c r="CK24" i="1"/>
  <c r="CP24" i="1"/>
  <c r="CJ24" i="1"/>
  <c r="CM24" i="1"/>
  <c r="CQ24" i="1"/>
  <c r="CR26" i="1"/>
  <c r="CP26" i="1"/>
  <c r="CN26" i="1"/>
  <c r="CJ26" i="1"/>
  <c r="CL26" i="1"/>
  <c r="CH26" i="1"/>
  <c r="CO26" i="1"/>
  <c r="CI26" i="1"/>
  <c r="CG26" i="1"/>
  <c r="CM26" i="1"/>
  <c r="CK26" i="1"/>
  <c r="CQ26" i="1"/>
  <c r="CN18" i="1"/>
  <c r="CK18" i="1"/>
  <c r="CR18" i="1"/>
  <c r="CH18" i="1"/>
  <c r="CG18" i="1"/>
  <c r="CL18" i="1"/>
  <c r="CJ18" i="1"/>
  <c r="CO18" i="1"/>
  <c r="CQ18" i="1"/>
  <c r="CP18" i="1"/>
  <c r="CI18" i="1"/>
  <c r="CM18" i="1"/>
  <c r="CO9" i="1"/>
  <c r="CR9" i="1"/>
  <c r="CI9" i="1"/>
  <c r="CJ9" i="1"/>
  <c r="CG9" i="1"/>
  <c r="CQ9" i="1"/>
  <c r="CM9" i="1"/>
  <c r="CH9" i="1"/>
  <c r="CP9" i="1"/>
  <c r="CN9" i="1"/>
  <c r="CK9" i="1"/>
  <c r="CL9" i="1"/>
  <c r="CG123" i="1"/>
  <c r="CI123" i="1"/>
  <c r="CM123" i="1"/>
  <c r="CK123" i="1"/>
  <c r="CR123" i="1"/>
  <c r="CL123" i="1"/>
  <c r="CQ123" i="1"/>
  <c r="CO123" i="1"/>
  <c r="CP123" i="1"/>
  <c r="CN123" i="1"/>
  <c r="CH123" i="1"/>
  <c r="CJ123" i="1"/>
  <c r="CN4" i="1"/>
  <c r="CL4" i="1"/>
  <c r="CQ4" i="1"/>
  <c r="CM4" i="1"/>
  <c r="CG4" i="1"/>
  <c r="CH4" i="1"/>
  <c r="CP4" i="1"/>
  <c r="CO4" i="1"/>
  <c r="CK4" i="1"/>
  <c r="CR4" i="1"/>
  <c r="CI4" i="1"/>
  <c r="CJ4" i="1"/>
  <c r="CQ59" i="1"/>
  <c r="CR59" i="1"/>
  <c r="CG59" i="1"/>
  <c r="CJ59" i="1"/>
  <c r="CK59" i="1"/>
  <c r="CP59" i="1"/>
  <c r="CI59" i="1"/>
  <c r="CH59" i="1"/>
  <c r="CL59" i="1"/>
  <c r="CN59" i="1"/>
  <c r="CO59" i="1"/>
  <c r="CM59" i="1"/>
  <c r="CI50" i="1"/>
  <c r="CH50" i="1"/>
  <c r="CR50" i="1"/>
  <c r="CK50" i="1"/>
  <c r="CJ50" i="1"/>
  <c r="CP50" i="1"/>
  <c r="CN50" i="1"/>
  <c r="CM50" i="1"/>
  <c r="CL50" i="1"/>
  <c r="CG50" i="1"/>
  <c r="CO50" i="1"/>
  <c r="CQ50" i="1"/>
  <c r="CN30" i="1"/>
  <c r="CL30" i="1"/>
  <c r="CP30" i="1"/>
  <c r="CH30" i="1"/>
  <c r="CM30" i="1"/>
  <c r="CQ30" i="1"/>
  <c r="CO30" i="1"/>
  <c r="CK30" i="1"/>
  <c r="CJ30" i="1"/>
  <c r="CI30" i="1"/>
  <c r="CR30" i="1"/>
  <c r="CG30" i="1"/>
  <c r="CK35" i="1"/>
  <c r="CP35" i="1"/>
  <c r="CL35" i="1"/>
  <c r="CI35" i="1"/>
  <c r="CR35" i="1"/>
  <c r="CQ35" i="1"/>
  <c r="CO35" i="1"/>
  <c r="CH35" i="1"/>
  <c r="CJ35" i="1"/>
  <c r="CM35" i="1"/>
  <c r="CG35" i="1"/>
  <c r="CN35" i="1"/>
  <c r="CN3" i="1"/>
  <c r="CR3" i="1"/>
  <c r="CI3" i="1"/>
  <c r="CO3" i="1"/>
  <c r="CK3" i="1"/>
  <c r="CJ3" i="1"/>
  <c r="CM3" i="1"/>
  <c r="CP3" i="1"/>
  <c r="CG3" i="1"/>
  <c r="CL3" i="1"/>
  <c r="CH3" i="1"/>
  <c r="CQ3" i="1"/>
  <c r="CG61" i="1"/>
  <c r="CM61" i="1"/>
  <c r="CJ61" i="1"/>
  <c r="CO61" i="1"/>
  <c r="CH61" i="1"/>
  <c r="CK61" i="1"/>
  <c r="CR61" i="1"/>
  <c r="CI61" i="1"/>
  <c r="CL61" i="1"/>
  <c r="CQ61" i="1"/>
  <c r="CP61" i="1"/>
  <c r="CN61" i="1"/>
  <c r="CR12" i="1"/>
  <c r="CM12" i="1"/>
  <c r="CL12" i="1"/>
  <c r="CQ12" i="1"/>
  <c r="CN12" i="1"/>
  <c r="CP12" i="1"/>
  <c r="CI12" i="1"/>
  <c r="CH12" i="1"/>
  <c r="CO12" i="1"/>
  <c r="CG12" i="1"/>
  <c r="CJ12" i="1"/>
  <c r="CK12" i="1"/>
  <c r="CN58" i="1"/>
  <c r="CM58" i="1"/>
  <c r="CI58" i="1"/>
  <c r="CG58" i="1"/>
  <c r="CL58" i="1"/>
  <c r="CP58" i="1"/>
  <c r="CO58" i="1"/>
  <c r="CQ58" i="1"/>
  <c r="CJ58" i="1"/>
  <c r="CK58" i="1"/>
  <c r="CH58" i="1"/>
  <c r="CR58" i="1"/>
  <c r="CL51" i="1"/>
  <c r="CO51" i="1"/>
  <c r="CM51" i="1"/>
  <c r="CP51" i="1"/>
  <c r="CQ51" i="1"/>
  <c r="CK51" i="1"/>
  <c r="CG51" i="1"/>
  <c r="CJ51" i="1"/>
  <c r="CH51" i="1"/>
  <c r="CR51" i="1"/>
  <c r="CN51" i="1"/>
  <c r="CI51" i="1"/>
  <c r="CN98" i="1"/>
  <c r="CP98" i="1"/>
  <c r="CR98" i="1"/>
  <c r="CI98" i="1"/>
  <c r="CO98" i="1"/>
  <c r="CL98" i="1"/>
  <c r="CJ98" i="1"/>
  <c r="CG98" i="1"/>
  <c r="CK98" i="1"/>
  <c r="CM98" i="1"/>
  <c r="CQ98" i="1"/>
  <c r="CH98" i="1"/>
  <c r="CH39" i="1"/>
  <c r="CK39" i="1"/>
  <c r="CQ39" i="1"/>
  <c r="CG39" i="1"/>
  <c r="CL39" i="1"/>
  <c r="CN39" i="1"/>
  <c r="CJ39" i="1"/>
  <c r="CI39" i="1"/>
  <c r="CO39" i="1"/>
  <c r="CM39" i="1"/>
  <c r="CR39" i="1"/>
  <c r="CP39" i="1"/>
  <c r="CR57" i="1"/>
  <c r="CI57" i="1"/>
  <c r="CN57" i="1"/>
  <c r="CP57" i="1"/>
  <c r="CM57" i="1"/>
  <c r="CK57" i="1"/>
  <c r="CO57" i="1"/>
  <c r="CQ57" i="1"/>
  <c r="CH57" i="1"/>
  <c r="CG57" i="1"/>
  <c r="CL57" i="1"/>
  <c r="CJ57" i="1"/>
  <c r="CH2" i="1"/>
  <c r="CO2" i="1"/>
  <c r="CR2" i="1"/>
  <c r="CL2" i="1"/>
  <c r="CK2" i="1"/>
  <c r="CI2" i="1"/>
  <c r="CQ2" i="1"/>
  <c r="CP2" i="1"/>
  <c r="CM2" i="1"/>
  <c r="CJ2" i="1"/>
  <c r="CN2" i="1"/>
  <c r="CG2" i="1"/>
  <c r="CN15" i="1"/>
  <c r="CH15" i="1"/>
  <c r="CJ15" i="1"/>
  <c r="CK15" i="1"/>
  <c r="CP15" i="1"/>
  <c r="CI15" i="1"/>
  <c r="CG15" i="1"/>
  <c r="CO15" i="1"/>
  <c r="CL15" i="1"/>
  <c r="CR15" i="1"/>
  <c r="CQ15" i="1"/>
  <c r="CM15" i="1"/>
  <c r="CG13" i="1"/>
  <c r="CM13" i="1"/>
  <c r="CO13" i="1"/>
  <c r="CQ13" i="1"/>
  <c r="CJ13" i="1"/>
  <c r="CL13" i="1"/>
  <c r="CI13" i="1"/>
  <c r="CK13" i="1"/>
  <c r="CH13" i="1"/>
  <c r="CP13" i="1"/>
  <c r="CN13" i="1"/>
  <c r="CR13" i="1"/>
  <c r="CM21" i="1"/>
  <c r="CL21" i="1"/>
  <c r="CH21" i="1"/>
  <c r="CI21" i="1"/>
  <c r="CR21" i="1"/>
  <c r="CQ21" i="1"/>
  <c r="CO21" i="1"/>
  <c r="CK21" i="1"/>
  <c r="CN21" i="1"/>
  <c r="CJ21" i="1"/>
  <c r="CP21" i="1"/>
  <c r="CG21" i="1"/>
  <c r="CM126" i="1"/>
  <c r="CN126" i="1"/>
  <c r="CP126" i="1"/>
  <c r="CL126" i="1"/>
  <c r="CG126" i="1"/>
  <c r="CR126" i="1"/>
  <c r="CK126" i="1"/>
  <c r="CJ126" i="1"/>
  <c r="CQ126" i="1"/>
  <c r="CH126" i="1"/>
  <c r="CO126" i="1"/>
  <c r="CI126" i="1"/>
  <c r="CQ130" i="1" l="1"/>
  <c r="CH130" i="1"/>
  <c r="CL130" i="1"/>
  <c r="CG130" i="1"/>
  <c r="CP130" i="1"/>
  <c r="CM130" i="1"/>
  <c r="CJ130" i="1"/>
  <c r="CK130" i="1"/>
  <c r="CO130" i="1"/>
  <c r="CI130" i="1"/>
  <c r="CR130" i="1"/>
  <c r="CN130" i="1"/>
</calcChain>
</file>

<file path=xl/sharedStrings.xml><?xml version="1.0" encoding="utf-8"?>
<sst xmlns="http://schemas.openxmlformats.org/spreadsheetml/2006/main" count="682" uniqueCount="303">
  <si>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</si>
  <si>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</si>
  <si>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</si>
  <si>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</si>
  <si>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</si>
  <si>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</si>
  <si>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</si>
  <si>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</si>
  <si>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</si>
  <si>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</si>
  <si>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</si>
  <si>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</si>
  <si>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</si>
  <si>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</si>
  <si>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</si>
  <si>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</si>
  <si>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</si>
  <si>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</si>
  <si>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</si>
  <si>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</si>
  <si>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</si>
  <si>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</si>
  <si>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</si>
  <si>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</si>
  <si>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</si>
  <si>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</si>
  <si>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</si>
  <si>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</si>
  <si>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</si>
  <si>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</si>
  <si>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</si>
  <si>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</si>
  <si>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</si>
  <si>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</si>
  <si>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</si>
  <si>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</si>
  <si>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</si>
  <si>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</si>
  <si>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</si>
  <si>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</si>
  <si>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</si>
  <si>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</si>
  <si>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</si>
  <si>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</si>
  <si>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</si>
  <si>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</si>
  <si>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</si>
  <si>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</si>
  <si>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</si>
  <si>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</si>
  <si>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</si>
  <si>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</si>
  <si>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</si>
  <si>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</si>
  <si>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</si>
  <si>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</si>
  <si>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</si>
  <si>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</si>
  <si>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</si>
  <si>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</si>
  <si>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</si>
  <si>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</si>
  <si>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</si>
  <si>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汉钟离</t>
    <phoneticPr fontId="1" type="noConversion"/>
  </si>
  <si>
    <t>光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</si>
  <si>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</si>
  <si>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</si>
  <si>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</si>
  <si>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</si>
  <si>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</si>
  <si>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</si>
  <si>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</si>
  <si>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</si>
  <si>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</si>
  <si>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</si>
  <si>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</si>
  <si>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</si>
  <si>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</si>
  <si>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</si>
  <si>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</si>
  <si>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</si>
  <si>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</si>
  <si>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</si>
  <si>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</si>
  <si>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</si>
  <si>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</si>
  <si>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</si>
  <si>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</si>
  <si>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</si>
  <si>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</si>
  <si>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</si>
  <si>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</si>
  <si>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</si>
  <si>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</si>
  <si>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</si>
  <si>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</si>
  <si>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</si>
  <si>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</si>
  <si>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</si>
  <si>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</si>
  <si>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名将吕布威登</t>
    <phoneticPr fontId="1" type="noConversion"/>
  </si>
  <si>
    <t>名将吕布威登</t>
    <phoneticPr fontId="1" type="noConversion"/>
  </si>
  <si>
    <t>碧水独角兽</t>
    <phoneticPr fontId="1" type="noConversion"/>
  </si>
  <si>
    <t>赤笛仔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</si>
  <si>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</si>
  <si>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</si>
  <si>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</si>
  <si>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</si>
  <si>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</si>
  <si>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</si>
  <si>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</si>
  <si>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</si>
  <si>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</si>
  <si>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</si>
  <si>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</si>
  <si>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</si>
  <si>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</si>
  <si>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</si>
  <si>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</si>
  <si>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</si>
  <si>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</si>
  <si>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</si>
  <si>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</si>
  <si>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</si>
  <si>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</si>
  <si>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</si>
  <si>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</si>
  <si>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</si>
  <si>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</si>
  <si>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</si>
  <si>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</si>
  <si>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</si>
  <si>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</si>
  <si>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</si>
  <si>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</si>
  <si>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</si>
  <si>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</si>
  <si>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</si>
  <si>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</si>
  <si>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</si>
  <si>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</si>
  <si>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</si>
  <si>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</si>
  <si>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</si>
  <si>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</si>
  <si>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</si>
  <si>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</si>
  <si>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</si>
  <si>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</si>
  <si>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</si>
  <si>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</si>
  <si>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</si>
  <si>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</si>
  <si>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</si>
  <si>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</si>
  <si>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</si>
  <si>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</si>
  <si>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</si>
  <si>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暗卒</t>
    <phoneticPr fontId="1" type="noConversion"/>
  </si>
  <si>
    <t>成年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</si>
  <si>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</si>
  <si>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</si>
  <si>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</si>
  <si>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</si>
  <si>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</si>
  <si>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新兵盖尔</t>
    <phoneticPr fontId="1" type="noConversion"/>
  </si>
  <si>
    <t>眼符</t>
    <phoneticPr fontId="1" type="noConversion"/>
  </si>
  <si>
    <t>眼符</t>
    <phoneticPr fontId="1" type="noConversion"/>
  </si>
  <si>
    <t>樱灵</t>
    <phoneticPr fontId="1" type="noConversion"/>
  </si>
  <si>
    <t>煤西</t>
    <phoneticPr fontId="1" type="noConversion"/>
  </si>
  <si>
    <t>小穗儿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</si>
  <si>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</si>
  <si>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</si>
  <si>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</si>
  <si>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蛋黄喵</t>
    <phoneticPr fontId="1" type="noConversion"/>
  </si>
  <si>
    <t>蛋黄喵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</si>
  <si>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</si>
  <si>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</si>
  <si>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</si>
  <si>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</si>
  <si>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</si>
  <si>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蛟女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</si>
  <si>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</si>
  <si>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</si>
  <si>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</si>
  <si>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</si>
  <si>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牛金宝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</si>
  <si>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</si>
  <si>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</si>
  <si>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</si>
  <si>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</si>
  <si>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新兵尼禄</t>
    <phoneticPr fontId="1" type="noConversion"/>
  </si>
  <si>
    <t>铁拐李</t>
    <phoneticPr fontId="1" type="noConversion"/>
  </si>
  <si>
    <t>莲藕大佛</t>
    <phoneticPr fontId="1" type="noConversion"/>
  </si>
  <si>
    <t>桂花酒(5),</t>
    <phoneticPr fontId="1" type="noConversion"/>
  </si>
  <si>
    <t>欠条中(4),_x000D_
筹码中(4),</t>
    <phoneticPr fontId="1" type="noConversion"/>
  </si>
  <si>
    <t>欠条小(8),_x000D_
钱袋小(9),_x000D_
骰子中(3),_x000D_
庄家令牌小(2),</t>
    <phoneticPr fontId="1" type="noConversion"/>
  </si>
  <si>
    <t>欠条小(8),_x000D_
钱袋小(9),_x000D_
骰子小(8),_x000D_
筹码小(10),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</si>
  <si>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</si>
  <si>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</si>
  <si>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</si>
  <si>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</si>
  <si>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</si>
  <si>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</si>
  <si>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</si>
  <si>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</si>
  <si>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</si>
  <si>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</si>
  <si>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</si>
  <si>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</si>
  <si>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</si>
  <si>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</si>
  <si>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</si>
  <si>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</si>
  <si>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成年</t>
    <phoneticPr fontId="1" type="noConversion"/>
  </si>
  <si>
    <t>敖顺</t>
    <phoneticPr fontId="1" type="noConversion"/>
  </si>
  <si>
    <t>糯米(5),_x000D_
粽叶(1),</t>
    <phoneticPr fontId="1" type="noConversion"/>
  </si>
  <si>
    <t>龙灵不朽藤(7),</t>
    <phoneticPr fontId="1" type="noConversion"/>
  </si>
  <si>
    <t>糯米(3),_x000D_
粽叶(5),</t>
    <phoneticPr fontId="1" type="noConversion"/>
  </si>
  <si>
    <t>呜呜少女</t>
    <phoneticPr fontId="1" type="noConversion"/>
  </si>
  <si>
    <t>神算诸葛亮</t>
    <phoneticPr fontId="1" type="noConversion"/>
  </si>
  <si>
    <t>仙丹(5),</t>
    <phoneticPr fontId="1" type="noConversion"/>
  </si>
  <si>
    <t>彗星(15),</t>
    <phoneticPr fontId="1" type="noConversion"/>
  </si>
  <si>
    <t>金甲虫(190),</t>
    <phoneticPr fontId="1" type="noConversion"/>
  </si>
  <si>
    <t>桂花(5),_x000D_
桂花酒(5),</t>
    <phoneticPr fontId="1" type="noConversion"/>
  </si>
  <si>
    <t>欠条大(8),_x000D_
钱袋大(10),</t>
    <phoneticPr fontId="1" type="noConversion"/>
  </si>
  <si>
    <t>炼妖壶(20),_x000D_
轩辕剑(9),</t>
    <phoneticPr fontId="1" type="noConversion"/>
  </si>
  <si>
    <t>钱袋大(2),_x000D_
筹码大(1),_x000D_
庄家令牌中(3),</t>
    <phoneticPr fontId="1" type="noConversion"/>
  </si>
  <si>
    <t>欠条中(6),_x000D_
欠条大(5),_x000D_
钱袋中(2),</t>
    <phoneticPr fontId="1" type="noConversion"/>
  </si>
  <si>
    <t>糯米(5),_x000D_
粽叶(10),</t>
    <phoneticPr fontId="1" type="noConversion"/>
  </si>
  <si>
    <t>愚山乾坤石(10),</t>
    <phoneticPr fontId="1" type="noConversion"/>
  </si>
  <si>
    <t>神农鼎(6),_x000D_
龙灵不朽藤(12),</t>
    <phoneticPr fontId="1" type="noConversion"/>
  </si>
  <si>
    <t>糯米(2),</t>
    <phoneticPr fontId="1" type="noConversion"/>
  </si>
  <si>
    <t>金钗(3),</t>
    <phoneticPr fontId="1" type="noConversion"/>
  </si>
  <si>
    <t>力量符文叉大(2),</t>
    <phoneticPr fontId="1" type="noConversion"/>
  </si>
  <si>
    <t>幸运符文叉大(2),</t>
    <phoneticPr fontId="1" type="noConversion"/>
  </si>
  <si>
    <t>螃蟹(5),</t>
    <phoneticPr fontId="1" type="noConversion"/>
  </si>
  <si>
    <t>仙丹(5),</t>
    <phoneticPr fontId="1" type="noConversion"/>
  </si>
  <si>
    <t>桂花酒(5),</t>
    <phoneticPr fontId="1" type="noConversion"/>
  </si>
  <si>
    <t>桂花(5),</t>
    <phoneticPr fontId="1" type="noConversion"/>
  </si>
  <si>
    <t>彗星(5),</t>
    <phoneticPr fontId="1" type="noConversion"/>
  </si>
  <si>
    <t>愚山乾坤石(5),</t>
    <phoneticPr fontId="1" type="noConversion"/>
  </si>
  <si>
    <t>愚山乾坤石(5),</t>
    <phoneticPr fontId="1" type="noConversion"/>
  </si>
  <si>
    <t>太一之轮(11),</t>
    <phoneticPr fontId="1" type="noConversion"/>
  </si>
  <si>
    <t>秘窟冰晶卵(14),</t>
    <phoneticPr fontId="1" type="noConversion"/>
  </si>
  <si>
    <t>秘窟冰晶卵(14),</t>
    <phoneticPr fontId="1" type="noConversion"/>
  </si>
  <si>
    <t>赤焰十字星(8),</t>
    <phoneticPr fontId="1" type="noConversion"/>
  </si>
  <si>
    <t>幸运符文叉大(7),</t>
    <phoneticPr fontId="1" type="noConversion"/>
  </si>
  <si>
    <t>幸运符文叉大(7),</t>
    <phoneticPr fontId="1" type="noConversion"/>
  </si>
  <si>
    <t>愚山乾坤石(10),</t>
    <phoneticPr fontId="1" type="noConversion"/>
  </si>
  <si>
    <t>太一之轮(6),_x000D_
幸运符文叉大(12),</t>
    <phoneticPr fontId="1" type="noConversion"/>
  </si>
  <si>
    <t>金甲虫(40),</t>
    <phoneticPr fontId="1" type="noConversion"/>
  </si>
  <si>
    <t>秘窟冰晶卵(9),_x000D_
力量符文叉大(4),</t>
    <phoneticPr fontId="1" type="noConversion"/>
  </si>
  <si>
    <t>炼妖壶(6),_x000D_
秘窟冰晶卵(9),</t>
    <phoneticPr fontId="1" type="noConversion"/>
  </si>
  <si>
    <t>欠条中(4),_x000D_
筹码中(4),</t>
    <phoneticPr fontId="1" type="noConversion"/>
  </si>
  <si>
    <t>炼妖壶(5),_x000D_
仙丹(5),</t>
    <phoneticPr fontId="1" type="noConversion"/>
  </si>
  <si>
    <t>桂花(5),_x000D_
桂花酒(5),</t>
    <phoneticPr fontId="1" type="noConversion"/>
  </si>
  <si>
    <t>秘窟冰晶卵(9),_x000D_
魅力符文叉大(8),</t>
    <phoneticPr fontId="1" type="noConversion"/>
  </si>
  <si>
    <t>炼妖壶(6),_x000D_
龙灵不朽藤(7),</t>
    <phoneticPr fontId="1" type="noConversion"/>
  </si>
  <si>
    <t>赤焰十字星(8),_x000D_
幸运符文叉大(7),</t>
    <phoneticPr fontId="1" type="noConversion"/>
  </si>
  <si>
    <t>六方天运骰(9),_x000D_
魅力符文叉大(8),</t>
    <phoneticPr fontId="1" type="noConversion"/>
  </si>
  <si>
    <t>欠条大(8),_x000D_
钱袋大(10),</t>
    <phoneticPr fontId="1" type="noConversion"/>
  </si>
  <si>
    <t>六方天运骰(9),_x000D_
幸运符文叉大(7),</t>
    <phoneticPr fontId="1" type="noConversion"/>
  </si>
  <si>
    <t>神农鼎(6),_x000D_
龙灵不朽藤(12),</t>
    <phoneticPr fontId="1" type="noConversion"/>
  </si>
  <si>
    <t>金甲虫(5),_x000D_
魅力符文叉大(13),</t>
    <phoneticPr fontId="1" type="noConversion"/>
  </si>
  <si>
    <t>神农鼎(6),_x000D_
幸运符文叉大(12),</t>
    <phoneticPr fontId="1" type="noConversion"/>
  </si>
  <si>
    <t>神农鼎(6),_x000D_
幸运符文叉大(12),</t>
    <phoneticPr fontId="1" type="noConversion"/>
  </si>
  <si>
    <t>智慧符文叉大(9),_x000D_
魅力符文叉大(13),</t>
    <phoneticPr fontId="1" type="noConversion"/>
  </si>
  <si>
    <t>太一之轮(11),_x000D_
幸运符文叉大(17),</t>
    <phoneticPr fontId="1" type="noConversion"/>
  </si>
  <si>
    <t>力量符文叉大(9),_x000D_
幸运符文叉大(12),</t>
    <phoneticPr fontId="1" type="noConversion"/>
  </si>
  <si>
    <t>六方天运骰(19),_x000D_
力量符文叉大(14),</t>
    <phoneticPr fontId="1" type="noConversion"/>
  </si>
  <si>
    <t>欠条中(6),_x000D_
钱袋中(2),_x000D_
骰子大(1),</t>
    <phoneticPr fontId="1" type="noConversion"/>
  </si>
  <si>
    <t>欠条中(4),_x000D_
筹码中(4),_x000D_
筹码大(1),</t>
    <phoneticPr fontId="1" type="noConversion"/>
  </si>
  <si>
    <t>欠条中(4),_x000D_
筹码中(4),_x000D_
筹码大(1),</t>
    <phoneticPr fontId="1" type="noConversion"/>
  </si>
  <si>
    <t>欠条中(4),_x000D_
骰子中(3),_x000D_
筹码中(4),</t>
    <phoneticPr fontId="1" type="noConversion"/>
  </si>
  <si>
    <t>骰子小(3),_x000D_
筹码小(5),_x000D_
庄家令牌中(3),</t>
    <phoneticPr fontId="1" type="noConversion"/>
  </si>
  <si>
    <t>神农鼎(1),_x000D_
六方天运骰(9),_x000D_
智慧符文叉大(4),</t>
    <phoneticPr fontId="1" type="noConversion"/>
  </si>
  <si>
    <t>欠条中(6),_x000D_
钱袋中(2),_x000D_
筹码大(6),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</si>
  <si>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</si>
  <si>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</si>
  <si>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骰子大(4),_x000D_
庄家令牌大(6),_x000D_
赤焰十字星(8),</t>
    <phoneticPr fontId="1" type="noConversion"/>
  </si>
  <si>
    <t>炼妖壶(6),_x000D_
六方天运骰(9),_x000D_
智慧符文叉大(4),</t>
    <phoneticPr fontId="1" type="noConversion"/>
  </si>
  <si>
    <t>神农鼎(1),_x000D_
欠条大(8),_x000D_
钱袋大(10),</t>
    <phoneticPr fontId="1" type="noConversion"/>
  </si>
  <si>
    <t>太一之轮(1),_x000D_
欠条大(8),_x000D_
骰子大(4),_x000D_
龙灵不朽藤(7),</t>
    <phoneticPr fontId="1" type="noConversion"/>
  </si>
  <si>
    <t>钱袋大(10),_x000D_
筹码大(9),_x000D_
秘窟冰晶卵(9),</t>
    <phoneticPr fontId="1" type="noConversion"/>
  </si>
  <si>
    <t>欠条大(8),_x000D_
骰子大(4),_x000D_
六方天运骰(9),</t>
    <phoneticPr fontId="1" type="noConversion"/>
  </si>
  <si>
    <t>糯米(10),_x000D_
粽叶(10),_x000D_
龙灵不朽藤(2),</t>
    <phoneticPr fontId="1" type="noConversion"/>
  </si>
  <si>
    <t>炼妖壶(10),_x000D_
愚山乾坤石(5),_x000D_
力量符文叉大(9),</t>
    <phoneticPr fontId="1" type="noConversion"/>
  </si>
  <si>
    <t>女娲石(4),_x000D_
神农鼎(11),_x000D_
幸运符文叉大(17),</t>
    <phoneticPr fontId="1" type="noConversion"/>
  </si>
  <si>
    <t>彗星(25),_x000D_
赤焰十字星(8),_x000D_
魅力符文叉大(8),</t>
    <phoneticPr fontId="1" type="noConversion"/>
  </si>
  <si>
    <t>六方天运骰(14),_x000D_
魅力符文叉大(13),_x000D_
幸运符文叉大(12),</t>
    <phoneticPr fontId="1" type="noConversion"/>
  </si>
  <si>
    <t>赤焰十字星(38),_x000D_
力量符文叉大(34),_x000D_
逆鳞(1),</t>
    <phoneticPr fontId="1" type="noConversion"/>
  </si>
  <si>
    <t>欠条中(4),_x000D_
骰子小(8),_x000D_
筹码中(4),_x000D_
庄家令牌小(2),</t>
    <phoneticPr fontId="1" type="noConversion"/>
  </si>
  <si>
    <t>神农鼎(1),_x000D_
欠条大(8),_x000D_
骰子大(4),_x000D_
愚山乾坤石(5),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</si>
  <si>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</si>
  <si>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</si>
  <si>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欠条小(8),_x000D_
钱袋小(9),_x000D_
筹码中(4),_x000D_
庄家令牌小(2),</t>
    <phoneticPr fontId="1" type="noConversion"/>
  </si>
  <si>
    <t>欠条中(4),_x000D_
骰子小(8),_x000D_
筹码小(10),_x000D_
庄家令牌小(2),</t>
    <phoneticPr fontId="1" type="noConversion"/>
  </si>
  <si>
    <t>欠条小(8),_x000D_
钱袋小(9),_x000D_
骰子小(8),_x000D_
筹码小(10),</t>
    <phoneticPr fontId="1" type="noConversion"/>
  </si>
  <si>
    <t>炼妖壶(15),_x000D_
神农鼎(6),_x000D_
赤焰十字星(13),_x000D_
幸运符文叉大(12),</t>
    <phoneticPr fontId="1" type="noConversion"/>
  </si>
  <si>
    <t>超进阶素材土(25),_x000D_
超进阶素材木(25),_x000D_
超进阶素材光(45),_x000D_
超进阶素材暗(50),</t>
    <phoneticPr fontId="1" type="noConversion"/>
  </si>
  <si>
    <t>超进阶素材土(25),_x000D_
超进阶素材木(25),_x000D_
超进阶素材光(45),_x000D_
超进阶素材暗(50),</t>
    <phoneticPr fontId="1" type="noConversion"/>
  </si>
  <si>
    <t>超进阶素材水(1),_x000D_
超进阶素材火(50),_x000D_
超进阶素材光(45),_x000D_
超进阶素材暗(50),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</si>
</sst>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</cellXfs>
  <cellStyles count="1">
    <cellStyle name="常规" xfId="0" builtinId="0"/>
  </cellStyles>
  <dxfs count="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136</xdr:row>
          <xdr:rowOff>28575</xdr:rowOff>
        </xdr:from>
        <xdr:to>
          <xdr:col>1</xdr:col>
          <xdr:colOff>428625</xdr:colOff>
          <xdr:row>137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36"/>
  <sheetViews>
    <sheetView tabSelected="1" workbookViewId="0">
      <pane xSplit="2" ySplit="1" topLeftCell="C122" activePane="bottomRight" state="frozen"/>
      <selection pane="topRight" activeCell="C1" sqref="C1"/>
      <selection pane="bottomLeft" activeCell="A3" sqref="A3"/>
      <selection pane="bottomRight" activeCell="AQ132" sqref="AQ132:BB132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85</v>
      </c>
      <c r="B1" s="8" t="s">
        <v>86</v>
      </c>
      <c r="C1" s="8" t="s">
        <v>88</v>
      </c>
      <c r="D1" s="8" t="s">
        <v>87</v>
      </c>
      <c r="E1" s="9" t="s">
        <v>3</v>
      </c>
      <c r="F1" s="9" t="s">
        <v>4</v>
      </c>
      <c r="G1" s="9" t="s">
        <v>15</v>
      </c>
      <c r="H1" s="9" t="s">
        <v>27</v>
      </c>
      <c r="I1" s="9" t="s">
        <v>28</v>
      </c>
      <c r="J1" s="9" t="s">
        <v>82</v>
      </c>
      <c r="K1" s="9" t="s">
        <v>29</v>
      </c>
      <c r="L1" s="9" t="s">
        <v>51</v>
      </c>
      <c r="M1" s="9" t="s">
        <v>54</v>
      </c>
      <c r="N1" s="9" t="s">
        <v>59</v>
      </c>
      <c r="O1" s="9" t="s">
        <v>53</v>
      </c>
      <c r="P1" s="27" t="s">
        <v>126</v>
      </c>
      <c r="Q1" s="27" t="s">
        <v>138</v>
      </c>
      <c r="R1" s="27" t="s">
        <v>132</v>
      </c>
      <c r="S1" s="27" t="s">
        <v>127</v>
      </c>
      <c r="T1" s="27" t="s">
        <v>136</v>
      </c>
      <c r="U1" s="27" t="s">
        <v>142</v>
      </c>
      <c r="V1" s="27" t="s">
        <v>128</v>
      </c>
      <c r="W1" s="27" t="s">
        <v>135</v>
      </c>
      <c r="X1" s="27" t="s">
        <v>133</v>
      </c>
      <c r="Y1" s="27" t="s">
        <v>129</v>
      </c>
      <c r="Z1" s="27" t="s">
        <v>137</v>
      </c>
      <c r="AA1" s="27" t="s">
        <v>144</v>
      </c>
      <c r="AB1" s="27" t="s">
        <v>131</v>
      </c>
      <c r="AC1" s="27" t="s">
        <v>130</v>
      </c>
      <c r="AD1" s="27" t="s">
        <v>155</v>
      </c>
      <c r="AE1" s="8" t="s">
        <v>10</v>
      </c>
      <c r="AF1" s="8" t="s">
        <v>35</v>
      </c>
      <c r="AG1" s="8" t="s">
        <v>36</v>
      </c>
      <c r="AH1" s="8" t="s">
        <v>72</v>
      </c>
      <c r="AI1" s="8" t="s">
        <v>73</v>
      </c>
      <c r="AJ1" s="8" t="s">
        <v>75</v>
      </c>
      <c r="AK1" s="8" t="s">
        <v>76</v>
      </c>
      <c r="AL1" s="8" t="s">
        <v>78</v>
      </c>
      <c r="AM1" s="8" t="s">
        <v>60</v>
      </c>
      <c r="AN1" s="8" t="s">
        <v>62</v>
      </c>
      <c r="AO1" s="8" t="s">
        <v>114</v>
      </c>
      <c r="AP1" s="8" t="s">
        <v>115</v>
      </c>
      <c r="AQ1" s="10" t="s">
        <v>48</v>
      </c>
      <c r="AR1" s="10" t="s">
        <v>5</v>
      </c>
      <c r="AS1" s="10" t="s">
        <v>33</v>
      </c>
      <c r="AT1" s="10" t="s">
        <v>65</v>
      </c>
      <c r="AU1" s="10" t="s">
        <v>70</v>
      </c>
      <c r="AV1" s="10" t="s">
        <v>58</v>
      </c>
      <c r="AW1" s="11" t="s">
        <v>6</v>
      </c>
      <c r="AX1" s="11" t="s">
        <v>7</v>
      </c>
      <c r="AY1" s="11" t="s">
        <v>49</v>
      </c>
      <c r="AZ1" s="11" t="s">
        <v>9</v>
      </c>
      <c r="BA1" s="11" t="s">
        <v>57</v>
      </c>
      <c r="BB1" s="11" t="s">
        <v>14</v>
      </c>
      <c r="BC1" s="25" t="s">
        <v>111</v>
      </c>
      <c r="BD1" s="8" t="s">
        <v>19</v>
      </c>
      <c r="BE1" s="8" t="s">
        <v>18</v>
      </c>
      <c r="BF1" s="8" t="s">
        <v>16</v>
      </c>
      <c r="BG1" s="8" t="s">
        <v>17</v>
      </c>
      <c r="BH1" s="8" t="s">
        <v>20</v>
      </c>
      <c r="BI1" s="8" t="s">
        <v>21</v>
      </c>
      <c r="BJ1" s="8" t="s">
        <v>40</v>
      </c>
      <c r="BK1" s="8" t="s">
        <v>41</v>
      </c>
      <c r="BL1" s="8" t="s">
        <v>42</v>
      </c>
      <c r="BM1" s="8" t="s">
        <v>43</v>
      </c>
      <c r="BN1" s="8" t="s">
        <v>44</v>
      </c>
      <c r="BO1" s="8" t="s">
        <v>45</v>
      </c>
      <c r="BP1" s="12" t="s">
        <v>93</v>
      </c>
      <c r="BQ1" s="8" t="s">
        <v>94</v>
      </c>
      <c r="BR1" s="16" t="s">
        <v>95</v>
      </c>
      <c r="BS1" s="16"/>
      <c r="BT1" s="10" t="s">
        <v>48</v>
      </c>
      <c r="BU1" s="10" t="s">
        <v>5</v>
      </c>
      <c r="BV1" s="10" t="s">
        <v>33</v>
      </c>
      <c r="BW1" s="10" t="s">
        <v>65</v>
      </c>
      <c r="BX1" s="10" t="s">
        <v>70</v>
      </c>
      <c r="BY1" s="10" t="s">
        <v>58</v>
      </c>
      <c r="BZ1" s="11" t="s">
        <v>6</v>
      </c>
      <c r="CA1" s="11" t="s">
        <v>7</v>
      </c>
      <c r="CB1" s="11" t="s">
        <v>49</v>
      </c>
      <c r="CC1" s="11" t="s">
        <v>9</v>
      </c>
      <c r="CD1" s="11" t="s">
        <v>57</v>
      </c>
      <c r="CE1" s="11" t="s">
        <v>14</v>
      </c>
      <c r="CF1" s="8"/>
      <c r="CG1" s="10" t="s">
        <v>48</v>
      </c>
      <c r="CH1" s="10" t="s">
        <v>5</v>
      </c>
      <c r="CI1" s="10" t="s">
        <v>33</v>
      </c>
      <c r="CJ1" s="10" t="s">
        <v>65</v>
      </c>
      <c r="CK1" s="10" t="s">
        <v>70</v>
      </c>
      <c r="CL1" s="10" t="s">
        <v>58</v>
      </c>
      <c r="CM1" s="11" t="s">
        <v>6</v>
      </c>
      <c r="CN1" s="11" t="s">
        <v>7</v>
      </c>
      <c r="CO1" s="11" t="s">
        <v>49</v>
      </c>
      <c r="CP1" s="11" t="s">
        <v>9</v>
      </c>
      <c r="CQ1" s="11" t="s">
        <v>57</v>
      </c>
      <c r="CR1" s="11" t="s">
        <v>14</v>
      </c>
      <c r="CS1" s="8"/>
    </row>
    <row r="2" spans="1:97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 s="1" t="str">
        <f>IF(AQ2&gt;AQ$130, AQ2-AQ$130,"")</f>
        <v/>
      </c>
      <c r="BU2" s="1" t="str">
        <f>IF(AR2&gt;AR$130, AR2-AR$130,"")</f>
        <v/>
      </c>
      <c r="BV2" s="1" t="str">
        <f>IF(AS2&gt;AS$130, AS2-AS$130,"")</f>
        <v/>
      </c>
      <c r="BW2" s="1" t="str">
        <f>IF(AT2&gt;AT$130, AT2-AT$130,"")</f>
        <v/>
      </c>
      <c r="BX2" s="1" t="str">
        <f>IF(AU2&gt;AU$130, AU2-AU$130,"")</f>
        <v/>
      </c>
      <c r="BY2" s="1" t="str">
        <f>IF(AV2&gt;AV$130, AV2-AV$130,"")</f>
        <v/>
      </c>
      <c r="BZ2" s="1" t="str">
        <f>IF(AW2&gt;AW$130, AW2-AW$130,"")</f>
        <v/>
      </c>
      <c r="CA2" s="1" t="str">
        <f>IF(AX2&gt;AX$130, AX2-AX$130,"")</f>
        <v/>
      </c>
      <c r="CB2" s="1" t="str">
        <f>IF(AY2&gt;AY$130, AY2-AY$130,"")</f>
        <v/>
      </c>
      <c r="CC2" s="1" t="str">
        <f>IF(AZ2&gt;AZ$130, AZ2-AZ$130,"")</f>
        <v/>
      </c>
      <c r="CD2" s="1" t="str">
        <f>IF(BA2&gt;BA$130, BA2-BA$130,"")</f>
        <v/>
      </c>
      <c r="CE2" s="1" t="str">
        <f>IF(BB2&gt;BB$130, BB2-BB$130,"")</f>
        <v/>
      </c>
      <c r="CF2" s="1">
        <f>12-COUNTA(BT2:CE2)</f>
        <v>0</v>
      </c>
      <c r="CG2" s="1" t="str">
        <f>IF($CF2=1,BT2,"")</f>
        <v/>
      </c>
      <c r="CH2" s="1" t="str">
        <f>IF($CF2=1,BU2,"")</f>
        <v/>
      </c>
      <c r="CI2" s="1" t="str">
        <f>IF($CF2=1,BV2,"")</f>
        <v/>
      </c>
      <c r="CJ2" s="1" t="str">
        <f>IF($CF2=1,BW2,"")</f>
        <v/>
      </c>
      <c r="CK2" s="1" t="str">
        <f>IF($CF2=1,BX2,"")</f>
        <v/>
      </c>
      <c r="CL2" s="1" t="str">
        <f>IF($CF2=1,BY2,"")</f>
        <v/>
      </c>
      <c r="CM2" s="1" t="str">
        <f>IF($CF2=1,BZ2,"")</f>
        <v/>
      </c>
      <c r="CN2" s="1" t="str">
        <f>IF($CF2=1,CA2,"")</f>
        <v/>
      </c>
      <c r="CO2" s="1" t="str">
        <f>IF($CF2=1,CB2,"")</f>
        <v/>
      </c>
      <c r="CP2" s="1" t="str">
        <f>IF($CF2=1,CC2,"")</f>
        <v/>
      </c>
      <c r="CQ2" s="1" t="str">
        <f>IF($CF2=1,CD2,"")</f>
        <v/>
      </c>
      <c r="CR2" s="1" t="str">
        <f>IF($CF2=1,CE2,"")</f>
        <v/>
      </c>
      <c r="CS2" s="3">
        <f>SUM(AE2:BO2)</f>
        <v>80</v>
      </c>
    </row>
    <row r="3" spans="1:97" x14ac:dyDescent="0.15">
      <c r="A3" s="1">
        <v>15</v>
      </c>
      <c r="B3" s="1" t="s">
        <v>30</v>
      </c>
      <c r="C3" s="1" t="s">
        <v>31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 s="1" t="str">
        <f>IF(AQ3&gt;AQ$130, AQ3-AQ$130,"")</f>
        <v/>
      </c>
      <c r="BU3" s="1" t="str">
        <f>IF(AR3&gt;AR$130, AR3-AR$130,"")</f>
        <v/>
      </c>
      <c r="BV3" s="1" t="str">
        <f>IF(AS3&gt;AS$130, AS3-AS$130,"")</f>
        <v/>
      </c>
      <c r="BW3" s="1" t="str">
        <f>IF(AT3&gt;AT$130, AT3-AT$130,"")</f>
        <v/>
      </c>
      <c r="BX3" s="1" t="str">
        <f>IF(AU3&gt;AU$130, AU3-AU$130,"")</f>
        <v/>
      </c>
      <c r="BY3" s="1" t="str">
        <f>IF(AV3&gt;AV$130, AV3-AV$130,"")</f>
        <v/>
      </c>
      <c r="BZ3" s="1" t="str">
        <f>IF(AW3&gt;AW$130, AW3-AW$130,"")</f>
        <v/>
      </c>
      <c r="CA3" s="1" t="str">
        <f>IF(AX3&gt;AX$130, AX3-AX$130,"")</f>
        <v/>
      </c>
      <c r="CB3" s="1" t="str">
        <f>IF(AY3&gt;AY$130, AY3-AY$130,"")</f>
        <v/>
      </c>
      <c r="CC3" s="1" t="str">
        <f>IF(AZ3&gt;AZ$130, AZ3-AZ$130,"")</f>
        <v/>
      </c>
      <c r="CD3" s="1" t="str">
        <f>IF(BA3&gt;BA$130, BA3-BA$130,"")</f>
        <v/>
      </c>
      <c r="CE3" s="1" t="str">
        <f>IF(BB3&gt;BB$130, BB3-BB$130,"")</f>
        <v/>
      </c>
      <c r="CF3" s="1">
        <f>12-COUNTA(BT3:CE3)</f>
        <v>0</v>
      </c>
      <c r="CG3" s="1" t="str">
        <f>IF($CF3=1,BT3,"")</f>
        <v/>
      </c>
      <c r="CH3" s="1" t="str">
        <f>IF($CF3=1,BU3,"")</f>
        <v/>
      </c>
      <c r="CI3" s="1" t="str">
        <f>IF($CF3=1,BV3,"")</f>
        <v/>
      </c>
      <c r="CJ3" s="1" t="str">
        <f>IF($CF3=1,BW3,"")</f>
        <v/>
      </c>
      <c r="CK3" s="1" t="str">
        <f>IF($CF3=1,BX3,"")</f>
        <v/>
      </c>
      <c r="CL3" s="1" t="str">
        <f>IF($CF3=1,BY3,"")</f>
        <v/>
      </c>
      <c r="CM3" s="1" t="str">
        <f>IF($CF3=1,BZ3,"")</f>
        <v/>
      </c>
      <c r="CN3" s="1" t="str">
        <f>IF($CF3=1,CA3,"")</f>
        <v/>
      </c>
      <c r="CO3" s="1" t="str">
        <f>IF($CF3=1,CB3,"")</f>
        <v/>
      </c>
      <c r="CP3" s="1" t="str">
        <f>IF($CF3=1,CC3,"")</f>
        <v/>
      </c>
      <c r="CQ3" s="1" t="str">
        <f>IF($CF3=1,CD3,"")</f>
        <v/>
      </c>
      <c r="CR3" s="1" t="str">
        <f>IF($CF3=1,CE3,"")</f>
        <v/>
      </c>
      <c r="CS3" s="3">
        <f>SUM(AE3:BO3)</f>
        <v>80</v>
      </c>
    </row>
    <row r="4" spans="1:97" x14ac:dyDescent="0.15">
      <c r="A4" s="1">
        <v>35</v>
      </c>
      <c r="B4" s="1" t="s">
        <v>46</v>
      </c>
      <c r="C4" s="1" t="s">
        <v>47</v>
      </c>
      <c r="D4" s="1" t="s">
        <v>26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 s="1" t="str">
        <f>IF(AQ4&gt;AQ$130, AQ4-AQ$130,"")</f>
        <v/>
      </c>
      <c r="BU4" s="1" t="str">
        <f>IF(AR4&gt;AR$130, AR4-AR$130,"")</f>
        <v/>
      </c>
      <c r="BV4" s="1" t="str">
        <f>IF(AS4&gt;AS$130, AS4-AS$130,"")</f>
        <v/>
      </c>
      <c r="BW4" s="1" t="str">
        <f>IF(AT4&gt;AT$130, AT4-AT$130,"")</f>
        <v/>
      </c>
      <c r="BX4" s="1" t="str">
        <f>IF(AU4&gt;AU$130, AU4-AU$130,"")</f>
        <v/>
      </c>
      <c r="BY4" s="1" t="str">
        <f>IF(AV4&gt;AV$130, AV4-AV$130,"")</f>
        <v/>
      </c>
      <c r="BZ4" s="1" t="str">
        <f>IF(AW4&gt;AW$130, AW4-AW$130,"")</f>
        <v/>
      </c>
      <c r="CA4" s="1" t="str">
        <f>IF(AX4&gt;AX$130, AX4-AX$130,"")</f>
        <v/>
      </c>
      <c r="CB4" s="1" t="str">
        <f>IF(AY4&gt;AY$130, AY4-AY$130,"")</f>
        <v/>
      </c>
      <c r="CC4" s="1" t="str">
        <f>IF(AZ4&gt;AZ$130, AZ4-AZ$130,"")</f>
        <v/>
      </c>
      <c r="CD4" s="1" t="str">
        <f>IF(BA4&gt;BA$130, BA4-BA$130,"")</f>
        <v/>
      </c>
      <c r="CE4" s="1" t="str">
        <f>IF(BB4&gt;BB$130, BB4-BB$130,"")</f>
        <v/>
      </c>
      <c r="CF4" s="1">
        <f>12-COUNTA(BT4:CE4)</f>
        <v>0</v>
      </c>
      <c r="CG4" s="1" t="str">
        <f>IF($CF4=1,BT4,"")</f>
        <v/>
      </c>
      <c r="CH4" s="1" t="str">
        <f>IF($CF4=1,BU4,"")</f>
        <v/>
      </c>
      <c r="CI4" s="1" t="str">
        <f>IF($CF4=1,BV4,"")</f>
        <v/>
      </c>
      <c r="CJ4" s="1" t="str">
        <f>IF($CF4=1,BW4,"")</f>
        <v/>
      </c>
      <c r="CK4" s="1" t="str">
        <f>IF($CF4=1,BX4,"")</f>
        <v/>
      </c>
      <c r="CL4" s="1" t="str">
        <f>IF($CF4=1,BY4,"")</f>
        <v/>
      </c>
      <c r="CM4" s="1" t="str">
        <f>IF($CF4=1,BZ4,"")</f>
        <v/>
      </c>
      <c r="CN4" s="1" t="str">
        <f>IF($CF4=1,CA4,"")</f>
        <v/>
      </c>
      <c r="CO4" s="1" t="str">
        <f>IF($CF4=1,CB4,"")</f>
        <v/>
      </c>
      <c r="CP4" s="1" t="str">
        <f>IF($CF4=1,CC4,"")</f>
        <v/>
      </c>
      <c r="CQ4" s="1" t="str">
        <f>IF($CF4=1,CD4,"")</f>
        <v/>
      </c>
      <c r="CR4" s="1" t="str">
        <f>IF($CF4=1,CE4,"")</f>
        <v/>
      </c>
      <c r="CS4" s="3">
        <f>SUM(AE4:BO4)</f>
        <v>80</v>
      </c>
    </row>
    <row r="5" spans="1:97" x14ac:dyDescent="0.15">
      <c r="A5" s="1">
        <v>55</v>
      </c>
      <c r="B5" s="1" t="s">
        <v>55</v>
      </c>
      <c r="C5" s="1" t="s">
        <v>56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/>
      <c r="BG5" s="1"/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>SUM(E5:BO5)</f>
        <v>80</v>
      </c>
      <c r="BQ5" s="1">
        <v>0</v>
      </c>
      <c r="BR5" s="17">
        <v>0</v>
      </c>
      <c r="BS5" s="17"/>
      <c r="BT5" s="1" t="str">
        <f>IF(AQ5&gt;AQ$130, AQ5-AQ$130,"")</f>
        <v/>
      </c>
      <c r="BU5" s="1" t="str">
        <f>IF(AR5&gt;AR$130, AR5-AR$130,"")</f>
        <v/>
      </c>
      <c r="BV5" s="1" t="str">
        <f>IF(AS5&gt;AS$130, AS5-AS$130,"")</f>
        <v/>
      </c>
      <c r="BW5" s="1" t="str">
        <f>IF(AT5&gt;AT$130, AT5-AT$130,"")</f>
        <v/>
      </c>
      <c r="BX5" s="1" t="str">
        <f>IF(AU5&gt;AU$130, AU5-AU$130,"")</f>
        <v/>
      </c>
      <c r="BY5" s="1" t="str">
        <f>IF(AV5&gt;AV$130, AV5-AV$130,"")</f>
        <v/>
      </c>
      <c r="BZ5" s="1" t="str">
        <f>IF(AW5&gt;AW$130, AW5-AW$130,"")</f>
        <v/>
      </c>
      <c r="CA5" s="1" t="str">
        <f>IF(AX5&gt;AX$130, AX5-AX$130,"")</f>
        <v/>
      </c>
      <c r="CB5" s="1" t="str">
        <f>IF(AY5&gt;AY$130, AY5-AY$130,"")</f>
        <v/>
      </c>
      <c r="CC5" s="1" t="str">
        <f>IF(AZ5&gt;AZ$130, AZ5-AZ$130,"")</f>
        <v/>
      </c>
      <c r="CD5" s="1" t="str">
        <f>IF(BA5&gt;BA$130, BA5-BA$130,"")</f>
        <v/>
      </c>
      <c r="CE5" s="1" t="str">
        <f>IF(BB5&gt;BB$130, BB5-BB$130,"")</f>
        <v/>
      </c>
      <c r="CF5" s="1">
        <f>12-COUNTA(BT5:CE5)</f>
        <v>0</v>
      </c>
      <c r="CG5" s="1" t="str">
        <f>IF($CF5=1,BT5,"")</f>
        <v/>
      </c>
      <c r="CH5" s="1" t="str">
        <f>IF($CF5=1,BU5,"")</f>
        <v/>
      </c>
      <c r="CI5" s="1" t="str">
        <f>IF($CF5=1,BV5,"")</f>
        <v/>
      </c>
      <c r="CJ5" s="1" t="str">
        <f>IF($CF5=1,BW5,"")</f>
        <v/>
      </c>
      <c r="CK5" s="1" t="str">
        <f>IF($CF5=1,BX5,"")</f>
        <v/>
      </c>
      <c r="CL5" s="1" t="str">
        <f>IF($CF5=1,BY5,"")</f>
        <v/>
      </c>
      <c r="CM5" s="1" t="str">
        <f>IF($CF5=1,BZ5,"")</f>
        <v/>
      </c>
      <c r="CN5" s="1" t="str">
        <f>IF($CF5=1,CA5,"")</f>
        <v/>
      </c>
      <c r="CO5" s="1" t="str">
        <f>IF($CF5=1,CB5,"")</f>
        <v/>
      </c>
      <c r="CP5" s="1" t="str">
        <f>IF($CF5=1,CC5,"")</f>
        <v/>
      </c>
      <c r="CQ5" s="1" t="str">
        <f>IF($CF5=1,CD5,"")</f>
        <v/>
      </c>
      <c r="CR5" s="1" t="str">
        <f>IF($CF5=1,CE5,"")</f>
        <v/>
      </c>
      <c r="CS5" s="3">
        <f>SUM(AE5:BO5)</f>
        <v>80</v>
      </c>
    </row>
    <row r="6" spans="1:97" s="23" customFormat="1" x14ac:dyDescent="0.15">
      <c r="A6" s="1"/>
      <c r="B6" s="1" t="s">
        <v>108</v>
      </c>
      <c r="C6" s="1" t="s">
        <v>109</v>
      </c>
      <c r="D6" s="1" t="s">
        <v>107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>
        <v>20</v>
      </c>
      <c r="BE6" s="1">
        <v>20</v>
      </c>
      <c r="BF6" s="1">
        <v>20</v>
      </c>
      <c r="BG6" s="1">
        <v>20</v>
      </c>
      <c r="BH6" s="1"/>
      <c r="BI6" s="1"/>
      <c r="BJ6" s="1"/>
      <c r="BK6" s="1"/>
      <c r="BL6" s="1"/>
      <c r="BM6" s="1"/>
      <c r="BN6" s="1"/>
      <c r="BO6" s="1"/>
      <c r="BP6" s="1">
        <f>SUM(E6:BO6)</f>
        <v>80</v>
      </c>
      <c r="BQ6" s="1">
        <v>0</v>
      </c>
      <c r="BR6" s="17">
        <v>0</v>
      </c>
      <c r="BS6" s="17"/>
      <c r="BT6" s="1" t="str">
        <f>IF(AQ6&gt;AQ$130, AQ6-AQ$130,"")</f>
        <v/>
      </c>
      <c r="BU6" s="1" t="str">
        <f>IF(AR6&gt;AR$130, AR6-AR$130,"")</f>
        <v/>
      </c>
      <c r="BV6" s="1" t="str">
        <f>IF(AS6&gt;AS$130, AS6-AS$130,"")</f>
        <v/>
      </c>
      <c r="BW6" s="1" t="str">
        <f>IF(AT6&gt;AT$130, AT6-AT$130,"")</f>
        <v/>
      </c>
      <c r="BX6" s="1" t="str">
        <f>IF(AU6&gt;AU$130, AU6-AU$130,"")</f>
        <v/>
      </c>
      <c r="BY6" s="1" t="str">
        <f>IF(AV6&gt;AV$130, AV6-AV$130,"")</f>
        <v/>
      </c>
      <c r="BZ6" s="1" t="str">
        <f>IF(AW6&gt;AW$130, AW6-AW$130,"")</f>
        <v/>
      </c>
      <c r="CA6" s="1" t="str">
        <f>IF(AX6&gt;AX$130, AX6-AX$130,"")</f>
        <v/>
      </c>
      <c r="CB6" s="1" t="str">
        <f>IF(AY6&gt;AY$130, AY6-AY$130,"")</f>
        <v/>
      </c>
      <c r="CC6" s="1" t="str">
        <f>IF(AZ6&gt;AZ$130, AZ6-AZ$130,"")</f>
        <v/>
      </c>
      <c r="CD6" s="1" t="str">
        <f>IF(BA6&gt;BA$130, BA6-BA$130,"")</f>
        <v/>
      </c>
      <c r="CE6" s="1" t="str">
        <f>IF(BB6&gt;BB$130, BB6-BB$130,"")</f>
        <v/>
      </c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3"/>
    </row>
    <row r="7" spans="1:97" s="23" customFormat="1" x14ac:dyDescent="0.15">
      <c r="A7" s="1"/>
      <c r="B7" s="1" t="s">
        <v>175</v>
      </c>
      <c r="C7" s="1" t="s">
        <v>117</v>
      </c>
      <c r="D7" s="1" t="s">
        <v>107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>
        <v>20</v>
      </c>
      <c r="BG7" s="1">
        <v>20</v>
      </c>
      <c r="BH7" s="1">
        <v>20</v>
      </c>
      <c r="BI7" s="1">
        <v>20</v>
      </c>
      <c r="BJ7" s="1"/>
      <c r="BK7" s="1"/>
      <c r="BL7" s="1"/>
      <c r="BM7" s="1"/>
      <c r="BN7" s="1"/>
      <c r="BO7" s="1"/>
      <c r="BP7" s="1">
        <f>SUM(E7:BO7)</f>
        <v>80</v>
      </c>
      <c r="BQ7" s="1">
        <v>0</v>
      </c>
      <c r="BR7" s="17">
        <v>0</v>
      </c>
      <c r="BS7" s="17"/>
      <c r="BT7" s="1" t="str">
        <f>IF(AQ7&gt;AQ$130, AQ7-AQ$130,"")</f>
        <v/>
      </c>
      <c r="BU7" s="1" t="str">
        <f>IF(AR7&gt;AR$130, AR7-AR$130,"")</f>
        <v/>
      </c>
      <c r="BV7" s="1" t="str">
        <f>IF(AS7&gt;AS$130, AS7-AS$130,"")</f>
        <v/>
      </c>
      <c r="BW7" s="1" t="str">
        <f>IF(AT7&gt;AT$130, AT7-AT$130,"")</f>
        <v/>
      </c>
      <c r="BX7" s="1" t="str">
        <f>IF(AU7&gt;AU$130, AU7-AU$130,"")</f>
        <v/>
      </c>
      <c r="BY7" s="1" t="str">
        <f>IF(AV7&gt;AV$130, AV7-AV$130,"")</f>
        <v/>
      </c>
      <c r="BZ7" s="1" t="str">
        <f>IF(AW7&gt;AW$130, AW7-AW$130,"")</f>
        <v/>
      </c>
      <c r="CA7" s="1" t="str">
        <f>IF(AX7&gt;AX$130, AX7-AX$130,"")</f>
        <v/>
      </c>
      <c r="CB7" s="1" t="str">
        <f>IF(AY7&gt;AY$130, AY7-AY$130,"")</f>
        <v/>
      </c>
      <c r="CC7" s="1" t="str">
        <f>IF(AZ7&gt;AZ$130, AZ7-AZ$130,"")</f>
        <v/>
      </c>
      <c r="CD7" s="1" t="str">
        <f>IF(BA7&gt;BA$130, BA7-BA$130,"")</f>
        <v/>
      </c>
      <c r="CE7" s="1" t="str">
        <f>IF(BB7&gt;BB$130, BB7-BB$130,"")</f>
        <v/>
      </c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3"/>
    </row>
    <row r="8" spans="1:97" x14ac:dyDescent="0.15">
      <c r="A8" s="1"/>
      <c r="B8" s="1" t="s">
        <v>183</v>
      </c>
      <c r="C8" s="1" t="s">
        <v>105</v>
      </c>
      <c r="D8" s="1" t="s">
        <v>107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>
        <v>20</v>
      </c>
      <c r="BE8" s="1">
        <v>20</v>
      </c>
      <c r="BF8" s="1">
        <v>20</v>
      </c>
      <c r="BG8" s="1">
        <v>20</v>
      </c>
      <c r="BH8" s="1"/>
      <c r="BI8" s="1"/>
      <c r="BJ8" s="1"/>
      <c r="BK8" s="1"/>
      <c r="BL8" s="1"/>
      <c r="BM8" s="1"/>
      <c r="BN8" s="1"/>
      <c r="BO8" s="1"/>
      <c r="BP8" s="1">
        <f>SUM(E8:BO8)</f>
        <v>80</v>
      </c>
      <c r="BQ8" s="1">
        <v>0</v>
      </c>
      <c r="BR8" s="17">
        <v>0</v>
      </c>
      <c r="BS8" s="17"/>
      <c r="BT8" s="1" t="str">
        <f>IF(AQ8&gt;AQ$130, AQ8-AQ$130,"")</f>
        <v/>
      </c>
      <c r="BU8" s="1" t="str">
        <f>IF(AR8&gt;AR$130, AR8-AR$130,"")</f>
        <v/>
      </c>
      <c r="BV8" s="1" t="str">
        <f>IF(AS8&gt;AS$130, AS8-AS$130,"")</f>
        <v/>
      </c>
      <c r="BW8" s="1" t="str">
        <f>IF(AT8&gt;AT$130, AT8-AT$130,"")</f>
        <v/>
      </c>
      <c r="BX8" s="1" t="str">
        <f>IF(AU8&gt;AU$130, AU8-AU$130,"")</f>
        <v/>
      </c>
      <c r="BY8" s="1" t="str">
        <f>IF(AV8&gt;AV$130, AV8-AV$130,"")</f>
        <v/>
      </c>
      <c r="BZ8" s="1" t="str">
        <f>IF(AW8&gt;AW$130, AW8-AW$130,"")</f>
        <v/>
      </c>
      <c r="CA8" s="1" t="str">
        <f>IF(AX8&gt;AX$130, AX8-AX$130,"")</f>
        <v/>
      </c>
      <c r="CB8" s="1" t="str">
        <f>IF(AY8&gt;AY$130, AY8-AY$130,"")</f>
        <v/>
      </c>
      <c r="CC8" s="1" t="str">
        <f>IF(AZ8&gt;AZ$130, AZ8-AZ$130,"")</f>
        <v/>
      </c>
      <c r="CD8" s="1" t="str">
        <f>IF(BA8&gt;BA$130, BA8-BA$130,"")</f>
        <v/>
      </c>
      <c r="CE8" s="1" t="str">
        <f>IF(BB8&gt;BB$130, BB8-BB$130,"")</f>
        <v/>
      </c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3"/>
    </row>
    <row r="9" spans="1:97" x14ac:dyDescent="0.15">
      <c r="A9" s="1">
        <v>91</v>
      </c>
      <c r="B9" s="3" t="s">
        <v>81</v>
      </c>
      <c r="C9" s="3" t="s">
        <v>80</v>
      </c>
      <c r="D9" s="1" t="s">
        <v>1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>
        <v>5</v>
      </c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5</v>
      </c>
      <c r="BQ9" s="1">
        <v>0</v>
      </c>
      <c r="BR9" s="17">
        <v>0</v>
      </c>
      <c r="BS9" s="17"/>
      <c r="BT9" s="1" t="str">
        <f>IF(AQ9&gt;AQ$130, AQ9-AQ$130,"")</f>
        <v/>
      </c>
      <c r="BU9" s="1" t="str">
        <f>IF(AR9&gt;AR$130, AR9-AR$130,"")</f>
        <v/>
      </c>
      <c r="BV9" s="1" t="str">
        <f>IF(AS9&gt;AS$130, AS9-AS$130,"")</f>
        <v/>
      </c>
      <c r="BW9" s="1" t="str">
        <f>IF(AT9&gt;AT$130, AT9-AT$130,"")</f>
        <v/>
      </c>
      <c r="BX9" s="1" t="str">
        <f>IF(AU9&gt;AU$130, AU9-AU$130,"")</f>
        <v/>
      </c>
      <c r="BY9" s="1" t="str">
        <f>IF(AV9&gt;AV$130, AV9-AV$130,"")</f>
        <v/>
      </c>
      <c r="BZ9" s="1" t="str">
        <f>IF(AW9&gt;AW$130, AW9-AW$130,"")</f>
        <v/>
      </c>
      <c r="CA9" s="1" t="str">
        <f>IF(AX9&gt;AX$130, AX9-AX$130,"")</f>
        <v/>
      </c>
      <c r="CB9" s="1" t="str">
        <f>IF(AY9&gt;AY$130, AY9-AY$130,"")</f>
        <v/>
      </c>
      <c r="CC9" s="1" t="str">
        <f>IF(AZ9&gt;AZ$130, AZ9-AZ$130,"")</f>
        <v/>
      </c>
      <c r="CD9" s="1" t="str">
        <f>IF(BA9&gt;BA$130, BA9-BA$130,"")</f>
        <v/>
      </c>
      <c r="CE9" s="1" t="str">
        <f>IF(BB9&gt;BB$130, BB9-BB$130,"")</f>
        <v/>
      </c>
      <c r="CF9" s="1">
        <f>COUNTIF(BT9:CE9, "&gt;0")</f>
        <v>0</v>
      </c>
      <c r="CG9" s="1" t="str">
        <f>IF($CF9=1,BT9,"")</f>
        <v/>
      </c>
      <c r="CH9" s="1" t="str">
        <f>IF($CF9=1,BU9,"")</f>
        <v/>
      </c>
      <c r="CI9" s="1" t="str">
        <f>IF($CF9=1,BV9,"")</f>
        <v/>
      </c>
      <c r="CJ9" s="1" t="str">
        <f>IF($CF9=1,BW9,"")</f>
        <v/>
      </c>
      <c r="CK9" s="1" t="str">
        <f>IF($CF9=1,BX9,"")</f>
        <v/>
      </c>
      <c r="CL9" s="1" t="str">
        <f>IF($CF9=1,BY9,"")</f>
        <v/>
      </c>
      <c r="CM9" s="1" t="str">
        <f>IF($CF9=1,BZ9,"")</f>
        <v/>
      </c>
      <c r="CN9" s="1" t="str">
        <f>IF($CF9=1,CA9,"")</f>
        <v/>
      </c>
      <c r="CO9" s="1" t="str">
        <f>IF($CF9=1,CB9,"")</f>
        <v/>
      </c>
      <c r="CP9" s="1" t="str">
        <f>IF($CF9=1,CC9,"")</f>
        <v/>
      </c>
      <c r="CQ9" s="1" t="str">
        <f>IF($CF9=1,CD9,"")</f>
        <v/>
      </c>
      <c r="CR9" s="1" t="str">
        <f>IF($CF9=1,CE9,"")</f>
        <v/>
      </c>
      <c r="CS9" s="3">
        <f>SUM(AE9:BO9)</f>
        <v>5</v>
      </c>
    </row>
    <row r="10" spans="1:97" x14ac:dyDescent="0.15">
      <c r="A10" s="1"/>
      <c r="B10" s="1" t="s">
        <v>165</v>
      </c>
      <c r="C10" s="1" t="s">
        <v>31</v>
      </c>
      <c r="D10" s="1" t="s">
        <v>159</v>
      </c>
      <c r="E10" s="6">
        <v>20</v>
      </c>
      <c r="F10" s="6"/>
      <c r="G10" s="6"/>
      <c r="H10" s="6"/>
      <c r="I10" s="6">
        <v>20</v>
      </c>
      <c r="J10" s="6">
        <v>20</v>
      </c>
      <c r="K10" s="6"/>
      <c r="L10" s="6"/>
      <c r="M10" s="6"/>
      <c r="N10" s="6"/>
      <c r="O10" s="6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60</v>
      </c>
      <c r="BQ10" s="1">
        <v>0</v>
      </c>
      <c r="BR10" s="17">
        <v>0</v>
      </c>
      <c r="BS10" s="17"/>
      <c r="BT10" s="1" t="str">
        <f>IF(AQ10&gt;AQ$130, AQ10-AQ$130,"")</f>
        <v/>
      </c>
      <c r="BU10" s="1" t="str">
        <f>IF(AR10&gt;AR$130, AR10-AR$130,"")</f>
        <v/>
      </c>
      <c r="BV10" s="1" t="str">
        <f>IF(AS10&gt;AS$130, AS10-AS$130,"")</f>
        <v/>
      </c>
      <c r="BW10" s="1" t="str">
        <f>IF(AT10&gt;AT$130, AT10-AT$130,"")</f>
        <v/>
      </c>
      <c r="BX10" s="1" t="str">
        <f>IF(AU10&gt;AU$130, AU10-AU$130,"")</f>
        <v/>
      </c>
      <c r="BY10" s="1" t="str">
        <f>IF(AV10&gt;AV$130, AV10-AV$130,"")</f>
        <v/>
      </c>
      <c r="BZ10" s="1" t="str">
        <f>IF(AW10&gt;AW$130, AW10-AW$130,"")</f>
        <v/>
      </c>
      <c r="CA10" s="1" t="str">
        <f>IF(AX10&gt;AX$130, AX10-AX$130,"")</f>
        <v/>
      </c>
      <c r="CB10" s="1" t="str">
        <f>IF(AY10&gt;AY$130, AY10-AY$130,"")</f>
        <v/>
      </c>
      <c r="CC10" s="1" t="str">
        <f>IF(AZ10&gt;AZ$130, AZ10-AZ$130,"")</f>
        <v/>
      </c>
      <c r="CD10" s="1" t="str">
        <f>IF(BA10&gt;BA$130, BA10-BA$130,"")</f>
        <v/>
      </c>
      <c r="CE10" s="1" t="str">
        <f>IF(BB10&gt;BB$130, BB10-BB$130,"")</f>
        <v/>
      </c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3"/>
    </row>
    <row r="11" spans="1:97" x14ac:dyDescent="0.15">
      <c r="A11" s="1"/>
      <c r="B11" s="1" t="s">
        <v>116</v>
      </c>
      <c r="C11" s="1" t="s">
        <v>109</v>
      </c>
      <c r="D11" s="1" t="s">
        <v>113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>
        <v>2</v>
      </c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2</v>
      </c>
      <c r="BQ11" s="1">
        <v>2</v>
      </c>
      <c r="BR11" s="17">
        <v>1</v>
      </c>
      <c r="BS11" s="17" t="s">
        <v>232</v>
      </c>
      <c r="BT11" s="1" t="str">
        <f>IF(AQ11&gt;AQ$130, AQ11-AQ$130,"")</f>
        <v/>
      </c>
      <c r="BU11" s="1" t="str">
        <f>IF(AR11&gt;AR$130, AR11-AR$130,"")</f>
        <v/>
      </c>
      <c r="BV11" s="1" t="str">
        <f>IF(AS11&gt;AS$130, AS11-AS$130,"")</f>
        <v/>
      </c>
      <c r="BW11" s="1" t="str">
        <f>IF(AT11&gt;AT$130, AT11-AT$130,"")</f>
        <v/>
      </c>
      <c r="BX11" s="1" t="str">
        <f>IF(AU11&gt;AU$130, AU11-AU$130,"")</f>
        <v/>
      </c>
      <c r="BY11" s="1" t="str">
        <f>IF(AV11&gt;AV$130, AV11-AV$130,"")</f>
        <v/>
      </c>
      <c r="BZ11" s="1" t="str">
        <f>IF(AW11&gt;AW$130, AW11-AW$130,"")</f>
        <v/>
      </c>
      <c r="CA11" s="1" t="str">
        <f>IF(AX11&gt;AX$130, AX11-AX$130,"")</f>
        <v/>
      </c>
      <c r="CB11" s="1" t="str">
        <f>IF(AY11&gt;AY$130, AY11-AY$130,"")</f>
        <v/>
      </c>
      <c r="CC11" s="1" t="str">
        <f>IF(AZ11&gt;AZ$130, AZ11-AZ$130,"")</f>
        <v/>
      </c>
      <c r="CD11" s="1" t="str">
        <f>IF(BA11&gt;BA$130, BA11-BA$130,"")</f>
        <v/>
      </c>
      <c r="CE11" s="1" t="str">
        <f>IF(BB11&gt;BB$130, BB11-BB$130,"")</f>
        <v/>
      </c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3"/>
    </row>
    <row r="12" spans="1:97" x14ac:dyDescent="0.15">
      <c r="A12" s="1">
        <v>101</v>
      </c>
      <c r="B12" s="3" t="s">
        <v>101</v>
      </c>
      <c r="C12" s="3" t="s">
        <v>69</v>
      </c>
      <c r="D12" s="1" t="s">
        <v>13</v>
      </c>
      <c r="E12" s="6"/>
      <c r="F12" s="6"/>
      <c r="G12" s="6"/>
      <c r="H12" s="6">
        <v>6</v>
      </c>
      <c r="I12" s="6">
        <v>6</v>
      </c>
      <c r="J12" s="6"/>
      <c r="K12" s="6"/>
      <c r="L12" s="6"/>
      <c r="M12" s="6"/>
      <c r="N12" s="6"/>
      <c r="O12" s="6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>
        <v>8</v>
      </c>
      <c r="AV12" s="4"/>
      <c r="AW12" s="2">
        <v>8</v>
      </c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28</v>
      </c>
      <c r="BQ12" s="1">
        <v>2</v>
      </c>
      <c r="BR12" s="17">
        <v>1</v>
      </c>
      <c r="BS12" s="17" t="s">
        <v>234</v>
      </c>
      <c r="BT12" s="1" t="str">
        <f>IF(AQ12&gt;AQ$130, AQ12-AQ$130,"")</f>
        <v/>
      </c>
      <c r="BU12" s="1" t="str">
        <f>IF(AR12&gt;AR$130, AR12-AR$130,"")</f>
        <v/>
      </c>
      <c r="BV12" s="1" t="str">
        <f>IF(AS12&gt;AS$130, AS12-AS$130,"")</f>
        <v/>
      </c>
      <c r="BW12" s="1" t="str">
        <f>IF(AT12&gt;AT$130, AT12-AT$130,"")</f>
        <v/>
      </c>
      <c r="BX12" s="1" t="str">
        <f>IF(AU12&gt;AU$130, AU12-AU$130,"")</f>
        <v/>
      </c>
      <c r="BY12" s="1" t="str">
        <f>IF(AV12&gt;AV$130, AV12-AV$130,"")</f>
        <v/>
      </c>
      <c r="BZ12" s="1" t="str">
        <f>IF(AW12&gt;AW$130, AW12-AW$130,"")</f>
        <v/>
      </c>
      <c r="CA12" s="1" t="str">
        <f>IF(AX12&gt;AX$130, AX12-AX$130,"")</f>
        <v/>
      </c>
      <c r="CB12" s="1" t="str">
        <f>IF(AY12&gt;AY$130, AY12-AY$130,"")</f>
        <v/>
      </c>
      <c r="CC12" s="1" t="str">
        <f>IF(AZ12&gt;AZ$130, AZ12-AZ$130,"")</f>
        <v/>
      </c>
      <c r="CD12" s="1" t="str">
        <f>IF(BA12&gt;BA$130, BA12-BA$130,"")</f>
        <v/>
      </c>
      <c r="CE12" s="1" t="str">
        <f>IF(BB12&gt;BB$130, BB12-BB$130,"")</f>
        <v/>
      </c>
      <c r="CF12" s="1">
        <f>COUNTIF(BT12:CE12, "&gt;0")</f>
        <v>0</v>
      </c>
      <c r="CG12" s="1" t="str">
        <f>IF($CF12=1,BT12,"")</f>
        <v/>
      </c>
      <c r="CH12" s="1" t="str">
        <f>IF($CF12=1,BU12,"")</f>
        <v/>
      </c>
      <c r="CI12" s="1" t="str">
        <f>IF($CF12=1,BV12,"")</f>
        <v/>
      </c>
      <c r="CJ12" s="1" t="str">
        <f>IF($CF12=1,BW12,"")</f>
        <v/>
      </c>
      <c r="CK12" s="1" t="str">
        <f>IF($CF12=1,BX12,"")</f>
        <v/>
      </c>
      <c r="CL12" s="1" t="str">
        <f>IF($CF12=1,BY12,"")</f>
        <v/>
      </c>
      <c r="CM12" s="1" t="str">
        <f>IF($CF12=1,BZ12,"")</f>
        <v/>
      </c>
      <c r="CN12" s="1" t="str">
        <f>IF($CF12=1,CA12,"")</f>
        <v/>
      </c>
      <c r="CO12" s="1" t="str">
        <f>IF($CF12=1,CB12,"")</f>
        <v/>
      </c>
      <c r="CP12" s="1" t="str">
        <f>IF($CF12=1,CC12,"")</f>
        <v/>
      </c>
      <c r="CQ12" s="1" t="str">
        <f>IF($CF12=1,CD12,"")</f>
        <v/>
      </c>
      <c r="CR12" s="1" t="str">
        <f>IF($CF12=1,CE12,"")</f>
        <v/>
      </c>
      <c r="CS12" s="3">
        <f>SUM(AE12:BO12)</f>
        <v>16</v>
      </c>
    </row>
    <row r="13" spans="1:97" x14ac:dyDescent="0.15">
      <c r="A13" s="1">
        <v>84</v>
      </c>
      <c r="B13" s="3" t="s">
        <v>193</v>
      </c>
      <c r="C13" s="3" t="s">
        <v>64</v>
      </c>
      <c r="D13" s="1" t="s">
        <v>13</v>
      </c>
      <c r="E13" s="6"/>
      <c r="F13" s="6"/>
      <c r="G13" s="6">
        <v>5</v>
      </c>
      <c r="H13" s="6">
        <v>5</v>
      </c>
      <c r="I13" s="6"/>
      <c r="J13" s="6"/>
      <c r="K13" s="6"/>
      <c r="L13" s="6"/>
      <c r="M13" s="6"/>
      <c r="N13" s="6"/>
      <c r="O13" s="6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>
        <v>5</v>
      </c>
      <c r="BB13" s="2">
        <v>5</v>
      </c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20</v>
      </c>
      <c r="BQ13" s="1">
        <v>2</v>
      </c>
      <c r="BR13" s="17">
        <v>1</v>
      </c>
      <c r="BS13" s="17" t="s">
        <v>235</v>
      </c>
      <c r="BT13" s="1" t="str">
        <f>IF(AQ13&gt;AQ$130, AQ13-AQ$130,"")</f>
        <v/>
      </c>
      <c r="BU13" s="1" t="str">
        <f>IF(AR13&gt;AR$130, AR13-AR$130,"")</f>
        <v/>
      </c>
      <c r="BV13" s="1" t="str">
        <f>IF(AS13&gt;AS$130, AS13-AS$130,"")</f>
        <v/>
      </c>
      <c r="BW13" s="1" t="str">
        <f>IF(AT13&gt;AT$130, AT13-AT$130,"")</f>
        <v/>
      </c>
      <c r="BX13" s="1" t="str">
        <f>IF(AU13&gt;AU$130, AU13-AU$130,"")</f>
        <v/>
      </c>
      <c r="BY13" s="1" t="str">
        <f>IF(AV13&gt;AV$130, AV13-AV$130,"")</f>
        <v/>
      </c>
      <c r="BZ13" s="1" t="str">
        <f>IF(AW13&gt;AW$130, AW13-AW$130,"")</f>
        <v/>
      </c>
      <c r="CA13" s="1" t="str">
        <f>IF(AX13&gt;AX$130, AX13-AX$130,"")</f>
        <v/>
      </c>
      <c r="CB13" s="1" t="str">
        <f>IF(AY13&gt;AY$130, AY13-AY$130,"")</f>
        <v/>
      </c>
      <c r="CC13" s="1" t="str">
        <f>IF(AZ13&gt;AZ$130, AZ13-AZ$130,"")</f>
        <v/>
      </c>
      <c r="CD13" s="1" t="str">
        <f>IF(BA13&gt;BA$130, BA13-BA$130,"")</f>
        <v/>
      </c>
      <c r="CE13" s="1" t="str">
        <f>IF(BB13&gt;BB$130, BB13-BB$130,"")</f>
        <v/>
      </c>
      <c r="CF13" s="1">
        <f>COUNTIF(BT13:CE13, "&gt;0")</f>
        <v>0</v>
      </c>
      <c r="CG13" s="1" t="str">
        <f>IF($CF13=1,BT13,"")</f>
        <v/>
      </c>
      <c r="CH13" s="1" t="str">
        <f>IF($CF13=1,BU13,"")</f>
        <v/>
      </c>
      <c r="CI13" s="1" t="str">
        <f>IF($CF13=1,BV13,"")</f>
        <v/>
      </c>
      <c r="CJ13" s="1" t="str">
        <f>IF($CF13=1,BW13,"")</f>
        <v/>
      </c>
      <c r="CK13" s="1" t="str">
        <f>IF($CF13=1,BX13,"")</f>
        <v/>
      </c>
      <c r="CL13" s="1" t="str">
        <f>IF($CF13=1,BY13,"")</f>
        <v/>
      </c>
      <c r="CM13" s="1" t="str">
        <f>IF($CF13=1,BZ13,"")</f>
        <v/>
      </c>
      <c r="CN13" s="1" t="str">
        <f>IF($CF13=1,CA13,"")</f>
        <v/>
      </c>
      <c r="CO13" s="1" t="str">
        <f>IF($CF13=1,CB13,"")</f>
        <v/>
      </c>
      <c r="CP13" s="1" t="str">
        <f>IF($CF13=1,CC13,"")</f>
        <v/>
      </c>
      <c r="CQ13" s="1" t="str">
        <f>IF($CF13=1,CD13,"")</f>
        <v/>
      </c>
      <c r="CR13" s="1" t="str">
        <f>IF($CF13=1,CE13,"")</f>
        <v/>
      </c>
      <c r="CS13" s="3">
        <f>SUM(AE13:BO13)</f>
        <v>10</v>
      </c>
    </row>
    <row r="14" spans="1:97" x14ac:dyDescent="0.15">
      <c r="A14" s="1">
        <v>62</v>
      </c>
      <c r="B14" s="1" t="s">
        <v>103</v>
      </c>
      <c r="C14" s="1" t="s">
        <v>56</v>
      </c>
      <c r="D14" s="1" t="s">
        <v>1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>
        <v>15</v>
      </c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15</v>
      </c>
      <c r="BQ14" s="1">
        <v>3</v>
      </c>
      <c r="BR14" s="17">
        <v>1</v>
      </c>
      <c r="BS14" s="17" t="s">
        <v>233</v>
      </c>
      <c r="BT14" s="1" t="str">
        <f>IF(AQ14&gt;AQ$130, AQ14-AQ$130,"")</f>
        <v/>
      </c>
      <c r="BU14" s="1" t="str">
        <f>IF(AR14&gt;AR$130, AR14-AR$130,"")</f>
        <v/>
      </c>
      <c r="BV14" s="1" t="str">
        <f>IF(AS14&gt;AS$130, AS14-AS$130,"")</f>
        <v/>
      </c>
      <c r="BW14" s="1" t="str">
        <f>IF(AT14&gt;AT$130, AT14-AT$130,"")</f>
        <v/>
      </c>
      <c r="BX14" s="1" t="str">
        <f>IF(AU14&gt;AU$130, AU14-AU$130,"")</f>
        <v/>
      </c>
      <c r="BY14" s="1" t="str">
        <f>IF(AV14&gt;AV$130, AV14-AV$130,"")</f>
        <v/>
      </c>
      <c r="BZ14" s="1" t="str">
        <f>IF(AW14&gt;AW$130, AW14-AW$130,"")</f>
        <v/>
      </c>
      <c r="CA14" s="1" t="str">
        <f>IF(AX14&gt;AX$130, AX14-AX$130,"")</f>
        <v/>
      </c>
      <c r="CB14" s="1" t="str">
        <f>IF(AY14&gt;AY$130, AY14-AY$130,"")</f>
        <v/>
      </c>
      <c r="CC14" s="1" t="str">
        <f>IF(AZ14&gt;AZ$130, AZ14-AZ$130,"")</f>
        <v/>
      </c>
      <c r="CD14" s="1" t="str">
        <f>IF(BA14&gt;BA$130, BA14-BA$130,"")</f>
        <v/>
      </c>
      <c r="CE14" s="1" t="str">
        <f>IF(BB14&gt;BB$130, BB14-BB$130,"")</f>
        <v/>
      </c>
      <c r="CF14" s="1">
        <f>COUNTIF(BT14:CE14, "&gt;0")</f>
        <v>0</v>
      </c>
      <c r="CG14" s="1" t="str">
        <f>IF($CF14=1,BT14,"")</f>
        <v/>
      </c>
      <c r="CH14" s="1" t="str">
        <f>IF($CF14=1,BU14,"")</f>
        <v/>
      </c>
      <c r="CI14" s="1" t="str">
        <f>IF($CF14=1,BV14,"")</f>
        <v/>
      </c>
      <c r="CJ14" s="1" t="str">
        <f>IF($CF14=1,BW14,"")</f>
        <v/>
      </c>
      <c r="CK14" s="1" t="str">
        <f>IF($CF14=1,BX14,"")</f>
        <v/>
      </c>
      <c r="CL14" s="1" t="str">
        <f>IF($CF14=1,BY14,"")</f>
        <v/>
      </c>
      <c r="CM14" s="1" t="str">
        <f>IF($CF14=1,BZ14,"")</f>
        <v/>
      </c>
      <c r="CN14" s="1" t="str">
        <f>IF($CF14=1,CA14,"")</f>
        <v/>
      </c>
      <c r="CO14" s="1" t="str">
        <f>IF($CF14=1,CB14,"")</f>
        <v/>
      </c>
      <c r="CP14" s="1" t="str">
        <f>IF($CF14=1,CC14,"")</f>
        <v/>
      </c>
      <c r="CQ14" s="1" t="str">
        <f>IF($CF14=1,CD14,"")</f>
        <v/>
      </c>
      <c r="CR14" s="1" t="str">
        <f>IF($CF14=1,CE14,"")</f>
        <v/>
      </c>
      <c r="CS14" s="3">
        <f>SUM(AE14:BO14)</f>
        <v>15</v>
      </c>
    </row>
    <row r="15" spans="1:97" x14ac:dyDescent="0.15">
      <c r="A15" s="1">
        <v>17</v>
      </c>
      <c r="B15" s="1" t="s">
        <v>34</v>
      </c>
      <c r="C15" s="1" t="s">
        <v>31</v>
      </c>
      <c r="D15" s="1" t="s">
        <v>24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1"/>
      <c r="AF15" s="1">
        <v>5</v>
      </c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5</v>
      </c>
      <c r="BQ15" s="1">
        <v>5</v>
      </c>
      <c r="BR15" s="17">
        <v>1</v>
      </c>
      <c r="BS15" s="17" t="s">
        <v>236</v>
      </c>
      <c r="BT15" s="1" t="str">
        <f>IF(AQ15&gt;AQ$130, AQ15-AQ$130,"")</f>
        <v/>
      </c>
      <c r="BU15" s="1" t="str">
        <f>IF(AR15&gt;AR$130, AR15-AR$130,"")</f>
        <v/>
      </c>
      <c r="BV15" s="1" t="str">
        <f>IF(AS15&gt;AS$130, AS15-AS$130,"")</f>
        <v/>
      </c>
      <c r="BW15" s="1" t="str">
        <f>IF(AT15&gt;AT$130, AT15-AT$130,"")</f>
        <v/>
      </c>
      <c r="BX15" s="1" t="str">
        <f>IF(AU15&gt;AU$130, AU15-AU$130,"")</f>
        <v/>
      </c>
      <c r="BY15" s="1" t="str">
        <f>IF(AV15&gt;AV$130, AV15-AV$130,"")</f>
        <v/>
      </c>
      <c r="BZ15" s="1" t="str">
        <f>IF(AW15&gt;AW$130, AW15-AW$130,"")</f>
        <v/>
      </c>
      <c r="CA15" s="1" t="str">
        <f>IF(AX15&gt;AX$130, AX15-AX$130,"")</f>
        <v/>
      </c>
      <c r="CB15" s="1" t="str">
        <f>IF(AY15&gt;AY$130, AY15-AY$130,"")</f>
        <v/>
      </c>
      <c r="CC15" s="1" t="str">
        <f>IF(AZ15&gt;AZ$130, AZ15-AZ$130,"")</f>
        <v/>
      </c>
      <c r="CD15" s="1" t="str">
        <f>IF(BA15&gt;BA$130, BA15-BA$130,"")</f>
        <v/>
      </c>
      <c r="CE15" s="1" t="str">
        <f>IF(BB15&gt;BB$130, BB15-BB$130,"")</f>
        <v/>
      </c>
      <c r="CF15" s="1">
        <f>COUNTIF(BT15:CE15, "&gt;0")</f>
        <v>0</v>
      </c>
      <c r="CG15" s="1" t="str">
        <f>IF($CF15=1,BT15,"")</f>
        <v/>
      </c>
      <c r="CH15" s="1" t="str">
        <f>IF($CF15=1,BU15,"")</f>
        <v/>
      </c>
      <c r="CI15" s="1" t="str">
        <f>IF($CF15=1,BV15,"")</f>
        <v/>
      </c>
      <c r="CJ15" s="1" t="str">
        <f>IF($CF15=1,BW15,"")</f>
        <v/>
      </c>
      <c r="CK15" s="1" t="str">
        <f>IF($CF15=1,BX15,"")</f>
        <v/>
      </c>
      <c r="CL15" s="1" t="str">
        <f>IF($CF15=1,BY15,"")</f>
        <v/>
      </c>
      <c r="CM15" s="1" t="str">
        <f>IF($CF15=1,BZ15,"")</f>
        <v/>
      </c>
      <c r="CN15" s="1" t="str">
        <f>IF($CF15=1,CA15,"")</f>
        <v/>
      </c>
      <c r="CO15" s="1" t="str">
        <f>IF($CF15=1,CB15,"")</f>
        <v/>
      </c>
      <c r="CP15" s="1" t="str">
        <f>IF($CF15=1,CC15,"")</f>
        <v/>
      </c>
      <c r="CQ15" s="1" t="str">
        <f>IF($CF15=1,CD15,"")</f>
        <v/>
      </c>
      <c r="CR15" s="1" t="str">
        <f>IF($CF15=1,CE15,"")</f>
        <v/>
      </c>
      <c r="CS15" s="3">
        <f>SUM(AE15:BO15)</f>
        <v>5</v>
      </c>
    </row>
    <row r="16" spans="1:97" x14ac:dyDescent="0.15">
      <c r="A16" s="1">
        <v>18</v>
      </c>
      <c r="B16" s="1" t="s">
        <v>34</v>
      </c>
      <c r="C16" s="1" t="s">
        <v>31</v>
      </c>
      <c r="D16" s="1" t="s">
        <v>25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1"/>
      <c r="AF16" s="1"/>
      <c r="AG16" s="1">
        <v>5</v>
      </c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5</v>
      </c>
      <c r="BQ16" s="1">
        <v>5</v>
      </c>
      <c r="BR16" s="17">
        <v>1</v>
      </c>
      <c r="BS16" s="17" t="s">
        <v>221</v>
      </c>
      <c r="BT16" s="1" t="str">
        <f>IF(AQ16&gt;AQ$130, AQ16-AQ$130,"")</f>
        <v/>
      </c>
      <c r="BU16" s="1" t="str">
        <f>IF(AR16&gt;AR$130, AR16-AR$130,"")</f>
        <v/>
      </c>
      <c r="BV16" s="1" t="str">
        <f>IF(AS16&gt;AS$130, AS16-AS$130,"")</f>
        <v/>
      </c>
      <c r="BW16" s="1" t="str">
        <f>IF(AT16&gt;AT$130, AT16-AT$130,"")</f>
        <v/>
      </c>
      <c r="BX16" s="1" t="str">
        <f>IF(AU16&gt;AU$130, AU16-AU$130,"")</f>
        <v/>
      </c>
      <c r="BY16" s="1" t="str">
        <f>IF(AV16&gt;AV$130, AV16-AV$130,"")</f>
        <v/>
      </c>
      <c r="BZ16" s="1" t="str">
        <f>IF(AW16&gt;AW$130, AW16-AW$130,"")</f>
        <v/>
      </c>
      <c r="CA16" s="1" t="str">
        <f>IF(AX16&gt;AX$130, AX16-AX$130,"")</f>
        <v/>
      </c>
      <c r="CB16" s="1" t="str">
        <f>IF(AY16&gt;AY$130, AY16-AY$130,"")</f>
        <v/>
      </c>
      <c r="CC16" s="1" t="str">
        <f>IF(AZ16&gt;AZ$130, AZ16-AZ$130,"")</f>
        <v/>
      </c>
      <c r="CD16" s="1" t="str">
        <f>IF(BA16&gt;BA$130, BA16-BA$130,"")</f>
        <v/>
      </c>
      <c r="CE16" s="1" t="str">
        <f>IF(BB16&gt;BB$130, BB16-BB$130,"")</f>
        <v/>
      </c>
      <c r="CF16" s="1">
        <f>COUNTIF(BT16:CE16, "&gt;0")</f>
        <v>0</v>
      </c>
      <c r="CG16" s="1" t="str">
        <f>IF($CF16=1,BT16,"")</f>
        <v/>
      </c>
      <c r="CH16" s="1" t="str">
        <f>IF($CF16=1,BU16,"")</f>
        <v/>
      </c>
      <c r="CI16" s="1" t="str">
        <f>IF($CF16=1,BV16,"")</f>
        <v/>
      </c>
      <c r="CJ16" s="1" t="str">
        <f>IF($CF16=1,BW16,"")</f>
        <v/>
      </c>
      <c r="CK16" s="1" t="str">
        <f>IF($CF16=1,BX16,"")</f>
        <v/>
      </c>
      <c r="CL16" s="1" t="str">
        <f>IF($CF16=1,BY16,"")</f>
        <v/>
      </c>
      <c r="CM16" s="1" t="str">
        <f>IF($CF16=1,BZ16,"")</f>
        <v/>
      </c>
      <c r="CN16" s="1" t="str">
        <f>IF($CF16=1,CA16,"")</f>
        <v/>
      </c>
      <c r="CO16" s="1" t="str">
        <f>IF($CF16=1,CB16,"")</f>
        <v/>
      </c>
      <c r="CP16" s="1" t="str">
        <f>IF($CF16=1,CC16,"")</f>
        <v/>
      </c>
      <c r="CQ16" s="1" t="str">
        <f>IF($CF16=1,CD16,"")</f>
        <v/>
      </c>
      <c r="CR16" s="1" t="str">
        <f>IF($CF16=1,CE16,"")</f>
        <v/>
      </c>
      <c r="CS16" s="3">
        <f>SUM(AE16:BO16)</f>
        <v>5</v>
      </c>
    </row>
    <row r="17" spans="1:97" x14ac:dyDescent="0.15">
      <c r="A17" s="1">
        <v>19</v>
      </c>
      <c r="B17" s="1" t="s">
        <v>37</v>
      </c>
      <c r="C17" s="1" t="s">
        <v>31</v>
      </c>
      <c r="D17" s="1" t="s">
        <v>24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1"/>
      <c r="AF17" s="1"/>
      <c r="AG17" s="1">
        <v>5</v>
      </c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5</v>
      </c>
      <c r="BQ17" s="1">
        <v>5</v>
      </c>
      <c r="BR17" s="17">
        <v>1</v>
      </c>
      <c r="BS17" s="17" t="s">
        <v>237</v>
      </c>
      <c r="BT17" s="1" t="str">
        <f>IF(AQ17&gt;AQ$130, AQ17-AQ$130,"")</f>
        <v/>
      </c>
      <c r="BU17" s="1" t="str">
        <f>IF(AR17&gt;AR$130, AR17-AR$130,"")</f>
        <v/>
      </c>
      <c r="BV17" s="1" t="str">
        <f>IF(AS17&gt;AS$130, AS17-AS$130,"")</f>
        <v/>
      </c>
      <c r="BW17" s="1" t="str">
        <f>IF(AT17&gt;AT$130, AT17-AT$130,"")</f>
        <v/>
      </c>
      <c r="BX17" s="1" t="str">
        <f>IF(AU17&gt;AU$130, AU17-AU$130,"")</f>
        <v/>
      </c>
      <c r="BY17" s="1" t="str">
        <f>IF(AV17&gt;AV$130, AV17-AV$130,"")</f>
        <v/>
      </c>
      <c r="BZ17" s="1" t="str">
        <f>IF(AW17&gt;AW$130, AW17-AW$130,"")</f>
        <v/>
      </c>
      <c r="CA17" s="1" t="str">
        <f>IF(AX17&gt;AX$130, AX17-AX$130,"")</f>
        <v/>
      </c>
      <c r="CB17" s="1" t="str">
        <f>IF(AY17&gt;AY$130, AY17-AY$130,"")</f>
        <v/>
      </c>
      <c r="CC17" s="1" t="str">
        <f>IF(AZ17&gt;AZ$130, AZ17-AZ$130,"")</f>
        <v/>
      </c>
      <c r="CD17" s="1" t="str">
        <f>IF(BA17&gt;BA$130, BA17-BA$130,"")</f>
        <v/>
      </c>
      <c r="CE17" s="1" t="str">
        <f>IF(BB17&gt;BB$130, BB17-BB$130,"")</f>
        <v/>
      </c>
      <c r="CF17" s="1">
        <f>COUNTIF(BT17:CE17, "&gt;0")</f>
        <v>0</v>
      </c>
      <c r="CG17" s="1" t="str">
        <f>IF($CF17=1,BT17,"")</f>
        <v/>
      </c>
      <c r="CH17" s="1" t="str">
        <f>IF($CF17=1,BU17,"")</f>
        <v/>
      </c>
      <c r="CI17" s="1" t="str">
        <f>IF($CF17=1,BV17,"")</f>
        <v/>
      </c>
      <c r="CJ17" s="1" t="str">
        <f>IF($CF17=1,BW17,"")</f>
        <v/>
      </c>
      <c r="CK17" s="1" t="str">
        <f>IF($CF17=1,BX17,"")</f>
        <v/>
      </c>
      <c r="CL17" s="1" t="str">
        <f>IF($CF17=1,BY17,"")</f>
        <v/>
      </c>
      <c r="CM17" s="1" t="str">
        <f>IF($CF17=1,BZ17,"")</f>
        <v/>
      </c>
      <c r="CN17" s="1" t="str">
        <f>IF($CF17=1,CA17,"")</f>
        <v/>
      </c>
      <c r="CO17" s="1" t="str">
        <f>IF($CF17=1,CB17,"")</f>
        <v/>
      </c>
      <c r="CP17" s="1" t="str">
        <f>IF($CF17=1,CC17,"")</f>
        <v/>
      </c>
      <c r="CQ17" s="1" t="str">
        <f>IF($CF17=1,CD17,"")</f>
        <v/>
      </c>
      <c r="CR17" s="1" t="str">
        <f>IF($CF17=1,CE17,"")</f>
        <v/>
      </c>
      <c r="CS17" s="3">
        <f>SUM(AE17:BO17)</f>
        <v>5</v>
      </c>
    </row>
    <row r="18" spans="1:97" x14ac:dyDescent="0.15">
      <c r="A18" s="1">
        <v>32</v>
      </c>
      <c r="B18" s="1" t="s">
        <v>77</v>
      </c>
      <c r="C18" s="1" t="s">
        <v>31</v>
      </c>
      <c r="D18" s="1" t="s">
        <v>24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1"/>
      <c r="AF18" s="1"/>
      <c r="AG18" s="1"/>
      <c r="AH18" s="1"/>
      <c r="AI18" s="1">
        <v>5</v>
      </c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5</v>
      </c>
      <c r="BQ18" s="1">
        <v>5</v>
      </c>
      <c r="BR18" s="17">
        <v>1</v>
      </c>
      <c r="BS18" s="17" t="s">
        <v>238</v>
      </c>
      <c r="BT18" s="1" t="str">
        <f>IF(AQ18&gt;AQ$130, AQ18-AQ$130,"")</f>
        <v/>
      </c>
      <c r="BU18" s="1" t="str">
        <f>IF(AR18&gt;AR$130, AR18-AR$130,"")</f>
        <v/>
      </c>
      <c r="BV18" s="1" t="str">
        <f>IF(AS18&gt;AS$130, AS18-AS$130,"")</f>
        <v/>
      </c>
      <c r="BW18" s="1" t="str">
        <f>IF(AT18&gt;AT$130, AT18-AT$130,"")</f>
        <v/>
      </c>
      <c r="BX18" s="1" t="str">
        <f>IF(AU18&gt;AU$130, AU18-AU$130,"")</f>
        <v/>
      </c>
      <c r="BY18" s="1" t="str">
        <f>IF(AV18&gt;AV$130, AV18-AV$130,"")</f>
        <v/>
      </c>
      <c r="BZ18" s="1" t="str">
        <f>IF(AW18&gt;AW$130, AW18-AW$130,"")</f>
        <v/>
      </c>
      <c r="CA18" s="1" t="str">
        <f>IF(AX18&gt;AX$130, AX18-AX$130,"")</f>
        <v/>
      </c>
      <c r="CB18" s="1" t="str">
        <f>IF(AY18&gt;AY$130, AY18-AY$130,"")</f>
        <v/>
      </c>
      <c r="CC18" s="1" t="str">
        <f>IF(AZ18&gt;AZ$130, AZ18-AZ$130,"")</f>
        <v/>
      </c>
      <c r="CD18" s="1" t="str">
        <f>IF(BA18&gt;BA$130, BA18-BA$130,"")</f>
        <v/>
      </c>
      <c r="CE18" s="1" t="str">
        <f>IF(BB18&gt;BB$130, BB18-BB$130,"")</f>
        <v/>
      </c>
      <c r="CF18" s="1">
        <f>COUNTIF(BT18:CE18, "&gt;0")</f>
        <v>0</v>
      </c>
      <c r="CG18" s="1" t="str">
        <f>IF($CF18=1,BT18,"")</f>
        <v/>
      </c>
      <c r="CH18" s="1" t="str">
        <f>IF($CF18=1,BU18,"")</f>
        <v/>
      </c>
      <c r="CI18" s="1" t="str">
        <f>IF($CF18=1,BV18,"")</f>
        <v/>
      </c>
      <c r="CJ18" s="1" t="str">
        <f>IF($CF18=1,BW18,"")</f>
        <v/>
      </c>
      <c r="CK18" s="1" t="str">
        <f>IF($CF18=1,BX18,"")</f>
        <v/>
      </c>
      <c r="CL18" s="1" t="str">
        <f>IF($CF18=1,BY18,"")</f>
        <v/>
      </c>
      <c r="CM18" s="1" t="str">
        <f>IF($CF18=1,BZ18,"")</f>
        <v/>
      </c>
      <c r="CN18" s="1" t="str">
        <f>IF($CF18=1,CA18,"")</f>
        <v/>
      </c>
      <c r="CO18" s="1" t="str">
        <f>IF($CF18=1,CB18,"")</f>
        <v/>
      </c>
      <c r="CP18" s="1" t="str">
        <f>IF($CF18=1,CC18,"")</f>
        <v/>
      </c>
      <c r="CQ18" s="1" t="str">
        <f>IF($CF18=1,CD18,"")</f>
        <v/>
      </c>
      <c r="CR18" s="1" t="str">
        <f>IF($CF18=1,CE18,"")</f>
        <v/>
      </c>
      <c r="CS18" s="3">
        <f>SUM(AE18:BO18)</f>
        <v>5</v>
      </c>
    </row>
    <row r="19" spans="1:97" x14ac:dyDescent="0.15">
      <c r="A19" s="1">
        <v>33</v>
      </c>
      <c r="B19" s="1" t="s">
        <v>77</v>
      </c>
      <c r="C19" s="1" t="s">
        <v>31</v>
      </c>
      <c r="D19" s="1" t="s">
        <v>1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1"/>
      <c r="AF19" s="1"/>
      <c r="AG19" s="1"/>
      <c r="AH19" s="1">
        <v>5</v>
      </c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5</v>
      </c>
      <c r="BQ19" s="1">
        <v>5</v>
      </c>
      <c r="BR19" s="17">
        <v>1</v>
      </c>
      <c r="BS19" s="17" t="s">
        <v>239</v>
      </c>
      <c r="BT19" s="1" t="str">
        <f>IF(AQ19&gt;AQ$130, AQ19-AQ$130,"")</f>
        <v/>
      </c>
      <c r="BU19" s="1" t="str">
        <f>IF(AR19&gt;AR$130, AR19-AR$130,"")</f>
        <v/>
      </c>
      <c r="BV19" s="1" t="str">
        <f>IF(AS19&gt;AS$130, AS19-AS$130,"")</f>
        <v/>
      </c>
      <c r="BW19" s="1" t="str">
        <f>IF(AT19&gt;AT$130, AT19-AT$130,"")</f>
        <v/>
      </c>
      <c r="BX19" s="1" t="str">
        <f>IF(AU19&gt;AU$130, AU19-AU$130,"")</f>
        <v/>
      </c>
      <c r="BY19" s="1" t="str">
        <f>IF(AV19&gt;AV$130, AV19-AV$130,"")</f>
        <v/>
      </c>
      <c r="BZ19" s="1" t="str">
        <f>IF(AW19&gt;AW$130, AW19-AW$130,"")</f>
        <v/>
      </c>
      <c r="CA19" s="1" t="str">
        <f>IF(AX19&gt;AX$130, AX19-AX$130,"")</f>
        <v/>
      </c>
      <c r="CB19" s="1" t="str">
        <f>IF(AY19&gt;AY$130, AY19-AY$130,"")</f>
        <v/>
      </c>
      <c r="CC19" s="1" t="str">
        <f>IF(AZ19&gt;AZ$130, AZ19-AZ$130,"")</f>
        <v/>
      </c>
      <c r="CD19" s="1" t="str">
        <f>IF(BA19&gt;BA$130, BA19-BA$130,"")</f>
        <v/>
      </c>
      <c r="CE19" s="1" t="str">
        <f>IF(BB19&gt;BB$130, BB19-BB$130,"")</f>
        <v/>
      </c>
      <c r="CF19" s="1">
        <f>COUNTIF(BT19:CE19, "&gt;0")</f>
        <v>0</v>
      </c>
      <c r="CG19" s="1" t="str">
        <f>IF($CF19=1,BT19,"")</f>
        <v/>
      </c>
      <c r="CH19" s="1" t="str">
        <f>IF($CF19=1,BU19,"")</f>
        <v/>
      </c>
      <c r="CI19" s="1" t="str">
        <f>IF($CF19=1,BV19,"")</f>
        <v/>
      </c>
      <c r="CJ19" s="1" t="str">
        <f>IF($CF19=1,BW19,"")</f>
        <v/>
      </c>
      <c r="CK19" s="1" t="str">
        <f>IF($CF19=1,BX19,"")</f>
        <v/>
      </c>
      <c r="CL19" s="1" t="str">
        <f>IF($CF19=1,BY19,"")</f>
        <v/>
      </c>
      <c r="CM19" s="1" t="str">
        <f>IF($CF19=1,BZ19,"")</f>
        <v/>
      </c>
      <c r="CN19" s="1" t="str">
        <f>IF($CF19=1,CA19,"")</f>
        <v/>
      </c>
      <c r="CO19" s="1" t="str">
        <f>IF($CF19=1,CB19,"")</f>
        <v/>
      </c>
      <c r="CP19" s="1" t="str">
        <f>IF($CF19=1,CC19,"")</f>
        <v/>
      </c>
      <c r="CQ19" s="1" t="str">
        <f>IF($CF19=1,CD19,"")</f>
        <v/>
      </c>
      <c r="CR19" s="1" t="str">
        <f>IF($CF19=1,CE19,"")</f>
        <v/>
      </c>
      <c r="CS19" s="3">
        <f>SUM(AE19:BO19)</f>
        <v>5</v>
      </c>
    </row>
    <row r="20" spans="1:97" x14ac:dyDescent="0.15">
      <c r="A20" s="1">
        <v>63</v>
      </c>
      <c r="B20" s="3" t="s">
        <v>61</v>
      </c>
      <c r="C20" s="1" t="s">
        <v>56</v>
      </c>
      <c r="D20" s="1" t="s">
        <v>24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>
        <v>5</v>
      </c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5</v>
      </c>
      <c r="BQ20" s="1">
        <v>5</v>
      </c>
      <c r="BR20" s="17">
        <v>1</v>
      </c>
      <c r="BS20" s="17" t="s">
        <v>240</v>
      </c>
      <c r="BT20" s="1" t="str">
        <f>IF(AQ20&gt;AQ$130, AQ20-AQ$130,"")</f>
        <v/>
      </c>
      <c r="BU20" s="1" t="str">
        <f>IF(AR20&gt;AR$130, AR20-AR$130,"")</f>
        <v/>
      </c>
      <c r="BV20" s="1" t="str">
        <f>IF(AS20&gt;AS$130, AS20-AS$130,"")</f>
        <v/>
      </c>
      <c r="BW20" s="1" t="str">
        <f>IF(AT20&gt;AT$130, AT20-AT$130,"")</f>
        <v/>
      </c>
      <c r="BX20" s="1" t="str">
        <f>IF(AU20&gt;AU$130, AU20-AU$130,"")</f>
        <v/>
      </c>
      <c r="BY20" s="1" t="str">
        <f>IF(AV20&gt;AV$130, AV20-AV$130,"")</f>
        <v/>
      </c>
      <c r="BZ20" s="1" t="str">
        <f>IF(AW20&gt;AW$130, AW20-AW$130,"")</f>
        <v/>
      </c>
      <c r="CA20" s="1" t="str">
        <f>IF(AX20&gt;AX$130, AX20-AX$130,"")</f>
        <v/>
      </c>
      <c r="CB20" s="1" t="str">
        <f>IF(AY20&gt;AY$130, AY20-AY$130,"")</f>
        <v/>
      </c>
      <c r="CC20" s="1" t="str">
        <f>IF(AZ20&gt;AZ$130, AZ20-AZ$130,"")</f>
        <v/>
      </c>
      <c r="CD20" s="1" t="str">
        <f>IF(BA20&gt;BA$130, BA20-BA$130,"")</f>
        <v/>
      </c>
      <c r="CE20" s="1" t="str">
        <f>IF(BB20&gt;BB$130, BB20-BB$130,"")</f>
        <v/>
      </c>
      <c r="CF20" s="1">
        <f>COUNTIF(BT20:CE20, "&gt;0")</f>
        <v>0</v>
      </c>
      <c r="CG20" s="1" t="str">
        <f>IF($CF20=1,BT20,"")</f>
        <v/>
      </c>
      <c r="CH20" s="1" t="str">
        <f>IF($CF20=1,BU20,"")</f>
        <v/>
      </c>
      <c r="CI20" s="1" t="str">
        <f>IF($CF20=1,BV20,"")</f>
        <v/>
      </c>
      <c r="CJ20" s="1" t="str">
        <f>IF($CF20=1,BW20,"")</f>
        <v/>
      </c>
      <c r="CK20" s="1" t="str">
        <f>IF($CF20=1,BX20,"")</f>
        <v/>
      </c>
      <c r="CL20" s="1" t="str">
        <f>IF($CF20=1,BY20,"")</f>
        <v/>
      </c>
      <c r="CM20" s="1" t="str">
        <f>IF($CF20=1,BZ20,"")</f>
        <v/>
      </c>
      <c r="CN20" s="1" t="str">
        <f>IF($CF20=1,CA20,"")</f>
        <v/>
      </c>
      <c r="CO20" s="1" t="str">
        <f>IF($CF20=1,CB20,"")</f>
        <v/>
      </c>
      <c r="CP20" s="1" t="str">
        <f>IF($CF20=1,CC20,"")</f>
        <v/>
      </c>
      <c r="CQ20" s="1" t="str">
        <f>IF($CF20=1,CD20,"")</f>
        <v/>
      </c>
      <c r="CR20" s="1" t="str">
        <f>IF($CF20=1,CE20,"")</f>
        <v/>
      </c>
      <c r="CS20" s="3">
        <f>SUM(AE20:BO20)</f>
        <v>5</v>
      </c>
    </row>
    <row r="21" spans="1:97" x14ac:dyDescent="0.15">
      <c r="A21" s="1">
        <v>90</v>
      </c>
      <c r="B21" s="3" t="s">
        <v>81</v>
      </c>
      <c r="C21" s="3" t="s">
        <v>80</v>
      </c>
      <c r="D21" s="1" t="s">
        <v>24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>
        <v>5</v>
      </c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5</v>
      </c>
      <c r="BQ21" s="1">
        <v>5</v>
      </c>
      <c r="BR21" s="17">
        <v>1</v>
      </c>
      <c r="BS21" s="17" t="s">
        <v>240</v>
      </c>
      <c r="BT21" s="1" t="str">
        <f>IF(AQ21&gt;AQ$130, AQ21-AQ$130,"")</f>
        <v/>
      </c>
      <c r="BU21" s="1" t="str">
        <f>IF(AR21&gt;AR$130, AR21-AR$130,"")</f>
        <v/>
      </c>
      <c r="BV21" s="1" t="str">
        <f>IF(AS21&gt;AS$130, AS21-AS$130,"")</f>
        <v/>
      </c>
      <c r="BW21" s="1" t="str">
        <f>IF(AT21&gt;AT$130, AT21-AT$130,"")</f>
        <v/>
      </c>
      <c r="BX21" s="1" t="str">
        <f>IF(AU21&gt;AU$130, AU21-AU$130,"")</f>
        <v/>
      </c>
      <c r="BY21" s="1" t="str">
        <f>IF(AV21&gt;AV$130, AV21-AV$130,"")</f>
        <v/>
      </c>
      <c r="BZ21" s="1" t="str">
        <f>IF(AW21&gt;AW$130, AW21-AW$130,"")</f>
        <v/>
      </c>
      <c r="CA21" s="1" t="str">
        <f>IF(AX21&gt;AX$130, AX21-AX$130,"")</f>
        <v/>
      </c>
      <c r="CB21" s="1" t="str">
        <f>IF(AY21&gt;AY$130, AY21-AY$130,"")</f>
        <v/>
      </c>
      <c r="CC21" s="1" t="str">
        <f>IF(AZ21&gt;AZ$130, AZ21-AZ$130,"")</f>
        <v/>
      </c>
      <c r="CD21" s="1" t="str">
        <f>IF(BA21&gt;BA$130, BA21-BA$130,"")</f>
        <v/>
      </c>
      <c r="CE21" s="1" t="str">
        <f>IF(BB21&gt;BB$130, BB21-BB$130,"")</f>
        <v/>
      </c>
      <c r="CF21" s="1">
        <f>COUNTIF(BT21:CE21, "&gt;0")</f>
        <v>0</v>
      </c>
      <c r="CG21" s="1" t="str">
        <f>IF($CF21=1,BT21,"")</f>
        <v/>
      </c>
      <c r="CH21" s="1" t="str">
        <f>IF($CF21=1,BU21,"")</f>
        <v/>
      </c>
      <c r="CI21" s="1" t="str">
        <f>IF($CF21=1,BV21,"")</f>
        <v/>
      </c>
      <c r="CJ21" s="1" t="str">
        <f>IF($CF21=1,BW21,"")</f>
        <v/>
      </c>
      <c r="CK21" s="1" t="str">
        <f>IF($CF21=1,BX21,"")</f>
        <v/>
      </c>
      <c r="CL21" s="1" t="str">
        <f>IF($CF21=1,BY21,"")</f>
        <v/>
      </c>
      <c r="CM21" s="1" t="str">
        <f>IF($CF21=1,BZ21,"")</f>
        <v/>
      </c>
      <c r="CN21" s="1" t="str">
        <f>IF($CF21=1,CA21,"")</f>
        <v/>
      </c>
      <c r="CO21" s="1" t="str">
        <f>IF($CF21=1,CB21,"")</f>
        <v/>
      </c>
      <c r="CP21" s="1" t="str">
        <f>IF($CF21=1,CC21,"")</f>
        <v/>
      </c>
      <c r="CQ21" s="1" t="str">
        <f>IF($CF21=1,CD21,"")</f>
        <v/>
      </c>
      <c r="CR21" s="1" t="str">
        <f>IF($CF21=1,CE21,"")</f>
        <v/>
      </c>
      <c r="CS21" s="3">
        <f>SUM(AE21:BO21)</f>
        <v>5</v>
      </c>
    </row>
    <row r="22" spans="1:97" x14ac:dyDescent="0.15">
      <c r="A22" s="1"/>
      <c r="B22" s="1" t="s">
        <v>119</v>
      </c>
      <c r="C22" s="1" t="s">
        <v>117</v>
      </c>
      <c r="D22" s="1" t="s">
        <v>113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1"/>
      <c r="AF22" s="1"/>
      <c r="AG22" s="1"/>
      <c r="AH22" s="1">
        <v>5</v>
      </c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5</v>
      </c>
      <c r="BQ22" s="1">
        <v>5</v>
      </c>
      <c r="BR22" s="17">
        <v>1</v>
      </c>
      <c r="BS22" s="17" t="s">
        <v>239</v>
      </c>
      <c r="BT22" s="1" t="str">
        <f>IF(AQ22&gt;AQ$130, AQ22-AQ$130,"")</f>
        <v/>
      </c>
      <c r="BU22" s="1" t="str">
        <f>IF(AR22&gt;AR$130, AR22-AR$130,"")</f>
        <v/>
      </c>
      <c r="BV22" s="1" t="str">
        <f>IF(AS22&gt;AS$130, AS22-AS$130,"")</f>
        <v/>
      </c>
      <c r="BW22" s="1" t="str">
        <f>IF(AT22&gt;AT$130, AT22-AT$130,"")</f>
        <v/>
      </c>
      <c r="BX22" s="1" t="str">
        <f>IF(AU22&gt;AU$130, AU22-AU$130,"")</f>
        <v/>
      </c>
      <c r="BY22" s="1" t="str">
        <f>IF(AV22&gt;AV$130, AV22-AV$130,"")</f>
        <v/>
      </c>
      <c r="BZ22" s="1" t="str">
        <f>IF(AW22&gt;AW$130, AW22-AW$130,"")</f>
        <v/>
      </c>
      <c r="CA22" s="1" t="str">
        <f>IF(AX22&gt;AX$130, AX22-AX$130,"")</f>
        <v/>
      </c>
      <c r="CB22" s="1" t="str">
        <f>IF(AY22&gt;AY$130, AY22-AY$130,"")</f>
        <v/>
      </c>
      <c r="CC22" s="1" t="str">
        <f>IF(AZ22&gt;AZ$130, AZ22-AZ$130,"")</f>
        <v/>
      </c>
      <c r="CD22" s="1" t="str">
        <f>IF(BA22&gt;BA$130, BA22-BA$130,"")</f>
        <v/>
      </c>
      <c r="CE22" s="1" t="str">
        <f>IF(BB22&gt;BB$130, BB22-BB$130,"")</f>
        <v/>
      </c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3"/>
    </row>
    <row r="23" spans="1:97" x14ac:dyDescent="0.15">
      <c r="A23" s="1"/>
      <c r="B23" s="1" t="s">
        <v>119</v>
      </c>
      <c r="C23" s="1" t="s">
        <v>117</v>
      </c>
      <c r="D23" s="1" t="s">
        <v>107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1"/>
      <c r="AF23" s="1"/>
      <c r="AG23" s="1"/>
      <c r="AH23" s="1"/>
      <c r="AI23" s="1">
        <v>5</v>
      </c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5</v>
      </c>
      <c r="BQ23" s="1">
        <v>5</v>
      </c>
      <c r="BR23" s="17">
        <v>1</v>
      </c>
      <c r="BS23" s="17" t="s">
        <v>194</v>
      </c>
      <c r="BT23" s="1" t="str">
        <f>IF(AQ23&gt;AQ$130, AQ23-AQ$130,"")</f>
        <v/>
      </c>
      <c r="BU23" s="1" t="str">
        <f>IF(AR23&gt;AR$130, AR23-AR$130,"")</f>
        <v/>
      </c>
      <c r="BV23" s="1" t="str">
        <f>IF(AS23&gt;AS$130, AS23-AS$130,"")</f>
        <v/>
      </c>
      <c r="BW23" s="1" t="str">
        <f>IF(AT23&gt;AT$130, AT23-AT$130,"")</f>
        <v/>
      </c>
      <c r="BX23" s="1" t="str">
        <f>IF(AU23&gt;AU$130, AU23-AU$130,"")</f>
        <v/>
      </c>
      <c r="BY23" s="1" t="str">
        <f>IF(AV23&gt;AV$130, AV23-AV$130,"")</f>
        <v/>
      </c>
      <c r="BZ23" s="1" t="str">
        <f>IF(AW23&gt;AW$130, AW23-AW$130,"")</f>
        <v/>
      </c>
      <c r="CA23" s="1" t="str">
        <f>IF(AX23&gt;AX$130, AX23-AX$130,"")</f>
        <v/>
      </c>
      <c r="CB23" s="1" t="str">
        <f>IF(AY23&gt;AY$130, AY23-AY$130,"")</f>
        <v/>
      </c>
      <c r="CC23" s="1" t="str">
        <f>IF(AZ23&gt;AZ$130, AZ23-AZ$130,"")</f>
        <v/>
      </c>
      <c r="CD23" s="1" t="str">
        <f>IF(BA23&gt;BA$130, BA23-BA$130,"")</f>
        <v/>
      </c>
      <c r="CE23" s="1" t="str">
        <f>IF(BB23&gt;BB$130, BB23-BB$130,"")</f>
        <v/>
      </c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3"/>
    </row>
    <row r="24" spans="1:97" x14ac:dyDescent="0.15">
      <c r="A24" s="1">
        <v>5</v>
      </c>
      <c r="B24" s="1" t="s">
        <v>22</v>
      </c>
      <c r="C24" s="1" t="s">
        <v>2</v>
      </c>
      <c r="D24" s="1" t="s">
        <v>12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>
        <v>10</v>
      </c>
      <c r="AS24" s="4"/>
      <c r="AT24" s="4"/>
      <c r="AU24" s="4"/>
      <c r="AV24" s="4"/>
      <c r="AW24" s="2"/>
      <c r="AX24" s="2"/>
      <c r="AY24" s="2"/>
      <c r="AZ24" s="2"/>
      <c r="BA24" s="2"/>
      <c r="BB24" s="2">
        <v>10</v>
      </c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20</v>
      </c>
      <c r="BQ24" s="1">
        <v>5</v>
      </c>
      <c r="BR24" s="17">
        <v>1</v>
      </c>
      <c r="BS24" s="17" t="s">
        <v>241</v>
      </c>
      <c r="BT24" s="1" t="str">
        <f>IF(AQ24&gt;AQ$130, AQ24-AQ$130,"")</f>
        <v/>
      </c>
      <c r="BU24" s="1" t="str">
        <f>IF(AR24&gt;AR$130, AR24-AR$130,"")</f>
        <v/>
      </c>
      <c r="BV24" s="1" t="str">
        <f>IF(AS24&gt;AS$130, AS24-AS$130,"")</f>
        <v/>
      </c>
      <c r="BW24" s="1" t="str">
        <f>IF(AT24&gt;AT$130, AT24-AT$130,"")</f>
        <v/>
      </c>
      <c r="BX24" s="1" t="str">
        <f>IF(AU24&gt;AU$130, AU24-AU$130,"")</f>
        <v/>
      </c>
      <c r="BY24" s="1" t="str">
        <f>IF(AV24&gt;AV$130, AV24-AV$130,"")</f>
        <v/>
      </c>
      <c r="BZ24" s="1" t="str">
        <f>IF(AW24&gt;AW$130, AW24-AW$130,"")</f>
        <v/>
      </c>
      <c r="CA24" s="1" t="str">
        <f>IF(AX24&gt;AX$130, AX24-AX$130,"")</f>
        <v/>
      </c>
      <c r="CB24" s="1" t="str">
        <f>IF(AY24&gt;AY$130, AY24-AY$130,"")</f>
        <v/>
      </c>
      <c r="CC24" s="1" t="str">
        <f>IF(AZ24&gt;AZ$130, AZ24-AZ$130,"")</f>
        <v/>
      </c>
      <c r="CD24" s="1" t="str">
        <f>IF(BA24&gt;BA$130, BA24-BA$130,"")</f>
        <v/>
      </c>
      <c r="CE24" s="1" t="str">
        <f>IF(BB24&gt;BB$130, BB24-BB$130,"")</f>
        <v/>
      </c>
      <c r="CF24" s="1">
        <f>COUNTIF(BT24:CE24, "&gt;0")</f>
        <v>0</v>
      </c>
      <c r="CG24" s="1" t="str">
        <f>IF($CF24=1,BT24,"")</f>
        <v/>
      </c>
      <c r="CH24" s="1" t="str">
        <f>IF($CF24=1,BU24,"")</f>
        <v/>
      </c>
      <c r="CI24" s="1" t="str">
        <f>IF($CF24=1,BV24,"")</f>
        <v/>
      </c>
      <c r="CJ24" s="1" t="str">
        <f>IF($CF24=1,BW24,"")</f>
        <v/>
      </c>
      <c r="CK24" s="1" t="str">
        <f>IF($CF24=1,BX24,"")</f>
        <v/>
      </c>
      <c r="CL24" s="1" t="str">
        <f>IF($CF24=1,BY24,"")</f>
        <v/>
      </c>
      <c r="CM24" s="1" t="str">
        <f>IF($CF24=1,BZ24,"")</f>
        <v/>
      </c>
      <c r="CN24" s="1" t="str">
        <f>IF($CF24=1,CA24,"")</f>
        <v/>
      </c>
      <c r="CO24" s="1" t="str">
        <f>IF($CF24=1,CB24,"")</f>
        <v/>
      </c>
      <c r="CP24" s="1" t="str">
        <f>IF($CF24=1,CC24,"")</f>
        <v/>
      </c>
      <c r="CQ24" s="1" t="str">
        <f>IF($CF24=1,CD24,"")</f>
        <v/>
      </c>
      <c r="CR24" s="1" t="str">
        <f>IF($CF24=1,CE24,"")</f>
        <v/>
      </c>
      <c r="CS24" s="3">
        <f>SUM(AE24:BO24)</f>
        <v>20</v>
      </c>
    </row>
    <row r="25" spans="1:97" x14ac:dyDescent="0.15">
      <c r="A25" s="1">
        <v>6</v>
      </c>
      <c r="B25" s="1" t="s">
        <v>52</v>
      </c>
      <c r="C25" s="1" t="s">
        <v>2</v>
      </c>
      <c r="D25" s="1" t="s">
        <v>23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>
        <v>10</v>
      </c>
      <c r="AS25" s="4"/>
      <c r="AT25" s="4"/>
      <c r="AU25" s="4"/>
      <c r="AV25" s="4"/>
      <c r="AW25" s="2"/>
      <c r="AX25" s="2"/>
      <c r="AY25" s="2"/>
      <c r="AZ25" s="2"/>
      <c r="BA25" s="2"/>
      <c r="BB25" s="2">
        <v>10</v>
      </c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>SUM(E25:BO25)</f>
        <v>20</v>
      </c>
      <c r="BQ25" s="1">
        <v>5</v>
      </c>
      <c r="BR25" s="17">
        <v>1</v>
      </c>
      <c r="BS25" s="17" t="s">
        <v>242</v>
      </c>
      <c r="BT25" s="1" t="str">
        <f>IF(AQ25&gt;AQ$130, AQ25-AQ$130,"")</f>
        <v/>
      </c>
      <c r="BU25" s="1" t="str">
        <f>IF(AR25&gt;AR$130, AR25-AR$130,"")</f>
        <v/>
      </c>
      <c r="BV25" s="1" t="str">
        <f>IF(AS25&gt;AS$130, AS25-AS$130,"")</f>
        <v/>
      </c>
      <c r="BW25" s="1" t="str">
        <f>IF(AT25&gt;AT$130, AT25-AT$130,"")</f>
        <v/>
      </c>
      <c r="BX25" s="1" t="str">
        <f>IF(AU25&gt;AU$130, AU25-AU$130,"")</f>
        <v/>
      </c>
      <c r="BY25" s="1" t="str">
        <f>IF(AV25&gt;AV$130, AV25-AV$130,"")</f>
        <v/>
      </c>
      <c r="BZ25" s="1" t="str">
        <f>IF(AW25&gt;AW$130, AW25-AW$130,"")</f>
        <v/>
      </c>
      <c r="CA25" s="1" t="str">
        <f>IF(AX25&gt;AX$130, AX25-AX$130,"")</f>
        <v/>
      </c>
      <c r="CB25" s="1" t="str">
        <f>IF(AY25&gt;AY$130, AY25-AY$130,"")</f>
        <v/>
      </c>
      <c r="CC25" s="1" t="str">
        <f>IF(AZ25&gt;AZ$130, AZ25-AZ$130,"")</f>
        <v/>
      </c>
      <c r="CD25" s="1" t="str">
        <f>IF(BA25&gt;BA$130, BA25-BA$130,"")</f>
        <v/>
      </c>
      <c r="CE25" s="1" t="str">
        <f>IF(BB25&gt;BB$130, BB25-BB$130,"")</f>
        <v/>
      </c>
      <c r="CF25" s="1">
        <f>COUNTIF(BT25:CE25, "&gt;0")</f>
        <v>0</v>
      </c>
      <c r="CG25" s="1" t="str">
        <f>IF($CF25=1,BT25,"")</f>
        <v/>
      </c>
      <c r="CH25" s="1" t="str">
        <f>IF($CF25=1,BU25,"")</f>
        <v/>
      </c>
      <c r="CI25" s="1" t="str">
        <f>IF($CF25=1,BV25,"")</f>
        <v/>
      </c>
      <c r="CJ25" s="1" t="str">
        <f>IF($CF25=1,BW25,"")</f>
        <v/>
      </c>
      <c r="CK25" s="1" t="str">
        <f>IF($CF25=1,BX25,"")</f>
        <v/>
      </c>
      <c r="CL25" s="1" t="str">
        <f>IF($CF25=1,BY25,"")</f>
        <v/>
      </c>
      <c r="CM25" s="1" t="str">
        <f>IF($CF25=1,BZ25,"")</f>
        <v/>
      </c>
      <c r="CN25" s="1" t="str">
        <f>IF($CF25=1,CA25,"")</f>
        <v/>
      </c>
      <c r="CO25" s="1" t="str">
        <f>IF($CF25=1,CB25,"")</f>
        <v/>
      </c>
      <c r="CP25" s="1" t="str">
        <f>IF($CF25=1,CC25,"")</f>
        <v/>
      </c>
      <c r="CQ25" s="1" t="str">
        <f>IF($CF25=1,CD25,"")</f>
        <v/>
      </c>
      <c r="CR25" s="1" t="str">
        <f>IF($CF25=1,CE25,"")</f>
        <v/>
      </c>
      <c r="CS25" s="3">
        <f>SUM(AE25:BO25)</f>
        <v>20</v>
      </c>
    </row>
    <row r="26" spans="1:97" x14ac:dyDescent="0.15">
      <c r="A26" s="1">
        <v>8</v>
      </c>
      <c r="B26" s="1" t="s">
        <v>173</v>
      </c>
      <c r="C26" s="1" t="s">
        <v>2</v>
      </c>
      <c r="D26" s="1" t="s">
        <v>26</v>
      </c>
      <c r="E26" s="6">
        <v>6</v>
      </c>
      <c r="F26" s="6"/>
      <c r="G26" s="6"/>
      <c r="H26" s="6">
        <v>6</v>
      </c>
      <c r="I26" s="6"/>
      <c r="J26" s="6"/>
      <c r="K26" s="6"/>
      <c r="L26" s="6"/>
      <c r="M26" s="6"/>
      <c r="N26" s="6"/>
      <c r="O26" s="6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>
        <v>10</v>
      </c>
      <c r="AS26" s="4"/>
      <c r="AT26" s="4"/>
      <c r="AU26" s="4"/>
      <c r="AV26" s="4"/>
      <c r="AW26" s="2"/>
      <c r="AX26" s="2"/>
      <c r="AY26" s="2"/>
      <c r="AZ26" s="2"/>
      <c r="BA26" s="2"/>
      <c r="BB26" s="2">
        <v>10</v>
      </c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32</v>
      </c>
      <c r="BQ26" s="1">
        <v>5</v>
      </c>
      <c r="BR26" s="17">
        <v>1</v>
      </c>
      <c r="BS26" s="17" t="s">
        <v>241</v>
      </c>
      <c r="BT26" s="1" t="str">
        <f>IF(AQ26&gt;AQ$130, AQ26-AQ$130,"")</f>
        <v/>
      </c>
      <c r="BU26" s="1" t="str">
        <f>IF(AR26&gt;AR$130, AR26-AR$130,"")</f>
        <v/>
      </c>
      <c r="BV26" s="1" t="str">
        <f>IF(AS26&gt;AS$130, AS26-AS$130,"")</f>
        <v/>
      </c>
      <c r="BW26" s="1" t="str">
        <f>IF(AT26&gt;AT$130, AT26-AT$130,"")</f>
        <v/>
      </c>
      <c r="BX26" s="1" t="str">
        <f>IF(AU26&gt;AU$130, AU26-AU$130,"")</f>
        <v/>
      </c>
      <c r="BY26" s="1" t="str">
        <f>IF(AV26&gt;AV$130, AV26-AV$130,"")</f>
        <v/>
      </c>
      <c r="BZ26" s="1" t="str">
        <f>IF(AW26&gt;AW$130, AW26-AW$130,"")</f>
        <v/>
      </c>
      <c r="CA26" s="1" t="str">
        <f>IF(AX26&gt;AX$130, AX26-AX$130,"")</f>
        <v/>
      </c>
      <c r="CB26" s="1" t="str">
        <f>IF(AY26&gt;AY$130, AY26-AY$130,"")</f>
        <v/>
      </c>
      <c r="CC26" s="1" t="str">
        <f>IF(AZ26&gt;AZ$130, AZ26-AZ$130,"")</f>
        <v/>
      </c>
      <c r="CD26" s="1" t="str">
        <f>IF(BA26&gt;BA$130, BA26-BA$130,"")</f>
        <v/>
      </c>
      <c r="CE26" s="1" t="str">
        <f>IF(BB26&gt;BB$130, BB26-BB$130,"")</f>
        <v/>
      </c>
      <c r="CF26" s="1">
        <f>COUNTIF(BT26:CE26, "&gt;0")</f>
        <v>0</v>
      </c>
      <c r="CG26" s="1" t="str">
        <f>IF($CF26=1,BT26,"")</f>
        <v/>
      </c>
      <c r="CH26" s="1" t="str">
        <f>IF($CF26=1,BU26,"")</f>
        <v/>
      </c>
      <c r="CI26" s="1" t="str">
        <f>IF($CF26=1,BV26,"")</f>
        <v/>
      </c>
      <c r="CJ26" s="1" t="str">
        <f>IF($CF26=1,BW26,"")</f>
        <v/>
      </c>
      <c r="CK26" s="1" t="str">
        <f>IF($CF26=1,BX26,"")</f>
        <v/>
      </c>
      <c r="CL26" s="1" t="str">
        <f>IF($CF26=1,BY26,"")</f>
        <v/>
      </c>
      <c r="CM26" s="1" t="str">
        <f>IF($CF26=1,BZ26,"")</f>
        <v/>
      </c>
      <c r="CN26" s="1" t="str">
        <f>IF($CF26=1,CA26,"")</f>
        <v/>
      </c>
      <c r="CO26" s="1" t="str">
        <f>IF($CF26=1,CB26,"")</f>
        <v/>
      </c>
      <c r="CP26" s="1" t="str">
        <f>IF($CF26=1,CC26,"")</f>
        <v/>
      </c>
      <c r="CQ26" s="1" t="str">
        <f>IF($CF26=1,CD26,"")</f>
        <v/>
      </c>
      <c r="CR26" s="1" t="str">
        <f>IF($CF26=1,CE26,"")</f>
        <v/>
      </c>
      <c r="CS26" s="3">
        <f>SUM(AE26:BO26)</f>
        <v>20</v>
      </c>
    </row>
    <row r="27" spans="1:97" x14ac:dyDescent="0.15">
      <c r="A27" s="1"/>
      <c r="B27" s="1" t="s">
        <v>180</v>
      </c>
      <c r="C27" s="1" t="s">
        <v>117</v>
      </c>
      <c r="D27" s="1" t="s">
        <v>107</v>
      </c>
      <c r="E27" s="6">
        <v>10</v>
      </c>
      <c r="F27" s="6"/>
      <c r="G27" s="6">
        <v>10</v>
      </c>
      <c r="H27" s="6"/>
      <c r="I27" s="6"/>
      <c r="J27" s="6"/>
      <c r="K27" s="6"/>
      <c r="L27" s="6"/>
      <c r="M27" s="6"/>
      <c r="N27" s="6"/>
      <c r="O27" s="6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>
        <v>10</v>
      </c>
      <c r="AS27" s="4"/>
      <c r="AT27" s="4"/>
      <c r="AU27" s="4"/>
      <c r="AV27" s="4"/>
      <c r="AW27" s="2"/>
      <c r="AX27" s="2"/>
      <c r="AY27" s="2"/>
      <c r="AZ27" s="2"/>
      <c r="BA27" s="2"/>
      <c r="BB27" s="2">
        <v>10</v>
      </c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>SUM(E27:BO27)</f>
        <v>40</v>
      </c>
      <c r="BQ27" s="1">
        <v>5</v>
      </c>
      <c r="BR27" s="17">
        <v>1</v>
      </c>
      <c r="BS27" s="17" t="s">
        <v>242</v>
      </c>
      <c r="BT27" s="1" t="str">
        <f>IF(AQ27&gt;AQ$130, AQ27-AQ$130,"")</f>
        <v/>
      </c>
      <c r="BU27" s="1" t="str">
        <f>IF(AR27&gt;AR$130, AR27-AR$130,"")</f>
        <v/>
      </c>
      <c r="BV27" s="1" t="str">
        <f>IF(AS27&gt;AS$130, AS27-AS$130,"")</f>
        <v/>
      </c>
      <c r="BW27" s="1" t="str">
        <f>IF(AT27&gt;AT$130, AT27-AT$130,"")</f>
        <v/>
      </c>
      <c r="BX27" s="1" t="str">
        <f>IF(AU27&gt;AU$130, AU27-AU$130,"")</f>
        <v/>
      </c>
      <c r="BY27" s="1" t="str">
        <f>IF(AV27&gt;AV$130, AV27-AV$130,"")</f>
        <v/>
      </c>
      <c r="BZ27" s="1" t="str">
        <f>IF(AW27&gt;AW$130, AW27-AW$130,"")</f>
        <v/>
      </c>
      <c r="CA27" s="1" t="str">
        <f>IF(AX27&gt;AX$130, AX27-AX$130,"")</f>
        <v/>
      </c>
      <c r="CB27" s="1" t="str">
        <f>IF(AY27&gt;AY$130, AY27-AY$130,"")</f>
        <v/>
      </c>
      <c r="CC27" s="1" t="str">
        <f>IF(AZ27&gt;AZ$130, AZ27-AZ$130,"")</f>
        <v/>
      </c>
      <c r="CD27" s="1" t="str">
        <f>IF(BA27&gt;BA$130, BA27-BA$130,"")</f>
        <v/>
      </c>
      <c r="CE27" s="1" t="str">
        <f>IF(BB27&gt;BB$130, BB27-BB$130,"")</f>
        <v/>
      </c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3"/>
    </row>
    <row r="28" spans="1:97" x14ac:dyDescent="0.15">
      <c r="A28" s="1"/>
      <c r="B28" s="1" t="s">
        <v>178</v>
      </c>
      <c r="C28" s="1" t="s">
        <v>151</v>
      </c>
      <c r="D28" s="1" t="s">
        <v>125</v>
      </c>
      <c r="E28" s="6">
        <v>10</v>
      </c>
      <c r="F28" s="6"/>
      <c r="G28" s="6">
        <v>10</v>
      </c>
      <c r="H28" s="6"/>
      <c r="I28" s="6"/>
      <c r="J28" s="6"/>
      <c r="K28" s="6"/>
      <c r="L28" s="6"/>
      <c r="M28" s="6"/>
      <c r="N28" s="6"/>
      <c r="O28" s="6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>
        <v>10</v>
      </c>
      <c r="AS28" s="4"/>
      <c r="AT28" s="4"/>
      <c r="AU28" s="4"/>
      <c r="AV28" s="4"/>
      <c r="AW28" s="2"/>
      <c r="AX28" s="2"/>
      <c r="AY28" s="2"/>
      <c r="AZ28" s="2"/>
      <c r="BA28" s="2"/>
      <c r="BB28" s="2">
        <v>10</v>
      </c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>SUM(E28:BO28)</f>
        <v>40</v>
      </c>
      <c r="BQ28" s="1">
        <v>5</v>
      </c>
      <c r="BR28" s="17">
        <v>1</v>
      </c>
      <c r="BS28" s="17" t="s">
        <v>242</v>
      </c>
      <c r="BT28" s="1" t="str">
        <f>IF(AQ28&gt;AQ$130, AQ28-AQ$130,"")</f>
        <v/>
      </c>
      <c r="BU28" s="1" t="str">
        <f>IF(AR28&gt;AR$130, AR28-AR$130,"")</f>
        <v/>
      </c>
      <c r="BV28" s="1" t="str">
        <f>IF(AS28&gt;AS$130, AS28-AS$130,"")</f>
        <v/>
      </c>
      <c r="BW28" s="1" t="str">
        <f>IF(AT28&gt;AT$130, AT28-AT$130,"")</f>
        <v/>
      </c>
      <c r="BX28" s="1" t="str">
        <f>IF(AU28&gt;AU$130, AU28-AU$130,"")</f>
        <v/>
      </c>
      <c r="BY28" s="1" t="str">
        <f>IF(AV28&gt;AV$130, AV28-AV$130,"")</f>
        <v/>
      </c>
      <c r="BZ28" s="1" t="str">
        <f>IF(AW28&gt;AW$130, AW28-AW$130,"")</f>
        <v/>
      </c>
      <c r="CA28" s="1" t="str">
        <f>IF(AX28&gt;AX$130, AX28-AX$130,"")</f>
        <v/>
      </c>
      <c r="CB28" s="1" t="str">
        <f>IF(AY28&gt;AY$130, AY28-AY$130,"")</f>
        <v/>
      </c>
      <c r="CC28" s="1" t="str">
        <f>IF(AZ28&gt;AZ$130, AZ28-AZ$130,"")</f>
        <v/>
      </c>
      <c r="CD28" s="1" t="str">
        <f>IF(BA28&gt;BA$130, BA28-BA$130,"")</f>
        <v/>
      </c>
      <c r="CE28" s="1" t="str">
        <f>IF(BB28&gt;BB$130, BB28-BB$130,"")</f>
        <v/>
      </c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3"/>
    </row>
    <row r="29" spans="1:97" x14ac:dyDescent="0.15">
      <c r="A29" s="1"/>
      <c r="B29" s="1" t="s">
        <v>170</v>
      </c>
      <c r="C29" s="1" t="s">
        <v>109</v>
      </c>
      <c r="D29" s="1" t="s">
        <v>106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>
        <v>10</v>
      </c>
      <c r="AT29" s="4"/>
      <c r="AU29" s="4"/>
      <c r="AV29" s="4"/>
      <c r="AW29" s="2"/>
      <c r="AX29" s="2"/>
      <c r="AY29" s="2"/>
      <c r="AZ29" s="2"/>
      <c r="BA29" s="2"/>
      <c r="BB29" s="2">
        <v>10</v>
      </c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>SUM(E29:BO29)</f>
        <v>20</v>
      </c>
      <c r="BQ29" s="1">
        <v>7</v>
      </c>
      <c r="BR29" s="17">
        <v>1</v>
      </c>
      <c r="BS29" s="17" t="s">
        <v>217</v>
      </c>
      <c r="BT29" s="1" t="str">
        <f>IF(AQ29&gt;AQ$130, AQ29-AQ$130,"")</f>
        <v/>
      </c>
      <c r="BU29" s="1" t="str">
        <f>IF(AR29&gt;AR$130, AR29-AR$130,"")</f>
        <v/>
      </c>
      <c r="BV29" s="1" t="str">
        <f>IF(AS29&gt;AS$130, AS29-AS$130,"")</f>
        <v/>
      </c>
      <c r="BW29" s="1" t="str">
        <f>IF(AT29&gt;AT$130, AT29-AT$130,"")</f>
        <v/>
      </c>
      <c r="BX29" s="1" t="str">
        <f>IF(AU29&gt;AU$130, AU29-AU$130,"")</f>
        <v/>
      </c>
      <c r="BY29" s="1" t="str">
        <f>IF(AV29&gt;AV$130, AV29-AV$130,"")</f>
        <v/>
      </c>
      <c r="BZ29" s="1" t="str">
        <f>IF(AW29&gt;AW$130, AW29-AW$130,"")</f>
        <v/>
      </c>
      <c r="CA29" s="1" t="str">
        <f>IF(AX29&gt;AX$130, AX29-AX$130,"")</f>
        <v/>
      </c>
      <c r="CB29" s="1" t="str">
        <f>IF(AY29&gt;AY$130, AY29-AY$130,"")</f>
        <v/>
      </c>
      <c r="CC29" s="1" t="str">
        <f>IF(AZ29&gt;AZ$130, AZ29-AZ$130,"")</f>
        <v/>
      </c>
      <c r="CD29" s="1" t="str">
        <f>IF(BA29&gt;BA$130, BA29-BA$130,"")</f>
        <v/>
      </c>
      <c r="CE29" s="1" t="str">
        <f>IF(BB29&gt;BB$130, BB29-BB$130,"")</f>
        <v/>
      </c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3"/>
    </row>
    <row r="30" spans="1:97" x14ac:dyDescent="0.15">
      <c r="A30" s="1">
        <v>21</v>
      </c>
      <c r="B30" s="1" t="s">
        <v>38</v>
      </c>
      <c r="C30" s="1" t="s">
        <v>31</v>
      </c>
      <c r="D30" s="1" t="s">
        <v>26</v>
      </c>
      <c r="E30" s="6"/>
      <c r="F30" s="6"/>
      <c r="G30" s="6">
        <v>6</v>
      </c>
      <c r="H30" s="6">
        <v>6</v>
      </c>
      <c r="I30" s="6"/>
      <c r="J30" s="6"/>
      <c r="K30" s="6"/>
      <c r="L30" s="6"/>
      <c r="M30" s="6"/>
      <c r="N30" s="6"/>
      <c r="O30" s="6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>
        <v>10</v>
      </c>
      <c r="AT30" s="4"/>
      <c r="AU30" s="4"/>
      <c r="AV30" s="4"/>
      <c r="AW30" s="2"/>
      <c r="AX30" s="2"/>
      <c r="AY30" s="2"/>
      <c r="AZ30" s="2"/>
      <c r="BA30" s="2"/>
      <c r="BB30" s="2">
        <v>10</v>
      </c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>SUM(E30:BO30)</f>
        <v>32</v>
      </c>
      <c r="BQ30" s="1">
        <v>7</v>
      </c>
      <c r="BR30" s="17">
        <v>1</v>
      </c>
      <c r="BS30" s="17" t="s">
        <v>217</v>
      </c>
      <c r="BT30" s="1" t="str">
        <f>IF(AQ30&gt;AQ$130, AQ30-AQ$130,"")</f>
        <v/>
      </c>
      <c r="BU30" s="1" t="str">
        <f>IF(AR30&gt;AR$130, AR30-AR$130,"")</f>
        <v/>
      </c>
      <c r="BV30" s="1" t="str">
        <f>IF(AS30&gt;AS$130, AS30-AS$130,"")</f>
        <v/>
      </c>
      <c r="BW30" s="1" t="str">
        <f>IF(AT30&gt;AT$130, AT30-AT$130,"")</f>
        <v/>
      </c>
      <c r="BX30" s="1" t="str">
        <f>IF(AU30&gt;AU$130, AU30-AU$130,"")</f>
        <v/>
      </c>
      <c r="BY30" s="1" t="str">
        <f>IF(AV30&gt;AV$130, AV30-AV$130,"")</f>
        <v/>
      </c>
      <c r="BZ30" s="1" t="str">
        <f>IF(AW30&gt;AW$130, AW30-AW$130,"")</f>
        <v/>
      </c>
      <c r="CA30" s="1" t="str">
        <f>IF(AX30&gt;AX$130, AX30-AX$130,"")</f>
        <v/>
      </c>
      <c r="CB30" s="1" t="str">
        <f>IF(AY30&gt;AY$130, AY30-AY$130,"")</f>
        <v/>
      </c>
      <c r="CC30" s="1" t="str">
        <f>IF(AZ30&gt;AZ$130, AZ30-AZ$130,"")</f>
        <v/>
      </c>
      <c r="CD30" s="1" t="str">
        <f>IF(BA30&gt;BA$130, BA30-BA$130,"")</f>
        <v/>
      </c>
      <c r="CE30" s="1" t="str">
        <f>IF(BB30&gt;BB$130, BB30-BB$130,"")</f>
        <v/>
      </c>
      <c r="CF30" s="1">
        <f>COUNTIF(BT30:CE30, "&gt;0")</f>
        <v>0</v>
      </c>
      <c r="CG30" s="1" t="str">
        <f>IF($CF30=1,BT30,"")</f>
        <v/>
      </c>
      <c r="CH30" s="1" t="str">
        <f>IF($CF30=1,BU30,"")</f>
        <v/>
      </c>
      <c r="CI30" s="1" t="str">
        <f>IF($CF30=1,BV30,"")</f>
        <v/>
      </c>
      <c r="CJ30" s="1" t="str">
        <f>IF($CF30=1,BW30,"")</f>
        <v/>
      </c>
      <c r="CK30" s="1" t="str">
        <f>IF($CF30=1,BX30,"")</f>
        <v/>
      </c>
      <c r="CL30" s="1" t="str">
        <f>IF($CF30=1,BY30,"")</f>
        <v/>
      </c>
      <c r="CM30" s="1" t="str">
        <f>IF($CF30=1,BZ30,"")</f>
        <v/>
      </c>
      <c r="CN30" s="1" t="str">
        <f>IF($CF30=1,CA30,"")</f>
        <v/>
      </c>
      <c r="CO30" s="1" t="str">
        <f>IF($CF30=1,CB30,"")</f>
        <v/>
      </c>
      <c r="CP30" s="1" t="str">
        <f>IF($CF30=1,CC30,"")</f>
        <v/>
      </c>
      <c r="CQ30" s="1" t="str">
        <f>IF($CF30=1,CD30,"")</f>
        <v/>
      </c>
      <c r="CR30" s="1" t="str">
        <f>IF($CF30=1,CE30,"")</f>
        <v/>
      </c>
      <c r="CS30" s="3">
        <f>SUM(AE30:BO30)</f>
        <v>20</v>
      </c>
    </row>
    <row r="31" spans="1:97" x14ac:dyDescent="0.15">
      <c r="A31" s="1">
        <v>94</v>
      </c>
      <c r="B31" s="3" t="s">
        <v>83</v>
      </c>
      <c r="C31" s="3" t="s">
        <v>69</v>
      </c>
      <c r="D31" s="1" t="s">
        <v>1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>
        <v>10</v>
      </c>
      <c r="BB31" s="2">
        <v>10</v>
      </c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20</v>
      </c>
      <c r="BQ31" s="1">
        <v>7</v>
      </c>
      <c r="BR31" s="17">
        <v>1</v>
      </c>
      <c r="BS31" s="17" t="s">
        <v>247</v>
      </c>
      <c r="BT31" s="1" t="str">
        <f>IF(AQ31&gt;AQ$130, AQ31-AQ$130,"")</f>
        <v/>
      </c>
      <c r="BU31" s="1" t="str">
        <f>IF(AR31&gt;AR$130, AR31-AR$130,"")</f>
        <v/>
      </c>
      <c r="BV31" s="1" t="str">
        <f>IF(AS31&gt;AS$130, AS31-AS$130,"")</f>
        <v/>
      </c>
      <c r="BW31" s="1" t="str">
        <f>IF(AT31&gt;AT$130, AT31-AT$130,"")</f>
        <v/>
      </c>
      <c r="BX31" s="1" t="str">
        <f>IF(AU31&gt;AU$130, AU31-AU$130,"")</f>
        <v/>
      </c>
      <c r="BY31" s="1" t="str">
        <f>IF(AV31&gt;AV$130, AV31-AV$130,"")</f>
        <v/>
      </c>
      <c r="BZ31" s="1" t="str">
        <f>IF(AW31&gt;AW$130, AW31-AW$130,"")</f>
        <v/>
      </c>
      <c r="CA31" s="1" t="str">
        <f>IF(AX31&gt;AX$130, AX31-AX$130,"")</f>
        <v/>
      </c>
      <c r="CB31" s="1" t="str">
        <f>IF(AY31&gt;AY$130, AY31-AY$130,"")</f>
        <v/>
      </c>
      <c r="CC31" s="1" t="str">
        <f>IF(AZ31&gt;AZ$130, AZ31-AZ$130,"")</f>
        <v/>
      </c>
      <c r="CD31" s="1" t="str">
        <f>IF(BA31&gt;BA$130, BA31-BA$130,"")</f>
        <v/>
      </c>
      <c r="CE31" s="1" t="str">
        <f>IF(BB31&gt;BB$130, BB31-BB$130,"")</f>
        <v/>
      </c>
      <c r="CF31" s="1">
        <f>COUNTIF(BT31:CE31, "&gt;0")</f>
        <v>0</v>
      </c>
      <c r="CG31" s="1" t="str">
        <f>IF($CF31=1,BT31,"")</f>
        <v/>
      </c>
      <c r="CH31" s="1" t="str">
        <f>IF($CF31=1,BU31,"")</f>
        <v/>
      </c>
      <c r="CI31" s="1" t="str">
        <f>IF($CF31=1,BV31,"")</f>
        <v/>
      </c>
      <c r="CJ31" s="1" t="str">
        <f>IF($CF31=1,BW31,"")</f>
        <v/>
      </c>
      <c r="CK31" s="1" t="str">
        <f>IF($CF31=1,BX31,"")</f>
        <v/>
      </c>
      <c r="CL31" s="1" t="str">
        <f>IF($CF31=1,BY31,"")</f>
        <v/>
      </c>
      <c r="CM31" s="1" t="str">
        <f>IF($CF31=1,BZ31,"")</f>
        <v/>
      </c>
      <c r="CN31" s="1" t="str">
        <f>IF($CF31=1,CA31,"")</f>
        <v/>
      </c>
      <c r="CO31" s="1" t="str">
        <f>IF($CF31=1,CB31,"")</f>
        <v/>
      </c>
      <c r="CP31" s="1" t="str">
        <f>IF($CF31=1,CC31,"")</f>
        <v/>
      </c>
      <c r="CQ31" s="1" t="str">
        <f>IF($CF31=1,CD31,"")</f>
        <v/>
      </c>
      <c r="CR31" s="1" t="str">
        <f>IF($CF31=1,CE31,"")</f>
        <v/>
      </c>
      <c r="CS31" s="3">
        <f>SUM(AE31:BO31)</f>
        <v>20</v>
      </c>
    </row>
    <row r="32" spans="1:97" x14ac:dyDescent="0.15">
      <c r="A32" s="1"/>
      <c r="B32" s="1" t="s">
        <v>190</v>
      </c>
      <c r="C32" s="1" t="s">
        <v>120</v>
      </c>
      <c r="D32" s="1" t="s">
        <v>106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>
        <v>10</v>
      </c>
      <c r="BB32" s="2">
        <v>10</v>
      </c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20</v>
      </c>
      <c r="BQ32" s="1">
        <v>7</v>
      </c>
      <c r="BR32" s="17">
        <v>1</v>
      </c>
      <c r="BS32" s="17" t="s">
        <v>247</v>
      </c>
      <c r="BT32" s="1" t="str">
        <f>IF(AQ32&gt;AQ$130, AQ32-AQ$130,"")</f>
        <v/>
      </c>
      <c r="BU32" s="1" t="str">
        <f>IF(AR32&gt;AR$130, AR32-AR$130,"")</f>
        <v/>
      </c>
      <c r="BV32" s="1" t="str">
        <f>IF(AS32&gt;AS$130, AS32-AS$130,"")</f>
        <v/>
      </c>
      <c r="BW32" s="1" t="str">
        <f>IF(AT32&gt;AT$130, AT32-AT$130,"")</f>
        <v/>
      </c>
      <c r="BX32" s="1" t="str">
        <f>IF(AU32&gt;AU$130, AU32-AU$130,"")</f>
        <v/>
      </c>
      <c r="BY32" s="1" t="str">
        <f>IF(AV32&gt;AV$130, AV32-AV$130,"")</f>
        <v/>
      </c>
      <c r="BZ32" s="1" t="str">
        <f>IF(AW32&gt;AW$130, AW32-AW$130,"")</f>
        <v/>
      </c>
      <c r="CA32" s="1" t="str">
        <f>IF(AX32&gt;AX$130, AX32-AX$130,"")</f>
        <v/>
      </c>
      <c r="CB32" s="1" t="str">
        <f>IF(AY32&gt;AY$130, AY32-AY$130,"")</f>
        <v/>
      </c>
      <c r="CC32" s="1" t="str">
        <f>IF(AZ32&gt;AZ$130, AZ32-AZ$130,"")</f>
        <v/>
      </c>
      <c r="CD32" s="1" t="str">
        <f>IF(BA32&gt;BA$130, BA32-BA$130,"")</f>
        <v/>
      </c>
      <c r="CE32" s="1" t="str">
        <f>IF(BB32&gt;BB$130, BB32-BB$130,"")</f>
        <v/>
      </c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3"/>
    </row>
    <row r="33" spans="1:97" x14ac:dyDescent="0.15">
      <c r="A33" s="1"/>
      <c r="B33" s="1" t="s">
        <v>172</v>
      </c>
      <c r="C33" s="1" t="s">
        <v>152</v>
      </c>
      <c r="D33" s="1" t="s">
        <v>125</v>
      </c>
      <c r="E33" s="6"/>
      <c r="F33" s="6"/>
      <c r="G33" s="6"/>
      <c r="H33" s="6"/>
      <c r="I33" s="6"/>
      <c r="J33" s="6"/>
      <c r="K33" s="6"/>
      <c r="L33" s="6">
        <v>6</v>
      </c>
      <c r="M33" s="6"/>
      <c r="N33" s="6"/>
      <c r="O33" s="6">
        <v>6</v>
      </c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>
        <v>10</v>
      </c>
      <c r="BB33" s="2">
        <v>10</v>
      </c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32</v>
      </c>
      <c r="BQ33" s="1">
        <v>7</v>
      </c>
      <c r="BR33" s="17">
        <v>1</v>
      </c>
      <c r="BS33" s="17" t="s">
        <v>248</v>
      </c>
      <c r="BT33" s="1" t="str">
        <f>IF(AQ33&gt;AQ$130, AQ33-AQ$130,"")</f>
        <v/>
      </c>
      <c r="BU33" s="1" t="str">
        <f>IF(AR33&gt;AR$130, AR33-AR$130,"")</f>
        <v/>
      </c>
      <c r="BV33" s="1" t="str">
        <f>IF(AS33&gt;AS$130, AS33-AS$130,"")</f>
        <v/>
      </c>
      <c r="BW33" s="1" t="str">
        <f>IF(AT33&gt;AT$130, AT33-AT$130,"")</f>
        <v/>
      </c>
      <c r="BX33" s="1" t="str">
        <f>IF(AU33&gt;AU$130, AU33-AU$130,"")</f>
        <v/>
      </c>
      <c r="BY33" s="1" t="str">
        <f>IF(AV33&gt;AV$130, AV33-AV$130,"")</f>
        <v/>
      </c>
      <c r="BZ33" s="1" t="str">
        <f>IF(AW33&gt;AW$130, AW33-AW$130,"")</f>
        <v/>
      </c>
      <c r="CA33" s="1" t="str">
        <f>IF(AX33&gt;AX$130, AX33-AX$130,"")</f>
        <v/>
      </c>
      <c r="CB33" s="1" t="str">
        <f>IF(AY33&gt;AY$130, AY33-AY$130,"")</f>
        <v/>
      </c>
      <c r="CC33" s="1" t="str">
        <f>IF(AZ33&gt;AZ$130, AZ33-AZ$130,"")</f>
        <v/>
      </c>
      <c r="CD33" s="1" t="str">
        <f>IF(BA33&gt;BA$130, BA33-BA$130,"")</f>
        <v/>
      </c>
      <c r="CE33" s="1" t="str">
        <f>IF(BB33&gt;BB$130, BB33-BB$130,"")</f>
        <v/>
      </c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3"/>
    </row>
    <row r="34" spans="1:97" x14ac:dyDescent="0.15">
      <c r="A34" s="1">
        <v>69</v>
      </c>
      <c r="B34" s="3" t="s">
        <v>63</v>
      </c>
      <c r="C34" s="1" t="s">
        <v>56</v>
      </c>
      <c r="D34" s="1" t="s">
        <v>13</v>
      </c>
      <c r="E34" s="6"/>
      <c r="F34" s="6"/>
      <c r="G34" s="6"/>
      <c r="H34" s="6">
        <v>6</v>
      </c>
      <c r="I34" s="6">
        <v>6</v>
      </c>
      <c r="J34" s="6"/>
      <c r="K34" s="6"/>
      <c r="L34" s="6"/>
      <c r="M34" s="6"/>
      <c r="N34" s="6"/>
      <c r="O34" s="6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>
        <v>10</v>
      </c>
      <c r="AW34" s="2"/>
      <c r="AX34" s="2">
        <v>10</v>
      </c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32</v>
      </c>
      <c r="BQ34" s="1">
        <v>8</v>
      </c>
      <c r="BR34" s="17">
        <v>1</v>
      </c>
      <c r="BS34" s="17" t="s">
        <v>246</v>
      </c>
      <c r="BT34" s="1" t="str">
        <f>IF(AQ34&gt;AQ$130, AQ34-AQ$130,"")</f>
        <v/>
      </c>
      <c r="BU34" s="1" t="str">
        <f>IF(AR34&gt;AR$130, AR34-AR$130,"")</f>
        <v/>
      </c>
      <c r="BV34" s="1" t="str">
        <f>IF(AS34&gt;AS$130, AS34-AS$130,"")</f>
        <v/>
      </c>
      <c r="BW34" s="1" t="str">
        <f>IF(AT34&gt;AT$130, AT34-AT$130,"")</f>
        <v/>
      </c>
      <c r="BX34" s="1" t="str">
        <f>IF(AU34&gt;AU$130, AU34-AU$130,"")</f>
        <v/>
      </c>
      <c r="BY34" s="1" t="str">
        <f>IF(AV34&gt;AV$130, AV34-AV$130,"")</f>
        <v/>
      </c>
      <c r="BZ34" s="1" t="str">
        <f>IF(AW34&gt;AW$130, AW34-AW$130,"")</f>
        <v/>
      </c>
      <c r="CA34" s="1" t="str">
        <f>IF(AX34&gt;AX$130, AX34-AX$130,"")</f>
        <v/>
      </c>
      <c r="CB34" s="1" t="str">
        <f>IF(AY34&gt;AY$130, AY34-AY$130,"")</f>
        <v/>
      </c>
      <c r="CC34" s="1" t="str">
        <f>IF(AZ34&gt;AZ$130, AZ34-AZ$130,"")</f>
        <v/>
      </c>
      <c r="CD34" s="1" t="str">
        <f>IF(BA34&gt;BA$130, BA34-BA$130,"")</f>
        <v/>
      </c>
      <c r="CE34" s="1" t="str">
        <f>IF(BB34&gt;BB$130, BB34-BB$130,"")</f>
        <v/>
      </c>
      <c r="CF34" s="1">
        <f>COUNTIF(BT34:CE34, "&gt;0")</f>
        <v>0</v>
      </c>
      <c r="CG34" s="1" t="str">
        <f>IF($CF34=1,BT34,"")</f>
        <v/>
      </c>
      <c r="CH34" s="1" t="str">
        <f>IF($CF34=1,BU34,"")</f>
        <v/>
      </c>
      <c r="CI34" s="1" t="str">
        <f>IF($CF34=1,BV34,"")</f>
        <v/>
      </c>
      <c r="CJ34" s="1" t="str">
        <f>IF($CF34=1,BW34,"")</f>
        <v/>
      </c>
      <c r="CK34" s="1" t="str">
        <f>IF($CF34=1,BX34,"")</f>
        <v/>
      </c>
      <c r="CL34" s="1" t="str">
        <f>IF($CF34=1,BY34,"")</f>
        <v/>
      </c>
      <c r="CM34" s="1" t="str">
        <f>IF($CF34=1,BZ34,"")</f>
        <v/>
      </c>
      <c r="CN34" s="1" t="str">
        <f>IF($CF34=1,CA34,"")</f>
        <v/>
      </c>
      <c r="CO34" s="1" t="str">
        <f>IF($CF34=1,CB34,"")</f>
        <v/>
      </c>
      <c r="CP34" s="1" t="str">
        <f>IF($CF34=1,CC34,"")</f>
        <v/>
      </c>
      <c r="CQ34" s="1" t="str">
        <f>IF($CF34=1,CD34,"")</f>
        <v/>
      </c>
      <c r="CR34" s="1" t="str">
        <f>IF($CF34=1,CE34,"")</f>
        <v/>
      </c>
      <c r="CS34" s="3">
        <f>SUM(AE34:BO34)</f>
        <v>20</v>
      </c>
    </row>
    <row r="35" spans="1:97" x14ac:dyDescent="0.15">
      <c r="A35" s="1">
        <v>3</v>
      </c>
      <c r="B35" s="1" t="s">
        <v>11</v>
      </c>
      <c r="C35" s="1" t="s">
        <v>2</v>
      </c>
      <c r="D35" s="1" t="s">
        <v>12</v>
      </c>
      <c r="E35" s="6">
        <v>15</v>
      </c>
      <c r="F35" s="6"/>
      <c r="G35" s="6">
        <v>15</v>
      </c>
      <c r="H35" s="6"/>
      <c r="I35" s="6"/>
      <c r="J35" s="6"/>
      <c r="K35" s="6"/>
      <c r="L35" s="6"/>
      <c r="M35" s="6"/>
      <c r="N35" s="6"/>
      <c r="O35" s="6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>
        <v>15</v>
      </c>
      <c r="AS35" s="4"/>
      <c r="AT35" s="4"/>
      <c r="AU35" s="4"/>
      <c r="AV35" s="4"/>
      <c r="AW35" s="2"/>
      <c r="AX35" s="2"/>
      <c r="AY35" s="2"/>
      <c r="AZ35" s="2"/>
      <c r="BA35" s="2"/>
      <c r="BB35" s="2">
        <v>15</v>
      </c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60</v>
      </c>
      <c r="BQ35" s="1">
        <v>10</v>
      </c>
      <c r="BR35" s="17">
        <v>1</v>
      </c>
      <c r="BS35" s="17" t="s">
        <v>230</v>
      </c>
      <c r="BT35" s="1" t="str">
        <f>IF(AQ35&gt;AQ$130, AQ35-AQ$130,"")</f>
        <v/>
      </c>
      <c r="BU35" s="1" t="str">
        <f>IF(AR35&gt;AR$130, AR35-AR$130,"")</f>
        <v/>
      </c>
      <c r="BV35" s="1" t="str">
        <f>IF(AS35&gt;AS$130, AS35-AS$130,"")</f>
        <v/>
      </c>
      <c r="BW35" s="1" t="str">
        <f>IF(AT35&gt;AT$130, AT35-AT$130,"")</f>
        <v/>
      </c>
      <c r="BX35" s="1" t="str">
        <f>IF(AU35&gt;AU$130, AU35-AU$130,"")</f>
        <v/>
      </c>
      <c r="BY35" s="1" t="str">
        <f>IF(AV35&gt;AV$130, AV35-AV$130,"")</f>
        <v/>
      </c>
      <c r="BZ35" s="1" t="str">
        <f>IF(AW35&gt;AW$130, AW35-AW$130,"")</f>
        <v/>
      </c>
      <c r="CA35" s="1" t="str">
        <f>IF(AX35&gt;AX$130, AX35-AX$130,"")</f>
        <v/>
      </c>
      <c r="CB35" s="1" t="str">
        <f>IF(AY35&gt;AY$130, AY35-AY$130,"")</f>
        <v/>
      </c>
      <c r="CC35" s="1" t="str">
        <f>IF(AZ35&gt;AZ$130, AZ35-AZ$130,"")</f>
        <v/>
      </c>
      <c r="CD35" s="1" t="str">
        <f>IF(BA35&gt;BA$130, BA35-BA$130,"")</f>
        <v/>
      </c>
      <c r="CE35" s="1" t="str">
        <f>IF(BB35&gt;BB$130, BB35-BB$130,"")</f>
        <v/>
      </c>
      <c r="CF35" s="1">
        <f>COUNTIF(BT35:CE35, "&gt;0")</f>
        <v>0</v>
      </c>
      <c r="CG35" s="1" t="str">
        <f>IF($CF35=1,BT35,"")</f>
        <v/>
      </c>
      <c r="CH35" s="1" t="str">
        <f>IF($CF35=1,BU35,"")</f>
        <v/>
      </c>
      <c r="CI35" s="1" t="str">
        <f>IF($CF35=1,BV35,"")</f>
        <v/>
      </c>
      <c r="CJ35" s="1" t="str">
        <f>IF($CF35=1,BW35,"")</f>
        <v/>
      </c>
      <c r="CK35" s="1" t="str">
        <f>IF($CF35=1,BX35,"")</f>
        <v/>
      </c>
      <c r="CL35" s="1" t="str">
        <f>IF($CF35=1,BY35,"")</f>
        <v/>
      </c>
      <c r="CM35" s="1" t="str">
        <f>IF($CF35=1,BZ35,"")</f>
        <v/>
      </c>
      <c r="CN35" s="1" t="str">
        <f>IF($CF35=1,CA35,"")</f>
        <v/>
      </c>
      <c r="CO35" s="1" t="str">
        <f>IF($CF35=1,CB35,"")</f>
        <v/>
      </c>
      <c r="CP35" s="1" t="str">
        <f>IF($CF35=1,CC35,"")</f>
        <v/>
      </c>
      <c r="CQ35" s="1" t="str">
        <f>IF($CF35=1,CD35,"")</f>
        <v/>
      </c>
      <c r="CR35" s="1" t="str">
        <f>IF($CF35=1,CE35,"")</f>
        <v/>
      </c>
      <c r="CS35" s="3">
        <f>SUM(AE35:BO35)</f>
        <v>30</v>
      </c>
    </row>
    <row r="36" spans="1:97" x14ac:dyDescent="0.15">
      <c r="A36" s="1"/>
      <c r="B36" s="1" t="s">
        <v>174</v>
      </c>
      <c r="C36" s="1" t="s">
        <v>117</v>
      </c>
      <c r="D36" s="1" t="s">
        <v>106</v>
      </c>
      <c r="E36" s="6">
        <v>15</v>
      </c>
      <c r="F36" s="6"/>
      <c r="G36" s="6">
        <v>15</v>
      </c>
      <c r="H36" s="6"/>
      <c r="I36" s="6"/>
      <c r="J36" s="6"/>
      <c r="K36" s="6"/>
      <c r="L36" s="6"/>
      <c r="M36" s="6"/>
      <c r="N36" s="6"/>
      <c r="O36" s="6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>
        <v>15</v>
      </c>
      <c r="AS36" s="4"/>
      <c r="AT36" s="4"/>
      <c r="AU36" s="4"/>
      <c r="AV36" s="4"/>
      <c r="AW36" s="2"/>
      <c r="AX36" s="2"/>
      <c r="AY36" s="2"/>
      <c r="AZ36" s="2"/>
      <c r="BA36" s="2"/>
      <c r="BB36" s="2">
        <v>15</v>
      </c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60</v>
      </c>
      <c r="BQ36" s="1">
        <v>10</v>
      </c>
      <c r="BR36" s="17">
        <v>1</v>
      </c>
      <c r="BS36" s="17" t="s">
        <v>230</v>
      </c>
      <c r="BT36" s="1" t="str">
        <f>IF(AQ36&gt;AQ$130, AQ36-AQ$130,"")</f>
        <v/>
      </c>
      <c r="BU36" s="1" t="str">
        <f>IF(AR36&gt;AR$130, AR36-AR$130,"")</f>
        <v/>
      </c>
      <c r="BV36" s="1" t="str">
        <f>IF(AS36&gt;AS$130, AS36-AS$130,"")</f>
        <v/>
      </c>
      <c r="BW36" s="1" t="str">
        <f>IF(AT36&gt;AT$130, AT36-AT$130,"")</f>
        <v/>
      </c>
      <c r="BX36" s="1" t="str">
        <f>IF(AU36&gt;AU$130, AU36-AU$130,"")</f>
        <v/>
      </c>
      <c r="BY36" s="1" t="str">
        <f>IF(AV36&gt;AV$130, AV36-AV$130,"")</f>
        <v/>
      </c>
      <c r="BZ36" s="1" t="str">
        <f>IF(AW36&gt;AW$130, AW36-AW$130,"")</f>
        <v/>
      </c>
      <c r="CA36" s="1" t="str">
        <f>IF(AX36&gt;AX$130, AX36-AX$130,"")</f>
        <v/>
      </c>
      <c r="CB36" s="1" t="str">
        <f>IF(AY36&gt;AY$130, AY36-AY$130,"")</f>
        <v/>
      </c>
      <c r="CC36" s="1" t="str">
        <f>IF(AZ36&gt;AZ$130, AZ36-AZ$130,"")</f>
        <v/>
      </c>
      <c r="CD36" s="1" t="str">
        <f>IF(BA36&gt;BA$130, BA36-BA$130,"")</f>
        <v/>
      </c>
      <c r="CE36" s="1" t="str">
        <f>IF(BB36&gt;BB$130, BB36-BB$130,"")</f>
        <v/>
      </c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3"/>
    </row>
    <row r="37" spans="1:97" x14ac:dyDescent="0.15">
      <c r="A37" s="1"/>
      <c r="B37" s="1" t="s">
        <v>176</v>
      </c>
      <c r="C37" s="1" t="s">
        <v>117</v>
      </c>
      <c r="D37" s="1" t="s">
        <v>106</v>
      </c>
      <c r="E37" s="6">
        <v>15</v>
      </c>
      <c r="F37" s="6"/>
      <c r="G37" s="6">
        <v>15</v>
      </c>
      <c r="H37" s="6"/>
      <c r="I37" s="6"/>
      <c r="J37" s="6"/>
      <c r="K37" s="6"/>
      <c r="L37" s="6"/>
      <c r="M37" s="6"/>
      <c r="N37" s="6"/>
      <c r="O37" s="6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>
        <v>15</v>
      </c>
      <c r="AS37" s="4"/>
      <c r="AT37" s="4"/>
      <c r="AU37" s="4"/>
      <c r="AV37" s="4"/>
      <c r="AW37" s="2"/>
      <c r="AX37" s="2"/>
      <c r="AY37" s="2"/>
      <c r="AZ37" s="2"/>
      <c r="BA37" s="2"/>
      <c r="BB37" s="2">
        <v>15</v>
      </c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60</v>
      </c>
      <c r="BQ37" s="1">
        <v>10</v>
      </c>
      <c r="BR37" s="17">
        <v>1</v>
      </c>
      <c r="BS37" s="17" t="s">
        <v>249</v>
      </c>
      <c r="BT37" s="1" t="str">
        <f>IF(AQ37&gt;AQ$130, AQ37-AQ$130,"")</f>
        <v/>
      </c>
      <c r="BU37" s="1" t="str">
        <f>IF(AR37&gt;AR$130, AR37-AR$130,"")</f>
        <v/>
      </c>
      <c r="BV37" s="1" t="str">
        <f>IF(AS37&gt;AS$130, AS37-AS$130,"")</f>
        <v/>
      </c>
      <c r="BW37" s="1" t="str">
        <f>IF(AT37&gt;AT$130, AT37-AT$130,"")</f>
        <v/>
      </c>
      <c r="BX37" s="1" t="str">
        <f>IF(AU37&gt;AU$130, AU37-AU$130,"")</f>
        <v/>
      </c>
      <c r="BY37" s="1" t="str">
        <f>IF(AV37&gt;AV$130, AV37-AV$130,"")</f>
        <v/>
      </c>
      <c r="BZ37" s="1" t="str">
        <f>IF(AW37&gt;AW$130, AW37-AW$130,"")</f>
        <v/>
      </c>
      <c r="CA37" s="1" t="str">
        <f>IF(AX37&gt;AX$130, AX37-AX$130,"")</f>
        <v/>
      </c>
      <c r="CB37" s="1" t="str">
        <f>IF(AY37&gt;AY$130, AY37-AY$130,"")</f>
        <v/>
      </c>
      <c r="CC37" s="1" t="str">
        <f>IF(AZ37&gt;AZ$130, AZ37-AZ$130,"")</f>
        <v/>
      </c>
      <c r="CD37" s="1" t="str">
        <f>IF(BA37&gt;BA$130, BA37-BA$130,"")</f>
        <v/>
      </c>
      <c r="CE37" s="1" t="str">
        <f>IF(BB37&gt;BB$130, BB37-BB$130,"")</f>
        <v/>
      </c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3"/>
    </row>
    <row r="38" spans="1:97" x14ac:dyDescent="0.15">
      <c r="A38" s="1"/>
      <c r="B38" s="1" t="s">
        <v>219</v>
      </c>
      <c r="C38" s="1" t="s">
        <v>56</v>
      </c>
      <c r="D38" s="1" t="s">
        <v>214</v>
      </c>
      <c r="E38" s="6"/>
      <c r="F38" s="6"/>
      <c r="G38" s="6"/>
      <c r="H38" s="6"/>
      <c r="I38" s="6"/>
      <c r="J38" s="6"/>
      <c r="K38" s="6"/>
      <c r="L38" s="6">
        <v>20</v>
      </c>
      <c r="M38" s="6"/>
      <c r="N38" s="6"/>
      <c r="O38" s="6">
        <v>20</v>
      </c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v>11</v>
      </c>
      <c r="BR38" s="17">
        <v>1</v>
      </c>
      <c r="BS38" s="17" t="s">
        <v>243</v>
      </c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3"/>
    </row>
    <row r="39" spans="1:97" x14ac:dyDescent="0.15">
      <c r="A39" s="1">
        <v>34</v>
      </c>
      <c r="B39" s="1" t="s">
        <v>46</v>
      </c>
      <c r="C39" s="1" t="s">
        <v>47</v>
      </c>
      <c r="D39" s="1" t="s">
        <v>25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>
        <v>15</v>
      </c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>
        <v>15</v>
      </c>
      <c r="BC39" s="14"/>
      <c r="BD39" s="1"/>
      <c r="BE39" s="1"/>
      <c r="BF39" s="1"/>
      <c r="BG39" s="1"/>
      <c r="BH39" s="1">
        <v>15</v>
      </c>
      <c r="BI39" s="1">
        <v>15</v>
      </c>
      <c r="BJ39" s="1"/>
      <c r="BK39" s="1"/>
      <c r="BL39" s="1"/>
      <c r="BM39" s="1"/>
      <c r="BN39" s="1"/>
      <c r="BO39" s="1"/>
      <c r="BP39" s="1">
        <f>SUM(E39:BO39)</f>
        <v>60</v>
      </c>
      <c r="BQ39" s="1">
        <v>14</v>
      </c>
      <c r="BR39" s="17">
        <v>1</v>
      </c>
      <c r="BS39" s="17" t="s">
        <v>244</v>
      </c>
      <c r="BT39" s="1" t="str">
        <f>IF(AQ39&gt;AQ$130, AQ39-AQ$130,"")</f>
        <v/>
      </c>
      <c r="BU39" s="1" t="str">
        <f>IF(AR39&gt;AR$130, AR39-AR$130,"")</f>
        <v/>
      </c>
      <c r="BV39" s="1" t="str">
        <f>IF(AS39&gt;AS$130, AS39-AS$130,"")</f>
        <v/>
      </c>
      <c r="BW39" s="1" t="str">
        <f>IF(AT39&gt;AT$130, AT39-AT$130,"")</f>
        <v/>
      </c>
      <c r="BX39" s="1" t="str">
        <f>IF(AU39&gt;AU$130, AU39-AU$130,"")</f>
        <v/>
      </c>
      <c r="BY39" s="1" t="str">
        <f>IF(AV39&gt;AV$130, AV39-AV$130,"")</f>
        <v/>
      </c>
      <c r="BZ39" s="1" t="str">
        <f>IF(AW39&gt;AW$130, AW39-AW$130,"")</f>
        <v/>
      </c>
      <c r="CA39" s="1" t="str">
        <f>IF(AX39&gt;AX$130, AX39-AX$130,"")</f>
        <v/>
      </c>
      <c r="CB39" s="1" t="str">
        <f>IF(AY39&gt;AY$130, AY39-AY$130,"")</f>
        <v/>
      </c>
      <c r="CC39" s="1" t="str">
        <f>IF(AZ39&gt;AZ$130, AZ39-AZ$130,"")</f>
        <v/>
      </c>
      <c r="CD39" s="1" t="str">
        <f>IF(BA39&gt;BA$130, BA39-BA$130,"")</f>
        <v/>
      </c>
      <c r="CE39" s="1" t="str">
        <f>IF(BB39&gt;BB$130, BB39-BB$130,"")</f>
        <v/>
      </c>
      <c r="CF39" s="1">
        <f>COUNTIF(BT39:CE39, "&gt;0")</f>
        <v>0</v>
      </c>
      <c r="CG39" s="1" t="str">
        <f>IF($CF39=1,BT39,"")</f>
        <v/>
      </c>
      <c r="CH39" s="1" t="str">
        <f>IF($CF39=1,BU39,"")</f>
        <v/>
      </c>
      <c r="CI39" s="1" t="str">
        <f>IF($CF39=1,BV39,"")</f>
        <v/>
      </c>
      <c r="CJ39" s="1" t="str">
        <f>IF($CF39=1,BW39,"")</f>
        <v/>
      </c>
      <c r="CK39" s="1" t="str">
        <f>IF($CF39=1,BX39,"")</f>
        <v/>
      </c>
      <c r="CL39" s="1" t="str">
        <f>IF($CF39=1,BY39,"")</f>
        <v/>
      </c>
      <c r="CM39" s="1" t="str">
        <f>IF($CF39=1,BZ39,"")</f>
        <v/>
      </c>
      <c r="CN39" s="1" t="str">
        <f>IF($CF39=1,CA39,"")</f>
        <v/>
      </c>
      <c r="CO39" s="1" t="str">
        <f>IF($CF39=1,CB39,"")</f>
        <v/>
      </c>
      <c r="CP39" s="1" t="str">
        <f>IF($CF39=1,CC39,"")</f>
        <v/>
      </c>
      <c r="CQ39" s="1" t="str">
        <f>IF($CF39=1,CD39,"")</f>
        <v/>
      </c>
      <c r="CR39" s="1" t="str">
        <f>IF($CF39=1,CE39,"")</f>
        <v/>
      </c>
      <c r="CS39" s="3">
        <f>SUM(AE39:BO39)</f>
        <v>60</v>
      </c>
    </row>
    <row r="40" spans="1:97" x14ac:dyDescent="0.15">
      <c r="A40" s="1"/>
      <c r="B40" s="1" t="s">
        <v>184</v>
      </c>
      <c r="C40" s="1" t="s">
        <v>105</v>
      </c>
      <c r="D40" s="1" t="s">
        <v>106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>
        <v>15</v>
      </c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>
        <v>15</v>
      </c>
      <c r="BC40" s="14"/>
      <c r="BD40" s="1"/>
      <c r="BE40" s="1"/>
      <c r="BF40" s="1"/>
      <c r="BG40" s="1"/>
      <c r="BH40" s="1">
        <v>15</v>
      </c>
      <c r="BI40" s="1">
        <v>15</v>
      </c>
      <c r="BJ40" s="1"/>
      <c r="BK40" s="1"/>
      <c r="BL40" s="1"/>
      <c r="BM40" s="1"/>
      <c r="BN40" s="1"/>
      <c r="BO40" s="1"/>
      <c r="BP40" s="1">
        <f>SUM(E40:BO40)</f>
        <v>60</v>
      </c>
      <c r="BQ40" s="1">
        <v>14</v>
      </c>
      <c r="BR40" s="17">
        <v>1</v>
      </c>
      <c r="BS40" s="17" t="s">
        <v>245</v>
      </c>
      <c r="BT40" s="1" t="str">
        <f>IF(AQ40&gt;AQ$130, AQ40-AQ$130,"")</f>
        <v/>
      </c>
      <c r="BU40" s="1" t="str">
        <f>IF(AR40&gt;AR$130, AR40-AR$130,"")</f>
        <v/>
      </c>
      <c r="BV40" s="1" t="str">
        <f>IF(AS40&gt;AS$130, AS40-AS$130,"")</f>
        <v/>
      </c>
      <c r="BW40" s="1" t="str">
        <f>IF(AT40&gt;AT$130, AT40-AT$130,"")</f>
        <v/>
      </c>
      <c r="BX40" s="1" t="str">
        <f>IF(AU40&gt;AU$130, AU40-AU$130,"")</f>
        <v/>
      </c>
      <c r="BY40" s="1" t="str">
        <f>IF(AV40&gt;AV$130, AV40-AV$130,"")</f>
        <v/>
      </c>
      <c r="BZ40" s="1" t="str">
        <f>IF(AW40&gt;AW$130, AW40-AW$130,"")</f>
        <v/>
      </c>
      <c r="CA40" s="1" t="str">
        <f>IF(AX40&gt;AX$130, AX40-AX$130,"")</f>
        <v/>
      </c>
      <c r="CB40" s="1" t="str">
        <f>IF(AY40&gt;AY$130, AY40-AY$130,"")</f>
        <v/>
      </c>
      <c r="CC40" s="1" t="str">
        <f>IF(AZ40&gt;AZ$130, AZ40-AZ$130,"")</f>
        <v/>
      </c>
      <c r="CD40" s="1" t="str">
        <f>IF(BA40&gt;BA$130, BA40-BA$130,"")</f>
        <v/>
      </c>
      <c r="CE40" s="1" t="str">
        <f>IF(BB40&gt;BB$130, BB40-BB$130,"")</f>
        <v/>
      </c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3"/>
    </row>
    <row r="41" spans="1:97" x14ac:dyDescent="0.15">
      <c r="A41" s="1">
        <v>64</v>
      </c>
      <c r="B41" s="3" t="s">
        <v>61</v>
      </c>
      <c r="C41" s="1" t="s">
        <v>56</v>
      </c>
      <c r="D41" s="1" t="s">
        <v>1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>
        <v>15</v>
      </c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15</v>
      </c>
      <c r="BQ41" s="1">
        <v>15</v>
      </c>
      <c r="BR41" s="17">
        <v>1</v>
      </c>
      <c r="BS41" s="17" t="s">
        <v>222</v>
      </c>
      <c r="BT41" s="1" t="str">
        <f>IF(AQ41&gt;AQ$130, AQ41-AQ$130,"")</f>
        <v/>
      </c>
      <c r="BU41" s="1" t="str">
        <f>IF(AR41&gt;AR$130, AR41-AR$130,"")</f>
        <v/>
      </c>
      <c r="BV41" s="1" t="str">
        <f>IF(AS41&gt;AS$130, AS41-AS$130,"")</f>
        <v/>
      </c>
      <c r="BW41" s="1" t="str">
        <f>IF(AT41&gt;AT$130, AT41-AT$130,"")</f>
        <v/>
      </c>
      <c r="BX41" s="1" t="str">
        <f>IF(AU41&gt;AU$130, AU41-AU$130,"")</f>
        <v/>
      </c>
      <c r="BY41" s="1" t="str">
        <f>IF(AV41&gt;AV$130, AV41-AV$130,"")</f>
        <v/>
      </c>
      <c r="BZ41" s="1" t="str">
        <f>IF(AW41&gt;AW$130, AW41-AW$130,"")</f>
        <v/>
      </c>
      <c r="CA41" s="1" t="str">
        <f>IF(AX41&gt;AX$130, AX41-AX$130,"")</f>
        <v/>
      </c>
      <c r="CB41" s="1" t="str">
        <f>IF(AY41&gt;AY$130, AY41-AY$130,"")</f>
        <v/>
      </c>
      <c r="CC41" s="1" t="str">
        <f>IF(AZ41&gt;AZ$130, AZ41-AZ$130,"")</f>
        <v/>
      </c>
      <c r="CD41" s="1" t="str">
        <f>IF(BA41&gt;BA$130, BA41-BA$130,"")</f>
        <v/>
      </c>
      <c r="CE41" s="1" t="str">
        <f>IF(BB41&gt;BB$130, BB41-BB$130,"")</f>
        <v/>
      </c>
      <c r="CF41" s="1">
        <f>COUNTIF(BT41:CE41, "&gt;0")</f>
        <v>0</v>
      </c>
      <c r="CG41" s="1" t="str">
        <f>IF($CF41=1,BT41,"")</f>
        <v/>
      </c>
      <c r="CH41" s="1" t="str">
        <f>IF($CF41=1,BU41,"")</f>
        <v/>
      </c>
      <c r="CI41" s="1" t="str">
        <f>IF($CF41=1,BV41,"")</f>
        <v/>
      </c>
      <c r="CJ41" s="1" t="str">
        <f>IF($CF41=1,BW41,"")</f>
        <v/>
      </c>
      <c r="CK41" s="1" t="str">
        <f>IF($CF41=1,BX41,"")</f>
        <v/>
      </c>
      <c r="CL41" s="1" t="str">
        <f>IF($CF41=1,BY41,"")</f>
        <v/>
      </c>
      <c r="CM41" s="1" t="str">
        <f>IF($CF41=1,BZ41,"")</f>
        <v/>
      </c>
      <c r="CN41" s="1" t="str">
        <f>IF($CF41=1,CA41,"")</f>
        <v/>
      </c>
      <c r="CO41" s="1" t="str">
        <f>IF($CF41=1,CB41,"")</f>
        <v/>
      </c>
      <c r="CP41" s="1" t="str">
        <f>IF($CF41=1,CC41,"")</f>
        <v/>
      </c>
      <c r="CQ41" s="1" t="str">
        <f>IF($CF41=1,CD41,"")</f>
        <v/>
      </c>
      <c r="CR41" s="1" t="str">
        <f>IF($CF41=1,CE41,"")</f>
        <v/>
      </c>
      <c r="CS41" s="3">
        <f>SUM(AE41:BO41)</f>
        <v>15</v>
      </c>
    </row>
    <row r="42" spans="1:97" x14ac:dyDescent="0.15">
      <c r="A42" s="1">
        <v>98</v>
      </c>
      <c r="B42" s="3" t="s">
        <v>171</v>
      </c>
      <c r="C42" s="3" t="s">
        <v>69</v>
      </c>
      <c r="D42" s="1" t="s">
        <v>1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1">
        <v>50</v>
      </c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50</v>
      </c>
      <c r="BQ42" s="1">
        <v>40</v>
      </c>
      <c r="BR42" s="17">
        <v>1</v>
      </c>
      <c r="BS42" s="17" t="s">
        <v>251</v>
      </c>
      <c r="BT42" s="1" t="str">
        <f>IF(AQ42&gt;AQ$130, AQ42-AQ$130,"")</f>
        <v/>
      </c>
      <c r="BU42" s="1" t="str">
        <f>IF(AR42&gt;AR$130, AR42-AR$130,"")</f>
        <v/>
      </c>
      <c r="BV42" s="1" t="str">
        <f>IF(AS42&gt;AS$130, AS42-AS$130,"")</f>
        <v/>
      </c>
      <c r="BW42" s="1" t="str">
        <f>IF(AT42&gt;AT$130, AT42-AT$130,"")</f>
        <v/>
      </c>
      <c r="BX42" s="1" t="str">
        <f>IF(AU42&gt;AU$130, AU42-AU$130,"")</f>
        <v/>
      </c>
      <c r="BY42" s="1" t="str">
        <f>IF(AV42&gt;AV$130, AV42-AV$130,"")</f>
        <v/>
      </c>
      <c r="BZ42" s="1" t="str">
        <f>IF(AW42&gt;AW$130, AW42-AW$130,"")</f>
        <v/>
      </c>
      <c r="CA42" s="1" t="str">
        <f>IF(AX42&gt;AX$130, AX42-AX$130,"")</f>
        <v/>
      </c>
      <c r="CB42" s="1" t="str">
        <f>IF(AY42&gt;AY$130, AY42-AY$130,"")</f>
        <v/>
      </c>
      <c r="CC42" s="1" t="str">
        <f>IF(AZ42&gt;AZ$130, AZ42-AZ$130,"")</f>
        <v/>
      </c>
      <c r="CD42" s="1" t="str">
        <f>IF(BA42&gt;BA$130, BA42-BA$130,"")</f>
        <v/>
      </c>
      <c r="CE42" s="1" t="str">
        <f>IF(BB42&gt;BB$130, BB42-BB$130,"")</f>
        <v/>
      </c>
      <c r="CF42" s="1">
        <f>COUNTIF(BT42:CE42, "&gt;0")</f>
        <v>0</v>
      </c>
      <c r="CG42" s="1" t="str">
        <f>IF($CF42=1,BT42,"")</f>
        <v/>
      </c>
      <c r="CH42" s="1" t="str">
        <f>IF($CF42=1,BU42,"")</f>
        <v/>
      </c>
      <c r="CI42" s="1" t="str">
        <f>IF($CF42=1,BV42,"")</f>
        <v/>
      </c>
      <c r="CJ42" s="1" t="str">
        <f>IF($CF42=1,BW42,"")</f>
        <v/>
      </c>
      <c r="CK42" s="1" t="str">
        <f>IF($CF42=1,BX42,"")</f>
        <v/>
      </c>
      <c r="CL42" s="1" t="str">
        <f>IF($CF42=1,BY42,"")</f>
        <v/>
      </c>
      <c r="CM42" s="1" t="str">
        <f>IF($CF42=1,BZ42,"")</f>
        <v/>
      </c>
      <c r="CN42" s="1" t="str">
        <f>IF($CF42=1,CA42,"")</f>
        <v/>
      </c>
      <c r="CO42" s="1" t="str">
        <f>IF($CF42=1,CB42,"")</f>
        <v/>
      </c>
      <c r="CP42" s="1" t="str">
        <f>IF($CF42=1,CC42,"")</f>
        <v/>
      </c>
      <c r="CQ42" s="1" t="str">
        <f>IF($CF42=1,CD42,"")</f>
        <v/>
      </c>
      <c r="CR42" s="1" t="str">
        <f>IF($CF42=1,CE42,"")</f>
        <v/>
      </c>
      <c r="CS42" s="3">
        <f>SUM(AE42:BO42)</f>
        <v>50</v>
      </c>
    </row>
    <row r="43" spans="1:97" x14ac:dyDescent="0.15">
      <c r="A43" s="1">
        <v>99</v>
      </c>
      <c r="B43" s="3" t="s">
        <v>171</v>
      </c>
      <c r="C43" s="3" t="s">
        <v>69</v>
      </c>
      <c r="D43" s="1" t="s">
        <v>13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1">
        <v>200</v>
      </c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200</v>
      </c>
      <c r="BQ43" s="1">
        <v>190</v>
      </c>
      <c r="BR43" s="17">
        <v>1</v>
      </c>
      <c r="BS43" s="17" t="s">
        <v>223</v>
      </c>
      <c r="BT43" s="1" t="str">
        <f>IF(AQ43&gt;AQ$130, AQ43-AQ$130,"")</f>
        <v/>
      </c>
      <c r="BU43" s="1" t="str">
        <f>IF(AR43&gt;AR$130, AR43-AR$130,"")</f>
        <v/>
      </c>
      <c r="BV43" s="1" t="str">
        <f>IF(AS43&gt;AS$130, AS43-AS$130,"")</f>
        <v/>
      </c>
      <c r="BW43" s="1" t="str">
        <f>IF(AT43&gt;AT$130, AT43-AT$130,"")</f>
        <v/>
      </c>
      <c r="BX43" s="1" t="str">
        <f>IF(AU43&gt;AU$130, AU43-AU$130,"")</f>
        <v/>
      </c>
      <c r="BY43" s="1" t="str">
        <f>IF(AV43&gt;AV$130, AV43-AV$130,"")</f>
        <v/>
      </c>
      <c r="BZ43" s="1" t="str">
        <f>IF(AW43&gt;AW$130, AW43-AW$130,"")</f>
        <v/>
      </c>
      <c r="CA43" s="1" t="str">
        <f>IF(AX43&gt;AX$130, AX43-AX$130,"")</f>
        <v/>
      </c>
      <c r="CB43" s="1" t="str">
        <f>IF(AY43&gt;AY$130, AY43-AY$130,"")</f>
        <v/>
      </c>
      <c r="CC43" s="1" t="str">
        <f>IF(AZ43&gt;AZ$130, AZ43-AZ$130,"")</f>
        <v/>
      </c>
      <c r="CD43" s="1" t="str">
        <f>IF(BA43&gt;BA$130, BA43-BA$130,"")</f>
        <v/>
      </c>
      <c r="CE43" s="1" t="str">
        <f>IF(BB43&gt;BB$130, BB43-BB$130,"")</f>
        <v/>
      </c>
      <c r="CF43" s="1">
        <f>COUNTIF(BT43:CE43, "&gt;0")</f>
        <v>0</v>
      </c>
      <c r="CG43" s="1" t="str">
        <f>IF($CF43=1,BT43,"")</f>
        <v/>
      </c>
      <c r="CH43" s="1" t="str">
        <f>IF($CF43=1,BU43,"")</f>
        <v/>
      </c>
      <c r="CI43" s="1" t="str">
        <f>IF($CF43=1,BV43,"")</f>
        <v/>
      </c>
      <c r="CJ43" s="1" t="str">
        <f>IF($CF43=1,BW43,"")</f>
        <v/>
      </c>
      <c r="CK43" s="1" t="str">
        <f>IF($CF43=1,BX43,"")</f>
        <v/>
      </c>
      <c r="CL43" s="1" t="str">
        <f>IF($CF43=1,BY43,"")</f>
        <v/>
      </c>
      <c r="CM43" s="1" t="str">
        <f>IF($CF43=1,BZ43,"")</f>
        <v/>
      </c>
      <c r="CN43" s="1" t="str">
        <f>IF($CF43=1,CA43,"")</f>
        <v/>
      </c>
      <c r="CO43" s="1" t="str">
        <f>IF($CF43=1,CB43,"")</f>
        <v/>
      </c>
      <c r="CP43" s="1" t="str">
        <f>IF($CF43=1,CC43,"")</f>
        <v/>
      </c>
      <c r="CQ43" s="1" t="str">
        <f>IF($CF43=1,CD43,"")</f>
        <v/>
      </c>
      <c r="CR43" s="1" t="str">
        <f>IF($CF43=1,CE43,"")</f>
        <v/>
      </c>
      <c r="CS43" s="3">
        <f>SUM(AE43:BO43)</f>
        <v>200</v>
      </c>
    </row>
    <row r="44" spans="1:97" ht="27" x14ac:dyDescent="0.15">
      <c r="A44" s="1"/>
      <c r="B44" s="1" t="s">
        <v>116</v>
      </c>
      <c r="C44" s="1" t="s">
        <v>109</v>
      </c>
      <c r="D44" s="1" t="s">
        <v>106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>
        <v>5</v>
      </c>
      <c r="AP44" s="1">
        <v>1</v>
      </c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6</v>
      </c>
      <c r="BQ44" s="1">
        <v>6</v>
      </c>
      <c r="BR44" s="17">
        <v>2</v>
      </c>
      <c r="BS44" s="17" t="s">
        <v>216</v>
      </c>
      <c r="BT44" s="1" t="str">
        <f>IF(AQ44&gt;AQ$130, AQ44-AQ$130,"")</f>
        <v/>
      </c>
      <c r="BU44" s="1" t="str">
        <f>IF(AR44&gt;AR$130, AR44-AR$130,"")</f>
        <v/>
      </c>
      <c r="BV44" s="1" t="str">
        <f>IF(AS44&gt;AS$130, AS44-AS$130,"")</f>
        <v/>
      </c>
      <c r="BW44" s="1" t="str">
        <f>IF(AT44&gt;AT$130, AT44-AT$130,"")</f>
        <v/>
      </c>
      <c r="BX44" s="1" t="str">
        <f>IF(AU44&gt;AU$130, AU44-AU$130,"")</f>
        <v/>
      </c>
      <c r="BY44" s="1" t="str">
        <f>IF(AV44&gt;AV$130, AV44-AV$130,"")</f>
        <v/>
      </c>
      <c r="BZ44" s="1" t="str">
        <f>IF(AW44&gt;AW$130, AW44-AW$130,"")</f>
        <v/>
      </c>
      <c r="CA44" s="1" t="str">
        <f>IF(AX44&gt;AX$130, AX44-AX$130,"")</f>
        <v/>
      </c>
      <c r="CB44" s="1" t="str">
        <f>IF(AY44&gt;AY$130, AY44-AY$130,"")</f>
        <v/>
      </c>
      <c r="CC44" s="1" t="str">
        <f>IF(AZ44&gt;AZ$130, AZ44-AZ$130,"")</f>
        <v/>
      </c>
      <c r="CD44" s="1" t="str">
        <f>IF(BA44&gt;BA$130, BA44-BA$130,"")</f>
        <v/>
      </c>
      <c r="CE44" s="1" t="str">
        <f>IF(BB44&gt;BB$130, BB44-BB$130,"")</f>
        <v/>
      </c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3"/>
    </row>
    <row r="45" spans="1:97" ht="27" x14ac:dyDescent="0.15">
      <c r="A45" s="1"/>
      <c r="B45" s="1" t="s">
        <v>112</v>
      </c>
      <c r="C45" s="1" t="s">
        <v>109</v>
      </c>
      <c r="D45" s="1" t="s">
        <v>113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>
        <v>3</v>
      </c>
      <c r="AP45" s="1">
        <v>5</v>
      </c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8</v>
      </c>
      <c r="BQ45" s="1">
        <v>8</v>
      </c>
      <c r="BR45" s="17">
        <v>2</v>
      </c>
      <c r="BS45" s="17" t="s">
        <v>218</v>
      </c>
      <c r="BT45" s="1" t="str">
        <f>IF(AQ45&gt;AQ$130, AQ45-AQ$130,"")</f>
        <v/>
      </c>
      <c r="BU45" s="1" t="str">
        <f>IF(AR45&gt;AR$130, AR45-AR$130,"")</f>
        <v/>
      </c>
      <c r="BV45" s="1" t="str">
        <f>IF(AS45&gt;AS$130, AS45-AS$130,"")</f>
        <v/>
      </c>
      <c r="BW45" s="1" t="str">
        <f>IF(AT45&gt;AT$130, AT45-AT$130,"")</f>
        <v/>
      </c>
      <c r="BX45" s="1" t="str">
        <f>IF(AU45&gt;AU$130, AU45-AU$130,"")</f>
        <v/>
      </c>
      <c r="BY45" s="1" t="str">
        <f>IF(AV45&gt;AV$130, AV45-AV$130,"")</f>
        <v/>
      </c>
      <c r="BZ45" s="1" t="str">
        <f>IF(AW45&gt;AW$130, AW45-AW$130,"")</f>
        <v/>
      </c>
      <c r="CA45" s="1" t="str">
        <f>IF(AX45&gt;AX$130, AX45-AX$130,"")</f>
        <v/>
      </c>
      <c r="CB45" s="1" t="str">
        <f>IF(AY45&gt;AY$130, AY45-AY$130,"")</f>
        <v/>
      </c>
      <c r="CC45" s="1" t="str">
        <f>IF(AZ45&gt;AZ$130, AZ45-AZ$130,"")</f>
        <v/>
      </c>
      <c r="CD45" s="1" t="str">
        <f>IF(BA45&gt;BA$130, BA45-BA$130,"")</f>
        <v/>
      </c>
      <c r="CE45" s="1" t="str">
        <f>IF(BB45&gt;BB$130, BB45-BB$130,"")</f>
        <v/>
      </c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3"/>
    </row>
    <row r="46" spans="1:97" ht="27" x14ac:dyDescent="0.15">
      <c r="A46" s="1"/>
      <c r="B46" s="1" t="s">
        <v>134</v>
      </c>
      <c r="C46" s="1" t="s">
        <v>122</v>
      </c>
      <c r="D46" s="1" t="s">
        <v>124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/>
      <c r="Q46" s="28">
        <v>5</v>
      </c>
      <c r="R46" s="28">
        <v>2</v>
      </c>
      <c r="S46" s="28"/>
      <c r="T46" s="28">
        <v>5</v>
      </c>
      <c r="U46" s="28"/>
      <c r="V46" s="28"/>
      <c r="W46" s="28"/>
      <c r="X46" s="28"/>
      <c r="Y46" s="28"/>
      <c r="Z46" s="28">
        <v>5</v>
      </c>
      <c r="AA46" s="28"/>
      <c r="AB46" s="28"/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17</v>
      </c>
      <c r="BQ46" s="1">
        <v>8</v>
      </c>
      <c r="BR46" s="17">
        <v>2</v>
      </c>
      <c r="BS46" s="17" t="s">
        <v>195</v>
      </c>
      <c r="BT46" s="1" t="str">
        <f>IF(AQ46&gt;AQ$130, AQ46-AQ$130,"")</f>
        <v/>
      </c>
      <c r="BU46" s="1" t="str">
        <f>IF(AR46&gt;AR$130, AR46-AR$130,"")</f>
        <v/>
      </c>
      <c r="BV46" s="1" t="str">
        <f>IF(AS46&gt;AS$130, AS46-AS$130,"")</f>
        <v/>
      </c>
      <c r="BW46" s="1" t="str">
        <f>IF(AT46&gt;AT$130, AT46-AT$130,"")</f>
        <v/>
      </c>
      <c r="BX46" s="1" t="str">
        <f>IF(AU46&gt;AU$130, AU46-AU$130,"")</f>
        <v/>
      </c>
      <c r="BY46" s="1" t="str">
        <f>IF(AV46&gt;AV$130, AV46-AV$130,"")</f>
        <v/>
      </c>
      <c r="BZ46" s="1" t="str">
        <f>IF(AW46&gt;AW$130, AW46-AW$130,"")</f>
        <v/>
      </c>
      <c r="CA46" s="1" t="str">
        <f>IF(AX46&gt;AX$130, AX46-AX$130,"")</f>
        <v/>
      </c>
      <c r="CB46" s="1" t="str">
        <f>IF(AY46&gt;AY$130, AY46-AY$130,"")</f>
        <v/>
      </c>
      <c r="CC46" s="1" t="str">
        <f>IF(AZ46&gt;AZ$130, AZ46-AZ$130,"")</f>
        <v/>
      </c>
      <c r="CD46" s="1" t="str">
        <f>IF(BA46&gt;BA$130, BA46-BA$130,"")</f>
        <v/>
      </c>
      <c r="CE46" s="1" t="str">
        <f>IF(BB46&gt;BB$130, BB46-BB$130,"")</f>
        <v/>
      </c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3"/>
    </row>
    <row r="47" spans="1:97" ht="27" x14ac:dyDescent="0.15">
      <c r="A47" s="1"/>
      <c r="B47" s="1" t="s">
        <v>139</v>
      </c>
      <c r="C47" s="1" t="s">
        <v>122</v>
      </c>
      <c r="D47" s="1" t="s">
        <v>124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>
        <v>5</v>
      </c>
      <c r="R47" s="28">
        <v>2</v>
      </c>
      <c r="S47" s="28"/>
      <c r="T47" s="28">
        <v>5</v>
      </c>
      <c r="U47" s="28"/>
      <c r="V47" s="28"/>
      <c r="W47" s="28"/>
      <c r="X47" s="28"/>
      <c r="Y47" s="28"/>
      <c r="Z47" s="28">
        <v>5</v>
      </c>
      <c r="AA47" s="28"/>
      <c r="AB47" s="28"/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17</v>
      </c>
      <c r="BQ47" s="1">
        <v>8</v>
      </c>
      <c r="BR47" s="17">
        <v>2</v>
      </c>
      <c r="BS47" s="17" t="s">
        <v>254</v>
      </c>
      <c r="BT47" s="1" t="str">
        <f>IF(AQ47&gt;AQ$130, AQ47-AQ$130,"")</f>
        <v/>
      </c>
      <c r="BU47" s="1" t="str">
        <f>IF(AR47&gt;AR$130, AR47-AR$130,"")</f>
        <v/>
      </c>
      <c r="BV47" s="1" t="str">
        <f>IF(AS47&gt;AS$130, AS47-AS$130,"")</f>
        <v/>
      </c>
      <c r="BW47" s="1" t="str">
        <f>IF(AT47&gt;AT$130, AT47-AT$130,"")</f>
        <v/>
      </c>
      <c r="BX47" s="1" t="str">
        <f>IF(AU47&gt;AU$130, AU47-AU$130,"")</f>
        <v/>
      </c>
      <c r="BY47" s="1" t="str">
        <f>IF(AV47&gt;AV$130, AV47-AV$130,"")</f>
        <v/>
      </c>
      <c r="BZ47" s="1" t="str">
        <f>IF(AW47&gt;AW$130, AW47-AW$130,"")</f>
        <v/>
      </c>
      <c r="CA47" s="1" t="str">
        <f>IF(AX47&gt;AX$130, AX47-AX$130,"")</f>
        <v/>
      </c>
      <c r="CB47" s="1" t="str">
        <f>IF(AY47&gt;AY$130, AY47-AY$130,"")</f>
        <v/>
      </c>
      <c r="CC47" s="1" t="str">
        <f>IF(AZ47&gt;AZ$130, AZ47-AZ$130,"")</f>
        <v/>
      </c>
      <c r="CD47" s="1" t="str">
        <f>IF(BA47&gt;BA$130, BA47-BA$130,"")</f>
        <v/>
      </c>
      <c r="CE47" s="1" t="str">
        <f>IF(BB47&gt;BB$130, BB47-BB$130,"")</f>
        <v/>
      </c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3"/>
    </row>
    <row r="48" spans="1:97" ht="27" x14ac:dyDescent="0.15">
      <c r="A48" s="1"/>
      <c r="B48" s="1" t="s">
        <v>147</v>
      </c>
      <c r="C48" s="1" t="s">
        <v>145</v>
      </c>
      <c r="D48" s="1" t="s">
        <v>124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>
        <v>5</v>
      </c>
      <c r="R48" s="28">
        <v>2</v>
      </c>
      <c r="S48" s="28"/>
      <c r="T48" s="28">
        <v>5</v>
      </c>
      <c r="U48" s="28"/>
      <c r="V48" s="28"/>
      <c r="W48" s="28"/>
      <c r="X48" s="28"/>
      <c r="Y48" s="28"/>
      <c r="Z48" s="28">
        <v>5</v>
      </c>
      <c r="AA48" s="28"/>
      <c r="AB48" s="28"/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17</v>
      </c>
      <c r="BQ48" s="1">
        <v>8</v>
      </c>
      <c r="BR48" s="17">
        <v>2</v>
      </c>
      <c r="BS48" s="17" t="s">
        <v>195</v>
      </c>
      <c r="BT48" s="1" t="str">
        <f>IF(AQ48&gt;AQ$130, AQ48-AQ$130,"")</f>
        <v/>
      </c>
      <c r="BU48" s="1" t="str">
        <f>IF(AR48&gt;AR$130, AR48-AR$130,"")</f>
        <v/>
      </c>
      <c r="BV48" s="1" t="str">
        <f>IF(AS48&gt;AS$130, AS48-AS$130,"")</f>
        <v/>
      </c>
      <c r="BW48" s="1" t="str">
        <f>IF(AT48&gt;AT$130, AT48-AT$130,"")</f>
        <v/>
      </c>
      <c r="BX48" s="1" t="str">
        <f>IF(AU48&gt;AU$130, AU48-AU$130,"")</f>
        <v/>
      </c>
      <c r="BY48" s="1" t="str">
        <f>IF(AV48&gt;AV$130, AV48-AV$130,"")</f>
        <v/>
      </c>
      <c r="BZ48" s="1" t="str">
        <f>IF(AW48&gt;AW$130, AW48-AW$130,"")</f>
        <v/>
      </c>
      <c r="CA48" s="1" t="str">
        <f>IF(AX48&gt;AX$130, AX48-AX$130,"")</f>
        <v/>
      </c>
      <c r="CB48" s="1" t="str">
        <f>IF(AY48&gt;AY$130, AY48-AY$130,"")</f>
        <v/>
      </c>
      <c r="CC48" s="1" t="str">
        <f>IF(AZ48&gt;AZ$130, AZ48-AZ$130,"")</f>
        <v/>
      </c>
      <c r="CD48" s="1" t="str">
        <f>IF(BA48&gt;BA$130, BA48-BA$130,"")</f>
        <v/>
      </c>
      <c r="CE48" s="1" t="str">
        <f>IF(BB48&gt;BB$130, BB48-BB$130,"")</f>
        <v/>
      </c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3"/>
    </row>
    <row r="49" spans="1:97" ht="27" x14ac:dyDescent="0.15">
      <c r="A49" s="1"/>
      <c r="B49" s="1" t="s">
        <v>149</v>
      </c>
      <c r="C49" s="1" t="s">
        <v>150</v>
      </c>
      <c r="D49" s="1" t="s">
        <v>124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>
        <v>5</v>
      </c>
      <c r="R49" s="28"/>
      <c r="S49" s="28"/>
      <c r="T49" s="28">
        <v>5</v>
      </c>
      <c r="U49" s="28"/>
      <c r="V49" s="28"/>
      <c r="W49" s="28"/>
      <c r="X49" s="28">
        <v>2</v>
      </c>
      <c r="Y49" s="28"/>
      <c r="Z49" s="28">
        <v>5</v>
      </c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17</v>
      </c>
      <c r="BQ49" s="1">
        <v>8</v>
      </c>
      <c r="BR49" s="17">
        <v>2</v>
      </c>
      <c r="BS49" s="17" t="s">
        <v>254</v>
      </c>
      <c r="BT49" s="1" t="str">
        <f>IF(AQ49&gt;AQ$130, AQ49-AQ$130,"")</f>
        <v/>
      </c>
      <c r="BU49" s="1" t="str">
        <f>IF(AR49&gt;AR$130, AR49-AR$130,"")</f>
        <v/>
      </c>
      <c r="BV49" s="1" t="str">
        <f>IF(AS49&gt;AS$130, AS49-AS$130,"")</f>
        <v/>
      </c>
      <c r="BW49" s="1" t="str">
        <f>IF(AT49&gt;AT$130, AT49-AT$130,"")</f>
        <v/>
      </c>
      <c r="BX49" s="1" t="str">
        <f>IF(AU49&gt;AU$130, AU49-AU$130,"")</f>
        <v/>
      </c>
      <c r="BY49" s="1" t="str">
        <f>IF(AV49&gt;AV$130, AV49-AV$130,"")</f>
        <v/>
      </c>
      <c r="BZ49" s="1" t="str">
        <f>IF(AW49&gt;AW$130, AW49-AW$130,"")</f>
        <v/>
      </c>
      <c r="CA49" s="1" t="str">
        <f>IF(AX49&gt;AX$130, AX49-AX$130,"")</f>
        <v/>
      </c>
      <c r="CB49" s="1" t="str">
        <f>IF(AY49&gt;AY$130, AY49-AY$130,"")</f>
        <v/>
      </c>
      <c r="CC49" s="1" t="str">
        <f>IF(AZ49&gt;AZ$130, AZ49-AZ$130,"")</f>
        <v/>
      </c>
      <c r="CD49" s="1" t="str">
        <f>IF(BA49&gt;BA$130, BA49-BA$130,"")</f>
        <v/>
      </c>
      <c r="CE49" s="1" t="str">
        <f>IF(BB49&gt;BB$130, BB49-BB$130,"")</f>
        <v/>
      </c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3"/>
    </row>
    <row r="50" spans="1:97" ht="27" x14ac:dyDescent="0.15">
      <c r="A50" s="1">
        <v>20</v>
      </c>
      <c r="B50" s="1" t="s">
        <v>37</v>
      </c>
      <c r="C50" s="1" t="s">
        <v>31</v>
      </c>
      <c r="D50" s="1" t="s">
        <v>25</v>
      </c>
      <c r="E50" s="6"/>
      <c r="F50" s="6">
        <v>5</v>
      </c>
      <c r="G50" s="6"/>
      <c r="H50" s="6"/>
      <c r="I50" s="6"/>
      <c r="J50" s="6"/>
      <c r="K50" s="6"/>
      <c r="L50" s="6"/>
      <c r="M50" s="6"/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/>
      <c r="AF50" s="1"/>
      <c r="AG50" s="1">
        <v>5</v>
      </c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10</v>
      </c>
      <c r="BQ50" s="1">
        <v>10</v>
      </c>
      <c r="BR50" s="17">
        <v>2</v>
      </c>
      <c r="BS50" s="17" t="s">
        <v>255</v>
      </c>
      <c r="BT50" s="1" t="str">
        <f>IF(AQ50&gt;AQ$130, AQ50-AQ$130,"")</f>
        <v/>
      </c>
      <c r="BU50" s="1" t="str">
        <f>IF(AR50&gt;AR$130, AR50-AR$130,"")</f>
        <v/>
      </c>
      <c r="BV50" s="1" t="str">
        <f>IF(AS50&gt;AS$130, AS50-AS$130,"")</f>
        <v/>
      </c>
      <c r="BW50" s="1" t="str">
        <f>IF(AT50&gt;AT$130, AT50-AT$130,"")</f>
        <v/>
      </c>
      <c r="BX50" s="1" t="str">
        <f>IF(AU50&gt;AU$130, AU50-AU$130,"")</f>
        <v/>
      </c>
      <c r="BY50" s="1" t="str">
        <f>IF(AV50&gt;AV$130, AV50-AV$130,"")</f>
        <v/>
      </c>
      <c r="BZ50" s="1" t="str">
        <f>IF(AW50&gt;AW$130, AW50-AW$130,"")</f>
        <v/>
      </c>
      <c r="CA50" s="1" t="str">
        <f>IF(AX50&gt;AX$130, AX50-AX$130,"")</f>
        <v/>
      </c>
      <c r="CB50" s="1" t="str">
        <f>IF(AY50&gt;AY$130, AY50-AY$130,"")</f>
        <v/>
      </c>
      <c r="CC50" s="1" t="str">
        <f>IF(AZ50&gt;AZ$130, AZ50-AZ$130,"")</f>
        <v/>
      </c>
      <c r="CD50" s="1" t="str">
        <f>IF(BA50&gt;BA$130, BA50-BA$130,"")</f>
        <v/>
      </c>
      <c r="CE50" s="1" t="str">
        <f>IF(BB50&gt;BB$130, BB50-BB$130,"")</f>
        <v/>
      </c>
      <c r="CF50" s="1">
        <f>COUNTIF(BT50:CE50, "&gt;0")</f>
        <v>0</v>
      </c>
      <c r="CG50" s="1" t="str">
        <f>IF($CF50=1,BT50,"")</f>
        <v/>
      </c>
      <c r="CH50" s="1" t="str">
        <f>IF($CF50=1,BU50,"")</f>
        <v/>
      </c>
      <c r="CI50" s="1" t="str">
        <f>IF($CF50=1,BV50,"")</f>
        <v/>
      </c>
      <c r="CJ50" s="1" t="str">
        <f>IF($CF50=1,BW50,"")</f>
        <v/>
      </c>
      <c r="CK50" s="1" t="str">
        <f>IF($CF50=1,BX50,"")</f>
        <v/>
      </c>
      <c r="CL50" s="1" t="str">
        <f>IF($CF50=1,BY50,"")</f>
        <v/>
      </c>
      <c r="CM50" s="1" t="str">
        <f>IF($CF50=1,BZ50,"")</f>
        <v/>
      </c>
      <c r="CN50" s="1" t="str">
        <f>IF($CF50=1,CA50,"")</f>
        <v/>
      </c>
      <c r="CO50" s="1" t="str">
        <f>IF($CF50=1,CB50,"")</f>
        <v/>
      </c>
      <c r="CP50" s="1" t="str">
        <f>IF($CF50=1,CC50,"")</f>
        <v/>
      </c>
      <c r="CQ50" s="1" t="str">
        <f>IF($CF50=1,CD50,"")</f>
        <v/>
      </c>
      <c r="CR50" s="1" t="str">
        <f>IF($CF50=1,CE50,"")</f>
        <v/>
      </c>
      <c r="CS50" s="3">
        <f>SUM(AE50:BO50)</f>
        <v>5</v>
      </c>
    </row>
    <row r="51" spans="1:97" ht="27" x14ac:dyDescent="0.15">
      <c r="A51" s="1">
        <v>27</v>
      </c>
      <c r="B51" s="1" t="s">
        <v>74</v>
      </c>
      <c r="C51" s="1" t="s">
        <v>31</v>
      </c>
      <c r="D51" s="1" t="s">
        <v>24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1"/>
      <c r="AF51" s="1"/>
      <c r="AG51" s="1"/>
      <c r="AH51" s="1">
        <v>5</v>
      </c>
      <c r="AI51" s="1">
        <v>5</v>
      </c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10</v>
      </c>
      <c r="BQ51" s="1">
        <v>10</v>
      </c>
      <c r="BR51" s="17">
        <v>2</v>
      </c>
      <c r="BS51" s="17" t="s">
        <v>256</v>
      </c>
      <c r="BT51" s="1" t="str">
        <f>IF(AQ51&gt;AQ$130, AQ51-AQ$130,"")</f>
        <v/>
      </c>
      <c r="BU51" s="1" t="str">
        <f>IF(AR51&gt;AR$130, AR51-AR$130,"")</f>
        <v/>
      </c>
      <c r="BV51" s="1" t="str">
        <f>IF(AS51&gt;AS$130, AS51-AS$130,"")</f>
        <v/>
      </c>
      <c r="BW51" s="1" t="str">
        <f>IF(AT51&gt;AT$130, AT51-AT$130,"")</f>
        <v/>
      </c>
      <c r="BX51" s="1" t="str">
        <f>IF(AU51&gt;AU$130, AU51-AU$130,"")</f>
        <v/>
      </c>
      <c r="BY51" s="1" t="str">
        <f>IF(AV51&gt;AV$130, AV51-AV$130,"")</f>
        <v/>
      </c>
      <c r="BZ51" s="1" t="str">
        <f>IF(AW51&gt;AW$130, AW51-AW$130,"")</f>
        <v/>
      </c>
      <c r="CA51" s="1" t="str">
        <f>IF(AX51&gt;AX$130, AX51-AX$130,"")</f>
        <v/>
      </c>
      <c r="CB51" s="1" t="str">
        <f>IF(AY51&gt;AY$130, AY51-AY$130,"")</f>
        <v/>
      </c>
      <c r="CC51" s="1" t="str">
        <f>IF(AZ51&gt;AZ$130, AZ51-AZ$130,"")</f>
        <v/>
      </c>
      <c r="CD51" s="1" t="str">
        <f>IF(BA51&gt;BA$130, BA51-BA$130,"")</f>
        <v/>
      </c>
      <c r="CE51" s="1" t="str">
        <f>IF(BB51&gt;BB$130, BB51-BB$130,"")</f>
        <v/>
      </c>
      <c r="CF51" s="1">
        <f>COUNTIF(BT51:CE51, "&gt;0")</f>
        <v>0</v>
      </c>
      <c r="CG51" s="1" t="str">
        <f>IF($CF51=1,BT51,"")</f>
        <v/>
      </c>
      <c r="CH51" s="1" t="str">
        <f>IF($CF51=1,BU51,"")</f>
        <v/>
      </c>
      <c r="CI51" s="1" t="str">
        <f>IF($CF51=1,BV51,"")</f>
        <v/>
      </c>
      <c r="CJ51" s="1" t="str">
        <f>IF($CF51=1,BW51,"")</f>
        <v/>
      </c>
      <c r="CK51" s="1" t="str">
        <f>IF($CF51=1,BX51,"")</f>
        <v/>
      </c>
      <c r="CL51" s="1" t="str">
        <f>IF($CF51=1,BY51,"")</f>
        <v/>
      </c>
      <c r="CM51" s="1" t="str">
        <f>IF($CF51=1,BZ51,"")</f>
        <v/>
      </c>
      <c r="CN51" s="1" t="str">
        <f>IF($CF51=1,CA51,"")</f>
        <v/>
      </c>
      <c r="CO51" s="1" t="str">
        <f>IF($CF51=1,CB51,"")</f>
        <v/>
      </c>
      <c r="CP51" s="1" t="str">
        <f>IF($CF51=1,CC51,"")</f>
        <v/>
      </c>
      <c r="CQ51" s="1" t="str">
        <f>IF($CF51=1,CD51,"")</f>
        <v/>
      </c>
      <c r="CR51" s="1" t="str">
        <f>IF($CF51=1,CE51,"")</f>
        <v/>
      </c>
      <c r="CS51" s="3">
        <f>SUM(AE51:BO51)</f>
        <v>10</v>
      </c>
    </row>
    <row r="52" spans="1:97" ht="27" x14ac:dyDescent="0.15">
      <c r="A52" s="1">
        <v>88</v>
      </c>
      <c r="B52" s="3" t="s">
        <v>79</v>
      </c>
      <c r="C52" s="3" t="s">
        <v>80</v>
      </c>
      <c r="D52" s="1" t="s">
        <v>24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1"/>
      <c r="AF52" s="1"/>
      <c r="AG52" s="1"/>
      <c r="AH52" s="1">
        <v>5</v>
      </c>
      <c r="AI52" s="1">
        <v>5</v>
      </c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10</v>
      </c>
      <c r="BQ52" s="1">
        <v>10</v>
      </c>
      <c r="BR52" s="17">
        <v>2</v>
      </c>
      <c r="BS52" s="17" t="s">
        <v>224</v>
      </c>
      <c r="BT52" s="1" t="str">
        <f>IF(AQ52&gt;AQ$130, AQ52-AQ$130,"")</f>
        <v/>
      </c>
      <c r="BU52" s="1" t="str">
        <f>IF(AR52&gt;AR$130, AR52-AR$130,"")</f>
        <v/>
      </c>
      <c r="BV52" s="1" t="str">
        <f>IF(AS52&gt;AS$130, AS52-AS$130,"")</f>
        <v/>
      </c>
      <c r="BW52" s="1" t="str">
        <f>IF(AT52&gt;AT$130, AT52-AT$130,"")</f>
        <v/>
      </c>
      <c r="BX52" s="1" t="str">
        <f>IF(AU52&gt;AU$130, AU52-AU$130,"")</f>
        <v/>
      </c>
      <c r="BY52" s="1" t="str">
        <f>IF(AV52&gt;AV$130, AV52-AV$130,"")</f>
        <v/>
      </c>
      <c r="BZ52" s="1" t="str">
        <f>IF(AW52&gt;AW$130, AW52-AW$130,"")</f>
        <v/>
      </c>
      <c r="CA52" s="1" t="str">
        <f>IF(AX52&gt;AX$130, AX52-AX$130,"")</f>
        <v/>
      </c>
      <c r="CB52" s="1" t="str">
        <f>IF(AY52&gt;AY$130, AY52-AY$130,"")</f>
        <v/>
      </c>
      <c r="CC52" s="1" t="str">
        <f>IF(AZ52&gt;AZ$130, AZ52-AZ$130,"")</f>
        <v/>
      </c>
      <c r="CD52" s="1" t="str">
        <f>IF(BA52&gt;BA$130, BA52-BA$130,"")</f>
        <v/>
      </c>
      <c r="CE52" s="1" t="str">
        <f>IF(BB52&gt;BB$130, BB52-BB$130,"")</f>
        <v/>
      </c>
      <c r="CF52" s="1">
        <f>COUNTIF(BT52:CE52, "&gt;0")</f>
        <v>0</v>
      </c>
      <c r="CG52" s="1" t="str">
        <f>IF($CF52=1,BT52,"")</f>
        <v/>
      </c>
      <c r="CH52" s="1" t="str">
        <f>IF($CF52=1,BU52,"")</f>
        <v/>
      </c>
      <c r="CI52" s="1" t="str">
        <f>IF($CF52=1,BV52,"")</f>
        <v/>
      </c>
      <c r="CJ52" s="1" t="str">
        <f>IF($CF52=1,BW52,"")</f>
        <v/>
      </c>
      <c r="CK52" s="1" t="str">
        <f>IF($CF52=1,BX52,"")</f>
        <v/>
      </c>
      <c r="CL52" s="1" t="str">
        <f>IF($CF52=1,BY52,"")</f>
        <v/>
      </c>
      <c r="CM52" s="1" t="str">
        <f>IF($CF52=1,BZ52,"")</f>
        <v/>
      </c>
      <c r="CN52" s="1" t="str">
        <f>IF($CF52=1,CA52,"")</f>
        <v/>
      </c>
      <c r="CO52" s="1" t="str">
        <f>IF($CF52=1,CB52,"")</f>
        <v/>
      </c>
      <c r="CP52" s="1" t="str">
        <f>IF($CF52=1,CC52,"")</f>
        <v/>
      </c>
      <c r="CQ52" s="1" t="str">
        <f>IF($CF52=1,CD52,"")</f>
        <v/>
      </c>
      <c r="CR52" s="1" t="str">
        <f>IF($CF52=1,CE52,"")</f>
        <v/>
      </c>
      <c r="CS52" s="3">
        <f>SUM(AE52:BO52)</f>
        <v>10</v>
      </c>
    </row>
    <row r="53" spans="1:97" ht="27" x14ac:dyDescent="0.15">
      <c r="A53" s="1"/>
      <c r="B53" s="1" t="s">
        <v>187</v>
      </c>
      <c r="C53" s="1" t="s">
        <v>105</v>
      </c>
      <c r="D53" s="1" t="s">
        <v>107</v>
      </c>
      <c r="E53" s="6"/>
      <c r="F53" s="6"/>
      <c r="G53" s="6"/>
      <c r="H53" s="6">
        <v>6</v>
      </c>
      <c r="I53" s="6"/>
      <c r="J53" s="6"/>
      <c r="K53" s="6">
        <v>6</v>
      </c>
      <c r="L53" s="6"/>
      <c r="M53" s="6"/>
      <c r="N53" s="6"/>
      <c r="O53" s="6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>
        <v>10</v>
      </c>
      <c r="AR53" s="4"/>
      <c r="AS53" s="4"/>
      <c r="AT53" s="4"/>
      <c r="AU53" s="4"/>
      <c r="AV53" s="4"/>
      <c r="AW53" s="2">
        <v>10</v>
      </c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32</v>
      </c>
      <c r="BQ53" s="1">
        <v>13</v>
      </c>
      <c r="BR53" s="17">
        <v>2</v>
      </c>
      <c r="BS53" s="17" t="s">
        <v>252</v>
      </c>
      <c r="BT53" s="1" t="str">
        <f>IF(AQ53&gt;AQ$130, AQ53-AQ$130,"")</f>
        <v/>
      </c>
      <c r="BU53" s="1" t="str">
        <f>IF(AR53&gt;AR$130, AR53-AR$130,"")</f>
        <v/>
      </c>
      <c r="BV53" s="1" t="str">
        <f>IF(AS53&gt;AS$130, AS53-AS$130,"")</f>
        <v/>
      </c>
      <c r="BW53" s="1" t="str">
        <f>IF(AT53&gt;AT$130, AT53-AT$130,"")</f>
        <v/>
      </c>
      <c r="BX53" s="1" t="str">
        <f>IF(AU53&gt;AU$130, AU53-AU$130,"")</f>
        <v/>
      </c>
      <c r="BY53" s="1" t="str">
        <f>IF(AV53&gt;AV$130, AV53-AV$130,"")</f>
        <v/>
      </c>
      <c r="BZ53" s="1" t="str">
        <f>IF(AW53&gt;AW$130, AW53-AW$130,"")</f>
        <v/>
      </c>
      <c r="CA53" s="1" t="str">
        <f>IF(AX53&gt;AX$130, AX53-AX$130,"")</f>
        <v/>
      </c>
      <c r="CB53" s="1" t="str">
        <f>IF(AY53&gt;AY$130, AY53-AY$130,"")</f>
        <v/>
      </c>
      <c r="CC53" s="1" t="str">
        <f>IF(AZ53&gt;AZ$130, AZ53-AZ$130,"")</f>
        <v/>
      </c>
      <c r="CD53" s="1" t="str">
        <f>IF(BA53&gt;BA$130, BA53-BA$130,"")</f>
        <v/>
      </c>
      <c r="CE53" s="1" t="str">
        <f>IF(BB53&gt;BB$130, BB53-BB$130,"")</f>
        <v/>
      </c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3"/>
    </row>
    <row r="54" spans="1:97" ht="27" x14ac:dyDescent="0.15">
      <c r="A54" s="1"/>
      <c r="B54" s="1" t="s">
        <v>192</v>
      </c>
      <c r="C54" s="1" t="s">
        <v>109</v>
      </c>
      <c r="D54" s="1" t="s">
        <v>107</v>
      </c>
      <c r="E54" s="6">
        <v>6</v>
      </c>
      <c r="F54" s="6">
        <v>6</v>
      </c>
      <c r="G54" s="6"/>
      <c r="H54" s="6"/>
      <c r="I54" s="6"/>
      <c r="J54" s="6"/>
      <c r="K54" s="6"/>
      <c r="L54" s="6"/>
      <c r="M54" s="6"/>
      <c r="N54" s="6"/>
      <c r="O54" s="6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>
        <v>10</v>
      </c>
      <c r="AT54" s="4"/>
      <c r="AU54" s="4"/>
      <c r="AV54" s="4"/>
      <c r="AW54" s="2"/>
      <c r="AX54" s="2">
        <v>10</v>
      </c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32</v>
      </c>
      <c r="BQ54" s="1">
        <v>13</v>
      </c>
      <c r="BR54" s="17">
        <v>2</v>
      </c>
      <c r="BS54" s="17" t="s">
        <v>258</v>
      </c>
      <c r="BT54" s="1" t="str">
        <f>IF(AQ54&gt;AQ$130, AQ54-AQ$130,"")</f>
        <v/>
      </c>
      <c r="BU54" s="1" t="str">
        <f>IF(AR54&gt;AR$130, AR54-AR$130,"")</f>
        <v/>
      </c>
      <c r="BV54" s="1" t="str">
        <f>IF(AS54&gt;AS$130, AS54-AS$130,"")</f>
        <v/>
      </c>
      <c r="BW54" s="1" t="str">
        <f>IF(AT54&gt;AT$130, AT54-AT$130,"")</f>
        <v/>
      </c>
      <c r="BX54" s="1" t="str">
        <f>IF(AU54&gt;AU$130, AU54-AU$130,"")</f>
        <v/>
      </c>
      <c r="BY54" s="1" t="str">
        <f>IF(AV54&gt;AV$130, AV54-AV$130,"")</f>
        <v/>
      </c>
      <c r="BZ54" s="1" t="str">
        <f>IF(AW54&gt;AW$130, AW54-AW$130,"")</f>
        <v/>
      </c>
      <c r="CA54" s="1" t="str">
        <f>IF(AX54&gt;AX$130, AX54-AX$130,"")</f>
        <v/>
      </c>
      <c r="CB54" s="1" t="str">
        <f>IF(AY54&gt;AY$130, AY54-AY$130,"")</f>
        <v/>
      </c>
      <c r="CC54" s="1" t="str">
        <f>IF(AZ54&gt;AZ$130, AZ54-AZ$130,"")</f>
        <v/>
      </c>
      <c r="CD54" s="1" t="str">
        <f>IF(BA54&gt;BA$130, BA54-BA$130,"")</f>
        <v/>
      </c>
      <c r="CE54" s="1" t="str">
        <f>IF(BB54&gt;BB$130, BB54-BB$130,"")</f>
        <v/>
      </c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3"/>
    </row>
    <row r="55" spans="1:97" ht="27" x14ac:dyDescent="0.15">
      <c r="A55" s="1">
        <v>39</v>
      </c>
      <c r="B55" s="1" t="s">
        <v>50</v>
      </c>
      <c r="C55" s="1" t="s">
        <v>47</v>
      </c>
      <c r="D55" s="1" t="s">
        <v>26</v>
      </c>
      <c r="E55" s="6"/>
      <c r="F55" s="6">
        <v>6</v>
      </c>
      <c r="G55" s="6"/>
      <c r="H55" s="6"/>
      <c r="I55" s="6"/>
      <c r="J55" s="6"/>
      <c r="K55" s="6"/>
      <c r="L55" s="6">
        <v>6</v>
      </c>
      <c r="M55" s="6"/>
      <c r="N55" s="6"/>
      <c r="O55" s="6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>
        <v>10</v>
      </c>
      <c r="AR55" s="4"/>
      <c r="AS55" s="4"/>
      <c r="AT55" s="4"/>
      <c r="AU55" s="4"/>
      <c r="AV55" s="4"/>
      <c r="AW55" s="2"/>
      <c r="AX55" s="2">
        <v>10</v>
      </c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32</v>
      </c>
      <c r="BQ55" s="1">
        <v>15</v>
      </c>
      <c r="BR55" s="17">
        <v>2</v>
      </c>
      <c r="BS55" s="17" t="s">
        <v>253</v>
      </c>
      <c r="BT55" s="1" t="str">
        <f>IF(AQ55&gt;AQ$130, AQ55-AQ$130,"")</f>
        <v/>
      </c>
      <c r="BU55" s="1" t="str">
        <f>IF(AR55&gt;AR$130, AR55-AR$130,"")</f>
        <v/>
      </c>
      <c r="BV55" s="1" t="str">
        <f>IF(AS55&gt;AS$130, AS55-AS$130,"")</f>
        <v/>
      </c>
      <c r="BW55" s="1" t="str">
        <f>IF(AT55&gt;AT$130, AT55-AT$130,"")</f>
        <v/>
      </c>
      <c r="BX55" s="1" t="str">
        <f>IF(AU55&gt;AU$130, AU55-AU$130,"")</f>
        <v/>
      </c>
      <c r="BY55" s="1" t="str">
        <f>IF(AV55&gt;AV$130, AV55-AV$130,"")</f>
        <v/>
      </c>
      <c r="BZ55" s="1" t="str">
        <f>IF(AW55&gt;AW$130, AW55-AW$130,"")</f>
        <v/>
      </c>
      <c r="CA55" s="1" t="str">
        <f>IF(AX55&gt;AX$130, AX55-AX$130,"")</f>
        <v/>
      </c>
      <c r="CB55" s="1" t="str">
        <f>IF(AY55&gt;AY$130, AY55-AY$130,"")</f>
        <v/>
      </c>
      <c r="CC55" s="1" t="str">
        <f>IF(AZ55&gt;AZ$130, AZ55-AZ$130,"")</f>
        <v/>
      </c>
      <c r="CD55" s="1" t="str">
        <f>IF(BA55&gt;BA$130, BA55-BA$130,"")</f>
        <v/>
      </c>
      <c r="CE55" s="1" t="str">
        <f>IF(BB55&gt;BB$130, BB55-BB$130,"")</f>
        <v/>
      </c>
      <c r="CF55" s="1">
        <f>COUNTIF(BT55:CE55, "&gt;0")</f>
        <v>0</v>
      </c>
      <c r="CG55" s="1" t="str">
        <f>IF($CF55=1,BT55,"")</f>
        <v/>
      </c>
      <c r="CH55" s="1" t="str">
        <f>IF($CF55=1,BU55,"")</f>
        <v/>
      </c>
      <c r="CI55" s="1" t="str">
        <f>IF($CF55=1,BV55,"")</f>
        <v/>
      </c>
      <c r="CJ55" s="1" t="str">
        <f>IF($CF55=1,BW55,"")</f>
        <v/>
      </c>
      <c r="CK55" s="1" t="str">
        <f>IF($CF55=1,BX55,"")</f>
        <v/>
      </c>
      <c r="CL55" s="1" t="str">
        <f>IF($CF55=1,BY55,"")</f>
        <v/>
      </c>
      <c r="CM55" s="1" t="str">
        <f>IF($CF55=1,BZ55,"")</f>
        <v/>
      </c>
      <c r="CN55" s="1" t="str">
        <f>IF($CF55=1,CA55,"")</f>
        <v/>
      </c>
      <c r="CO55" s="1" t="str">
        <f>IF($CF55=1,CB55,"")</f>
        <v/>
      </c>
      <c r="CP55" s="1" t="str">
        <f>IF($CF55=1,CC55,"")</f>
        <v/>
      </c>
      <c r="CQ55" s="1" t="str">
        <f>IF($CF55=1,CD55,"")</f>
        <v/>
      </c>
      <c r="CR55" s="1" t="str">
        <f>IF($CF55=1,CE55,"")</f>
        <v/>
      </c>
      <c r="CS55" s="3">
        <f>SUM(AE55:BO55)</f>
        <v>20</v>
      </c>
    </row>
    <row r="56" spans="1:97" ht="27" x14ac:dyDescent="0.15">
      <c r="A56" s="1"/>
      <c r="B56" s="1" t="s">
        <v>112</v>
      </c>
      <c r="C56" s="1" t="s">
        <v>109</v>
      </c>
      <c r="D56" s="1" t="s">
        <v>106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>
        <v>5</v>
      </c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>
        <v>5</v>
      </c>
      <c r="AP56" s="1">
        <v>10</v>
      </c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20</v>
      </c>
      <c r="BQ56" s="1">
        <v>15</v>
      </c>
      <c r="BR56" s="17">
        <v>2</v>
      </c>
      <c r="BS56" s="17" t="s">
        <v>229</v>
      </c>
      <c r="BT56" s="1" t="str">
        <f>IF(AQ56&gt;AQ$130, AQ56-AQ$130,"")</f>
        <v/>
      </c>
      <c r="BU56" s="1" t="str">
        <f>IF(AR56&gt;AR$130, AR56-AR$130,"")</f>
        <v/>
      </c>
      <c r="BV56" s="1" t="str">
        <f>IF(AS56&gt;AS$130, AS56-AS$130,"")</f>
        <v/>
      </c>
      <c r="BW56" s="1" t="str">
        <f>IF(AT56&gt;AT$130, AT56-AT$130,"")</f>
        <v/>
      </c>
      <c r="BX56" s="1" t="str">
        <f>IF(AU56&gt;AU$130, AU56-AU$130,"")</f>
        <v/>
      </c>
      <c r="BY56" s="1" t="str">
        <f>IF(AV56&gt;AV$130, AV56-AV$130,"")</f>
        <v/>
      </c>
      <c r="BZ56" s="1" t="str">
        <f>IF(AW56&gt;AW$130, AW56-AW$130,"")</f>
        <v/>
      </c>
      <c r="CA56" s="1" t="str">
        <f>IF(AX56&gt;AX$130, AX56-AX$130,"")</f>
        <v/>
      </c>
      <c r="CB56" s="1" t="str">
        <f>IF(AY56&gt;AY$130, AY56-AY$130,"")</f>
        <v/>
      </c>
      <c r="CC56" s="1" t="str">
        <f>IF(AZ56&gt;AZ$130, AZ56-AZ$130,"")</f>
        <v/>
      </c>
      <c r="CD56" s="1" t="str">
        <f>IF(BA56&gt;BA$130, BA56-BA$130,"")</f>
        <v/>
      </c>
      <c r="CE56" s="1" t="str">
        <f>IF(BB56&gt;BB$130, BB56-BB$130,"")</f>
        <v/>
      </c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3"/>
    </row>
    <row r="57" spans="1:97" ht="27" x14ac:dyDescent="0.15">
      <c r="A57" s="1">
        <v>72</v>
      </c>
      <c r="B57" s="3" t="s">
        <v>91</v>
      </c>
      <c r="C57" s="1" t="s">
        <v>56</v>
      </c>
      <c r="D57" s="1" t="s">
        <v>13</v>
      </c>
      <c r="E57" s="6"/>
      <c r="F57" s="6"/>
      <c r="G57" s="6"/>
      <c r="H57" s="6"/>
      <c r="I57" s="6"/>
      <c r="J57" s="6"/>
      <c r="K57" s="6"/>
      <c r="L57" s="6">
        <v>6</v>
      </c>
      <c r="M57" s="6">
        <v>6</v>
      </c>
      <c r="N57" s="6"/>
      <c r="O57" s="6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>
        <v>10</v>
      </c>
      <c r="AW57" s="2"/>
      <c r="AX57" s="2"/>
      <c r="AY57" s="2"/>
      <c r="AZ57" s="2"/>
      <c r="BA57" s="2">
        <v>10</v>
      </c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32</v>
      </c>
      <c r="BQ57" s="1">
        <v>15</v>
      </c>
      <c r="BR57" s="17">
        <v>2</v>
      </c>
      <c r="BS57" s="17" t="s">
        <v>259</v>
      </c>
      <c r="BT57" s="1" t="str">
        <f>IF(AQ57&gt;AQ$130, AQ57-AQ$130,"")</f>
        <v/>
      </c>
      <c r="BU57" s="1" t="str">
        <f>IF(AR57&gt;AR$130, AR57-AR$130,"")</f>
        <v/>
      </c>
      <c r="BV57" s="1" t="str">
        <f>IF(AS57&gt;AS$130, AS57-AS$130,"")</f>
        <v/>
      </c>
      <c r="BW57" s="1" t="str">
        <f>IF(AT57&gt;AT$130, AT57-AT$130,"")</f>
        <v/>
      </c>
      <c r="BX57" s="1" t="str">
        <f>IF(AU57&gt;AU$130, AU57-AU$130,"")</f>
        <v/>
      </c>
      <c r="BY57" s="1" t="str">
        <f>IF(AV57&gt;AV$130, AV57-AV$130,"")</f>
        <v/>
      </c>
      <c r="BZ57" s="1" t="str">
        <f>IF(AW57&gt;AW$130, AW57-AW$130,"")</f>
        <v/>
      </c>
      <c r="CA57" s="1" t="str">
        <f>IF(AX57&gt;AX$130, AX57-AX$130,"")</f>
        <v/>
      </c>
      <c r="CB57" s="1" t="str">
        <f>IF(AY57&gt;AY$130, AY57-AY$130,"")</f>
        <v/>
      </c>
      <c r="CC57" s="1" t="str">
        <f>IF(AZ57&gt;AZ$130, AZ57-AZ$130,"")</f>
        <v/>
      </c>
      <c r="CD57" s="1" t="str">
        <f>IF(BA57&gt;BA$130, BA57-BA$130,"")</f>
        <v/>
      </c>
      <c r="CE57" s="1" t="str">
        <f>IF(BB57&gt;BB$130, BB57-BB$130,"")</f>
        <v/>
      </c>
      <c r="CF57" s="1">
        <f>COUNTIF(BT57:CE57, "&gt;0")</f>
        <v>0</v>
      </c>
      <c r="CG57" s="1" t="str">
        <f>IF($CF57=1,BT57,"")</f>
        <v/>
      </c>
      <c r="CH57" s="1" t="str">
        <f>IF($CF57=1,BU57,"")</f>
        <v/>
      </c>
      <c r="CI57" s="1" t="str">
        <f>IF($CF57=1,BV57,"")</f>
        <v/>
      </c>
      <c r="CJ57" s="1" t="str">
        <f>IF($CF57=1,BW57,"")</f>
        <v/>
      </c>
      <c r="CK57" s="1" t="str">
        <f>IF($CF57=1,BX57,"")</f>
        <v/>
      </c>
      <c r="CL57" s="1" t="str">
        <f>IF($CF57=1,BY57,"")</f>
        <v/>
      </c>
      <c r="CM57" s="1" t="str">
        <f>IF($CF57=1,BZ57,"")</f>
        <v/>
      </c>
      <c r="CN57" s="1" t="str">
        <f>IF($CF57=1,CA57,"")</f>
        <v/>
      </c>
      <c r="CO57" s="1" t="str">
        <f>IF($CF57=1,CB57,"")</f>
        <v/>
      </c>
      <c r="CP57" s="1" t="str">
        <f>IF($CF57=1,CC57,"")</f>
        <v/>
      </c>
      <c r="CQ57" s="1" t="str">
        <f>IF($CF57=1,CD57,"")</f>
        <v/>
      </c>
      <c r="CR57" s="1" t="str">
        <f>IF($CF57=1,CE57,"")</f>
        <v/>
      </c>
      <c r="CS57" s="3">
        <f>SUM(AE57:BO57)</f>
        <v>20</v>
      </c>
    </row>
    <row r="58" spans="1:97" ht="27" x14ac:dyDescent="0.15">
      <c r="A58" s="1">
        <v>81</v>
      </c>
      <c r="B58" s="3" t="s">
        <v>67</v>
      </c>
      <c r="C58" s="3" t="s">
        <v>64</v>
      </c>
      <c r="D58" s="1" t="s">
        <v>13</v>
      </c>
      <c r="E58" s="6"/>
      <c r="F58" s="6"/>
      <c r="G58" s="6"/>
      <c r="H58" s="6"/>
      <c r="I58" s="6"/>
      <c r="J58" s="6"/>
      <c r="K58" s="6"/>
      <c r="L58" s="6">
        <v>6</v>
      </c>
      <c r="M58" s="6"/>
      <c r="N58" s="6"/>
      <c r="O58" s="6">
        <v>6</v>
      </c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>
        <v>10</v>
      </c>
      <c r="AU58" s="4"/>
      <c r="AV58" s="4"/>
      <c r="AW58" s="2"/>
      <c r="AX58" s="2"/>
      <c r="AY58" s="2"/>
      <c r="AZ58" s="2"/>
      <c r="BA58" s="2">
        <v>10</v>
      </c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32</v>
      </c>
      <c r="BQ58" s="1">
        <v>16</v>
      </c>
      <c r="BR58" s="17">
        <v>2</v>
      </c>
      <c r="BS58" s="17" t="s">
        <v>262</v>
      </c>
      <c r="BT58" s="1" t="str">
        <f>IF(AQ58&gt;AQ$130, AQ58-AQ$130,"")</f>
        <v/>
      </c>
      <c r="BU58" s="1" t="str">
        <f>IF(AR58&gt;AR$130, AR58-AR$130,"")</f>
        <v/>
      </c>
      <c r="BV58" s="1" t="str">
        <f>IF(AS58&gt;AS$130, AS58-AS$130,"")</f>
        <v/>
      </c>
      <c r="BW58" s="1" t="str">
        <f>IF(AT58&gt;AT$130, AT58-AT$130,"")</f>
        <v/>
      </c>
      <c r="BX58" s="1" t="str">
        <f>IF(AU58&gt;AU$130, AU58-AU$130,"")</f>
        <v/>
      </c>
      <c r="BY58" s="1" t="str">
        <f>IF(AV58&gt;AV$130, AV58-AV$130,"")</f>
        <v/>
      </c>
      <c r="BZ58" s="1" t="str">
        <f>IF(AW58&gt;AW$130, AW58-AW$130,"")</f>
        <v/>
      </c>
      <c r="CA58" s="1" t="str">
        <f>IF(AX58&gt;AX$130, AX58-AX$130,"")</f>
        <v/>
      </c>
      <c r="CB58" s="1" t="str">
        <f>IF(AY58&gt;AY$130, AY58-AY$130,"")</f>
        <v/>
      </c>
      <c r="CC58" s="1" t="str">
        <f>IF(AZ58&gt;AZ$130, AZ58-AZ$130,"")</f>
        <v/>
      </c>
      <c r="CD58" s="1" t="str">
        <f>IF(BA58&gt;BA$130, BA58-BA$130,"")</f>
        <v/>
      </c>
      <c r="CE58" s="1" t="str">
        <f>IF(BB58&gt;BB$130, BB58-BB$130,"")</f>
        <v/>
      </c>
      <c r="CF58" s="1">
        <f>COUNTIF(BT58:CE58, "&gt;0")</f>
        <v>0</v>
      </c>
      <c r="CG58" s="1" t="str">
        <f>IF($CF58=1,BT58,"")</f>
        <v/>
      </c>
      <c r="CH58" s="1" t="str">
        <f>IF($CF58=1,BU58,"")</f>
        <v/>
      </c>
      <c r="CI58" s="1" t="str">
        <f>IF($CF58=1,BV58,"")</f>
        <v/>
      </c>
      <c r="CJ58" s="1" t="str">
        <f>IF($CF58=1,BW58,"")</f>
        <v/>
      </c>
      <c r="CK58" s="1" t="str">
        <f>IF($CF58=1,BX58,"")</f>
        <v/>
      </c>
      <c r="CL58" s="1" t="str">
        <f>IF($CF58=1,BY58,"")</f>
        <v/>
      </c>
      <c r="CM58" s="1" t="str">
        <f>IF($CF58=1,BZ58,"")</f>
        <v/>
      </c>
      <c r="CN58" s="1" t="str">
        <f>IF($CF58=1,CA58,"")</f>
        <v/>
      </c>
      <c r="CO58" s="1" t="str">
        <f>IF($CF58=1,CB58,"")</f>
        <v/>
      </c>
      <c r="CP58" s="1" t="str">
        <f>IF($CF58=1,CC58,"")</f>
        <v/>
      </c>
      <c r="CQ58" s="1" t="str">
        <f>IF($CF58=1,CD58,"")</f>
        <v/>
      </c>
      <c r="CR58" s="1" t="str">
        <f>IF($CF58=1,CE58,"")</f>
        <v/>
      </c>
      <c r="CS58" s="3">
        <f>SUM(AE58:BO58)</f>
        <v>20</v>
      </c>
    </row>
    <row r="59" spans="1:97" ht="27" x14ac:dyDescent="0.15">
      <c r="A59" s="1">
        <v>45</v>
      </c>
      <c r="B59" s="1" t="s">
        <v>104</v>
      </c>
      <c r="C59" s="1" t="s">
        <v>47</v>
      </c>
      <c r="D59" s="1" t="s">
        <v>13</v>
      </c>
      <c r="E59" s="6">
        <v>6</v>
      </c>
      <c r="F59" s="6"/>
      <c r="G59" s="6"/>
      <c r="H59" s="6"/>
      <c r="I59" s="6"/>
      <c r="J59" s="6"/>
      <c r="K59" s="6"/>
      <c r="L59" s="6"/>
      <c r="M59" s="6">
        <v>6</v>
      </c>
      <c r="N59" s="6"/>
      <c r="O59" s="6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>
        <v>10</v>
      </c>
      <c r="AR59" s="4"/>
      <c r="AS59" s="4"/>
      <c r="AT59" s="4"/>
      <c r="AU59" s="4"/>
      <c r="AV59" s="4"/>
      <c r="AW59" s="2"/>
      <c r="AX59" s="2"/>
      <c r="AY59" s="2"/>
      <c r="AZ59" s="2">
        <v>10</v>
      </c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32</v>
      </c>
      <c r="BQ59" s="1">
        <v>17</v>
      </c>
      <c r="BR59" s="17">
        <v>2</v>
      </c>
      <c r="BS59" s="17" t="s">
        <v>257</v>
      </c>
      <c r="BT59" s="1" t="str">
        <f>IF(AQ59&gt;AQ$130, AQ59-AQ$130,"")</f>
        <v/>
      </c>
      <c r="BU59" s="1" t="str">
        <f>IF(AR59&gt;AR$130, AR59-AR$130,"")</f>
        <v/>
      </c>
      <c r="BV59" s="1" t="str">
        <f>IF(AS59&gt;AS$130, AS59-AS$130,"")</f>
        <v/>
      </c>
      <c r="BW59" s="1" t="str">
        <f>IF(AT59&gt;AT$130, AT59-AT$130,"")</f>
        <v/>
      </c>
      <c r="BX59" s="1" t="str">
        <f>IF(AU59&gt;AU$130, AU59-AU$130,"")</f>
        <v/>
      </c>
      <c r="BY59" s="1" t="str">
        <f>IF(AV59&gt;AV$130, AV59-AV$130,"")</f>
        <v/>
      </c>
      <c r="BZ59" s="1" t="str">
        <f>IF(AW59&gt;AW$130, AW59-AW$130,"")</f>
        <v/>
      </c>
      <c r="CA59" s="1" t="str">
        <f>IF(AX59&gt;AX$130, AX59-AX$130,"")</f>
        <v/>
      </c>
      <c r="CB59" s="1" t="str">
        <f>IF(AY59&gt;AY$130, AY59-AY$130,"")</f>
        <v/>
      </c>
      <c r="CC59" s="1" t="str">
        <f>IF(AZ59&gt;AZ$130, AZ59-AZ$130,"")</f>
        <v/>
      </c>
      <c r="CD59" s="1" t="str">
        <f>IF(BA59&gt;BA$130, BA59-BA$130,"")</f>
        <v/>
      </c>
      <c r="CE59" s="1" t="str">
        <f>IF(BB59&gt;BB$130, BB59-BB$130,"")</f>
        <v/>
      </c>
      <c r="CF59" s="1">
        <f>COUNTIF(BT59:CE59, "&gt;0")</f>
        <v>0</v>
      </c>
      <c r="CG59" s="1" t="str">
        <f>IF($CF59=1,BT59,"")</f>
        <v/>
      </c>
      <c r="CH59" s="1" t="str">
        <f>IF($CF59=1,BU59,"")</f>
        <v/>
      </c>
      <c r="CI59" s="1" t="str">
        <f>IF($CF59=1,BV59,"")</f>
        <v/>
      </c>
      <c r="CJ59" s="1" t="str">
        <f>IF($CF59=1,BW59,"")</f>
        <v/>
      </c>
      <c r="CK59" s="1" t="str">
        <f>IF($CF59=1,BX59,"")</f>
        <v/>
      </c>
      <c r="CL59" s="1" t="str">
        <f>IF($CF59=1,BY59,"")</f>
        <v/>
      </c>
      <c r="CM59" s="1" t="str">
        <f>IF($CF59=1,BZ59,"")</f>
        <v/>
      </c>
      <c r="CN59" s="1" t="str">
        <f>IF($CF59=1,CA59,"")</f>
        <v/>
      </c>
      <c r="CO59" s="1" t="str">
        <f>IF($CF59=1,CB59,"")</f>
        <v/>
      </c>
      <c r="CP59" s="1" t="str">
        <f>IF($CF59=1,CC59,"")</f>
        <v/>
      </c>
      <c r="CQ59" s="1" t="str">
        <f>IF($CF59=1,CD59,"")</f>
        <v/>
      </c>
      <c r="CR59" s="1" t="str">
        <f>IF($CF59=1,CE59,"")</f>
        <v/>
      </c>
      <c r="CS59" s="3">
        <f>SUM(AE59:BO59)</f>
        <v>20</v>
      </c>
    </row>
    <row r="60" spans="1:97" ht="27" x14ac:dyDescent="0.15">
      <c r="A60" s="1">
        <v>82</v>
      </c>
      <c r="B60" s="3" t="s">
        <v>68</v>
      </c>
      <c r="C60" s="3" t="s">
        <v>64</v>
      </c>
      <c r="D60" s="1" t="s">
        <v>13</v>
      </c>
      <c r="E60" s="6"/>
      <c r="F60" s="6"/>
      <c r="G60" s="6"/>
      <c r="H60" s="6"/>
      <c r="I60" s="6"/>
      <c r="J60" s="6"/>
      <c r="K60" s="6"/>
      <c r="L60" s="6">
        <v>6</v>
      </c>
      <c r="M60" s="6"/>
      <c r="N60" s="6">
        <v>6</v>
      </c>
      <c r="O60" s="6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>
        <v>10</v>
      </c>
      <c r="AU60" s="4"/>
      <c r="AV60" s="4"/>
      <c r="AW60" s="2"/>
      <c r="AX60" s="2"/>
      <c r="AY60" s="2"/>
      <c r="AZ60" s="2">
        <v>10</v>
      </c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32</v>
      </c>
      <c r="BQ60" s="1">
        <v>17</v>
      </c>
      <c r="BR60" s="17">
        <v>2</v>
      </c>
      <c r="BS60" s="17" t="s">
        <v>260</v>
      </c>
      <c r="BT60" s="1" t="str">
        <f>IF(AQ60&gt;AQ$130, AQ60-AQ$130,"")</f>
        <v/>
      </c>
      <c r="BU60" s="1" t="str">
        <f>IF(AR60&gt;AR$130, AR60-AR$130,"")</f>
        <v/>
      </c>
      <c r="BV60" s="1" t="str">
        <f>IF(AS60&gt;AS$130, AS60-AS$130,"")</f>
        <v/>
      </c>
      <c r="BW60" s="1" t="str">
        <f>IF(AT60&gt;AT$130, AT60-AT$130,"")</f>
        <v/>
      </c>
      <c r="BX60" s="1" t="str">
        <f>IF(AU60&gt;AU$130, AU60-AU$130,"")</f>
        <v/>
      </c>
      <c r="BY60" s="1" t="str">
        <f>IF(AV60&gt;AV$130, AV60-AV$130,"")</f>
        <v/>
      </c>
      <c r="BZ60" s="1" t="str">
        <f>IF(AW60&gt;AW$130, AW60-AW$130,"")</f>
        <v/>
      </c>
      <c r="CA60" s="1" t="str">
        <f>IF(AX60&gt;AX$130, AX60-AX$130,"")</f>
        <v/>
      </c>
      <c r="CB60" s="1" t="str">
        <f>IF(AY60&gt;AY$130, AY60-AY$130,"")</f>
        <v/>
      </c>
      <c r="CC60" s="1" t="str">
        <f>IF(AZ60&gt;AZ$130, AZ60-AZ$130,"")</f>
        <v/>
      </c>
      <c r="CD60" s="1" t="str">
        <f>IF(BA60&gt;BA$130, BA60-BA$130,"")</f>
        <v/>
      </c>
      <c r="CE60" s="1" t="str">
        <f>IF(BB60&gt;BB$130, BB60-BB$130,"")</f>
        <v/>
      </c>
      <c r="CF60" s="1">
        <f>COUNTIF(BT60:CE60, "&gt;0")</f>
        <v>0</v>
      </c>
      <c r="CG60" s="1" t="str">
        <f>IF($CF60=1,BT60,"")</f>
        <v/>
      </c>
      <c r="CH60" s="1" t="str">
        <f>IF($CF60=1,BU60,"")</f>
        <v/>
      </c>
      <c r="CI60" s="1" t="str">
        <f>IF($CF60=1,BV60,"")</f>
        <v/>
      </c>
      <c r="CJ60" s="1" t="str">
        <f>IF($CF60=1,BW60,"")</f>
        <v/>
      </c>
      <c r="CK60" s="1" t="str">
        <f>IF($CF60=1,BX60,"")</f>
        <v/>
      </c>
      <c r="CL60" s="1" t="str">
        <f>IF($CF60=1,BY60,"")</f>
        <v/>
      </c>
      <c r="CM60" s="1" t="str">
        <f>IF($CF60=1,BZ60,"")</f>
        <v/>
      </c>
      <c r="CN60" s="1" t="str">
        <f>IF($CF60=1,CA60,"")</f>
        <v/>
      </c>
      <c r="CO60" s="1" t="str">
        <f>IF($CF60=1,CB60,"")</f>
        <v/>
      </c>
      <c r="CP60" s="1" t="str">
        <f>IF($CF60=1,CC60,"")</f>
        <v/>
      </c>
      <c r="CQ60" s="1" t="str">
        <f>IF($CF60=1,CD60,"")</f>
        <v/>
      </c>
      <c r="CR60" s="1" t="str">
        <f>IF($CF60=1,CE60,"")</f>
        <v/>
      </c>
      <c r="CS60" s="3">
        <f>SUM(AE60:BO60)</f>
        <v>20</v>
      </c>
    </row>
    <row r="61" spans="1:97" ht="27" x14ac:dyDescent="0.15">
      <c r="A61" s="1">
        <v>95</v>
      </c>
      <c r="B61" s="3" t="s">
        <v>84</v>
      </c>
      <c r="C61" s="3" t="s">
        <v>69</v>
      </c>
      <c r="D61" s="1" t="s">
        <v>1</v>
      </c>
      <c r="E61" s="6"/>
      <c r="F61" s="6"/>
      <c r="G61" s="6"/>
      <c r="H61" s="6"/>
      <c r="I61" s="6"/>
      <c r="J61" s="6"/>
      <c r="K61" s="6"/>
      <c r="L61" s="6">
        <v>15</v>
      </c>
      <c r="M61" s="6"/>
      <c r="N61" s="6"/>
      <c r="O61" s="6">
        <v>15</v>
      </c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>
        <v>15</v>
      </c>
      <c r="BB61" s="2">
        <v>15</v>
      </c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60</v>
      </c>
      <c r="BQ61" s="1">
        <v>18</v>
      </c>
      <c r="BR61" s="17">
        <v>2</v>
      </c>
      <c r="BS61" s="17" t="s">
        <v>250</v>
      </c>
      <c r="BT61" s="1" t="str">
        <f>IF(AQ61&gt;AQ$130, AQ61-AQ$130,"")</f>
        <v/>
      </c>
      <c r="BU61" s="1" t="str">
        <f>IF(AR61&gt;AR$130, AR61-AR$130,"")</f>
        <v/>
      </c>
      <c r="BV61" s="1" t="str">
        <f>IF(AS61&gt;AS$130, AS61-AS$130,"")</f>
        <v/>
      </c>
      <c r="BW61" s="1" t="str">
        <f>IF(AT61&gt;AT$130, AT61-AT$130,"")</f>
        <v/>
      </c>
      <c r="BX61" s="1" t="str">
        <f>IF(AU61&gt;AU$130, AU61-AU$130,"")</f>
        <v/>
      </c>
      <c r="BY61" s="1" t="str">
        <f>IF(AV61&gt;AV$130, AV61-AV$130,"")</f>
        <v/>
      </c>
      <c r="BZ61" s="1" t="str">
        <f>IF(AW61&gt;AW$130, AW61-AW$130,"")</f>
        <v/>
      </c>
      <c r="CA61" s="1" t="str">
        <f>IF(AX61&gt;AX$130, AX61-AX$130,"")</f>
        <v/>
      </c>
      <c r="CB61" s="1" t="str">
        <f>IF(AY61&gt;AY$130, AY61-AY$130,"")</f>
        <v/>
      </c>
      <c r="CC61" s="1" t="str">
        <f>IF(AZ61&gt;AZ$130, AZ61-AZ$130,"")</f>
        <v/>
      </c>
      <c r="CD61" s="1" t="str">
        <f>IF(BA61&gt;BA$130, BA61-BA$130,"")</f>
        <v/>
      </c>
      <c r="CE61" s="1" t="str">
        <f>IF(BB61&gt;BB$130, BB61-BB$130,"")</f>
        <v/>
      </c>
      <c r="CF61" s="1">
        <f>COUNTIF(BT61:CE61, "&gt;0")</f>
        <v>0</v>
      </c>
      <c r="CG61" s="1" t="str">
        <f>IF($CF61=1,BT61,"")</f>
        <v/>
      </c>
      <c r="CH61" s="1" t="str">
        <f>IF($CF61=1,BU61,"")</f>
        <v/>
      </c>
      <c r="CI61" s="1" t="str">
        <f>IF($CF61=1,BV61,"")</f>
        <v/>
      </c>
      <c r="CJ61" s="1" t="str">
        <f>IF($CF61=1,BW61,"")</f>
        <v/>
      </c>
      <c r="CK61" s="1" t="str">
        <f>IF($CF61=1,BX61,"")</f>
        <v/>
      </c>
      <c r="CL61" s="1" t="str">
        <f>IF($CF61=1,BY61,"")</f>
        <v/>
      </c>
      <c r="CM61" s="1" t="str">
        <f>IF($CF61=1,BZ61,"")</f>
        <v/>
      </c>
      <c r="CN61" s="1" t="str">
        <f>IF($CF61=1,CA61,"")</f>
        <v/>
      </c>
      <c r="CO61" s="1" t="str">
        <f>IF($CF61=1,CB61,"")</f>
        <v/>
      </c>
      <c r="CP61" s="1" t="str">
        <f>IF($CF61=1,CC61,"")</f>
        <v/>
      </c>
      <c r="CQ61" s="1" t="str">
        <f>IF($CF61=1,CD61,"")</f>
        <v/>
      </c>
      <c r="CR61" s="1" t="str">
        <f>IF($CF61=1,CE61,"")</f>
        <v/>
      </c>
      <c r="CS61" s="3">
        <f>SUM(AE61:BO61)</f>
        <v>30</v>
      </c>
    </row>
    <row r="62" spans="1:97" ht="27" x14ac:dyDescent="0.15">
      <c r="A62" s="1"/>
      <c r="B62" s="1" t="s">
        <v>140</v>
      </c>
      <c r="C62" s="1" t="s">
        <v>141</v>
      </c>
      <c r="D62" s="1" t="s">
        <v>125</v>
      </c>
      <c r="E62" s="6">
        <v>10</v>
      </c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/>
      <c r="R62" s="28">
        <v>10</v>
      </c>
      <c r="S62" s="28"/>
      <c r="T62" s="28"/>
      <c r="U62" s="28">
        <v>10</v>
      </c>
      <c r="V62" s="28"/>
      <c r="W62" s="28"/>
      <c r="X62" s="28"/>
      <c r="Y62" s="28"/>
      <c r="Z62" s="28"/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>
        <v>10</v>
      </c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40</v>
      </c>
      <c r="BQ62" s="1">
        <v>18</v>
      </c>
      <c r="BR62" s="17">
        <v>2</v>
      </c>
      <c r="BS62" s="17" t="s">
        <v>261</v>
      </c>
      <c r="BT62" s="1" t="str">
        <f>IF(AQ62&gt;AQ$130, AQ62-AQ$130,"")</f>
        <v/>
      </c>
      <c r="BU62" s="1" t="str">
        <f>IF(AR62&gt;AR$130, AR62-AR$130,"")</f>
        <v/>
      </c>
      <c r="BV62" s="1" t="str">
        <f>IF(AS62&gt;AS$130, AS62-AS$130,"")</f>
        <v/>
      </c>
      <c r="BW62" s="1" t="str">
        <f>IF(AT62&gt;AT$130, AT62-AT$130,"")</f>
        <v/>
      </c>
      <c r="BX62" s="1" t="str">
        <f>IF(AU62&gt;AU$130, AU62-AU$130,"")</f>
        <v/>
      </c>
      <c r="BY62" s="1" t="str">
        <f>IF(AV62&gt;AV$130, AV62-AV$130,"")</f>
        <v/>
      </c>
      <c r="BZ62" s="1" t="str">
        <f>IF(AW62&gt;AW$130, AW62-AW$130,"")</f>
        <v/>
      </c>
      <c r="CA62" s="1" t="str">
        <f>IF(AX62&gt;AX$130, AX62-AX$130,"")</f>
        <v/>
      </c>
      <c r="CB62" s="1" t="str">
        <f>IF(AY62&gt;AY$130, AY62-AY$130,"")</f>
        <v/>
      </c>
      <c r="CC62" s="1" t="str">
        <f>IF(AZ62&gt;AZ$130, AZ62-AZ$130,"")</f>
        <v/>
      </c>
      <c r="CD62" s="1" t="str">
        <f>IF(BA62&gt;BA$130, BA62-BA$130,"")</f>
        <v/>
      </c>
      <c r="CE62" s="1" t="str">
        <f>IF(BB62&gt;BB$130, BB62-BB$130,"")</f>
        <v/>
      </c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3"/>
    </row>
    <row r="63" spans="1:97" ht="27" x14ac:dyDescent="0.15">
      <c r="A63" s="1"/>
      <c r="B63" s="1" t="s">
        <v>146</v>
      </c>
      <c r="C63" s="1" t="s">
        <v>145</v>
      </c>
      <c r="D63" s="1" t="s">
        <v>125</v>
      </c>
      <c r="E63" s="6">
        <v>10</v>
      </c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/>
      <c r="R63" s="28">
        <v>10</v>
      </c>
      <c r="S63" s="28"/>
      <c r="T63" s="28"/>
      <c r="U63" s="28">
        <v>10</v>
      </c>
      <c r="V63" s="28"/>
      <c r="W63" s="28"/>
      <c r="X63" s="28"/>
      <c r="Y63" s="28"/>
      <c r="Z63" s="28"/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>
        <v>10</v>
      </c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40</v>
      </c>
      <c r="BQ63" s="1">
        <v>18</v>
      </c>
      <c r="BR63" s="17">
        <v>2</v>
      </c>
      <c r="BS63" s="17" t="s">
        <v>225</v>
      </c>
      <c r="BT63" s="1" t="str">
        <f>IF(AQ63&gt;AQ$130, AQ63-AQ$130,"")</f>
        <v/>
      </c>
      <c r="BU63" s="1" t="str">
        <f>IF(AR63&gt;AR$130, AR63-AR$130,"")</f>
        <v/>
      </c>
      <c r="BV63" s="1" t="str">
        <f>IF(AS63&gt;AS$130, AS63-AS$130,"")</f>
        <v/>
      </c>
      <c r="BW63" s="1" t="str">
        <f>IF(AT63&gt;AT$130, AT63-AT$130,"")</f>
        <v/>
      </c>
      <c r="BX63" s="1" t="str">
        <f>IF(AU63&gt;AU$130, AU63-AU$130,"")</f>
        <v/>
      </c>
      <c r="BY63" s="1" t="str">
        <f>IF(AV63&gt;AV$130, AV63-AV$130,"")</f>
        <v/>
      </c>
      <c r="BZ63" s="1" t="str">
        <f>IF(AW63&gt;AW$130, AW63-AW$130,"")</f>
        <v/>
      </c>
      <c r="CA63" s="1" t="str">
        <f>IF(AX63&gt;AX$130, AX63-AX$130,"")</f>
        <v/>
      </c>
      <c r="CB63" s="1" t="str">
        <f>IF(AY63&gt;AY$130, AY63-AY$130,"")</f>
        <v/>
      </c>
      <c r="CC63" s="1" t="str">
        <f>IF(AZ63&gt;AZ$130, AZ63-AZ$130,"")</f>
        <v/>
      </c>
      <c r="CD63" s="1" t="str">
        <f>IF(BA63&gt;BA$130, BA63-BA$130,"")</f>
        <v/>
      </c>
      <c r="CE63" s="1" t="str">
        <f>IF(BB63&gt;BB$130, BB63-BB$130,"")</f>
        <v/>
      </c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3"/>
    </row>
    <row r="64" spans="1:97" ht="27" x14ac:dyDescent="0.15">
      <c r="A64" s="1"/>
      <c r="B64" s="1" t="s">
        <v>156</v>
      </c>
      <c r="C64" s="1" t="s">
        <v>152</v>
      </c>
      <c r="D64" s="1" t="s">
        <v>125</v>
      </c>
      <c r="E64" s="6">
        <v>10</v>
      </c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/>
      <c r="R64" s="28">
        <v>10</v>
      </c>
      <c r="S64" s="28"/>
      <c r="T64" s="28"/>
      <c r="U64" s="28">
        <v>10</v>
      </c>
      <c r="V64" s="28"/>
      <c r="W64" s="28"/>
      <c r="X64" s="28"/>
      <c r="Y64" s="28"/>
      <c r="Z64" s="28"/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>
        <v>10</v>
      </c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40</v>
      </c>
      <c r="BQ64" s="1">
        <v>18</v>
      </c>
      <c r="BR64" s="17">
        <v>2</v>
      </c>
      <c r="BS64" s="17" t="s">
        <v>225</v>
      </c>
      <c r="BT64" s="1" t="str">
        <f>IF(AQ64&gt;AQ$130, AQ64-AQ$130,"")</f>
        <v/>
      </c>
      <c r="BU64" s="1" t="str">
        <f>IF(AR64&gt;AR$130, AR64-AR$130,"")</f>
        <v/>
      </c>
      <c r="BV64" s="1" t="str">
        <f>IF(AS64&gt;AS$130, AS64-AS$130,"")</f>
        <v/>
      </c>
      <c r="BW64" s="1" t="str">
        <f>IF(AT64&gt;AT$130, AT64-AT$130,"")</f>
        <v/>
      </c>
      <c r="BX64" s="1" t="str">
        <f>IF(AU64&gt;AU$130, AU64-AU$130,"")</f>
        <v/>
      </c>
      <c r="BY64" s="1" t="str">
        <f>IF(AV64&gt;AV$130, AV64-AV$130,"")</f>
        <v/>
      </c>
      <c r="BZ64" s="1" t="str">
        <f>IF(AW64&gt;AW$130, AW64-AW$130,"")</f>
        <v/>
      </c>
      <c r="CA64" s="1" t="str">
        <f>IF(AX64&gt;AX$130, AX64-AX$130,"")</f>
        <v/>
      </c>
      <c r="CB64" s="1" t="str">
        <f>IF(AY64&gt;AY$130, AY64-AY$130,"")</f>
        <v/>
      </c>
      <c r="CC64" s="1" t="str">
        <f>IF(AZ64&gt;AZ$130, AZ64-AZ$130,"")</f>
        <v/>
      </c>
      <c r="CD64" s="1" t="str">
        <f>IF(BA64&gt;BA$130, BA64-BA$130,"")</f>
        <v/>
      </c>
      <c r="CE64" s="1" t="str">
        <f>IF(BB64&gt;BB$130, BB64-BB$130,"")</f>
        <v/>
      </c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3"/>
    </row>
    <row r="65" spans="1:97" ht="27" x14ac:dyDescent="0.15">
      <c r="A65" s="1">
        <v>14</v>
      </c>
      <c r="B65" s="1" t="s">
        <v>30</v>
      </c>
      <c r="C65" s="1" t="s">
        <v>31</v>
      </c>
      <c r="D65" s="1" t="s">
        <v>32</v>
      </c>
      <c r="E65" s="6"/>
      <c r="F65" s="6"/>
      <c r="G65" s="6">
        <v>15</v>
      </c>
      <c r="H65" s="6">
        <v>15</v>
      </c>
      <c r="I65" s="6"/>
      <c r="J65" s="6"/>
      <c r="K65" s="6"/>
      <c r="L65" s="6"/>
      <c r="M65" s="6"/>
      <c r="N65" s="6"/>
      <c r="O65" s="6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>
        <v>15</v>
      </c>
      <c r="AT65" s="4"/>
      <c r="AU65" s="4"/>
      <c r="AV65" s="4"/>
      <c r="AW65" s="2"/>
      <c r="AX65" s="2"/>
      <c r="AY65" s="2"/>
      <c r="AZ65" s="2"/>
      <c r="BA65" s="2"/>
      <c r="BB65" s="2">
        <v>15</v>
      </c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60</v>
      </c>
      <c r="BQ65" s="1">
        <v>18</v>
      </c>
      <c r="BR65" s="17">
        <v>2</v>
      </c>
      <c r="BS65" s="17" t="s">
        <v>263</v>
      </c>
      <c r="BT65" s="1" t="str">
        <f>IF(AQ65&gt;AQ$130, AQ65-AQ$130,"")</f>
        <v/>
      </c>
      <c r="BU65" s="1" t="str">
        <f>IF(AR65&gt;AR$130, AR65-AR$130,"")</f>
        <v/>
      </c>
      <c r="BV65" s="1" t="str">
        <f>IF(AS65&gt;AS$130, AS65-AS$130,"")</f>
        <v/>
      </c>
      <c r="BW65" s="1" t="str">
        <f>IF(AT65&gt;AT$130, AT65-AT$130,"")</f>
        <v/>
      </c>
      <c r="BX65" s="1" t="str">
        <f>IF(AU65&gt;AU$130, AU65-AU$130,"")</f>
        <v/>
      </c>
      <c r="BY65" s="1" t="str">
        <f>IF(AV65&gt;AV$130, AV65-AV$130,"")</f>
        <v/>
      </c>
      <c r="BZ65" s="1" t="str">
        <f>IF(AW65&gt;AW$130, AW65-AW$130,"")</f>
        <v/>
      </c>
      <c r="CA65" s="1" t="str">
        <f>IF(AX65&gt;AX$130, AX65-AX$130,"")</f>
        <v/>
      </c>
      <c r="CB65" s="1" t="str">
        <f>IF(AY65&gt;AY$130, AY65-AY$130,"")</f>
        <v/>
      </c>
      <c r="CC65" s="1" t="str">
        <f>IF(AZ65&gt;AZ$130, AZ65-AZ$130,"")</f>
        <v/>
      </c>
      <c r="CD65" s="1" t="str">
        <f>IF(BA65&gt;BA$130, BA65-BA$130,"")</f>
        <v/>
      </c>
      <c r="CE65" s="1" t="str">
        <f>IF(BB65&gt;BB$130, BB65-BB$130,"")</f>
        <v/>
      </c>
      <c r="CF65" s="1">
        <f>COUNTIF(BT65:CE65, "&gt;0")</f>
        <v>0</v>
      </c>
      <c r="CG65" s="1" t="str">
        <f>IF($CF65=1,BT65,"")</f>
        <v/>
      </c>
      <c r="CH65" s="1" t="str">
        <f>IF($CF65=1,BU65,"")</f>
        <v/>
      </c>
      <c r="CI65" s="1" t="str">
        <f>IF($CF65=1,BV65,"")</f>
        <v/>
      </c>
      <c r="CJ65" s="1" t="str">
        <f>IF($CF65=1,BW65,"")</f>
        <v/>
      </c>
      <c r="CK65" s="1" t="str">
        <f>IF($CF65=1,BX65,"")</f>
        <v/>
      </c>
      <c r="CL65" s="1" t="str">
        <f>IF($CF65=1,BY65,"")</f>
        <v/>
      </c>
      <c r="CM65" s="1" t="str">
        <f>IF($CF65=1,BZ65,"")</f>
        <v/>
      </c>
      <c r="CN65" s="1" t="str">
        <f>IF($CF65=1,CA65,"")</f>
        <v/>
      </c>
      <c r="CO65" s="1" t="str">
        <f>IF($CF65=1,CB65,"")</f>
        <v/>
      </c>
      <c r="CP65" s="1" t="str">
        <f>IF($CF65=1,CC65,"")</f>
        <v/>
      </c>
      <c r="CQ65" s="1" t="str">
        <f>IF($CF65=1,CD65,"")</f>
        <v/>
      </c>
      <c r="CR65" s="1" t="str">
        <f>IF($CF65=1,CE65,"")</f>
        <v/>
      </c>
      <c r="CS65" s="3">
        <f>SUM(AE65:BO65)</f>
        <v>30</v>
      </c>
    </row>
    <row r="66" spans="1:97" ht="27" x14ac:dyDescent="0.15">
      <c r="A66" s="1"/>
      <c r="B66" s="1" t="s">
        <v>108</v>
      </c>
      <c r="C66" s="1" t="s">
        <v>109</v>
      </c>
      <c r="D66" s="1" t="s">
        <v>106</v>
      </c>
      <c r="E66" s="6"/>
      <c r="F66" s="6"/>
      <c r="G66" s="6">
        <v>15</v>
      </c>
      <c r="H66" s="6">
        <v>15</v>
      </c>
      <c r="I66" s="6"/>
      <c r="J66" s="6"/>
      <c r="K66" s="6"/>
      <c r="L66" s="6"/>
      <c r="M66" s="6"/>
      <c r="N66" s="6"/>
      <c r="O66" s="6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>
        <v>15</v>
      </c>
      <c r="AT66" s="4"/>
      <c r="AU66" s="4"/>
      <c r="AV66" s="4"/>
      <c r="AW66" s="2"/>
      <c r="AX66" s="2"/>
      <c r="AY66" s="2"/>
      <c r="AZ66" s="2"/>
      <c r="BA66" s="2"/>
      <c r="BB66" s="2">
        <v>15</v>
      </c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60</v>
      </c>
      <c r="BQ66" s="1">
        <v>18</v>
      </c>
      <c r="BR66" s="17">
        <v>2</v>
      </c>
      <c r="BS66" s="17" t="s">
        <v>231</v>
      </c>
      <c r="BT66" s="1" t="str">
        <f>IF(AQ66&gt;AQ$130, AQ66-AQ$130,"")</f>
        <v/>
      </c>
      <c r="BU66" s="1" t="str">
        <f>IF(AR66&gt;AR$130, AR66-AR$130,"")</f>
        <v/>
      </c>
      <c r="BV66" s="1" t="str">
        <f>IF(AS66&gt;AS$130, AS66-AS$130,"")</f>
        <v/>
      </c>
      <c r="BW66" s="1" t="str">
        <f>IF(AT66&gt;AT$130, AT66-AT$130,"")</f>
        <v/>
      </c>
      <c r="BX66" s="1" t="str">
        <f>IF(AU66&gt;AU$130, AU66-AU$130,"")</f>
        <v/>
      </c>
      <c r="BY66" s="1" t="str">
        <f>IF(AV66&gt;AV$130, AV66-AV$130,"")</f>
        <v/>
      </c>
      <c r="BZ66" s="1" t="str">
        <f>IF(AW66&gt;AW$130, AW66-AW$130,"")</f>
        <v/>
      </c>
      <c r="CA66" s="1" t="str">
        <f>IF(AX66&gt;AX$130, AX66-AX$130,"")</f>
        <v/>
      </c>
      <c r="CB66" s="1" t="str">
        <f>IF(AY66&gt;AY$130, AY66-AY$130,"")</f>
        <v/>
      </c>
      <c r="CC66" s="1" t="str">
        <f>IF(AZ66&gt;AZ$130, AZ66-AZ$130,"")</f>
        <v/>
      </c>
      <c r="CD66" s="1" t="str">
        <f>IF(BA66&gt;BA$130, BA66-BA$130,"")</f>
        <v/>
      </c>
      <c r="CE66" s="1" t="str">
        <f>IF(BB66&gt;BB$130, BB66-BB$130,"")</f>
        <v/>
      </c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3"/>
    </row>
    <row r="67" spans="1:97" ht="27" x14ac:dyDescent="0.15">
      <c r="A67" s="1">
        <v>2</v>
      </c>
      <c r="B67" s="1" t="s">
        <v>8</v>
      </c>
      <c r="C67" s="1" t="s">
        <v>2</v>
      </c>
      <c r="D67" s="1" t="s">
        <v>1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1">
        <v>15</v>
      </c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>
        <v>15</v>
      </c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30</v>
      </c>
      <c r="BQ67" s="1">
        <v>18</v>
      </c>
      <c r="BR67" s="17">
        <v>2</v>
      </c>
      <c r="BS67" s="17" t="s">
        <v>264</v>
      </c>
      <c r="BT67" s="1" t="str">
        <f>IF(AQ67&gt;AQ$130, AQ67-AQ$130,"")</f>
        <v/>
      </c>
      <c r="BU67" s="1" t="str">
        <f>IF(AR67&gt;AR$130, AR67-AR$130,"")</f>
        <v/>
      </c>
      <c r="BV67" s="1" t="str">
        <f>IF(AS67&gt;AS$130, AS67-AS$130,"")</f>
        <v/>
      </c>
      <c r="BW67" s="1" t="str">
        <f>IF(AT67&gt;AT$130, AT67-AT$130,"")</f>
        <v/>
      </c>
      <c r="BX67" s="1" t="str">
        <f>IF(AU67&gt;AU$130, AU67-AU$130,"")</f>
        <v/>
      </c>
      <c r="BY67" s="1" t="str">
        <f>IF(AV67&gt;AV$130, AV67-AV$130,"")</f>
        <v/>
      </c>
      <c r="BZ67" s="1" t="str">
        <f>IF(AW67&gt;AW$130, AW67-AW$130,"")</f>
        <v/>
      </c>
      <c r="CA67" s="1" t="str">
        <f>IF(AX67&gt;AX$130, AX67-AX$130,"")</f>
        <v/>
      </c>
      <c r="CB67" s="1" t="str">
        <f>IF(AY67&gt;AY$130, AY67-AY$130,"")</f>
        <v/>
      </c>
      <c r="CC67" s="1" t="str">
        <f>IF(AZ67&gt;AZ$130, AZ67-AZ$130,"")</f>
        <v/>
      </c>
      <c r="CD67" s="1" t="str">
        <f>IF(BA67&gt;BA$130, BA67-BA$130,"")</f>
        <v/>
      </c>
      <c r="CE67" s="1" t="str">
        <f>IF(BB67&gt;BB$130, BB67-BB$130,"")</f>
        <v/>
      </c>
      <c r="CF67" s="1">
        <f>COUNTIF(BT67:CE67, "&gt;0")</f>
        <v>0</v>
      </c>
      <c r="CG67" s="1" t="str">
        <f>IF($CF67=1,BT67,"")</f>
        <v/>
      </c>
      <c r="CH67" s="1" t="str">
        <f>IF($CF67=1,BU67,"")</f>
        <v/>
      </c>
      <c r="CI67" s="1" t="str">
        <f>IF($CF67=1,BV67,"")</f>
        <v/>
      </c>
      <c r="CJ67" s="1" t="str">
        <f>IF($CF67=1,BW67,"")</f>
        <v/>
      </c>
      <c r="CK67" s="1" t="str">
        <f>IF($CF67=1,BX67,"")</f>
        <v/>
      </c>
      <c r="CL67" s="1" t="str">
        <f>IF($CF67=1,BY67,"")</f>
        <v/>
      </c>
      <c r="CM67" s="1" t="str">
        <f>IF($CF67=1,BZ67,"")</f>
        <v/>
      </c>
      <c r="CN67" s="1" t="str">
        <f>IF($CF67=1,CA67,"")</f>
        <v/>
      </c>
      <c r="CO67" s="1" t="str">
        <f>IF($CF67=1,CB67,"")</f>
        <v/>
      </c>
      <c r="CP67" s="1" t="str">
        <f>IF($CF67=1,CC67,"")</f>
        <v/>
      </c>
      <c r="CQ67" s="1" t="str">
        <f>IF($CF67=1,CD67,"")</f>
        <v/>
      </c>
      <c r="CR67" s="1" t="str">
        <f>IF($CF67=1,CE67,"")</f>
        <v/>
      </c>
      <c r="CS67" s="3">
        <f>SUM(AE67:BO67)</f>
        <v>30</v>
      </c>
    </row>
    <row r="68" spans="1:97" ht="27" x14ac:dyDescent="0.15">
      <c r="A68" s="1">
        <v>78</v>
      </c>
      <c r="B68" s="3" t="s">
        <v>66</v>
      </c>
      <c r="C68" s="3" t="s">
        <v>64</v>
      </c>
      <c r="D68" s="1" t="s">
        <v>1</v>
      </c>
      <c r="E68" s="6"/>
      <c r="F68" s="6"/>
      <c r="G68" s="6">
        <v>15</v>
      </c>
      <c r="H68" s="6">
        <v>15</v>
      </c>
      <c r="I68" s="6"/>
      <c r="J68" s="6"/>
      <c r="K68" s="6"/>
      <c r="L68" s="6"/>
      <c r="M68" s="6"/>
      <c r="N68" s="6"/>
      <c r="O68" s="6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>
        <v>15</v>
      </c>
      <c r="BB68" s="2">
        <v>15</v>
      </c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60</v>
      </c>
      <c r="BQ68" s="1">
        <v>18</v>
      </c>
      <c r="BR68" s="17">
        <v>2</v>
      </c>
      <c r="BS68" s="17" t="s">
        <v>265</v>
      </c>
      <c r="BT68" s="1" t="str">
        <f>IF(AQ68&gt;AQ$130, AQ68-AQ$130,"")</f>
        <v/>
      </c>
      <c r="BU68" s="1" t="str">
        <f>IF(AR68&gt;AR$130, AR68-AR$130,"")</f>
        <v/>
      </c>
      <c r="BV68" s="1" t="str">
        <f>IF(AS68&gt;AS$130, AS68-AS$130,"")</f>
        <v/>
      </c>
      <c r="BW68" s="1" t="str">
        <f>IF(AT68&gt;AT$130, AT68-AT$130,"")</f>
        <v/>
      </c>
      <c r="BX68" s="1" t="str">
        <f>IF(AU68&gt;AU$130, AU68-AU$130,"")</f>
        <v/>
      </c>
      <c r="BY68" s="1" t="str">
        <f>IF(AV68&gt;AV$130, AV68-AV$130,"")</f>
        <v/>
      </c>
      <c r="BZ68" s="1" t="str">
        <f>IF(AW68&gt;AW$130, AW68-AW$130,"")</f>
        <v/>
      </c>
      <c r="CA68" s="1" t="str">
        <f>IF(AX68&gt;AX$130, AX68-AX$130,"")</f>
        <v/>
      </c>
      <c r="CB68" s="1" t="str">
        <f>IF(AY68&gt;AY$130, AY68-AY$130,"")</f>
        <v/>
      </c>
      <c r="CC68" s="1" t="str">
        <f>IF(AZ68&gt;AZ$130, AZ68-AZ$130,"")</f>
        <v/>
      </c>
      <c r="CD68" s="1" t="str">
        <f>IF(BA68&gt;BA$130, BA68-BA$130,"")</f>
        <v/>
      </c>
      <c r="CE68" s="1" t="str">
        <f>IF(BB68&gt;BB$130, BB68-BB$130,"")</f>
        <v/>
      </c>
      <c r="CF68" s="1">
        <f>COUNTIF(BT68:CE68, "&gt;0")</f>
        <v>0</v>
      </c>
      <c r="CG68" s="1" t="str">
        <f>IF($CF68=1,BT68,"")</f>
        <v/>
      </c>
      <c r="CH68" s="1" t="str">
        <f>IF($CF68=1,BU68,"")</f>
        <v/>
      </c>
      <c r="CI68" s="1" t="str">
        <f>IF($CF68=1,BV68,"")</f>
        <v/>
      </c>
      <c r="CJ68" s="1" t="str">
        <f>IF($CF68=1,BW68,"")</f>
        <v/>
      </c>
      <c r="CK68" s="1" t="str">
        <f>IF($CF68=1,BX68,"")</f>
        <v/>
      </c>
      <c r="CL68" s="1" t="str">
        <f>IF($CF68=1,BY68,"")</f>
        <v/>
      </c>
      <c r="CM68" s="1" t="str">
        <f>IF($CF68=1,BZ68,"")</f>
        <v/>
      </c>
      <c r="CN68" s="1" t="str">
        <f>IF($CF68=1,CA68,"")</f>
        <v/>
      </c>
      <c r="CO68" s="1" t="str">
        <f>IF($CF68=1,CB68,"")</f>
        <v/>
      </c>
      <c r="CP68" s="1" t="str">
        <f>IF($CF68=1,CC68,"")</f>
        <v/>
      </c>
      <c r="CQ68" s="1" t="str">
        <f>IF($CF68=1,CD68,"")</f>
        <v/>
      </c>
      <c r="CR68" s="1" t="str">
        <f>IF($CF68=1,CE68,"")</f>
        <v/>
      </c>
      <c r="CS68" s="3">
        <f>SUM(AE68:BO68)</f>
        <v>30</v>
      </c>
    </row>
    <row r="69" spans="1:97" ht="27" x14ac:dyDescent="0.15">
      <c r="A69" s="1"/>
      <c r="B69" s="1" t="s">
        <v>186</v>
      </c>
      <c r="C69" s="1" t="s">
        <v>120</v>
      </c>
      <c r="D69" s="1" t="s">
        <v>106</v>
      </c>
      <c r="E69" s="6"/>
      <c r="F69" s="6"/>
      <c r="G69" s="6">
        <v>15</v>
      </c>
      <c r="H69" s="6">
        <v>15</v>
      </c>
      <c r="I69" s="6"/>
      <c r="J69" s="6"/>
      <c r="K69" s="6"/>
      <c r="L69" s="6"/>
      <c r="M69" s="6"/>
      <c r="N69" s="6"/>
      <c r="O69" s="6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>
        <v>15</v>
      </c>
      <c r="BB69" s="2">
        <v>15</v>
      </c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60</v>
      </c>
      <c r="BQ69" s="1">
        <v>18</v>
      </c>
      <c r="BR69" s="17">
        <v>2</v>
      </c>
      <c r="BS69" s="17" t="s">
        <v>266</v>
      </c>
      <c r="BT69" s="1" t="str">
        <f>IF(AQ69&gt;AQ$130, AQ69-AQ$130,"")</f>
        <v/>
      </c>
      <c r="BU69" s="1" t="str">
        <f>IF(AR69&gt;AR$130, AR69-AR$130,"")</f>
        <v/>
      </c>
      <c r="BV69" s="1" t="str">
        <f>IF(AS69&gt;AS$130, AS69-AS$130,"")</f>
        <v/>
      </c>
      <c r="BW69" s="1" t="str">
        <f>IF(AT69&gt;AT$130, AT69-AT$130,"")</f>
        <v/>
      </c>
      <c r="BX69" s="1" t="str">
        <f>IF(AU69&gt;AU$130, AU69-AU$130,"")</f>
        <v/>
      </c>
      <c r="BY69" s="1" t="str">
        <f>IF(AV69&gt;AV$130, AV69-AV$130,"")</f>
        <v/>
      </c>
      <c r="BZ69" s="1" t="str">
        <f>IF(AW69&gt;AW$130, AW69-AW$130,"")</f>
        <v/>
      </c>
      <c r="CA69" s="1" t="str">
        <f>IF(AX69&gt;AX$130, AX69-AX$130,"")</f>
        <v/>
      </c>
      <c r="CB69" s="1" t="str">
        <f>IF(AY69&gt;AY$130, AY69-AY$130,"")</f>
        <v/>
      </c>
      <c r="CC69" s="1" t="str">
        <f>IF(AZ69&gt;AZ$130, AZ69-AZ$130,"")</f>
        <v/>
      </c>
      <c r="CD69" s="1" t="str">
        <f>IF(BA69&gt;BA$130, BA69-BA$130,"")</f>
        <v/>
      </c>
      <c r="CE69" s="1" t="str">
        <f>IF(BB69&gt;BB$130, BB69-BB$130,"")</f>
        <v/>
      </c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3"/>
    </row>
    <row r="70" spans="1:97" ht="27" x14ac:dyDescent="0.15">
      <c r="A70" s="1"/>
      <c r="B70" s="1" t="s">
        <v>182</v>
      </c>
      <c r="C70" s="1" t="s">
        <v>145</v>
      </c>
      <c r="D70" s="1" t="s">
        <v>124</v>
      </c>
      <c r="E70" s="6">
        <v>15</v>
      </c>
      <c r="F70" s="6"/>
      <c r="G70" s="6"/>
      <c r="H70" s="6"/>
      <c r="I70" s="6"/>
      <c r="J70" s="6"/>
      <c r="K70" s="6"/>
      <c r="L70" s="6"/>
      <c r="M70" s="6">
        <v>15</v>
      </c>
      <c r="N70" s="6"/>
      <c r="O70" s="6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>
        <v>15</v>
      </c>
      <c r="AX70" s="2"/>
      <c r="AY70" s="2"/>
      <c r="AZ70" s="2"/>
      <c r="BA70" s="2">
        <v>15</v>
      </c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60</v>
      </c>
      <c r="BQ70" s="1">
        <v>21</v>
      </c>
      <c r="BR70" s="17">
        <v>2</v>
      </c>
      <c r="BS70" s="17" t="s">
        <v>269</v>
      </c>
      <c r="BT70" s="1" t="str">
        <f>IF(AQ70&gt;AQ$130, AQ70-AQ$130,"")</f>
        <v/>
      </c>
      <c r="BU70" s="1" t="str">
        <f>IF(AR70&gt;AR$130, AR70-AR$130,"")</f>
        <v/>
      </c>
      <c r="BV70" s="1" t="str">
        <f>IF(AS70&gt;AS$130, AS70-AS$130,"")</f>
        <v/>
      </c>
      <c r="BW70" s="1" t="str">
        <f>IF(AT70&gt;AT$130, AT70-AT$130,"")</f>
        <v/>
      </c>
      <c r="BX70" s="1" t="str">
        <f>IF(AU70&gt;AU$130, AU70-AU$130,"")</f>
        <v/>
      </c>
      <c r="BY70" s="1" t="str">
        <f>IF(AV70&gt;AV$130, AV70-AV$130,"")</f>
        <v/>
      </c>
      <c r="BZ70" s="1" t="str">
        <f>IF(AW70&gt;AW$130, AW70-AW$130,"")</f>
        <v/>
      </c>
      <c r="CA70" s="1" t="str">
        <f>IF(AX70&gt;AX$130, AX70-AX$130,"")</f>
        <v/>
      </c>
      <c r="CB70" s="1" t="str">
        <f>IF(AY70&gt;AY$130, AY70-AY$130,"")</f>
        <v/>
      </c>
      <c r="CC70" s="1" t="str">
        <f>IF(AZ70&gt;AZ$130, AZ70-AZ$130,"")</f>
        <v/>
      </c>
      <c r="CD70" s="1" t="str">
        <f>IF(BA70&gt;BA$130, BA70-BA$130,"")</f>
        <v/>
      </c>
      <c r="CE70" s="1" t="str">
        <f>IF(BB70&gt;BB$130, BB70-BB$130,"")</f>
        <v/>
      </c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3"/>
    </row>
    <row r="71" spans="1:97" ht="27" x14ac:dyDescent="0.15">
      <c r="A71" s="1"/>
      <c r="B71" s="1" t="s">
        <v>181</v>
      </c>
      <c r="C71" s="1" t="s">
        <v>145</v>
      </c>
      <c r="D71" s="1" t="s">
        <v>124</v>
      </c>
      <c r="E71" s="6"/>
      <c r="F71" s="6"/>
      <c r="G71" s="6"/>
      <c r="H71" s="6"/>
      <c r="I71" s="6"/>
      <c r="J71" s="6">
        <v>10</v>
      </c>
      <c r="K71" s="6"/>
      <c r="L71" s="6">
        <v>10</v>
      </c>
      <c r="M71" s="6">
        <v>10</v>
      </c>
      <c r="N71" s="6"/>
      <c r="O71" s="6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>
        <v>15</v>
      </c>
      <c r="AZ71" s="2">
        <v>15</v>
      </c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60</v>
      </c>
      <c r="BQ71" s="1">
        <v>22</v>
      </c>
      <c r="BR71" s="17">
        <v>2</v>
      </c>
      <c r="BS71" s="17" t="s">
        <v>267</v>
      </c>
      <c r="BT71" s="1" t="str">
        <f>IF(AQ71&gt;AQ$130, AQ71-AQ$130,"")</f>
        <v/>
      </c>
      <c r="BU71" s="1" t="str">
        <f>IF(AR71&gt;AR$130, AR71-AR$130,"")</f>
        <v/>
      </c>
      <c r="BV71" s="1" t="str">
        <f>IF(AS71&gt;AS$130, AS71-AS$130,"")</f>
        <v/>
      </c>
      <c r="BW71" s="1" t="str">
        <f>IF(AT71&gt;AT$130, AT71-AT$130,"")</f>
        <v/>
      </c>
      <c r="BX71" s="1" t="str">
        <f>IF(AU71&gt;AU$130, AU71-AU$130,"")</f>
        <v/>
      </c>
      <c r="BY71" s="1" t="str">
        <f>IF(AV71&gt;AV$130, AV71-AV$130,"")</f>
        <v/>
      </c>
      <c r="BZ71" s="1" t="str">
        <f>IF(AW71&gt;AW$130, AW71-AW$130,"")</f>
        <v/>
      </c>
      <c r="CA71" s="1" t="str">
        <f>IF(AX71&gt;AX$130, AX71-AX$130,"")</f>
        <v/>
      </c>
      <c r="CB71" s="1" t="str">
        <f>IF(AY71&gt;AY$130, AY71-AY$130,"")</f>
        <v/>
      </c>
      <c r="CC71" s="1" t="str">
        <f>IF(AZ71&gt;AZ$130, AZ71-AZ$130,"")</f>
        <v/>
      </c>
      <c r="CD71" s="1" t="str">
        <f>IF(BA71&gt;BA$130, BA71-BA$130,"")</f>
        <v/>
      </c>
      <c r="CE71" s="1" t="str">
        <f>IF(BB71&gt;BB$130, BB71-BB$130,"")</f>
        <v/>
      </c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3"/>
    </row>
    <row r="72" spans="1:97" ht="27" x14ac:dyDescent="0.15">
      <c r="A72" s="1"/>
      <c r="B72" s="1" t="s">
        <v>169</v>
      </c>
      <c r="C72" s="1" t="s">
        <v>121</v>
      </c>
      <c r="D72" s="1" t="s">
        <v>106</v>
      </c>
      <c r="E72" s="6"/>
      <c r="F72" s="6"/>
      <c r="G72" s="6"/>
      <c r="H72" s="6"/>
      <c r="I72" s="6"/>
      <c r="J72" s="6"/>
      <c r="K72" s="6"/>
      <c r="L72" s="6">
        <v>20</v>
      </c>
      <c r="M72" s="6"/>
      <c r="N72" s="6"/>
      <c r="O72" s="6">
        <v>20</v>
      </c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>
        <v>20</v>
      </c>
      <c r="BB72" s="2">
        <v>20</v>
      </c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80</v>
      </c>
      <c r="BQ72" s="1">
        <v>28</v>
      </c>
      <c r="BR72" s="17">
        <v>2</v>
      </c>
      <c r="BS72" s="17" t="s">
        <v>268</v>
      </c>
      <c r="BT72" s="1" t="str">
        <f>IF(AQ72&gt;AQ$130, AQ72-AQ$130,"")</f>
        <v/>
      </c>
      <c r="BU72" s="1" t="str">
        <f>IF(AR72&gt;AR$130, AR72-AR$130,"")</f>
        <v/>
      </c>
      <c r="BV72" s="1" t="str">
        <f>IF(AS72&gt;AS$130, AS72-AS$130,"")</f>
        <v/>
      </c>
      <c r="BW72" s="1" t="str">
        <f>IF(AT72&gt;AT$130, AT72-AT$130,"")</f>
        <v/>
      </c>
      <c r="BX72" s="1" t="str">
        <f>IF(AU72&gt;AU$130, AU72-AU$130,"")</f>
        <v/>
      </c>
      <c r="BY72" s="1" t="str">
        <f>IF(AV72&gt;AV$130, AV72-AV$130,"")</f>
        <v/>
      </c>
      <c r="BZ72" s="1" t="str">
        <f>IF(AW72&gt;AW$130, AW72-AW$130,"")</f>
        <v/>
      </c>
      <c r="CA72" s="1" t="str">
        <f>IF(AX72&gt;AX$130, AX72-AX$130,"")</f>
        <v/>
      </c>
      <c r="CB72" s="1" t="str">
        <f>IF(AY72&gt;AY$130, AY72-AY$130,"")</f>
        <v/>
      </c>
      <c r="CC72" s="1" t="str">
        <f>IF(AZ72&gt;AZ$130, AZ72-AZ$130,"")</f>
        <v/>
      </c>
      <c r="CD72" s="1" t="str">
        <f>IF(BA72&gt;BA$130, BA72-BA$130,"")</f>
        <v/>
      </c>
      <c r="CE72" s="1" t="str">
        <f>IF(BB72&gt;BB$130, BB72-BB$130,"")</f>
        <v/>
      </c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3"/>
    </row>
    <row r="73" spans="1:97" ht="27" x14ac:dyDescent="0.15">
      <c r="A73" s="18">
        <v>93</v>
      </c>
      <c r="B73" s="24" t="s">
        <v>191</v>
      </c>
      <c r="C73" s="24" t="s">
        <v>80</v>
      </c>
      <c r="D73" s="18" t="s">
        <v>1</v>
      </c>
      <c r="E73" s="19"/>
      <c r="F73" s="19">
        <v>20</v>
      </c>
      <c r="G73" s="19"/>
      <c r="H73" s="19"/>
      <c r="I73" s="19"/>
      <c r="J73" s="19"/>
      <c r="K73" s="19">
        <v>20</v>
      </c>
      <c r="L73" s="19"/>
      <c r="M73" s="19"/>
      <c r="N73" s="19">
        <v>20</v>
      </c>
      <c r="O73" s="1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20"/>
      <c r="AR73" s="20"/>
      <c r="AS73" s="20"/>
      <c r="AT73" s="20"/>
      <c r="AU73" s="20"/>
      <c r="AV73" s="20"/>
      <c r="AW73" s="21"/>
      <c r="AX73" s="21"/>
      <c r="AY73" s="21"/>
      <c r="AZ73" s="21"/>
      <c r="BA73" s="21"/>
      <c r="BB73" s="21"/>
      <c r="BC73" s="26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">
        <f>SUM(E73:BO73)</f>
        <v>60</v>
      </c>
      <c r="BQ73" s="18">
        <v>29</v>
      </c>
      <c r="BR73" s="22">
        <v>2</v>
      </c>
      <c r="BS73" s="22" t="s">
        <v>226</v>
      </c>
      <c r="BT73" s="1" t="str">
        <f>IF(AQ73&gt;AQ$130, AQ73-AQ$130,"")</f>
        <v/>
      </c>
      <c r="BU73" s="1" t="str">
        <f>IF(AR73&gt;AR$130, AR73-AR$130,"")</f>
        <v/>
      </c>
      <c r="BV73" s="1" t="str">
        <f>IF(AS73&gt;AS$130, AS73-AS$130,"")</f>
        <v/>
      </c>
      <c r="BW73" s="1" t="str">
        <f>IF(AT73&gt;AT$130, AT73-AT$130,"")</f>
        <v/>
      </c>
      <c r="BX73" s="1" t="str">
        <f>IF(AU73&gt;AU$130, AU73-AU$130,"")</f>
        <v/>
      </c>
      <c r="BY73" s="1" t="str">
        <f>IF(AV73&gt;AV$130, AV73-AV$130,"")</f>
        <v/>
      </c>
      <c r="BZ73" s="1" t="str">
        <f>IF(AW73&gt;AW$130, AW73-AW$130,"")</f>
        <v/>
      </c>
      <c r="CA73" s="1" t="str">
        <f>IF(AX73&gt;AX$130, AX73-AX$130,"")</f>
        <v/>
      </c>
      <c r="CB73" s="1" t="str">
        <f>IF(AY73&gt;AY$130, AY73-AY$130,"")</f>
        <v/>
      </c>
      <c r="CC73" s="1" t="str">
        <f>IF(AZ73&gt;AZ$130, AZ73-AZ$130,"")</f>
        <v/>
      </c>
      <c r="CD73" s="1" t="str">
        <f>IF(BA73&gt;BA$130, BA73-BA$130,"")</f>
        <v/>
      </c>
      <c r="CE73" s="1" t="str">
        <f>IF(BB73&gt;BB$130, BB73-BB$130,"")</f>
        <v/>
      </c>
      <c r="CF73" s="18">
        <f>COUNTIF(BT73:CE73, "&gt;0")</f>
        <v>0</v>
      </c>
      <c r="CG73" s="18" t="str">
        <f>IF($CF73=1,BT73,"")</f>
        <v/>
      </c>
      <c r="CH73" s="18" t="str">
        <f>IF($CF73=1,BU73,"")</f>
        <v/>
      </c>
      <c r="CI73" s="18" t="str">
        <f>IF($CF73=1,BV73,"")</f>
        <v/>
      </c>
      <c r="CJ73" s="18" t="str">
        <f>IF($CF73=1,BW73,"")</f>
        <v/>
      </c>
      <c r="CK73" s="18" t="str">
        <f>IF($CF73=1,BX73,"")</f>
        <v/>
      </c>
      <c r="CL73" s="18" t="str">
        <f>IF($CF73=1,BY73,"")</f>
        <v/>
      </c>
      <c r="CM73" s="18" t="str">
        <f>IF($CF73=1,BZ73,"")</f>
        <v/>
      </c>
      <c r="CN73" s="18" t="str">
        <f>IF($CF73=1,CA73,"")</f>
        <v/>
      </c>
      <c r="CO73" s="18" t="str">
        <f>IF($CF73=1,CB73,"")</f>
        <v/>
      </c>
      <c r="CP73" s="18" t="str">
        <f>IF($CF73=1,CC73,"")</f>
        <v/>
      </c>
      <c r="CQ73" s="18" t="str">
        <f>IF($CF73=1,CD73,"")</f>
        <v/>
      </c>
      <c r="CR73" s="18" t="str">
        <f>IF($CF73=1,CE73,"")</f>
        <v/>
      </c>
      <c r="CS73" s="30">
        <f>SUM(AE73:BO73)</f>
        <v>0</v>
      </c>
    </row>
    <row r="74" spans="1:97" ht="27" x14ac:dyDescent="0.15">
      <c r="A74" s="1">
        <v>77</v>
      </c>
      <c r="B74" s="3" t="s">
        <v>168</v>
      </c>
      <c r="C74" s="3" t="s">
        <v>64</v>
      </c>
      <c r="D74" s="1" t="s">
        <v>13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>
        <v>20</v>
      </c>
      <c r="AU74" s="4"/>
      <c r="AV74" s="4"/>
      <c r="AW74" s="2">
        <v>20</v>
      </c>
      <c r="AX74" s="2">
        <v>20</v>
      </c>
      <c r="AY74" s="2"/>
      <c r="AZ74" s="2"/>
      <c r="BA74" s="2"/>
      <c r="BB74" s="2">
        <v>10</v>
      </c>
      <c r="BC74" s="14"/>
      <c r="BD74" s="1"/>
      <c r="BE74" s="1"/>
      <c r="BF74" s="1"/>
      <c r="BG74" s="1"/>
      <c r="BH74" s="1">
        <v>20</v>
      </c>
      <c r="BI74" s="1"/>
      <c r="BJ74" s="1"/>
      <c r="BK74" s="1"/>
      <c r="BL74" s="1"/>
      <c r="BM74" s="1"/>
      <c r="BN74" s="1"/>
      <c r="BO74" s="1"/>
      <c r="BP74" s="1">
        <f>SUM(E74:BO74)</f>
        <v>90</v>
      </c>
      <c r="BQ74" s="1">
        <v>33</v>
      </c>
      <c r="BR74" s="17">
        <v>2</v>
      </c>
      <c r="BS74" s="17" t="s">
        <v>270</v>
      </c>
      <c r="BT74" s="1" t="str">
        <f>IF(AQ74&gt;AQ$130, AQ74-AQ$130,"")</f>
        <v/>
      </c>
      <c r="BU74" s="1" t="str">
        <f>IF(AR74&gt;AR$130, AR74-AR$130,"")</f>
        <v/>
      </c>
      <c r="BV74" s="1" t="str">
        <f>IF(AS74&gt;AS$130, AS74-AS$130,"")</f>
        <v/>
      </c>
      <c r="BW74" s="1" t="str">
        <f>IF(AT74&gt;AT$130, AT74-AT$130,"")</f>
        <v/>
      </c>
      <c r="BX74" s="1" t="str">
        <f>IF(AU74&gt;AU$130, AU74-AU$130,"")</f>
        <v/>
      </c>
      <c r="BY74" s="1" t="str">
        <f>IF(AV74&gt;AV$130, AV74-AV$130,"")</f>
        <v/>
      </c>
      <c r="BZ74" s="1" t="str">
        <f>IF(AW74&gt;AW$130, AW74-AW$130,"")</f>
        <v/>
      </c>
      <c r="CA74" s="1" t="str">
        <f>IF(AX74&gt;AX$130, AX74-AX$130,"")</f>
        <v/>
      </c>
      <c r="CB74" s="1" t="str">
        <f>IF(AY74&gt;AY$130, AY74-AY$130,"")</f>
        <v/>
      </c>
      <c r="CC74" s="1" t="str">
        <f>IF(AZ74&gt;AZ$130, AZ74-AZ$130,"")</f>
        <v/>
      </c>
      <c r="CD74" s="1" t="str">
        <f>IF(BA74&gt;BA$130, BA74-BA$130,"")</f>
        <v/>
      </c>
      <c r="CE74" s="1" t="str">
        <f>IF(BB74&gt;BB$130, BB74-BB$130,"")</f>
        <v/>
      </c>
      <c r="CF74" s="1">
        <f>COUNTIF(BT74:CE74, "&gt;0")</f>
        <v>0</v>
      </c>
      <c r="CG74" s="1" t="str">
        <f>IF($CF74=1,BT74,"")</f>
        <v/>
      </c>
      <c r="CH74" s="1" t="str">
        <f>IF($CF74=1,BU74,"")</f>
        <v/>
      </c>
      <c r="CI74" s="1" t="str">
        <f>IF($CF74=1,BV74,"")</f>
        <v/>
      </c>
      <c r="CJ74" s="1" t="str">
        <f>IF($CF74=1,BW74,"")</f>
        <v/>
      </c>
      <c r="CK74" s="1" t="str">
        <f>IF($CF74=1,BX74,"")</f>
        <v/>
      </c>
      <c r="CL74" s="1" t="str">
        <f>IF($CF74=1,BY74,"")</f>
        <v/>
      </c>
      <c r="CM74" s="1" t="str">
        <f>IF($CF74=1,BZ74,"")</f>
        <v/>
      </c>
      <c r="CN74" s="1" t="str">
        <f>IF($CF74=1,CA74,"")</f>
        <v/>
      </c>
      <c r="CO74" s="1" t="str">
        <f>IF($CF74=1,CB74,"")</f>
        <v/>
      </c>
      <c r="CP74" s="1" t="str">
        <f>IF($CF74=1,CC74,"")</f>
        <v/>
      </c>
      <c r="CQ74" s="1" t="str">
        <f>IF($CF74=1,CD74,"")</f>
        <v/>
      </c>
      <c r="CR74" s="1" t="str">
        <f>IF($CF74=1,CE74,"")</f>
        <v/>
      </c>
      <c r="CS74" s="3">
        <f>SUM(AE74:BO74)</f>
        <v>90</v>
      </c>
    </row>
    <row r="75" spans="1:97" ht="40.5" x14ac:dyDescent="0.15">
      <c r="A75" s="1"/>
      <c r="B75" s="1" t="s">
        <v>156</v>
      </c>
      <c r="C75" s="1" t="s">
        <v>152</v>
      </c>
      <c r="D75" s="1" t="s">
        <v>124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/>
      <c r="R75" s="28"/>
      <c r="S75" s="28"/>
      <c r="T75" s="28"/>
      <c r="U75" s="28">
        <v>2</v>
      </c>
      <c r="V75" s="28"/>
      <c r="W75" s="28"/>
      <c r="X75" s="28"/>
      <c r="Y75" s="28"/>
      <c r="Z75" s="28"/>
      <c r="AA75" s="28">
        <v>2</v>
      </c>
      <c r="AB75" s="28"/>
      <c r="AC75" s="28">
        <v>5</v>
      </c>
      <c r="AD75" s="28">
        <v>2</v>
      </c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11</v>
      </c>
      <c r="BQ75" s="1">
        <v>6</v>
      </c>
      <c r="BR75" s="17">
        <v>3</v>
      </c>
      <c r="BS75" s="17" t="s">
        <v>227</v>
      </c>
      <c r="BT75" s="1" t="str">
        <f>IF(AQ75&gt;AQ$130, AQ75-AQ$130,"")</f>
        <v/>
      </c>
      <c r="BU75" s="1" t="str">
        <f>IF(AR75&gt;AR$130, AR75-AR$130,"")</f>
        <v/>
      </c>
      <c r="BV75" s="1" t="str">
        <f>IF(AS75&gt;AS$130, AS75-AS$130,"")</f>
        <v/>
      </c>
      <c r="BW75" s="1" t="str">
        <f>IF(AT75&gt;AT$130, AT75-AT$130,"")</f>
        <v/>
      </c>
      <c r="BX75" s="1" t="str">
        <f>IF(AU75&gt;AU$130, AU75-AU$130,"")</f>
        <v/>
      </c>
      <c r="BY75" s="1" t="str">
        <f>IF(AV75&gt;AV$130, AV75-AV$130,"")</f>
        <v/>
      </c>
      <c r="BZ75" s="1" t="str">
        <f>IF(AW75&gt;AW$130, AW75-AW$130,"")</f>
        <v/>
      </c>
      <c r="CA75" s="1" t="str">
        <f>IF(AX75&gt;AX$130, AX75-AX$130,"")</f>
        <v/>
      </c>
      <c r="CB75" s="1" t="str">
        <f>IF(AY75&gt;AY$130, AY75-AY$130,"")</f>
        <v/>
      </c>
      <c r="CC75" s="1" t="str">
        <f>IF(AZ75&gt;AZ$130, AZ75-AZ$130,"")</f>
        <v/>
      </c>
      <c r="CD75" s="1" t="str">
        <f>IF(BA75&gt;BA$130, BA75-BA$130,"")</f>
        <v/>
      </c>
      <c r="CE75" s="1" t="str">
        <f>IF(BB75&gt;BB$130, BB75-BB$130,"")</f>
        <v/>
      </c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3"/>
    </row>
    <row r="76" spans="1:97" ht="40.5" x14ac:dyDescent="0.15">
      <c r="A76" s="1"/>
      <c r="B76" s="1" t="s">
        <v>149</v>
      </c>
      <c r="C76" s="1" t="s">
        <v>150</v>
      </c>
      <c r="D76" s="1" t="s">
        <v>125</v>
      </c>
      <c r="E76" s="6"/>
      <c r="F76" s="6"/>
      <c r="G76" s="6"/>
      <c r="H76" s="6"/>
      <c r="I76" s="6"/>
      <c r="J76" s="6"/>
      <c r="K76" s="6"/>
      <c r="L76" s="6">
        <v>7</v>
      </c>
      <c r="M76" s="6"/>
      <c r="N76" s="6"/>
      <c r="O76" s="6"/>
      <c r="P76" s="28"/>
      <c r="Q76" s="28">
        <v>7</v>
      </c>
      <c r="R76" s="28"/>
      <c r="S76" s="28"/>
      <c r="T76" s="28">
        <v>7</v>
      </c>
      <c r="U76" s="28"/>
      <c r="V76" s="28"/>
      <c r="W76" s="28"/>
      <c r="X76" s="28">
        <v>7</v>
      </c>
      <c r="Y76" s="28"/>
      <c r="Z76" s="28"/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28</v>
      </c>
      <c r="BQ76" s="1">
        <v>9</v>
      </c>
      <c r="BR76" s="17">
        <v>3</v>
      </c>
      <c r="BS76" s="17" t="s">
        <v>271</v>
      </c>
      <c r="BT76" s="1" t="str">
        <f>IF(AQ76&gt;AQ$130, AQ76-AQ$130,"")</f>
        <v/>
      </c>
      <c r="BU76" s="1" t="str">
        <f>IF(AR76&gt;AR$130, AR76-AR$130,"")</f>
        <v/>
      </c>
      <c r="BV76" s="1" t="str">
        <f>IF(AS76&gt;AS$130, AS76-AS$130,"")</f>
        <v/>
      </c>
      <c r="BW76" s="1" t="str">
        <f>IF(AT76&gt;AT$130, AT76-AT$130,"")</f>
        <v/>
      </c>
      <c r="BX76" s="1" t="str">
        <f>IF(AU76&gt;AU$130, AU76-AU$130,"")</f>
        <v/>
      </c>
      <c r="BY76" s="1" t="str">
        <f>IF(AV76&gt;AV$130, AV76-AV$130,"")</f>
        <v/>
      </c>
      <c r="BZ76" s="1" t="str">
        <f>IF(AW76&gt;AW$130, AW76-AW$130,"")</f>
        <v/>
      </c>
      <c r="CA76" s="1" t="str">
        <f>IF(AX76&gt;AX$130, AX76-AX$130,"")</f>
        <v/>
      </c>
      <c r="CB76" s="1" t="str">
        <f>IF(AY76&gt;AY$130, AY76-AY$130,"")</f>
        <v/>
      </c>
      <c r="CC76" s="1" t="str">
        <f>IF(AZ76&gt;AZ$130, AZ76-AZ$130,"")</f>
        <v/>
      </c>
      <c r="CD76" s="1" t="str">
        <f>IF(BA76&gt;BA$130, BA76-BA$130,"")</f>
        <v/>
      </c>
      <c r="CE76" s="1" t="str">
        <f>IF(BB76&gt;BB$130, BB76-BB$130,"")</f>
        <v/>
      </c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3"/>
    </row>
    <row r="77" spans="1:97" ht="40.5" x14ac:dyDescent="0.15">
      <c r="A77" s="1"/>
      <c r="B77" s="1" t="s">
        <v>143</v>
      </c>
      <c r="C77" s="1" t="s">
        <v>141</v>
      </c>
      <c r="D77" s="1" t="s">
        <v>124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>
        <v>5</v>
      </c>
      <c r="R77" s="28"/>
      <c r="S77" s="28"/>
      <c r="T77" s="28">
        <v>5</v>
      </c>
      <c r="U77" s="28"/>
      <c r="V77" s="28"/>
      <c r="W77" s="28"/>
      <c r="X77" s="28"/>
      <c r="Y77" s="28"/>
      <c r="Z77" s="28">
        <v>5</v>
      </c>
      <c r="AA77" s="28">
        <v>2</v>
      </c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17</v>
      </c>
      <c r="BQ77" s="1">
        <v>9</v>
      </c>
      <c r="BR77" s="17">
        <v>3</v>
      </c>
      <c r="BS77" s="17" t="s">
        <v>272</v>
      </c>
      <c r="BT77" s="1" t="str">
        <f>IF(AQ77&gt;AQ$130, AQ77-AQ$130,"")</f>
        <v/>
      </c>
      <c r="BU77" s="1" t="str">
        <f>IF(AR77&gt;AR$130, AR77-AR$130,"")</f>
        <v/>
      </c>
      <c r="BV77" s="1" t="str">
        <f>IF(AS77&gt;AS$130, AS77-AS$130,"")</f>
        <v/>
      </c>
      <c r="BW77" s="1" t="str">
        <f>IF(AT77&gt;AT$130, AT77-AT$130,"")</f>
        <v/>
      </c>
      <c r="BX77" s="1" t="str">
        <f>IF(AU77&gt;AU$130, AU77-AU$130,"")</f>
        <v/>
      </c>
      <c r="BY77" s="1" t="str">
        <f>IF(AV77&gt;AV$130, AV77-AV$130,"")</f>
        <v/>
      </c>
      <c r="BZ77" s="1" t="str">
        <f>IF(AW77&gt;AW$130, AW77-AW$130,"")</f>
        <v/>
      </c>
      <c r="CA77" s="1" t="str">
        <f>IF(AX77&gt;AX$130, AX77-AX$130,"")</f>
        <v/>
      </c>
      <c r="CB77" s="1" t="str">
        <f>IF(AY77&gt;AY$130, AY77-AY$130,"")</f>
        <v/>
      </c>
      <c r="CC77" s="1" t="str">
        <f>IF(AZ77&gt;AZ$130, AZ77-AZ$130,"")</f>
        <v/>
      </c>
      <c r="CD77" s="1" t="str">
        <f>IF(BA77&gt;BA$130, BA77-BA$130,"")</f>
        <v/>
      </c>
      <c r="CE77" s="1" t="str">
        <f>IF(BB77&gt;BB$130, BB77-BB$130,"")</f>
        <v/>
      </c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3"/>
    </row>
    <row r="78" spans="1:97" ht="40.5" x14ac:dyDescent="0.15">
      <c r="A78" s="1"/>
      <c r="B78" s="1" t="s">
        <v>153</v>
      </c>
      <c r="C78" s="1" t="s">
        <v>152</v>
      </c>
      <c r="D78" s="1" t="s">
        <v>124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>
        <v>5</v>
      </c>
      <c r="R78" s="28"/>
      <c r="S78" s="28"/>
      <c r="T78" s="28">
        <v>5</v>
      </c>
      <c r="U78" s="28"/>
      <c r="V78" s="28"/>
      <c r="W78" s="28"/>
      <c r="X78" s="28"/>
      <c r="Y78" s="28"/>
      <c r="Z78" s="28">
        <v>5</v>
      </c>
      <c r="AA78" s="28">
        <v>2</v>
      </c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17</v>
      </c>
      <c r="BQ78" s="1">
        <v>9</v>
      </c>
      <c r="BR78" s="17">
        <v>3</v>
      </c>
      <c r="BS78" s="17" t="s">
        <v>272</v>
      </c>
      <c r="BT78" s="1" t="str">
        <f>IF(AQ78&gt;AQ$130, AQ78-AQ$130,"")</f>
        <v/>
      </c>
      <c r="BU78" s="1" t="str">
        <f>IF(AR78&gt;AR$130, AR78-AR$130,"")</f>
        <v/>
      </c>
      <c r="BV78" s="1" t="str">
        <f>IF(AS78&gt;AS$130, AS78-AS$130,"")</f>
        <v/>
      </c>
      <c r="BW78" s="1" t="str">
        <f>IF(AT78&gt;AT$130, AT78-AT$130,"")</f>
        <v/>
      </c>
      <c r="BX78" s="1" t="str">
        <f>IF(AU78&gt;AU$130, AU78-AU$130,"")</f>
        <v/>
      </c>
      <c r="BY78" s="1" t="str">
        <f>IF(AV78&gt;AV$130, AV78-AV$130,"")</f>
        <v/>
      </c>
      <c r="BZ78" s="1" t="str">
        <f>IF(AW78&gt;AW$130, AW78-AW$130,"")</f>
        <v/>
      </c>
      <c r="CA78" s="1" t="str">
        <f>IF(AX78&gt;AX$130, AX78-AX$130,"")</f>
        <v/>
      </c>
      <c r="CB78" s="1" t="str">
        <f>IF(AY78&gt;AY$130, AY78-AY$130,"")</f>
        <v/>
      </c>
      <c r="CC78" s="1" t="str">
        <f>IF(AZ78&gt;AZ$130, AZ78-AZ$130,"")</f>
        <v/>
      </c>
      <c r="CD78" s="1" t="str">
        <f>IF(BA78&gt;BA$130, BA78-BA$130,"")</f>
        <v/>
      </c>
      <c r="CE78" s="1" t="str">
        <f>IF(BB78&gt;BB$130, BB78-BB$130,"")</f>
        <v/>
      </c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3"/>
    </row>
    <row r="79" spans="1:97" ht="40.5" x14ac:dyDescent="0.15">
      <c r="A79" s="1"/>
      <c r="B79" s="1" t="s">
        <v>160</v>
      </c>
      <c r="C79" s="1" t="s">
        <v>120</v>
      </c>
      <c r="D79" s="1" t="s">
        <v>162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>
        <v>5</v>
      </c>
      <c r="R79" s="28"/>
      <c r="S79" s="28"/>
      <c r="T79" s="28">
        <v>5</v>
      </c>
      <c r="U79" s="28"/>
      <c r="V79" s="28"/>
      <c r="W79" s="28"/>
      <c r="X79" s="28"/>
      <c r="Y79" s="28"/>
      <c r="Z79" s="28">
        <v>5</v>
      </c>
      <c r="AA79" s="28">
        <v>2</v>
      </c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17</v>
      </c>
      <c r="BQ79" s="1">
        <v>9</v>
      </c>
      <c r="BR79" s="17">
        <v>3</v>
      </c>
      <c r="BS79" s="17" t="s">
        <v>273</v>
      </c>
      <c r="BT79" s="1" t="str">
        <f>IF(AQ79&gt;AQ$130, AQ79-AQ$130,"")</f>
        <v/>
      </c>
      <c r="BU79" s="1" t="str">
        <f>IF(AR79&gt;AR$130, AR79-AR$130,"")</f>
        <v/>
      </c>
      <c r="BV79" s="1" t="str">
        <f>IF(AS79&gt;AS$130, AS79-AS$130,"")</f>
        <v/>
      </c>
      <c r="BW79" s="1" t="str">
        <f>IF(AT79&gt;AT$130, AT79-AT$130,"")</f>
        <v/>
      </c>
      <c r="BX79" s="1" t="str">
        <f>IF(AU79&gt;AU$130, AU79-AU$130,"")</f>
        <v/>
      </c>
      <c r="BY79" s="1" t="str">
        <f>IF(AV79&gt;AV$130, AV79-AV$130,"")</f>
        <v/>
      </c>
      <c r="BZ79" s="1" t="str">
        <f>IF(AW79&gt;AW$130, AW79-AW$130,"")</f>
        <v/>
      </c>
      <c r="CA79" s="1" t="str">
        <f>IF(AX79&gt;AX$130, AX79-AX$130,"")</f>
        <v/>
      </c>
      <c r="CB79" s="1" t="str">
        <f>IF(AY79&gt;AY$130, AY79-AY$130,"")</f>
        <v/>
      </c>
      <c r="CC79" s="1" t="str">
        <f>IF(AZ79&gt;AZ$130, AZ79-AZ$130,"")</f>
        <v/>
      </c>
      <c r="CD79" s="1" t="str">
        <f>IF(BA79&gt;BA$130, BA79-BA$130,"")</f>
        <v/>
      </c>
      <c r="CE79" s="1" t="str">
        <f>IF(BB79&gt;BB$130, BB79-BB$130,"")</f>
        <v/>
      </c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3"/>
    </row>
    <row r="80" spans="1:97" ht="40.5" x14ac:dyDescent="0.15">
      <c r="A80" s="1"/>
      <c r="B80" s="1" t="s">
        <v>156</v>
      </c>
      <c r="C80" s="1" t="s">
        <v>152</v>
      </c>
      <c r="D80" s="1" t="s">
        <v>123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8"/>
      <c r="Q80" s="28">
        <v>5</v>
      </c>
      <c r="R80" s="28"/>
      <c r="S80" s="28"/>
      <c r="T80" s="28">
        <v>5</v>
      </c>
      <c r="U80" s="28"/>
      <c r="V80" s="28"/>
      <c r="W80" s="28">
        <v>5</v>
      </c>
      <c r="X80" s="28"/>
      <c r="Y80" s="28"/>
      <c r="Z80" s="28">
        <v>5</v>
      </c>
      <c r="AA80" s="28"/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20</v>
      </c>
      <c r="BQ80" s="1">
        <v>11</v>
      </c>
      <c r="BR80" s="17">
        <v>3</v>
      </c>
      <c r="BS80" s="17" t="s">
        <v>274</v>
      </c>
      <c r="BT80" s="1" t="str">
        <f>IF(AQ80&gt;AQ$130, AQ80-AQ$130,"")</f>
        <v/>
      </c>
      <c r="BU80" s="1" t="str">
        <f>IF(AR80&gt;AR$130, AR80-AR$130,"")</f>
        <v/>
      </c>
      <c r="BV80" s="1" t="str">
        <f>IF(AS80&gt;AS$130, AS80-AS$130,"")</f>
        <v/>
      </c>
      <c r="BW80" s="1" t="str">
        <f>IF(AT80&gt;AT$130, AT80-AT$130,"")</f>
        <v/>
      </c>
      <c r="BX80" s="1" t="str">
        <f>IF(AU80&gt;AU$130, AU80-AU$130,"")</f>
        <v/>
      </c>
      <c r="BY80" s="1" t="str">
        <f>IF(AV80&gt;AV$130, AV80-AV$130,"")</f>
        <v/>
      </c>
      <c r="BZ80" s="1" t="str">
        <f>IF(AW80&gt;AW$130, AW80-AW$130,"")</f>
        <v/>
      </c>
      <c r="CA80" s="1" t="str">
        <f>IF(AX80&gt;AX$130, AX80-AX$130,"")</f>
        <v/>
      </c>
      <c r="CB80" s="1" t="str">
        <f>IF(AY80&gt;AY$130, AY80-AY$130,"")</f>
        <v/>
      </c>
      <c r="CC80" s="1" t="str">
        <f>IF(AZ80&gt;AZ$130, AZ80-AZ$130,"")</f>
        <v/>
      </c>
      <c r="CD80" s="1" t="str">
        <f>IF(BA80&gt;BA$130, BA80-BA$130,"")</f>
        <v/>
      </c>
      <c r="CE80" s="1" t="str">
        <f>IF(BB80&gt;BB$130, BB80-BB$130,"")</f>
        <v/>
      </c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3"/>
    </row>
    <row r="81" spans="1:97" ht="40.5" x14ac:dyDescent="0.15">
      <c r="A81" s="1"/>
      <c r="B81" s="1" t="s">
        <v>157</v>
      </c>
      <c r="C81" s="1" t="s">
        <v>152</v>
      </c>
      <c r="D81" s="1" t="s">
        <v>125</v>
      </c>
      <c r="E81" s="6"/>
      <c r="F81" s="6"/>
      <c r="G81" s="6">
        <v>5</v>
      </c>
      <c r="H81" s="6"/>
      <c r="I81" s="6"/>
      <c r="J81" s="6"/>
      <c r="K81" s="6"/>
      <c r="L81" s="6"/>
      <c r="M81" s="6"/>
      <c r="N81" s="6"/>
      <c r="O81" s="6"/>
      <c r="P81" s="28"/>
      <c r="Q81" s="28"/>
      <c r="R81" s="28"/>
      <c r="S81" s="28"/>
      <c r="T81" s="28"/>
      <c r="U81" s="28"/>
      <c r="V81" s="28">
        <v>5</v>
      </c>
      <c r="W81" s="28"/>
      <c r="X81" s="28"/>
      <c r="Y81" s="28">
        <v>5</v>
      </c>
      <c r="Z81" s="28"/>
      <c r="AA81" s="28"/>
      <c r="AB81" s="28"/>
      <c r="AC81" s="28">
        <v>5</v>
      </c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20</v>
      </c>
      <c r="BQ81" s="1">
        <v>11</v>
      </c>
      <c r="BR81" s="17">
        <v>3</v>
      </c>
      <c r="BS81" s="17" t="s">
        <v>275</v>
      </c>
      <c r="BT81" s="1" t="str">
        <f>IF(AQ81&gt;AQ$130, AQ81-AQ$130,"")</f>
        <v/>
      </c>
      <c r="BU81" s="1" t="str">
        <f>IF(AR81&gt;AR$130, AR81-AR$130,"")</f>
        <v/>
      </c>
      <c r="BV81" s="1" t="str">
        <f>IF(AS81&gt;AS$130, AS81-AS$130,"")</f>
        <v/>
      </c>
      <c r="BW81" s="1" t="str">
        <f>IF(AT81&gt;AT$130, AT81-AT$130,"")</f>
        <v/>
      </c>
      <c r="BX81" s="1" t="str">
        <f>IF(AU81&gt;AU$130, AU81-AU$130,"")</f>
        <v/>
      </c>
      <c r="BY81" s="1" t="str">
        <f>IF(AV81&gt;AV$130, AV81-AV$130,"")</f>
        <v/>
      </c>
      <c r="BZ81" s="1" t="str">
        <f>IF(AW81&gt;AW$130, AW81-AW$130,"")</f>
        <v/>
      </c>
      <c r="CA81" s="1" t="str">
        <f>IF(AX81&gt;AX$130, AX81-AX$130,"")</f>
        <v/>
      </c>
      <c r="CB81" s="1" t="str">
        <f>IF(AY81&gt;AY$130, AY81-AY$130,"")</f>
        <v/>
      </c>
      <c r="CC81" s="1" t="str">
        <f>IF(AZ81&gt;AZ$130, AZ81-AZ$130,"")</f>
        <v/>
      </c>
      <c r="CD81" s="1" t="str">
        <f>IF(BA81&gt;BA$130, BA81-BA$130,"")</f>
        <v/>
      </c>
      <c r="CE81" s="1" t="str">
        <f>IF(BB81&gt;BB$130, BB81-BB$130,"")</f>
        <v/>
      </c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3"/>
    </row>
    <row r="82" spans="1:97" ht="40.5" x14ac:dyDescent="0.15">
      <c r="A82" s="1"/>
      <c r="B82" s="1" t="s">
        <v>147</v>
      </c>
      <c r="C82" s="1" t="s">
        <v>145</v>
      </c>
      <c r="D82" s="1" t="s">
        <v>125</v>
      </c>
      <c r="E82" s="6"/>
      <c r="F82" s="6"/>
      <c r="G82" s="6"/>
      <c r="H82" s="6"/>
      <c r="I82" s="6">
        <v>7</v>
      </c>
      <c r="J82" s="6"/>
      <c r="K82" s="6"/>
      <c r="L82" s="6"/>
      <c r="M82" s="6"/>
      <c r="N82" s="6"/>
      <c r="O82" s="6"/>
      <c r="P82" s="28"/>
      <c r="Q82" s="28">
        <v>7</v>
      </c>
      <c r="R82" s="28">
        <v>7</v>
      </c>
      <c r="S82" s="28"/>
      <c r="T82" s="28">
        <v>7</v>
      </c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28</v>
      </c>
      <c r="BQ82" s="1">
        <v>13</v>
      </c>
      <c r="BR82" s="17">
        <v>3</v>
      </c>
      <c r="BS82" s="17" t="s">
        <v>228</v>
      </c>
      <c r="BT82" s="1" t="str">
        <f>IF(AQ82&gt;AQ$130, AQ82-AQ$130,"")</f>
        <v/>
      </c>
      <c r="BU82" s="1" t="str">
        <f>IF(AR82&gt;AR$130, AR82-AR$130,"")</f>
        <v/>
      </c>
      <c r="BV82" s="1" t="str">
        <f>IF(AS82&gt;AS$130, AS82-AS$130,"")</f>
        <v/>
      </c>
      <c r="BW82" s="1" t="str">
        <f>IF(AT82&gt;AT$130, AT82-AT$130,"")</f>
        <v/>
      </c>
      <c r="BX82" s="1" t="str">
        <f>IF(AU82&gt;AU$130, AU82-AU$130,"")</f>
        <v/>
      </c>
      <c r="BY82" s="1" t="str">
        <f>IF(AV82&gt;AV$130, AV82-AV$130,"")</f>
        <v/>
      </c>
      <c r="BZ82" s="1" t="str">
        <f>IF(AW82&gt;AW$130, AW82-AW$130,"")</f>
        <v/>
      </c>
      <c r="CA82" s="1" t="str">
        <f>IF(AX82&gt;AX$130, AX82-AX$130,"")</f>
        <v/>
      </c>
      <c r="CB82" s="1" t="str">
        <f>IF(AY82&gt;AY$130, AY82-AY$130,"")</f>
        <v/>
      </c>
      <c r="CC82" s="1" t="str">
        <f>IF(AZ82&gt;AZ$130, AZ82-AZ$130,"")</f>
        <v/>
      </c>
      <c r="CD82" s="1" t="str">
        <f>IF(BA82&gt;BA$130, BA82-BA$130,"")</f>
        <v/>
      </c>
      <c r="CE82" s="1" t="str">
        <f>IF(BB82&gt;BB$130, BB82-BB$130,"")</f>
        <v/>
      </c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3"/>
    </row>
    <row r="83" spans="1:97" ht="40.5" x14ac:dyDescent="0.15">
      <c r="A83" s="1"/>
      <c r="B83" s="1" t="s">
        <v>188</v>
      </c>
      <c r="C83" s="1" t="s">
        <v>120</v>
      </c>
      <c r="D83" s="1" t="s">
        <v>107</v>
      </c>
      <c r="E83" s="6"/>
      <c r="F83" s="6"/>
      <c r="G83" s="6"/>
      <c r="H83" s="6">
        <v>10</v>
      </c>
      <c r="I83" s="6"/>
      <c r="J83" s="6">
        <v>10</v>
      </c>
      <c r="K83" s="6"/>
      <c r="L83" s="6"/>
      <c r="M83" s="6"/>
      <c r="N83" s="6"/>
      <c r="O83" s="6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>
        <v>10</v>
      </c>
      <c r="AU83" s="4"/>
      <c r="AV83" s="4"/>
      <c r="AW83" s="2"/>
      <c r="AX83" s="2"/>
      <c r="AY83" s="2">
        <v>10</v>
      </c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40</v>
      </c>
      <c r="BQ83" s="1">
        <v>14</v>
      </c>
      <c r="BR83" s="17">
        <v>3</v>
      </c>
      <c r="BS83" s="17" t="s">
        <v>276</v>
      </c>
      <c r="BT83" s="1" t="str">
        <f>IF(AQ83&gt;AQ$130, AQ83-AQ$130,"")</f>
        <v/>
      </c>
      <c r="BU83" s="1" t="str">
        <f>IF(AR83&gt;AR$130, AR83-AR$130,"")</f>
        <v/>
      </c>
      <c r="BV83" s="1" t="str">
        <f>IF(AS83&gt;AS$130, AS83-AS$130,"")</f>
        <v/>
      </c>
      <c r="BW83" s="1" t="str">
        <f>IF(AT83&gt;AT$130, AT83-AT$130,"")</f>
        <v/>
      </c>
      <c r="BX83" s="1" t="str">
        <f>IF(AU83&gt;AU$130, AU83-AU$130,"")</f>
        <v/>
      </c>
      <c r="BY83" s="1" t="str">
        <f>IF(AV83&gt;AV$130, AV83-AV$130,"")</f>
        <v/>
      </c>
      <c r="BZ83" s="1" t="str">
        <f>IF(AW83&gt;AW$130, AW83-AW$130,"")</f>
        <v/>
      </c>
      <c r="CA83" s="1" t="str">
        <f>IF(AX83&gt;AX$130, AX83-AX$130,"")</f>
        <v/>
      </c>
      <c r="CB83" s="1" t="str">
        <f>IF(AY83&gt;AY$130, AY83-AY$130,"")</f>
        <v/>
      </c>
      <c r="CC83" s="1" t="str">
        <f>IF(AZ83&gt;AZ$130, AZ83-AZ$130,"")</f>
        <v/>
      </c>
      <c r="CD83" s="1" t="str">
        <f>IF(BA83&gt;BA$130, BA83-BA$130,"")</f>
        <v/>
      </c>
      <c r="CE83" s="1" t="str">
        <f>IF(BB83&gt;BB$130, BB83-BB$130,"")</f>
        <v/>
      </c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3"/>
    </row>
    <row r="84" spans="1:97" ht="40.5" x14ac:dyDescent="0.15">
      <c r="A84" s="1"/>
      <c r="B84" s="1" t="s">
        <v>143</v>
      </c>
      <c r="C84" s="1" t="s">
        <v>141</v>
      </c>
      <c r="D84" s="1" t="s">
        <v>125</v>
      </c>
      <c r="E84" s="6"/>
      <c r="F84" s="6"/>
      <c r="G84" s="6"/>
      <c r="H84" s="6">
        <v>7</v>
      </c>
      <c r="I84" s="6"/>
      <c r="J84" s="6"/>
      <c r="K84" s="6"/>
      <c r="L84" s="6"/>
      <c r="M84" s="6"/>
      <c r="N84" s="6"/>
      <c r="O84" s="6"/>
      <c r="P84" s="28"/>
      <c r="Q84" s="28">
        <v>7</v>
      </c>
      <c r="R84" s="28"/>
      <c r="S84" s="28"/>
      <c r="T84" s="28">
        <v>7</v>
      </c>
      <c r="U84" s="28"/>
      <c r="V84" s="28"/>
      <c r="W84" s="28"/>
      <c r="X84" s="28"/>
      <c r="Y84" s="28"/>
      <c r="Z84" s="28"/>
      <c r="AA84" s="28">
        <v>7</v>
      </c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28</v>
      </c>
      <c r="BQ84" s="1">
        <v>14</v>
      </c>
      <c r="BR84" s="17">
        <v>3</v>
      </c>
      <c r="BS84" s="17" t="s">
        <v>277</v>
      </c>
      <c r="BT84" s="1" t="str">
        <f>IF(AQ84&gt;AQ$130, AQ84-AQ$130,"")</f>
        <v/>
      </c>
      <c r="BU84" s="1" t="str">
        <f>IF(AR84&gt;AR$130, AR84-AR$130,"")</f>
        <v/>
      </c>
      <c r="BV84" s="1" t="str">
        <f>IF(AS84&gt;AS$130, AS84-AS$130,"")</f>
        <v/>
      </c>
      <c r="BW84" s="1" t="str">
        <f>IF(AT84&gt;AT$130, AT84-AT$130,"")</f>
        <v/>
      </c>
      <c r="BX84" s="1" t="str">
        <f>IF(AU84&gt;AU$130, AU84-AU$130,"")</f>
        <v/>
      </c>
      <c r="BY84" s="1" t="str">
        <f>IF(AV84&gt;AV$130, AV84-AV$130,"")</f>
        <v/>
      </c>
      <c r="BZ84" s="1" t="str">
        <f>IF(AW84&gt;AW$130, AW84-AW$130,"")</f>
        <v/>
      </c>
      <c r="CA84" s="1" t="str">
        <f>IF(AX84&gt;AX$130, AX84-AX$130,"")</f>
        <v/>
      </c>
      <c r="CB84" s="1" t="str">
        <f>IF(AY84&gt;AY$130, AY84-AY$130,"")</f>
        <v/>
      </c>
      <c r="CC84" s="1" t="str">
        <f>IF(AZ84&gt;AZ$130, AZ84-AZ$130,"")</f>
        <v/>
      </c>
      <c r="CD84" s="1" t="str">
        <f>IF(BA84&gt;BA$130, BA84-BA$130,"")</f>
        <v/>
      </c>
      <c r="CE84" s="1" t="str">
        <f>IF(BB84&gt;BB$130, BB84-BB$130,"")</f>
        <v/>
      </c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3"/>
    </row>
    <row r="85" spans="1:97" ht="40.5" x14ac:dyDescent="0.15">
      <c r="A85" s="1">
        <v>28</v>
      </c>
      <c r="B85" s="1" t="s">
        <v>74</v>
      </c>
      <c r="C85" s="1" t="s">
        <v>31</v>
      </c>
      <c r="D85" s="1" t="s">
        <v>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1"/>
      <c r="AF85" s="1"/>
      <c r="AG85" s="1"/>
      <c r="AH85" s="1">
        <v>5</v>
      </c>
      <c r="AI85" s="1">
        <v>5</v>
      </c>
      <c r="AJ85" s="1">
        <v>5</v>
      </c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15</v>
      </c>
      <c r="BQ85" s="1">
        <v>15</v>
      </c>
      <c r="BR85" s="17">
        <v>3</v>
      </c>
      <c r="BS85" s="17" t="s">
        <v>278</v>
      </c>
      <c r="BT85" s="1" t="str">
        <f>IF(AQ85&gt;AQ$130, AQ85-AQ$130,"")</f>
        <v/>
      </c>
      <c r="BU85" s="1" t="str">
        <f>IF(AR85&gt;AR$130, AR85-AR$130,"")</f>
        <v/>
      </c>
      <c r="BV85" s="1" t="str">
        <f>IF(AS85&gt;AS$130, AS85-AS$130,"")</f>
        <v/>
      </c>
      <c r="BW85" s="1" t="str">
        <f>IF(AT85&gt;AT$130, AT85-AT$130,"")</f>
        <v/>
      </c>
      <c r="BX85" s="1" t="str">
        <f>IF(AU85&gt;AU$130, AU85-AU$130,"")</f>
        <v/>
      </c>
      <c r="BY85" s="1" t="str">
        <f>IF(AV85&gt;AV$130, AV85-AV$130,"")</f>
        <v/>
      </c>
      <c r="BZ85" s="1" t="str">
        <f>IF(AW85&gt;AW$130, AW85-AW$130,"")</f>
        <v/>
      </c>
      <c r="CA85" s="1" t="str">
        <f>IF(AX85&gt;AX$130, AX85-AX$130,"")</f>
        <v/>
      </c>
      <c r="CB85" s="1" t="str">
        <f>IF(AY85&gt;AY$130, AY85-AY$130,"")</f>
        <v/>
      </c>
      <c r="CC85" s="1" t="str">
        <f>IF(AZ85&gt;AZ$130, AZ85-AZ$130,"")</f>
        <v/>
      </c>
      <c r="CD85" s="1" t="str">
        <f>IF(BA85&gt;BA$130, BA85-BA$130,"")</f>
        <v/>
      </c>
      <c r="CE85" s="1" t="str">
        <f>IF(BB85&gt;BB$130, BB85-BB$130,"")</f>
        <v/>
      </c>
      <c r="CF85" s="1">
        <f>COUNTIF(BT85:CE85, "&gt;0")</f>
        <v>0</v>
      </c>
      <c r="CG85" s="1" t="str">
        <f>IF($CF85=1,BT85,"")</f>
        <v/>
      </c>
      <c r="CH85" s="1" t="str">
        <f>IF($CF85=1,BU85,"")</f>
        <v/>
      </c>
      <c r="CI85" s="1" t="str">
        <f>IF($CF85=1,BV85,"")</f>
        <v/>
      </c>
      <c r="CJ85" s="1" t="str">
        <f>IF($CF85=1,BW85,"")</f>
        <v/>
      </c>
      <c r="CK85" s="1" t="str">
        <f>IF($CF85=1,BX85,"")</f>
        <v/>
      </c>
      <c r="CL85" s="1" t="str">
        <f>IF($CF85=1,BY85,"")</f>
        <v/>
      </c>
      <c r="CM85" s="1" t="str">
        <f>IF($CF85=1,BZ85,"")</f>
        <v/>
      </c>
      <c r="CN85" s="1" t="str">
        <f>IF($CF85=1,CA85,"")</f>
        <v/>
      </c>
      <c r="CO85" s="1" t="str">
        <f>IF($CF85=1,CB85,"")</f>
        <v/>
      </c>
      <c r="CP85" s="1" t="str">
        <f>IF($CF85=1,CC85,"")</f>
        <v/>
      </c>
      <c r="CQ85" s="1" t="str">
        <f>IF($CF85=1,CD85,"")</f>
        <v/>
      </c>
      <c r="CR85" s="1" t="str">
        <f>IF($CF85=1,CE85,"")</f>
        <v/>
      </c>
      <c r="CS85" s="3">
        <f>SUM(AE85:BO85)</f>
        <v>15</v>
      </c>
    </row>
    <row r="86" spans="1:97" ht="40.5" x14ac:dyDescent="0.15">
      <c r="A86" s="1">
        <v>89</v>
      </c>
      <c r="B86" s="3" t="s">
        <v>79</v>
      </c>
      <c r="C86" s="3" t="s">
        <v>80</v>
      </c>
      <c r="D86" s="1" t="s">
        <v>1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1"/>
      <c r="AF86" s="1">
        <v>5</v>
      </c>
      <c r="AG86" s="1"/>
      <c r="AH86" s="1">
        <v>5</v>
      </c>
      <c r="AI86" s="1">
        <v>5</v>
      </c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15</v>
      </c>
      <c r="BQ86" s="1">
        <v>15</v>
      </c>
      <c r="BR86" s="17">
        <v>3</v>
      </c>
      <c r="BS86" s="17" t="s">
        <v>279</v>
      </c>
      <c r="BT86" s="1" t="str">
        <f>IF(AQ86&gt;AQ$130, AQ86-AQ$130,"")</f>
        <v/>
      </c>
      <c r="BU86" s="1" t="str">
        <f>IF(AR86&gt;AR$130, AR86-AR$130,"")</f>
        <v/>
      </c>
      <c r="BV86" s="1" t="str">
        <f>IF(AS86&gt;AS$130, AS86-AS$130,"")</f>
        <v/>
      </c>
      <c r="BW86" s="1" t="str">
        <f>IF(AT86&gt;AT$130, AT86-AT$130,"")</f>
        <v/>
      </c>
      <c r="BX86" s="1" t="str">
        <f>IF(AU86&gt;AU$130, AU86-AU$130,"")</f>
        <v/>
      </c>
      <c r="BY86" s="1" t="str">
        <f>IF(AV86&gt;AV$130, AV86-AV$130,"")</f>
        <v/>
      </c>
      <c r="BZ86" s="1" t="str">
        <f>IF(AW86&gt;AW$130, AW86-AW$130,"")</f>
        <v/>
      </c>
      <c r="CA86" s="1" t="str">
        <f>IF(AX86&gt;AX$130, AX86-AX$130,"")</f>
        <v/>
      </c>
      <c r="CB86" s="1" t="str">
        <f>IF(AY86&gt;AY$130, AY86-AY$130,"")</f>
        <v/>
      </c>
      <c r="CC86" s="1" t="str">
        <f>IF(AZ86&gt;AZ$130, AZ86-AZ$130,"")</f>
        <v/>
      </c>
      <c r="CD86" s="1" t="str">
        <f>IF(BA86&gt;BA$130, BA86-BA$130,"")</f>
        <v/>
      </c>
      <c r="CE86" s="1" t="str">
        <f>IF(BB86&gt;BB$130, BB86-BB$130,"")</f>
        <v/>
      </c>
      <c r="CF86" s="1">
        <f>COUNTIF(BT86:CE86, "&gt;0")</f>
        <v>0</v>
      </c>
      <c r="CG86" s="1" t="str">
        <f>IF($CF86=1,BT86,"")</f>
        <v/>
      </c>
      <c r="CH86" s="1" t="str">
        <f>IF($CF86=1,BU86,"")</f>
        <v/>
      </c>
      <c r="CI86" s="1" t="str">
        <f>IF($CF86=1,BV86,"")</f>
        <v/>
      </c>
      <c r="CJ86" s="1" t="str">
        <f>IF($CF86=1,BW86,"")</f>
        <v/>
      </c>
      <c r="CK86" s="1" t="str">
        <f>IF($CF86=1,BX86,"")</f>
        <v/>
      </c>
      <c r="CL86" s="1" t="str">
        <f>IF($CF86=1,BY86,"")</f>
        <v/>
      </c>
      <c r="CM86" s="1" t="str">
        <f>IF($CF86=1,BZ86,"")</f>
        <v/>
      </c>
      <c r="CN86" s="1" t="str">
        <f>IF($CF86=1,CA86,"")</f>
        <v/>
      </c>
      <c r="CO86" s="1" t="str">
        <f>IF($CF86=1,CB86,"")</f>
        <v/>
      </c>
      <c r="CP86" s="1" t="str">
        <f>IF($CF86=1,CC86,"")</f>
        <v/>
      </c>
      <c r="CQ86" s="1" t="str">
        <f>IF($CF86=1,CD86,"")</f>
        <v/>
      </c>
      <c r="CR86" s="1" t="str">
        <f>IF($CF86=1,CE86,"")</f>
        <v/>
      </c>
      <c r="CS86" s="3">
        <f>SUM(AE86:BO86)</f>
        <v>15</v>
      </c>
    </row>
    <row r="87" spans="1:97" ht="40.5" x14ac:dyDescent="0.15">
      <c r="A87" s="1"/>
      <c r="B87" s="1" t="s">
        <v>153</v>
      </c>
      <c r="C87" s="1" t="s">
        <v>152</v>
      </c>
      <c r="D87" s="1" t="s">
        <v>125</v>
      </c>
      <c r="E87" s="6"/>
      <c r="F87" s="6"/>
      <c r="G87" s="6">
        <v>10</v>
      </c>
      <c r="H87" s="6"/>
      <c r="I87" s="6"/>
      <c r="J87" s="6"/>
      <c r="K87" s="6"/>
      <c r="L87" s="6"/>
      <c r="M87" s="6"/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>
        <v>10</v>
      </c>
      <c r="Y87" s="28"/>
      <c r="Z87" s="28"/>
      <c r="AA87" s="28"/>
      <c r="AB87" s="28"/>
      <c r="AC87" s="28"/>
      <c r="AD87" s="28">
        <v>10</v>
      </c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>
        <v>10</v>
      </c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40</v>
      </c>
      <c r="BQ87" s="1">
        <v>18</v>
      </c>
      <c r="BR87" s="17">
        <v>3</v>
      </c>
      <c r="BS87" s="17" t="s">
        <v>280</v>
      </c>
      <c r="BT87" s="1" t="str">
        <f>IF(AQ87&gt;AQ$130, AQ87-AQ$130,"")</f>
        <v/>
      </c>
      <c r="BU87" s="1" t="str">
        <f>IF(AR87&gt;AR$130, AR87-AR$130,"")</f>
        <v/>
      </c>
      <c r="BV87" s="1" t="str">
        <f>IF(AS87&gt;AS$130, AS87-AS$130,"")</f>
        <v/>
      </c>
      <c r="BW87" s="1" t="str">
        <f>IF(AT87&gt;AT$130, AT87-AT$130,"")</f>
        <v/>
      </c>
      <c r="BX87" s="1" t="str">
        <f>IF(AU87&gt;AU$130, AU87-AU$130,"")</f>
        <v/>
      </c>
      <c r="BY87" s="1" t="str">
        <f>IF(AV87&gt;AV$130, AV87-AV$130,"")</f>
        <v/>
      </c>
      <c r="BZ87" s="1" t="str">
        <f>IF(AW87&gt;AW$130, AW87-AW$130,"")</f>
        <v/>
      </c>
      <c r="CA87" s="1" t="str">
        <f>IF(AX87&gt;AX$130, AX87-AX$130,"")</f>
        <v/>
      </c>
      <c r="CB87" s="1" t="str">
        <f>IF(AY87&gt;AY$130, AY87-AY$130,"")</f>
        <v/>
      </c>
      <c r="CC87" s="1" t="str">
        <f>IF(AZ87&gt;AZ$130, AZ87-AZ$130,"")</f>
        <v/>
      </c>
      <c r="CD87" s="1" t="str">
        <f>IF(BA87&gt;BA$130, BA87-BA$130,"")</f>
        <v/>
      </c>
      <c r="CE87" s="1" t="str">
        <f>IF(BB87&gt;BB$130, BB87-BB$130,"")</f>
        <v/>
      </c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3"/>
    </row>
    <row r="88" spans="1:97" ht="40.5" x14ac:dyDescent="0.15">
      <c r="A88" s="1"/>
      <c r="B88" s="1" t="s">
        <v>160</v>
      </c>
      <c r="C88" s="1" t="s">
        <v>120</v>
      </c>
      <c r="D88" s="1" t="s">
        <v>163</v>
      </c>
      <c r="E88" s="6"/>
      <c r="F88" s="6"/>
      <c r="G88" s="6">
        <v>10</v>
      </c>
      <c r="H88" s="6"/>
      <c r="I88" s="6"/>
      <c r="J88" s="6"/>
      <c r="K88" s="6"/>
      <c r="L88" s="6"/>
      <c r="M88" s="6"/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>
        <v>10</v>
      </c>
      <c r="Y88" s="28"/>
      <c r="Z88" s="28"/>
      <c r="AA88" s="28"/>
      <c r="AB88" s="28"/>
      <c r="AC88" s="28"/>
      <c r="AD88" s="28">
        <v>10</v>
      </c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>
        <v>10</v>
      </c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40</v>
      </c>
      <c r="BQ88" s="1">
        <v>18</v>
      </c>
      <c r="BR88" s="17">
        <v>3</v>
      </c>
      <c r="BS88" s="17" t="s">
        <v>280</v>
      </c>
      <c r="BT88" s="1" t="str">
        <f>IF(AQ88&gt;AQ$130, AQ88-AQ$130,"")</f>
        <v/>
      </c>
      <c r="BU88" s="1" t="str">
        <f>IF(AR88&gt;AR$130, AR88-AR$130,"")</f>
        <v/>
      </c>
      <c r="BV88" s="1" t="str">
        <f>IF(AS88&gt;AS$130, AS88-AS$130,"")</f>
        <v/>
      </c>
      <c r="BW88" s="1" t="str">
        <f>IF(AT88&gt;AT$130, AT88-AT$130,"")</f>
        <v/>
      </c>
      <c r="BX88" s="1" t="str">
        <f>IF(AU88&gt;AU$130, AU88-AU$130,"")</f>
        <v/>
      </c>
      <c r="BY88" s="1" t="str">
        <f>IF(AV88&gt;AV$130, AV88-AV$130,"")</f>
        <v/>
      </c>
      <c r="BZ88" s="1" t="str">
        <f>IF(AW88&gt;AW$130, AW88-AW$130,"")</f>
        <v/>
      </c>
      <c r="CA88" s="1" t="str">
        <f>IF(AX88&gt;AX$130, AX88-AX$130,"")</f>
        <v/>
      </c>
      <c r="CB88" s="1" t="str">
        <f>IF(AY88&gt;AY$130, AY88-AY$130,"")</f>
        <v/>
      </c>
      <c r="CC88" s="1" t="str">
        <f>IF(AZ88&gt;AZ$130, AZ88-AZ$130,"")</f>
        <v/>
      </c>
      <c r="CD88" s="1" t="str">
        <f>IF(BA88&gt;BA$130, BA88-BA$130,"")</f>
        <v/>
      </c>
      <c r="CE88" s="1" t="str">
        <f>IF(BB88&gt;BB$130, BB88-BB$130,"")</f>
        <v/>
      </c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3"/>
    </row>
    <row r="89" spans="1:97" ht="40.5" x14ac:dyDescent="0.15">
      <c r="A89" s="1"/>
      <c r="B89" s="1" t="s">
        <v>215</v>
      </c>
      <c r="C89" s="1" t="s">
        <v>120</v>
      </c>
      <c r="D89" s="1" t="s">
        <v>107</v>
      </c>
      <c r="E89" s="6"/>
      <c r="F89" s="6">
        <v>6</v>
      </c>
      <c r="G89" s="6"/>
      <c r="H89" s="6"/>
      <c r="I89" s="6"/>
      <c r="J89" s="6"/>
      <c r="K89" s="6"/>
      <c r="L89" s="6"/>
      <c r="M89" s="6"/>
      <c r="N89" s="6"/>
      <c r="O89" s="6">
        <v>6</v>
      </c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>
        <v>10</v>
      </c>
      <c r="AU89" s="4"/>
      <c r="AV89" s="4"/>
      <c r="AW89" s="2"/>
      <c r="AX89" s="2"/>
      <c r="AY89" s="2">
        <v>10</v>
      </c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32</v>
      </c>
      <c r="BQ89" s="1">
        <v>19</v>
      </c>
      <c r="BR89" s="17">
        <v>3</v>
      </c>
      <c r="BS89" s="17" t="s">
        <v>281</v>
      </c>
      <c r="BT89" s="1" t="str">
        <f>IF(AQ89&gt;AQ$130, AQ89-AQ$130,"")</f>
        <v/>
      </c>
      <c r="BU89" s="1" t="str">
        <f>IF(AR89&gt;AR$130, AR89-AR$130,"")</f>
        <v/>
      </c>
      <c r="BV89" s="1" t="str">
        <f>IF(AS89&gt;AS$130, AS89-AS$130,"")</f>
        <v/>
      </c>
      <c r="BW89" s="1" t="str">
        <f>IF(AT89&gt;AT$130, AT89-AT$130,"")</f>
        <v/>
      </c>
      <c r="BX89" s="1" t="str">
        <f>IF(AU89&gt;AU$130, AU89-AU$130,"")</f>
        <v/>
      </c>
      <c r="BY89" s="1" t="str">
        <f>IF(AV89&gt;AV$130, AV89-AV$130,"")</f>
        <v/>
      </c>
      <c r="BZ89" s="1" t="str">
        <f>IF(AW89&gt;AW$130, AW89-AW$130,"")</f>
        <v/>
      </c>
      <c r="CA89" s="1" t="str">
        <f>IF(AX89&gt;AX$130, AX89-AX$130,"")</f>
        <v/>
      </c>
      <c r="CB89" s="1" t="str">
        <f>IF(AY89&gt;AY$130, AY89-AY$130,"")</f>
        <v/>
      </c>
      <c r="CC89" s="1" t="str">
        <f>IF(AZ89&gt;AZ$130, AZ89-AZ$130,"")</f>
        <v/>
      </c>
      <c r="CD89" s="1" t="str">
        <f>IF(BA89&gt;BA$130, BA89-BA$130,"")</f>
        <v/>
      </c>
      <c r="CE89" s="1" t="str">
        <f>IF(BB89&gt;BB$130, BB89-BB$130,"")</f>
        <v/>
      </c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3"/>
    </row>
    <row r="90" spans="1:97" ht="40.5" x14ac:dyDescent="0.15">
      <c r="A90" s="1"/>
      <c r="B90" s="1" t="s">
        <v>154</v>
      </c>
      <c r="C90" s="1" t="s">
        <v>152</v>
      </c>
      <c r="D90" s="1" t="s">
        <v>125</v>
      </c>
      <c r="E90" s="6"/>
      <c r="F90" s="6"/>
      <c r="G90" s="6"/>
      <c r="H90" s="6">
        <v>10</v>
      </c>
      <c r="I90" s="6"/>
      <c r="J90" s="6"/>
      <c r="K90" s="6"/>
      <c r="L90" s="6"/>
      <c r="M90" s="6"/>
      <c r="N90" s="6"/>
      <c r="O90" s="6"/>
      <c r="P90" s="28"/>
      <c r="Q90" s="28"/>
      <c r="R90" s="28">
        <v>10</v>
      </c>
      <c r="S90" s="28"/>
      <c r="T90" s="28"/>
      <c r="U90" s="28">
        <v>10</v>
      </c>
      <c r="V90" s="28"/>
      <c r="W90" s="28"/>
      <c r="X90" s="28"/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>
        <v>10</v>
      </c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40</v>
      </c>
      <c r="BQ90" s="1">
        <v>19</v>
      </c>
      <c r="BR90" s="17">
        <v>3</v>
      </c>
      <c r="BS90" s="17" t="s">
        <v>282</v>
      </c>
      <c r="BT90" s="1" t="str">
        <f>IF(AQ90&gt;AQ$130, AQ90-AQ$130,"")</f>
        <v/>
      </c>
      <c r="BU90" s="1" t="str">
        <f>IF(AR90&gt;AR$130, AR90-AR$130,"")</f>
        <v/>
      </c>
      <c r="BV90" s="1" t="str">
        <f>IF(AS90&gt;AS$130, AS90-AS$130,"")</f>
        <v/>
      </c>
      <c r="BW90" s="1" t="str">
        <f>IF(AT90&gt;AT$130, AT90-AT$130,"")</f>
        <v/>
      </c>
      <c r="BX90" s="1" t="str">
        <f>IF(AU90&gt;AU$130, AU90-AU$130,"")</f>
        <v/>
      </c>
      <c r="BY90" s="1" t="str">
        <f>IF(AV90&gt;AV$130, AV90-AV$130,"")</f>
        <v/>
      </c>
      <c r="BZ90" s="1" t="str">
        <f>IF(AW90&gt;AW$130, AW90-AW$130,"")</f>
        <v/>
      </c>
      <c r="CA90" s="1" t="str">
        <f>IF(AX90&gt;AX$130, AX90-AX$130,"")</f>
        <v/>
      </c>
      <c r="CB90" s="1" t="str">
        <f>IF(AY90&gt;AY$130, AY90-AY$130,"")</f>
        <v/>
      </c>
      <c r="CC90" s="1" t="str">
        <f>IF(AZ90&gt;AZ$130, AZ90-AZ$130,"")</f>
        <v/>
      </c>
      <c r="CD90" s="1" t="str">
        <f>IF(BA90&gt;BA$130, BA90-BA$130,"")</f>
        <v/>
      </c>
      <c r="CE90" s="1" t="str">
        <f>IF(BB90&gt;BB$130, BB90-BB$130,"")</f>
        <v/>
      </c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3"/>
    </row>
    <row r="91" spans="1:97" ht="40.5" x14ac:dyDescent="0.15">
      <c r="A91" s="1"/>
      <c r="B91" s="1" t="s">
        <v>167</v>
      </c>
      <c r="C91" s="1" t="s">
        <v>122</v>
      </c>
      <c r="D91" s="1" t="s">
        <v>125</v>
      </c>
      <c r="E91" s="6"/>
      <c r="F91" s="6"/>
      <c r="G91" s="6"/>
      <c r="H91" s="6"/>
      <c r="I91" s="6">
        <v>10</v>
      </c>
      <c r="J91" s="6"/>
      <c r="K91" s="6"/>
      <c r="L91" s="6"/>
      <c r="M91" s="6"/>
      <c r="N91" s="6"/>
      <c r="O91" s="6"/>
      <c r="P91" s="28"/>
      <c r="Q91" s="28"/>
      <c r="R91" s="28">
        <v>10</v>
      </c>
      <c r="S91" s="28"/>
      <c r="T91" s="28"/>
      <c r="U91" s="28"/>
      <c r="V91" s="28"/>
      <c r="W91" s="28"/>
      <c r="X91" s="28">
        <v>10</v>
      </c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>
        <v>10</v>
      </c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40</v>
      </c>
      <c r="BQ91" s="1">
        <v>21</v>
      </c>
      <c r="BR91" s="17">
        <v>3</v>
      </c>
      <c r="BS91" s="17" t="s">
        <v>285</v>
      </c>
      <c r="BT91" s="1" t="str">
        <f>IF(AQ91&gt;AQ$130, AQ91-AQ$130,"")</f>
        <v/>
      </c>
      <c r="BU91" s="1" t="str">
        <f>IF(AR91&gt;AR$130, AR91-AR$130,"")</f>
        <v/>
      </c>
      <c r="BV91" s="1" t="str">
        <f>IF(AS91&gt;AS$130, AS91-AS$130,"")</f>
        <v/>
      </c>
      <c r="BW91" s="1" t="str">
        <f>IF(AT91&gt;AT$130, AT91-AT$130,"")</f>
        <v/>
      </c>
      <c r="BX91" s="1" t="str">
        <f>IF(AU91&gt;AU$130, AU91-AU$130,"")</f>
        <v/>
      </c>
      <c r="BY91" s="1" t="str">
        <f>IF(AV91&gt;AV$130, AV91-AV$130,"")</f>
        <v/>
      </c>
      <c r="BZ91" s="1" t="str">
        <f>IF(AW91&gt;AW$130, AW91-AW$130,"")</f>
        <v/>
      </c>
      <c r="CA91" s="1" t="str">
        <f>IF(AX91&gt;AX$130, AX91-AX$130,"")</f>
        <v/>
      </c>
      <c r="CB91" s="1" t="str">
        <f>IF(AY91&gt;AY$130, AY91-AY$130,"")</f>
        <v/>
      </c>
      <c r="CC91" s="1" t="str">
        <f>IF(AZ91&gt;AZ$130, AZ91-AZ$130,"")</f>
        <v/>
      </c>
      <c r="CD91" s="1" t="str">
        <f>IF(BA91&gt;BA$130, BA91-BA$130,"")</f>
        <v/>
      </c>
      <c r="CE91" s="1" t="str">
        <f>IF(BB91&gt;BB$130, BB91-BB$130,"")</f>
        <v/>
      </c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3"/>
    </row>
    <row r="92" spans="1:97" ht="40.5" x14ac:dyDescent="0.15">
      <c r="A92" s="1"/>
      <c r="B92" s="1" t="s">
        <v>112</v>
      </c>
      <c r="C92" s="1" t="s">
        <v>109</v>
      </c>
      <c r="D92" s="1" t="s">
        <v>107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>
        <v>10</v>
      </c>
      <c r="AP92" s="1">
        <v>10</v>
      </c>
      <c r="AQ92" s="4"/>
      <c r="AR92" s="4"/>
      <c r="AS92" s="4">
        <v>5</v>
      </c>
      <c r="AT92" s="4"/>
      <c r="AU92" s="4"/>
      <c r="AV92" s="4"/>
      <c r="AW92" s="2"/>
      <c r="AX92" s="2">
        <v>5</v>
      </c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30</v>
      </c>
      <c r="BQ92" s="1">
        <v>22</v>
      </c>
      <c r="BR92" s="17">
        <v>3</v>
      </c>
      <c r="BS92" s="17" t="s">
        <v>286</v>
      </c>
      <c r="BT92" s="1" t="str">
        <f>IF(AQ92&gt;AQ$130, AQ92-AQ$130,"")</f>
        <v/>
      </c>
      <c r="BU92" s="1" t="str">
        <f>IF(AR92&gt;AR$130, AR92-AR$130,"")</f>
        <v/>
      </c>
      <c r="BV92" s="1" t="str">
        <f>IF(AS92&gt;AS$130, AS92-AS$130,"")</f>
        <v/>
      </c>
      <c r="BW92" s="1" t="str">
        <f>IF(AT92&gt;AT$130, AT92-AT$130,"")</f>
        <v/>
      </c>
      <c r="BX92" s="1" t="str">
        <f>IF(AU92&gt;AU$130, AU92-AU$130,"")</f>
        <v/>
      </c>
      <c r="BY92" s="1" t="str">
        <f>IF(AV92&gt;AV$130, AV92-AV$130,"")</f>
        <v/>
      </c>
      <c r="BZ92" s="1" t="str">
        <f>IF(AW92&gt;AW$130, AW92-AW$130,"")</f>
        <v/>
      </c>
      <c r="CA92" s="1" t="str">
        <f>IF(AX92&gt;AX$130, AX92-AX$130,"")</f>
        <v/>
      </c>
      <c r="CB92" s="1" t="str">
        <f>IF(AY92&gt;AY$130, AY92-AY$130,"")</f>
        <v/>
      </c>
      <c r="CC92" s="1" t="str">
        <f>IF(AZ92&gt;AZ$130, AZ92-AZ$130,"")</f>
        <v/>
      </c>
      <c r="CD92" s="1" t="str">
        <f>IF(BA92&gt;BA$130, BA92-BA$130,"")</f>
        <v/>
      </c>
      <c r="CE92" s="1" t="str">
        <f>IF(BB92&gt;BB$130, BB92-BB$130,"")</f>
        <v/>
      </c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3"/>
    </row>
    <row r="93" spans="1:97" ht="40.5" x14ac:dyDescent="0.15">
      <c r="A93" s="1">
        <v>1</v>
      </c>
      <c r="B93" s="1" t="s">
        <v>0</v>
      </c>
      <c r="C93" s="1" t="s">
        <v>2</v>
      </c>
      <c r="D93" s="1" t="s">
        <v>1</v>
      </c>
      <c r="E93" s="6">
        <v>10</v>
      </c>
      <c r="F93" s="6">
        <v>10</v>
      </c>
      <c r="G93" s="6"/>
      <c r="H93" s="6"/>
      <c r="I93" s="6"/>
      <c r="J93" s="6"/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>
        <v>10</v>
      </c>
      <c r="AS93" s="4"/>
      <c r="AT93" s="4"/>
      <c r="AU93" s="4"/>
      <c r="AV93" s="4"/>
      <c r="AW93" s="2">
        <v>15</v>
      </c>
      <c r="AX93" s="2">
        <v>15</v>
      </c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60</v>
      </c>
      <c r="BQ93" s="1">
        <v>24</v>
      </c>
      <c r="BR93" s="17">
        <v>3</v>
      </c>
      <c r="BS93" s="17" t="s">
        <v>287</v>
      </c>
      <c r="BT93" s="1" t="str">
        <f>IF(AQ93&gt;AQ$130, AQ93-AQ$130,"")</f>
        <v/>
      </c>
      <c r="BU93" s="1" t="str">
        <f>IF(AR93&gt;AR$130, AR93-AR$130,"")</f>
        <v/>
      </c>
      <c r="BV93" s="1" t="str">
        <f>IF(AS93&gt;AS$130, AS93-AS$130,"")</f>
        <v/>
      </c>
      <c r="BW93" s="1" t="str">
        <f>IF(AT93&gt;AT$130, AT93-AT$130,"")</f>
        <v/>
      </c>
      <c r="BX93" s="1" t="str">
        <f>IF(AU93&gt;AU$130, AU93-AU$130,"")</f>
        <v/>
      </c>
      <c r="BY93" s="1" t="str">
        <f>IF(AV93&gt;AV$130, AV93-AV$130,"")</f>
        <v/>
      </c>
      <c r="BZ93" s="1" t="str">
        <f>IF(AW93&gt;AW$130, AW93-AW$130,"")</f>
        <v/>
      </c>
      <c r="CA93" s="1" t="str">
        <f>IF(AX93&gt;AX$130, AX93-AX$130,"")</f>
        <v/>
      </c>
      <c r="CB93" s="1" t="str">
        <f>IF(AY93&gt;AY$130, AY93-AY$130,"")</f>
        <v/>
      </c>
      <c r="CC93" s="1" t="str">
        <f>IF(AZ93&gt;AZ$130, AZ93-AZ$130,"")</f>
        <v/>
      </c>
      <c r="CD93" s="1" t="str">
        <f>IF(BA93&gt;BA$130, BA93-BA$130,"")</f>
        <v/>
      </c>
      <c r="CE93" s="1" t="str">
        <f>IF(BB93&gt;BB$130, BB93-BB$130,"")</f>
        <v/>
      </c>
      <c r="CF93" s="1">
        <f>COUNTIF(BT93:CE93, "&gt;0")</f>
        <v>0</v>
      </c>
      <c r="CG93" s="1" t="str">
        <f>IF($CF93=1,BT93,"")</f>
        <v/>
      </c>
      <c r="CH93" s="1" t="str">
        <f>IF($CF93=1,BU93,"")</f>
        <v/>
      </c>
      <c r="CI93" s="1" t="str">
        <f>IF($CF93=1,BV93,"")</f>
        <v/>
      </c>
      <c r="CJ93" s="1" t="str">
        <f>IF($CF93=1,BW93,"")</f>
        <v/>
      </c>
      <c r="CK93" s="1" t="str">
        <f>IF($CF93=1,BX93,"")</f>
        <v/>
      </c>
      <c r="CL93" s="1" t="str">
        <f>IF($CF93=1,BY93,"")</f>
        <v/>
      </c>
      <c r="CM93" s="1" t="str">
        <f>IF($CF93=1,BZ93,"")</f>
        <v/>
      </c>
      <c r="CN93" s="1" t="str">
        <f>IF($CF93=1,CA93,"")</f>
        <v/>
      </c>
      <c r="CO93" s="1" t="str">
        <f>IF($CF93=1,CB93,"")</f>
        <v/>
      </c>
      <c r="CP93" s="1" t="str">
        <f>IF($CF93=1,CC93,"")</f>
        <v/>
      </c>
      <c r="CQ93" s="1" t="str">
        <f>IF($CF93=1,CD93,"")</f>
        <v/>
      </c>
      <c r="CR93" s="1" t="str">
        <f>IF($CF93=1,CE93,"")</f>
        <v/>
      </c>
      <c r="CS93" s="3">
        <f>SUM(AE93:BO93)</f>
        <v>40</v>
      </c>
    </row>
    <row r="94" spans="1:97" ht="40.5" x14ac:dyDescent="0.15">
      <c r="A94" s="1"/>
      <c r="B94" s="1" t="s">
        <v>148</v>
      </c>
      <c r="C94" s="1" t="s">
        <v>150</v>
      </c>
      <c r="D94" s="1" t="s">
        <v>125</v>
      </c>
      <c r="E94" s="6"/>
      <c r="F94" s="6"/>
      <c r="G94" s="6"/>
      <c r="H94" s="6"/>
      <c r="I94" s="6"/>
      <c r="J94" s="6">
        <v>10</v>
      </c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>
        <v>10</v>
      </c>
      <c r="V94" s="28"/>
      <c r="W94" s="28"/>
      <c r="X94" s="28"/>
      <c r="Y94" s="28"/>
      <c r="Z94" s="28"/>
      <c r="AA94" s="28">
        <v>10</v>
      </c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>
        <v>10</v>
      </c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40</v>
      </c>
      <c r="BQ94" s="1">
        <v>28</v>
      </c>
      <c r="BR94" s="17">
        <v>3</v>
      </c>
      <c r="BS94" s="17" t="s">
        <v>284</v>
      </c>
      <c r="BT94" s="1" t="str">
        <f>IF(AQ94&gt;AQ$130, AQ94-AQ$130,"")</f>
        <v/>
      </c>
      <c r="BU94" s="1" t="str">
        <f>IF(AR94&gt;AR$130, AR94-AR$130,"")</f>
        <v/>
      </c>
      <c r="BV94" s="1" t="str">
        <f>IF(AS94&gt;AS$130, AS94-AS$130,"")</f>
        <v/>
      </c>
      <c r="BW94" s="1" t="str">
        <f>IF(AT94&gt;AT$130, AT94-AT$130,"")</f>
        <v/>
      </c>
      <c r="BX94" s="1" t="str">
        <f>IF(AU94&gt;AU$130, AU94-AU$130,"")</f>
        <v/>
      </c>
      <c r="BY94" s="1" t="str">
        <f>IF(AV94&gt;AV$130, AV94-AV$130,"")</f>
        <v/>
      </c>
      <c r="BZ94" s="1" t="str">
        <f>IF(AW94&gt;AW$130, AW94-AW$130,"")</f>
        <v/>
      </c>
      <c r="CA94" s="1" t="str">
        <f>IF(AX94&gt;AX$130, AX94-AX$130,"")</f>
        <v/>
      </c>
      <c r="CB94" s="1" t="str">
        <f>IF(AY94&gt;AY$130, AY94-AY$130,"")</f>
        <v/>
      </c>
      <c r="CC94" s="1" t="str">
        <f>IF(AZ94&gt;AZ$130, AZ94-AZ$130,"")</f>
        <v/>
      </c>
      <c r="CD94" s="1" t="str">
        <f>IF(BA94&gt;BA$130, BA94-BA$130,"")</f>
        <v/>
      </c>
      <c r="CE94" s="1" t="str">
        <f>IF(BB94&gt;BB$130, BB94-BB$130,"")</f>
        <v/>
      </c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3"/>
    </row>
    <row r="95" spans="1:97" ht="40.5" x14ac:dyDescent="0.15">
      <c r="A95" s="1"/>
      <c r="B95" s="1" t="s">
        <v>158</v>
      </c>
      <c r="C95" s="1" t="s">
        <v>152</v>
      </c>
      <c r="D95" s="1" t="s">
        <v>125</v>
      </c>
      <c r="E95" s="6"/>
      <c r="F95" s="6"/>
      <c r="G95" s="6"/>
      <c r="H95" s="6"/>
      <c r="I95" s="6"/>
      <c r="J95" s="6">
        <v>10</v>
      </c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>
        <v>10</v>
      </c>
      <c r="V95" s="28"/>
      <c r="W95" s="28"/>
      <c r="X95" s="28"/>
      <c r="Y95" s="28"/>
      <c r="Z95" s="28"/>
      <c r="AA95" s="28">
        <v>10</v>
      </c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>
        <v>10</v>
      </c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40</v>
      </c>
      <c r="BQ95" s="1">
        <v>28</v>
      </c>
      <c r="BR95" s="17">
        <v>3</v>
      </c>
      <c r="BS95" s="17" t="s">
        <v>284</v>
      </c>
      <c r="BT95" s="1" t="str">
        <f>IF(AQ95&gt;AQ$130, AQ95-AQ$130,"")</f>
        <v/>
      </c>
      <c r="BU95" s="1" t="str">
        <f>IF(AR95&gt;AR$130, AR95-AR$130,"")</f>
        <v/>
      </c>
      <c r="BV95" s="1" t="str">
        <f>IF(AS95&gt;AS$130, AS95-AS$130,"")</f>
        <v/>
      </c>
      <c r="BW95" s="1" t="str">
        <f>IF(AT95&gt;AT$130, AT95-AT$130,"")</f>
        <v/>
      </c>
      <c r="BX95" s="1" t="str">
        <f>IF(AU95&gt;AU$130, AU95-AU$130,"")</f>
        <v/>
      </c>
      <c r="BY95" s="1" t="str">
        <f>IF(AV95&gt;AV$130, AV95-AV$130,"")</f>
        <v/>
      </c>
      <c r="BZ95" s="1" t="str">
        <f>IF(AW95&gt;AW$130, AW95-AW$130,"")</f>
        <v/>
      </c>
      <c r="CA95" s="1" t="str">
        <f>IF(AX95&gt;AX$130, AX95-AX$130,"")</f>
        <v/>
      </c>
      <c r="CB95" s="1" t="str">
        <f>IF(AY95&gt;AY$130, AY95-AY$130,"")</f>
        <v/>
      </c>
      <c r="CC95" s="1" t="str">
        <f>IF(AZ95&gt;AZ$130, AZ95-AZ$130,"")</f>
        <v/>
      </c>
      <c r="CD95" s="1" t="str">
        <f>IF(BA95&gt;BA$130, BA95-BA$130,"")</f>
        <v/>
      </c>
      <c r="CE95" s="1" t="str">
        <f>IF(BB95&gt;BB$130, BB95-BB$130,"")</f>
        <v/>
      </c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3"/>
    </row>
    <row r="96" spans="1:97" ht="40.5" x14ac:dyDescent="0.15">
      <c r="A96" s="1"/>
      <c r="B96" s="1" t="s">
        <v>185</v>
      </c>
      <c r="C96" s="1" t="s">
        <v>120</v>
      </c>
      <c r="D96" s="1" t="s">
        <v>106</v>
      </c>
      <c r="E96" s="6"/>
      <c r="F96" s="6"/>
      <c r="G96" s="6">
        <v>20</v>
      </c>
      <c r="H96" s="6">
        <v>20</v>
      </c>
      <c r="I96" s="6"/>
      <c r="J96" s="6"/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>
        <v>20</v>
      </c>
      <c r="BB96" s="2">
        <v>20</v>
      </c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80</v>
      </c>
      <c r="BQ96" s="1">
        <v>32</v>
      </c>
      <c r="BR96" s="17">
        <v>3</v>
      </c>
      <c r="BS96" s="17" t="s">
        <v>288</v>
      </c>
      <c r="BT96" s="1" t="str">
        <f>IF(AQ96&gt;AQ$130, AQ96-AQ$130,"")</f>
        <v/>
      </c>
      <c r="BU96" s="1" t="str">
        <f>IF(AR96&gt;AR$130, AR96-AR$130,"")</f>
        <v/>
      </c>
      <c r="BV96" s="1" t="str">
        <f>IF(AS96&gt;AS$130, AS96-AS$130,"")</f>
        <v/>
      </c>
      <c r="BW96" s="1" t="str">
        <f>IF(AT96&gt;AT$130, AT96-AT$130,"")</f>
        <v/>
      </c>
      <c r="BX96" s="1" t="str">
        <f>IF(AU96&gt;AU$130, AU96-AU$130,"")</f>
        <v/>
      </c>
      <c r="BY96" s="1" t="str">
        <f>IF(AV96&gt;AV$130, AV96-AV$130,"")</f>
        <v/>
      </c>
      <c r="BZ96" s="1" t="str">
        <f>IF(AW96&gt;AW$130, AW96-AW$130,"")</f>
        <v/>
      </c>
      <c r="CA96" s="1" t="str">
        <f>IF(AX96&gt;AX$130, AX96-AX$130,"")</f>
        <v/>
      </c>
      <c r="CB96" s="1" t="str">
        <f>IF(AY96&gt;AY$130, AY96-AY$130,"")</f>
        <v/>
      </c>
      <c r="CC96" s="1" t="str">
        <f>IF(AZ96&gt;AZ$130, AZ96-AZ$130,"")</f>
        <v/>
      </c>
      <c r="CD96" s="1" t="str">
        <f>IF(BA96&gt;BA$130, BA96-BA$130,"")</f>
        <v/>
      </c>
      <c r="CE96" s="1" t="str">
        <f>IF(BB96&gt;BB$130, BB96-BB$130,"")</f>
        <v/>
      </c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3"/>
    </row>
    <row r="97" spans="1:97" ht="40.5" x14ac:dyDescent="0.15">
      <c r="A97" s="1"/>
      <c r="B97" s="1" t="s">
        <v>164</v>
      </c>
      <c r="C97" s="1" t="s">
        <v>105</v>
      </c>
      <c r="D97" s="1" t="s">
        <v>107</v>
      </c>
      <c r="E97" s="6">
        <v>10</v>
      </c>
      <c r="F97" s="6"/>
      <c r="G97" s="6">
        <v>10</v>
      </c>
      <c r="H97" s="6"/>
      <c r="I97" s="6"/>
      <c r="J97" s="6"/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>
        <v>15</v>
      </c>
      <c r="AU97" s="4"/>
      <c r="AV97" s="4"/>
      <c r="AW97" s="2"/>
      <c r="AX97" s="2"/>
      <c r="AY97" s="2"/>
      <c r="AZ97" s="2">
        <v>15</v>
      </c>
      <c r="BA97" s="2">
        <v>15</v>
      </c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65</v>
      </c>
      <c r="BQ97" s="1">
        <v>39</v>
      </c>
      <c r="BR97" s="17">
        <v>3</v>
      </c>
      <c r="BS97" s="17" t="s">
        <v>290</v>
      </c>
      <c r="BT97" s="1" t="str">
        <f>IF(AQ97&gt;AQ$130, AQ97-AQ$130,"")</f>
        <v/>
      </c>
      <c r="BU97" s="1" t="str">
        <f>IF(AR97&gt;AR$130, AR97-AR$130,"")</f>
        <v/>
      </c>
      <c r="BV97" s="1" t="str">
        <f>IF(AS97&gt;AS$130, AS97-AS$130,"")</f>
        <v/>
      </c>
      <c r="BW97" s="1" t="str">
        <f>IF(AT97&gt;AT$130, AT97-AT$130,"")</f>
        <v/>
      </c>
      <c r="BX97" s="1" t="str">
        <f>IF(AU97&gt;AU$130, AU97-AU$130,"")</f>
        <v/>
      </c>
      <c r="BY97" s="1" t="str">
        <f>IF(AV97&gt;AV$130, AV97-AV$130,"")</f>
        <v/>
      </c>
      <c r="BZ97" s="1" t="str">
        <f>IF(AW97&gt;AW$130, AW97-AW$130,"")</f>
        <v/>
      </c>
      <c r="CA97" s="1" t="str">
        <f>IF(AX97&gt;AX$130, AX97-AX$130,"")</f>
        <v/>
      </c>
      <c r="CB97" s="1" t="str">
        <f>IF(AY97&gt;AY$130, AY97-AY$130,"")</f>
        <v/>
      </c>
      <c r="CC97" s="1" t="str">
        <f>IF(AZ97&gt;AZ$130, AZ97-AZ$130,"")</f>
        <v/>
      </c>
      <c r="CD97" s="1" t="str">
        <f>IF(BA97&gt;BA$130, BA97-BA$130,"")</f>
        <v/>
      </c>
      <c r="CE97" s="1" t="str">
        <f>IF(BB97&gt;BB$130, BB97-BB$130,"")</f>
        <v/>
      </c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3"/>
    </row>
    <row r="98" spans="1:97" ht="40.5" x14ac:dyDescent="0.15">
      <c r="A98" s="1">
        <v>65</v>
      </c>
      <c r="B98" s="3" t="s">
        <v>61</v>
      </c>
      <c r="C98" s="1" t="s">
        <v>56</v>
      </c>
      <c r="D98" s="1" t="s">
        <v>13</v>
      </c>
      <c r="E98" s="6"/>
      <c r="F98" s="6"/>
      <c r="G98" s="6">
        <v>10</v>
      </c>
      <c r="H98" s="6"/>
      <c r="I98" s="6"/>
      <c r="J98" s="6"/>
      <c r="K98" s="6"/>
      <c r="L98" s="6"/>
      <c r="M98" s="6"/>
      <c r="N98" s="6"/>
      <c r="O98" s="6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>
        <v>25</v>
      </c>
      <c r="AO98" s="1"/>
      <c r="AP98" s="1"/>
      <c r="AQ98" s="4"/>
      <c r="AR98" s="4"/>
      <c r="AS98" s="4"/>
      <c r="AT98" s="4"/>
      <c r="AU98" s="4"/>
      <c r="AV98" s="4">
        <v>10</v>
      </c>
      <c r="AW98" s="2"/>
      <c r="AX98" s="2"/>
      <c r="AY98" s="2"/>
      <c r="AZ98" s="2">
        <v>10</v>
      </c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55</v>
      </c>
      <c r="BQ98" s="1">
        <v>41</v>
      </c>
      <c r="BR98" s="17">
        <v>3</v>
      </c>
      <c r="BS98" s="17" t="s">
        <v>289</v>
      </c>
      <c r="BT98" s="1" t="str">
        <f>IF(AQ98&gt;AQ$130, AQ98-AQ$130,"")</f>
        <v/>
      </c>
      <c r="BU98" s="1" t="str">
        <f>IF(AR98&gt;AR$130, AR98-AR$130,"")</f>
        <v/>
      </c>
      <c r="BV98" s="1" t="str">
        <f>IF(AS98&gt;AS$130, AS98-AS$130,"")</f>
        <v/>
      </c>
      <c r="BW98" s="1" t="str">
        <f>IF(AT98&gt;AT$130, AT98-AT$130,"")</f>
        <v/>
      </c>
      <c r="BX98" s="1" t="str">
        <f>IF(AU98&gt;AU$130, AU98-AU$130,"")</f>
        <v/>
      </c>
      <c r="BY98" s="1" t="str">
        <f>IF(AV98&gt;AV$130, AV98-AV$130,"")</f>
        <v/>
      </c>
      <c r="BZ98" s="1" t="str">
        <f>IF(AW98&gt;AW$130, AW98-AW$130,"")</f>
        <v/>
      </c>
      <c r="CA98" s="1" t="str">
        <f>IF(AX98&gt;AX$130, AX98-AX$130,"")</f>
        <v/>
      </c>
      <c r="CB98" s="1" t="str">
        <f>IF(AY98&gt;AY$130, AY98-AY$130,"")</f>
        <v/>
      </c>
      <c r="CC98" s="1" t="str">
        <f>IF(AZ98&gt;AZ$130, AZ98-AZ$130,"")</f>
        <v/>
      </c>
      <c r="CD98" s="1" t="str">
        <f>IF(BA98&gt;BA$130, BA98-BA$130,"")</f>
        <v/>
      </c>
      <c r="CE98" s="1" t="str">
        <f>IF(BB98&gt;BB$130, BB98-BB$130,"")</f>
        <v/>
      </c>
      <c r="CF98" s="1">
        <f>COUNTIF(BT98:CE98, "&gt;0")</f>
        <v>0</v>
      </c>
      <c r="CG98" s="1" t="str">
        <f>IF($CF98=1,BT98,"")</f>
        <v/>
      </c>
      <c r="CH98" s="1" t="str">
        <f>IF($CF98=1,BU98,"")</f>
        <v/>
      </c>
      <c r="CI98" s="1" t="str">
        <f>IF($CF98=1,BV98,"")</f>
        <v/>
      </c>
      <c r="CJ98" s="1" t="str">
        <f>IF($CF98=1,BW98,"")</f>
        <v/>
      </c>
      <c r="CK98" s="1" t="str">
        <f>IF($CF98=1,BX98,"")</f>
        <v/>
      </c>
      <c r="CL98" s="1" t="str">
        <f>IF($CF98=1,BY98,"")</f>
        <v/>
      </c>
      <c r="CM98" s="1" t="str">
        <f>IF($CF98=1,BZ98,"")</f>
        <v/>
      </c>
      <c r="CN98" s="1" t="str">
        <f>IF($CF98=1,CA98,"")</f>
        <v/>
      </c>
      <c r="CO98" s="1" t="str">
        <f>IF($CF98=1,CB98,"")</f>
        <v/>
      </c>
      <c r="CP98" s="1" t="str">
        <f>IF($CF98=1,CC98,"")</f>
        <v/>
      </c>
      <c r="CQ98" s="1" t="str">
        <f>IF($CF98=1,CD98,"")</f>
        <v/>
      </c>
      <c r="CR98" s="1" t="str">
        <f>IF($CF98=1,CE98,"")</f>
        <v/>
      </c>
      <c r="CS98" s="3">
        <f>SUM(AE98:BO98)</f>
        <v>45</v>
      </c>
    </row>
    <row r="99" spans="1:97" ht="40.5" x14ac:dyDescent="0.15">
      <c r="A99" s="1"/>
      <c r="B99" s="1" t="s">
        <v>108</v>
      </c>
      <c r="C99" s="1" t="s">
        <v>109</v>
      </c>
      <c r="D99" s="1" t="s">
        <v>110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>
        <v>40</v>
      </c>
      <c r="AW99" s="2">
        <v>40</v>
      </c>
      <c r="AX99" s="2"/>
      <c r="AY99" s="2"/>
      <c r="AZ99" s="2"/>
      <c r="BA99" s="2"/>
      <c r="BB99" s="2">
        <v>40</v>
      </c>
      <c r="BC99" s="14">
        <v>10</v>
      </c>
      <c r="BD99" s="1">
        <v>50</v>
      </c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180</v>
      </c>
      <c r="BQ99" s="1">
        <v>73</v>
      </c>
      <c r="BR99" s="17">
        <v>3</v>
      </c>
      <c r="BS99" s="17" t="s">
        <v>291</v>
      </c>
      <c r="BT99" s="1" t="str">
        <f>IF(AQ99&gt;AQ$130, AQ99-AQ$130,"")</f>
        <v/>
      </c>
      <c r="BU99" s="1" t="str">
        <f>IF(AR99&gt;AR$130, AR99-AR$130,"")</f>
        <v/>
      </c>
      <c r="BV99" s="1" t="str">
        <f>IF(AS99&gt;AS$130, AS99-AS$130,"")</f>
        <v/>
      </c>
      <c r="BW99" s="1" t="str">
        <f>IF(AT99&gt;AT$130, AT99-AT$130,"")</f>
        <v/>
      </c>
      <c r="BX99" s="1" t="str">
        <f>IF(AU99&gt;AU$130, AU99-AU$130,"")</f>
        <v/>
      </c>
      <c r="BY99" s="1" t="str">
        <f>IF(AV99&gt;AV$130, AV99-AV$130,"")</f>
        <v/>
      </c>
      <c r="BZ99" s="1" t="str">
        <f>IF(AW99&gt;AW$130, AW99-AW$130,"")</f>
        <v/>
      </c>
      <c r="CA99" s="1" t="str">
        <f>IF(AX99&gt;AX$130, AX99-AX$130,"")</f>
        <v/>
      </c>
      <c r="CB99" s="1" t="str">
        <f>IF(AY99&gt;AY$130, AY99-AY$130,"")</f>
        <v/>
      </c>
      <c r="CC99" s="1" t="str">
        <f>IF(AZ99&gt;AZ$130, AZ99-AZ$130,"")</f>
        <v/>
      </c>
      <c r="CD99" s="1" t="str">
        <f>IF(BA99&gt;BA$130, BA99-BA$130,"")</f>
        <v/>
      </c>
      <c r="CE99" s="1" t="str">
        <f>IF(BB99&gt;BB$130, BB99-BB$130,"")</f>
        <v/>
      </c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3"/>
    </row>
    <row r="100" spans="1:97" ht="54" x14ac:dyDescent="0.15">
      <c r="A100" s="1"/>
      <c r="B100" s="1" t="s">
        <v>154</v>
      </c>
      <c r="C100" s="1" t="s">
        <v>152</v>
      </c>
      <c r="D100" s="1" t="s">
        <v>124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/>
      <c r="Q100" s="28">
        <v>5</v>
      </c>
      <c r="R100" s="28"/>
      <c r="S100" s="28"/>
      <c r="T100" s="28"/>
      <c r="U100" s="28"/>
      <c r="V100" s="28">
        <v>10</v>
      </c>
      <c r="W100" s="28"/>
      <c r="X100" s="28"/>
      <c r="Y100" s="28"/>
      <c r="Z100" s="28">
        <v>5</v>
      </c>
      <c r="AA100" s="28"/>
      <c r="AB100" s="28">
        <v>10</v>
      </c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30</v>
      </c>
      <c r="BQ100" s="1">
        <v>18</v>
      </c>
      <c r="BR100" s="17">
        <v>4</v>
      </c>
      <c r="BS100" s="17" t="s">
        <v>292</v>
      </c>
      <c r="BT100" s="1" t="str">
        <f>IF(AQ100&gt;AQ$130, AQ100-AQ$130,"")</f>
        <v/>
      </c>
      <c r="BU100" s="1" t="str">
        <f>IF(AR100&gt;AR$130, AR100-AR$130,"")</f>
        <v/>
      </c>
      <c r="BV100" s="1" t="str">
        <f>IF(AS100&gt;AS$130, AS100-AS$130,"")</f>
        <v/>
      </c>
      <c r="BW100" s="1" t="str">
        <f>IF(AT100&gt;AT$130, AT100-AT$130,"")</f>
        <v/>
      </c>
      <c r="BX100" s="1" t="str">
        <f>IF(AU100&gt;AU$130, AU100-AU$130,"")</f>
        <v/>
      </c>
      <c r="BY100" s="1" t="str">
        <f>IF(AV100&gt;AV$130, AV100-AV$130,"")</f>
        <v/>
      </c>
      <c r="BZ100" s="1" t="str">
        <f>IF(AW100&gt;AW$130, AW100-AW$130,"")</f>
        <v/>
      </c>
      <c r="CA100" s="1" t="str">
        <f>IF(AX100&gt;AX$130, AX100-AX$130,"")</f>
        <v/>
      </c>
      <c r="CB100" s="1" t="str">
        <f>IF(AY100&gt;AY$130, AY100-AY$130,"")</f>
        <v/>
      </c>
      <c r="CC100" s="1" t="str">
        <f>IF(AZ100&gt;AZ$130, AZ100-AZ$130,"")</f>
        <v/>
      </c>
      <c r="CD100" s="1" t="str">
        <f>IF(BA100&gt;BA$130, BA100-BA$130,"")</f>
        <v/>
      </c>
      <c r="CE100" s="1" t="str">
        <f>IF(BB100&gt;BB$130, BB100-BB$130,"")</f>
        <v/>
      </c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3"/>
    </row>
    <row r="101" spans="1:97" ht="54" x14ac:dyDescent="0.15">
      <c r="A101" s="1"/>
      <c r="B101" s="1" t="s">
        <v>139</v>
      </c>
      <c r="C101" s="1" t="s">
        <v>122</v>
      </c>
      <c r="D101" s="1" t="s">
        <v>125</v>
      </c>
      <c r="E101" s="6"/>
      <c r="F101" s="6"/>
      <c r="G101" s="6"/>
      <c r="H101" s="6">
        <v>10</v>
      </c>
      <c r="I101" s="6"/>
      <c r="J101" s="6"/>
      <c r="K101" s="6"/>
      <c r="L101" s="6"/>
      <c r="M101" s="6"/>
      <c r="N101" s="6"/>
      <c r="O101" s="6"/>
      <c r="P101" s="28"/>
      <c r="Q101" s="28"/>
      <c r="R101" s="28">
        <v>10</v>
      </c>
      <c r="S101" s="28"/>
      <c r="T101" s="28"/>
      <c r="U101" s="28"/>
      <c r="V101" s="28"/>
      <c r="W101" s="28"/>
      <c r="X101" s="28">
        <v>10</v>
      </c>
      <c r="Y101" s="28"/>
      <c r="Z101" s="28"/>
      <c r="AA101" s="28"/>
      <c r="AB101" s="28"/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>
        <v>10</v>
      </c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40</v>
      </c>
      <c r="BQ101" s="1">
        <v>18</v>
      </c>
      <c r="BR101" s="17">
        <v>4</v>
      </c>
      <c r="BS101" s="17" t="s">
        <v>293</v>
      </c>
      <c r="BT101" s="1" t="str">
        <f>IF(AQ101&gt;AQ$130, AQ101-AQ$130,"")</f>
        <v/>
      </c>
      <c r="BU101" s="1" t="str">
        <f>IF(AR101&gt;AR$130, AR101-AR$130,"")</f>
        <v/>
      </c>
      <c r="BV101" s="1" t="str">
        <f>IF(AS101&gt;AS$130, AS101-AS$130,"")</f>
        <v/>
      </c>
      <c r="BW101" s="1" t="str">
        <f>IF(AT101&gt;AT$130, AT101-AT$130,"")</f>
        <v/>
      </c>
      <c r="BX101" s="1" t="str">
        <f>IF(AU101&gt;AU$130, AU101-AU$130,"")</f>
        <v/>
      </c>
      <c r="BY101" s="1" t="str">
        <f>IF(AV101&gt;AV$130, AV101-AV$130,"")</f>
        <v/>
      </c>
      <c r="BZ101" s="1" t="str">
        <f>IF(AW101&gt;AW$130, AW101-AW$130,"")</f>
        <v/>
      </c>
      <c r="CA101" s="1" t="str">
        <f>IF(AX101&gt;AX$130, AX101-AX$130,"")</f>
        <v/>
      </c>
      <c r="CB101" s="1" t="str">
        <f>IF(AY101&gt;AY$130, AY101-AY$130,"")</f>
        <v/>
      </c>
      <c r="CC101" s="1" t="str">
        <f>IF(AZ101&gt;AZ$130, AZ101-AZ$130,"")</f>
        <v/>
      </c>
      <c r="CD101" s="1" t="str">
        <f>IF(BA101&gt;BA$130, BA101-BA$130,"")</f>
        <v/>
      </c>
      <c r="CE101" s="1" t="str">
        <f>IF(BB101&gt;BB$130, BB101-BB$130,"")</f>
        <v/>
      </c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3"/>
    </row>
    <row r="102" spans="1:97" ht="54" x14ac:dyDescent="0.15">
      <c r="A102" s="1"/>
      <c r="B102" s="1" t="s">
        <v>134</v>
      </c>
      <c r="C102" s="1" t="s">
        <v>122</v>
      </c>
      <c r="D102" s="1" t="s">
        <v>125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>
        <v>10</v>
      </c>
      <c r="P102" s="28"/>
      <c r="Q102" s="28"/>
      <c r="R102" s="28">
        <v>10</v>
      </c>
      <c r="S102" s="28"/>
      <c r="T102" s="28"/>
      <c r="U102" s="28"/>
      <c r="V102" s="28"/>
      <c r="W102" s="28"/>
      <c r="X102" s="28">
        <v>10</v>
      </c>
      <c r="Y102" s="28"/>
      <c r="Z102" s="28"/>
      <c r="AA102" s="28"/>
      <c r="AB102" s="28"/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>
        <v>10</v>
      </c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40</v>
      </c>
      <c r="BQ102" s="1">
        <v>20</v>
      </c>
      <c r="BR102" s="17">
        <v>4</v>
      </c>
      <c r="BS102" s="17" t="s">
        <v>283</v>
      </c>
      <c r="BT102" s="1" t="str">
        <f>IF(AQ102&gt;AQ$130, AQ102-AQ$130,"")</f>
        <v/>
      </c>
      <c r="BU102" s="1" t="str">
        <f>IF(AR102&gt;AR$130, AR102-AR$130,"")</f>
        <v/>
      </c>
      <c r="BV102" s="1" t="str">
        <f>IF(AS102&gt;AS$130, AS102-AS$130,"")</f>
        <v/>
      </c>
      <c r="BW102" s="1" t="str">
        <f>IF(AT102&gt;AT$130, AT102-AT$130,"")</f>
        <v/>
      </c>
      <c r="BX102" s="1" t="str">
        <f>IF(AU102&gt;AU$130, AU102-AU$130,"")</f>
        <v/>
      </c>
      <c r="BY102" s="1" t="str">
        <f>IF(AV102&gt;AV$130, AV102-AV$130,"")</f>
        <v/>
      </c>
      <c r="BZ102" s="1" t="str">
        <f>IF(AW102&gt;AW$130, AW102-AW$130,"")</f>
        <v/>
      </c>
      <c r="CA102" s="1" t="str">
        <f>IF(AX102&gt;AX$130, AX102-AX$130,"")</f>
        <v/>
      </c>
      <c r="CB102" s="1" t="str">
        <f>IF(AY102&gt;AY$130, AY102-AY$130,"")</f>
        <v/>
      </c>
      <c r="CC102" s="1" t="str">
        <f>IF(AZ102&gt;AZ$130, AZ102-AZ$130,"")</f>
        <v/>
      </c>
      <c r="CD102" s="1" t="str">
        <f>IF(BA102&gt;BA$130, BA102-BA$130,"")</f>
        <v/>
      </c>
      <c r="CE102" s="1" t="str">
        <f>IF(BB102&gt;BB$130, BB102-BB$130,"")</f>
        <v/>
      </c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3"/>
    </row>
    <row r="103" spans="1:97" ht="54" x14ac:dyDescent="0.15">
      <c r="A103" s="1"/>
      <c r="B103" s="1" t="s">
        <v>134</v>
      </c>
      <c r="C103" s="1" t="s">
        <v>122</v>
      </c>
      <c r="D103" s="1" t="s">
        <v>123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>
        <v>10</v>
      </c>
      <c r="Q103" s="28"/>
      <c r="R103" s="28"/>
      <c r="S103" s="28">
        <v>10</v>
      </c>
      <c r="T103" s="28"/>
      <c r="U103" s="28"/>
      <c r="V103" s="28"/>
      <c r="W103" s="28">
        <v>5</v>
      </c>
      <c r="X103" s="28"/>
      <c r="Y103" s="28"/>
      <c r="Z103" s="28"/>
      <c r="AA103" s="28"/>
      <c r="AB103" s="28">
        <v>10</v>
      </c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35</v>
      </c>
      <c r="BQ103" s="1">
        <v>22</v>
      </c>
      <c r="BR103" s="17">
        <v>4</v>
      </c>
      <c r="BS103" s="17" t="s">
        <v>294</v>
      </c>
      <c r="BT103" s="1" t="str">
        <f>IF(AQ103&gt;AQ$130, AQ103-AQ$130,"")</f>
        <v/>
      </c>
      <c r="BU103" s="1" t="str">
        <f>IF(AR103&gt;AR$130, AR103-AR$130,"")</f>
        <v/>
      </c>
      <c r="BV103" s="1" t="str">
        <f>IF(AS103&gt;AS$130, AS103-AS$130,"")</f>
        <v/>
      </c>
      <c r="BW103" s="1" t="str">
        <f>IF(AT103&gt;AT$130, AT103-AT$130,"")</f>
        <v/>
      </c>
      <c r="BX103" s="1" t="str">
        <f>IF(AU103&gt;AU$130, AU103-AU$130,"")</f>
        <v/>
      </c>
      <c r="BY103" s="1" t="str">
        <f>IF(AV103&gt;AV$130, AV103-AV$130,"")</f>
        <v/>
      </c>
      <c r="BZ103" s="1" t="str">
        <f>IF(AW103&gt;AW$130, AW103-AW$130,"")</f>
        <v/>
      </c>
      <c r="CA103" s="1" t="str">
        <f>IF(AX103&gt;AX$130, AX103-AX$130,"")</f>
        <v/>
      </c>
      <c r="CB103" s="1" t="str">
        <f>IF(AY103&gt;AY$130, AY103-AY$130,"")</f>
        <v/>
      </c>
      <c r="CC103" s="1" t="str">
        <f>IF(AZ103&gt;AZ$130, AZ103-AZ$130,"")</f>
        <v/>
      </c>
      <c r="CD103" s="1" t="str">
        <f>IF(BA103&gt;BA$130, BA103-BA$130,"")</f>
        <v/>
      </c>
      <c r="CE103" s="1" t="str">
        <f>IF(BB103&gt;BB$130, BB103-BB$130,"")</f>
        <v/>
      </c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3"/>
    </row>
    <row r="104" spans="1:97" ht="54" x14ac:dyDescent="0.15">
      <c r="A104" s="1"/>
      <c r="B104" s="1" t="s">
        <v>139</v>
      </c>
      <c r="C104" s="1" t="s">
        <v>122</v>
      </c>
      <c r="D104" s="1" t="s">
        <v>123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>
        <v>10</v>
      </c>
      <c r="Q104" s="28"/>
      <c r="R104" s="28"/>
      <c r="S104" s="28">
        <v>10</v>
      </c>
      <c r="T104" s="28"/>
      <c r="U104" s="28"/>
      <c r="V104" s="28"/>
      <c r="W104" s="28">
        <v>5</v>
      </c>
      <c r="X104" s="28"/>
      <c r="Y104" s="28"/>
      <c r="Z104" s="28"/>
      <c r="AA104" s="28"/>
      <c r="AB104" s="28">
        <v>10</v>
      </c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35</v>
      </c>
      <c r="BQ104" s="1">
        <v>22</v>
      </c>
      <c r="BR104" s="17">
        <v>4</v>
      </c>
      <c r="BS104" s="17" t="s">
        <v>196</v>
      </c>
      <c r="BT104" s="1" t="str">
        <f>IF(AQ104&gt;AQ$130, AQ104-AQ$130,"")</f>
        <v/>
      </c>
      <c r="BU104" s="1" t="str">
        <f>IF(AR104&gt;AR$130, AR104-AR$130,"")</f>
        <v/>
      </c>
      <c r="BV104" s="1" t="str">
        <f>IF(AS104&gt;AS$130, AS104-AS$130,"")</f>
        <v/>
      </c>
      <c r="BW104" s="1" t="str">
        <f>IF(AT104&gt;AT$130, AT104-AT$130,"")</f>
        <v/>
      </c>
      <c r="BX104" s="1" t="str">
        <f>IF(AU104&gt;AU$130, AU104-AU$130,"")</f>
        <v/>
      </c>
      <c r="BY104" s="1" t="str">
        <f>IF(AV104&gt;AV$130, AV104-AV$130,"")</f>
        <v/>
      </c>
      <c r="BZ104" s="1" t="str">
        <f>IF(AW104&gt;AW$130, AW104-AW$130,"")</f>
        <v/>
      </c>
      <c r="CA104" s="1" t="str">
        <f>IF(AX104&gt;AX$130, AX104-AX$130,"")</f>
        <v/>
      </c>
      <c r="CB104" s="1" t="str">
        <f>IF(AY104&gt;AY$130, AY104-AY$130,"")</f>
        <v/>
      </c>
      <c r="CC104" s="1" t="str">
        <f>IF(AZ104&gt;AZ$130, AZ104-AZ$130,"")</f>
        <v/>
      </c>
      <c r="CD104" s="1" t="str">
        <f>IF(BA104&gt;BA$130, BA104-BA$130,"")</f>
        <v/>
      </c>
      <c r="CE104" s="1" t="str">
        <f>IF(BB104&gt;BB$130, BB104-BB$130,"")</f>
        <v/>
      </c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3"/>
    </row>
    <row r="105" spans="1:97" ht="54" x14ac:dyDescent="0.15">
      <c r="A105" s="1"/>
      <c r="B105" s="1" t="s">
        <v>143</v>
      </c>
      <c r="C105" s="1" t="s">
        <v>141</v>
      </c>
      <c r="D105" s="1" t="s">
        <v>123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>
        <v>10</v>
      </c>
      <c r="Q105" s="28"/>
      <c r="R105" s="28"/>
      <c r="S105" s="28">
        <v>10</v>
      </c>
      <c r="T105" s="28"/>
      <c r="U105" s="28"/>
      <c r="V105" s="28"/>
      <c r="W105" s="28">
        <v>5</v>
      </c>
      <c r="X105" s="28"/>
      <c r="Y105" s="28"/>
      <c r="Z105" s="28"/>
      <c r="AA105" s="28"/>
      <c r="AB105" s="28">
        <v>10</v>
      </c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35</v>
      </c>
      <c r="BQ105" s="1">
        <v>22</v>
      </c>
      <c r="BR105" s="17">
        <v>4</v>
      </c>
      <c r="BS105" s="17" t="s">
        <v>196</v>
      </c>
      <c r="BT105" s="1" t="str">
        <f>IF(AQ105&gt;AQ$130, AQ105-AQ$130,"")</f>
        <v/>
      </c>
      <c r="BU105" s="1" t="str">
        <f>IF(AR105&gt;AR$130, AR105-AR$130,"")</f>
        <v/>
      </c>
      <c r="BV105" s="1" t="str">
        <f>IF(AS105&gt;AS$130, AS105-AS$130,"")</f>
        <v/>
      </c>
      <c r="BW105" s="1" t="str">
        <f>IF(AT105&gt;AT$130, AT105-AT$130,"")</f>
        <v/>
      </c>
      <c r="BX105" s="1" t="str">
        <f>IF(AU105&gt;AU$130, AU105-AU$130,"")</f>
        <v/>
      </c>
      <c r="BY105" s="1" t="str">
        <f>IF(AV105&gt;AV$130, AV105-AV$130,"")</f>
        <v/>
      </c>
      <c r="BZ105" s="1" t="str">
        <f>IF(AW105&gt;AW$130, AW105-AW$130,"")</f>
        <v/>
      </c>
      <c r="CA105" s="1" t="str">
        <f>IF(AX105&gt;AX$130, AX105-AX$130,"")</f>
        <v/>
      </c>
      <c r="CB105" s="1" t="str">
        <f>IF(AY105&gt;AY$130, AY105-AY$130,"")</f>
        <v/>
      </c>
      <c r="CC105" s="1" t="str">
        <f>IF(AZ105&gt;AZ$130, AZ105-AZ$130,"")</f>
        <v/>
      </c>
      <c r="CD105" s="1" t="str">
        <f>IF(BA105&gt;BA$130, BA105-BA$130,"")</f>
        <v/>
      </c>
      <c r="CE105" s="1" t="str">
        <f>IF(BB105&gt;BB$130, BB105-BB$130,"")</f>
        <v/>
      </c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3"/>
    </row>
    <row r="106" spans="1:97" ht="54" x14ac:dyDescent="0.15">
      <c r="A106" s="1"/>
      <c r="B106" s="1" t="s">
        <v>147</v>
      </c>
      <c r="C106" s="1" t="s">
        <v>145</v>
      </c>
      <c r="D106" s="1" t="s">
        <v>123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>
        <v>10</v>
      </c>
      <c r="Q106" s="28"/>
      <c r="R106" s="28"/>
      <c r="S106" s="28">
        <v>10</v>
      </c>
      <c r="T106" s="28"/>
      <c r="U106" s="28"/>
      <c r="V106" s="28"/>
      <c r="W106" s="28">
        <v>5</v>
      </c>
      <c r="X106" s="28"/>
      <c r="Y106" s="28"/>
      <c r="Z106" s="28"/>
      <c r="AA106" s="28"/>
      <c r="AB106" s="28">
        <v>10</v>
      </c>
      <c r="AC106" s="28"/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35</v>
      </c>
      <c r="BQ106" s="1">
        <v>22</v>
      </c>
      <c r="BR106" s="17">
        <v>4</v>
      </c>
      <c r="BS106" s="17" t="s">
        <v>196</v>
      </c>
      <c r="BT106" s="1" t="str">
        <f>IF(AQ106&gt;AQ$130, AQ106-AQ$130,"")</f>
        <v/>
      </c>
      <c r="BU106" s="1" t="str">
        <f>IF(AR106&gt;AR$130, AR106-AR$130,"")</f>
        <v/>
      </c>
      <c r="BV106" s="1" t="str">
        <f>IF(AS106&gt;AS$130, AS106-AS$130,"")</f>
        <v/>
      </c>
      <c r="BW106" s="1" t="str">
        <f>IF(AT106&gt;AT$130, AT106-AT$130,"")</f>
        <v/>
      </c>
      <c r="BX106" s="1" t="str">
        <f>IF(AU106&gt;AU$130, AU106-AU$130,"")</f>
        <v/>
      </c>
      <c r="BY106" s="1" t="str">
        <f>IF(AV106&gt;AV$130, AV106-AV$130,"")</f>
        <v/>
      </c>
      <c r="BZ106" s="1" t="str">
        <f>IF(AW106&gt;AW$130, AW106-AW$130,"")</f>
        <v/>
      </c>
      <c r="CA106" s="1" t="str">
        <f>IF(AX106&gt;AX$130, AX106-AX$130,"")</f>
        <v/>
      </c>
      <c r="CB106" s="1" t="str">
        <f>IF(AY106&gt;AY$130, AY106-AY$130,"")</f>
        <v/>
      </c>
      <c r="CC106" s="1" t="str">
        <f>IF(AZ106&gt;AZ$130, AZ106-AZ$130,"")</f>
        <v/>
      </c>
      <c r="CD106" s="1" t="str">
        <f>IF(BA106&gt;BA$130, BA106-BA$130,"")</f>
        <v/>
      </c>
      <c r="CE106" s="1" t="str">
        <f>IF(BB106&gt;BB$130, BB106-BB$130,"")</f>
        <v/>
      </c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3"/>
    </row>
    <row r="107" spans="1:97" ht="54" x14ac:dyDescent="0.15">
      <c r="A107" s="1"/>
      <c r="B107" s="1" t="s">
        <v>153</v>
      </c>
      <c r="C107" s="1" t="s">
        <v>152</v>
      </c>
      <c r="D107" s="1" t="s">
        <v>123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>
        <v>10</v>
      </c>
      <c r="Q107" s="28"/>
      <c r="R107" s="28"/>
      <c r="S107" s="28">
        <v>10</v>
      </c>
      <c r="T107" s="28"/>
      <c r="U107" s="28"/>
      <c r="V107" s="28"/>
      <c r="W107" s="28">
        <v>5</v>
      </c>
      <c r="X107" s="28"/>
      <c r="Y107" s="28"/>
      <c r="Z107" s="28"/>
      <c r="AA107" s="28"/>
      <c r="AB107" s="28">
        <v>10</v>
      </c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35</v>
      </c>
      <c r="BQ107" s="1">
        <v>22</v>
      </c>
      <c r="BR107" s="17">
        <v>4</v>
      </c>
      <c r="BS107" s="17" t="s">
        <v>196</v>
      </c>
      <c r="BT107" s="1" t="str">
        <f>IF(AQ107&gt;AQ$130, AQ107-AQ$130,"")</f>
        <v/>
      </c>
      <c r="BU107" s="1" t="str">
        <f>IF(AR107&gt;AR$130, AR107-AR$130,"")</f>
        <v/>
      </c>
      <c r="BV107" s="1" t="str">
        <f>IF(AS107&gt;AS$130, AS107-AS$130,"")</f>
        <v/>
      </c>
      <c r="BW107" s="1" t="str">
        <f>IF(AT107&gt;AT$130, AT107-AT$130,"")</f>
        <v/>
      </c>
      <c r="BX107" s="1" t="str">
        <f>IF(AU107&gt;AU$130, AU107-AU$130,"")</f>
        <v/>
      </c>
      <c r="BY107" s="1" t="str">
        <f>IF(AV107&gt;AV$130, AV107-AV$130,"")</f>
        <v/>
      </c>
      <c r="BZ107" s="1" t="str">
        <f>IF(AW107&gt;AW$130, AW107-AW$130,"")</f>
        <v/>
      </c>
      <c r="CA107" s="1" t="str">
        <f>IF(AX107&gt;AX$130, AX107-AX$130,"")</f>
        <v/>
      </c>
      <c r="CB107" s="1" t="str">
        <f>IF(AY107&gt;AY$130, AY107-AY$130,"")</f>
        <v/>
      </c>
      <c r="CC107" s="1" t="str">
        <f>IF(AZ107&gt;AZ$130, AZ107-AZ$130,"")</f>
        <v/>
      </c>
      <c r="CD107" s="1" t="str">
        <f>IF(BA107&gt;BA$130, BA107-BA$130,"")</f>
        <v/>
      </c>
      <c r="CE107" s="1" t="str">
        <f>IF(BB107&gt;BB$130, BB107-BB$130,"")</f>
        <v/>
      </c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3"/>
    </row>
    <row r="108" spans="1:97" ht="54" x14ac:dyDescent="0.15">
      <c r="A108" s="1"/>
      <c r="B108" s="1" t="s">
        <v>160</v>
      </c>
      <c r="C108" s="1" t="s">
        <v>120</v>
      </c>
      <c r="D108" s="1" t="s">
        <v>161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>
        <v>10</v>
      </c>
      <c r="Q108" s="28"/>
      <c r="R108" s="28"/>
      <c r="S108" s="28">
        <v>10</v>
      </c>
      <c r="T108" s="28"/>
      <c r="U108" s="28"/>
      <c r="V108" s="28"/>
      <c r="W108" s="28">
        <v>5</v>
      </c>
      <c r="X108" s="28"/>
      <c r="Y108" s="28"/>
      <c r="Z108" s="28"/>
      <c r="AA108" s="28"/>
      <c r="AB108" s="28">
        <v>10</v>
      </c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35</v>
      </c>
      <c r="BQ108" s="1">
        <v>22</v>
      </c>
      <c r="BR108" s="17">
        <v>4</v>
      </c>
      <c r="BS108" s="17" t="s">
        <v>294</v>
      </c>
      <c r="BT108" s="1" t="str">
        <f>IF(AQ108&gt;AQ$130, AQ108-AQ$130,"")</f>
        <v/>
      </c>
      <c r="BU108" s="1" t="str">
        <f>IF(AR108&gt;AR$130, AR108-AR$130,"")</f>
        <v/>
      </c>
      <c r="BV108" s="1" t="str">
        <f>IF(AS108&gt;AS$130, AS108-AS$130,"")</f>
        <v/>
      </c>
      <c r="BW108" s="1" t="str">
        <f>IF(AT108&gt;AT$130, AT108-AT$130,"")</f>
        <v/>
      </c>
      <c r="BX108" s="1" t="str">
        <f>IF(AU108&gt;AU$130, AU108-AU$130,"")</f>
        <v/>
      </c>
      <c r="BY108" s="1" t="str">
        <f>IF(AV108&gt;AV$130, AV108-AV$130,"")</f>
        <v/>
      </c>
      <c r="BZ108" s="1" t="str">
        <f>IF(AW108&gt;AW$130, AW108-AW$130,"")</f>
        <v/>
      </c>
      <c r="CA108" s="1" t="str">
        <f>IF(AX108&gt;AX$130, AX108-AX$130,"")</f>
        <v/>
      </c>
      <c r="CB108" s="1" t="str">
        <f>IF(AY108&gt;AY$130, AY108-AY$130,"")</f>
        <v/>
      </c>
      <c r="CC108" s="1" t="str">
        <f>IF(AZ108&gt;AZ$130, AZ108-AZ$130,"")</f>
        <v/>
      </c>
      <c r="CD108" s="1" t="str">
        <f>IF(BA108&gt;BA$130, BA108-BA$130,"")</f>
        <v/>
      </c>
      <c r="CE108" s="1" t="str">
        <f>IF(BB108&gt;BB$130, BB108-BB$130,"")</f>
        <v/>
      </c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3"/>
    </row>
    <row r="109" spans="1:97" ht="54" x14ac:dyDescent="0.15">
      <c r="A109" s="1"/>
      <c r="B109" s="1" t="s">
        <v>166</v>
      </c>
      <c r="C109" s="1" t="s">
        <v>122</v>
      </c>
      <c r="D109" s="1" t="s">
        <v>124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/>
      <c r="Q109" s="28"/>
      <c r="R109" s="28"/>
      <c r="S109" s="28"/>
      <c r="T109" s="28"/>
      <c r="U109" s="28"/>
      <c r="V109" s="28">
        <v>10</v>
      </c>
      <c r="W109" s="28"/>
      <c r="X109" s="28"/>
      <c r="Y109" s="28">
        <v>10</v>
      </c>
      <c r="Z109" s="28"/>
      <c r="AA109" s="28"/>
      <c r="AB109" s="28">
        <v>10</v>
      </c>
      <c r="AC109" s="28">
        <v>5</v>
      </c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35</v>
      </c>
      <c r="BQ109" s="1">
        <v>23</v>
      </c>
      <c r="BR109" s="17">
        <v>4</v>
      </c>
      <c r="BS109" s="17" t="s">
        <v>295</v>
      </c>
      <c r="BT109" s="1" t="str">
        <f>IF(AQ109&gt;AQ$130, AQ109-AQ$130,"")</f>
        <v/>
      </c>
      <c r="BU109" s="1" t="str">
        <f>IF(AR109&gt;AR$130, AR109-AR$130,"")</f>
        <v/>
      </c>
      <c r="BV109" s="1" t="str">
        <f>IF(AS109&gt;AS$130, AS109-AS$130,"")</f>
        <v/>
      </c>
      <c r="BW109" s="1" t="str">
        <f>IF(AT109&gt;AT$130, AT109-AT$130,"")</f>
        <v/>
      </c>
      <c r="BX109" s="1" t="str">
        <f>IF(AU109&gt;AU$130, AU109-AU$130,"")</f>
        <v/>
      </c>
      <c r="BY109" s="1" t="str">
        <f>IF(AV109&gt;AV$130, AV109-AV$130,"")</f>
        <v/>
      </c>
      <c r="BZ109" s="1" t="str">
        <f>IF(AW109&gt;AW$130, AW109-AW$130,"")</f>
        <v/>
      </c>
      <c r="CA109" s="1" t="str">
        <f>IF(AX109&gt;AX$130, AX109-AX$130,"")</f>
        <v/>
      </c>
      <c r="CB109" s="1" t="str">
        <f>IF(AY109&gt;AY$130, AY109-AY$130,"")</f>
        <v/>
      </c>
      <c r="CC109" s="1" t="str">
        <f>IF(AZ109&gt;AZ$130, AZ109-AZ$130,"")</f>
        <v/>
      </c>
      <c r="CD109" s="1" t="str">
        <f>IF(BA109&gt;BA$130, BA109-BA$130,"")</f>
        <v/>
      </c>
      <c r="CE109" s="1" t="str">
        <f>IF(BB109&gt;BB$130, BB109-BB$130,"")</f>
        <v/>
      </c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3"/>
    </row>
    <row r="110" spans="1:97" ht="54" x14ac:dyDescent="0.15">
      <c r="A110" s="1"/>
      <c r="B110" s="1" t="s">
        <v>148</v>
      </c>
      <c r="C110" s="1" t="s">
        <v>150</v>
      </c>
      <c r="D110" s="1" t="s">
        <v>124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/>
      <c r="Q110" s="28"/>
      <c r="R110" s="28"/>
      <c r="S110" s="28"/>
      <c r="T110" s="28"/>
      <c r="U110" s="28"/>
      <c r="V110" s="28">
        <v>10</v>
      </c>
      <c r="W110" s="28"/>
      <c r="X110" s="28"/>
      <c r="Y110" s="28">
        <v>10</v>
      </c>
      <c r="Z110" s="28"/>
      <c r="AA110" s="28"/>
      <c r="AB110" s="28">
        <v>10</v>
      </c>
      <c r="AC110" s="28">
        <v>5</v>
      </c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35</v>
      </c>
      <c r="BQ110" s="1">
        <v>23</v>
      </c>
      <c r="BR110" s="17">
        <v>4</v>
      </c>
      <c r="BS110" s="17" t="s">
        <v>295</v>
      </c>
      <c r="BT110" s="1" t="str">
        <f>IF(AQ110&gt;AQ$130, AQ110-AQ$130,"")</f>
        <v/>
      </c>
      <c r="BU110" s="1" t="str">
        <f>IF(AR110&gt;AR$130, AR110-AR$130,"")</f>
        <v/>
      </c>
      <c r="BV110" s="1" t="str">
        <f>IF(AS110&gt;AS$130, AS110-AS$130,"")</f>
        <v/>
      </c>
      <c r="BW110" s="1" t="str">
        <f>IF(AT110&gt;AT$130, AT110-AT$130,"")</f>
        <v/>
      </c>
      <c r="BX110" s="1" t="str">
        <f>IF(AU110&gt;AU$130, AU110-AU$130,"")</f>
        <v/>
      </c>
      <c r="BY110" s="1" t="str">
        <f>IF(AV110&gt;AV$130, AV110-AV$130,"")</f>
        <v/>
      </c>
      <c r="BZ110" s="1" t="str">
        <f>IF(AW110&gt;AW$130, AW110-AW$130,"")</f>
        <v/>
      </c>
      <c r="CA110" s="1" t="str">
        <f>IF(AX110&gt;AX$130, AX110-AX$130,"")</f>
        <v/>
      </c>
      <c r="CB110" s="1" t="str">
        <f>IF(AY110&gt;AY$130, AY110-AY$130,"")</f>
        <v/>
      </c>
      <c r="CC110" s="1" t="str">
        <f>IF(AZ110&gt;AZ$130, AZ110-AZ$130,"")</f>
        <v/>
      </c>
      <c r="CD110" s="1" t="str">
        <f>IF(BA110&gt;BA$130, BA110-BA$130,"")</f>
        <v/>
      </c>
      <c r="CE110" s="1" t="str">
        <f>IF(BB110&gt;BB$130, BB110-BB$130,"")</f>
        <v/>
      </c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3"/>
    </row>
    <row r="111" spans="1:97" ht="54" x14ac:dyDescent="0.15">
      <c r="A111" s="1"/>
      <c r="B111" s="1" t="s">
        <v>157</v>
      </c>
      <c r="C111" s="1" t="s">
        <v>152</v>
      </c>
      <c r="D111" s="1" t="s">
        <v>124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28"/>
      <c r="Q111" s="28"/>
      <c r="R111" s="28"/>
      <c r="S111" s="28"/>
      <c r="T111" s="28"/>
      <c r="U111" s="28"/>
      <c r="V111" s="28">
        <v>10</v>
      </c>
      <c r="W111" s="28"/>
      <c r="X111" s="28"/>
      <c r="Y111" s="28">
        <v>10</v>
      </c>
      <c r="Z111" s="28"/>
      <c r="AA111" s="28"/>
      <c r="AB111" s="28">
        <v>10</v>
      </c>
      <c r="AC111" s="28">
        <v>5</v>
      </c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35</v>
      </c>
      <c r="BQ111" s="1">
        <v>23</v>
      </c>
      <c r="BR111" s="17">
        <v>4</v>
      </c>
      <c r="BS111" s="17" t="s">
        <v>295</v>
      </c>
      <c r="BT111" s="1" t="str">
        <f>IF(AQ111&gt;AQ$130, AQ111-AQ$130,"")</f>
        <v/>
      </c>
      <c r="BU111" s="1" t="str">
        <f>IF(AR111&gt;AR$130, AR111-AR$130,"")</f>
        <v/>
      </c>
      <c r="BV111" s="1" t="str">
        <f>IF(AS111&gt;AS$130, AS111-AS$130,"")</f>
        <v/>
      </c>
      <c r="BW111" s="1" t="str">
        <f>IF(AT111&gt;AT$130, AT111-AT$130,"")</f>
        <v/>
      </c>
      <c r="BX111" s="1" t="str">
        <f>IF(AU111&gt;AU$130, AU111-AU$130,"")</f>
        <v/>
      </c>
      <c r="BY111" s="1" t="str">
        <f>IF(AV111&gt;AV$130, AV111-AV$130,"")</f>
        <v/>
      </c>
      <c r="BZ111" s="1" t="str">
        <f>IF(AW111&gt;AW$130, AW111-AW$130,"")</f>
        <v/>
      </c>
      <c r="CA111" s="1" t="str">
        <f>IF(AX111&gt;AX$130, AX111-AX$130,"")</f>
        <v/>
      </c>
      <c r="CB111" s="1" t="str">
        <f>IF(AY111&gt;AY$130, AY111-AY$130,"")</f>
        <v/>
      </c>
      <c r="CC111" s="1" t="str">
        <f>IF(AZ111&gt;AZ$130, AZ111-AZ$130,"")</f>
        <v/>
      </c>
      <c r="CD111" s="1" t="str">
        <f>IF(BA111&gt;BA$130, BA111-BA$130,"")</f>
        <v/>
      </c>
      <c r="CE111" s="1" t="str">
        <f>IF(BB111&gt;BB$130, BB111-BB$130,"")</f>
        <v/>
      </c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3"/>
    </row>
    <row r="112" spans="1:97" ht="54" x14ac:dyDescent="0.15">
      <c r="A112" s="1"/>
      <c r="B112" s="1" t="s">
        <v>158</v>
      </c>
      <c r="C112" s="1" t="s">
        <v>152</v>
      </c>
      <c r="D112" s="1" t="s">
        <v>124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28"/>
      <c r="Q112" s="28"/>
      <c r="R112" s="28"/>
      <c r="S112" s="28"/>
      <c r="T112" s="28"/>
      <c r="U112" s="28"/>
      <c r="V112" s="28">
        <v>10</v>
      </c>
      <c r="W112" s="28"/>
      <c r="X112" s="28"/>
      <c r="Y112" s="28">
        <v>10</v>
      </c>
      <c r="Z112" s="28"/>
      <c r="AA112" s="28"/>
      <c r="AB112" s="28">
        <v>10</v>
      </c>
      <c r="AC112" s="28">
        <v>5</v>
      </c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35</v>
      </c>
      <c r="BQ112" s="1">
        <v>23</v>
      </c>
      <c r="BR112" s="17">
        <v>4</v>
      </c>
      <c r="BS112" s="17" t="s">
        <v>295</v>
      </c>
      <c r="BT112" s="1" t="str">
        <f>IF(AQ112&gt;AQ$130, AQ112-AQ$130,"")</f>
        <v/>
      </c>
      <c r="BU112" s="1" t="str">
        <f>IF(AR112&gt;AR$130, AR112-AR$130,"")</f>
        <v/>
      </c>
      <c r="BV112" s="1" t="str">
        <f>IF(AS112&gt;AS$130, AS112-AS$130,"")</f>
        <v/>
      </c>
      <c r="BW112" s="1" t="str">
        <f>IF(AT112&gt;AT$130, AT112-AT$130,"")</f>
        <v/>
      </c>
      <c r="BX112" s="1" t="str">
        <f>IF(AU112&gt;AU$130, AU112-AU$130,"")</f>
        <v/>
      </c>
      <c r="BY112" s="1" t="str">
        <f>IF(AV112&gt;AV$130, AV112-AV$130,"")</f>
        <v/>
      </c>
      <c r="BZ112" s="1" t="str">
        <f>IF(AW112&gt;AW$130, AW112-AW$130,"")</f>
        <v/>
      </c>
      <c r="CA112" s="1" t="str">
        <f>IF(AX112&gt;AX$130, AX112-AX$130,"")</f>
        <v/>
      </c>
      <c r="CB112" s="1" t="str">
        <f>IF(AY112&gt;AY$130, AY112-AY$130,"")</f>
        <v/>
      </c>
      <c r="CC112" s="1" t="str">
        <f>IF(AZ112&gt;AZ$130, AZ112-AZ$130,"")</f>
        <v/>
      </c>
      <c r="CD112" s="1" t="str">
        <f>IF(BA112&gt;BA$130, BA112-BA$130,"")</f>
        <v/>
      </c>
      <c r="CE112" s="1" t="str">
        <f>IF(BB112&gt;BB$130, BB112-BB$130,"")</f>
        <v/>
      </c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3"/>
    </row>
    <row r="113" spans="1:97" ht="54" x14ac:dyDescent="0.15">
      <c r="A113" s="1"/>
      <c r="B113" s="1" t="s">
        <v>149</v>
      </c>
      <c r="C113" s="1" t="s">
        <v>150</v>
      </c>
      <c r="D113" s="1" t="s">
        <v>123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28">
        <v>10</v>
      </c>
      <c r="Q113" s="28"/>
      <c r="R113" s="28"/>
      <c r="S113" s="28">
        <v>10</v>
      </c>
      <c r="T113" s="28"/>
      <c r="U113" s="28"/>
      <c r="V113" s="28"/>
      <c r="W113" s="28"/>
      <c r="X113" s="28"/>
      <c r="Y113" s="28"/>
      <c r="Z113" s="28">
        <v>5</v>
      </c>
      <c r="AA113" s="28"/>
      <c r="AB113" s="28">
        <v>10</v>
      </c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35</v>
      </c>
      <c r="BQ113" s="1">
        <v>23</v>
      </c>
      <c r="BR113" s="17">
        <v>4</v>
      </c>
      <c r="BS113" s="17" t="s">
        <v>296</v>
      </c>
      <c r="BT113" s="1" t="str">
        <f>IF(AQ113&gt;AQ$130, AQ113-AQ$130,"")</f>
        <v/>
      </c>
      <c r="BU113" s="1" t="str">
        <f>IF(AR113&gt;AR$130, AR113-AR$130,"")</f>
        <v/>
      </c>
      <c r="BV113" s="1" t="str">
        <f>IF(AS113&gt;AS$130, AS113-AS$130,"")</f>
        <v/>
      </c>
      <c r="BW113" s="1" t="str">
        <f>IF(AT113&gt;AT$130, AT113-AT$130,"")</f>
        <v/>
      </c>
      <c r="BX113" s="1" t="str">
        <f>IF(AU113&gt;AU$130, AU113-AU$130,"")</f>
        <v/>
      </c>
      <c r="BY113" s="1" t="str">
        <f>IF(AV113&gt;AV$130, AV113-AV$130,"")</f>
        <v/>
      </c>
      <c r="BZ113" s="1" t="str">
        <f>IF(AW113&gt;AW$130, AW113-AW$130,"")</f>
        <v/>
      </c>
      <c r="CA113" s="1" t="str">
        <f>IF(AX113&gt;AX$130, AX113-AX$130,"")</f>
        <v/>
      </c>
      <c r="CB113" s="1" t="str">
        <f>IF(AY113&gt;AY$130, AY113-AY$130,"")</f>
        <v/>
      </c>
      <c r="CC113" s="1" t="str">
        <f>IF(AZ113&gt;AZ$130, AZ113-AZ$130,"")</f>
        <v/>
      </c>
      <c r="CD113" s="1" t="str">
        <f>IF(BA113&gt;BA$130, BA113-BA$130,"")</f>
        <v/>
      </c>
      <c r="CE113" s="1" t="str">
        <f>IF(BB113&gt;BB$130, BB113-BB$130,"")</f>
        <v/>
      </c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3"/>
    </row>
    <row r="114" spans="1:97" ht="54" x14ac:dyDescent="0.15">
      <c r="A114" s="1"/>
      <c r="B114" s="1" t="s">
        <v>140</v>
      </c>
      <c r="C114" s="1" t="s">
        <v>141</v>
      </c>
      <c r="D114" s="1" t="s">
        <v>124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28"/>
      <c r="Q114" s="28">
        <v>5</v>
      </c>
      <c r="R114" s="28"/>
      <c r="S114" s="28"/>
      <c r="T114" s="28"/>
      <c r="U114" s="28"/>
      <c r="V114" s="28">
        <v>10</v>
      </c>
      <c r="W114" s="28"/>
      <c r="X114" s="28"/>
      <c r="Y114" s="28">
        <v>10</v>
      </c>
      <c r="Z114" s="28"/>
      <c r="AA114" s="28"/>
      <c r="AB114" s="28">
        <v>10</v>
      </c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35</v>
      </c>
      <c r="BQ114" s="1">
        <v>24</v>
      </c>
      <c r="BR114" s="17">
        <v>4</v>
      </c>
      <c r="BS114" s="17" t="s">
        <v>297</v>
      </c>
      <c r="BT114" s="1" t="str">
        <f>IF(AQ114&gt;AQ$130, AQ114-AQ$130,"")</f>
        <v/>
      </c>
      <c r="BU114" s="1" t="str">
        <f>IF(AR114&gt;AR$130, AR114-AR$130,"")</f>
        <v/>
      </c>
      <c r="BV114" s="1" t="str">
        <f>IF(AS114&gt;AS$130, AS114-AS$130,"")</f>
        <v/>
      </c>
      <c r="BW114" s="1" t="str">
        <f>IF(AT114&gt;AT$130, AT114-AT$130,"")</f>
        <v/>
      </c>
      <c r="BX114" s="1" t="str">
        <f>IF(AU114&gt;AU$130, AU114-AU$130,"")</f>
        <v/>
      </c>
      <c r="BY114" s="1" t="str">
        <f>IF(AV114&gt;AV$130, AV114-AV$130,"")</f>
        <v/>
      </c>
      <c r="BZ114" s="1" t="str">
        <f>IF(AW114&gt;AW$130, AW114-AW$130,"")</f>
        <v/>
      </c>
      <c r="CA114" s="1" t="str">
        <f>IF(AX114&gt;AX$130, AX114-AX$130,"")</f>
        <v/>
      </c>
      <c r="CB114" s="1" t="str">
        <f>IF(AY114&gt;AY$130, AY114-AY$130,"")</f>
        <v/>
      </c>
      <c r="CC114" s="1" t="str">
        <f>IF(AZ114&gt;AZ$130, AZ114-AZ$130,"")</f>
        <v/>
      </c>
      <c r="CD114" s="1" t="str">
        <f>IF(BA114&gt;BA$130, BA114-BA$130,"")</f>
        <v/>
      </c>
      <c r="CE114" s="1" t="str">
        <f>IF(BB114&gt;BB$130, BB114-BB$130,"")</f>
        <v/>
      </c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3"/>
    </row>
    <row r="115" spans="1:97" ht="54" x14ac:dyDescent="0.15">
      <c r="A115" s="1"/>
      <c r="B115" s="1" t="s">
        <v>146</v>
      </c>
      <c r="C115" s="1" t="s">
        <v>145</v>
      </c>
      <c r="D115" s="1" t="s">
        <v>124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28"/>
      <c r="Q115" s="28">
        <v>5</v>
      </c>
      <c r="R115" s="28"/>
      <c r="S115" s="28"/>
      <c r="T115" s="28"/>
      <c r="U115" s="28"/>
      <c r="V115" s="28">
        <v>10</v>
      </c>
      <c r="W115" s="28"/>
      <c r="X115" s="28"/>
      <c r="Y115" s="28">
        <v>10</v>
      </c>
      <c r="Z115" s="28"/>
      <c r="AA115" s="28"/>
      <c r="AB115" s="28">
        <v>10</v>
      </c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35</v>
      </c>
      <c r="BQ115" s="1">
        <v>24</v>
      </c>
      <c r="BR115" s="17">
        <v>4</v>
      </c>
      <c r="BS115" s="17" t="s">
        <v>297</v>
      </c>
      <c r="BT115" s="1" t="str">
        <f>IF(AQ115&gt;AQ$130, AQ115-AQ$130,"")</f>
        <v/>
      </c>
      <c r="BU115" s="1" t="str">
        <f>IF(AR115&gt;AR$130, AR115-AR$130,"")</f>
        <v/>
      </c>
      <c r="BV115" s="1" t="str">
        <f>IF(AS115&gt;AS$130, AS115-AS$130,"")</f>
        <v/>
      </c>
      <c r="BW115" s="1" t="str">
        <f>IF(AT115&gt;AT$130, AT115-AT$130,"")</f>
        <v/>
      </c>
      <c r="BX115" s="1" t="str">
        <f>IF(AU115&gt;AU$130, AU115-AU$130,"")</f>
        <v/>
      </c>
      <c r="BY115" s="1" t="str">
        <f>IF(AV115&gt;AV$130, AV115-AV$130,"")</f>
        <v/>
      </c>
      <c r="BZ115" s="1" t="str">
        <f>IF(AW115&gt;AW$130, AW115-AW$130,"")</f>
        <v/>
      </c>
      <c r="CA115" s="1" t="str">
        <f>IF(AX115&gt;AX$130, AX115-AX$130,"")</f>
        <v/>
      </c>
      <c r="CB115" s="1" t="str">
        <f>IF(AY115&gt;AY$130, AY115-AY$130,"")</f>
        <v/>
      </c>
      <c r="CC115" s="1" t="str">
        <f>IF(AZ115&gt;AZ$130, AZ115-AZ$130,"")</f>
        <v/>
      </c>
      <c r="CD115" s="1" t="str">
        <f>IF(BA115&gt;BA$130, BA115-BA$130,"")</f>
        <v/>
      </c>
      <c r="CE115" s="1" t="str">
        <f>IF(BB115&gt;BB$130, BB115-BB$130,"")</f>
        <v/>
      </c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3"/>
    </row>
    <row r="116" spans="1:97" ht="54" x14ac:dyDescent="0.15">
      <c r="A116" s="1"/>
      <c r="B116" s="1" t="s">
        <v>140</v>
      </c>
      <c r="C116" s="1" t="s">
        <v>141</v>
      </c>
      <c r="D116" s="1" t="s">
        <v>123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28">
        <v>10</v>
      </c>
      <c r="Q116" s="28"/>
      <c r="R116" s="28"/>
      <c r="S116" s="28">
        <v>10</v>
      </c>
      <c r="T116" s="28"/>
      <c r="U116" s="28"/>
      <c r="V116" s="28">
        <v>10</v>
      </c>
      <c r="W116" s="28"/>
      <c r="X116" s="28"/>
      <c r="Y116" s="28">
        <v>10</v>
      </c>
      <c r="Z116" s="28"/>
      <c r="AA116" s="28"/>
      <c r="AB116" s="28"/>
      <c r="AC116" s="28"/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40</v>
      </c>
      <c r="BQ116" s="1">
        <v>35</v>
      </c>
      <c r="BR116" s="17">
        <v>4</v>
      </c>
      <c r="BS116" s="17" t="s">
        <v>298</v>
      </c>
      <c r="BT116" s="1" t="str">
        <f>IF(AQ116&gt;AQ$130, AQ116-AQ$130,"")</f>
        <v/>
      </c>
      <c r="BU116" s="1" t="str">
        <f>IF(AR116&gt;AR$130, AR116-AR$130,"")</f>
        <v/>
      </c>
      <c r="BV116" s="1" t="str">
        <f>IF(AS116&gt;AS$130, AS116-AS$130,"")</f>
        <v/>
      </c>
      <c r="BW116" s="1" t="str">
        <f>IF(AT116&gt;AT$130, AT116-AT$130,"")</f>
        <v/>
      </c>
      <c r="BX116" s="1" t="str">
        <f>IF(AU116&gt;AU$130, AU116-AU$130,"")</f>
        <v/>
      </c>
      <c r="BY116" s="1" t="str">
        <f>IF(AV116&gt;AV$130, AV116-AV$130,"")</f>
        <v/>
      </c>
      <c r="BZ116" s="1" t="str">
        <f>IF(AW116&gt;AW$130, AW116-AW$130,"")</f>
        <v/>
      </c>
      <c r="CA116" s="1" t="str">
        <f>IF(AX116&gt;AX$130, AX116-AX$130,"")</f>
        <v/>
      </c>
      <c r="CB116" s="1" t="str">
        <f>IF(AY116&gt;AY$130, AY116-AY$130,"")</f>
        <v/>
      </c>
      <c r="CC116" s="1" t="str">
        <f>IF(AZ116&gt;AZ$130, AZ116-AZ$130,"")</f>
        <v/>
      </c>
      <c r="CD116" s="1" t="str">
        <f>IF(BA116&gt;BA$130, BA116-BA$130,"")</f>
        <v/>
      </c>
      <c r="CE116" s="1" t="str">
        <f>IF(BB116&gt;BB$130, BB116-BB$130,"")</f>
        <v/>
      </c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3"/>
    </row>
    <row r="117" spans="1:97" ht="54" x14ac:dyDescent="0.15">
      <c r="A117" s="1"/>
      <c r="B117" s="1" t="s">
        <v>146</v>
      </c>
      <c r="C117" s="1" t="s">
        <v>145</v>
      </c>
      <c r="D117" s="1" t="s">
        <v>123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28">
        <v>10</v>
      </c>
      <c r="Q117" s="28"/>
      <c r="R117" s="28"/>
      <c r="S117" s="28">
        <v>10</v>
      </c>
      <c r="T117" s="28"/>
      <c r="U117" s="28"/>
      <c r="V117" s="28">
        <v>10</v>
      </c>
      <c r="W117" s="28"/>
      <c r="X117" s="28"/>
      <c r="Y117" s="28">
        <v>10</v>
      </c>
      <c r="Z117" s="28"/>
      <c r="AA117" s="28"/>
      <c r="AB117" s="28"/>
      <c r="AC117" s="28"/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40</v>
      </c>
      <c r="BQ117" s="1">
        <v>35</v>
      </c>
      <c r="BR117" s="17">
        <v>4</v>
      </c>
      <c r="BS117" s="17" t="s">
        <v>197</v>
      </c>
      <c r="BT117" s="1" t="str">
        <f>IF(AQ117&gt;AQ$130, AQ117-AQ$130,"")</f>
        <v/>
      </c>
      <c r="BU117" s="1" t="str">
        <f>IF(AR117&gt;AR$130, AR117-AR$130,"")</f>
        <v/>
      </c>
      <c r="BV117" s="1" t="str">
        <f>IF(AS117&gt;AS$130, AS117-AS$130,"")</f>
        <v/>
      </c>
      <c r="BW117" s="1" t="str">
        <f>IF(AT117&gt;AT$130, AT117-AT$130,"")</f>
        <v/>
      </c>
      <c r="BX117" s="1" t="str">
        <f>IF(AU117&gt;AU$130, AU117-AU$130,"")</f>
        <v/>
      </c>
      <c r="BY117" s="1" t="str">
        <f>IF(AV117&gt;AV$130, AV117-AV$130,"")</f>
        <v/>
      </c>
      <c r="BZ117" s="1" t="str">
        <f>IF(AW117&gt;AW$130, AW117-AW$130,"")</f>
        <v/>
      </c>
      <c r="CA117" s="1" t="str">
        <f>IF(AX117&gt;AX$130, AX117-AX$130,"")</f>
        <v/>
      </c>
      <c r="CB117" s="1" t="str">
        <f>IF(AY117&gt;AY$130, AY117-AY$130,"")</f>
        <v/>
      </c>
      <c r="CC117" s="1" t="str">
        <f>IF(AZ117&gt;AZ$130, AZ117-AZ$130,"")</f>
        <v/>
      </c>
      <c r="CD117" s="1" t="str">
        <f>IF(BA117&gt;BA$130, BA117-BA$130,"")</f>
        <v/>
      </c>
      <c r="CE117" s="1" t="str">
        <f>IF(BB117&gt;BB$130, BB117-BB$130,"")</f>
        <v/>
      </c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3"/>
    </row>
    <row r="118" spans="1:97" ht="54" x14ac:dyDescent="0.15">
      <c r="A118" s="1"/>
      <c r="B118" s="1" t="s">
        <v>148</v>
      </c>
      <c r="C118" s="1" t="s">
        <v>150</v>
      </c>
      <c r="D118" s="1" t="s">
        <v>123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28">
        <v>10</v>
      </c>
      <c r="Q118" s="28"/>
      <c r="R118" s="28"/>
      <c r="S118" s="28">
        <v>10</v>
      </c>
      <c r="T118" s="28"/>
      <c r="U118" s="28"/>
      <c r="V118" s="28">
        <v>10</v>
      </c>
      <c r="W118" s="28"/>
      <c r="X118" s="28"/>
      <c r="Y118" s="28">
        <v>10</v>
      </c>
      <c r="Z118" s="28"/>
      <c r="AA118" s="28"/>
      <c r="AB118" s="28"/>
      <c r="AC118" s="28"/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40</v>
      </c>
      <c r="BQ118" s="1">
        <v>35</v>
      </c>
      <c r="BR118" s="17">
        <v>4</v>
      </c>
      <c r="BS118" s="17" t="s">
        <v>197</v>
      </c>
      <c r="BT118" s="1" t="str">
        <f>IF(AQ118&gt;AQ$130, AQ118-AQ$130,"")</f>
        <v/>
      </c>
      <c r="BU118" s="1" t="str">
        <f>IF(AR118&gt;AR$130, AR118-AR$130,"")</f>
        <v/>
      </c>
      <c r="BV118" s="1" t="str">
        <f>IF(AS118&gt;AS$130, AS118-AS$130,"")</f>
        <v/>
      </c>
      <c r="BW118" s="1" t="str">
        <f>IF(AT118&gt;AT$130, AT118-AT$130,"")</f>
        <v/>
      </c>
      <c r="BX118" s="1" t="str">
        <f>IF(AU118&gt;AU$130, AU118-AU$130,"")</f>
        <v/>
      </c>
      <c r="BY118" s="1" t="str">
        <f>IF(AV118&gt;AV$130, AV118-AV$130,"")</f>
        <v/>
      </c>
      <c r="BZ118" s="1" t="str">
        <f>IF(AW118&gt;AW$130, AW118-AW$130,"")</f>
        <v/>
      </c>
      <c r="CA118" s="1" t="str">
        <f>IF(AX118&gt;AX$130, AX118-AX$130,"")</f>
        <v/>
      </c>
      <c r="CB118" s="1" t="str">
        <f>IF(AY118&gt;AY$130, AY118-AY$130,"")</f>
        <v/>
      </c>
      <c r="CC118" s="1" t="str">
        <f>IF(AZ118&gt;AZ$130, AZ118-AZ$130,"")</f>
        <v/>
      </c>
      <c r="CD118" s="1" t="str">
        <f>IF(BA118&gt;BA$130, BA118-BA$130,"")</f>
        <v/>
      </c>
      <c r="CE118" s="1" t="str">
        <f>IF(BB118&gt;BB$130, BB118-BB$130,"")</f>
        <v/>
      </c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3"/>
    </row>
    <row r="119" spans="1:97" ht="54" x14ac:dyDescent="0.15">
      <c r="A119" s="1"/>
      <c r="B119" s="1" t="s">
        <v>154</v>
      </c>
      <c r="C119" s="1" t="s">
        <v>152</v>
      </c>
      <c r="D119" s="1" t="s">
        <v>123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>
        <v>10</v>
      </c>
      <c r="Q119" s="28"/>
      <c r="R119" s="28"/>
      <c r="S119" s="28">
        <v>10</v>
      </c>
      <c r="T119" s="28"/>
      <c r="U119" s="28"/>
      <c r="V119" s="28">
        <v>10</v>
      </c>
      <c r="W119" s="28"/>
      <c r="X119" s="28"/>
      <c r="Y119" s="28">
        <v>10</v>
      </c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>SUM(E119:BO119)</f>
        <v>40</v>
      </c>
      <c r="BQ119" s="1">
        <v>35</v>
      </c>
      <c r="BR119" s="17">
        <v>4</v>
      </c>
      <c r="BS119" s="17" t="s">
        <v>298</v>
      </c>
      <c r="BT119" s="1" t="str">
        <f>IF(AQ119&gt;AQ$130, AQ119-AQ$130,"")</f>
        <v/>
      </c>
      <c r="BU119" s="1" t="str">
        <f>IF(AR119&gt;AR$130, AR119-AR$130,"")</f>
        <v/>
      </c>
      <c r="BV119" s="1" t="str">
        <f>IF(AS119&gt;AS$130, AS119-AS$130,"")</f>
        <v/>
      </c>
      <c r="BW119" s="1" t="str">
        <f>IF(AT119&gt;AT$130, AT119-AT$130,"")</f>
        <v/>
      </c>
      <c r="BX119" s="1" t="str">
        <f>IF(AU119&gt;AU$130, AU119-AU$130,"")</f>
        <v/>
      </c>
      <c r="BY119" s="1" t="str">
        <f>IF(AV119&gt;AV$130, AV119-AV$130,"")</f>
        <v/>
      </c>
      <c r="BZ119" s="1" t="str">
        <f>IF(AW119&gt;AW$130, AW119-AW$130,"")</f>
        <v/>
      </c>
      <c r="CA119" s="1" t="str">
        <f>IF(AX119&gt;AX$130, AX119-AX$130,"")</f>
        <v/>
      </c>
      <c r="CB119" s="1" t="str">
        <f>IF(AY119&gt;AY$130, AY119-AY$130,"")</f>
        <v/>
      </c>
      <c r="CC119" s="1" t="str">
        <f>IF(AZ119&gt;AZ$130, AZ119-AZ$130,"")</f>
        <v/>
      </c>
      <c r="CD119" s="1" t="str">
        <f>IF(BA119&gt;BA$130, BA119-BA$130,"")</f>
        <v/>
      </c>
      <c r="CE119" s="1" t="str">
        <f>IF(BB119&gt;BB$130, BB119-BB$130,"")</f>
        <v/>
      </c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3"/>
    </row>
    <row r="120" spans="1:97" ht="54" x14ac:dyDescent="0.15">
      <c r="A120" s="1"/>
      <c r="B120" s="1" t="s">
        <v>157</v>
      </c>
      <c r="C120" s="1" t="s">
        <v>152</v>
      </c>
      <c r="D120" s="1" t="s">
        <v>123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28">
        <v>10</v>
      </c>
      <c r="Q120" s="28"/>
      <c r="R120" s="28"/>
      <c r="S120" s="28">
        <v>10</v>
      </c>
      <c r="T120" s="28"/>
      <c r="U120" s="28"/>
      <c r="V120" s="28">
        <v>10</v>
      </c>
      <c r="W120" s="28"/>
      <c r="X120" s="28"/>
      <c r="Y120" s="28">
        <v>10</v>
      </c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>SUM(E120:BO120)</f>
        <v>40</v>
      </c>
      <c r="BQ120" s="1">
        <v>35</v>
      </c>
      <c r="BR120" s="17">
        <v>4</v>
      </c>
      <c r="BS120" s="17" t="s">
        <v>298</v>
      </c>
      <c r="BT120" s="1" t="str">
        <f>IF(AQ120&gt;AQ$130, AQ120-AQ$130,"")</f>
        <v/>
      </c>
      <c r="BU120" s="1" t="str">
        <f>IF(AR120&gt;AR$130, AR120-AR$130,"")</f>
        <v/>
      </c>
      <c r="BV120" s="1" t="str">
        <f>IF(AS120&gt;AS$130, AS120-AS$130,"")</f>
        <v/>
      </c>
      <c r="BW120" s="1" t="str">
        <f>IF(AT120&gt;AT$130, AT120-AT$130,"")</f>
        <v/>
      </c>
      <c r="BX120" s="1" t="str">
        <f>IF(AU120&gt;AU$130, AU120-AU$130,"")</f>
        <v/>
      </c>
      <c r="BY120" s="1" t="str">
        <f>IF(AV120&gt;AV$130, AV120-AV$130,"")</f>
        <v/>
      </c>
      <c r="BZ120" s="1" t="str">
        <f>IF(AW120&gt;AW$130, AW120-AW$130,"")</f>
        <v/>
      </c>
      <c r="CA120" s="1" t="str">
        <f>IF(AX120&gt;AX$130, AX120-AX$130,"")</f>
        <v/>
      </c>
      <c r="CB120" s="1" t="str">
        <f>IF(AY120&gt;AY$130, AY120-AY$130,"")</f>
        <v/>
      </c>
      <c r="CC120" s="1" t="str">
        <f>IF(AZ120&gt;AZ$130, AZ120-AZ$130,"")</f>
        <v/>
      </c>
      <c r="CD120" s="1" t="str">
        <f>IF(BA120&gt;BA$130, BA120-BA$130,"")</f>
        <v/>
      </c>
      <c r="CE120" s="1" t="str">
        <f>IF(BB120&gt;BB$130, BB120-BB$130,"")</f>
        <v/>
      </c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3"/>
    </row>
    <row r="121" spans="1:97" ht="54" x14ac:dyDescent="0.15">
      <c r="A121" s="1"/>
      <c r="B121" s="1" t="s">
        <v>158</v>
      </c>
      <c r="C121" s="1" t="s">
        <v>152</v>
      </c>
      <c r="D121" s="1" t="s">
        <v>123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28">
        <v>10</v>
      </c>
      <c r="Q121" s="28"/>
      <c r="R121" s="28"/>
      <c r="S121" s="28">
        <v>10</v>
      </c>
      <c r="T121" s="28"/>
      <c r="U121" s="28"/>
      <c r="V121" s="28">
        <v>10</v>
      </c>
      <c r="W121" s="28"/>
      <c r="X121" s="28"/>
      <c r="Y121" s="28">
        <v>10</v>
      </c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>
        <f>SUM(E121:BO121)</f>
        <v>40</v>
      </c>
      <c r="BQ121" s="1">
        <v>35</v>
      </c>
      <c r="BR121" s="17">
        <v>4</v>
      </c>
      <c r="BS121" s="17" t="s">
        <v>197</v>
      </c>
      <c r="BT121" s="1" t="str">
        <f>IF(AQ121&gt;AQ$130, AQ121-AQ$130,"")</f>
        <v/>
      </c>
      <c r="BU121" s="1" t="str">
        <f>IF(AR121&gt;AR$130, AR121-AR$130,"")</f>
        <v/>
      </c>
      <c r="BV121" s="1" t="str">
        <f>IF(AS121&gt;AS$130, AS121-AS$130,"")</f>
        <v/>
      </c>
      <c r="BW121" s="1" t="str">
        <f>IF(AT121&gt;AT$130, AT121-AT$130,"")</f>
        <v/>
      </c>
      <c r="BX121" s="1" t="str">
        <f>IF(AU121&gt;AU$130, AU121-AU$130,"")</f>
        <v/>
      </c>
      <c r="BY121" s="1" t="str">
        <f>IF(AV121&gt;AV$130, AV121-AV$130,"")</f>
        <v/>
      </c>
      <c r="BZ121" s="1" t="str">
        <f>IF(AW121&gt;AW$130, AW121-AW$130,"")</f>
        <v/>
      </c>
      <c r="CA121" s="1" t="str">
        <f>IF(AX121&gt;AX$130, AX121-AX$130,"")</f>
        <v/>
      </c>
      <c r="CB121" s="1" t="str">
        <f>IF(AY121&gt;AY$130, AY121-AY$130,"")</f>
        <v/>
      </c>
      <c r="CC121" s="1" t="str">
        <f>IF(AZ121&gt;AZ$130, AZ121-AZ$130,"")</f>
        <v/>
      </c>
      <c r="CD121" s="1" t="str">
        <f>IF(BA121&gt;BA$130, BA121-BA$130,"")</f>
        <v/>
      </c>
      <c r="CE121" s="1" t="str">
        <f>IF(BB121&gt;BB$130, BB121-BB$130,"")</f>
        <v/>
      </c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3"/>
    </row>
    <row r="122" spans="1:97" ht="54" x14ac:dyDescent="0.15">
      <c r="A122" s="1">
        <v>54</v>
      </c>
      <c r="B122" s="1" t="s">
        <v>55</v>
      </c>
      <c r="C122" s="1" t="s">
        <v>56</v>
      </c>
      <c r="D122" s="1" t="s">
        <v>1</v>
      </c>
      <c r="E122" s="6"/>
      <c r="F122" s="6">
        <v>15</v>
      </c>
      <c r="G122" s="6"/>
      <c r="H122" s="6">
        <v>15</v>
      </c>
      <c r="I122" s="6"/>
      <c r="J122" s="6"/>
      <c r="K122" s="6"/>
      <c r="L122" s="6"/>
      <c r="M122" s="6"/>
      <c r="N122" s="6"/>
      <c r="O122" s="6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>
        <v>15</v>
      </c>
      <c r="AW122" s="2"/>
      <c r="AX122" s="2"/>
      <c r="AY122" s="2"/>
      <c r="AZ122" s="2"/>
      <c r="BA122" s="2">
        <v>15</v>
      </c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>
        <f>SUM(E122:BO122)</f>
        <v>60</v>
      </c>
      <c r="BQ122" s="1">
        <v>46</v>
      </c>
      <c r="BR122" s="17">
        <v>4</v>
      </c>
      <c r="BS122" s="17" t="s">
        <v>299</v>
      </c>
      <c r="BT122" s="1" t="str">
        <f>IF(AQ122&gt;AQ$130, AQ122-AQ$130,"")</f>
        <v/>
      </c>
      <c r="BU122" s="1" t="str">
        <f>IF(AR122&gt;AR$130, AR122-AR$130,"")</f>
        <v/>
      </c>
      <c r="BV122" s="1" t="str">
        <f>IF(AS122&gt;AS$130, AS122-AS$130,"")</f>
        <v/>
      </c>
      <c r="BW122" s="1" t="str">
        <f>IF(AT122&gt;AT$130, AT122-AT$130,"")</f>
        <v/>
      </c>
      <c r="BX122" s="1" t="str">
        <f>IF(AU122&gt;AU$130, AU122-AU$130,"")</f>
        <v/>
      </c>
      <c r="BY122" s="1" t="str">
        <f>IF(AV122&gt;AV$130, AV122-AV$130,"")</f>
        <v/>
      </c>
      <c r="BZ122" s="1" t="str">
        <f>IF(AW122&gt;AW$130, AW122-AW$130,"")</f>
        <v/>
      </c>
      <c r="CA122" s="1" t="str">
        <f>IF(AX122&gt;AX$130, AX122-AX$130,"")</f>
        <v/>
      </c>
      <c r="CB122" s="1" t="str">
        <f>IF(AY122&gt;AY$130, AY122-AY$130,"")</f>
        <v/>
      </c>
      <c r="CC122" s="1" t="str">
        <f>IF(AZ122&gt;AZ$130, AZ122-AZ$130,"")</f>
        <v/>
      </c>
      <c r="CD122" s="1" t="str">
        <f>IF(BA122&gt;BA$130, BA122-BA$130,"")</f>
        <v/>
      </c>
      <c r="CE122" s="1" t="str">
        <f>IF(BB122&gt;BB$130, BB122-BB$130,"")</f>
        <v/>
      </c>
      <c r="CF122" s="1">
        <f>COUNTIF(BT122:CE122, "&gt;0")</f>
        <v>0</v>
      </c>
      <c r="CG122" s="1" t="str">
        <f>IF($CF122=1,BT122,"")</f>
        <v/>
      </c>
      <c r="CH122" s="1" t="str">
        <f>IF($CF122=1,BU122,"")</f>
        <v/>
      </c>
      <c r="CI122" s="1" t="str">
        <f>IF($CF122=1,BV122,"")</f>
        <v/>
      </c>
      <c r="CJ122" s="1" t="str">
        <f>IF($CF122=1,BW122,"")</f>
        <v/>
      </c>
      <c r="CK122" s="1" t="str">
        <f>IF($CF122=1,BX122,"")</f>
        <v/>
      </c>
      <c r="CL122" s="1" t="str">
        <f>IF($CF122=1,BY122,"")</f>
        <v/>
      </c>
      <c r="CM122" s="1" t="str">
        <f>IF($CF122=1,BZ122,"")</f>
        <v/>
      </c>
      <c r="CN122" s="1" t="str">
        <f>IF($CF122=1,CA122,"")</f>
        <v/>
      </c>
      <c r="CO122" s="1" t="str">
        <f>IF($CF122=1,CB122,"")</f>
        <v/>
      </c>
      <c r="CP122" s="1" t="str">
        <f>IF($CF122=1,CC122,"")</f>
        <v/>
      </c>
      <c r="CQ122" s="1" t="str">
        <f>IF($CF122=1,CD122,"")</f>
        <v/>
      </c>
      <c r="CR122" s="1" t="str">
        <f>IF($CF122=1,CE122,"")</f>
        <v/>
      </c>
      <c r="CS122" s="3">
        <f>SUM(AE122:BO122)</f>
        <v>30</v>
      </c>
    </row>
    <row r="123" spans="1:97" ht="54" x14ac:dyDescent="0.15">
      <c r="A123" s="1">
        <v>23</v>
      </c>
      <c r="B123" s="1" t="s">
        <v>102</v>
      </c>
      <c r="C123" s="1" t="s">
        <v>31</v>
      </c>
      <c r="D123" s="1" t="s">
        <v>39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>
        <v>50</v>
      </c>
      <c r="BK123" s="1">
        <v>50</v>
      </c>
      <c r="BL123" s="1"/>
      <c r="BM123" s="1"/>
      <c r="BN123" s="1">
        <v>50</v>
      </c>
      <c r="BO123" s="1">
        <v>50</v>
      </c>
      <c r="BP123" s="1">
        <f>SUM(E123:BO123)</f>
        <v>200</v>
      </c>
      <c r="BQ123" s="1">
        <v>145</v>
      </c>
      <c r="BR123" s="17">
        <v>4</v>
      </c>
      <c r="BS123" s="17" t="s">
        <v>300</v>
      </c>
      <c r="BT123" s="1" t="str">
        <f>IF(AQ123&gt;AQ$130, AQ123-AQ$130,"")</f>
        <v/>
      </c>
      <c r="BU123" s="1" t="str">
        <f>IF(AR123&gt;AR$130, AR123-AR$130,"")</f>
        <v/>
      </c>
      <c r="BV123" s="1" t="str">
        <f>IF(AS123&gt;AS$130, AS123-AS$130,"")</f>
        <v/>
      </c>
      <c r="BW123" s="1" t="str">
        <f>IF(AT123&gt;AT$130, AT123-AT$130,"")</f>
        <v/>
      </c>
      <c r="BX123" s="1" t="str">
        <f>IF(AU123&gt;AU$130, AU123-AU$130,"")</f>
        <v/>
      </c>
      <c r="BY123" s="1" t="str">
        <f>IF(AV123&gt;AV$130, AV123-AV$130,"")</f>
        <v/>
      </c>
      <c r="BZ123" s="1" t="str">
        <f>IF(AW123&gt;AW$130, AW123-AW$130,"")</f>
        <v/>
      </c>
      <c r="CA123" s="1" t="str">
        <f>IF(AX123&gt;AX$130, AX123-AX$130,"")</f>
        <v/>
      </c>
      <c r="CB123" s="1" t="str">
        <f>IF(AY123&gt;AY$130, AY123-AY$130,"")</f>
        <v/>
      </c>
      <c r="CC123" s="1" t="str">
        <f>IF(AZ123&gt;AZ$130, AZ123-AZ$130,"")</f>
        <v/>
      </c>
      <c r="CD123" s="1" t="str">
        <f>IF(BA123&gt;BA$130, BA123-BA$130,"")</f>
        <v/>
      </c>
      <c r="CE123" s="1" t="str">
        <f>IF(BB123&gt;BB$130, BB123-BB$130,"")</f>
        <v/>
      </c>
      <c r="CF123" s="1">
        <f>COUNTIF(BT123:CE123, "&gt;0")</f>
        <v>0</v>
      </c>
      <c r="CG123" s="1" t="str">
        <f>IF($CF123=1,BT123,"")</f>
        <v/>
      </c>
      <c r="CH123" s="1" t="str">
        <f>IF($CF123=1,BU123,"")</f>
        <v/>
      </c>
      <c r="CI123" s="1" t="str">
        <f>IF($CF123=1,BV123,"")</f>
        <v/>
      </c>
      <c r="CJ123" s="1" t="str">
        <f>IF($CF123=1,BW123,"")</f>
        <v/>
      </c>
      <c r="CK123" s="1" t="str">
        <f>IF($CF123=1,BX123,"")</f>
        <v/>
      </c>
      <c r="CL123" s="1" t="str">
        <f>IF($CF123=1,BY123,"")</f>
        <v/>
      </c>
      <c r="CM123" s="1" t="str">
        <f>IF($CF123=1,BZ123,"")</f>
        <v/>
      </c>
      <c r="CN123" s="1" t="str">
        <f>IF($CF123=1,CA123,"")</f>
        <v/>
      </c>
      <c r="CO123" s="1" t="str">
        <f>IF($CF123=1,CB123,"")</f>
        <v/>
      </c>
      <c r="CP123" s="1" t="str">
        <f>IF($CF123=1,CC123,"")</f>
        <v/>
      </c>
      <c r="CQ123" s="1" t="str">
        <f>IF($CF123=1,CD123,"")</f>
        <v/>
      </c>
      <c r="CR123" s="1" t="str">
        <f>IF($CF123=1,CE123,"")</f>
        <v/>
      </c>
      <c r="CS123" s="3">
        <f>SUM(AE123:BO123)</f>
        <v>200</v>
      </c>
    </row>
    <row r="124" spans="1:97" ht="54" x14ac:dyDescent="0.15">
      <c r="A124" s="1"/>
      <c r="B124" s="1" t="s">
        <v>179</v>
      </c>
      <c r="C124" s="1" t="s">
        <v>117</v>
      </c>
      <c r="D124" s="1" t="s">
        <v>118</v>
      </c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>
        <v>50</v>
      </c>
      <c r="BK124" s="1">
        <v>50</v>
      </c>
      <c r="BL124" s="1"/>
      <c r="BM124" s="1"/>
      <c r="BN124" s="1">
        <v>50</v>
      </c>
      <c r="BO124" s="1">
        <v>50</v>
      </c>
      <c r="BP124" s="1">
        <f>SUM(E124:BO124)</f>
        <v>200</v>
      </c>
      <c r="BQ124" s="1">
        <v>145</v>
      </c>
      <c r="BR124" s="17">
        <v>4</v>
      </c>
      <c r="BS124" s="17" t="s">
        <v>300</v>
      </c>
      <c r="BT124" s="1" t="str">
        <f>IF(AQ124&gt;AQ$130, AQ124-AQ$130,"")</f>
        <v/>
      </c>
      <c r="BU124" s="1" t="str">
        <f>IF(AR124&gt;AR$130, AR124-AR$130,"")</f>
        <v/>
      </c>
      <c r="BV124" s="1" t="str">
        <f>IF(AS124&gt;AS$130, AS124-AS$130,"")</f>
        <v/>
      </c>
      <c r="BW124" s="1" t="str">
        <f>IF(AT124&gt;AT$130, AT124-AT$130,"")</f>
        <v/>
      </c>
      <c r="BX124" s="1" t="str">
        <f>IF(AU124&gt;AU$130, AU124-AU$130,"")</f>
        <v/>
      </c>
      <c r="BY124" s="1" t="str">
        <f>IF(AV124&gt;AV$130, AV124-AV$130,"")</f>
        <v/>
      </c>
      <c r="BZ124" s="1" t="str">
        <f>IF(AW124&gt;AW$130, AW124-AW$130,"")</f>
        <v/>
      </c>
      <c r="CA124" s="1" t="str">
        <f>IF(AX124&gt;AX$130, AX124-AX$130,"")</f>
        <v/>
      </c>
      <c r="CB124" s="1" t="str">
        <f>IF(AY124&gt;AY$130, AY124-AY$130,"")</f>
        <v/>
      </c>
      <c r="CC124" s="1" t="str">
        <f>IF(AZ124&gt;AZ$130, AZ124-AZ$130,"")</f>
        <v/>
      </c>
      <c r="CD124" s="1" t="str">
        <f>IF(BA124&gt;BA$130, BA124-BA$130,"")</f>
        <v/>
      </c>
      <c r="CE124" s="1" t="str">
        <f>IF(BB124&gt;BB$130, BB124-BB$130,"")</f>
        <v/>
      </c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3"/>
    </row>
    <row r="125" spans="1:97" ht="54" x14ac:dyDescent="0.15">
      <c r="A125" s="1"/>
      <c r="B125" s="1" t="s">
        <v>177</v>
      </c>
      <c r="C125" s="1" t="s">
        <v>151</v>
      </c>
      <c r="D125" s="1" t="s">
        <v>39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>
        <v>50</v>
      </c>
      <c r="BK125" s="1">
        <v>50</v>
      </c>
      <c r="BL125" s="1"/>
      <c r="BM125" s="1"/>
      <c r="BN125" s="1">
        <v>50</v>
      </c>
      <c r="BO125" s="1">
        <v>50</v>
      </c>
      <c r="BP125" s="1">
        <f>SUM(E125:BO125)</f>
        <v>200</v>
      </c>
      <c r="BQ125" s="1">
        <v>145</v>
      </c>
      <c r="BR125" s="17">
        <v>4</v>
      </c>
      <c r="BS125" s="17" t="s">
        <v>301</v>
      </c>
      <c r="BT125" s="1" t="str">
        <f>IF(AQ125&gt;AQ$130, AQ125-AQ$130,"")</f>
        <v/>
      </c>
      <c r="BU125" s="1" t="str">
        <f>IF(AR125&gt;AR$130, AR125-AR$130,"")</f>
        <v/>
      </c>
      <c r="BV125" s="1" t="str">
        <f>IF(AS125&gt;AS$130, AS125-AS$130,"")</f>
        <v/>
      </c>
      <c r="BW125" s="1" t="str">
        <f>IF(AT125&gt;AT$130, AT125-AT$130,"")</f>
        <v/>
      </c>
      <c r="BX125" s="1" t="str">
        <f>IF(AU125&gt;AU$130, AU125-AU$130,"")</f>
        <v/>
      </c>
      <c r="BY125" s="1" t="str">
        <f>IF(AV125&gt;AV$130, AV125-AV$130,"")</f>
        <v/>
      </c>
      <c r="BZ125" s="1" t="str">
        <f>IF(AW125&gt;AW$130, AW125-AW$130,"")</f>
        <v/>
      </c>
      <c r="CA125" s="1" t="str">
        <f>IF(AX125&gt;AX$130, AX125-AX$130,"")</f>
        <v/>
      </c>
      <c r="CB125" s="1" t="str">
        <f>IF(AY125&gt;AY$130, AY125-AY$130,"")</f>
        <v/>
      </c>
      <c r="CC125" s="1" t="str">
        <f>IF(AZ125&gt;AZ$130, AZ125-AZ$130,"")</f>
        <v/>
      </c>
      <c r="CD125" s="1" t="str">
        <f>IF(BA125&gt;BA$130, BA125-BA$130,"")</f>
        <v/>
      </c>
      <c r="CE125" s="1" t="str">
        <f>IF(BB125&gt;BB$130, BB125-BB$130,"")</f>
        <v/>
      </c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3"/>
    </row>
    <row r="126" spans="1:97" ht="54" x14ac:dyDescent="0.15">
      <c r="A126" s="1">
        <v>102</v>
      </c>
      <c r="B126" s="3" t="s">
        <v>100</v>
      </c>
      <c r="C126" s="3" t="s">
        <v>69</v>
      </c>
      <c r="D126" s="1" t="s">
        <v>39</v>
      </c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>
        <v>50</v>
      </c>
      <c r="BK126" s="1">
        <v>50</v>
      </c>
      <c r="BL126" s="1"/>
      <c r="BM126" s="1"/>
      <c r="BN126" s="1">
        <v>50</v>
      </c>
      <c r="BO126" s="1">
        <v>50</v>
      </c>
      <c r="BP126" s="1">
        <f>SUM(E126:BO126)</f>
        <v>200</v>
      </c>
      <c r="BQ126" s="1">
        <v>145</v>
      </c>
      <c r="BR126" s="17">
        <v>4</v>
      </c>
      <c r="BS126" s="17" t="s">
        <v>301</v>
      </c>
      <c r="BT126" s="1" t="str">
        <f>IF(AQ126&gt;AQ$130, AQ126-AQ$130,"")</f>
        <v/>
      </c>
      <c r="BU126" s="1" t="str">
        <f>IF(AR126&gt;AR$130, AR126-AR$130,"")</f>
        <v/>
      </c>
      <c r="BV126" s="1" t="str">
        <f>IF(AS126&gt;AS$130, AS126-AS$130,"")</f>
        <v/>
      </c>
      <c r="BW126" s="1" t="str">
        <f>IF(AT126&gt;AT$130, AT126-AT$130,"")</f>
        <v/>
      </c>
      <c r="BX126" s="1" t="str">
        <f>IF(AU126&gt;AU$130, AU126-AU$130,"")</f>
        <v/>
      </c>
      <c r="BY126" s="1" t="str">
        <f>IF(AV126&gt;AV$130, AV126-AV$130,"")</f>
        <v/>
      </c>
      <c r="BZ126" s="1" t="str">
        <f>IF(AW126&gt;AW$130, AW126-AW$130,"")</f>
        <v/>
      </c>
      <c r="CA126" s="1" t="str">
        <f>IF(AX126&gt;AX$130, AX126-AX$130,"")</f>
        <v/>
      </c>
      <c r="CB126" s="1" t="str">
        <f>IF(AY126&gt;AY$130, AY126-AY$130,"")</f>
        <v/>
      </c>
      <c r="CC126" s="1" t="str">
        <f>IF(AZ126&gt;AZ$130, AZ126-AZ$130,"")</f>
        <v/>
      </c>
      <c r="CD126" s="1" t="str">
        <f>IF(BA126&gt;BA$130, BA126-BA$130,"")</f>
        <v/>
      </c>
      <c r="CE126" s="1" t="str">
        <f>IF(BB126&gt;BB$130, BB126-BB$130,"")</f>
        <v/>
      </c>
      <c r="CF126" s="1">
        <f>COUNTIF(BT126:CE126, "&gt;0")</f>
        <v>0</v>
      </c>
      <c r="CG126" s="1" t="str">
        <f>IF($CF126=1,BT126,"")</f>
        <v/>
      </c>
      <c r="CH126" s="1" t="str">
        <f>IF($CF126=1,BU126,"")</f>
        <v/>
      </c>
      <c r="CI126" s="1" t="str">
        <f>IF($CF126=1,BV126,"")</f>
        <v/>
      </c>
      <c r="CJ126" s="1" t="str">
        <f>IF($CF126=1,BW126,"")</f>
        <v/>
      </c>
      <c r="CK126" s="1" t="str">
        <f>IF($CF126=1,BX126,"")</f>
        <v/>
      </c>
      <c r="CL126" s="1" t="str">
        <f>IF($CF126=1,BY126,"")</f>
        <v/>
      </c>
      <c r="CM126" s="1" t="str">
        <f>IF($CF126=1,BZ126,"")</f>
        <v/>
      </c>
      <c r="CN126" s="1" t="str">
        <f>IF($CF126=1,CA126,"")</f>
        <v/>
      </c>
      <c r="CO126" s="1" t="str">
        <f>IF($CF126=1,CB126,"")</f>
        <v/>
      </c>
      <c r="CP126" s="1" t="str">
        <f>IF($CF126=1,CC126,"")</f>
        <v/>
      </c>
      <c r="CQ126" s="1" t="str">
        <f>IF($CF126=1,CD126,"")</f>
        <v/>
      </c>
      <c r="CR126" s="1" t="str">
        <f>IF($CF126=1,CE126,"")</f>
        <v/>
      </c>
      <c r="CS126" s="3">
        <f>SUM(AE126:BO126)</f>
        <v>200</v>
      </c>
    </row>
    <row r="127" spans="1:97" ht="54" x14ac:dyDescent="0.15">
      <c r="A127" s="1">
        <v>85</v>
      </c>
      <c r="B127" s="3" t="s">
        <v>193</v>
      </c>
      <c r="C127" s="3" t="s">
        <v>64</v>
      </c>
      <c r="D127" s="1" t="s">
        <v>39</v>
      </c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>
        <v>50</v>
      </c>
      <c r="BM127" s="1">
        <v>50</v>
      </c>
      <c r="BN127" s="1">
        <v>50</v>
      </c>
      <c r="BO127" s="1">
        <v>50</v>
      </c>
      <c r="BP127" s="1">
        <f>SUM(E127:BO127)</f>
        <v>200</v>
      </c>
      <c r="BQ127" s="1">
        <v>146</v>
      </c>
      <c r="BR127" s="17">
        <v>4</v>
      </c>
      <c r="BS127" s="17" t="s">
        <v>302</v>
      </c>
      <c r="BT127" s="1" t="str">
        <f>IF(AQ127&gt;AQ$130, AQ127-AQ$130,"")</f>
        <v/>
      </c>
      <c r="BU127" s="1" t="str">
        <f>IF(AR127&gt;AR$130, AR127-AR$130,"")</f>
        <v/>
      </c>
      <c r="BV127" s="1" t="str">
        <f>IF(AS127&gt;AS$130, AS127-AS$130,"")</f>
        <v/>
      </c>
      <c r="BW127" s="1" t="str">
        <f>IF(AT127&gt;AT$130, AT127-AT$130,"")</f>
        <v/>
      </c>
      <c r="BX127" s="1" t="str">
        <f>IF(AU127&gt;AU$130, AU127-AU$130,"")</f>
        <v/>
      </c>
      <c r="BY127" s="1" t="str">
        <f>IF(AV127&gt;AV$130, AV127-AV$130,"")</f>
        <v/>
      </c>
      <c r="BZ127" s="1" t="str">
        <f>IF(AW127&gt;AW$130, AW127-AW$130,"")</f>
        <v/>
      </c>
      <c r="CA127" s="1" t="str">
        <f>IF(AX127&gt;AX$130, AX127-AX$130,"")</f>
        <v/>
      </c>
      <c r="CB127" s="1" t="str">
        <f>IF(AY127&gt;AY$130, AY127-AY$130,"")</f>
        <v/>
      </c>
      <c r="CC127" s="1" t="str">
        <f>IF(AZ127&gt;AZ$130, AZ127-AZ$130,"")</f>
        <v/>
      </c>
      <c r="CD127" s="1" t="str">
        <f>IF(BA127&gt;BA$130, BA127-BA$130,"")</f>
        <v/>
      </c>
      <c r="CE127" s="1" t="str">
        <f>IF(BB127&gt;BB$130, BB127-BB$130,"")</f>
        <v/>
      </c>
      <c r="CF127" s="1">
        <f>COUNTIF(BT127:CE127, "&gt;0")</f>
        <v>0</v>
      </c>
      <c r="CG127" s="1" t="str">
        <f>IF($CF127=1,BT127,"")</f>
        <v/>
      </c>
      <c r="CH127" s="1" t="str">
        <f>IF($CF127=1,BU127,"")</f>
        <v/>
      </c>
      <c r="CI127" s="1" t="str">
        <f>IF($CF127=1,BV127,"")</f>
        <v/>
      </c>
      <c r="CJ127" s="1" t="str">
        <f>IF($CF127=1,BW127,"")</f>
        <v/>
      </c>
      <c r="CK127" s="1" t="str">
        <f>IF($CF127=1,BX127,"")</f>
        <v/>
      </c>
      <c r="CL127" s="1" t="str">
        <f>IF($CF127=1,BY127,"")</f>
        <v/>
      </c>
      <c r="CM127" s="1" t="str">
        <f>IF($CF127=1,BZ127,"")</f>
        <v/>
      </c>
      <c r="CN127" s="1" t="str">
        <f>IF($CF127=1,CA127,"")</f>
        <v/>
      </c>
      <c r="CO127" s="1" t="str">
        <f>IF($CF127=1,CB127,"")</f>
        <v/>
      </c>
      <c r="CP127" s="1" t="str">
        <f>IF($CF127=1,CC127,"")</f>
        <v/>
      </c>
      <c r="CQ127" s="1" t="str">
        <f>IF($CF127=1,CD127,"")</f>
        <v/>
      </c>
      <c r="CR127" s="1" t="str">
        <f>IF($CF127=1,CE127,"")</f>
        <v/>
      </c>
      <c r="CS127" s="3">
        <f>SUM(AE127:BO127)</f>
        <v>200</v>
      </c>
    </row>
    <row r="128" spans="1:97" ht="54" x14ac:dyDescent="0.15">
      <c r="A128" s="1"/>
      <c r="B128" s="1" t="s">
        <v>189</v>
      </c>
      <c r="C128" s="1" t="s">
        <v>120</v>
      </c>
      <c r="D128" s="1" t="s">
        <v>118</v>
      </c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/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>
        <v>50</v>
      </c>
      <c r="BM128" s="1">
        <v>50</v>
      </c>
      <c r="BN128" s="1">
        <v>50</v>
      </c>
      <c r="BO128" s="1">
        <v>50</v>
      </c>
      <c r="BP128" s="1">
        <f>SUM(E128:BO128)</f>
        <v>200</v>
      </c>
      <c r="BQ128" s="1">
        <v>146</v>
      </c>
      <c r="BR128" s="17">
        <v>4</v>
      </c>
      <c r="BS128" s="17" t="s">
        <v>302</v>
      </c>
      <c r="BT128" s="1" t="str">
        <f>IF(AQ128&gt;AQ$130, AQ128-AQ$130,"")</f>
        <v/>
      </c>
      <c r="BU128" s="1" t="str">
        <f>IF(AR128&gt;AR$130, AR128-AR$130,"")</f>
        <v/>
      </c>
      <c r="BV128" s="1" t="str">
        <f>IF(AS128&gt;AS$130, AS128-AS$130,"")</f>
        <v/>
      </c>
      <c r="BW128" s="1" t="str">
        <f>IF(AT128&gt;AT$130, AT128-AT$130,"")</f>
        <v/>
      </c>
      <c r="BX128" s="1" t="str">
        <f>IF(AU128&gt;AU$130, AU128-AU$130,"")</f>
        <v/>
      </c>
      <c r="BY128" s="1" t="str">
        <f>IF(AV128&gt;AV$130, AV128-AV$130,"")</f>
        <v/>
      </c>
      <c r="BZ128" s="1" t="str">
        <f>IF(AW128&gt;AW$130, AW128-AW$130,"")</f>
        <v/>
      </c>
      <c r="CA128" s="1" t="str">
        <f>IF(AX128&gt;AX$130, AX128-AX$130,"")</f>
        <v/>
      </c>
      <c r="CB128" s="1" t="str">
        <f>IF(AY128&gt;AY$130, AY128-AY$130,"")</f>
        <v/>
      </c>
      <c r="CC128" s="1" t="str">
        <f>IF(AZ128&gt;AZ$130, AZ128-AZ$130,"")</f>
        <v/>
      </c>
      <c r="CD128" s="1" t="str">
        <f>IF(BA128&gt;BA$130, BA128-BA$130,"")</f>
        <v/>
      </c>
      <c r="CE128" s="1" t="str">
        <f>IF(BB128&gt;BB$130, BB128-BB$130,"")</f>
        <v/>
      </c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3"/>
    </row>
    <row r="129" spans="1:97" ht="54" x14ac:dyDescent="0.15">
      <c r="A129" s="1"/>
      <c r="B129" s="1" t="s">
        <v>220</v>
      </c>
      <c r="C129" s="1" t="s">
        <v>120</v>
      </c>
      <c r="D129" s="1" t="s">
        <v>118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>
        <v>50</v>
      </c>
      <c r="BM129" s="1">
        <v>50</v>
      </c>
      <c r="BN129" s="1">
        <v>50</v>
      </c>
      <c r="BO129" s="1">
        <v>50</v>
      </c>
      <c r="BP129" s="1">
        <f>SUM(E129:BO129)</f>
        <v>200</v>
      </c>
      <c r="BQ129" s="1">
        <v>146</v>
      </c>
      <c r="BR129" s="17">
        <v>4</v>
      </c>
      <c r="BS129" s="17" t="s">
        <v>302</v>
      </c>
      <c r="BT129" s="1" t="str">
        <f>IF(AQ129&gt;AQ$130, AQ129-AQ$130,"")</f>
        <v/>
      </c>
      <c r="BU129" s="1" t="str">
        <f>IF(AR129&gt;AR$130, AR129-AR$130,"")</f>
        <v/>
      </c>
      <c r="BV129" s="1" t="str">
        <f>IF(AS129&gt;AS$130, AS129-AS$130,"")</f>
        <v/>
      </c>
      <c r="BW129" s="1" t="str">
        <f>IF(AT129&gt;AT$130, AT129-AT$130,"")</f>
        <v/>
      </c>
      <c r="BX129" s="1" t="str">
        <f>IF(AU129&gt;AU$130, AU129-AU$130,"")</f>
        <v/>
      </c>
      <c r="BY129" s="1" t="str">
        <f>IF(AV129&gt;AV$130, AV129-AV$130,"")</f>
        <v/>
      </c>
      <c r="BZ129" s="1" t="str">
        <f>IF(AW129&gt;AW$130, AW129-AW$130,"")</f>
        <v/>
      </c>
      <c r="CA129" s="1" t="str">
        <f>IF(AX129&gt;AX$130, AX129-AX$130,"")</f>
        <v/>
      </c>
      <c r="CB129" s="1" t="str">
        <f>IF(AY129&gt;AY$130, AY129-AY$130,"")</f>
        <v/>
      </c>
      <c r="CC129" s="1" t="str">
        <f>IF(AZ129&gt;AZ$130, AZ129-AZ$130,"")</f>
        <v/>
      </c>
      <c r="CD129" s="1" t="str">
        <f>IF(BA129&gt;BA$130, BA129-BA$130,"")</f>
        <v/>
      </c>
      <c r="CE129" s="1" t="str">
        <f>IF(BB129&gt;BB$130, BB129-BB$130,"")</f>
        <v/>
      </c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3"/>
    </row>
    <row r="130" spans="1:97" x14ac:dyDescent="0.15">
      <c r="A130" s="1"/>
      <c r="B130" s="1" t="s">
        <v>71</v>
      </c>
      <c r="C130" s="1"/>
      <c r="D130" s="1"/>
      <c r="E130" s="6">
        <f>SUM(E3:E129)</f>
        <v>168</v>
      </c>
      <c r="F130" s="6">
        <f>SUM(F3:F129)</f>
        <v>68</v>
      </c>
      <c r="G130" s="6">
        <f>SUM(G3:G129)</f>
        <v>201</v>
      </c>
      <c r="H130" s="6">
        <f>SUM(H3:H129)</f>
        <v>167</v>
      </c>
      <c r="I130" s="6">
        <f>SUM(I3:I129)</f>
        <v>49</v>
      </c>
      <c r="J130" s="6">
        <f>SUM(J3:J129)</f>
        <v>60</v>
      </c>
      <c r="K130" s="6">
        <f>SUM(K3:K129)</f>
        <v>26</v>
      </c>
      <c r="L130" s="6">
        <f>SUM(L3:L129)</f>
        <v>102</v>
      </c>
      <c r="M130" s="6">
        <f>SUM(M3:M129)</f>
        <v>37</v>
      </c>
      <c r="N130" s="6">
        <f>SUM(N3:N129)</f>
        <v>26</v>
      </c>
      <c r="O130" s="6">
        <f>SUM(O3:O129)</f>
        <v>88</v>
      </c>
      <c r="P130" s="28">
        <f>SUM(P3:P129)</f>
        <v>130</v>
      </c>
      <c r="Q130" s="28">
        <f>SUM(Q3:Q129)</f>
        <v>76</v>
      </c>
      <c r="R130" s="28">
        <f>SUM(R3:R129)</f>
        <v>83</v>
      </c>
      <c r="S130" s="28">
        <f>SUM(S3:S129)</f>
        <v>130</v>
      </c>
      <c r="T130" s="28">
        <f>SUM(T3:T129)</f>
        <v>61</v>
      </c>
      <c r="U130" s="28">
        <f>SUM(U3:U129)</f>
        <v>62</v>
      </c>
      <c r="V130" s="28">
        <f>SUM(V3:V129)</f>
        <v>135</v>
      </c>
      <c r="W130" s="28">
        <f>SUM(W3:W129)</f>
        <v>35</v>
      </c>
      <c r="X130" s="28">
        <f>SUM(X3:X129)</f>
        <v>59</v>
      </c>
      <c r="Y130" s="28">
        <f>SUM(Y3:Y129)</f>
        <v>125</v>
      </c>
      <c r="Z130" s="28">
        <f>SUM(Z3:Z129)</f>
        <v>50</v>
      </c>
      <c r="AA130" s="28">
        <f>SUM(AA3:AA129)</f>
        <v>35</v>
      </c>
      <c r="AB130" s="28">
        <f>SUM(AB3:AB129)</f>
        <v>140</v>
      </c>
      <c r="AC130" s="28">
        <f>SUM(AC3:AC129)</f>
        <v>30</v>
      </c>
      <c r="AD130" s="28">
        <f>SUM(AD3:AD129)</f>
        <v>22</v>
      </c>
      <c r="AE130" s="1">
        <f>SUM(AE3:AE129)</f>
        <v>265</v>
      </c>
      <c r="AF130" s="1">
        <f>SUM(AF3:AF129)</f>
        <v>10</v>
      </c>
      <c r="AG130" s="1">
        <f>SUM(AG3:AG129)</f>
        <v>15</v>
      </c>
      <c r="AH130" s="1">
        <f>SUM(AH3:AH129)</f>
        <v>30</v>
      </c>
      <c r="AI130" s="1">
        <f>SUM(AI3:AI129)</f>
        <v>30</v>
      </c>
      <c r="AJ130" s="1">
        <f>SUM(AJ3:AJ129)</f>
        <v>5</v>
      </c>
      <c r="AK130" s="1">
        <f>SUM(AK3:AK129)</f>
        <v>0</v>
      </c>
      <c r="AL130" s="1">
        <f>SUM(AL3:AL129)</f>
        <v>0</v>
      </c>
      <c r="AM130" s="1">
        <f>SUM(AM3:AM129)</f>
        <v>20</v>
      </c>
      <c r="AN130" s="1">
        <f>SUM(AN3:AN129)</f>
        <v>50</v>
      </c>
      <c r="AO130" s="1">
        <f>SUM(AO3:AO129)</f>
        <v>25</v>
      </c>
      <c r="AP130" s="1">
        <f>SUM(AP3:AP129)</f>
        <v>26</v>
      </c>
      <c r="AQ130" s="4">
        <f>SUM(AQ3:AQ129)</f>
        <v>80</v>
      </c>
      <c r="AR130" s="4">
        <f>SUM(AR3:AR129)</f>
        <v>115</v>
      </c>
      <c r="AS130" s="4">
        <f>SUM(AS3:AS129)</f>
        <v>75</v>
      </c>
      <c r="AT130" s="4">
        <f>SUM(AT3:AT129)</f>
        <v>85</v>
      </c>
      <c r="AU130" s="4">
        <f>SUM(AU3:AU129)</f>
        <v>48</v>
      </c>
      <c r="AV130" s="4">
        <f>SUM(AV3:AV129)</f>
        <v>105</v>
      </c>
      <c r="AW130" s="2">
        <f>SUM(AW3:AW129)</f>
        <v>108</v>
      </c>
      <c r="AX130" s="2">
        <f>SUM(AX3:AX129)</f>
        <v>70</v>
      </c>
      <c r="AY130" s="2">
        <f>SUM(AY3:AY129)</f>
        <v>35</v>
      </c>
      <c r="AZ130" s="2">
        <f>SUM(AZ3:AZ129)</f>
        <v>75</v>
      </c>
      <c r="BA130" s="2">
        <f>SUM(BA3:BA129)</f>
        <v>185</v>
      </c>
      <c r="BB130" s="2">
        <f>SUM(BB3:BB129)</f>
        <v>345</v>
      </c>
      <c r="BC130" s="1">
        <f>SUM(BC3:BC129)</f>
        <v>10</v>
      </c>
      <c r="BD130" s="1">
        <f>SUM(BD3:BD129)</f>
        <v>150</v>
      </c>
      <c r="BE130" s="1">
        <f>SUM(BE3:BE129)</f>
        <v>100</v>
      </c>
      <c r="BF130" s="1">
        <f>SUM(BF3:BF129)</f>
        <v>100</v>
      </c>
      <c r="BG130" s="1">
        <f>SUM(BG3:BG129)</f>
        <v>100</v>
      </c>
      <c r="BH130" s="1">
        <f>SUM(BH3:BH129)</f>
        <v>90</v>
      </c>
      <c r="BI130" s="1">
        <f>SUM(BI3:BI129)</f>
        <v>70</v>
      </c>
      <c r="BJ130" s="1">
        <f>SUM(BJ3:BJ129)</f>
        <v>200</v>
      </c>
      <c r="BK130" s="1">
        <f>SUM(BK3:BK129)</f>
        <v>200</v>
      </c>
      <c r="BL130" s="1">
        <f>SUM(BL3:BL129)</f>
        <v>150</v>
      </c>
      <c r="BM130" s="1">
        <f>SUM(BM3:BM129)</f>
        <v>150</v>
      </c>
      <c r="BN130" s="1">
        <f>SUM(BN3:BN129)</f>
        <v>350</v>
      </c>
      <c r="BO130" s="1">
        <f>SUM(BO3:BO129)</f>
        <v>350</v>
      </c>
      <c r="BP130" s="1"/>
      <c r="BQ130" s="1"/>
      <c r="BR130" s="17"/>
      <c r="BS130" s="17"/>
      <c r="BT130" s="1">
        <f>MIN(BT3:BT129)</f>
        <v>0</v>
      </c>
      <c r="BU130" s="1">
        <f>MIN(BU3:BU129)</f>
        <v>0</v>
      </c>
      <c r="BV130" s="1">
        <f>MIN(BV3:BV129)</f>
        <v>0</v>
      </c>
      <c r="BW130" s="1">
        <f>MIN(BW3:BW129)</f>
        <v>0</v>
      </c>
      <c r="BX130" s="1">
        <f>MIN(BX3:BX129)</f>
        <v>0</v>
      </c>
      <c r="BY130" s="1">
        <f>MIN(BY3:BY129)</f>
        <v>0</v>
      </c>
      <c r="BZ130" s="1">
        <f>MIN(BZ3:BZ129)</f>
        <v>0</v>
      </c>
      <c r="CA130" s="1">
        <f>MIN(CA3:CA129)</f>
        <v>0</v>
      </c>
      <c r="CB130" s="1">
        <f>MIN(CB3:CB129)</f>
        <v>0</v>
      </c>
      <c r="CC130" s="1">
        <f>MIN(CC3:CC129)</f>
        <v>0</v>
      </c>
      <c r="CD130" s="1">
        <f>MIN(CD3:CD129)</f>
        <v>0</v>
      </c>
      <c r="CE130" s="1">
        <f>MIN(CE3:CE129)</f>
        <v>0</v>
      </c>
      <c r="CF130" s="1"/>
      <c r="CG130" s="1">
        <f>MIN(CG3:CG129)</f>
        <v>0</v>
      </c>
      <c r="CH130" s="1">
        <f>MIN(CH3:CH129)</f>
        <v>0</v>
      </c>
      <c r="CI130" s="1">
        <f>MIN(CI3:CI129)</f>
        <v>0</v>
      </c>
      <c r="CJ130" s="1">
        <f>MIN(CJ3:CJ129)</f>
        <v>0</v>
      </c>
      <c r="CK130" s="1">
        <f>MIN(CK3:CK129)</f>
        <v>0</v>
      </c>
      <c r="CL130" s="1">
        <f>MIN(CL3:CL129)</f>
        <v>0</v>
      </c>
      <c r="CM130" s="1">
        <f>MIN(CM3:CM129)</f>
        <v>0</v>
      </c>
      <c r="CN130" s="1">
        <f>MIN(CN3:CN129)</f>
        <v>0</v>
      </c>
      <c r="CO130" s="1">
        <f>MIN(CO3:CO129)</f>
        <v>0</v>
      </c>
      <c r="CP130" s="1">
        <f>MIN(CP3:CP129)</f>
        <v>0</v>
      </c>
      <c r="CQ130" s="1">
        <f>MIN(CQ3:CQ129)</f>
        <v>0</v>
      </c>
      <c r="CR130" s="1">
        <f>MIN(CR3:CR129)</f>
        <v>0</v>
      </c>
      <c r="CS130" s="3">
        <f>COUNTIF(CS3:CS129,"=0")</f>
        <v>1</v>
      </c>
    </row>
    <row r="131" spans="1:97" x14ac:dyDescent="0.15">
      <c r="A131" s="1"/>
      <c r="B131" s="3" t="s">
        <v>92</v>
      </c>
      <c r="C131" s="1"/>
      <c r="D131" s="1"/>
      <c r="E131" s="1">
        <v>28</v>
      </c>
      <c r="F131" s="1">
        <v>0</v>
      </c>
      <c r="G131" s="1">
        <v>16</v>
      </c>
      <c r="H131" s="1">
        <v>9</v>
      </c>
      <c r="I131" s="1">
        <v>36</v>
      </c>
      <c r="J131" s="1">
        <v>33</v>
      </c>
      <c r="K131" s="1">
        <v>11</v>
      </c>
      <c r="L131" s="1">
        <v>55</v>
      </c>
      <c r="M131" s="1">
        <v>18</v>
      </c>
      <c r="N131" s="1">
        <v>22</v>
      </c>
      <c r="O131" s="1">
        <v>9</v>
      </c>
      <c r="P131" s="14">
        <v>2</v>
      </c>
      <c r="Q131" s="14">
        <v>1</v>
      </c>
      <c r="R131" s="14">
        <v>2</v>
      </c>
      <c r="S131" s="14">
        <v>1</v>
      </c>
      <c r="T131" s="14">
        <v>5</v>
      </c>
      <c r="U131" s="14">
        <v>0</v>
      </c>
      <c r="V131" s="14">
        <v>2</v>
      </c>
      <c r="W131" s="14">
        <v>2</v>
      </c>
      <c r="X131" s="14">
        <v>6</v>
      </c>
      <c r="Y131" s="14">
        <v>0</v>
      </c>
      <c r="Z131" s="14">
        <v>1</v>
      </c>
      <c r="AA131" s="14">
        <v>1</v>
      </c>
      <c r="AB131" s="14">
        <v>8</v>
      </c>
      <c r="AC131" s="14">
        <v>2</v>
      </c>
      <c r="AD131" s="14">
        <v>4</v>
      </c>
      <c r="AE131" s="1">
        <v>10</v>
      </c>
      <c r="AF131" s="1">
        <v>0</v>
      </c>
      <c r="AG131" s="1">
        <v>0</v>
      </c>
      <c r="AH131" s="1">
        <v>0</v>
      </c>
      <c r="AI131" s="1">
        <v>0</v>
      </c>
      <c r="AJ131" s="1">
        <v>0</v>
      </c>
      <c r="AK131" s="1">
        <v>33</v>
      </c>
      <c r="AL131" s="1">
        <v>43</v>
      </c>
      <c r="AM131" s="1">
        <v>12</v>
      </c>
      <c r="AN131" s="1">
        <v>0</v>
      </c>
      <c r="AO131" s="1">
        <v>0</v>
      </c>
      <c r="AP131" s="1">
        <v>0</v>
      </c>
      <c r="AQ131" s="14">
        <v>1</v>
      </c>
      <c r="AR131" s="14">
        <v>5</v>
      </c>
      <c r="AS131" s="14">
        <v>3</v>
      </c>
      <c r="AT131" s="14">
        <v>1</v>
      </c>
      <c r="AU131" s="14">
        <v>11</v>
      </c>
      <c r="AV131" s="14">
        <v>2</v>
      </c>
      <c r="AW131" s="14">
        <v>6</v>
      </c>
      <c r="AX131" s="14">
        <v>27</v>
      </c>
      <c r="AY131" s="14">
        <v>6</v>
      </c>
      <c r="AZ131" s="14">
        <v>2</v>
      </c>
      <c r="BA131" s="14">
        <v>3</v>
      </c>
      <c r="BB131" s="14">
        <v>123</v>
      </c>
      <c r="BC131" s="14">
        <v>9</v>
      </c>
      <c r="BD131" s="1">
        <v>114</v>
      </c>
      <c r="BE131" s="1">
        <v>196</v>
      </c>
      <c r="BF131" s="1">
        <v>193</v>
      </c>
      <c r="BG131" s="1">
        <v>202</v>
      </c>
      <c r="BH131" s="1">
        <v>93</v>
      </c>
      <c r="BI131" s="1">
        <v>106</v>
      </c>
      <c r="BJ131" s="1">
        <v>25</v>
      </c>
      <c r="BK131" s="1">
        <v>25</v>
      </c>
      <c r="BL131" s="1">
        <v>49</v>
      </c>
      <c r="BM131" s="1"/>
      <c r="BN131" s="1">
        <v>5</v>
      </c>
      <c r="BO131" s="1"/>
      <c r="BP131" s="1"/>
      <c r="BQ131" s="1"/>
      <c r="BR131" s="17"/>
      <c r="BS131" s="17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</row>
    <row r="132" spans="1:97" x14ac:dyDescent="0.15">
      <c r="A132" s="1"/>
      <c r="B132" s="3" t="s">
        <v>99</v>
      </c>
      <c r="C132" s="1"/>
      <c r="D132" s="1"/>
      <c r="E132" s="1">
        <f>E131-E130</f>
        <v>-140</v>
      </c>
      <c r="F132" s="1">
        <f>F131-F130</f>
        <v>-68</v>
      </c>
      <c r="G132" s="1">
        <f>G131-G130</f>
        <v>-185</v>
      </c>
      <c r="H132" s="1">
        <f>H131-H130</f>
        <v>-158</v>
      </c>
      <c r="I132" s="1">
        <f>I131-I130</f>
        <v>-13</v>
      </c>
      <c r="J132" s="1">
        <f>J131-J130</f>
        <v>-27</v>
      </c>
      <c r="K132" s="1">
        <f>K131-K130</f>
        <v>-15</v>
      </c>
      <c r="L132" s="1">
        <f>L131-L130</f>
        <v>-47</v>
      </c>
      <c r="M132" s="1">
        <f>M131-M130</f>
        <v>-19</v>
      </c>
      <c r="N132" s="1">
        <f>N131-N130</f>
        <v>-4</v>
      </c>
      <c r="O132" s="1">
        <f>O131-O130</f>
        <v>-79</v>
      </c>
      <c r="P132" s="1">
        <f>P131-P130</f>
        <v>-128</v>
      </c>
      <c r="Q132" s="1">
        <f>Q131-Q130</f>
        <v>-75</v>
      </c>
      <c r="R132" s="1">
        <f>R131-R130</f>
        <v>-81</v>
      </c>
      <c r="S132" s="1">
        <f>S131-S130</f>
        <v>-129</v>
      </c>
      <c r="T132" s="1">
        <f>T131-T130</f>
        <v>-56</v>
      </c>
      <c r="U132" s="1">
        <f>U131-U130</f>
        <v>-62</v>
      </c>
      <c r="V132" s="1">
        <f>V131-V130</f>
        <v>-133</v>
      </c>
      <c r="W132" s="1">
        <f>W131-W130</f>
        <v>-33</v>
      </c>
      <c r="X132" s="1">
        <f>X131-X130</f>
        <v>-53</v>
      </c>
      <c r="Y132" s="1">
        <f>Y131-Y130</f>
        <v>-125</v>
      </c>
      <c r="Z132" s="1">
        <f>Z131-Z130</f>
        <v>-49</v>
      </c>
      <c r="AA132" s="1">
        <f>AA131-AA130</f>
        <v>-34</v>
      </c>
      <c r="AB132" s="1">
        <f>AB131-AB130</f>
        <v>-132</v>
      </c>
      <c r="AC132" s="1">
        <f>AC131-AC130</f>
        <v>-28</v>
      </c>
      <c r="AD132" s="1">
        <f>AD131-AD130</f>
        <v>-18</v>
      </c>
      <c r="AE132" s="1">
        <f>AE131-AE130</f>
        <v>-255</v>
      </c>
      <c r="AF132" s="1">
        <f>AF131-AF130</f>
        <v>-10</v>
      </c>
      <c r="AG132" s="1">
        <f>AG131-AG130</f>
        <v>-15</v>
      </c>
      <c r="AH132" s="1">
        <f>AH131-AH130</f>
        <v>-30</v>
      </c>
      <c r="AI132" s="1">
        <f>AI131-AI130</f>
        <v>-30</v>
      </c>
      <c r="AJ132" s="1">
        <f>AJ131-AJ130</f>
        <v>-5</v>
      </c>
      <c r="AK132" s="1">
        <f>AK131-AK130</f>
        <v>33</v>
      </c>
      <c r="AL132" s="1">
        <f>AL131-AL130</f>
        <v>43</v>
      </c>
      <c r="AM132" s="1">
        <f>AM131-AM130</f>
        <v>-8</v>
      </c>
      <c r="AN132" s="1">
        <f>AN131-AN130</f>
        <v>-50</v>
      </c>
      <c r="AO132" s="1">
        <f>AO131-AO130</f>
        <v>-25</v>
      </c>
      <c r="AP132" s="1">
        <f>AP131-AP130</f>
        <v>-26</v>
      </c>
      <c r="AQ132" s="1">
        <f>AQ131-AQ130</f>
        <v>-79</v>
      </c>
      <c r="AR132" s="1">
        <f>AR131-AR130</f>
        <v>-110</v>
      </c>
      <c r="AS132" s="1">
        <f>AS131-AS130</f>
        <v>-72</v>
      </c>
      <c r="AT132" s="1">
        <f>AT131-AT130</f>
        <v>-84</v>
      </c>
      <c r="AU132" s="1">
        <f>AU131-AU130</f>
        <v>-37</v>
      </c>
      <c r="AV132" s="1">
        <f>AV131-AV130</f>
        <v>-103</v>
      </c>
      <c r="AW132" s="1">
        <f>AW131-AW130</f>
        <v>-102</v>
      </c>
      <c r="AX132" s="1">
        <f>AX131-AX130</f>
        <v>-43</v>
      </c>
      <c r="AY132" s="1">
        <f>AY131-AY130</f>
        <v>-29</v>
      </c>
      <c r="AZ132" s="1">
        <f>AZ131-AZ130</f>
        <v>-73</v>
      </c>
      <c r="BA132" s="1">
        <f>BA131-BA130</f>
        <v>-182</v>
      </c>
      <c r="BB132" s="1">
        <f>BB131-BB130</f>
        <v>-222</v>
      </c>
      <c r="BC132" s="1">
        <f>BC131-BC130</f>
        <v>-1</v>
      </c>
      <c r="BD132" s="1">
        <f>BD131-BD130</f>
        <v>-36</v>
      </c>
      <c r="BE132" s="1">
        <f>BE131-BE130</f>
        <v>96</v>
      </c>
      <c r="BF132" s="1">
        <f>BF131-BF130</f>
        <v>93</v>
      </c>
      <c r="BG132" s="1">
        <f>BG131-BG130</f>
        <v>102</v>
      </c>
      <c r="BH132" s="1">
        <f>BH131-BH130</f>
        <v>3</v>
      </c>
      <c r="BI132" s="1">
        <f>BI131-BI130</f>
        <v>36</v>
      </c>
      <c r="BJ132" s="1">
        <f>BJ131-BJ130</f>
        <v>-175</v>
      </c>
      <c r="BK132" s="1">
        <f>BK131-BK130</f>
        <v>-175</v>
      </c>
      <c r="BL132" s="1">
        <f>BL131-BL130</f>
        <v>-101</v>
      </c>
      <c r="BM132" s="1">
        <f>BM131-BM130</f>
        <v>-150</v>
      </c>
      <c r="BN132" s="1">
        <f>BN131-BN130</f>
        <v>-345</v>
      </c>
      <c r="BO132" s="1">
        <f>BO131-BO130</f>
        <v>-350</v>
      </c>
      <c r="BP132" s="1"/>
      <c r="BQ132" s="1"/>
      <c r="BR132" s="17"/>
      <c r="BS132" s="17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</row>
    <row r="133" spans="1:97" x14ac:dyDescent="0.15">
      <c r="A133" s="1"/>
      <c r="B133" s="3" t="s">
        <v>198</v>
      </c>
      <c r="C133" s="1"/>
      <c r="D133" s="1"/>
      <c r="E133" s="1">
        <f>MAX(E3:E129)</f>
        <v>20</v>
      </c>
      <c r="F133" s="1">
        <f>MAX(F3:F129)</f>
        <v>20</v>
      </c>
      <c r="G133" s="1">
        <f>MAX(G3:G129)</f>
        <v>20</v>
      </c>
      <c r="H133" s="1">
        <f>MAX(H3:H129)</f>
        <v>20</v>
      </c>
      <c r="I133" s="1">
        <f>MAX(I3:I129)</f>
        <v>20</v>
      </c>
      <c r="J133" s="1">
        <f>MAX(J3:J129)</f>
        <v>20</v>
      </c>
      <c r="K133" s="1">
        <f>MAX(K3:K129)</f>
        <v>20</v>
      </c>
      <c r="L133" s="1">
        <f>MAX(L3:L129)</f>
        <v>20</v>
      </c>
      <c r="M133" s="1">
        <f>MAX(M3:M129)</f>
        <v>15</v>
      </c>
      <c r="N133" s="1">
        <f>MAX(N3:N129)</f>
        <v>20</v>
      </c>
      <c r="O133" s="1">
        <f>MAX(O3:O129)</f>
        <v>20</v>
      </c>
      <c r="P133" s="1">
        <f>MAX(P3:P129)</f>
        <v>10</v>
      </c>
      <c r="Q133" s="1">
        <f>MAX(Q3:Q129)</f>
        <v>7</v>
      </c>
      <c r="R133" s="1">
        <f>MAX(R3:R129)</f>
        <v>10</v>
      </c>
      <c r="S133" s="1">
        <f>MAX(S3:S129)</f>
        <v>10</v>
      </c>
      <c r="T133" s="1">
        <f>MAX(T3:T129)</f>
        <v>7</v>
      </c>
      <c r="U133" s="1">
        <f>MAX(U3:U129)</f>
        <v>10</v>
      </c>
      <c r="V133" s="1">
        <f>MAX(V3:V129)</f>
        <v>10</v>
      </c>
      <c r="W133" s="1">
        <f>MAX(W3:W129)</f>
        <v>5</v>
      </c>
      <c r="X133" s="1">
        <f>MAX(X3:X129)</f>
        <v>10</v>
      </c>
      <c r="Y133" s="1">
        <f>MAX(Y3:Y129)</f>
        <v>10</v>
      </c>
      <c r="Z133" s="1">
        <f>MAX(Z3:Z129)</f>
        <v>5</v>
      </c>
      <c r="AA133" s="1">
        <f>MAX(AA3:AA129)</f>
        <v>10</v>
      </c>
      <c r="AB133" s="1">
        <f>MAX(AB3:AB129)</f>
        <v>10</v>
      </c>
      <c r="AC133" s="1">
        <f>MAX(AC3:AC129)</f>
        <v>5</v>
      </c>
      <c r="AD133" s="1">
        <f>MAX(AD3:AD129)</f>
        <v>10</v>
      </c>
      <c r="AE133" s="1">
        <f>MAX(AE3:AE129)</f>
        <v>200</v>
      </c>
      <c r="AF133" s="1">
        <f>MAX(AF3:AF129)</f>
        <v>5</v>
      </c>
      <c r="AG133" s="1">
        <f>MAX(AG3:AG129)</f>
        <v>5</v>
      </c>
      <c r="AH133" s="1">
        <f>MAX(AH3:AH129)</f>
        <v>5</v>
      </c>
      <c r="AI133" s="1">
        <f>MAX(AI3:AI129)</f>
        <v>5</v>
      </c>
      <c r="AJ133" s="1">
        <f>MAX(AJ3:AJ129)</f>
        <v>5</v>
      </c>
      <c r="AK133" s="1">
        <f>MAX(AK3:AK129)</f>
        <v>0</v>
      </c>
      <c r="AL133" s="1">
        <f>MAX(AL3:AL129)</f>
        <v>0</v>
      </c>
      <c r="AM133" s="1">
        <f>MAX(AM3:AM129)</f>
        <v>15</v>
      </c>
      <c r="AN133" s="1">
        <f>MAX(AN3:AN129)</f>
        <v>25</v>
      </c>
      <c r="AO133" s="1">
        <f>MAX(AO3:AO129)</f>
        <v>10</v>
      </c>
      <c r="AP133" s="1">
        <f>MAX(AP3:AP129)</f>
        <v>10</v>
      </c>
      <c r="AQ133" s="1">
        <f>MAX(AQ3:AQ129)</f>
        <v>15</v>
      </c>
      <c r="AR133" s="1">
        <f>MAX(AR3:AR129)</f>
        <v>15</v>
      </c>
      <c r="AS133" s="1">
        <f>MAX(AS3:AS129)</f>
        <v>15</v>
      </c>
      <c r="AT133" s="1">
        <f>MAX(AT3:AT129)</f>
        <v>20</v>
      </c>
      <c r="AU133" s="1">
        <f>MAX(AU3:AU129)</f>
        <v>10</v>
      </c>
      <c r="AV133" s="1">
        <f>MAX(AV3:AV129)</f>
        <v>40</v>
      </c>
      <c r="AW133" s="1">
        <f>MAX(AW3:AW129)</f>
        <v>40</v>
      </c>
      <c r="AX133" s="1">
        <f>MAX(AX3:AX129)</f>
        <v>20</v>
      </c>
      <c r="AY133" s="1">
        <f>MAX(AY3:AY129)</f>
        <v>15</v>
      </c>
      <c r="AZ133" s="1">
        <f>MAX(AZ3:AZ129)</f>
        <v>15</v>
      </c>
      <c r="BA133" s="1">
        <f>MAX(BA3:BA129)</f>
        <v>20</v>
      </c>
      <c r="BB133" s="1">
        <f>MAX(BB3:BB129)</f>
        <v>40</v>
      </c>
      <c r="BC133" s="1">
        <f>MAX(BC3:BC129)</f>
        <v>10</v>
      </c>
      <c r="BD133" s="1">
        <f>MAX(BD3:BD129)</f>
        <v>50</v>
      </c>
      <c r="BE133" s="1">
        <f>MAX(BE3:BE129)</f>
        <v>20</v>
      </c>
      <c r="BF133" s="1">
        <f>MAX(BF3:BF129)</f>
        <v>20</v>
      </c>
      <c r="BG133" s="1">
        <f>MAX(BG3:BG129)</f>
        <v>20</v>
      </c>
      <c r="BH133" s="1">
        <f>MAX(BH3:BH129)</f>
        <v>20</v>
      </c>
      <c r="BI133" s="1">
        <f>MAX(BI3:BI129)</f>
        <v>20</v>
      </c>
      <c r="BJ133" s="1">
        <f>MAX(BJ3:BJ129)</f>
        <v>50</v>
      </c>
      <c r="BK133" s="1">
        <f>MAX(BK3:BK129)</f>
        <v>50</v>
      </c>
      <c r="BL133" s="1">
        <f>MAX(BL3:BL129)</f>
        <v>50</v>
      </c>
      <c r="BM133" s="1">
        <f>MAX(BM3:BM129)</f>
        <v>50</v>
      </c>
      <c r="BN133" s="1">
        <f>MAX(BN3:BN129)</f>
        <v>50</v>
      </c>
      <c r="BO133" s="1">
        <f>MAX(BO3:BO129)</f>
        <v>50</v>
      </c>
      <c r="BP133" s="1"/>
      <c r="BQ133" s="1"/>
      <c r="BR133" s="17"/>
      <c r="BS133" s="17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</row>
    <row r="134" spans="1:97" x14ac:dyDescent="0.15">
      <c r="A134" s="1"/>
      <c r="B134" s="3" t="s">
        <v>199</v>
      </c>
      <c r="C134" s="1"/>
      <c r="D134" s="1"/>
      <c r="E134" s="1">
        <f>MIN(E3:E129)</f>
        <v>6</v>
      </c>
      <c r="F134" s="1">
        <f>MIN(F3:F129)</f>
        <v>5</v>
      </c>
      <c r="G134" s="1">
        <f>MIN(G3:G129)</f>
        <v>5</v>
      </c>
      <c r="H134" s="1">
        <f>MIN(H3:H129)</f>
        <v>5</v>
      </c>
      <c r="I134" s="1">
        <f>MIN(I3:I129)</f>
        <v>6</v>
      </c>
      <c r="J134" s="1">
        <f>MIN(J3:J129)</f>
        <v>10</v>
      </c>
      <c r="K134" s="1">
        <f>MIN(K3:K129)</f>
        <v>6</v>
      </c>
      <c r="L134" s="1">
        <f>MIN(L3:L129)</f>
        <v>6</v>
      </c>
      <c r="M134" s="1">
        <f>MIN(M3:M129)</f>
        <v>6</v>
      </c>
      <c r="N134" s="1">
        <f>MIN(N3:N129)</f>
        <v>6</v>
      </c>
      <c r="O134" s="1">
        <f>MIN(O3:O129)</f>
        <v>5</v>
      </c>
      <c r="P134" s="1">
        <f>MIN(P3:P129)</f>
        <v>10</v>
      </c>
      <c r="Q134" s="1">
        <f>MIN(Q3:Q129)</f>
        <v>5</v>
      </c>
      <c r="R134" s="1">
        <f>MIN(R3:R129)</f>
        <v>2</v>
      </c>
      <c r="S134" s="1">
        <f>MIN(S3:S129)</f>
        <v>10</v>
      </c>
      <c r="T134" s="1">
        <f>MIN(T3:T129)</f>
        <v>5</v>
      </c>
      <c r="U134" s="1">
        <f>MIN(U3:U129)</f>
        <v>2</v>
      </c>
      <c r="V134" s="1">
        <f>MIN(V3:V129)</f>
        <v>5</v>
      </c>
      <c r="W134" s="1">
        <f>MIN(W3:W129)</f>
        <v>5</v>
      </c>
      <c r="X134" s="1">
        <f>MIN(X3:X129)</f>
        <v>2</v>
      </c>
      <c r="Y134" s="1">
        <f>MIN(Y3:Y129)</f>
        <v>5</v>
      </c>
      <c r="Z134" s="1">
        <f>MIN(Z3:Z129)</f>
        <v>5</v>
      </c>
      <c r="AA134" s="1">
        <f>MIN(AA3:AA129)</f>
        <v>2</v>
      </c>
      <c r="AB134" s="1">
        <f>MIN(AB3:AB129)</f>
        <v>10</v>
      </c>
      <c r="AC134" s="1">
        <f>MIN(AC3:AC129)</f>
        <v>5</v>
      </c>
      <c r="AD134" s="1">
        <f>MIN(AD3:AD129)</f>
        <v>2</v>
      </c>
      <c r="AE134" s="1">
        <f>MIN(AE3:AE129)</f>
        <v>15</v>
      </c>
      <c r="AF134" s="1">
        <f>MIN(AF3:AF129)</f>
        <v>5</v>
      </c>
      <c r="AG134" s="1">
        <f>MIN(AG3:AG129)</f>
        <v>5</v>
      </c>
      <c r="AH134" s="1">
        <f>MIN(AH3:AH129)</f>
        <v>5</v>
      </c>
      <c r="AI134" s="1">
        <f>MIN(AI3:AI129)</f>
        <v>5</v>
      </c>
      <c r="AJ134" s="1">
        <f>MIN(AJ3:AJ129)</f>
        <v>5</v>
      </c>
      <c r="AK134" s="1">
        <f>MIN(AK3:AK129)</f>
        <v>0</v>
      </c>
      <c r="AL134" s="1">
        <f>MIN(AL3:AL129)</f>
        <v>0</v>
      </c>
      <c r="AM134" s="1">
        <f>MIN(AM3:AM129)</f>
        <v>5</v>
      </c>
      <c r="AN134" s="1">
        <f>MIN(AN3:AN129)</f>
        <v>5</v>
      </c>
      <c r="AO134" s="1">
        <f>MIN(AO3:AO129)</f>
        <v>2</v>
      </c>
      <c r="AP134" s="1">
        <f>MIN(AP3:AP129)</f>
        <v>1</v>
      </c>
      <c r="AQ134" s="1">
        <f>MIN(AQ3:AQ129)</f>
        <v>10</v>
      </c>
      <c r="AR134" s="1">
        <f>MIN(AR3:AR129)</f>
        <v>10</v>
      </c>
      <c r="AS134" s="1">
        <f>MIN(AS3:AS129)</f>
        <v>5</v>
      </c>
      <c r="AT134" s="1">
        <f>MIN(AT3:AT129)</f>
        <v>10</v>
      </c>
      <c r="AU134" s="1">
        <f>MIN(AU3:AU129)</f>
        <v>8</v>
      </c>
      <c r="AV134" s="1">
        <f>MIN(AV3:AV129)</f>
        <v>10</v>
      </c>
      <c r="AW134" s="1">
        <f>MIN(AW3:AW129)</f>
        <v>8</v>
      </c>
      <c r="AX134" s="1">
        <f>MIN(AX3:AX129)</f>
        <v>5</v>
      </c>
      <c r="AY134" s="1">
        <f>MIN(AY3:AY129)</f>
        <v>10</v>
      </c>
      <c r="AZ134" s="1">
        <f>MIN(AZ3:AZ129)</f>
        <v>10</v>
      </c>
      <c r="BA134" s="1">
        <f>MIN(BA3:BA129)</f>
        <v>5</v>
      </c>
      <c r="BB134" s="1">
        <f>MIN(BB3:BB129)</f>
        <v>5</v>
      </c>
      <c r="BC134" s="1">
        <f>MIN(BC3:BC129)</f>
        <v>10</v>
      </c>
      <c r="BD134" s="1">
        <f>MIN(BD3:BD129)</f>
        <v>20</v>
      </c>
      <c r="BE134" s="1">
        <f>MIN(BE3:BE129)</f>
        <v>20</v>
      </c>
      <c r="BF134" s="1">
        <f>MIN(BF3:BF129)</f>
        <v>20</v>
      </c>
      <c r="BG134" s="1">
        <f>MIN(BG3:BG129)</f>
        <v>20</v>
      </c>
      <c r="BH134" s="1">
        <f>MIN(BH3:BH129)</f>
        <v>15</v>
      </c>
      <c r="BI134" s="1">
        <f>MIN(BI3:BI129)</f>
        <v>15</v>
      </c>
      <c r="BJ134" s="1">
        <f>MIN(BJ3:BJ129)</f>
        <v>50</v>
      </c>
      <c r="BK134" s="1">
        <f>MIN(BK3:BK129)</f>
        <v>50</v>
      </c>
      <c r="BL134" s="1">
        <f>MIN(BL3:BL129)</f>
        <v>50</v>
      </c>
      <c r="BM134" s="1">
        <f>MIN(BM3:BM129)</f>
        <v>50</v>
      </c>
      <c r="BN134" s="1">
        <f>MIN(BN3:BN129)</f>
        <v>50</v>
      </c>
      <c r="BO134" s="1">
        <f>MIN(BO3:BO129)</f>
        <v>50</v>
      </c>
      <c r="BP134" s="1"/>
      <c r="BQ134" s="1"/>
      <c r="BR134" s="17"/>
      <c r="BS134" s="17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</row>
    <row r="135" spans="1:97" x14ac:dyDescent="0.15">
      <c r="A135" s="1"/>
      <c r="B135" s="3" t="s">
        <v>200</v>
      </c>
      <c r="C135" s="1"/>
      <c r="D135" s="1"/>
      <c r="E135" s="1">
        <f>E131-E133</f>
        <v>8</v>
      </c>
      <c r="F135" s="1">
        <f>F131-F133</f>
        <v>-20</v>
      </c>
      <c r="G135" s="1">
        <f>G131-G133</f>
        <v>-4</v>
      </c>
      <c r="H135" s="1">
        <f>H131-H133</f>
        <v>-11</v>
      </c>
      <c r="I135" s="1">
        <f>I131-I133</f>
        <v>16</v>
      </c>
      <c r="J135" s="1">
        <f>J131-J133</f>
        <v>13</v>
      </c>
      <c r="K135" s="1">
        <f>K131-K133</f>
        <v>-9</v>
      </c>
      <c r="L135" s="1">
        <f>L131-L133</f>
        <v>35</v>
      </c>
      <c r="M135" s="1">
        <f>M131-M133</f>
        <v>3</v>
      </c>
      <c r="N135" s="1">
        <f>N131-N133</f>
        <v>2</v>
      </c>
      <c r="O135" s="1">
        <f>O131-O133</f>
        <v>-11</v>
      </c>
      <c r="P135" s="1">
        <f>P131-P133</f>
        <v>-8</v>
      </c>
      <c r="Q135" s="1">
        <f>Q131-Q133</f>
        <v>-6</v>
      </c>
      <c r="R135" s="1">
        <f>R131-R133</f>
        <v>-8</v>
      </c>
      <c r="S135" s="1">
        <f>S131-S133</f>
        <v>-9</v>
      </c>
      <c r="T135" s="1">
        <f>T131-T133</f>
        <v>-2</v>
      </c>
      <c r="U135" s="1">
        <f>U131-U133</f>
        <v>-10</v>
      </c>
      <c r="V135" s="1">
        <f>V131-V133</f>
        <v>-8</v>
      </c>
      <c r="W135" s="1">
        <f>W131-W133</f>
        <v>-3</v>
      </c>
      <c r="X135" s="1">
        <f>X131-X133</f>
        <v>-4</v>
      </c>
      <c r="Y135" s="1">
        <f>Y131-Y133</f>
        <v>-10</v>
      </c>
      <c r="Z135" s="1">
        <f>Z131-Z133</f>
        <v>-4</v>
      </c>
      <c r="AA135" s="1">
        <f>AA131-AA133</f>
        <v>-9</v>
      </c>
      <c r="AB135" s="1">
        <f>AB131-AB133</f>
        <v>-2</v>
      </c>
      <c r="AC135" s="1">
        <f>AC131-AC133</f>
        <v>-3</v>
      </c>
      <c r="AD135" s="1">
        <f>AD131-AD133</f>
        <v>-6</v>
      </c>
      <c r="AE135" s="1">
        <f>AE131-AE133</f>
        <v>-190</v>
      </c>
      <c r="AF135" s="1">
        <f>AF131-AF133</f>
        <v>-5</v>
      </c>
      <c r="AG135" s="1">
        <f>AG131-AG133</f>
        <v>-5</v>
      </c>
      <c r="AH135" s="1">
        <f>AH131-AH133</f>
        <v>-5</v>
      </c>
      <c r="AI135" s="1">
        <f>AI131-AI133</f>
        <v>-5</v>
      </c>
      <c r="AJ135" s="1">
        <f>AJ131-AJ133</f>
        <v>-5</v>
      </c>
      <c r="AK135" s="1">
        <f>AK131-AK133</f>
        <v>33</v>
      </c>
      <c r="AL135" s="1">
        <f>AL131-AL133</f>
        <v>43</v>
      </c>
      <c r="AM135" s="1">
        <f>AM131-AM133</f>
        <v>-3</v>
      </c>
      <c r="AN135" s="1">
        <f>AN131-AN133</f>
        <v>-25</v>
      </c>
      <c r="AO135" s="1">
        <f>AO131-AO133</f>
        <v>-10</v>
      </c>
      <c r="AP135" s="1">
        <f>AP131-AP133</f>
        <v>-10</v>
      </c>
      <c r="AQ135" s="1">
        <f>AQ131-AQ133</f>
        <v>-14</v>
      </c>
      <c r="AR135" s="1">
        <f>AR131-AR133</f>
        <v>-10</v>
      </c>
      <c r="AS135" s="1">
        <f>AS131-AS133</f>
        <v>-12</v>
      </c>
      <c r="AT135" s="1">
        <f>AT131-AT133</f>
        <v>-19</v>
      </c>
      <c r="AU135" s="1">
        <f>AU131-AU133</f>
        <v>1</v>
      </c>
      <c r="AV135" s="1">
        <f>AV131-AV133</f>
        <v>-38</v>
      </c>
      <c r="AW135" s="1">
        <f>AW131-AW133</f>
        <v>-34</v>
      </c>
      <c r="AX135" s="1">
        <f>AX131-AX133</f>
        <v>7</v>
      </c>
      <c r="AY135" s="1">
        <f>AY131-AY133</f>
        <v>-9</v>
      </c>
      <c r="AZ135" s="1">
        <f>AZ131-AZ133</f>
        <v>-13</v>
      </c>
      <c r="BA135" s="1">
        <f>BA131-BA133</f>
        <v>-17</v>
      </c>
      <c r="BB135" s="1">
        <f>BB131-BB133</f>
        <v>83</v>
      </c>
      <c r="BC135" s="1">
        <f>BC131-BC133</f>
        <v>-1</v>
      </c>
      <c r="BD135" s="1">
        <f>BD131-BD133</f>
        <v>64</v>
      </c>
      <c r="BE135" s="1">
        <f>BE131-BE133</f>
        <v>176</v>
      </c>
      <c r="BF135" s="1">
        <f>BF131-BF133</f>
        <v>173</v>
      </c>
      <c r="BG135" s="1">
        <f>BG131-BG133</f>
        <v>182</v>
      </c>
      <c r="BH135" s="1">
        <f>BH131-BH133</f>
        <v>73</v>
      </c>
      <c r="BI135" s="1">
        <f>BI131-BI133</f>
        <v>86</v>
      </c>
      <c r="BJ135" s="1">
        <f>BJ131-BJ133</f>
        <v>-25</v>
      </c>
      <c r="BK135" s="1">
        <f>BK131-BK133</f>
        <v>-25</v>
      </c>
      <c r="BL135" s="1">
        <f>BL131-BL133</f>
        <v>-1</v>
      </c>
      <c r="BM135" s="1">
        <f>BM131-BM133</f>
        <v>-50</v>
      </c>
      <c r="BN135" s="1">
        <f>BN131-BN133</f>
        <v>-45</v>
      </c>
      <c r="BO135" s="1">
        <f>BO131-BO133</f>
        <v>-50</v>
      </c>
      <c r="BP135" s="1"/>
      <c r="BQ135" s="1"/>
      <c r="BR135" s="17"/>
      <c r="BS135" s="17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</row>
    <row r="136" spans="1:97" s="13" customFormat="1" x14ac:dyDescent="0.15">
      <c r="A136" s="1"/>
      <c r="B136" s="3" t="s">
        <v>201</v>
      </c>
      <c r="C136" s="1"/>
      <c r="D136" s="1"/>
      <c r="E136" s="1">
        <f>E131-E134</f>
        <v>22</v>
      </c>
      <c r="F136" s="1">
        <f>F131-F134</f>
        <v>-5</v>
      </c>
      <c r="G136" s="1">
        <f>G131-G134</f>
        <v>11</v>
      </c>
      <c r="H136" s="1">
        <f>H131-H134</f>
        <v>4</v>
      </c>
      <c r="I136" s="1">
        <f>I131-I134</f>
        <v>30</v>
      </c>
      <c r="J136" s="1">
        <f>J131-J134</f>
        <v>23</v>
      </c>
      <c r="K136" s="1">
        <f>K131-K134</f>
        <v>5</v>
      </c>
      <c r="L136" s="1">
        <f>L131-L134</f>
        <v>49</v>
      </c>
      <c r="M136" s="1">
        <f>M131-M134</f>
        <v>12</v>
      </c>
      <c r="N136" s="1">
        <f>N131-N134</f>
        <v>16</v>
      </c>
      <c r="O136" s="1">
        <f>O131-O134</f>
        <v>4</v>
      </c>
      <c r="P136" s="1">
        <f>P131-P134</f>
        <v>-8</v>
      </c>
      <c r="Q136" s="1">
        <f>Q131-Q134</f>
        <v>-4</v>
      </c>
      <c r="R136" s="1">
        <f>R131-R134</f>
        <v>0</v>
      </c>
      <c r="S136" s="1">
        <f>S131-S134</f>
        <v>-9</v>
      </c>
      <c r="T136" s="1">
        <f>T131-T134</f>
        <v>0</v>
      </c>
      <c r="U136" s="1">
        <f>U131-U134</f>
        <v>-2</v>
      </c>
      <c r="V136" s="1">
        <f>V131-V134</f>
        <v>-3</v>
      </c>
      <c r="W136" s="1">
        <f>W131-W134</f>
        <v>-3</v>
      </c>
      <c r="X136" s="1">
        <f>X131-X134</f>
        <v>4</v>
      </c>
      <c r="Y136" s="1">
        <f>Y131-Y134</f>
        <v>-5</v>
      </c>
      <c r="Z136" s="1">
        <f>Z131-Z134</f>
        <v>-4</v>
      </c>
      <c r="AA136" s="1">
        <f>AA131-AA134</f>
        <v>-1</v>
      </c>
      <c r="AB136" s="1">
        <f>AB131-AB134</f>
        <v>-2</v>
      </c>
      <c r="AC136" s="1">
        <f>AC131-AC134</f>
        <v>-3</v>
      </c>
      <c r="AD136" s="1">
        <f>AD131-AD134</f>
        <v>2</v>
      </c>
      <c r="AE136" s="1">
        <f>AE131-AE134</f>
        <v>-5</v>
      </c>
      <c r="AF136" s="1">
        <f>AF131-AF134</f>
        <v>-5</v>
      </c>
      <c r="AG136" s="1">
        <f>AG131-AG134</f>
        <v>-5</v>
      </c>
      <c r="AH136" s="1">
        <f>AH131-AH134</f>
        <v>-5</v>
      </c>
      <c r="AI136" s="1">
        <f>AI131-AI134</f>
        <v>-5</v>
      </c>
      <c r="AJ136" s="1">
        <f>AJ131-AJ134</f>
        <v>-5</v>
      </c>
      <c r="AK136" s="1">
        <f>AK131-AK134</f>
        <v>33</v>
      </c>
      <c r="AL136" s="1">
        <f>AL131-AL134</f>
        <v>43</v>
      </c>
      <c r="AM136" s="1">
        <f>AM131-AM134</f>
        <v>7</v>
      </c>
      <c r="AN136" s="1">
        <f>AN131-AN134</f>
        <v>-5</v>
      </c>
      <c r="AO136" s="1">
        <f>AO131-AO134</f>
        <v>-2</v>
      </c>
      <c r="AP136" s="1">
        <f>AP131-AP134</f>
        <v>-1</v>
      </c>
      <c r="AQ136" s="1">
        <f>AQ131-AQ134</f>
        <v>-9</v>
      </c>
      <c r="AR136" s="1">
        <f>AR131-AR134</f>
        <v>-5</v>
      </c>
      <c r="AS136" s="1">
        <f>AS131-AS134</f>
        <v>-2</v>
      </c>
      <c r="AT136" s="1">
        <f>AT131-AT134</f>
        <v>-9</v>
      </c>
      <c r="AU136" s="1">
        <f>AU131-AU134</f>
        <v>3</v>
      </c>
      <c r="AV136" s="1">
        <f>AV131-AV134</f>
        <v>-8</v>
      </c>
      <c r="AW136" s="1">
        <f>AW131-AW134</f>
        <v>-2</v>
      </c>
      <c r="AX136" s="1">
        <f>AX131-AX134</f>
        <v>22</v>
      </c>
      <c r="AY136" s="1">
        <f>AY131-AY134</f>
        <v>-4</v>
      </c>
      <c r="AZ136" s="1">
        <f>AZ131-AZ134</f>
        <v>-8</v>
      </c>
      <c r="BA136" s="1">
        <f>BA131-BA134</f>
        <v>-2</v>
      </c>
      <c r="BB136" s="1">
        <f>BB131-BB134</f>
        <v>118</v>
      </c>
      <c r="BC136" s="1">
        <f>BC131-BC134</f>
        <v>-1</v>
      </c>
      <c r="BD136" s="1">
        <f>BD131-BD134</f>
        <v>94</v>
      </c>
      <c r="BE136" s="1">
        <f>BE131-BE134</f>
        <v>176</v>
      </c>
      <c r="BF136" s="1">
        <f>BF131-BF134</f>
        <v>173</v>
      </c>
      <c r="BG136" s="1">
        <f>BG131-BG134</f>
        <v>182</v>
      </c>
      <c r="BH136" s="1">
        <f>BH131-BH134</f>
        <v>78</v>
      </c>
      <c r="BI136" s="1">
        <f>BI131-BI134</f>
        <v>91</v>
      </c>
      <c r="BJ136" s="1">
        <f>BJ131-BJ134</f>
        <v>-25</v>
      </c>
      <c r="BK136" s="1">
        <f>BK131-BK134</f>
        <v>-25</v>
      </c>
      <c r="BL136" s="1">
        <f>BL131-BL134</f>
        <v>-1</v>
      </c>
      <c r="BM136" s="1">
        <f>BM131-BM134</f>
        <v>-50</v>
      </c>
      <c r="BN136" s="1">
        <f>BN131-BN134</f>
        <v>-45</v>
      </c>
      <c r="BO136" s="1">
        <f>BO131-BO134</f>
        <v>-50</v>
      </c>
      <c r="BP136" s="1"/>
      <c r="BQ136" s="1"/>
      <c r="BR136" s="17"/>
      <c r="BS136" s="17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</row>
  </sheetData>
  <autoFilter ref="A1:BP129"/>
  <sortState ref="A2:CS136">
    <sortCondition ref="BR2:BR136"/>
    <sortCondition ref="BQ2:BQ136"/>
  </sortState>
  <phoneticPr fontId="1" type="noConversion"/>
  <conditionalFormatting sqref="E20">
    <cfRule type="cellIs" dxfId="6" priority="13" operator="greaterThan">
      <formula>$E$130</formula>
    </cfRule>
  </conditionalFormatting>
  <conditionalFormatting sqref="E133">
    <cfRule type="expression" dxfId="5" priority="9">
      <formula>"&lt;=$E$135"</formula>
    </cfRule>
  </conditionalFormatting>
  <conditionalFormatting sqref="E135:BO136">
    <cfRule type="cellIs" dxfId="4" priority="5" operator="greaterThan">
      <formula>-1</formula>
    </cfRule>
  </conditionalFormatting>
  <conditionalFormatting sqref="E132:BO132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136</xdr:row>
                    <xdr:rowOff>28575</xdr:rowOff>
                  </from>
                  <to>
                    <xdr:col>1</xdr:col>
                    <xdr:colOff>428625</xdr:colOff>
                    <xdr:row>137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89</v>
      </c>
      <c r="B1" s="5" t="s">
        <v>86</v>
      </c>
      <c r="C1" s="5" t="s">
        <v>90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57</v>
      </c>
      <c r="C3" s="1">
        <v>120</v>
      </c>
    </row>
    <row r="4" spans="1:3" x14ac:dyDescent="0.15">
      <c r="A4" s="1">
        <v>4</v>
      </c>
      <c r="B4" s="4" t="s">
        <v>58</v>
      </c>
      <c r="C4" s="1">
        <v>85</v>
      </c>
    </row>
    <row r="5" spans="1:3" x14ac:dyDescent="0.15">
      <c r="A5" s="1">
        <v>3</v>
      </c>
      <c r="B5" s="4" t="s">
        <v>48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33</v>
      </c>
      <c r="C10" s="1">
        <v>45</v>
      </c>
    </row>
    <row r="11" spans="1:3" x14ac:dyDescent="0.15">
      <c r="A11" s="1">
        <v>5</v>
      </c>
      <c r="B11" s="4" t="s">
        <v>65</v>
      </c>
      <c r="C11" s="1">
        <v>45</v>
      </c>
    </row>
    <row r="12" spans="1:3" x14ac:dyDescent="0.15">
      <c r="A12" s="1">
        <v>11</v>
      </c>
      <c r="B12" s="2" t="s">
        <v>49</v>
      </c>
      <c r="C12" s="1">
        <v>10</v>
      </c>
    </row>
    <row r="13" spans="1:3" x14ac:dyDescent="0.15">
      <c r="A13" s="1">
        <v>6</v>
      </c>
      <c r="B13" s="4" t="s">
        <v>70</v>
      </c>
      <c r="C13" s="1">
        <v>8</v>
      </c>
    </row>
    <row r="19" spans="3:18" x14ac:dyDescent="0.15">
      <c r="G19" s="10" t="s">
        <v>48</v>
      </c>
      <c r="H19" s="10" t="s">
        <v>5</v>
      </c>
      <c r="I19" s="10" t="s">
        <v>33</v>
      </c>
      <c r="J19" s="10" t="s">
        <v>65</v>
      </c>
      <c r="K19" s="10" t="s">
        <v>70</v>
      </c>
      <c r="L19" s="10" t="s">
        <v>58</v>
      </c>
      <c r="M19" s="11" t="s">
        <v>6</v>
      </c>
      <c r="N19" s="11" t="s">
        <v>7</v>
      </c>
      <c r="O19" s="11" t="s">
        <v>49</v>
      </c>
      <c r="P19" s="11" t="s">
        <v>9</v>
      </c>
      <c r="Q19" s="11" t="s">
        <v>57</v>
      </c>
      <c r="R19" s="11" t="s">
        <v>14</v>
      </c>
    </row>
    <row r="20" spans="3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 x14ac:dyDescent="0.15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 x14ac:dyDescent="0.15">
      <c r="C27" t="s">
        <v>202</v>
      </c>
      <c r="D27" t="s">
        <v>203</v>
      </c>
      <c r="E27" t="s">
        <v>204</v>
      </c>
      <c r="F27" t="s">
        <v>205</v>
      </c>
      <c r="G27" t="s">
        <v>206</v>
      </c>
      <c r="H27" t="s">
        <v>207</v>
      </c>
      <c r="I27" t="s">
        <v>208</v>
      </c>
      <c r="J27" t="s">
        <v>209</v>
      </c>
      <c r="K27" t="s">
        <v>210</v>
      </c>
      <c r="L27" t="s">
        <v>211</v>
      </c>
      <c r="M27" t="s">
        <v>212</v>
      </c>
      <c r="N27" t="s">
        <v>213</v>
      </c>
    </row>
    <row r="31" spans="3:18" x14ac:dyDescent="0.15">
      <c r="C31">
        <v>-3</v>
      </c>
      <c r="D31" t="s">
        <v>202</v>
      </c>
    </row>
    <row r="32" spans="3:18" x14ac:dyDescent="0.15">
      <c r="C32">
        <v>-8</v>
      </c>
      <c r="D32" t="s">
        <v>203</v>
      </c>
    </row>
    <row r="33" spans="3:4" x14ac:dyDescent="0.15">
      <c r="C33">
        <v>-3</v>
      </c>
      <c r="D33" t="s">
        <v>204</v>
      </c>
    </row>
    <row r="34" spans="3:4" x14ac:dyDescent="0.15">
      <c r="C34">
        <v>1</v>
      </c>
      <c r="D34" t="s">
        <v>205</v>
      </c>
    </row>
    <row r="35" spans="3:4" x14ac:dyDescent="0.15">
      <c r="C35">
        <v>3</v>
      </c>
      <c r="D35" t="s">
        <v>206</v>
      </c>
    </row>
    <row r="36" spans="3:4" x14ac:dyDescent="0.15">
      <c r="C36">
        <v>0</v>
      </c>
      <c r="D36" t="s">
        <v>207</v>
      </c>
    </row>
    <row r="37" spans="3:4" x14ac:dyDescent="0.15">
      <c r="C37">
        <v>-3</v>
      </c>
      <c r="D37" t="s">
        <v>208</v>
      </c>
    </row>
    <row r="38" spans="3:4" x14ac:dyDescent="0.15">
      <c r="C38">
        <v>30</v>
      </c>
      <c r="D38" t="s">
        <v>209</v>
      </c>
    </row>
    <row r="39" spans="3:4" x14ac:dyDescent="0.15">
      <c r="C39">
        <v>5</v>
      </c>
      <c r="D39" t="s">
        <v>210</v>
      </c>
    </row>
    <row r="40" spans="3:4" x14ac:dyDescent="0.15">
      <c r="C40">
        <v>-10</v>
      </c>
      <c r="D40" t="s">
        <v>211</v>
      </c>
    </row>
    <row r="41" spans="3:4" x14ac:dyDescent="0.15">
      <c r="C41">
        <v>3</v>
      </c>
      <c r="D41" t="s">
        <v>212</v>
      </c>
    </row>
    <row r="42" spans="3:4" x14ac:dyDescent="0.15">
      <c r="C42">
        <v>138</v>
      </c>
      <c r="D42" t="s">
        <v>213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96</v>
      </c>
      <c r="B1" s="8" t="s">
        <v>97</v>
      </c>
      <c r="C1" s="8" t="s">
        <v>98</v>
      </c>
    </row>
    <row r="2" spans="1:3" x14ac:dyDescent="0.15">
      <c r="A2" s="1">
        <v>5</v>
      </c>
      <c r="B2" s="10" t="s">
        <v>70</v>
      </c>
      <c r="C2" s="1">
        <v>0</v>
      </c>
    </row>
    <row r="3" spans="1:3" x14ac:dyDescent="0.15">
      <c r="A3" s="1">
        <v>9</v>
      </c>
      <c r="B3" s="11" t="s">
        <v>49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65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48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33</v>
      </c>
      <c r="C11" s="1">
        <v>5</v>
      </c>
    </row>
    <row r="12" spans="1:3" x14ac:dyDescent="0.15">
      <c r="A12" s="1">
        <v>11</v>
      </c>
      <c r="B12" s="11" t="s">
        <v>57</v>
      </c>
      <c r="C12" s="1">
        <v>5</v>
      </c>
    </row>
    <row r="13" spans="1:3" x14ac:dyDescent="0.15">
      <c r="A13" s="1">
        <v>6</v>
      </c>
      <c r="B13" s="10" t="s">
        <v>58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48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33</v>
      </c>
      <c r="C4">
        <v>0</v>
      </c>
    </row>
    <row r="5" spans="2:3" x14ac:dyDescent="0.15">
      <c r="B5" s="10" t="s">
        <v>70</v>
      </c>
      <c r="C5">
        <v>0</v>
      </c>
    </row>
    <row r="6" spans="2:3" x14ac:dyDescent="0.15">
      <c r="B6" s="11" t="s">
        <v>49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57</v>
      </c>
      <c r="C8">
        <v>0</v>
      </c>
    </row>
    <row r="9" spans="2:3" x14ac:dyDescent="0.15">
      <c r="B9" s="10" t="s">
        <v>65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58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2020-03-04T05:02:13Z</dcterms:modified>
</cp:coreProperties>
</file>