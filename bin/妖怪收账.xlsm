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5320" windowHeight="13425" tabRatio="508" activeTab="4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Sheet1!$A$1:$BV$61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94" i="4" l="1"/>
  <c r="BQ44" i="1" l="1"/>
  <c r="BU44" i="1"/>
  <c r="BV44" i="1"/>
  <c r="BU33" i="1"/>
  <c r="BV33" i="1"/>
  <c r="BU34" i="1"/>
  <c r="BV34" i="1"/>
  <c r="BU35" i="1"/>
  <c r="BV35" i="1"/>
  <c r="BU36" i="1"/>
  <c r="BV36" i="1"/>
  <c r="BU37" i="1"/>
  <c r="BV37" i="1"/>
  <c r="BU38" i="1"/>
  <c r="BV38" i="1"/>
  <c r="BU39" i="1"/>
  <c r="BV39" i="1"/>
  <c r="BU40" i="1"/>
  <c r="BV40" i="1"/>
  <c r="BU41" i="1"/>
  <c r="BV41" i="1"/>
  <c r="BU49" i="1"/>
  <c r="BV49" i="1"/>
  <c r="BU42" i="1"/>
  <c r="BV42" i="1"/>
  <c r="BU43" i="1"/>
  <c r="BV43" i="1"/>
  <c r="BQ33" i="1"/>
  <c r="BQ34" i="1"/>
  <c r="BQ35" i="1"/>
  <c r="BQ36" i="1"/>
  <c r="BQ37" i="1"/>
  <c r="BQ38" i="1"/>
  <c r="BQ39" i="1"/>
  <c r="BQ40" i="1"/>
  <c r="BQ41" i="1"/>
  <c r="BQ49" i="1"/>
  <c r="BQ42" i="1"/>
  <c r="BQ43" i="1"/>
  <c r="BQ29" i="1" l="1"/>
  <c r="BU29" i="1"/>
  <c r="BV29" i="1"/>
  <c r="BQ32" i="1"/>
  <c r="BU32" i="1"/>
  <c r="BV32" i="1"/>
  <c r="BU3" i="1" l="1"/>
  <c r="BV3" i="1"/>
  <c r="BQ3" i="1"/>
  <c r="BQ9" i="1" l="1"/>
  <c r="BU52" i="1" l="1"/>
  <c r="BV52" i="1"/>
  <c r="BQ52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27" i="1"/>
  <c r="BQ8" i="1"/>
  <c r="BU27" i="1"/>
  <c r="BV27" i="1"/>
  <c r="BU8" i="1"/>
  <c r="BV8" i="1"/>
  <c r="BU31" i="1" l="1"/>
  <c r="BV31" i="1"/>
  <c r="BQ31" i="1"/>
  <c r="BU10" i="1" l="1"/>
  <c r="BV10" i="1"/>
  <c r="BU23" i="1"/>
  <c r="BV23" i="1"/>
  <c r="BU24" i="1"/>
  <c r="BV24" i="1"/>
  <c r="BU25" i="1"/>
  <c r="BV25" i="1"/>
  <c r="BU26" i="1"/>
  <c r="BV26" i="1"/>
  <c r="BU4" i="1"/>
  <c r="BV4" i="1"/>
  <c r="BU46" i="1"/>
  <c r="BV46" i="1"/>
  <c r="BU2" i="1"/>
  <c r="BV2" i="1"/>
  <c r="BU11" i="1"/>
  <c r="BV11" i="1"/>
  <c r="BU12" i="1"/>
  <c r="BV12" i="1"/>
  <c r="BU13" i="1"/>
  <c r="BV13" i="1"/>
  <c r="BU14" i="1"/>
  <c r="BV14" i="1"/>
  <c r="BU28" i="1"/>
  <c r="BV28" i="1"/>
  <c r="BU45" i="1"/>
  <c r="BV45" i="1"/>
  <c r="BU53" i="1"/>
  <c r="BV53" i="1"/>
  <c r="BU15" i="1"/>
  <c r="BV15" i="1"/>
  <c r="BU16" i="1"/>
  <c r="BV16" i="1"/>
  <c r="BU17" i="1"/>
  <c r="BV17" i="1"/>
  <c r="BU18" i="1"/>
  <c r="BV18" i="1"/>
  <c r="BU19" i="1"/>
  <c r="BV19" i="1"/>
  <c r="BU20" i="1"/>
  <c r="BV20" i="1"/>
  <c r="BU21" i="1"/>
  <c r="BV21" i="1"/>
  <c r="BU30" i="1"/>
  <c r="BV30" i="1"/>
  <c r="BU47" i="1"/>
  <c r="BV47" i="1"/>
  <c r="BU5" i="1"/>
  <c r="BV5" i="1"/>
  <c r="BU6" i="1"/>
  <c r="BV6" i="1"/>
  <c r="BU7" i="1"/>
  <c r="BV7" i="1"/>
  <c r="BQ30" i="1" l="1"/>
  <c r="BD54" i="1" l="1"/>
  <c r="BE54" i="1" l="1"/>
  <c r="BF54" i="1"/>
  <c r="BG54" i="1"/>
  <c r="BH54" i="1"/>
  <c r="BI54" i="1"/>
  <c r="BJ54" i="1"/>
  <c r="BU22" i="1" l="1"/>
  <c r="BV22" i="1"/>
  <c r="BU48" i="1"/>
  <c r="BV48" i="1"/>
  <c r="BU9" i="1"/>
  <c r="BV9" i="1"/>
  <c r="BU50" i="1"/>
  <c r="BV50" i="1"/>
  <c r="BU51" i="1"/>
  <c r="BV51" i="1"/>
  <c r="BQ16" i="1"/>
  <c r="BQ26" i="1"/>
  <c r="BQ14" i="1" l="1"/>
  <c r="BQ6" i="1"/>
  <c r="BQ21" i="1"/>
  <c r="BQ15" i="1"/>
  <c r="BQ7" i="1"/>
  <c r="BQ28" i="1" l="1"/>
  <c r="BQ20" i="1"/>
  <c r="BQ25" i="1"/>
  <c r="BQ5" i="1"/>
  <c r="BQ23" i="1"/>
  <c r="BQ24" i="1"/>
  <c r="BQ11" i="1"/>
  <c r="BQ12" i="1"/>
  <c r="BQ13" i="1"/>
  <c r="BQ10" i="1"/>
  <c r="BK54" i="1" l="1"/>
  <c r="BL54" i="1"/>
  <c r="BM54" i="1"/>
  <c r="BN54" i="1"/>
  <c r="BO54" i="1"/>
  <c r="BP54" i="1"/>
  <c r="BC54" i="1"/>
  <c r="AX54" i="1"/>
  <c r="AX56" i="1" s="1"/>
  <c r="AY54" i="1"/>
  <c r="AZ54" i="1"/>
  <c r="BA54" i="1"/>
  <c r="BB54" i="1"/>
  <c r="AW54" i="1"/>
  <c r="AR54" i="1"/>
  <c r="AS54" i="1"/>
  <c r="AT54" i="1"/>
  <c r="AU54" i="1"/>
  <c r="AV54" i="1"/>
  <c r="AQ54" i="1"/>
  <c r="AF54" i="1"/>
  <c r="AG54" i="1"/>
  <c r="AH54" i="1"/>
  <c r="AI54" i="1"/>
  <c r="AJ54" i="1"/>
  <c r="AK54" i="1"/>
  <c r="AL54" i="1"/>
  <c r="AM54" i="1"/>
  <c r="AN54" i="1"/>
  <c r="AO54" i="1"/>
  <c r="AP54" i="1"/>
  <c r="AE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P54" i="1"/>
  <c r="F54" i="1"/>
  <c r="G54" i="1"/>
  <c r="H54" i="1"/>
  <c r="I54" i="1"/>
  <c r="J54" i="1"/>
  <c r="K54" i="1"/>
  <c r="L54" i="1"/>
  <c r="M54" i="1"/>
  <c r="N54" i="1"/>
  <c r="O54" i="1"/>
  <c r="E54" i="1"/>
  <c r="AM57" i="1" l="1"/>
  <c r="AM59" i="1" s="1"/>
  <c r="AM58" i="1" s="1"/>
  <c r="AM60" i="1" s="1"/>
  <c r="AS57" i="1"/>
  <c r="AS59" i="1" s="1"/>
  <c r="AS58" i="1" s="1"/>
  <c r="AS60" i="1" s="1"/>
  <c r="X58" i="1"/>
  <c r="X60" i="1" s="1"/>
  <c r="W57" i="1"/>
  <c r="W59" i="1" s="1"/>
  <c r="AL57" i="1"/>
  <c r="AL59" i="1" s="1"/>
  <c r="AR58" i="1"/>
  <c r="AR60" i="1" s="1"/>
  <c r="AL58" i="1"/>
  <c r="AL60" i="1" s="1"/>
  <c r="BP58" i="1"/>
  <c r="BP60" i="1" s="1"/>
  <c r="W58" i="1"/>
  <c r="W60" i="1" s="1"/>
  <c r="AT58" i="1"/>
  <c r="AT60" i="1" s="1"/>
  <c r="BO57" i="1"/>
  <c r="BO59" i="1" s="1"/>
  <c r="BO58" i="1" s="1"/>
  <c r="BO60" i="1" s="1"/>
  <c r="AY57" i="1" l="1"/>
  <c r="AY59" i="1" s="1"/>
  <c r="AY58" i="1"/>
  <c r="AY60" i="1" s="1"/>
  <c r="BA57" i="1"/>
  <c r="BA59" i="1" s="1"/>
  <c r="BA58" i="1"/>
  <c r="BA60" i="1" s="1"/>
  <c r="J58" i="1"/>
  <c r="J60" i="1" s="1"/>
  <c r="AW58" i="1"/>
  <c r="AW60" i="1" s="1"/>
  <c r="AI57" i="1"/>
  <c r="AI59" i="1" s="1"/>
  <c r="AI58" i="1" s="1"/>
  <c r="AI60" i="1" s="1"/>
  <c r="Y57" i="1"/>
  <c r="Y59" i="1" s="1"/>
  <c r="Y58" i="1" s="1"/>
  <c r="Y60" i="1" s="1"/>
  <c r="AX57" i="1"/>
  <c r="AX59" i="1" s="1"/>
  <c r="AX58" i="1"/>
  <c r="AX60" i="1" s="1"/>
  <c r="V58" i="1"/>
  <c r="V60" i="1" s="1"/>
  <c r="G58" i="1"/>
  <c r="G60" i="1" s="1"/>
  <c r="AV57" i="1"/>
  <c r="AV59" i="1" s="1"/>
  <c r="AV58" i="1" s="1"/>
  <c r="AV60" i="1" s="1"/>
  <c r="BC58" i="1"/>
  <c r="BC60" i="1" s="1"/>
  <c r="BC57" i="1"/>
  <c r="BC59" i="1" s="1"/>
  <c r="AA58" i="1"/>
  <c r="AA60" i="1" s="1"/>
  <c r="BM57" i="1"/>
  <c r="BM59" i="1" s="1"/>
  <c r="BM58" i="1" s="1"/>
  <c r="BM60" i="1" s="1"/>
  <c r="M57" i="1"/>
  <c r="M59" i="1" s="1"/>
  <c r="M58" i="1" s="1"/>
  <c r="M60" i="1" s="1"/>
  <c r="AB58" i="1"/>
  <c r="AB60" i="1" s="1"/>
  <c r="AB57" i="1"/>
  <c r="AB59" i="1" s="1"/>
  <c r="AH57" i="1"/>
  <c r="AH59" i="1" s="1"/>
  <c r="AH58" i="1"/>
  <c r="AH60" i="1" s="1"/>
  <c r="I58" i="1"/>
  <c r="I60" i="1" s="1"/>
  <c r="K58" i="1"/>
  <c r="K60" i="1" s="1"/>
  <c r="Z58" i="1"/>
  <c r="Z60" i="1" s="1"/>
  <c r="AG57" i="1"/>
  <c r="AG59" i="1" s="1"/>
  <c r="AG58" i="1" s="1"/>
  <c r="AG60" i="1" s="1"/>
  <c r="U58" i="1"/>
  <c r="U60" i="1" s="1"/>
  <c r="S58" i="1"/>
  <c r="S60" i="1" s="1"/>
  <c r="AP57" i="1"/>
  <c r="AP59" i="1" s="1"/>
  <c r="AP58" i="1" s="1"/>
  <c r="AP60" i="1" s="1"/>
  <c r="AJ57" i="1"/>
  <c r="AJ59" i="1" s="1"/>
  <c r="AJ58" i="1" s="1"/>
  <c r="AJ60" i="1" s="1"/>
  <c r="AU58" i="1"/>
  <c r="AU60" i="1" s="1"/>
  <c r="BK58" i="1"/>
  <c r="BK60" i="1" s="1"/>
  <c r="AN57" i="1"/>
  <c r="AN59" i="1" s="1"/>
  <c r="AN58" i="1" s="1"/>
  <c r="AN60" i="1" s="1"/>
  <c r="AE58" i="1"/>
  <c r="AE60" i="1" s="1"/>
  <c r="AE57" i="1"/>
  <c r="AE59" i="1" s="1"/>
  <c r="Q57" i="1"/>
  <c r="Q59" i="1" s="1"/>
  <c r="Q58" i="1"/>
  <c r="Q60" i="1" s="1"/>
  <c r="BL58" i="1"/>
  <c r="BL60" i="1" s="1"/>
  <c r="BN58" i="1"/>
  <c r="BN60" i="1" s="1"/>
  <c r="BB58" i="1"/>
  <c r="BB60" i="1" s="1"/>
  <c r="AQ58" i="1"/>
  <c r="AQ60" i="1" s="1"/>
  <c r="AQ57" i="1"/>
  <c r="AQ59" i="1" s="1"/>
  <c r="L57" i="1"/>
  <c r="L59" i="1" s="1"/>
  <c r="L58" i="1" s="1"/>
  <c r="L60" i="1" s="1"/>
  <c r="AK57" i="1"/>
  <c r="AK59" i="1" s="1"/>
  <c r="AK58" i="1" s="1"/>
  <c r="AK60" i="1" s="1"/>
  <c r="AO57" i="1"/>
  <c r="AO59" i="1" s="1"/>
  <c r="AO58" i="1" s="1"/>
  <c r="AO60" i="1" s="1"/>
  <c r="P58" i="1"/>
  <c r="P60" i="1" s="1"/>
  <c r="P57" i="1"/>
  <c r="P59" i="1" s="1"/>
  <c r="AC58" i="1"/>
  <c r="AC60" i="1" s="1"/>
  <c r="AC57" i="1"/>
  <c r="AC59" i="1" s="1"/>
  <c r="E57" i="1"/>
  <c r="E59" i="1" s="1"/>
  <c r="E58" i="1"/>
  <c r="E60" i="1" s="1"/>
  <c r="R58" i="1"/>
  <c r="R60" i="1" s="1"/>
  <c r="AD58" i="1"/>
  <c r="AD60" i="1" s="1"/>
  <c r="O57" i="1"/>
  <c r="O59" i="1" s="1"/>
  <c r="O58" i="1"/>
  <c r="O60" i="1" s="1"/>
  <c r="H58" i="1"/>
  <c r="H60" i="1" s="1"/>
  <c r="T58" i="1"/>
  <c r="T60" i="1" s="1"/>
  <c r="F58" i="1"/>
  <c r="F60" i="1" s="1"/>
  <c r="N57" i="1"/>
  <c r="N59" i="1" s="1"/>
  <c r="N58" i="1"/>
  <c r="N60" i="1" s="1"/>
  <c r="AZ57" i="1"/>
  <c r="AZ59" i="1" s="1"/>
  <c r="AZ58" i="1"/>
  <c r="AZ60" i="1" s="1"/>
  <c r="AF58" i="1"/>
  <c r="AF60" i="1" s="1"/>
  <c r="BQ46" i="1"/>
  <c r="BQ2" i="1"/>
  <c r="BQ45" i="1"/>
  <c r="BQ53" i="1"/>
  <c r="BQ47" i="1"/>
  <c r="BQ4" i="1"/>
  <c r="BQ48" i="1"/>
  <c r="BQ17" i="1"/>
  <c r="BQ18" i="1"/>
  <c r="BQ19" i="1"/>
  <c r="BQ22" i="1"/>
  <c r="BQ50" i="1"/>
  <c r="BQ51" i="1"/>
  <c r="BN56" i="1" l="1"/>
  <c r="AM56" i="1"/>
  <c r="L56" i="1"/>
  <c r="BL56" i="1"/>
  <c r="AJ56" i="1"/>
  <c r="AH56" i="1"/>
  <c r="AL56" i="1"/>
  <c r="BM56" i="1"/>
  <c r="J56" i="1"/>
  <c r="H56" i="1"/>
  <c r="G56" i="1"/>
  <c r="AE56" i="1"/>
  <c r="F56" i="1"/>
  <c r="BK56" i="1"/>
  <c r="AI56" i="1"/>
  <c r="I56" i="1"/>
  <c r="AG56" i="1"/>
  <c r="AF56" i="1"/>
  <c r="O56" i="1"/>
  <c r="BP56" i="1"/>
  <c r="N56" i="1"/>
  <c r="K56" i="1"/>
  <c r="AK56" i="1"/>
  <c r="E56" i="1"/>
  <c r="BO56" i="1"/>
  <c r="AN56" i="1"/>
  <c r="M56" i="1"/>
  <c r="AP56" i="1"/>
  <c r="BC56" i="1"/>
  <c r="AO56" i="1"/>
  <c r="V56" i="1"/>
  <c r="Y56" i="1"/>
  <c r="W56" i="1"/>
  <c r="S56" i="1"/>
  <c r="X56" i="1"/>
  <c r="R56" i="1"/>
  <c r="Z56" i="1"/>
  <c r="U56" i="1"/>
  <c r="T56" i="1"/>
  <c r="AC56" i="1"/>
  <c r="Q56" i="1"/>
  <c r="AB56" i="1"/>
  <c r="P56" i="1"/>
  <c r="AA56" i="1"/>
  <c r="AD56" i="1"/>
  <c r="AR56" i="1" l="1"/>
  <c r="AU56" i="1"/>
  <c r="BB56" i="1"/>
  <c r="AS56" i="1"/>
  <c r="AW56" i="1"/>
  <c r="AT56" i="1"/>
  <c r="AY56" i="1"/>
  <c r="AZ56" i="1"/>
  <c r="AV56" i="1"/>
  <c r="AQ56" i="1"/>
  <c r="BA56" i="1"/>
  <c r="BE58" i="1"/>
  <c r="BE60" i="1" s="1"/>
  <c r="BE57" i="1"/>
  <c r="BE59" i="1" s="1"/>
  <c r="BE56" i="1"/>
  <c r="BG58" i="1"/>
  <c r="BG60" i="1" s="1"/>
  <c r="BG57" i="1"/>
  <c r="BG59" i="1" s="1"/>
  <c r="BG56" i="1"/>
  <c r="BF58" i="1"/>
  <c r="BF60" i="1" s="1"/>
  <c r="BF57" i="1"/>
  <c r="BF59" i="1" s="1"/>
  <c r="BF56" i="1"/>
  <c r="BH58" i="1"/>
  <c r="BH60" i="1" s="1"/>
  <c r="BH57" i="1"/>
  <c r="BH59" i="1" s="1"/>
  <c r="BH56" i="1"/>
  <c r="BI58" i="1"/>
  <c r="BI60" i="1" s="1"/>
  <c r="BI57" i="1"/>
  <c r="BI59" i="1" s="1"/>
  <c r="BI56" i="1"/>
  <c r="BJ58" i="1"/>
  <c r="BJ60" i="1" s="1"/>
  <c r="BJ57" i="1"/>
  <c r="BJ59" i="1" s="1"/>
  <c r="BJ56" i="1"/>
  <c r="BD58" i="1"/>
  <c r="BD60" i="1" s="1"/>
  <c r="BD57" i="1"/>
  <c r="BD59" i="1" s="1"/>
  <c r="BD56" i="1"/>
  <c r="V57" i="1"/>
  <c r="V59" i="1" s="1"/>
  <c r="K57" i="1"/>
  <c r="K59" i="1" s="1"/>
  <c r="AF57" i="1"/>
  <c r="AF59" i="1" s="1"/>
  <c r="I57" i="1"/>
  <c r="I59" i="1" s="1"/>
  <c r="AU57" i="1"/>
  <c r="AU59" i="1" s="1"/>
  <c r="X57" i="1"/>
  <c r="X59" i="1" s="1"/>
  <c r="AR57" i="1"/>
  <c r="AR59" i="1" s="1"/>
  <c r="J57" i="1"/>
  <c r="J59" i="1" s="1"/>
  <c r="AW57" i="1"/>
  <c r="AW59" i="1" s="1"/>
  <c r="U57" i="1"/>
  <c r="U59" i="1" s="1"/>
  <c r="AA57" i="1"/>
  <c r="AA59" i="1" s="1"/>
  <c r="H57" i="1"/>
  <c r="H59" i="1" s="1"/>
  <c r="R57" i="1"/>
  <c r="R59" i="1" s="1"/>
  <c r="BN57" i="1"/>
  <c r="BN59" i="1" s="1"/>
  <c r="T57" i="1"/>
  <c r="T59" i="1" s="1"/>
  <c r="Z57" i="1"/>
  <c r="Z59" i="1" s="1"/>
  <c r="AT57" i="1"/>
  <c r="AT59" i="1" s="1"/>
  <c r="G57" i="1"/>
  <c r="G59" i="1" s="1"/>
  <c r="AD57" i="1"/>
  <c r="AD59" i="1" s="1"/>
  <c r="BP57" i="1"/>
  <c r="BP59" i="1" s="1"/>
  <c r="BB57" i="1"/>
  <c r="BB59" i="1" s="1"/>
  <c r="S57" i="1"/>
  <c r="S59" i="1" s="1"/>
  <c r="F57" i="1"/>
  <c r="F59" i="1" s="1"/>
  <c r="BL57" i="1"/>
  <c r="BL59" i="1" s="1"/>
  <c r="BK57" i="1"/>
  <c r="BK59" i="1" s="1"/>
</calcChain>
</file>

<file path=xl/sharedStrings.xml><?xml version="1.0" encoding="utf-8"?>
<sst xmlns="http://schemas.openxmlformats.org/spreadsheetml/2006/main" count="487" uniqueCount="249">
  <si>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</si>
  <si>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</si>
  <si>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</si>
  <si>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</si>
  <si>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</si>
  <si>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</si>
  <si>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</si>
  <si>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</si>
  <si>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</si>
  <si>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</si>
  <si>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</si>
  <si>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</si>
  <si>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</si>
  <si>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</si>
  <si>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</si>
  <si>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</si>
  <si>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</si>
  <si>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</si>
  <si>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</si>
  <si>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</si>
  <si>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</si>
  <si>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</si>
  <si>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</si>
  <si>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</si>
  <si>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</si>
  <si>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</si>
  <si>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</si>
  <si>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</si>
  <si>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</si>
  <si>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</si>
  <si>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</si>
  <si>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</si>
  <si>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</si>
  <si>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</si>
  <si>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</si>
  <si>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</si>
  <si>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</si>
  <si>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</si>
  <si>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</si>
  <si>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</si>
  <si>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</si>
  <si>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</si>
  <si>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</si>
  <si>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</si>
  <si>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</si>
  <si>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</si>
  <si>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</si>
  <si>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</si>
  <si>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</si>
  <si>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</si>
  <si>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灯笼</t>
    <phoneticPr fontId="1" type="noConversion"/>
  </si>
  <si>
    <t>红糖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</si>
  <si>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</si>
  <si>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</si>
  <si>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</si>
  <si>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</si>
  <si>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</si>
  <si>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</si>
  <si>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</si>
  <si>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</si>
  <si>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</si>
  <si>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</si>
  <si>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</si>
  <si>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</si>
  <si>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</si>
  <si>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</si>
  <si>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</si>
  <si>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</si>
  <si>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</si>
  <si>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</si>
  <si>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壮年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</si>
  <si>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</si>
  <si>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</si>
  <si>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</si>
  <si>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</si>
  <si>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</si>
  <si>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</si>
  <si>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</si>
  <si>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</si>
  <si>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</si>
  <si>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</si>
  <si>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</si>
  <si>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</si>
  <si>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</si>
  <si>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</si>
  <si>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</si>
  <si>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</si>
  <si>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</si>
  <si>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</si>
  <si>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</si>
  <si>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</si>
  <si>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</si>
  <si>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</si>
  <si>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</si>
  <si>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</si>
  <si>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</si>
  <si>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</si>
  <si>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</si>
  <si>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光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</si>
  <si>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</si>
  <si>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</si>
  <si>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</si>
  <si>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</si>
  <si>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</si>
  <si>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</si>
  <si>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</si>
  <si>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</si>
  <si>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</si>
  <si>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</si>
  <si>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</si>
  <si>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</si>
  <si>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</si>
  <si>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</si>
  <si>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</si>
  <si>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</si>
  <si>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</si>
  <si>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</si>
  <si>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</si>
  <si>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</si>
  <si>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</si>
  <si>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</si>
  <si>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</si>
  <si>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</si>
  <si>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</si>
  <si>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</si>
  <si>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</si>
  <si>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</si>
  <si>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</si>
  <si>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</si>
  <si>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</si>
  <si>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</si>
  <si>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</si>
  <si>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</si>
  <si>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</si>
  <si>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</si>
  <si>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麻将</t>
    <phoneticPr fontId="1" type="noConversion"/>
  </si>
  <si>
    <t>壮年</t>
    <phoneticPr fontId="1" type="noConversion"/>
  </si>
  <si>
    <t>壮年</t>
    <phoneticPr fontId="1" type="noConversion"/>
  </si>
  <si>
    <t>冲霸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</si>
  <si>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</si>
  <si>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</si>
  <si>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</si>
  <si>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</si>
  <si>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</si>
  <si>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</si>
  <si>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七绝散人</t>
    <phoneticPr fontId="1" type="noConversion"/>
  </si>
  <si>
    <t>无名劫匪</t>
    <phoneticPr fontId="1" type="noConversion"/>
  </si>
  <si>
    <t>福球</t>
    <phoneticPr fontId="1" type="noConversion"/>
  </si>
  <si>
    <t>彩运</t>
    <phoneticPr fontId="1" type="noConversion"/>
  </si>
  <si>
    <t>自走炮</t>
    <phoneticPr fontId="1" type="noConversion"/>
  </si>
  <si>
    <t>心剑合一李小白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</si>
  <si>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</si>
  <si>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</si>
  <si>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</si>
  <si>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</si>
  <si>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</si>
  <si>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五福仙子</t>
    <phoneticPr fontId="1" type="noConversion"/>
  </si>
  <si>
    <t>厨妃</t>
    <phoneticPr fontId="1" type="noConversion"/>
  </si>
  <si>
    <t>喵小白</t>
    <phoneticPr fontId="1" type="noConversion"/>
  </si>
  <si>
    <t>超</t>
    <phoneticPr fontId="1" type="noConversion"/>
  </si>
  <si>
    <t>齐天大圣</t>
    <phoneticPr fontId="1" type="noConversion"/>
  </si>
  <si>
    <t>宇宙海贼双子星</t>
    <phoneticPr fontId="1" type="noConversion"/>
  </si>
  <si>
    <t>幻</t>
    <phoneticPr fontId="1" type="noConversion"/>
  </si>
  <si>
    <t>聚宝盆</t>
    <phoneticPr fontId="1" type="noConversion"/>
  </si>
  <si>
    <t>二眼书童</t>
  </si>
  <si>
    <t>一念刺客</t>
    <phoneticPr fontId="1" type="noConversion"/>
  </si>
  <si>
    <t>封喉教主</t>
    <phoneticPr fontId="1" type="noConversion"/>
  </si>
  <si>
    <t>暗</t>
    <phoneticPr fontId="1" type="noConversion"/>
  </si>
  <si>
    <t>人形兵器风间樱</t>
    <phoneticPr fontId="1" type="noConversion"/>
  </si>
  <si>
    <t>光</t>
    <phoneticPr fontId="1" type="noConversion"/>
  </si>
  <si>
    <t>桂花(3),</t>
    <phoneticPr fontId="1" type="noConversion"/>
  </si>
  <si>
    <t>幼年禺疆</t>
    <phoneticPr fontId="1" type="noConversion"/>
  </si>
  <si>
    <t>谋士</t>
    <phoneticPr fontId="1" type="noConversion"/>
  </si>
  <si>
    <t>地</t>
    <phoneticPr fontId="1" type="noConversion"/>
  </si>
  <si>
    <t>成年</t>
    <phoneticPr fontId="1" type="noConversion"/>
  </si>
  <si>
    <t>水</t>
    <phoneticPr fontId="1" type="noConversion"/>
  </si>
  <si>
    <t>火</t>
    <phoneticPr fontId="1" type="noConversion"/>
  </si>
  <si>
    <t>壮年</t>
    <phoneticPr fontId="1" type="noConversion"/>
  </si>
  <si>
    <t>光</t>
    <phoneticPr fontId="1" type="noConversion"/>
  </si>
  <si>
    <t>魔法少女小甜甜</t>
    <phoneticPr fontId="1" type="noConversion"/>
  </si>
  <si>
    <t>火</t>
    <phoneticPr fontId="1" type="noConversion"/>
  </si>
  <si>
    <t>幻</t>
    <phoneticPr fontId="1" type="noConversion"/>
  </si>
  <si>
    <t>喵溜</t>
    <phoneticPr fontId="1" type="noConversion"/>
  </si>
  <si>
    <t>喵溜</t>
    <phoneticPr fontId="1" type="noConversion"/>
  </si>
  <si>
    <t>黯狐</t>
    <phoneticPr fontId="1" type="noConversion"/>
  </si>
  <si>
    <t>黯狐</t>
    <phoneticPr fontId="1" type="noConversion"/>
  </si>
  <si>
    <t>羊妮</t>
    <phoneticPr fontId="1" type="noConversion"/>
  </si>
  <si>
    <t>氪鼎</t>
    <phoneticPr fontId="1" type="noConversion"/>
  </si>
  <si>
    <t>御风蛟</t>
    <phoneticPr fontId="1" type="noConversion"/>
  </si>
  <si>
    <t>姮娥</t>
    <phoneticPr fontId="1" type="noConversion"/>
  </si>
  <si>
    <t>雪男</t>
    <phoneticPr fontId="1" type="noConversion"/>
  </si>
  <si>
    <t>趴趴猪</t>
    <phoneticPr fontId="1" type="noConversion"/>
  </si>
  <si>
    <t>死灵之石</t>
    <phoneticPr fontId="1" type="noConversion"/>
  </si>
  <si>
    <t>守财炉</t>
    <phoneticPr fontId="1" type="noConversion"/>
  </si>
  <si>
    <t>守财炉</t>
    <phoneticPr fontId="1" type="noConversion"/>
  </si>
  <si>
    <t>曼青侠</t>
    <phoneticPr fontId="1" type="noConversion"/>
  </si>
  <si>
    <t>曼青侠</t>
    <phoneticPr fontId="1" type="noConversion"/>
  </si>
  <si>
    <t>络新妇</t>
    <phoneticPr fontId="1" type="noConversion"/>
  </si>
  <si>
    <t>络新妇</t>
    <phoneticPr fontId="1" type="noConversion"/>
  </si>
  <si>
    <t>司马相如</t>
    <phoneticPr fontId="1" type="noConversion"/>
  </si>
  <si>
    <t>司马相如</t>
    <phoneticPr fontId="1" type="noConversion"/>
  </si>
  <si>
    <t>七星术士</t>
    <phoneticPr fontId="1" type="noConversion"/>
  </si>
  <si>
    <t>七星术士</t>
    <phoneticPr fontId="1" type="noConversion"/>
  </si>
  <si>
    <t>马达</t>
    <phoneticPr fontId="1" type="noConversion"/>
  </si>
  <si>
    <t>马达</t>
    <phoneticPr fontId="1" type="noConversion"/>
  </si>
  <si>
    <t>唐龙</t>
    <phoneticPr fontId="1" type="noConversion"/>
  </si>
  <si>
    <t>唐龙</t>
    <phoneticPr fontId="1" type="noConversion"/>
  </si>
  <si>
    <t>剑舞</t>
    <phoneticPr fontId="1" type="noConversion"/>
  </si>
  <si>
    <t>剑舞</t>
    <phoneticPr fontId="1" type="noConversion"/>
  </si>
  <si>
    <t>怨念主教</t>
    <phoneticPr fontId="1" type="noConversion"/>
  </si>
  <si>
    <t>怨念主教</t>
    <phoneticPr fontId="1" type="noConversion"/>
  </si>
  <si>
    <t>光进</t>
    <phoneticPr fontId="1" type="noConversion"/>
  </si>
  <si>
    <t>光进</t>
    <phoneticPr fontId="1" type="noConversion"/>
  </si>
  <si>
    <t>霓虹</t>
    <phoneticPr fontId="1" type="noConversion"/>
  </si>
  <si>
    <t>霓虹</t>
    <phoneticPr fontId="1" type="noConversion"/>
  </si>
  <si>
    <t>万一君</t>
    <phoneticPr fontId="1" type="noConversion"/>
  </si>
  <si>
    <t>万一君</t>
    <phoneticPr fontId="1" type="noConversion"/>
  </si>
  <si>
    <t>守财炉</t>
    <phoneticPr fontId="1" type="noConversion"/>
  </si>
  <si>
    <t>死灵之石</t>
    <phoneticPr fontId="1" type="noConversion"/>
  </si>
  <si>
    <t>趴趴猪</t>
    <phoneticPr fontId="1" type="noConversion"/>
  </si>
  <si>
    <t>雪男</t>
    <phoneticPr fontId="1" type="noConversion"/>
  </si>
  <si>
    <t>姮娥</t>
    <phoneticPr fontId="1" type="noConversion"/>
  </si>
  <si>
    <t>御风蛟</t>
    <phoneticPr fontId="1" type="noConversion"/>
  </si>
  <si>
    <t>氪鼎</t>
    <phoneticPr fontId="1" type="noConversion"/>
  </si>
  <si>
    <t>羊妮</t>
    <phoneticPr fontId="1" type="noConversion"/>
  </si>
  <si>
    <t>黯狐</t>
    <phoneticPr fontId="1" type="noConversion"/>
  </si>
  <si>
    <t>哈奇</t>
    <phoneticPr fontId="1" type="noConversion"/>
  </si>
  <si>
    <t>喵溜</t>
    <phoneticPr fontId="1" type="noConversion"/>
  </si>
  <si>
    <t>迷麋</t>
    <phoneticPr fontId="1" type="noConversion"/>
  </si>
  <si>
    <t>喔喔鸡</t>
    <phoneticPr fontId="1" type="noConversion"/>
  </si>
  <si>
    <t>一念刺客</t>
    <phoneticPr fontId="1" type="noConversion"/>
  </si>
  <si>
    <t>谋士</t>
    <phoneticPr fontId="1" type="noConversion"/>
  </si>
  <si>
    <t>幼年禺疆</t>
    <phoneticPr fontId="1" type="noConversion"/>
  </si>
  <si>
    <t>无名劫匪</t>
    <phoneticPr fontId="1" type="noConversion"/>
  </si>
  <si>
    <t>聚宝盆</t>
    <phoneticPr fontId="1" type="noConversion"/>
  </si>
  <si>
    <t>九天玄老</t>
    <phoneticPr fontId="1" type="noConversion"/>
  </si>
  <si>
    <t>喵小白</t>
    <phoneticPr fontId="1" type="noConversion"/>
  </si>
  <si>
    <t>七绝散人</t>
    <phoneticPr fontId="1" type="noConversion"/>
  </si>
  <si>
    <t>冲霸</t>
    <phoneticPr fontId="1" type="noConversion"/>
  </si>
  <si>
    <t>厨妃</t>
    <phoneticPr fontId="1" type="noConversion"/>
  </si>
  <si>
    <t>五福仙子</t>
    <phoneticPr fontId="1" type="noConversion"/>
  </si>
  <si>
    <t>直走炮</t>
    <phoneticPr fontId="1" type="noConversion"/>
  </si>
  <si>
    <t>彩运</t>
    <phoneticPr fontId="1" type="noConversion"/>
  </si>
  <si>
    <t>二眼书童</t>
    <phoneticPr fontId="1" type="noConversion"/>
  </si>
  <si>
    <t>桂花(3),</t>
    <phoneticPr fontId="1" type="noConversion"/>
  </si>
  <si>
    <t>星络典(3),</t>
    <phoneticPr fontId="1" type="noConversion"/>
  </si>
  <si>
    <t>金甲虫(2),</t>
    <phoneticPr fontId="1" type="noConversion"/>
  </si>
  <si>
    <t>超进阶素材光(30),</t>
    <phoneticPr fontId="1" type="noConversion"/>
  </si>
  <si>
    <t>金甲虫(152),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</si>
</sst>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 * #,##0.00_ ;_ * \-#,##0.00_ ;_ * &quot;-&quot;??_ ;_ @_ "/>
    <numFmt numFmtId="176" formatCode="_ * #,##0_ ;_ * \-#,##0_ ;_ * &quot;-&quot;??_ ;_ @_ "/>
  </numFmts>
  <fonts count="1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  <font>
      <sz val="11"/>
      <color theme="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3" fontId="10" fillId="0" borderId="0" applyFont="0" applyFill="0" applyBorder="0" applyAlignment="0" applyProtection="0">
      <alignment vertical="center"/>
    </xf>
  </cellStyleXfs>
  <cellXfs count="62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  <xf numFmtId="176" fontId="0" fillId="0" borderId="0" xfId="1" applyNumberFormat="1" applyFont="1">
      <alignment vertical="center"/>
    </xf>
  </cellXfs>
  <cellStyles count="2">
    <cellStyle name="常规" xfId="0" builtinId="0"/>
    <cellStyle name="千位分隔" xfId="1" builtinId="3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60</xdr:row>
          <xdr:rowOff>28575</xdr:rowOff>
        </xdr:from>
        <xdr:to>
          <xdr:col>1</xdr:col>
          <xdr:colOff>428625</xdr:colOff>
          <xdr:row>61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61"/>
  <sheetViews>
    <sheetView workbookViewId="0">
      <pane xSplit="2" ySplit="1" topLeftCell="BK29" activePane="bottomRight" state="frozen"/>
      <selection pane="topRight" activeCell="C1" sqref="C1"/>
      <selection pane="bottomLeft" activeCell="A3" sqref="A3"/>
      <selection pane="bottomRight" activeCell="B52" sqref="B52"/>
    </sheetView>
  </sheetViews>
  <sheetFormatPr defaultRowHeight="13.5"/>
  <cols>
    <col min="1" max="1" width="9.75" bestFit="1" customWidth="1"/>
    <col min="2" max="2" width="11.5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2" width="12.625" style="7" customWidth="1"/>
    <col min="53" max="53" width="12.87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56</v>
      </c>
      <c r="B1" s="8" t="s">
        <v>57</v>
      </c>
      <c r="C1" s="8" t="s">
        <v>59</v>
      </c>
      <c r="D1" s="8" t="s">
        <v>58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55</v>
      </c>
      <c r="K1" s="9" t="s">
        <v>20</v>
      </c>
      <c r="L1" s="9" t="s">
        <v>35</v>
      </c>
      <c r="M1" s="9" t="s">
        <v>37</v>
      </c>
      <c r="N1" s="9" t="s">
        <v>40</v>
      </c>
      <c r="O1" s="9" t="s">
        <v>36</v>
      </c>
      <c r="P1" s="26" t="s">
        <v>82</v>
      </c>
      <c r="Q1" s="26" t="s">
        <v>93</v>
      </c>
      <c r="R1" s="26" t="s">
        <v>88</v>
      </c>
      <c r="S1" s="26" t="s">
        <v>83</v>
      </c>
      <c r="T1" s="26" t="s">
        <v>91</v>
      </c>
      <c r="U1" s="26" t="s">
        <v>95</v>
      </c>
      <c r="V1" s="26" t="s">
        <v>84</v>
      </c>
      <c r="W1" s="26" t="s">
        <v>90</v>
      </c>
      <c r="X1" s="26" t="s">
        <v>89</v>
      </c>
      <c r="Y1" s="26" t="s">
        <v>85</v>
      </c>
      <c r="Z1" s="26" t="s">
        <v>92</v>
      </c>
      <c r="AA1" s="26" t="s">
        <v>96</v>
      </c>
      <c r="AB1" s="26" t="s">
        <v>87</v>
      </c>
      <c r="AC1" s="26" t="s">
        <v>86</v>
      </c>
      <c r="AD1" s="26" t="s">
        <v>100</v>
      </c>
      <c r="AE1" s="8" t="s">
        <v>7</v>
      </c>
      <c r="AF1" s="8" t="s">
        <v>23</v>
      </c>
      <c r="AG1" s="8" t="s">
        <v>24</v>
      </c>
      <c r="AH1" s="8" t="s">
        <v>48</v>
      </c>
      <c r="AI1" s="8" t="s">
        <v>49</v>
      </c>
      <c r="AJ1" s="8" t="s">
        <v>50</v>
      </c>
      <c r="AK1" s="8" t="s">
        <v>51</v>
      </c>
      <c r="AL1" s="8" t="s">
        <v>52</v>
      </c>
      <c r="AM1" s="8" t="s">
        <v>41</v>
      </c>
      <c r="AN1" s="8" t="s">
        <v>42</v>
      </c>
      <c r="AO1" s="8" t="s">
        <v>74</v>
      </c>
      <c r="AP1" s="8" t="s">
        <v>75</v>
      </c>
      <c r="AQ1" s="10" t="s">
        <v>33</v>
      </c>
      <c r="AR1" s="10" t="s">
        <v>3</v>
      </c>
      <c r="AS1" s="10" t="s">
        <v>22</v>
      </c>
      <c r="AT1" s="10" t="s">
        <v>44</v>
      </c>
      <c r="AU1" s="10" t="s">
        <v>46</v>
      </c>
      <c r="AV1" s="10" t="s">
        <v>39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38</v>
      </c>
      <c r="BB1" s="11" t="s">
        <v>9</v>
      </c>
      <c r="BC1" s="24" t="s">
        <v>72</v>
      </c>
      <c r="BD1" s="8" t="s">
        <v>140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63</v>
      </c>
      <c r="BR1" s="8" t="s">
        <v>64</v>
      </c>
      <c r="BS1" s="16" t="s">
        <v>65</v>
      </c>
      <c r="BT1" s="16"/>
      <c r="BU1" s="13" t="s">
        <v>135</v>
      </c>
    </row>
    <row r="2" spans="1:74">
      <c r="A2" s="18"/>
      <c r="B2" s="18" t="s">
        <v>78</v>
      </c>
      <c r="C2" s="18" t="s">
        <v>76</v>
      </c>
      <c r="D2" s="18" t="s">
        <v>70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8"/>
      <c r="AF2" s="18"/>
      <c r="AG2" s="18"/>
      <c r="AH2" s="18"/>
      <c r="AI2" s="18">
        <v>5</v>
      </c>
      <c r="AJ2" s="18"/>
      <c r="AK2" s="18"/>
      <c r="AL2" s="18"/>
      <c r="AM2" s="18"/>
      <c r="AN2" s="18"/>
      <c r="AO2" s="18"/>
      <c r="AP2" s="1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18"/>
      <c r="BE2" s="18"/>
      <c r="BF2" s="18"/>
      <c r="BG2" s="18"/>
      <c r="BH2" s="18"/>
      <c r="BI2" s="18"/>
      <c r="BJ2" s="18"/>
      <c r="BK2" s="18"/>
      <c r="BL2" s="18"/>
      <c r="BM2" s="18"/>
      <c r="BN2" s="18"/>
      <c r="BO2" s="18"/>
      <c r="BP2" s="18"/>
      <c r="BQ2" s="18">
        <f>SUM(E2:BP2)</f>
        <v>5</v>
      </c>
      <c r="BR2" s="18">
        <v>0</v>
      </c>
      <c r="BS2" s="22">
        <v>0</v>
      </c>
      <c r="BT2" s="22"/>
      <c r="BU2">
        <f>SUM(P2:AD2)</f>
        <v>0</v>
      </c>
      <c r="BV2" s="23">
        <f>AF2+AH2+AI2+AJ2+AO2+AP2</f>
        <v>5</v>
      </c>
    </row>
    <row r="3" spans="1:74">
      <c r="A3" s="1"/>
      <c r="B3" s="3" t="s">
        <v>161</v>
      </c>
      <c r="C3" s="3" t="s">
        <v>45</v>
      </c>
      <c r="D3" s="1" t="s">
        <v>162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  <c r="AA3" s="27"/>
      <c r="AB3" s="27"/>
      <c r="AC3" s="27"/>
      <c r="AD3" s="27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>
        <v>40</v>
      </c>
      <c r="AS3" s="4"/>
      <c r="AT3" s="4"/>
      <c r="AU3" s="4"/>
      <c r="AV3" s="4"/>
      <c r="AW3" s="2"/>
      <c r="AX3" s="2">
        <v>40</v>
      </c>
      <c r="AY3" s="2"/>
      <c r="AZ3" s="2">
        <v>40</v>
      </c>
      <c r="BA3" s="2"/>
      <c r="BB3" s="2"/>
      <c r="BC3" s="14">
        <v>10</v>
      </c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130</v>
      </c>
      <c r="BR3" s="1">
        <v>0</v>
      </c>
      <c r="BS3" s="17">
        <v>0</v>
      </c>
      <c r="BT3" s="17"/>
      <c r="BU3">
        <f>SUM(P3:AD3)</f>
        <v>0</v>
      </c>
      <c r="BV3" s="23">
        <f>AF3+AH3+AI3+AJ3+AO3+AP3</f>
        <v>0</v>
      </c>
    </row>
    <row r="4" spans="1:74">
      <c r="A4" s="1"/>
      <c r="B4" s="1" t="s">
        <v>205</v>
      </c>
      <c r="C4" s="1" t="s">
        <v>98</v>
      </c>
      <c r="D4" s="1" t="s">
        <v>81</v>
      </c>
      <c r="E4" s="6"/>
      <c r="F4" s="6"/>
      <c r="G4" s="6"/>
      <c r="H4" s="6"/>
      <c r="I4" s="6"/>
      <c r="J4" s="6"/>
      <c r="K4" s="6"/>
      <c r="L4" s="6">
        <v>7</v>
      </c>
      <c r="M4" s="6"/>
      <c r="N4" s="6"/>
      <c r="O4" s="6"/>
      <c r="P4" s="27"/>
      <c r="Q4" s="27">
        <v>7</v>
      </c>
      <c r="R4" s="27"/>
      <c r="S4" s="27"/>
      <c r="T4" s="27">
        <v>7</v>
      </c>
      <c r="U4" s="27"/>
      <c r="V4" s="27"/>
      <c r="W4" s="27"/>
      <c r="X4" s="27">
        <v>7</v>
      </c>
      <c r="Y4" s="27"/>
      <c r="Z4" s="27"/>
      <c r="AA4" s="27"/>
      <c r="AB4" s="27"/>
      <c r="AC4" s="27"/>
      <c r="AD4" s="27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28</v>
      </c>
      <c r="BR4" s="1">
        <v>0</v>
      </c>
      <c r="BS4" s="17">
        <v>0</v>
      </c>
      <c r="BT4" s="17"/>
      <c r="BU4">
        <f>SUM(P4:AD4)</f>
        <v>21</v>
      </c>
      <c r="BV4" s="23">
        <f>AF4+AH4+AI4+AJ4+AO4+AP4</f>
        <v>0</v>
      </c>
    </row>
    <row r="5" spans="1:74">
      <c r="A5" s="1"/>
      <c r="B5" s="3" t="s">
        <v>149</v>
      </c>
      <c r="C5" s="3" t="s">
        <v>80</v>
      </c>
      <c r="D5" s="1" t="s">
        <v>131</v>
      </c>
      <c r="E5" s="6"/>
      <c r="F5" s="6"/>
      <c r="G5" s="6"/>
      <c r="H5" s="6"/>
      <c r="I5" s="6">
        <v>10</v>
      </c>
      <c r="J5" s="6"/>
      <c r="K5" s="6"/>
      <c r="L5" s="6"/>
      <c r="M5" s="6"/>
      <c r="N5" s="6"/>
      <c r="O5" s="6"/>
      <c r="P5" s="27"/>
      <c r="Q5" s="27"/>
      <c r="R5" s="27">
        <v>10</v>
      </c>
      <c r="S5" s="27"/>
      <c r="T5" s="27"/>
      <c r="U5" s="27"/>
      <c r="V5" s="27"/>
      <c r="W5" s="27"/>
      <c r="X5" s="27">
        <v>10</v>
      </c>
      <c r="Y5" s="27"/>
      <c r="Z5" s="27"/>
      <c r="AA5" s="27"/>
      <c r="AB5" s="27"/>
      <c r="AC5" s="27"/>
      <c r="AD5" s="27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>
        <v>10</v>
      </c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20</v>
      </c>
      <c r="BV5" s="23">
        <f>AF5+AH5+AI5+AJ5+AO5+AP5</f>
        <v>0</v>
      </c>
    </row>
    <row r="6" spans="1:74">
      <c r="A6" s="1"/>
      <c r="B6" s="1" t="s">
        <v>163</v>
      </c>
      <c r="C6" s="1" t="s">
        <v>43</v>
      </c>
      <c r="D6" s="1" t="s">
        <v>136</v>
      </c>
      <c r="E6" s="6"/>
      <c r="F6" s="6"/>
      <c r="G6" s="6"/>
      <c r="H6" s="6"/>
      <c r="I6" s="6">
        <v>10</v>
      </c>
      <c r="J6" s="6"/>
      <c r="K6" s="6"/>
      <c r="L6" s="6"/>
      <c r="M6" s="6"/>
      <c r="N6" s="6"/>
      <c r="O6" s="6"/>
      <c r="P6" s="27"/>
      <c r="Q6" s="27"/>
      <c r="R6" s="27">
        <v>10</v>
      </c>
      <c r="S6" s="27"/>
      <c r="T6" s="27"/>
      <c r="U6" s="27"/>
      <c r="V6" s="27"/>
      <c r="W6" s="27"/>
      <c r="X6" s="27">
        <v>10</v>
      </c>
      <c r="Y6" s="27"/>
      <c r="Z6" s="27"/>
      <c r="AA6" s="27"/>
      <c r="AB6" s="27"/>
      <c r="AC6" s="27"/>
      <c r="AD6" s="27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>
        <v>10</v>
      </c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40</v>
      </c>
      <c r="BR6" s="1">
        <v>0</v>
      </c>
      <c r="BS6" s="17">
        <v>0</v>
      </c>
      <c r="BT6" s="17"/>
      <c r="BU6">
        <f>SUM(P6:AD6)</f>
        <v>20</v>
      </c>
      <c r="BV6" s="23">
        <f>AF6+AH6+AI6+AJ6+AO6+AP6</f>
        <v>0</v>
      </c>
    </row>
    <row r="7" spans="1:74">
      <c r="A7" s="1"/>
      <c r="B7" s="1" t="s">
        <v>215</v>
      </c>
      <c r="C7" s="1" t="s">
        <v>45</v>
      </c>
      <c r="D7" s="1" t="s">
        <v>136</v>
      </c>
      <c r="E7" s="6"/>
      <c r="F7" s="6"/>
      <c r="G7" s="6"/>
      <c r="H7" s="6"/>
      <c r="I7" s="6">
        <v>10</v>
      </c>
      <c r="J7" s="6"/>
      <c r="K7" s="6"/>
      <c r="L7" s="6"/>
      <c r="M7" s="6"/>
      <c r="N7" s="6"/>
      <c r="O7" s="6"/>
      <c r="P7" s="27"/>
      <c r="Q7" s="27"/>
      <c r="R7" s="27">
        <v>10</v>
      </c>
      <c r="S7" s="27"/>
      <c r="T7" s="27"/>
      <c r="U7" s="27"/>
      <c r="V7" s="27"/>
      <c r="W7" s="27"/>
      <c r="X7" s="27">
        <v>10</v>
      </c>
      <c r="Y7" s="27"/>
      <c r="Z7" s="27"/>
      <c r="AA7" s="27"/>
      <c r="AB7" s="27"/>
      <c r="AC7" s="27"/>
      <c r="AD7" s="27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>
        <v>10</v>
      </c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40</v>
      </c>
      <c r="BR7" s="1">
        <v>0</v>
      </c>
      <c r="BS7" s="17">
        <v>0</v>
      </c>
      <c r="BT7" s="17"/>
      <c r="BU7">
        <f>SUM(P7:AD7)</f>
        <v>20</v>
      </c>
      <c r="BV7" s="23">
        <f>AF7+AH7+AI7+AJ7+AO7+AP7</f>
        <v>0</v>
      </c>
    </row>
    <row r="8" spans="1:74">
      <c r="A8" s="1"/>
      <c r="B8" s="3" t="s">
        <v>158</v>
      </c>
      <c r="C8" s="3" t="s">
        <v>153</v>
      </c>
      <c r="D8" s="1" t="s">
        <v>131</v>
      </c>
      <c r="E8" s="6"/>
      <c r="F8" s="6"/>
      <c r="G8" s="6"/>
      <c r="H8" s="6"/>
      <c r="I8" s="6">
        <v>10</v>
      </c>
      <c r="J8" s="6"/>
      <c r="K8" s="6"/>
      <c r="L8" s="6"/>
      <c r="M8" s="6"/>
      <c r="N8" s="6"/>
      <c r="O8" s="6"/>
      <c r="P8" s="27"/>
      <c r="Q8" s="27"/>
      <c r="R8" s="27">
        <v>10</v>
      </c>
      <c r="S8" s="27"/>
      <c r="T8" s="27"/>
      <c r="U8" s="27"/>
      <c r="V8" s="27"/>
      <c r="W8" s="27"/>
      <c r="X8" s="27">
        <v>10</v>
      </c>
      <c r="Y8" s="27"/>
      <c r="Z8" s="27"/>
      <c r="AA8" s="27"/>
      <c r="AB8" s="27"/>
      <c r="AC8" s="27"/>
      <c r="AD8" s="27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>
        <v>10</v>
      </c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40</v>
      </c>
      <c r="BR8" s="1">
        <v>0</v>
      </c>
      <c r="BS8" s="17">
        <v>0</v>
      </c>
      <c r="BT8" s="17"/>
      <c r="BU8">
        <f>SUM(P8:AD8)</f>
        <v>20</v>
      </c>
      <c r="BV8" s="23">
        <f>AF8+AH8+AI8+AJ8+AO8+AP8</f>
        <v>0</v>
      </c>
    </row>
    <row r="9" spans="1:74">
      <c r="A9" s="1"/>
      <c r="B9" s="3" t="s">
        <v>182</v>
      </c>
      <c r="C9" s="3" t="s">
        <v>80</v>
      </c>
      <c r="D9" s="1" t="s">
        <v>131</v>
      </c>
      <c r="E9" s="6"/>
      <c r="F9" s="6"/>
      <c r="G9" s="6"/>
      <c r="H9" s="6">
        <v>10</v>
      </c>
      <c r="I9" s="6"/>
      <c r="J9" s="6"/>
      <c r="K9" s="6"/>
      <c r="L9" s="6"/>
      <c r="M9" s="6"/>
      <c r="N9" s="6"/>
      <c r="O9" s="6"/>
      <c r="P9" s="27"/>
      <c r="Q9" s="27"/>
      <c r="R9" s="27">
        <v>10</v>
      </c>
      <c r="S9" s="27"/>
      <c r="T9" s="27"/>
      <c r="U9" s="27"/>
      <c r="V9" s="27"/>
      <c r="W9" s="27"/>
      <c r="X9" s="27">
        <v>10</v>
      </c>
      <c r="Y9" s="27"/>
      <c r="Z9" s="27"/>
      <c r="AA9" s="27"/>
      <c r="AB9" s="27"/>
      <c r="AC9" s="27"/>
      <c r="AD9" s="27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>
        <v>10</v>
      </c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40</v>
      </c>
      <c r="BR9" s="1">
        <v>0</v>
      </c>
      <c r="BS9" s="17">
        <v>0</v>
      </c>
      <c r="BT9" s="17"/>
      <c r="BU9">
        <f>SUM(P9:AD9)</f>
        <v>20</v>
      </c>
      <c r="BV9" s="23">
        <f>AF9+AH9+AI9+AJ9+AO9+AP9</f>
        <v>0</v>
      </c>
    </row>
    <row r="10" spans="1:74">
      <c r="A10" s="1"/>
      <c r="B10" s="3" t="s">
        <v>183</v>
      </c>
      <c r="C10" s="3" t="s">
        <v>80</v>
      </c>
      <c r="D10" s="1" t="s">
        <v>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7"/>
      <c r="Q10" s="27">
        <v>5</v>
      </c>
      <c r="R10" s="27">
        <v>2</v>
      </c>
      <c r="S10" s="27"/>
      <c r="T10" s="27">
        <v>5</v>
      </c>
      <c r="U10" s="27"/>
      <c r="V10" s="27"/>
      <c r="W10" s="27"/>
      <c r="X10" s="27"/>
      <c r="Y10" s="27"/>
      <c r="Z10" s="27">
        <v>5</v>
      </c>
      <c r="AA10" s="27"/>
      <c r="AB10" s="27"/>
      <c r="AC10" s="27"/>
      <c r="AD10" s="27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17</v>
      </c>
      <c r="BR10" s="1">
        <v>0</v>
      </c>
      <c r="BS10" s="17">
        <v>0</v>
      </c>
      <c r="BT10" s="17"/>
      <c r="BU10">
        <f>SUM(P10:AD10)</f>
        <v>17</v>
      </c>
      <c r="BV10" s="23">
        <f>AF10+AH10+AI10+AJ10+AO10+AP10</f>
        <v>0</v>
      </c>
    </row>
    <row r="11" spans="1:74">
      <c r="A11" s="1"/>
      <c r="B11" s="1" t="s">
        <v>203</v>
      </c>
      <c r="C11" s="1" t="s">
        <v>99</v>
      </c>
      <c r="D11" s="1" t="s">
        <v>81</v>
      </c>
      <c r="E11" s="6"/>
      <c r="F11" s="6"/>
      <c r="G11" s="6">
        <v>10</v>
      </c>
      <c r="H11" s="6"/>
      <c r="I11" s="6"/>
      <c r="J11" s="6"/>
      <c r="K11" s="6"/>
      <c r="L11" s="6"/>
      <c r="M11" s="6"/>
      <c r="N11" s="6"/>
      <c r="O11" s="6"/>
      <c r="P11" s="27"/>
      <c r="Q11" s="27"/>
      <c r="R11" s="27"/>
      <c r="S11" s="27"/>
      <c r="T11" s="27"/>
      <c r="U11" s="27"/>
      <c r="V11" s="27"/>
      <c r="W11" s="27"/>
      <c r="X11" s="27">
        <v>10</v>
      </c>
      <c r="Y11" s="27"/>
      <c r="Z11" s="27"/>
      <c r="AA11" s="27"/>
      <c r="AB11" s="27"/>
      <c r="AC11" s="27"/>
      <c r="AD11" s="27">
        <v>10</v>
      </c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>
        <v>10</v>
      </c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40</v>
      </c>
      <c r="BR11" s="1">
        <v>0</v>
      </c>
      <c r="BS11" s="17">
        <v>0</v>
      </c>
      <c r="BT11" s="17"/>
      <c r="BU11">
        <f>SUM(P11:AD11)</f>
        <v>20</v>
      </c>
      <c r="BV11" s="23">
        <f>AF11+AH11+AI11+AJ11+AO11+AP11</f>
        <v>0</v>
      </c>
    </row>
    <row r="12" spans="1:74" s="42" customFormat="1">
      <c r="A12" s="1"/>
      <c r="B12" s="1" t="s">
        <v>138</v>
      </c>
      <c r="C12" s="1" t="s">
        <v>79</v>
      </c>
      <c r="D12" s="1" t="s">
        <v>101</v>
      </c>
      <c r="E12" s="6"/>
      <c r="F12" s="6"/>
      <c r="G12" s="6">
        <v>10</v>
      </c>
      <c r="H12" s="6"/>
      <c r="I12" s="6"/>
      <c r="J12" s="6"/>
      <c r="K12" s="6"/>
      <c r="L12" s="6"/>
      <c r="M12" s="6"/>
      <c r="N12" s="6"/>
      <c r="O12" s="6"/>
      <c r="P12" s="27"/>
      <c r="Q12" s="27"/>
      <c r="R12" s="27"/>
      <c r="S12" s="27"/>
      <c r="T12" s="27"/>
      <c r="U12" s="27"/>
      <c r="V12" s="27"/>
      <c r="W12" s="27"/>
      <c r="X12" s="27">
        <v>10</v>
      </c>
      <c r="Y12" s="27"/>
      <c r="Z12" s="27"/>
      <c r="AA12" s="27"/>
      <c r="AB12" s="27"/>
      <c r="AC12" s="27"/>
      <c r="AD12" s="27">
        <v>10</v>
      </c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>
        <v>10</v>
      </c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40</v>
      </c>
      <c r="BR12" s="1">
        <v>0</v>
      </c>
      <c r="BS12" s="17">
        <v>0</v>
      </c>
      <c r="BT12" s="17"/>
      <c r="BU12">
        <f>SUM(P12:AD12)</f>
        <v>20</v>
      </c>
      <c r="BV12" s="23">
        <f>AF12+AH12+AI12+AJ12+AO12+AP12</f>
        <v>0</v>
      </c>
    </row>
    <row r="13" spans="1:74" s="42" customFormat="1">
      <c r="A13" s="1"/>
      <c r="B13" s="3" t="s">
        <v>156</v>
      </c>
      <c r="C13" s="3" t="s">
        <v>134</v>
      </c>
      <c r="D13" s="1" t="s">
        <v>131</v>
      </c>
      <c r="E13" s="6"/>
      <c r="F13" s="6"/>
      <c r="G13" s="6">
        <v>10</v>
      </c>
      <c r="H13" s="6"/>
      <c r="I13" s="6"/>
      <c r="J13" s="6"/>
      <c r="K13" s="6"/>
      <c r="L13" s="6"/>
      <c r="M13" s="6"/>
      <c r="N13" s="6"/>
      <c r="O13" s="6"/>
      <c r="P13" s="27"/>
      <c r="Q13" s="27"/>
      <c r="R13" s="27"/>
      <c r="S13" s="27"/>
      <c r="T13" s="27"/>
      <c r="U13" s="27"/>
      <c r="V13" s="27"/>
      <c r="W13" s="27"/>
      <c r="X13" s="27">
        <v>10</v>
      </c>
      <c r="Y13" s="27"/>
      <c r="Z13" s="27"/>
      <c r="AA13" s="27"/>
      <c r="AB13" s="27"/>
      <c r="AC13" s="27"/>
      <c r="AD13" s="27">
        <v>10</v>
      </c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>
        <v>10</v>
      </c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40</v>
      </c>
      <c r="BR13" s="1">
        <v>0</v>
      </c>
      <c r="BS13" s="17">
        <v>0</v>
      </c>
      <c r="BT13" s="17"/>
      <c r="BU13">
        <f>SUM(P13:AD13)</f>
        <v>20</v>
      </c>
      <c r="BV13" s="23">
        <f>AF13+AH13+AI13+AJ13+AO13+AP13</f>
        <v>0</v>
      </c>
    </row>
    <row r="14" spans="1:74" s="42" customFormat="1">
      <c r="A14" s="1"/>
      <c r="B14" s="1" t="s">
        <v>207</v>
      </c>
      <c r="C14" s="1" t="s">
        <v>94</v>
      </c>
      <c r="D14" s="1" t="s">
        <v>136</v>
      </c>
      <c r="E14" s="6"/>
      <c r="F14" s="6"/>
      <c r="G14" s="6">
        <v>10</v>
      </c>
      <c r="H14" s="6"/>
      <c r="I14" s="6"/>
      <c r="J14" s="6"/>
      <c r="K14" s="6"/>
      <c r="L14" s="6"/>
      <c r="M14" s="6"/>
      <c r="N14" s="6"/>
      <c r="O14" s="6"/>
      <c r="P14" s="27"/>
      <c r="Q14" s="27"/>
      <c r="R14" s="27"/>
      <c r="S14" s="27"/>
      <c r="T14" s="27"/>
      <c r="U14" s="27"/>
      <c r="V14" s="27"/>
      <c r="W14" s="27"/>
      <c r="X14" s="27">
        <v>10</v>
      </c>
      <c r="Y14" s="27"/>
      <c r="Z14" s="27"/>
      <c r="AA14" s="27"/>
      <c r="AB14" s="27"/>
      <c r="AC14" s="27"/>
      <c r="AD14" s="27">
        <v>10</v>
      </c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>
        <v>10</v>
      </c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40</v>
      </c>
      <c r="BR14" s="1">
        <v>0</v>
      </c>
      <c r="BS14" s="17">
        <v>0</v>
      </c>
      <c r="BT14" s="17"/>
      <c r="BU14">
        <f>SUM(P14:AD14)</f>
        <v>20</v>
      </c>
      <c r="BV14" s="23">
        <f>AF14+AH14+AI14+AJ14+AO14+AP14</f>
        <v>0</v>
      </c>
    </row>
    <row r="15" spans="1:74" s="42" customFormat="1">
      <c r="A15" s="1"/>
      <c r="B15" s="1" t="s">
        <v>201</v>
      </c>
      <c r="C15" s="1" t="s">
        <v>45</v>
      </c>
      <c r="D15" s="1" t="s">
        <v>136</v>
      </c>
      <c r="E15" s="6"/>
      <c r="F15" s="6"/>
      <c r="G15" s="6"/>
      <c r="H15" s="6"/>
      <c r="I15" s="6"/>
      <c r="J15" s="6"/>
      <c r="K15" s="6"/>
      <c r="L15" s="6">
        <v>10</v>
      </c>
      <c r="M15" s="6"/>
      <c r="N15" s="6"/>
      <c r="O15" s="6"/>
      <c r="P15" s="27"/>
      <c r="Q15" s="27"/>
      <c r="R15" s="27">
        <v>10</v>
      </c>
      <c r="S15" s="27"/>
      <c r="T15" s="27"/>
      <c r="U15" s="27">
        <v>10</v>
      </c>
      <c r="V15" s="27"/>
      <c r="W15" s="27"/>
      <c r="X15" s="27"/>
      <c r="Y15" s="27"/>
      <c r="Z15" s="27"/>
      <c r="AA15" s="27"/>
      <c r="AB15" s="27"/>
      <c r="AC15" s="27"/>
      <c r="AD15" s="27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>
        <v>10</v>
      </c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40</v>
      </c>
      <c r="BR15" s="1">
        <v>0</v>
      </c>
      <c r="BS15" s="17">
        <v>0</v>
      </c>
      <c r="BT15" s="17"/>
      <c r="BU15">
        <f>SUM(P15:AD15)</f>
        <v>20</v>
      </c>
      <c r="BV15" s="23">
        <f>AF15+AH15+AI15+AJ15+AO15+AP15</f>
        <v>0</v>
      </c>
    </row>
    <row r="16" spans="1:74" s="42" customFormat="1">
      <c r="A16" s="1"/>
      <c r="B16" s="1" t="s">
        <v>145</v>
      </c>
      <c r="C16" s="1" t="s">
        <v>45</v>
      </c>
      <c r="D16" s="1" t="s">
        <v>137</v>
      </c>
      <c r="E16" s="6"/>
      <c r="F16" s="6"/>
      <c r="G16" s="6"/>
      <c r="H16" s="6"/>
      <c r="I16" s="6"/>
      <c r="J16" s="6"/>
      <c r="K16" s="6"/>
      <c r="L16" s="6">
        <v>10</v>
      </c>
      <c r="M16" s="6"/>
      <c r="N16" s="6"/>
      <c r="O16" s="6"/>
      <c r="P16" s="27"/>
      <c r="Q16" s="27"/>
      <c r="R16" s="27">
        <v>10</v>
      </c>
      <c r="S16" s="27"/>
      <c r="T16" s="27"/>
      <c r="U16" s="27">
        <v>10</v>
      </c>
      <c r="V16" s="27"/>
      <c r="W16" s="27"/>
      <c r="X16" s="27"/>
      <c r="Y16" s="27"/>
      <c r="Z16" s="27"/>
      <c r="AA16" s="27"/>
      <c r="AB16" s="27"/>
      <c r="AC16" s="27"/>
      <c r="AD16" s="27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>
        <v>10</v>
      </c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40</v>
      </c>
      <c r="BR16" s="1">
        <v>0</v>
      </c>
      <c r="BS16" s="17">
        <v>0</v>
      </c>
      <c r="BT16" s="17"/>
      <c r="BU16">
        <f>SUM(P16:AD16)</f>
        <v>20</v>
      </c>
      <c r="BV16" s="23">
        <f>AF16+AH16+AI16+AJ16+AO16+AP16</f>
        <v>0</v>
      </c>
    </row>
    <row r="17" spans="1:74" s="42" customFormat="1">
      <c r="A17" s="1"/>
      <c r="B17" s="1" t="s">
        <v>148</v>
      </c>
      <c r="C17" s="1" t="s">
        <v>94</v>
      </c>
      <c r="D17" s="1" t="s">
        <v>81</v>
      </c>
      <c r="E17" s="6">
        <v>10</v>
      </c>
      <c r="F17" s="6"/>
      <c r="G17" s="6"/>
      <c r="H17" s="6"/>
      <c r="I17" s="6"/>
      <c r="J17" s="6"/>
      <c r="K17" s="6"/>
      <c r="L17" s="6"/>
      <c r="M17" s="6"/>
      <c r="N17" s="6"/>
      <c r="O17" s="6"/>
      <c r="P17" s="27"/>
      <c r="Q17" s="27"/>
      <c r="R17" s="27">
        <v>10</v>
      </c>
      <c r="S17" s="27"/>
      <c r="T17" s="27"/>
      <c r="U17" s="27">
        <v>10</v>
      </c>
      <c r="V17" s="27"/>
      <c r="W17" s="27"/>
      <c r="X17" s="27"/>
      <c r="Y17" s="27"/>
      <c r="Z17" s="27"/>
      <c r="AA17" s="27"/>
      <c r="AB17" s="27"/>
      <c r="AC17" s="27"/>
      <c r="AD17" s="27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>
        <v>10</v>
      </c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40</v>
      </c>
      <c r="BR17" s="1">
        <v>0</v>
      </c>
      <c r="BS17" s="17">
        <v>0</v>
      </c>
      <c r="BT17" s="17"/>
      <c r="BU17">
        <f>SUM(P17:AD17)</f>
        <v>20</v>
      </c>
      <c r="BV17" s="23">
        <f>AF17+AH17+AI17+AJ17+AO17+AP17</f>
        <v>0</v>
      </c>
    </row>
    <row r="18" spans="1:74" s="42" customFormat="1">
      <c r="A18" s="1"/>
      <c r="B18" s="1" t="s">
        <v>164</v>
      </c>
      <c r="C18" s="1" t="s">
        <v>97</v>
      </c>
      <c r="D18" s="1" t="s">
        <v>81</v>
      </c>
      <c r="E18" s="6">
        <v>10</v>
      </c>
      <c r="F18" s="6"/>
      <c r="G18" s="6"/>
      <c r="H18" s="6"/>
      <c r="I18" s="6"/>
      <c r="J18" s="6"/>
      <c r="K18" s="6"/>
      <c r="L18" s="6"/>
      <c r="M18" s="6"/>
      <c r="N18" s="6"/>
      <c r="O18" s="6"/>
      <c r="P18" s="27"/>
      <c r="Q18" s="27"/>
      <c r="R18" s="27">
        <v>10</v>
      </c>
      <c r="S18" s="27"/>
      <c r="T18" s="27"/>
      <c r="U18" s="27">
        <v>10</v>
      </c>
      <c r="V18" s="27"/>
      <c r="W18" s="27"/>
      <c r="X18" s="27"/>
      <c r="Y18" s="27"/>
      <c r="Z18" s="27"/>
      <c r="AA18" s="27"/>
      <c r="AB18" s="27"/>
      <c r="AC18" s="27"/>
      <c r="AD18" s="27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>
        <v>10</v>
      </c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40</v>
      </c>
      <c r="BR18" s="1">
        <v>0</v>
      </c>
      <c r="BS18" s="17">
        <v>0</v>
      </c>
      <c r="BT18" s="17"/>
      <c r="BU18">
        <f>SUM(P18:AD18)</f>
        <v>20</v>
      </c>
      <c r="BV18" s="23">
        <f>AF18+AH18+AI18+AJ18+AO18+AP18</f>
        <v>0</v>
      </c>
    </row>
    <row r="19" spans="1:74" s="42" customFormat="1">
      <c r="A19" s="29"/>
      <c r="B19" s="29" t="s">
        <v>144</v>
      </c>
      <c r="C19" s="29" t="s">
        <v>99</v>
      </c>
      <c r="D19" s="29" t="s">
        <v>81</v>
      </c>
      <c r="E19" s="30">
        <v>10</v>
      </c>
      <c r="F19" s="30"/>
      <c r="G19" s="30"/>
      <c r="H19" s="30"/>
      <c r="I19" s="30"/>
      <c r="J19" s="30"/>
      <c r="K19" s="30"/>
      <c r="L19" s="30"/>
      <c r="M19" s="30"/>
      <c r="N19" s="30"/>
      <c r="O19" s="30"/>
      <c r="P19" s="31"/>
      <c r="Q19" s="31"/>
      <c r="R19" s="31">
        <v>10</v>
      </c>
      <c r="S19" s="31"/>
      <c r="T19" s="31"/>
      <c r="U19" s="31">
        <v>10</v>
      </c>
      <c r="V19" s="31"/>
      <c r="W19" s="31"/>
      <c r="X19" s="31"/>
      <c r="Y19" s="31"/>
      <c r="Z19" s="31"/>
      <c r="AA19" s="31"/>
      <c r="AB19" s="31"/>
      <c r="AC19" s="31"/>
      <c r="AD19" s="31"/>
      <c r="AE19" s="29"/>
      <c r="AF19" s="29"/>
      <c r="AG19" s="29"/>
      <c r="AH19" s="29"/>
      <c r="AI19" s="29"/>
      <c r="AJ19" s="29"/>
      <c r="AK19" s="29"/>
      <c r="AL19" s="29"/>
      <c r="AM19" s="29"/>
      <c r="AN19" s="29"/>
      <c r="AO19" s="29"/>
      <c r="AP19" s="29"/>
      <c r="AQ19" s="32"/>
      <c r="AR19" s="32"/>
      <c r="AS19" s="32"/>
      <c r="AT19" s="32"/>
      <c r="AU19" s="32">
        <v>10</v>
      </c>
      <c r="AV19" s="32"/>
      <c r="AW19" s="33"/>
      <c r="AX19" s="33"/>
      <c r="AY19" s="33"/>
      <c r="AZ19" s="33"/>
      <c r="BA19" s="33"/>
      <c r="BB19" s="33"/>
      <c r="BC19" s="34"/>
      <c r="BD19" s="29"/>
      <c r="BE19" s="29"/>
      <c r="BF19" s="29"/>
      <c r="BG19" s="29"/>
      <c r="BH19" s="29"/>
      <c r="BI19" s="29"/>
      <c r="BJ19" s="29"/>
      <c r="BK19" s="29"/>
      <c r="BL19" s="29"/>
      <c r="BM19" s="29"/>
      <c r="BN19" s="29"/>
      <c r="BO19" s="29"/>
      <c r="BP19" s="29"/>
      <c r="BQ19" s="29">
        <f>SUM(E19:BP19)</f>
        <v>40</v>
      </c>
      <c r="BR19" s="29">
        <v>0</v>
      </c>
      <c r="BS19" s="35">
        <v>0</v>
      </c>
      <c r="BT19" s="35"/>
      <c r="BU19">
        <f>SUM(P19:AD19)</f>
        <v>20</v>
      </c>
      <c r="BV19" s="23">
        <f>AF19+AH19+AI19+AJ19+AO19+AP19</f>
        <v>0</v>
      </c>
    </row>
    <row r="20" spans="1:74" s="42" customFormat="1">
      <c r="A20" s="1"/>
      <c r="B20" s="3" t="s">
        <v>211</v>
      </c>
      <c r="C20" s="3" t="s">
        <v>43</v>
      </c>
      <c r="D20" s="1" t="s">
        <v>131</v>
      </c>
      <c r="E20" s="6">
        <v>10</v>
      </c>
      <c r="F20" s="6"/>
      <c r="G20" s="6"/>
      <c r="H20" s="6"/>
      <c r="I20" s="6"/>
      <c r="J20" s="6"/>
      <c r="K20" s="6"/>
      <c r="L20" s="6"/>
      <c r="M20" s="6"/>
      <c r="N20" s="6"/>
      <c r="O20" s="6"/>
      <c r="P20" s="27"/>
      <c r="Q20" s="27"/>
      <c r="R20" s="27">
        <v>10</v>
      </c>
      <c r="S20" s="27"/>
      <c r="T20" s="27"/>
      <c r="U20" s="27">
        <v>10</v>
      </c>
      <c r="V20" s="27"/>
      <c r="W20" s="27"/>
      <c r="X20" s="27"/>
      <c r="Y20" s="27"/>
      <c r="Z20" s="27"/>
      <c r="AA20" s="27"/>
      <c r="AB20" s="27"/>
      <c r="AC20" s="27"/>
      <c r="AD20" s="27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>
        <v>10</v>
      </c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40</v>
      </c>
      <c r="BR20" s="1">
        <v>0</v>
      </c>
      <c r="BS20" s="17">
        <v>0</v>
      </c>
      <c r="BT20" s="17"/>
      <c r="BU20">
        <f>SUM(P20:AD20)</f>
        <v>20</v>
      </c>
      <c r="BV20" s="23">
        <f>AF20+AH20+AI20+AJ20+AO20+AP20</f>
        <v>0</v>
      </c>
    </row>
    <row r="21" spans="1:74" s="42" customFormat="1">
      <c r="A21" s="1"/>
      <c r="B21" s="1" t="s">
        <v>146</v>
      </c>
      <c r="C21" s="1" t="s">
        <v>45</v>
      </c>
      <c r="D21" s="1" t="s">
        <v>136</v>
      </c>
      <c r="E21" s="6">
        <v>10</v>
      </c>
      <c r="F21" s="6"/>
      <c r="G21" s="6"/>
      <c r="H21" s="6"/>
      <c r="I21" s="6"/>
      <c r="J21" s="6"/>
      <c r="K21" s="6"/>
      <c r="L21" s="6"/>
      <c r="M21" s="6"/>
      <c r="N21" s="6"/>
      <c r="O21" s="6"/>
      <c r="P21" s="27"/>
      <c r="Q21" s="27"/>
      <c r="R21" s="27">
        <v>10</v>
      </c>
      <c r="S21" s="27"/>
      <c r="T21" s="27"/>
      <c r="U21" s="27">
        <v>10</v>
      </c>
      <c r="V21" s="27"/>
      <c r="W21" s="27"/>
      <c r="X21" s="27"/>
      <c r="Y21" s="27"/>
      <c r="Z21" s="27"/>
      <c r="AA21" s="27"/>
      <c r="AB21" s="27"/>
      <c r="AC21" s="27"/>
      <c r="AD21" s="27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>
        <v>10</v>
      </c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40</v>
      </c>
      <c r="BR21" s="1">
        <v>0</v>
      </c>
      <c r="BS21" s="17">
        <v>0</v>
      </c>
      <c r="BT21" s="17"/>
      <c r="BU21">
        <f>SUM(P21:AD21)</f>
        <v>20</v>
      </c>
      <c r="BV21" s="23">
        <f>AF21+AH21+AI21+AJ21+AO21+AP21</f>
        <v>0</v>
      </c>
    </row>
    <row r="22" spans="1:74" s="42" customFormat="1">
      <c r="A22" s="1"/>
      <c r="B22" s="1" t="s">
        <v>209</v>
      </c>
      <c r="C22" s="1" t="s">
        <v>99</v>
      </c>
      <c r="D22" s="1" t="s">
        <v>81</v>
      </c>
      <c r="E22" s="6"/>
      <c r="F22" s="6"/>
      <c r="G22" s="6"/>
      <c r="H22" s="6">
        <v>10</v>
      </c>
      <c r="I22" s="6"/>
      <c r="J22" s="6"/>
      <c r="K22" s="6"/>
      <c r="L22" s="6"/>
      <c r="M22" s="6"/>
      <c r="N22" s="6"/>
      <c r="O22" s="6"/>
      <c r="P22" s="27"/>
      <c r="Q22" s="27"/>
      <c r="R22" s="27">
        <v>10</v>
      </c>
      <c r="S22" s="27"/>
      <c r="T22" s="27"/>
      <c r="U22" s="27">
        <v>10</v>
      </c>
      <c r="V22" s="27"/>
      <c r="W22" s="27"/>
      <c r="X22" s="27"/>
      <c r="Y22" s="27"/>
      <c r="Z22" s="27"/>
      <c r="AA22" s="27"/>
      <c r="AB22" s="27"/>
      <c r="AC22" s="27"/>
      <c r="AD22" s="27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>
        <v>10</v>
      </c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40</v>
      </c>
      <c r="BR22" s="1">
        <v>0</v>
      </c>
      <c r="BS22" s="17">
        <v>0</v>
      </c>
      <c r="BT22" s="17"/>
      <c r="BU22">
        <f>SUM(P22:AD22)</f>
        <v>20</v>
      </c>
      <c r="BV22" s="23">
        <f>AF22+AH22+AI22+AJ22+AO22+AP22</f>
        <v>0</v>
      </c>
    </row>
    <row r="23" spans="1:74" s="42" customFormat="1">
      <c r="A23" s="1"/>
      <c r="B23" s="3" t="s">
        <v>172</v>
      </c>
      <c r="C23" s="3" t="s">
        <v>43</v>
      </c>
      <c r="D23" s="1" t="s">
        <v>131</v>
      </c>
      <c r="E23" s="6"/>
      <c r="F23" s="6"/>
      <c r="G23" s="6"/>
      <c r="H23" s="6"/>
      <c r="I23" s="6"/>
      <c r="J23" s="6"/>
      <c r="K23" s="6"/>
      <c r="L23" s="6"/>
      <c r="M23" s="6">
        <v>10</v>
      </c>
      <c r="N23" s="6"/>
      <c r="O23" s="6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  <c r="AA23" s="27">
        <v>10</v>
      </c>
      <c r="AB23" s="27"/>
      <c r="AC23" s="27"/>
      <c r="AD23" s="27">
        <v>10</v>
      </c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>
        <v>10</v>
      </c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40</v>
      </c>
      <c r="BR23" s="1">
        <v>0</v>
      </c>
      <c r="BS23" s="17">
        <v>0</v>
      </c>
      <c r="BT23" s="17"/>
      <c r="BU23">
        <f>SUM(P23:AD23)</f>
        <v>20</v>
      </c>
      <c r="BV23" s="23">
        <f>AF23+AH23+AI23+AJ23+AO23+AP23</f>
        <v>0</v>
      </c>
    </row>
    <row r="24" spans="1:74" s="42" customFormat="1">
      <c r="A24" s="1"/>
      <c r="B24" s="3" t="s">
        <v>157</v>
      </c>
      <c r="C24" s="3" t="s">
        <v>21</v>
      </c>
      <c r="D24" s="1" t="s">
        <v>131</v>
      </c>
      <c r="E24" s="6"/>
      <c r="F24" s="6"/>
      <c r="G24" s="6"/>
      <c r="H24" s="6"/>
      <c r="I24" s="6"/>
      <c r="J24" s="6"/>
      <c r="K24" s="6"/>
      <c r="L24" s="6"/>
      <c r="M24" s="6">
        <v>10</v>
      </c>
      <c r="N24" s="6"/>
      <c r="O24" s="6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  <c r="AA24" s="27">
        <v>10</v>
      </c>
      <c r="AB24" s="27"/>
      <c r="AC24" s="27"/>
      <c r="AD24" s="27">
        <v>10</v>
      </c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>
        <v>10</v>
      </c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40</v>
      </c>
      <c r="BR24" s="1">
        <v>0</v>
      </c>
      <c r="BS24" s="17">
        <v>0</v>
      </c>
      <c r="BT24" s="17"/>
      <c r="BU24">
        <f>SUM(P24:AD24)</f>
        <v>20</v>
      </c>
      <c r="BV24" s="23">
        <f>AF24+AH24+AI24+AJ24+AO24+AP24</f>
        <v>0</v>
      </c>
    </row>
    <row r="25" spans="1:74" s="42" customFormat="1">
      <c r="A25" s="1"/>
      <c r="B25" s="1" t="s">
        <v>213</v>
      </c>
      <c r="C25" s="1" t="s">
        <v>98</v>
      </c>
      <c r="D25" s="1" t="s">
        <v>81</v>
      </c>
      <c r="E25" s="6"/>
      <c r="F25" s="6"/>
      <c r="G25" s="6"/>
      <c r="H25" s="6"/>
      <c r="I25" s="6"/>
      <c r="J25" s="6">
        <v>10</v>
      </c>
      <c r="K25" s="6"/>
      <c r="L25" s="6"/>
      <c r="M25" s="6"/>
      <c r="N25" s="6"/>
      <c r="O25" s="6"/>
      <c r="P25" s="27"/>
      <c r="Q25" s="27"/>
      <c r="R25" s="27"/>
      <c r="S25" s="27"/>
      <c r="T25" s="27"/>
      <c r="U25" s="27">
        <v>10</v>
      </c>
      <c r="V25" s="27"/>
      <c r="W25" s="27"/>
      <c r="X25" s="27"/>
      <c r="Y25" s="27"/>
      <c r="Z25" s="27"/>
      <c r="AA25" s="27">
        <v>10</v>
      </c>
      <c r="AB25" s="27"/>
      <c r="AC25" s="27"/>
      <c r="AD25" s="27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>
        <v>10</v>
      </c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40</v>
      </c>
      <c r="BR25" s="1">
        <v>0</v>
      </c>
      <c r="BS25" s="17">
        <v>0</v>
      </c>
      <c r="BT25" s="17"/>
      <c r="BU25">
        <f>SUM(P25:AD25)</f>
        <v>20</v>
      </c>
      <c r="BV25" s="23">
        <f>AF25+AH25+AI25+AJ25+AO25+AP25</f>
        <v>0</v>
      </c>
    </row>
    <row r="26" spans="1:74" s="42" customFormat="1">
      <c r="A26" s="1"/>
      <c r="B26" s="1" t="s">
        <v>171</v>
      </c>
      <c r="C26" s="1" t="s">
        <v>32</v>
      </c>
      <c r="D26" s="1" t="s">
        <v>137</v>
      </c>
      <c r="E26" s="6"/>
      <c r="F26" s="6"/>
      <c r="G26" s="6"/>
      <c r="H26" s="6"/>
      <c r="I26" s="6"/>
      <c r="J26" s="6">
        <v>10</v>
      </c>
      <c r="K26" s="6"/>
      <c r="L26" s="6"/>
      <c r="M26" s="6"/>
      <c r="N26" s="6"/>
      <c r="O26" s="6"/>
      <c r="P26" s="27"/>
      <c r="Q26" s="27"/>
      <c r="R26" s="27"/>
      <c r="S26" s="27"/>
      <c r="T26" s="27"/>
      <c r="U26" s="27">
        <v>10</v>
      </c>
      <c r="V26" s="27"/>
      <c r="W26" s="27"/>
      <c r="X26" s="27"/>
      <c r="Y26" s="27"/>
      <c r="Z26" s="27"/>
      <c r="AA26" s="27">
        <v>10</v>
      </c>
      <c r="AB26" s="27"/>
      <c r="AC26" s="27"/>
      <c r="AD26" s="27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>
        <v>10</v>
      </c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40</v>
      </c>
      <c r="BR26" s="1">
        <v>0</v>
      </c>
      <c r="BS26" s="17">
        <v>0</v>
      </c>
      <c r="BT26" s="17"/>
      <c r="BU26">
        <f>SUM(P26:AD26)</f>
        <v>20</v>
      </c>
      <c r="BV26" s="23">
        <f>AF26+AH26+AI26+AJ26+AO26+AP26</f>
        <v>0</v>
      </c>
    </row>
    <row r="27" spans="1:74" s="42" customFormat="1">
      <c r="A27" s="1"/>
      <c r="B27" s="3" t="s">
        <v>165</v>
      </c>
      <c r="C27" s="3" t="s">
        <v>99</v>
      </c>
      <c r="D27" s="1" t="s">
        <v>131</v>
      </c>
      <c r="E27" s="6"/>
      <c r="F27" s="6"/>
      <c r="G27" s="6"/>
      <c r="H27" s="6"/>
      <c r="I27" s="6"/>
      <c r="J27" s="6">
        <v>10</v>
      </c>
      <c r="K27" s="6"/>
      <c r="L27" s="6"/>
      <c r="M27" s="6"/>
      <c r="N27" s="6"/>
      <c r="O27" s="6"/>
      <c r="P27" s="27"/>
      <c r="Q27" s="27"/>
      <c r="R27" s="27"/>
      <c r="S27" s="27"/>
      <c r="T27" s="27"/>
      <c r="U27" s="27">
        <v>10</v>
      </c>
      <c r="V27" s="27"/>
      <c r="W27" s="27"/>
      <c r="X27" s="27"/>
      <c r="Y27" s="27"/>
      <c r="Z27" s="27"/>
      <c r="AA27" s="27">
        <v>10</v>
      </c>
      <c r="AB27" s="27"/>
      <c r="AC27" s="27"/>
      <c r="AD27" s="27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>
        <v>10</v>
      </c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40</v>
      </c>
      <c r="BR27" s="1">
        <v>0</v>
      </c>
      <c r="BS27" s="17">
        <v>0</v>
      </c>
      <c r="BT27" s="17"/>
      <c r="BU27">
        <f>SUM(P27:AD27)</f>
        <v>20</v>
      </c>
      <c r="BV27" s="23">
        <f>AF27+AH27+AI27+AJ27+AO27+AP27</f>
        <v>0</v>
      </c>
    </row>
    <row r="28" spans="1:74" s="42" customFormat="1">
      <c r="A28" s="1"/>
      <c r="B28" s="3" t="s">
        <v>199</v>
      </c>
      <c r="C28" s="3" t="s">
        <v>133</v>
      </c>
      <c r="D28" s="1" t="s">
        <v>131</v>
      </c>
      <c r="E28" s="6"/>
      <c r="F28" s="6"/>
      <c r="G28" s="6"/>
      <c r="H28" s="6"/>
      <c r="I28" s="6"/>
      <c r="J28" s="6"/>
      <c r="K28" s="6"/>
      <c r="L28" s="6"/>
      <c r="M28" s="6"/>
      <c r="N28" s="6">
        <v>10</v>
      </c>
      <c r="O28" s="6"/>
      <c r="P28" s="27"/>
      <c r="Q28" s="27"/>
      <c r="R28" s="27"/>
      <c r="S28" s="27"/>
      <c r="T28" s="27"/>
      <c r="U28" s="27"/>
      <c r="V28" s="27"/>
      <c r="W28" s="27"/>
      <c r="X28" s="27">
        <v>10</v>
      </c>
      <c r="Y28" s="27"/>
      <c r="Z28" s="27"/>
      <c r="AA28" s="27">
        <v>10</v>
      </c>
      <c r="AB28" s="27"/>
      <c r="AC28" s="27"/>
      <c r="AD28" s="27">
        <v>10</v>
      </c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40</v>
      </c>
      <c r="BR28" s="1">
        <v>0</v>
      </c>
      <c r="BS28" s="17">
        <v>0</v>
      </c>
      <c r="BT28" s="17"/>
      <c r="BU28">
        <f>SUM(P28:AD28)</f>
        <v>30</v>
      </c>
      <c r="BV28" s="23">
        <f>AF28+AH28+AI28+AJ28+AO28+AP28</f>
        <v>0</v>
      </c>
    </row>
    <row r="29" spans="1:74" s="42" customFormat="1">
      <c r="A29" s="1"/>
      <c r="B29" s="1" t="s">
        <v>168</v>
      </c>
      <c r="C29" s="1" t="s">
        <v>169</v>
      </c>
      <c r="D29" s="1" t="s">
        <v>71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  <c r="AA29" s="27"/>
      <c r="AB29" s="27"/>
      <c r="AC29" s="27"/>
      <c r="AD29" s="27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>
        <v>40</v>
      </c>
      <c r="AT29" s="4"/>
      <c r="AU29" s="4"/>
      <c r="AV29" s="4"/>
      <c r="AW29" s="2"/>
      <c r="AX29" s="2">
        <v>40</v>
      </c>
      <c r="AY29" s="2"/>
      <c r="AZ29" s="2"/>
      <c r="BA29" s="2"/>
      <c r="BB29" s="2">
        <v>40</v>
      </c>
      <c r="BC29" s="14">
        <v>10</v>
      </c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130</v>
      </c>
      <c r="BR29" s="1">
        <v>0</v>
      </c>
      <c r="BS29" s="17">
        <v>0</v>
      </c>
      <c r="BT29" s="17"/>
      <c r="BU29">
        <f>SUM(P29:AD29)</f>
        <v>0</v>
      </c>
      <c r="BV29" s="23">
        <f>AF29+AH29+AI29+AJ29+AO29+AP29</f>
        <v>0</v>
      </c>
    </row>
    <row r="30" spans="1:74" s="42" customFormat="1">
      <c r="A30" s="1"/>
      <c r="B30" s="3" t="s">
        <v>197</v>
      </c>
      <c r="C30" s="3" t="s">
        <v>141</v>
      </c>
      <c r="D30" s="1" t="s">
        <v>81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>
        <v>10</v>
      </c>
      <c r="P30" s="27"/>
      <c r="Q30" s="27"/>
      <c r="R30" s="27">
        <v>10</v>
      </c>
      <c r="S30" s="27"/>
      <c r="T30" s="27"/>
      <c r="U30" s="27">
        <v>10</v>
      </c>
      <c r="V30" s="27"/>
      <c r="W30" s="27"/>
      <c r="X30" s="27"/>
      <c r="Y30" s="27"/>
      <c r="Z30" s="27"/>
      <c r="AA30" s="27"/>
      <c r="AB30" s="27"/>
      <c r="AC30" s="27"/>
      <c r="AD30" s="27">
        <v>10</v>
      </c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40</v>
      </c>
      <c r="BR30" s="1">
        <v>0</v>
      </c>
      <c r="BS30" s="17">
        <v>0</v>
      </c>
      <c r="BT30" s="17"/>
      <c r="BU30">
        <f>SUM(P30:AD30)</f>
        <v>30</v>
      </c>
      <c r="BV30" s="23">
        <f>AF30+AH30+AI30+AJ30+AO30+AP30</f>
        <v>0</v>
      </c>
    </row>
    <row r="31" spans="1:74" s="42" customFormat="1">
      <c r="A31" s="1"/>
      <c r="B31" s="1" t="s">
        <v>195</v>
      </c>
      <c r="C31" s="1" t="s">
        <v>143</v>
      </c>
      <c r="D31" s="1" t="s">
        <v>142</v>
      </c>
      <c r="E31" s="6"/>
      <c r="F31" s="6"/>
      <c r="G31" s="6"/>
      <c r="H31" s="6"/>
      <c r="I31" s="6"/>
      <c r="J31" s="6"/>
      <c r="K31" s="6"/>
      <c r="L31" s="6"/>
      <c r="M31" s="6">
        <v>10</v>
      </c>
      <c r="N31" s="6"/>
      <c r="O31" s="6"/>
      <c r="P31" s="27"/>
      <c r="Q31" s="27"/>
      <c r="R31" s="27"/>
      <c r="S31" s="27"/>
      <c r="T31" s="27"/>
      <c r="U31" s="27">
        <v>10</v>
      </c>
      <c r="V31" s="27"/>
      <c r="W31" s="27"/>
      <c r="X31" s="27"/>
      <c r="Y31" s="27"/>
      <c r="Z31" s="27"/>
      <c r="AA31" s="27">
        <v>10</v>
      </c>
      <c r="AB31" s="27"/>
      <c r="AC31" s="27"/>
      <c r="AD31" s="27">
        <v>10</v>
      </c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40</v>
      </c>
      <c r="BR31" s="1">
        <v>0</v>
      </c>
      <c r="BS31" s="17">
        <v>0</v>
      </c>
      <c r="BT31" s="17"/>
      <c r="BU31">
        <f>SUM(P31:AD31)</f>
        <v>30</v>
      </c>
      <c r="BV31" s="23">
        <f>AF31+AH31+AI31+AJ31+AO31+AP31</f>
        <v>0</v>
      </c>
    </row>
    <row r="32" spans="1:74" s="42" customFormat="1">
      <c r="A32" s="1"/>
      <c r="B32" s="1" t="s">
        <v>166</v>
      </c>
      <c r="C32" s="1" t="s">
        <v>167</v>
      </c>
      <c r="D32" s="1" t="s">
        <v>71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  <c r="AA32" s="27"/>
      <c r="AB32" s="27"/>
      <c r="AC32" s="27"/>
      <c r="AD32" s="27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>
        <v>40</v>
      </c>
      <c r="AU32" s="4"/>
      <c r="AV32" s="4"/>
      <c r="AW32" s="2"/>
      <c r="AX32" s="2"/>
      <c r="AY32" s="2">
        <v>40</v>
      </c>
      <c r="AZ32" s="2"/>
      <c r="BA32" s="2">
        <v>40</v>
      </c>
      <c r="BB32" s="2"/>
      <c r="BC32" s="14">
        <v>10</v>
      </c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130</v>
      </c>
      <c r="BR32" s="1">
        <v>0</v>
      </c>
      <c r="BS32" s="17">
        <v>0</v>
      </c>
      <c r="BT32" s="17"/>
      <c r="BU32">
        <f>SUM(P32:AD32)</f>
        <v>0</v>
      </c>
      <c r="BV32" s="23">
        <f>AF32+AH32+AI32+AJ32+AO32+AP32</f>
        <v>0</v>
      </c>
    </row>
    <row r="33" spans="1:74" s="42" customFormat="1">
      <c r="A33" s="1"/>
      <c r="B33" s="3" t="s">
        <v>187</v>
      </c>
      <c r="C33" s="3" t="s">
        <v>173</v>
      </c>
      <c r="D33" s="1" t="s">
        <v>174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  <c r="AA33" s="27"/>
      <c r="AB33" s="27"/>
      <c r="AC33" s="27"/>
      <c r="AD33" s="27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>
        <v>10</v>
      </c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10</v>
      </c>
      <c r="BR33" s="1">
        <v>0</v>
      </c>
      <c r="BS33" s="17">
        <v>0</v>
      </c>
      <c r="BT33" s="17"/>
      <c r="BU33">
        <f>SUM(P33:AD33)</f>
        <v>0</v>
      </c>
      <c r="BV33" s="23">
        <f>AF33+AH33+AI33+AJ33+AO33+AP33</f>
        <v>0</v>
      </c>
    </row>
    <row r="34" spans="1:74" s="42" customFormat="1">
      <c r="A34" s="1"/>
      <c r="B34" s="3" t="s">
        <v>190</v>
      </c>
      <c r="C34" s="3" t="s">
        <v>175</v>
      </c>
      <c r="D34" s="1" t="s">
        <v>174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  <c r="AA34" s="27"/>
      <c r="AB34" s="27"/>
      <c r="AC34" s="27"/>
      <c r="AD34" s="27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>
        <v>5</v>
      </c>
      <c r="AR34" s="4"/>
      <c r="AS34" s="4"/>
      <c r="AT34" s="4"/>
      <c r="AU34" s="4"/>
      <c r="AV34" s="4"/>
      <c r="AW34" s="2"/>
      <c r="AX34" s="2">
        <v>5</v>
      </c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10</v>
      </c>
      <c r="BR34" s="1">
        <v>0</v>
      </c>
      <c r="BS34" s="17">
        <v>0</v>
      </c>
      <c r="BT34" s="17"/>
      <c r="BU34">
        <f>SUM(P34:AD34)</f>
        <v>0</v>
      </c>
      <c r="BV34" s="23">
        <f>AF34+AH34+AI34+AJ34+AO34+AP34</f>
        <v>0</v>
      </c>
    </row>
    <row r="35" spans="1:74" s="42" customFormat="1">
      <c r="A35" s="1"/>
      <c r="B35" s="3" t="s">
        <v>191</v>
      </c>
      <c r="C35" s="3" t="s">
        <v>176</v>
      </c>
      <c r="D35" s="1" t="s">
        <v>174</v>
      </c>
      <c r="E35" s="6"/>
      <c r="F35" s="6">
        <v>20</v>
      </c>
      <c r="G35" s="6"/>
      <c r="H35" s="6">
        <v>20</v>
      </c>
      <c r="I35" s="6"/>
      <c r="J35" s="6"/>
      <c r="K35" s="6"/>
      <c r="L35" s="6"/>
      <c r="M35" s="6"/>
      <c r="N35" s="6"/>
      <c r="O35" s="6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  <c r="AA35" s="27"/>
      <c r="AB35" s="27"/>
      <c r="AC35" s="27"/>
      <c r="AD35" s="27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>
        <v>20</v>
      </c>
      <c r="AW35" s="2"/>
      <c r="AX35" s="2"/>
      <c r="AY35" s="2"/>
      <c r="AZ35" s="2"/>
      <c r="BA35" s="2">
        <v>20</v>
      </c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>SUM(E35:BP35)</f>
        <v>80</v>
      </c>
      <c r="BR35" s="1">
        <v>0</v>
      </c>
      <c r="BS35" s="17">
        <v>0</v>
      </c>
      <c r="BT35" s="17"/>
      <c r="BU35">
        <f>SUM(P35:AD35)</f>
        <v>0</v>
      </c>
      <c r="BV35" s="23">
        <f>AF35+AH35+AI35+AJ35+AO35+AP35</f>
        <v>0</v>
      </c>
    </row>
    <row r="36" spans="1:74" s="42" customFormat="1">
      <c r="A36" s="1"/>
      <c r="B36" s="3" t="s">
        <v>186</v>
      </c>
      <c r="C36" s="3" t="s">
        <v>176</v>
      </c>
      <c r="D36" s="1" t="s">
        <v>174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7"/>
      <c r="Q36" s="27"/>
      <c r="R36" s="27">
        <v>2</v>
      </c>
      <c r="S36" s="27"/>
      <c r="T36" s="27">
        <v>5</v>
      </c>
      <c r="U36" s="27"/>
      <c r="V36" s="27"/>
      <c r="W36" s="27">
        <v>5</v>
      </c>
      <c r="X36" s="27"/>
      <c r="Y36" s="27"/>
      <c r="Z36" s="27"/>
      <c r="AA36" s="27"/>
      <c r="AB36" s="27"/>
      <c r="AC36" s="27">
        <v>5</v>
      </c>
      <c r="AD36" s="27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17</v>
      </c>
      <c r="BR36" s="1">
        <v>0</v>
      </c>
      <c r="BS36" s="17">
        <v>0</v>
      </c>
      <c r="BT36" s="17"/>
      <c r="BU36">
        <f>SUM(P36:AD36)</f>
        <v>17</v>
      </c>
      <c r="BV36" s="23">
        <f>AF36+AH36+AI36+AJ36+AO36+AP36</f>
        <v>0</v>
      </c>
    </row>
    <row r="37" spans="1:74" s="42" customFormat="1">
      <c r="A37" s="1"/>
      <c r="B37" s="3" t="s">
        <v>186</v>
      </c>
      <c r="C37" s="3" t="s">
        <v>176</v>
      </c>
      <c r="D37" s="1" t="s">
        <v>177</v>
      </c>
      <c r="E37" s="6">
        <v>10</v>
      </c>
      <c r="F37" s="6"/>
      <c r="G37" s="6"/>
      <c r="H37" s="6"/>
      <c r="I37" s="6"/>
      <c r="J37" s="6"/>
      <c r="K37" s="6"/>
      <c r="L37" s="6"/>
      <c r="M37" s="6"/>
      <c r="N37" s="6"/>
      <c r="O37" s="6"/>
      <c r="P37" s="27"/>
      <c r="Q37" s="27"/>
      <c r="R37" s="27"/>
      <c r="S37" s="27"/>
      <c r="T37" s="27"/>
      <c r="U37" s="27">
        <v>10</v>
      </c>
      <c r="V37" s="27"/>
      <c r="W37" s="27"/>
      <c r="X37" s="27"/>
      <c r="Y37" s="27"/>
      <c r="Z37" s="27"/>
      <c r="AA37" s="27">
        <v>10</v>
      </c>
      <c r="AB37" s="27"/>
      <c r="AC37" s="27"/>
      <c r="AD37" s="27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>
        <v>10</v>
      </c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40</v>
      </c>
      <c r="BR37" s="1">
        <v>0</v>
      </c>
      <c r="BS37" s="17">
        <v>0</v>
      </c>
      <c r="BT37" s="17"/>
      <c r="BU37">
        <f>SUM(P37:AD37)</f>
        <v>20</v>
      </c>
      <c r="BV37" s="23">
        <f>AF37+AH37+AI37+AJ37+AO37+AP37</f>
        <v>0</v>
      </c>
    </row>
    <row r="38" spans="1:74" s="42" customFormat="1">
      <c r="A38" s="1"/>
      <c r="B38" s="3" t="s">
        <v>193</v>
      </c>
      <c r="C38" s="3" t="s">
        <v>178</v>
      </c>
      <c r="D38" s="1" t="s">
        <v>174</v>
      </c>
      <c r="E38" s="6"/>
      <c r="F38" s="6">
        <v>10</v>
      </c>
      <c r="G38" s="6"/>
      <c r="H38" s="6"/>
      <c r="I38" s="6"/>
      <c r="J38" s="6"/>
      <c r="K38" s="6"/>
      <c r="L38" s="6"/>
      <c r="M38" s="6"/>
      <c r="N38" s="6"/>
      <c r="O38" s="6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  <c r="AA38" s="27"/>
      <c r="AB38" s="27"/>
      <c r="AC38" s="27"/>
      <c r="AD38" s="27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>
        <v>10</v>
      </c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20</v>
      </c>
      <c r="BR38" s="1">
        <v>0</v>
      </c>
      <c r="BS38" s="17">
        <v>0</v>
      </c>
      <c r="BT38" s="17"/>
      <c r="BU38">
        <f>SUM(P38:AD38)</f>
        <v>0</v>
      </c>
      <c r="BV38" s="23">
        <f>AF38+AH38+AI38+AJ38+AO38+AP38</f>
        <v>0</v>
      </c>
    </row>
    <row r="39" spans="1:74" s="42" customFormat="1">
      <c r="A39" s="1"/>
      <c r="B39" s="3" t="s">
        <v>194</v>
      </c>
      <c r="C39" s="3" t="s">
        <v>178</v>
      </c>
      <c r="D39" s="1" t="s">
        <v>177</v>
      </c>
      <c r="E39" s="6"/>
      <c r="F39" s="6"/>
      <c r="G39" s="6"/>
      <c r="H39" s="6"/>
      <c r="I39" s="6"/>
      <c r="J39" s="6"/>
      <c r="K39" s="6">
        <v>10</v>
      </c>
      <c r="L39" s="6"/>
      <c r="M39" s="6"/>
      <c r="N39" s="6"/>
      <c r="O39" s="6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  <c r="AA39" s="27"/>
      <c r="AB39" s="27"/>
      <c r="AC39" s="27"/>
      <c r="AD39" s="27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>
        <v>10</v>
      </c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20</v>
      </c>
      <c r="BR39" s="1">
        <v>0</v>
      </c>
      <c r="BS39" s="17">
        <v>0</v>
      </c>
      <c r="BT39" s="17"/>
      <c r="BU39">
        <f>SUM(P39:AD39)</f>
        <v>0</v>
      </c>
      <c r="BV39" s="23">
        <f>AF39+AH39+AI39+AJ39+AO39+AP39</f>
        <v>0</v>
      </c>
    </row>
    <row r="40" spans="1:74" s="42" customFormat="1">
      <c r="A40" s="1"/>
      <c r="B40" s="3" t="s">
        <v>189</v>
      </c>
      <c r="C40" s="3" t="s">
        <v>178</v>
      </c>
      <c r="D40" s="1" t="s">
        <v>174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  <c r="AA40" s="27"/>
      <c r="AB40" s="27"/>
      <c r="AC40" s="27"/>
      <c r="AD40" s="27"/>
      <c r="AE40" s="1"/>
      <c r="AF40" s="1"/>
      <c r="AG40" s="1">
        <v>5</v>
      </c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5</v>
      </c>
      <c r="BR40" s="1">
        <v>0</v>
      </c>
      <c r="BS40" s="17">
        <v>0</v>
      </c>
      <c r="BT40" s="17"/>
      <c r="BU40">
        <f>SUM(P40:AD40)</f>
        <v>0</v>
      </c>
      <c r="BV40" s="23">
        <f>AF40+AH40+AI40+AJ40+AO40+AP40</f>
        <v>0</v>
      </c>
    </row>
    <row r="41" spans="1:74" s="42" customFormat="1">
      <c r="A41" s="1"/>
      <c r="B41" s="3" t="s">
        <v>188</v>
      </c>
      <c r="C41" s="3" t="s">
        <v>178</v>
      </c>
      <c r="D41" s="1" t="s">
        <v>177</v>
      </c>
      <c r="E41" s="6"/>
      <c r="F41" s="6">
        <v>6</v>
      </c>
      <c r="G41" s="6"/>
      <c r="H41" s="6"/>
      <c r="I41" s="6"/>
      <c r="J41" s="6"/>
      <c r="K41" s="6"/>
      <c r="L41" s="6"/>
      <c r="M41" s="6"/>
      <c r="N41" s="6"/>
      <c r="O41" s="6">
        <v>11</v>
      </c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  <c r="AA41" s="27"/>
      <c r="AB41" s="27"/>
      <c r="AC41" s="27"/>
      <c r="AD41" s="27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>
        <v>10</v>
      </c>
      <c r="AU41" s="4"/>
      <c r="AV41" s="4"/>
      <c r="AW41" s="2"/>
      <c r="AX41" s="2">
        <v>10</v>
      </c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37</v>
      </c>
      <c r="BR41" s="1">
        <v>0</v>
      </c>
      <c r="BS41" s="17">
        <v>0</v>
      </c>
      <c r="BT41" s="17"/>
      <c r="BU41">
        <f>SUM(P41:AD41)</f>
        <v>0</v>
      </c>
      <c r="BV41" s="23">
        <f>AF41+AH41+AI41+AJ41+AO41+AP41</f>
        <v>0</v>
      </c>
    </row>
    <row r="42" spans="1:74" s="42" customFormat="1">
      <c r="A42" s="1"/>
      <c r="B42" s="3" t="s">
        <v>184</v>
      </c>
      <c r="C42" s="3" t="s">
        <v>45</v>
      </c>
      <c r="D42" s="1" t="s">
        <v>174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7"/>
      <c r="Q42" s="27">
        <v>5</v>
      </c>
      <c r="R42" s="27">
        <v>2</v>
      </c>
      <c r="S42" s="27"/>
      <c r="T42" s="27">
        <v>5</v>
      </c>
      <c r="U42" s="27"/>
      <c r="V42" s="27"/>
      <c r="W42" s="27"/>
      <c r="X42" s="27"/>
      <c r="Y42" s="27"/>
      <c r="Z42" s="27">
        <v>5</v>
      </c>
      <c r="AA42" s="27"/>
      <c r="AB42" s="27"/>
      <c r="AC42" s="27"/>
      <c r="AD42" s="27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17</v>
      </c>
      <c r="BR42" s="1">
        <v>0</v>
      </c>
      <c r="BS42" s="17">
        <v>0</v>
      </c>
      <c r="BT42" s="17"/>
      <c r="BU42">
        <f>SUM(P42:AD42)</f>
        <v>17</v>
      </c>
      <c r="BV42" s="23">
        <f>AF42+AH42+AI42+AJ42+AO42+AP42</f>
        <v>0</v>
      </c>
    </row>
    <row r="43" spans="1:74" s="42" customFormat="1">
      <c r="A43" s="1"/>
      <c r="B43" s="3" t="s">
        <v>185</v>
      </c>
      <c r="C43" s="3" t="s">
        <v>45</v>
      </c>
      <c r="D43" s="1" t="s">
        <v>177</v>
      </c>
      <c r="E43" s="6"/>
      <c r="F43" s="6"/>
      <c r="G43" s="6"/>
      <c r="H43" s="6">
        <v>10</v>
      </c>
      <c r="I43" s="6"/>
      <c r="J43" s="6"/>
      <c r="K43" s="6"/>
      <c r="L43" s="6"/>
      <c r="M43" s="6"/>
      <c r="N43" s="6"/>
      <c r="O43" s="6"/>
      <c r="P43" s="27"/>
      <c r="Q43" s="27"/>
      <c r="R43" s="27">
        <v>10</v>
      </c>
      <c r="S43" s="27"/>
      <c r="T43" s="27"/>
      <c r="U43" s="27"/>
      <c r="V43" s="27"/>
      <c r="W43" s="27"/>
      <c r="X43" s="27">
        <v>10</v>
      </c>
      <c r="Y43" s="27"/>
      <c r="Z43" s="27"/>
      <c r="AA43" s="27"/>
      <c r="AB43" s="27"/>
      <c r="AC43" s="27"/>
      <c r="AD43" s="27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>
        <v>10</v>
      </c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40</v>
      </c>
      <c r="BR43" s="1">
        <v>0</v>
      </c>
      <c r="BS43" s="17">
        <v>0</v>
      </c>
      <c r="BT43" s="17"/>
      <c r="BU43">
        <f>SUM(P43:AD43)</f>
        <v>20</v>
      </c>
      <c r="BV43" s="23">
        <f>AF43+AH43+AI43+AJ43+AO43+AP43</f>
        <v>0</v>
      </c>
    </row>
    <row r="44" spans="1:74" s="42" customFormat="1">
      <c r="A44" s="1"/>
      <c r="B44" s="3" t="s">
        <v>179</v>
      </c>
      <c r="C44" s="3" t="s">
        <v>180</v>
      </c>
      <c r="D44" s="1" t="s">
        <v>181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  <c r="AA44" s="27"/>
      <c r="AB44" s="27"/>
      <c r="AC44" s="27"/>
      <c r="AD44" s="27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>
        <v>40</v>
      </c>
      <c r="AT44" s="4"/>
      <c r="AU44" s="4"/>
      <c r="AV44" s="4"/>
      <c r="AW44" s="2">
        <v>40</v>
      </c>
      <c r="AX44" s="2"/>
      <c r="AY44" s="2"/>
      <c r="AZ44" s="2">
        <v>40</v>
      </c>
      <c r="BA44" s="2"/>
      <c r="BB44" s="2"/>
      <c r="BC44" s="14">
        <v>10</v>
      </c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130</v>
      </c>
      <c r="BR44" s="1">
        <v>0</v>
      </c>
      <c r="BS44" s="17">
        <v>0</v>
      </c>
      <c r="BT44" s="17"/>
      <c r="BU44">
        <f>SUM(P44:AD44)</f>
        <v>0</v>
      </c>
      <c r="BV44" s="23">
        <f>AF44+AH44+AI44+AJ44+AO44+AP44</f>
        <v>0</v>
      </c>
    </row>
    <row r="45" spans="1:74" s="42" customFormat="1">
      <c r="A45" s="1">
        <v>98</v>
      </c>
      <c r="B45" s="3" t="s">
        <v>102</v>
      </c>
      <c r="C45" s="3" t="s">
        <v>45</v>
      </c>
      <c r="D45" s="1" t="s">
        <v>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  <c r="AA45" s="27"/>
      <c r="AB45" s="27"/>
      <c r="AC45" s="27"/>
      <c r="AD45" s="27"/>
      <c r="AE45" s="1">
        <v>50</v>
      </c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50</v>
      </c>
      <c r="BR45" s="1">
        <v>2</v>
      </c>
      <c r="BS45" s="17">
        <v>1</v>
      </c>
      <c r="BT45" s="17" t="s">
        <v>246</v>
      </c>
      <c r="BU45">
        <f>SUM(P45:AD45)</f>
        <v>0</v>
      </c>
      <c r="BV45" s="23">
        <f>AF45+AH45+AI45+AJ45+AO45+AP45</f>
        <v>0</v>
      </c>
    </row>
    <row r="46" spans="1:74" s="42" customFormat="1">
      <c r="A46" s="18"/>
      <c r="B46" s="18" t="s">
        <v>78</v>
      </c>
      <c r="C46" s="18" t="s">
        <v>76</v>
      </c>
      <c r="D46" s="18" t="s">
        <v>73</v>
      </c>
      <c r="E46" s="19"/>
      <c r="F46" s="19"/>
      <c r="G46" s="19"/>
      <c r="H46" s="19"/>
      <c r="I46" s="19"/>
      <c r="J46" s="19"/>
      <c r="K46" s="19"/>
      <c r="L46" s="19"/>
      <c r="M46" s="19"/>
      <c r="N46" s="19"/>
      <c r="O46" s="19"/>
      <c r="P46" s="28"/>
      <c r="Q46" s="28"/>
      <c r="R46" s="28"/>
      <c r="S46" s="28"/>
      <c r="T46" s="28"/>
      <c r="U46" s="28"/>
      <c r="V46" s="28"/>
      <c r="W46" s="28"/>
      <c r="X46" s="28"/>
      <c r="Y46" s="28"/>
      <c r="Z46" s="28"/>
      <c r="AA46" s="28"/>
      <c r="AB46" s="28"/>
      <c r="AC46" s="28"/>
      <c r="AD46" s="28"/>
      <c r="AE46" s="18"/>
      <c r="AF46" s="18"/>
      <c r="AG46" s="18"/>
      <c r="AH46" s="18">
        <v>5</v>
      </c>
      <c r="AI46" s="18"/>
      <c r="AJ46" s="18"/>
      <c r="AK46" s="18"/>
      <c r="AL46" s="18"/>
      <c r="AM46" s="18"/>
      <c r="AN46" s="18"/>
      <c r="AO46" s="18"/>
      <c r="AP46" s="18"/>
      <c r="AQ46" s="20"/>
      <c r="AR46" s="20"/>
      <c r="AS46" s="20"/>
      <c r="AT46" s="20"/>
      <c r="AU46" s="20"/>
      <c r="AV46" s="20"/>
      <c r="AW46" s="21"/>
      <c r="AX46" s="21"/>
      <c r="AY46" s="21"/>
      <c r="AZ46" s="21"/>
      <c r="BA46" s="21"/>
      <c r="BB46" s="21"/>
      <c r="BC46" s="25"/>
      <c r="BD46" s="18"/>
      <c r="BE46" s="18"/>
      <c r="BF46" s="18"/>
      <c r="BG46" s="18"/>
      <c r="BH46" s="18"/>
      <c r="BI46" s="18"/>
      <c r="BJ46" s="18"/>
      <c r="BK46" s="18"/>
      <c r="BL46" s="18"/>
      <c r="BM46" s="18"/>
      <c r="BN46" s="18"/>
      <c r="BO46" s="18"/>
      <c r="BP46" s="18"/>
      <c r="BQ46" s="18">
        <f>SUM(E46:BP46)</f>
        <v>5</v>
      </c>
      <c r="BR46" s="18">
        <v>3</v>
      </c>
      <c r="BS46" s="22">
        <v>1</v>
      </c>
      <c r="BT46" s="22" t="s">
        <v>244</v>
      </c>
      <c r="BU46">
        <f>SUM(P46:AD46)</f>
        <v>0</v>
      </c>
      <c r="BV46" s="23">
        <f>AF46+AH46+AI46+AJ46+AO46+AP46</f>
        <v>5</v>
      </c>
    </row>
    <row r="47" spans="1:74" s="42" customFormat="1">
      <c r="A47" s="1">
        <v>88</v>
      </c>
      <c r="B47" s="3" t="s">
        <v>53</v>
      </c>
      <c r="C47" s="3" t="s">
        <v>54</v>
      </c>
      <c r="D47" s="1" t="s">
        <v>17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  <c r="AA47" s="27"/>
      <c r="AB47" s="27"/>
      <c r="AC47" s="27"/>
      <c r="AD47" s="27"/>
      <c r="AE47" s="1"/>
      <c r="AF47" s="1"/>
      <c r="AG47" s="1"/>
      <c r="AH47" s="1">
        <v>5</v>
      </c>
      <c r="AI47" s="1">
        <v>5</v>
      </c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>
        <f>SUM(E47:BP47)</f>
        <v>10</v>
      </c>
      <c r="BR47" s="1">
        <v>3</v>
      </c>
      <c r="BS47" s="17">
        <v>1</v>
      </c>
      <c r="BT47" s="17" t="s">
        <v>170</v>
      </c>
      <c r="BU47">
        <f>SUM(P47:AD47)</f>
        <v>0</v>
      </c>
      <c r="BV47" s="23">
        <f>AF47+AH47+AI47+AJ47+AO47+AP47</f>
        <v>10</v>
      </c>
    </row>
    <row r="48" spans="1:74" s="42" customFormat="1">
      <c r="A48" s="1">
        <v>89</v>
      </c>
      <c r="B48" s="3" t="s">
        <v>53</v>
      </c>
      <c r="C48" s="3" t="s">
        <v>54</v>
      </c>
      <c r="D48" s="1" t="s">
        <v>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  <c r="AA48" s="27"/>
      <c r="AB48" s="27"/>
      <c r="AC48" s="27"/>
      <c r="AD48" s="27"/>
      <c r="AE48" s="1"/>
      <c r="AF48" s="1">
        <v>5</v>
      </c>
      <c r="AG48" s="1"/>
      <c r="AH48" s="1">
        <v>5</v>
      </c>
      <c r="AI48" s="1">
        <v>5</v>
      </c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>
        <f>SUM(E48:BP48)</f>
        <v>15</v>
      </c>
      <c r="BR48" s="1">
        <v>3</v>
      </c>
      <c r="BS48" s="17">
        <v>1</v>
      </c>
      <c r="BT48" s="17" t="s">
        <v>244</v>
      </c>
      <c r="BU48">
        <f>SUM(P48:AD48)</f>
        <v>0</v>
      </c>
      <c r="BV48" s="23">
        <f>AF48+AH48+AI48+AJ48+AO48+AP48</f>
        <v>15</v>
      </c>
    </row>
    <row r="49" spans="1:74" s="42" customFormat="1">
      <c r="A49" s="1"/>
      <c r="B49" s="3" t="s">
        <v>192</v>
      </c>
      <c r="C49" s="3" t="s">
        <v>45</v>
      </c>
      <c r="D49" s="1" t="s">
        <v>0</v>
      </c>
      <c r="E49" s="6"/>
      <c r="F49" s="6">
        <v>20</v>
      </c>
      <c r="G49" s="6"/>
      <c r="H49" s="6"/>
      <c r="I49" s="6"/>
      <c r="J49" s="6"/>
      <c r="K49" s="6">
        <v>5</v>
      </c>
      <c r="L49" s="6"/>
      <c r="M49" s="6"/>
      <c r="N49" s="6"/>
      <c r="O49" s="6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  <c r="AA49" s="27"/>
      <c r="AB49" s="27"/>
      <c r="AC49" s="27"/>
      <c r="AD49" s="27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>
        <v>10</v>
      </c>
      <c r="AV49" s="4"/>
      <c r="AW49" s="2"/>
      <c r="AX49" s="2">
        <v>10</v>
      </c>
      <c r="AY49" s="2"/>
      <c r="AZ49" s="2"/>
      <c r="BA49" s="2"/>
      <c r="BB49" s="2"/>
      <c r="BC49" s="14"/>
      <c r="BD49" s="1">
        <v>10</v>
      </c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>
        <f>SUM(E49:BP49)</f>
        <v>55</v>
      </c>
      <c r="BR49" s="1">
        <v>3</v>
      </c>
      <c r="BS49" s="17">
        <v>1</v>
      </c>
      <c r="BT49" s="17" t="s">
        <v>245</v>
      </c>
      <c r="BU49">
        <f>SUM(P49:AD49)</f>
        <v>0</v>
      </c>
      <c r="BV49" s="23">
        <f>AF49+AH49+AI49+AJ49+AO49+AP49</f>
        <v>0</v>
      </c>
    </row>
    <row r="50" spans="1:74" s="42" customFormat="1">
      <c r="A50" s="1">
        <v>85</v>
      </c>
      <c r="B50" s="3" t="s">
        <v>139</v>
      </c>
      <c r="C50" s="3" t="s">
        <v>43</v>
      </c>
      <c r="D50" s="1" t="s">
        <v>25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  <c r="AA50" s="27"/>
      <c r="AB50" s="27"/>
      <c r="AC50" s="27"/>
      <c r="AD50" s="27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>
        <v>50</v>
      </c>
      <c r="BN50" s="1">
        <v>50</v>
      </c>
      <c r="BO50" s="1">
        <v>50</v>
      </c>
      <c r="BP50" s="1">
        <v>50</v>
      </c>
      <c r="BQ50" s="1">
        <f>SUM(E50:BP50)</f>
        <v>200</v>
      </c>
      <c r="BR50" s="1">
        <v>30</v>
      </c>
      <c r="BS50" s="17">
        <v>1</v>
      </c>
      <c r="BT50" s="17" t="s">
        <v>247</v>
      </c>
      <c r="BU50">
        <f>SUM(P50:AD50)</f>
        <v>0</v>
      </c>
      <c r="BV50" s="23">
        <f>AF50+AH50+AI50+AJ50+AO50+AP50</f>
        <v>0</v>
      </c>
    </row>
    <row r="51" spans="1:74" s="42" customFormat="1">
      <c r="A51" s="1"/>
      <c r="B51" s="1" t="s">
        <v>150</v>
      </c>
      <c r="C51" s="1" t="s">
        <v>79</v>
      </c>
      <c r="D51" s="1" t="s">
        <v>77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  <c r="AA51" s="27"/>
      <c r="AB51" s="27"/>
      <c r="AC51" s="27"/>
      <c r="AD51" s="27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>
        <v>50</v>
      </c>
      <c r="BN51" s="1">
        <v>50</v>
      </c>
      <c r="BO51" s="1">
        <v>50</v>
      </c>
      <c r="BP51" s="1">
        <v>50</v>
      </c>
      <c r="BQ51" s="1">
        <f>SUM(E51:BP51)</f>
        <v>200</v>
      </c>
      <c r="BR51" s="1">
        <v>30</v>
      </c>
      <c r="BS51" s="17">
        <v>1</v>
      </c>
      <c r="BT51" s="17" t="s">
        <v>247</v>
      </c>
      <c r="BU51">
        <f>SUM(P51:AD51)</f>
        <v>0</v>
      </c>
      <c r="BV51" s="23">
        <f>AF51+AH51+AI51+AJ51+AO51+AP51</f>
        <v>0</v>
      </c>
    </row>
    <row r="52" spans="1:74" s="42" customFormat="1">
      <c r="A52" s="1"/>
      <c r="B52" s="3" t="s">
        <v>160</v>
      </c>
      <c r="C52" s="3" t="s">
        <v>54</v>
      </c>
      <c r="D52" s="1" t="s">
        <v>159</v>
      </c>
      <c r="E52" s="6"/>
      <c r="F52" s="6"/>
      <c r="G52" s="6"/>
      <c r="H52" s="6"/>
      <c r="I52" s="6"/>
      <c r="J52" s="6"/>
      <c r="K52" s="6"/>
      <c r="L52" s="6"/>
      <c r="M52" s="6"/>
      <c r="N52" s="6"/>
      <c r="O52" s="6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  <c r="AA52" s="27"/>
      <c r="AB52" s="27"/>
      <c r="AC52" s="27"/>
      <c r="AD52" s="27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/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>
        <v>50</v>
      </c>
      <c r="BN52" s="1">
        <v>50</v>
      </c>
      <c r="BO52" s="1">
        <v>50</v>
      </c>
      <c r="BP52" s="1">
        <v>50</v>
      </c>
      <c r="BQ52" s="1">
        <f>SUM(E52:BP52)</f>
        <v>200</v>
      </c>
      <c r="BR52" s="1">
        <v>30</v>
      </c>
      <c r="BS52" s="17">
        <v>1</v>
      </c>
      <c r="BT52" s="17" t="s">
        <v>247</v>
      </c>
      <c r="BU52">
        <f>SUM(P52:AD52)</f>
        <v>0</v>
      </c>
      <c r="BV52" s="23">
        <f>AF52+AH52+AI52+AJ52+AO52+AP52</f>
        <v>0</v>
      </c>
    </row>
    <row r="53" spans="1:74" s="42" customFormat="1">
      <c r="A53" s="1">
        <v>99</v>
      </c>
      <c r="B53" s="3" t="s">
        <v>102</v>
      </c>
      <c r="C53" s="3" t="s">
        <v>45</v>
      </c>
      <c r="D53" s="1" t="s">
        <v>8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1">
        <v>200</v>
      </c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200</v>
      </c>
      <c r="BR53" s="1">
        <v>152</v>
      </c>
      <c r="BS53" s="17">
        <v>1</v>
      </c>
      <c r="BT53" s="17" t="s">
        <v>248</v>
      </c>
      <c r="BU53">
        <f>SUM(P53:AD53)</f>
        <v>0</v>
      </c>
      <c r="BV53" s="23">
        <f>AF53+AH53+AI53+AJ53+AO53+AP53</f>
        <v>0</v>
      </c>
    </row>
    <row r="54" spans="1:74">
      <c r="A54" s="1"/>
      <c r="B54" s="1" t="s">
        <v>47</v>
      </c>
      <c r="C54" s="1"/>
      <c r="D54" s="1"/>
      <c r="E54" s="6">
        <f>SUM(E2:E53)</f>
        <v>60</v>
      </c>
      <c r="F54" s="6">
        <f>SUM(F2:F53)</f>
        <v>56</v>
      </c>
      <c r="G54" s="6">
        <f>SUM(G2:G53)</f>
        <v>40</v>
      </c>
      <c r="H54" s="6">
        <f>SUM(H2:H53)</f>
        <v>50</v>
      </c>
      <c r="I54" s="6">
        <f>SUM(I2:I53)</f>
        <v>40</v>
      </c>
      <c r="J54" s="6">
        <f>SUM(J2:J53)</f>
        <v>30</v>
      </c>
      <c r="K54" s="6">
        <f>SUM(K2:K53)</f>
        <v>15</v>
      </c>
      <c r="L54" s="6">
        <f>SUM(L2:L53)</f>
        <v>27</v>
      </c>
      <c r="M54" s="6">
        <f>SUM(M2:M53)</f>
        <v>30</v>
      </c>
      <c r="N54" s="6">
        <f>SUM(N2:N53)</f>
        <v>10</v>
      </c>
      <c r="O54" s="6">
        <f>SUM(O2:O53)</f>
        <v>21</v>
      </c>
      <c r="P54" s="27">
        <f>SUM(P2:P53)</f>
        <v>0</v>
      </c>
      <c r="Q54" s="27">
        <f>SUM(Q2:Q53)</f>
        <v>17</v>
      </c>
      <c r="R54" s="27">
        <f>SUM(R2:R53)</f>
        <v>156</v>
      </c>
      <c r="S54" s="27">
        <f>SUM(S2:S53)</f>
        <v>0</v>
      </c>
      <c r="T54" s="27">
        <f>SUM(T2:T53)</f>
        <v>22</v>
      </c>
      <c r="U54" s="27">
        <f>SUM(U2:U53)</f>
        <v>140</v>
      </c>
      <c r="V54" s="27">
        <f>SUM(V2:V53)</f>
        <v>0</v>
      </c>
      <c r="W54" s="27">
        <f>SUM(W2:W53)</f>
        <v>5</v>
      </c>
      <c r="X54" s="27">
        <f>SUM(X2:X53)</f>
        <v>117</v>
      </c>
      <c r="Y54" s="27">
        <f>SUM(Y2:Y53)</f>
        <v>0</v>
      </c>
      <c r="Z54" s="27">
        <f>SUM(Z2:Z53)</f>
        <v>10</v>
      </c>
      <c r="AA54" s="27">
        <f>SUM(AA2:AA53)</f>
        <v>80</v>
      </c>
      <c r="AB54" s="27">
        <f>SUM(AB2:AB53)</f>
        <v>0</v>
      </c>
      <c r="AC54" s="27">
        <f>SUM(AC2:AC53)</f>
        <v>5</v>
      </c>
      <c r="AD54" s="27">
        <f>SUM(AD2:AD53)</f>
        <v>90</v>
      </c>
      <c r="AE54" s="1">
        <f>SUM(AE2:AE53)</f>
        <v>250</v>
      </c>
      <c r="AF54" s="1">
        <f>SUM(AF2:AF53)</f>
        <v>5</v>
      </c>
      <c r="AG54" s="1">
        <f>SUM(AG2:AG53)</f>
        <v>5</v>
      </c>
      <c r="AH54" s="1">
        <f>SUM(AH2:AH53)</f>
        <v>15</v>
      </c>
      <c r="AI54" s="1">
        <f>SUM(AI2:AI53)</f>
        <v>15</v>
      </c>
      <c r="AJ54" s="1">
        <f>SUM(AJ2:AJ53)</f>
        <v>0</v>
      </c>
      <c r="AK54" s="1">
        <f>SUM(AK2:AK53)</f>
        <v>0</v>
      </c>
      <c r="AL54" s="1">
        <f>SUM(AL2:AL53)</f>
        <v>0</v>
      </c>
      <c r="AM54" s="1">
        <f>SUM(AM2:AM53)</f>
        <v>0</v>
      </c>
      <c r="AN54" s="1">
        <f>SUM(AN2:AN53)</f>
        <v>0</v>
      </c>
      <c r="AO54" s="1">
        <f>SUM(AO2:AO53)</f>
        <v>0</v>
      </c>
      <c r="AP54" s="1">
        <f>SUM(AP2:AP53)</f>
        <v>0</v>
      </c>
      <c r="AQ54" s="4">
        <f>SUM(AQ2:AQ53)</f>
        <v>35</v>
      </c>
      <c r="AR54" s="4">
        <f>SUM(AR2:AR53)</f>
        <v>50</v>
      </c>
      <c r="AS54" s="4">
        <f>SUM(AS2:AS53)</f>
        <v>100</v>
      </c>
      <c r="AT54" s="4">
        <f>SUM(AT2:AT53)</f>
        <v>100</v>
      </c>
      <c r="AU54" s="4">
        <f>SUM(AU2:AU53)</f>
        <v>80</v>
      </c>
      <c r="AV54" s="4">
        <f>SUM(AV2:AV53)</f>
        <v>90</v>
      </c>
      <c r="AW54" s="2">
        <f>SUM(AW2:AW53)</f>
        <v>40</v>
      </c>
      <c r="AX54" s="2">
        <f>SUM(AX2:AX53)</f>
        <v>115</v>
      </c>
      <c r="AY54" s="2">
        <f>SUM(AY2:AY53)</f>
        <v>40</v>
      </c>
      <c r="AZ54" s="2">
        <f>SUM(AZ2:AZ53)</f>
        <v>80</v>
      </c>
      <c r="BA54" s="2">
        <f>SUM(BA2:BA53)</f>
        <v>70</v>
      </c>
      <c r="BB54" s="2">
        <f>SUM(BB2:BB53)</f>
        <v>40</v>
      </c>
      <c r="BC54" s="1">
        <f>SUM(BC2:BC53)</f>
        <v>40</v>
      </c>
      <c r="BD54" s="1">
        <f>SUM(BD2:BD53)</f>
        <v>10</v>
      </c>
      <c r="BE54" s="1">
        <f>SUM(BE2:BE53)</f>
        <v>0</v>
      </c>
      <c r="BF54" s="1">
        <f>SUM(BF2:BF53)</f>
        <v>0</v>
      </c>
      <c r="BG54" s="1">
        <f>SUM(BG2:BG53)</f>
        <v>0</v>
      </c>
      <c r="BH54" s="1">
        <f>SUM(BH2:BH53)</f>
        <v>0</v>
      </c>
      <c r="BI54" s="1">
        <f>SUM(BI2:BI53)</f>
        <v>0</v>
      </c>
      <c r="BJ54" s="1">
        <f>SUM(BJ2:BJ53)</f>
        <v>0</v>
      </c>
      <c r="BK54" s="1">
        <f>SUM(BK2:BK53)</f>
        <v>0</v>
      </c>
      <c r="BL54" s="1">
        <f>SUM(BL2:BL53)</f>
        <v>0</v>
      </c>
      <c r="BM54" s="1">
        <f>SUM(BM2:BM53)</f>
        <v>150</v>
      </c>
      <c r="BN54" s="1">
        <f>SUM(BN2:BN53)</f>
        <v>150</v>
      </c>
      <c r="BO54" s="1">
        <f>SUM(BO2:BO53)</f>
        <v>150</v>
      </c>
      <c r="BP54" s="1">
        <f>SUM(BP2:BP53)</f>
        <v>150</v>
      </c>
      <c r="BQ54" s="1"/>
      <c r="BR54" s="1"/>
      <c r="BS54" s="17"/>
      <c r="BT54" s="17"/>
    </row>
    <row r="55" spans="1:74">
      <c r="A55" s="1"/>
      <c r="B55" s="3" t="s">
        <v>62</v>
      </c>
      <c r="C55" s="1"/>
      <c r="D55" s="1"/>
      <c r="E55" s="1">
        <v>73</v>
      </c>
      <c r="F55" s="1">
        <v>181</v>
      </c>
      <c r="G55" s="1">
        <v>18</v>
      </c>
      <c r="H55" s="1">
        <v>42</v>
      </c>
      <c r="I55" s="1">
        <v>211</v>
      </c>
      <c r="J55" s="1">
        <v>163</v>
      </c>
      <c r="K55" s="1">
        <v>131</v>
      </c>
      <c r="L55" s="1">
        <v>154</v>
      </c>
      <c r="M55" s="1">
        <v>151</v>
      </c>
      <c r="N55" s="1">
        <v>253</v>
      </c>
      <c r="O55" s="1">
        <v>151</v>
      </c>
      <c r="P55" s="14">
        <v>1781</v>
      </c>
      <c r="Q55" s="14">
        <v>709</v>
      </c>
      <c r="R55" s="14">
        <v>156</v>
      </c>
      <c r="S55" s="14">
        <v>1760</v>
      </c>
      <c r="T55" s="14">
        <v>636</v>
      </c>
      <c r="U55" s="14">
        <v>245</v>
      </c>
      <c r="V55" s="14">
        <v>1825</v>
      </c>
      <c r="W55" s="14">
        <v>539</v>
      </c>
      <c r="X55" s="14">
        <v>118</v>
      </c>
      <c r="Y55" s="14">
        <v>1862</v>
      </c>
      <c r="Z55" s="14">
        <v>698</v>
      </c>
      <c r="AA55" s="14">
        <v>107</v>
      </c>
      <c r="AB55" s="14">
        <v>1937</v>
      </c>
      <c r="AC55" s="14">
        <v>705</v>
      </c>
      <c r="AD55" s="14">
        <v>132</v>
      </c>
      <c r="AE55" s="1">
        <v>48</v>
      </c>
      <c r="AF55" s="1">
        <v>25</v>
      </c>
      <c r="AG55" s="1">
        <v>33</v>
      </c>
      <c r="AH55" s="1">
        <v>2</v>
      </c>
      <c r="AI55" s="1">
        <v>6</v>
      </c>
      <c r="AJ55" s="1">
        <v>13</v>
      </c>
      <c r="AK55" s="1">
        <v>23</v>
      </c>
      <c r="AL55" s="1">
        <v>33</v>
      </c>
      <c r="AM55" s="1">
        <v>0</v>
      </c>
      <c r="AN55" s="1">
        <v>11</v>
      </c>
      <c r="AO55" s="1">
        <v>0</v>
      </c>
      <c r="AP55" s="1">
        <v>8</v>
      </c>
      <c r="AQ55" s="14">
        <v>43</v>
      </c>
      <c r="AR55" s="14">
        <v>63</v>
      </c>
      <c r="AS55" s="14">
        <v>65</v>
      </c>
      <c r="AT55" s="14">
        <v>100</v>
      </c>
      <c r="AU55" s="14">
        <v>94</v>
      </c>
      <c r="AV55" s="14">
        <v>86</v>
      </c>
      <c r="AW55" s="14">
        <v>40</v>
      </c>
      <c r="AX55" s="14">
        <v>105</v>
      </c>
      <c r="AY55" s="14">
        <v>57</v>
      </c>
      <c r="AZ55" s="14">
        <v>80</v>
      </c>
      <c r="BA55" s="14">
        <v>70</v>
      </c>
      <c r="BB55" s="14">
        <v>42</v>
      </c>
      <c r="BC55" s="14">
        <v>15</v>
      </c>
      <c r="BD55" s="1">
        <v>7</v>
      </c>
      <c r="BE55" s="1">
        <v>255</v>
      </c>
      <c r="BF55" s="1">
        <v>396</v>
      </c>
      <c r="BG55" s="1">
        <v>312</v>
      </c>
      <c r="BH55" s="1">
        <v>330</v>
      </c>
      <c r="BI55" s="1">
        <v>162</v>
      </c>
      <c r="BJ55" s="1">
        <v>195</v>
      </c>
      <c r="BK55" s="1">
        <v>131</v>
      </c>
      <c r="BL55" s="1">
        <v>127</v>
      </c>
      <c r="BM55" s="1">
        <v>324</v>
      </c>
      <c r="BN55" s="1">
        <v>141</v>
      </c>
      <c r="BO55" s="1">
        <v>20</v>
      </c>
      <c r="BP55" s="1">
        <v>217</v>
      </c>
      <c r="BQ55" s="1"/>
      <c r="BR55" s="1"/>
      <c r="BS55" s="17"/>
      <c r="BT55" s="17"/>
    </row>
    <row r="56" spans="1:74">
      <c r="A56" s="1"/>
      <c r="B56" s="3" t="s">
        <v>69</v>
      </c>
      <c r="C56" s="1"/>
      <c r="D56" s="1"/>
      <c r="E56" s="1">
        <f>E55-E54</f>
        <v>13</v>
      </c>
      <c r="F56" s="1">
        <f>F55-F54</f>
        <v>125</v>
      </c>
      <c r="G56" s="1">
        <f>G55-G54</f>
        <v>-22</v>
      </c>
      <c r="H56" s="1">
        <f>H55-H54</f>
        <v>-8</v>
      </c>
      <c r="I56" s="1">
        <f>I55-I54</f>
        <v>171</v>
      </c>
      <c r="J56" s="1">
        <f>J55-J54</f>
        <v>133</v>
      </c>
      <c r="K56" s="1">
        <f>K55-K54</f>
        <v>116</v>
      </c>
      <c r="L56" s="1">
        <f>L55-L54</f>
        <v>127</v>
      </c>
      <c r="M56" s="1">
        <f>M55-M54</f>
        <v>121</v>
      </c>
      <c r="N56" s="1">
        <f>N55-N54</f>
        <v>243</v>
      </c>
      <c r="O56" s="1">
        <f>O55-O54</f>
        <v>130</v>
      </c>
      <c r="P56" s="1">
        <f>P55-P54</f>
        <v>1781</v>
      </c>
      <c r="Q56" s="1">
        <f>Q55-Q54</f>
        <v>692</v>
      </c>
      <c r="R56" s="1">
        <f>R55-R54</f>
        <v>0</v>
      </c>
      <c r="S56" s="1">
        <f>S55-S54</f>
        <v>1760</v>
      </c>
      <c r="T56" s="1">
        <f>T55-T54</f>
        <v>614</v>
      </c>
      <c r="U56" s="1">
        <f>U55-U54</f>
        <v>105</v>
      </c>
      <c r="V56" s="1">
        <f>V55-V54</f>
        <v>1825</v>
      </c>
      <c r="W56" s="1">
        <f>W55-W54</f>
        <v>534</v>
      </c>
      <c r="X56" s="1">
        <f>X55-X54</f>
        <v>1</v>
      </c>
      <c r="Y56" s="1">
        <f>Y55-Y54</f>
        <v>1862</v>
      </c>
      <c r="Z56" s="1">
        <f>Z55-Z54</f>
        <v>688</v>
      </c>
      <c r="AA56" s="1">
        <f>AA55-AA54</f>
        <v>27</v>
      </c>
      <c r="AB56" s="1">
        <f>AB55-AB54</f>
        <v>1937</v>
      </c>
      <c r="AC56" s="1">
        <f>AC55-AC54</f>
        <v>700</v>
      </c>
      <c r="AD56" s="1">
        <f>AD55-AD54</f>
        <v>42</v>
      </c>
      <c r="AE56" s="1">
        <f>AE55-AE54</f>
        <v>-202</v>
      </c>
      <c r="AF56" s="1">
        <f>AF55-AF54</f>
        <v>20</v>
      </c>
      <c r="AG56" s="1">
        <f>AG55-AG54</f>
        <v>28</v>
      </c>
      <c r="AH56" s="1">
        <f>AH55-AH54</f>
        <v>-13</v>
      </c>
      <c r="AI56" s="1">
        <f>AI55-AI54</f>
        <v>-9</v>
      </c>
      <c r="AJ56" s="1">
        <f>AJ55-AJ54</f>
        <v>13</v>
      </c>
      <c r="AK56" s="1">
        <f>AK55-AK54</f>
        <v>23</v>
      </c>
      <c r="AL56" s="1">
        <f>AL55-AL54</f>
        <v>33</v>
      </c>
      <c r="AM56" s="1">
        <f>AM55-AM54</f>
        <v>0</v>
      </c>
      <c r="AN56" s="1">
        <f>AN55-AN54</f>
        <v>11</v>
      </c>
      <c r="AO56" s="1">
        <f>AO55-AO54</f>
        <v>0</v>
      </c>
      <c r="AP56" s="1">
        <f>AP55-AP54</f>
        <v>8</v>
      </c>
      <c r="AQ56" s="1">
        <f>AQ55-AQ54</f>
        <v>8</v>
      </c>
      <c r="AR56" s="1">
        <f>AR55-AR54</f>
        <v>13</v>
      </c>
      <c r="AS56" s="1">
        <f>AS55-AS54</f>
        <v>-35</v>
      </c>
      <c r="AT56" s="1">
        <f>AT55-AT54</f>
        <v>0</v>
      </c>
      <c r="AU56" s="1">
        <f>AU55-AU54</f>
        <v>14</v>
      </c>
      <c r="AV56" s="1">
        <f>AV55-AV54</f>
        <v>-4</v>
      </c>
      <c r="AW56" s="1">
        <f>AW55-AW54</f>
        <v>0</v>
      </c>
      <c r="AX56" s="1">
        <f>AX55-AX54</f>
        <v>-10</v>
      </c>
      <c r="AY56" s="1">
        <f>AY55-AY54</f>
        <v>17</v>
      </c>
      <c r="AZ56" s="1">
        <f>AZ55-AZ54</f>
        <v>0</v>
      </c>
      <c r="BA56" s="1">
        <f>BA55-BA54</f>
        <v>0</v>
      </c>
      <c r="BB56" s="1">
        <f>BB55-BB54</f>
        <v>2</v>
      </c>
      <c r="BC56" s="1">
        <f>BC55-BC54</f>
        <v>-25</v>
      </c>
      <c r="BD56" s="1">
        <f>BD55-BD54</f>
        <v>-3</v>
      </c>
      <c r="BE56" s="1">
        <f>BE55-BE54</f>
        <v>255</v>
      </c>
      <c r="BF56" s="1">
        <f>BF55-BF54</f>
        <v>396</v>
      </c>
      <c r="BG56" s="1">
        <f>BG55-BG54</f>
        <v>312</v>
      </c>
      <c r="BH56" s="1">
        <f>BH55-BH54</f>
        <v>330</v>
      </c>
      <c r="BI56" s="1">
        <f>BI55-BI54</f>
        <v>162</v>
      </c>
      <c r="BJ56" s="1">
        <f>BJ55-BJ54</f>
        <v>195</v>
      </c>
      <c r="BK56" s="1">
        <f>BK55-BK54</f>
        <v>131</v>
      </c>
      <c r="BL56" s="1">
        <f>BL55-BL54</f>
        <v>127</v>
      </c>
      <c r="BM56" s="1">
        <f>BM55-BM54</f>
        <v>174</v>
      </c>
      <c r="BN56" s="1">
        <f>BN55-BN54</f>
        <v>-9</v>
      </c>
      <c r="BO56" s="1">
        <f>BO55-BO54</f>
        <v>-130</v>
      </c>
      <c r="BP56" s="1">
        <f>BP55-BP54</f>
        <v>67</v>
      </c>
      <c r="BQ56" s="1"/>
      <c r="BR56" s="1"/>
      <c r="BS56" s="17"/>
      <c r="BT56" s="17"/>
    </row>
    <row r="57" spans="1:74">
      <c r="A57" s="1"/>
      <c r="B57" s="3" t="s">
        <v>103</v>
      </c>
      <c r="C57" s="1"/>
      <c r="D57" s="1"/>
      <c r="E57" s="1">
        <f>MAX(E2:E53)</f>
        <v>10</v>
      </c>
      <c r="F57" s="1">
        <f>MAX(F2:F53)</f>
        <v>20</v>
      </c>
      <c r="G57" s="1">
        <f>MAX(G2:G53)</f>
        <v>10</v>
      </c>
      <c r="H57" s="1">
        <f>MAX(H2:H53)</f>
        <v>20</v>
      </c>
      <c r="I57" s="1">
        <f>MAX(I2:I53)</f>
        <v>10</v>
      </c>
      <c r="J57" s="1">
        <f>MAX(J2:J53)</f>
        <v>10</v>
      </c>
      <c r="K57" s="1">
        <f>MAX(K2:K53)</f>
        <v>10</v>
      </c>
      <c r="L57" s="1">
        <f>MAX(L2:L53)</f>
        <v>10</v>
      </c>
      <c r="M57" s="1">
        <f>MAX(M2:M53)</f>
        <v>10</v>
      </c>
      <c r="N57" s="1">
        <f>MAX(N2:N53)</f>
        <v>10</v>
      </c>
      <c r="O57" s="1">
        <f>MAX(O2:O53)</f>
        <v>11</v>
      </c>
      <c r="P57" s="1">
        <f>MAX(P2:P53)</f>
        <v>0</v>
      </c>
      <c r="Q57" s="1">
        <f>MAX(Q2:Q53)</f>
        <v>7</v>
      </c>
      <c r="R57" s="1">
        <f>MAX(R2:R53)</f>
        <v>10</v>
      </c>
      <c r="S57" s="1">
        <f>MAX(S2:S53)</f>
        <v>0</v>
      </c>
      <c r="T57" s="1">
        <f>MAX(T2:T53)</f>
        <v>7</v>
      </c>
      <c r="U57" s="1">
        <f>MAX(U2:U53)</f>
        <v>10</v>
      </c>
      <c r="V57" s="1">
        <f>MAX(V2:V53)</f>
        <v>0</v>
      </c>
      <c r="W57" s="1">
        <f>MAX(W2:W53)</f>
        <v>5</v>
      </c>
      <c r="X57" s="1">
        <f>MAX(X2:X53)</f>
        <v>10</v>
      </c>
      <c r="Y57" s="1">
        <f>MAX(Y2:Y53)</f>
        <v>0</v>
      </c>
      <c r="Z57" s="1">
        <f>MAX(Z2:Z53)</f>
        <v>5</v>
      </c>
      <c r="AA57" s="1">
        <f>MAX(AA2:AA53)</f>
        <v>10</v>
      </c>
      <c r="AB57" s="1">
        <f>MAX(AB2:AB53)</f>
        <v>0</v>
      </c>
      <c r="AC57" s="1">
        <f>MAX(AC2:AC53)</f>
        <v>5</v>
      </c>
      <c r="AD57" s="1">
        <f>MAX(AD2:AD53)</f>
        <v>10</v>
      </c>
      <c r="AE57" s="1">
        <f>MAX(AE2:AE53)</f>
        <v>200</v>
      </c>
      <c r="AF57" s="1">
        <f>MAX(AF2:AF53)</f>
        <v>5</v>
      </c>
      <c r="AG57" s="1">
        <f>MAX(AG2:AG53)</f>
        <v>5</v>
      </c>
      <c r="AH57" s="1">
        <f>MAX(AH2:AH53)</f>
        <v>5</v>
      </c>
      <c r="AI57" s="1">
        <f>MAX(AI2:AI53)</f>
        <v>5</v>
      </c>
      <c r="AJ57" s="1">
        <f>MAX(AJ2:AJ53)</f>
        <v>0</v>
      </c>
      <c r="AK57" s="1">
        <f>MAX(AK2:AK53)</f>
        <v>0</v>
      </c>
      <c r="AL57" s="1">
        <f>MAX(AL2:AL53)</f>
        <v>0</v>
      </c>
      <c r="AM57" s="1">
        <f>MAX(AM2:AM53)</f>
        <v>0</v>
      </c>
      <c r="AN57" s="1">
        <f>MAX(AN2:AN53)</f>
        <v>0</v>
      </c>
      <c r="AO57" s="1">
        <f>MAX(AO2:AO53)</f>
        <v>0</v>
      </c>
      <c r="AP57" s="1">
        <f>MAX(AP2:AP53)</f>
        <v>0</v>
      </c>
      <c r="AQ57" s="1">
        <f>MAX(AQ2:AQ53)</f>
        <v>10</v>
      </c>
      <c r="AR57" s="1">
        <f>MAX(AR2:AR53)</f>
        <v>40</v>
      </c>
      <c r="AS57" s="1">
        <f>MAX(AS2:AS53)</f>
        <v>40</v>
      </c>
      <c r="AT57" s="1">
        <f>MAX(AT2:AT53)</f>
        <v>40</v>
      </c>
      <c r="AU57" s="1">
        <f>MAX(AU2:AU53)</f>
        <v>10</v>
      </c>
      <c r="AV57" s="1">
        <f>MAX(AV2:AV53)</f>
        <v>20</v>
      </c>
      <c r="AW57" s="1">
        <f>MAX(AW2:AW53)</f>
        <v>40</v>
      </c>
      <c r="AX57" s="1">
        <f>MAX(AX2:AX53)</f>
        <v>40</v>
      </c>
      <c r="AY57" s="1">
        <f>MAX(AY2:AY53)</f>
        <v>40</v>
      </c>
      <c r="AZ57" s="1">
        <f>MAX(AZ2:AZ53)</f>
        <v>40</v>
      </c>
      <c r="BA57" s="1">
        <f>MAX(BA2:BA53)</f>
        <v>40</v>
      </c>
      <c r="BB57" s="1">
        <f>MAX(BB2:BB53)</f>
        <v>40</v>
      </c>
      <c r="BC57" s="1">
        <f>MAX(BC2:BC53)</f>
        <v>10</v>
      </c>
      <c r="BD57" s="1">
        <f>MAX(BD2:BD53)</f>
        <v>10</v>
      </c>
      <c r="BE57" s="1">
        <f>MAX(BE2:BE53)</f>
        <v>0</v>
      </c>
      <c r="BF57" s="1">
        <f>MAX(BF2:BF53)</f>
        <v>0</v>
      </c>
      <c r="BG57" s="1">
        <f>MAX(BG2:BG53)</f>
        <v>0</v>
      </c>
      <c r="BH57" s="1">
        <f>MAX(BH2:BH53)</f>
        <v>0</v>
      </c>
      <c r="BI57" s="1">
        <f>MAX(BI2:BI53)</f>
        <v>0</v>
      </c>
      <c r="BJ57" s="1">
        <f>MAX(BJ2:BJ53)</f>
        <v>0</v>
      </c>
      <c r="BK57" s="1">
        <f>MAX(BK2:BK53)</f>
        <v>0</v>
      </c>
      <c r="BL57" s="1">
        <f>MAX(BL2:BL53)</f>
        <v>0</v>
      </c>
      <c r="BM57" s="1">
        <f>MAX(BM2:BM53)</f>
        <v>50</v>
      </c>
      <c r="BN57" s="1">
        <f>MAX(BN2:BN53)</f>
        <v>50</v>
      </c>
      <c r="BO57" s="1">
        <f>MAX(BO2:BO53)</f>
        <v>50</v>
      </c>
      <c r="BP57" s="1">
        <f>MAX(BP2:BP53)</f>
        <v>50</v>
      </c>
      <c r="BQ57" s="1"/>
      <c r="BR57" s="1"/>
      <c r="BS57" s="17"/>
      <c r="BT57" s="17"/>
    </row>
    <row r="58" spans="1:74">
      <c r="A58" s="1"/>
      <c r="B58" s="3" t="s">
        <v>104</v>
      </c>
      <c r="C58" s="1"/>
      <c r="D58" s="1"/>
      <c r="E58" s="1">
        <f>MIN(E2:E53)</f>
        <v>10</v>
      </c>
      <c r="F58" s="1">
        <f>MIN(F2:F53)</f>
        <v>6</v>
      </c>
      <c r="G58" s="1">
        <f>MIN(G2:G53)</f>
        <v>10</v>
      </c>
      <c r="H58" s="1">
        <f>MIN(H2:H53)</f>
        <v>10</v>
      </c>
      <c r="I58" s="1">
        <f>MIN(I2:I53)</f>
        <v>10</v>
      </c>
      <c r="J58" s="1">
        <f>MIN(J2:J53)</f>
        <v>10</v>
      </c>
      <c r="K58" s="1">
        <f>MIN(K2:K53)</f>
        <v>5</v>
      </c>
      <c r="L58" s="1">
        <f>MIN(L2:L53)</f>
        <v>7</v>
      </c>
      <c r="M58" s="1">
        <f>MIN(M2:M53)</f>
        <v>10</v>
      </c>
      <c r="N58" s="1">
        <f>MIN(N2:N53)</f>
        <v>10</v>
      </c>
      <c r="O58" s="1">
        <f>MIN(O2:O53)</f>
        <v>10</v>
      </c>
      <c r="P58" s="1">
        <f>MIN(P2:P53)</f>
        <v>0</v>
      </c>
      <c r="Q58" s="1">
        <f>MIN(Q2:Q53)</f>
        <v>5</v>
      </c>
      <c r="R58" s="1">
        <f>MIN(R2:R53)</f>
        <v>2</v>
      </c>
      <c r="S58" s="1">
        <f>MIN(S2:S53)</f>
        <v>0</v>
      </c>
      <c r="T58" s="1">
        <f>MIN(T2:T53)</f>
        <v>5</v>
      </c>
      <c r="U58" s="1">
        <f>MIN(U2:U53)</f>
        <v>10</v>
      </c>
      <c r="V58" s="1">
        <f>MIN(V2:V53)</f>
        <v>0</v>
      </c>
      <c r="W58" s="1">
        <f>MIN(W2:W53)</f>
        <v>5</v>
      </c>
      <c r="X58" s="1">
        <f>MIN(X2:X53)</f>
        <v>7</v>
      </c>
      <c r="Y58" s="1">
        <f>MIN(Y2:Y53)</f>
        <v>0</v>
      </c>
      <c r="Z58" s="1">
        <f>MIN(Z2:Z53)</f>
        <v>5</v>
      </c>
      <c r="AA58" s="1">
        <f>MIN(AA2:AA53)</f>
        <v>10</v>
      </c>
      <c r="AB58" s="1">
        <f>MIN(AB2:AB53)</f>
        <v>0</v>
      </c>
      <c r="AC58" s="1">
        <f>MIN(AC2:AC53)</f>
        <v>5</v>
      </c>
      <c r="AD58" s="1">
        <f>MIN(AD2:AD53)</f>
        <v>10</v>
      </c>
      <c r="AE58" s="1">
        <f>MIN(AE2:AE53)</f>
        <v>50</v>
      </c>
      <c r="AF58" s="1">
        <f>MIN(AF2:AF53)</f>
        <v>5</v>
      </c>
      <c r="AG58" s="1">
        <f>MIN(AG2:AG53)</f>
        <v>5</v>
      </c>
      <c r="AH58" s="1">
        <f>MIN(AH2:AH53)</f>
        <v>5</v>
      </c>
      <c r="AI58" s="1">
        <f>MIN(AI2:AI53)</f>
        <v>5</v>
      </c>
      <c r="AJ58" s="1">
        <f>MIN(AJ2:AJ53)</f>
        <v>0</v>
      </c>
      <c r="AK58" s="1">
        <f>MIN(AK2:AK53)</f>
        <v>0</v>
      </c>
      <c r="AL58" s="1">
        <f>MIN(AL2:AL53)</f>
        <v>0</v>
      </c>
      <c r="AM58" s="1">
        <f>MIN(AM2:AM53)</f>
        <v>0</v>
      </c>
      <c r="AN58" s="1">
        <f>MIN(AN2:AN53)</f>
        <v>0</v>
      </c>
      <c r="AO58" s="1">
        <f>MIN(AO2:AO53)</f>
        <v>0</v>
      </c>
      <c r="AP58" s="1">
        <f>MIN(AP2:AP53)</f>
        <v>0</v>
      </c>
      <c r="AQ58" s="1">
        <f>MIN(AQ2:AQ53)</f>
        <v>5</v>
      </c>
      <c r="AR58" s="1">
        <f>MIN(AR2:AR53)</f>
        <v>10</v>
      </c>
      <c r="AS58" s="1">
        <f>MIN(AS2:AS53)</f>
        <v>10</v>
      </c>
      <c r="AT58" s="1">
        <f>MIN(AT2:AT53)</f>
        <v>10</v>
      </c>
      <c r="AU58" s="1">
        <f>MIN(AU2:AU53)</f>
        <v>10</v>
      </c>
      <c r="AV58" s="1">
        <f>MIN(AV2:AV53)</f>
        <v>10</v>
      </c>
      <c r="AW58" s="1">
        <f>MIN(AW2:AW53)</f>
        <v>40</v>
      </c>
      <c r="AX58" s="1">
        <f>MIN(AX2:AX53)</f>
        <v>5</v>
      </c>
      <c r="AY58" s="1">
        <f>MIN(AY2:AY53)</f>
        <v>40</v>
      </c>
      <c r="AZ58" s="1">
        <f>MIN(AZ2:AZ53)</f>
        <v>40</v>
      </c>
      <c r="BA58" s="1">
        <f>MIN(BA2:BA53)</f>
        <v>10</v>
      </c>
      <c r="BB58" s="1">
        <f>MIN(BB2:BB53)</f>
        <v>40</v>
      </c>
      <c r="BC58" s="1">
        <f>MIN(BC2:BC53)</f>
        <v>10</v>
      </c>
      <c r="BD58" s="1">
        <f>MIN(BD2:BD53)</f>
        <v>10</v>
      </c>
      <c r="BE58" s="1">
        <f>MIN(BE2:BE53)</f>
        <v>0</v>
      </c>
      <c r="BF58" s="1">
        <f>MIN(BF2:BF53)</f>
        <v>0</v>
      </c>
      <c r="BG58" s="1">
        <f>MIN(BG2:BG53)</f>
        <v>0</v>
      </c>
      <c r="BH58" s="1">
        <f>MIN(BH2:BH53)</f>
        <v>0</v>
      </c>
      <c r="BI58" s="1">
        <f>MIN(BI2:BI53)</f>
        <v>0</v>
      </c>
      <c r="BJ58" s="1">
        <f>MIN(BJ2:BJ53)</f>
        <v>0</v>
      </c>
      <c r="BK58" s="1">
        <f>MIN(BK2:BK53)</f>
        <v>0</v>
      </c>
      <c r="BL58" s="1">
        <f>MIN(BL2:BL53)</f>
        <v>0</v>
      </c>
      <c r="BM58" s="1">
        <f>MIN(BM2:BM53)</f>
        <v>50</v>
      </c>
      <c r="BN58" s="1">
        <f>MIN(BN2:BN53)</f>
        <v>50</v>
      </c>
      <c r="BO58" s="1">
        <f>MIN(BO2:BO53)</f>
        <v>50</v>
      </c>
      <c r="BP58" s="1">
        <f>MIN(BP2:BP53)</f>
        <v>50</v>
      </c>
      <c r="BQ58" s="1"/>
      <c r="BR58" s="1"/>
      <c r="BS58" s="17"/>
      <c r="BT58" s="17"/>
    </row>
    <row r="59" spans="1:74">
      <c r="A59" s="1"/>
      <c r="B59" s="3" t="s">
        <v>105</v>
      </c>
      <c r="C59" s="1"/>
      <c r="D59" s="1"/>
      <c r="E59" s="1">
        <f>E55-E57</f>
        <v>63</v>
      </c>
      <c r="F59" s="1">
        <f>F55-F57</f>
        <v>161</v>
      </c>
      <c r="G59" s="1">
        <f>G55-G57</f>
        <v>8</v>
      </c>
      <c r="H59" s="1">
        <f>H55-H57</f>
        <v>22</v>
      </c>
      <c r="I59" s="1">
        <f>I55-I57</f>
        <v>201</v>
      </c>
      <c r="J59" s="1">
        <f>J55-J57</f>
        <v>153</v>
      </c>
      <c r="K59" s="1">
        <f>K55-K57</f>
        <v>121</v>
      </c>
      <c r="L59" s="1">
        <f>L55-L57</f>
        <v>144</v>
      </c>
      <c r="M59" s="1">
        <f>M55-M57</f>
        <v>141</v>
      </c>
      <c r="N59" s="1">
        <f>N55-N57</f>
        <v>243</v>
      </c>
      <c r="O59" s="1">
        <f>O55-O57</f>
        <v>140</v>
      </c>
      <c r="P59" s="1">
        <f>P55-P57</f>
        <v>1781</v>
      </c>
      <c r="Q59" s="1">
        <f>Q55-Q57</f>
        <v>702</v>
      </c>
      <c r="R59" s="1">
        <f>R55-R57</f>
        <v>146</v>
      </c>
      <c r="S59" s="1">
        <f>S55-S57</f>
        <v>1760</v>
      </c>
      <c r="T59" s="1">
        <f>T55-T57</f>
        <v>629</v>
      </c>
      <c r="U59" s="1">
        <f>U55-U57</f>
        <v>235</v>
      </c>
      <c r="V59" s="1">
        <f>V55-V57</f>
        <v>1825</v>
      </c>
      <c r="W59" s="1">
        <f>W55-W57</f>
        <v>534</v>
      </c>
      <c r="X59" s="1">
        <f>X55-X57</f>
        <v>108</v>
      </c>
      <c r="Y59" s="1">
        <f>Y55-Y57</f>
        <v>1862</v>
      </c>
      <c r="Z59" s="1">
        <f>Z55-Z57</f>
        <v>693</v>
      </c>
      <c r="AA59" s="1">
        <f>AA55-AA57</f>
        <v>97</v>
      </c>
      <c r="AB59" s="1">
        <f>AB55-AB57</f>
        <v>1937</v>
      </c>
      <c r="AC59" s="1">
        <f>AC55-AC57</f>
        <v>700</v>
      </c>
      <c r="AD59" s="1">
        <f>AD55-AD57</f>
        <v>122</v>
      </c>
      <c r="AE59" s="1">
        <f>AE55-AE57</f>
        <v>-152</v>
      </c>
      <c r="AF59" s="1">
        <f>AF55-AF57</f>
        <v>20</v>
      </c>
      <c r="AG59" s="1">
        <f>AG55-AG57</f>
        <v>28</v>
      </c>
      <c r="AH59" s="1">
        <f>AH55-AH57</f>
        <v>-3</v>
      </c>
      <c r="AI59" s="1">
        <f>AI55-AI57</f>
        <v>1</v>
      </c>
      <c r="AJ59" s="1">
        <f>AJ55-AJ57</f>
        <v>13</v>
      </c>
      <c r="AK59" s="1">
        <f>AK55-AK57</f>
        <v>23</v>
      </c>
      <c r="AL59" s="1">
        <f>AL55-AL57</f>
        <v>33</v>
      </c>
      <c r="AM59" s="1">
        <f>AM55-AM57</f>
        <v>0</v>
      </c>
      <c r="AN59" s="1">
        <f>AN55-AN57</f>
        <v>11</v>
      </c>
      <c r="AO59" s="1">
        <f>AO55-AO57</f>
        <v>0</v>
      </c>
      <c r="AP59" s="1">
        <f>AP55-AP57</f>
        <v>8</v>
      </c>
      <c r="AQ59" s="1">
        <f>AQ55-AQ57</f>
        <v>33</v>
      </c>
      <c r="AR59" s="1">
        <f>AR55-AR57</f>
        <v>23</v>
      </c>
      <c r="AS59" s="1">
        <f>AS55-AS57</f>
        <v>25</v>
      </c>
      <c r="AT59" s="1">
        <f>AT55-AT57</f>
        <v>60</v>
      </c>
      <c r="AU59" s="1">
        <f>AU55-AU57</f>
        <v>84</v>
      </c>
      <c r="AV59" s="1">
        <f>AV55-AV57</f>
        <v>66</v>
      </c>
      <c r="AW59" s="1">
        <f>AW55-AW57</f>
        <v>0</v>
      </c>
      <c r="AX59" s="1">
        <f>AX55-AX57</f>
        <v>65</v>
      </c>
      <c r="AY59" s="1">
        <f>AY55-AY57</f>
        <v>17</v>
      </c>
      <c r="AZ59" s="1">
        <f>AZ55-AZ57</f>
        <v>40</v>
      </c>
      <c r="BA59" s="1">
        <f>BA55-BA57</f>
        <v>30</v>
      </c>
      <c r="BB59" s="1">
        <f>BB55-BB57</f>
        <v>2</v>
      </c>
      <c r="BC59" s="1">
        <f>BC55-BC57</f>
        <v>5</v>
      </c>
      <c r="BD59" s="1">
        <f>BD55-BD57</f>
        <v>-3</v>
      </c>
      <c r="BE59" s="1">
        <f>BE55-BE57</f>
        <v>255</v>
      </c>
      <c r="BF59" s="1">
        <f>BF55-BF57</f>
        <v>396</v>
      </c>
      <c r="BG59" s="1">
        <f>BG55-BG57</f>
        <v>312</v>
      </c>
      <c r="BH59" s="1">
        <f>BH55-BH57</f>
        <v>330</v>
      </c>
      <c r="BI59" s="1">
        <f>BI55-BI57</f>
        <v>162</v>
      </c>
      <c r="BJ59" s="1">
        <f>BJ55-BJ57</f>
        <v>195</v>
      </c>
      <c r="BK59" s="1">
        <f>BK55-BK57</f>
        <v>131</v>
      </c>
      <c r="BL59" s="1">
        <f>BL55-BL57</f>
        <v>127</v>
      </c>
      <c r="BM59" s="1">
        <f>BM55-BM57</f>
        <v>274</v>
      </c>
      <c r="BN59" s="1">
        <f>BN55-BN57</f>
        <v>91</v>
      </c>
      <c r="BO59" s="1">
        <f>BO55-BO57</f>
        <v>-30</v>
      </c>
      <c r="BP59" s="1">
        <f>BP55-BP57</f>
        <v>167</v>
      </c>
      <c r="BQ59" s="1"/>
      <c r="BR59" s="1"/>
      <c r="BS59" s="17"/>
      <c r="BT59" s="17"/>
    </row>
    <row r="60" spans="1:74" s="13" customFormat="1">
      <c r="A60" s="1"/>
      <c r="B60" s="3" t="s">
        <v>106</v>
      </c>
      <c r="C60" s="1"/>
      <c r="D60" s="1"/>
      <c r="E60" s="1">
        <f>E55-E58</f>
        <v>63</v>
      </c>
      <c r="F60" s="1">
        <f>F55-F58</f>
        <v>175</v>
      </c>
      <c r="G60" s="1">
        <f>G55-G58</f>
        <v>8</v>
      </c>
      <c r="H60" s="1">
        <f>H55-H58</f>
        <v>32</v>
      </c>
      <c r="I60" s="1">
        <f>I55-I58</f>
        <v>201</v>
      </c>
      <c r="J60" s="1">
        <f>J55-J58</f>
        <v>153</v>
      </c>
      <c r="K60" s="1">
        <f>K55-K58</f>
        <v>126</v>
      </c>
      <c r="L60" s="1">
        <f>L55-L58</f>
        <v>147</v>
      </c>
      <c r="M60" s="1">
        <f>M55-M58</f>
        <v>141</v>
      </c>
      <c r="N60" s="1">
        <f>N55-N58</f>
        <v>243</v>
      </c>
      <c r="O60" s="1">
        <f>O55-O58</f>
        <v>141</v>
      </c>
      <c r="P60" s="1">
        <f>P55-P58</f>
        <v>1781</v>
      </c>
      <c r="Q60" s="1">
        <f>Q55-Q58</f>
        <v>704</v>
      </c>
      <c r="R60" s="1">
        <f>R55-R58</f>
        <v>154</v>
      </c>
      <c r="S60" s="1">
        <f>S55-S58</f>
        <v>1760</v>
      </c>
      <c r="T60" s="1">
        <f>T55-T58</f>
        <v>631</v>
      </c>
      <c r="U60" s="1">
        <f>U55-U58</f>
        <v>235</v>
      </c>
      <c r="V60" s="1">
        <f>V55-V58</f>
        <v>1825</v>
      </c>
      <c r="W60" s="1">
        <f>W55-W58</f>
        <v>534</v>
      </c>
      <c r="X60" s="1">
        <f>X55-X58</f>
        <v>111</v>
      </c>
      <c r="Y60" s="1">
        <f>Y55-Y58</f>
        <v>1862</v>
      </c>
      <c r="Z60" s="1">
        <f>Z55-Z58</f>
        <v>693</v>
      </c>
      <c r="AA60" s="1">
        <f>AA55-AA58</f>
        <v>97</v>
      </c>
      <c r="AB60" s="1">
        <f>AB55-AB58</f>
        <v>1937</v>
      </c>
      <c r="AC60" s="1">
        <f>AC55-AC58</f>
        <v>700</v>
      </c>
      <c r="AD60" s="1">
        <f>AD55-AD58</f>
        <v>122</v>
      </c>
      <c r="AE60" s="1">
        <f>AE55-AE58</f>
        <v>-2</v>
      </c>
      <c r="AF60" s="1">
        <f>AF55-AF58</f>
        <v>20</v>
      </c>
      <c r="AG60" s="1">
        <f>AG55-AG58</f>
        <v>28</v>
      </c>
      <c r="AH60" s="1">
        <f>AH55-AH58</f>
        <v>-3</v>
      </c>
      <c r="AI60" s="1">
        <f>AI55-AI58</f>
        <v>1</v>
      </c>
      <c r="AJ60" s="1">
        <f>AJ55-AJ58</f>
        <v>13</v>
      </c>
      <c r="AK60" s="1">
        <f>AK55-AK58</f>
        <v>23</v>
      </c>
      <c r="AL60" s="1">
        <f>AL55-AL58</f>
        <v>33</v>
      </c>
      <c r="AM60" s="1">
        <f>AM55-AM58</f>
        <v>0</v>
      </c>
      <c r="AN60" s="1">
        <f>AN55-AN58</f>
        <v>11</v>
      </c>
      <c r="AO60" s="1">
        <f>AO55-AO58</f>
        <v>0</v>
      </c>
      <c r="AP60" s="1">
        <f>AP55-AP58</f>
        <v>8</v>
      </c>
      <c r="AQ60" s="1">
        <f>AQ55-AQ58</f>
        <v>38</v>
      </c>
      <c r="AR60" s="1">
        <f>AR55-AR58</f>
        <v>53</v>
      </c>
      <c r="AS60" s="1">
        <f>AS55-AS58</f>
        <v>55</v>
      </c>
      <c r="AT60" s="1">
        <f>AT55-AT58</f>
        <v>90</v>
      </c>
      <c r="AU60" s="1">
        <f>AU55-AU58</f>
        <v>84</v>
      </c>
      <c r="AV60" s="1">
        <f>AV55-AV58</f>
        <v>76</v>
      </c>
      <c r="AW60" s="1">
        <f>AW55-AW58</f>
        <v>0</v>
      </c>
      <c r="AX60" s="1">
        <f>AX55-AX58</f>
        <v>100</v>
      </c>
      <c r="AY60" s="1">
        <f>AY55-AY58</f>
        <v>17</v>
      </c>
      <c r="AZ60" s="1">
        <f>AZ55-AZ58</f>
        <v>40</v>
      </c>
      <c r="BA60" s="1">
        <f>BA55-BA58</f>
        <v>60</v>
      </c>
      <c r="BB60" s="1">
        <f>BB55-BB58</f>
        <v>2</v>
      </c>
      <c r="BC60" s="1">
        <f>BC55-BC58</f>
        <v>5</v>
      </c>
      <c r="BD60" s="1">
        <f>BD55-BD58</f>
        <v>-3</v>
      </c>
      <c r="BE60" s="1">
        <f>BE55-BE58</f>
        <v>255</v>
      </c>
      <c r="BF60" s="1">
        <f>BF55-BF58</f>
        <v>396</v>
      </c>
      <c r="BG60" s="1">
        <f>BG55-BG58</f>
        <v>312</v>
      </c>
      <c r="BH60" s="1">
        <f>BH55-BH58</f>
        <v>330</v>
      </c>
      <c r="BI60" s="1">
        <f>BI55-BI58</f>
        <v>162</v>
      </c>
      <c r="BJ60" s="1">
        <f>BJ55-BJ58</f>
        <v>195</v>
      </c>
      <c r="BK60" s="1">
        <f>BK55-BK58</f>
        <v>131</v>
      </c>
      <c r="BL60" s="1">
        <f>BL55-BL58</f>
        <v>127</v>
      </c>
      <c r="BM60" s="1">
        <f>BM55-BM58</f>
        <v>274</v>
      </c>
      <c r="BN60" s="1">
        <f>BN55-BN58</f>
        <v>91</v>
      </c>
      <c r="BO60" s="1">
        <f>BO55-BO58</f>
        <v>-30</v>
      </c>
      <c r="BP60" s="1">
        <f>BP55-BP58</f>
        <v>167</v>
      </c>
      <c r="BQ60" s="1"/>
      <c r="BR60" s="1"/>
      <c r="BS60" s="17"/>
      <c r="BT60" s="17"/>
    </row>
    <row r="61" spans="1:74">
      <c r="AQ61" s="7" t="s">
        <v>120</v>
      </c>
      <c r="AR61" s="7" t="s">
        <v>123</v>
      </c>
      <c r="AS61" s="7" t="s">
        <v>124</v>
      </c>
      <c r="AT61" s="7" t="s">
        <v>121</v>
      </c>
      <c r="AU61" s="7" t="s">
        <v>122</v>
      </c>
      <c r="AV61" s="7" t="s">
        <v>119</v>
      </c>
      <c r="AW61" s="7" t="s">
        <v>125</v>
      </c>
      <c r="AX61" s="7" t="s">
        <v>126</v>
      </c>
      <c r="AY61" s="7" t="s">
        <v>127</v>
      </c>
      <c r="AZ61" s="7" t="s">
        <v>128</v>
      </c>
      <c r="BA61" s="7" t="s">
        <v>129</v>
      </c>
      <c r="BB61" s="7" t="s">
        <v>130</v>
      </c>
    </row>
  </sheetData>
  <autoFilter ref="A1:BV61">
    <sortState ref="A2:BV61">
      <sortCondition ref="BS2:BS61"/>
      <sortCondition ref="BR2:BR61"/>
    </sortState>
  </autoFilter>
  <sortState ref="A2:CT148">
    <sortCondition ref="BS2:BS148"/>
    <sortCondition ref="BR2:BR148"/>
  </sortState>
  <phoneticPr fontId="1" type="noConversion"/>
  <conditionalFormatting sqref="E57:BC57 BE57:BP57">
    <cfRule type="expression" dxfId="13" priority="13">
      <formula>"&lt;=$E$135"</formula>
    </cfRule>
  </conditionalFormatting>
  <conditionalFormatting sqref="E59:BC60 BE59:BP60">
    <cfRule type="cellIs" dxfId="12" priority="4" operator="lessThan">
      <formula>0</formula>
    </cfRule>
  </conditionalFormatting>
  <conditionalFormatting sqref="E56:BC56 BE56:BP56">
    <cfRule type="cellIs" dxfId="11" priority="5" operator="lessThan">
      <formula>0</formula>
    </cfRule>
  </conditionalFormatting>
  <conditionalFormatting sqref="BD57">
    <cfRule type="expression" dxfId="10" priority="3">
      <formula>"&lt;=$E$135"</formula>
    </cfRule>
  </conditionalFormatting>
  <conditionalFormatting sqref="BD59:BD60">
    <cfRule type="cellIs" dxfId="9" priority="1" operator="lessThan">
      <formula>0</formula>
    </cfRule>
  </conditionalFormatting>
  <conditionalFormatting sqref="BD56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60</xdr:row>
                    <xdr:rowOff>28575</xdr:rowOff>
                  </from>
                  <to>
                    <xdr:col>1</xdr:col>
                    <xdr:colOff>428625</xdr:colOff>
                    <xdr:row>61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5" t="s">
        <v>56</v>
      </c>
      <c r="B1" s="45" t="s">
        <v>57</v>
      </c>
      <c r="C1" s="45" t="s">
        <v>59</v>
      </c>
      <c r="D1" s="45" t="s">
        <v>58</v>
      </c>
      <c r="E1" s="46" t="s">
        <v>1</v>
      </c>
      <c r="F1" s="46" t="s">
        <v>2</v>
      </c>
      <c r="G1" s="46" t="s">
        <v>10</v>
      </c>
      <c r="H1" s="46" t="s">
        <v>18</v>
      </c>
      <c r="I1" s="46" t="s">
        <v>19</v>
      </c>
      <c r="J1" s="46" t="s">
        <v>55</v>
      </c>
      <c r="K1" s="46" t="s">
        <v>20</v>
      </c>
      <c r="L1" s="46" t="s">
        <v>35</v>
      </c>
      <c r="M1" s="46" t="s">
        <v>37</v>
      </c>
      <c r="N1" s="46" t="s">
        <v>40</v>
      </c>
      <c r="O1" s="46" t="s">
        <v>36</v>
      </c>
      <c r="P1" s="47" t="s">
        <v>82</v>
      </c>
      <c r="Q1" s="47" t="s">
        <v>93</v>
      </c>
      <c r="R1" s="47" t="s">
        <v>88</v>
      </c>
      <c r="S1" s="47" t="s">
        <v>83</v>
      </c>
      <c r="T1" s="47" t="s">
        <v>91</v>
      </c>
      <c r="U1" s="47" t="s">
        <v>95</v>
      </c>
      <c r="V1" s="47" t="s">
        <v>84</v>
      </c>
      <c r="W1" s="47" t="s">
        <v>90</v>
      </c>
      <c r="X1" s="47" t="s">
        <v>89</v>
      </c>
      <c r="Y1" s="47" t="s">
        <v>85</v>
      </c>
      <c r="Z1" s="47" t="s">
        <v>92</v>
      </c>
      <c r="AA1" s="47" t="s">
        <v>96</v>
      </c>
      <c r="AB1" s="47" t="s">
        <v>87</v>
      </c>
      <c r="AC1" s="47" t="s">
        <v>86</v>
      </c>
      <c r="AD1" s="47" t="s">
        <v>100</v>
      </c>
      <c r="AE1" s="45" t="s">
        <v>7</v>
      </c>
      <c r="AF1" s="45" t="s">
        <v>23</v>
      </c>
      <c r="AG1" s="45" t="s">
        <v>24</v>
      </c>
      <c r="AH1" s="45" t="s">
        <v>48</v>
      </c>
      <c r="AI1" s="45" t="s">
        <v>49</v>
      </c>
      <c r="AJ1" s="45" t="s">
        <v>50</v>
      </c>
      <c r="AK1" s="45" t="s">
        <v>51</v>
      </c>
      <c r="AL1" s="45" t="s">
        <v>52</v>
      </c>
      <c r="AM1" s="45" t="s">
        <v>41</v>
      </c>
      <c r="AN1" s="45" t="s">
        <v>42</v>
      </c>
      <c r="AO1" s="45" t="s">
        <v>74</v>
      </c>
      <c r="AP1" s="45" t="s">
        <v>75</v>
      </c>
      <c r="AQ1" s="48" t="s">
        <v>33</v>
      </c>
      <c r="AR1" s="48" t="s">
        <v>3</v>
      </c>
      <c r="AS1" s="48" t="s">
        <v>22</v>
      </c>
      <c r="AT1" s="48" t="s">
        <v>44</v>
      </c>
      <c r="AU1" s="48" t="s">
        <v>46</v>
      </c>
      <c r="AV1" s="48" t="s">
        <v>39</v>
      </c>
      <c r="AW1" s="49" t="s">
        <v>4</v>
      </c>
      <c r="AX1" s="49" t="s">
        <v>5</v>
      </c>
      <c r="AY1" s="49" t="s">
        <v>34</v>
      </c>
      <c r="AZ1" s="49" t="s">
        <v>6</v>
      </c>
      <c r="BA1" s="49" t="s">
        <v>38</v>
      </c>
      <c r="BB1" s="49" t="s">
        <v>9</v>
      </c>
      <c r="BC1" s="50" t="s">
        <v>72</v>
      </c>
      <c r="BD1" s="45" t="s">
        <v>140</v>
      </c>
      <c r="BE1" s="45" t="s">
        <v>14</v>
      </c>
      <c r="BF1" s="45" t="s">
        <v>13</v>
      </c>
      <c r="BG1" s="45" t="s">
        <v>11</v>
      </c>
      <c r="BH1" s="45" t="s">
        <v>12</v>
      </c>
      <c r="BI1" s="45" t="s">
        <v>15</v>
      </c>
      <c r="BJ1" s="45" t="s">
        <v>16</v>
      </c>
      <c r="BK1" s="45" t="s">
        <v>26</v>
      </c>
      <c r="BL1" s="45" t="s">
        <v>27</v>
      </c>
      <c r="BM1" s="45" t="s">
        <v>28</v>
      </c>
      <c r="BN1" s="45" t="s">
        <v>29</v>
      </c>
      <c r="BO1" s="45" t="s">
        <v>30</v>
      </c>
      <c r="BP1" s="45" t="s">
        <v>31</v>
      </c>
      <c r="BQ1" s="51" t="s">
        <v>63</v>
      </c>
      <c r="BR1" s="45" t="s">
        <v>64</v>
      </c>
      <c r="BS1" s="52" t="s">
        <v>65</v>
      </c>
      <c r="BT1" s="52"/>
      <c r="BU1" s="53" t="s">
        <v>135</v>
      </c>
      <c r="BV1" s="53"/>
    </row>
    <row r="2" spans="1:74" s="60" customFormat="1">
      <c r="A2" s="58"/>
      <c r="B2" s="59" t="s">
        <v>132</v>
      </c>
      <c r="C2" s="59" t="s">
        <v>21</v>
      </c>
      <c r="D2" s="58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58"/>
      <c r="AF2" s="58"/>
      <c r="AG2" s="58"/>
      <c r="AH2" s="58"/>
      <c r="AI2" s="58"/>
      <c r="AJ2" s="58"/>
      <c r="AK2" s="58"/>
      <c r="AL2" s="58"/>
      <c r="AM2" s="58"/>
      <c r="AN2" s="58"/>
      <c r="AO2" s="58"/>
      <c r="AP2" s="58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5"/>
      <c r="BD2" s="58"/>
      <c r="BE2" s="58"/>
      <c r="BF2" s="58"/>
      <c r="BG2" s="58"/>
      <c r="BH2" s="58"/>
      <c r="BI2" s="58"/>
      <c r="BJ2" s="58"/>
      <c r="BK2" s="58"/>
      <c r="BL2" s="58"/>
      <c r="BM2" s="58"/>
      <c r="BN2" s="58"/>
      <c r="BO2" s="58"/>
      <c r="BP2" s="58"/>
      <c r="BQ2" s="58">
        <f t="shared" ref="BQ2:BQ3" si="0">SUM(E2:BP2)</f>
        <v>35</v>
      </c>
      <c r="BR2" s="58">
        <v>2</v>
      </c>
      <c r="BS2" s="22">
        <v>1</v>
      </c>
      <c r="BT2" s="22" t="s">
        <v>154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58"/>
      <c r="B3" s="59" t="s">
        <v>132</v>
      </c>
      <c r="C3" s="59" t="s">
        <v>21</v>
      </c>
      <c r="D3" s="58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8"/>
      <c r="Q3" s="28">
        <v>5</v>
      </c>
      <c r="R3" s="28"/>
      <c r="S3" s="28"/>
      <c r="T3" s="28">
        <v>5</v>
      </c>
      <c r="U3" s="28"/>
      <c r="V3" s="28"/>
      <c r="W3" s="28"/>
      <c r="X3" s="28">
        <v>2</v>
      </c>
      <c r="Y3" s="28"/>
      <c r="Z3" s="28">
        <v>5</v>
      </c>
      <c r="AA3" s="28"/>
      <c r="AB3" s="28"/>
      <c r="AC3" s="28"/>
      <c r="AD3" s="28"/>
      <c r="AE3" s="58"/>
      <c r="AF3" s="58"/>
      <c r="AG3" s="58"/>
      <c r="AH3" s="58"/>
      <c r="AI3" s="58"/>
      <c r="AJ3" s="58"/>
      <c r="AK3" s="58"/>
      <c r="AL3" s="58"/>
      <c r="AM3" s="58"/>
      <c r="AN3" s="58"/>
      <c r="AO3" s="58"/>
      <c r="AP3" s="58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5"/>
      <c r="BD3" s="58"/>
      <c r="BE3" s="58"/>
      <c r="BF3" s="58"/>
      <c r="BG3" s="58"/>
      <c r="BH3" s="58"/>
      <c r="BI3" s="58"/>
      <c r="BJ3" s="58"/>
      <c r="BK3" s="58"/>
      <c r="BL3" s="58"/>
      <c r="BM3" s="58"/>
      <c r="BN3" s="58"/>
      <c r="BO3" s="58"/>
      <c r="BP3" s="58"/>
      <c r="BQ3" s="58">
        <f t="shared" si="0"/>
        <v>17</v>
      </c>
      <c r="BR3" s="58">
        <v>7</v>
      </c>
      <c r="BS3" s="22">
        <v>2</v>
      </c>
      <c r="BT3" s="22" t="s">
        <v>151</v>
      </c>
      <c r="BU3" s="23">
        <f t="shared" si="1"/>
        <v>17</v>
      </c>
      <c r="BV3" s="23">
        <f t="shared" si="2"/>
        <v>0</v>
      </c>
    </row>
    <row r="4" spans="1:74" s="23" customFormat="1" ht="27">
      <c r="A4" s="58"/>
      <c r="B4" s="59" t="s">
        <v>132</v>
      </c>
      <c r="C4" s="59" t="s">
        <v>21</v>
      </c>
      <c r="D4" s="58" t="s">
        <v>131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>
        <v>10</v>
      </c>
      <c r="AB4" s="28"/>
      <c r="AC4" s="28"/>
      <c r="AD4" s="28">
        <v>10</v>
      </c>
      <c r="AE4" s="58"/>
      <c r="AF4" s="58"/>
      <c r="AG4" s="58"/>
      <c r="AH4" s="58"/>
      <c r="AI4" s="58"/>
      <c r="AJ4" s="58"/>
      <c r="AK4" s="58"/>
      <c r="AL4" s="58"/>
      <c r="AM4" s="58"/>
      <c r="AN4" s="58"/>
      <c r="AO4" s="58"/>
      <c r="AP4" s="58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5"/>
      <c r="BD4" s="58"/>
      <c r="BE4" s="58"/>
      <c r="BF4" s="58"/>
      <c r="BG4" s="58"/>
      <c r="BH4" s="58"/>
      <c r="BI4" s="58"/>
      <c r="BJ4" s="58"/>
      <c r="BK4" s="58"/>
      <c r="BL4" s="58"/>
      <c r="BM4" s="58"/>
      <c r="BN4" s="58"/>
      <c r="BO4" s="58"/>
      <c r="BP4" s="58"/>
      <c r="BQ4" s="58">
        <f t="shared" ref="BQ4:BQ5" si="3">SUM(E4:BP4)</f>
        <v>40</v>
      </c>
      <c r="BR4" s="58">
        <v>19</v>
      </c>
      <c r="BS4" s="22">
        <v>2</v>
      </c>
      <c r="BT4" s="22" t="s">
        <v>152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58"/>
      <c r="B5" s="59" t="s">
        <v>147</v>
      </c>
      <c r="C5" s="59" t="s">
        <v>134</v>
      </c>
      <c r="D5" s="58" t="s">
        <v>131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8"/>
      <c r="Q5" s="28"/>
      <c r="R5" s="28"/>
      <c r="S5" s="28"/>
      <c r="T5" s="28"/>
      <c r="U5" s="28"/>
      <c r="V5" s="28"/>
      <c r="W5" s="28"/>
      <c r="X5" s="28">
        <v>10</v>
      </c>
      <c r="Y5" s="28"/>
      <c r="Z5" s="28"/>
      <c r="AA5" s="28"/>
      <c r="AB5" s="28"/>
      <c r="AC5" s="28"/>
      <c r="AD5" s="28">
        <v>10</v>
      </c>
      <c r="AE5" s="58"/>
      <c r="AF5" s="58"/>
      <c r="AG5" s="58"/>
      <c r="AH5" s="58"/>
      <c r="AI5" s="58"/>
      <c r="AJ5" s="58"/>
      <c r="AK5" s="58"/>
      <c r="AL5" s="58"/>
      <c r="AM5" s="58"/>
      <c r="AN5" s="58"/>
      <c r="AO5" s="58"/>
      <c r="AP5" s="58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5"/>
      <c r="BD5" s="58"/>
      <c r="BE5" s="58"/>
      <c r="BF5" s="58"/>
      <c r="BG5" s="58"/>
      <c r="BH5" s="58"/>
      <c r="BI5" s="58"/>
      <c r="BJ5" s="58"/>
      <c r="BK5" s="58"/>
      <c r="BL5" s="58"/>
      <c r="BM5" s="58"/>
      <c r="BN5" s="58"/>
      <c r="BO5" s="58"/>
      <c r="BP5" s="58"/>
      <c r="BQ5" s="58">
        <f t="shared" si="3"/>
        <v>40</v>
      </c>
      <c r="BR5" s="58">
        <v>30</v>
      </c>
      <c r="BS5" s="22">
        <v>3</v>
      </c>
      <c r="BT5" s="22" t="s">
        <v>155</v>
      </c>
      <c r="BU5" s="23">
        <f t="shared" si="4"/>
        <v>20</v>
      </c>
      <c r="BV5" s="23">
        <f t="shared" si="5"/>
        <v>0</v>
      </c>
    </row>
    <row r="6" spans="1:74">
      <c r="A6" s="54"/>
      <c r="B6" s="54" t="s">
        <v>47</v>
      </c>
      <c r="C6" s="54"/>
      <c r="D6" s="54"/>
      <c r="E6" s="36">
        <f t="shared" ref="E6:AJ6" si="6">SUM(E2:E5)</f>
        <v>0</v>
      </c>
      <c r="F6" s="36">
        <f t="shared" si="6"/>
        <v>0</v>
      </c>
      <c r="G6" s="36">
        <f t="shared" si="6"/>
        <v>10</v>
      </c>
      <c r="H6" s="36">
        <f t="shared" si="6"/>
        <v>0</v>
      </c>
      <c r="I6" s="36">
        <f t="shared" si="6"/>
        <v>0</v>
      </c>
      <c r="J6" s="36">
        <f t="shared" si="6"/>
        <v>0</v>
      </c>
      <c r="K6" s="36">
        <f t="shared" si="6"/>
        <v>0</v>
      </c>
      <c r="L6" s="36">
        <f t="shared" si="6"/>
        <v>0</v>
      </c>
      <c r="M6" s="36">
        <f t="shared" si="6"/>
        <v>10</v>
      </c>
      <c r="N6" s="36">
        <f t="shared" si="6"/>
        <v>0</v>
      </c>
      <c r="O6" s="36">
        <f t="shared" si="6"/>
        <v>0</v>
      </c>
      <c r="P6" s="37">
        <f t="shared" si="6"/>
        <v>10</v>
      </c>
      <c r="Q6" s="37">
        <f t="shared" si="6"/>
        <v>5</v>
      </c>
      <c r="R6" s="37">
        <f t="shared" si="6"/>
        <v>0</v>
      </c>
      <c r="S6" s="37">
        <f t="shared" si="6"/>
        <v>10</v>
      </c>
      <c r="T6" s="37">
        <f t="shared" si="6"/>
        <v>5</v>
      </c>
      <c r="U6" s="37">
        <f t="shared" si="6"/>
        <v>0</v>
      </c>
      <c r="V6" s="37">
        <f t="shared" si="6"/>
        <v>0</v>
      </c>
      <c r="W6" s="37">
        <f t="shared" si="6"/>
        <v>5</v>
      </c>
      <c r="X6" s="37">
        <f t="shared" si="6"/>
        <v>12</v>
      </c>
      <c r="Y6" s="37">
        <f t="shared" si="6"/>
        <v>0</v>
      </c>
      <c r="Z6" s="37">
        <f t="shared" si="6"/>
        <v>5</v>
      </c>
      <c r="AA6" s="37">
        <f t="shared" si="6"/>
        <v>10</v>
      </c>
      <c r="AB6" s="37">
        <f t="shared" si="6"/>
        <v>10</v>
      </c>
      <c r="AC6" s="37">
        <f t="shared" si="6"/>
        <v>0</v>
      </c>
      <c r="AD6" s="37">
        <f t="shared" si="6"/>
        <v>20</v>
      </c>
      <c r="AE6" s="54">
        <f t="shared" si="6"/>
        <v>0</v>
      </c>
      <c r="AF6" s="54">
        <f t="shared" si="6"/>
        <v>0</v>
      </c>
      <c r="AG6" s="54">
        <f t="shared" si="6"/>
        <v>0</v>
      </c>
      <c r="AH6" s="54">
        <f t="shared" si="6"/>
        <v>0</v>
      </c>
      <c r="AI6" s="54">
        <f t="shared" si="6"/>
        <v>0</v>
      </c>
      <c r="AJ6" s="54">
        <f t="shared" si="6"/>
        <v>0</v>
      </c>
      <c r="AK6" s="54">
        <f t="shared" ref="AK6:BP6" si="7">SUM(AK2:AK5)</f>
        <v>0</v>
      </c>
      <c r="AL6" s="54">
        <f t="shared" si="7"/>
        <v>0</v>
      </c>
      <c r="AM6" s="54">
        <f t="shared" si="7"/>
        <v>0</v>
      </c>
      <c r="AN6" s="54">
        <f t="shared" si="7"/>
        <v>0</v>
      </c>
      <c r="AO6" s="54">
        <f t="shared" si="7"/>
        <v>0</v>
      </c>
      <c r="AP6" s="54">
        <f t="shared" si="7"/>
        <v>0</v>
      </c>
      <c r="AQ6" s="38">
        <f t="shared" si="7"/>
        <v>0</v>
      </c>
      <c r="AR6" s="38">
        <f t="shared" si="7"/>
        <v>0</v>
      </c>
      <c r="AS6" s="38">
        <f t="shared" si="7"/>
        <v>10</v>
      </c>
      <c r="AT6" s="38">
        <f t="shared" si="7"/>
        <v>0</v>
      </c>
      <c r="AU6" s="38">
        <f t="shared" si="7"/>
        <v>0</v>
      </c>
      <c r="AV6" s="38">
        <f t="shared" si="7"/>
        <v>10</v>
      </c>
      <c r="AW6" s="39">
        <f t="shared" si="7"/>
        <v>0</v>
      </c>
      <c r="AX6" s="39">
        <f t="shared" si="7"/>
        <v>0</v>
      </c>
      <c r="AY6" s="39">
        <f t="shared" si="7"/>
        <v>0</v>
      </c>
      <c r="AZ6" s="39">
        <f t="shared" si="7"/>
        <v>0</v>
      </c>
      <c r="BA6" s="39">
        <f t="shared" si="7"/>
        <v>0</v>
      </c>
      <c r="BB6" s="39">
        <f t="shared" si="7"/>
        <v>0</v>
      </c>
      <c r="BC6" s="54">
        <f t="shared" si="7"/>
        <v>0</v>
      </c>
      <c r="BD6" s="54">
        <f t="shared" si="7"/>
        <v>0</v>
      </c>
      <c r="BE6" s="54">
        <f t="shared" si="7"/>
        <v>0</v>
      </c>
      <c r="BF6" s="54">
        <f t="shared" si="7"/>
        <v>0</v>
      </c>
      <c r="BG6" s="54">
        <f t="shared" si="7"/>
        <v>0</v>
      </c>
      <c r="BH6" s="54">
        <f t="shared" si="7"/>
        <v>0</v>
      </c>
      <c r="BI6" s="54">
        <f t="shared" si="7"/>
        <v>0</v>
      </c>
      <c r="BJ6" s="54">
        <f t="shared" si="7"/>
        <v>0</v>
      </c>
      <c r="BK6" s="54">
        <f t="shared" si="7"/>
        <v>0</v>
      </c>
      <c r="BL6" s="54">
        <f t="shared" si="7"/>
        <v>0</v>
      </c>
      <c r="BM6" s="54">
        <f t="shared" si="7"/>
        <v>0</v>
      </c>
      <c r="BN6" s="54">
        <f t="shared" si="7"/>
        <v>0</v>
      </c>
      <c r="BO6" s="54">
        <f t="shared" si="7"/>
        <v>0</v>
      </c>
      <c r="BP6" s="54">
        <f t="shared" si="7"/>
        <v>0</v>
      </c>
      <c r="BQ6" s="54"/>
      <c r="BR6" s="54"/>
      <c r="BS6" s="41"/>
      <c r="BT6" s="41"/>
      <c r="BU6" s="42"/>
      <c r="BV6" s="42"/>
    </row>
    <row r="7" spans="1:74">
      <c r="A7" s="54"/>
      <c r="B7" s="55" t="s">
        <v>62</v>
      </c>
      <c r="C7" s="54"/>
      <c r="D7" s="54"/>
      <c r="E7" s="54">
        <v>14</v>
      </c>
      <c r="F7" s="54">
        <v>67</v>
      </c>
      <c r="G7" s="54">
        <v>0</v>
      </c>
      <c r="H7" s="54">
        <v>0</v>
      </c>
      <c r="I7" s="54">
        <v>130</v>
      </c>
      <c r="J7" s="54">
        <v>130</v>
      </c>
      <c r="K7" s="54">
        <v>102</v>
      </c>
      <c r="L7" s="54">
        <v>86</v>
      </c>
      <c r="M7" s="54">
        <v>93</v>
      </c>
      <c r="N7" s="54">
        <v>153</v>
      </c>
      <c r="O7" s="54">
        <v>77</v>
      </c>
      <c r="P7" s="40">
        <v>268</v>
      </c>
      <c r="Q7" s="40">
        <v>97</v>
      </c>
      <c r="R7" s="40">
        <v>30</v>
      </c>
      <c r="S7" s="40">
        <v>328</v>
      </c>
      <c r="T7" s="40">
        <v>114</v>
      </c>
      <c r="U7" s="40">
        <v>31</v>
      </c>
      <c r="V7" s="40">
        <v>229</v>
      </c>
      <c r="W7" s="40">
        <v>100</v>
      </c>
      <c r="X7" s="40">
        <v>22</v>
      </c>
      <c r="Y7" s="40">
        <v>223</v>
      </c>
      <c r="Z7" s="40">
        <v>108</v>
      </c>
      <c r="AA7" s="40">
        <v>23</v>
      </c>
      <c r="AB7" s="40">
        <v>315</v>
      </c>
      <c r="AC7" s="40">
        <v>87</v>
      </c>
      <c r="AD7" s="40">
        <v>18</v>
      </c>
      <c r="AE7" s="54">
        <v>28</v>
      </c>
      <c r="AF7" s="54">
        <v>3</v>
      </c>
      <c r="AG7" s="54">
        <v>3</v>
      </c>
      <c r="AH7" s="54">
        <v>0</v>
      </c>
      <c r="AI7" s="54">
        <v>0</v>
      </c>
      <c r="AJ7" s="54">
        <v>0</v>
      </c>
      <c r="AK7" s="54">
        <v>23</v>
      </c>
      <c r="AL7" s="54">
        <v>33</v>
      </c>
      <c r="AM7" s="54">
        <v>0</v>
      </c>
      <c r="AN7" s="54">
        <v>7</v>
      </c>
      <c r="AO7" s="54">
        <v>2</v>
      </c>
      <c r="AP7" s="54">
        <v>6</v>
      </c>
      <c r="AQ7" s="40">
        <v>66</v>
      </c>
      <c r="AR7" s="40">
        <v>25</v>
      </c>
      <c r="AS7" s="40">
        <v>56</v>
      </c>
      <c r="AT7" s="40">
        <v>40</v>
      </c>
      <c r="AU7" s="40">
        <v>31</v>
      </c>
      <c r="AV7" s="40">
        <v>146</v>
      </c>
      <c r="AW7" s="40">
        <v>34</v>
      </c>
      <c r="AX7" s="40">
        <v>58</v>
      </c>
      <c r="AY7" s="40">
        <v>0</v>
      </c>
      <c r="AZ7" s="40">
        <v>6</v>
      </c>
      <c r="BA7" s="40">
        <v>15</v>
      </c>
      <c r="BB7" s="40">
        <v>14</v>
      </c>
      <c r="BC7" s="40">
        <v>3</v>
      </c>
      <c r="BD7" s="54">
        <v>2</v>
      </c>
      <c r="BE7" s="54">
        <v>255</v>
      </c>
      <c r="BF7" s="54">
        <v>396</v>
      </c>
      <c r="BG7" s="54">
        <v>312</v>
      </c>
      <c r="BH7" s="54">
        <v>330</v>
      </c>
      <c r="BI7" s="54">
        <v>162</v>
      </c>
      <c r="BJ7" s="54">
        <v>195</v>
      </c>
      <c r="BK7" s="54">
        <v>131</v>
      </c>
      <c r="BL7" s="54">
        <v>127</v>
      </c>
      <c r="BM7" s="54">
        <v>241</v>
      </c>
      <c r="BN7" s="54">
        <v>101</v>
      </c>
      <c r="BO7" s="54">
        <v>3</v>
      </c>
      <c r="BP7" s="54">
        <v>73</v>
      </c>
      <c r="BQ7" s="54"/>
      <c r="BR7" s="54"/>
      <c r="BS7" s="41"/>
      <c r="BT7" s="41"/>
      <c r="BU7" s="42"/>
      <c r="BV7" s="42"/>
    </row>
    <row r="8" spans="1:74">
      <c r="A8" s="54"/>
      <c r="B8" s="55" t="s">
        <v>69</v>
      </c>
      <c r="C8" s="54"/>
      <c r="D8" s="54"/>
      <c r="E8" s="54">
        <f t="shared" ref="E8:BP8" si="8">E7-E6</f>
        <v>14</v>
      </c>
      <c r="F8" s="54">
        <f t="shared" si="8"/>
        <v>67</v>
      </c>
      <c r="G8" s="54">
        <f t="shared" si="8"/>
        <v>-10</v>
      </c>
      <c r="H8" s="54">
        <f t="shared" si="8"/>
        <v>0</v>
      </c>
      <c r="I8" s="54">
        <f t="shared" si="8"/>
        <v>130</v>
      </c>
      <c r="J8" s="54">
        <f t="shared" si="8"/>
        <v>130</v>
      </c>
      <c r="K8" s="54">
        <f t="shared" si="8"/>
        <v>102</v>
      </c>
      <c r="L8" s="54">
        <f t="shared" si="8"/>
        <v>86</v>
      </c>
      <c r="M8" s="54">
        <f t="shared" si="8"/>
        <v>83</v>
      </c>
      <c r="N8" s="54">
        <f t="shared" si="8"/>
        <v>153</v>
      </c>
      <c r="O8" s="54">
        <f t="shared" si="8"/>
        <v>77</v>
      </c>
      <c r="P8" s="54">
        <f t="shared" si="8"/>
        <v>258</v>
      </c>
      <c r="Q8" s="54">
        <f t="shared" si="8"/>
        <v>92</v>
      </c>
      <c r="R8" s="54">
        <f t="shared" si="8"/>
        <v>30</v>
      </c>
      <c r="S8" s="54">
        <f t="shared" si="8"/>
        <v>318</v>
      </c>
      <c r="T8" s="54">
        <f t="shared" si="8"/>
        <v>109</v>
      </c>
      <c r="U8" s="54">
        <f t="shared" si="8"/>
        <v>31</v>
      </c>
      <c r="V8" s="54">
        <f t="shared" si="8"/>
        <v>229</v>
      </c>
      <c r="W8" s="54">
        <f t="shared" si="8"/>
        <v>95</v>
      </c>
      <c r="X8" s="54">
        <f t="shared" si="8"/>
        <v>10</v>
      </c>
      <c r="Y8" s="54">
        <f t="shared" si="8"/>
        <v>223</v>
      </c>
      <c r="Z8" s="54">
        <f t="shared" si="8"/>
        <v>103</v>
      </c>
      <c r="AA8" s="54">
        <f t="shared" si="8"/>
        <v>13</v>
      </c>
      <c r="AB8" s="54">
        <f t="shared" si="8"/>
        <v>305</v>
      </c>
      <c r="AC8" s="54">
        <f t="shared" si="8"/>
        <v>87</v>
      </c>
      <c r="AD8" s="54">
        <f t="shared" si="8"/>
        <v>-2</v>
      </c>
      <c r="AE8" s="54">
        <f t="shared" si="8"/>
        <v>28</v>
      </c>
      <c r="AF8" s="54">
        <f t="shared" si="8"/>
        <v>3</v>
      </c>
      <c r="AG8" s="54">
        <f t="shared" si="8"/>
        <v>3</v>
      </c>
      <c r="AH8" s="54">
        <f t="shared" si="8"/>
        <v>0</v>
      </c>
      <c r="AI8" s="54">
        <f t="shared" si="8"/>
        <v>0</v>
      </c>
      <c r="AJ8" s="54">
        <f t="shared" si="8"/>
        <v>0</v>
      </c>
      <c r="AK8" s="54">
        <f t="shared" si="8"/>
        <v>23</v>
      </c>
      <c r="AL8" s="54">
        <f t="shared" si="8"/>
        <v>33</v>
      </c>
      <c r="AM8" s="54">
        <f t="shared" si="8"/>
        <v>0</v>
      </c>
      <c r="AN8" s="54">
        <f t="shared" si="8"/>
        <v>7</v>
      </c>
      <c r="AO8" s="54">
        <f t="shared" si="8"/>
        <v>2</v>
      </c>
      <c r="AP8" s="54">
        <f t="shared" si="8"/>
        <v>6</v>
      </c>
      <c r="AQ8" s="54">
        <f t="shared" si="8"/>
        <v>66</v>
      </c>
      <c r="AR8" s="54">
        <f t="shared" si="8"/>
        <v>25</v>
      </c>
      <c r="AS8" s="54">
        <f t="shared" si="8"/>
        <v>46</v>
      </c>
      <c r="AT8" s="54">
        <f t="shared" si="8"/>
        <v>40</v>
      </c>
      <c r="AU8" s="54">
        <f t="shared" si="8"/>
        <v>31</v>
      </c>
      <c r="AV8" s="54">
        <f t="shared" si="8"/>
        <v>136</v>
      </c>
      <c r="AW8" s="54">
        <f t="shared" si="8"/>
        <v>34</v>
      </c>
      <c r="AX8" s="54">
        <f t="shared" si="8"/>
        <v>58</v>
      </c>
      <c r="AY8" s="54">
        <f t="shared" si="8"/>
        <v>0</v>
      </c>
      <c r="AZ8" s="54">
        <f t="shared" si="8"/>
        <v>6</v>
      </c>
      <c r="BA8" s="54">
        <f t="shared" si="8"/>
        <v>15</v>
      </c>
      <c r="BB8" s="54">
        <f t="shared" si="8"/>
        <v>14</v>
      </c>
      <c r="BC8" s="54">
        <f t="shared" si="8"/>
        <v>3</v>
      </c>
      <c r="BD8" s="54">
        <f t="shared" si="8"/>
        <v>2</v>
      </c>
      <c r="BE8" s="54">
        <f t="shared" si="8"/>
        <v>255</v>
      </c>
      <c r="BF8" s="54">
        <f t="shared" si="8"/>
        <v>396</v>
      </c>
      <c r="BG8" s="54">
        <f t="shared" si="8"/>
        <v>312</v>
      </c>
      <c r="BH8" s="54">
        <f t="shared" si="8"/>
        <v>330</v>
      </c>
      <c r="BI8" s="54">
        <f t="shared" si="8"/>
        <v>162</v>
      </c>
      <c r="BJ8" s="54">
        <f t="shared" si="8"/>
        <v>195</v>
      </c>
      <c r="BK8" s="54">
        <f t="shared" si="8"/>
        <v>131</v>
      </c>
      <c r="BL8" s="54">
        <f t="shared" si="8"/>
        <v>127</v>
      </c>
      <c r="BM8" s="54">
        <f t="shared" si="8"/>
        <v>241</v>
      </c>
      <c r="BN8" s="54">
        <f t="shared" si="8"/>
        <v>101</v>
      </c>
      <c r="BO8" s="54">
        <f t="shared" si="8"/>
        <v>3</v>
      </c>
      <c r="BP8" s="54">
        <f t="shared" si="8"/>
        <v>73</v>
      </c>
      <c r="BQ8" s="54"/>
      <c r="BR8" s="54"/>
      <c r="BS8" s="41"/>
      <c r="BT8" s="41"/>
      <c r="BU8" s="42"/>
      <c r="BV8" s="42"/>
    </row>
    <row r="9" spans="1:74">
      <c r="A9" s="54"/>
      <c r="B9" s="55" t="s">
        <v>103</v>
      </c>
      <c r="C9" s="54"/>
      <c r="D9" s="54"/>
      <c r="E9" s="54">
        <f t="shared" ref="E9:AJ9" si="9">MAX(E2:E5)</f>
        <v>0</v>
      </c>
      <c r="F9" s="54">
        <f t="shared" si="9"/>
        <v>0</v>
      </c>
      <c r="G9" s="54">
        <f t="shared" si="9"/>
        <v>10</v>
      </c>
      <c r="H9" s="54">
        <f t="shared" si="9"/>
        <v>0</v>
      </c>
      <c r="I9" s="54">
        <f t="shared" si="9"/>
        <v>0</v>
      </c>
      <c r="J9" s="54">
        <f t="shared" si="9"/>
        <v>0</v>
      </c>
      <c r="K9" s="54">
        <f t="shared" si="9"/>
        <v>0</v>
      </c>
      <c r="L9" s="54">
        <f t="shared" si="9"/>
        <v>0</v>
      </c>
      <c r="M9" s="54">
        <f t="shared" si="9"/>
        <v>10</v>
      </c>
      <c r="N9" s="54">
        <f t="shared" si="9"/>
        <v>0</v>
      </c>
      <c r="O9" s="54">
        <f t="shared" si="9"/>
        <v>0</v>
      </c>
      <c r="P9" s="54">
        <f t="shared" si="9"/>
        <v>10</v>
      </c>
      <c r="Q9" s="54">
        <f t="shared" si="9"/>
        <v>5</v>
      </c>
      <c r="R9" s="54">
        <f t="shared" si="9"/>
        <v>0</v>
      </c>
      <c r="S9" s="54">
        <f t="shared" si="9"/>
        <v>10</v>
      </c>
      <c r="T9" s="54">
        <f t="shared" si="9"/>
        <v>5</v>
      </c>
      <c r="U9" s="54">
        <f t="shared" si="9"/>
        <v>0</v>
      </c>
      <c r="V9" s="54">
        <f t="shared" si="9"/>
        <v>0</v>
      </c>
      <c r="W9" s="54">
        <f t="shared" si="9"/>
        <v>5</v>
      </c>
      <c r="X9" s="54">
        <f t="shared" si="9"/>
        <v>10</v>
      </c>
      <c r="Y9" s="54">
        <f t="shared" si="9"/>
        <v>0</v>
      </c>
      <c r="Z9" s="54">
        <f t="shared" si="9"/>
        <v>5</v>
      </c>
      <c r="AA9" s="54">
        <f t="shared" si="9"/>
        <v>10</v>
      </c>
      <c r="AB9" s="54">
        <f t="shared" si="9"/>
        <v>10</v>
      </c>
      <c r="AC9" s="54">
        <f t="shared" si="9"/>
        <v>0</v>
      </c>
      <c r="AD9" s="54">
        <f t="shared" si="9"/>
        <v>10</v>
      </c>
      <c r="AE9" s="54">
        <f t="shared" si="9"/>
        <v>0</v>
      </c>
      <c r="AF9" s="54">
        <f t="shared" si="9"/>
        <v>0</v>
      </c>
      <c r="AG9" s="54">
        <f t="shared" si="9"/>
        <v>0</v>
      </c>
      <c r="AH9" s="54">
        <f t="shared" si="9"/>
        <v>0</v>
      </c>
      <c r="AI9" s="54">
        <f t="shared" si="9"/>
        <v>0</v>
      </c>
      <c r="AJ9" s="54">
        <f t="shared" si="9"/>
        <v>0</v>
      </c>
      <c r="AK9" s="54">
        <f t="shared" ref="AK9:BP9" si="10">MAX(AK2:AK5)</f>
        <v>0</v>
      </c>
      <c r="AL9" s="54">
        <f t="shared" si="10"/>
        <v>0</v>
      </c>
      <c r="AM9" s="54">
        <f t="shared" si="10"/>
        <v>0</v>
      </c>
      <c r="AN9" s="54">
        <f t="shared" si="10"/>
        <v>0</v>
      </c>
      <c r="AO9" s="54">
        <f t="shared" si="10"/>
        <v>0</v>
      </c>
      <c r="AP9" s="54">
        <f t="shared" si="10"/>
        <v>0</v>
      </c>
      <c r="AQ9" s="54">
        <f t="shared" si="10"/>
        <v>0</v>
      </c>
      <c r="AR9" s="54">
        <f t="shared" si="10"/>
        <v>0</v>
      </c>
      <c r="AS9" s="54">
        <f t="shared" si="10"/>
        <v>10</v>
      </c>
      <c r="AT9" s="54">
        <f t="shared" si="10"/>
        <v>0</v>
      </c>
      <c r="AU9" s="54">
        <f t="shared" si="10"/>
        <v>0</v>
      </c>
      <c r="AV9" s="54">
        <f t="shared" si="10"/>
        <v>10</v>
      </c>
      <c r="AW9" s="54">
        <f t="shared" si="10"/>
        <v>0</v>
      </c>
      <c r="AX9" s="54">
        <f t="shared" si="10"/>
        <v>0</v>
      </c>
      <c r="AY9" s="54">
        <f t="shared" si="10"/>
        <v>0</v>
      </c>
      <c r="AZ9" s="54">
        <f t="shared" si="10"/>
        <v>0</v>
      </c>
      <c r="BA9" s="54">
        <f t="shared" si="10"/>
        <v>0</v>
      </c>
      <c r="BB9" s="54">
        <f t="shared" si="10"/>
        <v>0</v>
      </c>
      <c r="BC9" s="54">
        <f t="shared" si="10"/>
        <v>0</v>
      </c>
      <c r="BD9" s="54">
        <f t="shared" si="10"/>
        <v>0</v>
      </c>
      <c r="BE9" s="54">
        <f t="shared" si="10"/>
        <v>0</v>
      </c>
      <c r="BF9" s="54">
        <f t="shared" si="10"/>
        <v>0</v>
      </c>
      <c r="BG9" s="54">
        <f t="shared" si="10"/>
        <v>0</v>
      </c>
      <c r="BH9" s="54">
        <f t="shared" si="10"/>
        <v>0</v>
      </c>
      <c r="BI9" s="54">
        <f t="shared" si="10"/>
        <v>0</v>
      </c>
      <c r="BJ9" s="54">
        <f t="shared" si="10"/>
        <v>0</v>
      </c>
      <c r="BK9" s="54">
        <f t="shared" si="10"/>
        <v>0</v>
      </c>
      <c r="BL9" s="54">
        <f t="shared" si="10"/>
        <v>0</v>
      </c>
      <c r="BM9" s="54">
        <f t="shared" si="10"/>
        <v>0</v>
      </c>
      <c r="BN9" s="54">
        <f t="shared" si="10"/>
        <v>0</v>
      </c>
      <c r="BO9" s="54">
        <f t="shared" si="10"/>
        <v>0</v>
      </c>
      <c r="BP9" s="54">
        <f t="shared" si="10"/>
        <v>0</v>
      </c>
      <c r="BQ9" s="54"/>
      <c r="BR9" s="54"/>
      <c r="BS9" s="41"/>
      <c r="BT9" s="41"/>
      <c r="BU9" s="42"/>
      <c r="BV9" s="42"/>
    </row>
    <row r="10" spans="1:74">
      <c r="A10" s="54"/>
      <c r="B10" s="55" t="s">
        <v>104</v>
      </c>
      <c r="C10" s="54"/>
      <c r="D10" s="54"/>
      <c r="E10" s="54">
        <f t="shared" ref="E10:AJ10" si="11">MIN(E2:E5)</f>
        <v>0</v>
      </c>
      <c r="F10" s="54">
        <f t="shared" si="11"/>
        <v>0</v>
      </c>
      <c r="G10" s="54">
        <f t="shared" si="11"/>
        <v>10</v>
      </c>
      <c r="H10" s="54">
        <f t="shared" si="11"/>
        <v>0</v>
      </c>
      <c r="I10" s="54">
        <f t="shared" si="11"/>
        <v>0</v>
      </c>
      <c r="J10" s="54">
        <f t="shared" si="11"/>
        <v>0</v>
      </c>
      <c r="K10" s="54">
        <f t="shared" si="11"/>
        <v>0</v>
      </c>
      <c r="L10" s="54">
        <f t="shared" si="11"/>
        <v>0</v>
      </c>
      <c r="M10" s="54">
        <f t="shared" si="11"/>
        <v>10</v>
      </c>
      <c r="N10" s="54">
        <f t="shared" si="11"/>
        <v>0</v>
      </c>
      <c r="O10" s="54">
        <f t="shared" si="11"/>
        <v>0</v>
      </c>
      <c r="P10" s="54">
        <f t="shared" si="11"/>
        <v>10</v>
      </c>
      <c r="Q10" s="54">
        <f t="shared" si="11"/>
        <v>5</v>
      </c>
      <c r="R10" s="54">
        <f t="shared" si="11"/>
        <v>0</v>
      </c>
      <c r="S10" s="54">
        <f t="shared" si="11"/>
        <v>10</v>
      </c>
      <c r="T10" s="54">
        <f t="shared" si="11"/>
        <v>5</v>
      </c>
      <c r="U10" s="54">
        <f t="shared" si="11"/>
        <v>0</v>
      </c>
      <c r="V10" s="54">
        <f t="shared" si="11"/>
        <v>0</v>
      </c>
      <c r="W10" s="54">
        <f t="shared" si="11"/>
        <v>5</v>
      </c>
      <c r="X10" s="54">
        <f t="shared" si="11"/>
        <v>2</v>
      </c>
      <c r="Y10" s="54">
        <f t="shared" si="11"/>
        <v>0</v>
      </c>
      <c r="Z10" s="54">
        <f t="shared" si="11"/>
        <v>5</v>
      </c>
      <c r="AA10" s="54">
        <f t="shared" si="11"/>
        <v>10</v>
      </c>
      <c r="AB10" s="54">
        <f t="shared" si="11"/>
        <v>10</v>
      </c>
      <c r="AC10" s="54">
        <f t="shared" si="11"/>
        <v>0</v>
      </c>
      <c r="AD10" s="54">
        <f t="shared" si="11"/>
        <v>10</v>
      </c>
      <c r="AE10" s="54">
        <f t="shared" si="11"/>
        <v>0</v>
      </c>
      <c r="AF10" s="54">
        <f t="shared" si="11"/>
        <v>0</v>
      </c>
      <c r="AG10" s="54">
        <f t="shared" si="11"/>
        <v>0</v>
      </c>
      <c r="AH10" s="54">
        <f t="shared" si="11"/>
        <v>0</v>
      </c>
      <c r="AI10" s="54">
        <f t="shared" si="11"/>
        <v>0</v>
      </c>
      <c r="AJ10" s="54">
        <f t="shared" si="11"/>
        <v>0</v>
      </c>
      <c r="AK10" s="54">
        <f t="shared" ref="AK10:BP10" si="12">MIN(AK2:AK5)</f>
        <v>0</v>
      </c>
      <c r="AL10" s="54">
        <f t="shared" si="12"/>
        <v>0</v>
      </c>
      <c r="AM10" s="54">
        <f t="shared" si="12"/>
        <v>0</v>
      </c>
      <c r="AN10" s="54">
        <f t="shared" si="12"/>
        <v>0</v>
      </c>
      <c r="AO10" s="54">
        <f t="shared" si="12"/>
        <v>0</v>
      </c>
      <c r="AP10" s="54">
        <f t="shared" si="12"/>
        <v>0</v>
      </c>
      <c r="AQ10" s="54">
        <f t="shared" si="12"/>
        <v>0</v>
      </c>
      <c r="AR10" s="54">
        <f t="shared" si="12"/>
        <v>0</v>
      </c>
      <c r="AS10" s="54">
        <f t="shared" si="12"/>
        <v>10</v>
      </c>
      <c r="AT10" s="54">
        <f t="shared" si="12"/>
        <v>0</v>
      </c>
      <c r="AU10" s="54">
        <f t="shared" si="12"/>
        <v>0</v>
      </c>
      <c r="AV10" s="54">
        <f t="shared" si="12"/>
        <v>10</v>
      </c>
      <c r="AW10" s="54">
        <f t="shared" si="12"/>
        <v>0</v>
      </c>
      <c r="AX10" s="54">
        <f t="shared" si="12"/>
        <v>0</v>
      </c>
      <c r="AY10" s="54">
        <f t="shared" si="12"/>
        <v>0</v>
      </c>
      <c r="AZ10" s="54">
        <f t="shared" si="12"/>
        <v>0</v>
      </c>
      <c r="BA10" s="54">
        <f t="shared" si="12"/>
        <v>0</v>
      </c>
      <c r="BB10" s="54">
        <f t="shared" si="12"/>
        <v>0</v>
      </c>
      <c r="BC10" s="54">
        <f t="shared" si="12"/>
        <v>0</v>
      </c>
      <c r="BD10" s="54">
        <f t="shared" si="12"/>
        <v>0</v>
      </c>
      <c r="BE10" s="54">
        <f t="shared" si="12"/>
        <v>0</v>
      </c>
      <c r="BF10" s="54">
        <f t="shared" si="12"/>
        <v>0</v>
      </c>
      <c r="BG10" s="54">
        <f t="shared" si="12"/>
        <v>0</v>
      </c>
      <c r="BH10" s="54">
        <f t="shared" si="12"/>
        <v>0</v>
      </c>
      <c r="BI10" s="54">
        <f t="shared" si="12"/>
        <v>0</v>
      </c>
      <c r="BJ10" s="54">
        <f t="shared" si="12"/>
        <v>0</v>
      </c>
      <c r="BK10" s="54">
        <f t="shared" si="12"/>
        <v>0</v>
      </c>
      <c r="BL10" s="54">
        <f t="shared" si="12"/>
        <v>0</v>
      </c>
      <c r="BM10" s="54">
        <f t="shared" si="12"/>
        <v>0</v>
      </c>
      <c r="BN10" s="54">
        <f t="shared" si="12"/>
        <v>0</v>
      </c>
      <c r="BO10" s="54">
        <f t="shared" si="12"/>
        <v>0</v>
      </c>
      <c r="BP10" s="54">
        <f t="shared" si="12"/>
        <v>0</v>
      </c>
      <c r="BQ10" s="54"/>
      <c r="BR10" s="54"/>
      <c r="BS10" s="41"/>
      <c r="BT10" s="41"/>
      <c r="BU10" s="42"/>
      <c r="BV10" s="42"/>
    </row>
    <row r="11" spans="1:74">
      <c r="A11" s="54"/>
      <c r="B11" s="55" t="s">
        <v>105</v>
      </c>
      <c r="C11" s="54"/>
      <c r="D11" s="54"/>
      <c r="E11" s="54">
        <f t="shared" ref="E11:BP11" si="13">E7-E9</f>
        <v>14</v>
      </c>
      <c r="F11" s="54">
        <f t="shared" si="13"/>
        <v>67</v>
      </c>
      <c r="G11" s="54">
        <f t="shared" si="13"/>
        <v>-10</v>
      </c>
      <c r="H11" s="54">
        <f t="shared" si="13"/>
        <v>0</v>
      </c>
      <c r="I11" s="54">
        <f t="shared" si="13"/>
        <v>130</v>
      </c>
      <c r="J11" s="54">
        <f t="shared" si="13"/>
        <v>130</v>
      </c>
      <c r="K11" s="54">
        <f t="shared" si="13"/>
        <v>102</v>
      </c>
      <c r="L11" s="54">
        <f t="shared" si="13"/>
        <v>86</v>
      </c>
      <c r="M11" s="54">
        <f t="shared" si="13"/>
        <v>83</v>
      </c>
      <c r="N11" s="54">
        <f t="shared" si="13"/>
        <v>153</v>
      </c>
      <c r="O11" s="54">
        <f t="shared" si="13"/>
        <v>77</v>
      </c>
      <c r="P11" s="54">
        <f t="shared" si="13"/>
        <v>258</v>
      </c>
      <c r="Q11" s="54">
        <f t="shared" si="13"/>
        <v>92</v>
      </c>
      <c r="R11" s="54">
        <f t="shared" si="13"/>
        <v>30</v>
      </c>
      <c r="S11" s="54">
        <f t="shared" si="13"/>
        <v>318</v>
      </c>
      <c r="T11" s="54">
        <f t="shared" si="13"/>
        <v>109</v>
      </c>
      <c r="U11" s="54">
        <f t="shared" si="13"/>
        <v>31</v>
      </c>
      <c r="V11" s="54">
        <f t="shared" si="13"/>
        <v>229</v>
      </c>
      <c r="W11" s="54">
        <f t="shared" si="13"/>
        <v>95</v>
      </c>
      <c r="X11" s="54">
        <f t="shared" si="13"/>
        <v>12</v>
      </c>
      <c r="Y11" s="54">
        <f t="shared" si="13"/>
        <v>223</v>
      </c>
      <c r="Z11" s="54">
        <f t="shared" si="13"/>
        <v>103</v>
      </c>
      <c r="AA11" s="54">
        <f t="shared" si="13"/>
        <v>13</v>
      </c>
      <c r="AB11" s="54">
        <f t="shared" si="13"/>
        <v>305</v>
      </c>
      <c r="AC11" s="54">
        <f t="shared" si="13"/>
        <v>87</v>
      </c>
      <c r="AD11" s="54">
        <f t="shared" si="13"/>
        <v>8</v>
      </c>
      <c r="AE11" s="54">
        <f t="shared" si="13"/>
        <v>28</v>
      </c>
      <c r="AF11" s="54">
        <f t="shared" si="13"/>
        <v>3</v>
      </c>
      <c r="AG11" s="54">
        <f t="shared" si="13"/>
        <v>3</v>
      </c>
      <c r="AH11" s="54">
        <f t="shared" si="13"/>
        <v>0</v>
      </c>
      <c r="AI11" s="54">
        <f t="shared" si="13"/>
        <v>0</v>
      </c>
      <c r="AJ11" s="54">
        <f t="shared" si="13"/>
        <v>0</v>
      </c>
      <c r="AK11" s="54">
        <f t="shared" si="13"/>
        <v>23</v>
      </c>
      <c r="AL11" s="54">
        <f t="shared" si="13"/>
        <v>33</v>
      </c>
      <c r="AM11" s="54">
        <f t="shared" si="13"/>
        <v>0</v>
      </c>
      <c r="AN11" s="54">
        <f t="shared" si="13"/>
        <v>7</v>
      </c>
      <c r="AO11" s="54">
        <f t="shared" si="13"/>
        <v>2</v>
      </c>
      <c r="AP11" s="54">
        <f t="shared" si="13"/>
        <v>6</v>
      </c>
      <c r="AQ11" s="54">
        <f t="shared" si="13"/>
        <v>66</v>
      </c>
      <c r="AR11" s="54">
        <f t="shared" si="13"/>
        <v>25</v>
      </c>
      <c r="AS11" s="54">
        <f t="shared" si="13"/>
        <v>46</v>
      </c>
      <c r="AT11" s="54">
        <f t="shared" si="13"/>
        <v>40</v>
      </c>
      <c r="AU11" s="54">
        <f t="shared" si="13"/>
        <v>31</v>
      </c>
      <c r="AV11" s="54">
        <f t="shared" si="13"/>
        <v>136</v>
      </c>
      <c r="AW11" s="54">
        <f t="shared" si="13"/>
        <v>34</v>
      </c>
      <c r="AX11" s="54">
        <f t="shared" si="13"/>
        <v>58</v>
      </c>
      <c r="AY11" s="54">
        <f t="shared" si="13"/>
        <v>0</v>
      </c>
      <c r="AZ11" s="54">
        <f t="shared" si="13"/>
        <v>6</v>
      </c>
      <c r="BA11" s="54">
        <f t="shared" si="13"/>
        <v>15</v>
      </c>
      <c r="BB11" s="54">
        <f t="shared" si="13"/>
        <v>14</v>
      </c>
      <c r="BC11" s="54">
        <f t="shared" si="13"/>
        <v>3</v>
      </c>
      <c r="BD11" s="54">
        <f t="shared" si="13"/>
        <v>2</v>
      </c>
      <c r="BE11" s="54">
        <f t="shared" si="13"/>
        <v>255</v>
      </c>
      <c r="BF11" s="54">
        <f t="shared" si="13"/>
        <v>396</v>
      </c>
      <c r="BG11" s="54">
        <f t="shared" si="13"/>
        <v>312</v>
      </c>
      <c r="BH11" s="54">
        <f t="shared" si="13"/>
        <v>330</v>
      </c>
      <c r="BI11" s="54">
        <f t="shared" si="13"/>
        <v>162</v>
      </c>
      <c r="BJ11" s="54">
        <f t="shared" si="13"/>
        <v>195</v>
      </c>
      <c r="BK11" s="54">
        <f t="shared" si="13"/>
        <v>131</v>
      </c>
      <c r="BL11" s="54">
        <f t="shared" si="13"/>
        <v>127</v>
      </c>
      <c r="BM11" s="54">
        <f t="shared" si="13"/>
        <v>241</v>
      </c>
      <c r="BN11" s="54">
        <f t="shared" si="13"/>
        <v>101</v>
      </c>
      <c r="BO11" s="54">
        <f t="shared" si="13"/>
        <v>3</v>
      </c>
      <c r="BP11" s="54">
        <f t="shared" si="13"/>
        <v>73</v>
      </c>
      <c r="BQ11" s="54"/>
      <c r="BR11" s="54"/>
      <c r="BS11" s="41"/>
      <c r="BT11" s="41"/>
      <c r="BU11" s="42"/>
      <c r="BV11" s="42"/>
    </row>
    <row r="12" spans="1:74" s="13" customFormat="1">
      <c r="A12" s="54"/>
      <c r="B12" s="55" t="s">
        <v>106</v>
      </c>
      <c r="C12" s="54"/>
      <c r="D12" s="54"/>
      <c r="E12" s="54">
        <f t="shared" ref="E12:BP12" si="14">E7-E10</f>
        <v>14</v>
      </c>
      <c r="F12" s="54">
        <f t="shared" si="14"/>
        <v>67</v>
      </c>
      <c r="G12" s="54">
        <f t="shared" si="14"/>
        <v>-10</v>
      </c>
      <c r="H12" s="54">
        <f t="shared" si="14"/>
        <v>0</v>
      </c>
      <c r="I12" s="54">
        <f t="shared" si="14"/>
        <v>130</v>
      </c>
      <c r="J12" s="54">
        <f t="shared" si="14"/>
        <v>130</v>
      </c>
      <c r="K12" s="54">
        <f t="shared" si="14"/>
        <v>102</v>
      </c>
      <c r="L12" s="54">
        <f t="shared" si="14"/>
        <v>86</v>
      </c>
      <c r="M12" s="54">
        <f t="shared" si="14"/>
        <v>83</v>
      </c>
      <c r="N12" s="54">
        <f t="shared" si="14"/>
        <v>153</v>
      </c>
      <c r="O12" s="54">
        <f t="shared" si="14"/>
        <v>77</v>
      </c>
      <c r="P12" s="54">
        <f t="shared" si="14"/>
        <v>258</v>
      </c>
      <c r="Q12" s="54">
        <f t="shared" si="14"/>
        <v>92</v>
      </c>
      <c r="R12" s="54">
        <f t="shared" si="14"/>
        <v>30</v>
      </c>
      <c r="S12" s="54">
        <f t="shared" si="14"/>
        <v>318</v>
      </c>
      <c r="T12" s="54">
        <f t="shared" si="14"/>
        <v>109</v>
      </c>
      <c r="U12" s="54">
        <f t="shared" si="14"/>
        <v>31</v>
      </c>
      <c r="V12" s="54">
        <f t="shared" si="14"/>
        <v>229</v>
      </c>
      <c r="W12" s="54">
        <f t="shared" si="14"/>
        <v>95</v>
      </c>
      <c r="X12" s="54">
        <f t="shared" si="14"/>
        <v>20</v>
      </c>
      <c r="Y12" s="54">
        <f t="shared" si="14"/>
        <v>223</v>
      </c>
      <c r="Z12" s="54">
        <f t="shared" si="14"/>
        <v>103</v>
      </c>
      <c r="AA12" s="54">
        <f t="shared" si="14"/>
        <v>13</v>
      </c>
      <c r="AB12" s="54">
        <f t="shared" si="14"/>
        <v>305</v>
      </c>
      <c r="AC12" s="54">
        <f t="shared" si="14"/>
        <v>87</v>
      </c>
      <c r="AD12" s="54">
        <f t="shared" si="14"/>
        <v>8</v>
      </c>
      <c r="AE12" s="54">
        <f t="shared" si="14"/>
        <v>28</v>
      </c>
      <c r="AF12" s="54">
        <f t="shared" si="14"/>
        <v>3</v>
      </c>
      <c r="AG12" s="54">
        <f t="shared" si="14"/>
        <v>3</v>
      </c>
      <c r="AH12" s="54">
        <f t="shared" si="14"/>
        <v>0</v>
      </c>
      <c r="AI12" s="54">
        <f t="shared" si="14"/>
        <v>0</v>
      </c>
      <c r="AJ12" s="54">
        <f t="shared" si="14"/>
        <v>0</v>
      </c>
      <c r="AK12" s="54">
        <f t="shared" si="14"/>
        <v>23</v>
      </c>
      <c r="AL12" s="54">
        <f t="shared" si="14"/>
        <v>33</v>
      </c>
      <c r="AM12" s="54">
        <f t="shared" si="14"/>
        <v>0</v>
      </c>
      <c r="AN12" s="54">
        <f t="shared" si="14"/>
        <v>7</v>
      </c>
      <c r="AO12" s="54">
        <f t="shared" si="14"/>
        <v>2</v>
      </c>
      <c r="AP12" s="54">
        <f t="shared" si="14"/>
        <v>6</v>
      </c>
      <c r="AQ12" s="54">
        <f t="shared" si="14"/>
        <v>66</v>
      </c>
      <c r="AR12" s="54">
        <f t="shared" si="14"/>
        <v>25</v>
      </c>
      <c r="AS12" s="54">
        <f t="shared" si="14"/>
        <v>46</v>
      </c>
      <c r="AT12" s="54">
        <f t="shared" si="14"/>
        <v>40</v>
      </c>
      <c r="AU12" s="54">
        <f t="shared" si="14"/>
        <v>31</v>
      </c>
      <c r="AV12" s="54">
        <f t="shared" si="14"/>
        <v>136</v>
      </c>
      <c r="AW12" s="54">
        <f t="shared" si="14"/>
        <v>34</v>
      </c>
      <c r="AX12" s="54">
        <f t="shared" si="14"/>
        <v>58</v>
      </c>
      <c r="AY12" s="54">
        <f t="shared" si="14"/>
        <v>0</v>
      </c>
      <c r="AZ12" s="54">
        <f t="shared" si="14"/>
        <v>6</v>
      </c>
      <c r="BA12" s="54">
        <f t="shared" si="14"/>
        <v>15</v>
      </c>
      <c r="BB12" s="54">
        <f t="shared" si="14"/>
        <v>14</v>
      </c>
      <c r="BC12" s="54">
        <f t="shared" si="14"/>
        <v>3</v>
      </c>
      <c r="BD12" s="54">
        <f t="shared" si="14"/>
        <v>2</v>
      </c>
      <c r="BE12" s="54">
        <f t="shared" si="14"/>
        <v>255</v>
      </c>
      <c r="BF12" s="54">
        <f t="shared" si="14"/>
        <v>396</v>
      </c>
      <c r="BG12" s="54">
        <f t="shared" si="14"/>
        <v>312</v>
      </c>
      <c r="BH12" s="54">
        <f t="shared" si="14"/>
        <v>330</v>
      </c>
      <c r="BI12" s="54">
        <f t="shared" si="14"/>
        <v>162</v>
      </c>
      <c r="BJ12" s="54">
        <f t="shared" si="14"/>
        <v>195</v>
      </c>
      <c r="BK12" s="54">
        <f t="shared" si="14"/>
        <v>131</v>
      </c>
      <c r="BL12" s="54">
        <f t="shared" si="14"/>
        <v>127</v>
      </c>
      <c r="BM12" s="54">
        <f t="shared" si="14"/>
        <v>241</v>
      </c>
      <c r="BN12" s="54">
        <f t="shared" si="14"/>
        <v>101</v>
      </c>
      <c r="BO12" s="54">
        <f t="shared" si="14"/>
        <v>3</v>
      </c>
      <c r="BP12" s="54">
        <f t="shared" si="14"/>
        <v>73</v>
      </c>
      <c r="BQ12" s="54"/>
      <c r="BR12" s="54"/>
      <c r="BS12" s="41"/>
      <c r="BT12" s="41"/>
      <c r="BU12" s="53"/>
      <c r="BV12" s="53"/>
    </row>
    <row r="13" spans="1:74">
      <c r="A13" s="42"/>
      <c r="B13" s="42"/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56"/>
      <c r="Q13" s="56"/>
      <c r="R13" s="56"/>
      <c r="S13" s="56"/>
      <c r="T13" s="56"/>
      <c r="U13" s="56"/>
      <c r="V13" s="56"/>
      <c r="W13" s="56"/>
      <c r="X13" s="56"/>
      <c r="Y13" s="56"/>
      <c r="Z13" s="56"/>
      <c r="AA13" s="56"/>
      <c r="AB13" s="56"/>
      <c r="AC13" s="56"/>
      <c r="AD13" s="56"/>
      <c r="AE13" s="42"/>
      <c r="AF13" s="42"/>
      <c r="AG13" s="42"/>
      <c r="AH13" s="42"/>
      <c r="AI13" s="42"/>
      <c r="AJ13" s="42"/>
      <c r="AK13" s="42"/>
      <c r="AL13" s="42"/>
      <c r="AM13" s="42"/>
      <c r="AN13" s="42"/>
      <c r="AO13" s="42"/>
      <c r="AP13" s="42"/>
      <c r="AQ13" s="56" t="s">
        <v>120</v>
      </c>
      <c r="AR13" s="56" t="s">
        <v>123</v>
      </c>
      <c r="AS13" s="56" t="s">
        <v>124</v>
      </c>
      <c r="AT13" s="56" t="s">
        <v>121</v>
      </c>
      <c r="AU13" s="56" t="s">
        <v>122</v>
      </c>
      <c r="AV13" s="56" t="s">
        <v>119</v>
      </c>
      <c r="AW13" s="56" t="s">
        <v>125</v>
      </c>
      <c r="AX13" s="56" t="s">
        <v>126</v>
      </c>
      <c r="AY13" s="56" t="s">
        <v>127</v>
      </c>
      <c r="AZ13" s="56" t="s">
        <v>128</v>
      </c>
      <c r="BA13" s="56" t="s">
        <v>129</v>
      </c>
      <c r="BB13" s="56" t="s">
        <v>130</v>
      </c>
      <c r="BC13" s="56"/>
      <c r="BD13" s="42"/>
      <c r="BE13" s="42"/>
      <c r="BF13" s="42"/>
      <c r="BG13" s="42"/>
      <c r="BH13" s="42"/>
      <c r="BI13" s="42"/>
      <c r="BJ13" s="42"/>
      <c r="BK13" s="42"/>
      <c r="BL13" s="42"/>
      <c r="BM13" s="42"/>
      <c r="BN13" s="42"/>
      <c r="BO13" s="42"/>
      <c r="BP13" s="42"/>
      <c r="BQ13" s="42"/>
      <c r="BR13" s="42"/>
      <c r="BS13" s="57"/>
      <c r="BT13" s="57"/>
      <c r="BU13" s="42"/>
      <c r="BV13" s="42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60</v>
      </c>
      <c r="B1" s="5" t="s">
        <v>57</v>
      </c>
      <c r="C1" s="5" t="s">
        <v>61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38</v>
      </c>
      <c r="C3" s="1">
        <v>120</v>
      </c>
    </row>
    <row r="4" spans="1:3">
      <c r="A4" s="1">
        <v>4</v>
      </c>
      <c r="B4" s="4" t="s">
        <v>39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44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46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44</v>
      </c>
      <c r="K19" s="10" t="s">
        <v>46</v>
      </c>
      <c r="L19" s="10" t="s">
        <v>39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38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107</v>
      </c>
      <c r="D27" t="s">
        <v>108</v>
      </c>
      <c r="E27" t="s">
        <v>109</v>
      </c>
      <c r="F27" t="s">
        <v>110</v>
      </c>
      <c r="G27" t="s">
        <v>111</v>
      </c>
      <c r="H27" t="s">
        <v>112</v>
      </c>
      <c r="I27" t="s">
        <v>113</v>
      </c>
      <c r="J27" t="s">
        <v>114</v>
      </c>
      <c r="K27" t="s">
        <v>115</v>
      </c>
      <c r="L27" t="s">
        <v>116</v>
      </c>
      <c r="M27" t="s">
        <v>117</v>
      </c>
      <c r="N27" t="s">
        <v>118</v>
      </c>
    </row>
    <row r="31" spans="3:18">
      <c r="C31">
        <v>-3</v>
      </c>
      <c r="D31" t="s">
        <v>107</v>
      </c>
    </row>
    <row r="32" spans="3:18">
      <c r="C32">
        <v>-8</v>
      </c>
      <c r="D32" t="s">
        <v>108</v>
      </c>
    </row>
    <row r="33" spans="3:4">
      <c r="C33">
        <v>-3</v>
      </c>
      <c r="D33" t="s">
        <v>109</v>
      </c>
    </row>
    <row r="34" spans="3:4">
      <c r="C34">
        <v>1</v>
      </c>
      <c r="D34" t="s">
        <v>110</v>
      </c>
    </row>
    <row r="35" spans="3:4">
      <c r="C35">
        <v>3</v>
      </c>
      <c r="D35" t="s">
        <v>111</v>
      </c>
    </row>
    <row r="36" spans="3:4">
      <c r="C36">
        <v>0</v>
      </c>
      <c r="D36" t="s">
        <v>112</v>
      </c>
    </row>
    <row r="37" spans="3:4">
      <c r="C37">
        <v>-3</v>
      </c>
      <c r="D37" t="s">
        <v>113</v>
      </c>
    </row>
    <row r="38" spans="3:4">
      <c r="C38">
        <v>30</v>
      </c>
      <c r="D38" t="s">
        <v>114</v>
      </c>
    </row>
    <row r="39" spans="3:4">
      <c r="C39">
        <v>5</v>
      </c>
      <c r="D39" t="s">
        <v>115</v>
      </c>
    </row>
    <row r="40" spans="3:4">
      <c r="C40">
        <v>-10</v>
      </c>
      <c r="D40" t="s">
        <v>116</v>
      </c>
    </row>
    <row r="41" spans="3:4">
      <c r="C41">
        <v>3</v>
      </c>
      <c r="D41" t="s">
        <v>117</v>
      </c>
    </row>
    <row r="42" spans="3:4">
      <c r="C42">
        <v>138</v>
      </c>
      <c r="D42" t="s">
        <v>118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66</v>
      </c>
      <c r="B1" s="8" t="s">
        <v>67</v>
      </c>
      <c r="C1" s="8" t="s">
        <v>68</v>
      </c>
    </row>
    <row r="2" spans="1:3">
      <c r="A2" s="1">
        <v>5</v>
      </c>
      <c r="B2" s="10" t="s">
        <v>46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44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38</v>
      </c>
      <c r="C12" s="1">
        <v>5</v>
      </c>
    </row>
    <row r="13" spans="1:3">
      <c r="A13" s="1">
        <v>6</v>
      </c>
      <c r="B13" s="10" t="s">
        <v>39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94"/>
  <sheetViews>
    <sheetView tabSelected="1" topLeftCell="A51" workbookViewId="0">
      <selection activeCell="D94" sqref="D94"/>
    </sheetView>
  </sheetViews>
  <sheetFormatPr defaultRowHeight="13.5"/>
  <cols>
    <col min="2" max="2" width="9" bestFit="1" customWidth="1"/>
    <col min="4" max="4" width="17.25" bestFit="1" customWidth="1"/>
  </cols>
  <sheetData>
    <row r="40" spans="2:14" ht="27">
      <c r="B40" s="16" t="s">
        <v>57</v>
      </c>
      <c r="C40" s="43" t="s">
        <v>33</v>
      </c>
      <c r="D40" s="43" t="s">
        <v>3</v>
      </c>
      <c r="E40" s="43" t="s">
        <v>22</v>
      </c>
      <c r="F40" s="43" t="s">
        <v>44</v>
      </c>
      <c r="G40" s="43" t="s">
        <v>46</v>
      </c>
      <c r="H40" s="43" t="s">
        <v>39</v>
      </c>
      <c r="I40" s="44" t="s">
        <v>4</v>
      </c>
      <c r="J40" s="44" t="s">
        <v>5</v>
      </c>
      <c r="K40" s="44" t="s">
        <v>34</v>
      </c>
      <c r="L40" s="44" t="s">
        <v>6</v>
      </c>
      <c r="M40" s="44" t="s">
        <v>38</v>
      </c>
      <c r="N40" s="44" t="s">
        <v>9</v>
      </c>
    </row>
    <row r="41" spans="2:14">
      <c r="B41" s="1" t="s">
        <v>47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62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69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103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104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105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106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  <row r="53" spans="3:8">
      <c r="C53" t="s">
        <v>228</v>
      </c>
      <c r="D53">
        <v>348000</v>
      </c>
      <c r="E53">
        <v>50000</v>
      </c>
      <c r="F53">
        <v>580000</v>
      </c>
    </row>
    <row r="54" spans="3:8">
      <c r="C54" t="s">
        <v>229</v>
      </c>
      <c r="D54">
        <v>203000</v>
      </c>
      <c r="E54">
        <v>50000</v>
      </c>
      <c r="F54">
        <v>580000</v>
      </c>
    </row>
    <row r="55" spans="3:8">
      <c r="C55" t="s">
        <v>227</v>
      </c>
      <c r="D55">
        <v>203000</v>
      </c>
      <c r="E55">
        <v>50000</v>
      </c>
      <c r="F55">
        <v>580000</v>
      </c>
      <c r="G55">
        <v>500000</v>
      </c>
      <c r="H55">
        <v>870000</v>
      </c>
    </row>
    <row r="56" spans="3:8">
      <c r="C56" t="s">
        <v>226</v>
      </c>
      <c r="D56">
        <v>203000</v>
      </c>
      <c r="E56">
        <v>50000</v>
      </c>
      <c r="F56">
        <v>580000</v>
      </c>
    </row>
    <row r="57" spans="3:8">
      <c r="C57" t="s">
        <v>225</v>
      </c>
      <c r="D57">
        <v>203000</v>
      </c>
      <c r="E57">
        <v>50000</v>
      </c>
      <c r="F57">
        <v>580000</v>
      </c>
      <c r="G57">
        <v>500000</v>
      </c>
      <c r="H57">
        <v>870000</v>
      </c>
    </row>
    <row r="58" spans="3:8">
      <c r="C58" t="s">
        <v>224</v>
      </c>
      <c r="D58">
        <v>203000</v>
      </c>
      <c r="E58">
        <v>50000</v>
      </c>
      <c r="F58">
        <v>580000</v>
      </c>
      <c r="G58">
        <v>500000</v>
      </c>
      <c r="H58">
        <v>870000</v>
      </c>
    </row>
    <row r="59" spans="3:8">
      <c r="C59" t="s">
        <v>223</v>
      </c>
      <c r="D59">
        <v>203000</v>
      </c>
      <c r="E59">
        <v>50000</v>
      </c>
      <c r="F59">
        <v>580000</v>
      </c>
    </row>
    <row r="60" spans="3:8">
      <c r="C60" t="s">
        <v>222</v>
      </c>
      <c r="D60">
        <v>203000</v>
      </c>
      <c r="E60">
        <v>50000</v>
      </c>
      <c r="F60">
        <v>580000</v>
      </c>
      <c r="G60">
        <v>500000</v>
      </c>
      <c r="H60">
        <v>870000</v>
      </c>
    </row>
    <row r="61" spans="3:8">
      <c r="C61" t="s">
        <v>221</v>
      </c>
      <c r="D61">
        <v>203000</v>
      </c>
      <c r="E61">
        <v>50000</v>
      </c>
      <c r="F61">
        <v>580000</v>
      </c>
    </row>
    <row r="62" spans="3:8">
      <c r="C62" t="s">
        <v>220</v>
      </c>
      <c r="D62">
        <v>348000</v>
      </c>
      <c r="E62">
        <v>50000</v>
      </c>
      <c r="F62">
        <v>580000</v>
      </c>
    </row>
    <row r="63" spans="3:8">
      <c r="C63" t="s">
        <v>219</v>
      </c>
      <c r="D63">
        <v>348000</v>
      </c>
      <c r="E63">
        <v>50000</v>
      </c>
      <c r="F63">
        <v>580000</v>
      </c>
    </row>
    <row r="64" spans="3:8">
      <c r="C64" t="s">
        <v>218</v>
      </c>
      <c r="D64">
        <v>348000</v>
      </c>
      <c r="E64">
        <v>50000</v>
      </c>
      <c r="F64">
        <v>580000</v>
      </c>
    </row>
    <row r="65" spans="3:8">
      <c r="C65" t="s">
        <v>217</v>
      </c>
      <c r="D65">
        <v>348000</v>
      </c>
      <c r="E65">
        <v>50000</v>
      </c>
      <c r="F65">
        <v>580000</v>
      </c>
      <c r="G65">
        <v>500000</v>
      </c>
      <c r="H65">
        <v>870000</v>
      </c>
    </row>
    <row r="67" spans="3:8">
      <c r="C67" t="s">
        <v>196</v>
      </c>
      <c r="D67">
        <v>580000</v>
      </c>
      <c r="E67">
        <v>500000</v>
      </c>
      <c r="F67">
        <v>870000</v>
      </c>
    </row>
    <row r="68" spans="3:8">
      <c r="C68" t="s">
        <v>198</v>
      </c>
      <c r="D68">
        <v>580000</v>
      </c>
      <c r="E68">
        <v>500000</v>
      </c>
      <c r="F68">
        <v>870000</v>
      </c>
    </row>
    <row r="69" spans="3:8">
      <c r="C69" t="s">
        <v>200</v>
      </c>
      <c r="D69">
        <v>580000</v>
      </c>
      <c r="E69">
        <v>500000</v>
      </c>
      <c r="F69">
        <v>870000</v>
      </c>
    </row>
    <row r="70" spans="3:8">
      <c r="C70" t="s">
        <v>202</v>
      </c>
      <c r="D70">
        <v>580000</v>
      </c>
      <c r="E70">
        <v>500000</v>
      </c>
      <c r="F70">
        <v>870000</v>
      </c>
    </row>
    <row r="71" spans="3:8">
      <c r="C71" t="s">
        <v>204</v>
      </c>
      <c r="D71">
        <v>580000</v>
      </c>
      <c r="E71">
        <v>500000</v>
      </c>
      <c r="F71">
        <v>870000</v>
      </c>
    </row>
    <row r="72" spans="3:8">
      <c r="C72" t="s">
        <v>206</v>
      </c>
      <c r="D72">
        <v>580000</v>
      </c>
      <c r="E72">
        <v>500000</v>
      </c>
      <c r="F72">
        <v>870000</v>
      </c>
    </row>
    <row r="73" spans="3:8">
      <c r="C73" t="s">
        <v>208</v>
      </c>
      <c r="D73">
        <v>580000</v>
      </c>
      <c r="E73">
        <v>500000</v>
      </c>
      <c r="F73">
        <v>870000</v>
      </c>
    </row>
    <row r="74" spans="3:8">
      <c r="C74" t="s">
        <v>210</v>
      </c>
      <c r="D74">
        <v>435000</v>
      </c>
      <c r="E74">
        <v>500000</v>
      </c>
      <c r="F74">
        <v>870000</v>
      </c>
    </row>
    <row r="75" spans="3:8">
      <c r="C75" t="s">
        <v>212</v>
      </c>
      <c r="D75">
        <v>580000</v>
      </c>
      <c r="E75">
        <v>500000</v>
      </c>
      <c r="F75">
        <v>870000</v>
      </c>
    </row>
    <row r="76" spans="3:8">
      <c r="C76" t="s">
        <v>214</v>
      </c>
      <c r="D76">
        <v>435000</v>
      </c>
      <c r="E76">
        <v>500000</v>
      </c>
      <c r="F76">
        <v>870000</v>
      </c>
    </row>
    <row r="77" spans="3:8">
      <c r="C77" t="s">
        <v>216</v>
      </c>
      <c r="D77">
        <v>435000</v>
      </c>
      <c r="E77">
        <v>500000</v>
      </c>
      <c r="F77">
        <v>870000</v>
      </c>
    </row>
    <row r="79" spans="3:8">
      <c r="C79" t="s">
        <v>230</v>
      </c>
      <c r="D79">
        <v>500000</v>
      </c>
      <c r="E79">
        <v>870000</v>
      </c>
    </row>
    <row r="80" spans="3:8">
      <c r="C80" t="s">
        <v>231</v>
      </c>
      <c r="D80">
        <v>500000</v>
      </c>
      <c r="E80">
        <v>870000</v>
      </c>
    </row>
    <row r="81" spans="3:5">
      <c r="C81" t="s">
        <v>232</v>
      </c>
      <c r="D81">
        <v>500000</v>
      </c>
      <c r="E81">
        <v>870000</v>
      </c>
    </row>
    <row r="82" spans="3:5">
      <c r="C82" t="s">
        <v>233</v>
      </c>
      <c r="D82">
        <v>500000</v>
      </c>
      <c r="E82">
        <v>870000</v>
      </c>
    </row>
    <row r="83" spans="3:5">
      <c r="C83" t="s">
        <v>234</v>
      </c>
      <c r="D83">
        <v>500000</v>
      </c>
      <c r="E83">
        <v>870000</v>
      </c>
    </row>
    <row r="84" spans="3:5">
      <c r="C84" t="s">
        <v>235</v>
      </c>
      <c r="D84">
        <v>500000</v>
      </c>
      <c r="E84">
        <v>870000</v>
      </c>
    </row>
    <row r="85" spans="3:5">
      <c r="C85" t="s">
        <v>236</v>
      </c>
      <c r="D85">
        <v>500000</v>
      </c>
      <c r="E85">
        <v>870000</v>
      </c>
    </row>
    <row r="86" spans="3:5">
      <c r="C86" t="s">
        <v>237</v>
      </c>
      <c r="D86">
        <v>500000</v>
      </c>
      <c r="E86">
        <v>870000</v>
      </c>
    </row>
    <row r="87" spans="3:5">
      <c r="C87" t="s">
        <v>238</v>
      </c>
      <c r="D87">
        <v>500000</v>
      </c>
      <c r="E87">
        <v>870000</v>
      </c>
    </row>
    <row r="88" spans="3:5">
      <c r="C88" t="s">
        <v>239</v>
      </c>
      <c r="D88">
        <v>500000</v>
      </c>
      <c r="E88">
        <v>870000</v>
      </c>
    </row>
    <row r="89" spans="3:5">
      <c r="C89" t="s">
        <v>240</v>
      </c>
      <c r="D89">
        <v>500000</v>
      </c>
      <c r="E89">
        <v>870000</v>
      </c>
    </row>
    <row r="90" spans="3:5">
      <c r="C90" t="s">
        <v>241</v>
      </c>
      <c r="D90">
        <v>500000</v>
      </c>
      <c r="E90">
        <v>870000</v>
      </c>
    </row>
    <row r="91" spans="3:5">
      <c r="C91" t="s">
        <v>242</v>
      </c>
      <c r="D91">
        <v>500000</v>
      </c>
      <c r="E91">
        <v>870000</v>
      </c>
    </row>
    <row r="92" spans="3:5">
      <c r="C92" t="s">
        <v>243</v>
      </c>
      <c r="D92">
        <v>500000</v>
      </c>
      <c r="E92">
        <v>870000</v>
      </c>
    </row>
    <row r="94" spans="3:5">
      <c r="D94" s="61">
        <f>SUM(D53:H92)</f>
        <v>58599000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2020-11-16T01:50:46Z</dcterms:modified>
</cp:coreProperties>
</file>