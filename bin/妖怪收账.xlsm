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8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Sheet1!$A$1:$BV$138</definedName>
    <definedName name="_xlnm._FilterDatabase" localSheetId="1" hidden="1">'Sheet1 (2)'!$A$1:$BP$3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U126" i="1" l="1"/>
  <c r="BV126" i="1"/>
  <c r="BU15" i="1"/>
  <c r="BV15" i="1"/>
  <c r="BU5" i="1"/>
  <c r="BV5" i="1"/>
  <c r="BU111" i="1"/>
  <c r="BV111" i="1"/>
  <c r="BU47" i="1"/>
  <c r="BV47" i="1"/>
  <c r="BQ15" i="1"/>
  <c r="BQ5" i="1"/>
  <c r="BQ111" i="1"/>
  <c r="BQ47" i="1"/>
  <c r="BQ126" i="1"/>
  <c r="BU58" i="1" l="1"/>
  <c r="BV58" i="1"/>
  <c r="BQ58" i="1"/>
  <c r="BU118" i="1" l="1"/>
  <c r="BV118" i="1"/>
  <c r="BU17" i="1"/>
  <c r="BV17" i="1"/>
  <c r="BU107" i="1"/>
  <c r="BV107" i="1"/>
  <c r="BU115" i="1"/>
  <c r="BV115" i="1"/>
  <c r="BU121" i="1"/>
  <c r="BV121" i="1"/>
  <c r="BQ118" i="1"/>
  <c r="BQ17" i="1"/>
  <c r="BQ107" i="1"/>
  <c r="BQ115" i="1"/>
  <c r="BQ121" i="1"/>
  <c r="BU18" i="1" l="1"/>
  <c r="BV18" i="1"/>
  <c r="BU19" i="1"/>
  <c r="BV19" i="1"/>
  <c r="BU62" i="1"/>
  <c r="BV62" i="1"/>
  <c r="BU63" i="1"/>
  <c r="BV63" i="1"/>
  <c r="BU69" i="1"/>
  <c r="BV69" i="1"/>
  <c r="BU70" i="1"/>
  <c r="BV70" i="1"/>
  <c r="BU75" i="1"/>
  <c r="BV75" i="1"/>
  <c r="BU76" i="1"/>
  <c r="BV76" i="1"/>
  <c r="BU26" i="1"/>
  <c r="BV26" i="1"/>
  <c r="BU20" i="1"/>
  <c r="BV20" i="1"/>
  <c r="BU71" i="1"/>
  <c r="BV71" i="1"/>
  <c r="BU60" i="1"/>
  <c r="BV60" i="1"/>
  <c r="BU64" i="1"/>
  <c r="BV64" i="1"/>
  <c r="BU78" i="1"/>
  <c r="BV78" i="1"/>
  <c r="BU65" i="1"/>
  <c r="BV65" i="1"/>
  <c r="BU72" i="1"/>
  <c r="BV72" i="1"/>
  <c r="BU3" i="1"/>
  <c r="BV3" i="1"/>
  <c r="BU38" i="1"/>
  <c r="BV38" i="1"/>
  <c r="BU39" i="1"/>
  <c r="BV39" i="1"/>
  <c r="BU87" i="1"/>
  <c r="BV87" i="1"/>
  <c r="BU88" i="1"/>
  <c r="BV88" i="1"/>
  <c r="BU6" i="1"/>
  <c r="BV6" i="1"/>
  <c r="BU7" i="1"/>
  <c r="BV7" i="1"/>
  <c r="BU8" i="1"/>
  <c r="BV8" i="1"/>
  <c r="BU9" i="1"/>
  <c r="BV9" i="1"/>
  <c r="BU10" i="1"/>
  <c r="BV10" i="1"/>
  <c r="BU116" i="1"/>
  <c r="BV116" i="1"/>
  <c r="BU11" i="1"/>
  <c r="BV11" i="1"/>
  <c r="BU12" i="1"/>
  <c r="BV12" i="1"/>
  <c r="BU117" i="1"/>
  <c r="BV117" i="1"/>
  <c r="BU27" i="1"/>
  <c r="BV27" i="1"/>
  <c r="BU28" i="1"/>
  <c r="BV28" i="1"/>
  <c r="BU29" i="1"/>
  <c r="BV29" i="1"/>
  <c r="BU30" i="1"/>
  <c r="BV30" i="1"/>
  <c r="BU31" i="1"/>
  <c r="BV31" i="1"/>
  <c r="BU129" i="1"/>
  <c r="BV129" i="1"/>
  <c r="BU73" i="1"/>
  <c r="BV73" i="1"/>
  <c r="BU74" i="1"/>
  <c r="BV74" i="1"/>
  <c r="BU130" i="1"/>
  <c r="BV130" i="1"/>
  <c r="BU104" i="1"/>
  <c r="BV104" i="1"/>
  <c r="BU105" i="1"/>
  <c r="BV105" i="1"/>
  <c r="BU106" i="1"/>
  <c r="BV106" i="1"/>
  <c r="BU114" i="1"/>
  <c r="BV114" i="1"/>
  <c r="BU59" i="1"/>
  <c r="BV59" i="1"/>
  <c r="BU16" i="1"/>
  <c r="BV16" i="1"/>
  <c r="BU66" i="1"/>
  <c r="BV66" i="1"/>
  <c r="BU113" i="1"/>
  <c r="BV113" i="1"/>
  <c r="BU45" i="1"/>
  <c r="BV45" i="1"/>
  <c r="BU89" i="1"/>
  <c r="BV89" i="1"/>
  <c r="BU90" i="1"/>
  <c r="BV90" i="1"/>
  <c r="BU91" i="1"/>
  <c r="BV91" i="1"/>
  <c r="BU92" i="1"/>
  <c r="BV92" i="1"/>
  <c r="BU93" i="1"/>
  <c r="BV93" i="1"/>
  <c r="BU94" i="1"/>
  <c r="BV94" i="1"/>
  <c r="BU13" i="1"/>
  <c r="BV13" i="1"/>
  <c r="BU4" i="1"/>
  <c r="BV4" i="1"/>
  <c r="BU36" i="1"/>
  <c r="BV36" i="1"/>
  <c r="BU21" i="1"/>
  <c r="BV21" i="1"/>
  <c r="BU14" i="1"/>
  <c r="BV14" i="1"/>
  <c r="BU95" i="1"/>
  <c r="BV95" i="1"/>
  <c r="BU22" i="1"/>
  <c r="BV22" i="1"/>
  <c r="BU61" i="1"/>
  <c r="BV61" i="1"/>
  <c r="BU23" i="1"/>
  <c r="BV23" i="1"/>
  <c r="BU32" i="1"/>
  <c r="BV32" i="1"/>
  <c r="BU33" i="1"/>
  <c r="BV33" i="1"/>
  <c r="BU34" i="1"/>
  <c r="BV34" i="1"/>
  <c r="BU35" i="1"/>
  <c r="BV35" i="1"/>
  <c r="BU110" i="1"/>
  <c r="BV110" i="1"/>
  <c r="BU108" i="1"/>
  <c r="BV108" i="1"/>
  <c r="BU122" i="1"/>
  <c r="BV122" i="1"/>
  <c r="BU123" i="1"/>
  <c r="BV123" i="1"/>
  <c r="BU124" i="1"/>
  <c r="BV124" i="1"/>
  <c r="BU125" i="1"/>
  <c r="BV125" i="1"/>
  <c r="BU127" i="1"/>
  <c r="BV127" i="1"/>
  <c r="BU97" i="1"/>
  <c r="BV97" i="1"/>
  <c r="BU46" i="1"/>
  <c r="BV46" i="1"/>
  <c r="BU99" i="1"/>
  <c r="BV99" i="1"/>
  <c r="BU55" i="1"/>
  <c r="BV55" i="1"/>
  <c r="BU57" i="1"/>
  <c r="BV57" i="1"/>
  <c r="BU67" i="1"/>
  <c r="BV67" i="1"/>
  <c r="BU68" i="1"/>
  <c r="BV68" i="1"/>
  <c r="BU24" i="1"/>
  <c r="BV24" i="1"/>
  <c r="BU25" i="1"/>
  <c r="BV25" i="1"/>
  <c r="BU81" i="1"/>
  <c r="BV81" i="1"/>
  <c r="BU82" i="1"/>
  <c r="BV82" i="1"/>
  <c r="BU83" i="1"/>
  <c r="BV83" i="1"/>
  <c r="BU84" i="1"/>
  <c r="BV84" i="1"/>
  <c r="BU85" i="1"/>
  <c r="BV85" i="1"/>
  <c r="BU96" i="1"/>
  <c r="BV96" i="1"/>
  <c r="BU77" i="1"/>
  <c r="BV77" i="1"/>
  <c r="BU79" i="1"/>
  <c r="BV79" i="1"/>
  <c r="BU80" i="1"/>
  <c r="BV80" i="1"/>
  <c r="BU40" i="1"/>
  <c r="BV40" i="1"/>
  <c r="BU41" i="1"/>
  <c r="BV41" i="1"/>
  <c r="BU42" i="1"/>
  <c r="BV42" i="1"/>
  <c r="BU43" i="1"/>
  <c r="BV43" i="1"/>
  <c r="BU44" i="1"/>
  <c r="BV44" i="1"/>
  <c r="BU98" i="1"/>
  <c r="BV98" i="1"/>
  <c r="BU109" i="1"/>
  <c r="BV109" i="1"/>
  <c r="BU37" i="1"/>
  <c r="BV37" i="1"/>
  <c r="BU112" i="1"/>
  <c r="BV112" i="1"/>
  <c r="BU56" i="1"/>
  <c r="BV56" i="1"/>
  <c r="BU102" i="1"/>
  <c r="BV102" i="1"/>
  <c r="BQ102" i="1"/>
  <c r="BQ113" i="1"/>
  <c r="BQ44" i="1"/>
  <c r="BQ56" i="1"/>
  <c r="BQ66" i="1" l="1"/>
  <c r="BQ96" i="1"/>
  <c r="BQ38" i="1" l="1"/>
  <c r="BQ39" i="1"/>
  <c r="BD135" i="1"/>
  <c r="BD137" i="1" s="1"/>
  <c r="BD134" i="1"/>
  <c r="BD136" i="1" s="1"/>
  <c r="BD131" i="1"/>
  <c r="BD133" i="1" s="1"/>
  <c r="BE131" i="1" l="1"/>
  <c r="BE133" i="1" s="1"/>
  <c r="BF131" i="1"/>
  <c r="BF133" i="1" s="1"/>
  <c r="BG131" i="1"/>
  <c r="BG133" i="1" s="1"/>
  <c r="BH131" i="1"/>
  <c r="BH133" i="1" s="1"/>
  <c r="BI131" i="1"/>
  <c r="BI133" i="1" s="1"/>
  <c r="BJ131" i="1"/>
  <c r="BJ133" i="1" s="1"/>
  <c r="BE134" i="1"/>
  <c r="BE136" i="1" s="1"/>
  <c r="BF134" i="1"/>
  <c r="BF136" i="1" s="1"/>
  <c r="BG134" i="1"/>
  <c r="BG136" i="1" s="1"/>
  <c r="BH134" i="1"/>
  <c r="BH136" i="1" s="1"/>
  <c r="BI134" i="1"/>
  <c r="BI136" i="1" s="1"/>
  <c r="BJ134" i="1"/>
  <c r="BJ136" i="1" s="1"/>
  <c r="BE135" i="1"/>
  <c r="BE137" i="1" s="1"/>
  <c r="BF135" i="1"/>
  <c r="BF137" i="1" s="1"/>
  <c r="BG135" i="1"/>
  <c r="BG137" i="1" s="1"/>
  <c r="BH135" i="1"/>
  <c r="BH137" i="1" s="1"/>
  <c r="BI135" i="1"/>
  <c r="BI137" i="1" s="1"/>
  <c r="BJ135" i="1"/>
  <c r="BJ137" i="1" s="1"/>
  <c r="BQ14" i="1" l="1"/>
  <c r="BU86" i="1" l="1"/>
  <c r="BV86" i="1"/>
  <c r="BU48" i="1"/>
  <c r="BV48" i="1"/>
  <c r="BU49" i="1"/>
  <c r="BV49" i="1"/>
  <c r="BU50" i="1"/>
  <c r="BV50" i="1"/>
  <c r="BU51" i="1"/>
  <c r="BV51" i="1"/>
  <c r="BU120" i="1"/>
  <c r="BV120" i="1"/>
  <c r="BU119" i="1"/>
  <c r="BV119" i="1"/>
  <c r="BU100" i="1"/>
  <c r="BV100" i="1"/>
  <c r="BU101" i="1"/>
  <c r="BV101" i="1"/>
  <c r="BU103" i="1"/>
  <c r="BV103" i="1"/>
  <c r="BU128" i="1"/>
  <c r="BV128" i="1"/>
  <c r="BU52" i="1"/>
  <c r="BV52" i="1"/>
  <c r="BU53" i="1"/>
  <c r="BV53" i="1"/>
  <c r="BU54" i="1"/>
  <c r="BV54" i="1"/>
  <c r="BQ25" i="1"/>
  <c r="BQ117" i="1"/>
  <c r="BQ59" i="1"/>
  <c r="BQ94" i="1"/>
  <c r="BQ20" i="1" l="1"/>
  <c r="BQ71" i="1"/>
  <c r="BQ60" i="1"/>
  <c r="BQ64" i="1"/>
  <c r="BQ125" i="1"/>
  <c r="BQ93" i="1"/>
  <c r="BQ78" i="1"/>
  <c r="BQ114" i="1"/>
  <c r="BQ42" i="1"/>
  <c r="BQ11" i="1"/>
  <c r="BQ65" i="1"/>
  <c r="BQ108" i="1"/>
  <c r="BQ12" i="1"/>
  <c r="BQ31" i="1"/>
  <c r="BQ103" i="1"/>
  <c r="BQ85" i="1"/>
  <c r="BQ130" i="1"/>
  <c r="BQ24" i="1"/>
  <c r="BQ72" i="1"/>
  <c r="BQ43" i="1"/>
  <c r="BV2" i="1" l="1"/>
  <c r="BU2" i="1" l="1"/>
  <c r="I23" i="4"/>
  <c r="I21" i="4"/>
  <c r="I20" i="4"/>
  <c r="E21" i="4"/>
  <c r="E20" i="4"/>
  <c r="CE3" i="8"/>
  <c r="CD3" i="8"/>
  <c r="CC3" i="8"/>
  <c r="CB3" i="8"/>
  <c r="CA3" i="8"/>
  <c r="BZ3" i="8"/>
  <c r="BY3" i="8"/>
  <c r="BX3" i="8"/>
  <c r="BW3" i="8"/>
  <c r="BV3" i="8"/>
  <c r="BU3" i="8"/>
  <c r="BT3" i="8"/>
  <c r="BP3" i="8"/>
  <c r="BQ101" i="1" l="1"/>
  <c r="BQ116" i="1"/>
  <c r="BQ127" i="1"/>
  <c r="BQ84" i="1"/>
  <c r="BQ90" i="1"/>
  <c r="BQ91" i="1"/>
  <c r="BQ92" i="1"/>
  <c r="BQ89" i="1"/>
  <c r="BQ98" i="1"/>
  <c r="BQ109" i="1"/>
  <c r="BQ41" i="1"/>
  <c r="BQ104" i="1"/>
  <c r="BQ105" i="1"/>
  <c r="BQ106" i="1"/>
  <c r="BQ122" i="1"/>
  <c r="BQ123" i="1"/>
  <c r="BQ124" i="1"/>
  <c r="BQ13" i="1"/>
  <c r="BQ76" i="1"/>
  <c r="BQ74" i="1"/>
  <c r="BQ63" i="1"/>
  <c r="BQ30" i="1"/>
  <c r="BQ70" i="1"/>
  <c r="BQ9" i="1"/>
  <c r="BQ129" i="1"/>
  <c r="BQ10" i="1"/>
  <c r="BQ16" i="1"/>
  <c r="BO8" i="8" l="1"/>
  <c r="BO10" i="8" s="1"/>
  <c r="BN8" i="8"/>
  <c r="BN10" i="8" s="1"/>
  <c r="BM8" i="8"/>
  <c r="BM10" i="8" s="1"/>
  <c r="BL8" i="8"/>
  <c r="BL10" i="8" s="1"/>
  <c r="BK8" i="8"/>
  <c r="BK10" i="8" s="1"/>
  <c r="BJ8" i="8"/>
  <c r="BJ10" i="8" s="1"/>
  <c r="BI8" i="8"/>
  <c r="BI10" i="8" s="1"/>
  <c r="BH8" i="8"/>
  <c r="BH10" i="8" s="1"/>
  <c r="BG8" i="8"/>
  <c r="BG10" i="8" s="1"/>
  <c r="BF8" i="8"/>
  <c r="BF10" i="8" s="1"/>
  <c r="BE8" i="8"/>
  <c r="BE10" i="8" s="1"/>
  <c r="BD8" i="8"/>
  <c r="BD10" i="8" s="1"/>
  <c r="BC8" i="8"/>
  <c r="BC10" i="8" s="1"/>
  <c r="BB8" i="8"/>
  <c r="BB10" i="8" s="1"/>
  <c r="BA8" i="8"/>
  <c r="BA10" i="8" s="1"/>
  <c r="AZ8" i="8"/>
  <c r="AZ10" i="8" s="1"/>
  <c r="AY8" i="8"/>
  <c r="AY10" i="8" s="1"/>
  <c r="AX8" i="8"/>
  <c r="AX10" i="8" s="1"/>
  <c r="AW8" i="8"/>
  <c r="AW10" i="8" s="1"/>
  <c r="AV8" i="8"/>
  <c r="AV10" i="8" s="1"/>
  <c r="AU8" i="8"/>
  <c r="AU10" i="8" s="1"/>
  <c r="AT8" i="8"/>
  <c r="AT10" i="8" s="1"/>
  <c r="AS8" i="8"/>
  <c r="AS10" i="8" s="1"/>
  <c r="AR8" i="8"/>
  <c r="AR10" i="8" s="1"/>
  <c r="AQ8" i="8"/>
  <c r="AQ10" i="8" s="1"/>
  <c r="AP8" i="8"/>
  <c r="AP10" i="8" s="1"/>
  <c r="AO8" i="8"/>
  <c r="AO10" i="8" s="1"/>
  <c r="AN8" i="8"/>
  <c r="AN10" i="8" s="1"/>
  <c r="AM8" i="8"/>
  <c r="AM10" i="8" s="1"/>
  <c r="AL8" i="8"/>
  <c r="AL10" i="8" s="1"/>
  <c r="AK8" i="8"/>
  <c r="AK10" i="8" s="1"/>
  <c r="AJ8" i="8"/>
  <c r="AJ10" i="8" s="1"/>
  <c r="AI8" i="8"/>
  <c r="AI10" i="8" s="1"/>
  <c r="AH8" i="8"/>
  <c r="AH10" i="8" s="1"/>
  <c r="AG8" i="8"/>
  <c r="AG10" i="8" s="1"/>
  <c r="AF8" i="8"/>
  <c r="AF10" i="8" s="1"/>
  <c r="AE8" i="8"/>
  <c r="AE10" i="8" s="1"/>
  <c r="AD8" i="8"/>
  <c r="AD10" i="8" s="1"/>
  <c r="AC8" i="8"/>
  <c r="AC10" i="8" s="1"/>
  <c r="AB8" i="8"/>
  <c r="AB10" i="8" s="1"/>
  <c r="AA8" i="8"/>
  <c r="AA10" i="8" s="1"/>
  <c r="Z8" i="8"/>
  <c r="Z10" i="8" s="1"/>
  <c r="Y8" i="8"/>
  <c r="Y10" i="8" s="1"/>
  <c r="X8" i="8"/>
  <c r="X10" i="8" s="1"/>
  <c r="W8" i="8"/>
  <c r="W10" i="8" s="1"/>
  <c r="V8" i="8"/>
  <c r="V10" i="8" s="1"/>
  <c r="U8" i="8"/>
  <c r="U10" i="8" s="1"/>
  <c r="T8" i="8"/>
  <c r="T10" i="8" s="1"/>
  <c r="S8" i="8"/>
  <c r="S10" i="8" s="1"/>
  <c r="R8" i="8"/>
  <c r="R10" i="8" s="1"/>
  <c r="Q8" i="8"/>
  <c r="Q10" i="8" s="1"/>
  <c r="P8" i="8"/>
  <c r="P10" i="8" s="1"/>
  <c r="O8" i="8"/>
  <c r="O10" i="8" s="1"/>
  <c r="N8" i="8"/>
  <c r="N10" i="8" s="1"/>
  <c r="M8" i="8"/>
  <c r="M10" i="8" s="1"/>
  <c r="L8" i="8"/>
  <c r="L10" i="8" s="1"/>
  <c r="K8" i="8"/>
  <c r="K10" i="8" s="1"/>
  <c r="J8" i="8"/>
  <c r="J10" i="8" s="1"/>
  <c r="I8" i="8"/>
  <c r="I10" i="8" s="1"/>
  <c r="H8" i="8"/>
  <c r="H10" i="8" s="1"/>
  <c r="G8" i="8"/>
  <c r="G10" i="8" s="1"/>
  <c r="F8" i="8"/>
  <c r="F10" i="8" s="1"/>
  <c r="E8" i="8"/>
  <c r="E10" i="8" s="1"/>
  <c r="BO7" i="8"/>
  <c r="BO9" i="8" s="1"/>
  <c r="BN7" i="8"/>
  <c r="BN9" i="8" s="1"/>
  <c r="BM7" i="8"/>
  <c r="BM9" i="8" s="1"/>
  <c r="BL7" i="8"/>
  <c r="BL9" i="8" s="1"/>
  <c r="BK7" i="8"/>
  <c r="BK9" i="8" s="1"/>
  <c r="BJ7" i="8"/>
  <c r="BJ9" i="8" s="1"/>
  <c r="BI7" i="8"/>
  <c r="BI9" i="8" s="1"/>
  <c r="BH7" i="8"/>
  <c r="BH9" i="8" s="1"/>
  <c r="BG7" i="8"/>
  <c r="BG9" i="8" s="1"/>
  <c r="BF7" i="8"/>
  <c r="BF9" i="8" s="1"/>
  <c r="BE7" i="8"/>
  <c r="BE9" i="8" s="1"/>
  <c r="BD7" i="8"/>
  <c r="BD9" i="8" s="1"/>
  <c r="BC7" i="8"/>
  <c r="BC9" i="8" s="1"/>
  <c r="BB7" i="8"/>
  <c r="BB9" i="8" s="1"/>
  <c r="BA7" i="8"/>
  <c r="BA9" i="8" s="1"/>
  <c r="AZ7" i="8"/>
  <c r="AZ9" i="8" s="1"/>
  <c r="AY7" i="8"/>
  <c r="AY9" i="8" s="1"/>
  <c r="AX7" i="8"/>
  <c r="AX9" i="8" s="1"/>
  <c r="AW7" i="8"/>
  <c r="AW9" i="8" s="1"/>
  <c r="AV7" i="8"/>
  <c r="AV9" i="8" s="1"/>
  <c r="AU7" i="8"/>
  <c r="AU9" i="8" s="1"/>
  <c r="AT7" i="8"/>
  <c r="AT9" i="8" s="1"/>
  <c r="AS7" i="8"/>
  <c r="AS9" i="8" s="1"/>
  <c r="AR7" i="8"/>
  <c r="AR9" i="8" s="1"/>
  <c r="AQ7" i="8"/>
  <c r="AQ9" i="8" s="1"/>
  <c r="AP7" i="8"/>
  <c r="AP9" i="8" s="1"/>
  <c r="AO7" i="8"/>
  <c r="AO9" i="8" s="1"/>
  <c r="AN7" i="8"/>
  <c r="AN9" i="8" s="1"/>
  <c r="AM7" i="8"/>
  <c r="AM9" i="8" s="1"/>
  <c r="AL7" i="8"/>
  <c r="AL9" i="8" s="1"/>
  <c r="AK7" i="8"/>
  <c r="AK9" i="8" s="1"/>
  <c r="AJ7" i="8"/>
  <c r="AJ9" i="8" s="1"/>
  <c r="AI7" i="8"/>
  <c r="AI9" i="8" s="1"/>
  <c r="AH7" i="8"/>
  <c r="AH9" i="8" s="1"/>
  <c r="AG7" i="8"/>
  <c r="AG9" i="8" s="1"/>
  <c r="AF7" i="8"/>
  <c r="AF9" i="8" s="1"/>
  <c r="AE7" i="8"/>
  <c r="AE9" i="8" s="1"/>
  <c r="AD7" i="8"/>
  <c r="AD9" i="8" s="1"/>
  <c r="AC7" i="8"/>
  <c r="AC9" i="8" s="1"/>
  <c r="AB7" i="8"/>
  <c r="AB9" i="8" s="1"/>
  <c r="AA7" i="8"/>
  <c r="AA9" i="8" s="1"/>
  <c r="Z7" i="8"/>
  <c r="Z9" i="8" s="1"/>
  <c r="Y7" i="8"/>
  <c r="Y9" i="8" s="1"/>
  <c r="X7" i="8"/>
  <c r="X9" i="8" s="1"/>
  <c r="W7" i="8"/>
  <c r="W9" i="8" s="1"/>
  <c r="V7" i="8"/>
  <c r="V9" i="8" s="1"/>
  <c r="U7" i="8"/>
  <c r="U9" i="8" s="1"/>
  <c r="T7" i="8"/>
  <c r="T9" i="8" s="1"/>
  <c r="S7" i="8"/>
  <c r="S9" i="8" s="1"/>
  <c r="R7" i="8"/>
  <c r="R9" i="8" s="1"/>
  <c r="Q7" i="8"/>
  <c r="Q9" i="8" s="1"/>
  <c r="P7" i="8"/>
  <c r="P9" i="8" s="1"/>
  <c r="O7" i="8"/>
  <c r="O9" i="8" s="1"/>
  <c r="N7" i="8"/>
  <c r="N9" i="8" s="1"/>
  <c r="M7" i="8"/>
  <c r="M9" i="8" s="1"/>
  <c r="L7" i="8"/>
  <c r="L9" i="8" s="1"/>
  <c r="K7" i="8"/>
  <c r="K9" i="8" s="1"/>
  <c r="J7" i="8"/>
  <c r="J9" i="8" s="1"/>
  <c r="I7" i="8"/>
  <c r="I9" i="8" s="1"/>
  <c r="H7" i="8"/>
  <c r="H9" i="8" s="1"/>
  <c r="G7" i="8"/>
  <c r="G9" i="8" s="1"/>
  <c r="F7" i="8"/>
  <c r="F9" i="8" s="1"/>
  <c r="E7" i="8"/>
  <c r="E9" i="8" s="1"/>
  <c r="BO4" i="8"/>
  <c r="BO6" i="8" s="1"/>
  <c r="BN4" i="8"/>
  <c r="BN6" i="8" s="1"/>
  <c r="BM4" i="8"/>
  <c r="BM6" i="8" s="1"/>
  <c r="BL4" i="8"/>
  <c r="BL6" i="8" s="1"/>
  <c r="BK4" i="8"/>
  <c r="BK6" i="8" s="1"/>
  <c r="BJ4" i="8"/>
  <c r="BJ6" i="8" s="1"/>
  <c r="BI4" i="8"/>
  <c r="BI6" i="8" s="1"/>
  <c r="BH4" i="8"/>
  <c r="BH6" i="8" s="1"/>
  <c r="BG4" i="8"/>
  <c r="BG6" i="8" s="1"/>
  <c r="BF4" i="8"/>
  <c r="BF6" i="8" s="1"/>
  <c r="BE4" i="8"/>
  <c r="BE6" i="8" s="1"/>
  <c r="BD4" i="8"/>
  <c r="BD6" i="8" s="1"/>
  <c r="BC4" i="8"/>
  <c r="BC6" i="8" s="1"/>
  <c r="BB4" i="8"/>
  <c r="BB6" i="8" s="1"/>
  <c r="BA4" i="8"/>
  <c r="BA6" i="8" s="1"/>
  <c r="AZ4" i="8"/>
  <c r="AZ6" i="8" s="1"/>
  <c r="AY4" i="8"/>
  <c r="AY6" i="8" s="1"/>
  <c r="AX4" i="8"/>
  <c r="AW4" i="8"/>
  <c r="AV4" i="8"/>
  <c r="AV6" i="8" s="1"/>
  <c r="AU4" i="8"/>
  <c r="AU6" i="8" s="1"/>
  <c r="AT4" i="8"/>
  <c r="AT6" i="8" s="1"/>
  <c r="AS4" i="8"/>
  <c r="AS6" i="8" s="1"/>
  <c r="AR4" i="8"/>
  <c r="AQ4" i="8"/>
  <c r="AQ6" i="8" s="1"/>
  <c r="AP4" i="8"/>
  <c r="AP6" i="8" s="1"/>
  <c r="AO4" i="8"/>
  <c r="AO6" i="8" s="1"/>
  <c r="AN4" i="8"/>
  <c r="AN6" i="8" s="1"/>
  <c r="AM4" i="8"/>
  <c r="AM6" i="8" s="1"/>
  <c r="AL4" i="8"/>
  <c r="AL6" i="8" s="1"/>
  <c r="AK4" i="8"/>
  <c r="AK6" i="8" s="1"/>
  <c r="AJ4" i="8"/>
  <c r="AJ6" i="8" s="1"/>
  <c r="AI4" i="8"/>
  <c r="AI6" i="8" s="1"/>
  <c r="AH4" i="8"/>
  <c r="AH6" i="8" s="1"/>
  <c r="AG4" i="8"/>
  <c r="AG6" i="8" s="1"/>
  <c r="AF4" i="8"/>
  <c r="AF6" i="8" s="1"/>
  <c r="AE4" i="8"/>
  <c r="AE6" i="8" s="1"/>
  <c r="AD4" i="8"/>
  <c r="AD6" i="8" s="1"/>
  <c r="AC4" i="8"/>
  <c r="AC6" i="8" s="1"/>
  <c r="AB4" i="8"/>
  <c r="AB6" i="8" s="1"/>
  <c r="AA4" i="8"/>
  <c r="AA6" i="8" s="1"/>
  <c r="Z4" i="8"/>
  <c r="Z6" i="8" s="1"/>
  <c r="Y4" i="8"/>
  <c r="Y6" i="8" s="1"/>
  <c r="X4" i="8"/>
  <c r="X6" i="8" s="1"/>
  <c r="W4" i="8"/>
  <c r="W6" i="8" s="1"/>
  <c r="V4" i="8"/>
  <c r="V6" i="8" s="1"/>
  <c r="U4" i="8"/>
  <c r="U6" i="8" s="1"/>
  <c r="T4" i="8"/>
  <c r="T6" i="8" s="1"/>
  <c r="S4" i="8"/>
  <c r="S6" i="8" s="1"/>
  <c r="R4" i="8"/>
  <c r="R6" i="8" s="1"/>
  <c r="Q4" i="8"/>
  <c r="Q6" i="8" s="1"/>
  <c r="P4" i="8"/>
  <c r="P6" i="8" s="1"/>
  <c r="O4" i="8"/>
  <c r="O6" i="8" s="1"/>
  <c r="N4" i="8"/>
  <c r="N6" i="8" s="1"/>
  <c r="M4" i="8"/>
  <c r="M6" i="8" s="1"/>
  <c r="L4" i="8"/>
  <c r="L6" i="8" s="1"/>
  <c r="K4" i="8"/>
  <c r="K6" i="8" s="1"/>
  <c r="J4" i="8"/>
  <c r="J6" i="8" s="1"/>
  <c r="I4" i="8"/>
  <c r="I6" i="8" s="1"/>
  <c r="H4" i="8"/>
  <c r="H6" i="8" s="1"/>
  <c r="G4" i="8"/>
  <c r="G6" i="8" s="1"/>
  <c r="F4" i="8"/>
  <c r="F6" i="8" s="1"/>
  <c r="E4" i="8"/>
  <c r="E6" i="8" s="1"/>
  <c r="CS2" i="8"/>
  <c r="BP2" i="8"/>
  <c r="CS4" i="8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S135" i="1"/>
  <c r="T135" i="1"/>
  <c r="U135" i="1"/>
  <c r="V135" i="1"/>
  <c r="W135" i="1"/>
  <c r="X135" i="1"/>
  <c r="Y135" i="1"/>
  <c r="Z135" i="1"/>
  <c r="AA135" i="1"/>
  <c r="AB135" i="1"/>
  <c r="AC135" i="1"/>
  <c r="AD135" i="1"/>
  <c r="AE135" i="1"/>
  <c r="AF135" i="1"/>
  <c r="AG135" i="1"/>
  <c r="AH135" i="1"/>
  <c r="AI135" i="1"/>
  <c r="AJ135" i="1"/>
  <c r="AK135" i="1"/>
  <c r="AL135" i="1"/>
  <c r="AM135" i="1"/>
  <c r="AN135" i="1"/>
  <c r="AO135" i="1"/>
  <c r="AP135" i="1"/>
  <c r="AQ135" i="1"/>
  <c r="AR135" i="1"/>
  <c r="AS135" i="1"/>
  <c r="AT135" i="1"/>
  <c r="AU135" i="1"/>
  <c r="AV135" i="1"/>
  <c r="AW135" i="1"/>
  <c r="AX135" i="1"/>
  <c r="AY135" i="1"/>
  <c r="AZ135" i="1"/>
  <c r="BA135" i="1"/>
  <c r="BB135" i="1"/>
  <c r="BC135" i="1"/>
  <c r="BK135" i="1"/>
  <c r="BL135" i="1"/>
  <c r="BM135" i="1"/>
  <c r="BN135" i="1"/>
  <c r="BO135" i="1"/>
  <c r="BP135" i="1"/>
  <c r="E135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R134" i="1"/>
  <c r="S134" i="1"/>
  <c r="T134" i="1"/>
  <c r="U134" i="1"/>
  <c r="V134" i="1"/>
  <c r="W134" i="1"/>
  <c r="X134" i="1"/>
  <c r="Y134" i="1"/>
  <c r="Z134" i="1"/>
  <c r="AA134" i="1"/>
  <c r="AB134" i="1"/>
  <c r="AC134" i="1"/>
  <c r="AD134" i="1"/>
  <c r="AE134" i="1"/>
  <c r="AF134" i="1"/>
  <c r="AG134" i="1"/>
  <c r="AH134" i="1"/>
  <c r="AI134" i="1"/>
  <c r="AJ134" i="1"/>
  <c r="AK134" i="1"/>
  <c r="AL134" i="1"/>
  <c r="AM134" i="1"/>
  <c r="AN134" i="1"/>
  <c r="AO134" i="1"/>
  <c r="AP134" i="1"/>
  <c r="AQ134" i="1"/>
  <c r="AR134" i="1"/>
  <c r="AS134" i="1"/>
  <c r="AT134" i="1"/>
  <c r="AU134" i="1"/>
  <c r="AV134" i="1"/>
  <c r="AW134" i="1"/>
  <c r="AX134" i="1"/>
  <c r="AY134" i="1"/>
  <c r="AZ134" i="1"/>
  <c r="BA134" i="1"/>
  <c r="BB134" i="1"/>
  <c r="BC134" i="1"/>
  <c r="BK134" i="1"/>
  <c r="BL134" i="1"/>
  <c r="BM134" i="1"/>
  <c r="BN134" i="1"/>
  <c r="BO134" i="1"/>
  <c r="BP134" i="1"/>
  <c r="E134" i="1"/>
  <c r="BK131" i="1"/>
  <c r="BL131" i="1"/>
  <c r="BM131" i="1"/>
  <c r="BN131" i="1"/>
  <c r="BO131" i="1"/>
  <c r="BP131" i="1"/>
  <c r="BC131" i="1"/>
  <c r="AX131" i="1"/>
  <c r="AY131" i="1"/>
  <c r="AZ131" i="1"/>
  <c r="BA131" i="1"/>
  <c r="BB131" i="1"/>
  <c r="AW131" i="1"/>
  <c r="AR131" i="1"/>
  <c r="AS131" i="1"/>
  <c r="AT131" i="1"/>
  <c r="AU131" i="1"/>
  <c r="AV131" i="1"/>
  <c r="AQ131" i="1"/>
  <c r="AF131" i="1"/>
  <c r="AG131" i="1"/>
  <c r="AH131" i="1"/>
  <c r="AI131" i="1"/>
  <c r="AJ131" i="1"/>
  <c r="AK131" i="1"/>
  <c r="AL131" i="1"/>
  <c r="AM131" i="1"/>
  <c r="AN131" i="1"/>
  <c r="AO131" i="1"/>
  <c r="AP131" i="1"/>
  <c r="AE131" i="1"/>
  <c r="Q131" i="1"/>
  <c r="R131" i="1"/>
  <c r="S131" i="1"/>
  <c r="T131" i="1"/>
  <c r="U131" i="1"/>
  <c r="V131" i="1"/>
  <c r="W131" i="1"/>
  <c r="X131" i="1"/>
  <c r="Y131" i="1"/>
  <c r="Z131" i="1"/>
  <c r="AA131" i="1"/>
  <c r="AB131" i="1"/>
  <c r="AC131" i="1"/>
  <c r="AD131" i="1"/>
  <c r="P131" i="1"/>
  <c r="F131" i="1"/>
  <c r="G131" i="1"/>
  <c r="H131" i="1"/>
  <c r="I131" i="1"/>
  <c r="J131" i="1"/>
  <c r="K131" i="1"/>
  <c r="L131" i="1"/>
  <c r="M131" i="1"/>
  <c r="N131" i="1"/>
  <c r="O131" i="1"/>
  <c r="E131" i="1"/>
  <c r="CC2" i="8" l="1"/>
  <c r="BT4" i="8"/>
  <c r="BT2" i="8"/>
  <c r="BU2" i="8"/>
  <c r="BW2" i="8"/>
  <c r="CB2" i="8"/>
  <c r="BX2" i="8"/>
  <c r="CE2" i="8"/>
  <c r="BV2" i="8"/>
  <c r="BY2" i="8"/>
  <c r="CA2" i="8"/>
  <c r="CD2" i="8"/>
  <c r="BZ2" i="8"/>
  <c r="AR6" i="8"/>
  <c r="AW6" i="8"/>
  <c r="AX6" i="8"/>
  <c r="BQ45" i="1"/>
  <c r="CE4" i="8" l="1"/>
  <c r="BV4" i="8"/>
  <c r="BX4" i="8"/>
  <c r="BU4" i="8"/>
  <c r="BW4" i="8"/>
  <c r="CB4" i="8"/>
  <c r="BY4" i="8"/>
  <c r="CC4" i="8"/>
  <c r="CF2" i="8"/>
  <c r="CR2" i="8" s="1"/>
  <c r="CD4" i="8"/>
  <c r="BZ4" i="8"/>
  <c r="CA4" i="8"/>
  <c r="BQ68" i="1"/>
  <c r="BQ21" i="1"/>
  <c r="CJ2" i="8" l="1"/>
  <c r="CK2" i="8"/>
  <c r="CR4" i="8"/>
  <c r="CN2" i="8"/>
  <c r="CM2" i="8"/>
  <c r="CG2" i="8"/>
  <c r="CH2" i="8"/>
  <c r="CL2" i="8"/>
  <c r="CQ2" i="8"/>
  <c r="CI2" i="8"/>
  <c r="CO2" i="8"/>
  <c r="CP2" i="8"/>
  <c r="BC136" i="1"/>
  <c r="BK136" i="1"/>
  <c r="BL136" i="1"/>
  <c r="BM136" i="1"/>
  <c r="BN136" i="1"/>
  <c r="BO136" i="1"/>
  <c r="BP136" i="1"/>
  <c r="BC137" i="1"/>
  <c r="BK137" i="1"/>
  <c r="BL137" i="1"/>
  <c r="BM137" i="1"/>
  <c r="BN137" i="1"/>
  <c r="BO137" i="1"/>
  <c r="BP137" i="1"/>
  <c r="BA136" i="1"/>
  <c r="BB136" i="1"/>
  <c r="BA137" i="1"/>
  <c r="BB137" i="1"/>
  <c r="AQ136" i="1"/>
  <c r="AR136" i="1"/>
  <c r="AS136" i="1"/>
  <c r="AT136" i="1"/>
  <c r="AU136" i="1"/>
  <c r="AV136" i="1"/>
  <c r="AW136" i="1"/>
  <c r="AX136" i="1"/>
  <c r="AY136" i="1"/>
  <c r="AZ136" i="1"/>
  <c r="AQ137" i="1"/>
  <c r="AR137" i="1"/>
  <c r="AS137" i="1"/>
  <c r="AT137" i="1"/>
  <c r="AU137" i="1"/>
  <c r="AV137" i="1"/>
  <c r="AW137" i="1"/>
  <c r="AX137" i="1"/>
  <c r="AY137" i="1"/>
  <c r="AZ137" i="1"/>
  <c r="AI136" i="1"/>
  <c r="AJ136" i="1"/>
  <c r="AK136" i="1"/>
  <c r="AL136" i="1"/>
  <c r="AM136" i="1"/>
  <c r="AN136" i="1"/>
  <c r="AO136" i="1"/>
  <c r="AP136" i="1"/>
  <c r="AI137" i="1"/>
  <c r="AJ137" i="1"/>
  <c r="AK137" i="1"/>
  <c r="AL137" i="1"/>
  <c r="AM137" i="1"/>
  <c r="AN137" i="1"/>
  <c r="AO137" i="1"/>
  <c r="AP137" i="1"/>
  <c r="AC136" i="1"/>
  <c r="AD136" i="1"/>
  <c r="AE136" i="1"/>
  <c r="AF136" i="1"/>
  <c r="AG136" i="1"/>
  <c r="AH136" i="1"/>
  <c r="AC137" i="1"/>
  <c r="AD137" i="1"/>
  <c r="AE137" i="1"/>
  <c r="AF137" i="1"/>
  <c r="AG137" i="1"/>
  <c r="AH137" i="1"/>
  <c r="W136" i="1"/>
  <c r="X136" i="1"/>
  <c r="Y136" i="1"/>
  <c r="Z136" i="1"/>
  <c r="AA136" i="1"/>
  <c r="AB136" i="1"/>
  <c r="W137" i="1"/>
  <c r="X137" i="1"/>
  <c r="Y137" i="1"/>
  <c r="Z137" i="1"/>
  <c r="AA137" i="1"/>
  <c r="AB137" i="1"/>
  <c r="P136" i="1"/>
  <c r="Q136" i="1"/>
  <c r="R136" i="1"/>
  <c r="S136" i="1"/>
  <c r="T136" i="1"/>
  <c r="U136" i="1"/>
  <c r="V136" i="1"/>
  <c r="P137" i="1"/>
  <c r="Q137" i="1"/>
  <c r="R137" i="1"/>
  <c r="S137" i="1"/>
  <c r="T137" i="1"/>
  <c r="U137" i="1"/>
  <c r="V137" i="1"/>
  <c r="G136" i="1"/>
  <c r="H136" i="1"/>
  <c r="I136" i="1"/>
  <c r="J136" i="1"/>
  <c r="K136" i="1"/>
  <c r="L136" i="1"/>
  <c r="M136" i="1"/>
  <c r="N136" i="1"/>
  <c r="O136" i="1"/>
  <c r="G137" i="1"/>
  <c r="H137" i="1"/>
  <c r="I137" i="1"/>
  <c r="J137" i="1"/>
  <c r="K137" i="1"/>
  <c r="L137" i="1"/>
  <c r="M137" i="1"/>
  <c r="N137" i="1"/>
  <c r="O137" i="1"/>
  <c r="F136" i="1"/>
  <c r="F137" i="1"/>
  <c r="E137" i="1"/>
  <c r="E136" i="1"/>
  <c r="CH4" i="8" l="1"/>
  <c r="CI4" i="8"/>
  <c r="CK4" i="8"/>
  <c r="CJ4" i="8"/>
  <c r="CL4" i="8"/>
  <c r="CM4" i="8"/>
  <c r="CQ4" i="8"/>
  <c r="CN4" i="8"/>
  <c r="CG4" i="8"/>
  <c r="CO4" i="8"/>
  <c r="CP4" i="8"/>
  <c r="BQ2" i="1"/>
  <c r="BQ23" i="1"/>
  <c r="BQ3" i="1"/>
  <c r="BQ32" i="1"/>
  <c r="BQ33" i="1"/>
  <c r="BQ34" i="1"/>
  <c r="BQ35" i="1"/>
  <c r="BQ46" i="1"/>
  <c r="BQ55" i="1"/>
  <c r="BQ57" i="1"/>
  <c r="BQ67" i="1"/>
  <c r="BQ22" i="1"/>
  <c r="BQ77" i="1"/>
  <c r="BQ27" i="1"/>
  <c r="BQ28" i="1"/>
  <c r="BQ29" i="1"/>
  <c r="BQ73" i="1"/>
  <c r="BQ61" i="1"/>
  <c r="BQ79" i="1"/>
  <c r="BQ80" i="1"/>
  <c r="BQ97" i="1"/>
  <c r="BQ87" i="1"/>
  <c r="BQ88" i="1"/>
  <c r="BQ95" i="1"/>
  <c r="BQ62" i="1"/>
  <c r="BQ36" i="1"/>
  <c r="BQ120" i="1"/>
  <c r="BQ119" i="1"/>
  <c r="BQ81" i="1"/>
  <c r="BQ82" i="1"/>
  <c r="BQ83" i="1"/>
  <c r="BQ110" i="1"/>
  <c r="BQ128" i="1"/>
  <c r="BQ37" i="1"/>
  <c r="BQ26" i="1"/>
  <c r="BQ6" i="1"/>
  <c r="BQ7" i="1"/>
  <c r="BQ8" i="1"/>
  <c r="BQ69" i="1"/>
  <c r="BQ75" i="1"/>
  <c r="BQ100" i="1"/>
  <c r="BQ40" i="1"/>
  <c r="BQ86" i="1"/>
  <c r="BQ18" i="1"/>
  <c r="BQ19" i="1"/>
  <c r="BQ99" i="1"/>
  <c r="BQ112" i="1"/>
  <c r="BQ48" i="1"/>
  <c r="BQ49" i="1"/>
  <c r="BQ50" i="1"/>
  <c r="BQ51" i="1"/>
  <c r="BQ52" i="1"/>
  <c r="BQ53" i="1"/>
  <c r="BQ54" i="1"/>
  <c r="BQ4" i="1" l="1"/>
  <c r="BN133" i="1" l="1"/>
  <c r="AM133" i="1"/>
  <c r="L133" i="1"/>
  <c r="BL133" i="1"/>
  <c r="AJ133" i="1"/>
  <c r="AH133" i="1"/>
  <c r="AL133" i="1"/>
  <c r="BM133" i="1"/>
  <c r="J133" i="1"/>
  <c r="H133" i="1"/>
  <c r="G133" i="1"/>
  <c r="AE133" i="1"/>
  <c r="F133" i="1"/>
  <c r="BK133" i="1"/>
  <c r="AI133" i="1"/>
  <c r="I133" i="1"/>
  <c r="AG133" i="1"/>
  <c r="AF133" i="1"/>
  <c r="O133" i="1"/>
  <c r="BP133" i="1"/>
  <c r="N133" i="1"/>
  <c r="K133" i="1"/>
  <c r="AK133" i="1"/>
  <c r="E133" i="1"/>
  <c r="BO133" i="1"/>
  <c r="AN133" i="1"/>
  <c r="M133" i="1"/>
  <c r="AP133" i="1"/>
  <c r="BC133" i="1"/>
  <c r="AO133" i="1"/>
  <c r="V133" i="1"/>
  <c r="Y133" i="1"/>
  <c r="W133" i="1"/>
  <c r="S133" i="1"/>
  <c r="X133" i="1"/>
  <c r="R133" i="1"/>
  <c r="Z133" i="1"/>
  <c r="U133" i="1"/>
  <c r="T133" i="1"/>
  <c r="AC133" i="1"/>
  <c r="Q133" i="1"/>
  <c r="AB133" i="1"/>
  <c r="P133" i="1"/>
  <c r="AA133" i="1"/>
  <c r="AD133" i="1"/>
  <c r="AR133" i="1" l="1"/>
  <c r="AU133" i="1"/>
  <c r="BB133" i="1"/>
  <c r="AS133" i="1"/>
  <c r="AW133" i="1"/>
  <c r="AT133" i="1"/>
  <c r="AY133" i="1"/>
  <c r="AZ133" i="1"/>
  <c r="AV133" i="1"/>
  <c r="AQ133" i="1"/>
  <c r="AX133" i="1"/>
  <c r="BA133" i="1"/>
</calcChain>
</file>

<file path=xl/sharedStrings.xml><?xml version="1.0" encoding="utf-8"?>
<sst xmlns="http://schemas.openxmlformats.org/spreadsheetml/2006/main" count="826" uniqueCount="353">
  <si>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</si>
  <si>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</si>
  <si>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</si>
  <si>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</si>
  <si>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</si>
  <si>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</si>
  <si>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</si>
  <si>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</si>
  <si>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</si>
  <si>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</si>
  <si>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</si>
  <si>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</si>
  <si>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</si>
  <si>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</si>
  <si>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</si>
  <si>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</si>
  <si>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</si>
  <si>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</si>
  <si>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</si>
  <si>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</si>
  <si>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</si>
  <si>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</si>
  <si>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</si>
  <si>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</si>
  <si>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</si>
  <si>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</si>
  <si>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</si>
  <si>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</si>
  <si>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</si>
  <si>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</si>
  <si>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</si>
  <si>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</si>
  <si>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</si>
  <si>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</si>
  <si>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</si>
  <si>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</si>
  <si>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</si>
  <si>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</si>
  <si>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</si>
  <si>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</si>
  <si>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</si>
  <si>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</si>
  <si>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</si>
  <si>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</si>
  <si>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</si>
  <si>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</si>
  <si>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</si>
  <si>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</si>
  <si>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</si>
  <si>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</si>
  <si>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</si>
  <si>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</si>
  <si>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</si>
  <si>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</si>
  <si>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</si>
  <si>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</si>
  <si>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</si>
  <si>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</si>
  <si>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</si>
  <si>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</si>
  <si>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</si>
  <si>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</si>
  <si>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</si>
  <si>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昊天塔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</si>
  <si>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</si>
  <si>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</si>
  <si>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</si>
  <si>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</si>
  <si>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</si>
  <si>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</si>
  <si>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</si>
  <si>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</si>
  <si>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</si>
  <si>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</si>
  <si>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</si>
  <si>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</si>
  <si>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</si>
  <si>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</si>
  <si>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</si>
  <si>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</si>
  <si>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</si>
  <si>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</si>
  <si>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</si>
  <si>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</si>
  <si>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</si>
  <si>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</si>
  <si>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</si>
  <si>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</si>
  <si>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</si>
  <si>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</si>
  <si>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</si>
  <si>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</si>
  <si>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</si>
  <si>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</si>
  <si>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</si>
  <si>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</si>
  <si>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</si>
  <si>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</si>
  <si>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</si>
  <si>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</si>
  <si>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</si>
  <si>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</si>
  <si>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</si>
  <si>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</si>
  <si>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</si>
  <si>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</si>
  <si>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</si>
  <si>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</si>
  <si>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</si>
  <si>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</si>
  <si>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</si>
  <si>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</si>
  <si>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</si>
  <si>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火</t>
    <phoneticPr fontId="1" type="noConversion"/>
  </si>
  <si>
    <t>钱袋大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</si>
  <si>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</si>
  <si>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</si>
  <si>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</si>
  <si>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</si>
  <si>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</si>
  <si>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</si>
  <si>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</si>
  <si>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</si>
  <si>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庄家令牌大</t>
    <phoneticPr fontId="1" type="noConversion"/>
  </si>
  <si>
    <t>壮年</t>
    <phoneticPr fontId="1" type="noConversion"/>
  </si>
  <si>
    <t>樱灵</t>
    <phoneticPr fontId="1" type="noConversion"/>
  </si>
  <si>
    <t>八哥</t>
    <phoneticPr fontId="1" type="noConversion"/>
  </si>
  <si>
    <t>张果老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</si>
  <si>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</si>
  <si>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</si>
  <si>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</si>
  <si>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</si>
  <si>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</si>
  <si>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赛亚罗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</si>
  <si>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</si>
  <si>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</si>
  <si>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</si>
  <si>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</si>
  <si>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</si>
  <si>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</si>
  <si>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</si>
  <si>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</si>
  <si>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</si>
  <si>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</si>
  <si>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</si>
  <si>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</si>
  <si>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</si>
  <si>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</si>
  <si>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</si>
  <si>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</si>
  <si>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</si>
  <si>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</si>
  <si>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</si>
  <si>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神算诸葛亮</t>
    <phoneticPr fontId="1" type="noConversion"/>
  </si>
  <si>
    <t>赤兔吕布</t>
    <phoneticPr fontId="1" type="noConversion"/>
  </si>
  <si>
    <t>粽妮</t>
    <phoneticPr fontId="1" type="noConversion"/>
  </si>
  <si>
    <t>青年</t>
    <phoneticPr fontId="1" type="noConversion"/>
  </si>
  <si>
    <t>特急海盗</t>
    <phoneticPr fontId="1" type="noConversion"/>
  </si>
  <si>
    <t>暗</t>
    <phoneticPr fontId="1" type="noConversion"/>
  </si>
  <si>
    <t>成年</t>
    <phoneticPr fontId="1" type="noConversion"/>
  </si>
  <si>
    <t>力量符文叉大(9),</t>
    <phoneticPr fontId="1" type="noConversion"/>
  </si>
  <si>
    <t>幻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</si>
  <si>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</si>
  <si>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</si>
  <si>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</si>
  <si>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</si>
  <si>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</si>
  <si>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</si>
  <si>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</si>
  <si>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</si>
  <si>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</si>
  <si>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</si>
  <si>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</si>
  <si>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</si>
  <si>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法器8，金8</t>
    <phoneticPr fontId="1" type="noConversion"/>
  </si>
  <si>
    <t>7.5d</t>
    <phoneticPr fontId="1" type="noConversion"/>
  </si>
  <si>
    <t>一命踪</t>
    <phoneticPr fontId="1" type="noConversion"/>
  </si>
  <si>
    <t>光相</t>
    <phoneticPr fontId="1" type="noConversion"/>
  </si>
  <si>
    <t>青年</t>
    <phoneticPr fontId="1" type="noConversion"/>
  </si>
  <si>
    <t>壮年</t>
    <phoneticPr fontId="1" type="noConversion"/>
  </si>
  <si>
    <t>四万</t>
    <phoneticPr fontId="1" type="noConversion"/>
  </si>
  <si>
    <t>地</t>
    <phoneticPr fontId="1" type="noConversion"/>
  </si>
  <si>
    <t>火</t>
    <phoneticPr fontId="1" type="noConversion"/>
  </si>
  <si>
    <t>六万</t>
  </si>
  <si>
    <t>欠条大(6),_x000D_
骰子大(2),</t>
    <phoneticPr fontId="1" type="noConversion"/>
  </si>
  <si>
    <t>力</t>
    <phoneticPr fontId="1" type="noConversion"/>
  </si>
  <si>
    <t>智</t>
    <phoneticPr fontId="1" type="noConversion"/>
  </si>
  <si>
    <t>速</t>
    <phoneticPr fontId="1" type="noConversion"/>
  </si>
  <si>
    <t>魅</t>
    <phoneticPr fontId="1" type="noConversion"/>
  </si>
  <si>
    <t>运</t>
    <phoneticPr fontId="1" type="noConversion"/>
  </si>
  <si>
    <t>技</t>
    <phoneticPr fontId="1" type="noConversion"/>
  </si>
  <si>
    <t>三条</t>
    <phoneticPr fontId="1" type="noConversion"/>
  </si>
  <si>
    <t>暗</t>
    <phoneticPr fontId="1" type="noConversion"/>
  </si>
  <si>
    <t>一命踪</t>
    <phoneticPr fontId="1" type="noConversion"/>
  </si>
  <si>
    <t>木</t>
    <phoneticPr fontId="1" type="noConversion"/>
  </si>
  <si>
    <t>四万</t>
    <phoneticPr fontId="1" type="noConversion"/>
  </si>
  <si>
    <t>六饼</t>
    <phoneticPr fontId="1" type="noConversion"/>
  </si>
  <si>
    <t>二万</t>
  </si>
  <si>
    <t>火</t>
    <phoneticPr fontId="1" type="noConversion"/>
  </si>
  <si>
    <t>五条</t>
    <phoneticPr fontId="1" type="noConversion"/>
  </si>
  <si>
    <t>五饼</t>
    <phoneticPr fontId="1" type="noConversion"/>
  </si>
  <si>
    <t>木</t>
    <phoneticPr fontId="1" type="noConversion"/>
  </si>
  <si>
    <t>暗</t>
    <phoneticPr fontId="1" type="noConversion"/>
  </si>
  <si>
    <t>碧水独角兽</t>
    <phoneticPr fontId="1" type="noConversion"/>
  </si>
  <si>
    <t>金盔</t>
    <phoneticPr fontId="1" type="noConversion"/>
  </si>
  <si>
    <t>金盔</t>
    <phoneticPr fontId="1" type="noConversion"/>
  </si>
  <si>
    <t>麻将</t>
    <phoneticPr fontId="1" type="noConversion"/>
  </si>
  <si>
    <t>厚皮老牛</t>
    <phoneticPr fontId="1" type="noConversion"/>
  </si>
  <si>
    <t>一条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</si>
  <si>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</si>
  <si>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</si>
  <si>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</si>
  <si>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</si>
  <si>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发财</t>
    <phoneticPr fontId="1" type="noConversion"/>
  </si>
  <si>
    <t>西洋棋.白王</t>
    <phoneticPr fontId="1" type="noConversion"/>
  </si>
  <si>
    <t>光马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</si>
  <si>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</si>
  <si>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</si>
  <si>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</si>
  <si>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北风</t>
    <phoneticPr fontId="1" type="noConversion"/>
  </si>
  <si>
    <t>冲霸</t>
    <phoneticPr fontId="1" type="noConversion"/>
  </si>
  <si>
    <t>武仔</t>
    <phoneticPr fontId="1" type="noConversion"/>
  </si>
  <si>
    <t>古琴仔</t>
    <phoneticPr fontId="1" type="noConversion"/>
  </si>
  <si>
    <t>一条</t>
    <phoneticPr fontId="1" type="noConversion"/>
  </si>
  <si>
    <t>心云猎手</t>
    <phoneticPr fontId="1" type="noConversion"/>
  </si>
  <si>
    <t>狐妮</t>
    <phoneticPr fontId="1" type="noConversion"/>
  </si>
  <si>
    <t>火</t>
    <phoneticPr fontId="1" type="noConversion"/>
  </si>
  <si>
    <t>如来佛祖</t>
    <phoneticPr fontId="1" type="noConversion"/>
  </si>
  <si>
    <t>星络典</t>
    <phoneticPr fontId="1" type="noConversion"/>
  </si>
  <si>
    <t>火</t>
    <phoneticPr fontId="1" type="noConversion"/>
  </si>
  <si>
    <t>地</t>
    <phoneticPr fontId="1" type="noConversion"/>
  </si>
  <si>
    <t>司秋</t>
    <phoneticPr fontId="1" type="noConversion"/>
  </si>
  <si>
    <t>楔</t>
    <phoneticPr fontId="1" type="noConversion"/>
  </si>
  <si>
    <t>东风</t>
    <phoneticPr fontId="1" type="noConversion"/>
  </si>
  <si>
    <t>青年</t>
    <phoneticPr fontId="1" type="noConversion"/>
  </si>
  <si>
    <t>壮年</t>
    <phoneticPr fontId="1" type="noConversion"/>
  </si>
  <si>
    <t>火</t>
    <phoneticPr fontId="1" type="noConversion"/>
  </si>
  <si>
    <t>女侍</t>
    <phoneticPr fontId="1" type="noConversion"/>
  </si>
  <si>
    <t>女侍</t>
    <phoneticPr fontId="1" type="noConversion"/>
  </si>
  <si>
    <t>九天玄老</t>
    <phoneticPr fontId="1" type="noConversion"/>
  </si>
  <si>
    <t>暗</t>
    <phoneticPr fontId="1" type="noConversion"/>
  </si>
  <si>
    <t>丑牛小侍者</t>
    <phoneticPr fontId="1" type="noConversion"/>
  </si>
  <si>
    <t>丑牛小侍者</t>
    <phoneticPr fontId="1" type="noConversion"/>
  </si>
  <si>
    <t>蟹粉汤包</t>
    <phoneticPr fontId="1" type="noConversion"/>
  </si>
  <si>
    <t>蟹粉汤包</t>
    <phoneticPr fontId="1" type="noConversion"/>
  </si>
  <si>
    <t>幻</t>
    <phoneticPr fontId="1" type="noConversion"/>
  </si>
  <si>
    <t>大司马</t>
    <phoneticPr fontId="1" type="noConversion"/>
  </si>
  <si>
    <t>火</t>
    <phoneticPr fontId="1" type="noConversion"/>
  </si>
  <si>
    <t>壮年</t>
    <phoneticPr fontId="1" type="noConversion"/>
  </si>
  <si>
    <t>七绝散人</t>
    <phoneticPr fontId="1" type="noConversion"/>
  </si>
  <si>
    <t>无名劫匪</t>
    <phoneticPr fontId="1" type="noConversion"/>
  </si>
  <si>
    <t>星燃</t>
    <phoneticPr fontId="1" type="noConversion"/>
  </si>
  <si>
    <t>魔少</t>
    <phoneticPr fontId="1" type="noConversion"/>
  </si>
  <si>
    <t>战马.波妮</t>
    <phoneticPr fontId="1" type="noConversion"/>
  </si>
  <si>
    <t>小山贼</t>
    <phoneticPr fontId="1" type="noConversion"/>
  </si>
  <si>
    <t>小山贼</t>
    <phoneticPr fontId="1" type="noConversion"/>
  </si>
  <si>
    <t>雨梨标</t>
    <phoneticPr fontId="1" type="noConversion"/>
  </si>
  <si>
    <t>枯蛛</t>
    <phoneticPr fontId="1" type="noConversion"/>
  </si>
  <si>
    <t>刺灵</t>
    <phoneticPr fontId="1" type="noConversion"/>
  </si>
  <si>
    <t>刺灵</t>
    <phoneticPr fontId="1" type="noConversion"/>
  </si>
  <si>
    <t>福球</t>
    <phoneticPr fontId="1" type="noConversion"/>
  </si>
  <si>
    <t>福球</t>
    <phoneticPr fontId="1" type="noConversion"/>
  </si>
  <si>
    <t>四遁傀兵</t>
    <phoneticPr fontId="1" type="noConversion"/>
  </si>
  <si>
    <t>三灵珠仔</t>
    <phoneticPr fontId="1" type="noConversion"/>
  </si>
  <si>
    <t>彩运</t>
    <phoneticPr fontId="1" type="noConversion"/>
  </si>
  <si>
    <t>离辰</t>
    <phoneticPr fontId="1" type="noConversion"/>
  </si>
  <si>
    <t>金甲虫(179),</t>
    <phoneticPr fontId="1" type="noConversion"/>
  </si>
  <si>
    <t>桂花(5),_x000D_
桂花酒(5),</t>
    <phoneticPr fontId="1" type="noConversion"/>
  </si>
  <si>
    <t>筹码大(9),_x000D_
庄家令牌大(10),</t>
    <phoneticPr fontId="1" type="noConversion"/>
  </si>
  <si>
    <t>马仔</t>
    <phoneticPr fontId="1" type="noConversion"/>
  </si>
  <si>
    <t>马仔</t>
    <phoneticPr fontId="1" type="noConversion"/>
  </si>
  <si>
    <t>魔象</t>
    <phoneticPr fontId="1" type="noConversion"/>
  </si>
  <si>
    <t>瞎进</t>
    <phoneticPr fontId="1" type="noConversion"/>
  </si>
  <si>
    <t>自走炮</t>
    <phoneticPr fontId="1" type="noConversion"/>
  </si>
  <si>
    <t>漆风</t>
    <phoneticPr fontId="1" type="noConversion"/>
  </si>
  <si>
    <t>漆风</t>
    <phoneticPr fontId="1" type="noConversion"/>
  </si>
  <si>
    <t>羽秤仔</t>
    <phoneticPr fontId="1" type="noConversion"/>
  </si>
  <si>
    <t>天雷</t>
    <phoneticPr fontId="1" type="noConversion"/>
  </si>
  <si>
    <t>天雷</t>
    <phoneticPr fontId="1" type="noConversion"/>
  </si>
  <si>
    <t>筹码小(3),</t>
  </si>
  <si>
    <t>筹码小(3),_x000D_
庄家令牌中(4),</t>
  </si>
  <si>
    <t>欠条中(5),_x000D_
筹码小(3),</t>
  </si>
  <si>
    <t>欠条中(5),</t>
  </si>
  <si>
    <t>欠条中(5),_x000D_
庄家令牌中(4),</t>
  </si>
  <si>
    <t>骰子中(2),</t>
  </si>
  <si>
    <t>欠条中(5),_x000D_
骰子中(2),_x000D_
庄家令牌中(4),</t>
  </si>
  <si>
    <t>技巧符文叉大(9),</t>
  </si>
  <si>
    <t>欠条中(5),_x000D_
筹码大(1),</t>
    <phoneticPr fontId="1" type="noConversion"/>
  </si>
  <si>
    <t>欠条中(5),_x000D_
筹码大(1),</t>
    <phoneticPr fontId="1" type="noConversion"/>
  </si>
  <si>
    <t>东皇钟(1),_x000D_
庄家令牌中(4),</t>
    <phoneticPr fontId="1" type="noConversion"/>
  </si>
  <si>
    <t>智慧符文叉大(13),</t>
    <phoneticPr fontId="1" type="noConversion"/>
  </si>
  <si>
    <t>欠条中(5),</t>
    <phoneticPr fontId="1" type="noConversion"/>
  </si>
  <si>
    <t>欠条中(5),</t>
    <phoneticPr fontId="1" type="noConversion"/>
  </si>
  <si>
    <t>欠条中(5),_x000D_
骰子大(2),</t>
    <phoneticPr fontId="1" type="noConversion"/>
  </si>
  <si>
    <t>欠条中(5),_x000D_
骰子大(2),</t>
    <phoneticPr fontId="1" type="noConversion"/>
  </si>
  <si>
    <t>糯米(2),</t>
    <phoneticPr fontId="1" type="noConversion"/>
  </si>
  <si>
    <t>神农鼎(2),</t>
    <phoneticPr fontId="1" type="noConversion"/>
  </si>
  <si>
    <t>神农鼎(2),</t>
    <phoneticPr fontId="1" type="noConversion"/>
  </si>
  <si>
    <t>糯米(3),</t>
    <phoneticPr fontId="1" type="noConversion"/>
  </si>
  <si>
    <t>神农鼎(3),</t>
    <phoneticPr fontId="1" type="noConversion"/>
  </si>
  <si>
    <t>螃蟹(3),</t>
    <phoneticPr fontId="1" type="noConversion"/>
  </si>
  <si>
    <t>桂花酒(5),</t>
    <phoneticPr fontId="1" type="noConversion"/>
  </si>
  <si>
    <t>桂花(5),</t>
    <phoneticPr fontId="1" type="noConversion"/>
  </si>
  <si>
    <t>桂花(5),</t>
    <phoneticPr fontId="1" type="noConversion"/>
  </si>
  <si>
    <t>欠条中(7),</t>
    <phoneticPr fontId="1" type="noConversion"/>
  </si>
  <si>
    <t>欠条中(7),_x000D_
骰子大(7),</t>
    <phoneticPr fontId="1" type="noConversion"/>
  </si>
  <si>
    <t>神农鼎(7),_x000D_
智慧符文叉大(8),</t>
    <phoneticPr fontId="1" type="noConversion"/>
  </si>
  <si>
    <t>星络典(10),</t>
    <phoneticPr fontId="1" type="noConversion"/>
  </si>
  <si>
    <t>彗星(14),</t>
    <phoneticPr fontId="1" type="noConversion"/>
  </si>
  <si>
    <t>超进阶素材光(29),</t>
    <phoneticPr fontId="1" type="noConversion"/>
  </si>
  <si>
    <t>超进阶素材光(29),</t>
    <phoneticPr fontId="1" type="noConversion"/>
  </si>
  <si>
    <t>金甲虫(29),</t>
    <phoneticPr fontId="1" type="noConversion"/>
  </si>
  <si>
    <t>幸运符文叉大(28),</t>
    <phoneticPr fontId="1" type="noConversion"/>
  </si>
  <si>
    <t>魅力符文叉大(31),</t>
    <phoneticPr fontId="1" type="noConversion"/>
  </si>
  <si>
    <t>神农鼎(1),_x000D_
智慧符文叉大(3),</t>
    <phoneticPr fontId="1" type="noConversion"/>
  </si>
  <si>
    <t>骰子中(2),_x000D_
筹码大(1),_x000D_
庄家令牌大(2),</t>
    <phoneticPr fontId="1" type="noConversion"/>
  </si>
  <si>
    <t>筹码大(1),_x000D_
庄家令牌中(4),_x000D_
庄家令牌大(2),</t>
    <phoneticPr fontId="1" type="noConversion"/>
  </si>
  <si>
    <t>骰子大(2),</t>
    <phoneticPr fontId="1" type="noConversion"/>
  </si>
  <si>
    <t>庄家令牌中(4),_x000D_
庄家令牌大(2),</t>
    <phoneticPr fontId="1" type="noConversion"/>
  </si>
  <si>
    <t>东皇钟(2),_x000D_
神农鼎(3),</t>
    <phoneticPr fontId="1" type="noConversion"/>
  </si>
  <si>
    <t>糯米(5),_x000D_
粽叶(1),</t>
    <phoneticPr fontId="1" type="noConversion"/>
  </si>
  <si>
    <t>糯米(5),_x000D_
粽叶(1),</t>
    <phoneticPr fontId="1" type="noConversion"/>
  </si>
  <si>
    <t>糯米(3),_x000D_
粽叶(5),</t>
    <phoneticPr fontId="1" type="noConversion"/>
  </si>
  <si>
    <t>桂花(5),_x000D_
桂花酒(5),</t>
    <phoneticPr fontId="1" type="noConversion"/>
  </si>
  <si>
    <t>钱袋大(4),_x000D_
筹码大(9),</t>
    <phoneticPr fontId="1" type="noConversion"/>
  </si>
  <si>
    <t>钱袋大(4),_x000D_
筹码大(9),</t>
    <phoneticPr fontId="1" type="noConversion"/>
  </si>
  <si>
    <t>钱袋大(4),</t>
    <phoneticPr fontId="1" type="noConversion"/>
  </si>
  <si>
    <t>钱袋大(4),</t>
    <phoneticPr fontId="1" type="noConversion"/>
  </si>
  <si>
    <t>东皇钟(6),_x000D_
女娲石(6),</t>
    <phoneticPr fontId="1" type="noConversion"/>
  </si>
  <si>
    <t>糯米(5),_x000D_
粽叶(10),</t>
    <phoneticPr fontId="1" type="noConversion"/>
  </si>
  <si>
    <t>神农鼎(12),_x000D_
幸运符文叉大(3),</t>
    <phoneticPr fontId="1" type="noConversion"/>
  </si>
  <si>
    <t>筹码大(9),_x000D_
庄家令牌大(10),</t>
    <phoneticPr fontId="1" type="noConversion"/>
  </si>
  <si>
    <t>骰子大(10),</t>
    <phoneticPr fontId="1" type="noConversion"/>
  </si>
  <si>
    <t>骰子大(10),</t>
    <phoneticPr fontId="1" type="noConversion"/>
  </si>
  <si>
    <t>骰子大(10),_x000D_
庄家令牌大(10),</t>
    <phoneticPr fontId="1" type="noConversion"/>
  </si>
  <si>
    <t>糯米(10),_x000D_
粽叶(10),</t>
    <phoneticPr fontId="1" type="noConversion"/>
  </si>
  <si>
    <t>骰子中(17),_x000D_
庄家令牌中(19),</t>
    <phoneticPr fontId="1" type="noConversion"/>
  </si>
  <si>
    <t>东皇钟(11),_x000D_
女娲石(11),</t>
    <phoneticPr fontId="1" type="noConversion"/>
  </si>
  <si>
    <t>女娲石(11),_x000D_
神农鼎(12),</t>
    <phoneticPr fontId="1" type="noConversion"/>
  </si>
  <si>
    <t>女娲石(6),_x000D_
彗星(24),</t>
    <phoneticPr fontId="1" type="noConversion"/>
  </si>
  <si>
    <t>骰子大(2),_x000D_
筹码大(1),_x000D_
庄家令牌中(4),_x000D_
庄家令牌大(2),</t>
    <phoneticPr fontId="1" type="noConversion"/>
  </si>
  <si>
    <t>骰子大(2),_x000D_
庄家令牌大(2),</t>
    <phoneticPr fontId="1" type="noConversion"/>
  </si>
  <si>
    <t>螃蟹(3),_x000D_
桂花(5),_x000D_
桂花酒(5),</t>
    <phoneticPr fontId="1" type="noConversion"/>
  </si>
  <si>
    <t>桂花(5),_x000D_
桂花酒(5),_x000D_
灯笼(5),</t>
    <phoneticPr fontId="1" type="noConversion"/>
  </si>
  <si>
    <t>东皇钟(6),_x000D_
钱袋大(4),</t>
    <phoneticPr fontId="1" type="noConversion"/>
  </si>
  <si>
    <t>神农鼎(7),_x000D_
钱袋大(4),</t>
    <phoneticPr fontId="1" type="noConversion"/>
  </si>
  <si>
    <t>钱袋大(4),_x000D_
筹码大(9),_x000D_
庄家令牌大(10),</t>
    <phoneticPr fontId="1" type="noConversion"/>
  </si>
  <si>
    <t>钱袋大(4),_x000D_
庄家令牌大(10),</t>
    <phoneticPr fontId="1" type="noConversion"/>
  </si>
  <si>
    <t>神农鼎(7),_x000D_
骰子大(10),</t>
    <phoneticPr fontId="1" type="noConversion"/>
  </si>
  <si>
    <t>神农鼎(7),_x000D_
骰子大(10),</t>
    <phoneticPr fontId="1" type="noConversion"/>
  </si>
  <si>
    <t>女娲石(6),_x000D_
骰子大(10),_x000D_
庄家令牌大(10),</t>
    <phoneticPr fontId="1" type="noConversion"/>
  </si>
  <si>
    <t>骰子大(10),_x000D_
筹码大(9),_x000D_
庄家令牌大(10),</t>
    <phoneticPr fontId="1" type="noConversion"/>
  </si>
  <si>
    <t>女娲石(16),_x000D_
神农鼎(17),_x000D_
幸运符文叉大(8),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</si>
</sst>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4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6" fillId="2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6" fillId="5" borderId="1" xfId="0" applyFont="1" applyFill="1" applyBorder="1">
      <alignment vertical="center"/>
    </xf>
    <xf numFmtId="0" fontId="6" fillId="0" borderId="1" xfId="0" applyFont="1" applyBorder="1" applyAlignment="1">
      <alignment vertical="center" wrapText="1"/>
    </xf>
    <xf numFmtId="0" fontId="6" fillId="0" borderId="1" xfId="0" applyFont="1" applyFill="1" applyBorder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4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Fill="1" applyBorder="1">
      <alignment vertical="center"/>
    </xf>
    <xf numFmtId="0" fontId="2" fillId="0" borderId="0" xfId="0" applyFont="1">
      <alignment vertical="center"/>
    </xf>
    <xf numFmtId="0" fontId="8" fillId="0" borderId="1" xfId="0" applyFont="1" applyBorder="1">
      <alignment vertical="center"/>
    </xf>
    <xf numFmtId="0" fontId="8" fillId="4" borderId="1" xfId="0" applyFont="1" applyFill="1" applyBorder="1">
      <alignment vertical="center"/>
    </xf>
    <xf numFmtId="0" fontId="8" fillId="6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8" fillId="3" borderId="1" xfId="0" applyFont="1" applyFill="1" applyBorder="1">
      <alignment vertical="center"/>
    </xf>
    <xf numFmtId="0" fontId="8" fillId="5" borderId="1" xfId="0" applyFont="1" applyFill="1" applyBorder="1">
      <alignment vertical="center"/>
    </xf>
    <xf numFmtId="0" fontId="8" fillId="0" borderId="1" xfId="0" applyFont="1" applyBorder="1" applyAlignment="1">
      <alignment vertical="center" wrapText="1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0" fillId="0" borderId="0" xfId="0" applyNumberFormat="1">
      <alignment vertical="center"/>
    </xf>
    <xf numFmtId="0" fontId="9" fillId="0" borderId="1" xfId="0" applyFont="1" applyBorder="1">
      <alignment vertical="center"/>
    </xf>
    <xf numFmtId="0" fontId="9" fillId="0" borderId="1" xfId="0" applyFont="1" applyFill="1" applyBorder="1">
      <alignment vertical="center"/>
    </xf>
    <xf numFmtId="0" fontId="10" fillId="4" borderId="1" xfId="0" applyFont="1" applyFill="1" applyBorder="1">
      <alignment vertical="center"/>
    </xf>
    <xf numFmtId="0" fontId="10" fillId="6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0" fillId="5" borderId="1" xfId="0" applyFont="1" applyFill="1" applyBorder="1">
      <alignment vertical="center"/>
    </xf>
    <xf numFmtId="0" fontId="10" fillId="0" borderId="1" xfId="0" applyFont="1" applyBorder="1" applyAlignment="1">
      <alignment vertical="center" wrapText="1"/>
    </xf>
    <xf numFmtId="0" fontId="10" fillId="0" borderId="0" xfId="0" applyFont="1">
      <alignment vertical="center"/>
    </xf>
  </cellXfs>
  <cellStyles count="1">
    <cellStyle name="常规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137</xdr:row>
          <xdr:rowOff>28575</xdr:rowOff>
        </xdr:from>
        <xdr:to>
          <xdr:col>1</xdr:col>
          <xdr:colOff>428625</xdr:colOff>
          <xdr:row>138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10</xdr:row>
          <xdr:rowOff>28575</xdr:rowOff>
        </xdr:from>
        <xdr:to>
          <xdr:col>1</xdr:col>
          <xdr:colOff>428625</xdr:colOff>
          <xdr:row>11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BV138"/>
  <sheetViews>
    <sheetView tabSelected="1" workbookViewId="0">
      <pane xSplit="2" ySplit="1" topLeftCell="BK45" activePane="bottomRight" state="frozen"/>
      <selection pane="topRight" activeCell="C1" sqref="C1"/>
      <selection pane="bottomLeft" activeCell="A3" sqref="A3"/>
      <selection pane="bottomRight" activeCell="B128" sqref="B2:B128"/>
    </sheetView>
  </sheetViews>
  <sheetFormatPr defaultRowHeight="13.5"/>
  <cols>
    <col min="1" max="1" width="9.75" bestFit="1" customWidth="1"/>
    <col min="2" max="2" width="12.125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49" width="13.125" style="7" customWidth="1"/>
    <col min="50" max="50" width="11.875" style="7" customWidth="1"/>
    <col min="51" max="52" width="18.125" style="7" bestFit="1" customWidth="1"/>
    <col min="53" max="53" width="13.125" style="7" customWidth="1"/>
    <col min="54" max="54" width="15.375" style="7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8" t="s">
        <v>64</v>
      </c>
      <c r="B1" s="8" t="s">
        <v>65</v>
      </c>
      <c r="C1" s="8" t="s">
        <v>67</v>
      </c>
      <c r="D1" s="8" t="s">
        <v>66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63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99</v>
      </c>
      <c r="Q1" s="27" t="s">
        <v>111</v>
      </c>
      <c r="R1" s="27" t="s">
        <v>105</v>
      </c>
      <c r="S1" s="27" t="s">
        <v>100</v>
      </c>
      <c r="T1" s="27" t="s">
        <v>109</v>
      </c>
      <c r="U1" s="27" t="s">
        <v>114</v>
      </c>
      <c r="V1" s="27" t="s">
        <v>101</v>
      </c>
      <c r="W1" s="27" t="s">
        <v>108</v>
      </c>
      <c r="X1" s="27" t="s">
        <v>106</v>
      </c>
      <c r="Y1" s="27" t="s">
        <v>102</v>
      </c>
      <c r="Z1" s="27" t="s">
        <v>110</v>
      </c>
      <c r="AA1" s="27" t="s">
        <v>115</v>
      </c>
      <c r="AB1" s="27" t="s">
        <v>104</v>
      </c>
      <c r="AC1" s="27" t="s">
        <v>103</v>
      </c>
      <c r="AD1" s="27" t="s">
        <v>123</v>
      </c>
      <c r="AE1" s="8" t="s">
        <v>8</v>
      </c>
      <c r="AF1" s="8" t="s">
        <v>27</v>
      </c>
      <c r="AG1" s="8" t="s">
        <v>28</v>
      </c>
      <c r="AH1" s="8" t="s">
        <v>54</v>
      </c>
      <c r="AI1" s="8" t="s">
        <v>55</v>
      </c>
      <c r="AJ1" s="8" t="s">
        <v>57</v>
      </c>
      <c r="AK1" s="8" t="s">
        <v>58</v>
      </c>
      <c r="AL1" s="8" t="s">
        <v>60</v>
      </c>
      <c r="AM1" s="8" t="s">
        <v>47</v>
      </c>
      <c r="AN1" s="8" t="s">
        <v>48</v>
      </c>
      <c r="AO1" s="8" t="s">
        <v>87</v>
      </c>
      <c r="AP1" s="8" t="s">
        <v>88</v>
      </c>
      <c r="AQ1" s="10" t="s">
        <v>37</v>
      </c>
      <c r="AR1" s="10" t="s">
        <v>4</v>
      </c>
      <c r="AS1" s="10" t="s">
        <v>25</v>
      </c>
      <c r="AT1" s="10" t="s">
        <v>50</v>
      </c>
      <c r="AU1" s="10" t="s">
        <v>52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84</v>
      </c>
      <c r="BD1" s="8" t="s">
        <v>228</v>
      </c>
      <c r="BE1" s="8" t="s">
        <v>15</v>
      </c>
      <c r="BF1" s="8" t="s">
        <v>14</v>
      </c>
      <c r="BG1" s="8" t="s">
        <v>12</v>
      </c>
      <c r="BH1" s="8" t="s">
        <v>13</v>
      </c>
      <c r="BI1" s="8" t="s">
        <v>16</v>
      </c>
      <c r="BJ1" s="8" t="s">
        <v>17</v>
      </c>
      <c r="BK1" s="8" t="s">
        <v>30</v>
      </c>
      <c r="BL1" s="8" t="s">
        <v>31</v>
      </c>
      <c r="BM1" s="8" t="s">
        <v>32</v>
      </c>
      <c r="BN1" s="8" t="s">
        <v>33</v>
      </c>
      <c r="BO1" s="8" t="s">
        <v>34</v>
      </c>
      <c r="BP1" s="8" t="s">
        <v>35</v>
      </c>
      <c r="BQ1" s="12" t="s">
        <v>71</v>
      </c>
      <c r="BR1" s="8" t="s">
        <v>72</v>
      </c>
      <c r="BS1" s="16" t="s">
        <v>73</v>
      </c>
      <c r="BT1" s="16"/>
      <c r="BU1" s="13" t="s">
        <v>206</v>
      </c>
    </row>
    <row r="2" spans="1:74">
      <c r="A2" s="1">
        <v>55</v>
      </c>
      <c r="B2" s="1" t="s">
        <v>42</v>
      </c>
      <c r="C2" s="1" t="s">
        <v>43</v>
      </c>
      <c r="D2" s="1" t="s">
        <v>9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>
        <v>20</v>
      </c>
      <c r="BF2" s="1">
        <v>20</v>
      </c>
      <c r="BG2" s="1"/>
      <c r="BH2" s="1"/>
      <c r="BI2" s="1">
        <v>20</v>
      </c>
      <c r="BJ2" s="1">
        <v>20</v>
      </c>
      <c r="BK2" s="1"/>
      <c r="BL2" s="1"/>
      <c r="BM2" s="1"/>
      <c r="BN2" s="1"/>
      <c r="BO2" s="1"/>
      <c r="BP2" s="1"/>
      <c r="BQ2" s="1">
        <f>SUM(E2:BP2)</f>
        <v>80</v>
      </c>
      <c r="BR2" s="1">
        <v>0</v>
      </c>
      <c r="BS2" s="17">
        <v>0</v>
      </c>
      <c r="BT2" s="17"/>
      <c r="BU2">
        <f>SUM(P2:AD2)</f>
        <v>0</v>
      </c>
      <c r="BV2" s="23">
        <f>AF2+AH2+AI2+AJ2+AO2+AP2</f>
        <v>0</v>
      </c>
    </row>
    <row r="3" spans="1:74">
      <c r="A3" s="1">
        <v>18</v>
      </c>
      <c r="B3" s="1" t="s">
        <v>26</v>
      </c>
      <c r="C3" s="1" t="s">
        <v>24</v>
      </c>
      <c r="D3" s="1" t="s">
        <v>19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"/>
      <c r="AF3" s="1"/>
      <c r="AG3" s="1">
        <v>5</v>
      </c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>
        <f>SUM(E3:BP3)</f>
        <v>5</v>
      </c>
      <c r="BR3" s="1">
        <v>0</v>
      </c>
      <c r="BS3" s="17">
        <v>0</v>
      </c>
      <c r="BT3" s="17"/>
      <c r="BU3">
        <f>SUM(P3:AD3)</f>
        <v>0</v>
      </c>
      <c r="BV3" s="23">
        <f>AF3+AH3+AI3+AJ3+AO3+AP3</f>
        <v>0</v>
      </c>
    </row>
    <row r="4" spans="1:74" s="39" customFormat="1">
      <c r="A4" s="49">
        <v>4</v>
      </c>
      <c r="B4" s="49" t="s">
        <v>207</v>
      </c>
      <c r="C4" s="49" t="s">
        <v>1</v>
      </c>
      <c r="D4" s="49" t="s">
        <v>161</v>
      </c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49"/>
      <c r="AF4" s="49"/>
      <c r="AG4" s="49"/>
      <c r="AH4" s="49"/>
      <c r="AI4" s="49"/>
      <c r="AJ4" s="49"/>
      <c r="AK4" s="49"/>
      <c r="AL4" s="49"/>
      <c r="AM4" s="49"/>
      <c r="AN4" s="49"/>
      <c r="AO4" s="49"/>
      <c r="AP4" s="49"/>
      <c r="AQ4" s="52">
        <v>40</v>
      </c>
      <c r="AR4" s="52"/>
      <c r="AS4" s="52"/>
      <c r="AT4" s="52"/>
      <c r="AU4" s="52"/>
      <c r="AV4" s="52"/>
      <c r="AW4" s="53">
        <v>40</v>
      </c>
      <c r="AX4" s="53">
        <v>40</v>
      </c>
      <c r="AY4" s="53"/>
      <c r="AZ4" s="53"/>
      <c r="BA4" s="53"/>
      <c r="BB4" s="53"/>
      <c r="BC4" s="54">
        <v>10</v>
      </c>
      <c r="BD4" s="49"/>
      <c r="BE4" s="49"/>
      <c r="BF4" s="49">
        <v>50</v>
      </c>
      <c r="BG4" s="49"/>
      <c r="BH4" s="49"/>
      <c r="BI4" s="49"/>
      <c r="BJ4" s="49"/>
      <c r="BK4" s="49"/>
      <c r="BL4" s="49"/>
      <c r="BM4" s="49"/>
      <c r="BN4" s="49"/>
      <c r="BO4" s="49"/>
      <c r="BP4" s="49"/>
      <c r="BQ4" s="49">
        <f>SUM(E4:BP4)</f>
        <v>180</v>
      </c>
      <c r="BR4" s="49">
        <v>0</v>
      </c>
      <c r="BS4" s="55">
        <v>0</v>
      </c>
      <c r="BT4" s="55"/>
      <c r="BU4">
        <f>SUM(P4:AD4)</f>
        <v>0</v>
      </c>
      <c r="BV4" s="23">
        <f>AF4+AH4+AI4+AJ4+AO4+AP4</f>
        <v>0</v>
      </c>
    </row>
    <row r="5" spans="1:74">
      <c r="A5" s="1"/>
      <c r="B5" s="1" t="s">
        <v>242</v>
      </c>
      <c r="C5" s="3" t="s">
        <v>49</v>
      </c>
      <c r="D5" s="1" t="s">
        <v>9</v>
      </c>
      <c r="E5" s="6"/>
      <c r="F5" s="6"/>
      <c r="G5" s="6"/>
      <c r="H5" s="6"/>
      <c r="I5" s="6"/>
      <c r="J5" s="6"/>
      <c r="K5" s="6">
        <v>10</v>
      </c>
      <c r="L5" s="6"/>
      <c r="M5" s="6"/>
      <c r="N5" s="6"/>
      <c r="O5" s="6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>
        <v>10</v>
      </c>
      <c r="AU5" s="4"/>
      <c r="AV5" s="4"/>
      <c r="AW5" s="2">
        <v>10</v>
      </c>
      <c r="AX5" s="2"/>
      <c r="AY5" s="2"/>
      <c r="AZ5" s="2"/>
      <c r="BA5" s="2">
        <v>10</v>
      </c>
      <c r="BB5" s="2"/>
      <c r="BC5" s="14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>
        <f>SUM(E5:BP5)</f>
        <v>40</v>
      </c>
      <c r="BR5" s="1">
        <v>0</v>
      </c>
      <c r="BS5" s="17">
        <v>0</v>
      </c>
      <c r="BT5" s="17"/>
      <c r="BU5">
        <f>SUM(P5:AD5)</f>
        <v>0</v>
      </c>
      <c r="BV5" s="23">
        <f>AF5+AH5+AI5+AJ5+AO5+AP5</f>
        <v>0</v>
      </c>
    </row>
    <row r="6" spans="1:74" hidden="1">
      <c r="A6" s="1"/>
      <c r="B6" s="1" t="s">
        <v>107</v>
      </c>
      <c r="C6" s="1" t="s">
        <v>95</v>
      </c>
      <c r="D6" s="1" t="s">
        <v>96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>
        <v>10</v>
      </c>
      <c r="Q6" s="28"/>
      <c r="R6" s="28"/>
      <c r="S6" s="28">
        <v>10</v>
      </c>
      <c r="T6" s="28"/>
      <c r="U6" s="28"/>
      <c r="V6" s="28"/>
      <c r="W6" s="28">
        <v>5</v>
      </c>
      <c r="X6" s="28"/>
      <c r="Y6" s="28"/>
      <c r="Z6" s="28"/>
      <c r="AA6" s="28"/>
      <c r="AB6" s="28">
        <v>10</v>
      </c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>
        <f>SUM(E6:BP6)</f>
        <v>35</v>
      </c>
      <c r="BR6" s="1">
        <v>2</v>
      </c>
      <c r="BS6" s="17">
        <v>1</v>
      </c>
      <c r="BT6" s="17" t="s">
        <v>284</v>
      </c>
      <c r="BU6">
        <f>SUM(P6:AD6)</f>
        <v>35</v>
      </c>
      <c r="BV6" s="23">
        <f>AF6+AH6+AI6+AJ6+AO6+AP6</f>
        <v>0</v>
      </c>
    </row>
    <row r="7" spans="1:74" hidden="1">
      <c r="A7" s="1"/>
      <c r="B7" s="1" t="s">
        <v>112</v>
      </c>
      <c r="C7" s="1" t="s">
        <v>95</v>
      </c>
      <c r="D7" s="1" t="s">
        <v>96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>
        <v>10</v>
      </c>
      <c r="Q7" s="28"/>
      <c r="R7" s="28"/>
      <c r="S7" s="28">
        <v>10</v>
      </c>
      <c r="T7" s="28"/>
      <c r="U7" s="28"/>
      <c r="V7" s="28"/>
      <c r="W7" s="28">
        <v>5</v>
      </c>
      <c r="X7" s="28"/>
      <c r="Y7" s="28"/>
      <c r="Z7" s="28"/>
      <c r="AA7" s="28"/>
      <c r="AB7" s="28">
        <v>10</v>
      </c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>
        <f>SUM(E7:BP7)</f>
        <v>35</v>
      </c>
      <c r="BR7" s="1">
        <v>2</v>
      </c>
      <c r="BS7" s="17">
        <v>1</v>
      </c>
      <c r="BT7" s="17" t="s">
        <v>284</v>
      </c>
      <c r="BU7">
        <f>SUM(P7:AD7)</f>
        <v>35</v>
      </c>
      <c r="BV7" s="23">
        <f>AF7+AH7+AI7+AJ7+AO7+AP7</f>
        <v>0</v>
      </c>
    </row>
    <row r="8" spans="1:74" hidden="1">
      <c r="A8" s="1"/>
      <c r="B8" s="1" t="s">
        <v>118</v>
      </c>
      <c r="C8" s="1" t="s">
        <v>116</v>
      </c>
      <c r="D8" s="1" t="s">
        <v>96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>
        <v>10</v>
      </c>
      <c r="Q8" s="28"/>
      <c r="R8" s="28"/>
      <c r="S8" s="28">
        <v>10</v>
      </c>
      <c r="T8" s="28"/>
      <c r="U8" s="28"/>
      <c r="V8" s="28"/>
      <c r="W8" s="28">
        <v>5</v>
      </c>
      <c r="X8" s="28"/>
      <c r="Y8" s="28"/>
      <c r="Z8" s="28"/>
      <c r="AA8" s="28"/>
      <c r="AB8" s="28">
        <v>10</v>
      </c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>
        <f>SUM(E8:BP8)</f>
        <v>35</v>
      </c>
      <c r="BR8" s="1">
        <v>2</v>
      </c>
      <c r="BS8" s="17">
        <v>1</v>
      </c>
      <c r="BT8" s="17" t="s">
        <v>284</v>
      </c>
      <c r="BU8">
        <f>SUM(P8:AD8)</f>
        <v>35</v>
      </c>
      <c r="BV8" s="23">
        <f>AF8+AH8+AI8+AJ8+AO8+AP8</f>
        <v>0</v>
      </c>
    </row>
    <row r="9" spans="1:74" hidden="1">
      <c r="A9" s="1"/>
      <c r="B9" s="3" t="s">
        <v>180</v>
      </c>
      <c r="C9" s="3" t="s">
        <v>24</v>
      </c>
      <c r="D9" s="1" t="s">
        <v>178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8">
        <v>10</v>
      </c>
      <c r="Q9" s="28"/>
      <c r="R9" s="28"/>
      <c r="S9" s="28">
        <v>10</v>
      </c>
      <c r="T9" s="28"/>
      <c r="U9" s="28"/>
      <c r="V9" s="28"/>
      <c r="W9" s="28">
        <v>5</v>
      </c>
      <c r="X9" s="28"/>
      <c r="Y9" s="28"/>
      <c r="Z9" s="28"/>
      <c r="AA9" s="28"/>
      <c r="AB9" s="28">
        <v>10</v>
      </c>
      <c r="AC9" s="28"/>
      <c r="AD9" s="28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>
        <f>SUM(E9:BP9)</f>
        <v>35</v>
      </c>
      <c r="BR9" s="1">
        <v>2</v>
      </c>
      <c r="BS9" s="17">
        <v>1</v>
      </c>
      <c r="BT9" s="17" t="s">
        <v>284</v>
      </c>
      <c r="BU9">
        <f>SUM(P9:AD9)</f>
        <v>35</v>
      </c>
      <c r="BV9" s="23">
        <f>AF9+AH9+AI9+AJ9+AO9+AP9</f>
        <v>0</v>
      </c>
    </row>
    <row r="10" spans="1:74" hidden="1">
      <c r="A10" s="1"/>
      <c r="B10" s="3" t="s">
        <v>183</v>
      </c>
      <c r="C10" s="3" t="s">
        <v>94</v>
      </c>
      <c r="D10" s="1" t="s">
        <v>178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>
        <v>10</v>
      </c>
      <c r="Q10" s="28"/>
      <c r="R10" s="28"/>
      <c r="S10" s="28">
        <v>10</v>
      </c>
      <c r="T10" s="28"/>
      <c r="U10" s="28"/>
      <c r="V10" s="28"/>
      <c r="W10" s="28">
        <v>5</v>
      </c>
      <c r="X10" s="28"/>
      <c r="Y10" s="28"/>
      <c r="Z10" s="28"/>
      <c r="AA10" s="28"/>
      <c r="AB10" s="28">
        <v>10</v>
      </c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>
        <f>SUM(E10:BP10)</f>
        <v>35</v>
      </c>
      <c r="BR10" s="1">
        <v>2</v>
      </c>
      <c r="BS10" s="17">
        <v>1</v>
      </c>
      <c r="BT10" s="17" t="s">
        <v>284</v>
      </c>
      <c r="BU10">
        <f>SUM(P10:AD10)</f>
        <v>35</v>
      </c>
      <c r="BV10" s="23">
        <f>AF10+AH10+AI10+AJ10+AO10+AP10</f>
        <v>0</v>
      </c>
    </row>
    <row r="11" spans="1:74" s="48" customFormat="1" hidden="1">
      <c r="A11" s="1"/>
      <c r="B11" s="1" t="s">
        <v>214</v>
      </c>
      <c r="C11" s="1" t="s">
        <v>49</v>
      </c>
      <c r="D11" s="1" t="s">
        <v>210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>
        <v>10</v>
      </c>
      <c r="Q11" s="28"/>
      <c r="R11" s="28"/>
      <c r="S11" s="28">
        <v>10</v>
      </c>
      <c r="T11" s="28"/>
      <c r="U11" s="28"/>
      <c r="V11" s="28"/>
      <c r="W11" s="28">
        <v>5</v>
      </c>
      <c r="X11" s="28"/>
      <c r="Y11" s="28"/>
      <c r="Z11" s="28"/>
      <c r="AA11" s="28"/>
      <c r="AB11" s="28">
        <v>10</v>
      </c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>
        <f>SUM(E11:BP11)</f>
        <v>35</v>
      </c>
      <c r="BR11" s="1">
        <v>2</v>
      </c>
      <c r="BS11" s="17">
        <v>1</v>
      </c>
      <c r="BT11" s="17" t="s">
        <v>284</v>
      </c>
      <c r="BU11">
        <f>SUM(P11:AD11)</f>
        <v>35</v>
      </c>
      <c r="BV11" s="23">
        <f>AF11+AH11+AI11+AJ11+AO11+AP11</f>
        <v>0</v>
      </c>
    </row>
    <row r="12" spans="1:74" hidden="1">
      <c r="A12" s="1"/>
      <c r="B12" s="1" t="s">
        <v>215</v>
      </c>
      <c r="C12" s="1" t="s">
        <v>49</v>
      </c>
      <c r="D12" s="1" t="s">
        <v>210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8">
        <v>10</v>
      </c>
      <c r="Q12" s="28"/>
      <c r="R12" s="28"/>
      <c r="S12" s="28">
        <v>10</v>
      </c>
      <c r="T12" s="28"/>
      <c r="U12" s="28"/>
      <c r="V12" s="28"/>
      <c r="W12" s="28">
        <v>5</v>
      </c>
      <c r="X12" s="28"/>
      <c r="Y12" s="28"/>
      <c r="Z12" s="28"/>
      <c r="AA12" s="28"/>
      <c r="AB12" s="28">
        <v>10</v>
      </c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>
        <f>SUM(E12:BP12)</f>
        <v>35</v>
      </c>
      <c r="BR12" s="1">
        <v>2</v>
      </c>
      <c r="BS12" s="17">
        <v>1</v>
      </c>
      <c r="BT12" s="17" t="s">
        <v>284</v>
      </c>
      <c r="BU12">
        <f>SUM(P12:AD12)</f>
        <v>35</v>
      </c>
      <c r="BV12" s="23">
        <f>AF12+AH12+AI12+AJ12+AO12+AP12</f>
        <v>0</v>
      </c>
    </row>
    <row r="13" spans="1:74" hidden="1">
      <c r="A13" s="18"/>
      <c r="B13" s="18" t="s">
        <v>89</v>
      </c>
      <c r="C13" s="18" t="s">
        <v>82</v>
      </c>
      <c r="D13" s="18" t="s">
        <v>86</v>
      </c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>
        <v>2</v>
      </c>
      <c r="AP13" s="18"/>
      <c r="AQ13" s="20"/>
      <c r="AR13" s="20"/>
      <c r="AS13" s="20"/>
      <c r="AT13" s="20"/>
      <c r="AU13" s="20"/>
      <c r="AV13" s="20"/>
      <c r="AW13" s="21"/>
      <c r="AX13" s="21"/>
      <c r="AY13" s="21"/>
      <c r="AZ13" s="21"/>
      <c r="BA13" s="21"/>
      <c r="BB13" s="21"/>
      <c r="BC13" s="26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">
        <f>SUM(E13:BP13)</f>
        <v>2</v>
      </c>
      <c r="BR13" s="18">
        <v>2</v>
      </c>
      <c r="BS13" s="22">
        <v>1</v>
      </c>
      <c r="BT13" s="22" t="s">
        <v>295</v>
      </c>
      <c r="BU13">
        <f>SUM(P13:AD13)</f>
        <v>0</v>
      </c>
      <c r="BV13" s="23">
        <f>AF13+AH13+AI13+AJ13+AO13+AP13</f>
        <v>2</v>
      </c>
    </row>
    <row r="14" spans="1:74" s="38" customFormat="1">
      <c r="A14" s="1"/>
      <c r="B14" s="1" t="s">
        <v>225</v>
      </c>
      <c r="C14" s="1" t="s">
        <v>226</v>
      </c>
      <c r="D14" s="1" t="s">
        <v>80</v>
      </c>
      <c r="E14" s="6"/>
      <c r="F14" s="6"/>
      <c r="G14" s="6"/>
      <c r="H14" s="6">
        <v>5</v>
      </c>
      <c r="I14" s="6"/>
      <c r="J14" s="6"/>
      <c r="K14" s="6"/>
      <c r="L14" s="6"/>
      <c r="M14" s="6"/>
      <c r="N14" s="6"/>
      <c r="O14" s="6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>
        <f>SUM(E14:BP14)</f>
        <v>5</v>
      </c>
      <c r="BR14" s="1">
        <v>2</v>
      </c>
      <c r="BS14" s="17">
        <v>1</v>
      </c>
      <c r="BT14" s="17" t="s">
        <v>296</v>
      </c>
      <c r="BU14">
        <f>SUM(P14:AD14)</f>
        <v>0</v>
      </c>
      <c r="BV14" s="23">
        <f>AF14+AH14+AI14+AJ14+AO14+AP14</f>
        <v>0</v>
      </c>
    </row>
    <row r="15" spans="1:74">
      <c r="A15" s="1"/>
      <c r="B15" s="1" t="s">
        <v>241</v>
      </c>
      <c r="C15" s="3" t="s">
        <v>49</v>
      </c>
      <c r="D15" s="1" t="s">
        <v>0</v>
      </c>
      <c r="E15" s="6"/>
      <c r="F15" s="6"/>
      <c r="G15" s="6"/>
      <c r="H15" s="6">
        <v>5</v>
      </c>
      <c r="I15" s="6"/>
      <c r="J15" s="6"/>
      <c r="K15" s="6"/>
      <c r="L15" s="6"/>
      <c r="M15" s="6"/>
      <c r="N15" s="6"/>
      <c r="O15" s="6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>
        <f>SUM(E15:BP15)</f>
        <v>5</v>
      </c>
      <c r="BR15" s="1">
        <v>2</v>
      </c>
      <c r="BS15" s="17">
        <v>1</v>
      </c>
      <c r="BT15" s="17" t="s">
        <v>297</v>
      </c>
      <c r="BU15">
        <f>SUM(P15:AD15)</f>
        <v>0</v>
      </c>
      <c r="BV15" s="23">
        <f>AF15+AH15+AI15+AJ15+AO15+AP15</f>
        <v>0</v>
      </c>
    </row>
    <row r="16" spans="1:74" hidden="1">
      <c r="A16" s="1"/>
      <c r="B16" s="3" t="s">
        <v>177</v>
      </c>
      <c r="C16" s="3" t="s">
        <v>49</v>
      </c>
      <c r="D16" s="1" t="s">
        <v>0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8"/>
      <c r="Q16" s="28"/>
      <c r="R16" s="28">
        <v>2</v>
      </c>
      <c r="S16" s="28"/>
      <c r="T16" s="28"/>
      <c r="U16" s="28">
        <v>2</v>
      </c>
      <c r="V16" s="28"/>
      <c r="W16" s="28"/>
      <c r="X16" s="28">
        <v>2</v>
      </c>
      <c r="Y16" s="28"/>
      <c r="Z16" s="28">
        <v>5</v>
      </c>
      <c r="AA16" s="28"/>
      <c r="AB16" s="28"/>
      <c r="AC16" s="28"/>
      <c r="AD16" s="28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>
        <f>SUM(E16:BP16)</f>
        <v>11</v>
      </c>
      <c r="BR16" s="1">
        <v>2</v>
      </c>
      <c r="BS16" s="17">
        <v>1</v>
      </c>
      <c r="BT16" s="17" t="s">
        <v>317</v>
      </c>
      <c r="BU16">
        <f>SUM(P16:AD16)</f>
        <v>11</v>
      </c>
      <c r="BV16" s="23">
        <f>AF16+AH16+AI16+AJ16+AO16+AP16</f>
        <v>0</v>
      </c>
    </row>
    <row r="17" spans="1:74" hidden="1">
      <c r="A17" s="1"/>
      <c r="B17" s="1" t="s">
        <v>233</v>
      </c>
      <c r="C17" s="1" t="s">
        <v>95</v>
      </c>
      <c r="D17" s="1" t="s">
        <v>80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28"/>
      <c r="Q17" s="28"/>
      <c r="R17" s="28">
        <v>2</v>
      </c>
      <c r="S17" s="28"/>
      <c r="T17" s="28"/>
      <c r="U17" s="28">
        <v>2</v>
      </c>
      <c r="V17" s="28"/>
      <c r="W17" s="28"/>
      <c r="X17" s="28">
        <v>2</v>
      </c>
      <c r="Y17" s="28"/>
      <c r="Z17" s="28">
        <v>5</v>
      </c>
      <c r="AA17" s="28"/>
      <c r="AB17" s="28"/>
      <c r="AC17" s="28"/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>
        <f>SUM(E17:BP17)</f>
        <v>11</v>
      </c>
      <c r="BR17" s="1">
        <v>2</v>
      </c>
      <c r="BS17" s="17">
        <v>1</v>
      </c>
      <c r="BT17" s="17" t="s">
        <v>317</v>
      </c>
      <c r="BU17">
        <f>SUM(P17:AD17)</f>
        <v>11</v>
      </c>
      <c r="BV17" s="23">
        <f>AF17+AH17+AI17+AJ17+AO17+AP17</f>
        <v>0</v>
      </c>
    </row>
    <row r="18" spans="1:74" hidden="1">
      <c r="A18" s="1"/>
      <c r="B18" s="1" t="s">
        <v>117</v>
      </c>
      <c r="C18" s="1" t="s">
        <v>116</v>
      </c>
      <c r="D18" s="1" t="s">
        <v>96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28">
        <v>10</v>
      </c>
      <c r="Q18" s="28"/>
      <c r="R18" s="28"/>
      <c r="S18" s="28">
        <v>10</v>
      </c>
      <c r="T18" s="28"/>
      <c r="U18" s="28"/>
      <c r="V18" s="28">
        <v>10</v>
      </c>
      <c r="W18" s="28"/>
      <c r="X18" s="28"/>
      <c r="Y18" s="28">
        <v>10</v>
      </c>
      <c r="Z18" s="28"/>
      <c r="AA18" s="28"/>
      <c r="AB18" s="28"/>
      <c r="AC18" s="28"/>
      <c r="AD18" s="28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>
        <f>SUM(E18:BP18)</f>
        <v>40</v>
      </c>
      <c r="BR18" s="1">
        <v>3</v>
      </c>
      <c r="BS18" s="17">
        <v>1</v>
      </c>
      <c r="BT18" s="17" t="s">
        <v>279</v>
      </c>
      <c r="BU18">
        <f>SUM(P18:AD18)</f>
        <v>40</v>
      </c>
      <c r="BV18" s="23">
        <f>AF18+AH18+AI18+AJ18+AO18+AP18</f>
        <v>0</v>
      </c>
    </row>
    <row r="19" spans="1:74" hidden="1">
      <c r="A19" s="1"/>
      <c r="B19" s="1" t="s">
        <v>119</v>
      </c>
      <c r="C19" s="1" t="s">
        <v>120</v>
      </c>
      <c r="D19" s="1" t="s">
        <v>96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28">
        <v>10</v>
      </c>
      <c r="Q19" s="28"/>
      <c r="R19" s="28"/>
      <c r="S19" s="28">
        <v>10</v>
      </c>
      <c r="T19" s="28"/>
      <c r="U19" s="28"/>
      <c r="V19" s="28">
        <v>10</v>
      </c>
      <c r="W19" s="28"/>
      <c r="X19" s="28"/>
      <c r="Y19" s="28">
        <v>10</v>
      </c>
      <c r="Z19" s="28"/>
      <c r="AA19" s="28"/>
      <c r="AB19" s="28"/>
      <c r="AC19" s="28"/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>
        <f>SUM(E19:BP19)</f>
        <v>40</v>
      </c>
      <c r="BR19" s="1">
        <v>3</v>
      </c>
      <c r="BS19" s="17">
        <v>1</v>
      </c>
      <c r="BT19" s="17" t="s">
        <v>279</v>
      </c>
      <c r="BU19">
        <f>SUM(P19:AD19)</f>
        <v>40</v>
      </c>
      <c r="BV19" s="23">
        <f>AF19+AH19+AI19+AJ19+AO19+AP19</f>
        <v>0</v>
      </c>
    </row>
    <row r="20" spans="1:74" hidden="1">
      <c r="A20" s="1"/>
      <c r="B20" s="1" t="s">
        <v>223</v>
      </c>
      <c r="C20" s="1" t="s">
        <v>209</v>
      </c>
      <c r="D20" s="1" t="s">
        <v>210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28">
        <v>10</v>
      </c>
      <c r="Q20" s="28"/>
      <c r="R20" s="28"/>
      <c r="S20" s="28">
        <v>10</v>
      </c>
      <c r="T20" s="28"/>
      <c r="U20" s="28"/>
      <c r="V20" s="28">
        <v>10</v>
      </c>
      <c r="W20" s="28"/>
      <c r="X20" s="28"/>
      <c r="Y20" s="28">
        <v>10</v>
      </c>
      <c r="Z20" s="28"/>
      <c r="AA20" s="28"/>
      <c r="AB20" s="28"/>
      <c r="AC20" s="28"/>
      <c r="AD20" s="28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>
        <f>SUM(E20:BP20)</f>
        <v>40</v>
      </c>
      <c r="BR20" s="1">
        <v>3</v>
      </c>
      <c r="BS20" s="17">
        <v>1</v>
      </c>
      <c r="BT20" s="17" t="s">
        <v>279</v>
      </c>
      <c r="BU20">
        <f>SUM(P20:AD20)</f>
        <v>40</v>
      </c>
      <c r="BV20" s="23">
        <f>AF20+AH20+AI20+AJ20+AO20+AP20</f>
        <v>0</v>
      </c>
    </row>
    <row r="21" spans="1:74" hidden="1">
      <c r="A21" s="18"/>
      <c r="B21" s="18" t="s">
        <v>155</v>
      </c>
      <c r="C21" s="18" t="s">
        <v>24</v>
      </c>
      <c r="D21" s="18" t="s">
        <v>156</v>
      </c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>
        <v>3</v>
      </c>
      <c r="AP21" s="18"/>
      <c r="AQ21" s="20"/>
      <c r="AR21" s="20"/>
      <c r="AS21" s="20"/>
      <c r="AT21" s="20"/>
      <c r="AU21" s="20"/>
      <c r="AV21" s="20"/>
      <c r="AW21" s="21"/>
      <c r="AX21" s="21"/>
      <c r="AY21" s="21"/>
      <c r="AZ21" s="21"/>
      <c r="BA21" s="21"/>
      <c r="BB21" s="21"/>
      <c r="BC21" s="26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>
        <f>SUM(E21:BP21)</f>
        <v>3</v>
      </c>
      <c r="BR21" s="18">
        <v>3</v>
      </c>
      <c r="BS21" s="22">
        <v>1</v>
      </c>
      <c r="BT21" s="22" t="s">
        <v>298</v>
      </c>
      <c r="BU21">
        <f>SUM(P21:AD21)</f>
        <v>0</v>
      </c>
      <c r="BV21" s="23">
        <f>AF21+AH21+AI21+AJ21+AO21+AP21</f>
        <v>3</v>
      </c>
    </row>
    <row r="22" spans="1:74">
      <c r="A22" s="1"/>
      <c r="B22" s="1" t="s">
        <v>134</v>
      </c>
      <c r="C22" s="1" t="s">
        <v>79</v>
      </c>
      <c r="D22" s="1" t="s">
        <v>81</v>
      </c>
      <c r="E22" s="6"/>
      <c r="F22" s="6"/>
      <c r="G22" s="6"/>
      <c r="H22" s="6">
        <v>6</v>
      </c>
      <c r="I22" s="6"/>
      <c r="J22" s="6"/>
      <c r="K22" s="6">
        <v>6</v>
      </c>
      <c r="L22" s="6"/>
      <c r="M22" s="6"/>
      <c r="N22" s="6"/>
      <c r="O22" s="6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>
        <v>10</v>
      </c>
      <c r="AR22" s="4"/>
      <c r="AS22" s="4"/>
      <c r="AT22" s="4"/>
      <c r="AU22" s="4"/>
      <c r="AV22" s="4"/>
      <c r="AW22" s="2">
        <v>10</v>
      </c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>
        <f>SUM(E22:BP22)</f>
        <v>32</v>
      </c>
      <c r="BR22" s="1">
        <v>3</v>
      </c>
      <c r="BS22" s="17">
        <v>1</v>
      </c>
      <c r="BT22" s="17" t="s">
        <v>299</v>
      </c>
      <c r="BU22">
        <f>SUM(P22:AD22)</f>
        <v>0</v>
      </c>
      <c r="BV22" s="23">
        <f>AF22+AH22+AI22+AJ22+AO22+AP22</f>
        <v>0</v>
      </c>
    </row>
    <row r="23" spans="1:74" hidden="1">
      <c r="A23" s="18">
        <v>17</v>
      </c>
      <c r="B23" s="18" t="s">
        <v>26</v>
      </c>
      <c r="C23" s="18" t="s">
        <v>24</v>
      </c>
      <c r="D23" s="18" t="s">
        <v>18</v>
      </c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18"/>
      <c r="AF23" s="18">
        <v>5</v>
      </c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20"/>
      <c r="AR23" s="20"/>
      <c r="AS23" s="20"/>
      <c r="AT23" s="20"/>
      <c r="AU23" s="20"/>
      <c r="AV23" s="20"/>
      <c r="AW23" s="21"/>
      <c r="AX23" s="21"/>
      <c r="AY23" s="21"/>
      <c r="AZ23" s="21"/>
      <c r="BA23" s="21"/>
      <c r="BB23" s="21"/>
      <c r="BC23" s="26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>
        <f>SUM(E23:BP23)</f>
        <v>5</v>
      </c>
      <c r="BR23" s="18">
        <v>3</v>
      </c>
      <c r="BS23" s="22">
        <v>1</v>
      </c>
      <c r="BT23" s="22" t="s">
        <v>300</v>
      </c>
      <c r="BU23">
        <f>SUM(P23:AD23)</f>
        <v>0</v>
      </c>
      <c r="BV23" s="23">
        <f>AF23+AH23+AI23+AJ23+AO23+AP23</f>
        <v>5</v>
      </c>
    </row>
    <row r="24" spans="1:74" s="56" customFormat="1" hidden="1">
      <c r="A24" s="1"/>
      <c r="B24" s="1" t="s">
        <v>251</v>
      </c>
      <c r="C24" s="1" t="s">
        <v>51</v>
      </c>
      <c r="D24" s="1" t="s">
        <v>212</v>
      </c>
      <c r="E24" s="6"/>
      <c r="F24" s="6"/>
      <c r="G24" s="6"/>
      <c r="H24" s="6"/>
      <c r="I24" s="6"/>
      <c r="J24" s="6"/>
      <c r="K24" s="6"/>
      <c r="L24" s="6">
        <v>10</v>
      </c>
      <c r="M24" s="6"/>
      <c r="N24" s="6"/>
      <c r="O24" s="6"/>
      <c r="P24" s="28"/>
      <c r="Q24" s="28"/>
      <c r="R24" s="28">
        <v>10</v>
      </c>
      <c r="S24" s="28"/>
      <c r="T24" s="28"/>
      <c r="U24" s="28">
        <v>10</v>
      </c>
      <c r="V24" s="28"/>
      <c r="W24" s="28"/>
      <c r="X24" s="28"/>
      <c r="Y24" s="28"/>
      <c r="Z24" s="28"/>
      <c r="AA24" s="28"/>
      <c r="AB24" s="28"/>
      <c r="AC24" s="28"/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>
        <v>10</v>
      </c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>
        <f>SUM(E24:BP24)</f>
        <v>40</v>
      </c>
      <c r="BR24" s="1">
        <v>4</v>
      </c>
      <c r="BS24" s="17">
        <v>1</v>
      </c>
      <c r="BT24" s="17" t="s">
        <v>326</v>
      </c>
      <c r="BU24">
        <f>SUM(P24:AD24)</f>
        <v>20</v>
      </c>
      <c r="BV24" s="23">
        <f>AF24+AH24+AI24+AJ24+AO24+AP24</f>
        <v>0</v>
      </c>
    </row>
    <row r="25" spans="1:74" hidden="1">
      <c r="A25" s="1"/>
      <c r="B25" s="1" t="s">
        <v>249</v>
      </c>
      <c r="C25" s="1" t="s">
        <v>51</v>
      </c>
      <c r="D25" s="1" t="s">
        <v>218</v>
      </c>
      <c r="E25" s="6"/>
      <c r="F25" s="6"/>
      <c r="G25" s="6"/>
      <c r="H25" s="6"/>
      <c r="I25" s="6"/>
      <c r="J25" s="6"/>
      <c r="K25" s="6"/>
      <c r="L25" s="6">
        <v>10</v>
      </c>
      <c r="M25" s="6"/>
      <c r="N25" s="6"/>
      <c r="O25" s="6"/>
      <c r="P25" s="28"/>
      <c r="Q25" s="28"/>
      <c r="R25" s="28">
        <v>10</v>
      </c>
      <c r="S25" s="28"/>
      <c r="T25" s="28"/>
      <c r="U25" s="28">
        <v>10</v>
      </c>
      <c r="V25" s="28"/>
      <c r="W25" s="28"/>
      <c r="X25" s="28"/>
      <c r="Y25" s="28"/>
      <c r="Z25" s="28"/>
      <c r="AA25" s="28"/>
      <c r="AB25" s="28"/>
      <c r="AC25" s="28"/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>
        <v>10</v>
      </c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>
        <f>SUM(E25:BP25)</f>
        <v>40</v>
      </c>
      <c r="BR25" s="1">
        <v>4</v>
      </c>
      <c r="BS25" s="17">
        <v>1</v>
      </c>
      <c r="BT25" s="17" t="s">
        <v>327</v>
      </c>
      <c r="BU25">
        <f>SUM(P25:AD25)</f>
        <v>20</v>
      </c>
      <c r="BV25" s="23">
        <f>AF25+AH25+AI25+AJ25+AO25+AP25</f>
        <v>0</v>
      </c>
    </row>
    <row r="26" spans="1:74" hidden="1">
      <c r="A26" s="1"/>
      <c r="B26" s="1" t="s">
        <v>271</v>
      </c>
      <c r="C26" s="1" t="s">
        <v>122</v>
      </c>
      <c r="D26" s="1" t="s">
        <v>97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8"/>
      <c r="Q26" s="28">
        <v>5</v>
      </c>
      <c r="R26" s="28"/>
      <c r="S26" s="28"/>
      <c r="T26" s="28"/>
      <c r="U26" s="28"/>
      <c r="V26" s="28">
        <v>10</v>
      </c>
      <c r="W26" s="28"/>
      <c r="X26" s="28"/>
      <c r="Y26" s="28"/>
      <c r="Z26" s="28">
        <v>5</v>
      </c>
      <c r="AA26" s="28"/>
      <c r="AB26" s="28">
        <v>10</v>
      </c>
      <c r="AC26" s="28"/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>
        <f>SUM(E26:BP26)</f>
        <v>30</v>
      </c>
      <c r="BR26" s="1">
        <v>5</v>
      </c>
      <c r="BS26" s="17">
        <v>1</v>
      </c>
      <c r="BT26" s="17" t="s">
        <v>282</v>
      </c>
      <c r="BU26">
        <f>SUM(P26:AD26)</f>
        <v>30</v>
      </c>
      <c r="BV26" s="23">
        <f>AF26+AH26+AI26+AJ26+AO26+AP26</f>
        <v>0</v>
      </c>
    </row>
    <row r="27" spans="1:74" hidden="1">
      <c r="A27" s="1"/>
      <c r="B27" s="1" t="s">
        <v>107</v>
      </c>
      <c r="C27" s="1" t="s">
        <v>95</v>
      </c>
      <c r="D27" s="1" t="s">
        <v>97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28"/>
      <c r="Q27" s="28">
        <v>5</v>
      </c>
      <c r="R27" s="28">
        <v>2</v>
      </c>
      <c r="S27" s="28"/>
      <c r="T27" s="28">
        <v>5</v>
      </c>
      <c r="U27" s="28"/>
      <c r="V27" s="28"/>
      <c r="W27" s="28"/>
      <c r="X27" s="28"/>
      <c r="Y27" s="28"/>
      <c r="Z27" s="28">
        <v>5</v>
      </c>
      <c r="AA27" s="28"/>
      <c r="AB27" s="28"/>
      <c r="AC27" s="28"/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>
        <f>SUM(E27:BP27)</f>
        <v>17</v>
      </c>
      <c r="BR27" s="1">
        <v>5</v>
      </c>
      <c r="BS27" s="17">
        <v>1</v>
      </c>
      <c r="BT27" s="17" t="s">
        <v>291</v>
      </c>
      <c r="BU27">
        <f>SUM(P27:AD27)</f>
        <v>17</v>
      </c>
      <c r="BV27" s="23">
        <f>AF27+AH27+AI27+AJ27+AO27+AP27</f>
        <v>0</v>
      </c>
    </row>
    <row r="28" spans="1:74" hidden="1">
      <c r="A28" s="1"/>
      <c r="B28" s="1" t="s">
        <v>112</v>
      </c>
      <c r="C28" s="1" t="s">
        <v>95</v>
      </c>
      <c r="D28" s="1" t="s">
        <v>97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28"/>
      <c r="Q28" s="28">
        <v>5</v>
      </c>
      <c r="R28" s="28">
        <v>2</v>
      </c>
      <c r="S28" s="28"/>
      <c r="T28" s="28">
        <v>5</v>
      </c>
      <c r="U28" s="28"/>
      <c r="V28" s="28"/>
      <c r="W28" s="28"/>
      <c r="X28" s="28"/>
      <c r="Y28" s="28"/>
      <c r="Z28" s="28">
        <v>5</v>
      </c>
      <c r="AA28" s="28"/>
      <c r="AB28" s="28"/>
      <c r="AC28" s="28"/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>
        <f>SUM(E28:BP28)</f>
        <v>17</v>
      </c>
      <c r="BR28" s="1">
        <v>5</v>
      </c>
      <c r="BS28" s="17">
        <v>1</v>
      </c>
      <c r="BT28" s="17" t="s">
        <v>292</v>
      </c>
      <c r="BU28">
        <f>SUM(P28:AD28)</f>
        <v>17</v>
      </c>
      <c r="BV28" s="23">
        <f>AF28+AH28+AI28+AJ28+AO28+AP28</f>
        <v>0</v>
      </c>
    </row>
    <row r="29" spans="1:74" hidden="1">
      <c r="A29" s="1"/>
      <c r="B29" s="1" t="s">
        <v>118</v>
      </c>
      <c r="C29" s="1" t="s">
        <v>116</v>
      </c>
      <c r="D29" s="1" t="s">
        <v>97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8"/>
      <c r="Q29" s="28">
        <v>5</v>
      </c>
      <c r="R29" s="28">
        <v>2</v>
      </c>
      <c r="S29" s="28"/>
      <c r="T29" s="28">
        <v>5</v>
      </c>
      <c r="U29" s="28"/>
      <c r="V29" s="28"/>
      <c r="W29" s="28"/>
      <c r="X29" s="28"/>
      <c r="Y29" s="28"/>
      <c r="Z29" s="28">
        <v>5</v>
      </c>
      <c r="AA29" s="28"/>
      <c r="AB29" s="28"/>
      <c r="AC29" s="28"/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>
        <f>SUM(E29:BP29)</f>
        <v>17</v>
      </c>
      <c r="BR29" s="1">
        <v>5</v>
      </c>
      <c r="BS29" s="17">
        <v>1</v>
      </c>
      <c r="BT29" s="17" t="s">
        <v>291</v>
      </c>
      <c r="BU29">
        <f>SUM(P29:AD29)</f>
        <v>17</v>
      </c>
      <c r="BV29" s="23">
        <f>AF29+AH29+AI29+AJ29+AO29+AP29</f>
        <v>0</v>
      </c>
    </row>
    <row r="30" spans="1:74" hidden="1">
      <c r="A30" s="1"/>
      <c r="B30" s="3" t="s">
        <v>183</v>
      </c>
      <c r="C30" s="3" t="s">
        <v>94</v>
      </c>
      <c r="D30" s="1" t="s">
        <v>0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8"/>
      <c r="Q30" s="28">
        <v>5</v>
      </c>
      <c r="R30" s="28">
        <v>2</v>
      </c>
      <c r="S30" s="28"/>
      <c r="T30" s="28">
        <v>5</v>
      </c>
      <c r="U30" s="28"/>
      <c r="V30" s="28"/>
      <c r="W30" s="28"/>
      <c r="X30" s="28"/>
      <c r="Y30" s="28"/>
      <c r="Z30" s="28">
        <v>5</v>
      </c>
      <c r="AA30" s="28"/>
      <c r="AB30" s="28"/>
      <c r="AC30" s="28"/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>
        <f>SUM(E30:BP30)</f>
        <v>17</v>
      </c>
      <c r="BR30" s="1">
        <v>5</v>
      </c>
      <c r="BS30" s="17">
        <v>1</v>
      </c>
      <c r="BT30" s="17" t="s">
        <v>291</v>
      </c>
      <c r="BU30">
        <f>SUM(P30:AD30)</f>
        <v>17</v>
      </c>
      <c r="BV30" s="23">
        <f>AF30+AH30+AI30+AJ30+AO30+AP30</f>
        <v>0</v>
      </c>
    </row>
    <row r="31" spans="1:74" hidden="1">
      <c r="A31" s="1"/>
      <c r="B31" s="1" t="s">
        <v>215</v>
      </c>
      <c r="C31" s="1" t="s">
        <v>49</v>
      </c>
      <c r="D31" s="1" t="s">
        <v>211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8"/>
      <c r="Q31" s="28">
        <v>5</v>
      </c>
      <c r="R31" s="28">
        <v>2</v>
      </c>
      <c r="S31" s="28"/>
      <c r="T31" s="28">
        <v>5</v>
      </c>
      <c r="U31" s="28"/>
      <c r="V31" s="28"/>
      <c r="W31" s="28"/>
      <c r="X31" s="28"/>
      <c r="Y31" s="28"/>
      <c r="Z31" s="28">
        <v>5</v>
      </c>
      <c r="AA31" s="28"/>
      <c r="AB31" s="28"/>
      <c r="AC31" s="28"/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>
        <f>SUM(E31:BP31)</f>
        <v>17</v>
      </c>
      <c r="BR31" s="1">
        <v>5</v>
      </c>
      <c r="BS31" s="17">
        <v>1</v>
      </c>
      <c r="BT31" s="17" t="s">
        <v>291</v>
      </c>
      <c r="BU31">
        <f>SUM(P31:AD31)</f>
        <v>17</v>
      </c>
      <c r="BV31" s="23">
        <f>AF31+AH31+AI31+AJ31+AO31+AP31</f>
        <v>0</v>
      </c>
    </row>
    <row r="32" spans="1:74" hidden="1">
      <c r="A32" s="18">
        <v>32</v>
      </c>
      <c r="B32" s="18" t="s">
        <v>59</v>
      </c>
      <c r="C32" s="18" t="s">
        <v>24</v>
      </c>
      <c r="D32" s="18" t="s">
        <v>18</v>
      </c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18"/>
      <c r="AF32" s="18"/>
      <c r="AG32" s="18"/>
      <c r="AH32" s="18"/>
      <c r="AI32" s="18">
        <v>5</v>
      </c>
      <c r="AJ32" s="18"/>
      <c r="AK32" s="18"/>
      <c r="AL32" s="18"/>
      <c r="AM32" s="18"/>
      <c r="AN32" s="18"/>
      <c r="AO32" s="18"/>
      <c r="AP32" s="18"/>
      <c r="AQ32" s="20"/>
      <c r="AR32" s="20"/>
      <c r="AS32" s="20"/>
      <c r="AT32" s="20"/>
      <c r="AU32" s="20"/>
      <c r="AV32" s="20"/>
      <c r="AW32" s="21"/>
      <c r="AX32" s="21"/>
      <c r="AY32" s="21"/>
      <c r="AZ32" s="21"/>
      <c r="BA32" s="21"/>
      <c r="BB32" s="21"/>
      <c r="BC32" s="26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>
        <f>SUM(E32:BP32)</f>
        <v>5</v>
      </c>
      <c r="BR32" s="18">
        <v>5</v>
      </c>
      <c r="BS32" s="22">
        <v>1</v>
      </c>
      <c r="BT32" s="22" t="s">
        <v>301</v>
      </c>
      <c r="BU32">
        <f>SUM(P32:AD32)</f>
        <v>0</v>
      </c>
      <c r="BV32" s="23">
        <f>AF32+AH32+AI32+AJ32+AO32+AP32</f>
        <v>5</v>
      </c>
    </row>
    <row r="33" spans="1:74" hidden="1">
      <c r="A33" s="18">
        <v>33</v>
      </c>
      <c r="B33" s="18" t="s">
        <v>59</v>
      </c>
      <c r="C33" s="18" t="s">
        <v>24</v>
      </c>
      <c r="D33" s="18" t="s">
        <v>0</v>
      </c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18"/>
      <c r="AF33" s="18"/>
      <c r="AG33" s="18"/>
      <c r="AH33" s="18">
        <v>5</v>
      </c>
      <c r="AI33" s="18"/>
      <c r="AJ33" s="18"/>
      <c r="AK33" s="18"/>
      <c r="AL33" s="18"/>
      <c r="AM33" s="18"/>
      <c r="AN33" s="18"/>
      <c r="AO33" s="18"/>
      <c r="AP33" s="18"/>
      <c r="AQ33" s="20"/>
      <c r="AR33" s="20"/>
      <c r="AS33" s="20"/>
      <c r="AT33" s="20"/>
      <c r="AU33" s="20"/>
      <c r="AV33" s="20"/>
      <c r="AW33" s="21"/>
      <c r="AX33" s="21"/>
      <c r="AY33" s="21"/>
      <c r="AZ33" s="21"/>
      <c r="BA33" s="21"/>
      <c r="BB33" s="21"/>
      <c r="BC33" s="26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>
        <f>SUM(E33:BP33)</f>
        <v>5</v>
      </c>
      <c r="BR33" s="18">
        <v>5</v>
      </c>
      <c r="BS33" s="22">
        <v>1</v>
      </c>
      <c r="BT33" s="22" t="s">
        <v>302</v>
      </c>
      <c r="BU33">
        <f>SUM(P33:AD33)</f>
        <v>0</v>
      </c>
      <c r="BV33" s="23">
        <f>AF33+AH33+AI33+AJ33+AO33+AP33</f>
        <v>5</v>
      </c>
    </row>
    <row r="34" spans="1:74" hidden="1">
      <c r="A34" s="18"/>
      <c r="B34" s="18" t="s">
        <v>92</v>
      </c>
      <c r="C34" s="18" t="s">
        <v>90</v>
      </c>
      <c r="D34" s="18" t="s">
        <v>86</v>
      </c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18"/>
      <c r="AF34" s="18"/>
      <c r="AG34" s="18"/>
      <c r="AH34" s="18">
        <v>5</v>
      </c>
      <c r="AI34" s="18"/>
      <c r="AJ34" s="18"/>
      <c r="AK34" s="18"/>
      <c r="AL34" s="18"/>
      <c r="AM34" s="18"/>
      <c r="AN34" s="18"/>
      <c r="AO34" s="18"/>
      <c r="AP34" s="18"/>
      <c r="AQ34" s="20"/>
      <c r="AR34" s="20"/>
      <c r="AS34" s="20"/>
      <c r="AT34" s="20"/>
      <c r="AU34" s="20"/>
      <c r="AV34" s="20"/>
      <c r="AW34" s="21"/>
      <c r="AX34" s="21"/>
      <c r="AY34" s="21"/>
      <c r="AZ34" s="21"/>
      <c r="BA34" s="21"/>
      <c r="BB34" s="21"/>
      <c r="BC34" s="26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>
        <f>SUM(E34:BP34)</f>
        <v>5</v>
      </c>
      <c r="BR34" s="18">
        <v>5</v>
      </c>
      <c r="BS34" s="22">
        <v>1</v>
      </c>
      <c r="BT34" s="22" t="s">
        <v>303</v>
      </c>
      <c r="BU34">
        <f>SUM(P34:AD34)</f>
        <v>0</v>
      </c>
      <c r="BV34" s="23">
        <f>AF34+AH34+AI34+AJ34+AO34+AP34</f>
        <v>5</v>
      </c>
    </row>
    <row r="35" spans="1:74" hidden="1">
      <c r="A35" s="18"/>
      <c r="B35" s="18" t="s">
        <v>92</v>
      </c>
      <c r="C35" s="18" t="s">
        <v>90</v>
      </c>
      <c r="D35" s="18" t="s">
        <v>81</v>
      </c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18"/>
      <c r="AF35" s="18"/>
      <c r="AG35" s="18"/>
      <c r="AH35" s="18"/>
      <c r="AI35" s="18">
        <v>5</v>
      </c>
      <c r="AJ35" s="18"/>
      <c r="AK35" s="18"/>
      <c r="AL35" s="18"/>
      <c r="AM35" s="18"/>
      <c r="AN35" s="18"/>
      <c r="AO35" s="18"/>
      <c r="AP35" s="18"/>
      <c r="AQ35" s="20"/>
      <c r="AR35" s="20"/>
      <c r="AS35" s="20"/>
      <c r="AT35" s="20"/>
      <c r="AU35" s="20"/>
      <c r="AV35" s="20"/>
      <c r="AW35" s="21"/>
      <c r="AX35" s="21"/>
      <c r="AY35" s="21"/>
      <c r="AZ35" s="21"/>
      <c r="BA35" s="21"/>
      <c r="BB35" s="21"/>
      <c r="BC35" s="26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>
        <f>SUM(E35:BP35)</f>
        <v>5</v>
      </c>
      <c r="BR35" s="18">
        <v>5</v>
      </c>
      <c r="BS35" s="22">
        <v>1</v>
      </c>
      <c r="BT35" s="22" t="s">
        <v>301</v>
      </c>
      <c r="BU35">
        <f>SUM(P35:AD35)</f>
        <v>0</v>
      </c>
      <c r="BV35" s="23">
        <f>AF35+AH35+AI35+AJ35+AO35+AP35</f>
        <v>5</v>
      </c>
    </row>
    <row r="36" spans="1:74" s="56" customFormat="1" hidden="1">
      <c r="A36" s="1"/>
      <c r="B36" s="1" t="s">
        <v>118</v>
      </c>
      <c r="C36" s="1" t="s">
        <v>116</v>
      </c>
      <c r="D36" s="1" t="s">
        <v>98</v>
      </c>
      <c r="E36" s="6"/>
      <c r="F36" s="6"/>
      <c r="G36" s="6"/>
      <c r="H36" s="6"/>
      <c r="I36" s="6">
        <v>7</v>
      </c>
      <c r="J36" s="6"/>
      <c r="K36" s="6"/>
      <c r="L36" s="6"/>
      <c r="M36" s="6"/>
      <c r="N36" s="6"/>
      <c r="O36" s="6"/>
      <c r="P36" s="28"/>
      <c r="Q36" s="28">
        <v>7</v>
      </c>
      <c r="R36" s="28">
        <v>7</v>
      </c>
      <c r="S36" s="28"/>
      <c r="T36" s="28">
        <v>7</v>
      </c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/>
      <c r="AV36" s="4"/>
      <c r="AW36" s="2"/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>
        <f>SUM(E36:BP36)</f>
        <v>28</v>
      </c>
      <c r="BR36" s="1">
        <v>7</v>
      </c>
      <c r="BS36" s="17">
        <v>1</v>
      </c>
      <c r="BT36" s="17" t="s">
        <v>304</v>
      </c>
      <c r="BU36">
        <f>SUM(P36:AD36)</f>
        <v>21</v>
      </c>
      <c r="BV36" s="23">
        <f>AF36+AH36+AI36+AJ36+AO36+AP36</f>
        <v>0</v>
      </c>
    </row>
    <row r="37" spans="1:74">
      <c r="A37" s="1"/>
      <c r="B37" s="1" t="s">
        <v>224</v>
      </c>
      <c r="C37" s="1" t="s">
        <v>82</v>
      </c>
      <c r="D37" s="1" t="s">
        <v>83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>
        <v>40</v>
      </c>
      <c r="AW37" s="2">
        <v>40</v>
      </c>
      <c r="AX37" s="2"/>
      <c r="AY37" s="2"/>
      <c r="AZ37" s="2"/>
      <c r="BA37" s="2"/>
      <c r="BB37" s="2">
        <v>40</v>
      </c>
      <c r="BC37" s="14">
        <v>10</v>
      </c>
      <c r="BD37" s="1"/>
      <c r="BE37" s="1">
        <v>50</v>
      </c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>
        <f>SUM(E37:BP37)</f>
        <v>180</v>
      </c>
      <c r="BR37" s="1">
        <v>9</v>
      </c>
      <c r="BS37" s="17">
        <v>1</v>
      </c>
      <c r="BT37" s="17" t="s">
        <v>286</v>
      </c>
      <c r="BU37">
        <f>SUM(P37:AD37)</f>
        <v>0</v>
      </c>
      <c r="BV37" s="23">
        <f>AF37+AH37+AI37+AJ37+AO37+AP37</f>
        <v>0</v>
      </c>
    </row>
    <row r="38" spans="1:74">
      <c r="A38" s="59"/>
      <c r="B38" s="60" t="s">
        <v>265</v>
      </c>
      <c r="C38" s="59" t="s">
        <v>36</v>
      </c>
      <c r="D38" s="1" t="s">
        <v>212</v>
      </c>
      <c r="E38" s="61"/>
      <c r="F38" s="61"/>
      <c r="G38" s="61"/>
      <c r="H38" s="61"/>
      <c r="I38" s="61"/>
      <c r="J38" s="61"/>
      <c r="K38" s="61"/>
      <c r="L38" s="61"/>
      <c r="M38" s="61"/>
      <c r="N38" s="61">
        <v>10</v>
      </c>
      <c r="O38" s="61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59"/>
      <c r="AF38" s="59"/>
      <c r="AG38" s="59"/>
      <c r="AH38" s="59"/>
      <c r="AI38" s="59"/>
      <c r="AJ38" s="59"/>
      <c r="AK38" s="59"/>
      <c r="AL38" s="59"/>
      <c r="AM38" s="59"/>
      <c r="AN38" s="59"/>
      <c r="AO38" s="59"/>
      <c r="AP38" s="59"/>
      <c r="AQ38" s="63">
        <v>10</v>
      </c>
      <c r="AR38" s="63"/>
      <c r="AS38" s="63"/>
      <c r="AT38" s="63"/>
      <c r="AU38" s="63"/>
      <c r="AV38" s="63"/>
      <c r="AW38" s="64"/>
      <c r="AX38" s="64"/>
      <c r="AY38" s="64"/>
      <c r="AZ38" s="64"/>
      <c r="BA38" s="64"/>
      <c r="BB38" s="64"/>
      <c r="BC38" s="65"/>
      <c r="BD38" s="59">
        <v>10</v>
      </c>
      <c r="BE38" s="59"/>
      <c r="BF38" s="59"/>
      <c r="BG38" s="59"/>
      <c r="BH38" s="59"/>
      <c r="BI38" s="59"/>
      <c r="BJ38" s="59"/>
      <c r="BK38" s="59"/>
      <c r="BL38" s="59"/>
      <c r="BM38" s="59"/>
      <c r="BN38" s="59"/>
      <c r="BO38" s="59"/>
      <c r="BP38" s="59"/>
      <c r="BQ38" s="49">
        <f>SUM(E38:BP38)</f>
        <v>30</v>
      </c>
      <c r="BR38" s="59">
        <v>10</v>
      </c>
      <c r="BS38" s="66">
        <v>1</v>
      </c>
      <c r="BT38" s="66" t="s">
        <v>307</v>
      </c>
      <c r="BU38">
        <f>SUM(P38:AD38)</f>
        <v>0</v>
      </c>
      <c r="BV38" s="23">
        <f>AF38+AH38+AI38+AJ38+AO38+AP38</f>
        <v>0</v>
      </c>
    </row>
    <row r="39" spans="1:74">
      <c r="A39" s="59"/>
      <c r="B39" s="60" t="s">
        <v>232</v>
      </c>
      <c r="C39" s="59" t="s">
        <v>43</v>
      </c>
      <c r="D39" s="1" t="s">
        <v>212</v>
      </c>
      <c r="E39" s="61"/>
      <c r="F39" s="61"/>
      <c r="G39" s="61"/>
      <c r="H39" s="61"/>
      <c r="I39" s="61"/>
      <c r="J39" s="61"/>
      <c r="K39" s="61">
        <v>10</v>
      </c>
      <c r="L39" s="61"/>
      <c r="M39" s="61"/>
      <c r="N39" s="61"/>
      <c r="O39" s="61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62"/>
      <c r="AD39" s="62"/>
      <c r="AE39" s="59"/>
      <c r="AF39" s="59"/>
      <c r="AG39" s="59"/>
      <c r="AH39" s="59"/>
      <c r="AI39" s="59"/>
      <c r="AJ39" s="59"/>
      <c r="AK39" s="59"/>
      <c r="AL39" s="59"/>
      <c r="AM39" s="59"/>
      <c r="AN39" s="59"/>
      <c r="AO39" s="59"/>
      <c r="AP39" s="59"/>
      <c r="AQ39" s="63"/>
      <c r="AR39" s="63"/>
      <c r="AS39" s="63"/>
      <c r="AT39" s="63"/>
      <c r="AU39" s="63"/>
      <c r="AV39" s="63">
        <v>10</v>
      </c>
      <c r="AW39" s="64"/>
      <c r="AX39" s="64"/>
      <c r="AY39" s="64"/>
      <c r="AZ39" s="64"/>
      <c r="BA39" s="64"/>
      <c r="BB39" s="64"/>
      <c r="BC39" s="65"/>
      <c r="BD39" s="59">
        <v>10</v>
      </c>
      <c r="BE39" s="59"/>
      <c r="BF39" s="59"/>
      <c r="BG39" s="59"/>
      <c r="BH39" s="59"/>
      <c r="BI39" s="59"/>
      <c r="BJ39" s="59"/>
      <c r="BK39" s="59"/>
      <c r="BL39" s="59"/>
      <c r="BM39" s="59"/>
      <c r="BN39" s="59"/>
      <c r="BO39" s="59"/>
      <c r="BP39" s="59"/>
      <c r="BQ39" s="49">
        <f>SUM(E39:BP39)</f>
        <v>30</v>
      </c>
      <c r="BR39" s="59">
        <v>10</v>
      </c>
      <c r="BS39" s="66">
        <v>1</v>
      </c>
      <c r="BT39" s="66" t="s">
        <v>307</v>
      </c>
      <c r="BU39">
        <f>SUM(P39:AD39)</f>
        <v>0</v>
      </c>
      <c r="BV39" s="23">
        <f>AF39+AH39+AI39+AJ39+AO39+AP39</f>
        <v>0</v>
      </c>
    </row>
    <row r="40" spans="1:74" hidden="1">
      <c r="A40" s="1"/>
      <c r="B40" s="1" t="s">
        <v>107</v>
      </c>
      <c r="C40" s="1" t="s">
        <v>95</v>
      </c>
      <c r="D40" s="1" t="s">
        <v>98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>
        <v>10</v>
      </c>
      <c r="P40" s="28"/>
      <c r="Q40" s="28"/>
      <c r="R40" s="28">
        <v>10</v>
      </c>
      <c r="S40" s="28"/>
      <c r="T40" s="28"/>
      <c r="U40" s="28"/>
      <c r="V40" s="28"/>
      <c r="W40" s="28"/>
      <c r="X40" s="28">
        <v>10</v>
      </c>
      <c r="Y40" s="28"/>
      <c r="Z40" s="28"/>
      <c r="AA40" s="28"/>
      <c r="AB40" s="28"/>
      <c r="AC40" s="28"/>
      <c r="AD40" s="28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>
        <v>10</v>
      </c>
      <c r="AT40" s="4"/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>
        <f>SUM(E40:BP40)</f>
        <v>40</v>
      </c>
      <c r="BR40" s="1">
        <v>10</v>
      </c>
      <c r="BS40" s="17">
        <v>1</v>
      </c>
      <c r="BT40" s="17" t="s">
        <v>332</v>
      </c>
      <c r="BU40">
        <f>SUM(P40:AD40)</f>
        <v>20</v>
      </c>
      <c r="BV40" s="23">
        <f>AF40+AH40+AI40+AJ40+AO40+AP40</f>
        <v>0</v>
      </c>
    </row>
    <row r="41" spans="1:74" hidden="1">
      <c r="A41" s="1"/>
      <c r="B41" s="3" t="s">
        <v>273</v>
      </c>
      <c r="C41" s="3" t="s">
        <v>94</v>
      </c>
      <c r="D41" s="1" t="s">
        <v>179</v>
      </c>
      <c r="E41" s="6"/>
      <c r="F41" s="6"/>
      <c r="G41" s="6"/>
      <c r="H41" s="6"/>
      <c r="I41" s="6">
        <v>10</v>
      </c>
      <c r="J41" s="6"/>
      <c r="K41" s="6"/>
      <c r="L41" s="6"/>
      <c r="M41" s="6"/>
      <c r="N41" s="6"/>
      <c r="O41" s="6"/>
      <c r="P41" s="28"/>
      <c r="Q41" s="28"/>
      <c r="R41" s="28">
        <v>10</v>
      </c>
      <c r="S41" s="28"/>
      <c r="T41" s="28"/>
      <c r="U41" s="28"/>
      <c r="V41" s="28"/>
      <c r="W41" s="28"/>
      <c r="X41" s="28">
        <v>10</v>
      </c>
      <c r="Y41" s="28"/>
      <c r="Z41" s="28"/>
      <c r="AA41" s="28"/>
      <c r="AB41" s="28"/>
      <c r="AC41" s="28"/>
      <c r="AD41" s="28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>
        <v>10</v>
      </c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>
        <f>SUM(E41:BP41)</f>
        <v>40</v>
      </c>
      <c r="BR41" s="1">
        <v>10</v>
      </c>
      <c r="BS41" s="17">
        <v>1</v>
      </c>
      <c r="BT41" s="17" t="s">
        <v>333</v>
      </c>
      <c r="BU41">
        <f>SUM(P41:AD41)</f>
        <v>20</v>
      </c>
      <c r="BV41" s="23">
        <f>AF41+AH41+AI41+AJ41+AO41+AP41</f>
        <v>0</v>
      </c>
    </row>
    <row r="42" spans="1:74" hidden="1">
      <c r="A42" s="1"/>
      <c r="B42" s="1" t="s">
        <v>213</v>
      </c>
      <c r="C42" s="1" t="s">
        <v>49</v>
      </c>
      <c r="D42" s="1" t="s">
        <v>212</v>
      </c>
      <c r="E42" s="6"/>
      <c r="F42" s="6"/>
      <c r="G42" s="6"/>
      <c r="H42" s="6"/>
      <c r="I42" s="6">
        <v>10</v>
      </c>
      <c r="J42" s="6"/>
      <c r="K42" s="6"/>
      <c r="L42" s="6"/>
      <c r="M42" s="6"/>
      <c r="N42" s="6"/>
      <c r="O42" s="6"/>
      <c r="P42" s="28"/>
      <c r="Q42" s="28"/>
      <c r="R42" s="28">
        <v>10</v>
      </c>
      <c r="S42" s="28"/>
      <c r="T42" s="28"/>
      <c r="U42" s="28"/>
      <c r="V42" s="28"/>
      <c r="W42" s="28"/>
      <c r="X42" s="28">
        <v>10</v>
      </c>
      <c r="Y42" s="28"/>
      <c r="Z42" s="28"/>
      <c r="AA42" s="28"/>
      <c r="AB42" s="28"/>
      <c r="AC42" s="28"/>
      <c r="AD42" s="28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>
        <v>10</v>
      </c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>
        <f>SUM(E42:BP42)</f>
        <v>40</v>
      </c>
      <c r="BR42" s="1">
        <v>10</v>
      </c>
      <c r="BS42" s="17">
        <v>1</v>
      </c>
      <c r="BT42" s="17" t="s">
        <v>333</v>
      </c>
      <c r="BU42">
        <f>SUM(P42:AD42)</f>
        <v>20</v>
      </c>
      <c r="BV42" s="23">
        <f>AF42+AH42+AI42+AJ42+AO42+AP42</f>
        <v>0</v>
      </c>
    </row>
    <row r="43" spans="1:74" hidden="1">
      <c r="A43" s="1"/>
      <c r="B43" s="1" t="s">
        <v>275</v>
      </c>
      <c r="C43" s="1" t="s">
        <v>51</v>
      </c>
      <c r="D43" s="1" t="s">
        <v>212</v>
      </c>
      <c r="E43" s="6"/>
      <c r="F43" s="6"/>
      <c r="G43" s="6"/>
      <c r="H43" s="6"/>
      <c r="I43" s="6">
        <v>10</v>
      </c>
      <c r="J43" s="6"/>
      <c r="K43" s="6"/>
      <c r="L43" s="6"/>
      <c r="M43" s="6"/>
      <c r="N43" s="6"/>
      <c r="O43" s="6"/>
      <c r="P43" s="28"/>
      <c r="Q43" s="28"/>
      <c r="R43" s="28">
        <v>10</v>
      </c>
      <c r="S43" s="28"/>
      <c r="T43" s="28"/>
      <c r="U43" s="28"/>
      <c r="V43" s="28"/>
      <c r="W43" s="28"/>
      <c r="X43" s="28">
        <v>10</v>
      </c>
      <c r="Y43" s="28"/>
      <c r="Z43" s="28"/>
      <c r="AA43" s="28"/>
      <c r="AB43" s="28"/>
      <c r="AC43" s="28"/>
      <c r="AD43" s="28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>
        <v>10</v>
      </c>
      <c r="AU43" s="4"/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>
        <f>SUM(E43:BP43)</f>
        <v>40</v>
      </c>
      <c r="BR43" s="1">
        <v>10</v>
      </c>
      <c r="BS43" s="17">
        <v>1</v>
      </c>
      <c r="BT43" s="17" t="s">
        <v>333</v>
      </c>
      <c r="BU43">
        <f>SUM(P43:AD43)</f>
        <v>20</v>
      </c>
      <c r="BV43" s="23">
        <f>AF43+AH43+AI43+AJ43+AO43+AP43</f>
        <v>0</v>
      </c>
    </row>
    <row r="44" spans="1:74" hidden="1">
      <c r="A44" s="1"/>
      <c r="B44" s="3" t="s">
        <v>255</v>
      </c>
      <c r="C44" s="3" t="s">
        <v>43</v>
      </c>
      <c r="D44" s="1" t="s">
        <v>98</v>
      </c>
      <c r="E44" s="6"/>
      <c r="F44" s="6"/>
      <c r="G44" s="6"/>
      <c r="H44" s="6"/>
      <c r="I44" s="6"/>
      <c r="J44" s="6"/>
      <c r="K44" s="6">
        <v>15</v>
      </c>
      <c r="L44" s="6"/>
      <c r="M44" s="6"/>
      <c r="N44" s="6"/>
      <c r="O44" s="6"/>
      <c r="P44" s="28"/>
      <c r="Q44" s="28"/>
      <c r="R44" s="28">
        <v>10</v>
      </c>
      <c r="S44" s="28"/>
      <c r="T44" s="28"/>
      <c r="U44" s="28"/>
      <c r="V44" s="28"/>
      <c r="W44" s="28"/>
      <c r="X44" s="28">
        <v>10</v>
      </c>
      <c r="Y44" s="28"/>
      <c r="Z44" s="28"/>
      <c r="AA44" s="28"/>
      <c r="AB44" s="28"/>
      <c r="AC44" s="28"/>
      <c r="AD44" s="28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/>
      <c r="AW44" s="2">
        <v>15</v>
      </c>
      <c r="AX44" s="2">
        <v>15</v>
      </c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>
        <f>SUM(E44:BP44)</f>
        <v>65</v>
      </c>
      <c r="BR44" s="1">
        <v>10</v>
      </c>
      <c r="BS44" s="17">
        <v>1</v>
      </c>
      <c r="BT44" s="17" t="s">
        <v>333</v>
      </c>
      <c r="BU44">
        <f>SUM(P44:AD44)</f>
        <v>20</v>
      </c>
      <c r="BV44" s="23">
        <f>AF44+AH44+AI44+AJ44+AO44+AP44</f>
        <v>0</v>
      </c>
    </row>
    <row r="45" spans="1:74">
      <c r="A45" s="1"/>
      <c r="B45" s="1" t="s">
        <v>157</v>
      </c>
      <c r="C45" s="1" t="s">
        <v>158</v>
      </c>
      <c r="D45" s="1" t="s">
        <v>159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>
        <v>15</v>
      </c>
      <c r="AV45" s="4"/>
      <c r="AW45" s="2"/>
      <c r="AX45" s="2"/>
      <c r="AY45" s="2">
        <v>15</v>
      </c>
      <c r="AZ45" s="2"/>
      <c r="BA45" s="2">
        <v>10</v>
      </c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>
        <f>SUM(E45:BP45)</f>
        <v>40</v>
      </c>
      <c r="BR45" s="1">
        <v>13</v>
      </c>
      <c r="BS45" s="17">
        <v>1</v>
      </c>
      <c r="BT45" s="17" t="s">
        <v>290</v>
      </c>
      <c r="BU45">
        <f>SUM(P45:AD45)</f>
        <v>0</v>
      </c>
      <c r="BV45" s="23">
        <f>AF45+AH45+AI45+AJ45+AO45+AP45</f>
        <v>0</v>
      </c>
    </row>
    <row r="46" spans="1:74">
      <c r="A46" s="18">
        <v>64</v>
      </c>
      <c r="B46" s="24" t="s">
        <v>237</v>
      </c>
      <c r="C46" s="18" t="s">
        <v>43</v>
      </c>
      <c r="D46" s="18" t="s">
        <v>0</v>
      </c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18"/>
      <c r="AF46" s="18"/>
      <c r="AG46" s="18"/>
      <c r="AH46" s="18"/>
      <c r="AI46" s="18"/>
      <c r="AJ46" s="18"/>
      <c r="AK46" s="18"/>
      <c r="AL46" s="18"/>
      <c r="AM46" s="18"/>
      <c r="AN46" s="18">
        <v>15</v>
      </c>
      <c r="AO46" s="18"/>
      <c r="AP46" s="18"/>
      <c r="AQ46" s="20"/>
      <c r="AR46" s="20"/>
      <c r="AS46" s="20"/>
      <c r="AT46" s="20"/>
      <c r="AU46" s="20"/>
      <c r="AV46" s="20"/>
      <c r="AW46" s="21"/>
      <c r="AX46" s="21"/>
      <c r="AY46" s="21"/>
      <c r="AZ46" s="21"/>
      <c r="BA46" s="21"/>
      <c r="BB46" s="21"/>
      <c r="BC46" s="26"/>
      <c r="BD46" s="18"/>
      <c r="BE46" s="18"/>
      <c r="BF46" s="18"/>
      <c r="BG46" s="18"/>
      <c r="BH46" s="18"/>
      <c r="BI46" s="18"/>
      <c r="BJ46" s="18"/>
      <c r="BK46" s="18"/>
      <c r="BL46" s="18"/>
      <c r="BM46" s="18"/>
      <c r="BN46" s="18"/>
      <c r="BO46" s="18"/>
      <c r="BP46" s="18"/>
      <c r="BQ46" s="18">
        <f>SUM(E46:BP46)</f>
        <v>15</v>
      </c>
      <c r="BR46" s="18">
        <v>14</v>
      </c>
      <c r="BS46" s="22">
        <v>1</v>
      </c>
      <c r="BT46" s="22" t="s">
        <v>308</v>
      </c>
      <c r="BU46">
        <f>SUM(P46:AD46)</f>
        <v>0</v>
      </c>
      <c r="BV46" s="23">
        <f>AF46+AH46+AI46+AJ46+AO46+AP46</f>
        <v>0</v>
      </c>
    </row>
    <row r="47" spans="1:74">
      <c r="A47" s="1"/>
      <c r="B47" s="1" t="s">
        <v>244</v>
      </c>
      <c r="C47" s="1" t="s">
        <v>24</v>
      </c>
      <c r="D47" s="1" t="s">
        <v>245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>
        <v>40</v>
      </c>
      <c r="AR47" s="4"/>
      <c r="AS47" s="4"/>
      <c r="AT47" s="4"/>
      <c r="AU47" s="4"/>
      <c r="AV47" s="4"/>
      <c r="AW47" s="2">
        <v>40</v>
      </c>
      <c r="AX47" s="2"/>
      <c r="AY47" s="2"/>
      <c r="AZ47" s="2"/>
      <c r="BA47" s="2">
        <v>40</v>
      </c>
      <c r="BB47" s="2"/>
      <c r="BC47" s="14">
        <v>10</v>
      </c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>
        <f>SUM(E47:BP47)</f>
        <v>130</v>
      </c>
      <c r="BR47" s="1">
        <v>28</v>
      </c>
      <c r="BS47" s="17">
        <v>1</v>
      </c>
      <c r="BT47" s="17" t="s">
        <v>312</v>
      </c>
      <c r="BU47">
        <f>SUM(P47:AD47)</f>
        <v>0</v>
      </c>
      <c r="BV47" s="23">
        <f>AF47+AH47+AI47+AJ47+AO47+AP47</f>
        <v>0</v>
      </c>
    </row>
    <row r="48" spans="1:74">
      <c r="A48" s="1">
        <v>23</v>
      </c>
      <c r="B48" s="1" t="s">
        <v>78</v>
      </c>
      <c r="C48" s="1" t="s">
        <v>24</v>
      </c>
      <c r="D48" s="1" t="s">
        <v>29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>
        <v>50</v>
      </c>
      <c r="BL48" s="1">
        <v>50</v>
      </c>
      <c r="BM48" s="1"/>
      <c r="BN48" s="1"/>
      <c r="BO48" s="1">
        <v>50</v>
      </c>
      <c r="BP48" s="1">
        <v>50</v>
      </c>
      <c r="BQ48" s="1">
        <f>SUM(E48:BP48)</f>
        <v>200</v>
      </c>
      <c r="BR48" s="1">
        <v>29</v>
      </c>
      <c r="BS48" s="17">
        <v>1</v>
      </c>
      <c r="BT48" s="17" t="s">
        <v>309</v>
      </c>
      <c r="BU48">
        <f>SUM(P48:AD48)</f>
        <v>0</v>
      </c>
      <c r="BV48" s="23">
        <f>AF48+AH48+AI48+AJ48+AO48+AP48</f>
        <v>0</v>
      </c>
    </row>
    <row r="49" spans="1:74">
      <c r="A49" s="1"/>
      <c r="B49" s="1" t="s">
        <v>131</v>
      </c>
      <c r="C49" s="1" t="s">
        <v>90</v>
      </c>
      <c r="D49" s="1" t="s">
        <v>91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>
        <v>50</v>
      </c>
      <c r="BL49" s="1">
        <v>50</v>
      </c>
      <c r="BM49" s="1"/>
      <c r="BN49" s="1"/>
      <c r="BO49" s="1">
        <v>50</v>
      </c>
      <c r="BP49" s="1">
        <v>50</v>
      </c>
      <c r="BQ49" s="1">
        <f>SUM(E49:BP49)</f>
        <v>200</v>
      </c>
      <c r="BR49" s="1">
        <v>29</v>
      </c>
      <c r="BS49" s="17">
        <v>1</v>
      </c>
      <c r="BT49" s="17" t="s">
        <v>309</v>
      </c>
      <c r="BU49">
        <f>SUM(P49:AD49)</f>
        <v>0</v>
      </c>
      <c r="BV49" s="23">
        <f>AF49+AH49+AI49+AJ49+AO49+AP49</f>
        <v>0</v>
      </c>
    </row>
    <row r="50" spans="1:74">
      <c r="A50" s="1"/>
      <c r="B50" s="1" t="s">
        <v>129</v>
      </c>
      <c r="C50" s="1" t="s">
        <v>121</v>
      </c>
      <c r="D50" s="1" t="s">
        <v>29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>
        <v>50</v>
      </c>
      <c r="BL50" s="1">
        <v>50</v>
      </c>
      <c r="BM50" s="1"/>
      <c r="BN50" s="1"/>
      <c r="BO50" s="1">
        <v>50</v>
      </c>
      <c r="BP50" s="1">
        <v>50</v>
      </c>
      <c r="BQ50" s="1">
        <f>SUM(E50:BP50)</f>
        <v>200</v>
      </c>
      <c r="BR50" s="1">
        <v>29</v>
      </c>
      <c r="BS50" s="17">
        <v>1</v>
      </c>
      <c r="BT50" s="17" t="s">
        <v>310</v>
      </c>
      <c r="BU50">
        <f>SUM(P50:AD50)</f>
        <v>0</v>
      </c>
      <c r="BV50" s="23">
        <f>AF50+AH50+AI50+AJ50+AO50+AP50</f>
        <v>0</v>
      </c>
    </row>
    <row r="51" spans="1:74">
      <c r="A51" s="1">
        <v>102</v>
      </c>
      <c r="B51" s="3" t="s">
        <v>154</v>
      </c>
      <c r="C51" s="3" t="s">
        <v>51</v>
      </c>
      <c r="D51" s="1" t="s">
        <v>29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>
        <v>50</v>
      </c>
      <c r="BL51" s="1">
        <v>50</v>
      </c>
      <c r="BM51" s="1"/>
      <c r="BN51" s="1"/>
      <c r="BO51" s="1">
        <v>50</v>
      </c>
      <c r="BP51" s="1">
        <v>50</v>
      </c>
      <c r="BQ51" s="1">
        <f>SUM(E51:BP51)</f>
        <v>200</v>
      </c>
      <c r="BR51" s="1">
        <v>29</v>
      </c>
      <c r="BS51" s="17">
        <v>1</v>
      </c>
      <c r="BT51" s="17" t="s">
        <v>309</v>
      </c>
      <c r="BU51">
        <f>SUM(P51:AD51)</f>
        <v>0</v>
      </c>
      <c r="BV51" s="23">
        <f>AF51+AH51+AI51+AJ51+AO51+AP51</f>
        <v>0</v>
      </c>
    </row>
    <row r="52" spans="1:74">
      <c r="A52" s="1">
        <v>85</v>
      </c>
      <c r="B52" s="3" t="s">
        <v>227</v>
      </c>
      <c r="C52" s="3" t="s">
        <v>49</v>
      </c>
      <c r="D52" s="1" t="s">
        <v>29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>
        <v>50</v>
      </c>
      <c r="BN52" s="1">
        <v>50</v>
      </c>
      <c r="BO52" s="1">
        <v>50</v>
      </c>
      <c r="BP52" s="1">
        <v>50</v>
      </c>
      <c r="BQ52" s="1">
        <f>SUM(E52:BP52)</f>
        <v>200</v>
      </c>
      <c r="BR52" s="1">
        <v>29</v>
      </c>
      <c r="BS52" s="17">
        <v>1</v>
      </c>
      <c r="BT52" s="17" t="s">
        <v>310</v>
      </c>
      <c r="BU52">
        <f>SUM(P52:AD52)</f>
        <v>0</v>
      </c>
      <c r="BV52" s="23">
        <f>AF52+AH52+AI52+AJ52+AO52+AP52</f>
        <v>0</v>
      </c>
    </row>
    <row r="53" spans="1:74">
      <c r="A53" s="1"/>
      <c r="B53" s="1" t="s">
        <v>136</v>
      </c>
      <c r="C53" s="1" t="s">
        <v>93</v>
      </c>
      <c r="D53" s="1" t="s">
        <v>91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>
        <v>50</v>
      </c>
      <c r="BN53" s="1">
        <v>50</v>
      </c>
      <c r="BO53" s="1">
        <v>50</v>
      </c>
      <c r="BP53" s="1">
        <v>50</v>
      </c>
      <c r="BQ53" s="1">
        <f>SUM(E53:BP53)</f>
        <v>200</v>
      </c>
      <c r="BR53" s="1">
        <v>29</v>
      </c>
      <c r="BS53" s="17">
        <v>1</v>
      </c>
      <c r="BT53" s="17" t="s">
        <v>309</v>
      </c>
      <c r="BU53">
        <f>SUM(P53:AD53)</f>
        <v>0</v>
      </c>
      <c r="BV53" s="23">
        <f>AF53+AH53+AI53+AJ53+AO53+AP53</f>
        <v>0</v>
      </c>
    </row>
    <row r="54" spans="1:74">
      <c r="A54" s="1"/>
      <c r="B54" s="1" t="s">
        <v>153</v>
      </c>
      <c r="C54" s="1" t="s">
        <v>93</v>
      </c>
      <c r="D54" s="1" t="s">
        <v>91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>
        <v>50</v>
      </c>
      <c r="BN54" s="1">
        <v>50</v>
      </c>
      <c r="BO54" s="1">
        <v>50</v>
      </c>
      <c r="BP54" s="1">
        <v>50</v>
      </c>
      <c r="BQ54" s="1">
        <f>SUM(E54:BP54)</f>
        <v>200</v>
      </c>
      <c r="BR54" s="1">
        <v>29</v>
      </c>
      <c r="BS54" s="17">
        <v>1</v>
      </c>
      <c r="BT54" s="17" t="s">
        <v>309</v>
      </c>
      <c r="BU54">
        <f>SUM(P54:AD54)</f>
        <v>0</v>
      </c>
      <c r="BV54" s="23">
        <f>AF54+AH54+AI54+AJ54+AO54+AP54</f>
        <v>0</v>
      </c>
    </row>
    <row r="55" spans="1:74">
      <c r="A55" s="1">
        <v>98</v>
      </c>
      <c r="B55" s="3" t="s">
        <v>126</v>
      </c>
      <c r="C55" s="3" t="s">
        <v>51</v>
      </c>
      <c r="D55" s="1" t="s">
        <v>0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1">
        <v>50</v>
      </c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>
        <f>SUM(E55:BP55)</f>
        <v>50</v>
      </c>
      <c r="BR55" s="1">
        <v>29</v>
      </c>
      <c r="BS55" s="17">
        <v>1</v>
      </c>
      <c r="BT55" s="17" t="s">
        <v>311</v>
      </c>
      <c r="BU55">
        <f>SUM(P55:AD55)</f>
        <v>0</v>
      </c>
      <c r="BV55" s="23">
        <f>AF55+AH55+AI55+AJ55+AO55+AP55</f>
        <v>0</v>
      </c>
    </row>
    <row r="56" spans="1:74">
      <c r="A56" s="1"/>
      <c r="B56" s="3" t="s">
        <v>276</v>
      </c>
      <c r="C56" s="1" t="s">
        <v>49</v>
      </c>
      <c r="D56" s="1" t="s">
        <v>98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>
        <v>50</v>
      </c>
      <c r="AX56" s="2"/>
      <c r="AY56" s="2"/>
      <c r="AZ56" s="2">
        <v>50</v>
      </c>
      <c r="BA56" s="2"/>
      <c r="BB56" s="2"/>
      <c r="BC56" s="14"/>
      <c r="BD56" s="1"/>
      <c r="BE56" s="1"/>
      <c r="BF56" s="1"/>
      <c r="BG56" s="1"/>
      <c r="BH56" s="1"/>
      <c r="BI56" s="1">
        <v>50</v>
      </c>
      <c r="BJ56" s="1">
        <v>50</v>
      </c>
      <c r="BK56" s="1"/>
      <c r="BL56" s="1"/>
      <c r="BM56" s="1"/>
      <c r="BN56" s="1"/>
      <c r="BO56" s="1"/>
      <c r="BP56" s="1"/>
      <c r="BQ56" s="1">
        <f>SUM(E56:BP56)</f>
        <v>200</v>
      </c>
      <c r="BR56" s="1">
        <v>31</v>
      </c>
      <c r="BS56" s="17">
        <v>1</v>
      </c>
      <c r="BT56" s="17" t="s">
        <v>313</v>
      </c>
      <c r="BU56">
        <f>SUM(P56:AD56)</f>
        <v>0</v>
      </c>
      <c r="BV56" s="23">
        <f>AF56+AH56+AI56+AJ56+AO56+AP56</f>
        <v>0</v>
      </c>
    </row>
    <row r="57" spans="1:74">
      <c r="A57" s="1">
        <v>99</v>
      </c>
      <c r="B57" s="3" t="s">
        <v>126</v>
      </c>
      <c r="C57" s="3" t="s">
        <v>51</v>
      </c>
      <c r="D57" s="1" t="s">
        <v>9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1">
        <v>200</v>
      </c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>
        <f>SUM(E57:BP57)</f>
        <v>200</v>
      </c>
      <c r="BR57" s="1">
        <v>179</v>
      </c>
      <c r="BS57" s="17">
        <v>1</v>
      </c>
      <c r="BT57" s="17" t="s">
        <v>266</v>
      </c>
      <c r="BU57">
        <f>SUM(P57:AD57)</f>
        <v>0</v>
      </c>
      <c r="BV57" s="23">
        <f>AF57+AH57+AI57+AJ57+AO57+AP57</f>
        <v>0</v>
      </c>
    </row>
    <row r="58" spans="1:74" ht="27">
      <c r="A58" s="1"/>
      <c r="B58" s="1" t="s">
        <v>252</v>
      </c>
      <c r="C58" s="1" t="s">
        <v>240</v>
      </c>
      <c r="D58" s="1" t="s">
        <v>9</v>
      </c>
      <c r="E58" s="6"/>
      <c r="F58" s="6"/>
      <c r="G58" s="6">
        <v>4</v>
      </c>
      <c r="H58" s="6">
        <v>4</v>
      </c>
      <c r="I58" s="6"/>
      <c r="J58" s="6"/>
      <c r="K58" s="6"/>
      <c r="L58" s="6"/>
      <c r="M58" s="6"/>
      <c r="N58" s="6"/>
      <c r="O58" s="6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>
        <v>5</v>
      </c>
      <c r="AV58" s="4"/>
      <c r="AW58" s="2"/>
      <c r="AX58" s="2"/>
      <c r="AY58" s="2">
        <v>5</v>
      </c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>
        <f>SUM(E58:BP58)</f>
        <v>18</v>
      </c>
      <c r="BR58" s="1">
        <v>4</v>
      </c>
      <c r="BS58" s="17">
        <v>2</v>
      </c>
      <c r="BT58" s="17" t="s">
        <v>314</v>
      </c>
      <c r="BU58">
        <f>SUM(P58:AD58)</f>
        <v>0</v>
      </c>
      <c r="BV58" s="23">
        <f>AF58+AH58+AI58+AJ58+AO58+AP58</f>
        <v>0</v>
      </c>
    </row>
    <row r="59" spans="1:74" ht="27" hidden="1">
      <c r="A59" s="1"/>
      <c r="B59" s="1" t="s">
        <v>219</v>
      </c>
      <c r="C59" s="1" t="s">
        <v>36</v>
      </c>
      <c r="D59" s="1" t="s">
        <v>217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28"/>
      <c r="Q59" s="28"/>
      <c r="R59" s="28">
        <v>2</v>
      </c>
      <c r="S59" s="28"/>
      <c r="T59" s="28">
        <v>5</v>
      </c>
      <c r="U59" s="28"/>
      <c r="V59" s="28"/>
      <c r="W59" s="28"/>
      <c r="X59" s="28">
        <v>2</v>
      </c>
      <c r="Y59" s="28"/>
      <c r="Z59" s="28"/>
      <c r="AA59" s="28"/>
      <c r="AB59" s="28"/>
      <c r="AC59" s="28"/>
      <c r="AD59" s="28">
        <v>2</v>
      </c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>
        <f>SUM(E59:BP59)</f>
        <v>11</v>
      </c>
      <c r="BR59" s="1">
        <v>4</v>
      </c>
      <c r="BS59" s="17">
        <v>2</v>
      </c>
      <c r="BT59" s="17" t="s">
        <v>341</v>
      </c>
      <c r="BU59">
        <f>SUM(P59:AD59)</f>
        <v>11</v>
      </c>
      <c r="BV59" s="23">
        <f>AF59+AH59+AI59+AJ59+AO59+AP59</f>
        <v>0</v>
      </c>
    </row>
    <row r="60" spans="1:74" ht="27" hidden="1">
      <c r="A60" s="1"/>
      <c r="B60" s="1" t="s">
        <v>208</v>
      </c>
      <c r="C60" s="1" t="s">
        <v>209</v>
      </c>
      <c r="D60" s="1" t="s">
        <v>212</v>
      </c>
      <c r="E60" s="6">
        <v>5</v>
      </c>
      <c r="F60" s="6"/>
      <c r="G60" s="6"/>
      <c r="H60" s="6"/>
      <c r="I60" s="6"/>
      <c r="J60" s="6"/>
      <c r="K60" s="6"/>
      <c r="L60" s="6"/>
      <c r="M60" s="6"/>
      <c r="N60" s="6"/>
      <c r="O60" s="6"/>
      <c r="P60" s="28"/>
      <c r="Q60" s="28"/>
      <c r="R60" s="28"/>
      <c r="S60" s="28"/>
      <c r="T60" s="28"/>
      <c r="U60" s="28"/>
      <c r="V60" s="28">
        <v>5</v>
      </c>
      <c r="W60" s="28"/>
      <c r="X60" s="28"/>
      <c r="Y60" s="28">
        <v>5</v>
      </c>
      <c r="Z60" s="28"/>
      <c r="AA60" s="28"/>
      <c r="AB60" s="28"/>
      <c r="AC60" s="28">
        <v>5</v>
      </c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>
        <f>SUM(E60:BP60)</f>
        <v>20</v>
      </c>
      <c r="BR60" s="1">
        <v>5</v>
      </c>
      <c r="BS60" s="17">
        <v>2</v>
      </c>
      <c r="BT60" s="17" t="s">
        <v>289</v>
      </c>
      <c r="BU60">
        <f>SUM(P60:AD60)</f>
        <v>15</v>
      </c>
      <c r="BV60" s="23">
        <f>AF60+AH60+AI60+AJ60+AO60+AP60</f>
        <v>0</v>
      </c>
    </row>
    <row r="61" spans="1:74" ht="27">
      <c r="A61" s="1">
        <v>8</v>
      </c>
      <c r="B61" s="1" t="s">
        <v>127</v>
      </c>
      <c r="C61" s="1" t="s">
        <v>1</v>
      </c>
      <c r="D61" s="1" t="s">
        <v>20</v>
      </c>
      <c r="E61" s="6">
        <v>6</v>
      </c>
      <c r="F61" s="6"/>
      <c r="G61" s="6"/>
      <c r="H61" s="6">
        <v>6</v>
      </c>
      <c r="I61" s="6"/>
      <c r="J61" s="6"/>
      <c r="K61" s="6"/>
      <c r="L61" s="6"/>
      <c r="M61" s="6"/>
      <c r="N61" s="6"/>
      <c r="O61" s="6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>
        <v>10</v>
      </c>
      <c r="AS61" s="4"/>
      <c r="AT61" s="4"/>
      <c r="AU61" s="4"/>
      <c r="AV61" s="4"/>
      <c r="AW61" s="2"/>
      <c r="AX61" s="2"/>
      <c r="AY61" s="2"/>
      <c r="AZ61" s="2"/>
      <c r="BA61" s="2"/>
      <c r="BB61" s="2">
        <v>10</v>
      </c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>
        <f>SUM(E61:BP61)</f>
        <v>32</v>
      </c>
      <c r="BR61" s="1">
        <v>5</v>
      </c>
      <c r="BS61" s="17">
        <v>2</v>
      </c>
      <c r="BT61" s="17" t="s">
        <v>319</v>
      </c>
      <c r="BU61">
        <f>SUM(P61:AD61)</f>
        <v>0</v>
      </c>
      <c r="BV61" s="23">
        <f>AF61+AH61+AI61+AJ61+AO61+AP61</f>
        <v>0</v>
      </c>
    </row>
    <row r="62" spans="1:74" ht="27" hidden="1">
      <c r="A62" s="1"/>
      <c r="B62" s="1" t="s">
        <v>269</v>
      </c>
      <c r="C62" s="1" t="s">
        <v>122</v>
      </c>
      <c r="D62" s="1" t="s">
        <v>97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28"/>
      <c r="Q62" s="28">
        <v>5</v>
      </c>
      <c r="R62" s="28"/>
      <c r="S62" s="28"/>
      <c r="T62" s="28">
        <v>5</v>
      </c>
      <c r="U62" s="28"/>
      <c r="V62" s="28"/>
      <c r="W62" s="28"/>
      <c r="X62" s="28"/>
      <c r="Y62" s="28"/>
      <c r="Z62" s="28">
        <v>5</v>
      </c>
      <c r="AA62" s="28">
        <v>2</v>
      </c>
      <c r="AB62" s="28"/>
      <c r="AC62" s="28"/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>
        <f>SUM(E62:BP62)</f>
        <v>17</v>
      </c>
      <c r="BR62" s="1">
        <v>6</v>
      </c>
      <c r="BS62" s="17">
        <v>2</v>
      </c>
      <c r="BT62" s="17" t="s">
        <v>287</v>
      </c>
      <c r="BU62">
        <f>SUM(P62:AD62)</f>
        <v>17</v>
      </c>
      <c r="BV62" s="23">
        <f>AF62+AH62+AI62+AJ62+AO62+AP62</f>
        <v>0</v>
      </c>
    </row>
    <row r="63" spans="1:74" ht="27" hidden="1">
      <c r="A63" s="1"/>
      <c r="B63" s="3" t="s">
        <v>260</v>
      </c>
      <c r="C63" s="3" t="s">
        <v>182</v>
      </c>
      <c r="D63" s="1" t="s">
        <v>0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28"/>
      <c r="Q63" s="28">
        <v>5</v>
      </c>
      <c r="R63" s="28"/>
      <c r="S63" s="28"/>
      <c r="T63" s="28">
        <v>5</v>
      </c>
      <c r="U63" s="28"/>
      <c r="V63" s="28"/>
      <c r="W63" s="28"/>
      <c r="X63" s="28"/>
      <c r="Y63" s="28"/>
      <c r="Z63" s="28">
        <v>5</v>
      </c>
      <c r="AA63" s="28">
        <v>2</v>
      </c>
      <c r="AB63" s="28"/>
      <c r="AC63" s="28"/>
      <c r="AD63" s="28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>
        <f>SUM(E63:BP63)</f>
        <v>17</v>
      </c>
      <c r="BR63" s="1">
        <v>6</v>
      </c>
      <c r="BS63" s="17">
        <v>2</v>
      </c>
      <c r="BT63" s="17" t="s">
        <v>288</v>
      </c>
      <c r="BU63">
        <f>SUM(P63:AD63)</f>
        <v>17</v>
      </c>
      <c r="BV63" s="23">
        <f>AF63+AH63+AI63+AJ63+AO63+AP63</f>
        <v>0</v>
      </c>
    </row>
    <row r="64" spans="1:74" ht="27" hidden="1">
      <c r="A64" s="1"/>
      <c r="B64" s="1" t="s">
        <v>258</v>
      </c>
      <c r="C64" s="1" t="s">
        <v>113</v>
      </c>
      <c r="D64" s="1" t="s">
        <v>211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28"/>
      <c r="Q64" s="28">
        <v>5</v>
      </c>
      <c r="R64" s="28"/>
      <c r="S64" s="28"/>
      <c r="T64" s="28">
        <v>5</v>
      </c>
      <c r="U64" s="28"/>
      <c r="V64" s="28"/>
      <c r="W64" s="28"/>
      <c r="X64" s="28"/>
      <c r="Y64" s="28"/>
      <c r="Z64" s="28">
        <v>5</v>
      </c>
      <c r="AA64" s="28">
        <v>2</v>
      </c>
      <c r="AB64" s="28"/>
      <c r="AC64" s="28"/>
      <c r="AD64" s="28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>
        <f>SUM(E64:BP64)</f>
        <v>17</v>
      </c>
      <c r="BR64" s="1">
        <v>6</v>
      </c>
      <c r="BS64" s="17">
        <v>2</v>
      </c>
      <c r="BT64" s="17" t="s">
        <v>288</v>
      </c>
      <c r="BU64">
        <f>SUM(P64:AD64)</f>
        <v>17</v>
      </c>
      <c r="BV64" s="23">
        <f>AF64+AH64+AI64+AJ64+AO64+AP64</f>
        <v>0</v>
      </c>
    </row>
    <row r="65" spans="1:74" ht="27" hidden="1">
      <c r="A65" s="1"/>
      <c r="B65" s="1" t="s">
        <v>214</v>
      </c>
      <c r="C65" s="1" t="s">
        <v>49</v>
      </c>
      <c r="D65" s="1" t="s">
        <v>211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28"/>
      <c r="Q65" s="28">
        <v>5</v>
      </c>
      <c r="R65" s="28"/>
      <c r="S65" s="28"/>
      <c r="T65" s="28">
        <v>5</v>
      </c>
      <c r="U65" s="28"/>
      <c r="V65" s="28"/>
      <c r="W65" s="28"/>
      <c r="X65" s="28"/>
      <c r="Y65" s="28"/>
      <c r="Z65" s="28">
        <v>5</v>
      </c>
      <c r="AA65" s="28">
        <v>2</v>
      </c>
      <c r="AB65" s="28"/>
      <c r="AC65" s="28"/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>
        <f>SUM(E65:BP65)</f>
        <v>17</v>
      </c>
      <c r="BR65" s="1">
        <v>6</v>
      </c>
      <c r="BS65" s="17">
        <v>2</v>
      </c>
      <c r="BT65" s="17" t="s">
        <v>287</v>
      </c>
      <c r="BU65">
        <f>SUM(P65:AD65)</f>
        <v>17</v>
      </c>
      <c r="BV65" s="23">
        <f>AF65+AH65+AI65+AJ65+AO65+AP65</f>
        <v>0</v>
      </c>
    </row>
    <row r="66" spans="1:74" ht="27" hidden="1">
      <c r="A66" s="1"/>
      <c r="B66" s="3" t="s">
        <v>257</v>
      </c>
      <c r="C66" s="3" t="s">
        <v>229</v>
      </c>
      <c r="D66" s="1" t="s">
        <v>0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28"/>
      <c r="Q66" s="28"/>
      <c r="R66" s="28">
        <v>2</v>
      </c>
      <c r="S66" s="28"/>
      <c r="T66" s="28"/>
      <c r="U66" s="28">
        <v>2</v>
      </c>
      <c r="V66" s="28"/>
      <c r="W66" s="28"/>
      <c r="X66" s="28"/>
      <c r="Y66" s="28"/>
      <c r="Z66" s="28"/>
      <c r="AA66" s="28"/>
      <c r="AB66" s="28"/>
      <c r="AC66" s="28">
        <v>5</v>
      </c>
      <c r="AD66" s="28">
        <v>2</v>
      </c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>
        <f>SUM(E66:BP66)</f>
        <v>11</v>
      </c>
      <c r="BR66" s="1">
        <v>6</v>
      </c>
      <c r="BS66" s="17">
        <v>2</v>
      </c>
      <c r="BT66" s="17" t="s">
        <v>318</v>
      </c>
      <c r="BU66">
        <f>SUM(P66:AD66)</f>
        <v>11</v>
      </c>
      <c r="BV66" s="23">
        <f>AF66+AH66+AI66+AJ66+AO66+AP66</f>
        <v>0</v>
      </c>
    </row>
    <row r="67" spans="1:74" ht="27" hidden="1">
      <c r="A67" s="1"/>
      <c r="B67" s="1" t="s">
        <v>89</v>
      </c>
      <c r="C67" s="1" t="s">
        <v>82</v>
      </c>
      <c r="D67" s="1" t="s">
        <v>80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>
        <v>5</v>
      </c>
      <c r="AP67" s="1">
        <v>1</v>
      </c>
      <c r="AQ67" s="4"/>
      <c r="AR67" s="4"/>
      <c r="AS67" s="4"/>
      <c r="AT67" s="4"/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>
        <f>SUM(E67:BP67)</f>
        <v>6</v>
      </c>
      <c r="BR67" s="1">
        <v>6</v>
      </c>
      <c r="BS67" s="17">
        <v>2</v>
      </c>
      <c r="BT67" s="17" t="s">
        <v>320</v>
      </c>
      <c r="BU67">
        <f>SUM(P67:AD67)</f>
        <v>0</v>
      </c>
      <c r="BV67" s="23">
        <f>AF67+AH67+AI67+AJ67+AO67+AP67</f>
        <v>6</v>
      </c>
    </row>
    <row r="68" spans="1:74" ht="27" hidden="1">
      <c r="A68" s="1"/>
      <c r="B68" s="1" t="s">
        <v>155</v>
      </c>
      <c r="C68" s="1" t="s">
        <v>24</v>
      </c>
      <c r="D68" s="1" t="s">
        <v>19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>
        <v>5</v>
      </c>
      <c r="AP68" s="1">
        <v>1</v>
      </c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>
        <f>SUM(E68:BP68)</f>
        <v>6</v>
      </c>
      <c r="BR68" s="1">
        <v>6</v>
      </c>
      <c r="BS68" s="17">
        <v>2</v>
      </c>
      <c r="BT68" s="17" t="s">
        <v>321</v>
      </c>
      <c r="BU68">
        <f>SUM(P68:AD68)</f>
        <v>0</v>
      </c>
      <c r="BV68" s="23">
        <f>AF68+AH68+AI68+AJ68+AO68+AP68</f>
        <v>6</v>
      </c>
    </row>
    <row r="69" spans="1:74" ht="27" hidden="1">
      <c r="A69" s="1"/>
      <c r="B69" s="1" t="s">
        <v>119</v>
      </c>
      <c r="C69" s="1" t="s">
        <v>120</v>
      </c>
      <c r="D69" s="1" t="s">
        <v>97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28"/>
      <c r="Q69" s="28"/>
      <c r="R69" s="28"/>
      <c r="S69" s="28"/>
      <c r="T69" s="28"/>
      <c r="U69" s="28"/>
      <c r="V69" s="28">
        <v>10</v>
      </c>
      <c r="W69" s="28"/>
      <c r="X69" s="28"/>
      <c r="Y69" s="28">
        <v>10</v>
      </c>
      <c r="Z69" s="28"/>
      <c r="AA69" s="28"/>
      <c r="AB69" s="28">
        <v>10</v>
      </c>
      <c r="AC69" s="28">
        <v>5</v>
      </c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>
        <f>SUM(E69:BP69)</f>
        <v>35</v>
      </c>
      <c r="BR69" s="1">
        <v>7</v>
      </c>
      <c r="BS69" s="17">
        <v>2</v>
      </c>
      <c r="BT69" s="17" t="s">
        <v>280</v>
      </c>
      <c r="BU69">
        <f>SUM(P69:AD69)</f>
        <v>35</v>
      </c>
      <c r="BV69" s="23">
        <f>AF69+AH69+AI69+AJ69+AO69+AP69</f>
        <v>0</v>
      </c>
    </row>
    <row r="70" spans="1:74" ht="27" hidden="1">
      <c r="A70" s="1"/>
      <c r="B70" s="3" t="s">
        <v>277</v>
      </c>
      <c r="C70" s="3" t="s">
        <v>49</v>
      </c>
      <c r="D70" s="1" t="s">
        <v>0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28"/>
      <c r="Q70" s="28"/>
      <c r="R70" s="28"/>
      <c r="S70" s="28"/>
      <c r="T70" s="28"/>
      <c r="U70" s="28"/>
      <c r="V70" s="28">
        <v>10</v>
      </c>
      <c r="W70" s="28"/>
      <c r="X70" s="28"/>
      <c r="Y70" s="28">
        <v>10</v>
      </c>
      <c r="Z70" s="28"/>
      <c r="AA70" s="28"/>
      <c r="AB70" s="28">
        <v>10</v>
      </c>
      <c r="AC70" s="28">
        <v>5</v>
      </c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>
        <f>SUM(E70:BP70)</f>
        <v>35</v>
      </c>
      <c r="BR70" s="1">
        <v>7</v>
      </c>
      <c r="BS70" s="17">
        <v>2</v>
      </c>
      <c r="BT70" s="17" t="s">
        <v>280</v>
      </c>
      <c r="BU70">
        <f>SUM(P70:AD70)</f>
        <v>35</v>
      </c>
      <c r="BV70" s="23">
        <f>AF70+AH70+AI70+AJ70+AO70+AP70</f>
        <v>0</v>
      </c>
    </row>
    <row r="71" spans="1:74" ht="27" hidden="1">
      <c r="A71" s="1"/>
      <c r="B71" s="1" t="s">
        <v>208</v>
      </c>
      <c r="C71" s="1" t="s">
        <v>209</v>
      </c>
      <c r="D71" s="1" t="s">
        <v>211</v>
      </c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28"/>
      <c r="Q71" s="28"/>
      <c r="R71" s="28"/>
      <c r="S71" s="28"/>
      <c r="T71" s="28"/>
      <c r="U71" s="28"/>
      <c r="V71" s="28">
        <v>10</v>
      </c>
      <c r="W71" s="28"/>
      <c r="X71" s="28"/>
      <c r="Y71" s="28">
        <v>10</v>
      </c>
      <c r="Z71" s="28"/>
      <c r="AA71" s="28"/>
      <c r="AB71" s="28">
        <v>10</v>
      </c>
      <c r="AC71" s="28">
        <v>5</v>
      </c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>
        <f>SUM(E71:BP71)</f>
        <v>35</v>
      </c>
      <c r="BR71" s="1">
        <v>7</v>
      </c>
      <c r="BS71" s="17">
        <v>2</v>
      </c>
      <c r="BT71" s="17" t="s">
        <v>280</v>
      </c>
      <c r="BU71">
        <f>SUM(P71:AD71)</f>
        <v>35</v>
      </c>
      <c r="BV71" s="23">
        <f>AF71+AH71+AI71+AJ71+AO71+AP71</f>
        <v>0</v>
      </c>
    </row>
    <row r="72" spans="1:74" ht="27" hidden="1">
      <c r="A72" s="1"/>
      <c r="B72" s="1" t="s">
        <v>274</v>
      </c>
      <c r="C72" s="1" t="s">
        <v>51</v>
      </c>
      <c r="D72" s="1" t="s">
        <v>211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28"/>
      <c r="Q72" s="28"/>
      <c r="R72" s="28"/>
      <c r="S72" s="28"/>
      <c r="T72" s="28"/>
      <c r="U72" s="28"/>
      <c r="V72" s="28">
        <v>10</v>
      </c>
      <c r="W72" s="28"/>
      <c r="X72" s="28"/>
      <c r="Y72" s="28">
        <v>10</v>
      </c>
      <c r="Z72" s="28"/>
      <c r="AA72" s="28"/>
      <c r="AB72" s="28">
        <v>10</v>
      </c>
      <c r="AC72" s="28">
        <v>5</v>
      </c>
      <c r="AD72" s="28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/>
      <c r="AU72" s="4"/>
      <c r="AV72" s="4"/>
      <c r="AW72" s="2"/>
      <c r="AX72" s="2"/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>
        <f>SUM(E72:BP72)</f>
        <v>35</v>
      </c>
      <c r="BR72" s="1">
        <v>7</v>
      </c>
      <c r="BS72" s="17">
        <v>2</v>
      </c>
      <c r="BT72" s="17" t="s">
        <v>280</v>
      </c>
      <c r="BU72">
        <f>SUM(P72:AD72)</f>
        <v>35</v>
      </c>
      <c r="BV72" s="23">
        <f>AF72+AH72+AI72+AJ72+AO72+AP72</f>
        <v>0</v>
      </c>
    </row>
    <row r="73" spans="1:74" ht="27" hidden="1">
      <c r="A73" s="1"/>
      <c r="B73" s="1" t="s">
        <v>221</v>
      </c>
      <c r="C73" s="1" t="s">
        <v>120</v>
      </c>
      <c r="D73" s="1" t="s">
        <v>97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28"/>
      <c r="Q73" s="28">
        <v>5</v>
      </c>
      <c r="R73" s="28"/>
      <c r="S73" s="28"/>
      <c r="T73" s="28">
        <v>5</v>
      </c>
      <c r="U73" s="28"/>
      <c r="V73" s="28"/>
      <c r="W73" s="28"/>
      <c r="X73" s="28">
        <v>2</v>
      </c>
      <c r="Y73" s="28"/>
      <c r="Z73" s="28">
        <v>5</v>
      </c>
      <c r="AA73" s="28"/>
      <c r="AB73" s="28"/>
      <c r="AC73" s="28"/>
      <c r="AD73" s="28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/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>
        <f>SUM(E73:BP73)</f>
        <v>17</v>
      </c>
      <c r="BR73" s="1">
        <v>7</v>
      </c>
      <c r="BS73" s="17">
        <v>2</v>
      </c>
      <c r="BT73" s="17" t="s">
        <v>293</v>
      </c>
      <c r="BU73">
        <f>SUM(P73:AD73)</f>
        <v>17</v>
      </c>
      <c r="BV73" s="23">
        <f>AF73+AH73+AI73+AJ73+AO73+AP73</f>
        <v>0</v>
      </c>
    </row>
    <row r="74" spans="1:74" ht="27" hidden="1">
      <c r="A74" s="1"/>
      <c r="B74" s="3" t="s">
        <v>180</v>
      </c>
      <c r="C74" s="3" t="s">
        <v>24</v>
      </c>
      <c r="D74" s="1" t="s">
        <v>0</v>
      </c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28"/>
      <c r="Q74" s="28">
        <v>5</v>
      </c>
      <c r="R74" s="28"/>
      <c r="S74" s="28"/>
      <c r="T74" s="28">
        <v>5</v>
      </c>
      <c r="U74" s="28"/>
      <c r="V74" s="28"/>
      <c r="W74" s="28"/>
      <c r="X74" s="28">
        <v>2</v>
      </c>
      <c r="Y74" s="28"/>
      <c r="Z74" s="28">
        <v>5</v>
      </c>
      <c r="AA74" s="28"/>
      <c r="AB74" s="28"/>
      <c r="AC74" s="28"/>
      <c r="AD74" s="28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/>
      <c r="AU74" s="4"/>
      <c r="AV74" s="4"/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>
        <f>SUM(E74:BP74)</f>
        <v>17</v>
      </c>
      <c r="BR74" s="1">
        <v>7</v>
      </c>
      <c r="BS74" s="17">
        <v>2</v>
      </c>
      <c r="BT74" s="17" t="s">
        <v>294</v>
      </c>
      <c r="BU74">
        <f>SUM(P74:AD74)</f>
        <v>17</v>
      </c>
      <c r="BV74" s="23">
        <f>AF74+AH74+AI74+AJ74+AO74+AP74</f>
        <v>0</v>
      </c>
    </row>
    <row r="75" spans="1:74" ht="27" hidden="1">
      <c r="A75" s="1"/>
      <c r="B75" s="1" t="s">
        <v>117</v>
      </c>
      <c r="C75" s="1" t="s">
        <v>116</v>
      </c>
      <c r="D75" s="1" t="s">
        <v>97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28"/>
      <c r="Q75" s="28">
        <v>5</v>
      </c>
      <c r="R75" s="28"/>
      <c r="S75" s="28"/>
      <c r="T75" s="28"/>
      <c r="U75" s="28"/>
      <c r="V75" s="28">
        <v>10</v>
      </c>
      <c r="W75" s="28"/>
      <c r="X75" s="28"/>
      <c r="Y75" s="28">
        <v>10</v>
      </c>
      <c r="Z75" s="28"/>
      <c r="AA75" s="28"/>
      <c r="AB75" s="28">
        <v>10</v>
      </c>
      <c r="AC75" s="28"/>
      <c r="AD75" s="28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>
        <f>SUM(E75:BP75)</f>
        <v>35</v>
      </c>
      <c r="BR75" s="1">
        <v>8</v>
      </c>
      <c r="BS75" s="17">
        <v>2</v>
      </c>
      <c r="BT75" s="17" t="s">
        <v>281</v>
      </c>
      <c r="BU75">
        <f>SUM(P75:AD75)</f>
        <v>35</v>
      </c>
      <c r="BV75" s="23">
        <f>AF75+AH75+AI75+AJ75+AO75+AP75</f>
        <v>0</v>
      </c>
    </row>
    <row r="76" spans="1:74" ht="27" hidden="1">
      <c r="A76" s="1"/>
      <c r="B76" s="3" t="s">
        <v>204</v>
      </c>
      <c r="C76" s="3" t="s">
        <v>49</v>
      </c>
      <c r="D76" s="1" t="s">
        <v>0</v>
      </c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28"/>
      <c r="Q76" s="28">
        <v>5</v>
      </c>
      <c r="R76" s="28"/>
      <c r="S76" s="28"/>
      <c r="T76" s="28"/>
      <c r="U76" s="28"/>
      <c r="V76" s="28">
        <v>10</v>
      </c>
      <c r="W76" s="28"/>
      <c r="X76" s="28"/>
      <c r="Y76" s="28">
        <v>10</v>
      </c>
      <c r="Z76" s="28"/>
      <c r="AA76" s="28"/>
      <c r="AB76" s="28">
        <v>10</v>
      </c>
      <c r="AC76" s="28"/>
      <c r="AD76" s="28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>
        <f>SUM(E76:BP76)</f>
        <v>35</v>
      </c>
      <c r="BR76" s="1">
        <v>8</v>
      </c>
      <c r="BS76" s="17">
        <v>2</v>
      </c>
      <c r="BT76" s="17" t="s">
        <v>281</v>
      </c>
      <c r="BU76">
        <f>SUM(P76:AD76)</f>
        <v>35</v>
      </c>
      <c r="BV76" s="23">
        <f>AF76+AH76+AI76+AJ76+AO76+AP76</f>
        <v>0</v>
      </c>
    </row>
    <row r="77" spans="1:74" ht="27" hidden="1">
      <c r="A77" s="1"/>
      <c r="B77" s="1" t="s">
        <v>85</v>
      </c>
      <c r="C77" s="1" t="s">
        <v>82</v>
      </c>
      <c r="D77" s="1" t="s">
        <v>86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>
        <v>3</v>
      </c>
      <c r="AP77" s="1">
        <v>5</v>
      </c>
      <c r="AQ77" s="4"/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>
        <f>SUM(E77:BP77)</f>
        <v>8</v>
      </c>
      <c r="BR77" s="1">
        <v>8</v>
      </c>
      <c r="BS77" s="17">
        <v>2</v>
      </c>
      <c r="BT77" s="17" t="s">
        <v>322</v>
      </c>
      <c r="BU77">
        <f>SUM(P77:AD77)</f>
        <v>0</v>
      </c>
      <c r="BV77" s="23">
        <f>AF77+AH77+AI77+AJ77+AO77+AP77</f>
        <v>8</v>
      </c>
    </row>
    <row r="78" spans="1:74" ht="27" hidden="1">
      <c r="A78" s="1"/>
      <c r="B78" s="1" t="s">
        <v>213</v>
      </c>
      <c r="C78" s="1" t="s">
        <v>49</v>
      </c>
      <c r="D78" s="1" t="s">
        <v>210</v>
      </c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28"/>
      <c r="Q78" s="28">
        <v>5</v>
      </c>
      <c r="R78" s="28"/>
      <c r="S78" s="28"/>
      <c r="T78" s="28">
        <v>5</v>
      </c>
      <c r="U78" s="28"/>
      <c r="V78" s="28"/>
      <c r="W78" s="28"/>
      <c r="X78" s="28"/>
      <c r="Y78" s="28"/>
      <c r="Z78" s="28">
        <v>5</v>
      </c>
      <c r="AA78" s="28"/>
      <c r="AB78" s="28"/>
      <c r="AC78" s="28">
        <v>5</v>
      </c>
      <c r="AD78" s="28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>
        <f>SUM(E78:BP78)</f>
        <v>20</v>
      </c>
      <c r="BR78" s="1">
        <v>9</v>
      </c>
      <c r="BS78" s="17">
        <v>2</v>
      </c>
      <c r="BT78" s="17" t="s">
        <v>283</v>
      </c>
      <c r="BU78">
        <f>SUM(P78:AD78)</f>
        <v>20</v>
      </c>
      <c r="BV78" s="23">
        <f>AF78+AH78+AI78+AJ78+AO78+AP78</f>
        <v>0</v>
      </c>
    </row>
    <row r="79" spans="1:74" ht="27" hidden="1">
      <c r="A79" s="1">
        <v>27</v>
      </c>
      <c r="B79" s="1" t="s">
        <v>56</v>
      </c>
      <c r="C79" s="1" t="s">
        <v>24</v>
      </c>
      <c r="D79" s="1" t="s">
        <v>18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1"/>
      <c r="AF79" s="1"/>
      <c r="AG79" s="1"/>
      <c r="AH79" s="1">
        <v>5</v>
      </c>
      <c r="AI79" s="1">
        <v>5</v>
      </c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>
        <f>SUM(E79:BP79)</f>
        <v>10</v>
      </c>
      <c r="BR79" s="1">
        <v>10</v>
      </c>
      <c r="BS79" s="17">
        <v>2</v>
      </c>
      <c r="BT79" s="17" t="s">
        <v>323</v>
      </c>
      <c r="BU79">
        <f>SUM(P79:AD79)</f>
        <v>0</v>
      </c>
      <c r="BV79" s="23">
        <f>AF79+AH79+AI79+AJ79+AO79+AP79</f>
        <v>10</v>
      </c>
    </row>
    <row r="80" spans="1:74" ht="27" hidden="1">
      <c r="A80" s="1">
        <v>88</v>
      </c>
      <c r="B80" s="3" t="s">
        <v>61</v>
      </c>
      <c r="C80" s="3" t="s">
        <v>62</v>
      </c>
      <c r="D80" s="1" t="s">
        <v>18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1"/>
      <c r="AF80" s="1"/>
      <c r="AG80" s="1"/>
      <c r="AH80" s="1">
        <v>5</v>
      </c>
      <c r="AI80" s="1">
        <v>5</v>
      </c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>
        <f>SUM(E80:BP80)</f>
        <v>10</v>
      </c>
      <c r="BR80" s="1">
        <v>10</v>
      </c>
      <c r="BS80" s="17">
        <v>2</v>
      </c>
      <c r="BT80" s="17" t="s">
        <v>267</v>
      </c>
      <c r="BU80">
        <f>SUM(P80:AD80)</f>
        <v>0</v>
      </c>
      <c r="BV80" s="23">
        <f>AF80+AH80+AI80+AJ80+AO80+AP80</f>
        <v>10</v>
      </c>
    </row>
    <row r="81" spans="1:74" ht="27" hidden="1">
      <c r="A81" s="1"/>
      <c r="B81" s="1" t="s">
        <v>264</v>
      </c>
      <c r="C81" s="1" t="s">
        <v>113</v>
      </c>
      <c r="D81" s="1" t="s">
        <v>98</v>
      </c>
      <c r="E81" s="6">
        <v>10</v>
      </c>
      <c r="F81" s="6"/>
      <c r="G81" s="6"/>
      <c r="H81" s="6"/>
      <c r="I81" s="6"/>
      <c r="J81" s="6"/>
      <c r="K81" s="6"/>
      <c r="L81" s="6"/>
      <c r="M81" s="6"/>
      <c r="N81" s="6"/>
      <c r="O81" s="6"/>
      <c r="P81" s="28"/>
      <c r="Q81" s="28"/>
      <c r="R81" s="28">
        <v>10</v>
      </c>
      <c r="S81" s="28"/>
      <c r="T81" s="28"/>
      <c r="U81" s="28">
        <v>10</v>
      </c>
      <c r="V81" s="28"/>
      <c r="W81" s="28"/>
      <c r="X81" s="28"/>
      <c r="Y81" s="28"/>
      <c r="Z81" s="28"/>
      <c r="AA81" s="28"/>
      <c r="AB81" s="28"/>
      <c r="AC81" s="28"/>
      <c r="AD81" s="28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>
        <v>10</v>
      </c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>
        <f>SUM(E81:BP81)</f>
        <v>40</v>
      </c>
      <c r="BR81" s="1">
        <v>10</v>
      </c>
      <c r="BS81" s="17">
        <v>2</v>
      </c>
      <c r="BT81" s="17" t="s">
        <v>344</v>
      </c>
      <c r="BU81">
        <f>SUM(P81:AD81)</f>
        <v>20</v>
      </c>
      <c r="BV81" s="23">
        <f>AF81+AH81+AI81+AJ81+AO81+AP81</f>
        <v>0</v>
      </c>
    </row>
    <row r="82" spans="1:74" ht="27" hidden="1">
      <c r="A82" s="1"/>
      <c r="B82" s="1" t="s">
        <v>117</v>
      </c>
      <c r="C82" s="1" t="s">
        <v>116</v>
      </c>
      <c r="D82" s="1" t="s">
        <v>98</v>
      </c>
      <c r="E82" s="6">
        <v>10</v>
      </c>
      <c r="F82" s="6"/>
      <c r="G82" s="6"/>
      <c r="H82" s="6"/>
      <c r="I82" s="6"/>
      <c r="J82" s="6"/>
      <c r="K82" s="6"/>
      <c r="L82" s="6"/>
      <c r="M82" s="6"/>
      <c r="N82" s="6"/>
      <c r="O82" s="6"/>
      <c r="P82" s="28"/>
      <c r="Q82" s="28"/>
      <c r="R82" s="28">
        <v>10</v>
      </c>
      <c r="S82" s="28"/>
      <c r="T82" s="28"/>
      <c r="U82" s="28">
        <v>10</v>
      </c>
      <c r="V82" s="28"/>
      <c r="W82" s="28"/>
      <c r="X82" s="28"/>
      <c r="Y82" s="28"/>
      <c r="Z82" s="28"/>
      <c r="AA82" s="28"/>
      <c r="AB82" s="28"/>
      <c r="AC82" s="28"/>
      <c r="AD82" s="28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/>
      <c r="AU82" s="4">
        <v>10</v>
      </c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>
        <f>SUM(E82:BP82)</f>
        <v>40</v>
      </c>
      <c r="BR82" s="1">
        <v>10</v>
      </c>
      <c r="BS82" s="17">
        <v>2</v>
      </c>
      <c r="BT82" s="17" t="s">
        <v>344</v>
      </c>
      <c r="BU82">
        <f>SUM(P82:AD82)</f>
        <v>20</v>
      </c>
      <c r="BV82" s="23">
        <f>AF82+AH82+AI82+AJ82+AO82+AP82</f>
        <v>0</v>
      </c>
    </row>
    <row r="83" spans="1:74" ht="27" hidden="1">
      <c r="A83" s="49"/>
      <c r="B83" s="49" t="s">
        <v>239</v>
      </c>
      <c r="C83" s="49" t="s">
        <v>122</v>
      </c>
      <c r="D83" s="49" t="s">
        <v>98</v>
      </c>
      <c r="E83" s="50">
        <v>10</v>
      </c>
      <c r="F83" s="50"/>
      <c r="G83" s="50"/>
      <c r="H83" s="50"/>
      <c r="I83" s="50"/>
      <c r="J83" s="50"/>
      <c r="K83" s="50"/>
      <c r="L83" s="50"/>
      <c r="M83" s="50"/>
      <c r="N83" s="50"/>
      <c r="O83" s="50"/>
      <c r="P83" s="51"/>
      <c r="Q83" s="51"/>
      <c r="R83" s="51">
        <v>10</v>
      </c>
      <c r="S83" s="51"/>
      <c r="T83" s="51"/>
      <c r="U83" s="51">
        <v>10</v>
      </c>
      <c r="V83" s="51"/>
      <c r="W83" s="51"/>
      <c r="X83" s="51"/>
      <c r="Y83" s="51"/>
      <c r="Z83" s="51"/>
      <c r="AA83" s="51"/>
      <c r="AB83" s="51"/>
      <c r="AC83" s="51"/>
      <c r="AD83" s="51"/>
      <c r="AE83" s="49"/>
      <c r="AF83" s="49"/>
      <c r="AG83" s="49"/>
      <c r="AH83" s="49"/>
      <c r="AI83" s="49"/>
      <c r="AJ83" s="49"/>
      <c r="AK83" s="49"/>
      <c r="AL83" s="49"/>
      <c r="AM83" s="49"/>
      <c r="AN83" s="49"/>
      <c r="AO83" s="49"/>
      <c r="AP83" s="49"/>
      <c r="AQ83" s="52"/>
      <c r="AR83" s="52"/>
      <c r="AS83" s="52"/>
      <c r="AT83" s="52"/>
      <c r="AU83" s="52">
        <v>10</v>
      </c>
      <c r="AV83" s="52"/>
      <c r="AW83" s="53"/>
      <c r="AX83" s="53"/>
      <c r="AY83" s="53"/>
      <c r="AZ83" s="53"/>
      <c r="BA83" s="53"/>
      <c r="BB83" s="53"/>
      <c r="BC83" s="54"/>
      <c r="BD83" s="49"/>
      <c r="BE83" s="49"/>
      <c r="BF83" s="49"/>
      <c r="BG83" s="49"/>
      <c r="BH83" s="49"/>
      <c r="BI83" s="49"/>
      <c r="BJ83" s="49"/>
      <c r="BK83" s="49"/>
      <c r="BL83" s="49"/>
      <c r="BM83" s="49"/>
      <c r="BN83" s="49"/>
      <c r="BO83" s="49"/>
      <c r="BP83" s="49"/>
      <c r="BQ83" s="49">
        <f>SUM(E83:BP83)</f>
        <v>40</v>
      </c>
      <c r="BR83" s="49">
        <v>10</v>
      </c>
      <c r="BS83" s="55">
        <v>2</v>
      </c>
      <c r="BT83" s="55" t="s">
        <v>344</v>
      </c>
      <c r="BU83">
        <f>SUM(P83:AD83)</f>
        <v>20</v>
      </c>
      <c r="BV83" s="23">
        <f>AF83+AH83+AI83+AJ83+AO83+AP83</f>
        <v>0</v>
      </c>
    </row>
    <row r="84" spans="1:74" ht="27" hidden="1">
      <c r="A84" s="1"/>
      <c r="B84" s="3" t="s">
        <v>205</v>
      </c>
      <c r="C84" s="3" t="s">
        <v>49</v>
      </c>
      <c r="D84" s="1" t="s">
        <v>179</v>
      </c>
      <c r="E84" s="6">
        <v>10</v>
      </c>
      <c r="F84" s="6"/>
      <c r="G84" s="6"/>
      <c r="H84" s="6"/>
      <c r="I84" s="6"/>
      <c r="J84" s="6"/>
      <c r="K84" s="6"/>
      <c r="L84" s="6"/>
      <c r="M84" s="6"/>
      <c r="N84" s="6"/>
      <c r="O84" s="6"/>
      <c r="P84" s="28"/>
      <c r="Q84" s="28"/>
      <c r="R84" s="28">
        <v>10</v>
      </c>
      <c r="S84" s="28"/>
      <c r="T84" s="28"/>
      <c r="U84" s="28">
        <v>10</v>
      </c>
      <c r="V84" s="28"/>
      <c r="W84" s="28"/>
      <c r="X84" s="28"/>
      <c r="Y84" s="28"/>
      <c r="Z84" s="28"/>
      <c r="AA84" s="28"/>
      <c r="AB84" s="28"/>
      <c r="AC84" s="28"/>
      <c r="AD84" s="28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/>
      <c r="AU84" s="4">
        <v>10</v>
      </c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>
        <f>SUM(E84:BP84)</f>
        <v>40</v>
      </c>
      <c r="BR84" s="1">
        <v>10</v>
      </c>
      <c r="BS84" s="17">
        <v>2</v>
      </c>
      <c r="BT84" s="17" t="s">
        <v>344</v>
      </c>
      <c r="BU84">
        <f>SUM(P84:AD84)</f>
        <v>20</v>
      </c>
      <c r="BV84" s="23">
        <f>AF84+AH84+AI84+AJ84+AO84+AP84</f>
        <v>0</v>
      </c>
    </row>
    <row r="85" spans="1:74" ht="27" hidden="1">
      <c r="A85" s="1"/>
      <c r="B85" s="1" t="s">
        <v>250</v>
      </c>
      <c r="C85" s="1" t="s">
        <v>51</v>
      </c>
      <c r="D85" s="1" t="s">
        <v>212</v>
      </c>
      <c r="E85" s="6">
        <v>10</v>
      </c>
      <c r="F85" s="6"/>
      <c r="G85" s="6"/>
      <c r="H85" s="6"/>
      <c r="I85" s="6"/>
      <c r="J85" s="6"/>
      <c r="K85" s="6"/>
      <c r="L85" s="6"/>
      <c r="M85" s="6"/>
      <c r="N85" s="6"/>
      <c r="O85" s="6"/>
      <c r="P85" s="28"/>
      <c r="Q85" s="28"/>
      <c r="R85" s="28">
        <v>10</v>
      </c>
      <c r="S85" s="28"/>
      <c r="T85" s="28"/>
      <c r="U85" s="28">
        <v>10</v>
      </c>
      <c r="V85" s="28"/>
      <c r="W85" s="28"/>
      <c r="X85" s="28"/>
      <c r="Y85" s="28"/>
      <c r="Z85" s="28"/>
      <c r="AA85" s="28"/>
      <c r="AB85" s="28"/>
      <c r="AC85" s="28"/>
      <c r="AD85" s="28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/>
      <c r="AT85" s="4"/>
      <c r="AU85" s="4">
        <v>10</v>
      </c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>
        <f>SUM(E85:BP85)</f>
        <v>40</v>
      </c>
      <c r="BR85" s="1">
        <v>10</v>
      </c>
      <c r="BS85" s="17">
        <v>2</v>
      </c>
      <c r="BT85" s="17" t="s">
        <v>344</v>
      </c>
      <c r="BU85">
        <f>SUM(P85:AD85)</f>
        <v>20</v>
      </c>
      <c r="BV85" s="23">
        <f>AF85+AH85+AI85+AJ85+AO85+AP85</f>
        <v>0</v>
      </c>
    </row>
    <row r="86" spans="1:74" ht="27" hidden="1">
      <c r="A86" s="1"/>
      <c r="B86" s="1" t="s">
        <v>271</v>
      </c>
      <c r="C86" s="1" t="s">
        <v>122</v>
      </c>
      <c r="D86" s="1" t="s">
        <v>98</v>
      </c>
      <c r="E86" s="6"/>
      <c r="F86" s="6"/>
      <c r="G86" s="6"/>
      <c r="H86" s="6">
        <v>10</v>
      </c>
      <c r="I86" s="6"/>
      <c r="J86" s="6"/>
      <c r="K86" s="6"/>
      <c r="L86" s="6"/>
      <c r="M86" s="6"/>
      <c r="N86" s="6"/>
      <c r="O86" s="6"/>
      <c r="P86" s="28"/>
      <c r="Q86" s="28"/>
      <c r="R86" s="28">
        <v>10</v>
      </c>
      <c r="S86" s="28"/>
      <c r="T86" s="28"/>
      <c r="U86" s="28">
        <v>10</v>
      </c>
      <c r="V86" s="28"/>
      <c r="W86" s="28"/>
      <c r="X86" s="28"/>
      <c r="Y86" s="28"/>
      <c r="Z86" s="28"/>
      <c r="AA86" s="28"/>
      <c r="AB86" s="28"/>
      <c r="AC86" s="28"/>
      <c r="AD86" s="28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>
        <v>10</v>
      </c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>
        <f>SUM(E86:BP86)</f>
        <v>40</v>
      </c>
      <c r="BR86" s="1">
        <v>11</v>
      </c>
      <c r="BS86" s="17">
        <v>2</v>
      </c>
      <c r="BT86" s="17" t="s">
        <v>345</v>
      </c>
      <c r="BU86">
        <f>SUM(P86:AD86)</f>
        <v>20</v>
      </c>
      <c r="BV86" s="23">
        <f>AF86+AH86+AI86+AJ86+AO86+AP86</f>
        <v>0</v>
      </c>
    </row>
    <row r="87" spans="1:74" ht="27">
      <c r="A87" s="1"/>
      <c r="B87" s="1" t="s">
        <v>132</v>
      </c>
      <c r="C87" s="1" t="s">
        <v>90</v>
      </c>
      <c r="D87" s="1" t="s">
        <v>81</v>
      </c>
      <c r="E87" s="6">
        <v>10</v>
      </c>
      <c r="F87" s="6"/>
      <c r="G87" s="6">
        <v>10</v>
      </c>
      <c r="H87" s="6"/>
      <c r="I87" s="6"/>
      <c r="J87" s="6"/>
      <c r="K87" s="6"/>
      <c r="L87" s="6"/>
      <c r="M87" s="6"/>
      <c r="N87" s="6"/>
      <c r="O87" s="6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>
        <v>10</v>
      </c>
      <c r="AS87" s="4"/>
      <c r="AT87" s="4"/>
      <c r="AU87" s="4"/>
      <c r="AV87" s="4"/>
      <c r="AW87" s="2"/>
      <c r="AX87" s="2"/>
      <c r="AY87" s="2"/>
      <c r="AZ87" s="2"/>
      <c r="BA87" s="2"/>
      <c r="BB87" s="2">
        <v>10</v>
      </c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>
        <f>SUM(E87:BP87)</f>
        <v>40</v>
      </c>
      <c r="BR87" s="1">
        <v>12</v>
      </c>
      <c r="BS87" s="17">
        <v>2</v>
      </c>
      <c r="BT87" s="17" t="s">
        <v>328</v>
      </c>
      <c r="BU87">
        <f>SUM(P87:AD87)</f>
        <v>0</v>
      </c>
      <c r="BV87" s="23">
        <f>AF87+AH87+AI87+AJ87+AO87+AP87</f>
        <v>0</v>
      </c>
    </row>
    <row r="88" spans="1:74" s="67" customFormat="1" ht="27">
      <c r="A88" s="1"/>
      <c r="B88" s="1" t="s">
        <v>130</v>
      </c>
      <c r="C88" s="1" t="s">
        <v>121</v>
      </c>
      <c r="D88" s="1" t="s">
        <v>98</v>
      </c>
      <c r="E88" s="6">
        <v>10</v>
      </c>
      <c r="F88" s="6"/>
      <c r="G88" s="6">
        <v>10</v>
      </c>
      <c r="H88" s="6"/>
      <c r="I88" s="6"/>
      <c r="J88" s="6"/>
      <c r="K88" s="6"/>
      <c r="L88" s="6"/>
      <c r="M88" s="6"/>
      <c r="N88" s="6"/>
      <c r="O88" s="6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>
        <v>10</v>
      </c>
      <c r="AS88" s="4"/>
      <c r="AT88" s="4"/>
      <c r="AU88" s="4"/>
      <c r="AV88" s="4"/>
      <c r="AW88" s="2"/>
      <c r="AX88" s="2"/>
      <c r="AY88" s="2"/>
      <c r="AZ88" s="2"/>
      <c r="BA88" s="2"/>
      <c r="BB88" s="2">
        <v>10</v>
      </c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>
        <f>SUM(E88:BP88)</f>
        <v>40</v>
      </c>
      <c r="BR88" s="1">
        <v>12</v>
      </c>
      <c r="BS88" s="17">
        <v>2</v>
      </c>
      <c r="BT88" s="17" t="s">
        <v>328</v>
      </c>
      <c r="BU88">
        <f>SUM(P88:AD88)</f>
        <v>0</v>
      </c>
      <c r="BV88" s="23">
        <f>AF88+AH88+AI88+AJ88+AO88+AP88</f>
        <v>0</v>
      </c>
    </row>
    <row r="89" spans="1:74" s="67" customFormat="1" ht="27" hidden="1">
      <c r="A89" s="1"/>
      <c r="B89" s="3" t="s">
        <v>253</v>
      </c>
      <c r="C89" s="3" t="s">
        <v>182</v>
      </c>
      <c r="D89" s="1" t="s">
        <v>179</v>
      </c>
      <c r="E89" s="6"/>
      <c r="F89" s="6"/>
      <c r="G89" s="6"/>
      <c r="H89" s="6"/>
      <c r="I89" s="6"/>
      <c r="J89" s="6"/>
      <c r="K89" s="6">
        <v>10</v>
      </c>
      <c r="L89" s="6"/>
      <c r="M89" s="6"/>
      <c r="N89" s="6"/>
      <c r="O89" s="6"/>
      <c r="P89" s="28"/>
      <c r="Q89" s="28"/>
      <c r="R89" s="28"/>
      <c r="S89" s="28"/>
      <c r="T89" s="28"/>
      <c r="U89" s="28">
        <v>10</v>
      </c>
      <c r="V89" s="28"/>
      <c r="W89" s="28"/>
      <c r="X89" s="28"/>
      <c r="Y89" s="28"/>
      <c r="Z89" s="28"/>
      <c r="AA89" s="28">
        <v>10</v>
      </c>
      <c r="AB89" s="28"/>
      <c r="AC89" s="28"/>
      <c r="AD89" s="28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/>
      <c r="AS89" s="4"/>
      <c r="AT89" s="4"/>
      <c r="AU89" s="4"/>
      <c r="AV89" s="4">
        <v>10</v>
      </c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>
        <f>SUM(E89:BP89)</f>
        <v>40</v>
      </c>
      <c r="BR89" s="1">
        <v>13</v>
      </c>
      <c r="BS89" s="17">
        <v>2</v>
      </c>
      <c r="BT89" s="17" t="s">
        <v>324</v>
      </c>
      <c r="BU89">
        <f>SUM(P89:AD89)</f>
        <v>20</v>
      </c>
      <c r="BV89" s="23">
        <f>AF89+AH89+AI89+AJ89+AO89+AP89</f>
        <v>0</v>
      </c>
    </row>
    <row r="90" spans="1:74" s="67" customFormat="1" ht="27" hidden="1">
      <c r="A90" s="1"/>
      <c r="B90" s="1" t="s">
        <v>119</v>
      </c>
      <c r="C90" s="1" t="s">
        <v>120</v>
      </c>
      <c r="D90" s="1" t="s">
        <v>98</v>
      </c>
      <c r="E90" s="6"/>
      <c r="F90" s="6"/>
      <c r="G90" s="6"/>
      <c r="H90" s="6"/>
      <c r="I90" s="6"/>
      <c r="J90" s="6">
        <v>10</v>
      </c>
      <c r="K90" s="6"/>
      <c r="L90" s="6"/>
      <c r="M90" s="6"/>
      <c r="N90" s="6"/>
      <c r="O90" s="6"/>
      <c r="P90" s="28"/>
      <c r="Q90" s="28"/>
      <c r="R90" s="28"/>
      <c r="S90" s="28"/>
      <c r="T90" s="28"/>
      <c r="U90" s="28">
        <v>10</v>
      </c>
      <c r="V90" s="28"/>
      <c r="W90" s="28"/>
      <c r="X90" s="28"/>
      <c r="Y90" s="28"/>
      <c r="Z90" s="28"/>
      <c r="AA90" s="28">
        <v>10</v>
      </c>
      <c r="AB90" s="28"/>
      <c r="AC90" s="28"/>
      <c r="AD90" s="28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>
        <v>10</v>
      </c>
      <c r="AR90" s="4"/>
      <c r="AS90" s="4"/>
      <c r="AT90" s="4"/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>
        <f>SUM(E90:BP90)</f>
        <v>40</v>
      </c>
      <c r="BR90" s="1">
        <v>13</v>
      </c>
      <c r="BS90" s="17">
        <v>2</v>
      </c>
      <c r="BT90" s="17" t="s">
        <v>324</v>
      </c>
      <c r="BU90">
        <f>SUM(P90:AD90)</f>
        <v>20</v>
      </c>
      <c r="BV90" s="23">
        <f>AF90+AH90+AI90+AJ90+AO90+AP90</f>
        <v>0</v>
      </c>
    </row>
    <row r="91" spans="1:74" s="67" customFormat="1" ht="27" hidden="1">
      <c r="A91" s="1"/>
      <c r="B91" s="1" t="s">
        <v>272</v>
      </c>
      <c r="C91" s="1" t="s">
        <v>122</v>
      </c>
      <c r="D91" s="1" t="s">
        <v>98</v>
      </c>
      <c r="E91" s="6"/>
      <c r="F91" s="6"/>
      <c r="G91" s="6"/>
      <c r="H91" s="6"/>
      <c r="I91" s="6"/>
      <c r="J91" s="6">
        <v>10</v>
      </c>
      <c r="K91" s="6"/>
      <c r="L91" s="6"/>
      <c r="M91" s="6"/>
      <c r="N91" s="6"/>
      <c r="O91" s="6"/>
      <c r="P91" s="28"/>
      <c r="Q91" s="28"/>
      <c r="R91" s="28"/>
      <c r="S91" s="28"/>
      <c r="T91" s="28"/>
      <c r="U91" s="28">
        <v>10</v>
      </c>
      <c r="V91" s="28"/>
      <c r="W91" s="28"/>
      <c r="X91" s="28"/>
      <c r="Y91" s="28"/>
      <c r="Z91" s="28"/>
      <c r="AA91" s="28">
        <v>10</v>
      </c>
      <c r="AB91" s="28"/>
      <c r="AC91" s="28"/>
      <c r="AD91" s="28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>
        <v>10</v>
      </c>
      <c r="AR91" s="4"/>
      <c r="AS91" s="4"/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>
        <f>SUM(E91:BP91)</f>
        <v>40</v>
      </c>
      <c r="BR91" s="1">
        <v>13</v>
      </c>
      <c r="BS91" s="17">
        <v>2</v>
      </c>
      <c r="BT91" s="17" t="s">
        <v>325</v>
      </c>
      <c r="BU91">
        <f>SUM(P91:AD91)</f>
        <v>20</v>
      </c>
      <c r="BV91" s="23">
        <f>AF91+AH91+AI91+AJ91+AO91+AP91</f>
        <v>0</v>
      </c>
    </row>
    <row r="92" spans="1:74" s="67" customFormat="1" ht="27" hidden="1">
      <c r="A92" s="1"/>
      <c r="B92" s="3" t="s">
        <v>278</v>
      </c>
      <c r="C92" s="3" t="s">
        <v>49</v>
      </c>
      <c r="D92" s="1" t="s">
        <v>179</v>
      </c>
      <c r="E92" s="6"/>
      <c r="F92" s="6"/>
      <c r="G92" s="6"/>
      <c r="H92" s="6"/>
      <c r="I92" s="6"/>
      <c r="J92" s="6">
        <v>10</v>
      </c>
      <c r="K92" s="6"/>
      <c r="L92" s="6"/>
      <c r="M92" s="6"/>
      <c r="N92" s="6"/>
      <c r="O92" s="6"/>
      <c r="P92" s="28"/>
      <c r="Q92" s="28"/>
      <c r="R92" s="28"/>
      <c r="S92" s="28"/>
      <c r="T92" s="28"/>
      <c r="U92" s="28">
        <v>10</v>
      </c>
      <c r="V92" s="28"/>
      <c r="W92" s="28"/>
      <c r="X92" s="28"/>
      <c r="Y92" s="28"/>
      <c r="Z92" s="28"/>
      <c r="AA92" s="28">
        <v>10</v>
      </c>
      <c r="AB92" s="28"/>
      <c r="AC92" s="28"/>
      <c r="AD92" s="28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>
        <v>10</v>
      </c>
      <c r="AR92" s="4"/>
      <c r="AS92" s="4"/>
      <c r="AT92" s="4"/>
      <c r="AU92" s="4"/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>
        <f>SUM(E92:BP92)</f>
        <v>40</v>
      </c>
      <c r="BR92" s="1">
        <v>13</v>
      </c>
      <c r="BS92" s="17">
        <v>2</v>
      </c>
      <c r="BT92" s="17" t="s">
        <v>324</v>
      </c>
      <c r="BU92">
        <f>SUM(P92:AD92)</f>
        <v>20</v>
      </c>
      <c r="BV92" s="23">
        <f>AF92+AH92+AI92+AJ92+AO92+AP92</f>
        <v>0</v>
      </c>
    </row>
    <row r="93" spans="1:74" s="67" customFormat="1" ht="27" hidden="1">
      <c r="A93" s="1"/>
      <c r="B93" s="1" t="s">
        <v>263</v>
      </c>
      <c r="C93" s="1" t="s">
        <v>113</v>
      </c>
      <c r="D93" s="1" t="s">
        <v>212</v>
      </c>
      <c r="E93" s="6"/>
      <c r="F93" s="6"/>
      <c r="G93" s="6"/>
      <c r="H93" s="6"/>
      <c r="I93" s="6"/>
      <c r="J93" s="6">
        <v>10</v>
      </c>
      <c r="K93" s="6"/>
      <c r="L93" s="6"/>
      <c r="M93" s="6"/>
      <c r="N93" s="6"/>
      <c r="O93" s="6"/>
      <c r="P93" s="28"/>
      <c r="Q93" s="28"/>
      <c r="R93" s="28"/>
      <c r="S93" s="28"/>
      <c r="T93" s="28"/>
      <c r="U93" s="28">
        <v>10</v>
      </c>
      <c r="V93" s="28"/>
      <c r="W93" s="28"/>
      <c r="X93" s="28"/>
      <c r="Y93" s="28"/>
      <c r="Z93" s="28"/>
      <c r="AA93" s="28">
        <v>10</v>
      </c>
      <c r="AB93" s="28"/>
      <c r="AC93" s="28"/>
      <c r="AD93" s="28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>
        <v>10</v>
      </c>
      <c r="AR93" s="4"/>
      <c r="AS93" s="4"/>
      <c r="AT93" s="4"/>
      <c r="AU93" s="4"/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>
        <f>SUM(E93:BP93)</f>
        <v>40</v>
      </c>
      <c r="BR93" s="1">
        <v>13</v>
      </c>
      <c r="BS93" s="17">
        <v>2</v>
      </c>
      <c r="BT93" s="17" t="s">
        <v>325</v>
      </c>
      <c r="BU93">
        <f>SUM(P93:AD93)</f>
        <v>20</v>
      </c>
      <c r="BV93" s="23">
        <f>AF93+AH93+AI93+AJ93+AO93+AP93</f>
        <v>0</v>
      </c>
    </row>
    <row r="94" spans="1:74" s="67" customFormat="1" ht="27" hidden="1">
      <c r="A94" s="1"/>
      <c r="B94" s="1" t="s">
        <v>219</v>
      </c>
      <c r="C94" s="1" t="s">
        <v>36</v>
      </c>
      <c r="D94" s="1" t="s">
        <v>218</v>
      </c>
      <c r="E94" s="6"/>
      <c r="F94" s="6"/>
      <c r="G94" s="6"/>
      <c r="H94" s="6"/>
      <c r="I94" s="6"/>
      <c r="J94" s="6">
        <v>10</v>
      </c>
      <c r="K94" s="6"/>
      <c r="L94" s="6"/>
      <c r="M94" s="6"/>
      <c r="N94" s="6"/>
      <c r="O94" s="6"/>
      <c r="P94" s="28"/>
      <c r="Q94" s="28"/>
      <c r="R94" s="28"/>
      <c r="S94" s="28"/>
      <c r="T94" s="28"/>
      <c r="U94" s="28">
        <v>10</v>
      </c>
      <c r="V94" s="28"/>
      <c r="W94" s="28"/>
      <c r="X94" s="28"/>
      <c r="Y94" s="28"/>
      <c r="Z94" s="28"/>
      <c r="AA94" s="28">
        <v>10</v>
      </c>
      <c r="AB94" s="28"/>
      <c r="AC94" s="28"/>
      <c r="AD94" s="28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>
        <v>10</v>
      </c>
      <c r="AR94" s="4"/>
      <c r="AS94" s="4"/>
      <c r="AT94" s="4"/>
      <c r="AU94" s="4"/>
      <c r="AV94" s="4"/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>
        <f>SUM(E94:BP94)</f>
        <v>40</v>
      </c>
      <c r="BR94" s="1">
        <v>13</v>
      </c>
      <c r="BS94" s="17">
        <v>2</v>
      </c>
      <c r="BT94" s="17" t="s">
        <v>324</v>
      </c>
      <c r="BU94">
        <f>SUM(P94:AD94)</f>
        <v>20</v>
      </c>
      <c r="BV94" s="23">
        <f>AF94+AH94+AI94+AJ94+AO94+AP94</f>
        <v>0</v>
      </c>
    </row>
    <row r="95" spans="1:74" s="67" customFormat="1" ht="27" hidden="1">
      <c r="A95" s="1"/>
      <c r="B95" s="1" t="s">
        <v>221</v>
      </c>
      <c r="C95" s="1" t="s">
        <v>120</v>
      </c>
      <c r="D95" s="1" t="s">
        <v>98</v>
      </c>
      <c r="E95" s="6"/>
      <c r="F95" s="6"/>
      <c r="G95" s="6"/>
      <c r="H95" s="6"/>
      <c r="I95" s="6"/>
      <c r="J95" s="6"/>
      <c r="K95" s="6"/>
      <c r="L95" s="6">
        <v>7</v>
      </c>
      <c r="M95" s="6"/>
      <c r="N95" s="6"/>
      <c r="O95" s="6"/>
      <c r="P95" s="28"/>
      <c r="Q95" s="28">
        <v>7</v>
      </c>
      <c r="R95" s="28"/>
      <c r="S95" s="28"/>
      <c r="T95" s="28">
        <v>7</v>
      </c>
      <c r="U95" s="28"/>
      <c r="V95" s="28"/>
      <c r="W95" s="28"/>
      <c r="X95" s="28">
        <v>7</v>
      </c>
      <c r="Y95" s="28"/>
      <c r="Z95" s="28"/>
      <c r="AA95" s="28"/>
      <c r="AB95" s="28"/>
      <c r="AC95" s="28"/>
      <c r="AD95" s="28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/>
      <c r="AS95" s="4"/>
      <c r="AT95" s="4"/>
      <c r="AU95" s="4"/>
      <c r="AV95" s="4"/>
      <c r="AW95" s="2"/>
      <c r="AX95" s="2"/>
      <c r="AY95" s="2"/>
      <c r="AZ95" s="2"/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>
        <f>SUM(E95:BP95)</f>
        <v>28</v>
      </c>
      <c r="BR95" s="1">
        <v>14</v>
      </c>
      <c r="BS95" s="17">
        <v>2</v>
      </c>
      <c r="BT95" s="17" t="s">
        <v>305</v>
      </c>
      <c r="BU95">
        <f>SUM(P95:AD95)</f>
        <v>21</v>
      </c>
      <c r="BV95" s="23">
        <f>AF95+AH95+AI95+AJ95+AO95+AP95</f>
        <v>0</v>
      </c>
    </row>
    <row r="96" spans="1:74" s="67" customFormat="1" ht="27" hidden="1">
      <c r="A96" s="1"/>
      <c r="B96" s="3" t="s">
        <v>257</v>
      </c>
      <c r="C96" s="3" t="s">
        <v>229</v>
      </c>
      <c r="D96" s="1" t="s">
        <v>98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>
        <v>10</v>
      </c>
      <c r="P96" s="28"/>
      <c r="Q96" s="28"/>
      <c r="R96" s="28">
        <v>10</v>
      </c>
      <c r="S96" s="28"/>
      <c r="T96" s="28"/>
      <c r="U96" s="28">
        <v>10</v>
      </c>
      <c r="V96" s="28"/>
      <c r="W96" s="28"/>
      <c r="X96" s="28"/>
      <c r="Y96" s="28"/>
      <c r="Z96" s="28"/>
      <c r="AA96" s="28"/>
      <c r="AB96" s="28"/>
      <c r="AC96" s="28"/>
      <c r="AD96" s="28">
        <v>10</v>
      </c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/>
      <c r="AS96" s="4"/>
      <c r="AT96" s="4"/>
      <c r="AU96" s="4"/>
      <c r="AV96" s="4"/>
      <c r="AW96" s="2"/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>
        <f>SUM(E96:BP96)</f>
        <v>40</v>
      </c>
      <c r="BR96" s="1">
        <v>14</v>
      </c>
      <c r="BS96" s="17">
        <v>2</v>
      </c>
      <c r="BT96" s="17" t="s">
        <v>347</v>
      </c>
      <c r="BU96">
        <f>SUM(P96:AD96)</f>
        <v>30</v>
      </c>
      <c r="BV96" s="23">
        <f>AF96+AH96+AI96+AJ96+AO96+AP96</f>
        <v>0</v>
      </c>
    </row>
    <row r="97" spans="1:74" s="67" customFormat="1" ht="27">
      <c r="A97" s="1"/>
      <c r="B97" s="1" t="s">
        <v>135</v>
      </c>
      <c r="C97" s="1" t="s">
        <v>93</v>
      </c>
      <c r="D97" s="1" t="s">
        <v>81</v>
      </c>
      <c r="E97" s="6"/>
      <c r="F97" s="6"/>
      <c r="G97" s="6"/>
      <c r="H97" s="6">
        <v>10</v>
      </c>
      <c r="I97" s="6"/>
      <c r="J97" s="6">
        <v>10</v>
      </c>
      <c r="K97" s="6"/>
      <c r="L97" s="6"/>
      <c r="M97" s="6"/>
      <c r="N97" s="6"/>
      <c r="O97" s="6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/>
      <c r="AT97" s="4">
        <v>10</v>
      </c>
      <c r="AU97" s="4"/>
      <c r="AV97" s="4"/>
      <c r="AW97" s="2"/>
      <c r="AX97" s="2"/>
      <c r="AY97" s="2">
        <v>10</v>
      </c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>
        <f>SUM(E97:BP97)</f>
        <v>40</v>
      </c>
      <c r="BR97" s="1">
        <v>15</v>
      </c>
      <c r="BS97" s="17">
        <v>2</v>
      </c>
      <c r="BT97" s="17" t="s">
        <v>306</v>
      </c>
      <c r="BU97">
        <f>SUM(P97:AD97)</f>
        <v>0</v>
      </c>
      <c r="BV97" s="23">
        <f>AF97+AH97+AI97+AJ97+AO97+AP97</f>
        <v>0</v>
      </c>
    </row>
    <row r="98" spans="1:74" s="67" customFormat="1" ht="27" hidden="1">
      <c r="A98" s="1"/>
      <c r="B98" s="1" t="s">
        <v>85</v>
      </c>
      <c r="C98" s="1" t="s">
        <v>82</v>
      </c>
      <c r="D98" s="1" t="s">
        <v>80</v>
      </c>
      <c r="E98" s="6"/>
      <c r="F98" s="6"/>
      <c r="G98" s="6"/>
      <c r="H98" s="6"/>
      <c r="I98" s="6"/>
      <c r="J98" s="6"/>
      <c r="K98" s="6"/>
      <c r="L98" s="6"/>
      <c r="M98" s="6"/>
      <c r="N98" s="6"/>
      <c r="O98" s="6">
        <v>5</v>
      </c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>
        <v>5</v>
      </c>
      <c r="AP98" s="1">
        <v>10</v>
      </c>
      <c r="AQ98" s="4"/>
      <c r="AR98" s="4"/>
      <c r="AS98" s="4"/>
      <c r="AT98" s="4"/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>
        <f>SUM(E98:BP98)</f>
        <v>20</v>
      </c>
      <c r="BR98" s="1">
        <v>15</v>
      </c>
      <c r="BS98" s="17">
        <v>2</v>
      </c>
      <c r="BT98" s="17" t="s">
        <v>329</v>
      </c>
      <c r="BU98">
        <f>SUM(P98:AD98)</f>
        <v>0</v>
      </c>
      <c r="BV98" s="23">
        <f>AF98+AH98+AI98+AJ98+AO98+AP98</f>
        <v>15</v>
      </c>
    </row>
    <row r="99" spans="1:74" s="67" customFormat="1" ht="27">
      <c r="A99" s="1">
        <v>54</v>
      </c>
      <c r="B99" s="1" t="s">
        <v>42</v>
      </c>
      <c r="C99" s="1" t="s">
        <v>43</v>
      </c>
      <c r="D99" s="1" t="s">
        <v>0</v>
      </c>
      <c r="E99" s="6"/>
      <c r="F99" s="6">
        <v>15</v>
      </c>
      <c r="G99" s="6"/>
      <c r="H99" s="6">
        <v>15</v>
      </c>
      <c r="I99" s="6"/>
      <c r="J99" s="6"/>
      <c r="K99" s="6"/>
      <c r="L99" s="6"/>
      <c r="M99" s="6"/>
      <c r="N99" s="6"/>
      <c r="O99" s="6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/>
      <c r="AU99" s="4"/>
      <c r="AV99" s="4">
        <v>15</v>
      </c>
      <c r="AW99" s="2"/>
      <c r="AX99" s="2"/>
      <c r="AY99" s="2"/>
      <c r="AZ99" s="2"/>
      <c r="BA99" s="2">
        <v>15</v>
      </c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>
        <f>SUM(E99:BP99)</f>
        <v>60</v>
      </c>
      <c r="BR99" s="1">
        <v>15</v>
      </c>
      <c r="BS99" s="17">
        <v>2</v>
      </c>
      <c r="BT99" s="17" t="s">
        <v>330</v>
      </c>
      <c r="BU99">
        <f>SUM(P99:AD99)</f>
        <v>0</v>
      </c>
      <c r="BV99" s="23">
        <f>AF99+AH99+AI99+AJ99+AO99+AP99</f>
        <v>0</v>
      </c>
    </row>
    <row r="100" spans="1:74" s="67" customFormat="1" ht="27" hidden="1">
      <c r="A100" s="1"/>
      <c r="B100" s="1" t="s">
        <v>112</v>
      </c>
      <c r="C100" s="1" t="s">
        <v>95</v>
      </c>
      <c r="D100" s="1" t="s">
        <v>98</v>
      </c>
      <c r="E100" s="6"/>
      <c r="F100" s="6"/>
      <c r="G100" s="6"/>
      <c r="H100" s="6">
        <v>10</v>
      </c>
      <c r="I100" s="6"/>
      <c r="J100" s="6"/>
      <c r="K100" s="6"/>
      <c r="L100" s="6"/>
      <c r="M100" s="6"/>
      <c r="N100" s="6"/>
      <c r="O100" s="6"/>
      <c r="P100" s="28"/>
      <c r="Q100" s="28"/>
      <c r="R100" s="28">
        <v>10</v>
      </c>
      <c r="S100" s="28"/>
      <c r="T100" s="28"/>
      <c r="U100" s="28"/>
      <c r="V100" s="28"/>
      <c r="W100" s="28"/>
      <c r="X100" s="28">
        <v>10</v>
      </c>
      <c r="Y100" s="28"/>
      <c r="Z100" s="28"/>
      <c r="AA100" s="28"/>
      <c r="AB100" s="28"/>
      <c r="AC100" s="28"/>
      <c r="AD100" s="28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>
        <v>10</v>
      </c>
      <c r="AS100" s="4"/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>
        <f>SUM(E100:BP100)</f>
        <v>40</v>
      </c>
      <c r="BR100" s="1">
        <v>17</v>
      </c>
      <c r="BS100" s="17">
        <v>2</v>
      </c>
      <c r="BT100" s="17" t="s">
        <v>348</v>
      </c>
      <c r="BU100">
        <f>SUM(P100:AD100)</f>
        <v>20</v>
      </c>
      <c r="BV100" s="23">
        <f>AF100+AH100+AI100+AJ100+AO100+AP100</f>
        <v>0</v>
      </c>
    </row>
    <row r="101" spans="1:74" s="67" customFormat="1" ht="27" hidden="1">
      <c r="A101" s="1"/>
      <c r="B101" s="3" t="s">
        <v>183</v>
      </c>
      <c r="C101" s="3" t="s">
        <v>94</v>
      </c>
      <c r="D101" s="1" t="s">
        <v>179</v>
      </c>
      <c r="E101" s="6"/>
      <c r="F101" s="6"/>
      <c r="G101" s="6"/>
      <c r="H101" s="6">
        <v>10</v>
      </c>
      <c r="I101" s="6"/>
      <c r="J101" s="6"/>
      <c r="K101" s="6"/>
      <c r="L101" s="6"/>
      <c r="M101" s="6"/>
      <c r="N101" s="6"/>
      <c r="O101" s="6"/>
      <c r="P101" s="28"/>
      <c r="Q101" s="28"/>
      <c r="R101" s="28">
        <v>10</v>
      </c>
      <c r="S101" s="28"/>
      <c r="T101" s="28"/>
      <c r="U101" s="28"/>
      <c r="V101" s="28"/>
      <c r="W101" s="28"/>
      <c r="X101" s="28">
        <v>10</v>
      </c>
      <c r="Y101" s="28"/>
      <c r="Z101" s="28"/>
      <c r="AA101" s="28"/>
      <c r="AB101" s="28"/>
      <c r="AC101" s="28"/>
      <c r="AD101" s="28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>
        <v>10</v>
      </c>
      <c r="AS101" s="4"/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>
        <f>SUM(E101:BP101)</f>
        <v>40</v>
      </c>
      <c r="BR101" s="1">
        <v>17</v>
      </c>
      <c r="BS101" s="17">
        <v>2</v>
      </c>
      <c r="BT101" s="17" t="s">
        <v>349</v>
      </c>
      <c r="BU101">
        <f>SUM(P101:AD101)</f>
        <v>20</v>
      </c>
      <c r="BV101" s="23">
        <f>AF101+AH101+AI101+AJ101+AO101+AP101</f>
        <v>0</v>
      </c>
    </row>
    <row r="102" spans="1:74" s="67" customFormat="1" ht="27" hidden="1">
      <c r="A102" s="1"/>
      <c r="B102" s="3" t="s">
        <v>231</v>
      </c>
      <c r="C102" s="3" t="s">
        <v>230</v>
      </c>
      <c r="D102" s="1" t="s">
        <v>9</v>
      </c>
      <c r="E102" s="6"/>
      <c r="F102" s="6"/>
      <c r="G102" s="6"/>
      <c r="H102" s="6">
        <v>10</v>
      </c>
      <c r="I102" s="6"/>
      <c r="J102" s="6"/>
      <c r="K102" s="6"/>
      <c r="L102" s="6"/>
      <c r="M102" s="6"/>
      <c r="N102" s="6"/>
      <c r="O102" s="6"/>
      <c r="P102" s="28"/>
      <c r="Q102" s="28"/>
      <c r="R102" s="28">
        <v>10</v>
      </c>
      <c r="S102" s="28"/>
      <c r="T102" s="28"/>
      <c r="U102" s="28"/>
      <c r="V102" s="28"/>
      <c r="W102" s="28"/>
      <c r="X102" s="28">
        <v>10</v>
      </c>
      <c r="Y102" s="28"/>
      <c r="Z102" s="28"/>
      <c r="AA102" s="28"/>
      <c r="AB102" s="28"/>
      <c r="AC102" s="28"/>
      <c r="AD102" s="28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>
        <v>10</v>
      </c>
      <c r="AS102" s="4"/>
      <c r="AT102" s="4"/>
      <c r="AU102" s="4"/>
      <c r="AV102" s="4"/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>
        <f>SUM(E102:BP102)</f>
        <v>40</v>
      </c>
      <c r="BR102" s="1">
        <v>17</v>
      </c>
      <c r="BS102" s="17">
        <v>2</v>
      </c>
      <c r="BT102" s="17" t="s">
        <v>348</v>
      </c>
      <c r="BU102">
        <f>SUM(P102:AD102)</f>
        <v>20</v>
      </c>
      <c r="BV102" s="23">
        <f>AF102+AH102+AI102+AJ102+AO102+AP102</f>
        <v>0</v>
      </c>
    </row>
    <row r="103" spans="1:74" s="67" customFormat="1" ht="27" hidden="1">
      <c r="A103" s="1"/>
      <c r="B103" s="1" t="s">
        <v>215</v>
      </c>
      <c r="C103" s="1" t="s">
        <v>49</v>
      </c>
      <c r="D103" s="1" t="s">
        <v>212</v>
      </c>
      <c r="E103" s="6"/>
      <c r="F103" s="6"/>
      <c r="G103" s="6"/>
      <c r="H103" s="6">
        <v>10</v>
      </c>
      <c r="I103" s="6"/>
      <c r="J103" s="6"/>
      <c r="K103" s="6"/>
      <c r="L103" s="6"/>
      <c r="M103" s="6"/>
      <c r="N103" s="6"/>
      <c r="O103" s="6"/>
      <c r="P103" s="28"/>
      <c r="Q103" s="28"/>
      <c r="R103" s="28">
        <v>10</v>
      </c>
      <c r="S103" s="28"/>
      <c r="T103" s="28"/>
      <c r="U103" s="28"/>
      <c r="V103" s="28"/>
      <c r="W103" s="28"/>
      <c r="X103" s="28">
        <v>10</v>
      </c>
      <c r="Y103" s="28"/>
      <c r="Z103" s="28"/>
      <c r="AA103" s="28"/>
      <c r="AB103" s="28"/>
      <c r="AC103" s="28"/>
      <c r="AD103" s="28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>
        <v>10</v>
      </c>
      <c r="AS103" s="4"/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>
        <f>SUM(E103:BP103)</f>
        <v>40</v>
      </c>
      <c r="BR103" s="1">
        <v>17</v>
      </c>
      <c r="BS103" s="17">
        <v>2</v>
      </c>
      <c r="BT103" s="17" t="s">
        <v>348</v>
      </c>
      <c r="BU103">
        <f>SUM(P103:AD103)</f>
        <v>20</v>
      </c>
      <c r="BV103" s="23">
        <f>AF103+AH103+AI103+AJ103+AO103+AP103</f>
        <v>0</v>
      </c>
    </row>
    <row r="104" spans="1:74" s="67" customFormat="1" ht="27" hidden="1">
      <c r="A104" s="1"/>
      <c r="B104" s="3" t="s">
        <v>177</v>
      </c>
      <c r="C104" s="3" t="s">
        <v>49</v>
      </c>
      <c r="D104" s="1" t="s">
        <v>179</v>
      </c>
      <c r="E104" s="6"/>
      <c r="F104" s="6"/>
      <c r="G104" s="6"/>
      <c r="H104" s="6"/>
      <c r="I104" s="6"/>
      <c r="J104" s="6"/>
      <c r="K104" s="6"/>
      <c r="L104" s="6"/>
      <c r="M104" s="6">
        <v>10</v>
      </c>
      <c r="N104" s="6"/>
      <c r="O104" s="6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>
        <v>10</v>
      </c>
      <c r="AB104" s="28"/>
      <c r="AC104" s="28"/>
      <c r="AD104" s="28">
        <v>10</v>
      </c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>
        <v>10</v>
      </c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>
        <f>SUM(E104:BP104)</f>
        <v>40</v>
      </c>
      <c r="BR104" s="1">
        <v>19</v>
      </c>
      <c r="BS104" s="17">
        <v>2</v>
      </c>
      <c r="BT104" s="17" t="s">
        <v>331</v>
      </c>
      <c r="BU104">
        <f>SUM(P104:AD104)</f>
        <v>20</v>
      </c>
      <c r="BV104" s="23">
        <f>AF104+AH104+AI104+AJ104+AO104+AP104</f>
        <v>0</v>
      </c>
    </row>
    <row r="105" spans="1:74" s="67" customFormat="1" ht="27" hidden="1">
      <c r="A105" s="1"/>
      <c r="B105" s="3" t="s">
        <v>180</v>
      </c>
      <c r="C105" s="3" t="s">
        <v>24</v>
      </c>
      <c r="D105" s="1" t="s">
        <v>179</v>
      </c>
      <c r="E105" s="6"/>
      <c r="F105" s="6"/>
      <c r="G105" s="6"/>
      <c r="H105" s="6"/>
      <c r="I105" s="6"/>
      <c r="J105" s="6"/>
      <c r="K105" s="6"/>
      <c r="L105" s="6"/>
      <c r="M105" s="6">
        <v>10</v>
      </c>
      <c r="N105" s="6"/>
      <c r="O105" s="6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>
        <v>10</v>
      </c>
      <c r="AB105" s="28"/>
      <c r="AC105" s="28"/>
      <c r="AD105" s="28">
        <v>10</v>
      </c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>
        <v>10</v>
      </c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>
        <f>SUM(E105:BP105)</f>
        <v>40</v>
      </c>
      <c r="BR105" s="1">
        <v>19</v>
      </c>
      <c r="BS105" s="17">
        <v>2</v>
      </c>
      <c r="BT105" s="17" t="s">
        <v>331</v>
      </c>
      <c r="BU105">
        <f>SUM(P105:AD105)</f>
        <v>20</v>
      </c>
      <c r="BV105" s="23">
        <f>AF105+AH105+AI105+AJ105+AO105+AP105</f>
        <v>0</v>
      </c>
    </row>
    <row r="106" spans="1:74" s="67" customFormat="1" ht="27" hidden="1">
      <c r="A106" s="1"/>
      <c r="B106" s="3" t="s">
        <v>262</v>
      </c>
      <c r="C106" s="3" t="s">
        <v>182</v>
      </c>
      <c r="D106" s="1" t="s">
        <v>179</v>
      </c>
      <c r="E106" s="6"/>
      <c r="F106" s="6"/>
      <c r="G106" s="6"/>
      <c r="H106" s="6"/>
      <c r="I106" s="6"/>
      <c r="J106" s="6"/>
      <c r="K106" s="6"/>
      <c r="L106" s="6"/>
      <c r="M106" s="6">
        <v>10</v>
      </c>
      <c r="N106" s="6"/>
      <c r="O106" s="6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>
        <v>10</v>
      </c>
      <c r="AB106" s="28"/>
      <c r="AC106" s="28"/>
      <c r="AD106" s="28">
        <v>10</v>
      </c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>
        <v>10</v>
      </c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>
        <f>SUM(E106:BP106)</f>
        <v>40</v>
      </c>
      <c r="BR106" s="1">
        <v>19</v>
      </c>
      <c r="BS106" s="17">
        <v>2</v>
      </c>
      <c r="BT106" s="17" t="s">
        <v>268</v>
      </c>
      <c r="BU106">
        <f>SUM(P106:AD106)</f>
        <v>20</v>
      </c>
      <c r="BV106" s="23">
        <f>AF106+AH106+AI106+AJ106+AO106+AP106</f>
        <v>0</v>
      </c>
    </row>
    <row r="107" spans="1:74" s="67" customFormat="1" ht="27" hidden="1">
      <c r="A107" s="1"/>
      <c r="B107" s="1" t="s">
        <v>233</v>
      </c>
      <c r="C107" s="1" t="s">
        <v>95</v>
      </c>
      <c r="D107" s="1" t="s">
        <v>235</v>
      </c>
      <c r="E107" s="6"/>
      <c r="F107" s="6"/>
      <c r="G107" s="6"/>
      <c r="H107" s="6"/>
      <c r="I107" s="6"/>
      <c r="J107" s="6"/>
      <c r="K107" s="6"/>
      <c r="L107" s="6"/>
      <c r="M107" s="6">
        <v>10</v>
      </c>
      <c r="N107" s="6"/>
      <c r="O107" s="6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>
        <v>10</v>
      </c>
      <c r="AB107" s="28"/>
      <c r="AC107" s="28"/>
      <c r="AD107" s="28">
        <v>10</v>
      </c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>
        <v>10</v>
      </c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>
        <f>SUM(E107:BP107)</f>
        <v>40</v>
      </c>
      <c r="BR107" s="1">
        <v>19</v>
      </c>
      <c r="BS107" s="17">
        <v>2</v>
      </c>
      <c r="BT107" s="17" t="s">
        <v>268</v>
      </c>
      <c r="BU107">
        <f>SUM(P107:AD107)</f>
        <v>20</v>
      </c>
      <c r="BV107" s="23">
        <f>AF107+AH107+AI107+AJ107+AO107+AP107</f>
        <v>0</v>
      </c>
    </row>
    <row r="108" spans="1:74" s="67" customFormat="1" ht="27" hidden="1">
      <c r="A108" s="1"/>
      <c r="B108" s="1" t="s">
        <v>214</v>
      </c>
      <c r="C108" s="1" t="s">
        <v>49</v>
      </c>
      <c r="D108" s="1" t="s">
        <v>212</v>
      </c>
      <c r="E108" s="6"/>
      <c r="F108" s="6"/>
      <c r="G108" s="6"/>
      <c r="H108" s="6"/>
      <c r="I108" s="6"/>
      <c r="J108" s="6"/>
      <c r="K108" s="6"/>
      <c r="L108" s="6">
        <v>10</v>
      </c>
      <c r="M108" s="6"/>
      <c r="N108" s="6"/>
      <c r="O108" s="6"/>
      <c r="P108" s="28"/>
      <c r="Q108" s="28"/>
      <c r="R108" s="28"/>
      <c r="S108" s="28"/>
      <c r="T108" s="28"/>
      <c r="U108" s="28"/>
      <c r="V108" s="28"/>
      <c r="W108" s="28"/>
      <c r="X108" s="28">
        <v>10</v>
      </c>
      <c r="Y108" s="28"/>
      <c r="Z108" s="28"/>
      <c r="AA108" s="28"/>
      <c r="AB108" s="28"/>
      <c r="AC108" s="28"/>
      <c r="AD108" s="28">
        <v>10</v>
      </c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>
        <v>10</v>
      </c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>
        <f>SUM(E108:BP108)</f>
        <v>40</v>
      </c>
      <c r="BR108" s="1">
        <v>20</v>
      </c>
      <c r="BS108" s="17">
        <v>2</v>
      </c>
      <c r="BT108" s="17" t="s">
        <v>334</v>
      </c>
      <c r="BU108">
        <f>SUM(P108:AD108)</f>
        <v>20</v>
      </c>
      <c r="BV108" s="23">
        <f>AF108+AH108+AI108+AJ108+AO108+AP108</f>
        <v>0</v>
      </c>
    </row>
    <row r="109" spans="1:74" s="67" customFormat="1" ht="27" hidden="1">
      <c r="A109" s="1"/>
      <c r="B109" s="1" t="s">
        <v>85</v>
      </c>
      <c r="C109" s="1" t="s">
        <v>82</v>
      </c>
      <c r="D109" s="1" t="s">
        <v>81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>
        <v>10</v>
      </c>
      <c r="AP109" s="1">
        <v>10</v>
      </c>
      <c r="AQ109" s="4"/>
      <c r="AR109" s="4"/>
      <c r="AS109" s="4">
        <v>5</v>
      </c>
      <c r="AT109" s="4"/>
      <c r="AU109" s="4"/>
      <c r="AV109" s="4"/>
      <c r="AW109" s="2"/>
      <c r="AX109" s="2">
        <v>5</v>
      </c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>
        <f>SUM(E109:BP109)</f>
        <v>30</v>
      </c>
      <c r="BR109" s="1">
        <v>20</v>
      </c>
      <c r="BS109" s="17">
        <v>2</v>
      </c>
      <c r="BT109" s="17" t="s">
        <v>335</v>
      </c>
      <c r="BU109">
        <f>SUM(P109:AD109)</f>
        <v>0</v>
      </c>
      <c r="BV109" s="23">
        <f>AF109+AH109+AI109+AJ109+AO109+AP109</f>
        <v>20</v>
      </c>
    </row>
    <row r="110" spans="1:74" s="67" customFormat="1" ht="27">
      <c r="A110" s="49"/>
      <c r="B110" s="49" t="s">
        <v>128</v>
      </c>
      <c r="C110" s="49" t="s">
        <v>90</v>
      </c>
      <c r="D110" s="49" t="s">
        <v>80</v>
      </c>
      <c r="E110" s="50">
        <v>15</v>
      </c>
      <c r="F110" s="50"/>
      <c r="G110" s="50">
        <v>15</v>
      </c>
      <c r="H110" s="50"/>
      <c r="I110" s="50"/>
      <c r="J110" s="50"/>
      <c r="K110" s="50"/>
      <c r="L110" s="50"/>
      <c r="M110" s="50"/>
      <c r="N110" s="50"/>
      <c r="O110" s="50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49"/>
      <c r="AF110" s="49"/>
      <c r="AG110" s="49"/>
      <c r="AH110" s="49"/>
      <c r="AI110" s="49"/>
      <c r="AJ110" s="49"/>
      <c r="AK110" s="49"/>
      <c r="AL110" s="49"/>
      <c r="AM110" s="49"/>
      <c r="AN110" s="49"/>
      <c r="AO110" s="49"/>
      <c r="AP110" s="49"/>
      <c r="AQ110" s="52"/>
      <c r="AR110" s="52">
        <v>15</v>
      </c>
      <c r="AS110" s="52"/>
      <c r="AT110" s="52"/>
      <c r="AU110" s="52"/>
      <c r="AV110" s="52"/>
      <c r="AW110" s="53"/>
      <c r="AX110" s="53"/>
      <c r="AY110" s="53"/>
      <c r="AZ110" s="53"/>
      <c r="BA110" s="53"/>
      <c r="BB110" s="53">
        <v>15</v>
      </c>
      <c r="BC110" s="54"/>
      <c r="BD110" s="49"/>
      <c r="BE110" s="49"/>
      <c r="BF110" s="49"/>
      <c r="BG110" s="49"/>
      <c r="BH110" s="49"/>
      <c r="BI110" s="49"/>
      <c r="BJ110" s="49"/>
      <c r="BK110" s="49"/>
      <c r="BL110" s="49"/>
      <c r="BM110" s="49"/>
      <c r="BN110" s="49"/>
      <c r="BO110" s="49"/>
      <c r="BP110" s="49"/>
      <c r="BQ110" s="49">
        <f>SUM(E110:BP110)</f>
        <v>60</v>
      </c>
      <c r="BR110" s="49">
        <v>22</v>
      </c>
      <c r="BS110" s="55">
        <v>2</v>
      </c>
      <c r="BT110" s="55" t="s">
        <v>337</v>
      </c>
      <c r="BU110">
        <f>SUM(P110:AD110)</f>
        <v>0</v>
      </c>
      <c r="BV110" s="23">
        <f>AF110+AH110+AI110+AJ110+AO110+AP110</f>
        <v>0</v>
      </c>
    </row>
    <row r="111" spans="1:74" s="67" customFormat="1" ht="27">
      <c r="A111" s="1"/>
      <c r="B111" s="1" t="s">
        <v>243</v>
      </c>
      <c r="C111" s="1" t="s">
        <v>24</v>
      </c>
      <c r="D111" s="1" t="s">
        <v>0</v>
      </c>
      <c r="E111" s="6"/>
      <c r="F111" s="6"/>
      <c r="G111" s="6">
        <v>15</v>
      </c>
      <c r="H111" s="6">
        <v>15</v>
      </c>
      <c r="I111" s="6"/>
      <c r="J111" s="6"/>
      <c r="K111" s="6"/>
      <c r="L111" s="6"/>
      <c r="M111" s="6"/>
      <c r="N111" s="6"/>
      <c r="O111" s="6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/>
      <c r="AS111" s="4">
        <v>15</v>
      </c>
      <c r="AT111" s="4"/>
      <c r="AU111" s="4"/>
      <c r="AV111" s="4"/>
      <c r="AW111" s="2"/>
      <c r="AX111" s="2"/>
      <c r="AY111" s="2"/>
      <c r="AZ111" s="2"/>
      <c r="BA111" s="2"/>
      <c r="BB111" s="2">
        <v>15</v>
      </c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>
        <f>SUM(E111:BP111)</f>
        <v>60</v>
      </c>
      <c r="BR111" s="1">
        <v>23</v>
      </c>
      <c r="BS111" s="17">
        <v>2</v>
      </c>
      <c r="BT111" s="17" t="s">
        <v>338</v>
      </c>
      <c r="BU111">
        <f>SUM(P111:AD111)</f>
        <v>0</v>
      </c>
      <c r="BV111" s="23">
        <f>AF111+AH111+AI111+AJ111+AO111+AP111</f>
        <v>0</v>
      </c>
    </row>
    <row r="112" spans="1:74" s="67" customFormat="1" ht="27">
      <c r="A112" s="18">
        <v>65</v>
      </c>
      <c r="B112" s="24" t="s">
        <v>238</v>
      </c>
      <c r="C112" s="18" t="s">
        <v>43</v>
      </c>
      <c r="D112" s="18" t="s">
        <v>9</v>
      </c>
      <c r="E112" s="19"/>
      <c r="F112" s="19"/>
      <c r="G112" s="19">
        <v>10</v>
      </c>
      <c r="H112" s="19"/>
      <c r="I112" s="19"/>
      <c r="J112" s="19"/>
      <c r="K112" s="19"/>
      <c r="L112" s="19"/>
      <c r="M112" s="19"/>
      <c r="N112" s="19"/>
      <c r="O112" s="1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18"/>
      <c r="AF112" s="18"/>
      <c r="AG112" s="18"/>
      <c r="AH112" s="18"/>
      <c r="AI112" s="18"/>
      <c r="AJ112" s="18"/>
      <c r="AK112" s="18"/>
      <c r="AL112" s="18"/>
      <c r="AM112" s="18"/>
      <c r="AN112" s="18">
        <v>25</v>
      </c>
      <c r="AO112" s="18"/>
      <c r="AP112" s="18"/>
      <c r="AQ112" s="20"/>
      <c r="AR112" s="20"/>
      <c r="AS112" s="20"/>
      <c r="AT112" s="20"/>
      <c r="AU112" s="20"/>
      <c r="AV112" s="20">
        <v>10</v>
      </c>
      <c r="AW112" s="21"/>
      <c r="AX112" s="21"/>
      <c r="AY112" s="21"/>
      <c r="AZ112" s="21">
        <v>10</v>
      </c>
      <c r="BA112" s="21"/>
      <c r="BB112" s="21"/>
      <c r="BC112" s="26"/>
      <c r="BD112" s="18"/>
      <c r="BE112" s="18"/>
      <c r="BF112" s="18"/>
      <c r="BG112" s="18"/>
      <c r="BH112" s="18"/>
      <c r="BI112" s="18"/>
      <c r="BJ112" s="18"/>
      <c r="BK112" s="18"/>
      <c r="BL112" s="18"/>
      <c r="BM112" s="18"/>
      <c r="BN112" s="18"/>
      <c r="BO112" s="18"/>
      <c r="BP112" s="18"/>
      <c r="BQ112" s="18">
        <f>SUM(E112:BP112)</f>
        <v>55</v>
      </c>
      <c r="BR112" s="18">
        <v>30</v>
      </c>
      <c r="BS112" s="22">
        <v>2</v>
      </c>
      <c r="BT112" s="22" t="s">
        <v>339</v>
      </c>
      <c r="BU112">
        <f>SUM(P112:AD112)</f>
        <v>0</v>
      </c>
      <c r="BV112" s="23">
        <f>AF112+AH112+AI112+AJ112+AO112+AP112</f>
        <v>0</v>
      </c>
    </row>
    <row r="113" spans="1:74" s="67" customFormat="1" ht="27" hidden="1">
      <c r="A113" s="1"/>
      <c r="B113" s="3" t="s">
        <v>254</v>
      </c>
      <c r="C113" s="3" t="s">
        <v>43</v>
      </c>
      <c r="D113" s="1" t="s">
        <v>0</v>
      </c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28"/>
      <c r="Q113" s="28"/>
      <c r="R113" s="28"/>
      <c r="S113" s="28"/>
      <c r="T113" s="28"/>
      <c r="U113" s="28"/>
      <c r="V113" s="28"/>
      <c r="W113" s="28">
        <v>20</v>
      </c>
      <c r="X113" s="28"/>
      <c r="Y113" s="28"/>
      <c r="Z113" s="28">
        <v>20</v>
      </c>
      <c r="AA113" s="28"/>
      <c r="AB113" s="28"/>
      <c r="AC113" s="28">
        <v>20</v>
      </c>
      <c r="AD113" s="28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>
        <f>SUM(E113:BP113)</f>
        <v>60</v>
      </c>
      <c r="BR113" s="1">
        <v>36</v>
      </c>
      <c r="BS113" s="17">
        <v>2</v>
      </c>
      <c r="BT113" s="17" t="s">
        <v>336</v>
      </c>
      <c r="BU113">
        <f>SUM(P113:AD113)</f>
        <v>60</v>
      </c>
      <c r="BV113" s="23">
        <f>AF113+AH113+AI113+AJ113+AO113+AP113</f>
        <v>0</v>
      </c>
    </row>
    <row r="114" spans="1:74" s="67" customFormat="1" ht="40.5" hidden="1">
      <c r="A114" s="1"/>
      <c r="B114" s="1" t="s">
        <v>213</v>
      </c>
      <c r="C114" s="1" t="s">
        <v>49</v>
      </c>
      <c r="D114" s="1" t="s">
        <v>211</v>
      </c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28"/>
      <c r="Q114" s="28"/>
      <c r="R114" s="28"/>
      <c r="S114" s="28"/>
      <c r="T114" s="28"/>
      <c r="U114" s="28">
        <v>2</v>
      </c>
      <c r="V114" s="28"/>
      <c r="W114" s="28">
        <v>5</v>
      </c>
      <c r="X114" s="28"/>
      <c r="Y114" s="28"/>
      <c r="Z114" s="28"/>
      <c r="AA114" s="28">
        <v>2</v>
      </c>
      <c r="AB114" s="28"/>
      <c r="AC114" s="28"/>
      <c r="AD114" s="28">
        <v>2</v>
      </c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/>
      <c r="AS114" s="4"/>
      <c r="AT114" s="4"/>
      <c r="AU114" s="4"/>
      <c r="AV114" s="4"/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>
        <f>SUM(E114:BP114)</f>
        <v>11</v>
      </c>
      <c r="BR114" s="1">
        <v>5</v>
      </c>
      <c r="BS114" s="17">
        <v>3</v>
      </c>
      <c r="BT114" s="17" t="s">
        <v>315</v>
      </c>
      <c r="BU114">
        <f>SUM(P114:AD114)</f>
        <v>11</v>
      </c>
      <c r="BV114" s="23">
        <f>AF114+AH114+AI114+AJ114+AO114+AP114</f>
        <v>0</v>
      </c>
    </row>
    <row r="115" spans="1:74" s="67" customFormat="1" ht="40.5" hidden="1">
      <c r="A115" s="1"/>
      <c r="B115" s="1" t="s">
        <v>256</v>
      </c>
      <c r="C115" s="1" t="s">
        <v>236</v>
      </c>
      <c r="D115" s="1" t="s">
        <v>80</v>
      </c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28"/>
      <c r="Q115" s="28"/>
      <c r="R115" s="28"/>
      <c r="S115" s="28"/>
      <c r="T115" s="28"/>
      <c r="U115" s="28">
        <v>2</v>
      </c>
      <c r="V115" s="28"/>
      <c r="W115" s="28"/>
      <c r="X115" s="28"/>
      <c r="Y115" s="28"/>
      <c r="Z115" s="28"/>
      <c r="AA115" s="28">
        <v>2</v>
      </c>
      <c r="AB115" s="28"/>
      <c r="AC115" s="28">
        <v>5</v>
      </c>
      <c r="AD115" s="28">
        <v>2</v>
      </c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/>
      <c r="AS115" s="4"/>
      <c r="AT115" s="4"/>
      <c r="AU115" s="4"/>
      <c r="AV115" s="4"/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>
        <f>SUM(E115:BP115)</f>
        <v>11</v>
      </c>
      <c r="BR115" s="1">
        <v>7</v>
      </c>
      <c r="BS115" s="17">
        <v>3</v>
      </c>
      <c r="BT115" s="17" t="s">
        <v>316</v>
      </c>
      <c r="BU115">
        <f>SUM(P115:AD115)</f>
        <v>11</v>
      </c>
      <c r="BV115" s="23">
        <f>AF115+AH115+AI115+AJ115+AO115+AP115</f>
        <v>0</v>
      </c>
    </row>
    <row r="116" spans="1:74" s="67" customFormat="1" ht="40.5" hidden="1">
      <c r="A116" s="1"/>
      <c r="B116" s="3" t="s">
        <v>177</v>
      </c>
      <c r="C116" s="3" t="s">
        <v>49</v>
      </c>
      <c r="D116" s="1" t="s">
        <v>178</v>
      </c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28"/>
      <c r="Q116" s="28">
        <v>5</v>
      </c>
      <c r="R116" s="28"/>
      <c r="S116" s="28"/>
      <c r="T116" s="28">
        <v>5</v>
      </c>
      <c r="U116" s="28"/>
      <c r="V116" s="28"/>
      <c r="W116" s="28">
        <v>5</v>
      </c>
      <c r="X116" s="28"/>
      <c r="Y116" s="28"/>
      <c r="Z116" s="28"/>
      <c r="AA116" s="28"/>
      <c r="AB116" s="28"/>
      <c r="AC116" s="28">
        <v>5</v>
      </c>
      <c r="AD116" s="28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/>
      <c r="AS116" s="4"/>
      <c r="AT116" s="4"/>
      <c r="AU116" s="4"/>
      <c r="AV116" s="4"/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>
        <f>SUM(E116:BP116)</f>
        <v>20</v>
      </c>
      <c r="BR116" s="1">
        <v>11</v>
      </c>
      <c r="BS116" s="17">
        <v>3</v>
      </c>
      <c r="BT116" s="17" t="s">
        <v>285</v>
      </c>
      <c r="BU116">
        <f>SUM(P116:AD116)</f>
        <v>20</v>
      </c>
      <c r="BV116" s="23">
        <f>AF116+AH116+AI116+AJ116+AO116+AP116</f>
        <v>0</v>
      </c>
    </row>
    <row r="117" spans="1:74" s="67" customFormat="1" ht="40.5" hidden="1">
      <c r="A117" s="1"/>
      <c r="B117" s="1" t="s">
        <v>219</v>
      </c>
      <c r="C117" s="1" t="s">
        <v>36</v>
      </c>
      <c r="D117" s="1" t="s">
        <v>216</v>
      </c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28"/>
      <c r="Q117" s="28">
        <v>5</v>
      </c>
      <c r="R117" s="28"/>
      <c r="S117" s="28"/>
      <c r="T117" s="28"/>
      <c r="U117" s="28"/>
      <c r="V117" s="28"/>
      <c r="W117" s="28">
        <v>5</v>
      </c>
      <c r="X117" s="28"/>
      <c r="Y117" s="28"/>
      <c r="Z117" s="28">
        <v>5</v>
      </c>
      <c r="AA117" s="28"/>
      <c r="AB117" s="28"/>
      <c r="AC117" s="28">
        <v>5</v>
      </c>
      <c r="AD117" s="28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/>
      <c r="AU117" s="4"/>
      <c r="AV117" s="4"/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>
        <f>SUM(E117:BP117)</f>
        <v>20</v>
      </c>
      <c r="BR117" s="1">
        <v>11</v>
      </c>
      <c r="BS117" s="17">
        <v>3</v>
      </c>
      <c r="BT117" s="17" t="s">
        <v>285</v>
      </c>
      <c r="BU117">
        <f>SUM(P117:AD117)</f>
        <v>20</v>
      </c>
      <c r="BV117" s="23">
        <f>AF117+AH117+AI117+AJ117+AO117+AP117</f>
        <v>0</v>
      </c>
    </row>
    <row r="118" spans="1:74" s="67" customFormat="1" ht="40.5" hidden="1">
      <c r="A118" s="1"/>
      <c r="B118" s="1" t="s">
        <v>233</v>
      </c>
      <c r="C118" s="1" t="s">
        <v>95</v>
      </c>
      <c r="D118" s="1" t="s">
        <v>234</v>
      </c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28"/>
      <c r="Q118" s="28">
        <v>5</v>
      </c>
      <c r="R118" s="28"/>
      <c r="S118" s="28"/>
      <c r="T118" s="28">
        <v>5</v>
      </c>
      <c r="U118" s="28"/>
      <c r="V118" s="28"/>
      <c r="W118" s="28">
        <v>5</v>
      </c>
      <c r="X118" s="28"/>
      <c r="Y118" s="28"/>
      <c r="Z118" s="28"/>
      <c r="AA118" s="28"/>
      <c r="AB118" s="28"/>
      <c r="AC118" s="28">
        <v>5</v>
      </c>
      <c r="AD118" s="28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/>
      <c r="AU118" s="4"/>
      <c r="AV118" s="4"/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>
        <f>SUM(E118:BP118)</f>
        <v>20</v>
      </c>
      <c r="BR118" s="1">
        <v>11</v>
      </c>
      <c r="BS118" s="17">
        <v>3</v>
      </c>
      <c r="BT118" s="17" t="s">
        <v>285</v>
      </c>
      <c r="BU118">
        <f>SUM(P118:AD118)</f>
        <v>20</v>
      </c>
      <c r="BV118" s="23">
        <f>AF118+AH118+AI118+AJ118+AO118+AP118</f>
        <v>0</v>
      </c>
    </row>
    <row r="119" spans="1:74" s="67" customFormat="1" ht="40.5" hidden="1">
      <c r="A119" s="1">
        <v>89</v>
      </c>
      <c r="B119" s="3" t="s">
        <v>61</v>
      </c>
      <c r="C119" s="3" t="s">
        <v>62</v>
      </c>
      <c r="D119" s="1" t="s">
        <v>0</v>
      </c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1"/>
      <c r="AF119" s="1">
        <v>5</v>
      </c>
      <c r="AG119" s="1"/>
      <c r="AH119" s="1">
        <v>5</v>
      </c>
      <c r="AI119" s="1">
        <v>5</v>
      </c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/>
      <c r="AU119" s="4"/>
      <c r="AV119" s="4"/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>
        <f>SUM(E119:BP119)</f>
        <v>15</v>
      </c>
      <c r="BR119" s="1">
        <v>13</v>
      </c>
      <c r="BS119" s="17">
        <v>3</v>
      </c>
      <c r="BT119" s="17" t="s">
        <v>342</v>
      </c>
      <c r="BU119">
        <f>SUM(P119:AD119)</f>
        <v>0</v>
      </c>
      <c r="BV119" s="23">
        <f>AF119+AH119+AI119+AJ119+AO119+AP119</f>
        <v>15</v>
      </c>
    </row>
    <row r="120" spans="1:74" s="67" customFormat="1" ht="40.5" hidden="1">
      <c r="A120" s="1">
        <v>28</v>
      </c>
      <c r="B120" s="1" t="s">
        <v>56</v>
      </c>
      <c r="C120" s="1" t="s">
        <v>24</v>
      </c>
      <c r="D120" s="1" t="s">
        <v>0</v>
      </c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1"/>
      <c r="AF120" s="1"/>
      <c r="AG120" s="1"/>
      <c r="AH120" s="1">
        <v>5</v>
      </c>
      <c r="AI120" s="1">
        <v>5</v>
      </c>
      <c r="AJ120" s="1">
        <v>5</v>
      </c>
      <c r="AK120" s="1"/>
      <c r="AL120" s="1"/>
      <c r="AM120" s="1"/>
      <c r="AN120" s="1"/>
      <c r="AO120" s="1"/>
      <c r="AP120" s="1"/>
      <c r="AQ120" s="4"/>
      <c r="AR120" s="4"/>
      <c r="AS120" s="4"/>
      <c r="AT120" s="4"/>
      <c r="AU120" s="4"/>
      <c r="AV120" s="4"/>
      <c r="AW120" s="2"/>
      <c r="AX120" s="2"/>
      <c r="AY120" s="2"/>
      <c r="AZ120" s="2"/>
      <c r="BA120" s="2"/>
      <c r="BB120" s="2"/>
      <c r="BC120" s="14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>
        <f>SUM(E120:BP120)</f>
        <v>15</v>
      </c>
      <c r="BR120" s="1">
        <v>15</v>
      </c>
      <c r="BS120" s="17">
        <v>3</v>
      </c>
      <c r="BT120" s="17" t="s">
        <v>343</v>
      </c>
      <c r="BU120">
        <f>SUM(P120:AD120)</f>
        <v>0</v>
      </c>
      <c r="BV120" s="23">
        <f>AF120+AH120+AI120+AJ120+AO120+AP120</f>
        <v>15</v>
      </c>
    </row>
    <row r="121" spans="1:74" s="67" customFormat="1" ht="40.5" hidden="1">
      <c r="A121" s="1"/>
      <c r="B121" s="1" t="s">
        <v>256</v>
      </c>
      <c r="C121" s="1" t="s">
        <v>236</v>
      </c>
      <c r="D121" s="1" t="s">
        <v>235</v>
      </c>
      <c r="E121" s="6"/>
      <c r="F121" s="6"/>
      <c r="G121" s="6"/>
      <c r="H121" s="6"/>
      <c r="I121" s="6"/>
      <c r="J121" s="6"/>
      <c r="K121" s="6"/>
      <c r="L121" s="6"/>
      <c r="M121" s="6">
        <v>10</v>
      </c>
      <c r="N121" s="6"/>
      <c r="O121" s="6"/>
      <c r="P121" s="28"/>
      <c r="Q121" s="28"/>
      <c r="R121" s="28"/>
      <c r="S121" s="28"/>
      <c r="T121" s="28"/>
      <c r="U121" s="28">
        <v>10</v>
      </c>
      <c r="V121" s="28"/>
      <c r="W121" s="28"/>
      <c r="X121" s="28"/>
      <c r="Y121" s="28"/>
      <c r="Z121" s="28"/>
      <c r="AA121" s="28">
        <v>10</v>
      </c>
      <c r="AB121" s="28"/>
      <c r="AC121" s="28"/>
      <c r="AD121" s="28">
        <v>10</v>
      </c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/>
      <c r="AS121" s="4"/>
      <c r="AT121" s="4"/>
      <c r="AU121" s="4"/>
      <c r="AV121" s="4"/>
      <c r="AW121" s="2"/>
      <c r="AX121" s="2"/>
      <c r="AY121" s="2"/>
      <c r="AZ121" s="2"/>
      <c r="BA121" s="2"/>
      <c r="BB121" s="2"/>
      <c r="BC121" s="14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>
        <f>SUM(E121:BP121)</f>
        <v>40</v>
      </c>
      <c r="BR121" s="1">
        <v>23</v>
      </c>
      <c r="BS121" s="17">
        <v>3</v>
      </c>
      <c r="BT121" s="17" t="s">
        <v>346</v>
      </c>
      <c r="BU121">
        <f>SUM(P121:AD121)</f>
        <v>30</v>
      </c>
      <c r="BV121" s="23">
        <f>AF121+AH121+AI121+AJ121+AO121+AP121</f>
        <v>0</v>
      </c>
    </row>
    <row r="122" spans="1:74" s="67" customFormat="1" ht="40.5" hidden="1">
      <c r="A122" s="1"/>
      <c r="B122" s="1" t="s">
        <v>270</v>
      </c>
      <c r="C122" s="1" t="s">
        <v>122</v>
      </c>
      <c r="D122" s="1" t="s">
        <v>98</v>
      </c>
      <c r="E122" s="6"/>
      <c r="F122" s="6"/>
      <c r="G122" s="6">
        <v>10</v>
      </c>
      <c r="H122" s="6"/>
      <c r="I122" s="6"/>
      <c r="J122" s="6"/>
      <c r="K122" s="6"/>
      <c r="L122" s="6"/>
      <c r="M122" s="6"/>
      <c r="N122" s="6"/>
      <c r="O122" s="6"/>
      <c r="P122" s="28"/>
      <c r="Q122" s="28"/>
      <c r="R122" s="28"/>
      <c r="S122" s="28"/>
      <c r="T122" s="28"/>
      <c r="U122" s="28"/>
      <c r="V122" s="28"/>
      <c r="W122" s="28"/>
      <c r="X122" s="28">
        <v>10</v>
      </c>
      <c r="Y122" s="28"/>
      <c r="Z122" s="28"/>
      <c r="AA122" s="28"/>
      <c r="AB122" s="28"/>
      <c r="AC122" s="28"/>
      <c r="AD122" s="28">
        <v>10</v>
      </c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/>
      <c r="AS122" s="4"/>
      <c r="AT122" s="4"/>
      <c r="AU122" s="4"/>
      <c r="AV122" s="4">
        <v>10</v>
      </c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>
        <f>SUM(E122:BP122)</f>
        <v>40</v>
      </c>
      <c r="BR122" s="1">
        <v>26</v>
      </c>
      <c r="BS122" s="17">
        <v>3</v>
      </c>
      <c r="BT122" s="17" t="s">
        <v>350</v>
      </c>
      <c r="BU122">
        <f>SUM(P122:AD122)</f>
        <v>20</v>
      </c>
      <c r="BV122" s="23">
        <f>AF122+AH122+AI122+AJ122+AO122+AP122</f>
        <v>0</v>
      </c>
    </row>
    <row r="123" spans="1:74" s="67" customFormat="1" ht="40.5" hidden="1">
      <c r="A123" s="1"/>
      <c r="B123" s="1" t="s">
        <v>220</v>
      </c>
      <c r="C123" s="1" t="s">
        <v>93</v>
      </c>
      <c r="D123" s="1" t="s">
        <v>124</v>
      </c>
      <c r="E123" s="6"/>
      <c r="F123" s="6"/>
      <c r="G123" s="6">
        <v>10</v>
      </c>
      <c r="H123" s="6"/>
      <c r="I123" s="6"/>
      <c r="J123" s="6"/>
      <c r="K123" s="6"/>
      <c r="L123" s="6"/>
      <c r="M123" s="6"/>
      <c r="N123" s="6"/>
      <c r="O123" s="6"/>
      <c r="P123" s="28"/>
      <c r="Q123" s="28"/>
      <c r="R123" s="28"/>
      <c r="S123" s="28"/>
      <c r="T123" s="28"/>
      <c r="U123" s="28"/>
      <c r="V123" s="28"/>
      <c r="W123" s="28"/>
      <c r="X123" s="28">
        <v>10</v>
      </c>
      <c r="Y123" s="28"/>
      <c r="Z123" s="28"/>
      <c r="AA123" s="28"/>
      <c r="AB123" s="28"/>
      <c r="AC123" s="28"/>
      <c r="AD123" s="28">
        <v>10</v>
      </c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4"/>
      <c r="AR123" s="4"/>
      <c r="AS123" s="4"/>
      <c r="AT123" s="4"/>
      <c r="AU123" s="4"/>
      <c r="AV123" s="4">
        <v>10</v>
      </c>
      <c r="AW123" s="2"/>
      <c r="AX123" s="2"/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>
        <f>SUM(E123:BP123)</f>
        <v>40</v>
      </c>
      <c r="BR123" s="1">
        <v>26</v>
      </c>
      <c r="BS123" s="17">
        <v>3</v>
      </c>
      <c r="BT123" s="17" t="s">
        <v>350</v>
      </c>
      <c r="BU123">
        <f>SUM(P123:AD123)</f>
        <v>20</v>
      </c>
      <c r="BV123" s="23">
        <f>AF123+AH123+AI123+AJ123+AO123+AP123</f>
        <v>0</v>
      </c>
    </row>
    <row r="124" spans="1:74" s="67" customFormat="1" ht="40.5" hidden="1">
      <c r="A124" s="1"/>
      <c r="B124" s="3" t="s">
        <v>261</v>
      </c>
      <c r="C124" s="3" t="s">
        <v>182</v>
      </c>
      <c r="D124" s="1" t="s">
        <v>179</v>
      </c>
      <c r="E124" s="6"/>
      <c r="F124" s="6"/>
      <c r="G124" s="6">
        <v>10</v>
      </c>
      <c r="H124" s="6"/>
      <c r="I124" s="6"/>
      <c r="J124" s="6"/>
      <c r="K124" s="6"/>
      <c r="L124" s="6"/>
      <c r="M124" s="6"/>
      <c r="N124" s="6"/>
      <c r="O124" s="6"/>
      <c r="P124" s="28"/>
      <c r="Q124" s="28"/>
      <c r="R124" s="28"/>
      <c r="S124" s="28"/>
      <c r="T124" s="28"/>
      <c r="U124" s="28"/>
      <c r="V124" s="28"/>
      <c r="W124" s="28"/>
      <c r="X124" s="28">
        <v>10</v>
      </c>
      <c r="Y124" s="28"/>
      <c r="Z124" s="28"/>
      <c r="AA124" s="28"/>
      <c r="AB124" s="28"/>
      <c r="AC124" s="28"/>
      <c r="AD124" s="28">
        <v>10</v>
      </c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4"/>
      <c r="AR124" s="4"/>
      <c r="AS124" s="4"/>
      <c r="AT124" s="4"/>
      <c r="AU124" s="4"/>
      <c r="AV124" s="4">
        <v>10</v>
      </c>
      <c r="AW124" s="2"/>
      <c r="AX124" s="2"/>
      <c r="AY124" s="2"/>
      <c r="AZ124" s="2"/>
      <c r="BA124" s="2"/>
      <c r="BB124" s="2"/>
      <c r="BC124" s="14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>
        <f>SUM(E124:BP124)</f>
        <v>40</v>
      </c>
      <c r="BR124" s="1">
        <v>26</v>
      </c>
      <c r="BS124" s="17">
        <v>3</v>
      </c>
      <c r="BT124" s="17" t="s">
        <v>350</v>
      </c>
      <c r="BU124">
        <f>SUM(P124:AD124)</f>
        <v>20</v>
      </c>
      <c r="BV124" s="23">
        <f>AF124+AH124+AI124+AJ124+AO124+AP124</f>
        <v>0</v>
      </c>
    </row>
    <row r="125" spans="1:74" s="67" customFormat="1" ht="40.5" hidden="1">
      <c r="A125" s="1"/>
      <c r="B125" s="1" t="s">
        <v>259</v>
      </c>
      <c r="C125" s="1" t="s">
        <v>113</v>
      </c>
      <c r="D125" s="1" t="s">
        <v>212</v>
      </c>
      <c r="E125" s="6"/>
      <c r="F125" s="6"/>
      <c r="G125" s="6">
        <v>10</v>
      </c>
      <c r="H125" s="6"/>
      <c r="I125" s="6"/>
      <c r="J125" s="6"/>
      <c r="K125" s="6"/>
      <c r="L125" s="6"/>
      <c r="M125" s="6"/>
      <c r="N125" s="6"/>
      <c r="O125" s="6"/>
      <c r="P125" s="28"/>
      <c r="Q125" s="28"/>
      <c r="R125" s="28"/>
      <c r="S125" s="28"/>
      <c r="T125" s="28"/>
      <c r="U125" s="28"/>
      <c r="V125" s="28"/>
      <c r="W125" s="28"/>
      <c r="X125" s="28">
        <v>10</v>
      </c>
      <c r="Y125" s="28"/>
      <c r="Z125" s="28"/>
      <c r="AA125" s="28"/>
      <c r="AB125" s="28"/>
      <c r="AC125" s="28"/>
      <c r="AD125" s="28">
        <v>10</v>
      </c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4"/>
      <c r="AR125" s="4"/>
      <c r="AS125" s="4"/>
      <c r="AT125" s="4"/>
      <c r="AU125" s="4"/>
      <c r="AV125" s="4">
        <v>10</v>
      </c>
      <c r="AW125" s="2"/>
      <c r="AX125" s="2"/>
      <c r="AY125" s="2"/>
      <c r="AZ125" s="2"/>
      <c r="BA125" s="2"/>
      <c r="BB125" s="2"/>
      <c r="BC125" s="14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>
        <f>SUM(E125:BP125)</f>
        <v>40</v>
      </c>
      <c r="BR125" s="1">
        <v>26</v>
      </c>
      <c r="BS125" s="17">
        <v>3</v>
      </c>
      <c r="BT125" s="17" t="s">
        <v>350</v>
      </c>
      <c r="BU125">
        <f>SUM(P125:AD125)</f>
        <v>20</v>
      </c>
      <c r="BV125" s="23">
        <f>AF125+AH125+AI125+AJ125+AO125+AP125</f>
        <v>0</v>
      </c>
    </row>
    <row r="126" spans="1:74" s="67" customFormat="1" ht="40.5" hidden="1">
      <c r="A126" s="1"/>
      <c r="B126" s="1" t="s">
        <v>246</v>
      </c>
      <c r="C126" s="1" t="s">
        <v>247</v>
      </c>
      <c r="D126" s="1" t="s">
        <v>248</v>
      </c>
      <c r="E126" s="6"/>
      <c r="F126" s="6"/>
      <c r="G126" s="6">
        <v>10</v>
      </c>
      <c r="H126" s="6"/>
      <c r="I126" s="6"/>
      <c r="J126" s="6"/>
      <c r="K126" s="6"/>
      <c r="L126" s="6"/>
      <c r="M126" s="6"/>
      <c r="N126" s="6"/>
      <c r="O126" s="6"/>
      <c r="P126" s="28"/>
      <c r="Q126" s="28"/>
      <c r="R126" s="28"/>
      <c r="S126" s="28"/>
      <c r="T126" s="28"/>
      <c r="U126" s="28"/>
      <c r="V126" s="28"/>
      <c r="W126" s="28"/>
      <c r="X126" s="28">
        <v>10</v>
      </c>
      <c r="Y126" s="28"/>
      <c r="Z126" s="28"/>
      <c r="AA126" s="28"/>
      <c r="AB126" s="28"/>
      <c r="AC126" s="28"/>
      <c r="AD126" s="28">
        <v>10</v>
      </c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4"/>
      <c r="AR126" s="4"/>
      <c r="AS126" s="4"/>
      <c r="AT126" s="4"/>
      <c r="AU126" s="4"/>
      <c r="AV126" s="4">
        <v>10</v>
      </c>
      <c r="AW126" s="2"/>
      <c r="AX126" s="2"/>
      <c r="AY126" s="2"/>
      <c r="AZ126" s="2"/>
      <c r="BA126" s="2"/>
      <c r="BB126" s="2"/>
      <c r="BC126" s="14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>
        <f>SUM(E126:BP126)</f>
        <v>40</v>
      </c>
      <c r="BR126" s="1">
        <v>26</v>
      </c>
      <c r="BS126" s="17">
        <v>3</v>
      </c>
      <c r="BT126" s="17" t="s">
        <v>350</v>
      </c>
      <c r="BU126">
        <f>SUM(P126:AD126)</f>
        <v>20</v>
      </c>
      <c r="BV126" s="23">
        <f>AF126+AH126+AI126+AJ126+AO126+AP126</f>
        <v>0</v>
      </c>
    </row>
    <row r="127" spans="1:74" s="67" customFormat="1" ht="40.5" hidden="1">
      <c r="A127" s="1"/>
      <c r="B127" s="3" t="s">
        <v>222</v>
      </c>
      <c r="C127" s="3" t="s">
        <v>181</v>
      </c>
      <c r="D127" s="1" t="s">
        <v>179</v>
      </c>
      <c r="E127" s="6"/>
      <c r="F127" s="6"/>
      <c r="G127" s="6"/>
      <c r="H127" s="6"/>
      <c r="I127" s="6"/>
      <c r="J127" s="6"/>
      <c r="K127" s="6"/>
      <c r="L127" s="6"/>
      <c r="M127" s="6"/>
      <c r="N127" s="6">
        <v>10</v>
      </c>
      <c r="O127" s="6"/>
      <c r="P127" s="28"/>
      <c r="Q127" s="28"/>
      <c r="R127" s="28"/>
      <c r="S127" s="28"/>
      <c r="T127" s="28"/>
      <c r="U127" s="28"/>
      <c r="V127" s="28"/>
      <c r="W127" s="28"/>
      <c r="X127" s="28">
        <v>10</v>
      </c>
      <c r="Y127" s="28"/>
      <c r="Z127" s="28"/>
      <c r="AA127" s="28">
        <v>10</v>
      </c>
      <c r="AB127" s="28"/>
      <c r="AC127" s="28"/>
      <c r="AD127" s="28">
        <v>10</v>
      </c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4"/>
      <c r="AR127" s="4"/>
      <c r="AS127" s="4"/>
      <c r="AT127" s="4"/>
      <c r="AU127" s="4"/>
      <c r="AV127" s="4"/>
      <c r="AW127" s="2"/>
      <c r="AX127" s="2"/>
      <c r="AY127" s="2"/>
      <c r="AZ127" s="2"/>
      <c r="BA127" s="2"/>
      <c r="BB127" s="2"/>
      <c r="BC127" s="14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>
        <f>SUM(E127:BP127)</f>
        <v>40</v>
      </c>
      <c r="BR127" s="1">
        <v>29</v>
      </c>
      <c r="BS127" s="17">
        <v>3</v>
      </c>
      <c r="BT127" s="17" t="s">
        <v>351</v>
      </c>
      <c r="BU127">
        <f>SUM(P127:AD127)</f>
        <v>30</v>
      </c>
      <c r="BV127" s="23">
        <f>AF127+AH127+AI127+AJ127+AO127+AP127</f>
        <v>0</v>
      </c>
    </row>
    <row r="128" spans="1:74" s="67" customFormat="1" ht="40.5">
      <c r="A128" s="1"/>
      <c r="B128" s="1" t="s">
        <v>133</v>
      </c>
      <c r="C128" s="1" t="s">
        <v>93</v>
      </c>
      <c r="D128" s="1" t="s">
        <v>80</v>
      </c>
      <c r="E128" s="6"/>
      <c r="F128" s="6"/>
      <c r="G128" s="6">
        <v>20</v>
      </c>
      <c r="H128" s="6">
        <v>20</v>
      </c>
      <c r="I128" s="6"/>
      <c r="J128" s="6"/>
      <c r="K128" s="6"/>
      <c r="L128" s="6"/>
      <c r="M128" s="6"/>
      <c r="N128" s="6"/>
      <c r="O128" s="6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4"/>
      <c r="AR128" s="4"/>
      <c r="AS128" s="4"/>
      <c r="AT128" s="4"/>
      <c r="AU128" s="4"/>
      <c r="AV128" s="4"/>
      <c r="AW128" s="2"/>
      <c r="AX128" s="2"/>
      <c r="AY128" s="2"/>
      <c r="AZ128" s="2"/>
      <c r="BA128" s="2">
        <v>20</v>
      </c>
      <c r="BB128" s="2">
        <v>20</v>
      </c>
      <c r="BC128" s="14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>
        <f>SUM(E128:BP128)</f>
        <v>80</v>
      </c>
      <c r="BR128" s="1">
        <v>41</v>
      </c>
      <c r="BS128" s="17">
        <v>3</v>
      </c>
      <c r="BT128" s="17" t="s">
        <v>352</v>
      </c>
      <c r="BU128">
        <f>SUM(P128:AD128)</f>
        <v>0</v>
      </c>
      <c r="BV128" s="23">
        <f>AF128+AH128+AI128+AJ128+AO128+AP128</f>
        <v>0</v>
      </c>
    </row>
    <row r="129" spans="1:74" s="67" customFormat="1" ht="54" hidden="1">
      <c r="A129" s="1"/>
      <c r="B129" s="3" t="s">
        <v>222</v>
      </c>
      <c r="C129" s="3" t="s">
        <v>181</v>
      </c>
      <c r="D129" s="1" t="s">
        <v>0</v>
      </c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28"/>
      <c r="Q129" s="28"/>
      <c r="R129" s="28"/>
      <c r="S129" s="28"/>
      <c r="T129" s="28"/>
      <c r="U129" s="28"/>
      <c r="V129" s="28"/>
      <c r="W129" s="28"/>
      <c r="X129" s="28">
        <v>2</v>
      </c>
      <c r="Y129" s="28"/>
      <c r="Z129" s="28"/>
      <c r="AA129" s="28">
        <v>2</v>
      </c>
      <c r="AB129" s="28"/>
      <c r="AC129" s="28">
        <v>5</v>
      </c>
      <c r="AD129" s="28">
        <v>2</v>
      </c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4"/>
      <c r="AR129" s="4"/>
      <c r="AS129" s="4"/>
      <c r="AT129" s="4"/>
      <c r="AU129" s="4"/>
      <c r="AV129" s="4"/>
      <c r="AW129" s="2"/>
      <c r="AX129" s="2"/>
      <c r="AY129" s="2"/>
      <c r="AZ129" s="2"/>
      <c r="BA129" s="2"/>
      <c r="BB129" s="2"/>
      <c r="BC129" s="14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>
        <f>SUM(E129:BP129)</f>
        <v>11</v>
      </c>
      <c r="BR129" s="1">
        <v>9</v>
      </c>
      <c r="BS129" s="17">
        <v>4</v>
      </c>
      <c r="BT129" s="17" t="s">
        <v>340</v>
      </c>
      <c r="BU129">
        <f>SUM(P129:AD129)</f>
        <v>11</v>
      </c>
      <c r="BV129" s="23">
        <f>AF129+AH129+AI129+AJ129+AO129+AP129</f>
        <v>0</v>
      </c>
    </row>
    <row r="130" spans="1:74" ht="54" hidden="1">
      <c r="A130" s="1"/>
      <c r="B130" s="1" t="s">
        <v>251</v>
      </c>
      <c r="C130" s="1" t="s">
        <v>51</v>
      </c>
      <c r="D130" s="1" t="s">
        <v>211</v>
      </c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28"/>
      <c r="Q130" s="28"/>
      <c r="R130" s="28"/>
      <c r="S130" s="28"/>
      <c r="T130" s="28"/>
      <c r="U130" s="28"/>
      <c r="V130" s="28"/>
      <c r="W130" s="28"/>
      <c r="X130" s="28">
        <v>2</v>
      </c>
      <c r="Y130" s="28"/>
      <c r="Z130" s="28"/>
      <c r="AA130" s="28">
        <v>2</v>
      </c>
      <c r="AB130" s="28"/>
      <c r="AC130" s="28">
        <v>5</v>
      </c>
      <c r="AD130" s="28">
        <v>2</v>
      </c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4"/>
      <c r="AR130" s="4"/>
      <c r="AS130" s="4"/>
      <c r="AT130" s="4"/>
      <c r="AU130" s="4"/>
      <c r="AV130" s="4"/>
      <c r="AW130" s="2"/>
      <c r="AX130" s="2"/>
      <c r="AY130" s="2"/>
      <c r="AZ130" s="2"/>
      <c r="BA130" s="2"/>
      <c r="BB130" s="2"/>
      <c r="BC130" s="14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>
        <f>SUM(E130:BP130)</f>
        <v>11</v>
      </c>
      <c r="BR130" s="1">
        <v>9</v>
      </c>
      <c r="BS130" s="17">
        <v>4</v>
      </c>
      <c r="BT130" s="17" t="s">
        <v>340</v>
      </c>
      <c r="BU130">
        <f>SUM(P130:AD130)</f>
        <v>11</v>
      </c>
      <c r="BV130" s="23">
        <f>AF130+AH130+AI130+AJ130+AO130+AP130</f>
        <v>0</v>
      </c>
    </row>
    <row r="131" spans="1:74">
      <c r="A131" s="1"/>
      <c r="B131" s="1" t="s">
        <v>53</v>
      </c>
      <c r="C131" s="1"/>
      <c r="D131" s="1"/>
      <c r="E131" s="6">
        <f>SUM(E2:E130)</f>
        <v>96</v>
      </c>
      <c r="F131" s="6">
        <f>SUM(F2:F130)</f>
        <v>15</v>
      </c>
      <c r="G131" s="6">
        <f>SUM(G2:G130)</f>
        <v>134</v>
      </c>
      <c r="H131" s="6">
        <f>SUM(H2:H130)</f>
        <v>136</v>
      </c>
      <c r="I131" s="6">
        <f>SUM(I2:I130)</f>
        <v>37</v>
      </c>
      <c r="J131" s="6">
        <f>SUM(J2:J130)</f>
        <v>60</v>
      </c>
      <c r="K131" s="6">
        <f>SUM(K2:K130)</f>
        <v>51</v>
      </c>
      <c r="L131" s="6">
        <f>SUM(L2:L130)</f>
        <v>37</v>
      </c>
      <c r="M131" s="6">
        <f>SUM(M2:M130)</f>
        <v>50</v>
      </c>
      <c r="N131" s="6">
        <f>SUM(N2:N130)</f>
        <v>20</v>
      </c>
      <c r="O131" s="6">
        <f>SUM(O2:O130)</f>
        <v>25</v>
      </c>
      <c r="P131" s="28">
        <f>SUM(P2:P130)</f>
        <v>100</v>
      </c>
      <c r="Q131" s="28">
        <f>SUM(Q2:Q130)</f>
        <v>104</v>
      </c>
      <c r="R131" s="28">
        <f>SUM(R2:R130)</f>
        <v>205</v>
      </c>
      <c r="S131" s="28">
        <f>SUM(S2:S130)</f>
        <v>100</v>
      </c>
      <c r="T131" s="28">
        <f>SUM(T2:T130)</f>
        <v>89</v>
      </c>
      <c r="U131" s="28">
        <f>SUM(U2:U130)</f>
        <v>170</v>
      </c>
      <c r="V131" s="28">
        <f>SUM(V2:V130)</f>
        <v>105</v>
      </c>
      <c r="W131" s="28">
        <f>SUM(W2:W130)</f>
        <v>75</v>
      </c>
      <c r="X131" s="28">
        <f>SUM(X2:X130)</f>
        <v>181</v>
      </c>
      <c r="Y131" s="28">
        <f>SUM(Y2:Y130)</f>
        <v>95</v>
      </c>
      <c r="Z131" s="28">
        <f>SUM(Z2:Z130)</f>
        <v>100</v>
      </c>
      <c r="AA131" s="28">
        <f>SUM(AA2:AA130)</f>
        <v>136</v>
      </c>
      <c r="AB131" s="28">
        <f>SUM(AB2:AB130)</f>
        <v>140</v>
      </c>
      <c r="AC131" s="28">
        <f>SUM(AC2:AC130)</f>
        <v>85</v>
      </c>
      <c r="AD131" s="28">
        <f>SUM(AD2:AD130)</f>
        <v>142</v>
      </c>
      <c r="AE131" s="1">
        <f>SUM(AE2:AE130)</f>
        <v>250</v>
      </c>
      <c r="AF131" s="1">
        <f>SUM(AF2:AF130)</f>
        <v>10</v>
      </c>
      <c r="AG131" s="1">
        <f>SUM(AG2:AG130)</f>
        <v>5</v>
      </c>
      <c r="AH131" s="1">
        <f>SUM(AH2:AH130)</f>
        <v>30</v>
      </c>
      <c r="AI131" s="1">
        <f>SUM(AI2:AI130)</f>
        <v>30</v>
      </c>
      <c r="AJ131" s="1">
        <f>SUM(AJ2:AJ130)</f>
        <v>5</v>
      </c>
      <c r="AK131" s="1">
        <f>SUM(AK2:AK130)</f>
        <v>0</v>
      </c>
      <c r="AL131" s="1">
        <f>SUM(AL2:AL130)</f>
        <v>0</v>
      </c>
      <c r="AM131" s="1">
        <f>SUM(AM2:AM130)</f>
        <v>0</v>
      </c>
      <c r="AN131" s="1">
        <f>SUM(AN2:AN130)</f>
        <v>40</v>
      </c>
      <c r="AO131" s="1">
        <f>SUM(AO2:AO130)</f>
        <v>33</v>
      </c>
      <c r="AP131" s="1">
        <f>SUM(AP2:AP130)</f>
        <v>27</v>
      </c>
      <c r="AQ131" s="4">
        <f>SUM(AQ2:AQ130)</f>
        <v>150</v>
      </c>
      <c r="AR131" s="4">
        <f>SUM(AR2:AR130)</f>
        <v>85</v>
      </c>
      <c r="AS131" s="4">
        <f>SUM(AS2:AS130)</f>
        <v>70</v>
      </c>
      <c r="AT131" s="4">
        <f>SUM(AT2:AT130)</f>
        <v>60</v>
      </c>
      <c r="AU131" s="4">
        <f>SUM(AU2:AU130)</f>
        <v>80</v>
      </c>
      <c r="AV131" s="4">
        <f>SUM(AV2:AV130)</f>
        <v>155</v>
      </c>
      <c r="AW131" s="2">
        <f>SUM(AW2:AW130)</f>
        <v>205</v>
      </c>
      <c r="AX131" s="2">
        <f>SUM(AX2:AX130)</f>
        <v>60</v>
      </c>
      <c r="AY131" s="2">
        <f>SUM(AY2:AY130)</f>
        <v>30</v>
      </c>
      <c r="AZ131" s="2">
        <f>SUM(AZ2:AZ130)</f>
        <v>60</v>
      </c>
      <c r="BA131" s="2">
        <f>SUM(BA2:BA130)</f>
        <v>95</v>
      </c>
      <c r="BB131" s="2">
        <f>SUM(BB2:BB130)</f>
        <v>120</v>
      </c>
      <c r="BC131" s="1">
        <f>SUM(BC2:BC130)</f>
        <v>30</v>
      </c>
      <c r="BD131" s="1">
        <f>SUM(BD2:BD130)</f>
        <v>20</v>
      </c>
      <c r="BE131" s="1">
        <f>SUM(BE2:BE130)</f>
        <v>70</v>
      </c>
      <c r="BF131" s="1">
        <f>SUM(BF2:BF130)</f>
        <v>70</v>
      </c>
      <c r="BG131" s="1">
        <f>SUM(BG2:BG130)</f>
        <v>0</v>
      </c>
      <c r="BH131" s="1">
        <f>SUM(BH2:BH130)</f>
        <v>0</v>
      </c>
      <c r="BI131" s="1">
        <f>SUM(BI2:BI130)</f>
        <v>70</v>
      </c>
      <c r="BJ131" s="1">
        <f>SUM(BJ2:BJ130)</f>
        <v>70</v>
      </c>
      <c r="BK131" s="1">
        <f>SUM(BK2:BK130)</f>
        <v>200</v>
      </c>
      <c r="BL131" s="1">
        <f>SUM(BL2:BL130)</f>
        <v>200</v>
      </c>
      <c r="BM131" s="1">
        <f>SUM(BM2:BM130)</f>
        <v>150</v>
      </c>
      <c r="BN131" s="1">
        <f>SUM(BN2:BN130)</f>
        <v>150</v>
      </c>
      <c r="BO131" s="1">
        <f>SUM(BO2:BO130)</f>
        <v>350</v>
      </c>
      <c r="BP131" s="1">
        <f>SUM(BP2:BP130)</f>
        <v>350</v>
      </c>
      <c r="BQ131" s="1"/>
      <c r="BR131" s="1"/>
      <c r="BS131" s="17"/>
      <c r="BT131" s="17"/>
    </row>
    <row r="132" spans="1:74">
      <c r="A132" s="1"/>
      <c r="B132" s="3" t="s">
        <v>70</v>
      </c>
      <c r="C132" s="1"/>
      <c r="D132" s="1"/>
      <c r="E132" s="1">
        <v>4</v>
      </c>
      <c r="F132" s="1">
        <v>25</v>
      </c>
      <c r="G132" s="1">
        <v>4</v>
      </c>
      <c r="H132" s="1">
        <v>3</v>
      </c>
      <c r="I132" s="1">
        <v>70</v>
      </c>
      <c r="J132" s="1">
        <v>81</v>
      </c>
      <c r="K132" s="1">
        <v>66</v>
      </c>
      <c r="L132" s="1">
        <v>38</v>
      </c>
      <c r="M132" s="1">
        <v>40</v>
      </c>
      <c r="N132" s="1">
        <v>98</v>
      </c>
      <c r="O132" s="1">
        <v>25</v>
      </c>
      <c r="P132" s="14">
        <v>43</v>
      </c>
      <c r="Q132" s="14">
        <v>0</v>
      </c>
      <c r="R132" s="14">
        <v>12</v>
      </c>
      <c r="S132" s="14">
        <v>103</v>
      </c>
      <c r="T132" s="14">
        <v>26</v>
      </c>
      <c r="U132" s="14">
        <v>6</v>
      </c>
      <c r="V132" s="14">
        <v>25</v>
      </c>
      <c r="W132" s="14">
        <v>3</v>
      </c>
      <c r="X132" s="14">
        <v>0</v>
      </c>
      <c r="Y132" s="14">
        <v>7</v>
      </c>
      <c r="Z132" s="14">
        <v>32</v>
      </c>
      <c r="AA132" s="14">
        <v>1</v>
      </c>
      <c r="AB132" s="14">
        <v>58</v>
      </c>
      <c r="AC132" s="14">
        <v>1</v>
      </c>
      <c r="AD132" s="14">
        <v>0</v>
      </c>
      <c r="AE132" s="1">
        <v>21</v>
      </c>
      <c r="AF132" s="1">
        <v>2</v>
      </c>
      <c r="AG132" s="1">
        <v>8</v>
      </c>
      <c r="AH132" s="1">
        <v>0</v>
      </c>
      <c r="AI132" s="1">
        <v>0</v>
      </c>
      <c r="AJ132" s="1">
        <v>0</v>
      </c>
      <c r="AK132" s="1">
        <v>23</v>
      </c>
      <c r="AL132" s="1">
        <v>33</v>
      </c>
      <c r="AM132" s="1">
        <v>0</v>
      </c>
      <c r="AN132" s="1">
        <v>1</v>
      </c>
      <c r="AO132" s="1">
        <v>0</v>
      </c>
      <c r="AP132" s="1">
        <v>0</v>
      </c>
      <c r="AQ132" s="14">
        <v>78</v>
      </c>
      <c r="AR132" s="14">
        <v>21</v>
      </c>
      <c r="AS132" s="14">
        <v>42</v>
      </c>
      <c r="AT132" s="14">
        <v>30</v>
      </c>
      <c r="AU132" s="14">
        <v>18</v>
      </c>
      <c r="AV132" s="14">
        <v>118</v>
      </c>
      <c r="AW132" s="14">
        <v>109</v>
      </c>
      <c r="AX132" s="14">
        <v>68</v>
      </c>
      <c r="AY132" s="14">
        <v>2</v>
      </c>
      <c r="AZ132" s="14">
        <v>19</v>
      </c>
      <c r="BA132" s="14">
        <v>12</v>
      </c>
      <c r="BB132" s="14">
        <v>31</v>
      </c>
      <c r="BC132" s="14">
        <v>10</v>
      </c>
      <c r="BD132" s="1">
        <v>0</v>
      </c>
      <c r="BE132" s="1">
        <v>255</v>
      </c>
      <c r="BF132" s="1">
        <v>396</v>
      </c>
      <c r="BG132" s="1">
        <v>312</v>
      </c>
      <c r="BH132" s="1">
        <v>330</v>
      </c>
      <c r="BI132" s="1">
        <v>162</v>
      </c>
      <c r="BJ132" s="1">
        <v>195</v>
      </c>
      <c r="BK132" s="1">
        <v>112</v>
      </c>
      <c r="BL132" s="1">
        <v>121</v>
      </c>
      <c r="BM132" s="1">
        <v>193</v>
      </c>
      <c r="BN132" s="1">
        <v>69</v>
      </c>
      <c r="BO132" s="1">
        <v>21</v>
      </c>
      <c r="BP132" s="1">
        <v>51</v>
      </c>
      <c r="BQ132" s="1"/>
      <c r="BR132" s="1"/>
      <c r="BS132" s="17"/>
      <c r="BT132" s="17"/>
    </row>
    <row r="133" spans="1:74">
      <c r="A133" s="1"/>
      <c r="B133" s="3" t="s">
        <v>77</v>
      </c>
      <c r="C133" s="1"/>
      <c r="D133" s="1"/>
      <c r="E133" s="1">
        <f>E132-E131</f>
        <v>-92</v>
      </c>
      <c r="F133" s="1">
        <f>F132-F131</f>
        <v>10</v>
      </c>
      <c r="G133" s="1">
        <f>G132-G131</f>
        <v>-130</v>
      </c>
      <c r="H133" s="1">
        <f>H132-H131</f>
        <v>-133</v>
      </c>
      <c r="I133" s="1">
        <f>I132-I131</f>
        <v>33</v>
      </c>
      <c r="J133" s="1">
        <f>J132-J131</f>
        <v>21</v>
      </c>
      <c r="K133" s="1">
        <f>K132-K131</f>
        <v>15</v>
      </c>
      <c r="L133" s="1">
        <f>L132-L131</f>
        <v>1</v>
      </c>
      <c r="M133" s="1">
        <f>M132-M131</f>
        <v>-10</v>
      </c>
      <c r="N133" s="1">
        <f>N132-N131</f>
        <v>78</v>
      </c>
      <c r="O133" s="1">
        <f>O132-O131</f>
        <v>0</v>
      </c>
      <c r="P133" s="1">
        <f>P132-P131</f>
        <v>-57</v>
      </c>
      <c r="Q133" s="1">
        <f>Q132-Q131</f>
        <v>-104</v>
      </c>
      <c r="R133" s="1">
        <f>R132-R131</f>
        <v>-193</v>
      </c>
      <c r="S133" s="1">
        <f>S132-S131</f>
        <v>3</v>
      </c>
      <c r="T133" s="1">
        <f>T132-T131</f>
        <v>-63</v>
      </c>
      <c r="U133" s="1">
        <f>U132-U131</f>
        <v>-164</v>
      </c>
      <c r="V133" s="1">
        <f>V132-V131</f>
        <v>-80</v>
      </c>
      <c r="W133" s="1">
        <f>W132-W131</f>
        <v>-72</v>
      </c>
      <c r="X133" s="1">
        <f>X132-X131</f>
        <v>-181</v>
      </c>
      <c r="Y133" s="1">
        <f>Y132-Y131</f>
        <v>-88</v>
      </c>
      <c r="Z133" s="1">
        <f>Z132-Z131</f>
        <v>-68</v>
      </c>
      <c r="AA133" s="1">
        <f>AA132-AA131</f>
        <v>-135</v>
      </c>
      <c r="AB133" s="1">
        <f>AB132-AB131</f>
        <v>-82</v>
      </c>
      <c r="AC133" s="1">
        <f>AC132-AC131</f>
        <v>-84</v>
      </c>
      <c r="AD133" s="1">
        <f>AD132-AD131</f>
        <v>-142</v>
      </c>
      <c r="AE133" s="1">
        <f>AE132-AE131</f>
        <v>-229</v>
      </c>
      <c r="AF133" s="1">
        <f>AF132-AF131</f>
        <v>-8</v>
      </c>
      <c r="AG133" s="1">
        <f>AG132-AG131</f>
        <v>3</v>
      </c>
      <c r="AH133" s="1">
        <f>AH132-AH131</f>
        <v>-30</v>
      </c>
      <c r="AI133" s="1">
        <f>AI132-AI131</f>
        <v>-30</v>
      </c>
      <c r="AJ133" s="1">
        <f>AJ132-AJ131</f>
        <v>-5</v>
      </c>
      <c r="AK133" s="1">
        <f>AK132-AK131</f>
        <v>23</v>
      </c>
      <c r="AL133" s="1">
        <f>AL132-AL131</f>
        <v>33</v>
      </c>
      <c r="AM133" s="1">
        <f>AM132-AM131</f>
        <v>0</v>
      </c>
      <c r="AN133" s="1">
        <f>AN132-AN131</f>
        <v>-39</v>
      </c>
      <c r="AO133" s="1">
        <f>AO132-AO131</f>
        <v>-33</v>
      </c>
      <c r="AP133" s="1">
        <f>AP132-AP131</f>
        <v>-27</v>
      </c>
      <c r="AQ133" s="1">
        <f>AQ132-AQ131</f>
        <v>-72</v>
      </c>
      <c r="AR133" s="1">
        <f>AR132-AR131</f>
        <v>-64</v>
      </c>
      <c r="AS133" s="1">
        <f>AS132-AS131</f>
        <v>-28</v>
      </c>
      <c r="AT133" s="1">
        <f>AT132-AT131</f>
        <v>-30</v>
      </c>
      <c r="AU133" s="1">
        <f>AU132-AU131</f>
        <v>-62</v>
      </c>
      <c r="AV133" s="1">
        <f>AV132-AV131</f>
        <v>-37</v>
      </c>
      <c r="AW133" s="1">
        <f>AW132-AW131</f>
        <v>-96</v>
      </c>
      <c r="AX133" s="1">
        <f>AX132-AX131</f>
        <v>8</v>
      </c>
      <c r="AY133" s="1">
        <f>AY132-AY131</f>
        <v>-28</v>
      </c>
      <c r="AZ133" s="1">
        <f>AZ132-AZ131</f>
        <v>-41</v>
      </c>
      <c r="BA133" s="1">
        <f>BA132-BA131</f>
        <v>-83</v>
      </c>
      <c r="BB133" s="1">
        <f>BB132-BB131</f>
        <v>-89</v>
      </c>
      <c r="BC133" s="1">
        <f>BC132-BC131</f>
        <v>-20</v>
      </c>
      <c r="BD133" s="1">
        <f>BD132-BD131</f>
        <v>-20</v>
      </c>
      <c r="BE133" s="1">
        <f>BE132-BE131</f>
        <v>185</v>
      </c>
      <c r="BF133" s="1">
        <f>BF132-BF131</f>
        <v>326</v>
      </c>
      <c r="BG133" s="1">
        <f>BG132-BG131</f>
        <v>312</v>
      </c>
      <c r="BH133" s="1">
        <f>BH132-BH131</f>
        <v>330</v>
      </c>
      <c r="BI133" s="1">
        <f>BI132-BI131</f>
        <v>92</v>
      </c>
      <c r="BJ133" s="1">
        <f>BJ132-BJ131</f>
        <v>125</v>
      </c>
      <c r="BK133" s="1">
        <f>BK132-BK131</f>
        <v>-88</v>
      </c>
      <c r="BL133" s="1">
        <f>BL132-BL131</f>
        <v>-79</v>
      </c>
      <c r="BM133" s="1">
        <f>BM132-BM131</f>
        <v>43</v>
      </c>
      <c r="BN133" s="1">
        <f>BN132-BN131</f>
        <v>-81</v>
      </c>
      <c r="BO133" s="1">
        <f>BO132-BO131</f>
        <v>-329</v>
      </c>
      <c r="BP133" s="1">
        <f>BP132-BP131</f>
        <v>-299</v>
      </c>
      <c r="BQ133" s="1"/>
      <c r="BR133" s="1"/>
      <c r="BS133" s="17"/>
      <c r="BT133" s="17"/>
    </row>
    <row r="134" spans="1:74">
      <c r="A134" s="1"/>
      <c r="B134" s="3" t="s">
        <v>137</v>
      </c>
      <c r="C134" s="1"/>
      <c r="D134" s="1"/>
      <c r="E134" s="1">
        <f>MAX(E2:E130)</f>
        <v>15</v>
      </c>
      <c r="F134" s="1">
        <f>MAX(F2:F130)</f>
        <v>15</v>
      </c>
      <c r="G134" s="1">
        <f>MAX(G2:G130)</f>
        <v>20</v>
      </c>
      <c r="H134" s="1">
        <f>MAX(H2:H130)</f>
        <v>20</v>
      </c>
      <c r="I134" s="1">
        <f>MAX(I2:I130)</f>
        <v>10</v>
      </c>
      <c r="J134" s="1">
        <f>MAX(J2:J130)</f>
        <v>10</v>
      </c>
      <c r="K134" s="1">
        <f>MAX(K2:K130)</f>
        <v>15</v>
      </c>
      <c r="L134" s="1">
        <f>MAX(L2:L130)</f>
        <v>10</v>
      </c>
      <c r="M134" s="1">
        <f>MAX(M2:M130)</f>
        <v>10</v>
      </c>
      <c r="N134" s="1">
        <f>MAX(N2:N130)</f>
        <v>10</v>
      </c>
      <c r="O134" s="1">
        <f>MAX(O2:O130)</f>
        <v>10</v>
      </c>
      <c r="P134" s="1">
        <f>MAX(P2:P130)</f>
        <v>10</v>
      </c>
      <c r="Q134" s="1">
        <f>MAX(Q2:Q130)</f>
        <v>7</v>
      </c>
      <c r="R134" s="1">
        <f>MAX(R2:R130)</f>
        <v>10</v>
      </c>
      <c r="S134" s="1">
        <f>MAX(S2:S130)</f>
        <v>10</v>
      </c>
      <c r="T134" s="1">
        <f>MAX(T2:T130)</f>
        <v>7</v>
      </c>
      <c r="U134" s="1">
        <f>MAX(U2:U130)</f>
        <v>10</v>
      </c>
      <c r="V134" s="1">
        <f>MAX(V2:V130)</f>
        <v>10</v>
      </c>
      <c r="W134" s="1">
        <f>MAX(W2:W130)</f>
        <v>20</v>
      </c>
      <c r="X134" s="1">
        <f>MAX(X2:X130)</f>
        <v>10</v>
      </c>
      <c r="Y134" s="1">
        <f>MAX(Y2:Y130)</f>
        <v>10</v>
      </c>
      <c r="Z134" s="1">
        <f>MAX(Z2:Z130)</f>
        <v>20</v>
      </c>
      <c r="AA134" s="1">
        <f>MAX(AA2:AA130)</f>
        <v>10</v>
      </c>
      <c r="AB134" s="1">
        <f>MAX(AB2:AB130)</f>
        <v>10</v>
      </c>
      <c r="AC134" s="1">
        <f>MAX(AC2:AC130)</f>
        <v>20</v>
      </c>
      <c r="AD134" s="1">
        <f>MAX(AD2:AD130)</f>
        <v>10</v>
      </c>
      <c r="AE134" s="1">
        <f>MAX(AE2:AE130)</f>
        <v>200</v>
      </c>
      <c r="AF134" s="1">
        <f>MAX(AF2:AF130)</f>
        <v>5</v>
      </c>
      <c r="AG134" s="1">
        <f>MAX(AG2:AG130)</f>
        <v>5</v>
      </c>
      <c r="AH134" s="1">
        <f>MAX(AH2:AH130)</f>
        <v>5</v>
      </c>
      <c r="AI134" s="1">
        <f>MAX(AI2:AI130)</f>
        <v>5</v>
      </c>
      <c r="AJ134" s="1">
        <f>MAX(AJ2:AJ130)</f>
        <v>5</v>
      </c>
      <c r="AK134" s="1">
        <f>MAX(AK2:AK130)</f>
        <v>0</v>
      </c>
      <c r="AL134" s="1">
        <f>MAX(AL2:AL130)</f>
        <v>0</v>
      </c>
      <c r="AM134" s="1">
        <f>MAX(AM2:AM130)</f>
        <v>0</v>
      </c>
      <c r="AN134" s="1">
        <f>MAX(AN2:AN130)</f>
        <v>25</v>
      </c>
      <c r="AO134" s="1">
        <f>MAX(AO2:AO130)</f>
        <v>10</v>
      </c>
      <c r="AP134" s="1">
        <f>MAX(AP2:AP130)</f>
        <v>10</v>
      </c>
      <c r="AQ134" s="1">
        <f>MAX(AQ2:AQ130)</f>
        <v>40</v>
      </c>
      <c r="AR134" s="1">
        <f>MAX(AR2:AR130)</f>
        <v>15</v>
      </c>
      <c r="AS134" s="1">
        <f>MAX(AS2:AS130)</f>
        <v>15</v>
      </c>
      <c r="AT134" s="1">
        <f>MAX(AT2:AT130)</f>
        <v>10</v>
      </c>
      <c r="AU134" s="1">
        <f>MAX(AU2:AU130)</f>
        <v>15</v>
      </c>
      <c r="AV134" s="1">
        <f>MAX(AV2:AV130)</f>
        <v>40</v>
      </c>
      <c r="AW134" s="1">
        <f>MAX(AW2:AW130)</f>
        <v>50</v>
      </c>
      <c r="AX134" s="1">
        <f>MAX(AX2:AX130)</f>
        <v>40</v>
      </c>
      <c r="AY134" s="1">
        <f>MAX(AY2:AY130)</f>
        <v>15</v>
      </c>
      <c r="AZ134" s="1">
        <f>MAX(AZ2:AZ130)</f>
        <v>50</v>
      </c>
      <c r="BA134" s="1">
        <f>MAX(BA2:BA130)</f>
        <v>40</v>
      </c>
      <c r="BB134" s="1">
        <f>MAX(BB2:BB130)</f>
        <v>40</v>
      </c>
      <c r="BC134" s="1">
        <f>MAX(BC2:BC130)</f>
        <v>10</v>
      </c>
      <c r="BD134" s="1">
        <f>MAX(BD2:BD130)</f>
        <v>10</v>
      </c>
      <c r="BE134" s="1">
        <f>MAX(BE2:BE130)</f>
        <v>50</v>
      </c>
      <c r="BF134" s="1">
        <f>MAX(BF2:BF130)</f>
        <v>50</v>
      </c>
      <c r="BG134" s="1">
        <f>MAX(BG2:BG130)</f>
        <v>0</v>
      </c>
      <c r="BH134" s="1">
        <f>MAX(BH2:BH130)</f>
        <v>0</v>
      </c>
      <c r="BI134" s="1">
        <f>MAX(BI2:BI130)</f>
        <v>50</v>
      </c>
      <c r="BJ134" s="1">
        <f>MAX(BJ2:BJ130)</f>
        <v>50</v>
      </c>
      <c r="BK134" s="1">
        <f>MAX(BK2:BK130)</f>
        <v>50</v>
      </c>
      <c r="BL134" s="1">
        <f>MAX(BL2:BL130)</f>
        <v>50</v>
      </c>
      <c r="BM134" s="1">
        <f>MAX(BM2:BM130)</f>
        <v>50</v>
      </c>
      <c r="BN134" s="1">
        <f>MAX(BN2:BN130)</f>
        <v>50</v>
      </c>
      <c r="BO134" s="1">
        <f>MAX(BO2:BO130)</f>
        <v>50</v>
      </c>
      <c r="BP134" s="1">
        <f>MAX(BP2:BP130)</f>
        <v>50</v>
      </c>
      <c r="BQ134" s="1"/>
      <c r="BR134" s="1"/>
      <c r="BS134" s="17"/>
      <c r="BT134" s="17"/>
    </row>
    <row r="135" spans="1:74">
      <c r="A135" s="1"/>
      <c r="B135" s="3" t="s">
        <v>138</v>
      </c>
      <c r="C135" s="1"/>
      <c r="D135" s="1"/>
      <c r="E135" s="1">
        <f>MIN(E2:E130)</f>
        <v>5</v>
      </c>
      <c r="F135" s="1">
        <f>MIN(F2:F130)</f>
        <v>15</v>
      </c>
      <c r="G135" s="1">
        <f>MIN(G2:G130)</f>
        <v>4</v>
      </c>
      <c r="H135" s="1">
        <f>MIN(H2:H130)</f>
        <v>4</v>
      </c>
      <c r="I135" s="1">
        <f>MIN(I2:I130)</f>
        <v>7</v>
      </c>
      <c r="J135" s="1">
        <f>MIN(J2:J130)</f>
        <v>10</v>
      </c>
      <c r="K135" s="1">
        <f>MIN(K2:K130)</f>
        <v>6</v>
      </c>
      <c r="L135" s="1">
        <f>MIN(L2:L130)</f>
        <v>7</v>
      </c>
      <c r="M135" s="1">
        <f>MIN(M2:M130)</f>
        <v>10</v>
      </c>
      <c r="N135" s="1">
        <f>MIN(N2:N130)</f>
        <v>10</v>
      </c>
      <c r="O135" s="1">
        <f>MIN(O2:O130)</f>
        <v>5</v>
      </c>
      <c r="P135" s="1">
        <f>MIN(P2:P130)</f>
        <v>10</v>
      </c>
      <c r="Q135" s="1">
        <f>MIN(Q2:Q130)</f>
        <v>5</v>
      </c>
      <c r="R135" s="1">
        <f>MIN(R2:R130)</f>
        <v>2</v>
      </c>
      <c r="S135" s="1">
        <f>MIN(S2:S130)</f>
        <v>10</v>
      </c>
      <c r="T135" s="1">
        <f>MIN(T2:T130)</f>
        <v>5</v>
      </c>
      <c r="U135" s="1">
        <f>MIN(U2:U130)</f>
        <v>2</v>
      </c>
      <c r="V135" s="1">
        <f>MIN(V2:V130)</f>
        <v>5</v>
      </c>
      <c r="W135" s="1">
        <f>MIN(W2:W130)</f>
        <v>5</v>
      </c>
      <c r="X135" s="1">
        <f>MIN(X2:X130)</f>
        <v>2</v>
      </c>
      <c r="Y135" s="1">
        <f>MIN(Y2:Y130)</f>
        <v>5</v>
      </c>
      <c r="Z135" s="1">
        <f>MIN(Z2:Z130)</f>
        <v>5</v>
      </c>
      <c r="AA135" s="1">
        <f>MIN(AA2:AA130)</f>
        <v>2</v>
      </c>
      <c r="AB135" s="1">
        <f>MIN(AB2:AB130)</f>
        <v>10</v>
      </c>
      <c r="AC135" s="1">
        <f>MIN(AC2:AC130)</f>
        <v>5</v>
      </c>
      <c r="AD135" s="1">
        <f>MIN(AD2:AD130)</f>
        <v>2</v>
      </c>
      <c r="AE135" s="1">
        <f>MIN(AE2:AE130)</f>
        <v>50</v>
      </c>
      <c r="AF135" s="1">
        <f>MIN(AF2:AF130)</f>
        <v>5</v>
      </c>
      <c r="AG135" s="1">
        <f>MIN(AG2:AG130)</f>
        <v>5</v>
      </c>
      <c r="AH135" s="1">
        <f>MIN(AH2:AH130)</f>
        <v>5</v>
      </c>
      <c r="AI135" s="1">
        <f>MIN(AI2:AI130)</f>
        <v>5</v>
      </c>
      <c r="AJ135" s="1">
        <f>MIN(AJ2:AJ130)</f>
        <v>5</v>
      </c>
      <c r="AK135" s="1">
        <f>MIN(AK2:AK130)</f>
        <v>0</v>
      </c>
      <c r="AL135" s="1">
        <f>MIN(AL2:AL130)</f>
        <v>0</v>
      </c>
      <c r="AM135" s="1">
        <f>MIN(AM2:AM130)</f>
        <v>0</v>
      </c>
      <c r="AN135" s="1">
        <f>MIN(AN2:AN130)</f>
        <v>15</v>
      </c>
      <c r="AO135" s="1">
        <f>MIN(AO2:AO130)</f>
        <v>2</v>
      </c>
      <c r="AP135" s="1">
        <f>MIN(AP2:AP130)</f>
        <v>1</v>
      </c>
      <c r="AQ135" s="1">
        <f>MIN(AQ2:AQ130)</f>
        <v>10</v>
      </c>
      <c r="AR135" s="1">
        <f>MIN(AR2:AR130)</f>
        <v>10</v>
      </c>
      <c r="AS135" s="1">
        <f>MIN(AS2:AS130)</f>
        <v>5</v>
      </c>
      <c r="AT135" s="1">
        <f>MIN(AT2:AT130)</f>
        <v>10</v>
      </c>
      <c r="AU135" s="1">
        <f>MIN(AU2:AU130)</f>
        <v>5</v>
      </c>
      <c r="AV135" s="1">
        <f>MIN(AV2:AV130)</f>
        <v>10</v>
      </c>
      <c r="AW135" s="1">
        <f>MIN(AW2:AW130)</f>
        <v>10</v>
      </c>
      <c r="AX135" s="1">
        <f>MIN(AX2:AX130)</f>
        <v>5</v>
      </c>
      <c r="AY135" s="1">
        <f>MIN(AY2:AY130)</f>
        <v>5</v>
      </c>
      <c r="AZ135" s="1">
        <f>MIN(AZ2:AZ130)</f>
        <v>10</v>
      </c>
      <c r="BA135" s="1">
        <f>MIN(BA2:BA130)</f>
        <v>10</v>
      </c>
      <c r="BB135" s="1">
        <f>MIN(BB2:BB130)</f>
        <v>10</v>
      </c>
      <c r="BC135" s="1">
        <f>MIN(BC2:BC130)</f>
        <v>10</v>
      </c>
      <c r="BD135" s="1">
        <f>MIN(BD2:BD130)</f>
        <v>10</v>
      </c>
      <c r="BE135" s="1">
        <f>MIN(BE2:BE130)</f>
        <v>20</v>
      </c>
      <c r="BF135" s="1">
        <f>MIN(BF2:BF130)</f>
        <v>20</v>
      </c>
      <c r="BG135" s="1">
        <f>MIN(BG2:BG130)</f>
        <v>0</v>
      </c>
      <c r="BH135" s="1">
        <f>MIN(BH2:BH130)</f>
        <v>0</v>
      </c>
      <c r="BI135" s="1">
        <f>MIN(BI2:BI130)</f>
        <v>20</v>
      </c>
      <c r="BJ135" s="1">
        <f>MIN(BJ2:BJ130)</f>
        <v>20</v>
      </c>
      <c r="BK135" s="1">
        <f>MIN(BK2:BK130)</f>
        <v>50</v>
      </c>
      <c r="BL135" s="1">
        <f>MIN(BL2:BL130)</f>
        <v>50</v>
      </c>
      <c r="BM135" s="1">
        <f>MIN(BM2:BM130)</f>
        <v>50</v>
      </c>
      <c r="BN135" s="1">
        <f>MIN(BN2:BN130)</f>
        <v>50</v>
      </c>
      <c r="BO135" s="1">
        <f>MIN(BO2:BO130)</f>
        <v>50</v>
      </c>
      <c r="BP135" s="1">
        <f>MIN(BP2:BP130)</f>
        <v>50</v>
      </c>
      <c r="BQ135" s="1"/>
      <c r="BR135" s="1"/>
      <c r="BS135" s="17"/>
      <c r="BT135" s="17"/>
    </row>
    <row r="136" spans="1:74">
      <c r="A136" s="1"/>
      <c r="B136" s="3" t="s">
        <v>139</v>
      </c>
      <c r="C136" s="1"/>
      <c r="D136" s="1"/>
      <c r="E136" s="1">
        <f>E132-E134</f>
        <v>-11</v>
      </c>
      <c r="F136" s="1">
        <f>F132-F134</f>
        <v>10</v>
      </c>
      <c r="G136" s="1">
        <f>G132-G134</f>
        <v>-16</v>
      </c>
      <c r="H136" s="1">
        <f>H132-H134</f>
        <v>-17</v>
      </c>
      <c r="I136" s="1">
        <f>I132-I134</f>
        <v>60</v>
      </c>
      <c r="J136" s="1">
        <f>J132-J134</f>
        <v>71</v>
      </c>
      <c r="K136" s="1">
        <f>K132-K134</f>
        <v>51</v>
      </c>
      <c r="L136" s="1">
        <f>L132-L134</f>
        <v>28</v>
      </c>
      <c r="M136" s="1">
        <f>M132-M134</f>
        <v>30</v>
      </c>
      <c r="N136" s="1">
        <f>N132-N134</f>
        <v>88</v>
      </c>
      <c r="O136" s="1">
        <f>O132-O134</f>
        <v>15</v>
      </c>
      <c r="P136" s="1">
        <f>P132-P134</f>
        <v>33</v>
      </c>
      <c r="Q136" s="1">
        <f>Q132-Q134</f>
        <v>-7</v>
      </c>
      <c r="R136" s="1">
        <f>R132-R134</f>
        <v>2</v>
      </c>
      <c r="S136" s="1">
        <f>S132-S134</f>
        <v>93</v>
      </c>
      <c r="T136" s="1">
        <f>T132-T134</f>
        <v>19</v>
      </c>
      <c r="U136" s="1">
        <f>U132-U134</f>
        <v>-4</v>
      </c>
      <c r="V136" s="1">
        <f>V132-V134</f>
        <v>15</v>
      </c>
      <c r="W136" s="1">
        <f>W132-W134</f>
        <v>-17</v>
      </c>
      <c r="X136" s="1">
        <f>X132-X134</f>
        <v>-10</v>
      </c>
      <c r="Y136" s="1">
        <f>Y132-Y134</f>
        <v>-3</v>
      </c>
      <c r="Z136" s="1">
        <f>Z132-Z134</f>
        <v>12</v>
      </c>
      <c r="AA136" s="1">
        <f>AA132-AA134</f>
        <v>-9</v>
      </c>
      <c r="AB136" s="1">
        <f>AB132-AB134</f>
        <v>48</v>
      </c>
      <c r="AC136" s="1">
        <f>AC132-AC134</f>
        <v>-19</v>
      </c>
      <c r="AD136" s="1">
        <f>AD132-AD134</f>
        <v>-10</v>
      </c>
      <c r="AE136" s="1">
        <f>AE132-AE134</f>
        <v>-179</v>
      </c>
      <c r="AF136" s="1">
        <f>AF132-AF134</f>
        <v>-3</v>
      </c>
      <c r="AG136" s="1">
        <f>AG132-AG134</f>
        <v>3</v>
      </c>
      <c r="AH136" s="1">
        <f>AH132-AH134</f>
        <v>-5</v>
      </c>
      <c r="AI136" s="1">
        <f>AI132-AI134</f>
        <v>-5</v>
      </c>
      <c r="AJ136" s="1">
        <f>AJ132-AJ134</f>
        <v>-5</v>
      </c>
      <c r="AK136" s="1">
        <f>AK132-AK134</f>
        <v>23</v>
      </c>
      <c r="AL136" s="1">
        <f>AL132-AL134</f>
        <v>33</v>
      </c>
      <c r="AM136" s="1">
        <f>AM132-AM134</f>
        <v>0</v>
      </c>
      <c r="AN136" s="1">
        <f>AN132-AN134</f>
        <v>-24</v>
      </c>
      <c r="AO136" s="1">
        <f>AO132-AO134</f>
        <v>-10</v>
      </c>
      <c r="AP136" s="1">
        <f>AP132-AP134</f>
        <v>-10</v>
      </c>
      <c r="AQ136" s="1">
        <f>AQ132-AQ134</f>
        <v>38</v>
      </c>
      <c r="AR136" s="1">
        <f>AR132-AR134</f>
        <v>6</v>
      </c>
      <c r="AS136" s="1">
        <f>AS132-AS134</f>
        <v>27</v>
      </c>
      <c r="AT136" s="1">
        <f>AT132-AT134</f>
        <v>20</v>
      </c>
      <c r="AU136" s="1">
        <f>AU132-AU134</f>
        <v>3</v>
      </c>
      <c r="AV136" s="1">
        <f>AV132-AV134</f>
        <v>78</v>
      </c>
      <c r="AW136" s="1">
        <f>AW132-AW134</f>
        <v>59</v>
      </c>
      <c r="AX136" s="1">
        <f>AX132-AX134</f>
        <v>28</v>
      </c>
      <c r="AY136" s="1">
        <f>AY132-AY134</f>
        <v>-13</v>
      </c>
      <c r="AZ136" s="1">
        <f>AZ132-AZ134</f>
        <v>-31</v>
      </c>
      <c r="BA136" s="1">
        <f>BA132-BA134</f>
        <v>-28</v>
      </c>
      <c r="BB136" s="1">
        <f>BB132-BB134</f>
        <v>-9</v>
      </c>
      <c r="BC136" s="1">
        <f>BC132-BC134</f>
        <v>0</v>
      </c>
      <c r="BD136" s="1">
        <f>BD132-BD134</f>
        <v>-10</v>
      </c>
      <c r="BE136" s="1">
        <f>BE132-BE134</f>
        <v>205</v>
      </c>
      <c r="BF136" s="1">
        <f>BF132-BF134</f>
        <v>346</v>
      </c>
      <c r="BG136" s="1">
        <f>BG132-BG134</f>
        <v>312</v>
      </c>
      <c r="BH136" s="1">
        <f>BH132-BH134</f>
        <v>330</v>
      </c>
      <c r="BI136" s="1">
        <f>BI132-BI134</f>
        <v>112</v>
      </c>
      <c r="BJ136" s="1">
        <f>BJ132-BJ134</f>
        <v>145</v>
      </c>
      <c r="BK136" s="1">
        <f>BK132-BK134</f>
        <v>62</v>
      </c>
      <c r="BL136" s="1">
        <f>BL132-BL134</f>
        <v>71</v>
      </c>
      <c r="BM136" s="1">
        <f>BM132-BM134</f>
        <v>143</v>
      </c>
      <c r="BN136" s="1">
        <f>BN132-BN134</f>
        <v>19</v>
      </c>
      <c r="BO136" s="1">
        <f>BO132-BO134</f>
        <v>-29</v>
      </c>
      <c r="BP136" s="1">
        <f>BP132-BP134</f>
        <v>1</v>
      </c>
      <c r="BQ136" s="1"/>
      <c r="BR136" s="1"/>
      <c r="BS136" s="17"/>
      <c r="BT136" s="17"/>
    </row>
    <row r="137" spans="1:74" s="13" customFormat="1">
      <c r="A137" s="1"/>
      <c r="B137" s="3" t="s">
        <v>140</v>
      </c>
      <c r="C137" s="1"/>
      <c r="D137" s="1"/>
      <c r="E137" s="1">
        <f>E132-E135</f>
        <v>-1</v>
      </c>
      <c r="F137" s="1">
        <f>F132-F135</f>
        <v>10</v>
      </c>
      <c r="G137" s="1">
        <f>G132-G135</f>
        <v>0</v>
      </c>
      <c r="H137" s="1">
        <f>H132-H135</f>
        <v>-1</v>
      </c>
      <c r="I137" s="1">
        <f>I132-I135</f>
        <v>63</v>
      </c>
      <c r="J137" s="1">
        <f>J132-J135</f>
        <v>71</v>
      </c>
      <c r="K137" s="1">
        <f>K132-K135</f>
        <v>60</v>
      </c>
      <c r="L137" s="1">
        <f>L132-L135</f>
        <v>31</v>
      </c>
      <c r="M137" s="1">
        <f>M132-M135</f>
        <v>30</v>
      </c>
      <c r="N137" s="1">
        <f>N132-N135</f>
        <v>88</v>
      </c>
      <c r="O137" s="1">
        <f>O132-O135</f>
        <v>20</v>
      </c>
      <c r="P137" s="1">
        <f>P132-P135</f>
        <v>33</v>
      </c>
      <c r="Q137" s="1">
        <f>Q132-Q135</f>
        <v>-5</v>
      </c>
      <c r="R137" s="1">
        <f>R132-R135</f>
        <v>10</v>
      </c>
      <c r="S137" s="1">
        <f>S132-S135</f>
        <v>93</v>
      </c>
      <c r="T137" s="1">
        <f>T132-T135</f>
        <v>21</v>
      </c>
      <c r="U137" s="1">
        <f>U132-U135</f>
        <v>4</v>
      </c>
      <c r="V137" s="1">
        <f>V132-V135</f>
        <v>20</v>
      </c>
      <c r="W137" s="1">
        <f>W132-W135</f>
        <v>-2</v>
      </c>
      <c r="X137" s="1">
        <f>X132-X135</f>
        <v>-2</v>
      </c>
      <c r="Y137" s="1">
        <f>Y132-Y135</f>
        <v>2</v>
      </c>
      <c r="Z137" s="1">
        <f>Z132-Z135</f>
        <v>27</v>
      </c>
      <c r="AA137" s="1">
        <f>AA132-AA135</f>
        <v>-1</v>
      </c>
      <c r="AB137" s="1">
        <f>AB132-AB135</f>
        <v>48</v>
      </c>
      <c r="AC137" s="1">
        <f>AC132-AC135</f>
        <v>-4</v>
      </c>
      <c r="AD137" s="1">
        <f>AD132-AD135</f>
        <v>-2</v>
      </c>
      <c r="AE137" s="1">
        <f>AE132-AE135</f>
        <v>-29</v>
      </c>
      <c r="AF137" s="1">
        <f>AF132-AF135</f>
        <v>-3</v>
      </c>
      <c r="AG137" s="1">
        <f>AG132-AG135</f>
        <v>3</v>
      </c>
      <c r="AH137" s="1">
        <f>AH132-AH135</f>
        <v>-5</v>
      </c>
      <c r="AI137" s="1">
        <f>AI132-AI135</f>
        <v>-5</v>
      </c>
      <c r="AJ137" s="1">
        <f>AJ132-AJ135</f>
        <v>-5</v>
      </c>
      <c r="AK137" s="1">
        <f>AK132-AK135</f>
        <v>23</v>
      </c>
      <c r="AL137" s="1">
        <f>AL132-AL135</f>
        <v>33</v>
      </c>
      <c r="AM137" s="1">
        <f>AM132-AM135</f>
        <v>0</v>
      </c>
      <c r="AN137" s="1">
        <f>AN132-AN135</f>
        <v>-14</v>
      </c>
      <c r="AO137" s="1">
        <f>AO132-AO135</f>
        <v>-2</v>
      </c>
      <c r="AP137" s="1">
        <f>AP132-AP135</f>
        <v>-1</v>
      </c>
      <c r="AQ137" s="1">
        <f>AQ132-AQ135</f>
        <v>68</v>
      </c>
      <c r="AR137" s="1">
        <f>AR132-AR135</f>
        <v>11</v>
      </c>
      <c r="AS137" s="1">
        <f>AS132-AS135</f>
        <v>37</v>
      </c>
      <c r="AT137" s="1">
        <f>AT132-AT135</f>
        <v>20</v>
      </c>
      <c r="AU137" s="1">
        <f>AU132-AU135</f>
        <v>13</v>
      </c>
      <c r="AV137" s="1">
        <f>AV132-AV135</f>
        <v>108</v>
      </c>
      <c r="AW137" s="1">
        <f>AW132-AW135</f>
        <v>99</v>
      </c>
      <c r="AX137" s="1">
        <f>AX132-AX135</f>
        <v>63</v>
      </c>
      <c r="AY137" s="1">
        <f>AY132-AY135</f>
        <v>-3</v>
      </c>
      <c r="AZ137" s="1">
        <f>AZ132-AZ135</f>
        <v>9</v>
      </c>
      <c r="BA137" s="1">
        <f>BA132-BA135</f>
        <v>2</v>
      </c>
      <c r="BB137" s="1">
        <f>BB132-BB135</f>
        <v>21</v>
      </c>
      <c r="BC137" s="1">
        <f>BC132-BC135</f>
        <v>0</v>
      </c>
      <c r="BD137" s="1">
        <f>BD132-BD135</f>
        <v>-10</v>
      </c>
      <c r="BE137" s="1">
        <f>BE132-BE135</f>
        <v>235</v>
      </c>
      <c r="BF137" s="1">
        <f>BF132-BF135</f>
        <v>376</v>
      </c>
      <c r="BG137" s="1">
        <f>BG132-BG135</f>
        <v>312</v>
      </c>
      <c r="BH137" s="1">
        <f>BH132-BH135</f>
        <v>330</v>
      </c>
      <c r="BI137" s="1">
        <f>BI132-BI135</f>
        <v>142</v>
      </c>
      <c r="BJ137" s="1">
        <f>BJ132-BJ135</f>
        <v>175</v>
      </c>
      <c r="BK137" s="1">
        <f>BK132-BK135</f>
        <v>62</v>
      </c>
      <c r="BL137" s="1">
        <f>BL132-BL135</f>
        <v>71</v>
      </c>
      <c r="BM137" s="1">
        <f>BM132-BM135</f>
        <v>143</v>
      </c>
      <c r="BN137" s="1">
        <f>BN132-BN135</f>
        <v>19</v>
      </c>
      <c r="BO137" s="1">
        <f>BO132-BO135</f>
        <v>-29</v>
      </c>
      <c r="BP137" s="1">
        <f>BP132-BP135</f>
        <v>1</v>
      </c>
      <c r="BQ137" s="1"/>
      <c r="BR137" s="1"/>
      <c r="BS137" s="17"/>
      <c r="BT137" s="17"/>
    </row>
    <row r="138" spans="1:74">
      <c r="AQ138" s="7" t="s">
        <v>163</v>
      </c>
      <c r="AR138" s="7" t="s">
        <v>166</v>
      </c>
      <c r="AS138" s="7" t="s">
        <v>167</v>
      </c>
      <c r="AT138" s="7" t="s">
        <v>164</v>
      </c>
      <c r="AU138" s="7" t="s">
        <v>165</v>
      </c>
      <c r="AV138" s="7" t="s">
        <v>162</v>
      </c>
      <c r="AW138" s="7" t="s">
        <v>168</v>
      </c>
      <c r="AX138" s="7" t="s">
        <v>169</v>
      </c>
      <c r="AY138" s="7" t="s">
        <v>170</v>
      </c>
      <c r="AZ138" s="7" t="s">
        <v>171</v>
      </c>
      <c r="BA138" s="7" t="s">
        <v>172</v>
      </c>
      <c r="BB138" s="7" t="s">
        <v>173</v>
      </c>
    </row>
  </sheetData>
  <autoFilter ref="A1:BV138">
    <filterColumn colId="72">
      <filters blank="1">
        <filter val="0"/>
      </filters>
    </filterColumn>
    <filterColumn colId="73">
      <filters blank="1">
        <filter val="0"/>
      </filters>
    </filterColumn>
    <sortState ref="A2:BV138">
      <sortCondition ref="BS2:BS138"/>
      <sortCondition ref="BR2:BR138"/>
    </sortState>
  </autoFilter>
  <sortState ref="A2:CT148">
    <sortCondition ref="BS2:BS148"/>
    <sortCondition ref="BR2:BR148"/>
  </sortState>
  <phoneticPr fontId="1" type="noConversion"/>
  <conditionalFormatting sqref="E134:BC134 BE134:BP134">
    <cfRule type="expression" dxfId="8" priority="13">
      <formula>"&lt;=$E$135"</formula>
    </cfRule>
  </conditionalFormatting>
  <conditionalFormatting sqref="E136:BC137 BE136:BP137">
    <cfRule type="cellIs" dxfId="7" priority="4" operator="lessThan">
      <formula>0</formula>
    </cfRule>
  </conditionalFormatting>
  <conditionalFormatting sqref="E133:BC133 BE133:BP133">
    <cfRule type="cellIs" dxfId="6" priority="5" operator="lessThan">
      <formula>0</formula>
    </cfRule>
  </conditionalFormatting>
  <conditionalFormatting sqref="BD134">
    <cfRule type="expression" dxfId="5" priority="3">
      <formula>"&lt;=$E$135"</formula>
    </cfRule>
  </conditionalFormatting>
  <conditionalFormatting sqref="BD136:BD137">
    <cfRule type="cellIs" dxfId="4" priority="1" operator="lessThan">
      <formula>0</formula>
    </cfRule>
  </conditionalFormatting>
  <conditionalFormatting sqref="BD133">
    <cfRule type="cellIs" dxfId="3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137</xdr:row>
                    <xdr:rowOff>28575</xdr:rowOff>
                  </from>
                  <to>
                    <xdr:col>1</xdr:col>
                    <xdr:colOff>428625</xdr:colOff>
                    <xdr:row>138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2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H8" sqref="H8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>
      <c r="A1" s="8" t="s">
        <v>64</v>
      </c>
      <c r="B1" s="8" t="s">
        <v>65</v>
      </c>
      <c r="C1" s="8" t="s">
        <v>67</v>
      </c>
      <c r="D1" s="8" t="s">
        <v>66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63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99</v>
      </c>
      <c r="Q1" s="27" t="s">
        <v>111</v>
      </c>
      <c r="R1" s="27" t="s">
        <v>105</v>
      </c>
      <c r="S1" s="27" t="s">
        <v>100</v>
      </c>
      <c r="T1" s="27" t="s">
        <v>109</v>
      </c>
      <c r="U1" s="27" t="s">
        <v>114</v>
      </c>
      <c r="V1" s="27" t="s">
        <v>101</v>
      </c>
      <c r="W1" s="27" t="s">
        <v>108</v>
      </c>
      <c r="X1" s="27" t="s">
        <v>106</v>
      </c>
      <c r="Y1" s="27" t="s">
        <v>102</v>
      </c>
      <c r="Z1" s="27" t="s">
        <v>110</v>
      </c>
      <c r="AA1" s="27" t="s">
        <v>115</v>
      </c>
      <c r="AB1" s="27" t="s">
        <v>104</v>
      </c>
      <c r="AC1" s="27" t="s">
        <v>103</v>
      </c>
      <c r="AD1" s="27" t="s">
        <v>123</v>
      </c>
      <c r="AE1" s="8" t="s">
        <v>8</v>
      </c>
      <c r="AF1" s="8" t="s">
        <v>27</v>
      </c>
      <c r="AG1" s="8" t="s">
        <v>28</v>
      </c>
      <c r="AH1" s="8" t="s">
        <v>54</v>
      </c>
      <c r="AI1" s="8" t="s">
        <v>55</v>
      </c>
      <c r="AJ1" s="8" t="s">
        <v>57</v>
      </c>
      <c r="AK1" s="8" t="s">
        <v>58</v>
      </c>
      <c r="AL1" s="8" t="s">
        <v>60</v>
      </c>
      <c r="AM1" s="8" t="s">
        <v>47</v>
      </c>
      <c r="AN1" s="8" t="s">
        <v>48</v>
      </c>
      <c r="AO1" s="8" t="s">
        <v>87</v>
      </c>
      <c r="AP1" s="8" t="s">
        <v>88</v>
      </c>
      <c r="AQ1" s="10" t="s">
        <v>37</v>
      </c>
      <c r="AR1" s="10" t="s">
        <v>4</v>
      </c>
      <c r="AS1" s="10" t="s">
        <v>25</v>
      </c>
      <c r="AT1" s="10" t="s">
        <v>50</v>
      </c>
      <c r="AU1" s="10" t="s">
        <v>52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84</v>
      </c>
      <c r="BD1" s="8" t="s">
        <v>15</v>
      </c>
      <c r="BE1" s="8" t="s">
        <v>14</v>
      </c>
      <c r="BF1" s="8" t="s">
        <v>12</v>
      </c>
      <c r="BG1" s="8" t="s">
        <v>13</v>
      </c>
      <c r="BH1" s="8" t="s">
        <v>16</v>
      </c>
      <c r="BI1" s="8" t="s">
        <v>17</v>
      </c>
      <c r="BJ1" s="8" t="s">
        <v>30</v>
      </c>
      <c r="BK1" s="8" t="s">
        <v>31</v>
      </c>
      <c r="BL1" s="8" t="s">
        <v>32</v>
      </c>
      <c r="BM1" s="8" t="s">
        <v>33</v>
      </c>
      <c r="BN1" s="8" t="s">
        <v>34</v>
      </c>
      <c r="BO1" s="8" t="s">
        <v>35</v>
      </c>
      <c r="BP1" s="12" t="s">
        <v>53</v>
      </c>
      <c r="BQ1" s="8" t="s">
        <v>72</v>
      </c>
      <c r="BR1" s="16" t="s">
        <v>73</v>
      </c>
      <c r="BS1" s="16"/>
      <c r="BT1" s="10" t="s">
        <v>37</v>
      </c>
      <c r="BU1" s="10" t="s">
        <v>4</v>
      </c>
      <c r="BV1" s="10" t="s">
        <v>25</v>
      </c>
      <c r="BW1" s="10" t="s">
        <v>50</v>
      </c>
      <c r="BX1" s="10" t="s">
        <v>52</v>
      </c>
      <c r="BY1" s="10" t="s">
        <v>45</v>
      </c>
      <c r="BZ1" s="11" t="s">
        <v>5</v>
      </c>
      <c r="CA1" s="11" t="s">
        <v>6</v>
      </c>
      <c r="CB1" s="11" t="s">
        <v>38</v>
      </c>
      <c r="CC1" s="11" t="s">
        <v>7</v>
      </c>
      <c r="CD1" s="11" t="s">
        <v>44</v>
      </c>
      <c r="CE1" s="11" t="s">
        <v>10</v>
      </c>
      <c r="CF1" s="8"/>
      <c r="CG1" s="10" t="s">
        <v>37</v>
      </c>
      <c r="CH1" s="10" t="s">
        <v>4</v>
      </c>
      <c r="CI1" s="10" t="s">
        <v>25</v>
      </c>
      <c r="CJ1" s="10" t="s">
        <v>50</v>
      </c>
      <c r="CK1" s="10" t="s">
        <v>52</v>
      </c>
      <c r="CL1" s="10" t="s">
        <v>45</v>
      </c>
      <c r="CM1" s="11" t="s">
        <v>5</v>
      </c>
      <c r="CN1" s="11" t="s">
        <v>6</v>
      </c>
      <c r="CO1" s="11" t="s">
        <v>38</v>
      </c>
      <c r="CP1" s="11" t="s">
        <v>7</v>
      </c>
      <c r="CQ1" s="11" t="s">
        <v>44</v>
      </c>
      <c r="CR1" s="11" t="s">
        <v>10</v>
      </c>
      <c r="CS1" s="8"/>
    </row>
    <row r="2" spans="1:97">
      <c r="A2" s="30">
        <v>77</v>
      </c>
      <c r="B2" s="37" t="s">
        <v>125</v>
      </c>
      <c r="C2" s="37" t="s">
        <v>49</v>
      </c>
      <c r="D2" s="30" t="s">
        <v>9</v>
      </c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3"/>
      <c r="AR2" s="33"/>
      <c r="AS2" s="33"/>
      <c r="AT2" s="33">
        <v>20</v>
      </c>
      <c r="AU2" s="33"/>
      <c r="AV2" s="33"/>
      <c r="AW2" s="34">
        <v>20</v>
      </c>
      <c r="AX2" s="34">
        <v>20</v>
      </c>
      <c r="AY2" s="34"/>
      <c r="AZ2" s="34"/>
      <c r="BA2" s="34"/>
      <c r="BB2" s="34">
        <v>10</v>
      </c>
      <c r="BC2" s="35"/>
      <c r="BD2" s="30"/>
      <c r="BE2" s="30"/>
      <c r="BF2" s="30"/>
      <c r="BG2" s="30"/>
      <c r="BH2" s="30">
        <v>20</v>
      </c>
      <c r="BI2" s="30"/>
      <c r="BJ2" s="30"/>
      <c r="BK2" s="30"/>
      <c r="BL2" s="30"/>
      <c r="BM2" s="30"/>
      <c r="BN2" s="30"/>
      <c r="BO2" s="30"/>
      <c r="BP2" s="30">
        <f>SUM(E2:BO2)</f>
        <v>90</v>
      </c>
      <c r="BQ2" s="30">
        <v>9</v>
      </c>
      <c r="BR2" s="36">
        <v>1</v>
      </c>
      <c r="BS2" s="36" t="s">
        <v>160</v>
      </c>
      <c r="BT2" s="30" t="str">
        <f t="shared" ref="BT2:CE2" si="0">IF(AQ2&gt;AQ$4, AQ2-AQ$4,"")</f>
        <v/>
      </c>
      <c r="BU2" s="30" t="str">
        <f t="shared" si="0"/>
        <v/>
      </c>
      <c r="BV2" s="30" t="str">
        <f t="shared" si="0"/>
        <v/>
      </c>
      <c r="BW2" s="30" t="str">
        <f t="shared" si="0"/>
        <v/>
      </c>
      <c r="BX2" s="30" t="str">
        <f t="shared" si="0"/>
        <v/>
      </c>
      <c r="BY2" s="30" t="str">
        <f t="shared" si="0"/>
        <v/>
      </c>
      <c r="BZ2" s="30" t="str">
        <f t="shared" si="0"/>
        <v/>
      </c>
      <c r="CA2" s="30" t="str">
        <f t="shared" si="0"/>
        <v/>
      </c>
      <c r="CB2" s="30" t="str">
        <f t="shared" si="0"/>
        <v/>
      </c>
      <c r="CC2" s="30" t="str">
        <f t="shared" si="0"/>
        <v/>
      </c>
      <c r="CD2" s="30" t="str">
        <f t="shared" si="0"/>
        <v/>
      </c>
      <c r="CE2" s="30" t="str">
        <f t="shared" si="0"/>
        <v/>
      </c>
      <c r="CF2" s="30">
        <f>COUNTIF(BT2:CE2, "&gt;0")</f>
        <v>0</v>
      </c>
      <c r="CG2" s="30" t="str">
        <f t="shared" ref="CG2:CR2" si="1">IF($CF2=1,BT2,"")</f>
        <v/>
      </c>
      <c r="CH2" s="30" t="str">
        <f t="shared" si="1"/>
        <v/>
      </c>
      <c r="CI2" s="30" t="str">
        <f t="shared" si="1"/>
        <v/>
      </c>
      <c r="CJ2" s="30" t="str">
        <f t="shared" si="1"/>
        <v/>
      </c>
      <c r="CK2" s="30" t="str">
        <f t="shared" si="1"/>
        <v/>
      </c>
      <c r="CL2" s="30" t="str">
        <f t="shared" si="1"/>
        <v/>
      </c>
      <c r="CM2" s="30" t="str">
        <f t="shared" si="1"/>
        <v/>
      </c>
      <c r="CN2" s="30" t="str">
        <f t="shared" si="1"/>
        <v/>
      </c>
      <c r="CO2" s="30" t="str">
        <f t="shared" si="1"/>
        <v/>
      </c>
      <c r="CP2" s="30" t="str">
        <f t="shared" si="1"/>
        <v/>
      </c>
      <c r="CQ2" s="30" t="str">
        <f t="shared" si="1"/>
        <v/>
      </c>
      <c r="CR2" s="30" t="str">
        <f t="shared" si="1"/>
        <v/>
      </c>
      <c r="CS2" s="37">
        <f>SUM(AE2:BO2)</f>
        <v>90</v>
      </c>
    </row>
    <row r="3" spans="1:97" s="48" customFormat="1" ht="27">
      <c r="A3" s="40"/>
      <c r="B3" s="40" t="s">
        <v>176</v>
      </c>
      <c r="C3" s="40" t="s">
        <v>82</v>
      </c>
      <c r="D3" s="40" t="s">
        <v>98</v>
      </c>
      <c r="E3" s="41"/>
      <c r="F3" s="41"/>
      <c r="G3" s="41"/>
      <c r="H3" s="41"/>
      <c r="I3" s="41">
        <v>10</v>
      </c>
      <c r="J3" s="41"/>
      <c r="K3" s="41"/>
      <c r="L3" s="41"/>
      <c r="M3" s="41"/>
      <c r="N3" s="41"/>
      <c r="O3" s="41"/>
      <c r="P3" s="42"/>
      <c r="Q3" s="42"/>
      <c r="R3" s="42">
        <v>10</v>
      </c>
      <c r="S3" s="42"/>
      <c r="T3" s="42"/>
      <c r="U3" s="42"/>
      <c r="V3" s="42"/>
      <c r="W3" s="42"/>
      <c r="X3" s="42">
        <v>10</v>
      </c>
      <c r="Y3" s="42"/>
      <c r="Z3" s="42"/>
      <c r="AA3" s="42"/>
      <c r="AB3" s="42"/>
      <c r="AC3" s="42"/>
      <c r="AD3" s="42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3"/>
      <c r="AR3" s="43"/>
      <c r="AS3" s="43"/>
      <c r="AT3" s="43">
        <v>10</v>
      </c>
      <c r="AU3" s="43"/>
      <c r="AV3" s="43"/>
      <c r="AW3" s="44"/>
      <c r="AX3" s="44"/>
      <c r="AY3" s="44"/>
      <c r="AZ3" s="44"/>
      <c r="BA3" s="44"/>
      <c r="BB3" s="44"/>
      <c r="BC3" s="45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0">
        <f>SUM(E3:BO3)</f>
        <v>40</v>
      </c>
      <c r="BQ3" s="40">
        <v>8</v>
      </c>
      <c r="BR3" s="46">
        <v>2</v>
      </c>
      <c r="BS3" s="46" t="s">
        <v>184</v>
      </c>
      <c r="BT3" s="40" t="str">
        <f t="shared" ref="BT3:CE3" si="2">IF(AQ3&gt;AQ$141, AQ3-AQ$141,"")</f>
        <v/>
      </c>
      <c r="BU3" s="40" t="str">
        <f t="shared" si="2"/>
        <v/>
      </c>
      <c r="BV3" s="40" t="str">
        <f t="shared" si="2"/>
        <v/>
      </c>
      <c r="BW3" s="40">
        <f t="shared" si="2"/>
        <v>10</v>
      </c>
      <c r="BX3" s="40" t="str">
        <f t="shared" si="2"/>
        <v/>
      </c>
      <c r="BY3" s="40" t="str">
        <f t="shared" si="2"/>
        <v/>
      </c>
      <c r="BZ3" s="40" t="str">
        <f t="shared" si="2"/>
        <v/>
      </c>
      <c r="CA3" s="40" t="str">
        <f t="shared" si="2"/>
        <v/>
      </c>
      <c r="CB3" s="40" t="str">
        <f t="shared" si="2"/>
        <v/>
      </c>
      <c r="CC3" s="40" t="str">
        <f t="shared" si="2"/>
        <v/>
      </c>
      <c r="CD3" s="40" t="str">
        <f t="shared" si="2"/>
        <v/>
      </c>
      <c r="CE3" s="40" t="str">
        <f t="shared" si="2"/>
        <v/>
      </c>
      <c r="CF3" s="40"/>
      <c r="CG3" s="40"/>
      <c r="CH3" s="40"/>
      <c r="CI3" s="40"/>
      <c r="CJ3" s="40"/>
      <c r="CK3" s="40"/>
      <c r="CL3" s="40"/>
      <c r="CM3" s="40"/>
      <c r="CN3" s="40"/>
      <c r="CO3" s="40"/>
      <c r="CP3" s="40"/>
      <c r="CQ3" s="40"/>
      <c r="CR3" s="40"/>
      <c r="CS3" s="47"/>
    </row>
    <row r="4" spans="1:97">
      <c r="A4" s="1"/>
      <c r="B4" s="1" t="s">
        <v>53</v>
      </c>
      <c r="C4" s="1"/>
      <c r="D4" s="1"/>
      <c r="E4" s="6">
        <f t="shared" ref="E4:AJ4" si="3">SUM(E2:E3)</f>
        <v>0</v>
      </c>
      <c r="F4" s="6">
        <f t="shared" si="3"/>
        <v>0</v>
      </c>
      <c r="G4" s="6">
        <f t="shared" si="3"/>
        <v>0</v>
      </c>
      <c r="H4" s="6">
        <f t="shared" si="3"/>
        <v>0</v>
      </c>
      <c r="I4" s="6">
        <f t="shared" si="3"/>
        <v>10</v>
      </c>
      <c r="J4" s="6">
        <f t="shared" si="3"/>
        <v>0</v>
      </c>
      <c r="K4" s="6">
        <f t="shared" si="3"/>
        <v>0</v>
      </c>
      <c r="L4" s="6">
        <f t="shared" si="3"/>
        <v>0</v>
      </c>
      <c r="M4" s="6">
        <f t="shared" si="3"/>
        <v>0</v>
      </c>
      <c r="N4" s="6">
        <f t="shared" si="3"/>
        <v>0</v>
      </c>
      <c r="O4" s="6">
        <f t="shared" si="3"/>
        <v>0</v>
      </c>
      <c r="P4" s="28">
        <f t="shared" si="3"/>
        <v>0</v>
      </c>
      <c r="Q4" s="28">
        <f t="shared" si="3"/>
        <v>0</v>
      </c>
      <c r="R4" s="28">
        <f t="shared" si="3"/>
        <v>10</v>
      </c>
      <c r="S4" s="28">
        <f t="shared" si="3"/>
        <v>0</v>
      </c>
      <c r="T4" s="28">
        <f t="shared" si="3"/>
        <v>0</v>
      </c>
      <c r="U4" s="28">
        <f t="shared" si="3"/>
        <v>0</v>
      </c>
      <c r="V4" s="28">
        <f t="shared" si="3"/>
        <v>0</v>
      </c>
      <c r="W4" s="28">
        <f t="shared" si="3"/>
        <v>0</v>
      </c>
      <c r="X4" s="28">
        <f t="shared" si="3"/>
        <v>10</v>
      </c>
      <c r="Y4" s="28">
        <f t="shared" si="3"/>
        <v>0</v>
      </c>
      <c r="Z4" s="28">
        <f t="shared" si="3"/>
        <v>0</v>
      </c>
      <c r="AA4" s="28">
        <f t="shared" si="3"/>
        <v>0</v>
      </c>
      <c r="AB4" s="28">
        <f t="shared" si="3"/>
        <v>0</v>
      </c>
      <c r="AC4" s="28">
        <f t="shared" si="3"/>
        <v>0</v>
      </c>
      <c r="AD4" s="28">
        <f t="shared" si="3"/>
        <v>0</v>
      </c>
      <c r="AE4" s="1">
        <f t="shared" si="3"/>
        <v>0</v>
      </c>
      <c r="AF4" s="1">
        <f t="shared" si="3"/>
        <v>0</v>
      </c>
      <c r="AG4" s="1">
        <f t="shared" si="3"/>
        <v>0</v>
      </c>
      <c r="AH4" s="1">
        <f t="shared" si="3"/>
        <v>0</v>
      </c>
      <c r="AI4" s="1">
        <f t="shared" si="3"/>
        <v>0</v>
      </c>
      <c r="AJ4" s="1">
        <f t="shared" si="3"/>
        <v>0</v>
      </c>
      <c r="AK4" s="1">
        <f t="shared" ref="AK4:BO4" si="4">SUM(AK2:AK3)</f>
        <v>0</v>
      </c>
      <c r="AL4" s="1">
        <f t="shared" si="4"/>
        <v>0</v>
      </c>
      <c r="AM4" s="1">
        <f t="shared" si="4"/>
        <v>0</v>
      </c>
      <c r="AN4" s="1">
        <f t="shared" si="4"/>
        <v>0</v>
      </c>
      <c r="AO4" s="1">
        <f t="shared" si="4"/>
        <v>0</v>
      </c>
      <c r="AP4" s="1">
        <f t="shared" si="4"/>
        <v>0</v>
      </c>
      <c r="AQ4" s="4">
        <f t="shared" si="4"/>
        <v>0</v>
      </c>
      <c r="AR4" s="4">
        <f t="shared" si="4"/>
        <v>0</v>
      </c>
      <c r="AS4" s="4">
        <f t="shared" si="4"/>
        <v>0</v>
      </c>
      <c r="AT4" s="4">
        <f t="shared" si="4"/>
        <v>30</v>
      </c>
      <c r="AU4" s="4">
        <f t="shared" si="4"/>
        <v>0</v>
      </c>
      <c r="AV4" s="4">
        <f t="shared" si="4"/>
        <v>0</v>
      </c>
      <c r="AW4" s="2">
        <f t="shared" si="4"/>
        <v>20</v>
      </c>
      <c r="AX4" s="2">
        <f t="shared" si="4"/>
        <v>20</v>
      </c>
      <c r="AY4" s="2">
        <f t="shared" si="4"/>
        <v>0</v>
      </c>
      <c r="AZ4" s="2">
        <f t="shared" si="4"/>
        <v>0</v>
      </c>
      <c r="BA4" s="2">
        <f t="shared" si="4"/>
        <v>0</v>
      </c>
      <c r="BB4" s="2">
        <f t="shared" si="4"/>
        <v>10</v>
      </c>
      <c r="BC4" s="1">
        <f t="shared" si="4"/>
        <v>0</v>
      </c>
      <c r="BD4" s="1">
        <f t="shared" si="4"/>
        <v>0</v>
      </c>
      <c r="BE4" s="1">
        <f t="shared" si="4"/>
        <v>0</v>
      </c>
      <c r="BF4" s="1">
        <f t="shared" si="4"/>
        <v>0</v>
      </c>
      <c r="BG4" s="1">
        <f t="shared" si="4"/>
        <v>0</v>
      </c>
      <c r="BH4" s="1">
        <f t="shared" si="4"/>
        <v>20</v>
      </c>
      <c r="BI4" s="1">
        <f t="shared" si="4"/>
        <v>0</v>
      </c>
      <c r="BJ4" s="1">
        <f t="shared" si="4"/>
        <v>0</v>
      </c>
      <c r="BK4" s="1">
        <f t="shared" si="4"/>
        <v>0</v>
      </c>
      <c r="BL4" s="1">
        <f t="shared" si="4"/>
        <v>0</v>
      </c>
      <c r="BM4" s="1">
        <f t="shared" si="4"/>
        <v>0</v>
      </c>
      <c r="BN4" s="1">
        <f t="shared" si="4"/>
        <v>0</v>
      </c>
      <c r="BO4" s="1">
        <f t="shared" si="4"/>
        <v>0</v>
      </c>
      <c r="BP4" s="1"/>
      <c r="BQ4" s="1"/>
      <c r="BR4" s="17"/>
      <c r="BS4" s="17"/>
      <c r="BT4" s="1">
        <f t="shared" ref="BT4:CE4" si="5">MIN(BT2:BT3)</f>
        <v>0</v>
      </c>
      <c r="BU4" s="1">
        <f t="shared" si="5"/>
        <v>0</v>
      </c>
      <c r="BV4" s="1">
        <f t="shared" si="5"/>
        <v>0</v>
      </c>
      <c r="BW4" s="1">
        <f t="shared" si="5"/>
        <v>10</v>
      </c>
      <c r="BX4" s="1">
        <f t="shared" si="5"/>
        <v>0</v>
      </c>
      <c r="BY4" s="1">
        <f t="shared" si="5"/>
        <v>0</v>
      </c>
      <c r="BZ4" s="1">
        <f t="shared" si="5"/>
        <v>0</v>
      </c>
      <c r="CA4" s="1">
        <f t="shared" si="5"/>
        <v>0</v>
      </c>
      <c r="CB4" s="1">
        <f t="shared" si="5"/>
        <v>0</v>
      </c>
      <c r="CC4" s="1">
        <f t="shared" si="5"/>
        <v>0</v>
      </c>
      <c r="CD4" s="1">
        <f t="shared" si="5"/>
        <v>0</v>
      </c>
      <c r="CE4" s="1">
        <f t="shared" si="5"/>
        <v>0</v>
      </c>
      <c r="CF4" s="1"/>
      <c r="CG4" s="1">
        <f t="shared" ref="CG4:CR4" si="6">MIN(CG2:CG3)</f>
        <v>0</v>
      </c>
      <c r="CH4" s="1">
        <f t="shared" si="6"/>
        <v>0</v>
      </c>
      <c r="CI4" s="1">
        <f t="shared" si="6"/>
        <v>0</v>
      </c>
      <c r="CJ4" s="1">
        <f t="shared" si="6"/>
        <v>0</v>
      </c>
      <c r="CK4" s="1">
        <f t="shared" si="6"/>
        <v>0</v>
      </c>
      <c r="CL4" s="1">
        <f t="shared" si="6"/>
        <v>0</v>
      </c>
      <c r="CM4" s="1">
        <f t="shared" si="6"/>
        <v>0</v>
      </c>
      <c r="CN4" s="1">
        <f t="shared" si="6"/>
        <v>0</v>
      </c>
      <c r="CO4" s="1">
        <f t="shared" si="6"/>
        <v>0</v>
      </c>
      <c r="CP4" s="1">
        <f t="shared" si="6"/>
        <v>0</v>
      </c>
      <c r="CQ4" s="1">
        <f t="shared" si="6"/>
        <v>0</v>
      </c>
      <c r="CR4" s="1">
        <f t="shared" si="6"/>
        <v>0</v>
      </c>
      <c r="CS4" s="3">
        <f>COUNTIF(CS2:CS3,"=0")</f>
        <v>0</v>
      </c>
    </row>
    <row r="5" spans="1:97">
      <c r="A5" s="1"/>
      <c r="B5" s="3" t="s">
        <v>70</v>
      </c>
      <c r="C5" s="1"/>
      <c r="D5" s="1"/>
      <c r="E5" s="1">
        <v>43</v>
      </c>
      <c r="F5" s="1">
        <v>23</v>
      </c>
      <c r="G5" s="1">
        <v>21</v>
      </c>
      <c r="H5" s="1">
        <v>0</v>
      </c>
      <c r="I5" s="1">
        <v>68</v>
      </c>
      <c r="J5" s="1">
        <v>82</v>
      </c>
      <c r="K5" s="1">
        <v>53</v>
      </c>
      <c r="L5" s="1">
        <v>80</v>
      </c>
      <c r="M5" s="1">
        <v>54</v>
      </c>
      <c r="N5" s="1">
        <v>64</v>
      </c>
      <c r="O5" s="1">
        <v>41</v>
      </c>
      <c r="P5" s="14">
        <v>34</v>
      </c>
      <c r="Q5" s="14">
        <v>3</v>
      </c>
      <c r="R5" s="14">
        <v>4</v>
      </c>
      <c r="S5" s="14">
        <v>24</v>
      </c>
      <c r="T5" s="14">
        <v>15</v>
      </c>
      <c r="U5" s="14">
        <v>3</v>
      </c>
      <c r="V5" s="14">
        <v>16</v>
      </c>
      <c r="W5" s="14">
        <v>4</v>
      </c>
      <c r="X5" s="14">
        <v>8</v>
      </c>
      <c r="Y5" s="14">
        <v>20</v>
      </c>
      <c r="Z5" s="14">
        <v>6</v>
      </c>
      <c r="AA5" s="14">
        <v>3</v>
      </c>
      <c r="AB5" s="14">
        <v>23</v>
      </c>
      <c r="AC5" s="14">
        <v>4</v>
      </c>
      <c r="AD5" s="14">
        <v>8</v>
      </c>
      <c r="AE5" s="1">
        <v>6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33</v>
      </c>
      <c r="AL5" s="1">
        <v>43</v>
      </c>
      <c r="AM5" s="1">
        <v>5</v>
      </c>
      <c r="AN5" s="1">
        <v>1</v>
      </c>
      <c r="AO5" s="1">
        <v>0</v>
      </c>
      <c r="AP5" s="1">
        <v>0</v>
      </c>
      <c r="AQ5" s="14">
        <v>3</v>
      </c>
      <c r="AR5" s="14">
        <v>6</v>
      </c>
      <c r="AS5" s="14">
        <v>4</v>
      </c>
      <c r="AT5" s="14">
        <v>20</v>
      </c>
      <c r="AU5" s="14">
        <v>27</v>
      </c>
      <c r="AV5" s="14">
        <v>20</v>
      </c>
      <c r="AW5" s="14">
        <v>16</v>
      </c>
      <c r="AX5" s="14">
        <v>23</v>
      </c>
      <c r="AY5" s="14">
        <v>32</v>
      </c>
      <c r="AZ5" s="14">
        <v>15</v>
      </c>
      <c r="BA5" s="14">
        <v>4</v>
      </c>
      <c r="BB5" s="14">
        <v>23</v>
      </c>
      <c r="BC5" s="14">
        <v>12</v>
      </c>
      <c r="BD5" s="1">
        <v>162</v>
      </c>
      <c r="BE5" s="1">
        <v>244</v>
      </c>
      <c r="BF5" s="1">
        <v>233</v>
      </c>
      <c r="BG5" s="1">
        <v>242</v>
      </c>
      <c r="BH5" s="1">
        <v>141</v>
      </c>
      <c r="BI5" s="1">
        <v>154</v>
      </c>
      <c r="BJ5" s="1">
        <v>56</v>
      </c>
      <c r="BK5" s="1">
        <v>65</v>
      </c>
      <c r="BL5" s="1">
        <v>93</v>
      </c>
      <c r="BM5" s="1">
        <v>8</v>
      </c>
      <c r="BN5" s="1">
        <v>5</v>
      </c>
      <c r="BO5" s="1">
        <v>5</v>
      </c>
      <c r="BP5" s="1"/>
      <c r="BQ5" s="1"/>
      <c r="BR5" s="17"/>
      <c r="BS5" s="17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</row>
    <row r="6" spans="1:97">
      <c r="A6" s="1"/>
      <c r="B6" s="3" t="s">
        <v>77</v>
      </c>
      <c r="C6" s="1"/>
      <c r="D6" s="1"/>
      <c r="E6" s="1">
        <f t="shared" ref="E6:AJ6" si="7">E5-E4</f>
        <v>43</v>
      </c>
      <c r="F6" s="1">
        <f t="shared" si="7"/>
        <v>23</v>
      </c>
      <c r="G6" s="1">
        <f t="shared" si="7"/>
        <v>21</v>
      </c>
      <c r="H6" s="1">
        <f t="shared" si="7"/>
        <v>0</v>
      </c>
      <c r="I6" s="1">
        <f t="shared" si="7"/>
        <v>58</v>
      </c>
      <c r="J6" s="1">
        <f t="shared" si="7"/>
        <v>82</v>
      </c>
      <c r="K6" s="1">
        <f t="shared" si="7"/>
        <v>53</v>
      </c>
      <c r="L6" s="1">
        <f t="shared" si="7"/>
        <v>80</v>
      </c>
      <c r="M6" s="1">
        <f t="shared" si="7"/>
        <v>54</v>
      </c>
      <c r="N6" s="1">
        <f t="shared" si="7"/>
        <v>64</v>
      </c>
      <c r="O6" s="1">
        <f t="shared" si="7"/>
        <v>41</v>
      </c>
      <c r="P6" s="1">
        <f t="shared" si="7"/>
        <v>34</v>
      </c>
      <c r="Q6" s="1">
        <f t="shared" si="7"/>
        <v>3</v>
      </c>
      <c r="R6" s="1">
        <f t="shared" si="7"/>
        <v>-6</v>
      </c>
      <c r="S6" s="1">
        <f t="shared" si="7"/>
        <v>24</v>
      </c>
      <c r="T6" s="1">
        <f t="shared" si="7"/>
        <v>15</v>
      </c>
      <c r="U6" s="1">
        <f t="shared" si="7"/>
        <v>3</v>
      </c>
      <c r="V6" s="1">
        <f t="shared" si="7"/>
        <v>16</v>
      </c>
      <c r="W6" s="1">
        <f t="shared" si="7"/>
        <v>4</v>
      </c>
      <c r="X6" s="1">
        <f t="shared" si="7"/>
        <v>-2</v>
      </c>
      <c r="Y6" s="1">
        <f t="shared" si="7"/>
        <v>20</v>
      </c>
      <c r="Z6" s="1">
        <f t="shared" si="7"/>
        <v>6</v>
      </c>
      <c r="AA6" s="1">
        <f t="shared" si="7"/>
        <v>3</v>
      </c>
      <c r="AB6" s="1">
        <f t="shared" si="7"/>
        <v>23</v>
      </c>
      <c r="AC6" s="1">
        <f t="shared" si="7"/>
        <v>4</v>
      </c>
      <c r="AD6" s="1">
        <f t="shared" si="7"/>
        <v>8</v>
      </c>
      <c r="AE6" s="1">
        <f t="shared" si="7"/>
        <v>6</v>
      </c>
      <c r="AF6" s="1">
        <f t="shared" si="7"/>
        <v>0</v>
      </c>
      <c r="AG6" s="1">
        <f t="shared" si="7"/>
        <v>0</v>
      </c>
      <c r="AH6" s="1">
        <f t="shared" si="7"/>
        <v>0</v>
      </c>
      <c r="AI6" s="1">
        <f t="shared" si="7"/>
        <v>0</v>
      </c>
      <c r="AJ6" s="1">
        <f t="shared" si="7"/>
        <v>0</v>
      </c>
      <c r="AK6" s="1">
        <f t="shared" ref="AK6:BO6" si="8">AK5-AK4</f>
        <v>33</v>
      </c>
      <c r="AL6" s="1">
        <f t="shared" si="8"/>
        <v>43</v>
      </c>
      <c r="AM6" s="1">
        <f t="shared" si="8"/>
        <v>5</v>
      </c>
      <c r="AN6" s="1">
        <f t="shared" si="8"/>
        <v>1</v>
      </c>
      <c r="AO6" s="1">
        <f t="shared" si="8"/>
        <v>0</v>
      </c>
      <c r="AP6" s="1">
        <f t="shared" si="8"/>
        <v>0</v>
      </c>
      <c r="AQ6" s="1">
        <f t="shared" si="8"/>
        <v>3</v>
      </c>
      <c r="AR6" s="1">
        <f t="shared" si="8"/>
        <v>6</v>
      </c>
      <c r="AS6" s="1">
        <f t="shared" si="8"/>
        <v>4</v>
      </c>
      <c r="AT6" s="1">
        <f t="shared" si="8"/>
        <v>-10</v>
      </c>
      <c r="AU6" s="1">
        <f t="shared" si="8"/>
        <v>27</v>
      </c>
      <c r="AV6" s="1">
        <f t="shared" si="8"/>
        <v>20</v>
      </c>
      <c r="AW6" s="1">
        <f t="shared" si="8"/>
        <v>-4</v>
      </c>
      <c r="AX6" s="1">
        <f t="shared" si="8"/>
        <v>3</v>
      </c>
      <c r="AY6" s="1">
        <f t="shared" si="8"/>
        <v>32</v>
      </c>
      <c r="AZ6" s="1">
        <f t="shared" si="8"/>
        <v>15</v>
      </c>
      <c r="BA6" s="1">
        <f t="shared" si="8"/>
        <v>4</v>
      </c>
      <c r="BB6" s="1">
        <f t="shared" si="8"/>
        <v>13</v>
      </c>
      <c r="BC6" s="1">
        <f t="shared" si="8"/>
        <v>12</v>
      </c>
      <c r="BD6" s="1">
        <f t="shared" si="8"/>
        <v>162</v>
      </c>
      <c r="BE6" s="1">
        <f t="shared" si="8"/>
        <v>244</v>
      </c>
      <c r="BF6" s="1">
        <f t="shared" si="8"/>
        <v>233</v>
      </c>
      <c r="BG6" s="1">
        <f t="shared" si="8"/>
        <v>242</v>
      </c>
      <c r="BH6" s="1">
        <f t="shared" si="8"/>
        <v>121</v>
      </c>
      <c r="BI6" s="1">
        <f t="shared" si="8"/>
        <v>154</v>
      </c>
      <c r="BJ6" s="1">
        <f t="shared" si="8"/>
        <v>56</v>
      </c>
      <c r="BK6" s="1">
        <f t="shared" si="8"/>
        <v>65</v>
      </c>
      <c r="BL6" s="1">
        <f t="shared" si="8"/>
        <v>93</v>
      </c>
      <c r="BM6" s="1">
        <f t="shared" si="8"/>
        <v>8</v>
      </c>
      <c r="BN6" s="1">
        <f t="shared" si="8"/>
        <v>5</v>
      </c>
      <c r="BO6" s="1">
        <f t="shared" si="8"/>
        <v>5</v>
      </c>
      <c r="BP6" s="1"/>
      <c r="BQ6" s="1"/>
      <c r="BR6" s="17"/>
      <c r="BS6" s="17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</row>
    <row r="7" spans="1:97">
      <c r="A7" s="1"/>
      <c r="B7" s="3" t="s">
        <v>137</v>
      </c>
      <c r="C7" s="1"/>
      <c r="D7" s="1"/>
      <c r="E7" s="1">
        <f t="shared" ref="E7:AJ7" si="9">MAX(E2:E3)</f>
        <v>0</v>
      </c>
      <c r="F7" s="1">
        <f t="shared" si="9"/>
        <v>0</v>
      </c>
      <c r="G7" s="1">
        <f t="shared" si="9"/>
        <v>0</v>
      </c>
      <c r="H7" s="1">
        <f t="shared" si="9"/>
        <v>0</v>
      </c>
      <c r="I7" s="1">
        <f t="shared" si="9"/>
        <v>10</v>
      </c>
      <c r="J7" s="1">
        <f t="shared" si="9"/>
        <v>0</v>
      </c>
      <c r="K7" s="1">
        <f t="shared" si="9"/>
        <v>0</v>
      </c>
      <c r="L7" s="1">
        <f t="shared" si="9"/>
        <v>0</v>
      </c>
      <c r="M7" s="1">
        <f t="shared" si="9"/>
        <v>0</v>
      </c>
      <c r="N7" s="1">
        <f t="shared" si="9"/>
        <v>0</v>
      </c>
      <c r="O7" s="1">
        <f t="shared" si="9"/>
        <v>0</v>
      </c>
      <c r="P7" s="1">
        <f t="shared" si="9"/>
        <v>0</v>
      </c>
      <c r="Q7" s="1">
        <f t="shared" si="9"/>
        <v>0</v>
      </c>
      <c r="R7" s="1">
        <f t="shared" si="9"/>
        <v>10</v>
      </c>
      <c r="S7" s="1">
        <f t="shared" si="9"/>
        <v>0</v>
      </c>
      <c r="T7" s="1">
        <f t="shared" si="9"/>
        <v>0</v>
      </c>
      <c r="U7" s="1">
        <f t="shared" si="9"/>
        <v>0</v>
      </c>
      <c r="V7" s="1">
        <f t="shared" si="9"/>
        <v>0</v>
      </c>
      <c r="W7" s="1">
        <f t="shared" si="9"/>
        <v>0</v>
      </c>
      <c r="X7" s="1">
        <f t="shared" si="9"/>
        <v>10</v>
      </c>
      <c r="Y7" s="1">
        <f t="shared" si="9"/>
        <v>0</v>
      </c>
      <c r="Z7" s="1">
        <f t="shared" si="9"/>
        <v>0</v>
      </c>
      <c r="AA7" s="1">
        <f t="shared" si="9"/>
        <v>0</v>
      </c>
      <c r="AB7" s="1">
        <f t="shared" si="9"/>
        <v>0</v>
      </c>
      <c r="AC7" s="1">
        <f t="shared" si="9"/>
        <v>0</v>
      </c>
      <c r="AD7" s="1">
        <f t="shared" si="9"/>
        <v>0</v>
      </c>
      <c r="AE7" s="1">
        <f t="shared" si="9"/>
        <v>0</v>
      </c>
      <c r="AF7" s="1">
        <f t="shared" si="9"/>
        <v>0</v>
      </c>
      <c r="AG7" s="1">
        <f t="shared" si="9"/>
        <v>0</v>
      </c>
      <c r="AH7" s="1">
        <f t="shared" si="9"/>
        <v>0</v>
      </c>
      <c r="AI7" s="1">
        <f t="shared" si="9"/>
        <v>0</v>
      </c>
      <c r="AJ7" s="1">
        <f t="shared" si="9"/>
        <v>0</v>
      </c>
      <c r="AK7" s="1">
        <f t="shared" ref="AK7:BO7" si="10">MAX(AK2:AK3)</f>
        <v>0</v>
      </c>
      <c r="AL7" s="1">
        <f t="shared" si="10"/>
        <v>0</v>
      </c>
      <c r="AM7" s="1">
        <f t="shared" si="10"/>
        <v>0</v>
      </c>
      <c r="AN7" s="1">
        <f t="shared" si="10"/>
        <v>0</v>
      </c>
      <c r="AO7" s="1">
        <f t="shared" si="10"/>
        <v>0</v>
      </c>
      <c r="AP7" s="1">
        <f t="shared" si="10"/>
        <v>0</v>
      </c>
      <c r="AQ7" s="1">
        <f t="shared" si="10"/>
        <v>0</v>
      </c>
      <c r="AR7" s="1">
        <f t="shared" si="10"/>
        <v>0</v>
      </c>
      <c r="AS7" s="1">
        <f t="shared" si="10"/>
        <v>0</v>
      </c>
      <c r="AT7" s="1">
        <f t="shared" si="10"/>
        <v>20</v>
      </c>
      <c r="AU7" s="1">
        <f t="shared" si="10"/>
        <v>0</v>
      </c>
      <c r="AV7" s="1">
        <f t="shared" si="10"/>
        <v>0</v>
      </c>
      <c r="AW7" s="1">
        <f t="shared" si="10"/>
        <v>20</v>
      </c>
      <c r="AX7" s="1">
        <f t="shared" si="10"/>
        <v>20</v>
      </c>
      <c r="AY7" s="1">
        <f t="shared" si="10"/>
        <v>0</v>
      </c>
      <c r="AZ7" s="1">
        <f t="shared" si="10"/>
        <v>0</v>
      </c>
      <c r="BA7" s="1">
        <f t="shared" si="10"/>
        <v>0</v>
      </c>
      <c r="BB7" s="1">
        <f t="shared" si="10"/>
        <v>10</v>
      </c>
      <c r="BC7" s="1">
        <f t="shared" si="10"/>
        <v>0</v>
      </c>
      <c r="BD7" s="1">
        <f t="shared" si="10"/>
        <v>0</v>
      </c>
      <c r="BE7" s="1">
        <f t="shared" si="10"/>
        <v>0</v>
      </c>
      <c r="BF7" s="1">
        <f t="shared" si="10"/>
        <v>0</v>
      </c>
      <c r="BG7" s="1">
        <f t="shared" si="10"/>
        <v>0</v>
      </c>
      <c r="BH7" s="1">
        <f t="shared" si="10"/>
        <v>20</v>
      </c>
      <c r="BI7" s="1">
        <f t="shared" si="10"/>
        <v>0</v>
      </c>
      <c r="BJ7" s="1">
        <f t="shared" si="10"/>
        <v>0</v>
      </c>
      <c r="BK7" s="1">
        <f t="shared" si="10"/>
        <v>0</v>
      </c>
      <c r="BL7" s="1">
        <f t="shared" si="10"/>
        <v>0</v>
      </c>
      <c r="BM7" s="1">
        <f t="shared" si="10"/>
        <v>0</v>
      </c>
      <c r="BN7" s="1">
        <f t="shared" si="10"/>
        <v>0</v>
      </c>
      <c r="BO7" s="1">
        <f t="shared" si="10"/>
        <v>0</v>
      </c>
      <c r="BP7" s="1"/>
      <c r="BQ7" s="1"/>
      <c r="BR7" s="17"/>
      <c r="BS7" s="17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</row>
    <row r="8" spans="1:97">
      <c r="A8" s="1"/>
      <c r="B8" s="3" t="s">
        <v>138</v>
      </c>
      <c r="C8" s="1"/>
      <c r="D8" s="1"/>
      <c r="E8" s="1">
        <f t="shared" ref="E8:AJ8" si="11">MIN(E2:E3)</f>
        <v>0</v>
      </c>
      <c r="F8" s="1">
        <f t="shared" si="11"/>
        <v>0</v>
      </c>
      <c r="G8" s="1">
        <f t="shared" si="11"/>
        <v>0</v>
      </c>
      <c r="H8" s="1">
        <f t="shared" si="11"/>
        <v>0</v>
      </c>
      <c r="I8" s="1">
        <f t="shared" si="11"/>
        <v>10</v>
      </c>
      <c r="J8" s="1">
        <f t="shared" si="11"/>
        <v>0</v>
      </c>
      <c r="K8" s="1">
        <f t="shared" si="11"/>
        <v>0</v>
      </c>
      <c r="L8" s="1">
        <f t="shared" si="11"/>
        <v>0</v>
      </c>
      <c r="M8" s="1">
        <f t="shared" si="11"/>
        <v>0</v>
      </c>
      <c r="N8" s="1">
        <f t="shared" si="11"/>
        <v>0</v>
      </c>
      <c r="O8" s="1">
        <f t="shared" si="11"/>
        <v>0</v>
      </c>
      <c r="P8" s="1">
        <f t="shared" si="11"/>
        <v>0</v>
      </c>
      <c r="Q8" s="1">
        <f t="shared" si="11"/>
        <v>0</v>
      </c>
      <c r="R8" s="1">
        <f t="shared" si="11"/>
        <v>10</v>
      </c>
      <c r="S8" s="1">
        <f t="shared" si="11"/>
        <v>0</v>
      </c>
      <c r="T8" s="1">
        <f t="shared" si="11"/>
        <v>0</v>
      </c>
      <c r="U8" s="1">
        <f t="shared" si="11"/>
        <v>0</v>
      </c>
      <c r="V8" s="1">
        <f t="shared" si="11"/>
        <v>0</v>
      </c>
      <c r="W8" s="1">
        <f t="shared" si="11"/>
        <v>0</v>
      </c>
      <c r="X8" s="1">
        <f t="shared" si="11"/>
        <v>10</v>
      </c>
      <c r="Y8" s="1">
        <f t="shared" si="11"/>
        <v>0</v>
      </c>
      <c r="Z8" s="1">
        <f t="shared" si="11"/>
        <v>0</v>
      </c>
      <c r="AA8" s="1">
        <f t="shared" si="11"/>
        <v>0</v>
      </c>
      <c r="AB8" s="1">
        <f t="shared" si="11"/>
        <v>0</v>
      </c>
      <c r="AC8" s="1">
        <f t="shared" si="11"/>
        <v>0</v>
      </c>
      <c r="AD8" s="1">
        <f t="shared" si="11"/>
        <v>0</v>
      </c>
      <c r="AE8" s="1">
        <f t="shared" si="11"/>
        <v>0</v>
      </c>
      <c r="AF8" s="1">
        <f t="shared" si="11"/>
        <v>0</v>
      </c>
      <c r="AG8" s="1">
        <f t="shared" si="11"/>
        <v>0</v>
      </c>
      <c r="AH8" s="1">
        <f t="shared" si="11"/>
        <v>0</v>
      </c>
      <c r="AI8" s="1">
        <f t="shared" si="11"/>
        <v>0</v>
      </c>
      <c r="AJ8" s="1">
        <f t="shared" si="11"/>
        <v>0</v>
      </c>
      <c r="AK8" s="1">
        <f t="shared" ref="AK8:BO8" si="12">MIN(AK2:AK3)</f>
        <v>0</v>
      </c>
      <c r="AL8" s="1">
        <f t="shared" si="12"/>
        <v>0</v>
      </c>
      <c r="AM8" s="1">
        <f t="shared" si="12"/>
        <v>0</v>
      </c>
      <c r="AN8" s="1">
        <f t="shared" si="12"/>
        <v>0</v>
      </c>
      <c r="AO8" s="1">
        <f t="shared" si="12"/>
        <v>0</v>
      </c>
      <c r="AP8" s="1">
        <f t="shared" si="12"/>
        <v>0</v>
      </c>
      <c r="AQ8" s="1">
        <f t="shared" si="12"/>
        <v>0</v>
      </c>
      <c r="AR8" s="1">
        <f t="shared" si="12"/>
        <v>0</v>
      </c>
      <c r="AS8" s="1">
        <f t="shared" si="12"/>
        <v>0</v>
      </c>
      <c r="AT8" s="1">
        <f t="shared" si="12"/>
        <v>10</v>
      </c>
      <c r="AU8" s="1">
        <f t="shared" si="12"/>
        <v>0</v>
      </c>
      <c r="AV8" s="1">
        <f t="shared" si="12"/>
        <v>0</v>
      </c>
      <c r="AW8" s="1">
        <f t="shared" si="12"/>
        <v>20</v>
      </c>
      <c r="AX8" s="1">
        <f t="shared" si="12"/>
        <v>20</v>
      </c>
      <c r="AY8" s="1">
        <f t="shared" si="12"/>
        <v>0</v>
      </c>
      <c r="AZ8" s="1">
        <f t="shared" si="12"/>
        <v>0</v>
      </c>
      <c r="BA8" s="1">
        <f t="shared" si="12"/>
        <v>0</v>
      </c>
      <c r="BB8" s="1">
        <f t="shared" si="12"/>
        <v>10</v>
      </c>
      <c r="BC8" s="1">
        <f t="shared" si="12"/>
        <v>0</v>
      </c>
      <c r="BD8" s="1">
        <f t="shared" si="12"/>
        <v>0</v>
      </c>
      <c r="BE8" s="1">
        <f t="shared" si="12"/>
        <v>0</v>
      </c>
      <c r="BF8" s="1">
        <f t="shared" si="12"/>
        <v>0</v>
      </c>
      <c r="BG8" s="1">
        <f t="shared" si="12"/>
        <v>0</v>
      </c>
      <c r="BH8" s="1">
        <f t="shared" si="12"/>
        <v>20</v>
      </c>
      <c r="BI8" s="1">
        <f t="shared" si="12"/>
        <v>0</v>
      </c>
      <c r="BJ8" s="1">
        <f t="shared" si="12"/>
        <v>0</v>
      </c>
      <c r="BK8" s="1">
        <f t="shared" si="12"/>
        <v>0</v>
      </c>
      <c r="BL8" s="1">
        <f t="shared" si="12"/>
        <v>0</v>
      </c>
      <c r="BM8" s="1">
        <f t="shared" si="12"/>
        <v>0</v>
      </c>
      <c r="BN8" s="1">
        <f t="shared" si="12"/>
        <v>0</v>
      </c>
      <c r="BO8" s="1">
        <f t="shared" si="12"/>
        <v>0</v>
      </c>
      <c r="BP8" s="1"/>
      <c r="BQ8" s="1"/>
      <c r="BR8" s="17"/>
      <c r="BS8" s="17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</row>
    <row r="9" spans="1:97">
      <c r="A9" s="1"/>
      <c r="B9" s="3" t="s">
        <v>139</v>
      </c>
      <c r="C9" s="1"/>
      <c r="D9" s="1"/>
      <c r="E9" s="1">
        <f t="shared" ref="E9:AJ9" si="13">E5-E7</f>
        <v>43</v>
      </c>
      <c r="F9" s="1">
        <f t="shared" si="13"/>
        <v>23</v>
      </c>
      <c r="G9" s="1">
        <f t="shared" si="13"/>
        <v>21</v>
      </c>
      <c r="H9" s="1">
        <f t="shared" si="13"/>
        <v>0</v>
      </c>
      <c r="I9" s="1">
        <f t="shared" si="13"/>
        <v>58</v>
      </c>
      <c r="J9" s="1">
        <f t="shared" si="13"/>
        <v>82</v>
      </c>
      <c r="K9" s="1">
        <f t="shared" si="13"/>
        <v>53</v>
      </c>
      <c r="L9" s="1">
        <f t="shared" si="13"/>
        <v>80</v>
      </c>
      <c r="M9" s="1">
        <f t="shared" si="13"/>
        <v>54</v>
      </c>
      <c r="N9" s="1">
        <f t="shared" si="13"/>
        <v>64</v>
      </c>
      <c r="O9" s="1">
        <f t="shared" si="13"/>
        <v>41</v>
      </c>
      <c r="P9" s="1">
        <f t="shared" si="13"/>
        <v>34</v>
      </c>
      <c r="Q9" s="1">
        <f t="shared" si="13"/>
        <v>3</v>
      </c>
      <c r="R9" s="1">
        <f t="shared" si="13"/>
        <v>-6</v>
      </c>
      <c r="S9" s="1">
        <f t="shared" si="13"/>
        <v>24</v>
      </c>
      <c r="T9" s="1">
        <f t="shared" si="13"/>
        <v>15</v>
      </c>
      <c r="U9" s="1">
        <f t="shared" si="13"/>
        <v>3</v>
      </c>
      <c r="V9" s="1">
        <f t="shared" si="13"/>
        <v>16</v>
      </c>
      <c r="W9" s="1">
        <f t="shared" si="13"/>
        <v>4</v>
      </c>
      <c r="X9" s="1">
        <f t="shared" si="13"/>
        <v>-2</v>
      </c>
      <c r="Y9" s="1">
        <f t="shared" si="13"/>
        <v>20</v>
      </c>
      <c r="Z9" s="1">
        <f t="shared" si="13"/>
        <v>6</v>
      </c>
      <c r="AA9" s="1">
        <f t="shared" si="13"/>
        <v>3</v>
      </c>
      <c r="AB9" s="1">
        <f t="shared" si="13"/>
        <v>23</v>
      </c>
      <c r="AC9" s="1">
        <f t="shared" si="13"/>
        <v>4</v>
      </c>
      <c r="AD9" s="1">
        <f t="shared" si="13"/>
        <v>8</v>
      </c>
      <c r="AE9" s="1">
        <f t="shared" si="13"/>
        <v>6</v>
      </c>
      <c r="AF9" s="1">
        <f t="shared" si="13"/>
        <v>0</v>
      </c>
      <c r="AG9" s="1">
        <f t="shared" si="13"/>
        <v>0</v>
      </c>
      <c r="AH9" s="1">
        <f t="shared" si="13"/>
        <v>0</v>
      </c>
      <c r="AI9" s="1">
        <f t="shared" si="13"/>
        <v>0</v>
      </c>
      <c r="AJ9" s="1">
        <f t="shared" si="13"/>
        <v>0</v>
      </c>
      <c r="AK9" s="1">
        <f t="shared" ref="AK9:BO9" si="14">AK5-AK7</f>
        <v>33</v>
      </c>
      <c r="AL9" s="1">
        <f t="shared" si="14"/>
        <v>43</v>
      </c>
      <c r="AM9" s="1">
        <f t="shared" si="14"/>
        <v>5</v>
      </c>
      <c r="AN9" s="1">
        <f t="shared" si="14"/>
        <v>1</v>
      </c>
      <c r="AO9" s="1">
        <f t="shared" si="14"/>
        <v>0</v>
      </c>
      <c r="AP9" s="1">
        <f t="shared" si="14"/>
        <v>0</v>
      </c>
      <c r="AQ9" s="1">
        <f t="shared" si="14"/>
        <v>3</v>
      </c>
      <c r="AR9" s="1">
        <f t="shared" si="14"/>
        <v>6</v>
      </c>
      <c r="AS9" s="1">
        <f t="shared" si="14"/>
        <v>4</v>
      </c>
      <c r="AT9" s="1">
        <f t="shared" si="14"/>
        <v>0</v>
      </c>
      <c r="AU9" s="1">
        <f t="shared" si="14"/>
        <v>27</v>
      </c>
      <c r="AV9" s="1">
        <f t="shared" si="14"/>
        <v>20</v>
      </c>
      <c r="AW9" s="1">
        <f t="shared" si="14"/>
        <v>-4</v>
      </c>
      <c r="AX9" s="1">
        <f t="shared" si="14"/>
        <v>3</v>
      </c>
      <c r="AY9" s="1">
        <f t="shared" si="14"/>
        <v>32</v>
      </c>
      <c r="AZ9" s="1">
        <f t="shared" si="14"/>
        <v>15</v>
      </c>
      <c r="BA9" s="1">
        <f t="shared" si="14"/>
        <v>4</v>
      </c>
      <c r="BB9" s="1">
        <f t="shared" si="14"/>
        <v>13</v>
      </c>
      <c r="BC9" s="1">
        <f t="shared" si="14"/>
        <v>12</v>
      </c>
      <c r="BD9" s="1">
        <f t="shared" si="14"/>
        <v>162</v>
      </c>
      <c r="BE9" s="1">
        <f t="shared" si="14"/>
        <v>244</v>
      </c>
      <c r="BF9" s="1">
        <f t="shared" si="14"/>
        <v>233</v>
      </c>
      <c r="BG9" s="1">
        <f t="shared" si="14"/>
        <v>242</v>
      </c>
      <c r="BH9" s="1">
        <f t="shared" si="14"/>
        <v>121</v>
      </c>
      <c r="BI9" s="1">
        <f t="shared" si="14"/>
        <v>154</v>
      </c>
      <c r="BJ9" s="1">
        <f t="shared" si="14"/>
        <v>56</v>
      </c>
      <c r="BK9" s="1">
        <f t="shared" si="14"/>
        <v>65</v>
      </c>
      <c r="BL9" s="1">
        <f t="shared" si="14"/>
        <v>93</v>
      </c>
      <c r="BM9" s="1">
        <f t="shared" si="14"/>
        <v>8</v>
      </c>
      <c r="BN9" s="1">
        <f t="shared" si="14"/>
        <v>5</v>
      </c>
      <c r="BO9" s="1">
        <f t="shared" si="14"/>
        <v>5</v>
      </c>
      <c r="BP9" s="1"/>
      <c r="BQ9" s="1"/>
      <c r="BR9" s="17"/>
      <c r="BS9" s="17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</row>
    <row r="10" spans="1:97" s="13" customFormat="1">
      <c r="A10" s="1"/>
      <c r="B10" s="3" t="s">
        <v>140</v>
      </c>
      <c r="C10" s="1"/>
      <c r="D10" s="1"/>
      <c r="E10" s="1">
        <f t="shared" ref="E10:AJ10" si="15">E5-E8</f>
        <v>43</v>
      </c>
      <c r="F10" s="1">
        <f t="shared" si="15"/>
        <v>23</v>
      </c>
      <c r="G10" s="1">
        <f t="shared" si="15"/>
        <v>21</v>
      </c>
      <c r="H10" s="1">
        <f t="shared" si="15"/>
        <v>0</v>
      </c>
      <c r="I10" s="1">
        <f t="shared" si="15"/>
        <v>58</v>
      </c>
      <c r="J10" s="1">
        <f t="shared" si="15"/>
        <v>82</v>
      </c>
      <c r="K10" s="1">
        <f t="shared" si="15"/>
        <v>53</v>
      </c>
      <c r="L10" s="1">
        <f t="shared" si="15"/>
        <v>80</v>
      </c>
      <c r="M10" s="1">
        <f t="shared" si="15"/>
        <v>54</v>
      </c>
      <c r="N10" s="1">
        <f t="shared" si="15"/>
        <v>64</v>
      </c>
      <c r="O10" s="1">
        <f t="shared" si="15"/>
        <v>41</v>
      </c>
      <c r="P10" s="1">
        <f t="shared" si="15"/>
        <v>34</v>
      </c>
      <c r="Q10" s="1">
        <f t="shared" si="15"/>
        <v>3</v>
      </c>
      <c r="R10" s="1">
        <f t="shared" si="15"/>
        <v>-6</v>
      </c>
      <c r="S10" s="1">
        <f t="shared" si="15"/>
        <v>24</v>
      </c>
      <c r="T10" s="1">
        <f t="shared" si="15"/>
        <v>15</v>
      </c>
      <c r="U10" s="1">
        <f t="shared" si="15"/>
        <v>3</v>
      </c>
      <c r="V10" s="1">
        <f t="shared" si="15"/>
        <v>16</v>
      </c>
      <c r="W10" s="1">
        <f t="shared" si="15"/>
        <v>4</v>
      </c>
      <c r="X10" s="1">
        <f t="shared" si="15"/>
        <v>-2</v>
      </c>
      <c r="Y10" s="1">
        <f t="shared" si="15"/>
        <v>20</v>
      </c>
      <c r="Z10" s="1">
        <f t="shared" si="15"/>
        <v>6</v>
      </c>
      <c r="AA10" s="1">
        <f t="shared" si="15"/>
        <v>3</v>
      </c>
      <c r="AB10" s="1">
        <f t="shared" si="15"/>
        <v>23</v>
      </c>
      <c r="AC10" s="1">
        <f t="shared" si="15"/>
        <v>4</v>
      </c>
      <c r="AD10" s="1">
        <f t="shared" si="15"/>
        <v>8</v>
      </c>
      <c r="AE10" s="1">
        <f t="shared" si="15"/>
        <v>6</v>
      </c>
      <c r="AF10" s="1">
        <f t="shared" si="15"/>
        <v>0</v>
      </c>
      <c r="AG10" s="1">
        <f t="shared" si="15"/>
        <v>0</v>
      </c>
      <c r="AH10" s="1">
        <f t="shared" si="15"/>
        <v>0</v>
      </c>
      <c r="AI10" s="1">
        <f t="shared" si="15"/>
        <v>0</v>
      </c>
      <c r="AJ10" s="1">
        <f t="shared" si="15"/>
        <v>0</v>
      </c>
      <c r="AK10" s="1">
        <f t="shared" ref="AK10:BO10" si="16">AK5-AK8</f>
        <v>33</v>
      </c>
      <c r="AL10" s="1">
        <f t="shared" si="16"/>
        <v>43</v>
      </c>
      <c r="AM10" s="1">
        <f t="shared" si="16"/>
        <v>5</v>
      </c>
      <c r="AN10" s="1">
        <f t="shared" si="16"/>
        <v>1</v>
      </c>
      <c r="AO10" s="1">
        <f t="shared" si="16"/>
        <v>0</v>
      </c>
      <c r="AP10" s="1">
        <f t="shared" si="16"/>
        <v>0</v>
      </c>
      <c r="AQ10" s="1">
        <f t="shared" si="16"/>
        <v>3</v>
      </c>
      <c r="AR10" s="1">
        <f t="shared" si="16"/>
        <v>6</v>
      </c>
      <c r="AS10" s="1">
        <f t="shared" si="16"/>
        <v>4</v>
      </c>
      <c r="AT10" s="1">
        <f t="shared" si="16"/>
        <v>10</v>
      </c>
      <c r="AU10" s="1">
        <f t="shared" si="16"/>
        <v>27</v>
      </c>
      <c r="AV10" s="1">
        <f t="shared" si="16"/>
        <v>20</v>
      </c>
      <c r="AW10" s="1">
        <f t="shared" si="16"/>
        <v>-4</v>
      </c>
      <c r="AX10" s="1">
        <f t="shared" si="16"/>
        <v>3</v>
      </c>
      <c r="AY10" s="1">
        <f t="shared" si="16"/>
        <v>32</v>
      </c>
      <c r="AZ10" s="1">
        <f t="shared" si="16"/>
        <v>15</v>
      </c>
      <c r="BA10" s="1">
        <f t="shared" si="16"/>
        <v>4</v>
      </c>
      <c r="BB10" s="1">
        <f t="shared" si="16"/>
        <v>13</v>
      </c>
      <c r="BC10" s="1">
        <f t="shared" si="16"/>
        <v>12</v>
      </c>
      <c r="BD10" s="1">
        <f t="shared" si="16"/>
        <v>162</v>
      </c>
      <c r="BE10" s="1">
        <f t="shared" si="16"/>
        <v>244</v>
      </c>
      <c r="BF10" s="1">
        <f t="shared" si="16"/>
        <v>233</v>
      </c>
      <c r="BG10" s="1">
        <f t="shared" si="16"/>
        <v>242</v>
      </c>
      <c r="BH10" s="1">
        <f t="shared" si="16"/>
        <v>121</v>
      </c>
      <c r="BI10" s="1">
        <f t="shared" si="16"/>
        <v>154</v>
      </c>
      <c r="BJ10" s="1">
        <f t="shared" si="16"/>
        <v>56</v>
      </c>
      <c r="BK10" s="1">
        <f t="shared" si="16"/>
        <v>65</v>
      </c>
      <c r="BL10" s="1">
        <f t="shared" si="16"/>
        <v>93</v>
      </c>
      <c r="BM10" s="1">
        <f t="shared" si="16"/>
        <v>8</v>
      </c>
      <c r="BN10" s="1">
        <f t="shared" si="16"/>
        <v>5</v>
      </c>
      <c r="BO10" s="1">
        <f t="shared" si="16"/>
        <v>5</v>
      </c>
      <c r="BP10" s="1"/>
      <c r="BQ10" s="1"/>
      <c r="BR10" s="17"/>
      <c r="BS10" s="17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</row>
    <row r="11" spans="1:97">
      <c r="R11" s="7" t="s">
        <v>174</v>
      </c>
      <c r="AQ11" s="7" t="s">
        <v>163</v>
      </c>
      <c r="AR11" s="7" t="s">
        <v>166</v>
      </c>
      <c r="AS11" s="7" t="s">
        <v>167</v>
      </c>
      <c r="AT11" s="7" t="s">
        <v>164</v>
      </c>
      <c r="AU11" s="7" t="s">
        <v>165</v>
      </c>
      <c r="AV11" s="7" t="s">
        <v>162</v>
      </c>
      <c r="AW11" s="7" t="s">
        <v>168</v>
      </c>
      <c r="AX11" s="7" t="s">
        <v>169</v>
      </c>
      <c r="AY11" s="7" t="s">
        <v>170</v>
      </c>
      <c r="AZ11" s="7" t="s">
        <v>171</v>
      </c>
      <c r="BA11" s="7" t="s">
        <v>172</v>
      </c>
      <c r="BB11" s="7" t="s">
        <v>173</v>
      </c>
    </row>
    <row r="12" spans="1:97">
      <c r="R12" s="7" t="s">
        <v>175</v>
      </c>
    </row>
  </sheetData>
  <autoFilter ref="A1:BP3"/>
  <phoneticPr fontId="1" type="noConversion"/>
  <conditionalFormatting sqref="E7:BO7">
    <cfRule type="expression" dxfId="2" priority="3">
      <formula>"&lt;=$E$135"</formula>
    </cfRule>
  </conditionalFormatting>
  <conditionalFormatting sqref="E9:BO10">
    <cfRule type="cellIs" dxfId="1" priority="1" operator="lessThan">
      <formula>0</formula>
    </cfRule>
  </conditionalFormatting>
  <conditionalFormatting sqref="E6:BO6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10</xdr:row>
                    <xdr:rowOff>28575</xdr:rowOff>
                  </from>
                  <to>
                    <xdr:col>1</xdr:col>
                    <xdr:colOff>428625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68</v>
      </c>
      <c r="B1" s="5" t="s">
        <v>65</v>
      </c>
      <c r="C1" s="5" t="s">
        <v>69</v>
      </c>
    </row>
    <row r="2" spans="1:3">
      <c r="A2" s="1">
        <v>10</v>
      </c>
      <c r="B2" s="2" t="s">
        <v>10</v>
      </c>
      <c r="C2" s="1">
        <v>190</v>
      </c>
    </row>
    <row r="3" spans="1:3">
      <c r="A3" s="1">
        <v>12</v>
      </c>
      <c r="B3" s="2" t="s">
        <v>44</v>
      </c>
      <c r="C3" s="1">
        <v>120</v>
      </c>
    </row>
    <row r="4" spans="1:3">
      <c r="A4" s="1">
        <v>4</v>
      </c>
      <c r="B4" s="4" t="s">
        <v>45</v>
      </c>
      <c r="C4" s="1">
        <v>85</v>
      </c>
    </row>
    <row r="5" spans="1:3">
      <c r="A5" s="1">
        <v>3</v>
      </c>
      <c r="B5" s="4" t="s">
        <v>37</v>
      </c>
      <c r="C5" s="1">
        <v>65</v>
      </c>
    </row>
    <row r="6" spans="1:3">
      <c r="A6" s="1">
        <v>8</v>
      </c>
      <c r="B6" s="2" t="s">
        <v>6</v>
      </c>
      <c r="C6" s="1">
        <v>65</v>
      </c>
    </row>
    <row r="7" spans="1:3">
      <c r="A7" s="1">
        <v>9</v>
      </c>
      <c r="B7" s="2" t="s">
        <v>7</v>
      </c>
      <c r="C7" s="1">
        <v>65</v>
      </c>
    </row>
    <row r="8" spans="1:3">
      <c r="A8" s="1">
        <v>1</v>
      </c>
      <c r="B8" s="4" t="s">
        <v>4</v>
      </c>
      <c r="C8" s="1">
        <v>60</v>
      </c>
    </row>
    <row r="9" spans="1:3">
      <c r="A9" s="1">
        <v>7</v>
      </c>
      <c r="B9" s="2" t="s">
        <v>5</v>
      </c>
      <c r="C9" s="1">
        <v>53</v>
      </c>
    </row>
    <row r="10" spans="1:3">
      <c r="A10" s="1">
        <v>2</v>
      </c>
      <c r="B10" s="4" t="s">
        <v>25</v>
      </c>
      <c r="C10" s="1">
        <v>45</v>
      </c>
    </row>
    <row r="11" spans="1:3">
      <c r="A11" s="1">
        <v>5</v>
      </c>
      <c r="B11" s="4" t="s">
        <v>50</v>
      </c>
      <c r="C11" s="1">
        <v>45</v>
      </c>
    </row>
    <row r="12" spans="1:3">
      <c r="A12" s="1">
        <v>11</v>
      </c>
      <c r="B12" s="2" t="s">
        <v>38</v>
      </c>
      <c r="C12" s="1">
        <v>10</v>
      </c>
    </row>
    <row r="13" spans="1:3">
      <c r="A13" s="1">
        <v>6</v>
      </c>
      <c r="B13" s="4" t="s">
        <v>52</v>
      </c>
      <c r="C13" s="1">
        <v>8</v>
      </c>
    </row>
    <row r="19" spans="3:18">
      <c r="G19" s="10" t="s">
        <v>37</v>
      </c>
      <c r="H19" s="10" t="s">
        <v>4</v>
      </c>
      <c r="I19" s="10" t="s">
        <v>25</v>
      </c>
      <c r="J19" s="10" t="s">
        <v>50</v>
      </c>
      <c r="K19" s="10" t="s">
        <v>52</v>
      </c>
      <c r="L19" s="10" t="s">
        <v>45</v>
      </c>
      <c r="M19" s="11" t="s">
        <v>5</v>
      </c>
      <c r="N19" s="11" t="s">
        <v>6</v>
      </c>
      <c r="O19" s="11" t="s">
        <v>38</v>
      </c>
      <c r="P19" s="11" t="s">
        <v>7</v>
      </c>
      <c r="Q19" s="11" t="s">
        <v>44</v>
      </c>
      <c r="R19" s="11" t="s">
        <v>10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141</v>
      </c>
      <c r="D27" t="s">
        <v>142</v>
      </c>
      <c r="E27" t="s">
        <v>143</v>
      </c>
      <c r="F27" t="s">
        <v>144</v>
      </c>
      <c r="G27" t="s">
        <v>145</v>
      </c>
      <c r="H27" t="s">
        <v>146</v>
      </c>
      <c r="I27" t="s">
        <v>147</v>
      </c>
      <c r="J27" t="s">
        <v>148</v>
      </c>
      <c r="K27" t="s">
        <v>149</v>
      </c>
      <c r="L27" t="s">
        <v>150</v>
      </c>
      <c r="M27" t="s">
        <v>151</v>
      </c>
      <c r="N27" t="s">
        <v>152</v>
      </c>
    </row>
    <row r="31" spans="3:18">
      <c r="C31">
        <v>-3</v>
      </c>
      <c r="D31" t="s">
        <v>141</v>
      </c>
    </row>
    <row r="32" spans="3:18">
      <c r="C32">
        <v>-8</v>
      </c>
      <c r="D32" t="s">
        <v>142</v>
      </c>
    </row>
    <row r="33" spans="3:4">
      <c r="C33">
        <v>-3</v>
      </c>
      <c r="D33" t="s">
        <v>143</v>
      </c>
    </row>
    <row r="34" spans="3:4">
      <c r="C34">
        <v>1</v>
      </c>
      <c r="D34" t="s">
        <v>144</v>
      </c>
    </row>
    <row r="35" spans="3:4">
      <c r="C35">
        <v>3</v>
      </c>
      <c r="D35" t="s">
        <v>145</v>
      </c>
    </row>
    <row r="36" spans="3:4">
      <c r="C36">
        <v>0</v>
      </c>
      <c r="D36" t="s">
        <v>146</v>
      </c>
    </row>
    <row r="37" spans="3:4">
      <c r="C37">
        <v>-3</v>
      </c>
      <c r="D37" t="s">
        <v>147</v>
      </c>
    </row>
    <row r="38" spans="3:4">
      <c r="C38">
        <v>30</v>
      </c>
      <c r="D38" t="s">
        <v>148</v>
      </c>
    </row>
    <row r="39" spans="3:4">
      <c r="C39">
        <v>5</v>
      </c>
      <c r="D39" t="s">
        <v>149</v>
      </c>
    </row>
    <row r="40" spans="3:4">
      <c r="C40">
        <v>-10</v>
      </c>
      <c r="D40" t="s">
        <v>150</v>
      </c>
    </row>
    <row r="41" spans="3:4">
      <c r="C41">
        <v>3</v>
      </c>
      <c r="D41" t="s">
        <v>151</v>
      </c>
    </row>
    <row r="42" spans="3:4">
      <c r="C42">
        <v>138</v>
      </c>
      <c r="D42" t="s">
        <v>152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74</v>
      </c>
      <c r="B1" s="8" t="s">
        <v>75</v>
      </c>
      <c r="C1" s="8" t="s">
        <v>76</v>
      </c>
    </row>
    <row r="2" spans="1:3">
      <c r="A2" s="1">
        <v>5</v>
      </c>
      <c r="B2" s="10" t="s">
        <v>52</v>
      </c>
      <c r="C2" s="1">
        <v>0</v>
      </c>
    </row>
    <row r="3" spans="1:3">
      <c r="A3" s="1">
        <v>9</v>
      </c>
      <c r="B3" s="11" t="s">
        <v>38</v>
      </c>
      <c r="C3" s="1">
        <v>0</v>
      </c>
    </row>
    <row r="4" spans="1:3">
      <c r="A4" s="1">
        <v>10</v>
      </c>
      <c r="B4" s="11" t="s">
        <v>7</v>
      </c>
      <c r="C4" s="1">
        <v>0</v>
      </c>
    </row>
    <row r="5" spans="1:3">
      <c r="A5" s="1">
        <v>4</v>
      </c>
      <c r="B5" s="10" t="s">
        <v>50</v>
      </c>
      <c r="C5" s="1">
        <v>2</v>
      </c>
    </row>
    <row r="6" spans="1:3">
      <c r="A6" s="1">
        <v>8</v>
      </c>
      <c r="B6" s="11" t="s">
        <v>6</v>
      </c>
      <c r="C6" s="1">
        <v>3</v>
      </c>
    </row>
    <row r="7" spans="1:3">
      <c r="A7" s="1">
        <v>12</v>
      </c>
      <c r="B7" s="11" t="s">
        <v>10</v>
      </c>
      <c r="C7" s="1">
        <v>3</v>
      </c>
    </row>
    <row r="8" spans="1:3">
      <c r="A8" s="1">
        <v>1</v>
      </c>
      <c r="B8" s="10" t="s">
        <v>37</v>
      </c>
      <c r="C8" s="1">
        <v>4</v>
      </c>
    </row>
    <row r="9" spans="1:3">
      <c r="A9" s="1">
        <v>2</v>
      </c>
      <c r="B9" s="10" t="s">
        <v>4</v>
      </c>
      <c r="C9" s="1">
        <v>4</v>
      </c>
    </row>
    <row r="10" spans="1:3">
      <c r="A10" s="1">
        <v>7</v>
      </c>
      <c r="B10" s="11" t="s">
        <v>5</v>
      </c>
      <c r="C10" s="1">
        <v>4</v>
      </c>
    </row>
    <row r="11" spans="1:3">
      <c r="A11" s="1">
        <v>3</v>
      </c>
      <c r="B11" s="10" t="s">
        <v>25</v>
      </c>
      <c r="C11" s="1">
        <v>5</v>
      </c>
    </row>
    <row r="12" spans="1:3">
      <c r="A12" s="1">
        <v>11</v>
      </c>
      <c r="B12" s="11" t="s">
        <v>44</v>
      </c>
      <c r="C12" s="1">
        <v>5</v>
      </c>
    </row>
    <row r="13" spans="1:3">
      <c r="A13" s="1">
        <v>6</v>
      </c>
      <c r="B13" s="10" t="s">
        <v>45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3:J35"/>
  <sheetViews>
    <sheetView workbookViewId="0">
      <selection activeCell="C32" sqref="C32:C35"/>
    </sheetView>
  </sheetViews>
  <sheetFormatPr defaultRowHeight="13.5"/>
  <cols>
    <col min="2" max="2" width="14.125" bestFit="1" customWidth="1"/>
    <col min="5" max="5" width="26.125" bestFit="1" customWidth="1"/>
  </cols>
  <sheetData>
    <row r="3" spans="3:10">
      <c r="E3" t="s">
        <v>185</v>
      </c>
      <c r="F3" t="s">
        <v>186</v>
      </c>
      <c r="G3" t="s">
        <v>187</v>
      </c>
      <c r="H3" t="s">
        <v>188</v>
      </c>
      <c r="I3" t="s">
        <v>189</v>
      </c>
      <c r="J3" t="s">
        <v>190</v>
      </c>
    </row>
    <row r="4" spans="3:10">
      <c r="C4" s="57" t="s">
        <v>191</v>
      </c>
      <c r="D4" t="s">
        <v>192</v>
      </c>
      <c r="E4">
        <v>12</v>
      </c>
      <c r="F4">
        <v>12</v>
      </c>
      <c r="G4">
        <v>12</v>
      </c>
      <c r="H4">
        <v>52</v>
      </c>
      <c r="I4">
        <v>12</v>
      </c>
      <c r="J4">
        <v>12</v>
      </c>
    </row>
    <row r="5" spans="3:10">
      <c r="C5" s="57" t="s">
        <v>193</v>
      </c>
      <c r="D5" t="s">
        <v>194</v>
      </c>
      <c r="E5">
        <v>53</v>
      </c>
      <c r="F5">
        <v>53</v>
      </c>
      <c r="G5">
        <v>53</v>
      </c>
      <c r="H5">
        <v>222</v>
      </c>
      <c r="I5">
        <v>53</v>
      </c>
      <c r="J5">
        <v>53</v>
      </c>
    </row>
    <row r="6" spans="3:10">
      <c r="C6" s="57" t="s">
        <v>195</v>
      </c>
      <c r="D6" t="s">
        <v>194</v>
      </c>
      <c r="E6">
        <v>21</v>
      </c>
      <c r="F6">
        <v>21</v>
      </c>
      <c r="G6">
        <v>21</v>
      </c>
      <c r="H6">
        <v>21</v>
      </c>
      <c r="I6">
        <v>21</v>
      </c>
      <c r="J6">
        <v>88</v>
      </c>
    </row>
    <row r="7" spans="3:10">
      <c r="C7" s="57" t="s">
        <v>196</v>
      </c>
      <c r="D7" t="s">
        <v>194</v>
      </c>
      <c r="E7">
        <v>19</v>
      </c>
      <c r="F7">
        <v>19</v>
      </c>
      <c r="G7">
        <v>100</v>
      </c>
      <c r="H7">
        <v>19</v>
      </c>
      <c r="I7">
        <v>19</v>
      </c>
      <c r="J7">
        <v>19</v>
      </c>
    </row>
    <row r="8" spans="3:10">
      <c r="C8" t="s">
        <v>197</v>
      </c>
      <c r="D8" t="s">
        <v>198</v>
      </c>
      <c r="E8">
        <v>12</v>
      </c>
      <c r="F8">
        <v>12</v>
      </c>
      <c r="G8">
        <v>12</v>
      </c>
      <c r="H8">
        <v>12</v>
      </c>
      <c r="I8">
        <v>52</v>
      </c>
      <c r="J8">
        <v>12</v>
      </c>
    </row>
    <row r="9" spans="3:10">
      <c r="C9" s="57" t="s">
        <v>199</v>
      </c>
      <c r="D9" t="s">
        <v>198</v>
      </c>
      <c r="E9">
        <v>19</v>
      </c>
      <c r="F9">
        <v>100</v>
      </c>
      <c r="G9">
        <v>19</v>
      </c>
      <c r="H9">
        <v>19</v>
      </c>
      <c r="I9">
        <v>19</v>
      </c>
      <c r="J9">
        <v>19</v>
      </c>
    </row>
    <row r="10" spans="3:10">
      <c r="C10" s="57" t="s">
        <v>200</v>
      </c>
      <c r="D10" t="s">
        <v>198</v>
      </c>
      <c r="E10">
        <v>19</v>
      </c>
      <c r="F10">
        <v>19</v>
      </c>
      <c r="G10">
        <v>19</v>
      </c>
      <c r="H10">
        <v>19</v>
      </c>
      <c r="I10">
        <v>100</v>
      </c>
      <c r="J10">
        <v>19</v>
      </c>
    </row>
    <row r="11" spans="3:10">
      <c r="C11" s="57" t="s">
        <v>203</v>
      </c>
      <c r="D11" t="s">
        <v>194</v>
      </c>
      <c r="E11" s="58">
        <v>555</v>
      </c>
      <c r="F11">
        <v>150</v>
      </c>
      <c r="G11">
        <v>136</v>
      </c>
      <c r="H11">
        <v>174</v>
      </c>
      <c r="I11">
        <v>174</v>
      </c>
      <c r="J11">
        <v>490</v>
      </c>
    </row>
    <row r="12" spans="3:10">
      <c r="D12" t="s">
        <v>201</v>
      </c>
      <c r="E12">
        <v>60</v>
      </c>
      <c r="F12">
        <v>60</v>
      </c>
      <c r="G12">
        <v>60</v>
      </c>
      <c r="H12">
        <v>60</v>
      </c>
      <c r="I12">
        <v>60</v>
      </c>
      <c r="J12">
        <v>0</v>
      </c>
    </row>
    <row r="13" spans="3:10">
      <c r="D13" t="s">
        <v>201</v>
      </c>
      <c r="E13">
        <v>60</v>
      </c>
      <c r="F13">
        <v>60</v>
      </c>
      <c r="G13">
        <v>60</v>
      </c>
      <c r="H13">
        <v>60</v>
      </c>
      <c r="I13">
        <v>60</v>
      </c>
      <c r="J13">
        <v>0</v>
      </c>
    </row>
    <row r="14" spans="3:10">
      <c r="D14" t="s">
        <v>201</v>
      </c>
      <c r="E14">
        <v>60</v>
      </c>
      <c r="F14">
        <v>60</v>
      </c>
      <c r="G14">
        <v>60</v>
      </c>
      <c r="H14">
        <v>60</v>
      </c>
      <c r="I14">
        <v>60</v>
      </c>
      <c r="J14">
        <v>0</v>
      </c>
    </row>
    <row r="15" spans="3:10">
      <c r="D15" t="s">
        <v>201</v>
      </c>
      <c r="E15">
        <v>60</v>
      </c>
      <c r="F15">
        <v>60</v>
      </c>
      <c r="G15">
        <v>60</v>
      </c>
      <c r="H15">
        <v>60</v>
      </c>
      <c r="I15">
        <v>60</v>
      </c>
      <c r="J15">
        <v>0</v>
      </c>
    </row>
    <row r="16" spans="3:10">
      <c r="D16" t="s">
        <v>202</v>
      </c>
      <c r="E16">
        <v>57.6</v>
      </c>
      <c r="F16">
        <v>57.6</v>
      </c>
      <c r="G16">
        <v>57.6</v>
      </c>
      <c r="H16">
        <v>57.6</v>
      </c>
      <c r="I16">
        <v>57.6</v>
      </c>
      <c r="J16">
        <v>144</v>
      </c>
    </row>
    <row r="17" spans="3:10">
      <c r="D17" t="s">
        <v>198</v>
      </c>
      <c r="E17">
        <v>57.6</v>
      </c>
      <c r="F17">
        <v>0</v>
      </c>
      <c r="G17">
        <v>57.6</v>
      </c>
      <c r="H17">
        <v>57.6</v>
      </c>
      <c r="I17">
        <v>57.6</v>
      </c>
      <c r="J17">
        <v>57.6</v>
      </c>
    </row>
    <row r="18" spans="3:10">
      <c r="D18" t="s">
        <v>198</v>
      </c>
      <c r="E18">
        <v>57.6</v>
      </c>
      <c r="F18">
        <v>0</v>
      </c>
      <c r="G18">
        <v>57.6</v>
      </c>
      <c r="H18">
        <v>57.6</v>
      </c>
      <c r="I18">
        <v>57.6</v>
      </c>
      <c r="J18">
        <v>57.6</v>
      </c>
    </row>
    <row r="19" spans="3:10">
      <c r="D19" t="s">
        <v>198</v>
      </c>
      <c r="E19">
        <v>57.6</v>
      </c>
      <c r="F19">
        <v>0</v>
      </c>
      <c r="G19">
        <v>57.6</v>
      </c>
      <c r="H19">
        <v>57.6</v>
      </c>
      <c r="I19">
        <v>57.6</v>
      </c>
      <c r="J19">
        <v>57.6</v>
      </c>
    </row>
    <row r="20" spans="3:10">
      <c r="E20">
        <f>SUM(E4:E11)</f>
        <v>710</v>
      </c>
      <c r="I20">
        <f>SUM(I4:I11)</f>
        <v>450</v>
      </c>
    </row>
    <row r="21" spans="3:10">
      <c r="E21">
        <f>-E20/2*7</f>
        <v>-2485</v>
      </c>
      <c r="I21">
        <f>-I20/2*7</f>
        <v>-1575</v>
      </c>
    </row>
    <row r="22" spans="3:10">
      <c r="I22">
        <v>200</v>
      </c>
    </row>
    <row r="23" spans="3:10">
      <c r="I23">
        <f>267*0.6</f>
        <v>160.19999999999999</v>
      </c>
    </row>
    <row r="32" spans="3:10">
      <c r="C32" s="11" t="s">
        <v>44</v>
      </c>
    </row>
    <row r="33" spans="3:3">
      <c r="C33" s="11" t="s">
        <v>10</v>
      </c>
    </row>
    <row r="34" spans="3:3">
      <c r="C34" s="11" t="s">
        <v>5</v>
      </c>
    </row>
    <row r="35" spans="3:3">
      <c r="C35" s="10" t="s">
        <v>37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2020-06-05T05:11:06Z</dcterms:modified>
</cp:coreProperties>
</file>