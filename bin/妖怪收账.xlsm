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Sheet1!$A$1:$BT$148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T3" i="1" l="1"/>
  <c r="BT4" i="1"/>
  <c r="BT5" i="1"/>
  <c r="BT6" i="1"/>
  <c r="BT7" i="1"/>
  <c r="BT8" i="1"/>
  <c r="BT9" i="1"/>
  <c r="BT10" i="1"/>
  <c r="BT11" i="1"/>
  <c r="BT12" i="1"/>
  <c r="BT13" i="1"/>
  <c r="BT14" i="1"/>
  <c r="BT15" i="1"/>
  <c r="BT16" i="1"/>
  <c r="BT17" i="1"/>
  <c r="BT18" i="1"/>
  <c r="BT19" i="1"/>
  <c r="BT20" i="1"/>
  <c r="BT21" i="1"/>
  <c r="BT22" i="1"/>
  <c r="BT23" i="1"/>
  <c r="BT24" i="1"/>
  <c r="BT25" i="1"/>
  <c r="BT26" i="1"/>
  <c r="BT27" i="1"/>
  <c r="BT28" i="1"/>
  <c r="BT29" i="1"/>
  <c r="BT30" i="1"/>
  <c r="BT31" i="1"/>
  <c r="BT32" i="1"/>
  <c r="BT33" i="1"/>
  <c r="BT34" i="1"/>
  <c r="BT35" i="1"/>
  <c r="BT36" i="1"/>
  <c r="BT37" i="1"/>
  <c r="BT38" i="1"/>
  <c r="BT39" i="1"/>
  <c r="BT40" i="1"/>
  <c r="BT41" i="1"/>
  <c r="BT42" i="1"/>
  <c r="BT43" i="1"/>
  <c r="BT44" i="1"/>
  <c r="BT45" i="1"/>
  <c r="BT46" i="1"/>
  <c r="BT47" i="1"/>
  <c r="BT48" i="1"/>
  <c r="BT49" i="1"/>
  <c r="BT50" i="1"/>
  <c r="BT51" i="1"/>
  <c r="BT52" i="1"/>
  <c r="BT53" i="1"/>
  <c r="BT54" i="1"/>
  <c r="BT55" i="1"/>
  <c r="BT56" i="1"/>
  <c r="BT57" i="1"/>
  <c r="BT58" i="1"/>
  <c r="BT59" i="1"/>
  <c r="BT60" i="1"/>
  <c r="BT61" i="1"/>
  <c r="BT62" i="1"/>
  <c r="BT63" i="1"/>
  <c r="BT64" i="1"/>
  <c r="BT65" i="1"/>
  <c r="BT66" i="1"/>
  <c r="BT67" i="1"/>
  <c r="BT68" i="1"/>
  <c r="BT69" i="1"/>
  <c r="BT70" i="1"/>
  <c r="BT71" i="1"/>
  <c r="BT72" i="1"/>
  <c r="BT73" i="1"/>
  <c r="BT74" i="1"/>
  <c r="BT75" i="1"/>
  <c r="BT76" i="1"/>
  <c r="BT77" i="1"/>
  <c r="BT78" i="1"/>
  <c r="BT79" i="1"/>
  <c r="BT80" i="1"/>
  <c r="BT81" i="1"/>
  <c r="BT82" i="1"/>
  <c r="BT83" i="1"/>
  <c r="BT84" i="1"/>
  <c r="BT85" i="1"/>
  <c r="BT86" i="1"/>
  <c r="BT87" i="1"/>
  <c r="BT88" i="1"/>
  <c r="BT89" i="1"/>
  <c r="BT90" i="1"/>
  <c r="BT91" i="1"/>
  <c r="BT92" i="1"/>
  <c r="BT93" i="1"/>
  <c r="BT94" i="1"/>
  <c r="BT95" i="1"/>
  <c r="BT96" i="1"/>
  <c r="BT97" i="1"/>
  <c r="BT98" i="1"/>
  <c r="BT99" i="1"/>
  <c r="BT100" i="1"/>
  <c r="BT101" i="1"/>
  <c r="BT102" i="1"/>
  <c r="BT103" i="1"/>
  <c r="BT104" i="1"/>
  <c r="BT105" i="1"/>
  <c r="BT106" i="1"/>
  <c r="BT107" i="1"/>
  <c r="BT108" i="1"/>
  <c r="BT109" i="1"/>
  <c r="BT110" i="1"/>
  <c r="BT111" i="1"/>
  <c r="BT112" i="1"/>
  <c r="BT113" i="1"/>
  <c r="BT114" i="1"/>
  <c r="BT115" i="1"/>
  <c r="BT116" i="1"/>
  <c r="BT117" i="1"/>
  <c r="BT118" i="1"/>
  <c r="BT119" i="1"/>
  <c r="BT120" i="1"/>
  <c r="BT121" i="1"/>
  <c r="BT122" i="1"/>
  <c r="BT123" i="1"/>
  <c r="BT124" i="1"/>
  <c r="BT125" i="1"/>
  <c r="BT126" i="1"/>
  <c r="BT127" i="1"/>
  <c r="BT128" i="1"/>
  <c r="BT129" i="1"/>
  <c r="BT130" i="1"/>
  <c r="BT131" i="1"/>
  <c r="BT132" i="1"/>
  <c r="BT133" i="1"/>
  <c r="BT134" i="1"/>
  <c r="BT135" i="1"/>
  <c r="BT136" i="1"/>
  <c r="BT137" i="1"/>
  <c r="BT138" i="1"/>
  <c r="BT139" i="1"/>
  <c r="BT140" i="1"/>
  <c r="BT2" i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P140" i="1" l="1"/>
  <c r="BP117" i="1"/>
  <c r="BP120" i="1"/>
  <c r="BP102" i="1"/>
  <c r="BP130" i="1"/>
  <c r="BP131" i="1"/>
  <c r="BP132" i="1"/>
  <c r="BP104" i="1"/>
  <c r="BP105" i="1"/>
  <c r="BP129" i="1"/>
  <c r="BP94" i="1"/>
  <c r="BP123" i="1"/>
  <c r="BP124" i="1"/>
  <c r="BP125" i="1"/>
  <c r="BP126" i="1"/>
  <c r="BP116" i="1"/>
  <c r="BP76" i="1"/>
  <c r="BP77" i="1"/>
  <c r="BP58" i="1"/>
  <c r="BP107" i="1"/>
  <c r="BP78" i="1"/>
  <c r="BP24" i="1"/>
  <c r="BP86" i="1"/>
  <c r="BP71" i="1"/>
  <c r="BP72" i="1"/>
  <c r="BP73" i="1"/>
  <c r="BP74" i="1"/>
  <c r="BP87" i="1"/>
  <c r="BP25" i="1"/>
  <c r="BP75" i="1"/>
  <c r="BP82" i="1"/>
  <c r="BP18" i="1"/>
  <c r="BP19" i="1"/>
  <c r="BP20" i="1"/>
  <c r="BP21" i="1"/>
  <c r="BP118" i="1"/>
  <c r="BP22" i="1"/>
  <c r="BP83" i="1"/>
  <c r="BP23" i="1"/>
  <c r="BP33" i="1"/>
  <c r="BP9" i="1"/>
  <c r="BP34" i="1"/>
  <c r="BP35" i="1"/>
  <c r="BP36" i="1"/>
  <c r="BP37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AC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AP145" i="1"/>
  <c r="AQ145" i="1"/>
  <c r="AR145" i="1"/>
  <c r="AS145" i="1"/>
  <c r="AT145" i="1"/>
  <c r="AU145" i="1"/>
  <c r="AV145" i="1"/>
  <c r="AW145" i="1"/>
  <c r="AX145" i="1"/>
  <c r="AY145" i="1"/>
  <c r="AZ145" i="1"/>
  <c r="BA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BN145" i="1"/>
  <c r="BO145" i="1"/>
  <c r="E145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AP144" i="1"/>
  <c r="AQ144" i="1"/>
  <c r="AR144" i="1"/>
  <c r="AS144" i="1"/>
  <c r="AT144" i="1"/>
  <c r="AU144" i="1"/>
  <c r="AV144" i="1"/>
  <c r="AW144" i="1"/>
  <c r="AX144" i="1"/>
  <c r="AY144" i="1"/>
  <c r="AZ144" i="1"/>
  <c r="BA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BN144" i="1"/>
  <c r="BO144" i="1"/>
  <c r="E144" i="1"/>
  <c r="BD141" i="1"/>
  <c r="BE141" i="1"/>
  <c r="BF141" i="1"/>
  <c r="BG141" i="1"/>
  <c r="BH141" i="1"/>
  <c r="BI141" i="1"/>
  <c r="BJ141" i="1"/>
  <c r="BK141" i="1"/>
  <c r="BL141" i="1"/>
  <c r="BM141" i="1"/>
  <c r="BN141" i="1"/>
  <c r="BO141" i="1"/>
  <c r="BC141" i="1"/>
  <c r="AX141" i="1"/>
  <c r="AY141" i="1"/>
  <c r="AZ141" i="1"/>
  <c r="BA141" i="1"/>
  <c r="BB141" i="1"/>
  <c r="AW141" i="1"/>
  <c r="AR141" i="1"/>
  <c r="AS141" i="1"/>
  <c r="AT141" i="1"/>
  <c r="AU141" i="1"/>
  <c r="AV141" i="1"/>
  <c r="AQ141" i="1"/>
  <c r="AF141" i="1"/>
  <c r="AG141" i="1"/>
  <c r="AH141" i="1"/>
  <c r="AI141" i="1"/>
  <c r="AJ141" i="1"/>
  <c r="AK141" i="1"/>
  <c r="AL141" i="1"/>
  <c r="AM141" i="1"/>
  <c r="AN141" i="1"/>
  <c r="AO141" i="1"/>
  <c r="AP141" i="1"/>
  <c r="AE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P141" i="1"/>
  <c r="F141" i="1"/>
  <c r="G141" i="1"/>
  <c r="H141" i="1"/>
  <c r="I141" i="1"/>
  <c r="J141" i="1"/>
  <c r="K141" i="1"/>
  <c r="L141" i="1"/>
  <c r="M141" i="1"/>
  <c r="N141" i="1"/>
  <c r="O141" i="1"/>
  <c r="E141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P51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P90" i="1"/>
  <c r="BP103" i="1"/>
  <c r="BP26" i="1"/>
  <c r="CJ2" i="8" l="1"/>
  <c r="CK2" i="8"/>
  <c r="CR4" i="8"/>
  <c r="CN2" i="8"/>
  <c r="CM2" i="8"/>
  <c r="CG2" i="8"/>
  <c r="CH2" i="8"/>
  <c r="CL2" i="8"/>
  <c r="CQ2" i="8"/>
  <c r="CI2" i="8"/>
  <c r="CO2" i="8"/>
  <c r="CP2" i="8"/>
  <c r="BC146" i="1"/>
  <c r="BD146" i="1"/>
  <c r="BE146" i="1"/>
  <c r="BF146" i="1"/>
  <c r="BG146" i="1"/>
  <c r="BH146" i="1"/>
  <c r="BI146" i="1"/>
  <c r="BJ146" i="1"/>
  <c r="BK146" i="1"/>
  <c r="BL146" i="1"/>
  <c r="BM146" i="1"/>
  <c r="BN146" i="1"/>
  <c r="BO146" i="1"/>
  <c r="BC147" i="1"/>
  <c r="BD147" i="1"/>
  <c r="BE147" i="1"/>
  <c r="BF147" i="1"/>
  <c r="BG147" i="1"/>
  <c r="BH147" i="1"/>
  <c r="BI147" i="1"/>
  <c r="BJ147" i="1"/>
  <c r="BK147" i="1"/>
  <c r="BL147" i="1"/>
  <c r="BM147" i="1"/>
  <c r="BN147" i="1"/>
  <c r="BO147" i="1"/>
  <c r="BA146" i="1"/>
  <c r="BB146" i="1"/>
  <c r="BA147" i="1"/>
  <c r="BB147" i="1"/>
  <c r="AQ146" i="1"/>
  <c r="AR146" i="1"/>
  <c r="AS146" i="1"/>
  <c r="AT146" i="1"/>
  <c r="AU146" i="1"/>
  <c r="AV146" i="1"/>
  <c r="AW146" i="1"/>
  <c r="AX146" i="1"/>
  <c r="AY146" i="1"/>
  <c r="AZ146" i="1"/>
  <c r="AQ147" i="1"/>
  <c r="AR147" i="1"/>
  <c r="AS147" i="1"/>
  <c r="AT147" i="1"/>
  <c r="AU147" i="1"/>
  <c r="AV147" i="1"/>
  <c r="AW147" i="1"/>
  <c r="AX147" i="1"/>
  <c r="AY147" i="1"/>
  <c r="AZ147" i="1"/>
  <c r="AI146" i="1"/>
  <c r="AJ146" i="1"/>
  <c r="AK146" i="1"/>
  <c r="AL146" i="1"/>
  <c r="AM146" i="1"/>
  <c r="AN146" i="1"/>
  <c r="AO146" i="1"/>
  <c r="AP146" i="1"/>
  <c r="AI147" i="1"/>
  <c r="AJ147" i="1"/>
  <c r="AK147" i="1"/>
  <c r="AL147" i="1"/>
  <c r="AM147" i="1"/>
  <c r="AN147" i="1"/>
  <c r="AO147" i="1"/>
  <c r="AP147" i="1"/>
  <c r="AC146" i="1"/>
  <c r="AD146" i="1"/>
  <c r="AE146" i="1"/>
  <c r="AF146" i="1"/>
  <c r="AG146" i="1"/>
  <c r="AH146" i="1"/>
  <c r="AC147" i="1"/>
  <c r="AD147" i="1"/>
  <c r="AE147" i="1"/>
  <c r="AF147" i="1"/>
  <c r="AG147" i="1"/>
  <c r="AH147" i="1"/>
  <c r="W146" i="1"/>
  <c r="X146" i="1"/>
  <c r="Y146" i="1"/>
  <c r="Z146" i="1"/>
  <c r="AA146" i="1"/>
  <c r="AB146" i="1"/>
  <c r="W147" i="1"/>
  <c r="X147" i="1"/>
  <c r="Y147" i="1"/>
  <c r="Z147" i="1"/>
  <c r="AA147" i="1"/>
  <c r="AB147" i="1"/>
  <c r="P146" i="1"/>
  <c r="Q146" i="1"/>
  <c r="R146" i="1"/>
  <c r="S146" i="1"/>
  <c r="T146" i="1"/>
  <c r="U146" i="1"/>
  <c r="V146" i="1"/>
  <c r="P147" i="1"/>
  <c r="Q147" i="1"/>
  <c r="R147" i="1"/>
  <c r="S147" i="1"/>
  <c r="T147" i="1"/>
  <c r="U147" i="1"/>
  <c r="V147" i="1"/>
  <c r="G146" i="1"/>
  <c r="H146" i="1"/>
  <c r="I146" i="1"/>
  <c r="J146" i="1"/>
  <c r="K146" i="1"/>
  <c r="L146" i="1"/>
  <c r="M146" i="1"/>
  <c r="N146" i="1"/>
  <c r="O146" i="1"/>
  <c r="G147" i="1"/>
  <c r="H147" i="1"/>
  <c r="I147" i="1"/>
  <c r="J147" i="1"/>
  <c r="K147" i="1"/>
  <c r="L147" i="1"/>
  <c r="M147" i="1"/>
  <c r="N147" i="1"/>
  <c r="O147" i="1"/>
  <c r="F146" i="1"/>
  <c r="F147" i="1"/>
  <c r="E147" i="1"/>
  <c r="E146" i="1"/>
  <c r="CH4" i="8" l="1"/>
  <c r="CI4" i="8"/>
  <c r="CK4" i="8"/>
  <c r="CJ4" i="8"/>
  <c r="CL4" i="8"/>
  <c r="CM4" i="8"/>
  <c r="CQ4" i="8"/>
  <c r="CN4" i="8"/>
  <c r="CG4" i="8"/>
  <c r="CO4" i="8"/>
  <c r="CP4" i="8"/>
  <c r="BP2" i="1"/>
  <c r="BP3" i="1"/>
  <c r="BP4" i="1"/>
  <c r="BP5" i="1"/>
  <c r="BP7" i="1"/>
  <c r="BP44" i="1"/>
  <c r="BP43" i="1"/>
  <c r="BP45" i="1"/>
  <c r="BP46" i="1"/>
  <c r="BP39" i="1"/>
  <c r="BP40" i="1"/>
  <c r="BP47" i="1"/>
  <c r="BP48" i="1"/>
  <c r="BP59" i="1"/>
  <c r="BP49" i="1"/>
  <c r="BP50" i="1"/>
  <c r="BP60" i="1"/>
  <c r="BP62" i="1"/>
  <c r="BP63" i="1"/>
  <c r="BP89" i="1"/>
  <c r="BP98" i="1"/>
  <c r="BP6" i="1"/>
  <c r="BP92" i="1"/>
  <c r="BP64" i="1"/>
  <c r="BP65" i="1"/>
  <c r="BP66" i="1"/>
  <c r="BP67" i="1"/>
  <c r="BP95" i="1"/>
  <c r="BP96" i="1"/>
  <c r="BP97" i="1"/>
  <c r="BP56" i="1"/>
  <c r="BP41" i="1"/>
  <c r="BP42" i="1"/>
  <c r="BP27" i="1"/>
  <c r="BP52" i="1"/>
  <c r="BP57" i="1"/>
  <c r="BP61" i="1"/>
  <c r="BP16" i="1"/>
  <c r="BP38" i="1"/>
  <c r="BP68" i="1"/>
  <c r="BP69" i="1"/>
  <c r="BP70" i="1"/>
  <c r="BP91" i="1"/>
  <c r="BP88" i="1"/>
  <c r="BP93" i="1"/>
  <c r="BP127" i="1"/>
  <c r="BP128" i="1"/>
  <c r="BP106" i="1"/>
  <c r="BP53" i="1"/>
  <c r="BP99" i="1"/>
  <c r="BP100" i="1"/>
  <c r="BP101" i="1"/>
  <c r="BP54" i="1"/>
  <c r="BP55" i="1"/>
  <c r="BP108" i="1"/>
  <c r="BP111" i="1"/>
  <c r="BP134" i="1"/>
  <c r="BP17" i="1"/>
  <c r="BP119" i="1"/>
  <c r="BP122" i="1"/>
  <c r="BP10" i="1"/>
  <c r="BP11" i="1"/>
  <c r="BP12" i="1"/>
  <c r="BP13" i="1"/>
  <c r="BP14" i="1"/>
  <c r="BP15" i="1"/>
  <c r="BP79" i="1"/>
  <c r="BP80" i="1"/>
  <c r="BP81" i="1"/>
  <c r="BP8" i="1"/>
  <c r="BP84" i="1"/>
  <c r="BP85" i="1"/>
  <c r="BP139" i="1"/>
  <c r="BP121" i="1"/>
  <c r="BP133" i="1"/>
  <c r="BP28" i="1"/>
  <c r="BP29" i="1"/>
  <c r="BP30" i="1"/>
  <c r="BP31" i="1"/>
  <c r="BP32" i="1"/>
  <c r="BP109" i="1"/>
  <c r="BP110" i="1"/>
  <c r="BP112" i="1"/>
  <c r="BP113" i="1"/>
  <c r="BP114" i="1"/>
  <c r="BP115" i="1"/>
  <c r="BP136" i="1"/>
  <c r="BP137" i="1"/>
  <c r="BP138" i="1"/>
  <c r="BP135" i="1" l="1"/>
  <c r="BM143" i="1" l="1"/>
  <c r="AM143" i="1"/>
  <c r="L143" i="1"/>
  <c r="BK143" i="1"/>
  <c r="AJ143" i="1"/>
  <c r="BH143" i="1"/>
  <c r="AH143" i="1"/>
  <c r="AL143" i="1"/>
  <c r="BD143" i="1"/>
  <c r="BL143" i="1"/>
  <c r="J143" i="1"/>
  <c r="H143" i="1"/>
  <c r="G143" i="1"/>
  <c r="BG143" i="1"/>
  <c r="AE143" i="1"/>
  <c r="F143" i="1"/>
  <c r="BJ143" i="1"/>
  <c r="AI143" i="1"/>
  <c r="I143" i="1"/>
  <c r="AG143" i="1"/>
  <c r="BE143" i="1"/>
  <c r="AF143" i="1"/>
  <c r="BF143" i="1"/>
  <c r="O143" i="1"/>
  <c r="BO143" i="1"/>
  <c r="N143" i="1"/>
  <c r="K143" i="1"/>
  <c r="AK143" i="1"/>
  <c r="BI143" i="1"/>
  <c r="E143" i="1"/>
  <c r="BN143" i="1"/>
  <c r="AN143" i="1"/>
  <c r="M143" i="1"/>
  <c r="AP143" i="1"/>
  <c r="BC143" i="1"/>
  <c r="AO143" i="1"/>
  <c r="V143" i="1"/>
  <c r="Y143" i="1"/>
  <c r="W143" i="1"/>
  <c r="S143" i="1"/>
  <c r="X143" i="1"/>
  <c r="R143" i="1"/>
  <c r="Z143" i="1"/>
  <c r="U143" i="1"/>
  <c r="T143" i="1"/>
  <c r="AC143" i="1"/>
  <c r="Q143" i="1"/>
  <c r="AB143" i="1"/>
  <c r="P143" i="1"/>
  <c r="AA143" i="1"/>
  <c r="AD143" i="1"/>
  <c r="AR143" i="1" l="1"/>
  <c r="AU143" i="1"/>
  <c r="BB143" i="1"/>
  <c r="AS143" i="1"/>
  <c r="AW143" i="1"/>
  <c r="AT143" i="1"/>
  <c r="AY143" i="1"/>
  <c r="AZ143" i="1"/>
  <c r="AV143" i="1"/>
  <c r="AQ143" i="1"/>
  <c r="AX143" i="1"/>
  <c r="BA143" i="1"/>
</calcChain>
</file>

<file path=xl/sharedStrings.xml><?xml version="1.0" encoding="utf-8"?>
<sst xmlns="http://schemas.openxmlformats.org/spreadsheetml/2006/main" count="859" uniqueCount="328">
  <si>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</si>
  <si>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</si>
  <si>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</si>
  <si>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</si>
  <si>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</si>
  <si>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</si>
  <si>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</si>
  <si>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</si>
  <si>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</si>
  <si>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</si>
  <si>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</si>
  <si>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</si>
  <si>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</si>
  <si>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</si>
  <si>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</si>
  <si>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</si>
  <si>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</si>
  <si>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</si>
  <si>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</si>
  <si>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</si>
  <si>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</si>
  <si>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</si>
  <si>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</si>
  <si>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</si>
  <si>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</si>
  <si>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</si>
  <si>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</si>
  <si>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</si>
  <si>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</si>
  <si>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</si>
  <si>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</si>
  <si>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</si>
  <si>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</si>
  <si>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</si>
  <si>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</si>
  <si>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</si>
  <si>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</si>
  <si>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</si>
  <si>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</si>
  <si>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</si>
  <si>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</si>
  <si>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</si>
  <si>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</si>
  <si>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</si>
  <si>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</si>
  <si>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</si>
  <si>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</si>
  <si>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</si>
  <si>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</si>
  <si>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</si>
  <si>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</si>
  <si>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</si>
  <si>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</si>
  <si>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九色鹿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</si>
  <si>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</si>
  <si>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</si>
  <si>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</si>
  <si>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</si>
  <si>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</si>
  <si>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</si>
  <si>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</si>
  <si>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</si>
  <si>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</si>
  <si>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</si>
  <si>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</si>
  <si>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</si>
  <si>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</si>
  <si>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</si>
  <si>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</si>
  <si>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</si>
  <si>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</si>
  <si>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</si>
  <si>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</si>
  <si>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</si>
  <si>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</si>
  <si>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</si>
  <si>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</si>
  <si>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</si>
  <si>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</si>
  <si>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</si>
  <si>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</si>
  <si>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</si>
  <si>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</si>
  <si>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</si>
  <si>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</si>
  <si>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</si>
  <si>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</si>
  <si>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</si>
  <si>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</si>
  <si>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</si>
  <si>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</si>
  <si>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</si>
  <si>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</si>
  <si>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</si>
  <si>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</si>
  <si>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</si>
  <si>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</si>
  <si>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</si>
  <si>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</si>
  <si>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</si>
  <si>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</si>
  <si>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</si>
  <si>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</si>
  <si>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</si>
  <si>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</si>
  <si>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</si>
  <si>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</si>
  <si>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</si>
  <si>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</si>
  <si>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</si>
  <si>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</si>
  <si>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</si>
  <si>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</si>
  <si>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</si>
  <si>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</si>
  <si>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</si>
  <si>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</si>
  <si>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</si>
  <si>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</si>
  <si>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</si>
  <si>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</si>
  <si>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</si>
  <si>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</si>
  <si>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</si>
  <si>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</si>
  <si>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</si>
  <si>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</si>
  <si>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</si>
  <si>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</si>
  <si>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</si>
  <si>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</si>
  <si>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</si>
  <si>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</si>
  <si>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</si>
  <si>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</si>
  <si>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</si>
  <si>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三条</t>
    <phoneticPr fontId="1" type="noConversion"/>
  </si>
  <si>
    <t>暗卒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</si>
  <si>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</si>
  <si>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</si>
  <si>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</si>
  <si>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</si>
  <si>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</si>
  <si>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</si>
  <si>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</si>
  <si>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</si>
  <si>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</si>
  <si>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</si>
  <si>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</si>
  <si>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</si>
  <si>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</si>
  <si>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</si>
  <si>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</si>
  <si>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</si>
  <si>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</si>
  <si>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</si>
  <si>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</si>
  <si>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</si>
  <si>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</si>
  <si>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</si>
  <si>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</si>
  <si>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</si>
  <si>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</si>
  <si>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</si>
  <si>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</si>
  <si>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</si>
  <si>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</si>
  <si>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</si>
  <si>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</si>
  <si>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</si>
  <si>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</si>
  <si>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</si>
  <si>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</si>
  <si>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</si>
  <si>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</si>
  <si>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</si>
  <si>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</si>
  <si>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</si>
  <si>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</si>
  <si>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</si>
  <si>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</si>
  <si>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</si>
  <si>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</si>
  <si>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</si>
  <si>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</si>
  <si>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</si>
  <si>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</si>
  <si>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</si>
  <si>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</si>
  <si>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</si>
  <si>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</si>
  <si>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</si>
  <si>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</si>
  <si>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</si>
  <si>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</si>
  <si>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</si>
  <si>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</si>
  <si>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</si>
  <si>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</si>
  <si>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</si>
  <si>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</si>
  <si>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</si>
  <si>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</si>
  <si>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</si>
  <si>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</si>
  <si>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</si>
  <si>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</si>
  <si>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</si>
  <si>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桂花酒(5),</t>
    <phoneticPr fontId="1" type="noConversion"/>
  </si>
  <si>
    <t>欠条大(6),_x000D_
钱袋大(7),</t>
    <phoneticPr fontId="1" type="noConversion"/>
  </si>
  <si>
    <t>炼生</t>
    <phoneticPr fontId="1" type="noConversion"/>
  </si>
  <si>
    <t>炼生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</si>
  <si>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</si>
  <si>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</si>
  <si>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</si>
  <si>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</si>
  <si>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</si>
  <si>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七条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</si>
  <si>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</si>
  <si>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</si>
  <si>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</si>
  <si>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</si>
  <si>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</si>
  <si>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暗车</t>
    <phoneticPr fontId="1" type="noConversion"/>
  </si>
  <si>
    <t>暗炮</t>
    <phoneticPr fontId="1" type="noConversion"/>
  </si>
  <si>
    <t>二条</t>
    <phoneticPr fontId="1" type="noConversion"/>
  </si>
  <si>
    <t>六万</t>
  </si>
  <si>
    <t>彗星(4),</t>
    <phoneticPr fontId="1" type="noConversion"/>
  </si>
  <si>
    <t>桂花(5),</t>
    <phoneticPr fontId="1" type="noConversion"/>
  </si>
  <si>
    <t>骰子大(2),_x000D_
庄家令牌大(2),</t>
    <phoneticPr fontId="1" type="noConversion"/>
  </si>
  <si>
    <t>欠条中(4),_x000D_
欠条大(3),</t>
    <phoneticPr fontId="1" type="noConversion"/>
  </si>
  <si>
    <t>桂花(5),_x000D_
桂花酒(5),</t>
    <phoneticPr fontId="1" type="noConversion"/>
  </si>
  <si>
    <t>超进阶素材光(45),_x000D_
超进阶素材暗(45),</t>
    <phoneticPr fontId="1" type="noConversion"/>
  </si>
  <si>
    <t>骰子中(1),</t>
    <phoneticPr fontId="1" type="noConversion"/>
  </si>
  <si>
    <t>庄家令牌中(1),</t>
    <phoneticPr fontId="1" type="noConversion"/>
  </si>
  <si>
    <t>欠条中(2),</t>
    <phoneticPr fontId="1" type="noConversion"/>
  </si>
  <si>
    <t>彗星(14),</t>
    <phoneticPr fontId="1" type="noConversion"/>
  </si>
  <si>
    <t>螃蟹(5),_x000D_
桂花(5),_x000D_
桂花酒(5),</t>
    <phoneticPr fontId="1" type="noConversion"/>
  </si>
  <si>
    <t>神农鼎(5),_x000D_
幸运符文叉大(1),</t>
    <phoneticPr fontId="1" type="noConversion"/>
  </si>
  <si>
    <t>螃蟹(5),</t>
    <phoneticPr fontId="1" type="noConversion"/>
  </si>
  <si>
    <t>幸运符文叉大(6),</t>
    <phoneticPr fontId="1" type="noConversion"/>
  </si>
  <si>
    <t>神农鼎(6),_x000D_
愚山乾坤石(4),</t>
    <phoneticPr fontId="1" type="noConversion"/>
  </si>
  <si>
    <t>秘窟冰晶卵(12),</t>
    <phoneticPr fontId="1" type="noConversion"/>
  </si>
  <si>
    <t>金甲虫(194),</t>
    <phoneticPr fontId="1" type="noConversion"/>
  </si>
  <si>
    <t>糯米(5),_x000D_
粽叶(1),</t>
    <phoneticPr fontId="1" type="noConversion"/>
  </si>
  <si>
    <t>欠条大(6),_x000D_
骰子大(2),</t>
    <phoneticPr fontId="1" type="noConversion"/>
  </si>
  <si>
    <t>筹码大(7),_x000D_
庄家令牌大(2),_x000D_
龙灵不朽藤(6),</t>
    <phoneticPr fontId="1" type="noConversion"/>
  </si>
  <si>
    <t>糯米(10),_x000D_
粽叶(10),_x000D_
龙灵不朽藤(1),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</si>
  <si>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</si>
  <si>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</si>
  <si>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</si>
  <si>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</si>
  <si>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</si>
  <si>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</si>
  <si>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</si>
  <si>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</si>
  <si>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</si>
  <si>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</si>
  <si>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</si>
  <si>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</si>
  <si>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</si>
  <si>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</si>
  <si>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</si>
  <si>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</si>
  <si>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</si>
  <si>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</si>
  <si>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</si>
  <si>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</si>
  <si>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</si>
  <si>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骰子中(1),</t>
    <phoneticPr fontId="1" type="noConversion"/>
  </si>
  <si>
    <t>庄家令牌中(1),</t>
    <phoneticPr fontId="1" type="noConversion"/>
  </si>
  <si>
    <t>骰子小(4),_x000D_
庄家令牌中(1),</t>
    <phoneticPr fontId="1" type="noConversion"/>
  </si>
  <si>
    <t>骰子小(4),_x000D_
庄家令牌中(1),</t>
    <phoneticPr fontId="1" type="noConversion"/>
  </si>
  <si>
    <t>欠条中(2),_x000D_
骰子小(4),</t>
    <phoneticPr fontId="1" type="noConversion"/>
  </si>
  <si>
    <t>糯米(2),</t>
    <phoneticPr fontId="1" type="noConversion"/>
  </si>
  <si>
    <t>糯米(3),</t>
    <phoneticPr fontId="1" type="noConversion"/>
  </si>
  <si>
    <t>欠条中(4),</t>
    <phoneticPr fontId="1" type="noConversion"/>
  </si>
  <si>
    <t>力量符文叉大(3),</t>
    <phoneticPr fontId="1" type="noConversion"/>
  </si>
  <si>
    <t>愚山乾坤石(4),</t>
    <phoneticPr fontId="1" type="noConversion"/>
  </si>
  <si>
    <t>仙丹(5),</t>
    <phoneticPr fontId="1" type="noConversion"/>
  </si>
  <si>
    <t>桂花酒(5),</t>
    <phoneticPr fontId="1" type="noConversion"/>
  </si>
  <si>
    <t>桂花(5),</t>
    <phoneticPr fontId="1" type="noConversion"/>
  </si>
  <si>
    <t>龙灵不朽藤(6),</t>
    <phoneticPr fontId="1" type="noConversion"/>
  </si>
  <si>
    <t>幸运符文叉大(6),</t>
    <phoneticPr fontId="1" type="noConversion"/>
  </si>
  <si>
    <t>愚山乾坤石(9),</t>
    <phoneticPr fontId="1" type="noConversion"/>
  </si>
  <si>
    <t>神农鼎(10),</t>
    <phoneticPr fontId="1" type="noConversion"/>
  </si>
  <si>
    <t>彗星(24),_x000D_
魅力符文叉大(10),</t>
    <phoneticPr fontId="1" type="noConversion"/>
  </si>
  <si>
    <t>金甲虫(44),</t>
    <phoneticPr fontId="1" type="noConversion"/>
  </si>
  <si>
    <t>骰子大(2),_x000D_
庄家令牌大(2),</t>
    <phoneticPr fontId="1" type="noConversion"/>
  </si>
  <si>
    <t>糯米(5),_x000D_
粽叶(1),</t>
    <phoneticPr fontId="1" type="noConversion"/>
  </si>
  <si>
    <t>糯米(3),_x000D_
粽叶(5),</t>
    <phoneticPr fontId="1" type="noConversion"/>
  </si>
  <si>
    <t>欠条大(6),_x000D_
骰子大(2),</t>
    <phoneticPr fontId="1" type="noConversion"/>
  </si>
  <si>
    <t>桂花(5),_x000D_
桂花酒(5),</t>
    <phoneticPr fontId="1" type="noConversion"/>
  </si>
  <si>
    <t>神农鼎(6),_x000D_
秘窟冰晶卵(7),</t>
    <phoneticPr fontId="1" type="noConversion"/>
  </si>
  <si>
    <t>欠条大(6),_x000D_
钱袋大(7),</t>
    <phoneticPr fontId="1" type="noConversion"/>
  </si>
  <si>
    <t>神农鼎(15),_x000D_
龙灵不朽藤(11),</t>
    <phoneticPr fontId="1" type="noConversion"/>
  </si>
  <si>
    <t>神农鼎(20),_x000D_
幸运符文叉大(16),</t>
    <phoneticPr fontId="1" type="noConversion"/>
  </si>
  <si>
    <t>超进阶素材光(45),_x000D_
超进阶素材暗(45),</t>
    <phoneticPr fontId="1" type="noConversion"/>
  </si>
  <si>
    <t>欠条中(2),_x000D_
骰子中(1),_x000D_
庄家令牌中(1),</t>
    <phoneticPr fontId="1" type="noConversion"/>
  </si>
  <si>
    <t>骰子大(2),_x000D_
筹码大(7),_x000D_
庄家令牌大(2),</t>
    <phoneticPr fontId="1" type="noConversion"/>
  </si>
  <si>
    <t>欠条大(6),_x000D_
骰子大(2),_x000D_
龙灵不朽藤(6),</t>
    <phoneticPr fontId="1" type="noConversion"/>
  </si>
  <si>
    <t>神农鼎(7),_x000D_
欠条中(4),_x000D_
筹码大(4),</t>
    <phoneticPr fontId="1" type="noConversion"/>
  </si>
  <si>
    <t>筹码大(7),_x000D_
庄家令牌大(2),_x000D_
龙灵不朽藤(6),</t>
    <phoneticPr fontId="1" type="noConversion"/>
  </si>
  <si>
    <t>桂花(5),_x000D_
桂花酒(5),_x000D_
灯笼(5),</t>
    <phoneticPr fontId="1" type="noConversion"/>
  </si>
  <si>
    <t>钱袋大(7),_x000D_
筹码大(7),_x000D_
秘窟冰晶卵(7),</t>
    <phoneticPr fontId="1" type="noConversion"/>
  </si>
  <si>
    <t>赤焰十字星(20),_x000D_
力量符文叉大(23),_x000D_
技巧符文叉大(17),</t>
    <phoneticPr fontId="1" type="noConversion"/>
  </si>
  <si>
    <t>秘窟冰晶卵(37),_x000D_
力量符文叉大(23),_x000D_
速度符文叉大(16),</t>
    <phoneticPr fontId="1" type="noConversion"/>
  </si>
  <si>
    <t>超进阶素材火(42),_x000D_
超进阶素材光(45),_x000D_
超进阶素材暗(45),</t>
    <phoneticPr fontId="1" type="noConversion"/>
  </si>
  <si>
    <t>神农鼎(10),_x000D_
欠条大(6),_x000D_
骰子大(2),_x000D_
愚山乾坤石(4),</t>
    <phoneticPr fontId="1" type="noConversion"/>
  </si>
  <si>
    <t>筹码中(1),</t>
  </si>
  <si>
    <t>欠条中(2),_x000D_
筹码中(1),</t>
    <phoneticPr fontId="1" type="noConversion"/>
  </si>
  <si>
    <t>欠条中(2),_x000D_
筹码中(1),</t>
    <phoneticPr fontId="1" type="noConversion"/>
  </si>
  <si>
    <t>骰子小(4),</t>
    <phoneticPr fontId="1" type="noConversion"/>
  </si>
  <si>
    <t>骰子小(4),</t>
    <phoneticPr fontId="1" type="noConversion"/>
  </si>
  <si>
    <t>幸运符文叉大(11),</t>
    <phoneticPr fontId="1" type="noConversion"/>
  </si>
  <si>
    <t>幸运符文叉大(16),</t>
    <phoneticPr fontId="1" type="noConversion"/>
  </si>
  <si>
    <t>欠条中(2),_x000D_
骰子中(1),_x000D_
筹码中(1),</t>
    <phoneticPr fontId="1" type="noConversion"/>
  </si>
  <si>
    <t>骰子小(4),_x000D_
筹码中(1),_x000D_
庄家令牌中(1),</t>
    <phoneticPr fontId="1" type="noConversion"/>
  </si>
  <si>
    <t>欠条中(2),_x000D_
骰子小(4),_x000D_
筹码中(1),</t>
    <phoneticPr fontId="1" type="noConversion"/>
  </si>
  <si>
    <t>愚山乾坤石(4),_x000D_
魅力符文叉大(10),</t>
    <phoneticPr fontId="1" type="noConversion"/>
  </si>
  <si>
    <t>钱袋大(7),_x000D_
筹码大(7),</t>
    <phoneticPr fontId="1" type="noConversion"/>
  </si>
  <si>
    <t>糯米(5),_x000D_
粽叶(10),</t>
    <phoneticPr fontId="1" type="noConversion"/>
  </si>
  <si>
    <t>秘窟冰晶卵(7),_x000D_
魅力符文叉大(10),</t>
    <phoneticPr fontId="1" type="noConversion"/>
  </si>
  <si>
    <t>魅力符文叉大(15),_x000D_
幸运符文叉大(11),</t>
    <phoneticPr fontId="1" type="noConversion"/>
  </si>
  <si>
    <t>神农鼎(15),_x000D_
幸运符文叉大(11),</t>
    <phoneticPr fontId="1" type="noConversion"/>
  </si>
  <si>
    <t>钱袋大(7),_x000D_
筹码大(7),_x000D_
秘窟冰晶卵(7),</t>
    <phoneticPr fontId="1" type="noConversion"/>
  </si>
  <si>
    <t>神农鼎(10),_x000D_
欠条大(6),_x000D_
钱袋大(7),</t>
    <phoneticPr fontId="1" type="noConversion"/>
  </si>
  <si>
    <t>麻将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</si>
</sst>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b/>
      <u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10" fillId="0" borderId="0" xfId="0" applyFont="1">
      <alignment vertical="center"/>
    </xf>
    <xf numFmtId="0" fontId="11" fillId="0" borderId="1" xfId="0" applyFont="1" applyBorder="1">
      <alignment vertical="center"/>
    </xf>
    <xf numFmtId="0" fontId="11" fillId="4" borderId="1" xfId="0" applyFont="1" applyFill="1" applyBorder="1">
      <alignment vertical="center"/>
    </xf>
    <xf numFmtId="0" fontId="11" fillId="6" borderId="1" xfId="0" applyFont="1" applyFill="1" applyBorder="1">
      <alignment vertical="center"/>
    </xf>
    <xf numFmtId="0" fontId="11" fillId="2" borderId="1" xfId="0" applyFont="1" applyFill="1" applyBorder="1">
      <alignment vertical="center"/>
    </xf>
    <xf numFmtId="0" fontId="11" fillId="3" borderId="1" xfId="0" applyFont="1" applyFill="1" applyBorder="1">
      <alignment vertical="center"/>
    </xf>
    <xf numFmtId="0" fontId="11" fillId="5" borderId="1" xfId="0" applyFont="1" applyFill="1" applyBorder="1">
      <alignment vertical="center"/>
    </xf>
    <xf numFmtId="0" fontId="11" fillId="0" borderId="1" xfId="0" applyFont="1" applyBorder="1" applyAlignment="1">
      <alignment vertical="center" wrapText="1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147</xdr:row>
          <xdr:rowOff>28575</xdr:rowOff>
        </xdr:from>
        <xdr:to>
          <xdr:col>1</xdr:col>
          <xdr:colOff>428625</xdr:colOff>
          <xdr:row>148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T148"/>
  <sheetViews>
    <sheetView tabSelected="1" workbookViewId="0">
      <pane xSplit="2" ySplit="1" topLeftCell="BI2" activePane="bottomRight" state="frozen"/>
      <selection pane="topRight" activeCell="C1" sqref="C1"/>
      <selection pane="bottomLeft" activeCell="A3" sqref="A3"/>
      <selection pane="bottomRight" activeCell="BT1" sqref="BT1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</cols>
  <sheetData>
    <row r="1" spans="1:72" s="13" customFormat="1">
      <c r="A1" s="8" t="s">
        <v>69</v>
      </c>
      <c r="B1" s="8" t="s">
        <v>70</v>
      </c>
      <c r="C1" s="8" t="s">
        <v>72</v>
      </c>
      <c r="D1" s="8" t="s">
        <v>71</v>
      </c>
      <c r="E1" s="9" t="s">
        <v>2</v>
      </c>
      <c r="F1" s="9" t="s">
        <v>3</v>
      </c>
      <c r="G1" s="9" t="s">
        <v>12</v>
      </c>
      <c r="H1" s="9" t="s">
        <v>22</v>
      </c>
      <c r="I1" s="9" t="s">
        <v>23</v>
      </c>
      <c r="J1" s="9" t="s">
        <v>67</v>
      </c>
      <c r="K1" s="9" t="s">
        <v>24</v>
      </c>
      <c r="L1" s="9" t="s">
        <v>40</v>
      </c>
      <c r="M1" s="9" t="s">
        <v>42</v>
      </c>
      <c r="N1" s="9" t="s">
        <v>47</v>
      </c>
      <c r="O1" s="9" t="s">
        <v>41</v>
      </c>
      <c r="P1" s="27" t="s">
        <v>106</v>
      </c>
      <c r="Q1" s="27" t="s">
        <v>118</v>
      </c>
      <c r="R1" s="27" t="s">
        <v>112</v>
      </c>
      <c r="S1" s="27" t="s">
        <v>107</v>
      </c>
      <c r="T1" s="27" t="s">
        <v>116</v>
      </c>
      <c r="U1" s="27" t="s">
        <v>122</v>
      </c>
      <c r="V1" s="27" t="s">
        <v>108</v>
      </c>
      <c r="W1" s="27" t="s">
        <v>115</v>
      </c>
      <c r="X1" s="27" t="s">
        <v>113</v>
      </c>
      <c r="Y1" s="27" t="s">
        <v>109</v>
      </c>
      <c r="Z1" s="27" t="s">
        <v>117</v>
      </c>
      <c r="AA1" s="27" t="s">
        <v>124</v>
      </c>
      <c r="AB1" s="27" t="s">
        <v>111</v>
      </c>
      <c r="AC1" s="27" t="s">
        <v>110</v>
      </c>
      <c r="AD1" s="27" t="s">
        <v>135</v>
      </c>
      <c r="AE1" s="8" t="s">
        <v>8</v>
      </c>
      <c r="AF1" s="8" t="s">
        <v>28</v>
      </c>
      <c r="AG1" s="8" t="s">
        <v>29</v>
      </c>
      <c r="AH1" s="8" t="s">
        <v>57</v>
      </c>
      <c r="AI1" s="8" t="s">
        <v>58</v>
      </c>
      <c r="AJ1" s="8" t="s">
        <v>60</v>
      </c>
      <c r="AK1" s="8" t="s">
        <v>61</v>
      </c>
      <c r="AL1" s="8" t="s">
        <v>63</v>
      </c>
      <c r="AM1" s="8" t="s">
        <v>48</v>
      </c>
      <c r="AN1" s="8" t="s">
        <v>50</v>
      </c>
      <c r="AO1" s="8" t="s">
        <v>94</v>
      </c>
      <c r="AP1" s="8" t="s">
        <v>95</v>
      </c>
      <c r="AQ1" s="10" t="s">
        <v>38</v>
      </c>
      <c r="AR1" s="10" t="s">
        <v>4</v>
      </c>
      <c r="AS1" s="10" t="s">
        <v>26</v>
      </c>
      <c r="AT1" s="10" t="s">
        <v>52</v>
      </c>
      <c r="AU1" s="10" t="s">
        <v>55</v>
      </c>
      <c r="AV1" s="10" t="s">
        <v>46</v>
      </c>
      <c r="AW1" s="11" t="s">
        <v>5</v>
      </c>
      <c r="AX1" s="11" t="s">
        <v>6</v>
      </c>
      <c r="AY1" s="11" t="s">
        <v>39</v>
      </c>
      <c r="AZ1" s="11" t="s">
        <v>7</v>
      </c>
      <c r="BA1" s="11" t="s">
        <v>45</v>
      </c>
      <c r="BB1" s="11" t="s">
        <v>11</v>
      </c>
      <c r="BC1" s="25" t="s">
        <v>91</v>
      </c>
      <c r="BD1" s="8" t="s">
        <v>16</v>
      </c>
      <c r="BE1" s="8" t="s">
        <v>15</v>
      </c>
      <c r="BF1" s="8" t="s">
        <v>13</v>
      </c>
      <c r="BG1" s="8" t="s">
        <v>14</v>
      </c>
      <c r="BH1" s="8" t="s">
        <v>17</v>
      </c>
      <c r="BI1" s="8" t="s">
        <v>18</v>
      </c>
      <c r="BJ1" s="8" t="s">
        <v>31</v>
      </c>
      <c r="BK1" s="8" t="s">
        <v>32</v>
      </c>
      <c r="BL1" s="8" t="s">
        <v>33</v>
      </c>
      <c r="BM1" s="8" t="s">
        <v>34</v>
      </c>
      <c r="BN1" s="8" t="s">
        <v>35</v>
      </c>
      <c r="BO1" s="8" t="s">
        <v>36</v>
      </c>
      <c r="BP1" s="12" t="s">
        <v>76</v>
      </c>
      <c r="BQ1" s="8" t="s">
        <v>77</v>
      </c>
      <c r="BR1" s="16" t="s">
        <v>78</v>
      </c>
      <c r="BS1" s="16"/>
      <c r="BT1" s="13" t="s">
        <v>327</v>
      </c>
    </row>
    <row r="2" spans="1:72">
      <c r="A2" s="1">
        <v>55</v>
      </c>
      <c r="B2" s="1" t="s">
        <v>43</v>
      </c>
      <c r="C2" s="1" t="s">
        <v>44</v>
      </c>
      <c r="D2" s="1" t="s">
        <v>10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>
        <v>20</v>
      </c>
      <c r="BE2" s="1">
        <v>20</v>
      </c>
      <c r="BF2" s="1"/>
      <c r="BG2" s="1"/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>
        <f>SUM(P2:AD2)</f>
        <v>0</v>
      </c>
    </row>
    <row r="3" spans="1:72">
      <c r="A3" s="1"/>
      <c r="B3" s="1" t="s">
        <v>88</v>
      </c>
      <c r="C3" s="1" t="s">
        <v>89</v>
      </c>
      <c r="D3" s="1" t="s">
        <v>87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>
        <f t="shared" ref="BT3:BT66" si="0">SUM(P3:AD3)</f>
        <v>0</v>
      </c>
    </row>
    <row r="4" spans="1:72" s="23" customFormat="1">
      <c r="A4" s="1"/>
      <c r="B4" s="1" t="s">
        <v>149</v>
      </c>
      <c r="C4" s="1" t="s">
        <v>97</v>
      </c>
      <c r="D4" s="1" t="s">
        <v>87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>
        <v>20</v>
      </c>
      <c r="BG4" s="1">
        <v>20</v>
      </c>
      <c r="BH4" s="1">
        <v>20</v>
      </c>
      <c r="BI4" s="1">
        <v>20</v>
      </c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>
        <f t="shared" si="0"/>
        <v>0</v>
      </c>
    </row>
    <row r="5" spans="1:72" s="23" customFormat="1">
      <c r="A5" s="1"/>
      <c r="B5" s="1" t="s">
        <v>156</v>
      </c>
      <c r="C5" s="1" t="s">
        <v>85</v>
      </c>
      <c r="D5" s="1" t="s">
        <v>87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>
        <v>20</v>
      </c>
      <c r="BG5" s="1">
        <v>20</v>
      </c>
      <c r="BH5" s="1"/>
      <c r="BI5" s="1"/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>
        <f t="shared" si="0"/>
        <v>0</v>
      </c>
    </row>
    <row r="6" spans="1:72">
      <c r="A6" s="1"/>
      <c r="B6" s="1" t="s">
        <v>181</v>
      </c>
      <c r="C6" s="1" t="s">
        <v>100</v>
      </c>
      <c r="D6" s="1" t="s">
        <v>87</v>
      </c>
      <c r="E6" s="6"/>
      <c r="F6" s="6">
        <v>6</v>
      </c>
      <c r="G6" s="6"/>
      <c r="H6" s="6"/>
      <c r="I6" s="6"/>
      <c r="J6" s="6"/>
      <c r="K6" s="6"/>
      <c r="L6" s="6"/>
      <c r="M6" s="6"/>
      <c r="N6" s="6"/>
      <c r="O6" s="6">
        <v>6</v>
      </c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>
        <v>10</v>
      </c>
      <c r="AU6" s="4"/>
      <c r="AV6" s="4"/>
      <c r="AW6" s="2"/>
      <c r="AX6" s="2"/>
      <c r="AY6" s="2">
        <v>10</v>
      </c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>
        <f>SUM(E6:BO6)</f>
        <v>32</v>
      </c>
      <c r="BQ6" s="1">
        <v>0</v>
      </c>
      <c r="BR6" s="17">
        <v>0</v>
      </c>
      <c r="BS6" s="17"/>
      <c r="BT6">
        <f t="shared" si="0"/>
        <v>0</v>
      </c>
    </row>
    <row r="7" spans="1:72" s="39" customFormat="1">
      <c r="A7" s="1">
        <v>91</v>
      </c>
      <c r="B7" s="3" t="s">
        <v>66</v>
      </c>
      <c r="C7" s="3" t="s">
        <v>65</v>
      </c>
      <c r="D7" s="1" t="s">
        <v>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>
        <v>5</v>
      </c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>
        <f>SUM(E7:BO7)</f>
        <v>5</v>
      </c>
      <c r="BQ7" s="1">
        <v>0</v>
      </c>
      <c r="BR7" s="17">
        <v>0</v>
      </c>
      <c r="BS7" s="17"/>
      <c r="BT7">
        <f t="shared" si="0"/>
        <v>0</v>
      </c>
    </row>
    <row r="8" spans="1:72" hidden="1">
      <c r="A8" s="1"/>
      <c r="B8" s="1" t="s">
        <v>129</v>
      </c>
      <c r="C8" s="1" t="s">
        <v>130</v>
      </c>
      <c r="D8" s="1" t="s">
        <v>103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/>
      <c r="W8" s="28"/>
      <c r="X8" s="28"/>
      <c r="Y8" s="28"/>
      <c r="Z8" s="28">
        <v>5</v>
      </c>
      <c r="AA8" s="28"/>
      <c r="AB8" s="28">
        <v>10</v>
      </c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>SUM(E8:BO8)</f>
        <v>35</v>
      </c>
      <c r="BQ8" s="1">
        <v>1</v>
      </c>
      <c r="BR8" s="17">
        <v>1</v>
      </c>
      <c r="BS8" s="17" t="s">
        <v>309</v>
      </c>
      <c r="BT8">
        <f t="shared" si="0"/>
        <v>35</v>
      </c>
    </row>
    <row r="9" spans="1:72" hidden="1">
      <c r="A9" s="1"/>
      <c r="B9" s="3" t="s">
        <v>212</v>
      </c>
      <c r="C9" s="3" t="s">
        <v>51</v>
      </c>
      <c r="D9" s="1" t="s">
        <v>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/>
      <c r="Q9" s="28"/>
      <c r="R9" s="28">
        <v>2</v>
      </c>
      <c r="S9" s="28"/>
      <c r="T9" s="28"/>
      <c r="U9" s="28">
        <v>2</v>
      </c>
      <c r="V9" s="28"/>
      <c r="W9" s="28"/>
      <c r="X9" s="28">
        <v>2</v>
      </c>
      <c r="Y9" s="28"/>
      <c r="Z9" s="28">
        <v>5</v>
      </c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11</v>
      </c>
      <c r="BQ9" s="1">
        <v>1</v>
      </c>
      <c r="BR9" s="17">
        <v>1</v>
      </c>
      <c r="BS9" s="17" t="s">
        <v>309</v>
      </c>
      <c r="BT9">
        <f t="shared" si="0"/>
        <v>11</v>
      </c>
    </row>
    <row r="10" spans="1:72" hidden="1">
      <c r="A10" s="1"/>
      <c r="B10" s="1" t="s">
        <v>114</v>
      </c>
      <c r="C10" s="1" t="s">
        <v>102</v>
      </c>
      <c r="D10" s="1" t="s">
        <v>103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>
        <v>10</v>
      </c>
      <c r="Q10" s="28"/>
      <c r="R10" s="28"/>
      <c r="S10" s="28">
        <v>10</v>
      </c>
      <c r="T10" s="28"/>
      <c r="U10" s="28"/>
      <c r="V10" s="28"/>
      <c r="W10" s="28">
        <v>5</v>
      </c>
      <c r="X10" s="28"/>
      <c r="Y10" s="28"/>
      <c r="Z10" s="28"/>
      <c r="AA10" s="28"/>
      <c r="AB10" s="28">
        <v>10</v>
      </c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35</v>
      </c>
      <c r="BQ10" s="1">
        <v>1</v>
      </c>
      <c r="BR10" s="17">
        <v>1</v>
      </c>
      <c r="BS10" s="17" t="s">
        <v>233</v>
      </c>
      <c r="BT10">
        <f t="shared" si="0"/>
        <v>35</v>
      </c>
    </row>
    <row r="11" spans="1:72" hidden="1">
      <c r="A11" s="1"/>
      <c r="B11" s="1" t="s">
        <v>119</v>
      </c>
      <c r="C11" s="1" t="s">
        <v>102</v>
      </c>
      <c r="D11" s="1" t="s">
        <v>103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>
        <v>10</v>
      </c>
      <c r="Q11" s="28"/>
      <c r="R11" s="28"/>
      <c r="S11" s="28">
        <v>10</v>
      </c>
      <c r="T11" s="28"/>
      <c r="U11" s="28"/>
      <c r="V11" s="28"/>
      <c r="W11" s="28">
        <v>5</v>
      </c>
      <c r="X11" s="28"/>
      <c r="Y11" s="28"/>
      <c r="Z11" s="28"/>
      <c r="AA11" s="28"/>
      <c r="AB11" s="28">
        <v>10</v>
      </c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35</v>
      </c>
      <c r="BQ11" s="1">
        <v>1</v>
      </c>
      <c r="BR11" s="17">
        <v>1</v>
      </c>
      <c r="BS11" s="17" t="s">
        <v>233</v>
      </c>
      <c r="BT11">
        <f t="shared" si="0"/>
        <v>35</v>
      </c>
    </row>
    <row r="12" spans="1:72" hidden="1">
      <c r="A12" s="1"/>
      <c r="B12" s="1" t="s">
        <v>123</v>
      </c>
      <c r="C12" s="1" t="s">
        <v>121</v>
      </c>
      <c r="D12" s="1" t="s">
        <v>103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>
        <v>10</v>
      </c>
      <c r="Q12" s="28"/>
      <c r="R12" s="28"/>
      <c r="S12" s="28">
        <v>10</v>
      </c>
      <c r="T12" s="28"/>
      <c r="U12" s="28"/>
      <c r="V12" s="28"/>
      <c r="W12" s="28">
        <v>5</v>
      </c>
      <c r="X12" s="28"/>
      <c r="Y12" s="28"/>
      <c r="Z12" s="28"/>
      <c r="AA12" s="28"/>
      <c r="AB12" s="28">
        <v>10</v>
      </c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35</v>
      </c>
      <c r="BQ12" s="1">
        <v>1</v>
      </c>
      <c r="BR12" s="17">
        <v>1</v>
      </c>
      <c r="BS12" s="17" t="s">
        <v>233</v>
      </c>
      <c r="BT12">
        <f t="shared" si="0"/>
        <v>35</v>
      </c>
    </row>
    <row r="13" spans="1:72" s="49" customFormat="1" hidden="1">
      <c r="A13" s="1"/>
      <c r="B13" s="1" t="s">
        <v>127</v>
      </c>
      <c r="C13" s="1" t="s">
        <v>125</v>
      </c>
      <c r="D13" s="1" t="s">
        <v>103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>
        <v>10</v>
      </c>
      <c r="Q13" s="28"/>
      <c r="R13" s="28"/>
      <c r="S13" s="28">
        <v>10</v>
      </c>
      <c r="T13" s="28"/>
      <c r="U13" s="28"/>
      <c r="V13" s="28"/>
      <c r="W13" s="28">
        <v>5</v>
      </c>
      <c r="X13" s="28"/>
      <c r="Y13" s="28"/>
      <c r="Z13" s="28"/>
      <c r="AA13" s="28"/>
      <c r="AB13" s="28">
        <v>10</v>
      </c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35</v>
      </c>
      <c r="BQ13" s="1">
        <v>1</v>
      </c>
      <c r="BR13" s="17">
        <v>1</v>
      </c>
      <c r="BS13" s="17" t="s">
        <v>233</v>
      </c>
      <c r="BT13">
        <f t="shared" si="0"/>
        <v>35</v>
      </c>
    </row>
    <row r="14" spans="1:72" hidden="1">
      <c r="A14" s="1"/>
      <c r="B14" s="1" t="s">
        <v>133</v>
      </c>
      <c r="C14" s="1" t="s">
        <v>132</v>
      </c>
      <c r="D14" s="1" t="s">
        <v>103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>
        <v>10</v>
      </c>
      <c r="Q14" s="28"/>
      <c r="R14" s="28"/>
      <c r="S14" s="28">
        <v>10</v>
      </c>
      <c r="T14" s="28"/>
      <c r="U14" s="28"/>
      <c r="V14" s="28"/>
      <c r="W14" s="28">
        <v>5</v>
      </c>
      <c r="X14" s="28"/>
      <c r="Y14" s="28"/>
      <c r="Z14" s="28"/>
      <c r="AA14" s="28"/>
      <c r="AB14" s="28">
        <v>10</v>
      </c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35</v>
      </c>
      <c r="BQ14" s="1">
        <v>1</v>
      </c>
      <c r="BR14" s="17">
        <v>1</v>
      </c>
      <c r="BS14" s="17" t="s">
        <v>233</v>
      </c>
      <c r="BT14">
        <f t="shared" si="0"/>
        <v>35</v>
      </c>
    </row>
    <row r="15" spans="1:72" hidden="1">
      <c r="A15" s="1"/>
      <c r="B15" s="1" t="s">
        <v>138</v>
      </c>
      <c r="C15" s="1" t="s">
        <v>100</v>
      </c>
      <c r="D15" s="1" t="s">
        <v>139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>
        <v>10</v>
      </c>
      <c r="Q15" s="28"/>
      <c r="R15" s="28"/>
      <c r="S15" s="28">
        <v>10</v>
      </c>
      <c r="T15" s="28"/>
      <c r="U15" s="28"/>
      <c r="V15" s="28"/>
      <c r="W15" s="28">
        <v>5</v>
      </c>
      <c r="X15" s="28"/>
      <c r="Y15" s="28"/>
      <c r="Z15" s="28"/>
      <c r="AA15" s="28"/>
      <c r="AB15" s="28">
        <v>10</v>
      </c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35</v>
      </c>
      <c r="BQ15" s="1">
        <v>1</v>
      </c>
      <c r="BR15" s="17">
        <v>1</v>
      </c>
      <c r="BS15" s="17" t="s">
        <v>233</v>
      </c>
      <c r="BT15">
        <f t="shared" si="0"/>
        <v>35</v>
      </c>
    </row>
    <row r="16" spans="1:72" hidden="1">
      <c r="A16" s="60"/>
      <c r="B16" s="60" t="s">
        <v>210</v>
      </c>
      <c r="C16" s="60" t="s">
        <v>132</v>
      </c>
      <c r="D16" s="60" t="s">
        <v>104</v>
      </c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2"/>
      <c r="Q16" s="62"/>
      <c r="R16" s="62"/>
      <c r="S16" s="62"/>
      <c r="T16" s="62"/>
      <c r="U16" s="62">
        <v>2</v>
      </c>
      <c r="V16" s="62"/>
      <c r="W16" s="62"/>
      <c r="X16" s="62"/>
      <c r="Y16" s="62"/>
      <c r="Z16" s="62"/>
      <c r="AA16" s="62">
        <v>2</v>
      </c>
      <c r="AB16" s="62"/>
      <c r="AC16" s="62">
        <v>5</v>
      </c>
      <c r="AD16" s="62">
        <v>2</v>
      </c>
      <c r="AE16" s="60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3"/>
      <c r="AR16" s="63"/>
      <c r="AS16" s="63"/>
      <c r="AT16" s="63"/>
      <c r="AU16" s="63"/>
      <c r="AV16" s="63"/>
      <c r="AW16" s="64"/>
      <c r="AX16" s="64"/>
      <c r="AY16" s="64"/>
      <c r="AZ16" s="64"/>
      <c r="BA16" s="64"/>
      <c r="BB16" s="64"/>
      <c r="BC16" s="65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>
        <f>SUM(E16:BO16)</f>
        <v>11</v>
      </c>
      <c r="BQ16" s="60">
        <v>1</v>
      </c>
      <c r="BR16" s="66">
        <v>1</v>
      </c>
      <c r="BS16" s="66" t="s">
        <v>234</v>
      </c>
      <c r="BT16">
        <f t="shared" si="0"/>
        <v>11</v>
      </c>
    </row>
    <row r="17" spans="1:72" hidden="1">
      <c r="A17" s="1"/>
      <c r="B17" s="1" t="s">
        <v>136</v>
      </c>
      <c r="C17" s="1" t="s">
        <v>132</v>
      </c>
      <c r="D17" s="1" t="s">
        <v>105</v>
      </c>
      <c r="E17" s="6"/>
      <c r="F17" s="6"/>
      <c r="G17" s="6">
        <v>5</v>
      </c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>
        <v>5</v>
      </c>
      <c r="W17" s="28"/>
      <c r="X17" s="28"/>
      <c r="Y17" s="28">
        <v>5</v>
      </c>
      <c r="Z17" s="28"/>
      <c r="AA17" s="28"/>
      <c r="AB17" s="28"/>
      <c r="AC17" s="28">
        <v>5</v>
      </c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20</v>
      </c>
      <c r="BQ17" s="1">
        <v>1</v>
      </c>
      <c r="BR17" s="17">
        <v>1</v>
      </c>
      <c r="BS17" s="17" t="s">
        <v>270</v>
      </c>
      <c r="BT17">
        <f t="shared" si="0"/>
        <v>15</v>
      </c>
    </row>
    <row r="18" spans="1:72" hidden="1">
      <c r="A18" s="1"/>
      <c r="B18" s="3" t="s">
        <v>216</v>
      </c>
      <c r="C18" s="3" t="s">
        <v>25</v>
      </c>
      <c r="D18" s="1" t="s">
        <v>213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>
        <v>10</v>
      </c>
      <c r="Q18" s="28"/>
      <c r="R18" s="28"/>
      <c r="S18" s="28">
        <v>10</v>
      </c>
      <c r="T18" s="28"/>
      <c r="U18" s="28"/>
      <c r="V18" s="28"/>
      <c r="W18" s="28">
        <v>5</v>
      </c>
      <c r="X18" s="28"/>
      <c r="Y18" s="28"/>
      <c r="Z18" s="28"/>
      <c r="AA18" s="28"/>
      <c r="AB18" s="28">
        <v>10</v>
      </c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35</v>
      </c>
      <c r="BQ18" s="1">
        <v>1</v>
      </c>
      <c r="BR18" s="17">
        <v>1</v>
      </c>
      <c r="BS18" s="17" t="s">
        <v>233</v>
      </c>
      <c r="BT18">
        <f t="shared" si="0"/>
        <v>35</v>
      </c>
    </row>
    <row r="19" spans="1:72" hidden="1">
      <c r="A19" s="1"/>
      <c r="B19" s="3" t="s">
        <v>217</v>
      </c>
      <c r="C19" s="3" t="s">
        <v>218</v>
      </c>
      <c r="D19" s="1" t="s">
        <v>0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/>
      <c r="R19" s="28"/>
      <c r="S19" s="28"/>
      <c r="T19" s="28"/>
      <c r="U19" s="28"/>
      <c r="V19" s="28"/>
      <c r="W19" s="28"/>
      <c r="X19" s="28">
        <v>2</v>
      </c>
      <c r="Y19" s="28"/>
      <c r="Z19" s="28"/>
      <c r="AA19" s="28">
        <v>2</v>
      </c>
      <c r="AB19" s="28"/>
      <c r="AC19" s="28">
        <v>5</v>
      </c>
      <c r="AD19" s="28">
        <v>2</v>
      </c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11</v>
      </c>
      <c r="BQ19" s="1">
        <v>1</v>
      </c>
      <c r="BR19" s="17">
        <v>1</v>
      </c>
      <c r="BS19" s="17" t="s">
        <v>234</v>
      </c>
      <c r="BT19">
        <f t="shared" si="0"/>
        <v>11</v>
      </c>
    </row>
    <row r="20" spans="1:72" hidden="1">
      <c r="A20" s="1"/>
      <c r="B20" s="3" t="s">
        <v>219</v>
      </c>
      <c r="C20" s="3" t="s">
        <v>220</v>
      </c>
      <c r="D20" s="1" t="s">
        <v>213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>
        <v>10</v>
      </c>
      <c r="Q20" s="28"/>
      <c r="R20" s="28"/>
      <c r="S20" s="28">
        <v>10</v>
      </c>
      <c r="T20" s="28"/>
      <c r="U20" s="28"/>
      <c r="V20" s="28"/>
      <c r="W20" s="28">
        <v>5</v>
      </c>
      <c r="X20" s="28"/>
      <c r="Y20" s="28"/>
      <c r="Z20" s="28"/>
      <c r="AA20" s="28"/>
      <c r="AB20" s="28">
        <v>10</v>
      </c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35</v>
      </c>
      <c r="BQ20" s="1">
        <v>1</v>
      </c>
      <c r="BR20" s="17">
        <v>1</v>
      </c>
      <c r="BS20" s="17" t="s">
        <v>233</v>
      </c>
      <c r="BT20">
        <f t="shared" si="0"/>
        <v>35</v>
      </c>
    </row>
    <row r="21" spans="1:72" hidden="1">
      <c r="A21" s="1"/>
      <c r="B21" s="3" t="s">
        <v>221</v>
      </c>
      <c r="C21" s="3" t="s">
        <v>220</v>
      </c>
      <c r="D21" s="1" t="s">
        <v>213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>
        <v>10</v>
      </c>
      <c r="Q21" s="28"/>
      <c r="R21" s="28"/>
      <c r="S21" s="28">
        <v>10</v>
      </c>
      <c r="T21" s="28"/>
      <c r="U21" s="28"/>
      <c r="V21" s="28"/>
      <c r="W21" s="28">
        <v>5</v>
      </c>
      <c r="X21" s="28"/>
      <c r="Y21" s="28"/>
      <c r="Z21" s="28"/>
      <c r="AA21" s="28"/>
      <c r="AB21" s="28">
        <v>10</v>
      </c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35</v>
      </c>
      <c r="BQ21" s="1">
        <v>1</v>
      </c>
      <c r="BR21" s="17">
        <v>1</v>
      </c>
      <c r="BS21" s="17" t="s">
        <v>269</v>
      </c>
      <c r="BT21">
        <f t="shared" si="0"/>
        <v>35</v>
      </c>
    </row>
    <row r="22" spans="1:72" hidden="1">
      <c r="A22" s="1"/>
      <c r="B22" s="3" t="s">
        <v>223</v>
      </c>
      <c r="C22" s="3" t="s">
        <v>101</v>
      </c>
      <c r="D22" s="1" t="s">
        <v>213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>
        <v>10</v>
      </c>
      <c r="Q22" s="28"/>
      <c r="R22" s="28"/>
      <c r="S22" s="28">
        <v>10</v>
      </c>
      <c r="T22" s="28"/>
      <c r="U22" s="28"/>
      <c r="V22" s="28"/>
      <c r="W22" s="28">
        <v>5</v>
      </c>
      <c r="X22" s="28"/>
      <c r="Y22" s="28"/>
      <c r="Z22" s="28"/>
      <c r="AA22" s="28"/>
      <c r="AB22" s="28">
        <v>10</v>
      </c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35</v>
      </c>
      <c r="BQ22" s="1">
        <v>1</v>
      </c>
      <c r="BR22" s="17">
        <v>1</v>
      </c>
      <c r="BS22" s="17" t="s">
        <v>233</v>
      </c>
      <c r="BT22">
        <f t="shared" si="0"/>
        <v>35</v>
      </c>
    </row>
    <row r="23" spans="1:72" hidden="1">
      <c r="A23" s="1"/>
      <c r="B23" s="3" t="s">
        <v>226</v>
      </c>
      <c r="C23" s="3" t="s">
        <v>101</v>
      </c>
      <c r="D23" s="1" t="s">
        <v>213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>
        <v>10</v>
      </c>
      <c r="Q23" s="28"/>
      <c r="R23" s="28"/>
      <c r="S23" s="28">
        <v>10</v>
      </c>
      <c r="T23" s="28"/>
      <c r="U23" s="28"/>
      <c r="V23" s="28"/>
      <c r="W23" s="28">
        <v>5</v>
      </c>
      <c r="X23" s="28"/>
      <c r="Y23" s="28"/>
      <c r="Z23" s="28"/>
      <c r="AA23" s="28"/>
      <c r="AB23" s="28">
        <v>10</v>
      </c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35</v>
      </c>
      <c r="BQ23" s="1">
        <v>1</v>
      </c>
      <c r="BR23" s="17">
        <v>1</v>
      </c>
      <c r="BS23" s="17" t="s">
        <v>233</v>
      </c>
      <c r="BT23">
        <f t="shared" si="0"/>
        <v>35</v>
      </c>
    </row>
    <row r="24" spans="1:72">
      <c r="A24" s="18"/>
      <c r="B24" s="18" t="s">
        <v>96</v>
      </c>
      <c r="C24" s="18" t="s">
        <v>89</v>
      </c>
      <c r="D24" s="18" t="s">
        <v>93</v>
      </c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>
        <v>2</v>
      </c>
      <c r="AP24" s="18"/>
      <c r="AQ24" s="20"/>
      <c r="AR24" s="20"/>
      <c r="AS24" s="20"/>
      <c r="AT24" s="20"/>
      <c r="AU24" s="20"/>
      <c r="AV24" s="20"/>
      <c r="AW24" s="21"/>
      <c r="AX24" s="21"/>
      <c r="AY24" s="21"/>
      <c r="AZ24" s="21"/>
      <c r="BA24" s="21"/>
      <c r="BB24" s="21"/>
      <c r="BC24" s="26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">
        <f>SUM(E24:BO24)</f>
        <v>2</v>
      </c>
      <c r="BQ24" s="18">
        <v>2</v>
      </c>
      <c r="BR24" s="22">
        <v>1</v>
      </c>
      <c r="BS24" s="22" t="s">
        <v>274</v>
      </c>
      <c r="BT24">
        <f t="shared" si="0"/>
        <v>0</v>
      </c>
    </row>
    <row r="25" spans="1:72" s="23" customFormat="1" hidden="1">
      <c r="A25" s="1"/>
      <c r="B25" s="3" t="s">
        <v>225</v>
      </c>
      <c r="C25" s="3" t="s">
        <v>101</v>
      </c>
      <c r="D25" s="1" t="s">
        <v>214</v>
      </c>
      <c r="E25" s="6"/>
      <c r="F25" s="6"/>
      <c r="G25" s="6"/>
      <c r="H25" s="6"/>
      <c r="I25" s="6"/>
      <c r="J25" s="6">
        <v>5</v>
      </c>
      <c r="K25" s="6"/>
      <c r="L25" s="6"/>
      <c r="M25" s="6"/>
      <c r="N25" s="6"/>
      <c r="O25" s="6"/>
      <c r="P25" s="28"/>
      <c r="Q25" s="28">
        <v>5</v>
      </c>
      <c r="R25" s="28"/>
      <c r="S25" s="28"/>
      <c r="T25" s="28"/>
      <c r="U25" s="28"/>
      <c r="V25" s="28">
        <v>5</v>
      </c>
      <c r="W25" s="28"/>
      <c r="X25" s="28"/>
      <c r="Y25" s="28">
        <v>5</v>
      </c>
      <c r="Z25" s="28"/>
      <c r="AA25" s="28"/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20</v>
      </c>
      <c r="BQ25" s="1">
        <v>2</v>
      </c>
      <c r="BR25" s="17">
        <v>1</v>
      </c>
      <c r="BS25" s="17" t="s">
        <v>235</v>
      </c>
      <c r="BT25">
        <f t="shared" si="0"/>
        <v>15</v>
      </c>
    </row>
    <row r="26" spans="1:72" s="59" customFormat="1">
      <c r="A26" s="18"/>
      <c r="B26" s="18" t="s">
        <v>184</v>
      </c>
      <c r="C26" s="18" t="s">
        <v>25</v>
      </c>
      <c r="D26" s="18" t="s">
        <v>185</v>
      </c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>
        <v>3</v>
      </c>
      <c r="AP26" s="18"/>
      <c r="AQ26" s="20"/>
      <c r="AR26" s="20"/>
      <c r="AS26" s="20"/>
      <c r="AT26" s="20"/>
      <c r="AU26" s="20"/>
      <c r="AV26" s="20"/>
      <c r="AW26" s="21"/>
      <c r="AX26" s="21"/>
      <c r="AY26" s="21"/>
      <c r="AZ26" s="21"/>
      <c r="BA26" s="21"/>
      <c r="BB26" s="21"/>
      <c r="BC26" s="26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>
        <f>SUM(E26:BO26)</f>
        <v>3</v>
      </c>
      <c r="BQ26" s="18">
        <v>3</v>
      </c>
      <c r="BR26" s="22">
        <v>1</v>
      </c>
      <c r="BS26" s="22" t="s">
        <v>275</v>
      </c>
      <c r="BT26">
        <f t="shared" si="0"/>
        <v>0</v>
      </c>
    </row>
    <row r="27" spans="1:72">
      <c r="A27" s="40">
        <v>77</v>
      </c>
      <c r="B27" s="47" t="s">
        <v>143</v>
      </c>
      <c r="C27" s="47" t="s">
        <v>51</v>
      </c>
      <c r="D27" s="40" t="s">
        <v>10</v>
      </c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3"/>
      <c r="AR27" s="43"/>
      <c r="AS27" s="43"/>
      <c r="AT27" s="43">
        <v>20</v>
      </c>
      <c r="AU27" s="43"/>
      <c r="AV27" s="43"/>
      <c r="AW27" s="44">
        <v>20</v>
      </c>
      <c r="AX27" s="44">
        <v>20</v>
      </c>
      <c r="AY27" s="44"/>
      <c r="AZ27" s="44"/>
      <c r="BA27" s="44"/>
      <c r="BB27" s="44">
        <v>10</v>
      </c>
      <c r="BC27" s="45"/>
      <c r="BD27" s="40"/>
      <c r="BE27" s="40"/>
      <c r="BF27" s="40"/>
      <c r="BG27" s="40"/>
      <c r="BH27" s="40">
        <v>20</v>
      </c>
      <c r="BI27" s="40"/>
      <c r="BJ27" s="40"/>
      <c r="BK27" s="40"/>
      <c r="BL27" s="40"/>
      <c r="BM27" s="40"/>
      <c r="BN27" s="40"/>
      <c r="BO27" s="40"/>
      <c r="BP27" s="40">
        <f>SUM(E27:BO27)</f>
        <v>90</v>
      </c>
      <c r="BQ27" s="40">
        <v>3</v>
      </c>
      <c r="BR27" s="46">
        <v>1</v>
      </c>
      <c r="BS27" s="46" t="s">
        <v>277</v>
      </c>
      <c r="BT27">
        <f t="shared" si="0"/>
        <v>0</v>
      </c>
    </row>
    <row r="28" spans="1:72" hidden="1">
      <c r="A28" s="1"/>
      <c r="B28" s="1" t="s">
        <v>120</v>
      </c>
      <c r="C28" s="1" t="s">
        <v>121</v>
      </c>
      <c r="D28" s="1" t="s">
        <v>103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>
        <v>10</v>
      </c>
      <c r="Q28" s="28"/>
      <c r="R28" s="28"/>
      <c r="S28" s="28">
        <v>10</v>
      </c>
      <c r="T28" s="28"/>
      <c r="U28" s="28"/>
      <c r="V28" s="28">
        <v>10</v>
      </c>
      <c r="W28" s="28"/>
      <c r="X28" s="28"/>
      <c r="Y28" s="28">
        <v>10</v>
      </c>
      <c r="Z28" s="28"/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40</v>
      </c>
      <c r="BQ28" s="1">
        <v>4</v>
      </c>
      <c r="BR28" s="17">
        <v>1</v>
      </c>
      <c r="BS28" s="17" t="s">
        <v>312</v>
      </c>
      <c r="BT28">
        <f t="shared" si="0"/>
        <v>40</v>
      </c>
    </row>
    <row r="29" spans="1:72" hidden="1">
      <c r="A29" s="1"/>
      <c r="B29" s="1" t="s">
        <v>126</v>
      </c>
      <c r="C29" s="1" t="s">
        <v>125</v>
      </c>
      <c r="D29" s="1" t="s">
        <v>103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>
        <v>10</v>
      </c>
      <c r="Q29" s="28"/>
      <c r="R29" s="28"/>
      <c r="S29" s="28">
        <v>10</v>
      </c>
      <c r="T29" s="28"/>
      <c r="U29" s="28"/>
      <c r="V29" s="28">
        <v>10</v>
      </c>
      <c r="W29" s="28"/>
      <c r="X29" s="28"/>
      <c r="Y29" s="28">
        <v>10</v>
      </c>
      <c r="Z29" s="28"/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40</v>
      </c>
      <c r="BQ29" s="1">
        <v>4</v>
      </c>
      <c r="BR29" s="17">
        <v>1</v>
      </c>
      <c r="BS29" s="17" t="s">
        <v>312</v>
      </c>
      <c r="BT29">
        <f t="shared" si="0"/>
        <v>40</v>
      </c>
    </row>
    <row r="30" spans="1:72" s="48" customFormat="1" hidden="1">
      <c r="A30" s="1"/>
      <c r="B30" s="1" t="s">
        <v>128</v>
      </c>
      <c r="C30" s="1" t="s">
        <v>130</v>
      </c>
      <c r="D30" s="1" t="s">
        <v>103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>
        <v>10</v>
      </c>
      <c r="Q30" s="28"/>
      <c r="R30" s="28"/>
      <c r="S30" s="28">
        <v>10</v>
      </c>
      <c r="T30" s="28"/>
      <c r="U30" s="28"/>
      <c r="V30" s="28">
        <v>10</v>
      </c>
      <c r="W30" s="28"/>
      <c r="X30" s="28"/>
      <c r="Y30" s="28">
        <v>10</v>
      </c>
      <c r="Z30" s="28"/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40</v>
      </c>
      <c r="BQ30" s="1">
        <v>4</v>
      </c>
      <c r="BR30" s="17">
        <v>1</v>
      </c>
      <c r="BS30" s="17" t="s">
        <v>313</v>
      </c>
      <c r="BT30">
        <f t="shared" si="0"/>
        <v>40</v>
      </c>
    </row>
    <row r="31" spans="1:72" hidden="1">
      <c r="A31" s="1"/>
      <c r="B31" s="1" t="s">
        <v>134</v>
      </c>
      <c r="C31" s="1" t="s">
        <v>132</v>
      </c>
      <c r="D31" s="1" t="s">
        <v>103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>
        <v>10</v>
      </c>
      <c r="Q31" s="28"/>
      <c r="R31" s="28"/>
      <c r="S31" s="28">
        <v>10</v>
      </c>
      <c r="T31" s="28"/>
      <c r="U31" s="28"/>
      <c r="V31" s="28">
        <v>10</v>
      </c>
      <c r="W31" s="28"/>
      <c r="X31" s="28"/>
      <c r="Y31" s="28">
        <v>10</v>
      </c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40</v>
      </c>
      <c r="BQ31" s="1">
        <v>4</v>
      </c>
      <c r="BR31" s="17">
        <v>1</v>
      </c>
      <c r="BS31" s="17" t="s">
        <v>313</v>
      </c>
      <c r="BT31">
        <f t="shared" si="0"/>
        <v>40</v>
      </c>
    </row>
    <row r="32" spans="1:72" s="48" customFormat="1" hidden="1">
      <c r="A32" s="1"/>
      <c r="B32" s="1" t="s">
        <v>136</v>
      </c>
      <c r="C32" s="1" t="s">
        <v>132</v>
      </c>
      <c r="D32" s="1" t="s">
        <v>103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>
        <v>10</v>
      </c>
      <c r="Q32" s="28"/>
      <c r="R32" s="28"/>
      <c r="S32" s="28">
        <v>10</v>
      </c>
      <c r="T32" s="28"/>
      <c r="U32" s="28"/>
      <c r="V32" s="28">
        <v>10</v>
      </c>
      <c r="W32" s="28"/>
      <c r="X32" s="28"/>
      <c r="Y32" s="28">
        <v>10</v>
      </c>
      <c r="Z32" s="28"/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40</v>
      </c>
      <c r="BQ32" s="1">
        <v>4</v>
      </c>
      <c r="BR32" s="17">
        <v>1</v>
      </c>
      <c r="BS32" s="17" t="s">
        <v>312</v>
      </c>
      <c r="BT32">
        <f t="shared" si="0"/>
        <v>40</v>
      </c>
    </row>
    <row r="33" spans="1:72" hidden="1">
      <c r="A33" s="1"/>
      <c r="B33" s="1" t="s">
        <v>137</v>
      </c>
      <c r="C33" s="1" t="s">
        <v>132</v>
      </c>
      <c r="D33" s="1" t="s">
        <v>103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>
        <v>10</v>
      </c>
      <c r="Q33" s="28"/>
      <c r="R33" s="28"/>
      <c r="S33" s="28">
        <v>10</v>
      </c>
      <c r="T33" s="28"/>
      <c r="U33" s="28"/>
      <c r="V33" s="28">
        <v>10</v>
      </c>
      <c r="W33" s="28"/>
      <c r="X33" s="28"/>
      <c r="Y33" s="28">
        <v>10</v>
      </c>
      <c r="Z33" s="28"/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40</v>
      </c>
      <c r="BQ33" s="1">
        <v>4</v>
      </c>
      <c r="BR33" s="17">
        <v>1</v>
      </c>
      <c r="BS33" s="17" t="s">
        <v>312</v>
      </c>
      <c r="BT33">
        <f t="shared" si="0"/>
        <v>40</v>
      </c>
    </row>
    <row r="34" spans="1:72" hidden="1">
      <c r="A34" s="1"/>
      <c r="B34" s="3" t="s">
        <v>215</v>
      </c>
      <c r="C34" s="3" t="s">
        <v>51</v>
      </c>
      <c r="D34" s="1" t="s">
        <v>213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>
        <v>10</v>
      </c>
      <c r="Q34" s="28"/>
      <c r="R34" s="28"/>
      <c r="S34" s="28">
        <v>10</v>
      </c>
      <c r="T34" s="28"/>
      <c r="U34" s="28"/>
      <c r="V34" s="28">
        <v>10</v>
      </c>
      <c r="W34" s="28"/>
      <c r="X34" s="28"/>
      <c r="Y34" s="28">
        <v>10</v>
      </c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40</v>
      </c>
      <c r="BQ34" s="1">
        <v>4</v>
      </c>
      <c r="BR34" s="17">
        <v>1</v>
      </c>
      <c r="BS34" s="17" t="s">
        <v>313</v>
      </c>
      <c r="BT34">
        <f t="shared" si="0"/>
        <v>40</v>
      </c>
    </row>
    <row r="35" spans="1:72" hidden="1">
      <c r="A35" s="1"/>
      <c r="B35" s="3" t="s">
        <v>222</v>
      </c>
      <c r="C35" s="3" t="s">
        <v>220</v>
      </c>
      <c r="D35" s="1" t="s">
        <v>213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>
        <v>10</v>
      </c>
      <c r="Q35" s="28"/>
      <c r="R35" s="28"/>
      <c r="S35" s="28">
        <v>10</v>
      </c>
      <c r="T35" s="28"/>
      <c r="U35" s="28"/>
      <c r="V35" s="28">
        <v>10</v>
      </c>
      <c r="W35" s="28"/>
      <c r="X35" s="28"/>
      <c r="Y35" s="28">
        <v>10</v>
      </c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40</v>
      </c>
      <c r="BQ35" s="1">
        <v>4</v>
      </c>
      <c r="BR35" s="17">
        <v>1</v>
      </c>
      <c r="BS35" s="17" t="s">
        <v>312</v>
      </c>
      <c r="BT35">
        <f t="shared" si="0"/>
        <v>40</v>
      </c>
    </row>
    <row r="36" spans="1:72" s="67" customFormat="1" hidden="1">
      <c r="A36" s="1"/>
      <c r="B36" s="3" t="s">
        <v>224</v>
      </c>
      <c r="C36" s="3" t="s">
        <v>101</v>
      </c>
      <c r="D36" s="1" t="s">
        <v>213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>
        <v>10</v>
      </c>
      <c r="Q36" s="28"/>
      <c r="R36" s="28"/>
      <c r="S36" s="28">
        <v>10</v>
      </c>
      <c r="T36" s="28"/>
      <c r="U36" s="28"/>
      <c r="V36" s="28">
        <v>10</v>
      </c>
      <c r="W36" s="28"/>
      <c r="X36" s="28"/>
      <c r="Y36" s="28">
        <v>10</v>
      </c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40</v>
      </c>
      <c r="BQ36" s="1">
        <v>4</v>
      </c>
      <c r="BR36" s="17">
        <v>1</v>
      </c>
      <c r="BS36" s="17" t="s">
        <v>312</v>
      </c>
      <c r="BT36">
        <f t="shared" si="0"/>
        <v>40</v>
      </c>
    </row>
    <row r="37" spans="1:72" hidden="1">
      <c r="A37" s="1"/>
      <c r="B37" s="3" t="s">
        <v>225</v>
      </c>
      <c r="C37" s="3" t="s">
        <v>101</v>
      </c>
      <c r="D37" s="1" t="s">
        <v>213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>
        <v>10</v>
      </c>
      <c r="Q37" s="28"/>
      <c r="R37" s="28"/>
      <c r="S37" s="28">
        <v>10</v>
      </c>
      <c r="T37" s="28"/>
      <c r="U37" s="28"/>
      <c r="V37" s="28">
        <v>10</v>
      </c>
      <c r="W37" s="28"/>
      <c r="X37" s="28"/>
      <c r="Y37" s="28">
        <v>10</v>
      </c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40</v>
      </c>
      <c r="BQ37" s="1">
        <v>4</v>
      </c>
      <c r="BR37" s="17">
        <v>1</v>
      </c>
      <c r="BS37" s="17" t="s">
        <v>313</v>
      </c>
      <c r="BT37">
        <f t="shared" si="0"/>
        <v>40</v>
      </c>
    </row>
    <row r="38" spans="1:72" hidden="1">
      <c r="A38" s="1"/>
      <c r="B38" s="1" t="s">
        <v>129</v>
      </c>
      <c r="C38" s="1" t="s">
        <v>130</v>
      </c>
      <c r="D38" s="1" t="s">
        <v>105</v>
      </c>
      <c r="E38" s="6"/>
      <c r="F38" s="6"/>
      <c r="G38" s="6"/>
      <c r="H38" s="6"/>
      <c r="I38" s="6"/>
      <c r="J38" s="6"/>
      <c r="K38" s="6"/>
      <c r="L38" s="6">
        <v>7</v>
      </c>
      <c r="M38" s="6"/>
      <c r="N38" s="6"/>
      <c r="O38" s="6"/>
      <c r="P38" s="28"/>
      <c r="Q38" s="28">
        <v>7</v>
      </c>
      <c r="R38" s="28"/>
      <c r="S38" s="28"/>
      <c r="T38" s="28">
        <v>7</v>
      </c>
      <c r="U38" s="28"/>
      <c r="V38" s="28"/>
      <c r="W38" s="28"/>
      <c r="X38" s="28">
        <v>7</v>
      </c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28</v>
      </c>
      <c r="BQ38" s="1">
        <v>4</v>
      </c>
      <c r="BR38" s="17">
        <v>1</v>
      </c>
      <c r="BS38" s="17" t="s">
        <v>276</v>
      </c>
      <c r="BT38">
        <f t="shared" si="0"/>
        <v>21</v>
      </c>
    </row>
    <row r="39" spans="1:72">
      <c r="A39" s="18">
        <v>63</v>
      </c>
      <c r="B39" s="30" t="s">
        <v>49</v>
      </c>
      <c r="C39" s="18" t="s">
        <v>44</v>
      </c>
      <c r="D39" s="18" t="s">
        <v>19</v>
      </c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18"/>
      <c r="AF39" s="18"/>
      <c r="AG39" s="18"/>
      <c r="AH39" s="18"/>
      <c r="AI39" s="18"/>
      <c r="AJ39" s="18"/>
      <c r="AK39" s="18"/>
      <c r="AL39" s="18"/>
      <c r="AM39" s="18"/>
      <c r="AN39" s="18">
        <v>5</v>
      </c>
      <c r="AO39" s="18"/>
      <c r="AP39" s="18"/>
      <c r="AQ39" s="20"/>
      <c r="AR39" s="20"/>
      <c r="AS39" s="20"/>
      <c r="AT39" s="20"/>
      <c r="AU39" s="20"/>
      <c r="AV39" s="20"/>
      <c r="AW39" s="21"/>
      <c r="AX39" s="21"/>
      <c r="AY39" s="21"/>
      <c r="AZ39" s="21"/>
      <c r="BA39" s="21"/>
      <c r="BB39" s="21"/>
      <c r="BC39" s="26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>
        <f>SUM(E39:BO39)</f>
        <v>5</v>
      </c>
      <c r="BQ39" s="18">
        <v>4</v>
      </c>
      <c r="BR39" s="22">
        <v>1</v>
      </c>
      <c r="BS39" s="22" t="s">
        <v>227</v>
      </c>
      <c r="BT39">
        <f t="shared" si="0"/>
        <v>0</v>
      </c>
    </row>
    <row r="40" spans="1:72" s="58" customFormat="1">
      <c r="A40" s="18">
        <v>90</v>
      </c>
      <c r="B40" s="30" t="s">
        <v>66</v>
      </c>
      <c r="C40" s="30" t="s">
        <v>65</v>
      </c>
      <c r="D40" s="18" t="s">
        <v>19</v>
      </c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18"/>
      <c r="AF40" s="18"/>
      <c r="AG40" s="18"/>
      <c r="AH40" s="18"/>
      <c r="AI40" s="18"/>
      <c r="AJ40" s="18"/>
      <c r="AK40" s="18"/>
      <c r="AL40" s="18"/>
      <c r="AM40" s="18"/>
      <c r="AN40" s="18">
        <v>5</v>
      </c>
      <c r="AO40" s="18"/>
      <c r="AP40" s="18"/>
      <c r="AQ40" s="20"/>
      <c r="AR40" s="20"/>
      <c r="AS40" s="20"/>
      <c r="AT40" s="20"/>
      <c r="AU40" s="20"/>
      <c r="AV40" s="20"/>
      <c r="AW40" s="21"/>
      <c r="AX40" s="21"/>
      <c r="AY40" s="21"/>
      <c r="AZ40" s="21"/>
      <c r="BA40" s="21"/>
      <c r="BB40" s="21"/>
      <c r="BC40" s="26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>
        <f>SUM(E40:BO40)</f>
        <v>5</v>
      </c>
      <c r="BQ40" s="18">
        <v>4</v>
      </c>
      <c r="BR40" s="22">
        <v>1</v>
      </c>
      <c r="BS40" s="22" t="s">
        <v>227</v>
      </c>
      <c r="BT40">
        <f t="shared" si="0"/>
        <v>0</v>
      </c>
    </row>
    <row r="41" spans="1:72">
      <c r="A41" s="1"/>
      <c r="B41" s="1" t="s">
        <v>154</v>
      </c>
      <c r="C41" s="1" t="s">
        <v>97</v>
      </c>
      <c r="D41" s="1" t="s">
        <v>87</v>
      </c>
      <c r="E41" s="6">
        <v>10</v>
      </c>
      <c r="F41" s="6"/>
      <c r="G41" s="6">
        <v>10</v>
      </c>
      <c r="H41" s="6"/>
      <c r="I41" s="6"/>
      <c r="J41" s="6"/>
      <c r="K41" s="6"/>
      <c r="L41" s="6"/>
      <c r="M41" s="6"/>
      <c r="N41" s="6"/>
      <c r="O41" s="6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>
        <v>10</v>
      </c>
      <c r="AS41" s="4"/>
      <c r="AT41" s="4"/>
      <c r="AU41" s="4"/>
      <c r="AV41" s="4"/>
      <c r="AW41" s="2"/>
      <c r="AX41" s="2"/>
      <c r="AY41" s="2"/>
      <c r="AZ41" s="2"/>
      <c r="BA41" s="2"/>
      <c r="BB41" s="2">
        <v>10</v>
      </c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40</v>
      </c>
      <c r="BQ41" s="1">
        <v>4</v>
      </c>
      <c r="BR41" s="17">
        <v>1</v>
      </c>
      <c r="BS41" s="17" t="s">
        <v>278</v>
      </c>
      <c r="BT41">
        <f t="shared" si="0"/>
        <v>0</v>
      </c>
    </row>
    <row r="42" spans="1:72">
      <c r="A42" s="1"/>
      <c r="B42" s="1" t="s">
        <v>152</v>
      </c>
      <c r="C42" s="1" t="s">
        <v>131</v>
      </c>
      <c r="D42" s="1" t="s">
        <v>105</v>
      </c>
      <c r="E42" s="6">
        <v>10</v>
      </c>
      <c r="F42" s="6"/>
      <c r="G42" s="6">
        <v>10</v>
      </c>
      <c r="H42" s="6"/>
      <c r="I42" s="6"/>
      <c r="J42" s="6"/>
      <c r="K42" s="6"/>
      <c r="L42" s="6"/>
      <c r="M42" s="6"/>
      <c r="N42" s="6"/>
      <c r="O42" s="6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>
        <v>10</v>
      </c>
      <c r="AS42" s="4"/>
      <c r="AT42" s="4"/>
      <c r="AU42" s="4"/>
      <c r="AV42" s="4"/>
      <c r="AW42" s="2"/>
      <c r="AX42" s="2"/>
      <c r="AY42" s="2"/>
      <c r="AZ42" s="2"/>
      <c r="BA42" s="2"/>
      <c r="BB42" s="2">
        <v>10</v>
      </c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40</v>
      </c>
      <c r="BQ42" s="1">
        <v>4</v>
      </c>
      <c r="BR42" s="17">
        <v>1</v>
      </c>
      <c r="BS42" s="17" t="s">
        <v>278</v>
      </c>
      <c r="BT42">
        <f t="shared" si="0"/>
        <v>0</v>
      </c>
    </row>
    <row r="43" spans="1:72">
      <c r="A43" s="1">
        <v>18</v>
      </c>
      <c r="B43" s="1" t="s">
        <v>27</v>
      </c>
      <c r="C43" s="1" t="s">
        <v>25</v>
      </c>
      <c r="D43" s="1" t="s">
        <v>20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1"/>
      <c r="AF43" s="1"/>
      <c r="AG43" s="1">
        <v>5</v>
      </c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5</v>
      </c>
      <c r="BQ43" s="1">
        <v>5</v>
      </c>
      <c r="BR43" s="17">
        <v>1</v>
      </c>
      <c r="BS43" s="17" t="s">
        <v>279</v>
      </c>
      <c r="BT43">
        <f t="shared" si="0"/>
        <v>0</v>
      </c>
    </row>
    <row r="44" spans="1:72">
      <c r="A44" s="18">
        <v>17</v>
      </c>
      <c r="B44" s="18" t="s">
        <v>27</v>
      </c>
      <c r="C44" s="18" t="s">
        <v>25</v>
      </c>
      <c r="D44" s="18" t="s">
        <v>19</v>
      </c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18"/>
      <c r="AF44" s="18">
        <v>5</v>
      </c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20"/>
      <c r="AR44" s="20"/>
      <c r="AS44" s="20"/>
      <c r="AT44" s="20"/>
      <c r="AU44" s="20"/>
      <c r="AV44" s="20"/>
      <c r="AW44" s="21"/>
      <c r="AX44" s="21"/>
      <c r="AY44" s="21"/>
      <c r="AZ44" s="21"/>
      <c r="BA44" s="21"/>
      <c r="BB44" s="21"/>
      <c r="BC44" s="26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>
        <f>SUM(E44:BO44)</f>
        <v>5</v>
      </c>
      <c r="BQ44" s="18">
        <v>5</v>
      </c>
      <c r="BR44" s="22">
        <v>1</v>
      </c>
      <c r="BS44" s="22" t="s">
        <v>239</v>
      </c>
      <c r="BT44">
        <f t="shared" si="0"/>
        <v>0</v>
      </c>
    </row>
    <row r="45" spans="1:72" s="48" customFormat="1">
      <c r="A45" s="18">
        <v>32</v>
      </c>
      <c r="B45" s="18" t="s">
        <v>62</v>
      </c>
      <c r="C45" s="18" t="s">
        <v>25</v>
      </c>
      <c r="D45" s="18" t="s">
        <v>19</v>
      </c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18"/>
      <c r="AF45" s="18"/>
      <c r="AG45" s="18"/>
      <c r="AH45" s="18"/>
      <c r="AI45" s="18">
        <v>5</v>
      </c>
      <c r="AJ45" s="18"/>
      <c r="AK45" s="18"/>
      <c r="AL45" s="18"/>
      <c r="AM45" s="18"/>
      <c r="AN45" s="18"/>
      <c r="AO45" s="18"/>
      <c r="AP45" s="18"/>
      <c r="AQ45" s="20"/>
      <c r="AR45" s="20"/>
      <c r="AS45" s="20"/>
      <c r="AT45" s="20"/>
      <c r="AU45" s="20"/>
      <c r="AV45" s="20"/>
      <c r="AW45" s="21"/>
      <c r="AX45" s="21"/>
      <c r="AY45" s="21"/>
      <c r="AZ45" s="21"/>
      <c r="BA45" s="21"/>
      <c r="BB45" s="21"/>
      <c r="BC45" s="26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>
        <f>SUM(E45:BO45)</f>
        <v>5</v>
      </c>
      <c r="BQ45" s="18">
        <v>5</v>
      </c>
      <c r="BR45" s="22">
        <v>1</v>
      </c>
      <c r="BS45" s="22" t="s">
        <v>208</v>
      </c>
      <c r="BT45">
        <f t="shared" si="0"/>
        <v>0</v>
      </c>
    </row>
    <row r="46" spans="1:72">
      <c r="A46" s="18">
        <v>33</v>
      </c>
      <c r="B46" s="18" t="s">
        <v>62</v>
      </c>
      <c r="C46" s="18" t="s">
        <v>25</v>
      </c>
      <c r="D46" s="18" t="s">
        <v>0</v>
      </c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18"/>
      <c r="AF46" s="18"/>
      <c r="AG46" s="18"/>
      <c r="AH46" s="18">
        <v>5</v>
      </c>
      <c r="AI46" s="18"/>
      <c r="AJ46" s="18"/>
      <c r="AK46" s="18"/>
      <c r="AL46" s="18"/>
      <c r="AM46" s="18"/>
      <c r="AN46" s="18"/>
      <c r="AO46" s="18"/>
      <c r="AP46" s="18"/>
      <c r="AQ46" s="20"/>
      <c r="AR46" s="20"/>
      <c r="AS46" s="20"/>
      <c r="AT46" s="20"/>
      <c r="AU46" s="20"/>
      <c r="AV46" s="20"/>
      <c r="AW46" s="21"/>
      <c r="AX46" s="21"/>
      <c r="AY46" s="21"/>
      <c r="AZ46" s="21"/>
      <c r="BA46" s="21"/>
      <c r="BB46" s="21"/>
      <c r="BC46" s="26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>
        <f>SUM(E46:BO46)</f>
        <v>5</v>
      </c>
      <c r="BQ46" s="18">
        <v>5</v>
      </c>
      <c r="BR46" s="22">
        <v>1</v>
      </c>
      <c r="BS46" s="22" t="s">
        <v>281</v>
      </c>
      <c r="BT46">
        <f t="shared" si="0"/>
        <v>0</v>
      </c>
    </row>
    <row r="47" spans="1:72">
      <c r="A47" s="18"/>
      <c r="B47" s="18" t="s">
        <v>99</v>
      </c>
      <c r="C47" s="18" t="s">
        <v>97</v>
      </c>
      <c r="D47" s="18" t="s">
        <v>93</v>
      </c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18"/>
      <c r="AF47" s="18"/>
      <c r="AG47" s="18"/>
      <c r="AH47" s="18">
        <v>5</v>
      </c>
      <c r="AI47" s="18"/>
      <c r="AJ47" s="18"/>
      <c r="AK47" s="18"/>
      <c r="AL47" s="18"/>
      <c r="AM47" s="18"/>
      <c r="AN47" s="18"/>
      <c r="AO47" s="18"/>
      <c r="AP47" s="18"/>
      <c r="AQ47" s="20"/>
      <c r="AR47" s="20"/>
      <c r="AS47" s="20"/>
      <c r="AT47" s="20"/>
      <c r="AU47" s="20"/>
      <c r="AV47" s="20"/>
      <c r="AW47" s="21"/>
      <c r="AX47" s="21"/>
      <c r="AY47" s="21"/>
      <c r="AZ47" s="21"/>
      <c r="BA47" s="21"/>
      <c r="BB47" s="21"/>
      <c r="BC47" s="26"/>
      <c r="BD47" s="18"/>
      <c r="BE47" s="18"/>
      <c r="BF47" s="18"/>
      <c r="BG47" s="18"/>
      <c r="BH47" s="18"/>
      <c r="BI47" s="18"/>
      <c r="BJ47" s="18"/>
      <c r="BK47" s="18"/>
      <c r="BL47" s="18"/>
      <c r="BM47" s="18"/>
      <c r="BN47" s="18"/>
      <c r="BO47" s="18"/>
      <c r="BP47" s="18">
        <f>SUM(E47:BO47)</f>
        <v>5</v>
      </c>
      <c r="BQ47" s="18">
        <v>5</v>
      </c>
      <c r="BR47" s="22">
        <v>1</v>
      </c>
      <c r="BS47" s="22" t="s">
        <v>228</v>
      </c>
      <c r="BT47">
        <f t="shared" si="0"/>
        <v>0</v>
      </c>
    </row>
    <row r="48" spans="1:72">
      <c r="A48" s="18"/>
      <c r="B48" s="18" t="s">
        <v>99</v>
      </c>
      <c r="C48" s="18" t="s">
        <v>97</v>
      </c>
      <c r="D48" s="18" t="s">
        <v>87</v>
      </c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18"/>
      <c r="AF48" s="18"/>
      <c r="AG48" s="18"/>
      <c r="AH48" s="18"/>
      <c r="AI48" s="18">
        <v>5</v>
      </c>
      <c r="AJ48" s="18"/>
      <c r="AK48" s="18"/>
      <c r="AL48" s="18"/>
      <c r="AM48" s="18"/>
      <c r="AN48" s="18"/>
      <c r="AO48" s="18"/>
      <c r="AP48" s="18"/>
      <c r="AQ48" s="20"/>
      <c r="AR48" s="20"/>
      <c r="AS48" s="20"/>
      <c r="AT48" s="20"/>
      <c r="AU48" s="20"/>
      <c r="AV48" s="20"/>
      <c r="AW48" s="21"/>
      <c r="AX48" s="21"/>
      <c r="AY48" s="21"/>
      <c r="AZ48" s="21"/>
      <c r="BA48" s="21"/>
      <c r="BB48" s="21"/>
      <c r="BC48" s="26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/>
      <c r="BP48" s="18">
        <f>SUM(E48:BO48)</f>
        <v>5</v>
      </c>
      <c r="BQ48" s="18">
        <v>5</v>
      </c>
      <c r="BR48" s="22">
        <v>1</v>
      </c>
      <c r="BS48" s="22" t="s">
        <v>280</v>
      </c>
      <c r="BT48">
        <f t="shared" si="0"/>
        <v>0</v>
      </c>
    </row>
    <row r="49" spans="1:72">
      <c r="A49" s="1"/>
      <c r="B49" s="1" t="s">
        <v>163</v>
      </c>
      <c r="C49" s="1" t="s">
        <v>89</v>
      </c>
      <c r="D49" s="1" t="s">
        <v>87</v>
      </c>
      <c r="E49" s="6">
        <v>6</v>
      </c>
      <c r="F49" s="6">
        <v>6</v>
      </c>
      <c r="G49" s="6"/>
      <c r="H49" s="6"/>
      <c r="I49" s="6"/>
      <c r="J49" s="6"/>
      <c r="K49" s="6"/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>
        <v>10</v>
      </c>
      <c r="AT49" s="4"/>
      <c r="AU49" s="4"/>
      <c r="AV49" s="4"/>
      <c r="AW49" s="2"/>
      <c r="AX49" s="2">
        <v>10</v>
      </c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32</v>
      </c>
      <c r="BQ49" s="1">
        <v>6</v>
      </c>
      <c r="BR49" s="17">
        <v>1</v>
      </c>
      <c r="BS49" s="17" t="s">
        <v>282</v>
      </c>
      <c r="BT49">
        <f t="shared" si="0"/>
        <v>0</v>
      </c>
    </row>
    <row r="50" spans="1:72" s="48" customFormat="1">
      <c r="A50" s="1"/>
      <c r="B50" s="1" t="s">
        <v>162</v>
      </c>
      <c r="C50" s="1" t="s">
        <v>100</v>
      </c>
      <c r="D50" s="1" t="s">
        <v>86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>
        <v>10</v>
      </c>
      <c r="BB50" s="2">
        <v>10</v>
      </c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20</v>
      </c>
      <c r="BQ50" s="1">
        <v>6</v>
      </c>
      <c r="BR50" s="17">
        <v>1</v>
      </c>
      <c r="BS50" s="17" t="s">
        <v>240</v>
      </c>
      <c r="BT50">
        <f t="shared" si="0"/>
        <v>0</v>
      </c>
    </row>
    <row r="51" spans="1:72">
      <c r="A51" s="1"/>
      <c r="B51" s="1" t="s">
        <v>188</v>
      </c>
      <c r="C51" s="1" t="s">
        <v>189</v>
      </c>
      <c r="D51" s="1" t="s">
        <v>190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>
        <v>15</v>
      </c>
      <c r="AV51" s="4"/>
      <c r="AW51" s="2"/>
      <c r="AX51" s="2"/>
      <c r="AY51" s="2">
        <v>15</v>
      </c>
      <c r="AZ51" s="2"/>
      <c r="BA51" s="2">
        <v>10</v>
      </c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40</v>
      </c>
      <c r="BQ51" s="1">
        <v>6</v>
      </c>
      <c r="BR51" s="17">
        <v>1</v>
      </c>
      <c r="BS51" s="17" t="s">
        <v>240</v>
      </c>
      <c r="BT51">
        <f t="shared" si="0"/>
        <v>0</v>
      </c>
    </row>
    <row r="52" spans="1:72">
      <c r="A52" s="1"/>
      <c r="B52" s="1" t="s">
        <v>146</v>
      </c>
      <c r="C52" s="1" t="s">
        <v>132</v>
      </c>
      <c r="D52" s="1" t="s">
        <v>105</v>
      </c>
      <c r="E52" s="6"/>
      <c r="F52" s="6"/>
      <c r="G52" s="6"/>
      <c r="H52" s="6"/>
      <c r="I52" s="6"/>
      <c r="J52" s="6"/>
      <c r="K52" s="6"/>
      <c r="L52" s="6">
        <v>6</v>
      </c>
      <c r="M52" s="6"/>
      <c r="N52" s="6"/>
      <c r="O52" s="6">
        <v>6</v>
      </c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>
        <v>10</v>
      </c>
      <c r="BB52" s="2">
        <v>10</v>
      </c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32</v>
      </c>
      <c r="BQ52" s="1">
        <v>6</v>
      </c>
      <c r="BR52" s="17">
        <v>1</v>
      </c>
      <c r="BS52" s="17" t="s">
        <v>283</v>
      </c>
      <c r="BT52">
        <f t="shared" si="0"/>
        <v>0</v>
      </c>
    </row>
    <row r="53" spans="1:72">
      <c r="A53" s="1">
        <v>81</v>
      </c>
      <c r="B53" s="3" t="s">
        <v>53</v>
      </c>
      <c r="C53" s="3" t="s">
        <v>51</v>
      </c>
      <c r="D53" s="1" t="s">
        <v>10</v>
      </c>
      <c r="E53" s="6"/>
      <c r="F53" s="6"/>
      <c r="G53" s="6"/>
      <c r="H53" s="6"/>
      <c r="I53" s="6"/>
      <c r="J53" s="6"/>
      <c r="K53" s="6"/>
      <c r="L53" s="6">
        <v>6</v>
      </c>
      <c r="M53" s="6"/>
      <c r="N53" s="6"/>
      <c r="O53" s="6">
        <v>6</v>
      </c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>
        <v>10</v>
      </c>
      <c r="AU53" s="4"/>
      <c r="AV53" s="4"/>
      <c r="AW53" s="2"/>
      <c r="AX53" s="2"/>
      <c r="AY53" s="2"/>
      <c r="AZ53" s="2"/>
      <c r="BA53" s="2">
        <v>10</v>
      </c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32</v>
      </c>
      <c r="BQ53" s="1">
        <v>6</v>
      </c>
      <c r="BR53" s="17">
        <v>1</v>
      </c>
      <c r="BS53" s="17" t="s">
        <v>240</v>
      </c>
      <c r="BT53">
        <f t="shared" si="0"/>
        <v>0</v>
      </c>
    </row>
    <row r="54" spans="1:72">
      <c r="A54" s="1"/>
      <c r="B54" s="1" t="s">
        <v>148</v>
      </c>
      <c r="C54" s="1" t="s">
        <v>97</v>
      </c>
      <c r="D54" s="1" t="s">
        <v>86</v>
      </c>
      <c r="E54" s="6">
        <v>15</v>
      </c>
      <c r="F54" s="6"/>
      <c r="G54" s="6">
        <v>15</v>
      </c>
      <c r="H54" s="6"/>
      <c r="I54" s="6"/>
      <c r="J54" s="6"/>
      <c r="K54" s="6"/>
      <c r="L54" s="6"/>
      <c r="M54" s="6"/>
      <c r="N54" s="6"/>
      <c r="O54" s="6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>
        <v>15</v>
      </c>
      <c r="AS54" s="4"/>
      <c r="AT54" s="4"/>
      <c r="AU54" s="4"/>
      <c r="AV54" s="4"/>
      <c r="AW54" s="2"/>
      <c r="AX54" s="2"/>
      <c r="AY54" s="2"/>
      <c r="AZ54" s="2"/>
      <c r="BA54" s="2"/>
      <c r="BB54" s="2">
        <v>15</v>
      </c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60</v>
      </c>
      <c r="BQ54" s="1">
        <v>9</v>
      </c>
      <c r="BR54" s="17">
        <v>1</v>
      </c>
      <c r="BS54" s="17" t="s">
        <v>284</v>
      </c>
      <c r="BT54">
        <f t="shared" si="0"/>
        <v>0</v>
      </c>
    </row>
    <row r="55" spans="1:72">
      <c r="A55" s="60"/>
      <c r="B55" s="60" t="s">
        <v>150</v>
      </c>
      <c r="C55" s="60" t="s">
        <v>97</v>
      </c>
      <c r="D55" s="60" t="s">
        <v>86</v>
      </c>
      <c r="E55" s="61">
        <v>15</v>
      </c>
      <c r="F55" s="61"/>
      <c r="G55" s="61">
        <v>15</v>
      </c>
      <c r="H55" s="61"/>
      <c r="I55" s="61"/>
      <c r="J55" s="61"/>
      <c r="K55" s="61"/>
      <c r="L55" s="61"/>
      <c r="M55" s="61"/>
      <c r="N55" s="61"/>
      <c r="O55" s="61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0"/>
      <c r="AF55" s="60"/>
      <c r="AG55" s="60"/>
      <c r="AH55" s="60"/>
      <c r="AI55" s="60"/>
      <c r="AJ55" s="60"/>
      <c r="AK55" s="60"/>
      <c r="AL55" s="60"/>
      <c r="AM55" s="60"/>
      <c r="AN55" s="60"/>
      <c r="AO55" s="60"/>
      <c r="AP55" s="60"/>
      <c r="AQ55" s="63"/>
      <c r="AR55" s="63">
        <v>15</v>
      </c>
      <c r="AS55" s="63"/>
      <c r="AT55" s="63"/>
      <c r="AU55" s="63"/>
      <c r="AV55" s="63"/>
      <c r="AW55" s="64"/>
      <c r="AX55" s="64"/>
      <c r="AY55" s="64"/>
      <c r="AZ55" s="64"/>
      <c r="BA55" s="64"/>
      <c r="BB55" s="64">
        <v>15</v>
      </c>
      <c r="BC55" s="65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60"/>
      <c r="BP55" s="60">
        <f>SUM(E55:BO55)</f>
        <v>60</v>
      </c>
      <c r="BQ55" s="60">
        <v>9</v>
      </c>
      <c r="BR55" s="66">
        <v>1</v>
      </c>
      <c r="BS55" s="66" t="s">
        <v>284</v>
      </c>
      <c r="BT55">
        <f t="shared" si="0"/>
        <v>0</v>
      </c>
    </row>
    <row r="56" spans="1:72">
      <c r="A56" s="1"/>
      <c r="B56" s="1" t="s">
        <v>160</v>
      </c>
      <c r="C56" s="1" t="s">
        <v>100</v>
      </c>
      <c r="D56" s="1" t="s">
        <v>87</v>
      </c>
      <c r="E56" s="6"/>
      <c r="F56" s="6"/>
      <c r="G56" s="6"/>
      <c r="H56" s="6">
        <v>10</v>
      </c>
      <c r="I56" s="6"/>
      <c r="J56" s="6">
        <v>10</v>
      </c>
      <c r="K56" s="6"/>
      <c r="L56" s="6"/>
      <c r="M56" s="6"/>
      <c r="N56" s="6"/>
      <c r="O56" s="6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>
        <v>10</v>
      </c>
      <c r="AU56" s="4"/>
      <c r="AV56" s="4"/>
      <c r="AW56" s="2"/>
      <c r="AX56" s="2"/>
      <c r="AY56" s="2">
        <v>10</v>
      </c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40</v>
      </c>
      <c r="BQ56" s="1">
        <v>10</v>
      </c>
      <c r="BR56" s="17">
        <v>1</v>
      </c>
      <c r="BS56" s="17" t="s">
        <v>285</v>
      </c>
      <c r="BT56">
        <f t="shared" si="0"/>
        <v>0</v>
      </c>
    </row>
    <row r="57" spans="1:72">
      <c r="A57" s="1">
        <v>95</v>
      </c>
      <c r="B57" s="3" t="s">
        <v>68</v>
      </c>
      <c r="C57" s="3" t="s">
        <v>54</v>
      </c>
      <c r="D57" s="1" t="s">
        <v>0</v>
      </c>
      <c r="E57" s="6"/>
      <c r="F57" s="6"/>
      <c r="G57" s="6"/>
      <c r="H57" s="6"/>
      <c r="I57" s="6"/>
      <c r="J57" s="6"/>
      <c r="K57" s="6"/>
      <c r="L57" s="6">
        <v>15</v>
      </c>
      <c r="M57" s="6"/>
      <c r="N57" s="6"/>
      <c r="O57" s="6">
        <v>15</v>
      </c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>
        <v>15</v>
      </c>
      <c r="BB57" s="2">
        <v>15</v>
      </c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60</v>
      </c>
      <c r="BQ57" s="1">
        <v>11</v>
      </c>
      <c r="BR57" s="17">
        <v>1</v>
      </c>
      <c r="BS57" s="17" t="s">
        <v>314</v>
      </c>
      <c r="BT57">
        <f t="shared" si="0"/>
        <v>0</v>
      </c>
    </row>
    <row r="58" spans="1:72">
      <c r="A58" s="1"/>
      <c r="B58" s="1" t="s">
        <v>155</v>
      </c>
      <c r="C58" s="1" t="s">
        <v>125</v>
      </c>
      <c r="D58" s="1" t="s">
        <v>104</v>
      </c>
      <c r="E58" s="6">
        <v>15</v>
      </c>
      <c r="F58" s="6"/>
      <c r="G58" s="6"/>
      <c r="H58" s="6"/>
      <c r="I58" s="6"/>
      <c r="J58" s="6"/>
      <c r="K58" s="6"/>
      <c r="L58" s="6"/>
      <c r="M58" s="6">
        <v>15</v>
      </c>
      <c r="N58" s="6"/>
      <c r="O58" s="6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>
        <v>15</v>
      </c>
      <c r="AX58" s="2"/>
      <c r="AY58" s="2"/>
      <c r="AZ58" s="2"/>
      <c r="BA58" s="2">
        <v>15</v>
      </c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60</v>
      </c>
      <c r="BQ58" s="1">
        <v>11</v>
      </c>
      <c r="BR58" s="17">
        <v>1</v>
      </c>
      <c r="BS58" s="17" t="s">
        <v>314</v>
      </c>
      <c r="BT58">
        <f t="shared" si="0"/>
        <v>0</v>
      </c>
    </row>
    <row r="59" spans="1:72">
      <c r="A59" s="1"/>
      <c r="B59" s="1" t="s">
        <v>157</v>
      </c>
      <c r="C59" s="1" t="s">
        <v>85</v>
      </c>
      <c r="D59" s="1" t="s">
        <v>86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>
        <v>15</v>
      </c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>
        <v>15</v>
      </c>
      <c r="BC59" s="14"/>
      <c r="BD59" s="1"/>
      <c r="BE59" s="1"/>
      <c r="BF59" s="1"/>
      <c r="BG59" s="1"/>
      <c r="BH59" s="1">
        <v>15</v>
      </c>
      <c r="BI59" s="1">
        <v>15</v>
      </c>
      <c r="BJ59" s="1"/>
      <c r="BK59" s="1"/>
      <c r="BL59" s="1"/>
      <c r="BM59" s="1"/>
      <c r="BN59" s="1"/>
      <c r="BO59" s="1"/>
      <c r="BP59" s="1">
        <f>SUM(E59:BO59)</f>
        <v>60</v>
      </c>
      <c r="BQ59" s="1">
        <v>12</v>
      </c>
      <c r="BR59" s="17">
        <v>1</v>
      </c>
      <c r="BS59" s="17" t="s">
        <v>242</v>
      </c>
      <c r="BT59">
        <f t="shared" si="0"/>
        <v>0</v>
      </c>
    </row>
    <row r="60" spans="1:72">
      <c r="A60" s="18">
        <v>64</v>
      </c>
      <c r="B60" s="24" t="s">
        <v>49</v>
      </c>
      <c r="C60" s="18" t="s">
        <v>44</v>
      </c>
      <c r="D60" s="18" t="s">
        <v>0</v>
      </c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18"/>
      <c r="AF60" s="18"/>
      <c r="AG60" s="18"/>
      <c r="AH60" s="18"/>
      <c r="AI60" s="18"/>
      <c r="AJ60" s="18"/>
      <c r="AK60" s="18"/>
      <c r="AL60" s="18"/>
      <c r="AM60" s="18"/>
      <c r="AN60" s="18">
        <v>15</v>
      </c>
      <c r="AO60" s="18"/>
      <c r="AP60" s="18"/>
      <c r="AQ60" s="20"/>
      <c r="AR60" s="20"/>
      <c r="AS60" s="20"/>
      <c r="AT60" s="20"/>
      <c r="AU60" s="20"/>
      <c r="AV60" s="20"/>
      <c r="AW60" s="21"/>
      <c r="AX60" s="21"/>
      <c r="AY60" s="21"/>
      <c r="AZ60" s="21"/>
      <c r="BA60" s="21"/>
      <c r="BB60" s="21"/>
      <c r="BC60" s="26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>
        <f>SUM(E60:BO60)</f>
        <v>15</v>
      </c>
      <c r="BQ60" s="18">
        <v>14</v>
      </c>
      <c r="BR60" s="22">
        <v>1</v>
      </c>
      <c r="BS60" s="22" t="s">
        <v>236</v>
      </c>
      <c r="BT60">
        <f t="shared" si="0"/>
        <v>0</v>
      </c>
    </row>
    <row r="61" spans="1:72" s="58" customFormat="1">
      <c r="A61" s="60"/>
      <c r="B61" s="60" t="s">
        <v>144</v>
      </c>
      <c r="C61" s="60" t="s">
        <v>101</v>
      </c>
      <c r="D61" s="60" t="s">
        <v>86</v>
      </c>
      <c r="E61" s="61"/>
      <c r="F61" s="61"/>
      <c r="G61" s="61"/>
      <c r="H61" s="61"/>
      <c r="I61" s="61"/>
      <c r="J61" s="61"/>
      <c r="K61" s="61"/>
      <c r="L61" s="61">
        <v>20</v>
      </c>
      <c r="M61" s="61"/>
      <c r="N61" s="61"/>
      <c r="O61" s="61">
        <v>20</v>
      </c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3"/>
      <c r="AR61" s="63"/>
      <c r="AS61" s="63"/>
      <c r="AT61" s="63"/>
      <c r="AU61" s="63"/>
      <c r="AV61" s="63"/>
      <c r="AW61" s="64"/>
      <c r="AX61" s="64"/>
      <c r="AY61" s="64"/>
      <c r="AZ61" s="64"/>
      <c r="BA61" s="64">
        <v>20</v>
      </c>
      <c r="BB61" s="64">
        <v>20</v>
      </c>
      <c r="BC61" s="65"/>
      <c r="BD61" s="60"/>
      <c r="BE61" s="60"/>
      <c r="BF61" s="60"/>
      <c r="BG61" s="60"/>
      <c r="BH61" s="60"/>
      <c r="BI61" s="60"/>
      <c r="BJ61" s="60"/>
      <c r="BK61" s="60"/>
      <c r="BL61" s="60"/>
      <c r="BM61" s="60"/>
      <c r="BN61" s="60"/>
      <c r="BO61" s="60"/>
      <c r="BP61" s="60">
        <f>SUM(E61:BO61)</f>
        <v>80</v>
      </c>
      <c r="BQ61" s="60">
        <v>16</v>
      </c>
      <c r="BR61" s="66">
        <v>1</v>
      </c>
      <c r="BS61" s="66" t="s">
        <v>315</v>
      </c>
      <c r="BT61">
        <f t="shared" si="0"/>
        <v>0</v>
      </c>
    </row>
    <row r="62" spans="1:72">
      <c r="A62" s="1">
        <v>98</v>
      </c>
      <c r="B62" s="3" t="s">
        <v>145</v>
      </c>
      <c r="C62" s="3" t="s">
        <v>54</v>
      </c>
      <c r="D62" s="1" t="s">
        <v>0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1">
        <v>50</v>
      </c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50</v>
      </c>
      <c r="BQ62" s="1">
        <v>44</v>
      </c>
      <c r="BR62" s="17">
        <v>1</v>
      </c>
      <c r="BS62" s="17" t="s">
        <v>287</v>
      </c>
      <c r="BT62">
        <f t="shared" si="0"/>
        <v>0</v>
      </c>
    </row>
    <row r="63" spans="1:72">
      <c r="A63" s="1">
        <v>99</v>
      </c>
      <c r="B63" s="3" t="s">
        <v>145</v>
      </c>
      <c r="C63" s="3" t="s">
        <v>54</v>
      </c>
      <c r="D63" s="1" t="s">
        <v>10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1">
        <v>200</v>
      </c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200</v>
      </c>
      <c r="BQ63" s="1">
        <v>194</v>
      </c>
      <c r="BR63" s="17">
        <v>1</v>
      </c>
      <c r="BS63" s="17" t="s">
        <v>243</v>
      </c>
      <c r="BT63">
        <f t="shared" si="0"/>
        <v>0</v>
      </c>
    </row>
    <row r="64" spans="1:72" ht="27" hidden="1">
      <c r="A64" s="1"/>
      <c r="B64" s="1" t="s">
        <v>114</v>
      </c>
      <c r="C64" s="1" t="s">
        <v>102</v>
      </c>
      <c r="D64" s="1" t="s">
        <v>104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>
        <v>5</v>
      </c>
      <c r="R64" s="28">
        <v>2</v>
      </c>
      <c r="S64" s="28"/>
      <c r="T64" s="28">
        <v>5</v>
      </c>
      <c r="U64" s="28"/>
      <c r="V64" s="28"/>
      <c r="W64" s="28"/>
      <c r="X64" s="28"/>
      <c r="Y64" s="28"/>
      <c r="Z64" s="28">
        <v>5</v>
      </c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17</v>
      </c>
      <c r="BQ64" s="1">
        <v>3</v>
      </c>
      <c r="BR64" s="17">
        <v>2</v>
      </c>
      <c r="BS64" s="17" t="s">
        <v>310</v>
      </c>
      <c r="BT64">
        <f t="shared" si="0"/>
        <v>17</v>
      </c>
    </row>
    <row r="65" spans="1:72" ht="27" hidden="1">
      <c r="A65" s="1"/>
      <c r="B65" s="1" t="s">
        <v>119</v>
      </c>
      <c r="C65" s="1" t="s">
        <v>102</v>
      </c>
      <c r="D65" s="1" t="s">
        <v>104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>
        <v>5</v>
      </c>
      <c r="R65" s="28">
        <v>2</v>
      </c>
      <c r="S65" s="28"/>
      <c r="T65" s="28">
        <v>5</v>
      </c>
      <c r="U65" s="28"/>
      <c r="V65" s="28"/>
      <c r="W65" s="28"/>
      <c r="X65" s="28"/>
      <c r="Y65" s="28"/>
      <c r="Z65" s="28">
        <v>5</v>
      </c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17</v>
      </c>
      <c r="BQ65" s="1">
        <v>3</v>
      </c>
      <c r="BR65" s="17">
        <v>2</v>
      </c>
      <c r="BS65" s="17" t="s">
        <v>310</v>
      </c>
      <c r="BT65">
        <f t="shared" si="0"/>
        <v>17</v>
      </c>
    </row>
    <row r="66" spans="1:72" ht="27" hidden="1">
      <c r="A66" s="1"/>
      <c r="B66" s="1" t="s">
        <v>127</v>
      </c>
      <c r="C66" s="1" t="s">
        <v>125</v>
      </c>
      <c r="D66" s="1" t="s">
        <v>104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>
        <v>5</v>
      </c>
      <c r="R66" s="28">
        <v>2</v>
      </c>
      <c r="S66" s="28"/>
      <c r="T66" s="28">
        <v>5</v>
      </c>
      <c r="U66" s="28"/>
      <c r="V66" s="28"/>
      <c r="W66" s="28"/>
      <c r="X66" s="28"/>
      <c r="Y66" s="28"/>
      <c r="Z66" s="28">
        <v>5</v>
      </c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17</v>
      </c>
      <c r="BQ66" s="1">
        <v>3</v>
      </c>
      <c r="BR66" s="17">
        <v>2</v>
      </c>
      <c r="BS66" s="17" t="s">
        <v>311</v>
      </c>
      <c r="BT66">
        <f t="shared" si="0"/>
        <v>17</v>
      </c>
    </row>
    <row r="67" spans="1:72" ht="27" hidden="1">
      <c r="A67" s="1"/>
      <c r="B67" s="1" t="s">
        <v>129</v>
      </c>
      <c r="C67" s="1" t="s">
        <v>130</v>
      </c>
      <c r="D67" s="1" t="s">
        <v>104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>
        <v>5</v>
      </c>
      <c r="R67" s="28"/>
      <c r="S67" s="28"/>
      <c r="T67" s="28">
        <v>5</v>
      </c>
      <c r="U67" s="28"/>
      <c r="V67" s="28"/>
      <c r="W67" s="28"/>
      <c r="X67" s="28">
        <v>2</v>
      </c>
      <c r="Y67" s="28"/>
      <c r="Z67" s="28">
        <v>5</v>
      </c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17</v>
      </c>
      <c r="BQ67" s="1">
        <v>3</v>
      </c>
      <c r="BR67" s="17">
        <v>2</v>
      </c>
      <c r="BS67" s="17" t="s">
        <v>310</v>
      </c>
      <c r="BT67">
        <f t="shared" ref="BT67:BT130" si="1">SUM(P67:AD67)</f>
        <v>17</v>
      </c>
    </row>
    <row r="68" spans="1:72" ht="27" hidden="1">
      <c r="A68" s="1"/>
      <c r="B68" s="1" t="s">
        <v>123</v>
      </c>
      <c r="C68" s="1" t="s">
        <v>121</v>
      </c>
      <c r="D68" s="1" t="s">
        <v>104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>
        <v>5</v>
      </c>
      <c r="R68" s="28"/>
      <c r="S68" s="28"/>
      <c r="T68" s="28">
        <v>5</v>
      </c>
      <c r="U68" s="28"/>
      <c r="V68" s="28"/>
      <c r="W68" s="28"/>
      <c r="X68" s="28"/>
      <c r="Y68" s="28"/>
      <c r="Z68" s="28">
        <v>5</v>
      </c>
      <c r="AA68" s="28">
        <v>2</v>
      </c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17</v>
      </c>
      <c r="BQ68" s="1">
        <v>3</v>
      </c>
      <c r="BR68" s="17">
        <v>2</v>
      </c>
      <c r="BS68" s="17" t="s">
        <v>311</v>
      </c>
      <c r="BT68">
        <f t="shared" si="1"/>
        <v>17</v>
      </c>
    </row>
    <row r="69" spans="1:72" ht="27" hidden="1">
      <c r="A69" s="1"/>
      <c r="B69" s="1" t="s">
        <v>133</v>
      </c>
      <c r="C69" s="1" t="s">
        <v>132</v>
      </c>
      <c r="D69" s="1" t="s">
        <v>104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>
        <v>5</v>
      </c>
      <c r="R69" s="28"/>
      <c r="S69" s="28"/>
      <c r="T69" s="28">
        <v>5</v>
      </c>
      <c r="U69" s="28"/>
      <c r="V69" s="28"/>
      <c r="W69" s="28"/>
      <c r="X69" s="28"/>
      <c r="Y69" s="28"/>
      <c r="Z69" s="28">
        <v>5</v>
      </c>
      <c r="AA69" s="28">
        <v>2</v>
      </c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17</v>
      </c>
      <c r="BQ69" s="1">
        <v>3</v>
      </c>
      <c r="BR69" s="17">
        <v>2</v>
      </c>
      <c r="BS69" s="17" t="s">
        <v>311</v>
      </c>
      <c r="BT69">
        <f t="shared" si="1"/>
        <v>17</v>
      </c>
    </row>
    <row r="70" spans="1:72" ht="27" hidden="1">
      <c r="A70" s="1"/>
      <c r="B70" s="1" t="s">
        <v>138</v>
      </c>
      <c r="C70" s="1" t="s">
        <v>100</v>
      </c>
      <c r="D70" s="1" t="s">
        <v>140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>
        <v>5</v>
      </c>
      <c r="R70" s="28"/>
      <c r="S70" s="28"/>
      <c r="T70" s="28">
        <v>5</v>
      </c>
      <c r="U70" s="28"/>
      <c r="V70" s="28"/>
      <c r="W70" s="28"/>
      <c r="X70" s="28"/>
      <c r="Y70" s="28"/>
      <c r="Z70" s="28">
        <v>5</v>
      </c>
      <c r="AA70" s="28">
        <v>2</v>
      </c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17</v>
      </c>
      <c r="BQ70" s="1">
        <v>3</v>
      </c>
      <c r="BR70" s="17">
        <v>2</v>
      </c>
      <c r="BS70" s="17" t="s">
        <v>311</v>
      </c>
      <c r="BT70">
        <f t="shared" si="1"/>
        <v>17</v>
      </c>
    </row>
    <row r="71" spans="1:72" ht="27" hidden="1">
      <c r="A71" s="1"/>
      <c r="B71" s="3" t="s">
        <v>216</v>
      </c>
      <c r="C71" s="3" t="s">
        <v>25</v>
      </c>
      <c r="D71" s="1" t="s">
        <v>0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>
        <v>5</v>
      </c>
      <c r="R71" s="28"/>
      <c r="S71" s="28"/>
      <c r="T71" s="28">
        <v>5</v>
      </c>
      <c r="U71" s="28"/>
      <c r="V71" s="28"/>
      <c r="W71" s="28"/>
      <c r="X71" s="28">
        <v>2</v>
      </c>
      <c r="Y71" s="28"/>
      <c r="Z71" s="28">
        <v>5</v>
      </c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17</v>
      </c>
      <c r="BQ71" s="1">
        <v>3</v>
      </c>
      <c r="BR71" s="17">
        <v>2</v>
      </c>
      <c r="BS71" s="17" t="s">
        <v>311</v>
      </c>
      <c r="BT71">
        <f t="shared" si="1"/>
        <v>17</v>
      </c>
    </row>
    <row r="72" spans="1:72" ht="27" hidden="1">
      <c r="A72" s="1"/>
      <c r="B72" s="3" t="s">
        <v>219</v>
      </c>
      <c r="C72" s="3" t="s">
        <v>220</v>
      </c>
      <c r="D72" s="1" t="s">
        <v>0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>
        <v>5</v>
      </c>
      <c r="R72" s="28"/>
      <c r="S72" s="28"/>
      <c r="T72" s="28">
        <v>5</v>
      </c>
      <c r="U72" s="28"/>
      <c r="V72" s="28"/>
      <c r="W72" s="28"/>
      <c r="X72" s="28"/>
      <c r="Y72" s="28"/>
      <c r="Z72" s="28">
        <v>5</v>
      </c>
      <c r="AA72" s="28">
        <v>2</v>
      </c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17</v>
      </c>
      <c r="BQ72" s="1">
        <v>3</v>
      </c>
      <c r="BR72" s="17">
        <v>2</v>
      </c>
      <c r="BS72" s="17" t="s">
        <v>311</v>
      </c>
      <c r="BT72">
        <f t="shared" si="1"/>
        <v>17</v>
      </c>
    </row>
    <row r="73" spans="1:72" ht="27" hidden="1">
      <c r="A73" s="1"/>
      <c r="B73" s="3" t="s">
        <v>221</v>
      </c>
      <c r="C73" s="3" t="s">
        <v>220</v>
      </c>
      <c r="D73" s="1" t="s">
        <v>0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>
        <v>5</v>
      </c>
      <c r="R73" s="28"/>
      <c r="S73" s="28"/>
      <c r="T73" s="28">
        <v>5</v>
      </c>
      <c r="U73" s="28"/>
      <c r="V73" s="28"/>
      <c r="W73" s="28"/>
      <c r="X73" s="28">
        <v>2</v>
      </c>
      <c r="Y73" s="28"/>
      <c r="Z73" s="28">
        <v>5</v>
      </c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17</v>
      </c>
      <c r="BQ73" s="1">
        <v>3</v>
      </c>
      <c r="BR73" s="17">
        <v>2</v>
      </c>
      <c r="BS73" s="17" t="s">
        <v>311</v>
      </c>
      <c r="BT73">
        <f t="shared" si="1"/>
        <v>17</v>
      </c>
    </row>
    <row r="74" spans="1:72" ht="27" hidden="1">
      <c r="A74" s="1"/>
      <c r="B74" s="3" t="s">
        <v>223</v>
      </c>
      <c r="C74" s="3" t="s">
        <v>101</v>
      </c>
      <c r="D74" s="1" t="s">
        <v>0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>
        <v>5</v>
      </c>
      <c r="R74" s="28"/>
      <c r="S74" s="28"/>
      <c r="T74" s="28">
        <v>5</v>
      </c>
      <c r="U74" s="28"/>
      <c r="V74" s="28"/>
      <c r="W74" s="28"/>
      <c r="X74" s="28">
        <v>2</v>
      </c>
      <c r="Y74" s="28"/>
      <c r="Z74" s="28">
        <v>5</v>
      </c>
      <c r="AA74" s="28"/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17</v>
      </c>
      <c r="BQ74" s="1">
        <v>3</v>
      </c>
      <c r="BR74" s="17">
        <v>2</v>
      </c>
      <c r="BS74" s="17" t="s">
        <v>311</v>
      </c>
      <c r="BT74">
        <f t="shared" si="1"/>
        <v>17</v>
      </c>
    </row>
    <row r="75" spans="1:72" ht="27" hidden="1">
      <c r="A75" s="1"/>
      <c r="B75" s="3" t="s">
        <v>226</v>
      </c>
      <c r="C75" s="3" t="s">
        <v>101</v>
      </c>
      <c r="D75" s="1" t="s">
        <v>0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>
        <v>5</v>
      </c>
      <c r="R75" s="28">
        <v>2</v>
      </c>
      <c r="S75" s="28"/>
      <c r="T75" s="28">
        <v>5</v>
      </c>
      <c r="U75" s="28"/>
      <c r="V75" s="28"/>
      <c r="W75" s="28"/>
      <c r="X75" s="28"/>
      <c r="Y75" s="28"/>
      <c r="Z75" s="28">
        <v>5</v>
      </c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17</v>
      </c>
      <c r="BQ75" s="1">
        <v>3</v>
      </c>
      <c r="BR75" s="17">
        <v>2</v>
      </c>
      <c r="BS75" s="17" t="s">
        <v>311</v>
      </c>
      <c r="BT75">
        <f t="shared" si="1"/>
        <v>17</v>
      </c>
    </row>
    <row r="76" spans="1:72" ht="27" hidden="1">
      <c r="A76" s="1"/>
      <c r="B76" s="1" t="s">
        <v>133</v>
      </c>
      <c r="C76" s="1" t="s">
        <v>132</v>
      </c>
      <c r="D76" s="1" t="s">
        <v>105</v>
      </c>
      <c r="E76" s="6"/>
      <c r="F76" s="6"/>
      <c r="G76" s="6">
        <v>10</v>
      </c>
      <c r="H76" s="6"/>
      <c r="I76" s="6"/>
      <c r="J76" s="6"/>
      <c r="K76" s="6"/>
      <c r="L76" s="6"/>
      <c r="M76" s="6"/>
      <c r="N76" s="6"/>
      <c r="O76" s="6"/>
      <c r="P76" s="28"/>
      <c r="Q76" s="28"/>
      <c r="R76" s="28"/>
      <c r="S76" s="28"/>
      <c r="T76" s="28"/>
      <c r="U76" s="28"/>
      <c r="V76" s="28"/>
      <c r="W76" s="28"/>
      <c r="X76" s="28">
        <v>10</v>
      </c>
      <c r="Y76" s="28"/>
      <c r="Z76" s="28"/>
      <c r="AA76" s="28"/>
      <c r="AB76" s="28"/>
      <c r="AC76" s="28"/>
      <c r="AD76" s="28">
        <v>10</v>
      </c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>
        <v>10</v>
      </c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40</v>
      </c>
      <c r="BQ76" s="1">
        <v>4</v>
      </c>
      <c r="BR76" s="17">
        <v>2</v>
      </c>
      <c r="BS76" s="17" t="s">
        <v>288</v>
      </c>
      <c r="BT76">
        <f t="shared" si="1"/>
        <v>20</v>
      </c>
    </row>
    <row r="77" spans="1:72" ht="27" hidden="1">
      <c r="A77" s="1"/>
      <c r="B77" s="1" t="s">
        <v>138</v>
      </c>
      <c r="C77" s="1" t="s">
        <v>100</v>
      </c>
      <c r="D77" s="1" t="s">
        <v>141</v>
      </c>
      <c r="E77" s="6"/>
      <c r="F77" s="6"/>
      <c r="G77" s="6">
        <v>10</v>
      </c>
      <c r="H77" s="6"/>
      <c r="I77" s="6"/>
      <c r="J77" s="6"/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/>
      <c r="V77" s="28"/>
      <c r="W77" s="28"/>
      <c r="X77" s="28">
        <v>10</v>
      </c>
      <c r="Y77" s="28"/>
      <c r="Z77" s="28"/>
      <c r="AA77" s="28"/>
      <c r="AB77" s="28"/>
      <c r="AC77" s="28"/>
      <c r="AD77" s="28">
        <v>10</v>
      </c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>
        <v>10</v>
      </c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40</v>
      </c>
      <c r="BQ77" s="1">
        <v>4</v>
      </c>
      <c r="BR77" s="17">
        <v>2</v>
      </c>
      <c r="BS77" s="17" t="s">
        <v>229</v>
      </c>
      <c r="BT77">
        <f t="shared" si="1"/>
        <v>20</v>
      </c>
    </row>
    <row r="78" spans="1:72" ht="27" hidden="1">
      <c r="A78" s="1"/>
      <c r="B78" s="3" t="s">
        <v>219</v>
      </c>
      <c r="C78" s="3" t="s">
        <v>220</v>
      </c>
      <c r="D78" s="1" t="s">
        <v>214</v>
      </c>
      <c r="E78" s="6"/>
      <c r="F78" s="6"/>
      <c r="G78" s="6">
        <v>10</v>
      </c>
      <c r="H78" s="6"/>
      <c r="I78" s="6"/>
      <c r="J78" s="6"/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/>
      <c r="V78" s="28"/>
      <c r="W78" s="28"/>
      <c r="X78" s="28">
        <v>10</v>
      </c>
      <c r="Y78" s="28"/>
      <c r="Z78" s="28"/>
      <c r="AA78" s="28"/>
      <c r="AB78" s="28"/>
      <c r="AC78" s="28"/>
      <c r="AD78" s="28">
        <v>10</v>
      </c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>
        <v>10</v>
      </c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40</v>
      </c>
      <c r="BQ78" s="1">
        <v>4</v>
      </c>
      <c r="BR78" s="17">
        <v>2</v>
      </c>
      <c r="BS78" s="17" t="s">
        <v>288</v>
      </c>
      <c r="BT78">
        <f t="shared" si="1"/>
        <v>20</v>
      </c>
    </row>
    <row r="79" spans="1:72" ht="27" hidden="1">
      <c r="A79" s="1"/>
      <c r="B79" s="1" t="s">
        <v>128</v>
      </c>
      <c r="C79" s="1" t="s">
        <v>130</v>
      </c>
      <c r="D79" s="1" t="s">
        <v>104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/>
      <c r="V79" s="28">
        <v>10</v>
      </c>
      <c r="W79" s="28"/>
      <c r="X79" s="28"/>
      <c r="Y79" s="28">
        <v>10</v>
      </c>
      <c r="Z79" s="28"/>
      <c r="AA79" s="28"/>
      <c r="AB79" s="28">
        <v>10</v>
      </c>
      <c r="AC79" s="28">
        <v>5</v>
      </c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35</v>
      </c>
      <c r="BQ79" s="1">
        <v>5</v>
      </c>
      <c r="BR79" s="17">
        <v>2</v>
      </c>
      <c r="BS79" s="17" t="s">
        <v>272</v>
      </c>
      <c r="BT79">
        <f t="shared" si="1"/>
        <v>35</v>
      </c>
    </row>
    <row r="80" spans="1:72" ht="27" hidden="1">
      <c r="A80" s="1"/>
      <c r="B80" s="1" t="s">
        <v>136</v>
      </c>
      <c r="C80" s="1" t="s">
        <v>132</v>
      </c>
      <c r="D80" s="1" t="s">
        <v>104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/>
      <c r="R80" s="28"/>
      <c r="S80" s="28"/>
      <c r="T80" s="28"/>
      <c r="U80" s="28"/>
      <c r="V80" s="28">
        <v>10</v>
      </c>
      <c r="W80" s="28"/>
      <c r="X80" s="28"/>
      <c r="Y80" s="28">
        <v>10</v>
      </c>
      <c r="Z80" s="28"/>
      <c r="AA80" s="28"/>
      <c r="AB80" s="28">
        <v>10</v>
      </c>
      <c r="AC80" s="28">
        <v>5</v>
      </c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35</v>
      </c>
      <c r="BQ80" s="1">
        <v>5</v>
      </c>
      <c r="BR80" s="17">
        <v>2</v>
      </c>
      <c r="BS80" s="17" t="s">
        <v>272</v>
      </c>
      <c r="BT80">
        <f t="shared" si="1"/>
        <v>35</v>
      </c>
    </row>
    <row r="81" spans="1:72" ht="27" hidden="1">
      <c r="A81" s="1"/>
      <c r="B81" s="1" t="s">
        <v>137</v>
      </c>
      <c r="C81" s="1" t="s">
        <v>132</v>
      </c>
      <c r="D81" s="1" t="s">
        <v>104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/>
      <c r="V81" s="28">
        <v>10</v>
      </c>
      <c r="W81" s="28"/>
      <c r="X81" s="28"/>
      <c r="Y81" s="28">
        <v>10</v>
      </c>
      <c r="Z81" s="28"/>
      <c r="AA81" s="28"/>
      <c r="AB81" s="28">
        <v>10</v>
      </c>
      <c r="AC81" s="28">
        <v>5</v>
      </c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35</v>
      </c>
      <c r="BQ81" s="1">
        <v>5</v>
      </c>
      <c r="BR81" s="17">
        <v>2</v>
      </c>
      <c r="BS81" s="17" t="s">
        <v>272</v>
      </c>
      <c r="BT81">
        <f t="shared" si="1"/>
        <v>35</v>
      </c>
    </row>
    <row r="82" spans="1:72" ht="27" hidden="1">
      <c r="A82" s="1"/>
      <c r="B82" s="3" t="s">
        <v>215</v>
      </c>
      <c r="C82" s="3" t="s">
        <v>51</v>
      </c>
      <c r="D82" s="1" t="s">
        <v>0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28"/>
      <c r="Q82" s="28"/>
      <c r="R82" s="28"/>
      <c r="S82" s="28"/>
      <c r="T82" s="28"/>
      <c r="U82" s="28"/>
      <c r="V82" s="28">
        <v>10</v>
      </c>
      <c r="W82" s="28"/>
      <c r="X82" s="28"/>
      <c r="Y82" s="28">
        <v>10</v>
      </c>
      <c r="Z82" s="28"/>
      <c r="AA82" s="28"/>
      <c r="AB82" s="28">
        <v>10</v>
      </c>
      <c r="AC82" s="28">
        <v>5</v>
      </c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35</v>
      </c>
      <c r="BQ82" s="1">
        <v>5</v>
      </c>
      <c r="BR82" s="17">
        <v>2</v>
      </c>
      <c r="BS82" s="17" t="s">
        <v>271</v>
      </c>
      <c r="BT82">
        <f t="shared" si="1"/>
        <v>35</v>
      </c>
    </row>
    <row r="83" spans="1:72" s="67" customFormat="1" ht="27" hidden="1">
      <c r="A83" s="1"/>
      <c r="B83" s="3" t="s">
        <v>224</v>
      </c>
      <c r="C83" s="3" t="s">
        <v>101</v>
      </c>
      <c r="D83" s="1" t="s">
        <v>0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/>
      <c r="R83" s="28"/>
      <c r="S83" s="28"/>
      <c r="T83" s="28"/>
      <c r="U83" s="28"/>
      <c r="V83" s="28">
        <v>10</v>
      </c>
      <c r="W83" s="28"/>
      <c r="X83" s="28"/>
      <c r="Y83" s="28">
        <v>10</v>
      </c>
      <c r="Z83" s="28"/>
      <c r="AA83" s="28"/>
      <c r="AB83" s="28">
        <v>10</v>
      </c>
      <c r="AC83" s="28">
        <v>5</v>
      </c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35</v>
      </c>
      <c r="BQ83" s="1">
        <v>5</v>
      </c>
      <c r="BR83" s="17">
        <v>2</v>
      </c>
      <c r="BS83" s="17" t="s">
        <v>272</v>
      </c>
      <c r="BT83">
        <f t="shared" si="1"/>
        <v>35</v>
      </c>
    </row>
    <row r="84" spans="1:72" ht="27" hidden="1">
      <c r="A84" s="1"/>
      <c r="B84" s="1" t="s">
        <v>120</v>
      </c>
      <c r="C84" s="1" t="s">
        <v>121</v>
      </c>
      <c r="D84" s="1" t="s">
        <v>104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>
        <v>5</v>
      </c>
      <c r="R84" s="28"/>
      <c r="S84" s="28"/>
      <c r="T84" s="28"/>
      <c r="U84" s="28"/>
      <c r="V84" s="28">
        <v>10</v>
      </c>
      <c r="W84" s="28"/>
      <c r="X84" s="28"/>
      <c r="Y84" s="28">
        <v>10</v>
      </c>
      <c r="Z84" s="28"/>
      <c r="AA84" s="28"/>
      <c r="AB84" s="28">
        <v>10</v>
      </c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35</v>
      </c>
      <c r="BQ84" s="1">
        <v>6</v>
      </c>
      <c r="BR84" s="17">
        <v>2</v>
      </c>
      <c r="BS84" s="17" t="s">
        <v>273</v>
      </c>
      <c r="BT84">
        <f t="shared" si="1"/>
        <v>35</v>
      </c>
    </row>
    <row r="85" spans="1:72" ht="27" hidden="1">
      <c r="A85" s="1"/>
      <c r="B85" s="1" t="s">
        <v>126</v>
      </c>
      <c r="C85" s="1" t="s">
        <v>125</v>
      </c>
      <c r="D85" s="1" t="s">
        <v>104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>
        <v>5</v>
      </c>
      <c r="R85" s="28"/>
      <c r="S85" s="28"/>
      <c r="T85" s="28"/>
      <c r="U85" s="28"/>
      <c r="V85" s="28">
        <v>10</v>
      </c>
      <c r="W85" s="28"/>
      <c r="X85" s="28"/>
      <c r="Y85" s="28">
        <v>10</v>
      </c>
      <c r="Z85" s="28"/>
      <c r="AA85" s="28"/>
      <c r="AB85" s="28">
        <v>10</v>
      </c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35</v>
      </c>
      <c r="BQ85" s="1">
        <v>6</v>
      </c>
      <c r="BR85" s="17">
        <v>2</v>
      </c>
      <c r="BS85" s="17" t="s">
        <v>273</v>
      </c>
      <c r="BT85">
        <f t="shared" si="1"/>
        <v>35</v>
      </c>
    </row>
    <row r="86" spans="1:72" ht="27" hidden="1">
      <c r="A86" s="1"/>
      <c r="B86" s="3" t="s">
        <v>267</v>
      </c>
      <c r="C86" s="3" t="s">
        <v>51</v>
      </c>
      <c r="D86" s="1" t="s">
        <v>0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>
        <v>5</v>
      </c>
      <c r="R86" s="28"/>
      <c r="S86" s="28"/>
      <c r="T86" s="28"/>
      <c r="U86" s="28"/>
      <c r="V86" s="28">
        <v>10</v>
      </c>
      <c r="W86" s="28"/>
      <c r="X86" s="28"/>
      <c r="Y86" s="28">
        <v>10</v>
      </c>
      <c r="Z86" s="28"/>
      <c r="AA86" s="28"/>
      <c r="AB86" s="28">
        <v>10</v>
      </c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35</v>
      </c>
      <c r="BQ86" s="1">
        <v>6</v>
      </c>
      <c r="BR86" s="17">
        <v>2</v>
      </c>
      <c r="BS86" s="17" t="s">
        <v>273</v>
      </c>
      <c r="BT86">
        <f t="shared" si="1"/>
        <v>35</v>
      </c>
    </row>
    <row r="87" spans="1:72" ht="27" hidden="1">
      <c r="A87" s="1"/>
      <c r="B87" s="3" t="s">
        <v>225</v>
      </c>
      <c r="C87" s="3" t="s">
        <v>101</v>
      </c>
      <c r="D87" s="1" t="s">
        <v>0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>
        <v>5</v>
      </c>
      <c r="R87" s="28"/>
      <c r="S87" s="28"/>
      <c r="T87" s="28"/>
      <c r="U87" s="28"/>
      <c r="V87" s="28">
        <v>10</v>
      </c>
      <c r="W87" s="28"/>
      <c r="X87" s="28"/>
      <c r="Y87" s="28">
        <v>10</v>
      </c>
      <c r="Z87" s="28"/>
      <c r="AA87" s="28"/>
      <c r="AB87" s="28">
        <v>10</v>
      </c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35</v>
      </c>
      <c r="BQ87" s="1">
        <v>6</v>
      </c>
      <c r="BR87" s="17">
        <v>2</v>
      </c>
      <c r="BS87" s="17" t="s">
        <v>273</v>
      </c>
      <c r="BT87">
        <f t="shared" si="1"/>
        <v>35</v>
      </c>
    </row>
    <row r="88" spans="1:72" ht="27">
      <c r="A88" s="31">
        <v>84</v>
      </c>
      <c r="B88" s="32" t="s">
        <v>164</v>
      </c>
      <c r="C88" s="32" t="s">
        <v>51</v>
      </c>
      <c r="D88" s="31" t="s">
        <v>10</v>
      </c>
      <c r="E88" s="33"/>
      <c r="F88" s="33"/>
      <c r="G88" s="33">
        <v>5</v>
      </c>
      <c r="H88" s="33">
        <v>5</v>
      </c>
      <c r="I88" s="33"/>
      <c r="J88" s="33"/>
      <c r="K88" s="33"/>
      <c r="L88" s="33"/>
      <c r="M88" s="33"/>
      <c r="N88" s="33"/>
      <c r="O88" s="33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5"/>
      <c r="AR88" s="35"/>
      <c r="AS88" s="35"/>
      <c r="AT88" s="35"/>
      <c r="AU88" s="35"/>
      <c r="AV88" s="35"/>
      <c r="AW88" s="36"/>
      <c r="AX88" s="36"/>
      <c r="AY88" s="36"/>
      <c r="AZ88" s="36"/>
      <c r="BA88" s="36">
        <v>5</v>
      </c>
      <c r="BB88" s="36">
        <v>5</v>
      </c>
      <c r="BC88" s="37"/>
      <c r="BD88" s="31"/>
      <c r="BE88" s="31"/>
      <c r="BF88" s="31"/>
      <c r="BG88" s="31"/>
      <c r="BH88" s="31"/>
      <c r="BI88" s="31"/>
      <c r="BJ88" s="31"/>
      <c r="BK88" s="31"/>
      <c r="BL88" s="31"/>
      <c r="BM88" s="31"/>
      <c r="BN88" s="31"/>
      <c r="BO88" s="31"/>
      <c r="BP88" s="31">
        <f>SUM(E88:BO88)</f>
        <v>20</v>
      </c>
      <c r="BQ88" s="31">
        <v>6</v>
      </c>
      <c r="BR88" s="38">
        <v>2</v>
      </c>
      <c r="BS88" s="38" t="s">
        <v>238</v>
      </c>
      <c r="BT88">
        <f t="shared" si="1"/>
        <v>0</v>
      </c>
    </row>
    <row r="89" spans="1:72" ht="27">
      <c r="A89" s="1"/>
      <c r="B89" s="1" t="s">
        <v>96</v>
      </c>
      <c r="C89" s="1" t="s">
        <v>89</v>
      </c>
      <c r="D89" s="1" t="s">
        <v>86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>
        <v>5</v>
      </c>
      <c r="AP89" s="1">
        <v>1</v>
      </c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6</v>
      </c>
      <c r="BQ89" s="1">
        <v>6</v>
      </c>
      <c r="BR89" s="17">
        <v>2</v>
      </c>
      <c r="BS89" s="17" t="s">
        <v>244</v>
      </c>
      <c r="BT89">
        <f t="shared" si="1"/>
        <v>0</v>
      </c>
    </row>
    <row r="90" spans="1:72" ht="27">
      <c r="A90" s="1"/>
      <c r="B90" s="1" t="s">
        <v>184</v>
      </c>
      <c r="C90" s="1" t="s">
        <v>25</v>
      </c>
      <c r="D90" s="1" t="s">
        <v>20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>
        <v>5</v>
      </c>
      <c r="AP90" s="1">
        <v>1</v>
      </c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6</v>
      </c>
      <c r="BQ90" s="1">
        <v>6</v>
      </c>
      <c r="BR90" s="17">
        <v>2</v>
      </c>
      <c r="BS90" s="17" t="s">
        <v>289</v>
      </c>
      <c r="BT90">
        <f t="shared" si="1"/>
        <v>0</v>
      </c>
    </row>
    <row r="91" spans="1:72" ht="27" hidden="1">
      <c r="A91" s="1"/>
      <c r="B91" s="1" t="s">
        <v>127</v>
      </c>
      <c r="C91" s="1" t="s">
        <v>125</v>
      </c>
      <c r="D91" s="1" t="s">
        <v>105</v>
      </c>
      <c r="E91" s="6"/>
      <c r="F91" s="6"/>
      <c r="G91" s="6"/>
      <c r="H91" s="6"/>
      <c r="I91" s="6">
        <v>7</v>
      </c>
      <c r="J91" s="6"/>
      <c r="K91" s="6"/>
      <c r="L91" s="6"/>
      <c r="M91" s="6"/>
      <c r="N91" s="6"/>
      <c r="O91" s="6"/>
      <c r="P91" s="28"/>
      <c r="Q91" s="28">
        <v>7</v>
      </c>
      <c r="R91" s="28">
        <v>7</v>
      </c>
      <c r="S91" s="28"/>
      <c r="T91" s="28">
        <v>7</v>
      </c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28</v>
      </c>
      <c r="BQ91" s="1">
        <v>7</v>
      </c>
      <c r="BR91" s="17">
        <v>2</v>
      </c>
      <c r="BS91" s="17" t="s">
        <v>230</v>
      </c>
      <c r="BT91">
        <f t="shared" si="1"/>
        <v>21</v>
      </c>
    </row>
    <row r="92" spans="1:72" ht="27">
      <c r="A92" s="1"/>
      <c r="B92" s="1" t="s">
        <v>92</v>
      </c>
      <c r="C92" s="1" t="s">
        <v>89</v>
      </c>
      <c r="D92" s="1" t="s">
        <v>93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>
        <v>3</v>
      </c>
      <c r="AP92" s="1">
        <v>5</v>
      </c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8</v>
      </c>
      <c r="BQ92" s="1">
        <v>8</v>
      </c>
      <c r="BR92" s="17">
        <v>2</v>
      </c>
      <c r="BS92" s="17" t="s">
        <v>290</v>
      </c>
      <c r="BT92">
        <f t="shared" si="1"/>
        <v>0</v>
      </c>
    </row>
    <row r="93" spans="1:72" ht="27" hidden="1">
      <c r="A93" s="50"/>
      <c r="B93" s="50" t="s">
        <v>207</v>
      </c>
      <c r="C93" s="50" t="s">
        <v>102</v>
      </c>
      <c r="D93" s="50" t="s">
        <v>105</v>
      </c>
      <c r="E93" s="51"/>
      <c r="F93" s="51"/>
      <c r="G93" s="51"/>
      <c r="H93" s="51"/>
      <c r="I93" s="51">
        <v>10</v>
      </c>
      <c r="J93" s="51"/>
      <c r="K93" s="51"/>
      <c r="L93" s="51"/>
      <c r="M93" s="51"/>
      <c r="N93" s="51"/>
      <c r="O93" s="51"/>
      <c r="P93" s="52"/>
      <c r="Q93" s="52"/>
      <c r="R93" s="52">
        <v>10</v>
      </c>
      <c r="S93" s="52"/>
      <c r="T93" s="52"/>
      <c r="U93" s="52"/>
      <c r="V93" s="52"/>
      <c r="W93" s="52"/>
      <c r="X93" s="52">
        <v>10</v>
      </c>
      <c r="Y93" s="52"/>
      <c r="Z93" s="52"/>
      <c r="AA93" s="52"/>
      <c r="AB93" s="52"/>
      <c r="AC93" s="52"/>
      <c r="AD93" s="52"/>
      <c r="AE93" s="50"/>
      <c r="AF93" s="50"/>
      <c r="AG93" s="50"/>
      <c r="AH93" s="50"/>
      <c r="AI93" s="50"/>
      <c r="AJ93" s="50"/>
      <c r="AK93" s="50"/>
      <c r="AL93" s="50"/>
      <c r="AM93" s="50"/>
      <c r="AN93" s="50"/>
      <c r="AO93" s="50"/>
      <c r="AP93" s="50"/>
      <c r="AQ93" s="53"/>
      <c r="AR93" s="53"/>
      <c r="AS93" s="53"/>
      <c r="AT93" s="53">
        <v>10</v>
      </c>
      <c r="AU93" s="53"/>
      <c r="AV93" s="53"/>
      <c r="AW93" s="54"/>
      <c r="AX93" s="54"/>
      <c r="AY93" s="54"/>
      <c r="AZ93" s="54"/>
      <c r="BA93" s="54"/>
      <c r="BB93" s="54"/>
      <c r="BC93" s="55"/>
      <c r="BD93" s="50"/>
      <c r="BE93" s="50"/>
      <c r="BF93" s="50"/>
      <c r="BG93" s="50"/>
      <c r="BH93" s="50"/>
      <c r="BI93" s="50"/>
      <c r="BJ93" s="50"/>
      <c r="BK93" s="50"/>
      <c r="BL93" s="50"/>
      <c r="BM93" s="50"/>
      <c r="BN93" s="50"/>
      <c r="BO93" s="50"/>
      <c r="BP93" s="50">
        <f>SUM(E93:BO93)</f>
        <v>40</v>
      </c>
      <c r="BQ93" s="50">
        <v>8</v>
      </c>
      <c r="BR93" s="56">
        <v>2</v>
      </c>
      <c r="BS93" s="56" t="s">
        <v>291</v>
      </c>
      <c r="BT93">
        <f t="shared" si="1"/>
        <v>20</v>
      </c>
    </row>
    <row r="94" spans="1:72" ht="27" hidden="1">
      <c r="A94" s="1"/>
      <c r="B94" s="3" t="s">
        <v>224</v>
      </c>
      <c r="C94" s="3" t="s">
        <v>101</v>
      </c>
      <c r="D94" s="1" t="s">
        <v>214</v>
      </c>
      <c r="E94" s="6"/>
      <c r="F94" s="6"/>
      <c r="G94" s="6"/>
      <c r="H94" s="6"/>
      <c r="I94" s="6">
        <v>10</v>
      </c>
      <c r="J94" s="6"/>
      <c r="K94" s="6"/>
      <c r="L94" s="6"/>
      <c r="M94" s="6"/>
      <c r="N94" s="6"/>
      <c r="O94" s="6"/>
      <c r="P94" s="28"/>
      <c r="Q94" s="28"/>
      <c r="R94" s="28">
        <v>10</v>
      </c>
      <c r="S94" s="28"/>
      <c r="T94" s="28"/>
      <c r="U94" s="28"/>
      <c r="V94" s="28"/>
      <c r="W94" s="28"/>
      <c r="X94" s="28">
        <v>10</v>
      </c>
      <c r="Y94" s="28"/>
      <c r="Z94" s="28"/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>
        <v>10</v>
      </c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40</v>
      </c>
      <c r="BQ94" s="1">
        <v>8</v>
      </c>
      <c r="BR94" s="17">
        <v>2</v>
      </c>
      <c r="BS94" s="17" t="s">
        <v>291</v>
      </c>
      <c r="BT94">
        <f t="shared" si="1"/>
        <v>20</v>
      </c>
    </row>
    <row r="95" spans="1:72" ht="27">
      <c r="A95" s="1">
        <v>8</v>
      </c>
      <c r="B95" s="1" t="s">
        <v>147</v>
      </c>
      <c r="C95" s="1" t="s">
        <v>1</v>
      </c>
      <c r="D95" s="1" t="s">
        <v>21</v>
      </c>
      <c r="E95" s="6">
        <v>6</v>
      </c>
      <c r="F95" s="6"/>
      <c r="G95" s="6"/>
      <c r="H95" s="6">
        <v>6</v>
      </c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>
        <v>10</v>
      </c>
      <c r="AS95" s="4"/>
      <c r="AT95" s="4"/>
      <c r="AU95" s="4"/>
      <c r="AV95" s="4"/>
      <c r="AW95" s="2"/>
      <c r="AX95" s="2"/>
      <c r="AY95" s="2"/>
      <c r="AZ95" s="2"/>
      <c r="BA95" s="2"/>
      <c r="BB95" s="2">
        <v>10</v>
      </c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32</v>
      </c>
      <c r="BQ95" s="1">
        <v>10</v>
      </c>
      <c r="BR95" s="17">
        <v>2</v>
      </c>
      <c r="BS95" s="17" t="s">
        <v>241</v>
      </c>
      <c r="BT95">
        <f t="shared" si="1"/>
        <v>0</v>
      </c>
    </row>
    <row r="96" spans="1:72" ht="27">
      <c r="A96" s="1">
        <v>27</v>
      </c>
      <c r="B96" s="1" t="s">
        <v>59</v>
      </c>
      <c r="C96" s="1" t="s">
        <v>25</v>
      </c>
      <c r="D96" s="1" t="s">
        <v>19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/>
      <c r="AG96" s="1"/>
      <c r="AH96" s="1">
        <v>5</v>
      </c>
      <c r="AI96" s="1">
        <v>5</v>
      </c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10</v>
      </c>
      <c r="BQ96" s="1">
        <v>10</v>
      </c>
      <c r="BR96" s="17">
        <v>2</v>
      </c>
      <c r="BS96" s="17" t="s">
        <v>292</v>
      </c>
      <c r="BT96">
        <f t="shared" si="1"/>
        <v>0</v>
      </c>
    </row>
    <row r="97" spans="1:72" ht="27">
      <c r="A97" s="1">
        <v>88</v>
      </c>
      <c r="B97" s="3" t="s">
        <v>64</v>
      </c>
      <c r="C97" s="3" t="s">
        <v>65</v>
      </c>
      <c r="D97" s="1" t="s">
        <v>19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>
        <v>5</v>
      </c>
      <c r="AI97" s="1">
        <v>5</v>
      </c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10</v>
      </c>
      <c r="BQ97" s="1">
        <v>10</v>
      </c>
      <c r="BR97" s="17">
        <v>2</v>
      </c>
      <c r="BS97" s="17" t="s">
        <v>231</v>
      </c>
      <c r="BT97">
        <f t="shared" si="1"/>
        <v>0</v>
      </c>
    </row>
    <row r="98" spans="1:72" ht="27">
      <c r="A98" s="1"/>
      <c r="B98" s="1" t="s">
        <v>159</v>
      </c>
      <c r="C98" s="1" t="s">
        <v>85</v>
      </c>
      <c r="D98" s="1" t="s">
        <v>87</v>
      </c>
      <c r="E98" s="6"/>
      <c r="F98" s="6"/>
      <c r="G98" s="6"/>
      <c r="H98" s="6">
        <v>6</v>
      </c>
      <c r="I98" s="6"/>
      <c r="J98" s="6"/>
      <c r="K98" s="6">
        <v>6</v>
      </c>
      <c r="L98" s="6"/>
      <c r="M98" s="6"/>
      <c r="N98" s="6"/>
      <c r="O98" s="6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>
        <v>10</v>
      </c>
      <c r="AR98" s="4"/>
      <c r="AS98" s="4"/>
      <c r="AT98" s="4"/>
      <c r="AU98" s="4"/>
      <c r="AV98" s="4"/>
      <c r="AW98" s="2">
        <v>10</v>
      </c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32</v>
      </c>
      <c r="BQ98" s="1">
        <v>13</v>
      </c>
      <c r="BR98" s="17">
        <v>2</v>
      </c>
      <c r="BS98" s="17" t="s">
        <v>293</v>
      </c>
      <c r="BT98">
        <f t="shared" si="1"/>
        <v>0</v>
      </c>
    </row>
    <row r="99" spans="1:72" ht="27" hidden="1">
      <c r="A99" s="1"/>
      <c r="B99" s="1" t="s">
        <v>120</v>
      </c>
      <c r="C99" s="1" t="s">
        <v>121</v>
      </c>
      <c r="D99" s="1" t="s">
        <v>105</v>
      </c>
      <c r="E99" s="6">
        <v>10</v>
      </c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/>
      <c r="R99" s="28">
        <v>10</v>
      </c>
      <c r="S99" s="28"/>
      <c r="T99" s="28"/>
      <c r="U99" s="28">
        <v>10</v>
      </c>
      <c r="V99" s="28"/>
      <c r="W99" s="28"/>
      <c r="X99" s="28"/>
      <c r="Y99" s="28"/>
      <c r="Z99" s="28"/>
      <c r="AA99" s="28"/>
      <c r="AB99" s="28"/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>
        <v>10</v>
      </c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40</v>
      </c>
      <c r="BQ99" s="1">
        <v>13</v>
      </c>
      <c r="BR99" s="17">
        <v>2</v>
      </c>
      <c r="BS99" s="17" t="s">
        <v>294</v>
      </c>
      <c r="BT99">
        <f t="shared" si="1"/>
        <v>20</v>
      </c>
    </row>
    <row r="100" spans="1:72" s="58" customFormat="1" ht="27" hidden="1">
      <c r="A100" s="1"/>
      <c r="B100" s="1" t="s">
        <v>126</v>
      </c>
      <c r="C100" s="1" t="s">
        <v>125</v>
      </c>
      <c r="D100" s="1" t="s">
        <v>105</v>
      </c>
      <c r="E100" s="6">
        <v>10</v>
      </c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/>
      <c r="Q100" s="28"/>
      <c r="R100" s="28">
        <v>10</v>
      </c>
      <c r="S100" s="28"/>
      <c r="T100" s="28"/>
      <c r="U100" s="28">
        <v>10</v>
      </c>
      <c r="V100" s="28"/>
      <c r="W100" s="28"/>
      <c r="X100" s="28"/>
      <c r="Y100" s="28"/>
      <c r="Z100" s="28"/>
      <c r="AA100" s="28"/>
      <c r="AB100" s="28"/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>
        <v>10</v>
      </c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40</v>
      </c>
      <c r="BQ100" s="1">
        <v>13</v>
      </c>
      <c r="BR100" s="17">
        <v>2</v>
      </c>
      <c r="BS100" s="17" t="s">
        <v>294</v>
      </c>
      <c r="BT100">
        <f t="shared" si="1"/>
        <v>20</v>
      </c>
    </row>
    <row r="101" spans="1:72" ht="27" hidden="1">
      <c r="A101" s="60"/>
      <c r="B101" s="60" t="s">
        <v>211</v>
      </c>
      <c r="C101" s="60" t="s">
        <v>132</v>
      </c>
      <c r="D101" s="60" t="s">
        <v>105</v>
      </c>
      <c r="E101" s="61">
        <v>10</v>
      </c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2"/>
      <c r="Q101" s="62"/>
      <c r="R101" s="62">
        <v>10</v>
      </c>
      <c r="S101" s="62"/>
      <c r="T101" s="62"/>
      <c r="U101" s="62">
        <v>10</v>
      </c>
      <c r="V101" s="62"/>
      <c r="W101" s="62"/>
      <c r="X101" s="62"/>
      <c r="Y101" s="62"/>
      <c r="Z101" s="62"/>
      <c r="AA101" s="62"/>
      <c r="AB101" s="62"/>
      <c r="AC101" s="62"/>
      <c r="AD101" s="62"/>
      <c r="AE101" s="60"/>
      <c r="AF101" s="60"/>
      <c r="AG101" s="60"/>
      <c r="AH101" s="60"/>
      <c r="AI101" s="60"/>
      <c r="AJ101" s="60"/>
      <c r="AK101" s="60"/>
      <c r="AL101" s="60"/>
      <c r="AM101" s="60"/>
      <c r="AN101" s="60"/>
      <c r="AO101" s="60"/>
      <c r="AP101" s="60"/>
      <c r="AQ101" s="63"/>
      <c r="AR101" s="63"/>
      <c r="AS101" s="63"/>
      <c r="AT101" s="63"/>
      <c r="AU101" s="63">
        <v>10</v>
      </c>
      <c r="AV101" s="63"/>
      <c r="AW101" s="64"/>
      <c r="AX101" s="64"/>
      <c r="AY101" s="64"/>
      <c r="AZ101" s="64"/>
      <c r="BA101" s="64"/>
      <c r="BB101" s="64"/>
      <c r="BC101" s="65"/>
      <c r="BD101" s="60"/>
      <c r="BE101" s="60"/>
      <c r="BF101" s="60"/>
      <c r="BG101" s="60"/>
      <c r="BH101" s="60"/>
      <c r="BI101" s="60"/>
      <c r="BJ101" s="60"/>
      <c r="BK101" s="60"/>
      <c r="BL101" s="60"/>
      <c r="BM101" s="60"/>
      <c r="BN101" s="60"/>
      <c r="BO101" s="60"/>
      <c r="BP101" s="60">
        <f>SUM(E101:BO101)</f>
        <v>40</v>
      </c>
      <c r="BQ101" s="60">
        <v>13</v>
      </c>
      <c r="BR101" s="66">
        <v>2</v>
      </c>
      <c r="BS101" s="66" t="s">
        <v>294</v>
      </c>
      <c r="BT101">
        <f t="shared" si="1"/>
        <v>20</v>
      </c>
    </row>
    <row r="102" spans="1:72" ht="27" hidden="1">
      <c r="A102" s="1"/>
      <c r="B102" s="3" t="s">
        <v>268</v>
      </c>
      <c r="C102" s="3" t="s">
        <v>51</v>
      </c>
      <c r="D102" s="1" t="s">
        <v>214</v>
      </c>
      <c r="E102" s="6">
        <v>10</v>
      </c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/>
      <c r="Q102" s="28"/>
      <c r="R102" s="28">
        <v>10</v>
      </c>
      <c r="S102" s="28"/>
      <c r="T102" s="28"/>
      <c r="U102" s="28">
        <v>10</v>
      </c>
      <c r="V102" s="28"/>
      <c r="W102" s="28"/>
      <c r="X102" s="28"/>
      <c r="Y102" s="28"/>
      <c r="Z102" s="28"/>
      <c r="AA102" s="28"/>
      <c r="AB102" s="28"/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>
        <v>10</v>
      </c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40</v>
      </c>
      <c r="BQ102" s="1">
        <v>13</v>
      </c>
      <c r="BR102" s="17">
        <v>2</v>
      </c>
      <c r="BS102" s="17" t="s">
        <v>209</v>
      </c>
      <c r="BT102">
        <f t="shared" si="1"/>
        <v>20</v>
      </c>
    </row>
    <row r="103" spans="1:72" ht="27">
      <c r="A103" s="1"/>
      <c r="B103" s="1" t="s">
        <v>187</v>
      </c>
      <c r="C103" s="1" t="s">
        <v>1</v>
      </c>
      <c r="D103" s="1" t="s">
        <v>186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>
        <v>10</v>
      </c>
      <c r="AS103" s="4"/>
      <c r="AT103" s="4"/>
      <c r="AU103" s="4"/>
      <c r="AV103" s="4"/>
      <c r="AW103" s="2"/>
      <c r="AX103" s="2"/>
      <c r="AY103" s="2"/>
      <c r="AZ103" s="2">
        <v>10</v>
      </c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20</v>
      </c>
      <c r="BQ103" s="1">
        <v>14</v>
      </c>
      <c r="BR103" s="17">
        <v>2</v>
      </c>
      <c r="BS103" s="17" t="s">
        <v>319</v>
      </c>
      <c r="BT103">
        <f t="shared" si="1"/>
        <v>0</v>
      </c>
    </row>
    <row r="104" spans="1:72" ht="27" hidden="1">
      <c r="A104" s="1"/>
      <c r="B104" s="3" t="s">
        <v>222</v>
      </c>
      <c r="C104" s="3" t="s">
        <v>220</v>
      </c>
      <c r="D104" s="1" t="s">
        <v>214</v>
      </c>
      <c r="E104" s="6"/>
      <c r="F104" s="6"/>
      <c r="G104" s="6"/>
      <c r="H104" s="6"/>
      <c r="I104" s="6"/>
      <c r="J104" s="6"/>
      <c r="K104" s="6">
        <v>10</v>
      </c>
      <c r="L104" s="6"/>
      <c r="M104" s="6"/>
      <c r="N104" s="6"/>
      <c r="O104" s="6"/>
      <c r="P104" s="28"/>
      <c r="Q104" s="28"/>
      <c r="R104" s="28"/>
      <c r="S104" s="28"/>
      <c r="T104" s="28"/>
      <c r="U104" s="28">
        <v>10</v>
      </c>
      <c r="V104" s="28"/>
      <c r="W104" s="28"/>
      <c r="X104" s="28"/>
      <c r="Y104" s="28"/>
      <c r="Z104" s="28"/>
      <c r="AA104" s="28">
        <v>10</v>
      </c>
      <c r="AB104" s="28"/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>
        <v>10</v>
      </c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40</v>
      </c>
      <c r="BQ104" s="1">
        <v>14</v>
      </c>
      <c r="BR104" s="17">
        <v>2</v>
      </c>
      <c r="BS104" s="17" t="s">
        <v>320</v>
      </c>
      <c r="BT104">
        <f t="shared" si="1"/>
        <v>20</v>
      </c>
    </row>
    <row r="105" spans="1:72" ht="27">
      <c r="A105" s="1"/>
      <c r="B105" s="1" t="s">
        <v>92</v>
      </c>
      <c r="C105" s="1" t="s">
        <v>89</v>
      </c>
      <c r="D105" s="1" t="s">
        <v>86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>
        <v>5</v>
      </c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>
        <v>5</v>
      </c>
      <c r="AP105" s="1">
        <v>10</v>
      </c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20</v>
      </c>
      <c r="BQ105" s="1">
        <v>15</v>
      </c>
      <c r="BR105" s="17">
        <v>2</v>
      </c>
      <c r="BS105" s="17" t="s">
        <v>321</v>
      </c>
      <c r="BT105">
        <f t="shared" si="1"/>
        <v>0</v>
      </c>
    </row>
    <row r="106" spans="1:72" ht="27">
      <c r="A106" s="1">
        <v>45</v>
      </c>
      <c r="B106" s="1" t="s">
        <v>84</v>
      </c>
      <c r="C106" s="1" t="s">
        <v>37</v>
      </c>
      <c r="D106" s="1" t="s">
        <v>10</v>
      </c>
      <c r="E106" s="6">
        <v>6</v>
      </c>
      <c r="F106" s="6"/>
      <c r="G106" s="6"/>
      <c r="H106" s="6"/>
      <c r="I106" s="6"/>
      <c r="J106" s="6"/>
      <c r="K106" s="6"/>
      <c r="L106" s="6"/>
      <c r="M106" s="6">
        <v>6</v>
      </c>
      <c r="N106" s="6"/>
      <c r="O106" s="6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>
        <v>10</v>
      </c>
      <c r="AR106" s="4"/>
      <c r="AS106" s="4"/>
      <c r="AT106" s="4"/>
      <c r="AU106" s="4"/>
      <c r="AV106" s="4"/>
      <c r="AW106" s="2"/>
      <c r="AX106" s="2"/>
      <c r="AY106" s="2"/>
      <c r="AZ106" s="2">
        <v>10</v>
      </c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32</v>
      </c>
      <c r="BQ106" s="1">
        <v>17</v>
      </c>
      <c r="BR106" s="17">
        <v>2</v>
      </c>
      <c r="BS106" s="17" t="s">
        <v>322</v>
      </c>
      <c r="BT106">
        <f t="shared" si="1"/>
        <v>0</v>
      </c>
    </row>
    <row r="107" spans="1:72" ht="27">
      <c r="A107" s="1"/>
      <c r="B107" s="1" t="s">
        <v>142</v>
      </c>
      <c r="C107" s="1" t="s">
        <v>85</v>
      </c>
      <c r="D107" s="1" t="s">
        <v>87</v>
      </c>
      <c r="E107" s="6">
        <v>10</v>
      </c>
      <c r="F107" s="6"/>
      <c r="G107" s="6">
        <v>10</v>
      </c>
      <c r="H107" s="6"/>
      <c r="I107" s="6"/>
      <c r="J107" s="6"/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>
        <v>15</v>
      </c>
      <c r="AU107" s="4"/>
      <c r="AV107" s="4"/>
      <c r="AW107" s="2"/>
      <c r="AX107" s="2"/>
      <c r="AY107" s="2"/>
      <c r="AZ107" s="2">
        <v>15</v>
      </c>
      <c r="BA107" s="2">
        <v>15</v>
      </c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65</v>
      </c>
      <c r="BQ107" s="1">
        <v>26</v>
      </c>
      <c r="BR107" s="17">
        <v>2</v>
      </c>
      <c r="BS107" s="17" t="s">
        <v>323</v>
      </c>
      <c r="BT107">
        <f t="shared" si="1"/>
        <v>0</v>
      </c>
    </row>
    <row r="108" spans="1:72" ht="27">
      <c r="A108" s="1"/>
      <c r="B108" s="1" t="s">
        <v>88</v>
      </c>
      <c r="C108" s="1" t="s">
        <v>89</v>
      </c>
      <c r="D108" s="1" t="s">
        <v>86</v>
      </c>
      <c r="E108" s="6"/>
      <c r="F108" s="6"/>
      <c r="G108" s="6">
        <v>15</v>
      </c>
      <c r="H108" s="6">
        <v>15</v>
      </c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>
        <v>15</v>
      </c>
      <c r="AT108" s="4"/>
      <c r="AU108" s="4"/>
      <c r="AV108" s="4"/>
      <c r="AW108" s="2"/>
      <c r="AX108" s="2"/>
      <c r="AY108" s="2"/>
      <c r="AZ108" s="2"/>
      <c r="BA108" s="2"/>
      <c r="BB108" s="2">
        <v>15</v>
      </c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60</v>
      </c>
      <c r="BQ108" s="1">
        <v>26</v>
      </c>
      <c r="BR108" s="17">
        <v>2</v>
      </c>
      <c r="BS108" s="17" t="s">
        <v>295</v>
      </c>
      <c r="BT108">
        <f t="shared" si="1"/>
        <v>0</v>
      </c>
    </row>
    <row r="109" spans="1:72" ht="27">
      <c r="A109" s="1">
        <v>54</v>
      </c>
      <c r="B109" s="1" t="s">
        <v>43</v>
      </c>
      <c r="C109" s="1" t="s">
        <v>44</v>
      </c>
      <c r="D109" s="1" t="s">
        <v>0</v>
      </c>
      <c r="E109" s="6"/>
      <c r="F109" s="6">
        <v>15</v>
      </c>
      <c r="G109" s="6"/>
      <c r="H109" s="6">
        <v>15</v>
      </c>
      <c r="I109" s="6"/>
      <c r="J109" s="6"/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>
        <v>15</v>
      </c>
      <c r="AW109" s="2"/>
      <c r="AX109" s="2"/>
      <c r="AY109" s="2"/>
      <c r="AZ109" s="2"/>
      <c r="BA109" s="2">
        <v>15</v>
      </c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60</v>
      </c>
      <c r="BQ109" s="1">
        <v>26</v>
      </c>
      <c r="BR109" s="17">
        <v>2</v>
      </c>
      <c r="BS109" s="17" t="s">
        <v>324</v>
      </c>
      <c r="BT109">
        <f t="shared" si="1"/>
        <v>0</v>
      </c>
    </row>
    <row r="110" spans="1:72" ht="27">
      <c r="A110" s="18">
        <v>65</v>
      </c>
      <c r="B110" s="24" t="s">
        <v>49</v>
      </c>
      <c r="C110" s="18" t="s">
        <v>44</v>
      </c>
      <c r="D110" s="18" t="s">
        <v>10</v>
      </c>
      <c r="E110" s="19"/>
      <c r="F110" s="19"/>
      <c r="G110" s="19">
        <v>10</v>
      </c>
      <c r="H110" s="19"/>
      <c r="I110" s="19"/>
      <c r="J110" s="19"/>
      <c r="K110" s="19"/>
      <c r="L110" s="19"/>
      <c r="M110" s="19"/>
      <c r="N110" s="19"/>
      <c r="O110" s="1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>
        <v>25</v>
      </c>
      <c r="AO110" s="18"/>
      <c r="AP110" s="18"/>
      <c r="AQ110" s="20"/>
      <c r="AR110" s="20"/>
      <c r="AS110" s="20"/>
      <c r="AT110" s="20"/>
      <c r="AU110" s="20"/>
      <c r="AV110" s="20">
        <v>10</v>
      </c>
      <c r="AW110" s="21"/>
      <c r="AX110" s="21"/>
      <c r="AY110" s="21"/>
      <c r="AZ110" s="21">
        <v>10</v>
      </c>
      <c r="BA110" s="21"/>
      <c r="BB110" s="21"/>
      <c r="BC110" s="26"/>
      <c r="BD110" s="18"/>
      <c r="BE110" s="18"/>
      <c r="BF110" s="18"/>
      <c r="BG110" s="18"/>
      <c r="BH110" s="18"/>
      <c r="BI110" s="18"/>
      <c r="BJ110" s="18"/>
      <c r="BK110" s="18"/>
      <c r="BL110" s="18"/>
      <c r="BM110" s="18"/>
      <c r="BN110" s="18"/>
      <c r="BO110" s="18"/>
      <c r="BP110" s="18">
        <f>SUM(E110:BO110)</f>
        <v>55</v>
      </c>
      <c r="BQ110" s="18">
        <v>34</v>
      </c>
      <c r="BR110" s="22">
        <v>2</v>
      </c>
      <c r="BS110" s="22" t="s">
        <v>286</v>
      </c>
      <c r="BT110">
        <f t="shared" si="1"/>
        <v>0</v>
      </c>
    </row>
    <row r="111" spans="1:72" ht="27">
      <c r="A111" s="1"/>
      <c r="B111" s="1" t="s">
        <v>158</v>
      </c>
      <c r="C111" s="1" t="s">
        <v>100</v>
      </c>
      <c r="D111" s="1" t="s">
        <v>86</v>
      </c>
      <c r="E111" s="6"/>
      <c r="F111" s="6"/>
      <c r="G111" s="6">
        <v>20</v>
      </c>
      <c r="H111" s="6">
        <v>20</v>
      </c>
      <c r="I111" s="6"/>
      <c r="J111" s="6"/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>
        <v>20</v>
      </c>
      <c r="BB111" s="2">
        <v>20</v>
      </c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80</v>
      </c>
      <c r="BQ111" s="1">
        <v>36</v>
      </c>
      <c r="BR111" s="17">
        <v>2</v>
      </c>
      <c r="BS111" s="17" t="s">
        <v>296</v>
      </c>
      <c r="BT111">
        <f t="shared" si="1"/>
        <v>0</v>
      </c>
    </row>
    <row r="112" spans="1:72" ht="27">
      <c r="A112" s="1">
        <v>23</v>
      </c>
      <c r="B112" s="1" t="s">
        <v>83</v>
      </c>
      <c r="C112" s="1" t="s">
        <v>25</v>
      </c>
      <c r="D112" s="1" t="s">
        <v>30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>
        <v>50</v>
      </c>
      <c r="BK112" s="1">
        <v>50</v>
      </c>
      <c r="BL112" s="1"/>
      <c r="BM112" s="1"/>
      <c r="BN112" s="1">
        <v>50</v>
      </c>
      <c r="BO112" s="1">
        <v>50</v>
      </c>
      <c r="BP112" s="1">
        <f>SUM(E112:BO112)</f>
        <v>200</v>
      </c>
      <c r="BQ112" s="1">
        <v>90</v>
      </c>
      <c r="BR112" s="17">
        <v>2</v>
      </c>
      <c r="BS112" s="17" t="s">
        <v>232</v>
      </c>
      <c r="BT112">
        <f t="shared" si="1"/>
        <v>0</v>
      </c>
    </row>
    <row r="113" spans="1:72" ht="27">
      <c r="A113" s="1"/>
      <c r="B113" s="1" t="s">
        <v>153</v>
      </c>
      <c r="C113" s="1" t="s">
        <v>97</v>
      </c>
      <c r="D113" s="1" t="s">
        <v>98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>
        <v>50</v>
      </c>
      <c r="BK113" s="1">
        <v>50</v>
      </c>
      <c r="BL113" s="1"/>
      <c r="BM113" s="1"/>
      <c r="BN113" s="1">
        <v>50</v>
      </c>
      <c r="BO113" s="1">
        <v>50</v>
      </c>
      <c r="BP113" s="1">
        <f>SUM(E113:BO113)</f>
        <v>200</v>
      </c>
      <c r="BQ113" s="1">
        <v>90</v>
      </c>
      <c r="BR113" s="17">
        <v>2</v>
      </c>
      <c r="BS113" s="17" t="s">
        <v>297</v>
      </c>
      <c r="BT113">
        <f t="shared" si="1"/>
        <v>0</v>
      </c>
    </row>
    <row r="114" spans="1:72" ht="27">
      <c r="A114" s="1"/>
      <c r="B114" s="1" t="s">
        <v>151</v>
      </c>
      <c r="C114" s="1" t="s">
        <v>131</v>
      </c>
      <c r="D114" s="1" t="s">
        <v>30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>
        <v>50</v>
      </c>
      <c r="BK114" s="1">
        <v>50</v>
      </c>
      <c r="BL114" s="1"/>
      <c r="BM114" s="1"/>
      <c r="BN114" s="1">
        <v>50</v>
      </c>
      <c r="BO114" s="1">
        <v>50</v>
      </c>
      <c r="BP114" s="1">
        <f>SUM(E114:BO114)</f>
        <v>200</v>
      </c>
      <c r="BQ114" s="1">
        <v>90</v>
      </c>
      <c r="BR114" s="17">
        <v>2</v>
      </c>
      <c r="BS114" s="17" t="s">
        <v>297</v>
      </c>
      <c r="BT114">
        <f t="shared" si="1"/>
        <v>0</v>
      </c>
    </row>
    <row r="115" spans="1:72" ht="27">
      <c r="A115" s="1">
        <v>102</v>
      </c>
      <c r="B115" s="3" t="s">
        <v>183</v>
      </c>
      <c r="C115" s="3" t="s">
        <v>54</v>
      </c>
      <c r="D115" s="1" t="s">
        <v>30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>
        <v>50</v>
      </c>
      <c r="BK115" s="1">
        <v>50</v>
      </c>
      <c r="BL115" s="1"/>
      <c r="BM115" s="1"/>
      <c r="BN115" s="1">
        <v>50</v>
      </c>
      <c r="BO115" s="1">
        <v>50</v>
      </c>
      <c r="BP115" s="1">
        <f>SUM(E115:BO115)</f>
        <v>200</v>
      </c>
      <c r="BQ115" s="1">
        <v>90</v>
      </c>
      <c r="BR115" s="17">
        <v>2</v>
      </c>
      <c r="BS115" s="17" t="s">
        <v>232</v>
      </c>
      <c r="BT115">
        <f t="shared" si="1"/>
        <v>0</v>
      </c>
    </row>
    <row r="116" spans="1:72" s="67" customFormat="1" ht="40.5" hidden="1">
      <c r="A116" s="1"/>
      <c r="B116" s="3" t="s">
        <v>217</v>
      </c>
      <c r="C116" s="3" t="s">
        <v>218</v>
      </c>
      <c r="D116" s="1" t="s">
        <v>213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/>
      <c r="Q116" s="28">
        <v>5</v>
      </c>
      <c r="R116" s="28"/>
      <c r="S116" s="28"/>
      <c r="T116" s="28">
        <v>5</v>
      </c>
      <c r="U116" s="28"/>
      <c r="V116" s="28"/>
      <c r="W116" s="28">
        <v>5</v>
      </c>
      <c r="X116" s="28"/>
      <c r="Y116" s="28"/>
      <c r="Z116" s="28">
        <v>5</v>
      </c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20</v>
      </c>
      <c r="BQ116" s="1">
        <v>4</v>
      </c>
      <c r="BR116" s="17">
        <v>3</v>
      </c>
      <c r="BS116" s="17" t="s">
        <v>316</v>
      </c>
      <c r="BT116">
        <f t="shared" si="1"/>
        <v>20</v>
      </c>
    </row>
    <row r="117" spans="1:72" ht="40.5" hidden="1">
      <c r="A117" s="1"/>
      <c r="B117" s="3" t="s">
        <v>212</v>
      </c>
      <c r="C117" s="3" t="s">
        <v>51</v>
      </c>
      <c r="D117" s="1" t="s">
        <v>213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/>
      <c r="Q117" s="28">
        <v>5</v>
      </c>
      <c r="R117" s="28"/>
      <c r="S117" s="28"/>
      <c r="T117" s="28">
        <v>5</v>
      </c>
      <c r="U117" s="28"/>
      <c r="V117" s="28"/>
      <c r="W117" s="28">
        <v>5</v>
      </c>
      <c r="X117" s="28"/>
      <c r="Y117" s="28"/>
      <c r="Z117" s="28"/>
      <c r="AA117" s="28"/>
      <c r="AB117" s="28"/>
      <c r="AC117" s="28">
        <v>5</v>
      </c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20</v>
      </c>
      <c r="BQ117" s="1">
        <v>4</v>
      </c>
      <c r="BR117" s="17">
        <v>3</v>
      </c>
      <c r="BS117" s="17" t="s">
        <v>298</v>
      </c>
      <c r="BT117">
        <f t="shared" si="1"/>
        <v>20</v>
      </c>
    </row>
    <row r="118" spans="1:72" ht="40.5" hidden="1">
      <c r="A118" s="1"/>
      <c r="B118" s="3" t="s">
        <v>222</v>
      </c>
      <c r="C118" s="3" t="s">
        <v>220</v>
      </c>
      <c r="D118" s="1" t="s">
        <v>0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/>
      <c r="Q118" s="28"/>
      <c r="R118" s="28"/>
      <c r="S118" s="28"/>
      <c r="T118" s="28"/>
      <c r="U118" s="28"/>
      <c r="V118" s="28">
        <v>10</v>
      </c>
      <c r="W118" s="28"/>
      <c r="X118" s="28"/>
      <c r="Y118" s="28"/>
      <c r="Z118" s="28">
        <v>5</v>
      </c>
      <c r="AA118" s="28"/>
      <c r="AB118" s="28">
        <v>10</v>
      </c>
      <c r="AC118" s="28">
        <v>5</v>
      </c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30</v>
      </c>
      <c r="BQ118" s="1">
        <v>6</v>
      </c>
      <c r="BR118" s="17">
        <v>3</v>
      </c>
      <c r="BS118" s="17" t="s">
        <v>317</v>
      </c>
      <c r="BT118">
        <f t="shared" si="1"/>
        <v>30</v>
      </c>
    </row>
    <row r="119" spans="1:72" ht="40.5" hidden="1">
      <c r="A119" s="1"/>
      <c r="B119" s="1" t="s">
        <v>134</v>
      </c>
      <c r="C119" s="1" t="s">
        <v>132</v>
      </c>
      <c r="D119" s="1" t="s">
        <v>104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/>
      <c r="Q119" s="28">
        <v>5</v>
      </c>
      <c r="R119" s="28"/>
      <c r="S119" s="28"/>
      <c r="T119" s="28"/>
      <c r="U119" s="28"/>
      <c r="V119" s="28">
        <v>10</v>
      </c>
      <c r="W119" s="28"/>
      <c r="X119" s="28"/>
      <c r="Y119" s="28"/>
      <c r="Z119" s="28">
        <v>5</v>
      </c>
      <c r="AA119" s="28"/>
      <c r="AB119" s="28">
        <v>10</v>
      </c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30</v>
      </c>
      <c r="BQ119" s="1">
        <v>7</v>
      </c>
      <c r="BR119" s="17">
        <v>3</v>
      </c>
      <c r="BS119" s="17" t="s">
        <v>318</v>
      </c>
      <c r="BT119">
        <f t="shared" si="1"/>
        <v>30</v>
      </c>
    </row>
    <row r="120" spans="1:72" ht="40.5" hidden="1">
      <c r="A120" s="1"/>
      <c r="B120" s="3" t="s">
        <v>217</v>
      </c>
      <c r="C120" s="3" t="s">
        <v>218</v>
      </c>
      <c r="D120" s="1" t="s">
        <v>214</v>
      </c>
      <c r="E120" s="6"/>
      <c r="F120" s="6"/>
      <c r="G120" s="6"/>
      <c r="H120" s="6"/>
      <c r="I120" s="6"/>
      <c r="J120" s="6"/>
      <c r="K120" s="6"/>
      <c r="L120" s="6"/>
      <c r="M120" s="6"/>
      <c r="N120" s="6">
        <v>10</v>
      </c>
      <c r="O120" s="6"/>
      <c r="P120" s="28"/>
      <c r="Q120" s="28"/>
      <c r="R120" s="28"/>
      <c r="S120" s="28"/>
      <c r="T120" s="28"/>
      <c r="U120" s="28"/>
      <c r="V120" s="28"/>
      <c r="W120" s="28"/>
      <c r="X120" s="28">
        <v>10</v>
      </c>
      <c r="Y120" s="28"/>
      <c r="Z120" s="28"/>
      <c r="AA120" s="28">
        <v>10</v>
      </c>
      <c r="AB120" s="28"/>
      <c r="AC120" s="28"/>
      <c r="AD120" s="28">
        <v>10</v>
      </c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>SUM(E120:BO120)</f>
        <v>40</v>
      </c>
      <c r="BQ120" s="1">
        <v>11</v>
      </c>
      <c r="BR120" s="17">
        <v>3</v>
      </c>
      <c r="BS120" s="17" t="s">
        <v>299</v>
      </c>
      <c r="BT120">
        <f t="shared" si="1"/>
        <v>30</v>
      </c>
    </row>
    <row r="121" spans="1:72" ht="40.5" hidden="1">
      <c r="A121" s="1"/>
      <c r="B121" s="1" t="s">
        <v>114</v>
      </c>
      <c r="C121" s="1" t="s">
        <v>102</v>
      </c>
      <c r="D121" s="1" t="s">
        <v>105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>
        <v>10</v>
      </c>
      <c r="P121" s="28"/>
      <c r="Q121" s="28"/>
      <c r="R121" s="28">
        <v>10</v>
      </c>
      <c r="S121" s="28"/>
      <c r="T121" s="28"/>
      <c r="U121" s="28"/>
      <c r="V121" s="28"/>
      <c r="W121" s="28"/>
      <c r="X121" s="28">
        <v>10</v>
      </c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>
        <v>10</v>
      </c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>SUM(E121:BO121)</f>
        <v>40</v>
      </c>
      <c r="BQ121" s="1">
        <v>14</v>
      </c>
      <c r="BR121" s="17">
        <v>3</v>
      </c>
      <c r="BS121" s="17" t="s">
        <v>300</v>
      </c>
      <c r="BT121">
        <f t="shared" si="1"/>
        <v>20</v>
      </c>
    </row>
    <row r="122" spans="1:72" ht="40.5" hidden="1">
      <c r="A122" s="1"/>
      <c r="B122" s="1" t="s">
        <v>123</v>
      </c>
      <c r="C122" s="1" t="s">
        <v>121</v>
      </c>
      <c r="D122" s="1" t="s">
        <v>105</v>
      </c>
      <c r="E122" s="6"/>
      <c r="F122" s="6"/>
      <c r="G122" s="6"/>
      <c r="H122" s="6">
        <v>7</v>
      </c>
      <c r="I122" s="6"/>
      <c r="J122" s="6"/>
      <c r="K122" s="6"/>
      <c r="L122" s="6"/>
      <c r="M122" s="6"/>
      <c r="N122" s="6"/>
      <c r="O122" s="6"/>
      <c r="P122" s="28"/>
      <c r="Q122" s="28">
        <v>7</v>
      </c>
      <c r="R122" s="28"/>
      <c r="S122" s="28"/>
      <c r="T122" s="28">
        <v>7</v>
      </c>
      <c r="U122" s="28"/>
      <c r="V122" s="28"/>
      <c r="W122" s="28"/>
      <c r="X122" s="28"/>
      <c r="Y122" s="28"/>
      <c r="Z122" s="28"/>
      <c r="AA122" s="28">
        <v>7</v>
      </c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>SUM(E122:BO122)</f>
        <v>28</v>
      </c>
      <c r="BQ122" s="1">
        <v>15</v>
      </c>
      <c r="BR122" s="17">
        <v>3</v>
      </c>
      <c r="BS122" s="17" t="s">
        <v>301</v>
      </c>
      <c r="BT122">
        <f t="shared" si="1"/>
        <v>21</v>
      </c>
    </row>
    <row r="123" spans="1:72" ht="40.5" hidden="1">
      <c r="A123" s="1"/>
      <c r="B123" s="3" t="s">
        <v>212</v>
      </c>
      <c r="C123" s="3" t="s">
        <v>51</v>
      </c>
      <c r="D123" s="1" t="s">
        <v>214</v>
      </c>
      <c r="E123" s="6"/>
      <c r="F123" s="6"/>
      <c r="G123" s="6"/>
      <c r="H123" s="6"/>
      <c r="I123" s="6"/>
      <c r="J123" s="6"/>
      <c r="K123" s="6"/>
      <c r="L123" s="6"/>
      <c r="M123" s="6">
        <v>10</v>
      </c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>
        <v>10</v>
      </c>
      <c r="AB123" s="28"/>
      <c r="AC123" s="28"/>
      <c r="AD123" s="28">
        <v>10</v>
      </c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>
        <v>10</v>
      </c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>SUM(E123:BO123)</f>
        <v>40</v>
      </c>
      <c r="BQ123" s="1">
        <v>15</v>
      </c>
      <c r="BR123" s="17">
        <v>3</v>
      </c>
      <c r="BS123" s="17" t="s">
        <v>302</v>
      </c>
      <c r="BT123">
        <f t="shared" si="1"/>
        <v>20</v>
      </c>
    </row>
    <row r="124" spans="1:72" ht="40.5" hidden="1">
      <c r="A124" s="1"/>
      <c r="B124" s="3" t="s">
        <v>216</v>
      </c>
      <c r="C124" s="3" t="s">
        <v>25</v>
      </c>
      <c r="D124" s="1" t="s">
        <v>214</v>
      </c>
      <c r="E124" s="6"/>
      <c r="F124" s="6"/>
      <c r="G124" s="6"/>
      <c r="H124" s="6"/>
      <c r="I124" s="6"/>
      <c r="J124" s="6"/>
      <c r="K124" s="6"/>
      <c r="L124" s="6"/>
      <c r="M124" s="6">
        <v>10</v>
      </c>
      <c r="N124" s="6"/>
      <c r="O124" s="6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>
        <v>10</v>
      </c>
      <c r="AB124" s="28"/>
      <c r="AC124" s="28"/>
      <c r="AD124" s="28">
        <v>10</v>
      </c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>
        <v>10</v>
      </c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>SUM(E124:BO124)</f>
        <v>40</v>
      </c>
      <c r="BQ124" s="1">
        <v>15</v>
      </c>
      <c r="BR124" s="17">
        <v>3</v>
      </c>
      <c r="BS124" s="17" t="s">
        <v>302</v>
      </c>
      <c r="BT124">
        <f t="shared" si="1"/>
        <v>20</v>
      </c>
    </row>
    <row r="125" spans="1:72" ht="40.5" hidden="1">
      <c r="A125" s="1"/>
      <c r="B125" s="3" t="s">
        <v>221</v>
      </c>
      <c r="C125" s="3" t="s">
        <v>220</v>
      </c>
      <c r="D125" s="1" t="s">
        <v>214</v>
      </c>
      <c r="E125" s="6"/>
      <c r="F125" s="6"/>
      <c r="G125" s="6"/>
      <c r="H125" s="6"/>
      <c r="I125" s="6"/>
      <c r="J125" s="6"/>
      <c r="K125" s="6"/>
      <c r="L125" s="6"/>
      <c r="M125" s="6">
        <v>10</v>
      </c>
      <c r="N125" s="6"/>
      <c r="O125" s="6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>
        <v>10</v>
      </c>
      <c r="AB125" s="28"/>
      <c r="AC125" s="28"/>
      <c r="AD125" s="28">
        <v>10</v>
      </c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>
        <v>10</v>
      </c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>SUM(E125:BO125)</f>
        <v>40</v>
      </c>
      <c r="BQ125" s="1">
        <v>15</v>
      </c>
      <c r="BR125" s="17">
        <v>3</v>
      </c>
      <c r="BS125" s="17" t="s">
        <v>246</v>
      </c>
      <c r="BT125">
        <f t="shared" si="1"/>
        <v>20</v>
      </c>
    </row>
    <row r="126" spans="1:72" ht="40.5" hidden="1">
      <c r="A126" s="1"/>
      <c r="B126" s="3" t="s">
        <v>223</v>
      </c>
      <c r="C126" s="3" t="s">
        <v>101</v>
      </c>
      <c r="D126" s="1" t="s">
        <v>214</v>
      </c>
      <c r="E126" s="6"/>
      <c r="F126" s="6"/>
      <c r="G126" s="6"/>
      <c r="H126" s="6"/>
      <c r="I126" s="6"/>
      <c r="J126" s="6"/>
      <c r="K126" s="6"/>
      <c r="L126" s="6"/>
      <c r="M126" s="6">
        <v>10</v>
      </c>
      <c r="N126" s="6"/>
      <c r="O126" s="6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>
        <v>10</v>
      </c>
      <c r="AB126" s="28"/>
      <c r="AC126" s="28"/>
      <c r="AD126" s="28">
        <v>10</v>
      </c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>
        <v>10</v>
      </c>
      <c r="AT126" s="4"/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>
        <f>SUM(E126:BO126)</f>
        <v>40</v>
      </c>
      <c r="BQ126" s="1">
        <v>15</v>
      </c>
      <c r="BR126" s="17">
        <v>3</v>
      </c>
      <c r="BS126" s="17" t="s">
        <v>246</v>
      </c>
      <c r="BT126">
        <f t="shared" si="1"/>
        <v>20</v>
      </c>
    </row>
    <row r="127" spans="1:72" ht="40.5">
      <c r="A127" s="1">
        <v>28</v>
      </c>
      <c r="B127" s="1" t="s">
        <v>59</v>
      </c>
      <c r="C127" s="1" t="s">
        <v>25</v>
      </c>
      <c r="D127" s="1" t="s">
        <v>0</v>
      </c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1"/>
      <c r="AF127" s="1"/>
      <c r="AG127" s="1"/>
      <c r="AH127" s="1">
        <v>5</v>
      </c>
      <c r="AI127" s="1">
        <v>5</v>
      </c>
      <c r="AJ127" s="1">
        <v>5</v>
      </c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>
        <f>SUM(E127:BO127)</f>
        <v>15</v>
      </c>
      <c r="BQ127" s="1">
        <v>15</v>
      </c>
      <c r="BR127" s="17">
        <v>3</v>
      </c>
      <c r="BS127" s="17" t="s">
        <v>303</v>
      </c>
      <c r="BT127">
        <f t="shared" si="1"/>
        <v>0</v>
      </c>
    </row>
    <row r="128" spans="1:72" ht="40.5">
      <c r="A128" s="1">
        <v>89</v>
      </c>
      <c r="B128" s="3" t="s">
        <v>64</v>
      </c>
      <c r="C128" s="3" t="s">
        <v>65</v>
      </c>
      <c r="D128" s="1" t="s">
        <v>0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1"/>
      <c r="AF128" s="1">
        <v>5</v>
      </c>
      <c r="AG128" s="1"/>
      <c r="AH128" s="1">
        <v>5</v>
      </c>
      <c r="AI128" s="1">
        <v>5</v>
      </c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>
        <f>SUM(E128:BO128)</f>
        <v>15</v>
      </c>
      <c r="BQ128" s="1">
        <v>15</v>
      </c>
      <c r="BR128" s="17">
        <v>3</v>
      </c>
      <c r="BS128" s="17" t="s">
        <v>237</v>
      </c>
      <c r="BT128">
        <f t="shared" si="1"/>
        <v>0</v>
      </c>
    </row>
    <row r="129" spans="1:72" ht="40.5">
      <c r="A129" s="1"/>
      <c r="B129" s="1" t="s">
        <v>92</v>
      </c>
      <c r="C129" s="1" t="s">
        <v>89</v>
      </c>
      <c r="D129" s="1" t="s">
        <v>87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>
        <v>10</v>
      </c>
      <c r="AP129" s="1">
        <v>10</v>
      </c>
      <c r="AQ129" s="4"/>
      <c r="AR129" s="4"/>
      <c r="AS129" s="4">
        <v>5</v>
      </c>
      <c r="AT129" s="4"/>
      <c r="AU129" s="4"/>
      <c r="AV129" s="4"/>
      <c r="AW129" s="2"/>
      <c r="AX129" s="2">
        <v>5</v>
      </c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>
        <f>SUM(E129:BO129)</f>
        <v>30</v>
      </c>
      <c r="BQ129" s="1">
        <v>21</v>
      </c>
      <c r="BR129" s="17">
        <v>3</v>
      </c>
      <c r="BS129" s="17" t="s">
        <v>247</v>
      </c>
      <c r="BT129">
        <f t="shared" si="1"/>
        <v>0</v>
      </c>
    </row>
    <row r="130" spans="1:72" ht="40.5" hidden="1">
      <c r="A130" s="1"/>
      <c r="B130" s="1" t="s">
        <v>128</v>
      </c>
      <c r="C130" s="1" t="s">
        <v>130</v>
      </c>
      <c r="D130" s="1" t="s">
        <v>105</v>
      </c>
      <c r="E130" s="6"/>
      <c r="F130" s="6"/>
      <c r="G130" s="6"/>
      <c r="H130" s="6"/>
      <c r="I130" s="6"/>
      <c r="J130" s="6">
        <v>10</v>
      </c>
      <c r="K130" s="6"/>
      <c r="L130" s="6"/>
      <c r="M130" s="6"/>
      <c r="N130" s="6"/>
      <c r="O130" s="6"/>
      <c r="P130" s="28"/>
      <c r="Q130" s="28"/>
      <c r="R130" s="28"/>
      <c r="S130" s="28"/>
      <c r="T130" s="28"/>
      <c r="U130" s="28">
        <v>10</v>
      </c>
      <c r="V130" s="28"/>
      <c r="W130" s="28"/>
      <c r="X130" s="28"/>
      <c r="Y130" s="28"/>
      <c r="Z130" s="28"/>
      <c r="AA130" s="28">
        <v>10</v>
      </c>
      <c r="AB130" s="28"/>
      <c r="AC130" s="28"/>
      <c r="AD130" s="28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>
        <v>10</v>
      </c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>
        <f>SUM(E130:BO130)</f>
        <v>40</v>
      </c>
      <c r="BQ130" s="1">
        <v>21</v>
      </c>
      <c r="BR130" s="17">
        <v>3</v>
      </c>
      <c r="BS130" s="17" t="s">
        <v>304</v>
      </c>
      <c r="BT130">
        <f t="shared" si="1"/>
        <v>20</v>
      </c>
    </row>
    <row r="131" spans="1:72" ht="40.5" hidden="1">
      <c r="A131" s="1"/>
      <c r="B131" s="1" t="s">
        <v>137</v>
      </c>
      <c r="C131" s="1" t="s">
        <v>132</v>
      </c>
      <c r="D131" s="1" t="s">
        <v>105</v>
      </c>
      <c r="E131" s="6"/>
      <c r="F131" s="6"/>
      <c r="G131" s="6"/>
      <c r="H131" s="6"/>
      <c r="I131" s="6"/>
      <c r="J131" s="6">
        <v>10</v>
      </c>
      <c r="K131" s="6"/>
      <c r="L131" s="6"/>
      <c r="M131" s="6"/>
      <c r="N131" s="6"/>
      <c r="O131" s="6"/>
      <c r="P131" s="28"/>
      <c r="Q131" s="28"/>
      <c r="R131" s="28"/>
      <c r="S131" s="28"/>
      <c r="T131" s="28"/>
      <c r="U131" s="28">
        <v>10</v>
      </c>
      <c r="V131" s="28"/>
      <c r="W131" s="28"/>
      <c r="X131" s="28"/>
      <c r="Y131" s="28"/>
      <c r="Z131" s="28"/>
      <c r="AA131" s="28">
        <v>10</v>
      </c>
      <c r="AB131" s="28"/>
      <c r="AC131" s="28"/>
      <c r="AD131" s="28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>
        <v>10</v>
      </c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>
        <f>SUM(E131:BO131)</f>
        <v>40</v>
      </c>
      <c r="BQ131" s="1">
        <v>21</v>
      </c>
      <c r="BR131" s="17">
        <v>3</v>
      </c>
      <c r="BS131" s="17" t="s">
        <v>325</v>
      </c>
      <c r="BT131">
        <f t="shared" ref="BT131:BT140" si="2">SUM(P131:AD131)</f>
        <v>20</v>
      </c>
    </row>
    <row r="132" spans="1:72" ht="40.5" hidden="1">
      <c r="A132" s="1"/>
      <c r="B132" s="3" t="s">
        <v>215</v>
      </c>
      <c r="C132" s="3" t="s">
        <v>51</v>
      </c>
      <c r="D132" s="1" t="s">
        <v>214</v>
      </c>
      <c r="E132" s="6"/>
      <c r="F132" s="6"/>
      <c r="G132" s="6"/>
      <c r="H132" s="6"/>
      <c r="I132" s="6"/>
      <c r="J132" s="6">
        <v>10</v>
      </c>
      <c r="K132" s="6"/>
      <c r="L132" s="6"/>
      <c r="M132" s="6"/>
      <c r="N132" s="6"/>
      <c r="O132" s="6"/>
      <c r="P132" s="28"/>
      <c r="Q132" s="28"/>
      <c r="R132" s="28"/>
      <c r="S132" s="28"/>
      <c r="T132" s="28"/>
      <c r="U132" s="28">
        <v>10</v>
      </c>
      <c r="V132" s="28"/>
      <c r="W132" s="28"/>
      <c r="X132" s="28"/>
      <c r="Y132" s="28"/>
      <c r="Z132" s="28"/>
      <c r="AA132" s="28">
        <v>10</v>
      </c>
      <c r="AB132" s="28"/>
      <c r="AC132" s="28"/>
      <c r="AD132" s="28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>
        <v>10</v>
      </c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>
        <f>SUM(E132:BO132)</f>
        <v>40</v>
      </c>
      <c r="BQ132" s="1">
        <v>21</v>
      </c>
      <c r="BR132" s="17">
        <v>3</v>
      </c>
      <c r="BS132" s="17" t="s">
        <v>325</v>
      </c>
      <c r="BT132">
        <f t="shared" si="2"/>
        <v>20</v>
      </c>
    </row>
    <row r="133" spans="1:72" ht="40.5" hidden="1">
      <c r="A133" s="1"/>
      <c r="B133" s="1" t="s">
        <v>134</v>
      </c>
      <c r="C133" s="1" t="s">
        <v>132</v>
      </c>
      <c r="D133" s="1" t="s">
        <v>105</v>
      </c>
      <c r="E133" s="6"/>
      <c r="F133" s="6"/>
      <c r="G133" s="6"/>
      <c r="H133" s="6">
        <v>10</v>
      </c>
      <c r="I133" s="6"/>
      <c r="J133" s="6"/>
      <c r="K133" s="6"/>
      <c r="L133" s="6"/>
      <c r="M133" s="6"/>
      <c r="N133" s="6"/>
      <c r="O133" s="6"/>
      <c r="P133" s="28"/>
      <c r="Q133" s="28"/>
      <c r="R133" s="28">
        <v>10</v>
      </c>
      <c r="S133" s="28"/>
      <c r="T133" s="28"/>
      <c r="U133" s="28">
        <v>10</v>
      </c>
      <c r="V133" s="28"/>
      <c r="W133" s="28"/>
      <c r="X133" s="28"/>
      <c r="Y133" s="28"/>
      <c r="Z133" s="28"/>
      <c r="AA133" s="28"/>
      <c r="AB133" s="28"/>
      <c r="AC133" s="28"/>
      <c r="AD133" s="28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>
        <v>10</v>
      </c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>
        <f>SUM(E133:BO133)</f>
        <v>40</v>
      </c>
      <c r="BQ133" s="1">
        <v>23</v>
      </c>
      <c r="BR133" s="17">
        <v>3</v>
      </c>
      <c r="BS133" s="17" t="s">
        <v>326</v>
      </c>
      <c r="BT133">
        <f t="shared" si="2"/>
        <v>20</v>
      </c>
    </row>
    <row r="134" spans="1:72" ht="40.5">
      <c r="A134" s="1"/>
      <c r="B134" s="1" t="s">
        <v>88</v>
      </c>
      <c r="C134" s="1" t="s">
        <v>89</v>
      </c>
      <c r="D134" s="1" t="s">
        <v>90</v>
      </c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/>
      <c r="AV134" s="4">
        <v>40</v>
      </c>
      <c r="AW134" s="2">
        <v>40</v>
      </c>
      <c r="AX134" s="2"/>
      <c r="AY134" s="2"/>
      <c r="AZ134" s="2"/>
      <c r="BA134" s="2"/>
      <c r="BB134" s="2">
        <v>40</v>
      </c>
      <c r="BC134" s="14">
        <v>10</v>
      </c>
      <c r="BD134" s="1">
        <v>50</v>
      </c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>
        <f>SUM(E134:BO134)</f>
        <v>180</v>
      </c>
      <c r="BQ134" s="1">
        <v>60</v>
      </c>
      <c r="BR134" s="17">
        <v>3</v>
      </c>
      <c r="BS134" s="17" t="s">
        <v>305</v>
      </c>
      <c r="BT134">
        <f t="shared" si="2"/>
        <v>0</v>
      </c>
    </row>
    <row r="135" spans="1:72" ht="40.5">
      <c r="A135" s="60">
        <v>4</v>
      </c>
      <c r="B135" s="60" t="s">
        <v>9</v>
      </c>
      <c r="C135" s="60" t="s">
        <v>1</v>
      </c>
      <c r="D135" s="60" t="s">
        <v>192</v>
      </c>
      <c r="E135" s="61"/>
      <c r="F135" s="61"/>
      <c r="G135" s="61"/>
      <c r="H135" s="61"/>
      <c r="I135" s="61"/>
      <c r="J135" s="61"/>
      <c r="K135" s="61"/>
      <c r="L135" s="61"/>
      <c r="M135" s="61"/>
      <c r="N135" s="61"/>
      <c r="O135" s="61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  <c r="AA135" s="62"/>
      <c r="AB135" s="62"/>
      <c r="AC135" s="62"/>
      <c r="AD135" s="62"/>
      <c r="AE135" s="60"/>
      <c r="AF135" s="60"/>
      <c r="AG135" s="60"/>
      <c r="AH135" s="60"/>
      <c r="AI135" s="60"/>
      <c r="AJ135" s="60"/>
      <c r="AK135" s="60"/>
      <c r="AL135" s="60"/>
      <c r="AM135" s="60"/>
      <c r="AN135" s="60"/>
      <c r="AO135" s="60"/>
      <c r="AP135" s="60"/>
      <c r="AQ135" s="63">
        <v>40</v>
      </c>
      <c r="AR135" s="63"/>
      <c r="AS135" s="63"/>
      <c r="AT135" s="63"/>
      <c r="AU135" s="63"/>
      <c r="AV135" s="63"/>
      <c r="AW135" s="64">
        <v>40</v>
      </c>
      <c r="AX135" s="64">
        <v>40</v>
      </c>
      <c r="AY135" s="64"/>
      <c r="AZ135" s="64"/>
      <c r="BA135" s="64"/>
      <c r="BB135" s="64"/>
      <c r="BC135" s="65">
        <v>10</v>
      </c>
      <c r="BD135" s="60"/>
      <c r="BE135" s="60">
        <v>50</v>
      </c>
      <c r="BF135" s="60"/>
      <c r="BG135" s="60"/>
      <c r="BH135" s="60"/>
      <c r="BI135" s="60"/>
      <c r="BJ135" s="60"/>
      <c r="BK135" s="60"/>
      <c r="BL135" s="60"/>
      <c r="BM135" s="60"/>
      <c r="BN135" s="60"/>
      <c r="BO135" s="60"/>
      <c r="BP135" s="60">
        <f>SUM(E135:BO135)</f>
        <v>180</v>
      </c>
      <c r="BQ135" s="60">
        <v>76</v>
      </c>
      <c r="BR135" s="66">
        <v>3</v>
      </c>
      <c r="BS135" s="66" t="s">
        <v>306</v>
      </c>
      <c r="BT135">
        <f t="shared" si="2"/>
        <v>0</v>
      </c>
    </row>
    <row r="136" spans="1:72" ht="40.5">
      <c r="A136" s="1">
        <v>85</v>
      </c>
      <c r="B136" s="3" t="s">
        <v>164</v>
      </c>
      <c r="C136" s="3" t="s">
        <v>51</v>
      </c>
      <c r="D136" s="1" t="s">
        <v>30</v>
      </c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/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>
        <v>50</v>
      </c>
      <c r="BM136" s="1">
        <v>50</v>
      </c>
      <c r="BN136" s="1">
        <v>50</v>
      </c>
      <c r="BO136" s="1">
        <v>50</v>
      </c>
      <c r="BP136" s="1">
        <f>SUM(E136:BO136)</f>
        <v>200</v>
      </c>
      <c r="BQ136" s="1">
        <v>132</v>
      </c>
      <c r="BR136" s="17">
        <v>3</v>
      </c>
      <c r="BS136" s="17" t="s">
        <v>307</v>
      </c>
      <c r="BT136">
        <f t="shared" si="2"/>
        <v>0</v>
      </c>
    </row>
    <row r="137" spans="1:72" ht="40.5">
      <c r="A137" s="1"/>
      <c r="B137" s="1" t="s">
        <v>161</v>
      </c>
      <c r="C137" s="1" t="s">
        <v>100</v>
      </c>
      <c r="D137" s="1" t="s">
        <v>98</v>
      </c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>
        <v>50</v>
      </c>
      <c r="BM137" s="1">
        <v>50</v>
      </c>
      <c r="BN137" s="1">
        <v>50</v>
      </c>
      <c r="BO137" s="1">
        <v>50</v>
      </c>
      <c r="BP137" s="1">
        <f>SUM(E137:BO137)</f>
        <v>200</v>
      </c>
      <c r="BQ137" s="1">
        <v>132</v>
      </c>
      <c r="BR137" s="17">
        <v>3</v>
      </c>
      <c r="BS137" s="17" t="s">
        <v>307</v>
      </c>
      <c r="BT137">
        <f t="shared" si="2"/>
        <v>0</v>
      </c>
    </row>
    <row r="138" spans="1:72" ht="40.5">
      <c r="A138" s="1"/>
      <c r="B138" s="1" t="s">
        <v>182</v>
      </c>
      <c r="C138" s="1" t="s">
        <v>100</v>
      </c>
      <c r="D138" s="1" t="s">
        <v>98</v>
      </c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/>
      <c r="AS138" s="4"/>
      <c r="AT138" s="4"/>
      <c r="AU138" s="4"/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>
        <v>50</v>
      </c>
      <c r="BM138" s="1">
        <v>50</v>
      </c>
      <c r="BN138" s="1">
        <v>50</v>
      </c>
      <c r="BO138" s="1">
        <v>50</v>
      </c>
      <c r="BP138" s="1">
        <f>SUM(E138:BO138)</f>
        <v>200</v>
      </c>
      <c r="BQ138" s="1">
        <v>132</v>
      </c>
      <c r="BR138" s="17">
        <v>3</v>
      </c>
      <c r="BS138" s="17" t="s">
        <v>307</v>
      </c>
      <c r="BT138">
        <f t="shared" si="2"/>
        <v>0</v>
      </c>
    </row>
    <row r="139" spans="1:72" ht="54" hidden="1">
      <c r="A139" s="1"/>
      <c r="B139" s="1" t="s">
        <v>119</v>
      </c>
      <c r="C139" s="1" t="s">
        <v>102</v>
      </c>
      <c r="D139" s="1" t="s">
        <v>105</v>
      </c>
      <c r="E139" s="6"/>
      <c r="F139" s="6"/>
      <c r="G139" s="6"/>
      <c r="H139" s="6">
        <v>10</v>
      </c>
      <c r="I139" s="6"/>
      <c r="J139" s="6"/>
      <c r="K139" s="6"/>
      <c r="L139" s="6"/>
      <c r="M139" s="6"/>
      <c r="N139" s="6"/>
      <c r="O139" s="6"/>
      <c r="P139" s="28"/>
      <c r="Q139" s="28"/>
      <c r="R139" s="28">
        <v>10</v>
      </c>
      <c r="S139" s="28"/>
      <c r="T139" s="28"/>
      <c r="U139" s="28"/>
      <c r="V139" s="28"/>
      <c r="W139" s="28"/>
      <c r="X139" s="28">
        <v>10</v>
      </c>
      <c r="Y139" s="28"/>
      <c r="Z139" s="28"/>
      <c r="AA139" s="28"/>
      <c r="AB139" s="28"/>
      <c r="AC139" s="28"/>
      <c r="AD139" s="28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>
        <v>10</v>
      </c>
      <c r="AS139" s="4"/>
      <c r="AT139" s="4"/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>
        <f>SUM(E139:BO139)</f>
        <v>40</v>
      </c>
      <c r="BQ139" s="1">
        <v>22</v>
      </c>
      <c r="BR139" s="17">
        <v>4</v>
      </c>
      <c r="BS139" s="17" t="s">
        <v>308</v>
      </c>
      <c r="BT139">
        <f t="shared" si="2"/>
        <v>20</v>
      </c>
    </row>
    <row r="140" spans="1:72" ht="54" hidden="1">
      <c r="A140" s="1"/>
      <c r="B140" s="3" t="s">
        <v>226</v>
      </c>
      <c r="C140" s="3" t="s">
        <v>101</v>
      </c>
      <c r="D140" s="1" t="s">
        <v>214</v>
      </c>
      <c r="E140" s="6"/>
      <c r="F140" s="6"/>
      <c r="G140" s="6"/>
      <c r="H140" s="6">
        <v>10</v>
      </c>
      <c r="I140" s="6"/>
      <c r="J140" s="6"/>
      <c r="K140" s="6"/>
      <c r="L140" s="6"/>
      <c r="M140" s="6"/>
      <c r="N140" s="6"/>
      <c r="O140" s="6"/>
      <c r="P140" s="28"/>
      <c r="Q140" s="28"/>
      <c r="R140" s="28">
        <v>10</v>
      </c>
      <c r="S140" s="28"/>
      <c r="T140" s="28"/>
      <c r="U140" s="28"/>
      <c r="V140" s="28"/>
      <c r="W140" s="28"/>
      <c r="X140" s="28">
        <v>10</v>
      </c>
      <c r="Y140" s="28"/>
      <c r="Z140" s="28"/>
      <c r="AA140" s="28"/>
      <c r="AB140" s="28"/>
      <c r="AC140" s="28"/>
      <c r="AD140" s="28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>
        <v>10</v>
      </c>
      <c r="AS140" s="4"/>
      <c r="AT140" s="4"/>
      <c r="AU140" s="4"/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>
        <f>SUM(E140:BO140)</f>
        <v>40</v>
      </c>
      <c r="BQ140" s="1">
        <v>22</v>
      </c>
      <c r="BR140" s="17">
        <v>4</v>
      </c>
      <c r="BS140" s="17" t="s">
        <v>308</v>
      </c>
      <c r="BT140">
        <f t="shared" si="2"/>
        <v>20</v>
      </c>
    </row>
    <row r="141" spans="1:72">
      <c r="A141" s="1"/>
      <c r="B141" s="1" t="s">
        <v>56</v>
      </c>
      <c r="C141" s="1"/>
      <c r="D141" s="1"/>
      <c r="E141" s="6">
        <f>SUM(E2:E140)</f>
        <v>133</v>
      </c>
      <c r="F141" s="6">
        <f>SUM(F2:F140)</f>
        <v>27</v>
      </c>
      <c r="G141" s="6">
        <f>SUM(G2:G140)</f>
        <v>145</v>
      </c>
      <c r="H141" s="6">
        <f>SUM(H2:H140)</f>
        <v>114</v>
      </c>
      <c r="I141" s="6">
        <f>SUM(I2:I140)</f>
        <v>27</v>
      </c>
      <c r="J141" s="6">
        <f>SUM(J2:J140)</f>
        <v>45</v>
      </c>
      <c r="K141" s="6">
        <f>SUM(K2:K140)</f>
        <v>16</v>
      </c>
      <c r="L141" s="6">
        <f>SUM(L2:L140)</f>
        <v>54</v>
      </c>
      <c r="M141" s="6">
        <f>SUM(M2:M140)</f>
        <v>61</v>
      </c>
      <c r="N141" s="6">
        <f>SUM(N2:N140)</f>
        <v>10</v>
      </c>
      <c r="O141" s="6">
        <f>SUM(O2:O140)</f>
        <v>68</v>
      </c>
      <c r="P141" s="28">
        <f>SUM(P2:P140)</f>
        <v>220</v>
      </c>
      <c r="Q141" s="28">
        <f>SUM(Q2:Q140)</f>
        <v>121</v>
      </c>
      <c r="R141" s="28">
        <f>SUM(R2:R140)</f>
        <v>117</v>
      </c>
      <c r="S141" s="28">
        <f>SUM(S2:S140)</f>
        <v>220</v>
      </c>
      <c r="T141" s="28">
        <f>SUM(T2:T140)</f>
        <v>91</v>
      </c>
      <c r="U141" s="28">
        <f>SUM(U2:U140)</f>
        <v>94</v>
      </c>
      <c r="V141" s="28">
        <f>SUM(V2:V140)</f>
        <v>220</v>
      </c>
      <c r="W141" s="28">
        <f>SUM(W2:W140)</f>
        <v>65</v>
      </c>
      <c r="X141" s="28">
        <f>SUM(X2:X140)</f>
        <v>109</v>
      </c>
      <c r="Y141" s="28">
        <f>SUM(Y2:Y140)</f>
        <v>200</v>
      </c>
      <c r="Z141" s="28">
        <f>SUM(Z2:Z140)</f>
        <v>85</v>
      </c>
      <c r="AA141" s="28">
        <f>SUM(AA2:AA140)</f>
        <v>109</v>
      </c>
      <c r="AB141" s="28">
        <f>SUM(AB2:AB140)</f>
        <v>230</v>
      </c>
      <c r="AC141" s="28">
        <f>SUM(AC2:AC140)</f>
        <v>50</v>
      </c>
      <c r="AD141" s="28">
        <f>SUM(AD2:AD140)</f>
        <v>84</v>
      </c>
      <c r="AE141" s="1">
        <f>SUM(AE2:AE140)</f>
        <v>250</v>
      </c>
      <c r="AF141" s="1">
        <f>SUM(AF2:AF140)</f>
        <v>10</v>
      </c>
      <c r="AG141" s="1">
        <f>SUM(AG2:AG140)</f>
        <v>5</v>
      </c>
      <c r="AH141" s="1">
        <f>SUM(AH2:AH140)</f>
        <v>30</v>
      </c>
      <c r="AI141" s="1">
        <f>SUM(AI2:AI140)</f>
        <v>30</v>
      </c>
      <c r="AJ141" s="1">
        <f>SUM(AJ2:AJ140)</f>
        <v>5</v>
      </c>
      <c r="AK141" s="1">
        <f>SUM(AK2:AK140)</f>
        <v>0</v>
      </c>
      <c r="AL141" s="1">
        <f>SUM(AL2:AL140)</f>
        <v>0</v>
      </c>
      <c r="AM141" s="1">
        <f>SUM(AM2:AM140)</f>
        <v>5</v>
      </c>
      <c r="AN141" s="1">
        <f>SUM(AN2:AN140)</f>
        <v>50</v>
      </c>
      <c r="AO141" s="1">
        <f>SUM(AO2:AO140)</f>
        <v>33</v>
      </c>
      <c r="AP141" s="1">
        <f>SUM(AP2:AP140)</f>
        <v>27</v>
      </c>
      <c r="AQ141" s="4">
        <f>SUM(AQ2:AQ140)</f>
        <v>105</v>
      </c>
      <c r="AR141" s="4">
        <f>SUM(AR2:AR140)</f>
        <v>90</v>
      </c>
      <c r="AS141" s="4">
        <f>SUM(AS2:AS140)</f>
        <v>80</v>
      </c>
      <c r="AT141" s="4">
        <f>SUM(AT2:AT140)</f>
        <v>85</v>
      </c>
      <c r="AU141" s="4">
        <f>SUM(AU2:AU140)</f>
        <v>65</v>
      </c>
      <c r="AV141" s="4">
        <f>SUM(AV2:AV140)</f>
        <v>105</v>
      </c>
      <c r="AW141" s="2">
        <f>SUM(AW2:AW140)</f>
        <v>125</v>
      </c>
      <c r="AX141" s="2">
        <f>SUM(AX2:AX140)</f>
        <v>75</v>
      </c>
      <c r="AY141" s="2">
        <f>SUM(AY2:AY140)</f>
        <v>35</v>
      </c>
      <c r="AZ141" s="2">
        <f>SUM(AZ2:AZ140)</f>
        <v>45</v>
      </c>
      <c r="BA141" s="2">
        <f>SUM(BA2:BA140)</f>
        <v>145</v>
      </c>
      <c r="BB141" s="2">
        <f>SUM(BB2:BB140)</f>
        <v>220</v>
      </c>
      <c r="BC141" s="1">
        <f>SUM(BC2:BC140)</f>
        <v>20</v>
      </c>
      <c r="BD141" s="1">
        <f>SUM(BD2:BD140)</f>
        <v>110</v>
      </c>
      <c r="BE141" s="1">
        <f>SUM(BE2:BE140)</f>
        <v>110</v>
      </c>
      <c r="BF141" s="1">
        <f>SUM(BF2:BF140)</f>
        <v>60</v>
      </c>
      <c r="BG141" s="1">
        <f>SUM(BG2:BG140)</f>
        <v>60</v>
      </c>
      <c r="BH141" s="1">
        <f>SUM(BH2:BH140)</f>
        <v>75</v>
      </c>
      <c r="BI141" s="1">
        <f>SUM(BI2:BI140)</f>
        <v>55</v>
      </c>
      <c r="BJ141" s="1">
        <f>SUM(BJ2:BJ140)</f>
        <v>200</v>
      </c>
      <c r="BK141" s="1">
        <f>SUM(BK2:BK140)</f>
        <v>200</v>
      </c>
      <c r="BL141" s="1">
        <f>SUM(BL2:BL140)</f>
        <v>150</v>
      </c>
      <c r="BM141" s="1">
        <f>SUM(BM2:BM140)</f>
        <v>150</v>
      </c>
      <c r="BN141" s="1">
        <f>SUM(BN2:BN140)</f>
        <v>350</v>
      </c>
      <c r="BO141" s="1">
        <f>SUM(BO2:BO140)</f>
        <v>350</v>
      </c>
      <c r="BP141" s="1"/>
      <c r="BQ141" s="1"/>
      <c r="BR141" s="17"/>
      <c r="BS141" s="17"/>
    </row>
    <row r="142" spans="1:72">
      <c r="A142" s="1"/>
      <c r="B142" s="3" t="s">
        <v>75</v>
      </c>
      <c r="C142" s="1"/>
      <c r="D142" s="1"/>
      <c r="E142" s="1">
        <v>43</v>
      </c>
      <c r="F142" s="1">
        <v>23</v>
      </c>
      <c r="G142" s="1">
        <v>21</v>
      </c>
      <c r="H142" s="1">
        <v>0</v>
      </c>
      <c r="I142" s="1">
        <v>68</v>
      </c>
      <c r="J142" s="1">
        <v>72</v>
      </c>
      <c r="K142" s="1">
        <v>53</v>
      </c>
      <c r="L142" s="1">
        <v>70</v>
      </c>
      <c r="M142" s="1">
        <v>44</v>
      </c>
      <c r="N142" s="1">
        <v>64</v>
      </c>
      <c r="O142" s="1">
        <v>41</v>
      </c>
      <c r="P142" s="14">
        <v>24</v>
      </c>
      <c r="Q142" s="14">
        <v>3</v>
      </c>
      <c r="R142" s="14">
        <v>4</v>
      </c>
      <c r="S142" s="14">
        <v>14</v>
      </c>
      <c r="T142" s="14">
        <v>15</v>
      </c>
      <c r="U142" s="14">
        <v>3</v>
      </c>
      <c r="V142" s="14">
        <v>6</v>
      </c>
      <c r="W142" s="14">
        <v>4</v>
      </c>
      <c r="X142" s="14">
        <v>8</v>
      </c>
      <c r="Y142" s="14">
        <v>10</v>
      </c>
      <c r="Z142" s="14">
        <v>4</v>
      </c>
      <c r="AA142" s="14">
        <v>3</v>
      </c>
      <c r="AB142" s="14">
        <v>23</v>
      </c>
      <c r="AC142" s="14">
        <v>4</v>
      </c>
      <c r="AD142" s="14">
        <v>8</v>
      </c>
      <c r="AE142" s="1">
        <v>6</v>
      </c>
      <c r="AF142" s="1">
        <v>0</v>
      </c>
      <c r="AG142" s="1">
        <v>0</v>
      </c>
      <c r="AH142" s="1">
        <v>0</v>
      </c>
      <c r="AI142" s="1">
        <v>0</v>
      </c>
      <c r="AJ142" s="1">
        <v>0</v>
      </c>
      <c r="AK142" s="1">
        <v>33</v>
      </c>
      <c r="AL142" s="1">
        <v>43</v>
      </c>
      <c r="AM142" s="1">
        <v>5</v>
      </c>
      <c r="AN142" s="1">
        <v>1</v>
      </c>
      <c r="AO142" s="1">
        <v>0</v>
      </c>
      <c r="AP142" s="1">
        <v>0</v>
      </c>
      <c r="AQ142" s="14">
        <v>3</v>
      </c>
      <c r="AR142" s="14">
        <v>6</v>
      </c>
      <c r="AS142" s="14">
        <v>4</v>
      </c>
      <c r="AT142" s="14">
        <v>23</v>
      </c>
      <c r="AU142" s="14">
        <v>27</v>
      </c>
      <c r="AV142" s="14">
        <v>20</v>
      </c>
      <c r="AW142" s="14">
        <v>17</v>
      </c>
      <c r="AX142" s="14">
        <v>24</v>
      </c>
      <c r="AY142" s="14">
        <v>18</v>
      </c>
      <c r="AZ142" s="14">
        <v>0</v>
      </c>
      <c r="BA142" s="14">
        <v>4</v>
      </c>
      <c r="BB142" s="14">
        <v>23</v>
      </c>
      <c r="BC142" s="14">
        <v>12</v>
      </c>
      <c r="BD142" s="1">
        <v>162</v>
      </c>
      <c r="BE142" s="1">
        <v>244</v>
      </c>
      <c r="BF142" s="1">
        <v>233</v>
      </c>
      <c r="BG142" s="1">
        <v>242</v>
      </c>
      <c r="BH142" s="1">
        <v>141</v>
      </c>
      <c r="BI142" s="1">
        <v>154</v>
      </c>
      <c r="BJ142" s="1">
        <v>56</v>
      </c>
      <c r="BK142" s="1">
        <v>65</v>
      </c>
      <c r="BL142" s="1">
        <v>93</v>
      </c>
      <c r="BM142" s="1">
        <v>8</v>
      </c>
      <c r="BN142" s="1">
        <v>5</v>
      </c>
      <c r="BO142" s="1">
        <v>5</v>
      </c>
      <c r="BP142" s="1"/>
      <c r="BQ142" s="1"/>
      <c r="BR142" s="17"/>
      <c r="BS142" s="17"/>
    </row>
    <row r="143" spans="1:72">
      <c r="A143" s="1"/>
      <c r="B143" s="3" t="s">
        <v>82</v>
      </c>
      <c r="C143" s="1"/>
      <c r="D143" s="1"/>
      <c r="E143" s="1">
        <f>E142-E141</f>
        <v>-90</v>
      </c>
      <c r="F143" s="1">
        <f>F142-F141</f>
        <v>-4</v>
      </c>
      <c r="G143" s="1">
        <f>G142-G141</f>
        <v>-124</v>
      </c>
      <c r="H143" s="1">
        <f>H142-H141</f>
        <v>-114</v>
      </c>
      <c r="I143" s="1">
        <f>I142-I141</f>
        <v>41</v>
      </c>
      <c r="J143" s="1">
        <f>J142-J141</f>
        <v>27</v>
      </c>
      <c r="K143" s="1">
        <f>K142-K141</f>
        <v>37</v>
      </c>
      <c r="L143" s="1">
        <f>L142-L141</f>
        <v>16</v>
      </c>
      <c r="M143" s="1">
        <f>M142-M141</f>
        <v>-17</v>
      </c>
      <c r="N143" s="1">
        <f>N142-N141</f>
        <v>54</v>
      </c>
      <c r="O143" s="1">
        <f>O142-O141</f>
        <v>-27</v>
      </c>
      <c r="P143" s="1">
        <f>P142-P141</f>
        <v>-196</v>
      </c>
      <c r="Q143" s="1">
        <f>Q142-Q141</f>
        <v>-118</v>
      </c>
      <c r="R143" s="1">
        <f>R142-R141</f>
        <v>-113</v>
      </c>
      <c r="S143" s="1">
        <f>S142-S141</f>
        <v>-206</v>
      </c>
      <c r="T143" s="1">
        <f>T142-T141</f>
        <v>-76</v>
      </c>
      <c r="U143" s="1">
        <f>U142-U141</f>
        <v>-91</v>
      </c>
      <c r="V143" s="1">
        <f>V142-V141</f>
        <v>-214</v>
      </c>
      <c r="W143" s="1">
        <f>W142-W141</f>
        <v>-61</v>
      </c>
      <c r="X143" s="1">
        <f>X142-X141</f>
        <v>-101</v>
      </c>
      <c r="Y143" s="1">
        <f>Y142-Y141</f>
        <v>-190</v>
      </c>
      <c r="Z143" s="1">
        <f>Z142-Z141</f>
        <v>-81</v>
      </c>
      <c r="AA143" s="1">
        <f>AA142-AA141</f>
        <v>-106</v>
      </c>
      <c r="AB143" s="1">
        <f>AB142-AB141</f>
        <v>-207</v>
      </c>
      <c r="AC143" s="1">
        <f>AC142-AC141</f>
        <v>-46</v>
      </c>
      <c r="AD143" s="1">
        <f>AD142-AD141</f>
        <v>-76</v>
      </c>
      <c r="AE143" s="1">
        <f>AE142-AE141</f>
        <v>-244</v>
      </c>
      <c r="AF143" s="1">
        <f>AF142-AF141</f>
        <v>-10</v>
      </c>
      <c r="AG143" s="1">
        <f>AG142-AG141</f>
        <v>-5</v>
      </c>
      <c r="AH143" s="1">
        <f>AH142-AH141</f>
        <v>-30</v>
      </c>
      <c r="AI143" s="1">
        <f>AI142-AI141</f>
        <v>-30</v>
      </c>
      <c r="AJ143" s="1">
        <f>AJ142-AJ141</f>
        <v>-5</v>
      </c>
      <c r="AK143" s="1">
        <f>AK142-AK141</f>
        <v>33</v>
      </c>
      <c r="AL143" s="1">
        <f>AL142-AL141</f>
        <v>43</v>
      </c>
      <c r="AM143" s="1">
        <f>AM142-AM141</f>
        <v>0</v>
      </c>
      <c r="AN143" s="1">
        <f>AN142-AN141</f>
        <v>-49</v>
      </c>
      <c r="AO143" s="1">
        <f>AO142-AO141</f>
        <v>-33</v>
      </c>
      <c r="AP143" s="1">
        <f>AP142-AP141</f>
        <v>-27</v>
      </c>
      <c r="AQ143" s="1">
        <f>AQ142-AQ141</f>
        <v>-102</v>
      </c>
      <c r="AR143" s="1">
        <f>AR142-AR141</f>
        <v>-84</v>
      </c>
      <c r="AS143" s="1">
        <f>AS142-AS141</f>
        <v>-76</v>
      </c>
      <c r="AT143" s="1">
        <f>AT142-AT141</f>
        <v>-62</v>
      </c>
      <c r="AU143" s="1">
        <f>AU142-AU141</f>
        <v>-38</v>
      </c>
      <c r="AV143" s="1">
        <f>AV142-AV141</f>
        <v>-85</v>
      </c>
      <c r="AW143" s="1">
        <f>AW142-AW141</f>
        <v>-108</v>
      </c>
      <c r="AX143" s="1">
        <f>AX142-AX141</f>
        <v>-51</v>
      </c>
      <c r="AY143" s="1">
        <f>AY142-AY141</f>
        <v>-17</v>
      </c>
      <c r="AZ143" s="1">
        <f>AZ142-AZ141</f>
        <v>-45</v>
      </c>
      <c r="BA143" s="1">
        <f>BA142-BA141</f>
        <v>-141</v>
      </c>
      <c r="BB143" s="1">
        <f>BB142-BB141</f>
        <v>-197</v>
      </c>
      <c r="BC143" s="1">
        <f>BC142-BC141</f>
        <v>-8</v>
      </c>
      <c r="BD143" s="1">
        <f>BD142-BD141</f>
        <v>52</v>
      </c>
      <c r="BE143" s="1">
        <f>BE142-BE141</f>
        <v>134</v>
      </c>
      <c r="BF143" s="1">
        <f>BF142-BF141</f>
        <v>173</v>
      </c>
      <c r="BG143" s="1">
        <f>BG142-BG141</f>
        <v>182</v>
      </c>
      <c r="BH143" s="1">
        <f>BH142-BH141</f>
        <v>66</v>
      </c>
      <c r="BI143" s="1">
        <f>BI142-BI141</f>
        <v>99</v>
      </c>
      <c r="BJ143" s="1">
        <f>BJ142-BJ141</f>
        <v>-144</v>
      </c>
      <c r="BK143" s="1">
        <f>BK142-BK141</f>
        <v>-135</v>
      </c>
      <c r="BL143" s="1">
        <f>BL142-BL141</f>
        <v>-57</v>
      </c>
      <c r="BM143" s="1">
        <f>BM142-BM141</f>
        <v>-142</v>
      </c>
      <c r="BN143" s="1">
        <f>BN142-BN141</f>
        <v>-345</v>
      </c>
      <c r="BO143" s="1">
        <f>BO142-BO141</f>
        <v>-345</v>
      </c>
      <c r="BP143" s="1"/>
      <c r="BQ143" s="1"/>
      <c r="BR143" s="17"/>
      <c r="BS143" s="17"/>
    </row>
    <row r="144" spans="1:72">
      <c r="A144" s="1"/>
      <c r="B144" s="3" t="s">
        <v>165</v>
      </c>
      <c r="C144" s="1"/>
      <c r="D144" s="1"/>
      <c r="E144" s="1">
        <f>MAX(E2:E140)</f>
        <v>15</v>
      </c>
      <c r="F144" s="1">
        <f>MAX(F2:F140)</f>
        <v>15</v>
      </c>
      <c r="G144" s="1">
        <f>MAX(G2:G140)</f>
        <v>20</v>
      </c>
      <c r="H144" s="1">
        <f>MAX(H2:H140)</f>
        <v>20</v>
      </c>
      <c r="I144" s="1">
        <f>MAX(I2:I140)</f>
        <v>10</v>
      </c>
      <c r="J144" s="1">
        <f>MAX(J2:J140)</f>
        <v>10</v>
      </c>
      <c r="K144" s="1">
        <f>MAX(K2:K140)</f>
        <v>10</v>
      </c>
      <c r="L144" s="1">
        <f>MAX(L2:L140)</f>
        <v>20</v>
      </c>
      <c r="M144" s="1">
        <f>MAX(M2:M140)</f>
        <v>15</v>
      </c>
      <c r="N144" s="1">
        <f>MAX(N2:N140)</f>
        <v>10</v>
      </c>
      <c r="O144" s="1">
        <f>MAX(O2:O140)</f>
        <v>20</v>
      </c>
      <c r="P144" s="1">
        <f>MAX(P2:P140)</f>
        <v>10</v>
      </c>
      <c r="Q144" s="1">
        <f>MAX(Q2:Q140)</f>
        <v>7</v>
      </c>
      <c r="R144" s="1">
        <f>MAX(R2:R140)</f>
        <v>10</v>
      </c>
      <c r="S144" s="1">
        <f>MAX(S2:S140)</f>
        <v>10</v>
      </c>
      <c r="T144" s="1">
        <f>MAX(T2:T140)</f>
        <v>7</v>
      </c>
      <c r="U144" s="1">
        <f>MAX(U2:U140)</f>
        <v>10</v>
      </c>
      <c r="V144" s="1">
        <f>MAX(V2:V140)</f>
        <v>10</v>
      </c>
      <c r="W144" s="1">
        <f>MAX(W2:W140)</f>
        <v>5</v>
      </c>
      <c r="X144" s="1">
        <f>MAX(X2:X140)</f>
        <v>10</v>
      </c>
      <c r="Y144" s="1">
        <f>MAX(Y2:Y140)</f>
        <v>10</v>
      </c>
      <c r="Z144" s="1">
        <f>MAX(Z2:Z140)</f>
        <v>5</v>
      </c>
      <c r="AA144" s="1">
        <f>MAX(AA2:AA140)</f>
        <v>10</v>
      </c>
      <c r="AB144" s="1">
        <f>MAX(AB2:AB140)</f>
        <v>10</v>
      </c>
      <c r="AC144" s="1">
        <f>MAX(AC2:AC140)</f>
        <v>5</v>
      </c>
      <c r="AD144" s="1">
        <f>MAX(AD2:AD140)</f>
        <v>10</v>
      </c>
      <c r="AE144" s="1">
        <f>MAX(AE2:AE140)</f>
        <v>200</v>
      </c>
      <c r="AF144" s="1">
        <f>MAX(AF2:AF140)</f>
        <v>5</v>
      </c>
      <c r="AG144" s="1">
        <f>MAX(AG2:AG140)</f>
        <v>5</v>
      </c>
      <c r="AH144" s="1">
        <f>MAX(AH2:AH140)</f>
        <v>5</v>
      </c>
      <c r="AI144" s="1">
        <f>MAX(AI2:AI140)</f>
        <v>5</v>
      </c>
      <c r="AJ144" s="1">
        <f>MAX(AJ2:AJ140)</f>
        <v>5</v>
      </c>
      <c r="AK144" s="1">
        <f>MAX(AK2:AK140)</f>
        <v>0</v>
      </c>
      <c r="AL144" s="1">
        <f>MAX(AL2:AL140)</f>
        <v>0</v>
      </c>
      <c r="AM144" s="1">
        <f>MAX(AM2:AM140)</f>
        <v>5</v>
      </c>
      <c r="AN144" s="1">
        <f>MAX(AN2:AN140)</f>
        <v>25</v>
      </c>
      <c r="AO144" s="1">
        <f>MAX(AO2:AO140)</f>
        <v>10</v>
      </c>
      <c r="AP144" s="1">
        <f>MAX(AP2:AP140)</f>
        <v>10</v>
      </c>
      <c r="AQ144" s="1">
        <f>MAX(AQ2:AQ140)</f>
        <v>40</v>
      </c>
      <c r="AR144" s="1">
        <f>MAX(AR2:AR140)</f>
        <v>15</v>
      </c>
      <c r="AS144" s="1">
        <f>MAX(AS2:AS140)</f>
        <v>15</v>
      </c>
      <c r="AT144" s="1">
        <f>MAX(AT2:AT140)</f>
        <v>20</v>
      </c>
      <c r="AU144" s="1">
        <f>MAX(AU2:AU140)</f>
        <v>15</v>
      </c>
      <c r="AV144" s="1">
        <f>MAX(AV2:AV140)</f>
        <v>40</v>
      </c>
      <c r="AW144" s="1">
        <f>MAX(AW2:AW140)</f>
        <v>40</v>
      </c>
      <c r="AX144" s="1">
        <f>MAX(AX2:AX140)</f>
        <v>40</v>
      </c>
      <c r="AY144" s="1">
        <f>MAX(AY2:AY140)</f>
        <v>15</v>
      </c>
      <c r="AZ144" s="1">
        <f>MAX(AZ2:AZ140)</f>
        <v>15</v>
      </c>
      <c r="BA144" s="1">
        <f>MAX(BA2:BA140)</f>
        <v>20</v>
      </c>
      <c r="BB144" s="1">
        <f>MAX(BB2:BB140)</f>
        <v>40</v>
      </c>
      <c r="BC144" s="1">
        <f>MAX(BC2:BC140)</f>
        <v>10</v>
      </c>
      <c r="BD144" s="1">
        <f>MAX(BD2:BD140)</f>
        <v>50</v>
      </c>
      <c r="BE144" s="1">
        <f>MAX(BE2:BE140)</f>
        <v>50</v>
      </c>
      <c r="BF144" s="1">
        <f>MAX(BF2:BF140)</f>
        <v>20</v>
      </c>
      <c r="BG144" s="1">
        <f>MAX(BG2:BG140)</f>
        <v>20</v>
      </c>
      <c r="BH144" s="1">
        <f>MAX(BH2:BH140)</f>
        <v>20</v>
      </c>
      <c r="BI144" s="1">
        <f>MAX(BI2:BI140)</f>
        <v>20</v>
      </c>
      <c r="BJ144" s="1">
        <f>MAX(BJ2:BJ140)</f>
        <v>50</v>
      </c>
      <c r="BK144" s="1">
        <f>MAX(BK2:BK140)</f>
        <v>50</v>
      </c>
      <c r="BL144" s="1">
        <f>MAX(BL2:BL140)</f>
        <v>50</v>
      </c>
      <c r="BM144" s="1">
        <f>MAX(BM2:BM140)</f>
        <v>50</v>
      </c>
      <c r="BN144" s="1">
        <f>MAX(BN2:BN140)</f>
        <v>50</v>
      </c>
      <c r="BO144" s="1">
        <f>MAX(BO2:BO140)</f>
        <v>50</v>
      </c>
      <c r="BP144" s="1"/>
      <c r="BQ144" s="1"/>
      <c r="BR144" s="17"/>
      <c r="BS144" s="17"/>
    </row>
    <row r="145" spans="1:71">
      <c r="A145" s="1"/>
      <c r="B145" s="3" t="s">
        <v>166</v>
      </c>
      <c r="C145" s="1"/>
      <c r="D145" s="1"/>
      <c r="E145" s="1">
        <f>MIN(E2:E140)</f>
        <v>6</v>
      </c>
      <c r="F145" s="1">
        <f>MIN(F2:F140)</f>
        <v>6</v>
      </c>
      <c r="G145" s="1">
        <f>MIN(G2:G140)</f>
        <v>5</v>
      </c>
      <c r="H145" s="1">
        <f>MIN(H2:H140)</f>
        <v>5</v>
      </c>
      <c r="I145" s="1">
        <f>MIN(I2:I140)</f>
        <v>7</v>
      </c>
      <c r="J145" s="1">
        <f>MIN(J2:J140)</f>
        <v>5</v>
      </c>
      <c r="K145" s="1">
        <f>MIN(K2:K140)</f>
        <v>6</v>
      </c>
      <c r="L145" s="1">
        <f>MIN(L2:L140)</f>
        <v>6</v>
      </c>
      <c r="M145" s="1">
        <f>MIN(M2:M140)</f>
        <v>6</v>
      </c>
      <c r="N145" s="1">
        <f>MIN(N2:N140)</f>
        <v>10</v>
      </c>
      <c r="O145" s="1">
        <f>MIN(O2:O140)</f>
        <v>5</v>
      </c>
      <c r="P145" s="1">
        <f>MIN(P2:P140)</f>
        <v>10</v>
      </c>
      <c r="Q145" s="1">
        <f>MIN(Q2:Q140)</f>
        <v>5</v>
      </c>
      <c r="R145" s="1">
        <f>MIN(R2:R140)</f>
        <v>2</v>
      </c>
      <c r="S145" s="1">
        <f>MIN(S2:S140)</f>
        <v>10</v>
      </c>
      <c r="T145" s="1">
        <f>MIN(T2:T140)</f>
        <v>5</v>
      </c>
      <c r="U145" s="1">
        <f>MIN(U2:U140)</f>
        <v>2</v>
      </c>
      <c r="V145" s="1">
        <f>MIN(V2:V140)</f>
        <v>5</v>
      </c>
      <c r="W145" s="1">
        <f>MIN(W2:W140)</f>
        <v>5</v>
      </c>
      <c r="X145" s="1">
        <f>MIN(X2:X140)</f>
        <v>2</v>
      </c>
      <c r="Y145" s="1">
        <f>MIN(Y2:Y140)</f>
        <v>5</v>
      </c>
      <c r="Z145" s="1">
        <f>MIN(Z2:Z140)</f>
        <v>5</v>
      </c>
      <c r="AA145" s="1">
        <f>MIN(AA2:AA140)</f>
        <v>2</v>
      </c>
      <c r="AB145" s="1">
        <f>MIN(AB2:AB140)</f>
        <v>10</v>
      </c>
      <c r="AC145" s="1">
        <f>MIN(AC2:AC140)</f>
        <v>5</v>
      </c>
      <c r="AD145" s="1">
        <f>MIN(AD2:AD140)</f>
        <v>2</v>
      </c>
      <c r="AE145" s="1">
        <f>MIN(AE2:AE140)</f>
        <v>50</v>
      </c>
      <c r="AF145" s="1">
        <f>MIN(AF2:AF140)</f>
        <v>5</v>
      </c>
      <c r="AG145" s="1">
        <f>MIN(AG2:AG140)</f>
        <v>5</v>
      </c>
      <c r="AH145" s="1">
        <f>MIN(AH2:AH140)</f>
        <v>5</v>
      </c>
      <c r="AI145" s="1">
        <f>MIN(AI2:AI140)</f>
        <v>5</v>
      </c>
      <c r="AJ145" s="1">
        <f>MIN(AJ2:AJ140)</f>
        <v>5</v>
      </c>
      <c r="AK145" s="1">
        <f>MIN(AK2:AK140)</f>
        <v>0</v>
      </c>
      <c r="AL145" s="1">
        <f>MIN(AL2:AL140)</f>
        <v>0</v>
      </c>
      <c r="AM145" s="1">
        <f>MIN(AM2:AM140)</f>
        <v>5</v>
      </c>
      <c r="AN145" s="1">
        <f>MIN(AN2:AN140)</f>
        <v>5</v>
      </c>
      <c r="AO145" s="1">
        <f>MIN(AO2:AO140)</f>
        <v>2</v>
      </c>
      <c r="AP145" s="1">
        <f>MIN(AP2:AP140)</f>
        <v>1</v>
      </c>
      <c r="AQ145" s="1">
        <f>MIN(AQ2:AQ140)</f>
        <v>10</v>
      </c>
      <c r="AR145" s="1">
        <f>MIN(AR2:AR140)</f>
        <v>10</v>
      </c>
      <c r="AS145" s="1">
        <f>MIN(AS2:AS140)</f>
        <v>5</v>
      </c>
      <c r="AT145" s="1">
        <f>MIN(AT2:AT140)</f>
        <v>10</v>
      </c>
      <c r="AU145" s="1">
        <f>MIN(AU2:AU140)</f>
        <v>10</v>
      </c>
      <c r="AV145" s="1">
        <f>MIN(AV2:AV140)</f>
        <v>10</v>
      </c>
      <c r="AW145" s="1">
        <f>MIN(AW2:AW140)</f>
        <v>10</v>
      </c>
      <c r="AX145" s="1">
        <f>MIN(AX2:AX140)</f>
        <v>5</v>
      </c>
      <c r="AY145" s="1">
        <f>MIN(AY2:AY140)</f>
        <v>10</v>
      </c>
      <c r="AZ145" s="1">
        <f>MIN(AZ2:AZ140)</f>
        <v>10</v>
      </c>
      <c r="BA145" s="1">
        <f>MIN(BA2:BA140)</f>
        <v>5</v>
      </c>
      <c r="BB145" s="1">
        <f>MIN(BB2:BB140)</f>
        <v>5</v>
      </c>
      <c r="BC145" s="1">
        <f>MIN(BC2:BC140)</f>
        <v>10</v>
      </c>
      <c r="BD145" s="1">
        <f>MIN(BD2:BD140)</f>
        <v>20</v>
      </c>
      <c r="BE145" s="1">
        <f>MIN(BE2:BE140)</f>
        <v>20</v>
      </c>
      <c r="BF145" s="1">
        <f>MIN(BF2:BF140)</f>
        <v>20</v>
      </c>
      <c r="BG145" s="1">
        <f>MIN(BG2:BG140)</f>
        <v>20</v>
      </c>
      <c r="BH145" s="1">
        <f>MIN(BH2:BH140)</f>
        <v>15</v>
      </c>
      <c r="BI145" s="1">
        <f>MIN(BI2:BI140)</f>
        <v>15</v>
      </c>
      <c r="BJ145" s="1">
        <f>MIN(BJ2:BJ140)</f>
        <v>50</v>
      </c>
      <c r="BK145" s="1">
        <f>MIN(BK2:BK140)</f>
        <v>50</v>
      </c>
      <c r="BL145" s="1">
        <f>MIN(BL2:BL140)</f>
        <v>50</v>
      </c>
      <c r="BM145" s="1">
        <f>MIN(BM2:BM140)</f>
        <v>50</v>
      </c>
      <c r="BN145" s="1">
        <f>MIN(BN2:BN140)</f>
        <v>50</v>
      </c>
      <c r="BO145" s="1">
        <f>MIN(BO2:BO140)</f>
        <v>50</v>
      </c>
      <c r="BP145" s="1"/>
      <c r="BQ145" s="1"/>
      <c r="BR145" s="17"/>
      <c r="BS145" s="17"/>
    </row>
    <row r="146" spans="1:71">
      <c r="A146" s="1"/>
      <c r="B146" s="3" t="s">
        <v>167</v>
      </c>
      <c r="C146" s="1"/>
      <c r="D146" s="1"/>
      <c r="E146" s="1">
        <f>E142-E144</f>
        <v>28</v>
      </c>
      <c r="F146" s="1">
        <f>F142-F144</f>
        <v>8</v>
      </c>
      <c r="G146" s="1">
        <f>G142-G144</f>
        <v>1</v>
      </c>
      <c r="H146" s="1">
        <f>H142-H144</f>
        <v>-20</v>
      </c>
      <c r="I146" s="1">
        <f>I142-I144</f>
        <v>58</v>
      </c>
      <c r="J146" s="1">
        <f>J142-J144</f>
        <v>62</v>
      </c>
      <c r="K146" s="1">
        <f>K142-K144</f>
        <v>43</v>
      </c>
      <c r="L146" s="1">
        <f>L142-L144</f>
        <v>50</v>
      </c>
      <c r="M146" s="1">
        <f>M142-M144</f>
        <v>29</v>
      </c>
      <c r="N146" s="1">
        <f>N142-N144</f>
        <v>54</v>
      </c>
      <c r="O146" s="1">
        <f>O142-O144</f>
        <v>21</v>
      </c>
      <c r="P146" s="1">
        <f>P142-P144</f>
        <v>14</v>
      </c>
      <c r="Q146" s="1">
        <f>Q142-Q144</f>
        <v>-4</v>
      </c>
      <c r="R146" s="1">
        <f>R142-R144</f>
        <v>-6</v>
      </c>
      <c r="S146" s="1">
        <f>S142-S144</f>
        <v>4</v>
      </c>
      <c r="T146" s="1">
        <f>T142-T144</f>
        <v>8</v>
      </c>
      <c r="U146" s="1">
        <f>U142-U144</f>
        <v>-7</v>
      </c>
      <c r="V146" s="1">
        <f>V142-V144</f>
        <v>-4</v>
      </c>
      <c r="W146" s="1">
        <f>W142-W144</f>
        <v>-1</v>
      </c>
      <c r="X146" s="1">
        <f>X142-X144</f>
        <v>-2</v>
      </c>
      <c r="Y146" s="1">
        <f>Y142-Y144</f>
        <v>0</v>
      </c>
      <c r="Z146" s="1">
        <f>Z142-Z144</f>
        <v>-1</v>
      </c>
      <c r="AA146" s="1">
        <f>AA142-AA144</f>
        <v>-7</v>
      </c>
      <c r="AB146" s="1">
        <f>AB142-AB144</f>
        <v>13</v>
      </c>
      <c r="AC146" s="1">
        <f>AC142-AC144</f>
        <v>-1</v>
      </c>
      <c r="AD146" s="1">
        <f>AD142-AD144</f>
        <v>-2</v>
      </c>
      <c r="AE146" s="1">
        <f>AE142-AE144</f>
        <v>-194</v>
      </c>
      <c r="AF146" s="1">
        <f>AF142-AF144</f>
        <v>-5</v>
      </c>
      <c r="AG146" s="1">
        <f>AG142-AG144</f>
        <v>-5</v>
      </c>
      <c r="AH146" s="1">
        <f>AH142-AH144</f>
        <v>-5</v>
      </c>
      <c r="AI146" s="1">
        <f>AI142-AI144</f>
        <v>-5</v>
      </c>
      <c r="AJ146" s="1">
        <f>AJ142-AJ144</f>
        <v>-5</v>
      </c>
      <c r="AK146" s="1">
        <f>AK142-AK144</f>
        <v>33</v>
      </c>
      <c r="AL146" s="1">
        <f>AL142-AL144</f>
        <v>43</v>
      </c>
      <c r="AM146" s="1">
        <f>AM142-AM144</f>
        <v>0</v>
      </c>
      <c r="AN146" s="1">
        <f>AN142-AN144</f>
        <v>-24</v>
      </c>
      <c r="AO146" s="1">
        <f>AO142-AO144</f>
        <v>-10</v>
      </c>
      <c r="AP146" s="1">
        <f>AP142-AP144</f>
        <v>-10</v>
      </c>
      <c r="AQ146" s="1">
        <f>AQ142-AQ144</f>
        <v>-37</v>
      </c>
      <c r="AR146" s="1">
        <f>AR142-AR144</f>
        <v>-9</v>
      </c>
      <c r="AS146" s="1">
        <f>AS142-AS144</f>
        <v>-11</v>
      </c>
      <c r="AT146" s="1">
        <f>AT142-AT144</f>
        <v>3</v>
      </c>
      <c r="AU146" s="1">
        <f>AU142-AU144</f>
        <v>12</v>
      </c>
      <c r="AV146" s="1">
        <f>AV142-AV144</f>
        <v>-20</v>
      </c>
      <c r="AW146" s="1">
        <f>AW142-AW144</f>
        <v>-23</v>
      </c>
      <c r="AX146" s="1">
        <f>AX142-AX144</f>
        <v>-16</v>
      </c>
      <c r="AY146" s="1">
        <f>AY142-AY144</f>
        <v>3</v>
      </c>
      <c r="AZ146" s="1">
        <f>AZ142-AZ144</f>
        <v>-15</v>
      </c>
      <c r="BA146" s="1">
        <f>BA142-BA144</f>
        <v>-16</v>
      </c>
      <c r="BB146" s="1">
        <f>BB142-BB144</f>
        <v>-17</v>
      </c>
      <c r="BC146" s="1">
        <f>BC142-BC144</f>
        <v>2</v>
      </c>
      <c r="BD146" s="1">
        <f>BD142-BD144</f>
        <v>112</v>
      </c>
      <c r="BE146" s="1">
        <f>BE142-BE144</f>
        <v>194</v>
      </c>
      <c r="BF146" s="1">
        <f>BF142-BF144</f>
        <v>213</v>
      </c>
      <c r="BG146" s="1">
        <f>BG142-BG144</f>
        <v>222</v>
      </c>
      <c r="BH146" s="1">
        <f>BH142-BH144</f>
        <v>121</v>
      </c>
      <c r="BI146" s="1">
        <f>BI142-BI144</f>
        <v>134</v>
      </c>
      <c r="BJ146" s="1">
        <f>BJ142-BJ144</f>
        <v>6</v>
      </c>
      <c r="BK146" s="1">
        <f>BK142-BK144</f>
        <v>15</v>
      </c>
      <c r="BL146" s="1">
        <f>BL142-BL144</f>
        <v>43</v>
      </c>
      <c r="BM146" s="1">
        <f>BM142-BM144</f>
        <v>-42</v>
      </c>
      <c r="BN146" s="1">
        <f>BN142-BN144</f>
        <v>-45</v>
      </c>
      <c r="BO146" s="1">
        <f>BO142-BO144</f>
        <v>-45</v>
      </c>
      <c r="BP146" s="1"/>
      <c r="BQ146" s="1"/>
      <c r="BR146" s="17"/>
      <c r="BS146" s="17"/>
    </row>
    <row r="147" spans="1:71" s="13" customFormat="1">
      <c r="A147" s="1"/>
      <c r="B147" s="3" t="s">
        <v>168</v>
      </c>
      <c r="C147" s="1"/>
      <c r="D147" s="1"/>
      <c r="E147" s="1">
        <f>E142-E145</f>
        <v>37</v>
      </c>
      <c r="F147" s="1">
        <f>F142-F145</f>
        <v>17</v>
      </c>
      <c r="G147" s="1">
        <f>G142-G145</f>
        <v>16</v>
      </c>
      <c r="H147" s="1">
        <f>H142-H145</f>
        <v>-5</v>
      </c>
      <c r="I147" s="1">
        <f>I142-I145</f>
        <v>61</v>
      </c>
      <c r="J147" s="1">
        <f>J142-J145</f>
        <v>67</v>
      </c>
      <c r="K147" s="1">
        <f>K142-K145</f>
        <v>47</v>
      </c>
      <c r="L147" s="1">
        <f>L142-L145</f>
        <v>64</v>
      </c>
      <c r="M147" s="1">
        <f>M142-M145</f>
        <v>38</v>
      </c>
      <c r="N147" s="1">
        <f>N142-N145</f>
        <v>54</v>
      </c>
      <c r="O147" s="1">
        <f>O142-O145</f>
        <v>36</v>
      </c>
      <c r="P147" s="1">
        <f>P142-P145</f>
        <v>14</v>
      </c>
      <c r="Q147" s="1">
        <f>Q142-Q145</f>
        <v>-2</v>
      </c>
      <c r="R147" s="1">
        <f>R142-R145</f>
        <v>2</v>
      </c>
      <c r="S147" s="1">
        <f>S142-S145</f>
        <v>4</v>
      </c>
      <c r="T147" s="1">
        <f>T142-T145</f>
        <v>10</v>
      </c>
      <c r="U147" s="1">
        <f>U142-U145</f>
        <v>1</v>
      </c>
      <c r="V147" s="1">
        <f>V142-V145</f>
        <v>1</v>
      </c>
      <c r="W147" s="1">
        <f>W142-W145</f>
        <v>-1</v>
      </c>
      <c r="X147" s="1">
        <f>X142-X145</f>
        <v>6</v>
      </c>
      <c r="Y147" s="1">
        <f>Y142-Y145</f>
        <v>5</v>
      </c>
      <c r="Z147" s="1">
        <f>Z142-Z145</f>
        <v>-1</v>
      </c>
      <c r="AA147" s="1">
        <f>AA142-AA145</f>
        <v>1</v>
      </c>
      <c r="AB147" s="1">
        <f>AB142-AB145</f>
        <v>13</v>
      </c>
      <c r="AC147" s="1">
        <f>AC142-AC145</f>
        <v>-1</v>
      </c>
      <c r="AD147" s="1">
        <f>AD142-AD145</f>
        <v>6</v>
      </c>
      <c r="AE147" s="1">
        <f>AE142-AE145</f>
        <v>-44</v>
      </c>
      <c r="AF147" s="1">
        <f>AF142-AF145</f>
        <v>-5</v>
      </c>
      <c r="AG147" s="1">
        <f>AG142-AG145</f>
        <v>-5</v>
      </c>
      <c r="AH147" s="1">
        <f>AH142-AH145</f>
        <v>-5</v>
      </c>
      <c r="AI147" s="1">
        <f>AI142-AI145</f>
        <v>-5</v>
      </c>
      <c r="AJ147" s="1">
        <f>AJ142-AJ145</f>
        <v>-5</v>
      </c>
      <c r="AK147" s="1">
        <f>AK142-AK145</f>
        <v>33</v>
      </c>
      <c r="AL147" s="1">
        <f>AL142-AL145</f>
        <v>43</v>
      </c>
      <c r="AM147" s="1">
        <f>AM142-AM145</f>
        <v>0</v>
      </c>
      <c r="AN147" s="1">
        <f>AN142-AN145</f>
        <v>-4</v>
      </c>
      <c r="AO147" s="1">
        <f>AO142-AO145</f>
        <v>-2</v>
      </c>
      <c r="AP147" s="1">
        <f>AP142-AP145</f>
        <v>-1</v>
      </c>
      <c r="AQ147" s="1">
        <f>AQ142-AQ145</f>
        <v>-7</v>
      </c>
      <c r="AR147" s="1">
        <f>AR142-AR145</f>
        <v>-4</v>
      </c>
      <c r="AS147" s="1">
        <f>AS142-AS145</f>
        <v>-1</v>
      </c>
      <c r="AT147" s="1">
        <f>AT142-AT145</f>
        <v>13</v>
      </c>
      <c r="AU147" s="1">
        <f>AU142-AU145</f>
        <v>17</v>
      </c>
      <c r="AV147" s="1">
        <f>AV142-AV145</f>
        <v>10</v>
      </c>
      <c r="AW147" s="1">
        <f>AW142-AW145</f>
        <v>7</v>
      </c>
      <c r="AX147" s="1">
        <f>AX142-AX145</f>
        <v>19</v>
      </c>
      <c r="AY147" s="1">
        <f>AY142-AY145</f>
        <v>8</v>
      </c>
      <c r="AZ147" s="1">
        <f>AZ142-AZ145</f>
        <v>-10</v>
      </c>
      <c r="BA147" s="1">
        <f>BA142-BA145</f>
        <v>-1</v>
      </c>
      <c r="BB147" s="1">
        <f>BB142-BB145</f>
        <v>18</v>
      </c>
      <c r="BC147" s="1">
        <f>BC142-BC145</f>
        <v>2</v>
      </c>
      <c r="BD147" s="1">
        <f>BD142-BD145</f>
        <v>142</v>
      </c>
      <c r="BE147" s="1">
        <f>BE142-BE145</f>
        <v>224</v>
      </c>
      <c r="BF147" s="1">
        <f>BF142-BF145</f>
        <v>213</v>
      </c>
      <c r="BG147" s="1">
        <f>BG142-BG145</f>
        <v>222</v>
      </c>
      <c r="BH147" s="1">
        <f>BH142-BH145</f>
        <v>126</v>
      </c>
      <c r="BI147" s="1">
        <f>BI142-BI145</f>
        <v>139</v>
      </c>
      <c r="BJ147" s="1">
        <f>BJ142-BJ145</f>
        <v>6</v>
      </c>
      <c r="BK147" s="1">
        <f>BK142-BK145</f>
        <v>15</v>
      </c>
      <c r="BL147" s="1">
        <f>BL142-BL145</f>
        <v>43</v>
      </c>
      <c r="BM147" s="1">
        <f>BM142-BM145</f>
        <v>-42</v>
      </c>
      <c r="BN147" s="1">
        <f>BN142-BN145</f>
        <v>-45</v>
      </c>
      <c r="BO147" s="1">
        <f>BO142-BO145</f>
        <v>-45</v>
      </c>
      <c r="BP147" s="1"/>
      <c r="BQ147" s="1"/>
      <c r="BR147" s="17"/>
      <c r="BS147" s="17"/>
    </row>
    <row r="148" spans="1:71">
      <c r="AQ148" s="7" t="s">
        <v>194</v>
      </c>
      <c r="AR148" s="7" t="s">
        <v>197</v>
      </c>
      <c r="AS148" s="7" t="s">
        <v>198</v>
      </c>
      <c r="AT148" s="7" t="s">
        <v>195</v>
      </c>
      <c r="AU148" s="7" t="s">
        <v>196</v>
      </c>
      <c r="AV148" s="7" t="s">
        <v>193</v>
      </c>
      <c r="AW148" s="7" t="s">
        <v>199</v>
      </c>
      <c r="AX148" s="7" t="s">
        <v>200</v>
      </c>
      <c r="AY148" s="7" t="s">
        <v>201</v>
      </c>
      <c r="AZ148" s="7" t="s">
        <v>202</v>
      </c>
      <c r="BA148" s="7" t="s">
        <v>203</v>
      </c>
      <c r="BB148" s="7" t="s">
        <v>204</v>
      </c>
    </row>
  </sheetData>
  <autoFilter ref="A1:BT148">
    <filterColumn colId="71">
      <filters blank="1">
        <filter val="0"/>
      </filters>
    </filterColumn>
  </autoFilter>
  <sortState ref="A2:CS148">
    <sortCondition ref="BR2:BR148"/>
    <sortCondition ref="BQ2:BQ148"/>
  </sortState>
  <phoneticPr fontId="1" type="noConversion"/>
  <conditionalFormatting sqref="E144:BO144">
    <cfRule type="expression" dxfId="5" priority="10">
      <formula>"&lt;=$E$135"</formula>
    </cfRule>
  </conditionalFormatting>
  <conditionalFormatting sqref="E146:BO147">
    <cfRule type="cellIs" dxfId="4" priority="1" operator="lessThan">
      <formula>0</formula>
    </cfRule>
  </conditionalFormatting>
  <conditionalFormatting sqref="E143:BO143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147</xdr:row>
                    <xdr:rowOff>28575</xdr:rowOff>
                  </from>
                  <to>
                    <xdr:col>1</xdr:col>
                    <xdr:colOff>428625</xdr:colOff>
                    <xdr:row>148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69</v>
      </c>
      <c r="B1" s="8" t="s">
        <v>70</v>
      </c>
      <c r="C1" s="8" t="s">
        <v>72</v>
      </c>
      <c r="D1" s="8" t="s">
        <v>71</v>
      </c>
      <c r="E1" s="9" t="s">
        <v>2</v>
      </c>
      <c r="F1" s="9" t="s">
        <v>3</v>
      </c>
      <c r="G1" s="9" t="s">
        <v>12</v>
      </c>
      <c r="H1" s="9" t="s">
        <v>22</v>
      </c>
      <c r="I1" s="9" t="s">
        <v>23</v>
      </c>
      <c r="J1" s="9" t="s">
        <v>67</v>
      </c>
      <c r="K1" s="9" t="s">
        <v>24</v>
      </c>
      <c r="L1" s="9" t="s">
        <v>40</v>
      </c>
      <c r="M1" s="9" t="s">
        <v>42</v>
      </c>
      <c r="N1" s="9" t="s">
        <v>47</v>
      </c>
      <c r="O1" s="9" t="s">
        <v>41</v>
      </c>
      <c r="P1" s="27" t="s">
        <v>106</v>
      </c>
      <c r="Q1" s="27" t="s">
        <v>118</v>
      </c>
      <c r="R1" s="27" t="s">
        <v>112</v>
      </c>
      <c r="S1" s="27" t="s">
        <v>107</v>
      </c>
      <c r="T1" s="27" t="s">
        <v>116</v>
      </c>
      <c r="U1" s="27" t="s">
        <v>122</v>
      </c>
      <c r="V1" s="27" t="s">
        <v>108</v>
      </c>
      <c r="W1" s="27" t="s">
        <v>115</v>
      </c>
      <c r="X1" s="27" t="s">
        <v>113</v>
      </c>
      <c r="Y1" s="27" t="s">
        <v>109</v>
      </c>
      <c r="Z1" s="27" t="s">
        <v>117</v>
      </c>
      <c r="AA1" s="27" t="s">
        <v>124</v>
      </c>
      <c r="AB1" s="27" t="s">
        <v>111</v>
      </c>
      <c r="AC1" s="27" t="s">
        <v>110</v>
      </c>
      <c r="AD1" s="27" t="s">
        <v>135</v>
      </c>
      <c r="AE1" s="8" t="s">
        <v>8</v>
      </c>
      <c r="AF1" s="8" t="s">
        <v>28</v>
      </c>
      <c r="AG1" s="8" t="s">
        <v>29</v>
      </c>
      <c r="AH1" s="8" t="s">
        <v>57</v>
      </c>
      <c r="AI1" s="8" t="s">
        <v>58</v>
      </c>
      <c r="AJ1" s="8" t="s">
        <v>60</v>
      </c>
      <c r="AK1" s="8" t="s">
        <v>61</v>
      </c>
      <c r="AL1" s="8" t="s">
        <v>63</v>
      </c>
      <c r="AM1" s="8" t="s">
        <v>48</v>
      </c>
      <c r="AN1" s="8" t="s">
        <v>50</v>
      </c>
      <c r="AO1" s="8" t="s">
        <v>94</v>
      </c>
      <c r="AP1" s="8" t="s">
        <v>95</v>
      </c>
      <c r="AQ1" s="10" t="s">
        <v>38</v>
      </c>
      <c r="AR1" s="10" t="s">
        <v>4</v>
      </c>
      <c r="AS1" s="10" t="s">
        <v>26</v>
      </c>
      <c r="AT1" s="10" t="s">
        <v>52</v>
      </c>
      <c r="AU1" s="10" t="s">
        <v>55</v>
      </c>
      <c r="AV1" s="10" t="s">
        <v>46</v>
      </c>
      <c r="AW1" s="11" t="s">
        <v>5</v>
      </c>
      <c r="AX1" s="11" t="s">
        <v>6</v>
      </c>
      <c r="AY1" s="11" t="s">
        <v>39</v>
      </c>
      <c r="AZ1" s="11" t="s">
        <v>7</v>
      </c>
      <c r="BA1" s="11" t="s">
        <v>45</v>
      </c>
      <c r="BB1" s="11" t="s">
        <v>11</v>
      </c>
      <c r="BC1" s="25" t="s">
        <v>91</v>
      </c>
      <c r="BD1" s="8" t="s">
        <v>16</v>
      </c>
      <c r="BE1" s="8" t="s">
        <v>15</v>
      </c>
      <c r="BF1" s="8" t="s">
        <v>13</v>
      </c>
      <c r="BG1" s="8" t="s">
        <v>14</v>
      </c>
      <c r="BH1" s="8" t="s">
        <v>17</v>
      </c>
      <c r="BI1" s="8" t="s">
        <v>18</v>
      </c>
      <c r="BJ1" s="8" t="s">
        <v>31</v>
      </c>
      <c r="BK1" s="8" t="s">
        <v>32</v>
      </c>
      <c r="BL1" s="8" t="s">
        <v>33</v>
      </c>
      <c r="BM1" s="8" t="s">
        <v>34</v>
      </c>
      <c r="BN1" s="8" t="s">
        <v>35</v>
      </c>
      <c r="BO1" s="8" t="s">
        <v>36</v>
      </c>
      <c r="BP1" s="12" t="s">
        <v>56</v>
      </c>
      <c r="BQ1" s="8" t="s">
        <v>77</v>
      </c>
      <c r="BR1" s="16" t="s">
        <v>78</v>
      </c>
      <c r="BS1" s="16"/>
      <c r="BT1" s="10" t="s">
        <v>38</v>
      </c>
      <c r="BU1" s="10" t="s">
        <v>4</v>
      </c>
      <c r="BV1" s="10" t="s">
        <v>26</v>
      </c>
      <c r="BW1" s="10" t="s">
        <v>52</v>
      </c>
      <c r="BX1" s="10" t="s">
        <v>55</v>
      </c>
      <c r="BY1" s="10" t="s">
        <v>46</v>
      </c>
      <c r="BZ1" s="11" t="s">
        <v>5</v>
      </c>
      <c r="CA1" s="11" t="s">
        <v>6</v>
      </c>
      <c r="CB1" s="11" t="s">
        <v>39</v>
      </c>
      <c r="CC1" s="11" t="s">
        <v>7</v>
      </c>
      <c r="CD1" s="11" t="s">
        <v>45</v>
      </c>
      <c r="CE1" s="11" t="s">
        <v>11</v>
      </c>
      <c r="CF1" s="8"/>
      <c r="CG1" s="10" t="s">
        <v>38</v>
      </c>
      <c r="CH1" s="10" t="s">
        <v>4</v>
      </c>
      <c r="CI1" s="10" t="s">
        <v>26</v>
      </c>
      <c r="CJ1" s="10" t="s">
        <v>52</v>
      </c>
      <c r="CK1" s="10" t="s">
        <v>55</v>
      </c>
      <c r="CL1" s="10" t="s">
        <v>46</v>
      </c>
      <c r="CM1" s="11" t="s">
        <v>5</v>
      </c>
      <c r="CN1" s="11" t="s">
        <v>6</v>
      </c>
      <c r="CO1" s="11" t="s">
        <v>39</v>
      </c>
      <c r="CP1" s="11" t="s">
        <v>7</v>
      </c>
      <c r="CQ1" s="11" t="s">
        <v>45</v>
      </c>
      <c r="CR1" s="11" t="s">
        <v>11</v>
      </c>
      <c r="CS1" s="8"/>
    </row>
    <row r="2" spans="1:97">
      <c r="A2" s="40">
        <v>77</v>
      </c>
      <c r="B2" s="47" t="s">
        <v>143</v>
      </c>
      <c r="C2" s="47" t="s">
        <v>51</v>
      </c>
      <c r="D2" s="40" t="s">
        <v>10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>
        <v>20</v>
      </c>
      <c r="AU2" s="43"/>
      <c r="AV2" s="43"/>
      <c r="AW2" s="44">
        <v>20</v>
      </c>
      <c r="AX2" s="44">
        <v>20</v>
      </c>
      <c r="AY2" s="44"/>
      <c r="AZ2" s="44"/>
      <c r="BA2" s="44"/>
      <c r="BB2" s="44">
        <v>10</v>
      </c>
      <c r="BC2" s="45"/>
      <c r="BD2" s="40"/>
      <c r="BE2" s="40"/>
      <c r="BF2" s="40"/>
      <c r="BG2" s="40"/>
      <c r="BH2" s="40">
        <v>20</v>
      </c>
      <c r="BI2" s="40"/>
      <c r="BJ2" s="40"/>
      <c r="BK2" s="40"/>
      <c r="BL2" s="40"/>
      <c r="BM2" s="40"/>
      <c r="BN2" s="40"/>
      <c r="BO2" s="40"/>
      <c r="BP2" s="40">
        <f>SUM(E2:BO2)</f>
        <v>90</v>
      </c>
      <c r="BQ2" s="40">
        <v>9</v>
      </c>
      <c r="BR2" s="46">
        <v>1</v>
      </c>
      <c r="BS2" s="46" t="s">
        <v>191</v>
      </c>
      <c r="BT2" s="40" t="str">
        <f>IF(AQ2&gt;AQ$4, AQ2-AQ$4,"")</f>
        <v/>
      </c>
      <c r="BU2" s="40" t="str">
        <f>IF(AR2&gt;AR$4, AR2-AR$4,"")</f>
        <v/>
      </c>
      <c r="BV2" s="40" t="str">
        <f>IF(AS2&gt;AS$4, AS2-AS$4,"")</f>
        <v/>
      </c>
      <c r="BW2" s="40" t="str">
        <f>IF(AT2&gt;AT$4, AT2-AT$4,"")</f>
        <v/>
      </c>
      <c r="BX2" s="40" t="str">
        <f>IF(AU2&gt;AU$4, AU2-AU$4,"")</f>
        <v/>
      </c>
      <c r="BY2" s="40" t="str">
        <f>IF(AV2&gt;AV$4, AV2-AV$4,"")</f>
        <v/>
      </c>
      <c r="BZ2" s="40" t="str">
        <f>IF(AW2&gt;AW$4, AW2-AW$4,"")</f>
        <v/>
      </c>
      <c r="CA2" s="40" t="str">
        <f>IF(AX2&gt;AX$4, AX2-AX$4,"")</f>
        <v/>
      </c>
      <c r="CB2" s="40" t="str">
        <f>IF(AY2&gt;AY$4, AY2-AY$4,"")</f>
        <v/>
      </c>
      <c r="CC2" s="40" t="str">
        <f>IF(AZ2&gt;AZ$4, AZ2-AZ$4,"")</f>
        <v/>
      </c>
      <c r="CD2" s="40" t="str">
        <f>IF(BA2&gt;BA$4, BA2-BA$4,"")</f>
        <v/>
      </c>
      <c r="CE2" s="40" t="str">
        <f>IF(BB2&gt;BB$4, BB2-BB$4,"")</f>
        <v/>
      </c>
      <c r="CF2" s="40">
        <f>COUNTIF(BT2:CE2, "&gt;0")</f>
        <v>0</v>
      </c>
      <c r="CG2" s="40" t="str">
        <f t="shared" ref="CG2:CR2" si="0">IF($CF2=1,BT2,"")</f>
        <v/>
      </c>
      <c r="CH2" s="40" t="str">
        <f t="shared" si="0"/>
        <v/>
      </c>
      <c r="CI2" s="40" t="str">
        <f t="shared" si="0"/>
        <v/>
      </c>
      <c r="CJ2" s="40" t="str">
        <f t="shared" si="0"/>
        <v/>
      </c>
      <c r="CK2" s="40" t="str">
        <f t="shared" si="0"/>
        <v/>
      </c>
      <c r="CL2" s="40" t="str">
        <f t="shared" si="0"/>
        <v/>
      </c>
      <c r="CM2" s="40" t="str">
        <f t="shared" si="0"/>
        <v/>
      </c>
      <c r="CN2" s="40" t="str">
        <f t="shared" si="0"/>
        <v/>
      </c>
      <c r="CO2" s="40" t="str">
        <f t="shared" si="0"/>
        <v/>
      </c>
      <c r="CP2" s="40" t="str">
        <f t="shared" si="0"/>
        <v/>
      </c>
      <c r="CQ2" s="40" t="str">
        <f t="shared" si="0"/>
        <v/>
      </c>
      <c r="CR2" s="40" t="str">
        <f t="shared" si="0"/>
        <v/>
      </c>
      <c r="CS2" s="47">
        <f>SUM(AE2:BO2)</f>
        <v>90</v>
      </c>
    </row>
    <row r="3" spans="1:97" s="58" customFormat="1" ht="27">
      <c r="A3" s="50"/>
      <c r="B3" s="50" t="s">
        <v>207</v>
      </c>
      <c r="C3" s="50" t="s">
        <v>89</v>
      </c>
      <c r="D3" s="50" t="s">
        <v>105</v>
      </c>
      <c r="E3" s="51"/>
      <c r="F3" s="51"/>
      <c r="G3" s="51"/>
      <c r="H3" s="51"/>
      <c r="I3" s="51">
        <v>10</v>
      </c>
      <c r="J3" s="51"/>
      <c r="K3" s="51"/>
      <c r="L3" s="51"/>
      <c r="M3" s="51"/>
      <c r="N3" s="51"/>
      <c r="O3" s="51"/>
      <c r="P3" s="52"/>
      <c r="Q3" s="52"/>
      <c r="R3" s="52">
        <v>10</v>
      </c>
      <c r="S3" s="52"/>
      <c r="T3" s="52"/>
      <c r="U3" s="52"/>
      <c r="V3" s="52"/>
      <c r="W3" s="52"/>
      <c r="X3" s="52">
        <v>10</v>
      </c>
      <c r="Y3" s="52"/>
      <c r="Z3" s="52"/>
      <c r="AA3" s="52"/>
      <c r="AB3" s="52"/>
      <c r="AC3" s="52"/>
      <c r="AD3" s="52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3"/>
      <c r="AR3" s="53"/>
      <c r="AS3" s="53"/>
      <c r="AT3" s="53">
        <v>10</v>
      </c>
      <c r="AU3" s="53"/>
      <c r="AV3" s="53"/>
      <c r="AW3" s="54"/>
      <c r="AX3" s="54"/>
      <c r="AY3" s="54"/>
      <c r="AZ3" s="54"/>
      <c r="BA3" s="54"/>
      <c r="BB3" s="54"/>
      <c r="BC3" s="55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0"/>
      <c r="BO3" s="50"/>
      <c r="BP3" s="50">
        <f>SUM(E3:BO3)</f>
        <v>40</v>
      </c>
      <c r="BQ3" s="50">
        <v>8</v>
      </c>
      <c r="BR3" s="56">
        <v>2</v>
      </c>
      <c r="BS3" s="56" t="s">
        <v>245</v>
      </c>
      <c r="BT3" s="50" t="str">
        <f>IF(AQ3&gt;AQ$141, AQ3-AQ$141,"")</f>
        <v/>
      </c>
      <c r="BU3" s="50" t="str">
        <f>IF(AR3&gt;AR$141, AR3-AR$141,"")</f>
        <v/>
      </c>
      <c r="BV3" s="50" t="str">
        <f>IF(AS3&gt;AS$141, AS3-AS$141,"")</f>
        <v/>
      </c>
      <c r="BW3" s="50">
        <f>IF(AT3&gt;AT$141, AT3-AT$141,"")</f>
        <v>10</v>
      </c>
      <c r="BX3" s="50" t="str">
        <f>IF(AU3&gt;AU$141, AU3-AU$141,"")</f>
        <v/>
      </c>
      <c r="BY3" s="50" t="str">
        <f>IF(AV3&gt;AV$141, AV3-AV$141,"")</f>
        <v/>
      </c>
      <c r="BZ3" s="50" t="str">
        <f>IF(AW3&gt;AW$141, AW3-AW$141,"")</f>
        <v/>
      </c>
      <c r="CA3" s="50" t="str">
        <f>IF(AX3&gt;AX$141, AX3-AX$141,"")</f>
        <v/>
      </c>
      <c r="CB3" s="50" t="str">
        <f>IF(AY3&gt;AY$141, AY3-AY$141,"")</f>
        <v/>
      </c>
      <c r="CC3" s="50" t="str">
        <f>IF(AZ3&gt;AZ$141, AZ3-AZ$141,"")</f>
        <v/>
      </c>
      <c r="CD3" s="50" t="str">
        <f>IF(BA3&gt;BA$141, BA3-BA$141,"")</f>
        <v/>
      </c>
      <c r="CE3" s="50" t="str">
        <f>IF(BB3&gt;BB$141, BB3-BB$141,"")</f>
        <v/>
      </c>
      <c r="CF3" s="50"/>
      <c r="CG3" s="50"/>
      <c r="CH3" s="50"/>
      <c r="CI3" s="50"/>
      <c r="CJ3" s="50"/>
      <c r="CK3" s="50"/>
      <c r="CL3" s="50"/>
      <c r="CM3" s="50"/>
      <c r="CN3" s="50"/>
      <c r="CO3" s="50"/>
      <c r="CP3" s="50"/>
      <c r="CQ3" s="50"/>
      <c r="CR3" s="50"/>
      <c r="CS3" s="57"/>
    </row>
    <row r="4" spans="1:97">
      <c r="A4" s="1"/>
      <c r="B4" s="1" t="s">
        <v>56</v>
      </c>
      <c r="C4" s="1"/>
      <c r="D4" s="1"/>
      <c r="E4" s="6">
        <f>SUM(E2:E3)</f>
        <v>0</v>
      </c>
      <c r="F4" s="6">
        <f>SUM(F2:F3)</f>
        <v>0</v>
      </c>
      <c r="G4" s="6">
        <f>SUM(G2:G3)</f>
        <v>0</v>
      </c>
      <c r="H4" s="6">
        <f>SUM(H2:H3)</f>
        <v>0</v>
      </c>
      <c r="I4" s="6">
        <f>SUM(I2:I3)</f>
        <v>10</v>
      </c>
      <c r="J4" s="6">
        <f>SUM(J2:J3)</f>
        <v>0</v>
      </c>
      <c r="K4" s="6">
        <f>SUM(K2:K3)</f>
        <v>0</v>
      </c>
      <c r="L4" s="6">
        <f>SUM(L2:L3)</f>
        <v>0</v>
      </c>
      <c r="M4" s="6">
        <f>SUM(M2:M3)</f>
        <v>0</v>
      </c>
      <c r="N4" s="6">
        <f>SUM(N2:N3)</f>
        <v>0</v>
      </c>
      <c r="O4" s="6">
        <f>SUM(O2:O3)</f>
        <v>0</v>
      </c>
      <c r="P4" s="28">
        <f>SUM(P2:P3)</f>
        <v>0</v>
      </c>
      <c r="Q4" s="28">
        <f>SUM(Q2:Q3)</f>
        <v>0</v>
      </c>
      <c r="R4" s="28">
        <f>SUM(R2:R3)</f>
        <v>10</v>
      </c>
      <c r="S4" s="28">
        <f>SUM(S2:S3)</f>
        <v>0</v>
      </c>
      <c r="T4" s="28">
        <f>SUM(T2:T3)</f>
        <v>0</v>
      </c>
      <c r="U4" s="28">
        <f>SUM(U2:U3)</f>
        <v>0</v>
      </c>
      <c r="V4" s="28">
        <f>SUM(V2:V3)</f>
        <v>0</v>
      </c>
      <c r="W4" s="28">
        <f>SUM(W2:W3)</f>
        <v>0</v>
      </c>
      <c r="X4" s="28">
        <f>SUM(X2:X3)</f>
        <v>10</v>
      </c>
      <c r="Y4" s="28">
        <f>SUM(Y2:Y3)</f>
        <v>0</v>
      </c>
      <c r="Z4" s="28">
        <f>SUM(Z2:Z3)</f>
        <v>0</v>
      </c>
      <c r="AA4" s="28">
        <f>SUM(AA2:AA3)</f>
        <v>0</v>
      </c>
      <c r="AB4" s="28">
        <f>SUM(AB2:AB3)</f>
        <v>0</v>
      </c>
      <c r="AC4" s="28">
        <f>SUM(AC2:AC3)</f>
        <v>0</v>
      </c>
      <c r="AD4" s="28">
        <f>SUM(AD2:AD3)</f>
        <v>0</v>
      </c>
      <c r="AE4" s="1">
        <f>SUM(AE2:AE3)</f>
        <v>0</v>
      </c>
      <c r="AF4" s="1">
        <f>SUM(AF2:AF3)</f>
        <v>0</v>
      </c>
      <c r="AG4" s="1">
        <f>SUM(AG2:AG3)</f>
        <v>0</v>
      </c>
      <c r="AH4" s="1">
        <f>SUM(AH2:AH3)</f>
        <v>0</v>
      </c>
      <c r="AI4" s="1">
        <f>SUM(AI2:AI3)</f>
        <v>0</v>
      </c>
      <c r="AJ4" s="1">
        <f>SUM(AJ2:AJ3)</f>
        <v>0</v>
      </c>
      <c r="AK4" s="1">
        <f>SUM(AK2:AK3)</f>
        <v>0</v>
      </c>
      <c r="AL4" s="1">
        <f>SUM(AL2:AL3)</f>
        <v>0</v>
      </c>
      <c r="AM4" s="1">
        <f>SUM(AM2:AM3)</f>
        <v>0</v>
      </c>
      <c r="AN4" s="1">
        <f>SUM(AN2:AN3)</f>
        <v>0</v>
      </c>
      <c r="AO4" s="1">
        <f>SUM(AO2:AO3)</f>
        <v>0</v>
      </c>
      <c r="AP4" s="1">
        <f>SUM(AP2:AP3)</f>
        <v>0</v>
      </c>
      <c r="AQ4" s="4">
        <f>SUM(AQ2:AQ3)</f>
        <v>0</v>
      </c>
      <c r="AR4" s="4">
        <f>SUM(AR2:AR3)</f>
        <v>0</v>
      </c>
      <c r="AS4" s="4">
        <f>SUM(AS2:AS3)</f>
        <v>0</v>
      </c>
      <c r="AT4" s="4">
        <f>SUM(AT2:AT3)</f>
        <v>30</v>
      </c>
      <c r="AU4" s="4">
        <f>SUM(AU2:AU3)</f>
        <v>0</v>
      </c>
      <c r="AV4" s="4">
        <f>SUM(AV2:AV3)</f>
        <v>0</v>
      </c>
      <c r="AW4" s="2">
        <f>SUM(AW2:AW3)</f>
        <v>20</v>
      </c>
      <c r="AX4" s="2">
        <f>SUM(AX2:AX3)</f>
        <v>20</v>
      </c>
      <c r="AY4" s="2">
        <f>SUM(AY2:AY3)</f>
        <v>0</v>
      </c>
      <c r="AZ4" s="2">
        <f>SUM(AZ2:AZ3)</f>
        <v>0</v>
      </c>
      <c r="BA4" s="2">
        <f>SUM(BA2:BA3)</f>
        <v>0</v>
      </c>
      <c r="BB4" s="2">
        <f>SUM(BB2:BB3)</f>
        <v>10</v>
      </c>
      <c r="BC4" s="1">
        <f>SUM(BC2:BC3)</f>
        <v>0</v>
      </c>
      <c r="BD4" s="1">
        <f>SUM(BD2:BD3)</f>
        <v>0</v>
      </c>
      <c r="BE4" s="1">
        <f>SUM(BE2:BE3)</f>
        <v>0</v>
      </c>
      <c r="BF4" s="1">
        <f>SUM(BF2:BF3)</f>
        <v>0</v>
      </c>
      <c r="BG4" s="1">
        <f>SUM(BG2:BG3)</f>
        <v>0</v>
      </c>
      <c r="BH4" s="1">
        <f>SUM(BH2:BH3)</f>
        <v>20</v>
      </c>
      <c r="BI4" s="1">
        <f>SUM(BI2:BI3)</f>
        <v>0</v>
      </c>
      <c r="BJ4" s="1">
        <f>SUM(BJ2:BJ3)</f>
        <v>0</v>
      </c>
      <c r="BK4" s="1">
        <f>SUM(BK2:BK3)</f>
        <v>0</v>
      </c>
      <c r="BL4" s="1">
        <f>SUM(BL2:BL3)</f>
        <v>0</v>
      </c>
      <c r="BM4" s="1">
        <f>SUM(BM2:BM3)</f>
        <v>0</v>
      </c>
      <c r="BN4" s="1">
        <f>SUM(BN2:BN3)</f>
        <v>0</v>
      </c>
      <c r="BO4" s="1">
        <f>SUM(BO2:BO3)</f>
        <v>0</v>
      </c>
      <c r="BP4" s="1"/>
      <c r="BQ4" s="1"/>
      <c r="BR4" s="17"/>
      <c r="BS4" s="17"/>
      <c r="BT4" s="1">
        <f>MIN(BT2:BT3)</f>
        <v>0</v>
      </c>
      <c r="BU4" s="1">
        <f>MIN(BU2:BU3)</f>
        <v>0</v>
      </c>
      <c r="BV4" s="1">
        <f>MIN(BV2:BV3)</f>
        <v>0</v>
      </c>
      <c r="BW4" s="1">
        <f>MIN(BW2:BW3)</f>
        <v>10</v>
      </c>
      <c r="BX4" s="1">
        <f>MIN(BX2:BX3)</f>
        <v>0</v>
      </c>
      <c r="BY4" s="1">
        <f>MIN(BY2:BY3)</f>
        <v>0</v>
      </c>
      <c r="BZ4" s="1">
        <f>MIN(BZ2:BZ3)</f>
        <v>0</v>
      </c>
      <c r="CA4" s="1">
        <f>MIN(CA2:CA3)</f>
        <v>0</v>
      </c>
      <c r="CB4" s="1">
        <f>MIN(CB2:CB3)</f>
        <v>0</v>
      </c>
      <c r="CC4" s="1">
        <f>MIN(CC2:CC3)</f>
        <v>0</v>
      </c>
      <c r="CD4" s="1">
        <f>MIN(CD2:CD3)</f>
        <v>0</v>
      </c>
      <c r="CE4" s="1">
        <f>MIN(CE2:CE3)</f>
        <v>0</v>
      </c>
      <c r="CF4" s="1"/>
      <c r="CG4" s="1">
        <f>MIN(CG2:CG3)</f>
        <v>0</v>
      </c>
      <c r="CH4" s="1">
        <f>MIN(CH2:CH3)</f>
        <v>0</v>
      </c>
      <c r="CI4" s="1">
        <f>MIN(CI2:CI3)</f>
        <v>0</v>
      </c>
      <c r="CJ4" s="1">
        <f>MIN(CJ2:CJ3)</f>
        <v>0</v>
      </c>
      <c r="CK4" s="1">
        <f>MIN(CK2:CK3)</f>
        <v>0</v>
      </c>
      <c r="CL4" s="1">
        <f>MIN(CL2:CL3)</f>
        <v>0</v>
      </c>
      <c r="CM4" s="1">
        <f>MIN(CM2:CM3)</f>
        <v>0</v>
      </c>
      <c r="CN4" s="1">
        <f>MIN(CN2:CN3)</f>
        <v>0</v>
      </c>
      <c r="CO4" s="1">
        <f>MIN(CO2:CO3)</f>
        <v>0</v>
      </c>
      <c r="CP4" s="1">
        <f>MIN(CP2:CP3)</f>
        <v>0</v>
      </c>
      <c r="CQ4" s="1">
        <f>MIN(CQ2:CQ3)</f>
        <v>0</v>
      </c>
      <c r="CR4" s="1">
        <f>MIN(CR2:CR3)</f>
        <v>0</v>
      </c>
      <c r="CS4" s="3">
        <f>COUNTIF(CS2:CS3,"=0")</f>
        <v>0</v>
      </c>
    </row>
    <row r="5" spans="1:97">
      <c r="A5" s="1"/>
      <c r="B5" s="3" t="s">
        <v>75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82</v>
      </c>
      <c r="C6" s="1"/>
      <c r="D6" s="1"/>
      <c r="E6" s="1">
        <f t="shared" ref="E6:AJ6" si="1">E5-E4</f>
        <v>43</v>
      </c>
      <c r="F6" s="1">
        <f t="shared" si="1"/>
        <v>23</v>
      </c>
      <c r="G6" s="1">
        <f t="shared" si="1"/>
        <v>21</v>
      </c>
      <c r="H6" s="1">
        <f t="shared" si="1"/>
        <v>0</v>
      </c>
      <c r="I6" s="1">
        <f t="shared" si="1"/>
        <v>58</v>
      </c>
      <c r="J6" s="1">
        <f t="shared" si="1"/>
        <v>82</v>
      </c>
      <c r="K6" s="1">
        <f t="shared" si="1"/>
        <v>53</v>
      </c>
      <c r="L6" s="1">
        <f t="shared" si="1"/>
        <v>80</v>
      </c>
      <c r="M6" s="1">
        <f t="shared" si="1"/>
        <v>54</v>
      </c>
      <c r="N6" s="1">
        <f t="shared" si="1"/>
        <v>64</v>
      </c>
      <c r="O6" s="1">
        <f t="shared" si="1"/>
        <v>41</v>
      </c>
      <c r="P6" s="1">
        <f t="shared" si="1"/>
        <v>34</v>
      </c>
      <c r="Q6" s="1">
        <f t="shared" si="1"/>
        <v>3</v>
      </c>
      <c r="R6" s="1">
        <f t="shared" si="1"/>
        <v>-6</v>
      </c>
      <c r="S6" s="1">
        <f t="shared" si="1"/>
        <v>24</v>
      </c>
      <c r="T6" s="1">
        <f t="shared" si="1"/>
        <v>15</v>
      </c>
      <c r="U6" s="1">
        <f t="shared" si="1"/>
        <v>3</v>
      </c>
      <c r="V6" s="1">
        <f t="shared" si="1"/>
        <v>16</v>
      </c>
      <c r="W6" s="1">
        <f t="shared" si="1"/>
        <v>4</v>
      </c>
      <c r="X6" s="1">
        <f t="shared" si="1"/>
        <v>-2</v>
      </c>
      <c r="Y6" s="1">
        <f t="shared" si="1"/>
        <v>20</v>
      </c>
      <c r="Z6" s="1">
        <f t="shared" si="1"/>
        <v>6</v>
      </c>
      <c r="AA6" s="1">
        <f t="shared" si="1"/>
        <v>3</v>
      </c>
      <c r="AB6" s="1">
        <f t="shared" si="1"/>
        <v>23</v>
      </c>
      <c r="AC6" s="1">
        <f t="shared" si="1"/>
        <v>4</v>
      </c>
      <c r="AD6" s="1">
        <f t="shared" si="1"/>
        <v>8</v>
      </c>
      <c r="AE6" s="1">
        <f t="shared" si="1"/>
        <v>6</v>
      </c>
      <c r="AF6" s="1">
        <f t="shared" si="1"/>
        <v>0</v>
      </c>
      <c r="AG6" s="1">
        <f t="shared" si="1"/>
        <v>0</v>
      </c>
      <c r="AH6" s="1">
        <f t="shared" si="1"/>
        <v>0</v>
      </c>
      <c r="AI6" s="1">
        <f t="shared" si="1"/>
        <v>0</v>
      </c>
      <c r="AJ6" s="1">
        <f t="shared" si="1"/>
        <v>0</v>
      </c>
      <c r="AK6" s="1">
        <f t="shared" ref="AK6:BO6" si="2">AK5-AK4</f>
        <v>33</v>
      </c>
      <c r="AL6" s="1">
        <f t="shared" si="2"/>
        <v>43</v>
      </c>
      <c r="AM6" s="1">
        <f t="shared" si="2"/>
        <v>5</v>
      </c>
      <c r="AN6" s="1">
        <f t="shared" si="2"/>
        <v>1</v>
      </c>
      <c r="AO6" s="1">
        <f t="shared" si="2"/>
        <v>0</v>
      </c>
      <c r="AP6" s="1">
        <f t="shared" si="2"/>
        <v>0</v>
      </c>
      <c r="AQ6" s="1">
        <f t="shared" si="2"/>
        <v>3</v>
      </c>
      <c r="AR6" s="1">
        <f t="shared" si="2"/>
        <v>6</v>
      </c>
      <c r="AS6" s="1">
        <f t="shared" si="2"/>
        <v>4</v>
      </c>
      <c r="AT6" s="1">
        <f t="shared" si="2"/>
        <v>-10</v>
      </c>
      <c r="AU6" s="1">
        <f t="shared" si="2"/>
        <v>27</v>
      </c>
      <c r="AV6" s="1">
        <f t="shared" si="2"/>
        <v>20</v>
      </c>
      <c r="AW6" s="1">
        <f t="shared" si="2"/>
        <v>-4</v>
      </c>
      <c r="AX6" s="1">
        <f t="shared" si="2"/>
        <v>3</v>
      </c>
      <c r="AY6" s="1">
        <f t="shared" si="2"/>
        <v>32</v>
      </c>
      <c r="AZ6" s="1">
        <f t="shared" si="2"/>
        <v>15</v>
      </c>
      <c r="BA6" s="1">
        <f t="shared" si="2"/>
        <v>4</v>
      </c>
      <c r="BB6" s="1">
        <f t="shared" si="2"/>
        <v>13</v>
      </c>
      <c r="BC6" s="1">
        <f t="shared" si="2"/>
        <v>12</v>
      </c>
      <c r="BD6" s="1">
        <f t="shared" si="2"/>
        <v>162</v>
      </c>
      <c r="BE6" s="1">
        <f t="shared" si="2"/>
        <v>244</v>
      </c>
      <c r="BF6" s="1">
        <f t="shared" si="2"/>
        <v>233</v>
      </c>
      <c r="BG6" s="1">
        <f t="shared" si="2"/>
        <v>242</v>
      </c>
      <c r="BH6" s="1">
        <f t="shared" si="2"/>
        <v>121</v>
      </c>
      <c r="BI6" s="1">
        <f t="shared" si="2"/>
        <v>154</v>
      </c>
      <c r="BJ6" s="1">
        <f t="shared" si="2"/>
        <v>56</v>
      </c>
      <c r="BK6" s="1">
        <f t="shared" si="2"/>
        <v>65</v>
      </c>
      <c r="BL6" s="1">
        <f t="shared" si="2"/>
        <v>93</v>
      </c>
      <c r="BM6" s="1">
        <f t="shared" si="2"/>
        <v>8</v>
      </c>
      <c r="BN6" s="1">
        <f t="shared" si="2"/>
        <v>5</v>
      </c>
      <c r="BO6" s="1">
        <f t="shared" si="2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165</v>
      </c>
      <c r="C7" s="1"/>
      <c r="D7" s="1"/>
      <c r="E7" s="1">
        <f>MAX(E2:E3)</f>
        <v>0</v>
      </c>
      <c r="F7" s="1">
        <f>MAX(F2:F3)</f>
        <v>0</v>
      </c>
      <c r="G7" s="1">
        <f>MAX(G2:G3)</f>
        <v>0</v>
      </c>
      <c r="H7" s="1">
        <f>MAX(H2:H3)</f>
        <v>0</v>
      </c>
      <c r="I7" s="1">
        <f>MAX(I2:I3)</f>
        <v>10</v>
      </c>
      <c r="J7" s="1">
        <f>MAX(J2:J3)</f>
        <v>0</v>
      </c>
      <c r="K7" s="1">
        <f>MAX(K2:K3)</f>
        <v>0</v>
      </c>
      <c r="L7" s="1">
        <f>MAX(L2:L3)</f>
        <v>0</v>
      </c>
      <c r="M7" s="1">
        <f>MAX(M2:M3)</f>
        <v>0</v>
      </c>
      <c r="N7" s="1">
        <f>MAX(N2:N3)</f>
        <v>0</v>
      </c>
      <c r="O7" s="1">
        <f>MAX(O2:O3)</f>
        <v>0</v>
      </c>
      <c r="P7" s="1">
        <f>MAX(P2:P3)</f>
        <v>0</v>
      </c>
      <c r="Q7" s="1">
        <f>MAX(Q2:Q3)</f>
        <v>0</v>
      </c>
      <c r="R7" s="1">
        <f>MAX(R2:R3)</f>
        <v>10</v>
      </c>
      <c r="S7" s="1">
        <f>MAX(S2:S3)</f>
        <v>0</v>
      </c>
      <c r="T7" s="1">
        <f>MAX(T2:T3)</f>
        <v>0</v>
      </c>
      <c r="U7" s="1">
        <f>MAX(U2:U3)</f>
        <v>0</v>
      </c>
      <c r="V7" s="1">
        <f>MAX(V2:V3)</f>
        <v>0</v>
      </c>
      <c r="W7" s="1">
        <f>MAX(W2:W3)</f>
        <v>0</v>
      </c>
      <c r="X7" s="1">
        <f>MAX(X2:X3)</f>
        <v>10</v>
      </c>
      <c r="Y7" s="1">
        <f>MAX(Y2:Y3)</f>
        <v>0</v>
      </c>
      <c r="Z7" s="1">
        <f>MAX(Z2:Z3)</f>
        <v>0</v>
      </c>
      <c r="AA7" s="1">
        <f>MAX(AA2:AA3)</f>
        <v>0</v>
      </c>
      <c r="AB7" s="1">
        <f>MAX(AB2:AB3)</f>
        <v>0</v>
      </c>
      <c r="AC7" s="1">
        <f>MAX(AC2:AC3)</f>
        <v>0</v>
      </c>
      <c r="AD7" s="1">
        <f>MAX(AD2:AD3)</f>
        <v>0</v>
      </c>
      <c r="AE7" s="1">
        <f>MAX(AE2:AE3)</f>
        <v>0</v>
      </c>
      <c r="AF7" s="1">
        <f>MAX(AF2:AF3)</f>
        <v>0</v>
      </c>
      <c r="AG7" s="1">
        <f>MAX(AG2:AG3)</f>
        <v>0</v>
      </c>
      <c r="AH7" s="1">
        <f>MAX(AH2:AH3)</f>
        <v>0</v>
      </c>
      <c r="AI7" s="1">
        <f>MAX(AI2:AI3)</f>
        <v>0</v>
      </c>
      <c r="AJ7" s="1">
        <f>MAX(AJ2:AJ3)</f>
        <v>0</v>
      </c>
      <c r="AK7" s="1">
        <f>MAX(AK2:AK3)</f>
        <v>0</v>
      </c>
      <c r="AL7" s="1">
        <f>MAX(AL2:AL3)</f>
        <v>0</v>
      </c>
      <c r="AM7" s="1">
        <f>MAX(AM2:AM3)</f>
        <v>0</v>
      </c>
      <c r="AN7" s="1">
        <f>MAX(AN2:AN3)</f>
        <v>0</v>
      </c>
      <c r="AO7" s="1">
        <f>MAX(AO2:AO3)</f>
        <v>0</v>
      </c>
      <c r="AP7" s="1">
        <f>MAX(AP2:AP3)</f>
        <v>0</v>
      </c>
      <c r="AQ7" s="1">
        <f>MAX(AQ2:AQ3)</f>
        <v>0</v>
      </c>
      <c r="AR7" s="1">
        <f>MAX(AR2:AR3)</f>
        <v>0</v>
      </c>
      <c r="AS7" s="1">
        <f>MAX(AS2:AS3)</f>
        <v>0</v>
      </c>
      <c r="AT7" s="1">
        <f>MAX(AT2:AT3)</f>
        <v>20</v>
      </c>
      <c r="AU7" s="1">
        <f>MAX(AU2:AU3)</f>
        <v>0</v>
      </c>
      <c r="AV7" s="1">
        <f>MAX(AV2:AV3)</f>
        <v>0</v>
      </c>
      <c r="AW7" s="1">
        <f>MAX(AW2:AW3)</f>
        <v>20</v>
      </c>
      <c r="AX7" s="1">
        <f>MAX(AX2:AX3)</f>
        <v>20</v>
      </c>
      <c r="AY7" s="1">
        <f>MAX(AY2:AY3)</f>
        <v>0</v>
      </c>
      <c r="AZ7" s="1">
        <f>MAX(AZ2:AZ3)</f>
        <v>0</v>
      </c>
      <c r="BA7" s="1">
        <f>MAX(BA2:BA3)</f>
        <v>0</v>
      </c>
      <c r="BB7" s="1">
        <f>MAX(BB2:BB3)</f>
        <v>10</v>
      </c>
      <c r="BC7" s="1">
        <f>MAX(BC2:BC3)</f>
        <v>0</v>
      </c>
      <c r="BD7" s="1">
        <f>MAX(BD2:BD3)</f>
        <v>0</v>
      </c>
      <c r="BE7" s="1">
        <f>MAX(BE2:BE3)</f>
        <v>0</v>
      </c>
      <c r="BF7" s="1">
        <f>MAX(BF2:BF3)</f>
        <v>0</v>
      </c>
      <c r="BG7" s="1">
        <f>MAX(BG2:BG3)</f>
        <v>0</v>
      </c>
      <c r="BH7" s="1">
        <f>MAX(BH2:BH3)</f>
        <v>20</v>
      </c>
      <c r="BI7" s="1">
        <f>MAX(BI2:BI3)</f>
        <v>0</v>
      </c>
      <c r="BJ7" s="1">
        <f>MAX(BJ2:BJ3)</f>
        <v>0</v>
      </c>
      <c r="BK7" s="1">
        <f>MAX(BK2:BK3)</f>
        <v>0</v>
      </c>
      <c r="BL7" s="1">
        <f>MAX(BL2:BL3)</f>
        <v>0</v>
      </c>
      <c r="BM7" s="1">
        <f>MAX(BM2:BM3)</f>
        <v>0</v>
      </c>
      <c r="BN7" s="1">
        <f>MAX(BN2:BN3)</f>
        <v>0</v>
      </c>
      <c r="BO7" s="1">
        <f>MAX(BO2:BO3)</f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166</v>
      </c>
      <c r="C8" s="1"/>
      <c r="D8" s="1"/>
      <c r="E8" s="1">
        <f>MIN(E2:E3)</f>
        <v>0</v>
      </c>
      <c r="F8" s="1">
        <f>MIN(F2:F3)</f>
        <v>0</v>
      </c>
      <c r="G8" s="1">
        <f>MIN(G2:G3)</f>
        <v>0</v>
      </c>
      <c r="H8" s="1">
        <f>MIN(H2:H3)</f>
        <v>0</v>
      </c>
      <c r="I8" s="1">
        <f>MIN(I2:I3)</f>
        <v>10</v>
      </c>
      <c r="J8" s="1">
        <f>MIN(J2:J3)</f>
        <v>0</v>
      </c>
      <c r="K8" s="1">
        <f>MIN(K2:K3)</f>
        <v>0</v>
      </c>
      <c r="L8" s="1">
        <f>MIN(L2:L3)</f>
        <v>0</v>
      </c>
      <c r="M8" s="1">
        <f>MIN(M2:M3)</f>
        <v>0</v>
      </c>
      <c r="N8" s="1">
        <f>MIN(N2:N3)</f>
        <v>0</v>
      </c>
      <c r="O8" s="1">
        <f>MIN(O2:O3)</f>
        <v>0</v>
      </c>
      <c r="P8" s="1">
        <f>MIN(P2:P3)</f>
        <v>0</v>
      </c>
      <c r="Q8" s="1">
        <f>MIN(Q2:Q3)</f>
        <v>0</v>
      </c>
      <c r="R8" s="1">
        <f>MIN(R2:R3)</f>
        <v>10</v>
      </c>
      <c r="S8" s="1">
        <f>MIN(S2:S3)</f>
        <v>0</v>
      </c>
      <c r="T8" s="1">
        <f>MIN(T2:T3)</f>
        <v>0</v>
      </c>
      <c r="U8" s="1">
        <f>MIN(U2:U3)</f>
        <v>0</v>
      </c>
      <c r="V8" s="1">
        <f>MIN(V2:V3)</f>
        <v>0</v>
      </c>
      <c r="W8" s="1">
        <f>MIN(W2:W3)</f>
        <v>0</v>
      </c>
      <c r="X8" s="1">
        <f>MIN(X2:X3)</f>
        <v>10</v>
      </c>
      <c r="Y8" s="1">
        <f>MIN(Y2:Y3)</f>
        <v>0</v>
      </c>
      <c r="Z8" s="1">
        <f>MIN(Z2:Z3)</f>
        <v>0</v>
      </c>
      <c r="AA8" s="1">
        <f>MIN(AA2:AA3)</f>
        <v>0</v>
      </c>
      <c r="AB8" s="1">
        <f>MIN(AB2:AB3)</f>
        <v>0</v>
      </c>
      <c r="AC8" s="1">
        <f>MIN(AC2:AC3)</f>
        <v>0</v>
      </c>
      <c r="AD8" s="1">
        <f>MIN(AD2:AD3)</f>
        <v>0</v>
      </c>
      <c r="AE8" s="1">
        <f>MIN(AE2:AE3)</f>
        <v>0</v>
      </c>
      <c r="AF8" s="1">
        <f>MIN(AF2:AF3)</f>
        <v>0</v>
      </c>
      <c r="AG8" s="1">
        <f>MIN(AG2:AG3)</f>
        <v>0</v>
      </c>
      <c r="AH8" s="1">
        <f>MIN(AH2:AH3)</f>
        <v>0</v>
      </c>
      <c r="AI8" s="1">
        <f>MIN(AI2:AI3)</f>
        <v>0</v>
      </c>
      <c r="AJ8" s="1">
        <f>MIN(AJ2:AJ3)</f>
        <v>0</v>
      </c>
      <c r="AK8" s="1">
        <f>MIN(AK2:AK3)</f>
        <v>0</v>
      </c>
      <c r="AL8" s="1">
        <f>MIN(AL2:AL3)</f>
        <v>0</v>
      </c>
      <c r="AM8" s="1">
        <f>MIN(AM2:AM3)</f>
        <v>0</v>
      </c>
      <c r="AN8" s="1">
        <f>MIN(AN2:AN3)</f>
        <v>0</v>
      </c>
      <c r="AO8" s="1">
        <f>MIN(AO2:AO3)</f>
        <v>0</v>
      </c>
      <c r="AP8" s="1">
        <f>MIN(AP2:AP3)</f>
        <v>0</v>
      </c>
      <c r="AQ8" s="1">
        <f>MIN(AQ2:AQ3)</f>
        <v>0</v>
      </c>
      <c r="AR8" s="1">
        <f>MIN(AR2:AR3)</f>
        <v>0</v>
      </c>
      <c r="AS8" s="1">
        <f>MIN(AS2:AS3)</f>
        <v>0</v>
      </c>
      <c r="AT8" s="1">
        <f>MIN(AT2:AT3)</f>
        <v>10</v>
      </c>
      <c r="AU8" s="1">
        <f>MIN(AU2:AU3)</f>
        <v>0</v>
      </c>
      <c r="AV8" s="1">
        <f>MIN(AV2:AV3)</f>
        <v>0</v>
      </c>
      <c r="AW8" s="1">
        <f>MIN(AW2:AW3)</f>
        <v>20</v>
      </c>
      <c r="AX8" s="1">
        <f>MIN(AX2:AX3)</f>
        <v>20</v>
      </c>
      <c r="AY8" s="1">
        <f>MIN(AY2:AY3)</f>
        <v>0</v>
      </c>
      <c r="AZ8" s="1">
        <f>MIN(AZ2:AZ3)</f>
        <v>0</v>
      </c>
      <c r="BA8" s="1">
        <f>MIN(BA2:BA3)</f>
        <v>0</v>
      </c>
      <c r="BB8" s="1">
        <f>MIN(BB2:BB3)</f>
        <v>10</v>
      </c>
      <c r="BC8" s="1">
        <f>MIN(BC2:BC3)</f>
        <v>0</v>
      </c>
      <c r="BD8" s="1">
        <f>MIN(BD2:BD3)</f>
        <v>0</v>
      </c>
      <c r="BE8" s="1">
        <f>MIN(BE2:BE3)</f>
        <v>0</v>
      </c>
      <c r="BF8" s="1">
        <f>MIN(BF2:BF3)</f>
        <v>0</v>
      </c>
      <c r="BG8" s="1">
        <f>MIN(BG2:BG3)</f>
        <v>0</v>
      </c>
      <c r="BH8" s="1">
        <f>MIN(BH2:BH3)</f>
        <v>20</v>
      </c>
      <c r="BI8" s="1">
        <f>MIN(BI2:BI3)</f>
        <v>0</v>
      </c>
      <c r="BJ8" s="1">
        <f>MIN(BJ2:BJ3)</f>
        <v>0</v>
      </c>
      <c r="BK8" s="1">
        <f>MIN(BK2:BK3)</f>
        <v>0</v>
      </c>
      <c r="BL8" s="1">
        <f>MIN(BL2:BL3)</f>
        <v>0</v>
      </c>
      <c r="BM8" s="1">
        <f>MIN(BM2:BM3)</f>
        <v>0</v>
      </c>
      <c r="BN8" s="1">
        <f>MIN(BN2:BN3)</f>
        <v>0</v>
      </c>
      <c r="BO8" s="1">
        <f>MIN(BO2:BO3)</f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167</v>
      </c>
      <c r="C9" s="1"/>
      <c r="D9" s="1"/>
      <c r="E9" s="1">
        <f t="shared" ref="E9:AJ9" si="3">E5-E7</f>
        <v>43</v>
      </c>
      <c r="F9" s="1">
        <f t="shared" si="3"/>
        <v>23</v>
      </c>
      <c r="G9" s="1">
        <f t="shared" si="3"/>
        <v>21</v>
      </c>
      <c r="H9" s="1">
        <f t="shared" si="3"/>
        <v>0</v>
      </c>
      <c r="I9" s="1">
        <f t="shared" si="3"/>
        <v>58</v>
      </c>
      <c r="J9" s="1">
        <f t="shared" si="3"/>
        <v>82</v>
      </c>
      <c r="K9" s="1">
        <f t="shared" si="3"/>
        <v>53</v>
      </c>
      <c r="L9" s="1">
        <f t="shared" si="3"/>
        <v>80</v>
      </c>
      <c r="M9" s="1">
        <f t="shared" si="3"/>
        <v>54</v>
      </c>
      <c r="N9" s="1">
        <f t="shared" si="3"/>
        <v>64</v>
      </c>
      <c r="O9" s="1">
        <f t="shared" si="3"/>
        <v>41</v>
      </c>
      <c r="P9" s="1">
        <f t="shared" si="3"/>
        <v>34</v>
      </c>
      <c r="Q9" s="1">
        <f t="shared" si="3"/>
        <v>3</v>
      </c>
      <c r="R9" s="1">
        <f t="shared" si="3"/>
        <v>-6</v>
      </c>
      <c r="S9" s="1">
        <f t="shared" si="3"/>
        <v>24</v>
      </c>
      <c r="T9" s="1">
        <f t="shared" si="3"/>
        <v>15</v>
      </c>
      <c r="U9" s="1">
        <f t="shared" si="3"/>
        <v>3</v>
      </c>
      <c r="V9" s="1">
        <f t="shared" si="3"/>
        <v>16</v>
      </c>
      <c r="W9" s="1">
        <f t="shared" si="3"/>
        <v>4</v>
      </c>
      <c r="X9" s="1">
        <f t="shared" si="3"/>
        <v>-2</v>
      </c>
      <c r="Y9" s="1">
        <f t="shared" si="3"/>
        <v>20</v>
      </c>
      <c r="Z9" s="1">
        <f t="shared" si="3"/>
        <v>6</v>
      </c>
      <c r="AA9" s="1">
        <f t="shared" si="3"/>
        <v>3</v>
      </c>
      <c r="AB9" s="1">
        <f t="shared" si="3"/>
        <v>23</v>
      </c>
      <c r="AC9" s="1">
        <f t="shared" si="3"/>
        <v>4</v>
      </c>
      <c r="AD9" s="1">
        <f t="shared" si="3"/>
        <v>8</v>
      </c>
      <c r="AE9" s="1">
        <f t="shared" si="3"/>
        <v>6</v>
      </c>
      <c r="AF9" s="1">
        <f t="shared" si="3"/>
        <v>0</v>
      </c>
      <c r="AG9" s="1">
        <f t="shared" si="3"/>
        <v>0</v>
      </c>
      <c r="AH9" s="1">
        <f t="shared" si="3"/>
        <v>0</v>
      </c>
      <c r="AI9" s="1">
        <f t="shared" si="3"/>
        <v>0</v>
      </c>
      <c r="AJ9" s="1">
        <f t="shared" si="3"/>
        <v>0</v>
      </c>
      <c r="AK9" s="1">
        <f t="shared" ref="AK9:BO9" si="4">AK5-AK7</f>
        <v>33</v>
      </c>
      <c r="AL9" s="1">
        <f t="shared" si="4"/>
        <v>43</v>
      </c>
      <c r="AM9" s="1">
        <f t="shared" si="4"/>
        <v>5</v>
      </c>
      <c r="AN9" s="1">
        <f t="shared" si="4"/>
        <v>1</v>
      </c>
      <c r="AO9" s="1">
        <f t="shared" si="4"/>
        <v>0</v>
      </c>
      <c r="AP9" s="1">
        <f t="shared" si="4"/>
        <v>0</v>
      </c>
      <c r="AQ9" s="1">
        <f t="shared" si="4"/>
        <v>3</v>
      </c>
      <c r="AR9" s="1">
        <f t="shared" si="4"/>
        <v>6</v>
      </c>
      <c r="AS9" s="1">
        <f t="shared" si="4"/>
        <v>4</v>
      </c>
      <c r="AT9" s="1">
        <f t="shared" si="4"/>
        <v>0</v>
      </c>
      <c r="AU9" s="1">
        <f t="shared" si="4"/>
        <v>27</v>
      </c>
      <c r="AV9" s="1">
        <f t="shared" si="4"/>
        <v>20</v>
      </c>
      <c r="AW9" s="1">
        <f t="shared" si="4"/>
        <v>-4</v>
      </c>
      <c r="AX9" s="1">
        <f t="shared" si="4"/>
        <v>3</v>
      </c>
      <c r="AY9" s="1">
        <f t="shared" si="4"/>
        <v>32</v>
      </c>
      <c r="AZ9" s="1">
        <f t="shared" si="4"/>
        <v>15</v>
      </c>
      <c r="BA9" s="1">
        <f t="shared" si="4"/>
        <v>4</v>
      </c>
      <c r="BB9" s="1">
        <f t="shared" si="4"/>
        <v>13</v>
      </c>
      <c r="BC9" s="1">
        <f t="shared" si="4"/>
        <v>12</v>
      </c>
      <c r="BD9" s="1">
        <f t="shared" si="4"/>
        <v>162</v>
      </c>
      <c r="BE9" s="1">
        <f t="shared" si="4"/>
        <v>244</v>
      </c>
      <c r="BF9" s="1">
        <f t="shared" si="4"/>
        <v>233</v>
      </c>
      <c r="BG9" s="1">
        <f t="shared" si="4"/>
        <v>242</v>
      </c>
      <c r="BH9" s="1">
        <f t="shared" si="4"/>
        <v>121</v>
      </c>
      <c r="BI9" s="1">
        <f t="shared" si="4"/>
        <v>154</v>
      </c>
      <c r="BJ9" s="1">
        <f t="shared" si="4"/>
        <v>56</v>
      </c>
      <c r="BK9" s="1">
        <f t="shared" si="4"/>
        <v>65</v>
      </c>
      <c r="BL9" s="1">
        <f t="shared" si="4"/>
        <v>93</v>
      </c>
      <c r="BM9" s="1">
        <f t="shared" si="4"/>
        <v>8</v>
      </c>
      <c r="BN9" s="1">
        <f t="shared" si="4"/>
        <v>5</v>
      </c>
      <c r="BO9" s="1">
        <f t="shared" si="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168</v>
      </c>
      <c r="C10" s="1"/>
      <c r="D10" s="1"/>
      <c r="E10" s="1">
        <f t="shared" ref="E10:AJ10" si="5">E5-E8</f>
        <v>43</v>
      </c>
      <c r="F10" s="1">
        <f t="shared" si="5"/>
        <v>23</v>
      </c>
      <c r="G10" s="1">
        <f t="shared" si="5"/>
        <v>21</v>
      </c>
      <c r="H10" s="1">
        <f t="shared" si="5"/>
        <v>0</v>
      </c>
      <c r="I10" s="1">
        <f t="shared" si="5"/>
        <v>58</v>
      </c>
      <c r="J10" s="1">
        <f t="shared" si="5"/>
        <v>82</v>
      </c>
      <c r="K10" s="1">
        <f t="shared" si="5"/>
        <v>53</v>
      </c>
      <c r="L10" s="1">
        <f t="shared" si="5"/>
        <v>80</v>
      </c>
      <c r="M10" s="1">
        <f t="shared" si="5"/>
        <v>54</v>
      </c>
      <c r="N10" s="1">
        <f t="shared" si="5"/>
        <v>64</v>
      </c>
      <c r="O10" s="1">
        <f t="shared" si="5"/>
        <v>41</v>
      </c>
      <c r="P10" s="1">
        <f t="shared" si="5"/>
        <v>34</v>
      </c>
      <c r="Q10" s="1">
        <f t="shared" si="5"/>
        <v>3</v>
      </c>
      <c r="R10" s="1">
        <f t="shared" si="5"/>
        <v>-6</v>
      </c>
      <c r="S10" s="1">
        <f t="shared" si="5"/>
        <v>24</v>
      </c>
      <c r="T10" s="1">
        <f t="shared" si="5"/>
        <v>15</v>
      </c>
      <c r="U10" s="1">
        <f t="shared" si="5"/>
        <v>3</v>
      </c>
      <c r="V10" s="1">
        <f t="shared" si="5"/>
        <v>16</v>
      </c>
      <c r="W10" s="1">
        <f t="shared" si="5"/>
        <v>4</v>
      </c>
      <c r="X10" s="1">
        <f t="shared" si="5"/>
        <v>-2</v>
      </c>
      <c r="Y10" s="1">
        <f t="shared" si="5"/>
        <v>20</v>
      </c>
      <c r="Z10" s="1">
        <f t="shared" si="5"/>
        <v>6</v>
      </c>
      <c r="AA10" s="1">
        <f t="shared" si="5"/>
        <v>3</v>
      </c>
      <c r="AB10" s="1">
        <f t="shared" si="5"/>
        <v>23</v>
      </c>
      <c r="AC10" s="1">
        <f t="shared" si="5"/>
        <v>4</v>
      </c>
      <c r="AD10" s="1">
        <f t="shared" si="5"/>
        <v>8</v>
      </c>
      <c r="AE10" s="1">
        <f t="shared" si="5"/>
        <v>6</v>
      </c>
      <c r="AF10" s="1">
        <f t="shared" si="5"/>
        <v>0</v>
      </c>
      <c r="AG10" s="1">
        <f t="shared" si="5"/>
        <v>0</v>
      </c>
      <c r="AH10" s="1">
        <f t="shared" si="5"/>
        <v>0</v>
      </c>
      <c r="AI10" s="1">
        <f t="shared" si="5"/>
        <v>0</v>
      </c>
      <c r="AJ10" s="1">
        <f t="shared" si="5"/>
        <v>0</v>
      </c>
      <c r="AK10" s="1">
        <f t="shared" ref="AK10:BO10" si="6">AK5-AK8</f>
        <v>33</v>
      </c>
      <c r="AL10" s="1">
        <f t="shared" si="6"/>
        <v>43</v>
      </c>
      <c r="AM10" s="1">
        <f t="shared" si="6"/>
        <v>5</v>
      </c>
      <c r="AN10" s="1">
        <f t="shared" si="6"/>
        <v>1</v>
      </c>
      <c r="AO10" s="1">
        <f t="shared" si="6"/>
        <v>0</v>
      </c>
      <c r="AP10" s="1">
        <f t="shared" si="6"/>
        <v>0</v>
      </c>
      <c r="AQ10" s="1">
        <f t="shared" si="6"/>
        <v>3</v>
      </c>
      <c r="AR10" s="1">
        <f t="shared" si="6"/>
        <v>6</v>
      </c>
      <c r="AS10" s="1">
        <f t="shared" si="6"/>
        <v>4</v>
      </c>
      <c r="AT10" s="1">
        <f t="shared" si="6"/>
        <v>10</v>
      </c>
      <c r="AU10" s="1">
        <f t="shared" si="6"/>
        <v>27</v>
      </c>
      <c r="AV10" s="1">
        <f t="shared" si="6"/>
        <v>20</v>
      </c>
      <c r="AW10" s="1">
        <f t="shared" si="6"/>
        <v>-4</v>
      </c>
      <c r="AX10" s="1">
        <f t="shared" si="6"/>
        <v>3</v>
      </c>
      <c r="AY10" s="1">
        <f t="shared" si="6"/>
        <v>32</v>
      </c>
      <c r="AZ10" s="1">
        <f t="shared" si="6"/>
        <v>15</v>
      </c>
      <c r="BA10" s="1">
        <f t="shared" si="6"/>
        <v>4</v>
      </c>
      <c r="BB10" s="1">
        <f t="shared" si="6"/>
        <v>13</v>
      </c>
      <c r="BC10" s="1">
        <f t="shared" si="6"/>
        <v>12</v>
      </c>
      <c r="BD10" s="1">
        <f t="shared" si="6"/>
        <v>162</v>
      </c>
      <c r="BE10" s="1">
        <f t="shared" si="6"/>
        <v>244</v>
      </c>
      <c r="BF10" s="1">
        <f t="shared" si="6"/>
        <v>233</v>
      </c>
      <c r="BG10" s="1">
        <f t="shared" si="6"/>
        <v>242</v>
      </c>
      <c r="BH10" s="1">
        <f t="shared" si="6"/>
        <v>121</v>
      </c>
      <c r="BI10" s="1">
        <f t="shared" si="6"/>
        <v>154</v>
      </c>
      <c r="BJ10" s="1">
        <f t="shared" si="6"/>
        <v>56</v>
      </c>
      <c r="BK10" s="1">
        <f t="shared" si="6"/>
        <v>65</v>
      </c>
      <c r="BL10" s="1">
        <f t="shared" si="6"/>
        <v>93</v>
      </c>
      <c r="BM10" s="1">
        <f t="shared" si="6"/>
        <v>8</v>
      </c>
      <c r="BN10" s="1">
        <f t="shared" si="6"/>
        <v>5</v>
      </c>
      <c r="BO10" s="1">
        <f t="shared" si="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205</v>
      </c>
      <c r="AQ11" s="7" t="s">
        <v>194</v>
      </c>
      <c r="AR11" s="7" t="s">
        <v>197</v>
      </c>
      <c r="AS11" s="7" t="s">
        <v>198</v>
      </c>
      <c r="AT11" s="7" t="s">
        <v>195</v>
      </c>
      <c r="AU11" s="7" t="s">
        <v>196</v>
      </c>
      <c r="AV11" s="7" t="s">
        <v>193</v>
      </c>
      <c r="AW11" s="7" t="s">
        <v>199</v>
      </c>
      <c r="AX11" s="7" t="s">
        <v>200</v>
      </c>
      <c r="AY11" s="7" t="s">
        <v>201</v>
      </c>
      <c r="AZ11" s="7" t="s">
        <v>202</v>
      </c>
      <c r="BA11" s="7" t="s">
        <v>203</v>
      </c>
      <c r="BB11" s="7" t="s">
        <v>204</v>
      </c>
    </row>
    <row r="12" spans="1:97">
      <c r="R12" s="7" t="s">
        <v>206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73</v>
      </c>
      <c r="B1" s="5" t="s">
        <v>70</v>
      </c>
      <c r="C1" s="5" t="s">
        <v>74</v>
      </c>
    </row>
    <row r="2" spans="1:3">
      <c r="A2" s="1">
        <v>10</v>
      </c>
      <c r="B2" s="2" t="s">
        <v>11</v>
      </c>
      <c r="C2" s="1">
        <v>190</v>
      </c>
    </row>
    <row r="3" spans="1:3">
      <c r="A3" s="1">
        <v>12</v>
      </c>
      <c r="B3" s="2" t="s">
        <v>45</v>
      </c>
      <c r="C3" s="1">
        <v>120</v>
      </c>
    </row>
    <row r="4" spans="1:3">
      <c r="A4" s="1">
        <v>4</v>
      </c>
      <c r="B4" s="4" t="s">
        <v>46</v>
      </c>
      <c r="C4" s="1">
        <v>85</v>
      </c>
    </row>
    <row r="5" spans="1:3">
      <c r="A5" s="1">
        <v>3</v>
      </c>
      <c r="B5" s="4" t="s">
        <v>38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26</v>
      </c>
      <c r="C10" s="1">
        <v>45</v>
      </c>
    </row>
    <row r="11" spans="1:3">
      <c r="A11" s="1">
        <v>5</v>
      </c>
      <c r="B11" s="4" t="s">
        <v>52</v>
      </c>
      <c r="C11" s="1">
        <v>45</v>
      </c>
    </row>
    <row r="12" spans="1:3">
      <c r="A12" s="1">
        <v>11</v>
      </c>
      <c r="B12" s="2" t="s">
        <v>39</v>
      </c>
      <c r="C12" s="1">
        <v>10</v>
      </c>
    </row>
    <row r="13" spans="1:3">
      <c r="A13" s="1">
        <v>6</v>
      </c>
      <c r="B13" s="4" t="s">
        <v>55</v>
      </c>
      <c r="C13" s="1">
        <v>8</v>
      </c>
    </row>
    <row r="19" spans="3:18">
      <c r="G19" s="10" t="s">
        <v>38</v>
      </c>
      <c r="H19" s="10" t="s">
        <v>4</v>
      </c>
      <c r="I19" s="10" t="s">
        <v>26</v>
      </c>
      <c r="J19" s="10" t="s">
        <v>52</v>
      </c>
      <c r="K19" s="10" t="s">
        <v>55</v>
      </c>
      <c r="L19" s="10" t="s">
        <v>46</v>
      </c>
      <c r="M19" s="11" t="s">
        <v>5</v>
      </c>
      <c r="N19" s="11" t="s">
        <v>6</v>
      </c>
      <c r="O19" s="11" t="s">
        <v>39</v>
      </c>
      <c r="P19" s="11" t="s">
        <v>7</v>
      </c>
      <c r="Q19" s="11" t="s">
        <v>45</v>
      </c>
      <c r="R19" s="11" t="s">
        <v>11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169</v>
      </c>
      <c r="D27" t="s">
        <v>170</v>
      </c>
      <c r="E27" t="s">
        <v>171</v>
      </c>
      <c r="F27" t="s">
        <v>172</v>
      </c>
      <c r="G27" t="s">
        <v>173</v>
      </c>
      <c r="H27" t="s">
        <v>174</v>
      </c>
      <c r="I27" t="s">
        <v>175</v>
      </c>
      <c r="J27" t="s">
        <v>176</v>
      </c>
      <c r="K27" t="s">
        <v>177</v>
      </c>
      <c r="L27" t="s">
        <v>178</v>
      </c>
      <c r="M27" t="s">
        <v>179</v>
      </c>
      <c r="N27" t="s">
        <v>180</v>
      </c>
    </row>
    <row r="31" spans="3:18">
      <c r="C31">
        <v>-3</v>
      </c>
      <c r="D31" t="s">
        <v>169</v>
      </c>
    </row>
    <row r="32" spans="3:18">
      <c r="C32">
        <v>-8</v>
      </c>
      <c r="D32" t="s">
        <v>170</v>
      </c>
    </row>
    <row r="33" spans="3:4">
      <c r="C33">
        <v>-3</v>
      </c>
      <c r="D33" t="s">
        <v>171</v>
      </c>
    </row>
    <row r="34" spans="3:4">
      <c r="C34">
        <v>1</v>
      </c>
      <c r="D34" t="s">
        <v>172</v>
      </c>
    </row>
    <row r="35" spans="3:4">
      <c r="C35">
        <v>3</v>
      </c>
      <c r="D35" t="s">
        <v>173</v>
      </c>
    </row>
    <row r="36" spans="3:4">
      <c r="C36">
        <v>0</v>
      </c>
      <c r="D36" t="s">
        <v>174</v>
      </c>
    </row>
    <row r="37" spans="3:4">
      <c r="C37">
        <v>-3</v>
      </c>
      <c r="D37" t="s">
        <v>175</v>
      </c>
    </row>
    <row r="38" spans="3:4">
      <c r="C38">
        <v>30</v>
      </c>
      <c r="D38" t="s">
        <v>176</v>
      </c>
    </row>
    <row r="39" spans="3:4">
      <c r="C39">
        <v>5</v>
      </c>
      <c r="D39" t="s">
        <v>177</v>
      </c>
    </row>
    <row r="40" spans="3:4">
      <c r="C40">
        <v>-10</v>
      </c>
      <c r="D40" t="s">
        <v>178</v>
      </c>
    </row>
    <row r="41" spans="3:4">
      <c r="C41">
        <v>3</v>
      </c>
      <c r="D41" t="s">
        <v>179</v>
      </c>
    </row>
    <row r="42" spans="3:4">
      <c r="C42">
        <v>138</v>
      </c>
      <c r="D42" t="s">
        <v>180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79</v>
      </c>
      <c r="B1" s="8" t="s">
        <v>80</v>
      </c>
      <c r="C1" s="8" t="s">
        <v>81</v>
      </c>
    </row>
    <row r="2" spans="1:3">
      <c r="A2" s="1">
        <v>5</v>
      </c>
      <c r="B2" s="10" t="s">
        <v>55</v>
      </c>
      <c r="C2" s="1">
        <v>0</v>
      </c>
    </row>
    <row r="3" spans="1:3">
      <c r="A3" s="1">
        <v>9</v>
      </c>
      <c r="B3" s="11" t="s">
        <v>39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52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11</v>
      </c>
      <c r="C7" s="1">
        <v>3</v>
      </c>
    </row>
    <row r="8" spans="1:3">
      <c r="A8" s="1">
        <v>1</v>
      </c>
      <c r="B8" s="10" t="s">
        <v>38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26</v>
      </c>
      <c r="C11" s="1">
        <v>5</v>
      </c>
    </row>
    <row r="12" spans="1:3">
      <c r="A12" s="1">
        <v>11</v>
      </c>
      <c r="B12" s="11" t="s">
        <v>45</v>
      </c>
      <c r="C12" s="1">
        <v>5</v>
      </c>
    </row>
    <row r="13" spans="1:3">
      <c r="A13" s="1">
        <v>6</v>
      </c>
      <c r="B13" s="10" t="s">
        <v>46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J23"/>
  <sheetViews>
    <sheetView workbookViewId="0">
      <selection activeCell="I24" sqref="I24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248</v>
      </c>
      <c r="F3" t="s">
        <v>249</v>
      </c>
      <c r="G3" t="s">
        <v>250</v>
      </c>
      <c r="H3" t="s">
        <v>251</v>
      </c>
      <c r="I3" t="s">
        <v>252</v>
      </c>
      <c r="J3" t="s">
        <v>253</v>
      </c>
    </row>
    <row r="4" spans="3:10">
      <c r="C4" s="68" t="s">
        <v>254</v>
      </c>
      <c r="D4" t="s">
        <v>255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68" t="s">
        <v>256</v>
      </c>
      <c r="D5" t="s">
        <v>257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68" t="s">
        <v>258</v>
      </c>
      <c r="D6" t="s">
        <v>257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68" t="s">
        <v>259</v>
      </c>
      <c r="D7" t="s">
        <v>257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260</v>
      </c>
      <c r="D8" t="s">
        <v>261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68" t="s">
        <v>262</v>
      </c>
      <c r="D9" t="s">
        <v>261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68" t="s">
        <v>263</v>
      </c>
      <c r="D10" t="s">
        <v>261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68" t="s">
        <v>266</v>
      </c>
      <c r="D11" t="s">
        <v>257</v>
      </c>
      <c r="E11" s="69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264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264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264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264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265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4:10">
      <c r="D17" t="s">
        <v>261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4:10">
      <c r="D18" t="s">
        <v>261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4:10">
      <c r="D19" t="s">
        <v>261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4:10">
      <c r="E20">
        <f>SUM(E4:E11)</f>
        <v>710</v>
      </c>
      <c r="I20">
        <f>SUM(I4:I11)</f>
        <v>450</v>
      </c>
    </row>
    <row r="21" spans="4:10">
      <c r="E21">
        <f>-E20/2*7</f>
        <v>-2485</v>
      </c>
      <c r="I21">
        <f>-I20/2*7</f>
        <v>-1575</v>
      </c>
    </row>
    <row r="22" spans="4:10">
      <c r="I22">
        <v>200</v>
      </c>
    </row>
    <row r="23" spans="4:10">
      <c r="I23">
        <f>267*0.6</f>
        <v>160.19999999999999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2020-04-21T05:39:57Z</dcterms:modified>
</cp:coreProperties>
</file>