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Sheet1!$A$1:$BV$127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15" i="1" l="1"/>
  <c r="BV115" i="1"/>
  <c r="BU100" i="1"/>
  <c r="BV100" i="1"/>
  <c r="BQ100" i="1"/>
  <c r="BQ115" i="1"/>
  <c r="BU102" i="1" l="1"/>
  <c r="BV102" i="1"/>
  <c r="BQ102" i="1"/>
  <c r="BU107" i="1" l="1"/>
  <c r="BV107" i="1"/>
  <c r="BU12" i="1"/>
  <c r="BV12" i="1"/>
  <c r="BU95" i="1"/>
  <c r="BV95" i="1"/>
  <c r="BU104" i="1"/>
  <c r="BV104" i="1"/>
  <c r="BU110" i="1"/>
  <c r="BV110" i="1"/>
  <c r="BQ107" i="1"/>
  <c r="BQ12" i="1"/>
  <c r="BQ95" i="1"/>
  <c r="BQ104" i="1"/>
  <c r="BQ110" i="1"/>
  <c r="BU13" i="1" l="1"/>
  <c r="BV13" i="1"/>
  <c r="BU14" i="1"/>
  <c r="BV14" i="1"/>
  <c r="BU57" i="1"/>
  <c r="BV57" i="1"/>
  <c r="BU58" i="1"/>
  <c r="BV58" i="1"/>
  <c r="BU64" i="1"/>
  <c r="BV64" i="1"/>
  <c r="BU65" i="1"/>
  <c r="BV65" i="1"/>
  <c r="BU70" i="1"/>
  <c r="BV70" i="1"/>
  <c r="BU71" i="1"/>
  <c r="BV71" i="1"/>
  <c r="BU25" i="1"/>
  <c r="BV25" i="1"/>
  <c r="BU15" i="1"/>
  <c r="BV15" i="1"/>
  <c r="BU66" i="1"/>
  <c r="BV66" i="1"/>
  <c r="BU19" i="1"/>
  <c r="BV19" i="1"/>
  <c r="BU59" i="1"/>
  <c r="BV59" i="1"/>
  <c r="BU73" i="1"/>
  <c r="BV73" i="1"/>
  <c r="BU60" i="1"/>
  <c r="BV60" i="1"/>
  <c r="BU67" i="1"/>
  <c r="BV67" i="1"/>
  <c r="BU35" i="1"/>
  <c r="BV35" i="1"/>
  <c r="BU36" i="1"/>
  <c r="BV36" i="1"/>
  <c r="BU38" i="1"/>
  <c r="BV38" i="1"/>
  <c r="BU3" i="1"/>
  <c r="BV3" i="1"/>
  <c r="BU4" i="1"/>
  <c r="BV4" i="1"/>
  <c r="BU5" i="1"/>
  <c r="BV5" i="1"/>
  <c r="BU6" i="1"/>
  <c r="BV6" i="1"/>
  <c r="BU7" i="1"/>
  <c r="BV7" i="1"/>
  <c r="BU105" i="1"/>
  <c r="BV105" i="1"/>
  <c r="BU8" i="1"/>
  <c r="BV8" i="1"/>
  <c r="BU9" i="1"/>
  <c r="BV9" i="1"/>
  <c r="BU106" i="1"/>
  <c r="BV106" i="1"/>
  <c r="BU26" i="1"/>
  <c r="BV26" i="1"/>
  <c r="BU27" i="1"/>
  <c r="BV27" i="1"/>
  <c r="BU28" i="1"/>
  <c r="BV28" i="1"/>
  <c r="BU29" i="1"/>
  <c r="BV29" i="1"/>
  <c r="BU30" i="1"/>
  <c r="BV30" i="1"/>
  <c r="BU117" i="1"/>
  <c r="BV117" i="1"/>
  <c r="BU68" i="1"/>
  <c r="BV68" i="1"/>
  <c r="BU69" i="1"/>
  <c r="BV69" i="1"/>
  <c r="BU118" i="1"/>
  <c r="BV118" i="1"/>
  <c r="BU92" i="1"/>
  <c r="BV92" i="1"/>
  <c r="BU93" i="1"/>
  <c r="BV93" i="1"/>
  <c r="BU94" i="1"/>
  <c r="BV94" i="1"/>
  <c r="BU103" i="1"/>
  <c r="BV103" i="1"/>
  <c r="BU56" i="1"/>
  <c r="BV56" i="1"/>
  <c r="BU11" i="1"/>
  <c r="BV11" i="1"/>
  <c r="BU61" i="1"/>
  <c r="BV61" i="1"/>
  <c r="BU101" i="1"/>
  <c r="BV101" i="1"/>
  <c r="BU77" i="1"/>
  <c r="BV77" i="1"/>
  <c r="BU78" i="1"/>
  <c r="BV78" i="1"/>
  <c r="BU79" i="1"/>
  <c r="BV79" i="1"/>
  <c r="BU80" i="1"/>
  <c r="BV80" i="1"/>
  <c r="BU81" i="1"/>
  <c r="BV81" i="1"/>
  <c r="BU82" i="1"/>
  <c r="BV82" i="1"/>
  <c r="BU10" i="1"/>
  <c r="BV10" i="1"/>
  <c r="BU37" i="1"/>
  <c r="BV37" i="1"/>
  <c r="BU16" i="1"/>
  <c r="BV16" i="1"/>
  <c r="BU83" i="1"/>
  <c r="BV83" i="1"/>
  <c r="BU31" i="1"/>
  <c r="BV31" i="1"/>
  <c r="BU32" i="1"/>
  <c r="BV32" i="1"/>
  <c r="BU33" i="1"/>
  <c r="BV33" i="1"/>
  <c r="BU34" i="1"/>
  <c r="BV34" i="1"/>
  <c r="BU46" i="1"/>
  <c r="BV46" i="1"/>
  <c r="BU96" i="1"/>
  <c r="BV96" i="1"/>
  <c r="BU111" i="1"/>
  <c r="BV111" i="1"/>
  <c r="BU112" i="1"/>
  <c r="BV112" i="1"/>
  <c r="BU113" i="1"/>
  <c r="BV113" i="1"/>
  <c r="BU114" i="1"/>
  <c r="BV114" i="1"/>
  <c r="BU116" i="1"/>
  <c r="BV116" i="1"/>
  <c r="BU85" i="1"/>
  <c r="BV85" i="1"/>
  <c r="BU44" i="1"/>
  <c r="BV44" i="1"/>
  <c r="BU87" i="1"/>
  <c r="BV87" i="1"/>
  <c r="BU54" i="1"/>
  <c r="BV54" i="1"/>
  <c r="BU55" i="1"/>
  <c r="BV55" i="1"/>
  <c r="BU62" i="1"/>
  <c r="BV62" i="1"/>
  <c r="BU63" i="1"/>
  <c r="BV63" i="1"/>
  <c r="BU17" i="1"/>
  <c r="BV17" i="1"/>
  <c r="BU18" i="1"/>
  <c r="BV18" i="1"/>
  <c r="BU20" i="1"/>
  <c r="BV20" i="1"/>
  <c r="BU21" i="1"/>
  <c r="BV21" i="1"/>
  <c r="BU22" i="1"/>
  <c r="BV22" i="1"/>
  <c r="BU23" i="1"/>
  <c r="BV23" i="1"/>
  <c r="BU24" i="1"/>
  <c r="BV24" i="1"/>
  <c r="BU84" i="1"/>
  <c r="BV84" i="1"/>
  <c r="BU72" i="1"/>
  <c r="BV72" i="1"/>
  <c r="BU74" i="1"/>
  <c r="BV74" i="1"/>
  <c r="BU75" i="1"/>
  <c r="BV75" i="1"/>
  <c r="BU39" i="1"/>
  <c r="BV39" i="1"/>
  <c r="BU40" i="1"/>
  <c r="BV40" i="1"/>
  <c r="BU41" i="1"/>
  <c r="BV41" i="1"/>
  <c r="BU42" i="1"/>
  <c r="BV42" i="1"/>
  <c r="BU43" i="1"/>
  <c r="BV43" i="1"/>
  <c r="BU86" i="1"/>
  <c r="BV86" i="1"/>
  <c r="BU97" i="1"/>
  <c r="BV97" i="1"/>
  <c r="BU99" i="1"/>
  <c r="BV99" i="1"/>
  <c r="BU98" i="1"/>
  <c r="BV98" i="1"/>
  <c r="BU45" i="1"/>
  <c r="BV45" i="1"/>
  <c r="BU90" i="1"/>
  <c r="BV90" i="1"/>
  <c r="BQ90" i="1"/>
  <c r="BQ101" i="1"/>
  <c r="BQ43" i="1"/>
  <c r="BQ45" i="1"/>
  <c r="BQ61" i="1" l="1"/>
  <c r="BQ84" i="1"/>
  <c r="BQ35" i="1" l="1"/>
  <c r="BQ36" i="1"/>
  <c r="BD124" i="1"/>
  <c r="BD126" i="1" s="1"/>
  <c r="BD123" i="1"/>
  <c r="BD125" i="1" s="1"/>
  <c r="BD120" i="1"/>
  <c r="BD122" i="1" s="1"/>
  <c r="BE120" i="1" l="1"/>
  <c r="BE122" i="1" s="1"/>
  <c r="BF120" i="1"/>
  <c r="BF122" i="1" s="1"/>
  <c r="BG120" i="1"/>
  <c r="BG122" i="1" s="1"/>
  <c r="BH120" i="1"/>
  <c r="BH122" i="1" s="1"/>
  <c r="BI120" i="1"/>
  <c r="BI122" i="1" s="1"/>
  <c r="BJ120" i="1"/>
  <c r="BJ122" i="1" s="1"/>
  <c r="BE123" i="1"/>
  <c r="BE125" i="1" s="1"/>
  <c r="BF123" i="1"/>
  <c r="BF125" i="1" s="1"/>
  <c r="BG123" i="1"/>
  <c r="BG125" i="1" s="1"/>
  <c r="BH123" i="1"/>
  <c r="BH125" i="1" s="1"/>
  <c r="BI123" i="1"/>
  <c r="BI125" i="1" s="1"/>
  <c r="BJ123" i="1"/>
  <c r="BJ125" i="1" s="1"/>
  <c r="BE124" i="1"/>
  <c r="BE126" i="1" s="1"/>
  <c r="BF124" i="1"/>
  <c r="BF126" i="1" s="1"/>
  <c r="BG124" i="1"/>
  <c r="BG126" i="1" s="1"/>
  <c r="BH124" i="1"/>
  <c r="BH126" i="1" s="1"/>
  <c r="BI124" i="1"/>
  <c r="BI126" i="1" s="1"/>
  <c r="BJ124" i="1"/>
  <c r="BJ126" i="1" s="1"/>
  <c r="BU76" i="1" l="1"/>
  <c r="BV76" i="1"/>
  <c r="BU47" i="1"/>
  <c r="BV47" i="1"/>
  <c r="BU48" i="1"/>
  <c r="BV48" i="1"/>
  <c r="BU49" i="1"/>
  <c r="BV49" i="1"/>
  <c r="BU50" i="1"/>
  <c r="BV50" i="1"/>
  <c r="BU109" i="1"/>
  <c r="BV109" i="1"/>
  <c r="BU108" i="1"/>
  <c r="BV108" i="1"/>
  <c r="BU88" i="1"/>
  <c r="BV88" i="1"/>
  <c r="BU89" i="1"/>
  <c r="BV89" i="1"/>
  <c r="BU91" i="1"/>
  <c r="BV91" i="1"/>
  <c r="BU119" i="1"/>
  <c r="BV119" i="1"/>
  <c r="BU51" i="1"/>
  <c r="BV51" i="1"/>
  <c r="BU52" i="1"/>
  <c r="BV52" i="1"/>
  <c r="BU53" i="1"/>
  <c r="BV53" i="1"/>
  <c r="BQ18" i="1"/>
  <c r="BQ106" i="1"/>
  <c r="BQ56" i="1"/>
  <c r="BQ82" i="1"/>
  <c r="BQ15" i="1" l="1"/>
  <c r="BQ66" i="1"/>
  <c r="BQ19" i="1"/>
  <c r="BQ59" i="1"/>
  <c r="BQ114" i="1"/>
  <c r="BQ81" i="1"/>
  <c r="BQ73" i="1"/>
  <c r="BQ103" i="1"/>
  <c r="BQ41" i="1"/>
  <c r="BQ8" i="1"/>
  <c r="BQ60" i="1"/>
  <c r="BQ96" i="1"/>
  <c r="BQ9" i="1"/>
  <c r="BQ30" i="1"/>
  <c r="BQ91" i="1"/>
  <c r="BQ24" i="1"/>
  <c r="BQ118" i="1"/>
  <c r="BQ17" i="1"/>
  <c r="BQ67" i="1"/>
  <c r="BQ42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89" i="1" l="1"/>
  <c r="BQ105" i="1"/>
  <c r="BQ116" i="1"/>
  <c r="BQ23" i="1"/>
  <c r="BQ78" i="1"/>
  <c r="BQ79" i="1"/>
  <c r="BQ80" i="1"/>
  <c r="BQ77" i="1"/>
  <c r="BQ86" i="1"/>
  <c r="BQ97" i="1"/>
  <c r="BQ40" i="1"/>
  <c r="BQ92" i="1"/>
  <c r="BQ93" i="1"/>
  <c r="BQ94" i="1"/>
  <c r="BQ111" i="1"/>
  <c r="BQ112" i="1"/>
  <c r="BQ113" i="1"/>
  <c r="BQ10" i="1"/>
  <c r="BQ71" i="1"/>
  <c r="BQ69" i="1"/>
  <c r="BQ58" i="1"/>
  <c r="BQ29" i="1"/>
  <c r="BQ65" i="1"/>
  <c r="BQ6" i="1"/>
  <c r="BQ117" i="1"/>
  <c r="BQ7" i="1"/>
  <c r="BQ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K124" i="1"/>
  <c r="BL124" i="1"/>
  <c r="BM124" i="1"/>
  <c r="BN124" i="1"/>
  <c r="BO124" i="1"/>
  <c r="BP124" i="1"/>
  <c r="E124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K123" i="1"/>
  <c r="BL123" i="1"/>
  <c r="BM123" i="1"/>
  <c r="BN123" i="1"/>
  <c r="BO123" i="1"/>
  <c r="BP123" i="1"/>
  <c r="E123" i="1"/>
  <c r="BK120" i="1"/>
  <c r="BL120" i="1"/>
  <c r="BM120" i="1"/>
  <c r="BN120" i="1"/>
  <c r="BO120" i="1"/>
  <c r="BP120" i="1"/>
  <c r="BC120" i="1"/>
  <c r="AX120" i="1"/>
  <c r="AY120" i="1"/>
  <c r="AZ120" i="1"/>
  <c r="BA120" i="1"/>
  <c r="BB120" i="1"/>
  <c r="AW120" i="1"/>
  <c r="AR120" i="1"/>
  <c r="AS120" i="1"/>
  <c r="AT120" i="1"/>
  <c r="AU120" i="1"/>
  <c r="AV120" i="1"/>
  <c r="AQ120" i="1"/>
  <c r="AF120" i="1"/>
  <c r="AG120" i="1"/>
  <c r="AH120" i="1"/>
  <c r="AI120" i="1"/>
  <c r="AJ120" i="1"/>
  <c r="AK120" i="1"/>
  <c r="AL120" i="1"/>
  <c r="AM120" i="1"/>
  <c r="AN120" i="1"/>
  <c r="AO120" i="1"/>
  <c r="AP120" i="1"/>
  <c r="AE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P120" i="1"/>
  <c r="F120" i="1"/>
  <c r="G120" i="1"/>
  <c r="H120" i="1"/>
  <c r="I120" i="1"/>
  <c r="J120" i="1"/>
  <c r="K120" i="1"/>
  <c r="L120" i="1"/>
  <c r="M120" i="1"/>
  <c r="N120" i="1"/>
  <c r="O120" i="1"/>
  <c r="E120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63" i="1"/>
  <c r="BQ16" i="1"/>
  <c r="CJ2" i="8" l="1"/>
  <c r="CK2" i="8"/>
  <c r="CR4" i="8"/>
  <c r="CN2" i="8"/>
  <c r="CM2" i="8"/>
  <c r="CG2" i="8"/>
  <c r="CH2" i="8"/>
  <c r="CL2" i="8"/>
  <c r="CQ2" i="8"/>
  <c r="CI2" i="8"/>
  <c r="CO2" i="8"/>
  <c r="CP2" i="8"/>
  <c r="BC125" i="1"/>
  <c r="BK125" i="1"/>
  <c r="BL125" i="1"/>
  <c r="BM125" i="1"/>
  <c r="BN125" i="1"/>
  <c r="BO125" i="1"/>
  <c r="BP125" i="1"/>
  <c r="BC126" i="1"/>
  <c r="BK126" i="1"/>
  <c r="BL126" i="1"/>
  <c r="BM126" i="1"/>
  <c r="BN126" i="1"/>
  <c r="BO126" i="1"/>
  <c r="BP126" i="1"/>
  <c r="BA125" i="1"/>
  <c r="BB125" i="1"/>
  <c r="BA126" i="1"/>
  <c r="BB126" i="1"/>
  <c r="AQ125" i="1"/>
  <c r="AR125" i="1"/>
  <c r="AS125" i="1"/>
  <c r="AT125" i="1"/>
  <c r="AU125" i="1"/>
  <c r="AV125" i="1"/>
  <c r="AW125" i="1"/>
  <c r="AX125" i="1"/>
  <c r="AY125" i="1"/>
  <c r="AZ125" i="1"/>
  <c r="AQ126" i="1"/>
  <c r="AR126" i="1"/>
  <c r="AS126" i="1"/>
  <c r="AT126" i="1"/>
  <c r="AU126" i="1"/>
  <c r="AV126" i="1"/>
  <c r="AW126" i="1"/>
  <c r="AX126" i="1"/>
  <c r="AY126" i="1"/>
  <c r="AZ126" i="1"/>
  <c r="AI125" i="1"/>
  <c r="AJ125" i="1"/>
  <c r="AK125" i="1"/>
  <c r="AL125" i="1"/>
  <c r="AM125" i="1"/>
  <c r="AN125" i="1"/>
  <c r="AO125" i="1"/>
  <c r="AP125" i="1"/>
  <c r="AI126" i="1"/>
  <c r="AJ126" i="1"/>
  <c r="AK126" i="1"/>
  <c r="AL126" i="1"/>
  <c r="AM126" i="1"/>
  <c r="AN126" i="1"/>
  <c r="AO126" i="1"/>
  <c r="AP126" i="1"/>
  <c r="AC125" i="1"/>
  <c r="AD125" i="1"/>
  <c r="AE125" i="1"/>
  <c r="AF125" i="1"/>
  <c r="AG125" i="1"/>
  <c r="AH125" i="1"/>
  <c r="AC126" i="1"/>
  <c r="AD126" i="1"/>
  <c r="AE126" i="1"/>
  <c r="AF126" i="1"/>
  <c r="AG126" i="1"/>
  <c r="AH126" i="1"/>
  <c r="W125" i="1"/>
  <c r="X125" i="1"/>
  <c r="Y125" i="1"/>
  <c r="Z125" i="1"/>
  <c r="AA125" i="1"/>
  <c r="AB125" i="1"/>
  <c r="W126" i="1"/>
  <c r="X126" i="1"/>
  <c r="Y126" i="1"/>
  <c r="Z126" i="1"/>
  <c r="AA126" i="1"/>
  <c r="AB126" i="1"/>
  <c r="P125" i="1"/>
  <c r="Q125" i="1"/>
  <c r="R125" i="1"/>
  <c r="S125" i="1"/>
  <c r="T125" i="1"/>
  <c r="U125" i="1"/>
  <c r="V125" i="1"/>
  <c r="P126" i="1"/>
  <c r="Q126" i="1"/>
  <c r="R126" i="1"/>
  <c r="S126" i="1"/>
  <c r="T126" i="1"/>
  <c r="U126" i="1"/>
  <c r="V126" i="1"/>
  <c r="G125" i="1"/>
  <c r="H125" i="1"/>
  <c r="I125" i="1"/>
  <c r="J125" i="1"/>
  <c r="K125" i="1"/>
  <c r="L125" i="1"/>
  <c r="M125" i="1"/>
  <c r="N125" i="1"/>
  <c r="O125" i="1"/>
  <c r="G126" i="1"/>
  <c r="H126" i="1"/>
  <c r="I126" i="1"/>
  <c r="J126" i="1"/>
  <c r="K126" i="1"/>
  <c r="L126" i="1"/>
  <c r="M126" i="1"/>
  <c r="N126" i="1"/>
  <c r="O126" i="1"/>
  <c r="F125" i="1"/>
  <c r="F126" i="1"/>
  <c r="E126" i="1"/>
  <c r="E125" i="1"/>
  <c r="CH4" i="8" l="1"/>
  <c r="CI4" i="8"/>
  <c r="CK4" i="8"/>
  <c r="CJ4" i="8"/>
  <c r="CL4" i="8"/>
  <c r="CM4" i="8"/>
  <c r="CQ4" i="8"/>
  <c r="CN4" i="8"/>
  <c r="CG4" i="8"/>
  <c r="CO4" i="8"/>
  <c r="CP4" i="8"/>
  <c r="BQ2" i="1"/>
  <c r="BQ31" i="1"/>
  <c r="BQ32" i="1"/>
  <c r="BQ33" i="1"/>
  <c r="BQ34" i="1"/>
  <c r="BQ44" i="1"/>
  <c r="BQ54" i="1"/>
  <c r="BQ55" i="1"/>
  <c r="BQ62" i="1"/>
  <c r="BQ72" i="1"/>
  <c r="BQ26" i="1"/>
  <c r="BQ27" i="1"/>
  <c r="BQ28" i="1"/>
  <c r="BQ68" i="1"/>
  <c r="BQ74" i="1"/>
  <c r="BQ75" i="1"/>
  <c r="BQ85" i="1"/>
  <c r="BQ38" i="1"/>
  <c r="BQ83" i="1"/>
  <c r="BQ57" i="1"/>
  <c r="BQ37" i="1"/>
  <c r="BQ109" i="1"/>
  <c r="BQ108" i="1"/>
  <c r="BQ20" i="1"/>
  <c r="BQ21" i="1"/>
  <c r="BQ22" i="1"/>
  <c r="BQ46" i="1"/>
  <c r="BQ119" i="1"/>
  <c r="BQ99" i="1"/>
  <c r="BQ25" i="1"/>
  <c r="BQ3" i="1"/>
  <c r="BQ4" i="1"/>
  <c r="BQ5" i="1"/>
  <c r="BQ64" i="1"/>
  <c r="BQ70" i="1"/>
  <c r="BQ88" i="1"/>
  <c r="BQ39" i="1"/>
  <c r="BQ76" i="1"/>
  <c r="BQ13" i="1"/>
  <c r="BQ14" i="1"/>
  <c r="BQ87" i="1"/>
  <c r="BQ98" i="1"/>
  <c r="BQ47" i="1"/>
  <c r="BQ48" i="1"/>
  <c r="BQ49" i="1"/>
  <c r="BQ50" i="1"/>
  <c r="BQ51" i="1"/>
  <c r="BQ52" i="1"/>
  <c r="BQ53" i="1"/>
  <c r="BN122" i="1" l="1"/>
  <c r="AM122" i="1"/>
  <c r="L122" i="1"/>
  <c r="BL122" i="1"/>
  <c r="AJ122" i="1"/>
  <c r="AH122" i="1"/>
  <c r="AL122" i="1"/>
  <c r="BM122" i="1"/>
  <c r="J122" i="1"/>
  <c r="H122" i="1"/>
  <c r="G122" i="1"/>
  <c r="AE122" i="1"/>
  <c r="F122" i="1"/>
  <c r="BK122" i="1"/>
  <c r="AI122" i="1"/>
  <c r="I122" i="1"/>
  <c r="AG122" i="1"/>
  <c r="AF122" i="1"/>
  <c r="O122" i="1"/>
  <c r="BP122" i="1"/>
  <c r="N122" i="1"/>
  <c r="K122" i="1"/>
  <c r="AK122" i="1"/>
  <c r="E122" i="1"/>
  <c r="BO122" i="1"/>
  <c r="AN122" i="1"/>
  <c r="M122" i="1"/>
  <c r="AP122" i="1"/>
  <c r="BC122" i="1"/>
  <c r="AO122" i="1"/>
  <c r="V122" i="1"/>
  <c r="Y122" i="1"/>
  <c r="W122" i="1"/>
  <c r="S122" i="1"/>
  <c r="X122" i="1"/>
  <c r="R122" i="1"/>
  <c r="Z122" i="1"/>
  <c r="U122" i="1"/>
  <c r="T122" i="1"/>
  <c r="AC122" i="1"/>
  <c r="Q122" i="1"/>
  <c r="AB122" i="1"/>
  <c r="P122" i="1"/>
  <c r="AA122" i="1"/>
  <c r="AD122" i="1"/>
  <c r="AR122" i="1" l="1"/>
  <c r="AU122" i="1"/>
  <c r="BB122" i="1"/>
  <c r="AS122" i="1"/>
  <c r="AW122" i="1"/>
  <c r="AT122" i="1"/>
  <c r="AY122" i="1"/>
  <c r="AZ122" i="1"/>
  <c r="AV122" i="1"/>
  <c r="AQ122" i="1"/>
  <c r="AX122" i="1"/>
  <c r="BA122" i="1"/>
</calcChain>
</file>

<file path=xl/sharedStrings.xml><?xml version="1.0" encoding="utf-8"?>
<sst xmlns="http://schemas.openxmlformats.org/spreadsheetml/2006/main" count="785" uniqueCount="332">
  <si>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</si>
  <si>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</si>
  <si>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</si>
  <si>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</si>
  <si>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</si>
  <si>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</si>
  <si>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</si>
  <si>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</si>
  <si>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</si>
  <si>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</si>
  <si>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</si>
  <si>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</si>
  <si>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</si>
  <si>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</si>
  <si>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</si>
  <si>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</si>
  <si>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</si>
  <si>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</si>
  <si>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</si>
  <si>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</si>
  <si>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</si>
  <si>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</si>
  <si>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</si>
  <si>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</si>
  <si>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</si>
  <si>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</si>
  <si>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</si>
  <si>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</si>
  <si>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</si>
  <si>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</si>
  <si>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</si>
  <si>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</si>
  <si>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</si>
  <si>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</si>
  <si>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</si>
  <si>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</si>
  <si>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</si>
  <si>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</si>
  <si>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</si>
  <si>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</si>
  <si>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</si>
  <si>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</si>
  <si>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</si>
  <si>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</si>
  <si>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</si>
  <si>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</si>
  <si>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</si>
  <si>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</si>
  <si>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</si>
  <si>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</si>
  <si>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</si>
  <si>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</si>
  <si>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</si>
  <si>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</si>
  <si>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</si>
  <si>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</si>
  <si>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</si>
  <si>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</si>
  <si>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</si>
  <si>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</si>
  <si>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</si>
  <si>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</si>
  <si>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</si>
  <si>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</si>
  <si>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</si>
  <si>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</si>
  <si>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</si>
  <si>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</si>
  <si>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</si>
  <si>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</si>
  <si>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</si>
  <si>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</si>
  <si>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</si>
  <si>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</si>
  <si>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</si>
  <si>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</si>
  <si>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</si>
  <si>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</si>
  <si>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</si>
  <si>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</si>
  <si>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</si>
  <si>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</si>
  <si>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</si>
  <si>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</si>
  <si>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</si>
  <si>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</si>
  <si>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</si>
  <si>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</si>
  <si>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</si>
  <si>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</si>
  <si>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</si>
  <si>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</si>
  <si>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</si>
  <si>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</si>
  <si>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</si>
  <si>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</si>
  <si>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</si>
  <si>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</si>
  <si>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</si>
  <si>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</si>
  <si>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</si>
  <si>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</si>
  <si>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</si>
  <si>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</si>
  <si>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</si>
  <si>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</si>
  <si>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</si>
  <si>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</si>
  <si>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</si>
  <si>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</si>
  <si>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</si>
  <si>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</si>
  <si>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</si>
  <si>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</si>
  <si>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</si>
  <si>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</si>
  <si>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</si>
  <si>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</si>
  <si>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</si>
  <si>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</si>
  <si>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</si>
  <si>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</si>
  <si>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</si>
  <si>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</si>
  <si>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</si>
  <si>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</si>
  <si>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赛亚罗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</si>
  <si>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</si>
  <si>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</si>
  <si>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</si>
  <si>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</si>
  <si>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</si>
  <si>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</si>
  <si>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</si>
  <si>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</si>
  <si>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</si>
  <si>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</si>
  <si>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</si>
  <si>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</si>
  <si>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</si>
  <si>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</si>
  <si>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</si>
  <si>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</si>
  <si>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</si>
  <si>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</si>
  <si>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</si>
  <si>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</si>
  <si>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</si>
  <si>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</si>
  <si>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</si>
  <si>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</si>
  <si>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</si>
  <si>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</si>
  <si>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</si>
  <si>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</si>
  <si>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</si>
  <si>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</si>
  <si>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</si>
  <si>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</si>
  <si>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</si>
  <si>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</si>
  <si>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</si>
  <si>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</si>
  <si>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</si>
  <si>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</si>
  <si>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</si>
  <si>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</si>
  <si>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</si>
  <si>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</si>
  <si>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</si>
  <si>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</si>
  <si>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</si>
  <si>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</si>
  <si>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</si>
  <si>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</si>
  <si>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</si>
  <si>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</si>
  <si>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</si>
  <si>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</si>
  <si>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</si>
  <si>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</si>
  <si>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</si>
  <si>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</si>
  <si>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</si>
  <si>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</si>
  <si>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</si>
  <si>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</si>
  <si>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</si>
  <si>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</si>
  <si>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</si>
  <si>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</si>
  <si>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</si>
  <si>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</si>
  <si>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</si>
  <si>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</si>
  <si>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</si>
  <si>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</si>
  <si>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</si>
  <si>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</si>
  <si>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</si>
  <si>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</si>
  <si>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</si>
  <si>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</si>
  <si>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</si>
  <si>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</si>
  <si>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</si>
  <si>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</si>
  <si>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</si>
  <si>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</si>
  <si>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</si>
  <si>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</si>
  <si>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</si>
  <si>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</si>
  <si>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</si>
  <si>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</si>
  <si>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</si>
  <si>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</si>
  <si>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</si>
  <si>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</si>
  <si>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</si>
  <si>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</si>
  <si>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</si>
  <si>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</si>
  <si>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</si>
  <si>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</si>
  <si>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</si>
  <si>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</si>
  <si>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</si>
  <si>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</si>
  <si>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</si>
  <si>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</si>
  <si>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</si>
  <si>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</si>
  <si>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</si>
  <si>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</si>
  <si>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</si>
  <si>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</si>
  <si>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</si>
  <si>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</si>
  <si>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</si>
  <si>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</si>
  <si>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</si>
  <si>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</si>
  <si>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</si>
  <si>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</si>
  <si>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</si>
  <si>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</si>
  <si>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</si>
  <si>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</si>
  <si>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</si>
  <si>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</si>
  <si>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</si>
  <si>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</si>
  <si>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</si>
  <si>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</si>
  <si>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羽秤仔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</si>
  <si>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</si>
  <si>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</si>
  <si>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</si>
  <si>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糯米(10),_x000D_
粽叶(10),</t>
    <phoneticPr fontId="1" type="noConversion"/>
  </si>
  <si>
    <t>巨蟹小当家</t>
    <phoneticPr fontId="1" type="noConversion"/>
  </si>
  <si>
    <t>双戟洪少侠</t>
    <phoneticPr fontId="1" type="noConversion"/>
  </si>
  <si>
    <t>骰子中(2),</t>
    <phoneticPr fontId="1" type="noConversion"/>
  </si>
  <si>
    <t>筹码小(3),</t>
    <phoneticPr fontId="1" type="noConversion"/>
  </si>
  <si>
    <t>钱袋大(4),</t>
    <phoneticPr fontId="1" type="noConversion"/>
  </si>
  <si>
    <t>欠条中(5),</t>
    <phoneticPr fontId="1" type="noConversion"/>
  </si>
  <si>
    <t>欠条中(5),_x000D_
筹码大(1),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</si>
  <si>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</si>
  <si>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</si>
  <si>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</si>
  <si>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骰子大(10),_x000D_
庄家令牌大(10),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</si>
  <si>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</si>
  <si>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</si>
  <si>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骰子大(10),_x000D_
筹码大(9),_x000D_
庄家令牌大(10),</t>
    <phoneticPr fontId="1" type="noConversion"/>
  </si>
  <si>
    <t>骰子大(2),_x000D_
筹码大(1),_x000D_
庄家令牌中(4),_x000D_
庄家令牌大(2),</t>
    <phoneticPr fontId="1" type="noConversion"/>
  </si>
  <si>
    <t>糯米(2),</t>
    <phoneticPr fontId="1" type="noConversion"/>
  </si>
  <si>
    <t>骰子大(2),</t>
    <phoneticPr fontId="1" type="noConversion"/>
  </si>
  <si>
    <t>庄家令牌中(4),</t>
    <phoneticPr fontId="1" type="noConversion"/>
  </si>
  <si>
    <t>星络典(5),</t>
    <phoneticPr fontId="1" type="noConversion"/>
  </si>
  <si>
    <t>超进阶素材光(13),</t>
    <phoneticPr fontId="1" type="noConversion"/>
  </si>
  <si>
    <t>糯米(3),_x000D_
粽叶(5),</t>
    <phoneticPr fontId="1" type="noConversion"/>
  </si>
  <si>
    <t>欠条中(5),_x000D_
庄家令牌中(4),</t>
    <phoneticPr fontId="1" type="noConversion"/>
  </si>
  <si>
    <t>钱袋大(4),_x000D_
筹码大(9),_x000D_
庄家令牌大(10),</t>
    <phoneticPr fontId="1" type="noConversion"/>
  </si>
  <si>
    <t>骰子中(2),</t>
    <phoneticPr fontId="1" type="noConversion"/>
  </si>
  <si>
    <t>骰子大(2),</t>
    <phoneticPr fontId="1" type="noConversion"/>
  </si>
  <si>
    <t>筹码小(3),</t>
    <phoneticPr fontId="1" type="noConversion"/>
  </si>
  <si>
    <t>糯米(3),</t>
    <phoneticPr fontId="1" type="noConversion"/>
  </si>
  <si>
    <t>钱袋大(4),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</si>
  <si>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</si>
  <si>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</si>
  <si>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</si>
  <si>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星络典(5),</t>
    <phoneticPr fontId="1" type="noConversion"/>
  </si>
  <si>
    <t>欠条中(7),</t>
    <phoneticPr fontId="1" type="noConversion"/>
  </si>
  <si>
    <t>女娲石(7),</t>
    <phoneticPr fontId="1" type="noConversion"/>
  </si>
  <si>
    <t>骰子大(10),</t>
    <phoneticPr fontId="1" type="noConversion"/>
  </si>
  <si>
    <t>彗星(11),</t>
    <phoneticPr fontId="1" type="noConversion"/>
  </si>
  <si>
    <t>超进阶素材光(13),</t>
    <phoneticPr fontId="1" type="noConversion"/>
  </si>
  <si>
    <t>魅力符文叉大(12),</t>
    <phoneticPr fontId="1" type="noConversion"/>
  </si>
  <si>
    <t>金甲虫(26),</t>
    <phoneticPr fontId="1" type="noConversion"/>
  </si>
  <si>
    <t>金甲虫(176),</t>
    <phoneticPr fontId="1" type="noConversion"/>
  </si>
  <si>
    <t>骰子大(2),_x000D_
庄家令牌大(2),</t>
    <phoneticPr fontId="1" type="noConversion"/>
  </si>
  <si>
    <t>欠条中(5),_x000D_
筹码大(1),</t>
    <phoneticPr fontId="1" type="noConversion"/>
  </si>
  <si>
    <t>庄家令牌中(4),_x000D_
庄家令牌大(2),</t>
    <phoneticPr fontId="1" type="noConversion"/>
  </si>
  <si>
    <t>糯米(5),_x000D_
粽叶(1),</t>
    <phoneticPr fontId="1" type="noConversion"/>
  </si>
  <si>
    <t>女娲石(1),_x000D_
神农鼎(2),_x000D_
智慧符文叉大(1),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</si>
  <si>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</si>
  <si>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</si>
  <si>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</si>
  <si>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神农鼎(8),_x000D_
钱袋大(4),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</si>
  <si>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</si>
  <si>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</si>
  <si>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欠条中(7),_x000D_
骰子大(7),</t>
    <phoneticPr fontId="1" type="noConversion"/>
  </si>
  <si>
    <t>钱袋大(4),_x000D_
庄家令牌大(10),</t>
    <phoneticPr fontId="1" type="noConversion"/>
  </si>
  <si>
    <t>女娲石(12),</t>
    <phoneticPr fontId="1" type="noConversion"/>
  </si>
  <si>
    <t>神农鼎(8),_x000D_
智慧符文叉大(6),</t>
    <phoneticPr fontId="1" type="noConversion"/>
  </si>
  <si>
    <t>糯米(5),_x000D_
粽叶(10),</t>
    <phoneticPr fontId="1" type="noConversion"/>
  </si>
  <si>
    <t>神农鼎(8),_x000D_
骰子大(10),</t>
    <phoneticPr fontId="1" type="noConversion"/>
  </si>
  <si>
    <t>神农鼎(8),_x000D_
骰子大(10),</t>
    <phoneticPr fontId="1" type="noConversion"/>
  </si>
  <si>
    <t>神农鼎(13),_x000D_
幸运符文叉大(3),</t>
    <phoneticPr fontId="1" type="noConversion"/>
  </si>
  <si>
    <t>筹码大(9),_x000D_
庄家令牌大(10),</t>
    <phoneticPr fontId="1" type="noConversion"/>
  </si>
  <si>
    <t>女娲石(7),_x000D_
彗星(21),</t>
    <phoneticPr fontId="1" type="noConversion"/>
  </si>
  <si>
    <t>技巧符文叉大(21),_x000D_
逆鳞(7),</t>
    <phoneticPr fontId="1" type="noConversion"/>
  </si>
  <si>
    <t>骰子中(17),_x000D_
庄家令牌中(19),</t>
    <phoneticPr fontId="1" type="noConversion"/>
  </si>
  <si>
    <t>幸运符文叉大(28),_x000D_
逆鳞(7),</t>
    <phoneticPr fontId="1" type="noConversion"/>
  </si>
  <si>
    <t>骰子中(2),_x000D_
筹码大(1),_x000D_
庄家令牌大(2),</t>
    <phoneticPr fontId="1" type="noConversion"/>
  </si>
  <si>
    <t>欠条中(5),_x000D_
骰子中(2),_x000D_
庄家令牌中(4),</t>
    <phoneticPr fontId="1" type="noConversion"/>
  </si>
  <si>
    <t>螃蟹(1),_x000D_
桂花(5),_x000D_
桂花酒(5),</t>
    <phoneticPr fontId="1" type="noConversion"/>
  </si>
  <si>
    <t>桂花(5),_x000D_
桂花酒(5),_x000D_
灯笼(5),</t>
    <phoneticPr fontId="1" type="noConversion"/>
  </si>
  <si>
    <t>女娲石(7),_x000D_
骰子大(10),_x000D_
庄家令牌大(10),</t>
    <phoneticPr fontId="1" type="noConversion"/>
  </si>
  <si>
    <t>女娲石(7),_x000D_
骰子大(10),_x000D_
庄家令牌大(10),</t>
    <phoneticPr fontId="1" type="noConversion"/>
  </si>
  <si>
    <t>骰子大(2),_x000D_
筹码大(1),_x000D_
庄家令牌中(4),_x000D_
庄家令牌大(2),</t>
    <phoneticPr fontId="1" type="noConversion"/>
  </si>
  <si>
    <t>女娲石(17),_x000D_
神农鼎(18),_x000D_
幸运符文叉大(8),_x000D_
技巧符文叉大(1),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</si>
</sst>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applyNumberForma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126</xdr:row>
          <xdr:rowOff>28575</xdr:rowOff>
        </xdr:from>
        <xdr:to>
          <xdr:col>1</xdr:col>
          <xdr:colOff>428625</xdr:colOff>
          <xdr:row>127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27"/>
  <sheetViews>
    <sheetView tabSelected="1" workbookViewId="0">
      <pane xSplit="2" ySplit="1" topLeftCell="Y119" activePane="bottomRight" state="frozen"/>
      <selection pane="topRight" activeCell="C1" sqref="C1"/>
      <selection pane="bottomLeft" activeCell="A3" sqref="A3"/>
      <selection pane="bottomRight" activeCell="AF120" sqref="AF120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61</v>
      </c>
      <c r="B1" s="8" t="s">
        <v>62</v>
      </c>
      <c r="C1" s="8" t="s">
        <v>64</v>
      </c>
      <c r="D1" s="8" t="s">
        <v>63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60</v>
      </c>
      <c r="K1" s="9" t="s">
        <v>21</v>
      </c>
      <c r="L1" s="9" t="s">
        <v>36</v>
      </c>
      <c r="M1" s="9" t="s">
        <v>38</v>
      </c>
      <c r="N1" s="9" t="s">
        <v>43</v>
      </c>
      <c r="O1" s="9" t="s">
        <v>37</v>
      </c>
      <c r="P1" s="27" t="s">
        <v>95</v>
      </c>
      <c r="Q1" s="27" t="s">
        <v>107</v>
      </c>
      <c r="R1" s="27" t="s">
        <v>101</v>
      </c>
      <c r="S1" s="27" t="s">
        <v>96</v>
      </c>
      <c r="T1" s="27" t="s">
        <v>105</v>
      </c>
      <c r="U1" s="27" t="s">
        <v>110</v>
      </c>
      <c r="V1" s="27" t="s">
        <v>97</v>
      </c>
      <c r="W1" s="27" t="s">
        <v>104</v>
      </c>
      <c r="X1" s="27" t="s">
        <v>102</v>
      </c>
      <c r="Y1" s="27" t="s">
        <v>98</v>
      </c>
      <c r="Z1" s="27" t="s">
        <v>106</v>
      </c>
      <c r="AA1" s="27" t="s">
        <v>111</v>
      </c>
      <c r="AB1" s="27" t="s">
        <v>100</v>
      </c>
      <c r="AC1" s="27" t="s">
        <v>99</v>
      </c>
      <c r="AD1" s="27" t="s">
        <v>119</v>
      </c>
      <c r="AE1" s="8" t="s">
        <v>7</v>
      </c>
      <c r="AF1" s="8" t="s">
        <v>24</v>
      </c>
      <c r="AG1" s="8" t="s">
        <v>25</v>
      </c>
      <c r="AH1" s="8" t="s">
        <v>51</v>
      </c>
      <c r="AI1" s="8" t="s">
        <v>52</v>
      </c>
      <c r="AJ1" s="8" t="s">
        <v>54</v>
      </c>
      <c r="AK1" s="8" t="s">
        <v>55</v>
      </c>
      <c r="AL1" s="8" t="s">
        <v>57</v>
      </c>
      <c r="AM1" s="8" t="s">
        <v>44</v>
      </c>
      <c r="AN1" s="8" t="s">
        <v>45</v>
      </c>
      <c r="AO1" s="8" t="s">
        <v>83</v>
      </c>
      <c r="AP1" s="8" t="s">
        <v>84</v>
      </c>
      <c r="AQ1" s="10" t="s">
        <v>34</v>
      </c>
      <c r="AR1" s="10" t="s">
        <v>3</v>
      </c>
      <c r="AS1" s="10" t="s">
        <v>23</v>
      </c>
      <c r="AT1" s="10" t="s">
        <v>47</v>
      </c>
      <c r="AU1" s="10" t="s">
        <v>49</v>
      </c>
      <c r="AV1" s="10" t="s">
        <v>42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41</v>
      </c>
      <c r="BB1" s="11" t="s">
        <v>9</v>
      </c>
      <c r="BC1" s="25" t="s">
        <v>80</v>
      </c>
      <c r="BD1" s="8" t="s">
        <v>213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68</v>
      </c>
      <c r="BR1" s="8" t="s">
        <v>69</v>
      </c>
      <c r="BS1" s="16" t="s">
        <v>70</v>
      </c>
      <c r="BT1" s="16"/>
      <c r="BU1" s="13" t="s">
        <v>194</v>
      </c>
    </row>
    <row r="2" spans="1:74">
      <c r="A2" s="1">
        <v>55</v>
      </c>
      <c r="B2" s="1" t="s">
        <v>39</v>
      </c>
      <c r="C2" s="1" t="s">
        <v>40</v>
      </c>
      <c r="D2" s="1" t="s">
        <v>8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 t="shared" ref="BQ2:BQ31" si="0">SUM(E2:BP2)</f>
        <v>80</v>
      </c>
      <c r="BR2" s="1">
        <v>0</v>
      </c>
      <c r="BS2" s="17">
        <v>0</v>
      </c>
      <c r="BT2" s="17"/>
      <c r="BU2">
        <f t="shared" ref="BU2:BU31" si="1">SUM(P2:AD2)</f>
        <v>0</v>
      </c>
      <c r="BV2" s="23">
        <f t="shared" ref="BV2:BV31" si="2">AF2+AH2+AI2+AJ2+AO2+AP2</f>
        <v>0</v>
      </c>
    </row>
    <row r="3" spans="1:74">
      <c r="A3" s="1"/>
      <c r="B3" s="1" t="s">
        <v>103</v>
      </c>
      <c r="C3" s="1" t="s">
        <v>91</v>
      </c>
      <c r="D3" s="1" t="s">
        <v>92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2</v>
      </c>
      <c r="BS3" s="17">
        <v>1</v>
      </c>
      <c r="BT3" s="17" t="s">
        <v>283</v>
      </c>
      <c r="BU3">
        <f t="shared" si="1"/>
        <v>35</v>
      </c>
      <c r="BV3" s="23">
        <f t="shared" si="2"/>
        <v>0</v>
      </c>
    </row>
    <row r="4" spans="1:74">
      <c r="A4" s="1"/>
      <c r="B4" s="1" t="s">
        <v>108</v>
      </c>
      <c r="C4" s="1" t="s">
        <v>91</v>
      </c>
      <c r="D4" s="1" t="s">
        <v>92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2</v>
      </c>
      <c r="BS4" s="17">
        <v>1</v>
      </c>
      <c r="BT4" s="17" t="s">
        <v>262</v>
      </c>
      <c r="BU4">
        <f t="shared" si="1"/>
        <v>35</v>
      </c>
      <c r="BV4" s="23">
        <f t="shared" si="2"/>
        <v>0</v>
      </c>
    </row>
    <row r="5" spans="1:74">
      <c r="A5" s="1"/>
      <c r="B5" s="1" t="s">
        <v>114</v>
      </c>
      <c r="C5" s="1" t="s">
        <v>112</v>
      </c>
      <c r="D5" s="1" t="s">
        <v>92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2</v>
      </c>
      <c r="BS5" s="17">
        <v>1</v>
      </c>
      <c r="BT5" s="17" t="s">
        <v>262</v>
      </c>
      <c r="BU5">
        <f t="shared" si="1"/>
        <v>35</v>
      </c>
      <c r="BV5" s="23">
        <f t="shared" si="2"/>
        <v>0</v>
      </c>
    </row>
    <row r="6" spans="1:74" s="46" customFormat="1">
      <c r="A6" s="1"/>
      <c r="B6" s="3" t="s">
        <v>168</v>
      </c>
      <c r="C6" s="3" t="s">
        <v>22</v>
      </c>
      <c r="D6" s="1" t="s">
        <v>166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2</v>
      </c>
      <c r="BS6" s="17">
        <v>1</v>
      </c>
      <c r="BT6" s="17" t="s">
        <v>262</v>
      </c>
      <c r="BU6">
        <f t="shared" si="1"/>
        <v>35</v>
      </c>
      <c r="BV6" s="23">
        <f t="shared" si="2"/>
        <v>0</v>
      </c>
    </row>
    <row r="7" spans="1:74">
      <c r="A7" s="1"/>
      <c r="B7" s="3" t="s">
        <v>171</v>
      </c>
      <c r="C7" s="3" t="s">
        <v>90</v>
      </c>
      <c r="D7" s="1" t="s">
        <v>166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2</v>
      </c>
      <c r="BS7" s="17">
        <v>1</v>
      </c>
      <c r="BT7" s="17" t="s">
        <v>283</v>
      </c>
      <c r="BU7">
        <f t="shared" si="1"/>
        <v>35</v>
      </c>
      <c r="BV7" s="23">
        <f t="shared" si="2"/>
        <v>0</v>
      </c>
    </row>
    <row r="8" spans="1:74">
      <c r="A8" s="1"/>
      <c r="B8" s="1" t="s">
        <v>201</v>
      </c>
      <c r="C8" s="1" t="s">
        <v>46</v>
      </c>
      <c r="D8" s="1" t="s">
        <v>197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2</v>
      </c>
      <c r="BS8" s="17">
        <v>1</v>
      </c>
      <c r="BT8" s="17" t="s">
        <v>283</v>
      </c>
      <c r="BU8">
        <f t="shared" si="1"/>
        <v>35</v>
      </c>
      <c r="BV8" s="23">
        <f t="shared" si="2"/>
        <v>0</v>
      </c>
    </row>
    <row r="9" spans="1:74">
      <c r="A9" s="1"/>
      <c r="B9" s="1" t="s">
        <v>202</v>
      </c>
      <c r="C9" s="1" t="s">
        <v>46</v>
      </c>
      <c r="D9" s="1" t="s">
        <v>197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/>
      <c r="W9" s="28">
        <v>5</v>
      </c>
      <c r="X9" s="28"/>
      <c r="Y9" s="28"/>
      <c r="Z9" s="28"/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35</v>
      </c>
      <c r="BR9" s="1">
        <v>2</v>
      </c>
      <c r="BS9" s="17">
        <v>1</v>
      </c>
      <c r="BT9" s="17" t="s">
        <v>283</v>
      </c>
      <c r="BU9">
        <f t="shared" si="1"/>
        <v>35</v>
      </c>
      <c r="BV9" s="23">
        <f t="shared" si="2"/>
        <v>0</v>
      </c>
    </row>
    <row r="10" spans="1:74">
      <c r="A10" s="18"/>
      <c r="B10" s="18" t="s">
        <v>85</v>
      </c>
      <c r="C10" s="18" t="s">
        <v>78</v>
      </c>
      <c r="D10" s="18" t="s">
        <v>82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>
        <v>2</v>
      </c>
      <c r="AP10" s="18"/>
      <c r="AQ10" s="20"/>
      <c r="AR10" s="20"/>
      <c r="AS10" s="20"/>
      <c r="AT10" s="20"/>
      <c r="AU10" s="20"/>
      <c r="AV10" s="20"/>
      <c r="AW10" s="21"/>
      <c r="AX10" s="21"/>
      <c r="AY10" s="21"/>
      <c r="AZ10" s="21"/>
      <c r="BA10" s="21"/>
      <c r="BB10" s="21"/>
      <c r="BC10" s="26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">
        <f t="shared" si="0"/>
        <v>2</v>
      </c>
      <c r="BR10" s="18">
        <v>2</v>
      </c>
      <c r="BS10" s="22">
        <v>1</v>
      </c>
      <c r="BT10" s="22" t="s">
        <v>275</v>
      </c>
      <c r="BU10">
        <f t="shared" si="1"/>
        <v>0</v>
      </c>
      <c r="BV10" s="23">
        <f t="shared" si="2"/>
        <v>2</v>
      </c>
    </row>
    <row r="11" spans="1:74">
      <c r="A11" s="1"/>
      <c r="B11" s="3" t="s">
        <v>165</v>
      </c>
      <c r="C11" s="3" t="s">
        <v>46</v>
      </c>
      <c r="D11" s="1" t="s">
        <v>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>
        <v>2</v>
      </c>
      <c r="S11" s="28"/>
      <c r="T11" s="28"/>
      <c r="U11" s="28">
        <v>2</v>
      </c>
      <c r="V11" s="28"/>
      <c r="W11" s="28"/>
      <c r="X11" s="28">
        <v>2</v>
      </c>
      <c r="Y11" s="28"/>
      <c r="Z11" s="28">
        <v>5</v>
      </c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11</v>
      </c>
      <c r="BR11" s="1">
        <v>2</v>
      </c>
      <c r="BS11" s="17">
        <v>1</v>
      </c>
      <c r="BT11" s="17" t="s">
        <v>276</v>
      </c>
      <c r="BU11">
        <f t="shared" si="1"/>
        <v>11</v>
      </c>
      <c r="BV11" s="23">
        <f t="shared" si="2"/>
        <v>0</v>
      </c>
    </row>
    <row r="12" spans="1:74">
      <c r="A12" s="1"/>
      <c r="B12" s="1" t="s">
        <v>218</v>
      </c>
      <c r="C12" s="1" t="s">
        <v>91</v>
      </c>
      <c r="D12" s="1" t="s">
        <v>76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>
        <v>2</v>
      </c>
      <c r="S12" s="28"/>
      <c r="T12" s="28"/>
      <c r="U12" s="28">
        <v>2</v>
      </c>
      <c r="V12" s="28"/>
      <c r="W12" s="28"/>
      <c r="X12" s="28">
        <v>2</v>
      </c>
      <c r="Y12" s="28"/>
      <c r="Z12" s="28">
        <v>5</v>
      </c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11</v>
      </c>
      <c r="BR12" s="1">
        <v>2</v>
      </c>
      <c r="BS12" s="17">
        <v>1</v>
      </c>
      <c r="BT12" s="17" t="s">
        <v>284</v>
      </c>
      <c r="BU12">
        <f t="shared" si="1"/>
        <v>11</v>
      </c>
      <c r="BV12" s="23">
        <f t="shared" si="2"/>
        <v>0</v>
      </c>
    </row>
    <row r="13" spans="1:74">
      <c r="A13" s="1"/>
      <c r="B13" s="1" t="s">
        <v>113</v>
      </c>
      <c r="C13" s="1" t="s">
        <v>112</v>
      </c>
      <c r="D13" s="1" t="s">
        <v>92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40</v>
      </c>
      <c r="BR13" s="1">
        <v>3</v>
      </c>
      <c r="BS13" s="17">
        <v>1</v>
      </c>
      <c r="BT13" s="17" t="s">
        <v>285</v>
      </c>
      <c r="BU13">
        <f t="shared" si="1"/>
        <v>40</v>
      </c>
      <c r="BV13" s="23">
        <f t="shared" si="2"/>
        <v>0</v>
      </c>
    </row>
    <row r="14" spans="1:74">
      <c r="A14" s="1"/>
      <c r="B14" s="1" t="s">
        <v>115</v>
      </c>
      <c r="C14" s="1" t="s">
        <v>116</v>
      </c>
      <c r="D14" s="1" t="s">
        <v>92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40</v>
      </c>
      <c r="BR14" s="1">
        <v>3</v>
      </c>
      <c r="BS14" s="17">
        <v>1</v>
      </c>
      <c r="BT14" s="17" t="s">
        <v>263</v>
      </c>
      <c r="BU14">
        <f t="shared" si="1"/>
        <v>40</v>
      </c>
      <c r="BV14" s="23">
        <f t="shared" si="2"/>
        <v>0</v>
      </c>
    </row>
    <row r="15" spans="1:74">
      <c r="A15" s="1"/>
      <c r="B15" s="1" t="s">
        <v>210</v>
      </c>
      <c r="C15" s="1" t="s">
        <v>196</v>
      </c>
      <c r="D15" s="1" t="s">
        <v>197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40</v>
      </c>
      <c r="BR15" s="1">
        <v>3</v>
      </c>
      <c r="BS15" s="17">
        <v>1</v>
      </c>
      <c r="BT15" s="17" t="s">
        <v>263</v>
      </c>
      <c r="BU15">
        <f t="shared" si="1"/>
        <v>40</v>
      </c>
      <c r="BV15" s="23">
        <f t="shared" si="2"/>
        <v>0</v>
      </c>
    </row>
    <row r="16" spans="1:74">
      <c r="A16" s="18"/>
      <c r="B16" s="18" t="s">
        <v>147</v>
      </c>
      <c r="C16" s="18" t="s">
        <v>22</v>
      </c>
      <c r="D16" s="18" t="s">
        <v>148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>
        <v>3</v>
      </c>
      <c r="AP16" s="18"/>
      <c r="AQ16" s="20"/>
      <c r="AR16" s="20"/>
      <c r="AS16" s="20"/>
      <c r="AT16" s="20"/>
      <c r="AU16" s="20"/>
      <c r="AV16" s="20"/>
      <c r="AW16" s="21"/>
      <c r="AX16" s="21"/>
      <c r="AY16" s="21"/>
      <c r="AZ16" s="21"/>
      <c r="BA16" s="21"/>
      <c r="BB16" s="21"/>
      <c r="BC16" s="26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>
        <f t="shared" si="0"/>
        <v>3</v>
      </c>
      <c r="BR16" s="18">
        <v>3</v>
      </c>
      <c r="BS16" s="22">
        <v>1</v>
      </c>
      <c r="BT16" s="22" t="s">
        <v>286</v>
      </c>
      <c r="BU16">
        <f t="shared" si="1"/>
        <v>0</v>
      </c>
      <c r="BV16" s="23">
        <f t="shared" si="2"/>
        <v>3</v>
      </c>
    </row>
    <row r="17" spans="1:74">
      <c r="A17" s="1"/>
      <c r="B17" s="1" t="s">
        <v>232</v>
      </c>
      <c r="C17" s="1" t="s">
        <v>48</v>
      </c>
      <c r="D17" s="1" t="s">
        <v>199</v>
      </c>
      <c r="E17" s="6"/>
      <c r="F17" s="6"/>
      <c r="G17" s="6"/>
      <c r="H17" s="6"/>
      <c r="I17" s="6"/>
      <c r="J17" s="6"/>
      <c r="K17" s="6"/>
      <c r="L17" s="6">
        <v>10</v>
      </c>
      <c r="M17" s="6"/>
      <c r="N17" s="6"/>
      <c r="O17" s="6"/>
      <c r="P17" s="28"/>
      <c r="Q17" s="28"/>
      <c r="R17" s="28">
        <v>10</v>
      </c>
      <c r="S17" s="28"/>
      <c r="T17" s="28"/>
      <c r="U17" s="28">
        <v>10</v>
      </c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0"/>
        <v>40</v>
      </c>
      <c r="BR17" s="1">
        <v>4</v>
      </c>
      <c r="BS17" s="17">
        <v>1</v>
      </c>
      <c r="BT17" s="17" t="s">
        <v>287</v>
      </c>
      <c r="BU17">
        <f t="shared" si="1"/>
        <v>20</v>
      </c>
      <c r="BV17" s="23">
        <f t="shared" si="2"/>
        <v>0</v>
      </c>
    </row>
    <row r="18" spans="1:74">
      <c r="A18" s="1"/>
      <c r="B18" s="1" t="s">
        <v>230</v>
      </c>
      <c r="C18" s="1" t="s">
        <v>48</v>
      </c>
      <c r="D18" s="1" t="s">
        <v>205</v>
      </c>
      <c r="E18" s="6"/>
      <c r="F18" s="6"/>
      <c r="G18" s="6"/>
      <c r="H18" s="6"/>
      <c r="I18" s="6"/>
      <c r="J18" s="6"/>
      <c r="K18" s="6"/>
      <c r="L18" s="6">
        <v>10</v>
      </c>
      <c r="M18" s="6"/>
      <c r="N18" s="6"/>
      <c r="O18" s="6"/>
      <c r="P18" s="28"/>
      <c r="Q18" s="28"/>
      <c r="R18" s="28">
        <v>10</v>
      </c>
      <c r="S18" s="28"/>
      <c r="T18" s="28"/>
      <c r="U18" s="28">
        <v>10</v>
      </c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>
        <v>10</v>
      </c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40</v>
      </c>
      <c r="BR18" s="1">
        <v>4</v>
      </c>
      <c r="BS18" s="17">
        <v>1</v>
      </c>
      <c r="BT18" s="17" t="s">
        <v>264</v>
      </c>
      <c r="BU18">
        <f t="shared" si="1"/>
        <v>20</v>
      </c>
      <c r="BV18" s="23">
        <f t="shared" si="2"/>
        <v>0</v>
      </c>
    </row>
    <row r="19" spans="1:74">
      <c r="A19" s="1"/>
      <c r="B19" s="1" t="s">
        <v>195</v>
      </c>
      <c r="C19" s="1" t="s">
        <v>196</v>
      </c>
      <c r="D19" s="1" t="s">
        <v>199</v>
      </c>
      <c r="E19" s="6">
        <v>5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>
        <v>5</v>
      </c>
      <c r="W19" s="28"/>
      <c r="X19" s="28"/>
      <c r="Y19" s="28">
        <v>5</v>
      </c>
      <c r="Z19" s="28"/>
      <c r="AA19" s="28"/>
      <c r="AB19" s="28"/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20</v>
      </c>
      <c r="BR19" s="1">
        <v>4</v>
      </c>
      <c r="BS19" s="17">
        <v>1</v>
      </c>
      <c r="BT19" s="17" t="s">
        <v>277</v>
      </c>
      <c r="BU19">
        <f t="shared" si="1"/>
        <v>15</v>
      </c>
      <c r="BV19" s="23">
        <f t="shared" si="2"/>
        <v>0</v>
      </c>
    </row>
    <row r="20" spans="1:74">
      <c r="A20" s="1"/>
      <c r="B20" s="1" t="s">
        <v>245</v>
      </c>
      <c r="C20" s="1" t="s">
        <v>109</v>
      </c>
      <c r="D20" s="1" t="s">
        <v>94</v>
      </c>
      <c r="E20" s="6">
        <v>10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>
        <v>10</v>
      </c>
      <c r="S20" s="28"/>
      <c r="T20" s="28"/>
      <c r="U20" s="28">
        <v>10</v>
      </c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>
        <v>10</v>
      </c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40</v>
      </c>
      <c r="BR20" s="1">
        <v>4</v>
      </c>
      <c r="BS20" s="17">
        <v>1</v>
      </c>
      <c r="BT20" s="17" t="s">
        <v>287</v>
      </c>
      <c r="BU20">
        <f t="shared" si="1"/>
        <v>20</v>
      </c>
      <c r="BV20" s="23">
        <f t="shared" si="2"/>
        <v>0</v>
      </c>
    </row>
    <row r="21" spans="1:74">
      <c r="A21" s="1"/>
      <c r="B21" s="1" t="s">
        <v>113</v>
      </c>
      <c r="C21" s="1" t="s">
        <v>112</v>
      </c>
      <c r="D21" s="1" t="s">
        <v>94</v>
      </c>
      <c r="E21" s="6">
        <v>10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>
        <v>10</v>
      </c>
      <c r="S21" s="28"/>
      <c r="T21" s="28"/>
      <c r="U21" s="28">
        <v>10</v>
      </c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>
        <v>10</v>
      </c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40</v>
      </c>
      <c r="BR21" s="1">
        <v>4</v>
      </c>
      <c r="BS21" s="17">
        <v>1</v>
      </c>
      <c r="BT21" s="17" t="s">
        <v>287</v>
      </c>
      <c r="BU21">
        <f t="shared" si="1"/>
        <v>20</v>
      </c>
      <c r="BV21" s="23">
        <f t="shared" si="2"/>
        <v>0</v>
      </c>
    </row>
    <row r="22" spans="1:74">
      <c r="A22" s="47"/>
      <c r="B22" s="47" t="s">
        <v>224</v>
      </c>
      <c r="C22" s="47" t="s">
        <v>118</v>
      </c>
      <c r="D22" s="47" t="s">
        <v>94</v>
      </c>
      <c r="E22" s="48">
        <v>10</v>
      </c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9"/>
      <c r="Q22" s="49"/>
      <c r="R22" s="49">
        <v>10</v>
      </c>
      <c r="S22" s="49"/>
      <c r="T22" s="49"/>
      <c r="U22" s="49">
        <v>10</v>
      </c>
      <c r="V22" s="49"/>
      <c r="W22" s="49"/>
      <c r="X22" s="49"/>
      <c r="Y22" s="49"/>
      <c r="Z22" s="49"/>
      <c r="AA22" s="49"/>
      <c r="AB22" s="49"/>
      <c r="AC22" s="49"/>
      <c r="AD22" s="49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50"/>
      <c r="AR22" s="50"/>
      <c r="AS22" s="50"/>
      <c r="AT22" s="50"/>
      <c r="AU22" s="50">
        <v>10</v>
      </c>
      <c r="AV22" s="50"/>
      <c r="AW22" s="51"/>
      <c r="AX22" s="51"/>
      <c r="AY22" s="51"/>
      <c r="AZ22" s="51"/>
      <c r="BA22" s="51"/>
      <c r="BB22" s="51"/>
      <c r="BC22" s="52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>
        <f t="shared" si="0"/>
        <v>40</v>
      </c>
      <c r="BR22" s="47">
        <v>4</v>
      </c>
      <c r="BS22" s="53">
        <v>1</v>
      </c>
      <c r="BT22" s="53" t="s">
        <v>287</v>
      </c>
      <c r="BU22">
        <f t="shared" si="1"/>
        <v>20</v>
      </c>
      <c r="BV22" s="23">
        <f t="shared" si="2"/>
        <v>0</v>
      </c>
    </row>
    <row r="23" spans="1:74">
      <c r="A23" s="1"/>
      <c r="B23" s="3" t="s">
        <v>193</v>
      </c>
      <c r="C23" s="3" t="s">
        <v>46</v>
      </c>
      <c r="D23" s="1" t="s">
        <v>167</v>
      </c>
      <c r="E23" s="6">
        <v>10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>
        <v>10</v>
      </c>
      <c r="S23" s="28"/>
      <c r="T23" s="28"/>
      <c r="U23" s="28">
        <v>10</v>
      </c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>
        <v>10</v>
      </c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40</v>
      </c>
      <c r="BR23" s="1">
        <v>4</v>
      </c>
      <c r="BS23" s="17">
        <v>1</v>
      </c>
      <c r="BT23" s="17" t="s">
        <v>287</v>
      </c>
      <c r="BU23">
        <f t="shared" si="1"/>
        <v>20</v>
      </c>
      <c r="BV23" s="23">
        <f t="shared" si="2"/>
        <v>0</v>
      </c>
    </row>
    <row r="24" spans="1:74">
      <c r="A24" s="1"/>
      <c r="B24" s="1" t="s">
        <v>231</v>
      </c>
      <c r="C24" s="1" t="s">
        <v>48</v>
      </c>
      <c r="D24" s="1" t="s">
        <v>199</v>
      </c>
      <c r="E24" s="6">
        <v>10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>
        <v>10</v>
      </c>
      <c r="S24" s="28"/>
      <c r="T24" s="28"/>
      <c r="U24" s="28">
        <v>10</v>
      </c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>
        <v>10</v>
      </c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40</v>
      </c>
      <c r="BR24" s="1">
        <v>4</v>
      </c>
      <c r="BS24" s="17">
        <v>1</v>
      </c>
      <c r="BT24" s="17" t="s">
        <v>264</v>
      </c>
      <c r="BU24">
        <f t="shared" si="1"/>
        <v>20</v>
      </c>
      <c r="BV24" s="23">
        <f t="shared" si="2"/>
        <v>0</v>
      </c>
    </row>
    <row r="25" spans="1:74">
      <c r="A25" s="1"/>
      <c r="B25" s="1" t="s">
        <v>250</v>
      </c>
      <c r="C25" s="1" t="s">
        <v>118</v>
      </c>
      <c r="D25" s="1" t="s">
        <v>93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/>
      <c r="S25" s="28"/>
      <c r="T25" s="28"/>
      <c r="U25" s="28"/>
      <c r="V25" s="28">
        <v>10</v>
      </c>
      <c r="W25" s="28"/>
      <c r="X25" s="28"/>
      <c r="Y25" s="28"/>
      <c r="Z25" s="28">
        <v>5</v>
      </c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30</v>
      </c>
      <c r="BR25" s="1">
        <v>5</v>
      </c>
      <c r="BS25" s="17">
        <v>1</v>
      </c>
      <c r="BT25" s="17" t="s">
        <v>288</v>
      </c>
      <c r="BU25">
        <f t="shared" si="1"/>
        <v>30</v>
      </c>
      <c r="BV25" s="23">
        <f t="shared" si="2"/>
        <v>0</v>
      </c>
    </row>
    <row r="26" spans="1:74">
      <c r="A26" s="1"/>
      <c r="B26" s="1" t="s">
        <v>103</v>
      </c>
      <c r="C26" s="1" t="s">
        <v>91</v>
      </c>
      <c r="D26" s="1" t="s">
        <v>93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>
        <v>2</v>
      </c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17</v>
      </c>
      <c r="BR26" s="1">
        <v>5</v>
      </c>
      <c r="BS26" s="17">
        <v>1</v>
      </c>
      <c r="BT26" s="17" t="s">
        <v>265</v>
      </c>
      <c r="BU26">
        <f t="shared" si="1"/>
        <v>17</v>
      </c>
      <c r="BV26" s="23">
        <f t="shared" si="2"/>
        <v>0</v>
      </c>
    </row>
    <row r="27" spans="1:74">
      <c r="A27" s="1"/>
      <c r="B27" s="1" t="s">
        <v>108</v>
      </c>
      <c r="C27" s="1" t="s">
        <v>91</v>
      </c>
      <c r="D27" s="1" t="s">
        <v>93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17</v>
      </c>
      <c r="BR27" s="1">
        <v>5</v>
      </c>
      <c r="BS27" s="17">
        <v>1</v>
      </c>
      <c r="BT27" s="17" t="s">
        <v>265</v>
      </c>
      <c r="BU27">
        <f t="shared" si="1"/>
        <v>17</v>
      </c>
      <c r="BV27" s="23">
        <f t="shared" si="2"/>
        <v>0</v>
      </c>
    </row>
    <row r="28" spans="1:74" s="54" customFormat="1">
      <c r="A28" s="1"/>
      <c r="B28" s="1" t="s">
        <v>114</v>
      </c>
      <c r="C28" s="1" t="s">
        <v>112</v>
      </c>
      <c r="D28" s="1" t="s">
        <v>93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17</v>
      </c>
      <c r="BR28" s="1">
        <v>5</v>
      </c>
      <c r="BS28" s="17">
        <v>1</v>
      </c>
      <c r="BT28" s="17" t="s">
        <v>288</v>
      </c>
      <c r="BU28">
        <f t="shared" si="1"/>
        <v>17</v>
      </c>
      <c r="BV28" s="23">
        <f t="shared" si="2"/>
        <v>0</v>
      </c>
    </row>
    <row r="29" spans="1:74">
      <c r="A29" s="1"/>
      <c r="B29" s="3" t="s">
        <v>171</v>
      </c>
      <c r="C29" s="3" t="s">
        <v>90</v>
      </c>
      <c r="D29" s="1" t="s"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17</v>
      </c>
      <c r="BR29" s="1">
        <v>5</v>
      </c>
      <c r="BS29" s="17">
        <v>1</v>
      </c>
      <c r="BT29" s="17" t="s">
        <v>265</v>
      </c>
      <c r="BU29">
        <f t="shared" si="1"/>
        <v>17</v>
      </c>
      <c r="BV29" s="23">
        <f t="shared" si="2"/>
        <v>0</v>
      </c>
    </row>
    <row r="30" spans="1:74">
      <c r="A30" s="1"/>
      <c r="B30" s="1" t="s">
        <v>202</v>
      </c>
      <c r="C30" s="1" t="s">
        <v>46</v>
      </c>
      <c r="D30" s="1" t="s">
        <v>198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17</v>
      </c>
      <c r="BR30" s="1">
        <v>5</v>
      </c>
      <c r="BS30" s="17">
        <v>1</v>
      </c>
      <c r="BT30" s="17" t="s">
        <v>288</v>
      </c>
      <c r="BU30">
        <f t="shared" si="1"/>
        <v>17</v>
      </c>
      <c r="BV30" s="23">
        <f t="shared" si="2"/>
        <v>0</v>
      </c>
    </row>
    <row r="31" spans="1:74">
      <c r="A31" s="18">
        <v>32</v>
      </c>
      <c r="B31" s="18" t="s">
        <v>56</v>
      </c>
      <c r="C31" s="18" t="s">
        <v>22</v>
      </c>
      <c r="D31" s="18" t="s">
        <v>17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/>
      <c r="AI31" s="18">
        <v>5</v>
      </c>
      <c r="AJ31" s="18"/>
      <c r="AK31" s="18"/>
      <c r="AL31" s="18"/>
      <c r="AM31" s="18"/>
      <c r="AN31" s="18"/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>
        <f t="shared" si="0"/>
        <v>5</v>
      </c>
      <c r="BR31" s="18">
        <v>5</v>
      </c>
      <c r="BS31" s="22">
        <v>1</v>
      </c>
      <c r="BT31" s="22" t="s">
        <v>289</v>
      </c>
      <c r="BU31">
        <f t="shared" si="1"/>
        <v>0</v>
      </c>
      <c r="BV31" s="23">
        <f t="shared" si="2"/>
        <v>5</v>
      </c>
    </row>
    <row r="32" spans="1:74">
      <c r="A32" s="18">
        <v>33</v>
      </c>
      <c r="B32" s="18" t="s">
        <v>56</v>
      </c>
      <c r="C32" s="18" t="s">
        <v>22</v>
      </c>
      <c r="D32" s="18" t="s">
        <v>0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>
        <v>5</v>
      </c>
      <c r="AI32" s="18"/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 t="shared" ref="BQ32:BQ63" si="3">SUM(E32:BP32)</f>
        <v>5</v>
      </c>
      <c r="BR32" s="18">
        <v>5</v>
      </c>
      <c r="BS32" s="22">
        <v>1</v>
      </c>
      <c r="BT32" s="22" t="s">
        <v>290</v>
      </c>
      <c r="BU32">
        <f t="shared" ref="BU32:BU63" si="4">SUM(P32:AD32)</f>
        <v>0</v>
      </c>
      <c r="BV32" s="23">
        <f t="shared" ref="BV32:BV63" si="5">AF32+AH32+AI32+AJ32+AO32+AP32</f>
        <v>5</v>
      </c>
    </row>
    <row r="33" spans="1:74">
      <c r="A33" s="18"/>
      <c r="B33" s="18" t="s">
        <v>88</v>
      </c>
      <c r="C33" s="18" t="s">
        <v>86</v>
      </c>
      <c r="D33" s="18" t="s">
        <v>82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>
        <v>5</v>
      </c>
      <c r="AI33" s="18"/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 t="shared" si="3"/>
        <v>5</v>
      </c>
      <c r="BR33" s="18">
        <v>5</v>
      </c>
      <c r="BS33" s="22">
        <v>1</v>
      </c>
      <c r="BT33" s="22" t="s">
        <v>290</v>
      </c>
      <c r="BU33">
        <f t="shared" si="4"/>
        <v>0</v>
      </c>
      <c r="BV33" s="23">
        <f t="shared" si="5"/>
        <v>5</v>
      </c>
    </row>
    <row r="34" spans="1:74">
      <c r="A34" s="18"/>
      <c r="B34" s="18" t="s">
        <v>88</v>
      </c>
      <c r="C34" s="18" t="s">
        <v>86</v>
      </c>
      <c r="D34" s="18" t="s">
        <v>77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/>
      <c r="AI34" s="18">
        <v>5</v>
      </c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>
        <f t="shared" si="3"/>
        <v>5</v>
      </c>
      <c r="BR34" s="18">
        <v>5</v>
      </c>
      <c r="BS34" s="22">
        <v>1</v>
      </c>
      <c r="BT34" s="22" t="s">
        <v>289</v>
      </c>
      <c r="BU34">
        <f t="shared" si="4"/>
        <v>0</v>
      </c>
      <c r="BV34" s="23">
        <f t="shared" si="5"/>
        <v>5</v>
      </c>
    </row>
    <row r="35" spans="1:74">
      <c r="A35" s="57"/>
      <c r="B35" s="58" t="s">
        <v>246</v>
      </c>
      <c r="C35" s="57" t="s">
        <v>33</v>
      </c>
      <c r="D35" s="1" t="s">
        <v>199</v>
      </c>
      <c r="E35" s="59"/>
      <c r="F35" s="59"/>
      <c r="G35" s="59"/>
      <c r="H35" s="59"/>
      <c r="I35" s="59"/>
      <c r="J35" s="59"/>
      <c r="K35" s="59"/>
      <c r="L35" s="59"/>
      <c r="M35" s="59"/>
      <c r="N35" s="59">
        <v>10</v>
      </c>
      <c r="O35" s="59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61">
        <v>10</v>
      </c>
      <c r="AR35" s="61"/>
      <c r="AS35" s="61"/>
      <c r="AT35" s="61"/>
      <c r="AU35" s="61"/>
      <c r="AV35" s="61"/>
      <c r="AW35" s="62"/>
      <c r="AX35" s="62"/>
      <c r="AY35" s="62"/>
      <c r="AZ35" s="62"/>
      <c r="BA35" s="62"/>
      <c r="BB35" s="62"/>
      <c r="BC35" s="63"/>
      <c r="BD35" s="57">
        <v>10</v>
      </c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47">
        <f t="shared" si="3"/>
        <v>30</v>
      </c>
      <c r="BR35" s="57">
        <v>5</v>
      </c>
      <c r="BS35" s="64">
        <v>1</v>
      </c>
      <c r="BT35" s="64" t="s">
        <v>291</v>
      </c>
      <c r="BU35">
        <f t="shared" si="4"/>
        <v>0</v>
      </c>
      <c r="BV35" s="23">
        <f t="shared" si="5"/>
        <v>0</v>
      </c>
    </row>
    <row r="36" spans="1:74">
      <c r="A36" s="57"/>
      <c r="B36" s="58" t="s">
        <v>217</v>
      </c>
      <c r="C36" s="57" t="s">
        <v>40</v>
      </c>
      <c r="D36" s="1" t="s">
        <v>199</v>
      </c>
      <c r="E36" s="59"/>
      <c r="F36" s="59"/>
      <c r="G36" s="59"/>
      <c r="H36" s="59"/>
      <c r="I36" s="59"/>
      <c r="J36" s="59"/>
      <c r="K36" s="59">
        <v>10</v>
      </c>
      <c r="L36" s="59"/>
      <c r="M36" s="59"/>
      <c r="N36" s="59"/>
      <c r="O36" s="59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61"/>
      <c r="AR36" s="61"/>
      <c r="AS36" s="61"/>
      <c r="AT36" s="61"/>
      <c r="AU36" s="61"/>
      <c r="AV36" s="61">
        <v>10</v>
      </c>
      <c r="AW36" s="62"/>
      <c r="AX36" s="62"/>
      <c r="AY36" s="62"/>
      <c r="AZ36" s="62"/>
      <c r="BA36" s="62"/>
      <c r="BB36" s="62"/>
      <c r="BC36" s="63"/>
      <c r="BD36" s="57">
        <v>10</v>
      </c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47">
        <f t="shared" si="3"/>
        <v>30</v>
      </c>
      <c r="BR36" s="57">
        <v>5</v>
      </c>
      <c r="BS36" s="64">
        <v>1</v>
      </c>
      <c r="BT36" s="64" t="s">
        <v>278</v>
      </c>
      <c r="BU36">
        <f t="shared" si="4"/>
        <v>0</v>
      </c>
      <c r="BV36" s="23">
        <f t="shared" si="5"/>
        <v>0</v>
      </c>
    </row>
    <row r="37" spans="1:74">
      <c r="A37" s="1"/>
      <c r="B37" s="1" t="s">
        <v>114</v>
      </c>
      <c r="C37" s="1" t="s">
        <v>112</v>
      </c>
      <c r="D37" s="1" t="s">
        <v>94</v>
      </c>
      <c r="E37" s="6"/>
      <c r="F37" s="6"/>
      <c r="G37" s="6"/>
      <c r="H37" s="6"/>
      <c r="I37" s="6">
        <v>7</v>
      </c>
      <c r="J37" s="6"/>
      <c r="K37" s="6"/>
      <c r="L37" s="6"/>
      <c r="M37" s="6"/>
      <c r="N37" s="6"/>
      <c r="O37" s="6"/>
      <c r="P37" s="28"/>
      <c r="Q37" s="28">
        <v>7</v>
      </c>
      <c r="R37" s="28">
        <v>7</v>
      </c>
      <c r="S37" s="28"/>
      <c r="T37" s="28">
        <v>7</v>
      </c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28</v>
      </c>
      <c r="BR37" s="1">
        <v>7</v>
      </c>
      <c r="BS37" s="17">
        <v>1</v>
      </c>
      <c r="BT37" s="17" t="s">
        <v>292</v>
      </c>
      <c r="BU37">
        <f t="shared" si="4"/>
        <v>21</v>
      </c>
      <c r="BV37" s="23">
        <f t="shared" si="5"/>
        <v>0</v>
      </c>
    </row>
    <row r="38" spans="1:74">
      <c r="A38" s="1"/>
      <c r="B38" s="1" t="s">
        <v>125</v>
      </c>
      <c r="C38" s="1" t="s">
        <v>117</v>
      </c>
      <c r="D38" s="1" t="s">
        <v>94</v>
      </c>
      <c r="E38" s="6">
        <v>10</v>
      </c>
      <c r="F38" s="6"/>
      <c r="G38" s="6">
        <v>10</v>
      </c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>
        <v>10</v>
      </c>
      <c r="AS38" s="4"/>
      <c r="AT38" s="4"/>
      <c r="AU38" s="4"/>
      <c r="AV38" s="4"/>
      <c r="AW38" s="2"/>
      <c r="AX38" s="2"/>
      <c r="AY38" s="2"/>
      <c r="AZ38" s="2"/>
      <c r="BA38" s="2"/>
      <c r="BB38" s="2">
        <v>10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40</v>
      </c>
      <c r="BR38" s="1">
        <v>7</v>
      </c>
      <c r="BS38" s="17">
        <v>1</v>
      </c>
      <c r="BT38" s="17" t="s">
        <v>293</v>
      </c>
      <c r="BU38">
        <f t="shared" si="4"/>
        <v>0</v>
      </c>
      <c r="BV38" s="23">
        <f t="shared" si="5"/>
        <v>0</v>
      </c>
    </row>
    <row r="39" spans="1:74">
      <c r="A39" s="1"/>
      <c r="B39" s="1" t="s">
        <v>103</v>
      </c>
      <c r="C39" s="1" t="s">
        <v>91</v>
      </c>
      <c r="D39" s="1" t="s">
        <v>94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>
        <v>10</v>
      </c>
      <c r="P39" s="28"/>
      <c r="Q39" s="28"/>
      <c r="R39" s="28">
        <v>10</v>
      </c>
      <c r="S39" s="28"/>
      <c r="T39" s="28"/>
      <c r="U39" s="28"/>
      <c r="V39" s="28"/>
      <c r="W39" s="28"/>
      <c r="X39" s="28">
        <v>10</v>
      </c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>
        <v>10</v>
      </c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40</v>
      </c>
      <c r="BR39" s="1">
        <v>10</v>
      </c>
      <c r="BS39" s="17">
        <v>1</v>
      </c>
      <c r="BT39" s="17" t="s">
        <v>294</v>
      </c>
      <c r="BU39">
        <f t="shared" si="4"/>
        <v>20</v>
      </c>
      <c r="BV39" s="23">
        <f t="shared" si="5"/>
        <v>0</v>
      </c>
    </row>
    <row r="40" spans="1:74">
      <c r="A40" s="1"/>
      <c r="B40" s="3" t="s">
        <v>252</v>
      </c>
      <c r="C40" s="3" t="s">
        <v>90</v>
      </c>
      <c r="D40" s="1" t="s">
        <v>167</v>
      </c>
      <c r="E40" s="6"/>
      <c r="F40" s="6"/>
      <c r="G40" s="6"/>
      <c r="H40" s="6"/>
      <c r="I40" s="6">
        <v>10</v>
      </c>
      <c r="J40" s="6"/>
      <c r="K40" s="6"/>
      <c r="L40" s="6"/>
      <c r="M40" s="6"/>
      <c r="N40" s="6"/>
      <c r="O40" s="6"/>
      <c r="P40" s="28"/>
      <c r="Q40" s="28"/>
      <c r="R40" s="28">
        <v>10</v>
      </c>
      <c r="S40" s="28"/>
      <c r="T40" s="28"/>
      <c r="U40" s="28"/>
      <c r="V40" s="28"/>
      <c r="W40" s="28"/>
      <c r="X40" s="28">
        <v>10</v>
      </c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>
        <v>10</v>
      </c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40</v>
      </c>
      <c r="BR40" s="1">
        <v>10</v>
      </c>
      <c r="BS40" s="17">
        <v>1</v>
      </c>
      <c r="BT40" s="17" t="s">
        <v>258</v>
      </c>
      <c r="BU40">
        <f t="shared" si="4"/>
        <v>20</v>
      </c>
      <c r="BV40" s="23">
        <f t="shared" si="5"/>
        <v>0</v>
      </c>
    </row>
    <row r="41" spans="1:74">
      <c r="A41" s="1"/>
      <c r="B41" s="1" t="s">
        <v>200</v>
      </c>
      <c r="C41" s="1" t="s">
        <v>46</v>
      </c>
      <c r="D41" s="1" t="s">
        <v>199</v>
      </c>
      <c r="E41" s="6"/>
      <c r="F41" s="6"/>
      <c r="G41" s="6"/>
      <c r="H41" s="6"/>
      <c r="I41" s="6">
        <v>10</v>
      </c>
      <c r="J41" s="6"/>
      <c r="K41" s="6"/>
      <c r="L41" s="6"/>
      <c r="M41" s="6"/>
      <c r="N41" s="6"/>
      <c r="O41" s="6"/>
      <c r="P41" s="28"/>
      <c r="Q41" s="28"/>
      <c r="R41" s="28">
        <v>10</v>
      </c>
      <c r="S41" s="28"/>
      <c r="T41" s="28"/>
      <c r="U41" s="28"/>
      <c r="V41" s="28"/>
      <c r="W41" s="28"/>
      <c r="X41" s="28">
        <v>10</v>
      </c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>
        <v>10</v>
      </c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40</v>
      </c>
      <c r="BR41" s="1">
        <v>10</v>
      </c>
      <c r="BS41" s="17">
        <v>1</v>
      </c>
      <c r="BT41" s="17" t="s">
        <v>258</v>
      </c>
      <c r="BU41">
        <f t="shared" si="4"/>
        <v>20</v>
      </c>
      <c r="BV41" s="23">
        <f t="shared" si="5"/>
        <v>0</v>
      </c>
    </row>
    <row r="42" spans="1:74">
      <c r="A42" s="1"/>
      <c r="B42" s="1" t="s">
        <v>254</v>
      </c>
      <c r="C42" s="1" t="s">
        <v>48</v>
      </c>
      <c r="D42" s="1" t="s">
        <v>199</v>
      </c>
      <c r="E42" s="6"/>
      <c r="F42" s="6"/>
      <c r="G42" s="6"/>
      <c r="H42" s="6"/>
      <c r="I42" s="6">
        <v>10</v>
      </c>
      <c r="J42" s="6"/>
      <c r="K42" s="6"/>
      <c r="L42" s="6"/>
      <c r="M42" s="6"/>
      <c r="N42" s="6"/>
      <c r="O42" s="6"/>
      <c r="P42" s="28"/>
      <c r="Q42" s="28"/>
      <c r="R42" s="28">
        <v>10</v>
      </c>
      <c r="S42" s="28"/>
      <c r="T42" s="28"/>
      <c r="U42" s="28"/>
      <c r="V42" s="28"/>
      <c r="W42" s="28"/>
      <c r="X42" s="28">
        <v>10</v>
      </c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>
        <v>10</v>
      </c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 t="shared" si="3"/>
        <v>40</v>
      </c>
      <c r="BR42" s="1">
        <v>10</v>
      </c>
      <c r="BS42" s="17">
        <v>1</v>
      </c>
      <c r="BT42" s="17" t="s">
        <v>294</v>
      </c>
      <c r="BU42">
        <f t="shared" si="4"/>
        <v>20</v>
      </c>
      <c r="BV42" s="23">
        <f t="shared" si="5"/>
        <v>0</v>
      </c>
    </row>
    <row r="43" spans="1:74">
      <c r="A43" s="1"/>
      <c r="B43" s="3" t="s">
        <v>236</v>
      </c>
      <c r="C43" s="3" t="s">
        <v>40</v>
      </c>
      <c r="D43" s="1" t="s">
        <v>94</v>
      </c>
      <c r="E43" s="6"/>
      <c r="F43" s="6"/>
      <c r="G43" s="6"/>
      <c r="H43" s="6"/>
      <c r="I43" s="6"/>
      <c r="J43" s="6"/>
      <c r="K43" s="6">
        <v>15</v>
      </c>
      <c r="L43" s="6"/>
      <c r="M43" s="6"/>
      <c r="N43" s="6"/>
      <c r="O43" s="6"/>
      <c r="P43" s="28"/>
      <c r="Q43" s="28"/>
      <c r="R43" s="28">
        <v>10</v>
      </c>
      <c r="S43" s="28"/>
      <c r="T43" s="28"/>
      <c r="U43" s="28"/>
      <c r="V43" s="28"/>
      <c r="W43" s="28"/>
      <c r="X43" s="28">
        <v>10</v>
      </c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>
        <v>15</v>
      </c>
      <c r="AX43" s="2">
        <v>15</v>
      </c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 t="shared" si="3"/>
        <v>65</v>
      </c>
      <c r="BR43" s="1">
        <v>10</v>
      </c>
      <c r="BS43" s="17">
        <v>1</v>
      </c>
      <c r="BT43" s="17" t="s">
        <v>258</v>
      </c>
      <c r="BU43">
        <f t="shared" si="4"/>
        <v>20</v>
      </c>
      <c r="BV43" s="23">
        <f t="shared" si="5"/>
        <v>0</v>
      </c>
    </row>
    <row r="44" spans="1:74">
      <c r="A44" s="18">
        <v>64</v>
      </c>
      <c r="B44" s="24" t="s">
        <v>222</v>
      </c>
      <c r="C44" s="18" t="s">
        <v>40</v>
      </c>
      <c r="D44" s="18" t="s">
        <v>0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/>
      <c r="AJ44" s="18"/>
      <c r="AK44" s="18"/>
      <c r="AL44" s="18"/>
      <c r="AM44" s="18"/>
      <c r="AN44" s="18">
        <v>15</v>
      </c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>
        <f t="shared" si="3"/>
        <v>15</v>
      </c>
      <c r="BR44" s="18">
        <v>11</v>
      </c>
      <c r="BS44" s="22">
        <v>1</v>
      </c>
      <c r="BT44" s="22" t="s">
        <v>295</v>
      </c>
      <c r="BU44">
        <f t="shared" si="4"/>
        <v>0</v>
      </c>
      <c r="BV44" s="23">
        <f t="shared" si="5"/>
        <v>0</v>
      </c>
    </row>
    <row r="45" spans="1:74">
      <c r="A45" s="1"/>
      <c r="B45" s="3" t="s">
        <v>255</v>
      </c>
      <c r="C45" s="1" t="s">
        <v>46</v>
      </c>
      <c r="D45" s="1" t="s">
        <v>94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>
        <v>50</v>
      </c>
      <c r="AX45" s="2"/>
      <c r="AY45" s="2"/>
      <c r="AZ45" s="2">
        <v>50</v>
      </c>
      <c r="BA45" s="2"/>
      <c r="BB45" s="2"/>
      <c r="BC45" s="14"/>
      <c r="BD45" s="1"/>
      <c r="BE45" s="1"/>
      <c r="BF45" s="1"/>
      <c r="BG45" s="1"/>
      <c r="BH45" s="1"/>
      <c r="BI45" s="1">
        <v>50</v>
      </c>
      <c r="BJ45" s="1">
        <v>50</v>
      </c>
      <c r="BK45" s="1"/>
      <c r="BL45" s="1"/>
      <c r="BM45" s="1"/>
      <c r="BN45" s="1"/>
      <c r="BO45" s="1"/>
      <c r="BP45" s="1"/>
      <c r="BQ45" s="1">
        <f t="shared" si="3"/>
        <v>200</v>
      </c>
      <c r="BR45" s="1">
        <v>12</v>
      </c>
      <c r="BS45" s="17">
        <v>1</v>
      </c>
      <c r="BT45" s="17" t="s">
        <v>297</v>
      </c>
      <c r="BU45">
        <f t="shared" si="4"/>
        <v>0</v>
      </c>
      <c r="BV45" s="23">
        <f t="shared" si="5"/>
        <v>0</v>
      </c>
    </row>
    <row r="46" spans="1:74">
      <c r="A46" s="47"/>
      <c r="B46" s="47" t="s">
        <v>123</v>
      </c>
      <c r="C46" s="47" t="s">
        <v>86</v>
      </c>
      <c r="D46" s="47" t="s">
        <v>76</v>
      </c>
      <c r="E46" s="48">
        <v>15</v>
      </c>
      <c r="F46" s="48"/>
      <c r="G46" s="48">
        <v>15</v>
      </c>
      <c r="H46" s="48"/>
      <c r="I46" s="48"/>
      <c r="J46" s="48"/>
      <c r="K46" s="48"/>
      <c r="L46" s="48"/>
      <c r="M46" s="48"/>
      <c r="N46" s="48"/>
      <c r="O46" s="48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50"/>
      <c r="AR46" s="50">
        <v>15</v>
      </c>
      <c r="AS46" s="50"/>
      <c r="AT46" s="50"/>
      <c r="AU46" s="50"/>
      <c r="AV46" s="50"/>
      <c r="AW46" s="51"/>
      <c r="AX46" s="51"/>
      <c r="AY46" s="51"/>
      <c r="AZ46" s="51"/>
      <c r="BA46" s="51"/>
      <c r="BB46" s="51">
        <v>15</v>
      </c>
      <c r="BC46" s="52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>
        <f t="shared" si="3"/>
        <v>60</v>
      </c>
      <c r="BR46" s="47">
        <v>12</v>
      </c>
      <c r="BS46" s="53">
        <v>1</v>
      </c>
      <c r="BT46" s="53" t="s">
        <v>313</v>
      </c>
      <c r="BU46">
        <f t="shared" si="4"/>
        <v>0</v>
      </c>
      <c r="BV46" s="23">
        <f t="shared" si="5"/>
        <v>0</v>
      </c>
    </row>
    <row r="47" spans="1:74">
      <c r="A47" s="1">
        <v>23</v>
      </c>
      <c r="B47" s="1" t="s">
        <v>75</v>
      </c>
      <c r="C47" s="1" t="s">
        <v>22</v>
      </c>
      <c r="D47" s="1" t="s">
        <v>26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>
        <v>50</v>
      </c>
      <c r="BL47" s="1">
        <v>50</v>
      </c>
      <c r="BM47" s="1"/>
      <c r="BN47" s="1"/>
      <c r="BO47" s="1">
        <v>50</v>
      </c>
      <c r="BP47" s="1">
        <v>50</v>
      </c>
      <c r="BQ47" s="1">
        <f t="shared" si="3"/>
        <v>200</v>
      </c>
      <c r="BR47" s="1">
        <v>13</v>
      </c>
      <c r="BS47" s="17">
        <v>1</v>
      </c>
      <c r="BT47" s="17" t="s">
        <v>279</v>
      </c>
      <c r="BU47">
        <f t="shared" si="4"/>
        <v>0</v>
      </c>
      <c r="BV47" s="23">
        <f t="shared" si="5"/>
        <v>0</v>
      </c>
    </row>
    <row r="48" spans="1:74">
      <c r="A48" s="1"/>
      <c r="B48" s="1" t="s">
        <v>261</v>
      </c>
      <c r="C48" s="1" t="s">
        <v>86</v>
      </c>
      <c r="D48" s="1" t="s">
        <v>87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>
        <v>50</v>
      </c>
      <c r="BL48" s="1">
        <v>50</v>
      </c>
      <c r="BM48" s="1"/>
      <c r="BN48" s="1"/>
      <c r="BO48" s="1">
        <v>50</v>
      </c>
      <c r="BP48" s="1">
        <v>50</v>
      </c>
      <c r="BQ48" s="1">
        <f t="shared" si="3"/>
        <v>200</v>
      </c>
      <c r="BR48" s="1">
        <v>13</v>
      </c>
      <c r="BS48" s="17">
        <v>1</v>
      </c>
      <c r="BT48" s="17" t="s">
        <v>279</v>
      </c>
      <c r="BU48">
        <f t="shared" si="4"/>
        <v>0</v>
      </c>
      <c r="BV48" s="23">
        <f t="shared" si="5"/>
        <v>0</v>
      </c>
    </row>
    <row r="49" spans="1:74">
      <c r="A49" s="1"/>
      <c r="B49" s="1" t="s">
        <v>124</v>
      </c>
      <c r="C49" s="1" t="s">
        <v>117</v>
      </c>
      <c r="D49" s="1" t="s">
        <v>26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>
        <v>50</v>
      </c>
      <c r="BL49" s="1">
        <v>50</v>
      </c>
      <c r="BM49" s="1"/>
      <c r="BN49" s="1"/>
      <c r="BO49" s="1">
        <v>50</v>
      </c>
      <c r="BP49" s="1">
        <v>50</v>
      </c>
      <c r="BQ49" s="1">
        <f t="shared" si="3"/>
        <v>200</v>
      </c>
      <c r="BR49" s="1">
        <v>13</v>
      </c>
      <c r="BS49" s="17">
        <v>1</v>
      </c>
      <c r="BT49" s="17" t="s">
        <v>296</v>
      </c>
      <c r="BU49">
        <f t="shared" si="4"/>
        <v>0</v>
      </c>
      <c r="BV49" s="23">
        <f t="shared" si="5"/>
        <v>0</v>
      </c>
    </row>
    <row r="50" spans="1:74">
      <c r="A50" s="1">
        <v>102</v>
      </c>
      <c r="B50" s="3" t="s">
        <v>146</v>
      </c>
      <c r="C50" s="3" t="s">
        <v>48</v>
      </c>
      <c r="D50" s="1" t="s">
        <v>26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>
        <v>50</v>
      </c>
      <c r="BL50" s="1">
        <v>50</v>
      </c>
      <c r="BM50" s="1"/>
      <c r="BN50" s="1"/>
      <c r="BO50" s="1">
        <v>50</v>
      </c>
      <c r="BP50" s="1">
        <v>50</v>
      </c>
      <c r="BQ50" s="1">
        <f t="shared" si="3"/>
        <v>200</v>
      </c>
      <c r="BR50" s="1">
        <v>13</v>
      </c>
      <c r="BS50" s="17">
        <v>1</v>
      </c>
      <c r="BT50" s="17" t="s">
        <v>279</v>
      </c>
      <c r="BU50">
        <f t="shared" si="4"/>
        <v>0</v>
      </c>
      <c r="BV50" s="23">
        <f t="shared" si="5"/>
        <v>0</v>
      </c>
    </row>
    <row r="51" spans="1:74">
      <c r="A51" s="1">
        <v>85</v>
      </c>
      <c r="B51" s="3" t="s">
        <v>212</v>
      </c>
      <c r="C51" s="3" t="s">
        <v>46</v>
      </c>
      <c r="D51" s="1" t="s">
        <v>26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>
        <v>50</v>
      </c>
      <c r="BN51" s="1">
        <v>50</v>
      </c>
      <c r="BO51" s="1">
        <v>50</v>
      </c>
      <c r="BP51" s="1">
        <v>50</v>
      </c>
      <c r="BQ51" s="1">
        <f t="shared" si="3"/>
        <v>200</v>
      </c>
      <c r="BR51" s="1">
        <v>13</v>
      </c>
      <c r="BS51" s="17">
        <v>1</v>
      </c>
      <c r="BT51" s="17" t="s">
        <v>296</v>
      </c>
      <c r="BU51">
        <f t="shared" si="4"/>
        <v>0</v>
      </c>
      <c r="BV51" s="23">
        <f t="shared" si="5"/>
        <v>0</v>
      </c>
    </row>
    <row r="52" spans="1:74">
      <c r="A52" s="1"/>
      <c r="B52" s="1" t="s">
        <v>128</v>
      </c>
      <c r="C52" s="1" t="s">
        <v>89</v>
      </c>
      <c r="D52" s="1" t="s">
        <v>87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>
        <v>50</v>
      </c>
      <c r="BN52" s="1">
        <v>50</v>
      </c>
      <c r="BO52" s="1">
        <v>50</v>
      </c>
      <c r="BP52" s="1">
        <v>50</v>
      </c>
      <c r="BQ52" s="1">
        <f t="shared" si="3"/>
        <v>200</v>
      </c>
      <c r="BR52" s="1">
        <v>13</v>
      </c>
      <c r="BS52" s="17">
        <v>1</v>
      </c>
      <c r="BT52" s="17" t="s">
        <v>279</v>
      </c>
      <c r="BU52">
        <f t="shared" si="4"/>
        <v>0</v>
      </c>
      <c r="BV52" s="23">
        <f t="shared" si="5"/>
        <v>0</v>
      </c>
    </row>
    <row r="53" spans="1:74">
      <c r="A53" s="1"/>
      <c r="B53" s="1" t="s">
        <v>145</v>
      </c>
      <c r="C53" s="1" t="s">
        <v>89</v>
      </c>
      <c r="D53" s="1" t="s">
        <v>87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>
        <v>50</v>
      </c>
      <c r="BN53" s="1">
        <v>50</v>
      </c>
      <c r="BO53" s="1">
        <v>50</v>
      </c>
      <c r="BP53" s="1">
        <v>50</v>
      </c>
      <c r="BQ53" s="1">
        <f t="shared" si="3"/>
        <v>200</v>
      </c>
      <c r="BR53" s="1">
        <v>13</v>
      </c>
      <c r="BS53" s="17">
        <v>1</v>
      </c>
      <c r="BT53" s="17" t="s">
        <v>296</v>
      </c>
      <c r="BU53">
        <f t="shared" si="4"/>
        <v>0</v>
      </c>
      <c r="BV53" s="23">
        <f t="shared" si="5"/>
        <v>0</v>
      </c>
    </row>
    <row r="54" spans="1:74">
      <c r="A54" s="1">
        <v>98</v>
      </c>
      <c r="B54" s="3" t="s">
        <v>122</v>
      </c>
      <c r="C54" s="3" t="s">
        <v>48</v>
      </c>
      <c r="D54" s="1" t="s"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>
        <v>50</v>
      </c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50</v>
      </c>
      <c r="BR54" s="1">
        <v>26</v>
      </c>
      <c r="BS54" s="17">
        <v>1</v>
      </c>
      <c r="BT54" s="17" t="s">
        <v>298</v>
      </c>
      <c r="BU54">
        <f t="shared" si="4"/>
        <v>0</v>
      </c>
      <c r="BV54" s="23">
        <f t="shared" si="5"/>
        <v>0</v>
      </c>
    </row>
    <row r="55" spans="1:74">
      <c r="A55" s="1">
        <v>99</v>
      </c>
      <c r="B55" s="3" t="s">
        <v>122</v>
      </c>
      <c r="C55" s="3" t="s">
        <v>48</v>
      </c>
      <c r="D55" s="1" t="s">
        <v>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>
        <v>200</v>
      </c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200</v>
      </c>
      <c r="BR55" s="1">
        <v>176</v>
      </c>
      <c r="BS55" s="17">
        <v>1</v>
      </c>
      <c r="BT55" s="17" t="s">
        <v>299</v>
      </c>
      <c r="BU55">
        <f t="shared" si="4"/>
        <v>0</v>
      </c>
      <c r="BV55" s="23">
        <f t="shared" si="5"/>
        <v>0</v>
      </c>
    </row>
    <row r="56" spans="1:74" ht="27">
      <c r="A56" s="1"/>
      <c r="B56" s="1" t="s">
        <v>206</v>
      </c>
      <c r="C56" s="1" t="s">
        <v>33</v>
      </c>
      <c r="D56" s="1" t="s">
        <v>204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>
        <v>2</v>
      </c>
      <c r="S56" s="28"/>
      <c r="T56" s="28">
        <v>5</v>
      </c>
      <c r="U56" s="28"/>
      <c r="V56" s="28"/>
      <c r="W56" s="28"/>
      <c r="X56" s="28">
        <v>2</v>
      </c>
      <c r="Y56" s="28"/>
      <c r="Z56" s="28"/>
      <c r="AA56" s="28"/>
      <c r="AB56" s="28"/>
      <c r="AC56" s="28"/>
      <c r="AD56" s="28">
        <v>2</v>
      </c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11</v>
      </c>
      <c r="BR56" s="1">
        <v>4</v>
      </c>
      <c r="BS56" s="17">
        <v>2</v>
      </c>
      <c r="BT56" s="17" t="s">
        <v>300</v>
      </c>
      <c r="BU56">
        <f t="shared" si="4"/>
        <v>11</v>
      </c>
      <c r="BV56" s="23">
        <f t="shared" si="5"/>
        <v>0</v>
      </c>
    </row>
    <row r="57" spans="1:74" ht="27">
      <c r="A57" s="1"/>
      <c r="B57" s="1" t="s">
        <v>248</v>
      </c>
      <c r="C57" s="1" t="s">
        <v>118</v>
      </c>
      <c r="D57" s="1" t="s">
        <v>93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>
        <v>2</v>
      </c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17</v>
      </c>
      <c r="BR57" s="1">
        <v>6</v>
      </c>
      <c r="BS57" s="17">
        <v>2</v>
      </c>
      <c r="BT57" s="17" t="s">
        <v>301</v>
      </c>
      <c r="BU57">
        <f t="shared" si="4"/>
        <v>17</v>
      </c>
      <c r="BV57" s="23">
        <f t="shared" si="5"/>
        <v>0</v>
      </c>
    </row>
    <row r="58" spans="1:74" ht="27">
      <c r="A58" s="1"/>
      <c r="B58" s="3" t="s">
        <v>241</v>
      </c>
      <c r="C58" s="3" t="s">
        <v>170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>
        <v>2</v>
      </c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17</v>
      </c>
      <c r="BR58" s="1">
        <v>6</v>
      </c>
      <c r="BS58" s="17">
        <v>2</v>
      </c>
      <c r="BT58" s="17" t="s">
        <v>266</v>
      </c>
      <c r="BU58">
        <f t="shared" si="4"/>
        <v>17</v>
      </c>
      <c r="BV58" s="23">
        <f t="shared" si="5"/>
        <v>0</v>
      </c>
    </row>
    <row r="59" spans="1:74" ht="27">
      <c r="A59" s="1"/>
      <c r="B59" s="1" t="s">
        <v>239</v>
      </c>
      <c r="C59" s="1" t="s">
        <v>109</v>
      </c>
      <c r="D59" s="1" t="s">
        <v>198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>
        <v>2</v>
      </c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17</v>
      </c>
      <c r="BR59" s="1">
        <v>6</v>
      </c>
      <c r="BS59" s="17">
        <v>2</v>
      </c>
      <c r="BT59" s="17" t="s">
        <v>266</v>
      </c>
      <c r="BU59">
        <f t="shared" si="4"/>
        <v>17</v>
      </c>
      <c r="BV59" s="23">
        <f t="shared" si="5"/>
        <v>0</v>
      </c>
    </row>
    <row r="60" spans="1:74" ht="27">
      <c r="A60" s="1"/>
      <c r="B60" s="1" t="s">
        <v>201</v>
      </c>
      <c r="C60" s="1" t="s">
        <v>46</v>
      </c>
      <c r="D60" s="1" t="s">
        <v>198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>
        <v>2</v>
      </c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17</v>
      </c>
      <c r="BR60" s="1">
        <v>6</v>
      </c>
      <c r="BS60" s="17">
        <v>2</v>
      </c>
      <c r="BT60" s="17" t="s">
        <v>301</v>
      </c>
      <c r="BU60">
        <f t="shared" si="4"/>
        <v>17</v>
      </c>
      <c r="BV60" s="23">
        <f t="shared" si="5"/>
        <v>0</v>
      </c>
    </row>
    <row r="61" spans="1:74" ht="27">
      <c r="A61" s="1"/>
      <c r="B61" s="3" t="s">
        <v>238</v>
      </c>
      <c r="C61" s="3" t="s">
        <v>214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>
        <v>2</v>
      </c>
      <c r="S61" s="28"/>
      <c r="T61" s="28"/>
      <c r="U61" s="28">
        <v>2</v>
      </c>
      <c r="V61" s="28"/>
      <c r="W61" s="28"/>
      <c r="X61" s="28"/>
      <c r="Y61" s="28"/>
      <c r="Z61" s="28"/>
      <c r="AA61" s="28"/>
      <c r="AB61" s="28"/>
      <c r="AC61" s="28">
        <v>5</v>
      </c>
      <c r="AD61" s="28">
        <v>2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3"/>
        <v>11</v>
      </c>
      <c r="BR61" s="1">
        <v>6</v>
      </c>
      <c r="BS61" s="17">
        <v>2</v>
      </c>
      <c r="BT61" s="17" t="s">
        <v>302</v>
      </c>
      <c r="BU61">
        <f t="shared" si="4"/>
        <v>11</v>
      </c>
      <c r="BV61" s="23">
        <f t="shared" si="5"/>
        <v>0</v>
      </c>
    </row>
    <row r="62" spans="1:74" ht="27">
      <c r="A62" s="1"/>
      <c r="B62" s="1" t="s">
        <v>85</v>
      </c>
      <c r="C62" s="1" t="s">
        <v>78</v>
      </c>
      <c r="D62" s="1" t="s">
        <v>76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>
        <v>5</v>
      </c>
      <c r="AP62" s="1">
        <v>1</v>
      </c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3"/>
        <v>6</v>
      </c>
      <c r="BR62" s="1">
        <v>6</v>
      </c>
      <c r="BS62" s="17">
        <v>2</v>
      </c>
      <c r="BT62" s="17" t="s">
        <v>303</v>
      </c>
      <c r="BU62">
        <f t="shared" si="4"/>
        <v>0</v>
      </c>
      <c r="BV62" s="23">
        <f t="shared" si="5"/>
        <v>6</v>
      </c>
    </row>
    <row r="63" spans="1:74" ht="27">
      <c r="A63" s="1"/>
      <c r="B63" s="1" t="s">
        <v>147</v>
      </c>
      <c r="C63" s="1" t="s">
        <v>22</v>
      </c>
      <c r="D63" s="1" t="s">
        <v>18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>
        <v>5</v>
      </c>
      <c r="AP63" s="1">
        <v>1</v>
      </c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3"/>
        <v>6</v>
      </c>
      <c r="BR63" s="1">
        <v>6</v>
      </c>
      <c r="BS63" s="17">
        <v>2</v>
      </c>
      <c r="BT63" s="17" t="s">
        <v>267</v>
      </c>
      <c r="BU63">
        <f t="shared" si="4"/>
        <v>0</v>
      </c>
      <c r="BV63" s="23">
        <f t="shared" si="5"/>
        <v>6</v>
      </c>
    </row>
    <row r="64" spans="1:74" ht="27">
      <c r="A64" s="1"/>
      <c r="B64" s="1" t="s">
        <v>115</v>
      </c>
      <c r="C64" s="1" t="s">
        <v>116</v>
      </c>
      <c r="D64" s="1" t="s">
        <v>93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>
        <v>10</v>
      </c>
      <c r="W64" s="28"/>
      <c r="X64" s="28"/>
      <c r="Y64" s="28">
        <v>10</v>
      </c>
      <c r="Z64" s="28"/>
      <c r="AA64" s="28"/>
      <c r="AB64" s="28">
        <v>10</v>
      </c>
      <c r="AC64" s="28">
        <v>5</v>
      </c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ref="BQ64:BQ95" si="6">SUM(E64:BP64)</f>
        <v>35</v>
      </c>
      <c r="BR64" s="1">
        <v>7</v>
      </c>
      <c r="BS64" s="17">
        <v>2</v>
      </c>
      <c r="BT64" s="17" t="s">
        <v>305</v>
      </c>
      <c r="BU64">
        <f t="shared" ref="BU64:BU95" si="7">SUM(P64:AD64)</f>
        <v>35</v>
      </c>
      <c r="BV64" s="23">
        <f t="shared" ref="BV64:BV95" si="8">AF64+AH64+AI64+AJ64+AO64+AP64</f>
        <v>0</v>
      </c>
    </row>
    <row r="65" spans="1:74" ht="27">
      <c r="A65" s="1"/>
      <c r="B65" s="3" t="s">
        <v>256</v>
      </c>
      <c r="C65" s="3" t="s">
        <v>46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>
        <v>10</v>
      </c>
      <c r="W65" s="28"/>
      <c r="X65" s="28"/>
      <c r="Y65" s="28">
        <v>10</v>
      </c>
      <c r="Z65" s="28"/>
      <c r="AA65" s="28"/>
      <c r="AB65" s="28">
        <v>10</v>
      </c>
      <c r="AC65" s="28">
        <v>5</v>
      </c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35</v>
      </c>
      <c r="BR65" s="1">
        <v>7</v>
      </c>
      <c r="BS65" s="17">
        <v>2</v>
      </c>
      <c r="BT65" s="17" t="s">
        <v>305</v>
      </c>
      <c r="BU65">
        <f t="shared" si="7"/>
        <v>35</v>
      </c>
      <c r="BV65" s="23">
        <f t="shared" si="8"/>
        <v>0</v>
      </c>
    </row>
    <row r="66" spans="1:74" ht="27">
      <c r="A66" s="1"/>
      <c r="B66" s="1" t="s">
        <v>195</v>
      </c>
      <c r="C66" s="1" t="s">
        <v>196</v>
      </c>
      <c r="D66" s="1" t="s">
        <v>198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>
        <v>10</v>
      </c>
      <c r="W66" s="28"/>
      <c r="X66" s="28"/>
      <c r="Y66" s="28">
        <v>10</v>
      </c>
      <c r="Z66" s="28"/>
      <c r="AA66" s="28"/>
      <c r="AB66" s="28">
        <v>10</v>
      </c>
      <c r="AC66" s="28">
        <v>5</v>
      </c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35</v>
      </c>
      <c r="BR66" s="1">
        <v>7</v>
      </c>
      <c r="BS66" s="17">
        <v>2</v>
      </c>
      <c r="BT66" s="17" t="s">
        <v>305</v>
      </c>
      <c r="BU66">
        <f t="shared" si="7"/>
        <v>35</v>
      </c>
      <c r="BV66" s="23">
        <f t="shared" si="8"/>
        <v>0</v>
      </c>
    </row>
    <row r="67" spans="1:74" ht="27">
      <c r="A67" s="1"/>
      <c r="B67" s="1" t="s">
        <v>253</v>
      </c>
      <c r="C67" s="1" t="s">
        <v>48</v>
      </c>
      <c r="D67" s="1" t="s">
        <v>198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>
        <v>10</v>
      </c>
      <c r="W67" s="28"/>
      <c r="X67" s="28"/>
      <c r="Y67" s="28">
        <v>10</v>
      </c>
      <c r="Z67" s="28"/>
      <c r="AA67" s="28"/>
      <c r="AB67" s="28">
        <v>10</v>
      </c>
      <c r="AC67" s="28">
        <v>5</v>
      </c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35</v>
      </c>
      <c r="BR67" s="1">
        <v>7</v>
      </c>
      <c r="BS67" s="17">
        <v>2</v>
      </c>
      <c r="BT67" s="17" t="s">
        <v>305</v>
      </c>
      <c r="BU67">
        <f t="shared" si="7"/>
        <v>35</v>
      </c>
      <c r="BV67" s="23">
        <f t="shared" si="8"/>
        <v>0</v>
      </c>
    </row>
    <row r="68" spans="1:74" ht="27">
      <c r="A68" s="1"/>
      <c r="B68" s="1" t="s">
        <v>208</v>
      </c>
      <c r="C68" s="1" t="s">
        <v>116</v>
      </c>
      <c r="D68" s="1" t="s">
        <v>93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>
        <v>2</v>
      </c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17</v>
      </c>
      <c r="BR68" s="1">
        <v>7</v>
      </c>
      <c r="BS68" s="17">
        <v>2</v>
      </c>
      <c r="BT68" s="17" t="s">
        <v>306</v>
      </c>
      <c r="BU68">
        <f t="shared" si="7"/>
        <v>17</v>
      </c>
      <c r="BV68" s="23">
        <f t="shared" si="8"/>
        <v>0</v>
      </c>
    </row>
    <row r="69" spans="1:74" ht="27">
      <c r="A69" s="1"/>
      <c r="B69" s="3" t="s">
        <v>168</v>
      </c>
      <c r="C69" s="3" t="s">
        <v>22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>
        <v>2</v>
      </c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17</v>
      </c>
      <c r="BR69" s="1">
        <v>7</v>
      </c>
      <c r="BS69" s="17">
        <v>2</v>
      </c>
      <c r="BT69" s="17" t="s">
        <v>306</v>
      </c>
      <c r="BU69">
        <f t="shared" si="7"/>
        <v>17</v>
      </c>
      <c r="BV69" s="23">
        <f t="shared" si="8"/>
        <v>0</v>
      </c>
    </row>
    <row r="70" spans="1:74" ht="27">
      <c r="A70" s="1"/>
      <c r="B70" s="1" t="s">
        <v>113</v>
      </c>
      <c r="C70" s="1" t="s">
        <v>112</v>
      </c>
      <c r="D70" s="1" t="s">
        <v>93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/>
      <c r="U70" s="28"/>
      <c r="V70" s="28">
        <v>10</v>
      </c>
      <c r="W70" s="28"/>
      <c r="X70" s="28"/>
      <c r="Y70" s="28">
        <v>10</v>
      </c>
      <c r="Z70" s="28"/>
      <c r="AA70" s="28"/>
      <c r="AB70" s="28">
        <v>10</v>
      </c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35</v>
      </c>
      <c r="BR70" s="1">
        <v>8</v>
      </c>
      <c r="BS70" s="17">
        <v>2</v>
      </c>
      <c r="BT70" s="17" t="s">
        <v>307</v>
      </c>
      <c r="BU70">
        <f t="shared" si="7"/>
        <v>35</v>
      </c>
      <c r="BV70" s="23">
        <f t="shared" si="8"/>
        <v>0</v>
      </c>
    </row>
    <row r="71" spans="1:74" ht="27">
      <c r="A71" s="1"/>
      <c r="B71" s="3" t="s">
        <v>192</v>
      </c>
      <c r="C71" s="3" t="s">
        <v>46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/>
      <c r="U71" s="28"/>
      <c r="V71" s="28">
        <v>10</v>
      </c>
      <c r="W71" s="28"/>
      <c r="X71" s="28"/>
      <c r="Y71" s="28">
        <v>10</v>
      </c>
      <c r="Z71" s="28"/>
      <c r="AA71" s="28"/>
      <c r="AB71" s="28">
        <v>10</v>
      </c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35</v>
      </c>
      <c r="BR71" s="1">
        <v>8</v>
      </c>
      <c r="BS71" s="17">
        <v>2</v>
      </c>
      <c r="BT71" s="17" t="s">
        <v>307</v>
      </c>
      <c r="BU71">
        <f t="shared" si="7"/>
        <v>35</v>
      </c>
      <c r="BV71" s="23">
        <f t="shared" si="8"/>
        <v>0</v>
      </c>
    </row>
    <row r="72" spans="1:74" ht="27">
      <c r="A72" s="1"/>
      <c r="B72" s="1" t="s">
        <v>81</v>
      </c>
      <c r="C72" s="1" t="s">
        <v>78</v>
      </c>
      <c r="D72" s="1" t="s">
        <v>82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>
        <v>3</v>
      </c>
      <c r="AP72" s="1">
        <v>5</v>
      </c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8</v>
      </c>
      <c r="BR72" s="1">
        <v>8</v>
      </c>
      <c r="BS72" s="17">
        <v>2</v>
      </c>
      <c r="BT72" s="17" t="s">
        <v>280</v>
      </c>
      <c r="BU72">
        <f t="shared" si="7"/>
        <v>0</v>
      </c>
      <c r="BV72" s="23">
        <f t="shared" si="8"/>
        <v>8</v>
      </c>
    </row>
    <row r="73" spans="1:74" ht="27">
      <c r="A73" s="1"/>
      <c r="B73" s="1" t="s">
        <v>200</v>
      </c>
      <c r="C73" s="1" t="s">
        <v>46</v>
      </c>
      <c r="D73" s="1" t="s">
        <v>197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/>
      <c r="Y73" s="28"/>
      <c r="Z73" s="28">
        <v>5</v>
      </c>
      <c r="AA73" s="28"/>
      <c r="AB73" s="28"/>
      <c r="AC73" s="28">
        <v>5</v>
      </c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20</v>
      </c>
      <c r="BR73" s="1">
        <v>9</v>
      </c>
      <c r="BS73" s="17">
        <v>2</v>
      </c>
      <c r="BT73" s="17" t="s">
        <v>281</v>
      </c>
      <c r="BU73">
        <f t="shared" si="7"/>
        <v>20</v>
      </c>
      <c r="BV73" s="23">
        <f t="shared" si="8"/>
        <v>0</v>
      </c>
    </row>
    <row r="74" spans="1:74" ht="27">
      <c r="A74" s="1">
        <v>27</v>
      </c>
      <c r="B74" s="1" t="s">
        <v>53</v>
      </c>
      <c r="C74" s="1" t="s">
        <v>22</v>
      </c>
      <c r="D74" s="1" t="s">
        <v>17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>
        <v>5</v>
      </c>
      <c r="AI74" s="1">
        <v>5</v>
      </c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10</v>
      </c>
      <c r="BR74" s="1">
        <v>10</v>
      </c>
      <c r="BS74" s="17">
        <v>2</v>
      </c>
      <c r="BT74" s="17" t="s">
        <v>268</v>
      </c>
      <c r="BU74">
        <f t="shared" si="7"/>
        <v>0</v>
      </c>
      <c r="BV74" s="23">
        <f t="shared" si="8"/>
        <v>10</v>
      </c>
    </row>
    <row r="75" spans="1:74" ht="27">
      <c r="A75" s="1">
        <v>88</v>
      </c>
      <c r="B75" s="3" t="s">
        <v>58</v>
      </c>
      <c r="C75" s="3" t="s">
        <v>59</v>
      </c>
      <c r="D75" s="1" t="s">
        <v>17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>
        <v>5</v>
      </c>
      <c r="AI75" s="1">
        <v>5</v>
      </c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10</v>
      </c>
      <c r="BR75" s="1">
        <v>10</v>
      </c>
      <c r="BS75" s="17">
        <v>2</v>
      </c>
      <c r="BT75" s="17" t="s">
        <v>309</v>
      </c>
      <c r="BU75">
        <f t="shared" si="7"/>
        <v>0</v>
      </c>
      <c r="BV75" s="23">
        <f t="shared" si="8"/>
        <v>10</v>
      </c>
    </row>
    <row r="76" spans="1:74" ht="27">
      <c r="A76" s="1"/>
      <c r="B76" s="1" t="s">
        <v>250</v>
      </c>
      <c r="C76" s="1" t="s">
        <v>118</v>
      </c>
      <c r="D76" s="1" t="s">
        <v>94</v>
      </c>
      <c r="E76" s="6"/>
      <c r="F76" s="6"/>
      <c r="G76" s="6"/>
      <c r="H76" s="6">
        <v>10</v>
      </c>
      <c r="I76" s="6"/>
      <c r="J76" s="6"/>
      <c r="K76" s="6"/>
      <c r="L76" s="6"/>
      <c r="M76" s="6"/>
      <c r="N76" s="6"/>
      <c r="O76" s="6"/>
      <c r="P76" s="28"/>
      <c r="Q76" s="28"/>
      <c r="R76" s="28">
        <v>10</v>
      </c>
      <c r="S76" s="28"/>
      <c r="T76" s="28"/>
      <c r="U76" s="28">
        <v>10</v>
      </c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>
        <v>10</v>
      </c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40</v>
      </c>
      <c r="BR76" s="1">
        <v>12</v>
      </c>
      <c r="BS76" s="17">
        <v>2</v>
      </c>
      <c r="BT76" s="17" t="s">
        <v>308</v>
      </c>
      <c r="BU76">
        <f t="shared" si="7"/>
        <v>20</v>
      </c>
      <c r="BV76" s="23">
        <f t="shared" si="8"/>
        <v>0</v>
      </c>
    </row>
    <row r="77" spans="1:74" ht="27">
      <c r="A77" s="1"/>
      <c r="B77" s="3" t="s">
        <v>234</v>
      </c>
      <c r="C77" s="3" t="s">
        <v>170</v>
      </c>
      <c r="D77" s="1" t="s">
        <v>167</v>
      </c>
      <c r="E77" s="6"/>
      <c r="F77" s="6"/>
      <c r="G77" s="6"/>
      <c r="H77" s="6"/>
      <c r="I77" s="6"/>
      <c r="J77" s="6"/>
      <c r="K77" s="6">
        <v>10</v>
      </c>
      <c r="L77" s="6"/>
      <c r="M77" s="6"/>
      <c r="N77" s="6"/>
      <c r="O77" s="6"/>
      <c r="P77" s="28"/>
      <c r="Q77" s="28"/>
      <c r="R77" s="28"/>
      <c r="S77" s="28"/>
      <c r="T77" s="28"/>
      <c r="U77" s="28">
        <v>10</v>
      </c>
      <c r="V77" s="28"/>
      <c r="W77" s="28"/>
      <c r="X77" s="28"/>
      <c r="Y77" s="28"/>
      <c r="Z77" s="28"/>
      <c r="AA77" s="28">
        <v>10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10</v>
      </c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6"/>
        <v>40</v>
      </c>
      <c r="BR77" s="1">
        <v>13</v>
      </c>
      <c r="BS77" s="17">
        <v>2</v>
      </c>
      <c r="BT77" s="17" t="s">
        <v>269</v>
      </c>
      <c r="BU77">
        <f t="shared" si="7"/>
        <v>20</v>
      </c>
      <c r="BV77" s="23">
        <f t="shared" si="8"/>
        <v>0</v>
      </c>
    </row>
    <row r="78" spans="1:74" s="65" customFormat="1" ht="27">
      <c r="A78" s="1"/>
      <c r="B78" s="1" t="s">
        <v>115</v>
      </c>
      <c r="C78" s="1" t="s">
        <v>116</v>
      </c>
      <c r="D78" s="1" t="s">
        <v>94</v>
      </c>
      <c r="E78" s="6"/>
      <c r="F78" s="6"/>
      <c r="G78" s="6"/>
      <c r="H78" s="6"/>
      <c r="I78" s="6"/>
      <c r="J78" s="6">
        <v>10</v>
      </c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>
        <v>10</v>
      </c>
      <c r="V78" s="28"/>
      <c r="W78" s="28"/>
      <c r="X78" s="28"/>
      <c r="Y78" s="28"/>
      <c r="Z78" s="28"/>
      <c r="AA78" s="28">
        <v>10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>
        <v>10</v>
      </c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6"/>
        <v>40</v>
      </c>
      <c r="BR78" s="1">
        <v>13</v>
      </c>
      <c r="BS78" s="17">
        <v>2</v>
      </c>
      <c r="BT78" s="17" t="s">
        <v>310</v>
      </c>
      <c r="BU78">
        <f t="shared" si="7"/>
        <v>20</v>
      </c>
      <c r="BV78" s="23">
        <f t="shared" si="8"/>
        <v>0</v>
      </c>
    </row>
    <row r="79" spans="1:74" s="65" customFormat="1" ht="27">
      <c r="A79" s="1"/>
      <c r="B79" s="1" t="s">
        <v>251</v>
      </c>
      <c r="C79" s="1" t="s">
        <v>118</v>
      </c>
      <c r="D79" s="1" t="s">
        <v>94</v>
      </c>
      <c r="E79" s="6"/>
      <c r="F79" s="6"/>
      <c r="G79" s="6"/>
      <c r="H79" s="6"/>
      <c r="I79" s="6"/>
      <c r="J79" s="6">
        <v>10</v>
      </c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>
        <v>10</v>
      </c>
      <c r="V79" s="28"/>
      <c r="W79" s="28"/>
      <c r="X79" s="28"/>
      <c r="Y79" s="28"/>
      <c r="Z79" s="28"/>
      <c r="AA79" s="28">
        <v>10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>
        <v>10</v>
      </c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6"/>
        <v>40</v>
      </c>
      <c r="BR79" s="1">
        <v>13</v>
      </c>
      <c r="BS79" s="17">
        <v>2</v>
      </c>
      <c r="BT79" s="17" t="s">
        <v>310</v>
      </c>
      <c r="BU79">
        <f t="shared" si="7"/>
        <v>20</v>
      </c>
      <c r="BV79" s="23">
        <f t="shared" si="8"/>
        <v>0</v>
      </c>
    </row>
    <row r="80" spans="1:74" s="65" customFormat="1" ht="27">
      <c r="A80" s="1"/>
      <c r="B80" s="3" t="s">
        <v>257</v>
      </c>
      <c r="C80" s="3" t="s">
        <v>46</v>
      </c>
      <c r="D80" s="1" t="s">
        <v>167</v>
      </c>
      <c r="E80" s="6"/>
      <c r="F80" s="6"/>
      <c r="G80" s="6"/>
      <c r="H80" s="6"/>
      <c r="I80" s="6"/>
      <c r="J80" s="6">
        <v>10</v>
      </c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>
        <v>10</v>
      </c>
      <c r="V80" s="28"/>
      <c r="W80" s="28"/>
      <c r="X80" s="28"/>
      <c r="Y80" s="28"/>
      <c r="Z80" s="28"/>
      <c r="AA80" s="28">
        <v>10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>
        <v>10</v>
      </c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6"/>
        <v>40</v>
      </c>
      <c r="BR80" s="1">
        <v>13</v>
      </c>
      <c r="BS80" s="17">
        <v>2</v>
      </c>
      <c r="BT80" s="17" t="s">
        <v>310</v>
      </c>
      <c r="BU80">
        <f t="shared" si="7"/>
        <v>20</v>
      </c>
      <c r="BV80" s="23">
        <f t="shared" si="8"/>
        <v>0</v>
      </c>
    </row>
    <row r="81" spans="1:74" s="65" customFormat="1" ht="27">
      <c r="A81" s="1"/>
      <c r="B81" s="1" t="s">
        <v>244</v>
      </c>
      <c r="C81" s="1" t="s">
        <v>109</v>
      </c>
      <c r="D81" s="1" t="s">
        <v>199</v>
      </c>
      <c r="E81" s="6"/>
      <c r="F81" s="6"/>
      <c r="G81" s="6"/>
      <c r="H81" s="6"/>
      <c r="I81" s="6"/>
      <c r="J81" s="6">
        <v>10</v>
      </c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>
        <v>10</v>
      </c>
      <c r="V81" s="28"/>
      <c r="W81" s="28"/>
      <c r="X81" s="28"/>
      <c r="Y81" s="28"/>
      <c r="Z81" s="28"/>
      <c r="AA81" s="28">
        <v>10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>
        <v>10</v>
      </c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40</v>
      </c>
      <c r="BR81" s="1">
        <v>13</v>
      </c>
      <c r="BS81" s="17">
        <v>2</v>
      </c>
      <c r="BT81" s="17" t="s">
        <v>269</v>
      </c>
      <c r="BU81">
        <f t="shared" si="7"/>
        <v>20</v>
      </c>
      <c r="BV81" s="23">
        <f t="shared" si="8"/>
        <v>0</v>
      </c>
    </row>
    <row r="82" spans="1:74" s="65" customFormat="1" ht="27">
      <c r="A82" s="1"/>
      <c r="B82" s="1" t="s">
        <v>206</v>
      </c>
      <c r="C82" s="1" t="s">
        <v>33</v>
      </c>
      <c r="D82" s="1" t="s">
        <v>205</v>
      </c>
      <c r="E82" s="6"/>
      <c r="F82" s="6"/>
      <c r="G82" s="6"/>
      <c r="H82" s="6"/>
      <c r="I82" s="6"/>
      <c r="J82" s="6">
        <v>10</v>
      </c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>
        <v>10</v>
      </c>
      <c r="V82" s="28"/>
      <c r="W82" s="28"/>
      <c r="X82" s="28"/>
      <c r="Y82" s="28"/>
      <c r="Z82" s="28"/>
      <c r="AA82" s="28">
        <v>10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>
        <v>10</v>
      </c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6"/>
        <v>40</v>
      </c>
      <c r="BR82" s="1">
        <v>13</v>
      </c>
      <c r="BS82" s="17">
        <v>2</v>
      </c>
      <c r="BT82" s="17" t="s">
        <v>310</v>
      </c>
      <c r="BU82">
        <f t="shared" si="7"/>
        <v>20</v>
      </c>
      <c r="BV82" s="23">
        <f t="shared" si="8"/>
        <v>0</v>
      </c>
    </row>
    <row r="83" spans="1:74" s="65" customFormat="1" ht="27">
      <c r="A83" s="1"/>
      <c r="B83" s="1" t="s">
        <v>208</v>
      </c>
      <c r="C83" s="1" t="s">
        <v>116</v>
      </c>
      <c r="D83" s="1" t="s">
        <v>94</v>
      </c>
      <c r="E83" s="6"/>
      <c r="F83" s="6"/>
      <c r="G83" s="6"/>
      <c r="H83" s="6"/>
      <c r="I83" s="6"/>
      <c r="J83" s="6"/>
      <c r="K83" s="6"/>
      <c r="L83" s="6">
        <v>7</v>
      </c>
      <c r="M83" s="6"/>
      <c r="N83" s="6"/>
      <c r="O83" s="6"/>
      <c r="P83" s="28"/>
      <c r="Q83" s="28">
        <v>7</v>
      </c>
      <c r="R83" s="28"/>
      <c r="S83" s="28"/>
      <c r="T83" s="28">
        <v>7</v>
      </c>
      <c r="U83" s="28"/>
      <c r="V83" s="28"/>
      <c r="W83" s="28"/>
      <c r="X83" s="28">
        <v>7</v>
      </c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6"/>
        <v>28</v>
      </c>
      <c r="BR83" s="1">
        <v>14</v>
      </c>
      <c r="BS83" s="17">
        <v>2</v>
      </c>
      <c r="BT83" s="17" t="s">
        <v>311</v>
      </c>
      <c r="BU83">
        <f t="shared" si="7"/>
        <v>21</v>
      </c>
      <c r="BV83" s="23">
        <f t="shared" si="8"/>
        <v>0</v>
      </c>
    </row>
    <row r="84" spans="1:74" s="65" customFormat="1" ht="27">
      <c r="A84" s="1"/>
      <c r="B84" s="3" t="s">
        <v>238</v>
      </c>
      <c r="C84" s="3" t="s">
        <v>214</v>
      </c>
      <c r="D84" s="1" t="s">
        <v>94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>
        <v>10</v>
      </c>
      <c r="P84" s="28"/>
      <c r="Q84" s="28"/>
      <c r="R84" s="28">
        <v>10</v>
      </c>
      <c r="S84" s="28"/>
      <c r="T84" s="28"/>
      <c r="U84" s="28">
        <v>10</v>
      </c>
      <c r="V84" s="28"/>
      <c r="W84" s="28"/>
      <c r="X84" s="28"/>
      <c r="Y84" s="28"/>
      <c r="Z84" s="28"/>
      <c r="AA84" s="28"/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6"/>
        <v>40</v>
      </c>
      <c r="BR84" s="1">
        <v>14</v>
      </c>
      <c r="BS84" s="17">
        <v>2</v>
      </c>
      <c r="BT84" s="17" t="s">
        <v>312</v>
      </c>
      <c r="BU84">
        <f t="shared" si="7"/>
        <v>30</v>
      </c>
      <c r="BV84" s="23">
        <f t="shared" si="8"/>
        <v>0</v>
      </c>
    </row>
    <row r="85" spans="1:74" s="65" customFormat="1" ht="27">
      <c r="A85" s="1"/>
      <c r="B85" s="1" t="s">
        <v>127</v>
      </c>
      <c r="C85" s="1" t="s">
        <v>89</v>
      </c>
      <c r="D85" s="1" t="s">
        <v>77</v>
      </c>
      <c r="E85" s="6"/>
      <c r="F85" s="6"/>
      <c r="G85" s="6"/>
      <c r="H85" s="6">
        <v>10</v>
      </c>
      <c r="I85" s="6"/>
      <c r="J85" s="6">
        <v>10</v>
      </c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>
        <v>10</v>
      </c>
      <c r="AU85" s="4"/>
      <c r="AV85" s="4"/>
      <c r="AW85" s="2"/>
      <c r="AX85" s="2"/>
      <c r="AY85" s="2">
        <v>10</v>
      </c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6"/>
        <v>40</v>
      </c>
      <c r="BR85" s="1">
        <v>14</v>
      </c>
      <c r="BS85" s="17">
        <v>2</v>
      </c>
      <c r="BT85" s="17" t="s">
        <v>314</v>
      </c>
      <c r="BU85">
        <f t="shared" si="7"/>
        <v>0</v>
      </c>
      <c r="BV85" s="23">
        <f t="shared" si="8"/>
        <v>0</v>
      </c>
    </row>
    <row r="86" spans="1:74" s="65" customFormat="1" ht="27">
      <c r="A86" s="1"/>
      <c r="B86" s="1" t="s">
        <v>81</v>
      </c>
      <c r="C86" s="1" t="s">
        <v>78</v>
      </c>
      <c r="D86" s="1" t="s">
        <v>76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>
        <v>5</v>
      </c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>
        <v>5</v>
      </c>
      <c r="AP86" s="1">
        <v>10</v>
      </c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6"/>
        <v>20</v>
      </c>
      <c r="BR86" s="1">
        <v>15</v>
      </c>
      <c r="BS86" s="17">
        <v>2</v>
      </c>
      <c r="BT86" s="17" t="s">
        <v>315</v>
      </c>
      <c r="BU86">
        <f t="shared" si="7"/>
        <v>0</v>
      </c>
      <c r="BV86" s="23">
        <f t="shared" si="8"/>
        <v>15</v>
      </c>
    </row>
    <row r="87" spans="1:74" s="65" customFormat="1" ht="27">
      <c r="A87" s="1">
        <v>54</v>
      </c>
      <c r="B87" s="1" t="s">
        <v>39</v>
      </c>
      <c r="C87" s="1" t="s">
        <v>40</v>
      </c>
      <c r="D87" s="1" t="s">
        <v>0</v>
      </c>
      <c r="E87" s="6"/>
      <c r="F87" s="6">
        <v>15</v>
      </c>
      <c r="G87" s="6"/>
      <c r="H87" s="6">
        <v>15</v>
      </c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>
        <v>15</v>
      </c>
      <c r="AW87" s="2"/>
      <c r="AX87" s="2"/>
      <c r="AY87" s="2"/>
      <c r="AZ87" s="2"/>
      <c r="BA87" s="2">
        <v>15</v>
      </c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6"/>
        <v>60</v>
      </c>
      <c r="BR87" s="1">
        <v>16</v>
      </c>
      <c r="BS87" s="17">
        <v>2</v>
      </c>
      <c r="BT87" s="17" t="s">
        <v>318</v>
      </c>
      <c r="BU87">
        <f t="shared" si="7"/>
        <v>0</v>
      </c>
      <c r="BV87" s="23">
        <f t="shared" si="8"/>
        <v>0</v>
      </c>
    </row>
    <row r="88" spans="1:74" s="65" customFormat="1" ht="27">
      <c r="A88" s="1"/>
      <c r="B88" s="1" t="s">
        <v>108</v>
      </c>
      <c r="C88" s="1" t="s">
        <v>91</v>
      </c>
      <c r="D88" s="1" t="s">
        <v>94</v>
      </c>
      <c r="E88" s="6"/>
      <c r="F88" s="6"/>
      <c r="G88" s="6"/>
      <c r="H88" s="6">
        <v>10</v>
      </c>
      <c r="I88" s="6"/>
      <c r="J88" s="6"/>
      <c r="K88" s="6"/>
      <c r="L88" s="6"/>
      <c r="M88" s="6"/>
      <c r="N88" s="6"/>
      <c r="O88" s="6"/>
      <c r="P88" s="28"/>
      <c r="Q88" s="28"/>
      <c r="R88" s="28">
        <v>10</v>
      </c>
      <c r="S88" s="28"/>
      <c r="T88" s="28"/>
      <c r="U88" s="28"/>
      <c r="V88" s="28"/>
      <c r="W88" s="28"/>
      <c r="X88" s="28">
        <v>10</v>
      </c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6"/>
        <v>40</v>
      </c>
      <c r="BR88" s="1">
        <v>18</v>
      </c>
      <c r="BS88" s="17">
        <v>2</v>
      </c>
      <c r="BT88" s="17" t="s">
        <v>316</v>
      </c>
      <c r="BU88">
        <f t="shared" si="7"/>
        <v>20</v>
      </c>
      <c r="BV88" s="23">
        <f t="shared" si="8"/>
        <v>0</v>
      </c>
    </row>
    <row r="89" spans="1:74" s="65" customFormat="1" ht="27">
      <c r="A89" s="1"/>
      <c r="B89" s="3" t="s">
        <v>171</v>
      </c>
      <c r="C89" s="3" t="s">
        <v>90</v>
      </c>
      <c r="D89" s="1" t="s">
        <v>167</v>
      </c>
      <c r="E89" s="6"/>
      <c r="F89" s="6"/>
      <c r="G89" s="6"/>
      <c r="H89" s="6">
        <v>10</v>
      </c>
      <c r="I89" s="6"/>
      <c r="J89" s="6"/>
      <c r="K89" s="6"/>
      <c r="L89" s="6"/>
      <c r="M89" s="6"/>
      <c r="N89" s="6"/>
      <c r="O89" s="6"/>
      <c r="P89" s="28"/>
      <c r="Q89" s="28"/>
      <c r="R89" s="28">
        <v>10</v>
      </c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10</v>
      </c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6"/>
        <v>40</v>
      </c>
      <c r="BR89" s="1">
        <v>18</v>
      </c>
      <c r="BS89" s="17">
        <v>2</v>
      </c>
      <c r="BT89" s="17" t="s">
        <v>317</v>
      </c>
      <c r="BU89">
        <f t="shared" si="7"/>
        <v>20</v>
      </c>
      <c r="BV89" s="23">
        <f t="shared" si="8"/>
        <v>0</v>
      </c>
    </row>
    <row r="90" spans="1:74" s="65" customFormat="1" ht="27">
      <c r="A90" s="1"/>
      <c r="B90" s="3" t="s">
        <v>216</v>
      </c>
      <c r="C90" s="3" t="s">
        <v>215</v>
      </c>
      <c r="D90" s="1" t="s">
        <v>8</v>
      </c>
      <c r="E90" s="6"/>
      <c r="F90" s="6"/>
      <c r="G90" s="6"/>
      <c r="H90" s="6">
        <v>10</v>
      </c>
      <c r="I90" s="6"/>
      <c r="J90" s="6"/>
      <c r="K90" s="6"/>
      <c r="L90" s="6"/>
      <c r="M90" s="6"/>
      <c r="N90" s="6"/>
      <c r="O90" s="6"/>
      <c r="P90" s="28"/>
      <c r="Q90" s="28"/>
      <c r="R90" s="28">
        <v>10</v>
      </c>
      <c r="S90" s="28"/>
      <c r="T90" s="28"/>
      <c r="U90" s="28"/>
      <c r="V90" s="28"/>
      <c r="W90" s="28"/>
      <c r="X90" s="28">
        <v>10</v>
      </c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6"/>
        <v>40</v>
      </c>
      <c r="BR90" s="1">
        <v>18</v>
      </c>
      <c r="BS90" s="17">
        <v>2</v>
      </c>
      <c r="BT90" s="17" t="s">
        <v>316</v>
      </c>
      <c r="BU90">
        <f t="shared" si="7"/>
        <v>20</v>
      </c>
      <c r="BV90" s="23">
        <f t="shared" si="8"/>
        <v>0</v>
      </c>
    </row>
    <row r="91" spans="1:74" s="65" customFormat="1" ht="27">
      <c r="A91" s="1"/>
      <c r="B91" s="1" t="s">
        <v>202</v>
      </c>
      <c r="C91" s="1" t="s">
        <v>46</v>
      </c>
      <c r="D91" s="1" t="s">
        <v>199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6"/>
        <v>40</v>
      </c>
      <c r="BR91" s="1">
        <v>18</v>
      </c>
      <c r="BS91" s="17">
        <v>2</v>
      </c>
      <c r="BT91" s="17" t="s">
        <v>316</v>
      </c>
      <c r="BU91">
        <f t="shared" si="7"/>
        <v>20</v>
      </c>
      <c r="BV91" s="23">
        <f t="shared" si="8"/>
        <v>0</v>
      </c>
    </row>
    <row r="92" spans="1:74" s="65" customFormat="1" ht="27">
      <c r="A92" s="1"/>
      <c r="B92" s="3" t="s">
        <v>165</v>
      </c>
      <c r="C92" s="3" t="s">
        <v>46</v>
      </c>
      <c r="D92" s="1" t="s">
        <v>167</v>
      </c>
      <c r="E92" s="6"/>
      <c r="F92" s="6"/>
      <c r="G92" s="6"/>
      <c r="H92" s="6"/>
      <c r="I92" s="6"/>
      <c r="J92" s="6"/>
      <c r="K92" s="6"/>
      <c r="L92" s="6"/>
      <c r="M92" s="6">
        <v>10</v>
      </c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>
        <v>10</v>
      </c>
      <c r="AB92" s="28"/>
      <c r="AC92" s="28"/>
      <c r="AD92" s="28">
        <v>10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>
        <v>10</v>
      </c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6"/>
        <v>40</v>
      </c>
      <c r="BR92" s="1">
        <v>19</v>
      </c>
      <c r="BS92" s="17">
        <v>2</v>
      </c>
      <c r="BT92" s="17" t="s">
        <v>247</v>
      </c>
      <c r="BU92">
        <f t="shared" si="7"/>
        <v>20</v>
      </c>
      <c r="BV92" s="23">
        <f t="shared" si="8"/>
        <v>0</v>
      </c>
    </row>
    <row r="93" spans="1:74" s="65" customFormat="1" ht="27">
      <c r="A93" s="1"/>
      <c r="B93" s="3" t="s">
        <v>168</v>
      </c>
      <c r="C93" s="3" t="s">
        <v>22</v>
      </c>
      <c r="D93" s="1" t="s">
        <v>167</v>
      </c>
      <c r="E93" s="6"/>
      <c r="F93" s="6"/>
      <c r="G93" s="6"/>
      <c r="H93" s="6"/>
      <c r="I93" s="6"/>
      <c r="J93" s="6"/>
      <c r="K93" s="6"/>
      <c r="L93" s="6"/>
      <c r="M93" s="6">
        <v>10</v>
      </c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>
        <v>10</v>
      </c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>
        <v>10</v>
      </c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6"/>
        <v>40</v>
      </c>
      <c r="BR93" s="1">
        <v>19</v>
      </c>
      <c r="BS93" s="17">
        <v>2</v>
      </c>
      <c r="BT93" s="17" t="s">
        <v>247</v>
      </c>
      <c r="BU93">
        <f t="shared" si="7"/>
        <v>20</v>
      </c>
      <c r="BV93" s="23">
        <f t="shared" si="8"/>
        <v>0</v>
      </c>
    </row>
    <row r="94" spans="1:74" s="65" customFormat="1" ht="27">
      <c r="A94" s="1"/>
      <c r="B94" s="3" t="s">
        <v>243</v>
      </c>
      <c r="C94" s="3" t="s">
        <v>170</v>
      </c>
      <c r="D94" s="1" t="s">
        <v>167</v>
      </c>
      <c r="E94" s="6"/>
      <c r="F94" s="6"/>
      <c r="G94" s="6"/>
      <c r="H94" s="6"/>
      <c r="I94" s="6"/>
      <c r="J94" s="6"/>
      <c r="K94" s="6"/>
      <c r="L94" s="6"/>
      <c r="M94" s="6">
        <v>10</v>
      </c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>
        <v>10</v>
      </c>
      <c r="AB94" s="28"/>
      <c r="AC94" s="28"/>
      <c r="AD94" s="28">
        <v>10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10</v>
      </c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6"/>
        <v>40</v>
      </c>
      <c r="BR94" s="1">
        <v>19</v>
      </c>
      <c r="BS94" s="17">
        <v>2</v>
      </c>
      <c r="BT94" s="17" t="s">
        <v>319</v>
      </c>
      <c r="BU94">
        <f t="shared" si="7"/>
        <v>20</v>
      </c>
      <c r="BV94" s="23">
        <f t="shared" si="8"/>
        <v>0</v>
      </c>
    </row>
    <row r="95" spans="1:74" s="65" customFormat="1" ht="27">
      <c r="A95" s="1"/>
      <c r="B95" s="1" t="s">
        <v>218</v>
      </c>
      <c r="C95" s="1" t="s">
        <v>91</v>
      </c>
      <c r="D95" s="1" t="s">
        <v>220</v>
      </c>
      <c r="E95" s="6"/>
      <c r="F95" s="6"/>
      <c r="G95" s="6"/>
      <c r="H95" s="6"/>
      <c r="I95" s="6"/>
      <c r="J95" s="6"/>
      <c r="K95" s="6"/>
      <c r="L95" s="6"/>
      <c r="M95" s="6">
        <v>10</v>
      </c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>
        <v>10</v>
      </c>
      <c r="AB95" s="28"/>
      <c r="AC95" s="28"/>
      <c r="AD95" s="28">
        <v>10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>
        <v>10</v>
      </c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6"/>
        <v>40</v>
      </c>
      <c r="BR95" s="1">
        <v>19</v>
      </c>
      <c r="BS95" s="17">
        <v>2</v>
      </c>
      <c r="BT95" s="17" t="s">
        <v>247</v>
      </c>
      <c r="BU95">
        <f t="shared" si="7"/>
        <v>20</v>
      </c>
      <c r="BV95" s="23">
        <f t="shared" si="8"/>
        <v>0</v>
      </c>
    </row>
    <row r="96" spans="1:74" s="65" customFormat="1" ht="27">
      <c r="A96" s="1"/>
      <c r="B96" s="1" t="s">
        <v>201</v>
      </c>
      <c r="C96" s="1" t="s">
        <v>46</v>
      </c>
      <c r="D96" s="1" t="s">
        <v>199</v>
      </c>
      <c r="E96" s="6"/>
      <c r="F96" s="6"/>
      <c r="G96" s="6"/>
      <c r="H96" s="6"/>
      <c r="I96" s="6"/>
      <c r="J96" s="6"/>
      <c r="K96" s="6"/>
      <c r="L96" s="6">
        <v>10</v>
      </c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>
        <v>10</v>
      </c>
      <c r="Y96" s="28"/>
      <c r="Z96" s="28"/>
      <c r="AA96" s="28"/>
      <c r="AB96" s="28"/>
      <c r="AC96" s="28"/>
      <c r="AD96" s="28">
        <v>10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>
        <v>10</v>
      </c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ref="BQ96:BQ119" si="9">SUM(E96:BP96)</f>
        <v>40</v>
      </c>
      <c r="BR96" s="1">
        <v>20</v>
      </c>
      <c r="BS96" s="17">
        <v>2</v>
      </c>
      <c r="BT96" s="17" t="s">
        <v>270</v>
      </c>
      <c r="BU96">
        <f t="shared" ref="BU96:BU119" si="10">SUM(P96:AD96)</f>
        <v>20</v>
      </c>
      <c r="BV96" s="23">
        <f t="shared" ref="BV96:BV119" si="11">AF96+AH96+AI96+AJ96+AO96+AP96</f>
        <v>0</v>
      </c>
    </row>
    <row r="97" spans="1:74" s="65" customFormat="1" ht="27">
      <c r="A97" s="1"/>
      <c r="B97" s="1" t="s">
        <v>81</v>
      </c>
      <c r="C97" s="1" t="s">
        <v>78</v>
      </c>
      <c r="D97" s="1" t="s">
        <v>77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>
        <v>10</v>
      </c>
      <c r="AP97" s="1">
        <v>10</v>
      </c>
      <c r="AQ97" s="4"/>
      <c r="AR97" s="4"/>
      <c r="AS97" s="4">
        <v>5</v>
      </c>
      <c r="AT97" s="4"/>
      <c r="AU97" s="4"/>
      <c r="AV97" s="4"/>
      <c r="AW97" s="2"/>
      <c r="AX97" s="2">
        <v>5</v>
      </c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si="9"/>
        <v>30</v>
      </c>
      <c r="BR97" s="1">
        <v>20</v>
      </c>
      <c r="BS97" s="17">
        <v>2</v>
      </c>
      <c r="BT97" s="17" t="s">
        <v>259</v>
      </c>
      <c r="BU97">
        <f t="shared" si="10"/>
        <v>0</v>
      </c>
      <c r="BV97" s="23">
        <f t="shared" si="11"/>
        <v>20</v>
      </c>
    </row>
    <row r="98" spans="1:74" s="65" customFormat="1" ht="27">
      <c r="A98" s="18">
        <v>65</v>
      </c>
      <c r="B98" s="24" t="s">
        <v>223</v>
      </c>
      <c r="C98" s="18" t="s">
        <v>40</v>
      </c>
      <c r="D98" s="18" t="s">
        <v>8</v>
      </c>
      <c r="E98" s="19"/>
      <c r="F98" s="19"/>
      <c r="G98" s="19">
        <v>10</v>
      </c>
      <c r="H98" s="19"/>
      <c r="I98" s="19"/>
      <c r="J98" s="19"/>
      <c r="K98" s="19"/>
      <c r="L98" s="19"/>
      <c r="M98" s="19"/>
      <c r="N98" s="19"/>
      <c r="O98" s="1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18"/>
      <c r="AF98" s="18"/>
      <c r="AG98" s="18"/>
      <c r="AH98" s="18"/>
      <c r="AI98" s="18"/>
      <c r="AJ98" s="18"/>
      <c r="AK98" s="18"/>
      <c r="AL98" s="18"/>
      <c r="AM98" s="18"/>
      <c r="AN98" s="18">
        <v>25</v>
      </c>
      <c r="AO98" s="18"/>
      <c r="AP98" s="18"/>
      <c r="AQ98" s="20"/>
      <c r="AR98" s="20"/>
      <c r="AS98" s="20"/>
      <c r="AT98" s="20"/>
      <c r="AU98" s="20"/>
      <c r="AV98" s="20">
        <v>10</v>
      </c>
      <c r="AW98" s="21"/>
      <c r="AX98" s="21"/>
      <c r="AY98" s="21"/>
      <c r="AZ98" s="21">
        <v>10</v>
      </c>
      <c r="BA98" s="21"/>
      <c r="BB98" s="21"/>
      <c r="BC98" s="26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>
        <f t="shared" si="9"/>
        <v>55</v>
      </c>
      <c r="BR98" s="18">
        <v>28</v>
      </c>
      <c r="BS98" s="22">
        <v>2</v>
      </c>
      <c r="BT98" s="22" t="s">
        <v>320</v>
      </c>
      <c r="BU98">
        <f t="shared" si="10"/>
        <v>0</v>
      </c>
      <c r="BV98" s="23">
        <f t="shared" si="11"/>
        <v>0</v>
      </c>
    </row>
    <row r="99" spans="1:74" s="65" customFormat="1" ht="27">
      <c r="A99" s="1"/>
      <c r="B99" s="1" t="s">
        <v>211</v>
      </c>
      <c r="C99" s="1" t="s">
        <v>78</v>
      </c>
      <c r="D99" s="1" t="s">
        <v>79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>
        <v>40</v>
      </c>
      <c r="AW99" s="2">
        <v>40</v>
      </c>
      <c r="AX99" s="2"/>
      <c r="AY99" s="2"/>
      <c r="AZ99" s="2"/>
      <c r="BA99" s="2"/>
      <c r="BB99" s="2">
        <v>40</v>
      </c>
      <c r="BC99" s="14">
        <v>10</v>
      </c>
      <c r="BD99" s="1"/>
      <c r="BE99" s="1">
        <v>50</v>
      </c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180</v>
      </c>
      <c r="BR99" s="1">
        <v>28</v>
      </c>
      <c r="BS99" s="17">
        <v>2</v>
      </c>
      <c r="BT99" s="17" t="s">
        <v>321</v>
      </c>
      <c r="BU99">
        <f t="shared" si="10"/>
        <v>0</v>
      </c>
      <c r="BV99" s="23">
        <f t="shared" si="11"/>
        <v>0</v>
      </c>
    </row>
    <row r="100" spans="1:74" s="65" customFormat="1" ht="27">
      <c r="A100" s="1"/>
      <c r="B100" s="1" t="s">
        <v>260</v>
      </c>
      <c r="C100" s="1" t="s">
        <v>22</v>
      </c>
      <c r="D100" s="1" t="s">
        <v>226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>
        <v>40</v>
      </c>
      <c r="AR100" s="4"/>
      <c r="AS100" s="4"/>
      <c r="AT100" s="4"/>
      <c r="AU100" s="4"/>
      <c r="AV100" s="4"/>
      <c r="AW100" s="2">
        <v>40</v>
      </c>
      <c r="AX100" s="2"/>
      <c r="AY100" s="2"/>
      <c r="AZ100" s="2"/>
      <c r="BA100" s="2">
        <v>40</v>
      </c>
      <c r="BB100" s="2"/>
      <c r="BC100" s="14">
        <v>10</v>
      </c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130</v>
      </c>
      <c r="BR100" s="1">
        <v>35</v>
      </c>
      <c r="BS100" s="17">
        <v>2</v>
      </c>
      <c r="BT100" s="17" t="s">
        <v>323</v>
      </c>
      <c r="BU100">
        <f t="shared" si="10"/>
        <v>0</v>
      </c>
      <c r="BV100" s="23">
        <f t="shared" si="11"/>
        <v>0</v>
      </c>
    </row>
    <row r="101" spans="1:74" s="65" customFormat="1" ht="27">
      <c r="A101" s="1"/>
      <c r="B101" s="3" t="s">
        <v>235</v>
      </c>
      <c r="C101" s="3" t="s">
        <v>40</v>
      </c>
      <c r="D101" s="1" t="s">
        <v>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>
        <v>20</v>
      </c>
      <c r="X101" s="28"/>
      <c r="Y101" s="28"/>
      <c r="Z101" s="28">
        <v>20</v>
      </c>
      <c r="AA101" s="28"/>
      <c r="AB101" s="28"/>
      <c r="AC101" s="28">
        <v>20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60</v>
      </c>
      <c r="BR101" s="1">
        <v>36</v>
      </c>
      <c r="BS101" s="17">
        <v>2</v>
      </c>
      <c r="BT101" s="17" t="s">
        <v>322</v>
      </c>
      <c r="BU101">
        <f t="shared" si="10"/>
        <v>60</v>
      </c>
      <c r="BV101" s="23">
        <f t="shared" si="11"/>
        <v>0</v>
      </c>
    </row>
    <row r="102" spans="1:74" s="65" customFormat="1" ht="40.5">
      <c r="A102" s="1"/>
      <c r="B102" s="1" t="s">
        <v>233</v>
      </c>
      <c r="C102" s="1" t="s">
        <v>225</v>
      </c>
      <c r="D102" s="1" t="s">
        <v>8</v>
      </c>
      <c r="E102" s="6"/>
      <c r="F102" s="6"/>
      <c r="G102" s="6">
        <v>4</v>
      </c>
      <c r="H102" s="6">
        <v>4</v>
      </c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>
        <v>5</v>
      </c>
      <c r="AV102" s="4"/>
      <c r="AW102" s="2"/>
      <c r="AX102" s="2"/>
      <c r="AY102" s="2">
        <v>5</v>
      </c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18</v>
      </c>
      <c r="BR102" s="1">
        <v>4</v>
      </c>
      <c r="BS102" s="17">
        <v>3</v>
      </c>
      <c r="BT102" s="17" t="s">
        <v>304</v>
      </c>
      <c r="BU102">
        <f t="shared" si="10"/>
        <v>0</v>
      </c>
      <c r="BV102" s="23">
        <f t="shared" si="11"/>
        <v>0</v>
      </c>
    </row>
    <row r="103" spans="1:74" s="65" customFormat="1" ht="40.5">
      <c r="A103" s="1"/>
      <c r="B103" s="1" t="s">
        <v>200</v>
      </c>
      <c r="C103" s="1" t="s">
        <v>46</v>
      </c>
      <c r="D103" s="1" t="s">
        <v>198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>
        <v>2</v>
      </c>
      <c r="V103" s="28"/>
      <c r="W103" s="28">
        <v>5</v>
      </c>
      <c r="X103" s="28"/>
      <c r="Y103" s="28"/>
      <c r="Z103" s="28"/>
      <c r="AA103" s="28">
        <v>2</v>
      </c>
      <c r="AB103" s="28"/>
      <c r="AC103" s="28"/>
      <c r="AD103" s="28">
        <v>2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9"/>
        <v>11</v>
      </c>
      <c r="BR103" s="1">
        <v>5</v>
      </c>
      <c r="BS103" s="17">
        <v>3</v>
      </c>
      <c r="BT103" s="17" t="s">
        <v>324</v>
      </c>
      <c r="BU103">
        <f t="shared" si="10"/>
        <v>11</v>
      </c>
      <c r="BV103" s="23">
        <f t="shared" si="11"/>
        <v>0</v>
      </c>
    </row>
    <row r="104" spans="1:74" s="65" customFormat="1" ht="40.5">
      <c r="A104" s="1"/>
      <c r="B104" s="1" t="s">
        <v>237</v>
      </c>
      <c r="C104" s="1" t="s">
        <v>221</v>
      </c>
      <c r="D104" s="1" t="s">
        <v>76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>
        <v>2</v>
      </c>
      <c r="V104" s="28"/>
      <c r="W104" s="28"/>
      <c r="X104" s="28"/>
      <c r="Y104" s="28"/>
      <c r="Z104" s="28"/>
      <c r="AA104" s="28">
        <v>2</v>
      </c>
      <c r="AB104" s="28"/>
      <c r="AC104" s="28">
        <v>5</v>
      </c>
      <c r="AD104" s="28">
        <v>2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9"/>
        <v>11</v>
      </c>
      <c r="BR104" s="1">
        <v>7</v>
      </c>
      <c r="BS104" s="17">
        <v>3</v>
      </c>
      <c r="BT104" s="17" t="s">
        <v>271</v>
      </c>
      <c r="BU104">
        <f t="shared" si="10"/>
        <v>11</v>
      </c>
      <c r="BV104" s="23">
        <f t="shared" si="11"/>
        <v>0</v>
      </c>
    </row>
    <row r="105" spans="1:74" s="65" customFormat="1" ht="40.5">
      <c r="A105" s="1"/>
      <c r="B105" s="3" t="s">
        <v>165</v>
      </c>
      <c r="C105" s="3" t="s">
        <v>46</v>
      </c>
      <c r="D105" s="1" t="s">
        <v>166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>
        <v>5</v>
      </c>
      <c r="R105" s="28"/>
      <c r="S105" s="28"/>
      <c r="T105" s="28">
        <v>5</v>
      </c>
      <c r="U105" s="28"/>
      <c r="V105" s="28"/>
      <c r="W105" s="28">
        <v>5</v>
      </c>
      <c r="X105" s="28"/>
      <c r="Y105" s="28"/>
      <c r="Z105" s="28"/>
      <c r="AA105" s="28"/>
      <c r="AB105" s="28"/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9"/>
        <v>20</v>
      </c>
      <c r="BR105" s="1">
        <v>11</v>
      </c>
      <c r="BS105" s="17">
        <v>3</v>
      </c>
      <c r="BT105" s="17" t="s">
        <v>325</v>
      </c>
      <c r="BU105">
        <f t="shared" si="10"/>
        <v>20</v>
      </c>
      <c r="BV105" s="23">
        <f t="shared" si="11"/>
        <v>0</v>
      </c>
    </row>
    <row r="106" spans="1:74" s="65" customFormat="1" ht="40.5">
      <c r="A106" s="1"/>
      <c r="B106" s="1" t="s">
        <v>206</v>
      </c>
      <c r="C106" s="1" t="s">
        <v>33</v>
      </c>
      <c r="D106" s="1" t="s">
        <v>203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>
        <v>5</v>
      </c>
      <c r="R106" s="28"/>
      <c r="S106" s="28"/>
      <c r="T106" s="28"/>
      <c r="U106" s="28"/>
      <c r="V106" s="28"/>
      <c r="W106" s="28">
        <v>5</v>
      </c>
      <c r="X106" s="28"/>
      <c r="Y106" s="28"/>
      <c r="Z106" s="28">
        <v>5</v>
      </c>
      <c r="AA106" s="28"/>
      <c r="AB106" s="28"/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 t="shared" si="9"/>
        <v>20</v>
      </c>
      <c r="BR106" s="1">
        <v>11</v>
      </c>
      <c r="BS106" s="17">
        <v>3</v>
      </c>
      <c r="BT106" s="17" t="s">
        <v>272</v>
      </c>
      <c r="BU106">
        <f t="shared" si="10"/>
        <v>20</v>
      </c>
      <c r="BV106" s="23">
        <f t="shared" si="11"/>
        <v>0</v>
      </c>
    </row>
    <row r="107" spans="1:74" s="65" customFormat="1" ht="40.5">
      <c r="A107" s="1"/>
      <c r="B107" s="1" t="s">
        <v>218</v>
      </c>
      <c r="C107" s="1" t="s">
        <v>91</v>
      </c>
      <c r="D107" s="1" t="s">
        <v>219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>
        <v>5</v>
      </c>
      <c r="R107" s="28"/>
      <c r="S107" s="28"/>
      <c r="T107" s="28">
        <v>5</v>
      </c>
      <c r="U107" s="28"/>
      <c r="V107" s="28"/>
      <c r="W107" s="28">
        <v>5</v>
      </c>
      <c r="X107" s="28"/>
      <c r="Y107" s="28"/>
      <c r="Z107" s="28"/>
      <c r="AA107" s="28"/>
      <c r="AB107" s="28"/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 t="shared" si="9"/>
        <v>20</v>
      </c>
      <c r="BR107" s="1">
        <v>11</v>
      </c>
      <c r="BS107" s="17">
        <v>3</v>
      </c>
      <c r="BT107" s="17" t="s">
        <v>325</v>
      </c>
      <c r="BU107">
        <f t="shared" si="10"/>
        <v>20</v>
      </c>
      <c r="BV107" s="23">
        <f t="shared" si="11"/>
        <v>0</v>
      </c>
    </row>
    <row r="108" spans="1:74" s="65" customFormat="1" ht="40.5">
      <c r="A108" s="1">
        <v>89</v>
      </c>
      <c r="B108" s="3" t="s">
        <v>58</v>
      </c>
      <c r="C108" s="3" t="s">
        <v>59</v>
      </c>
      <c r="D108" s="1" t="s">
        <v>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>
        <v>5</v>
      </c>
      <c r="AG108" s="1"/>
      <c r="AH108" s="1">
        <v>5</v>
      </c>
      <c r="AI108" s="1">
        <v>5</v>
      </c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 t="shared" si="9"/>
        <v>15</v>
      </c>
      <c r="BR108" s="1">
        <v>11</v>
      </c>
      <c r="BS108" s="17">
        <v>3</v>
      </c>
      <c r="BT108" s="17" t="s">
        <v>326</v>
      </c>
      <c r="BU108">
        <f t="shared" si="10"/>
        <v>0</v>
      </c>
      <c r="BV108" s="23">
        <f t="shared" si="11"/>
        <v>15</v>
      </c>
    </row>
    <row r="109" spans="1:74" s="65" customFormat="1" ht="40.5">
      <c r="A109" s="1">
        <v>28</v>
      </c>
      <c r="B109" s="1" t="s">
        <v>53</v>
      </c>
      <c r="C109" s="1" t="s">
        <v>22</v>
      </c>
      <c r="D109" s="1" t="s">
        <v>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>
        <v>5</v>
      </c>
      <c r="AI109" s="1">
        <v>5</v>
      </c>
      <c r="AJ109" s="1">
        <v>5</v>
      </c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 t="shared" si="9"/>
        <v>15</v>
      </c>
      <c r="BR109" s="1">
        <v>15</v>
      </c>
      <c r="BS109" s="17">
        <v>3</v>
      </c>
      <c r="BT109" s="17" t="s">
        <v>327</v>
      </c>
      <c r="BU109">
        <f t="shared" si="10"/>
        <v>0</v>
      </c>
      <c r="BV109" s="23">
        <f t="shared" si="11"/>
        <v>15</v>
      </c>
    </row>
    <row r="110" spans="1:74" s="65" customFormat="1" ht="40.5">
      <c r="A110" s="1"/>
      <c r="B110" s="1" t="s">
        <v>237</v>
      </c>
      <c r="C110" s="1" t="s">
        <v>221</v>
      </c>
      <c r="D110" s="1" t="s">
        <v>220</v>
      </c>
      <c r="E110" s="6"/>
      <c r="F110" s="6"/>
      <c r="G110" s="6"/>
      <c r="H110" s="6"/>
      <c r="I110" s="6"/>
      <c r="J110" s="6"/>
      <c r="K110" s="6"/>
      <c r="L110" s="6"/>
      <c r="M110" s="6">
        <v>10</v>
      </c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>
        <v>10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 t="shared" si="9"/>
        <v>40</v>
      </c>
      <c r="BR110" s="1">
        <v>23</v>
      </c>
      <c r="BS110" s="17">
        <v>3</v>
      </c>
      <c r="BT110" s="17" t="s">
        <v>282</v>
      </c>
      <c r="BU110">
        <f t="shared" si="10"/>
        <v>30</v>
      </c>
      <c r="BV110" s="23">
        <f t="shared" si="11"/>
        <v>0</v>
      </c>
    </row>
    <row r="111" spans="1:74" s="65" customFormat="1" ht="40.5">
      <c r="A111" s="1"/>
      <c r="B111" s="1" t="s">
        <v>249</v>
      </c>
      <c r="C111" s="1" t="s">
        <v>118</v>
      </c>
      <c r="D111" s="1" t="s">
        <v>94</v>
      </c>
      <c r="E111" s="6"/>
      <c r="F111" s="6"/>
      <c r="G111" s="6">
        <v>10</v>
      </c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>
        <v>10</v>
      </c>
      <c r="Y111" s="28"/>
      <c r="Z111" s="28"/>
      <c r="AA111" s="28"/>
      <c r="AB111" s="28"/>
      <c r="AC111" s="28"/>
      <c r="AD111" s="28">
        <v>10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>
        <v>10</v>
      </c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 t="shared" si="9"/>
        <v>40</v>
      </c>
      <c r="BR111" s="1">
        <v>27</v>
      </c>
      <c r="BS111" s="17">
        <v>3</v>
      </c>
      <c r="BT111" s="17" t="s">
        <v>328</v>
      </c>
      <c r="BU111">
        <f t="shared" si="10"/>
        <v>20</v>
      </c>
      <c r="BV111" s="23">
        <f t="shared" si="11"/>
        <v>0</v>
      </c>
    </row>
    <row r="112" spans="1:74" s="65" customFormat="1" ht="40.5">
      <c r="A112" s="1"/>
      <c r="B112" s="1" t="s">
        <v>207</v>
      </c>
      <c r="C112" s="1" t="s">
        <v>89</v>
      </c>
      <c r="D112" s="1" t="s">
        <v>120</v>
      </c>
      <c r="E112" s="6"/>
      <c r="F112" s="6"/>
      <c r="G112" s="6">
        <v>10</v>
      </c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10</v>
      </c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 t="shared" si="9"/>
        <v>40</v>
      </c>
      <c r="BR112" s="1">
        <v>27</v>
      </c>
      <c r="BS112" s="17">
        <v>3</v>
      </c>
      <c r="BT112" s="17" t="s">
        <v>328</v>
      </c>
      <c r="BU112">
        <f t="shared" si="10"/>
        <v>20</v>
      </c>
      <c r="BV112" s="23">
        <f t="shared" si="11"/>
        <v>0</v>
      </c>
    </row>
    <row r="113" spans="1:74" s="65" customFormat="1" ht="40.5">
      <c r="A113" s="1"/>
      <c r="B113" s="3" t="s">
        <v>242</v>
      </c>
      <c r="C113" s="3" t="s">
        <v>170</v>
      </c>
      <c r="D113" s="1" t="s">
        <v>167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 t="shared" si="9"/>
        <v>40</v>
      </c>
      <c r="BR113" s="1">
        <v>27</v>
      </c>
      <c r="BS113" s="17">
        <v>3</v>
      </c>
      <c r="BT113" s="17" t="s">
        <v>329</v>
      </c>
      <c r="BU113">
        <f t="shared" si="10"/>
        <v>20</v>
      </c>
      <c r="BV113" s="23">
        <f t="shared" si="11"/>
        <v>0</v>
      </c>
    </row>
    <row r="114" spans="1:74" s="65" customFormat="1" ht="40.5">
      <c r="A114" s="1"/>
      <c r="B114" s="1" t="s">
        <v>240</v>
      </c>
      <c r="C114" s="1" t="s">
        <v>109</v>
      </c>
      <c r="D114" s="1" t="s">
        <v>199</v>
      </c>
      <c r="E114" s="6"/>
      <c r="F114" s="6"/>
      <c r="G114" s="6">
        <v>10</v>
      </c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10</v>
      </c>
      <c r="Y114" s="28"/>
      <c r="Z114" s="28"/>
      <c r="AA114" s="28"/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 t="shared" si="9"/>
        <v>40</v>
      </c>
      <c r="BR114" s="1">
        <v>27</v>
      </c>
      <c r="BS114" s="17">
        <v>3</v>
      </c>
      <c r="BT114" s="17" t="s">
        <v>329</v>
      </c>
      <c r="BU114">
        <f t="shared" si="10"/>
        <v>20</v>
      </c>
      <c r="BV114" s="23">
        <f t="shared" si="11"/>
        <v>0</v>
      </c>
    </row>
    <row r="115" spans="1:74" s="65" customFormat="1" ht="40.5">
      <c r="A115" s="1"/>
      <c r="B115" s="1" t="s">
        <v>227</v>
      </c>
      <c r="C115" s="1" t="s">
        <v>228</v>
      </c>
      <c r="D115" s="1" t="s">
        <v>229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/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 t="shared" si="9"/>
        <v>40</v>
      </c>
      <c r="BR115" s="1">
        <v>27</v>
      </c>
      <c r="BS115" s="17">
        <v>3</v>
      </c>
      <c r="BT115" s="17" t="s">
        <v>328</v>
      </c>
      <c r="BU115">
        <f t="shared" si="10"/>
        <v>20</v>
      </c>
      <c r="BV115" s="23">
        <f t="shared" si="11"/>
        <v>0</v>
      </c>
    </row>
    <row r="116" spans="1:74" s="65" customFormat="1" ht="40.5">
      <c r="A116" s="1"/>
      <c r="B116" s="3" t="s">
        <v>209</v>
      </c>
      <c r="C116" s="3" t="s">
        <v>169</v>
      </c>
      <c r="D116" s="1" t="s">
        <v>167</v>
      </c>
      <c r="E116" s="6"/>
      <c r="F116" s="6"/>
      <c r="G116" s="6"/>
      <c r="H116" s="6"/>
      <c r="I116" s="6"/>
      <c r="J116" s="6"/>
      <c r="K116" s="6"/>
      <c r="L116" s="6"/>
      <c r="M116" s="6"/>
      <c r="N116" s="6">
        <v>10</v>
      </c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>
        <v>10</v>
      </c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 t="shared" si="9"/>
        <v>40</v>
      </c>
      <c r="BR116" s="1">
        <v>29</v>
      </c>
      <c r="BS116" s="17">
        <v>3</v>
      </c>
      <c r="BT116" s="17" t="s">
        <v>273</v>
      </c>
      <c r="BU116">
        <f t="shared" si="10"/>
        <v>30</v>
      </c>
      <c r="BV116" s="23">
        <f t="shared" si="11"/>
        <v>0</v>
      </c>
    </row>
    <row r="117" spans="1:74" s="65" customFormat="1" ht="54">
      <c r="A117" s="1"/>
      <c r="B117" s="3" t="s">
        <v>209</v>
      </c>
      <c r="C117" s="3" t="s">
        <v>169</v>
      </c>
      <c r="D117" s="1" t="s">
        <v>0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2</v>
      </c>
      <c r="Y117" s="28"/>
      <c r="Z117" s="28"/>
      <c r="AA117" s="28">
        <v>2</v>
      </c>
      <c r="AB117" s="28"/>
      <c r="AC117" s="28">
        <v>5</v>
      </c>
      <c r="AD117" s="28">
        <v>2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 t="shared" si="9"/>
        <v>11</v>
      </c>
      <c r="BR117" s="1">
        <v>9</v>
      </c>
      <c r="BS117" s="17">
        <v>4</v>
      </c>
      <c r="BT117" s="17" t="s">
        <v>274</v>
      </c>
      <c r="BU117">
        <f t="shared" si="10"/>
        <v>11</v>
      </c>
      <c r="BV117" s="23">
        <f t="shared" si="11"/>
        <v>0</v>
      </c>
    </row>
    <row r="118" spans="1:74" s="65" customFormat="1" ht="54">
      <c r="A118" s="1"/>
      <c r="B118" s="1" t="s">
        <v>232</v>
      </c>
      <c r="C118" s="1" t="s">
        <v>48</v>
      </c>
      <c r="D118" s="1" t="s">
        <v>198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2</v>
      </c>
      <c r="Y118" s="28"/>
      <c r="Z118" s="28"/>
      <c r="AA118" s="28">
        <v>2</v>
      </c>
      <c r="AB118" s="28"/>
      <c r="AC118" s="28">
        <v>5</v>
      </c>
      <c r="AD118" s="28">
        <v>2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 t="shared" si="9"/>
        <v>11</v>
      </c>
      <c r="BR118" s="1">
        <v>9</v>
      </c>
      <c r="BS118" s="17">
        <v>4</v>
      </c>
      <c r="BT118" s="17" t="s">
        <v>330</v>
      </c>
      <c r="BU118">
        <f t="shared" si="10"/>
        <v>11</v>
      </c>
      <c r="BV118" s="23">
        <f t="shared" si="11"/>
        <v>0</v>
      </c>
    </row>
    <row r="119" spans="1:74" ht="54">
      <c r="A119" s="1"/>
      <c r="B119" s="1" t="s">
        <v>126</v>
      </c>
      <c r="C119" s="1" t="s">
        <v>89</v>
      </c>
      <c r="D119" s="1" t="s">
        <v>76</v>
      </c>
      <c r="E119" s="6"/>
      <c r="F119" s="6"/>
      <c r="G119" s="6">
        <v>20</v>
      </c>
      <c r="H119" s="6">
        <v>20</v>
      </c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>
        <v>20</v>
      </c>
      <c r="BB119" s="2">
        <v>20</v>
      </c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 t="shared" si="9"/>
        <v>80</v>
      </c>
      <c r="BR119" s="1">
        <v>44</v>
      </c>
      <c r="BS119" s="17">
        <v>4</v>
      </c>
      <c r="BT119" s="17" t="s">
        <v>331</v>
      </c>
      <c r="BU119">
        <f t="shared" si="10"/>
        <v>0</v>
      </c>
      <c r="BV119" s="23">
        <f t="shared" si="11"/>
        <v>0</v>
      </c>
    </row>
    <row r="120" spans="1:74">
      <c r="A120" s="1"/>
      <c r="B120" s="1" t="s">
        <v>50</v>
      </c>
      <c r="C120" s="1"/>
      <c r="D120" s="1"/>
      <c r="E120" s="6">
        <f>SUM(E2:E119)</f>
        <v>80</v>
      </c>
      <c r="F120" s="6">
        <f>SUM(F2:F119)</f>
        <v>15</v>
      </c>
      <c r="G120" s="6">
        <f>SUM(G2:G119)</f>
        <v>109</v>
      </c>
      <c r="H120" s="6">
        <f>SUM(H2:H119)</f>
        <v>99</v>
      </c>
      <c r="I120" s="6">
        <f>SUM(I2:I119)</f>
        <v>37</v>
      </c>
      <c r="J120" s="6">
        <f>SUM(J2:J119)</f>
        <v>60</v>
      </c>
      <c r="K120" s="6">
        <f>SUM(K2:K119)</f>
        <v>35</v>
      </c>
      <c r="L120" s="6">
        <f>SUM(L2:L119)</f>
        <v>37</v>
      </c>
      <c r="M120" s="6">
        <f>SUM(M2:M119)</f>
        <v>50</v>
      </c>
      <c r="N120" s="6">
        <f>SUM(N2:N119)</f>
        <v>20</v>
      </c>
      <c r="O120" s="6">
        <f>SUM(O2:O119)</f>
        <v>25</v>
      </c>
      <c r="P120" s="28">
        <f>SUM(P2:P119)</f>
        <v>100</v>
      </c>
      <c r="Q120" s="28">
        <f>SUM(Q2:Q119)</f>
        <v>104</v>
      </c>
      <c r="R120" s="28">
        <f>SUM(R2:R119)</f>
        <v>205</v>
      </c>
      <c r="S120" s="28">
        <f>SUM(S2:S119)</f>
        <v>100</v>
      </c>
      <c r="T120" s="28">
        <f>SUM(T2:T119)</f>
        <v>89</v>
      </c>
      <c r="U120" s="28">
        <f>SUM(U2:U119)</f>
        <v>170</v>
      </c>
      <c r="V120" s="28">
        <f>SUM(V2:V119)</f>
        <v>105</v>
      </c>
      <c r="W120" s="28">
        <f>SUM(W2:W119)</f>
        <v>75</v>
      </c>
      <c r="X120" s="28">
        <f>SUM(X2:X119)</f>
        <v>181</v>
      </c>
      <c r="Y120" s="28">
        <f>SUM(Y2:Y119)</f>
        <v>95</v>
      </c>
      <c r="Z120" s="28">
        <f>SUM(Z2:Z119)</f>
        <v>100</v>
      </c>
      <c r="AA120" s="28">
        <f>SUM(AA2:AA119)</f>
        <v>136</v>
      </c>
      <c r="AB120" s="28">
        <f>SUM(AB2:AB119)</f>
        <v>140</v>
      </c>
      <c r="AC120" s="28">
        <f>SUM(AC2:AC119)</f>
        <v>85</v>
      </c>
      <c r="AD120" s="28">
        <f>SUM(AD2:AD119)</f>
        <v>142</v>
      </c>
      <c r="AE120" s="1">
        <f>SUM(AE2:AE119)</f>
        <v>250</v>
      </c>
      <c r="AF120" s="1">
        <f>SUM(AF2:AF119)</f>
        <v>5</v>
      </c>
      <c r="AG120" s="1">
        <f>SUM(AG2:AG119)</f>
        <v>0</v>
      </c>
      <c r="AH120" s="1">
        <f>SUM(AH2:AH119)</f>
        <v>30</v>
      </c>
      <c r="AI120" s="1">
        <f>SUM(AI2:AI119)</f>
        <v>30</v>
      </c>
      <c r="AJ120" s="1">
        <f>SUM(AJ2:AJ119)</f>
        <v>5</v>
      </c>
      <c r="AK120" s="1">
        <f>SUM(AK2:AK119)</f>
        <v>0</v>
      </c>
      <c r="AL120" s="1">
        <f>SUM(AL2:AL119)</f>
        <v>0</v>
      </c>
      <c r="AM120" s="1">
        <f>SUM(AM2:AM119)</f>
        <v>0</v>
      </c>
      <c r="AN120" s="1">
        <f>SUM(AN2:AN119)</f>
        <v>40</v>
      </c>
      <c r="AO120" s="1">
        <f>SUM(AO2:AO119)</f>
        <v>33</v>
      </c>
      <c r="AP120" s="1">
        <f>SUM(AP2:AP119)</f>
        <v>27</v>
      </c>
      <c r="AQ120" s="4">
        <f>SUM(AQ2:AQ119)</f>
        <v>100</v>
      </c>
      <c r="AR120" s="4">
        <f>SUM(AR2:AR119)</f>
        <v>65</v>
      </c>
      <c r="AS120" s="4">
        <f>SUM(AS2:AS119)</f>
        <v>55</v>
      </c>
      <c r="AT120" s="4">
        <f>SUM(AT2:AT119)</f>
        <v>50</v>
      </c>
      <c r="AU120" s="4">
        <f>SUM(AU2:AU119)</f>
        <v>65</v>
      </c>
      <c r="AV120" s="4">
        <f>SUM(AV2:AV119)</f>
        <v>155</v>
      </c>
      <c r="AW120" s="2">
        <f>SUM(AW2:AW119)</f>
        <v>145</v>
      </c>
      <c r="AX120" s="2">
        <f>SUM(AX2:AX119)</f>
        <v>20</v>
      </c>
      <c r="AY120" s="2">
        <f>SUM(AY2:AY119)</f>
        <v>15</v>
      </c>
      <c r="AZ120" s="2">
        <f>SUM(AZ2:AZ119)</f>
        <v>60</v>
      </c>
      <c r="BA120" s="2">
        <f>SUM(BA2:BA119)</f>
        <v>75</v>
      </c>
      <c r="BB120" s="2">
        <f>SUM(BB2:BB119)</f>
        <v>85</v>
      </c>
      <c r="BC120" s="1">
        <f>SUM(BC2:BC119)</f>
        <v>20</v>
      </c>
      <c r="BD120" s="1">
        <f>SUM(BD2:BD119)</f>
        <v>20</v>
      </c>
      <c r="BE120" s="1">
        <f>SUM(BE2:BE119)</f>
        <v>70</v>
      </c>
      <c r="BF120" s="1">
        <f>SUM(BF2:BF119)</f>
        <v>20</v>
      </c>
      <c r="BG120" s="1">
        <f>SUM(BG2:BG119)</f>
        <v>0</v>
      </c>
      <c r="BH120" s="1">
        <f>SUM(BH2:BH119)</f>
        <v>0</v>
      </c>
      <c r="BI120" s="1">
        <f>SUM(BI2:BI119)</f>
        <v>70</v>
      </c>
      <c r="BJ120" s="1">
        <f>SUM(BJ2:BJ119)</f>
        <v>70</v>
      </c>
      <c r="BK120" s="1">
        <f>SUM(BK2:BK119)</f>
        <v>200</v>
      </c>
      <c r="BL120" s="1">
        <f>SUM(BL2:BL119)</f>
        <v>200</v>
      </c>
      <c r="BM120" s="1">
        <f>SUM(BM2:BM119)</f>
        <v>150</v>
      </c>
      <c r="BN120" s="1">
        <f>SUM(BN2:BN119)</f>
        <v>150</v>
      </c>
      <c r="BO120" s="1">
        <f>SUM(BO2:BO119)</f>
        <v>350</v>
      </c>
      <c r="BP120" s="1">
        <f>SUM(BP2:BP119)</f>
        <v>350</v>
      </c>
      <c r="BQ120" s="1"/>
      <c r="BR120" s="1"/>
      <c r="BS120" s="17"/>
      <c r="BT120" s="17"/>
    </row>
    <row r="121" spans="1:74">
      <c r="A121" s="1"/>
      <c r="B121" s="3" t="s">
        <v>67</v>
      </c>
      <c r="C121" s="1"/>
      <c r="D121" s="1"/>
      <c r="E121" s="1">
        <v>15</v>
      </c>
      <c r="F121" s="1">
        <v>52</v>
      </c>
      <c r="G121" s="1">
        <v>3</v>
      </c>
      <c r="H121" s="1">
        <v>2</v>
      </c>
      <c r="I121" s="1">
        <v>101</v>
      </c>
      <c r="J121" s="1">
        <v>105</v>
      </c>
      <c r="K121" s="1">
        <v>74</v>
      </c>
      <c r="L121" s="1">
        <v>63</v>
      </c>
      <c r="M121" s="1">
        <v>67</v>
      </c>
      <c r="N121" s="1">
        <v>127</v>
      </c>
      <c r="O121" s="1">
        <v>48</v>
      </c>
      <c r="P121" s="14">
        <v>43</v>
      </c>
      <c r="Q121" s="14">
        <v>0</v>
      </c>
      <c r="R121" s="14">
        <v>12</v>
      </c>
      <c r="S121" s="14">
        <v>103</v>
      </c>
      <c r="T121" s="14">
        <v>26</v>
      </c>
      <c r="U121" s="14">
        <v>6</v>
      </c>
      <c r="V121" s="14">
        <v>25</v>
      </c>
      <c r="W121" s="14">
        <v>3</v>
      </c>
      <c r="X121" s="14">
        <v>0</v>
      </c>
      <c r="Y121" s="14">
        <v>7</v>
      </c>
      <c r="Z121" s="14">
        <v>32</v>
      </c>
      <c r="AA121" s="14">
        <v>1</v>
      </c>
      <c r="AB121" s="14">
        <v>58</v>
      </c>
      <c r="AC121" s="14">
        <v>1</v>
      </c>
      <c r="AD121" s="14">
        <v>0</v>
      </c>
      <c r="AE121" s="1">
        <v>24</v>
      </c>
      <c r="AF121" s="1">
        <v>0</v>
      </c>
      <c r="AG121" s="1">
        <v>8</v>
      </c>
      <c r="AH121" s="1">
        <v>0</v>
      </c>
      <c r="AI121" s="1">
        <v>0</v>
      </c>
      <c r="AJ121" s="1">
        <v>0</v>
      </c>
      <c r="AK121" s="1">
        <v>23</v>
      </c>
      <c r="AL121" s="1">
        <v>33</v>
      </c>
      <c r="AM121" s="1">
        <v>0</v>
      </c>
      <c r="AN121" s="1">
        <v>4</v>
      </c>
      <c r="AO121" s="1">
        <v>0</v>
      </c>
      <c r="AP121" s="1">
        <v>0</v>
      </c>
      <c r="AQ121" s="14">
        <v>45</v>
      </c>
      <c r="AR121" s="14">
        <v>30</v>
      </c>
      <c r="AS121" s="14">
        <v>46</v>
      </c>
      <c r="AT121" s="14">
        <v>38</v>
      </c>
      <c r="AU121" s="14">
        <v>18</v>
      </c>
      <c r="AV121" s="14">
        <v>143</v>
      </c>
      <c r="AW121" s="14">
        <v>68</v>
      </c>
      <c r="AX121" s="14">
        <v>49</v>
      </c>
      <c r="AY121" s="14">
        <v>4</v>
      </c>
      <c r="AZ121" s="14">
        <v>38</v>
      </c>
      <c r="BA121" s="14">
        <v>12</v>
      </c>
      <c r="BB121" s="14">
        <v>19</v>
      </c>
      <c r="BC121" s="14">
        <v>3</v>
      </c>
      <c r="BD121" s="1">
        <v>5</v>
      </c>
      <c r="BE121" s="1">
        <v>255</v>
      </c>
      <c r="BF121" s="1">
        <v>396</v>
      </c>
      <c r="BG121" s="1">
        <v>312</v>
      </c>
      <c r="BH121" s="1">
        <v>330</v>
      </c>
      <c r="BI121" s="1">
        <v>162</v>
      </c>
      <c r="BJ121" s="1">
        <v>195</v>
      </c>
      <c r="BK121" s="1">
        <v>112</v>
      </c>
      <c r="BL121" s="1">
        <v>121</v>
      </c>
      <c r="BM121" s="1">
        <v>193</v>
      </c>
      <c r="BN121" s="1">
        <v>69</v>
      </c>
      <c r="BO121" s="1">
        <v>37</v>
      </c>
      <c r="BP121" s="1">
        <v>51</v>
      </c>
      <c r="BQ121" s="1"/>
      <c r="BR121" s="1"/>
      <c r="BS121" s="17"/>
      <c r="BT121" s="17"/>
    </row>
    <row r="122" spans="1:74">
      <c r="A122" s="1"/>
      <c r="B122" s="3" t="s">
        <v>74</v>
      </c>
      <c r="C122" s="1"/>
      <c r="D122" s="1"/>
      <c r="E122" s="1">
        <f t="shared" ref="E122:AJ122" si="12">E121-E120</f>
        <v>-65</v>
      </c>
      <c r="F122" s="1">
        <f t="shared" si="12"/>
        <v>37</v>
      </c>
      <c r="G122" s="1">
        <f t="shared" si="12"/>
        <v>-106</v>
      </c>
      <c r="H122" s="1">
        <f t="shared" si="12"/>
        <v>-97</v>
      </c>
      <c r="I122" s="1">
        <f t="shared" si="12"/>
        <v>64</v>
      </c>
      <c r="J122" s="1">
        <f t="shared" si="12"/>
        <v>45</v>
      </c>
      <c r="K122" s="1">
        <f t="shared" si="12"/>
        <v>39</v>
      </c>
      <c r="L122" s="1">
        <f t="shared" si="12"/>
        <v>26</v>
      </c>
      <c r="M122" s="1">
        <f t="shared" si="12"/>
        <v>17</v>
      </c>
      <c r="N122" s="1">
        <f t="shared" si="12"/>
        <v>107</v>
      </c>
      <c r="O122" s="1">
        <f t="shared" si="12"/>
        <v>23</v>
      </c>
      <c r="P122" s="1">
        <f t="shared" si="12"/>
        <v>-57</v>
      </c>
      <c r="Q122" s="1">
        <f t="shared" si="12"/>
        <v>-104</v>
      </c>
      <c r="R122" s="1">
        <f t="shared" si="12"/>
        <v>-193</v>
      </c>
      <c r="S122" s="1">
        <f t="shared" si="12"/>
        <v>3</v>
      </c>
      <c r="T122" s="1">
        <f t="shared" si="12"/>
        <v>-63</v>
      </c>
      <c r="U122" s="1">
        <f t="shared" si="12"/>
        <v>-164</v>
      </c>
      <c r="V122" s="1">
        <f t="shared" si="12"/>
        <v>-80</v>
      </c>
      <c r="W122" s="1">
        <f t="shared" si="12"/>
        <v>-72</v>
      </c>
      <c r="X122" s="1">
        <f t="shared" si="12"/>
        <v>-181</v>
      </c>
      <c r="Y122" s="1">
        <f t="shared" si="12"/>
        <v>-88</v>
      </c>
      <c r="Z122" s="1">
        <f t="shared" si="12"/>
        <v>-68</v>
      </c>
      <c r="AA122" s="1">
        <f t="shared" si="12"/>
        <v>-135</v>
      </c>
      <c r="AB122" s="1">
        <f t="shared" si="12"/>
        <v>-82</v>
      </c>
      <c r="AC122" s="1">
        <f t="shared" si="12"/>
        <v>-84</v>
      </c>
      <c r="AD122" s="1">
        <f t="shared" si="12"/>
        <v>-142</v>
      </c>
      <c r="AE122" s="1">
        <f t="shared" si="12"/>
        <v>-226</v>
      </c>
      <c r="AF122" s="1">
        <f t="shared" si="12"/>
        <v>-5</v>
      </c>
      <c r="AG122" s="1">
        <f t="shared" si="12"/>
        <v>8</v>
      </c>
      <c r="AH122" s="1">
        <f t="shared" si="12"/>
        <v>-30</v>
      </c>
      <c r="AI122" s="1">
        <f t="shared" si="12"/>
        <v>-30</v>
      </c>
      <c r="AJ122" s="1">
        <f t="shared" si="12"/>
        <v>-5</v>
      </c>
      <c r="AK122" s="1">
        <f t="shared" ref="AK122:BP122" si="13">AK121-AK120</f>
        <v>23</v>
      </c>
      <c r="AL122" s="1">
        <f t="shared" si="13"/>
        <v>33</v>
      </c>
      <c r="AM122" s="1">
        <f t="shared" si="13"/>
        <v>0</v>
      </c>
      <c r="AN122" s="1">
        <f t="shared" si="13"/>
        <v>-36</v>
      </c>
      <c r="AO122" s="1">
        <f t="shared" si="13"/>
        <v>-33</v>
      </c>
      <c r="AP122" s="1">
        <f t="shared" si="13"/>
        <v>-27</v>
      </c>
      <c r="AQ122" s="1">
        <f t="shared" si="13"/>
        <v>-55</v>
      </c>
      <c r="AR122" s="1">
        <f t="shared" si="13"/>
        <v>-35</v>
      </c>
      <c r="AS122" s="1">
        <f t="shared" si="13"/>
        <v>-9</v>
      </c>
      <c r="AT122" s="1">
        <f t="shared" si="13"/>
        <v>-12</v>
      </c>
      <c r="AU122" s="1">
        <f t="shared" si="13"/>
        <v>-47</v>
      </c>
      <c r="AV122" s="1">
        <f t="shared" si="13"/>
        <v>-12</v>
      </c>
      <c r="AW122" s="1">
        <f t="shared" si="13"/>
        <v>-77</v>
      </c>
      <c r="AX122" s="1">
        <f t="shared" si="13"/>
        <v>29</v>
      </c>
      <c r="AY122" s="1">
        <f t="shared" si="13"/>
        <v>-11</v>
      </c>
      <c r="AZ122" s="1">
        <f t="shared" si="13"/>
        <v>-22</v>
      </c>
      <c r="BA122" s="1">
        <f t="shared" si="13"/>
        <v>-63</v>
      </c>
      <c r="BB122" s="1">
        <f t="shared" si="13"/>
        <v>-66</v>
      </c>
      <c r="BC122" s="1">
        <f t="shared" si="13"/>
        <v>-17</v>
      </c>
      <c r="BD122" s="1">
        <f t="shared" si="13"/>
        <v>-15</v>
      </c>
      <c r="BE122" s="1">
        <f t="shared" si="13"/>
        <v>185</v>
      </c>
      <c r="BF122" s="1">
        <f t="shared" si="13"/>
        <v>376</v>
      </c>
      <c r="BG122" s="1">
        <f t="shared" si="13"/>
        <v>312</v>
      </c>
      <c r="BH122" s="1">
        <f t="shared" si="13"/>
        <v>330</v>
      </c>
      <c r="BI122" s="1">
        <f t="shared" si="13"/>
        <v>92</v>
      </c>
      <c r="BJ122" s="1">
        <f t="shared" si="13"/>
        <v>125</v>
      </c>
      <c r="BK122" s="1">
        <f t="shared" si="13"/>
        <v>-88</v>
      </c>
      <c r="BL122" s="1">
        <f t="shared" si="13"/>
        <v>-79</v>
      </c>
      <c r="BM122" s="1">
        <f t="shared" si="13"/>
        <v>43</v>
      </c>
      <c r="BN122" s="1">
        <f t="shared" si="13"/>
        <v>-81</v>
      </c>
      <c r="BO122" s="1">
        <f t="shared" si="13"/>
        <v>-313</v>
      </c>
      <c r="BP122" s="1">
        <f t="shared" si="13"/>
        <v>-299</v>
      </c>
      <c r="BQ122" s="1"/>
      <c r="BR122" s="1"/>
      <c r="BS122" s="17"/>
      <c r="BT122" s="17"/>
    </row>
    <row r="123" spans="1:74">
      <c r="A123" s="1"/>
      <c r="B123" s="3" t="s">
        <v>129</v>
      </c>
      <c r="C123" s="1"/>
      <c r="D123" s="1"/>
      <c r="E123" s="1">
        <f>MAX(E2:E119)</f>
        <v>15</v>
      </c>
      <c r="F123" s="1">
        <f>MAX(F2:F119)</f>
        <v>15</v>
      </c>
      <c r="G123" s="1">
        <f>MAX(G2:G119)</f>
        <v>20</v>
      </c>
      <c r="H123" s="1">
        <f>MAX(H2:H119)</f>
        <v>20</v>
      </c>
      <c r="I123" s="1">
        <f>MAX(I2:I119)</f>
        <v>10</v>
      </c>
      <c r="J123" s="1">
        <f>MAX(J2:J119)</f>
        <v>10</v>
      </c>
      <c r="K123" s="1">
        <f>MAX(K2:K119)</f>
        <v>15</v>
      </c>
      <c r="L123" s="1">
        <f>MAX(L2:L119)</f>
        <v>10</v>
      </c>
      <c r="M123" s="1">
        <f>MAX(M2:M119)</f>
        <v>10</v>
      </c>
      <c r="N123" s="1">
        <f>MAX(N2:N119)</f>
        <v>10</v>
      </c>
      <c r="O123" s="1">
        <f>MAX(O2:O119)</f>
        <v>10</v>
      </c>
      <c r="P123" s="1">
        <f>MAX(P2:P119)</f>
        <v>10</v>
      </c>
      <c r="Q123" s="1">
        <f>MAX(Q2:Q119)</f>
        <v>7</v>
      </c>
      <c r="R123" s="1">
        <f>MAX(R2:R119)</f>
        <v>10</v>
      </c>
      <c r="S123" s="1">
        <f>MAX(S2:S119)</f>
        <v>10</v>
      </c>
      <c r="T123" s="1">
        <f>MAX(T2:T119)</f>
        <v>7</v>
      </c>
      <c r="U123" s="1">
        <f>MAX(U2:U119)</f>
        <v>10</v>
      </c>
      <c r="V123" s="1">
        <f>MAX(V2:V119)</f>
        <v>10</v>
      </c>
      <c r="W123" s="1">
        <f>MAX(W2:W119)</f>
        <v>20</v>
      </c>
      <c r="X123" s="1">
        <f>MAX(X2:X119)</f>
        <v>10</v>
      </c>
      <c r="Y123" s="1">
        <f>MAX(Y2:Y119)</f>
        <v>10</v>
      </c>
      <c r="Z123" s="1">
        <f>MAX(Z2:Z119)</f>
        <v>20</v>
      </c>
      <c r="AA123" s="1">
        <f>MAX(AA2:AA119)</f>
        <v>10</v>
      </c>
      <c r="AB123" s="1">
        <f>MAX(AB2:AB119)</f>
        <v>10</v>
      </c>
      <c r="AC123" s="1">
        <f>MAX(AC2:AC119)</f>
        <v>20</v>
      </c>
      <c r="AD123" s="1">
        <f>MAX(AD2:AD119)</f>
        <v>10</v>
      </c>
      <c r="AE123" s="1">
        <f>MAX(AE2:AE119)</f>
        <v>200</v>
      </c>
      <c r="AF123" s="1">
        <f>MAX(AF2:AF119)</f>
        <v>5</v>
      </c>
      <c r="AG123" s="1">
        <f>MAX(AG2:AG119)</f>
        <v>0</v>
      </c>
      <c r="AH123" s="1">
        <f>MAX(AH2:AH119)</f>
        <v>5</v>
      </c>
      <c r="AI123" s="1">
        <f>MAX(AI2:AI119)</f>
        <v>5</v>
      </c>
      <c r="AJ123" s="1">
        <f>MAX(AJ2:AJ119)</f>
        <v>5</v>
      </c>
      <c r="AK123" s="1">
        <f>MAX(AK2:AK119)</f>
        <v>0</v>
      </c>
      <c r="AL123" s="1">
        <f>MAX(AL2:AL119)</f>
        <v>0</v>
      </c>
      <c r="AM123" s="1">
        <f>MAX(AM2:AM119)</f>
        <v>0</v>
      </c>
      <c r="AN123" s="1">
        <f>MAX(AN2:AN119)</f>
        <v>25</v>
      </c>
      <c r="AO123" s="1">
        <f>MAX(AO2:AO119)</f>
        <v>10</v>
      </c>
      <c r="AP123" s="1">
        <f>MAX(AP2:AP119)</f>
        <v>10</v>
      </c>
      <c r="AQ123" s="1">
        <f>MAX(AQ2:AQ119)</f>
        <v>40</v>
      </c>
      <c r="AR123" s="1">
        <f>MAX(AR2:AR119)</f>
        <v>15</v>
      </c>
      <c r="AS123" s="1">
        <f>MAX(AS2:AS119)</f>
        <v>10</v>
      </c>
      <c r="AT123" s="1">
        <f>MAX(AT2:AT119)</f>
        <v>10</v>
      </c>
      <c r="AU123" s="1">
        <f>MAX(AU2:AU119)</f>
        <v>10</v>
      </c>
      <c r="AV123" s="1">
        <f>MAX(AV2:AV119)</f>
        <v>40</v>
      </c>
      <c r="AW123" s="1">
        <f>MAX(AW2:AW119)</f>
        <v>50</v>
      </c>
      <c r="AX123" s="1">
        <f>MAX(AX2:AX119)</f>
        <v>15</v>
      </c>
      <c r="AY123" s="1">
        <f>MAX(AY2:AY119)</f>
        <v>10</v>
      </c>
      <c r="AZ123" s="1">
        <f>MAX(AZ2:AZ119)</f>
        <v>50</v>
      </c>
      <c r="BA123" s="1">
        <f>MAX(BA2:BA119)</f>
        <v>40</v>
      </c>
      <c r="BB123" s="1">
        <f>MAX(BB2:BB119)</f>
        <v>40</v>
      </c>
      <c r="BC123" s="1">
        <f>MAX(BC2:BC119)</f>
        <v>10</v>
      </c>
      <c r="BD123" s="1">
        <f>MAX(BD2:BD119)</f>
        <v>10</v>
      </c>
      <c r="BE123" s="1">
        <f>MAX(BE2:BE119)</f>
        <v>50</v>
      </c>
      <c r="BF123" s="1">
        <f>MAX(BF2:BF119)</f>
        <v>20</v>
      </c>
      <c r="BG123" s="1">
        <f>MAX(BG2:BG119)</f>
        <v>0</v>
      </c>
      <c r="BH123" s="1">
        <f>MAX(BH2:BH119)</f>
        <v>0</v>
      </c>
      <c r="BI123" s="1">
        <f>MAX(BI2:BI119)</f>
        <v>50</v>
      </c>
      <c r="BJ123" s="1">
        <f>MAX(BJ2:BJ119)</f>
        <v>50</v>
      </c>
      <c r="BK123" s="1">
        <f>MAX(BK2:BK119)</f>
        <v>50</v>
      </c>
      <c r="BL123" s="1">
        <f>MAX(BL2:BL119)</f>
        <v>50</v>
      </c>
      <c r="BM123" s="1">
        <f>MAX(BM2:BM119)</f>
        <v>50</v>
      </c>
      <c r="BN123" s="1">
        <f>MAX(BN2:BN119)</f>
        <v>50</v>
      </c>
      <c r="BO123" s="1">
        <f>MAX(BO2:BO119)</f>
        <v>50</v>
      </c>
      <c r="BP123" s="1">
        <f>MAX(BP2:BP119)</f>
        <v>50</v>
      </c>
      <c r="BQ123" s="1"/>
      <c r="BR123" s="1"/>
      <c r="BS123" s="17"/>
      <c r="BT123" s="17"/>
    </row>
    <row r="124" spans="1:74">
      <c r="A124" s="1"/>
      <c r="B124" s="3" t="s">
        <v>130</v>
      </c>
      <c r="C124" s="1"/>
      <c r="D124" s="1"/>
      <c r="E124" s="1">
        <f>MIN(E2:E119)</f>
        <v>5</v>
      </c>
      <c r="F124" s="1">
        <f>MIN(F2:F119)</f>
        <v>15</v>
      </c>
      <c r="G124" s="1">
        <f>MIN(G2:G119)</f>
        <v>4</v>
      </c>
      <c r="H124" s="1">
        <f>MIN(H2:H119)</f>
        <v>4</v>
      </c>
      <c r="I124" s="1">
        <f>MIN(I2:I119)</f>
        <v>7</v>
      </c>
      <c r="J124" s="1">
        <f>MIN(J2:J119)</f>
        <v>10</v>
      </c>
      <c r="K124" s="1">
        <f>MIN(K2:K119)</f>
        <v>10</v>
      </c>
      <c r="L124" s="1">
        <f>MIN(L2:L119)</f>
        <v>7</v>
      </c>
      <c r="M124" s="1">
        <f>MIN(M2:M119)</f>
        <v>10</v>
      </c>
      <c r="N124" s="1">
        <f>MIN(N2:N119)</f>
        <v>10</v>
      </c>
      <c r="O124" s="1">
        <f>MIN(O2:O119)</f>
        <v>5</v>
      </c>
      <c r="P124" s="1">
        <f>MIN(P2:P119)</f>
        <v>10</v>
      </c>
      <c r="Q124" s="1">
        <f>MIN(Q2:Q119)</f>
        <v>5</v>
      </c>
      <c r="R124" s="1">
        <f>MIN(R2:R119)</f>
        <v>2</v>
      </c>
      <c r="S124" s="1">
        <f>MIN(S2:S119)</f>
        <v>10</v>
      </c>
      <c r="T124" s="1">
        <f>MIN(T2:T119)</f>
        <v>5</v>
      </c>
      <c r="U124" s="1">
        <f>MIN(U2:U119)</f>
        <v>2</v>
      </c>
      <c r="V124" s="1">
        <f>MIN(V2:V119)</f>
        <v>5</v>
      </c>
      <c r="W124" s="1">
        <f>MIN(W2:W119)</f>
        <v>5</v>
      </c>
      <c r="X124" s="1">
        <f>MIN(X2:X119)</f>
        <v>2</v>
      </c>
      <c r="Y124" s="1">
        <f>MIN(Y2:Y119)</f>
        <v>5</v>
      </c>
      <c r="Z124" s="1">
        <f>MIN(Z2:Z119)</f>
        <v>5</v>
      </c>
      <c r="AA124" s="1">
        <f>MIN(AA2:AA119)</f>
        <v>2</v>
      </c>
      <c r="AB124" s="1">
        <f>MIN(AB2:AB119)</f>
        <v>10</v>
      </c>
      <c r="AC124" s="1">
        <f>MIN(AC2:AC119)</f>
        <v>5</v>
      </c>
      <c r="AD124" s="1">
        <f>MIN(AD2:AD119)</f>
        <v>2</v>
      </c>
      <c r="AE124" s="1">
        <f>MIN(AE2:AE119)</f>
        <v>50</v>
      </c>
      <c r="AF124" s="1">
        <f>MIN(AF2:AF119)</f>
        <v>5</v>
      </c>
      <c r="AG124" s="1">
        <f>MIN(AG2:AG119)</f>
        <v>0</v>
      </c>
      <c r="AH124" s="1">
        <f>MIN(AH2:AH119)</f>
        <v>5</v>
      </c>
      <c r="AI124" s="1">
        <f>MIN(AI2:AI119)</f>
        <v>5</v>
      </c>
      <c r="AJ124" s="1">
        <f>MIN(AJ2:AJ119)</f>
        <v>5</v>
      </c>
      <c r="AK124" s="1">
        <f>MIN(AK2:AK119)</f>
        <v>0</v>
      </c>
      <c r="AL124" s="1">
        <f>MIN(AL2:AL119)</f>
        <v>0</v>
      </c>
      <c r="AM124" s="1">
        <f>MIN(AM2:AM119)</f>
        <v>0</v>
      </c>
      <c r="AN124" s="1">
        <f>MIN(AN2:AN119)</f>
        <v>15</v>
      </c>
      <c r="AO124" s="1">
        <f>MIN(AO2:AO119)</f>
        <v>2</v>
      </c>
      <c r="AP124" s="1">
        <f>MIN(AP2:AP119)</f>
        <v>1</v>
      </c>
      <c r="AQ124" s="1">
        <f>MIN(AQ2:AQ119)</f>
        <v>10</v>
      </c>
      <c r="AR124" s="1">
        <f>MIN(AR2:AR119)</f>
        <v>10</v>
      </c>
      <c r="AS124" s="1">
        <f>MIN(AS2:AS119)</f>
        <v>5</v>
      </c>
      <c r="AT124" s="1">
        <f>MIN(AT2:AT119)</f>
        <v>10</v>
      </c>
      <c r="AU124" s="1">
        <f>MIN(AU2:AU119)</f>
        <v>5</v>
      </c>
      <c r="AV124" s="1">
        <f>MIN(AV2:AV119)</f>
        <v>10</v>
      </c>
      <c r="AW124" s="1">
        <f>MIN(AW2:AW119)</f>
        <v>15</v>
      </c>
      <c r="AX124" s="1">
        <f>MIN(AX2:AX119)</f>
        <v>5</v>
      </c>
      <c r="AY124" s="1">
        <f>MIN(AY2:AY119)</f>
        <v>5</v>
      </c>
      <c r="AZ124" s="1">
        <f>MIN(AZ2:AZ119)</f>
        <v>10</v>
      </c>
      <c r="BA124" s="1">
        <f>MIN(BA2:BA119)</f>
        <v>15</v>
      </c>
      <c r="BB124" s="1">
        <f>MIN(BB2:BB119)</f>
        <v>10</v>
      </c>
      <c r="BC124" s="1">
        <f>MIN(BC2:BC119)</f>
        <v>10</v>
      </c>
      <c r="BD124" s="1">
        <f>MIN(BD2:BD119)</f>
        <v>10</v>
      </c>
      <c r="BE124" s="1">
        <f>MIN(BE2:BE119)</f>
        <v>20</v>
      </c>
      <c r="BF124" s="1">
        <f>MIN(BF2:BF119)</f>
        <v>20</v>
      </c>
      <c r="BG124" s="1">
        <f>MIN(BG2:BG119)</f>
        <v>0</v>
      </c>
      <c r="BH124" s="1">
        <f>MIN(BH2:BH119)</f>
        <v>0</v>
      </c>
      <c r="BI124" s="1">
        <f>MIN(BI2:BI119)</f>
        <v>20</v>
      </c>
      <c r="BJ124" s="1">
        <f>MIN(BJ2:BJ119)</f>
        <v>20</v>
      </c>
      <c r="BK124" s="1">
        <f>MIN(BK2:BK119)</f>
        <v>50</v>
      </c>
      <c r="BL124" s="1">
        <f>MIN(BL2:BL119)</f>
        <v>50</v>
      </c>
      <c r="BM124" s="1">
        <f>MIN(BM2:BM119)</f>
        <v>50</v>
      </c>
      <c r="BN124" s="1">
        <f>MIN(BN2:BN119)</f>
        <v>50</v>
      </c>
      <c r="BO124" s="1">
        <f>MIN(BO2:BO119)</f>
        <v>50</v>
      </c>
      <c r="BP124" s="1">
        <f>MIN(BP2:BP119)</f>
        <v>50</v>
      </c>
      <c r="BQ124" s="1"/>
      <c r="BR124" s="1"/>
      <c r="BS124" s="17"/>
      <c r="BT124" s="17"/>
    </row>
    <row r="125" spans="1:74">
      <c r="A125" s="1"/>
      <c r="B125" s="3" t="s">
        <v>131</v>
      </c>
      <c r="C125" s="1"/>
      <c r="D125" s="1"/>
      <c r="E125" s="1">
        <f t="shared" ref="E125:AJ125" si="14">E121-E123</f>
        <v>0</v>
      </c>
      <c r="F125" s="1">
        <f t="shared" si="14"/>
        <v>37</v>
      </c>
      <c r="G125" s="1">
        <f t="shared" si="14"/>
        <v>-17</v>
      </c>
      <c r="H125" s="1">
        <f t="shared" si="14"/>
        <v>-18</v>
      </c>
      <c r="I125" s="1">
        <f t="shared" si="14"/>
        <v>91</v>
      </c>
      <c r="J125" s="1">
        <f t="shared" si="14"/>
        <v>95</v>
      </c>
      <c r="K125" s="1">
        <f t="shared" si="14"/>
        <v>59</v>
      </c>
      <c r="L125" s="1">
        <f t="shared" si="14"/>
        <v>53</v>
      </c>
      <c r="M125" s="1">
        <f t="shared" si="14"/>
        <v>57</v>
      </c>
      <c r="N125" s="1">
        <f t="shared" si="14"/>
        <v>117</v>
      </c>
      <c r="O125" s="1">
        <f t="shared" si="14"/>
        <v>38</v>
      </c>
      <c r="P125" s="1">
        <f t="shared" si="14"/>
        <v>33</v>
      </c>
      <c r="Q125" s="1">
        <f t="shared" si="14"/>
        <v>-7</v>
      </c>
      <c r="R125" s="1">
        <f t="shared" si="14"/>
        <v>2</v>
      </c>
      <c r="S125" s="1">
        <f t="shared" si="14"/>
        <v>93</v>
      </c>
      <c r="T125" s="1">
        <f t="shared" si="14"/>
        <v>19</v>
      </c>
      <c r="U125" s="1">
        <f t="shared" si="14"/>
        <v>-4</v>
      </c>
      <c r="V125" s="1">
        <f t="shared" si="14"/>
        <v>15</v>
      </c>
      <c r="W125" s="1">
        <f t="shared" si="14"/>
        <v>-17</v>
      </c>
      <c r="X125" s="1">
        <f t="shared" si="14"/>
        <v>-10</v>
      </c>
      <c r="Y125" s="1">
        <f t="shared" si="14"/>
        <v>-3</v>
      </c>
      <c r="Z125" s="1">
        <f t="shared" si="14"/>
        <v>12</v>
      </c>
      <c r="AA125" s="1">
        <f t="shared" si="14"/>
        <v>-9</v>
      </c>
      <c r="AB125" s="1">
        <f t="shared" si="14"/>
        <v>48</v>
      </c>
      <c r="AC125" s="1">
        <f t="shared" si="14"/>
        <v>-19</v>
      </c>
      <c r="AD125" s="1">
        <f t="shared" si="14"/>
        <v>-10</v>
      </c>
      <c r="AE125" s="1">
        <f t="shared" si="14"/>
        <v>-176</v>
      </c>
      <c r="AF125" s="1">
        <f t="shared" si="14"/>
        <v>-5</v>
      </c>
      <c r="AG125" s="1">
        <f t="shared" si="14"/>
        <v>8</v>
      </c>
      <c r="AH125" s="1">
        <f t="shared" si="14"/>
        <v>-5</v>
      </c>
      <c r="AI125" s="1">
        <f t="shared" si="14"/>
        <v>-5</v>
      </c>
      <c r="AJ125" s="1">
        <f t="shared" si="14"/>
        <v>-5</v>
      </c>
      <c r="AK125" s="1">
        <f t="shared" ref="AK125:BP125" si="15">AK121-AK123</f>
        <v>23</v>
      </c>
      <c r="AL125" s="1">
        <f t="shared" si="15"/>
        <v>33</v>
      </c>
      <c r="AM125" s="1">
        <f t="shared" si="15"/>
        <v>0</v>
      </c>
      <c r="AN125" s="1">
        <f t="shared" si="15"/>
        <v>-21</v>
      </c>
      <c r="AO125" s="1">
        <f t="shared" si="15"/>
        <v>-10</v>
      </c>
      <c r="AP125" s="1">
        <f t="shared" si="15"/>
        <v>-10</v>
      </c>
      <c r="AQ125" s="1">
        <f t="shared" si="15"/>
        <v>5</v>
      </c>
      <c r="AR125" s="1">
        <f t="shared" si="15"/>
        <v>15</v>
      </c>
      <c r="AS125" s="1">
        <f t="shared" si="15"/>
        <v>36</v>
      </c>
      <c r="AT125" s="1">
        <f t="shared" si="15"/>
        <v>28</v>
      </c>
      <c r="AU125" s="1">
        <f t="shared" si="15"/>
        <v>8</v>
      </c>
      <c r="AV125" s="1">
        <f t="shared" si="15"/>
        <v>103</v>
      </c>
      <c r="AW125" s="1">
        <f t="shared" si="15"/>
        <v>18</v>
      </c>
      <c r="AX125" s="1">
        <f t="shared" si="15"/>
        <v>34</v>
      </c>
      <c r="AY125" s="1">
        <f t="shared" si="15"/>
        <v>-6</v>
      </c>
      <c r="AZ125" s="1">
        <f t="shared" si="15"/>
        <v>-12</v>
      </c>
      <c r="BA125" s="1">
        <f t="shared" si="15"/>
        <v>-28</v>
      </c>
      <c r="BB125" s="1">
        <f t="shared" si="15"/>
        <v>-21</v>
      </c>
      <c r="BC125" s="1">
        <f t="shared" si="15"/>
        <v>-7</v>
      </c>
      <c r="BD125" s="1">
        <f t="shared" si="15"/>
        <v>-5</v>
      </c>
      <c r="BE125" s="1">
        <f t="shared" si="15"/>
        <v>205</v>
      </c>
      <c r="BF125" s="1">
        <f t="shared" si="15"/>
        <v>376</v>
      </c>
      <c r="BG125" s="1">
        <f t="shared" si="15"/>
        <v>312</v>
      </c>
      <c r="BH125" s="1">
        <f t="shared" si="15"/>
        <v>330</v>
      </c>
      <c r="BI125" s="1">
        <f t="shared" si="15"/>
        <v>112</v>
      </c>
      <c r="BJ125" s="1">
        <f t="shared" si="15"/>
        <v>145</v>
      </c>
      <c r="BK125" s="1">
        <f t="shared" si="15"/>
        <v>62</v>
      </c>
      <c r="BL125" s="1">
        <f t="shared" si="15"/>
        <v>71</v>
      </c>
      <c r="BM125" s="1">
        <f t="shared" si="15"/>
        <v>143</v>
      </c>
      <c r="BN125" s="1">
        <f t="shared" si="15"/>
        <v>19</v>
      </c>
      <c r="BO125" s="1">
        <f t="shared" si="15"/>
        <v>-13</v>
      </c>
      <c r="BP125" s="1">
        <f t="shared" si="15"/>
        <v>1</v>
      </c>
      <c r="BQ125" s="1"/>
      <c r="BR125" s="1"/>
      <c r="BS125" s="17"/>
      <c r="BT125" s="17"/>
    </row>
    <row r="126" spans="1:74" s="13" customFormat="1">
      <c r="A126" s="1"/>
      <c r="B126" s="3" t="s">
        <v>132</v>
      </c>
      <c r="C126" s="1"/>
      <c r="D126" s="1"/>
      <c r="E126" s="1">
        <f t="shared" ref="E126:AJ126" si="16">E121-E124</f>
        <v>10</v>
      </c>
      <c r="F126" s="1">
        <f t="shared" si="16"/>
        <v>37</v>
      </c>
      <c r="G126" s="1">
        <f t="shared" si="16"/>
        <v>-1</v>
      </c>
      <c r="H126" s="1">
        <f t="shared" si="16"/>
        <v>-2</v>
      </c>
      <c r="I126" s="1">
        <f t="shared" si="16"/>
        <v>94</v>
      </c>
      <c r="J126" s="1">
        <f t="shared" si="16"/>
        <v>95</v>
      </c>
      <c r="K126" s="1">
        <f t="shared" si="16"/>
        <v>64</v>
      </c>
      <c r="L126" s="1">
        <f t="shared" si="16"/>
        <v>56</v>
      </c>
      <c r="M126" s="1">
        <f t="shared" si="16"/>
        <v>57</v>
      </c>
      <c r="N126" s="1">
        <f t="shared" si="16"/>
        <v>117</v>
      </c>
      <c r="O126" s="1">
        <f t="shared" si="16"/>
        <v>43</v>
      </c>
      <c r="P126" s="1">
        <f t="shared" si="16"/>
        <v>33</v>
      </c>
      <c r="Q126" s="1">
        <f t="shared" si="16"/>
        <v>-5</v>
      </c>
      <c r="R126" s="1">
        <f t="shared" si="16"/>
        <v>10</v>
      </c>
      <c r="S126" s="1">
        <f t="shared" si="16"/>
        <v>93</v>
      </c>
      <c r="T126" s="1">
        <f t="shared" si="16"/>
        <v>21</v>
      </c>
      <c r="U126" s="1">
        <f t="shared" si="16"/>
        <v>4</v>
      </c>
      <c r="V126" s="1">
        <f t="shared" si="16"/>
        <v>20</v>
      </c>
      <c r="W126" s="1">
        <f t="shared" si="16"/>
        <v>-2</v>
      </c>
      <c r="X126" s="1">
        <f t="shared" si="16"/>
        <v>-2</v>
      </c>
      <c r="Y126" s="1">
        <f t="shared" si="16"/>
        <v>2</v>
      </c>
      <c r="Z126" s="1">
        <f t="shared" si="16"/>
        <v>27</v>
      </c>
      <c r="AA126" s="1">
        <f t="shared" si="16"/>
        <v>-1</v>
      </c>
      <c r="AB126" s="1">
        <f t="shared" si="16"/>
        <v>48</v>
      </c>
      <c r="AC126" s="1">
        <f t="shared" si="16"/>
        <v>-4</v>
      </c>
      <c r="AD126" s="1">
        <f t="shared" si="16"/>
        <v>-2</v>
      </c>
      <c r="AE126" s="1">
        <f t="shared" si="16"/>
        <v>-26</v>
      </c>
      <c r="AF126" s="1">
        <f t="shared" si="16"/>
        <v>-5</v>
      </c>
      <c r="AG126" s="1">
        <f t="shared" si="16"/>
        <v>8</v>
      </c>
      <c r="AH126" s="1">
        <f t="shared" si="16"/>
        <v>-5</v>
      </c>
      <c r="AI126" s="1">
        <f t="shared" si="16"/>
        <v>-5</v>
      </c>
      <c r="AJ126" s="1">
        <f t="shared" si="16"/>
        <v>-5</v>
      </c>
      <c r="AK126" s="1">
        <f t="shared" ref="AK126:BP126" si="17">AK121-AK124</f>
        <v>23</v>
      </c>
      <c r="AL126" s="1">
        <f t="shared" si="17"/>
        <v>33</v>
      </c>
      <c r="AM126" s="1">
        <f t="shared" si="17"/>
        <v>0</v>
      </c>
      <c r="AN126" s="1">
        <f t="shared" si="17"/>
        <v>-11</v>
      </c>
      <c r="AO126" s="1">
        <f t="shared" si="17"/>
        <v>-2</v>
      </c>
      <c r="AP126" s="1">
        <f t="shared" si="17"/>
        <v>-1</v>
      </c>
      <c r="AQ126" s="1">
        <f t="shared" si="17"/>
        <v>35</v>
      </c>
      <c r="AR126" s="1">
        <f t="shared" si="17"/>
        <v>20</v>
      </c>
      <c r="AS126" s="1">
        <f t="shared" si="17"/>
        <v>41</v>
      </c>
      <c r="AT126" s="1">
        <f t="shared" si="17"/>
        <v>28</v>
      </c>
      <c r="AU126" s="1">
        <f t="shared" si="17"/>
        <v>13</v>
      </c>
      <c r="AV126" s="1">
        <f t="shared" si="17"/>
        <v>133</v>
      </c>
      <c r="AW126" s="1">
        <f t="shared" si="17"/>
        <v>53</v>
      </c>
      <c r="AX126" s="1">
        <f t="shared" si="17"/>
        <v>44</v>
      </c>
      <c r="AY126" s="1">
        <f t="shared" si="17"/>
        <v>-1</v>
      </c>
      <c r="AZ126" s="1">
        <f t="shared" si="17"/>
        <v>28</v>
      </c>
      <c r="BA126" s="1">
        <f t="shared" si="17"/>
        <v>-3</v>
      </c>
      <c r="BB126" s="1">
        <f t="shared" si="17"/>
        <v>9</v>
      </c>
      <c r="BC126" s="1">
        <f t="shared" si="17"/>
        <v>-7</v>
      </c>
      <c r="BD126" s="1">
        <f t="shared" si="17"/>
        <v>-5</v>
      </c>
      <c r="BE126" s="1">
        <f t="shared" si="17"/>
        <v>235</v>
      </c>
      <c r="BF126" s="1">
        <f t="shared" si="17"/>
        <v>376</v>
      </c>
      <c r="BG126" s="1">
        <f t="shared" si="17"/>
        <v>312</v>
      </c>
      <c r="BH126" s="1">
        <f t="shared" si="17"/>
        <v>330</v>
      </c>
      <c r="BI126" s="1">
        <f t="shared" si="17"/>
        <v>142</v>
      </c>
      <c r="BJ126" s="1">
        <f t="shared" si="17"/>
        <v>175</v>
      </c>
      <c r="BK126" s="1">
        <f t="shared" si="17"/>
        <v>62</v>
      </c>
      <c r="BL126" s="1">
        <f t="shared" si="17"/>
        <v>71</v>
      </c>
      <c r="BM126" s="1">
        <f t="shared" si="17"/>
        <v>143</v>
      </c>
      <c r="BN126" s="1">
        <f t="shared" si="17"/>
        <v>19</v>
      </c>
      <c r="BO126" s="1">
        <f t="shared" si="17"/>
        <v>-13</v>
      </c>
      <c r="BP126" s="1">
        <f t="shared" si="17"/>
        <v>1</v>
      </c>
      <c r="BQ126" s="1"/>
      <c r="BR126" s="1"/>
      <c r="BS126" s="17"/>
      <c r="BT126" s="17"/>
    </row>
    <row r="127" spans="1:74">
      <c r="AQ127" s="7" t="s">
        <v>151</v>
      </c>
      <c r="AR127" s="7" t="s">
        <v>154</v>
      </c>
      <c r="AS127" s="7" t="s">
        <v>155</v>
      </c>
      <c r="AT127" s="7" t="s">
        <v>152</v>
      </c>
      <c r="AU127" s="7" t="s">
        <v>153</v>
      </c>
      <c r="AV127" s="7" t="s">
        <v>150</v>
      </c>
      <c r="AW127" s="7" t="s">
        <v>156</v>
      </c>
      <c r="AX127" s="7" t="s">
        <v>157</v>
      </c>
      <c r="AY127" s="7" t="s">
        <v>158</v>
      </c>
      <c r="AZ127" s="7" t="s">
        <v>159</v>
      </c>
      <c r="BA127" s="7" t="s">
        <v>160</v>
      </c>
      <c r="BB127" s="7" t="s">
        <v>161</v>
      </c>
    </row>
  </sheetData>
  <autoFilter ref="A1:BV127">
    <sortState ref="A2:BV130">
      <sortCondition ref="BS2:BS130"/>
      <sortCondition ref="BR2:BR130"/>
    </sortState>
  </autoFilter>
  <sortState ref="A2:CT148">
    <sortCondition ref="BS2:BS148"/>
    <sortCondition ref="BR2:BR148"/>
  </sortState>
  <phoneticPr fontId="1" type="noConversion"/>
  <conditionalFormatting sqref="E123:BC123 BE123:BP123">
    <cfRule type="expression" dxfId="8" priority="13">
      <formula>"&lt;=$E$135"</formula>
    </cfRule>
  </conditionalFormatting>
  <conditionalFormatting sqref="E125:BC126 BE125:BP126">
    <cfRule type="cellIs" dxfId="7" priority="4" operator="lessThan">
      <formula>0</formula>
    </cfRule>
  </conditionalFormatting>
  <conditionalFormatting sqref="E122:BC122 BE122:BP122">
    <cfRule type="cellIs" dxfId="6" priority="5" operator="lessThan">
      <formula>0</formula>
    </cfRule>
  </conditionalFormatting>
  <conditionalFormatting sqref="BD123">
    <cfRule type="expression" dxfId="5" priority="3">
      <formula>"&lt;=$E$135"</formula>
    </cfRule>
  </conditionalFormatting>
  <conditionalFormatting sqref="BD125:BD126">
    <cfRule type="cellIs" dxfId="4" priority="1" operator="lessThan">
      <formula>0</formula>
    </cfRule>
  </conditionalFormatting>
  <conditionalFormatting sqref="BD122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126</xdr:row>
                    <xdr:rowOff>28575</xdr:rowOff>
                  </from>
                  <to>
                    <xdr:col>1</xdr:col>
                    <xdr:colOff>428625</xdr:colOff>
                    <xdr:row>127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61</v>
      </c>
      <c r="B1" s="8" t="s">
        <v>62</v>
      </c>
      <c r="C1" s="8" t="s">
        <v>64</v>
      </c>
      <c r="D1" s="8" t="s">
        <v>63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60</v>
      </c>
      <c r="K1" s="9" t="s">
        <v>21</v>
      </c>
      <c r="L1" s="9" t="s">
        <v>36</v>
      </c>
      <c r="M1" s="9" t="s">
        <v>38</v>
      </c>
      <c r="N1" s="9" t="s">
        <v>43</v>
      </c>
      <c r="O1" s="9" t="s">
        <v>37</v>
      </c>
      <c r="P1" s="27" t="s">
        <v>95</v>
      </c>
      <c r="Q1" s="27" t="s">
        <v>107</v>
      </c>
      <c r="R1" s="27" t="s">
        <v>101</v>
      </c>
      <c r="S1" s="27" t="s">
        <v>96</v>
      </c>
      <c r="T1" s="27" t="s">
        <v>105</v>
      </c>
      <c r="U1" s="27" t="s">
        <v>110</v>
      </c>
      <c r="V1" s="27" t="s">
        <v>97</v>
      </c>
      <c r="W1" s="27" t="s">
        <v>104</v>
      </c>
      <c r="X1" s="27" t="s">
        <v>102</v>
      </c>
      <c r="Y1" s="27" t="s">
        <v>98</v>
      </c>
      <c r="Z1" s="27" t="s">
        <v>106</v>
      </c>
      <c r="AA1" s="27" t="s">
        <v>111</v>
      </c>
      <c r="AB1" s="27" t="s">
        <v>100</v>
      </c>
      <c r="AC1" s="27" t="s">
        <v>99</v>
      </c>
      <c r="AD1" s="27" t="s">
        <v>119</v>
      </c>
      <c r="AE1" s="8" t="s">
        <v>7</v>
      </c>
      <c r="AF1" s="8" t="s">
        <v>24</v>
      </c>
      <c r="AG1" s="8" t="s">
        <v>25</v>
      </c>
      <c r="AH1" s="8" t="s">
        <v>51</v>
      </c>
      <c r="AI1" s="8" t="s">
        <v>52</v>
      </c>
      <c r="AJ1" s="8" t="s">
        <v>54</v>
      </c>
      <c r="AK1" s="8" t="s">
        <v>55</v>
      </c>
      <c r="AL1" s="8" t="s">
        <v>57</v>
      </c>
      <c r="AM1" s="8" t="s">
        <v>44</v>
      </c>
      <c r="AN1" s="8" t="s">
        <v>45</v>
      </c>
      <c r="AO1" s="8" t="s">
        <v>83</v>
      </c>
      <c r="AP1" s="8" t="s">
        <v>84</v>
      </c>
      <c r="AQ1" s="10" t="s">
        <v>34</v>
      </c>
      <c r="AR1" s="10" t="s">
        <v>3</v>
      </c>
      <c r="AS1" s="10" t="s">
        <v>23</v>
      </c>
      <c r="AT1" s="10" t="s">
        <v>47</v>
      </c>
      <c r="AU1" s="10" t="s">
        <v>49</v>
      </c>
      <c r="AV1" s="10" t="s">
        <v>42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41</v>
      </c>
      <c r="BB1" s="11" t="s">
        <v>9</v>
      </c>
      <c r="BC1" s="25" t="s">
        <v>80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50</v>
      </c>
      <c r="BQ1" s="8" t="s">
        <v>69</v>
      </c>
      <c r="BR1" s="16" t="s">
        <v>70</v>
      </c>
      <c r="BS1" s="16"/>
      <c r="BT1" s="10" t="s">
        <v>34</v>
      </c>
      <c r="BU1" s="10" t="s">
        <v>3</v>
      </c>
      <c r="BV1" s="10" t="s">
        <v>23</v>
      </c>
      <c r="BW1" s="10" t="s">
        <v>47</v>
      </c>
      <c r="BX1" s="10" t="s">
        <v>49</v>
      </c>
      <c r="BY1" s="10" t="s">
        <v>42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41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47</v>
      </c>
      <c r="CK1" s="10" t="s">
        <v>49</v>
      </c>
      <c r="CL1" s="10" t="s">
        <v>42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41</v>
      </c>
      <c r="CR1" s="11" t="s">
        <v>9</v>
      </c>
      <c r="CS1" s="8"/>
    </row>
    <row r="2" spans="1:97">
      <c r="A2" s="30">
        <v>77</v>
      </c>
      <c r="B2" s="37" t="s">
        <v>121</v>
      </c>
      <c r="C2" s="37" t="s">
        <v>46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149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164</v>
      </c>
      <c r="C3" s="38" t="s">
        <v>78</v>
      </c>
      <c r="D3" s="38" t="s">
        <v>94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172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50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67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74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129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130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131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132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162</v>
      </c>
      <c r="AQ11" s="7" t="s">
        <v>151</v>
      </c>
      <c r="AR11" s="7" t="s">
        <v>154</v>
      </c>
      <c r="AS11" s="7" t="s">
        <v>155</v>
      </c>
      <c r="AT11" s="7" t="s">
        <v>152</v>
      </c>
      <c r="AU11" s="7" t="s">
        <v>153</v>
      </c>
      <c r="AV11" s="7" t="s">
        <v>150</v>
      </c>
      <c r="AW11" s="7" t="s">
        <v>156</v>
      </c>
      <c r="AX11" s="7" t="s">
        <v>157</v>
      </c>
      <c r="AY11" s="7" t="s">
        <v>158</v>
      </c>
      <c r="AZ11" s="7" t="s">
        <v>159</v>
      </c>
      <c r="BA11" s="7" t="s">
        <v>160</v>
      </c>
      <c r="BB11" s="7" t="s">
        <v>161</v>
      </c>
    </row>
    <row r="12" spans="1:97">
      <c r="R12" s="7" t="s">
        <v>163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65</v>
      </c>
      <c r="B1" s="5" t="s">
        <v>62</v>
      </c>
      <c r="C1" s="5" t="s">
        <v>66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41</v>
      </c>
      <c r="C3" s="1">
        <v>120</v>
      </c>
    </row>
    <row r="4" spans="1:3">
      <c r="A4" s="1">
        <v>4</v>
      </c>
      <c r="B4" s="4" t="s">
        <v>42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47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49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47</v>
      </c>
      <c r="K19" s="10" t="s">
        <v>49</v>
      </c>
      <c r="L19" s="10" t="s">
        <v>42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41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133</v>
      </c>
      <c r="D27" t="s">
        <v>134</v>
      </c>
      <c r="E27" t="s">
        <v>135</v>
      </c>
      <c r="F27" t="s">
        <v>136</v>
      </c>
      <c r="G27" t="s">
        <v>137</v>
      </c>
      <c r="H27" t="s">
        <v>138</v>
      </c>
      <c r="I27" t="s">
        <v>139</v>
      </c>
      <c r="J27" t="s">
        <v>140</v>
      </c>
      <c r="K27" t="s">
        <v>141</v>
      </c>
      <c r="L27" t="s">
        <v>142</v>
      </c>
      <c r="M27" t="s">
        <v>143</v>
      </c>
      <c r="N27" t="s">
        <v>144</v>
      </c>
    </row>
    <row r="31" spans="3:18">
      <c r="C31">
        <v>-3</v>
      </c>
      <c r="D31" t="s">
        <v>133</v>
      </c>
    </row>
    <row r="32" spans="3:18">
      <c r="C32">
        <v>-8</v>
      </c>
      <c r="D32" t="s">
        <v>134</v>
      </c>
    </row>
    <row r="33" spans="3:4">
      <c r="C33">
        <v>-3</v>
      </c>
      <c r="D33" t="s">
        <v>135</v>
      </c>
    </row>
    <row r="34" spans="3:4">
      <c r="C34">
        <v>1</v>
      </c>
      <c r="D34" t="s">
        <v>136</v>
      </c>
    </row>
    <row r="35" spans="3:4">
      <c r="C35">
        <v>3</v>
      </c>
      <c r="D35" t="s">
        <v>137</v>
      </c>
    </row>
    <row r="36" spans="3:4">
      <c r="C36">
        <v>0</v>
      </c>
      <c r="D36" t="s">
        <v>138</v>
      </c>
    </row>
    <row r="37" spans="3:4">
      <c r="C37">
        <v>-3</v>
      </c>
      <c r="D37" t="s">
        <v>139</v>
      </c>
    </row>
    <row r="38" spans="3:4">
      <c r="C38">
        <v>30</v>
      </c>
      <c r="D38" t="s">
        <v>140</v>
      </c>
    </row>
    <row r="39" spans="3:4">
      <c r="C39">
        <v>5</v>
      </c>
      <c r="D39" t="s">
        <v>141</v>
      </c>
    </row>
    <row r="40" spans="3:4">
      <c r="C40">
        <v>-10</v>
      </c>
      <c r="D40" t="s">
        <v>142</v>
      </c>
    </row>
    <row r="41" spans="3:4">
      <c r="C41">
        <v>3</v>
      </c>
      <c r="D41" t="s">
        <v>143</v>
      </c>
    </row>
    <row r="42" spans="3:4">
      <c r="C42">
        <v>138</v>
      </c>
      <c r="D42" t="s">
        <v>144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71</v>
      </c>
      <c r="B1" s="8" t="s">
        <v>72</v>
      </c>
      <c r="C1" s="8" t="s">
        <v>73</v>
      </c>
    </row>
    <row r="2" spans="1:3">
      <c r="A2" s="1">
        <v>5</v>
      </c>
      <c r="B2" s="10" t="s">
        <v>49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47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41</v>
      </c>
      <c r="C12" s="1">
        <v>5</v>
      </c>
    </row>
    <row r="13" spans="1:3">
      <c r="A13" s="1">
        <v>6</v>
      </c>
      <c r="B13" s="10" t="s">
        <v>42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173</v>
      </c>
      <c r="F3" t="s">
        <v>174</v>
      </c>
      <c r="G3" t="s">
        <v>175</v>
      </c>
      <c r="H3" t="s">
        <v>176</v>
      </c>
      <c r="I3" t="s">
        <v>177</v>
      </c>
      <c r="J3" t="s">
        <v>178</v>
      </c>
    </row>
    <row r="4" spans="3:10">
      <c r="C4" s="55" t="s">
        <v>179</v>
      </c>
      <c r="D4" t="s">
        <v>180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5" t="s">
        <v>181</v>
      </c>
      <c r="D5" t="s">
        <v>182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5" t="s">
        <v>183</v>
      </c>
      <c r="D6" t="s">
        <v>182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5" t="s">
        <v>184</v>
      </c>
      <c r="D7" t="s">
        <v>182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185</v>
      </c>
      <c r="D8" t="s">
        <v>186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5" t="s">
        <v>187</v>
      </c>
      <c r="D9" t="s">
        <v>186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5" t="s">
        <v>188</v>
      </c>
      <c r="D10" t="s">
        <v>186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5" t="s">
        <v>191</v>
      </c>
      <c r="D11" t="s">
        <v>182</v>
      </c>
      <c r="E11" s="56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189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189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189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189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190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186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186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186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41</v>
      </c>
    </row>
    <row r="33" spans="3:3">
      <c r="C33" s="11" t="s">
        <v>9</v>
      </c>
    </row>
    <row r="34" spans="3:3">
      <c r="C34" s="11" t="s">
        <v>4</v>
      </c>
    </row>
    <row r="35" spans="3:3">
      <c r="C35" s="10" t="s">
        <v>34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2020-06-15T09:39:57Z</dcterms:modified>
</cp:coreProperties>
</file>