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Sheet1!$A$1:$BP$164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64" i="1" l="1"/>
  <c r="AD166" i="1" s="1"/>
  <c r="BP163" i="1" l="1"/>
  <c r="BT163" i="1"/>
  <c r="BU163" i="1"/>
  <c r="BV163" i="1"/>
  <c r="BW163" i="1"/>
  <c r="BX163" i="1"/>
  <c r="BY163" i="1"/>
  <c r="BZ163" i="1"/>
  <c r="CA163" i="1"/>
  <c r="CB163" i="1"/>
  <c r="CC163" i="1"/>
  <c r="CD163" i="1"/>
  <c r="CE163" i="1"/>
  <c r="CS163" i="1"/>
  <c r="P164" i="1"/>
  <c r="P166" i="1" s="1"/>
  <c r="Q164" i="1"/>
  <c r="Q166" i="1" s="1"/>
  <c r="R164" i="1"/>
  <c r="R166" i="1" s="1"/>
  <c r="S164" i="1"/>
  <c r="S166" i="1" s="1"/>
  <c r="T164" i="1"/>
  <c r="T166" i="1" s="1"/>
  <c r="U164" i="1"/>
  <c r="U166" i="1" s="1"/>
  <c r="V164" i="1"/>
  <c r="V166" i="1" s="1"/>
  <c r="W164" i="1"/>
  <c r="W166" i="1" s="1"/>
  <c r="X164" i="1"/>
  <c r="X166" i="1" s="1"/>
  <c r="Y164" i="1"/>
  <c r="Y166" i="1" s="1"/>
  <c r="Z164" i="1"/>
  <c r="Z166" i="1" s="1"/>
  <c r="AA164" i="1"/>
  <c r="AA166" i="1" s="1"/>
  <c r="AB164" i="1"/>
  <c r="AB166" i="1" s="1"/>
  <c r="AC164" i="1"/>
  <c r="AC166" i="1" s="1"/>
  <c r="CF163" i="1" l="1"/>
  <c r="CM163" i="1" s="1"/>
  <c r="AO164" i="1"/>
  <c r="AO166" i="1" s="1"/>
  <c r="AP164" i="1"/>
  <c r="AP166" i="1" s="1"/>
  <c r="BC164" i="1"/>
  <c r="BC166" i="1" s="1"/>
  <c r="CO163" i="1" l="1"/>
  <c r="CK163" i="1"/>
  <c r="CI163" i="1"/>
  <c r="CN163" i="1"/>
  <c r="CP163" i="1"/>
  <c r="CJ163" i="1"/>
  <c r="CL163" i="1"/>
  <c r="CG163" i="1"/>
  <c r="CQ163" i="1"/>
  <c r="CH163" i="1"/>
  <c r="CR163" i="1"/>
  <c r="CS3" i="1"/>
  <c r="CS4" i="1"/>
  <c r="CS5" i="1"/>
  <c r="CS55" i="1"/>
  <c r="CS6" i="1"/>
  <c r="CS7" i="1"/>
  <c r="CS8" i="1"/>
  <c r="CS71" i="1"/>
  <c r="CS9" i="1"/>
  <c r="CS83" i="1"/>
  <c r="CS84" i="1"/>
  <c r="CS85" i="1"/>
  <c r="CS86" i="1"/>
  <c r="CS87" i="1"/>
  <c r="CS88" i="1"/>
  <c r="CS89" i="1"/>
  <c r="CS90" i="1"/>
  <c r="CS54" i="1"/>
  <c r="CS80" i="1"/>
  <c r="CS13" i="1"/>
  <c r="CS20" i="1"/>
  <c r="CS21" i="1"/>
  <c r="CS22" i="1"/>
  <c r="CS15" i="1"/>
  <c r="CS96" i="1"/>
  <c r="CS95" i="1"/>
  <c r="CS59" i="1"/>
  <c r="CS99" i="1"/>
  <c r="CS100" i="1"/>
  <c r="CS101" i="1"/>
  <c r="CS25" i="1"/>
  <c r="CS104" i="1"/>
  <c r="CS105" i="1"/>
  <c r="CS10" i="1"/>
  <c r="CS82" i="1"/>
  <c r="CS16" i="1"/>
  <c r="CS11" i="1"/>
  <c r="CS14" i="1"/>
  <c r="CS17" i="1"/>
  <c r="CS23" i="1"/>
  <c r="CS24" i="1"/>
  <c r="CS121" i="1"/>
  <c r="CS127" i="1"/>
  <c r="CS128" i="1"/>
  <c r="CS12" i="1"/>
  <c r="CS18" i="1"/>
  <c r="CS150" i="1"/>
  <c r="CS151" i="1"/>
  <c r="CS97" i="1"/>
  <c r="CS117" i="1"/>
  <c r="CS19" i="1"/>
  <c r="CS26" i="1"/>
  <c r="CS103" i="1"/>
  <c r="CS102" i="1"/>
  <c r="CS77" i="1"/>
  <c r="CS68" i="1"/>
  <c r="CS152" i="1"/>
  <c r="CS93" i="1"/>
  <c r="CS139" i="1"/>
  <c r="CS157" i="1"/>
  <c r="CS158" i="1"/>
  <c r="CS2" i="1"/>
  <c r="CS164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6" i="1"/>
  <c r="BU6" i="1"/>
  <c r="BV6" i="1"/>
  <c r="BW6" i="1"/>
  <c r="BX6" i="1"/>
  <c r="BY6" i="1"/>
  <c r="BZ6" i="1"/>
  <c r="CA6" i="1"/>
  <c r="CB6" i="1"/>
  <c r="CC6" i="1"/>
  <c r="CD6" i="1"/>
  <c r="CE6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" i="1"/>
  <c r="BU9" i="1"/>
  <c r="BV9" i="1"/>
  <c r="BW9" i="1"/>
  <c r="BX9" i="1"/>
  <c r="BY9" i="1"/>
  <c r="BZ9" i="1"/>
  <c r="CA9" i="1"/>
  <c r="CB9" i="1"/>
  <c r="CC9" i="1"/>
  <c r="CD9" i="1"/>
  <c r="CE9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50" i="1"/>
  <c r="BU150" i="1"/>
  <c r="BV150" i="1"/>
  <c r="BW150" i="1"/>
  <c r="BX150" i="1"/>
  <c r="BY150" i="1"/>
  <c r="BZ150" i="1"/>
  <c r="CA150" i="1"/>
  <c r="CB150" i="1"/>
  <c r="CC150" i="1"/>
  <c r="CD150" i="1"/>
  <c r="CE150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BT158" i="1"/>
  <c r="BU158" i="1"/>
  <c r="BV158" i="1"/>
  <c r="BW158" i="1"/>
  <c r="BX158" i="1"/>
  <c r="BY158" i="1"/>
  <c r="BZ158" i="1"/>
  <c r="CA158" i="1"/>
  <c r="CB158" i="1"/>
  <c r="CC158" i="1"/>
  <c r="CD158" i="1"/>
  <c r="CE158" i="1"/>
  <c r="BU2" i="1"/>
  <c r="BV2" i="1"/>
  <c r="BW2" i="1"/>
  <c r="BX2" i="1"/>
  <c r="BY2" i="1"/>
  <c r="BZ2" i="1"/>
  <c r="CA2" i="1"/>
  <c r="CB2" i="1"/>
  <c r="CC2" i="1"/>
  <c r="CD2" i="1"/>
  <c r="CE2" i="1"/>
  <c r="BT2" i="1"/>
  <c r="CF9" i="1" l="1"/>
  <c r="CR9" i="1" s="1"/>
  <c r="CF85" i="1"/>
  <c r="CR85" i="1" s="1"/>
  <c r="CF84" i="1"/>
  <c r="CN84" i="1" s="1"/>
  <c r="CF71" i="1"/>
  <c r="CH71" i="1" s="1"/>
  <c r="CA164" i="1"/>
  <c r="CC164" i="1"/>
  <c r="BX164" i="1"/>
  <c r="BZ164" i="1"/>
  <c r="BV164" i="1"/>
  <c r="BU164" i="1"/>
  <c r="CD164" i="1"/>
  <c r="BY164" i="1"/>
  <c r="CB164" i="1"/>
  <c r="CE164" i="1"/>
  <c r="CF77" i="1"/>
  <c r="CK77" i="1" s="1"/>
  <c r="CF80" i="1"/>
  <c r="CM80" i="1" s="1"/>
  <c r="CF104" i="1"/>
  <c r="CI104" i="1" s="1"/>
  <c r="CF23" i="1"/>
  <c r="CJ23" i="1" s="1"/>
  <c r="CF26" i="1"/>
  <c r="CG26" i="1" s="1"/>
  <c r="CF5" i="1"/>
  <c r="CN5" i="1" s="1"/>
  <c r="CF4" i="1"/>
  <c r="CN4" i="1" s="1"/>
  <c r="CF3" i="1"/>
  <c r="CN3" i="1" s="1"/>
  <c r="CF158" i="1"/>
  <c r="CG158" i="1" s="1"/>
  <c r="CF68" i="1"/>
  <c r="CK68" i="1" s="1"/>
  <c r="CF152" i="1"/>
  <c r="CK152" i="1" s="1"/>
  <c r="CF102" i="1"/>
  <c r="CR102" i="1" s="1"/>
  <c r="CF151" i="1"/>
  <c r="CJ151" i="1" s="1"/>
  <c r="CF17" i="1"/>
  <c r="CH17" i="1" s="1"/>
  <c r="CF12" i="1"/>
  <c r="CR12" i="1" s="1"/>
  <c r="CF13" i="1"/>
  <c r="CQ13" i="1" s="1"/>
  <c r="CF22" i="1"/>
  <c r="CR22" i="1" s="1"/>
  <c r="CF20" i="1"/>
  <c r="CH20" i="1" s="1"/>
  <c r="CF11" i="1"/>
  <c r="CN11" i="1" s="1"/>
  <c r="CF54" i="1"/>
  <c r="CH54" i="1" s="1"/>
  <c r="CF14" i="1"/>
  <c r="CN14" i="1" s="1"/>
  <c r="CF101" i="1"/>
  <c r="CL101" i="1" s="1"/>
  <c r="CF99" i="1"/>
  <c r="CH99" i="1" s="1"/>
  <c r="CF25" i="1"/>
  <c r="CK25" i="1" s="1"/>
  <c r="CF15" i="1"/>
  <c r="CO15" i="1" s="1"/>
  <c r="CF83" i="1"/>
  <c r="CO83" i="1" s="1"/>
  <c r="CF89" i="1"/>
  <c r="CH89" i="1" s="1"/>
  <c r="CF88" i="1"/>
  <c r="CP88" i="1" s="1"/>
  <c r="CF87" i="1"/>
  <c r="CN87" i="1" s="1"/>
  <c r="CF86" i="1"/>
  <c r="CR86" i="1" s="1"/>
  <c r="CF16" i="1"/>
  <c r="CG16" i="1" s="1"/>
  <c r="CF55" i="1"/>
  <c r="CQ55" i="1" s="1"/>
  <c r="CF6" i="1"/>
  <c r="CL6" i="1" s="1"/>
  <c r="CF24" i="1"/>
  <c r="CJ24" i="1" s="1"/>
  <c r="CF8" i="1"/>
  <c r="CN8" i="1" s="1"/>
  <c r="CF7" i="1"/>
  <c r="CI7" i="1" s="1"/>
  <c r="CF157" i="1"/>
  <c r="CR157" i="1" s="1"/>
  <c r="CF95" i="1"/>
  <c r="CJ95" i="1" s="1"/>
  <c r="CF139" i="1"/>
  <c r="CO139" i="1" s="1"/>
  <c r="CF103" i="1"/>
  <c r="CN103" i="1" s="1"/>
  <c r="CF19" i="1"/>
  <c r="CK19" i="1" s="1"/>
  <c r="CF150" i="1"/>
  <c r="CR150" i="1" s="1"/>
  <c r="CF10" i="1"/>
  <c r="CP10" i="1" s="1"/>
  <c r="CF18" i="1"/>
  <c r="CR18" i="1" s="1"/>
  <c r="CF59" i="1"/>
  <c r="CH59" i="1" s="1"/>
  <c r="CF21" i="1"/>
  <c r="CK21" i="1" s="1"/>
  <c r="CF128" i="1"/>
  <c r="CN128" i="1" s="1"/>
  <c r="CF127" i="1"/>
  <c r="CL127" i="1" s="1"/>
  <c r="CF97" i="1"/>
  <c r="CN97" i="1" s="1"/>
  <c r="CF121" i="1"/>
  <c r="CI121" i="1" s="1"/>
  <c r="CF82" i="1"/>
  <c r="CH82" i="1" s="1"/>
  <c r="CF105" i="1"/>
  <c r="CO105" i="1" s="1"/>
  <c r="CF100" i="1"/>
  <c r="CM100" i="1" s="1"/>
  <c r="CF96" i="1"/>
  <c r="CR96" i="1" s="1"/>
  <c r="CF90" i="1"/>
  <c r="CM90" i="1" s="1"/>
  <c r="CF2" i="1"/>
  <c r="CH2" i="1" s="1"/>
  <c r="CF117" i="1"/>
  <c r="CK117" i="1" s="1"/>
  <c r="CF93" i="1"/>
  <c r="CG93" i="1" s="1"/>
  <c r="BW164" i="1"/>
  <c r="BT164" i="1"/>
  <c r="BP22" i="1"/>
  <c r="BP10" i="1"/>
  <c r="BP12" i="1"/>
  <c r="BP139" i="1"/>
  <c r="BP3" i="1"/>
  <c r="BP84" i="1"/>
  <c r="BP85" i="1"/>
  <c r="BP86" i="1"/>
  <c r="BP121" i="1"/>
  <c r="BP97" i="1"/>
  <c r="BP158" i="1"/>
  <c r="BP82" i="1"/>
  <c r="BP127" i="1"/>
  <c r="BP150" i="1"/>
  <c r="BP87" i="1"/>
  <c r="BP88" i="1"/>
  <c r="BP59" i="1"/>
  <c r="BP4" i="1"/>
  <c r="BP71" i="1"/>
  <c r="BP80" i="1"/>
  <c r="BP7" i="1"/>
  <c r="BP54" i="1"/>
  <c r="BP55" i="1"/>
  <c r="BP152" i="1"/>
  <c r="BP5" i="1"/>
  <c r="BP19" i="1"/>
  <c r="BP14" i="1"/>
  <c r="BP100" i="1"/>
  <c r="BP89" i="1"/>
  <c r="BP101" i="1"/>
  <c r="BP103" i="1"/>
  <c r="BP77" i="1"/>
  <c r="BP17" i="1"/>
  <c r="BP18" i="1"/>
  <c r="BP25" i="1"/>
  <c r="BP117" i="1"/>
  <c r="BP93" i="1"/>
  <c r="BP11" i="1"/>
  <c r="BP13" i="1"/>
  <c r="BP8" i="1"/>
  <c r="BP16" i="1"/>
  <c r="BP157" i="1"/>
  <c r="BP128" i="1"/>
  <c r="BP151" i="1"/>
  <c r="BP90" i="1"/>
  <c r="BP83" i="1"/>
  <c r="BP15" i="1"/>
  <c r="BP102" i="1"/>
  <c r="BP23" i="1"/>
  <c r="BP26" i="1"/>
  <c r="BP24" i="1"/>
  <c r="BP96" i="1"/>
  <c r="BP104" i="1"/>
  <c r="BP105" i="1"/>
  <c r="J164" i="1"/>
  <c r="J166" i="1" s="1"/>
  <c r="K164" i="1"/>
  <c r="K166" i="1" s="1"/>
  <c r="L164" i="1"/>
  <c r="L166" i="1" s="1"/>
  <c r="M164" i="1"/>
  <c r="M166" i="1" s="1"/>
  <c r="N164" i="1"/>
  <c r="N166" i="1" s="1"/>
  <c r="O164" i="1"/>
  <c r="O166" i="1" s="1"/>
  <c r="AE164" i="1"/>
  <c r="AE166" i="1" s="1"/>
  <c r="AF164" i="1"/>
  <c r="AF166" i="1" s="1"/>
  <c r="AG164" i="1"/>
  <c r="AG166" i="1" s="1"/>
  <c r="AH164" i="1"/>
  <c r="AH166" i="1" s="1"/>
  <c r="AI164" i="1"/>
  <c r="AI166" i="1" s="1"/>
  <c r="AJ164" i="1"/>
  <c r="AJ166" i="1" s="1"/>
  <c r="AK164" i="1"/>
  <c r="AK166" i="1" s="1"/>
  <c r="AL164" i="1"/>
  <c r="AL166" i="1" s="1"/>
  <c r="AM164" i="1"/>
  <c r="AM166" i="1" s="1"/>
  <c r="AN164" i="1"/>
  <c r="AN166" i="1" s="1"/>
  <c r="AR164" i="1"/>
  <c r="AR166" i="1" s="1"/>
  <c r="AS164" i="1"/>
  <c r="AS166" i="1" s="1"/>
  <c r="AQ164" i="1"/>
  <c r="AQ166" i="1" s="1"/>
  <c r="AV164" i="1"/>
  <c r="AV166" i="1" s="1"/>
  <c r="AT164" i="1"/>
  <c r="AT166" i="1" s="1"/>
  <c r="AU164" i="1"/>
  <c r="AU166" i="1" s="1"/>
  <c r="BP99" i="1"/>
  <c r="BP68" i="1"/>
  <c r="BP2" i="1"/>
  <c r="BP20" i="1"/>
  <c r="BP21" i="1"/>
  <c r="BP6" i="1"/>
  <c r="BP9" i="1"/>
  <c r="BP95" i="1"/>
  <c r="BF164" i="1"/>
  <c r="BF166" i="1" s="1"/>
  <c r="BG164" i="1"/>
  <c r="BG166" i="1" s="1"/>
  <c r="BE164" i="1"/>
  <c r="BE166" i="1" s="1"/>
  <c r="BD164" i="1"/>
  <c r="BD166" i="1" s="1"/>
  <c r="BH164" i="1"/>
  <c r="BH166" i="1" s="1"/>
  <c r="BI164" i="1"/>
  <c r="BI166" i="1" s="1"/>
  <c r="BJ164" i="1"/>
  <c r="BJ166" i="1" s="1"/>
  <c r="BK164" i="1"/>
  <c r="BK166" i="1" s="1"/>
  <c r="BL164" i="1"/>
  <c r="BL166" i="1" s="1"/>
  <c r="BM164" i="1"/>
  <c r="BM166" i="1" s="1"/>
  <c r="BN164" i="1"/>
  <c r="BN166" i="1" s="1"/>
  <c r="BO164" i="1"/>
  <c r="BO166" i="1" s="1"/>
  <c r="F164" i="1"/>
  <c r="F166" i="1" s="1"/>
  <c r="G164" i="1"/>
  <c r="G166" i="1" s="1"/>
  <c r="H164" i="1"/>
  <c r="H166" i="1" s="1"/>
  <c r="I164" i="1"/>
  <c r="I166" i="1" s="1"/>
  <c r="AW164" i="1"/>
  <c r="AW166" i="1" s="1"/>
  <c r="AX164" i="1"/>
  <c r="AX166" i="1" s="1"/>
  <c r="AZ164" i="1"/>
  <c r="AZ166" i="1" s="1"/>
  <c r="BB164" i="1"/>
  <c r="BB166" i="1" s="1"/>
  <c r="AY164" i="1"/>
  <c r="AY166" i="1" s="1"/>
  <c r="BA164" i="1"/>
  <c r="BA166" i="1" s="1"/>
  <c r="E164" i="1"/>
  <c r="E166" i="1" s="1"/>
  <c r="CO71" i="1" l="1"/>
  <c r="CN89" i="1"/>
  <c r="CH24" i="1"/>
  <c r="CK89" i="1"/>
  <c r="CP4" i="1"/>
  <c r="CP6" i="1"/>
  <c r="CJ22" i="1"/>
  <c r="CI80" i="1"/>
  <c r="CJ5" i="1"/>
  <c r="CQ7" i="1"/>
  <c r="CG71" i="1"/>
  <c r="CM24" i="1"/>
  <c r="CH80" i="1"/>
  <c r="CP80" i="1"/>
  <c r="CG80" i="1"/>
  <c r="CR80" i="1"/>
  <c r="CN13" i="1"/>
  <c r="CK80" i="1"/>
  <c r="CI77" i="1"/>
  <c r="CP77" i="1"/>
  <c r="CQ77" i="1"/>
  <c r="CH77" i="1"/>
  <c r="CL24" i="1"/>
  <c r="CO77" i="1"/>
  <c r="CQ24" i="1"/>
  <c r="CG77" i="1"/>
  <c r="CP83" i="1"/>
  <c r="CO18" i="1"/>
  <c r="CR127" i="1"/>
  <c r="CP89" i="1"/>
  <c r="CN7" i="1"/>
  <c r="CI24" i="1"/>
  <c r="CQ23" i="1"/>
  <c r="CJ4" i="1"/>
  <c r="CL4" i="1"/>
  <c r="CM77" i="1"/>
  <c r="CM127" i="1"/>
  <c r="CK86" i="1"/>
  <c r="CN102" i="1"/>
  <c r="CN23" i="1"/>
  <c r="CO102" i="1"/>
  <c r="CM23" i="1"/>
  <c r="CI23" i="1"/>
  <c r="CR23" i="1"/>
  <c r="CL54" i="1"/>
  <c r="CN2" i="1"/>
  <c r="CK23" i="1"/>
  <c r="CL68" i="1"/>
  <c r="CQ8" i="1"/>
  <c r="CI11" i="1"/>
  <c r="CQ68" i="1"/>
  <c r="CJ68" i="1"/>
  <c r="CH23" i="1"/>
  <c r="CP23" i="1"/>
  <c r="CL14" i="1"/>
  <c r="CH55" i="1"/>
  <c r="CG13" i="1"/>
  <c r="CG23" i="1"/>
  <c r="CO13" i="1"/>
  <c r="CR71" i="1"/>
  <c r="CO23" i="1"/>
  <c r="CG14" i="1"/>
  <c r="CL71" i="1"/>
  <c r="CR3" i="1"/>
  <c r="CJ14" i="1"/>
  <c r="CL23" i="1"/>
  <c r="CR14" i="1"/>
  <c r="CI102" i="1"/>
  <c r="CO14" i="1"/>
  <c r="CO68" i="1"/>
  <c r="CQ102" i="1"/>
  <c r="CM86" i="1"/>
  <c r="CP55" i="1"/>
  <c r="CJ13" i="1"/>
  <c r="CR26" i="1"/>
  <c r="CQ26" i="1"/>
  <c r="CP26" i="1"/>
  <c r="CM15" i="1"/>
  <c r="CN26" i="1"/>
  <c r="CM26" i="1"/>
  <c r="CJ26" i="1"/>
  <c r="CJ104" i="1"/>
  <c r="CO26" i="1"/>
  <c r="CP100" i="1"/>
  <c r="CH26" i="1"/>
  <c r="CG100" i="1"/>
  <c r="CK26" i="1"/>
  <c r="CI26" i="1"/>
  <c r="CR24" i="1"/>
  <c r="CR101" i="1"/>
  <c r="CL151" i="1"/>
  <c r="CQ85" i="1"/>
  <c r="CQ151" i="1"/>
  <c r="CK101" i="1"/>
  <c r="CK95" i="1"/>
  <c r="CN85" i="1"/>
  <c r="CN18" i="1"/>
  <c r="CP85" i="1"/>
  <c r="CL95" i="1"/>
  <c r="CH85" i="1"/>
  <c r="CO95" i="1"/>
  <c r="CO85" i="1"/>
  <c r="CN151" i="1"/>
  <c r="CI95" i="1"/>
  <c r="CK85" i="1"/>
  <c r="CM151" i="1"/>
  <c r="CH95" i="1"/>
  <c r="CO151" i="1"/>
  <c r="CI151" i="1"/>
  <c r="CR95" i="1"/>
  <c r="CI85" i="1"/>
  <c r="CQ101" i="1"/>
  <c r="CH151" i="1"/>
  <c r="CQ95" i="1"/>
  <c r="CP101" i="1"/>
  <c r="CG151" i="1"/>
  <c r="CN95" i="1"/>
  <c r="CR19" i="1"/>
  <c r="CO6" i="1"/>
  <c r="CR2" i="1"/>
  <c r="CM97" i="1"/>
  <c r="CJ101" i="1"/>
  <c r="CM101" i="1"/>
  <c r="CR151" i="1"/>
  <c r="CI117" i="1"/>
  <c r="CJ85" i="1"/>
  <c r="CR7" i="1"/>
  <c r="CO24" i="1"/>
  <c r="CK157" i="1"/>
  <c r="CO55" i="1"/>
  <c r="CR13" i="1"/>
  <c r="CG89" i="1"/>
  <c r="CP15" i="1"/>
  <c r="CL102" i="1"/>
  <c r="CL7" i="1"/>
  <c r="CI83" i="1"/>
  <c r="CR121" i="1"/>
  <c r="CJ77" i="1"/>
  <c r="CL15" i="1"/>
  <c r="CM3" i="1"/>
  <c r="CJ80" i="1"/>
  <c r="CM2" i="1"/>
  <c r="CH14" i="1"/>
  <c r="CK139" i="1"/>
  <c r="CJ2" i="1"/>
  <c r="CM20" i="1"/>
  <c r="CP21" i="1"/>
  <c r="CQ150" i="1"/>
  <c r="CI3" i="1"/>
  <c r="CN80" i="1"/>
  <c r="CP14" i="1"/>
  <c r="CJ71" i="1"/>
  <c r="CI2" i="1"/>
  <c r="CM157" i="1"/>
  <c r="CP18" i="1"/>
  <c r="CL150" i="1"/>
  <c r="CG3" i="1"/>
  <c r="CM121" i="1"/>
  <c r="CG24" i="1"/>
  <c r="CM71" i="1"/>
  <c r="CN55" i="1"/>
  <c r="CK11" i="1"/>
  <c r="CM13" i="1"/>
  <c r="CQ89" i="1"/>
  <c r="CR77" i="1"/>
  <c r="CH102" i="1"/>
  <c r="CP22" i="1"/>
  <c r="CM7" i="1"/>
  <c r="CI93" i="1"/>
  <c r="CO80" i="1"/>
  <c r="CN20" i="1"/>
  <c r="CL93" i="1"/>
  <c r="CL55" i="1"/>
  <c r="CQ11" i="1"/>
  <c r="CO93" i="1"/>
  <c r="CL13" i="1"/>
  <c r="CM6" i="1"/>
  <c r="CO121" i="1"/>
  <c r="CI71" i="1"/>
  <c r="CG17" i="1"/>
  <c r="CH4" i="1"/>
  <c r="CG7" i="1"/>
  <c r="CR93" i="1"/>
  <c r="CL80" i="1"/>
  <c r="CK55" i="1"/>
  <c r="CO11" i="1"/>
  <c r="CK13" i="1"/>
  <c r="CG6" i="1"/>
  <c r="CL121" i="1"/>
  <c r="CQ71" i="1"/>
  <c r="CI89" i="1"/>
  <c r="CR17" i="1"/>
  <c r="CQ84" i="1"/>
  <c r="CN93" i="1"/>
  <c r="CH121" i="1"/>
  <c r="CI17" i="1"/>
  <c r="CK121" i="1"/>
  <c r="CO17" i="1"/>
  <c r="CO7" i="1"/>
  <c r="CP84" i="1"/>
  <c r="CM93" i="1"/>
  <c r="CN24" i="1"/>
  <c r="CN83" i="1"/>
  <c r="CN100" i="1"/>
  <c r="CL26" i="1"/>
  <c r="CK6" i="1"/>
  <c r="CR10" i="1"/>
  <c r="CL17" i="1"/>
  <c r="CM84" i="1"/>
  <c r="CJ93" i="1"/>
  <c r="CI100" i="1"/>
  <c r="CK10" i="1"/>
  <c r="CJ84" i="1"/>
  <c r="CQ139" i="1"/>
  <c r="CM99" i="1"/>
  <c r="CI84" i="1"/>
  <c r="CP139" i="1"/>
  <c r="CI99" i="1"/>
  <c r="CG84" i="1"/>
  <c r="CN139" i="1"/>
  <c r="CL84" i="1"/>
  <c r="CK93" i="1"/>
  <c r="CQ121" i="1"/>
  <c r="CJ139" i="1"/>
  <c r="CN17" i="1"/>
  <c r="CQ17" i="1"/>
  <c r="CK84" i="1"/>
  <c r="CN121" i="1"/>
  <c r="CG139" i="1"/>
  <c r="CP17" i="1"/>
  <c r="CJ17" i="1"/>
  <c r="CG121" i="1"/>
  <c r="CL139" i="1"/>
  <c r="CM17" i="1"/>
  <c r="CJ18" i="1"/>
  <c r="CQ4" i="1"/>
  <c r="CO3" i="1"/>
  <c r="CI152" i="1"/>
  <c r="CK7" i="1"/>
  <c r="CK24" i="1"/>
  <c r="CM83" i="1"/>
  <c r="CP11" i="1"/>
  <c r="CH100" i="1"/>
  <c r="CN158" i="1"/>
  <c r="CJ127" i="1"/>
  <c r="CM89" i="1"/>
  <c r="CN10" i="1"/>
  <c r="CL8" i="1"/>
  <c r="CQ20" i="1"/>
  <c r="CH18" i="1"/>
  <c r="CK150" i="1"/>
  <c r="CO86" i="1"/>
  <c r="CH7" i="1"/>
  <c r="CG157" i="1"/>
  <c r="CJ83" i="1"/>
  <c r="CG11" i="1"/>
  <c r="CQ100" i="1"/>
  <c r="CQ127" i="1"/>
  <c r="CJ89" i="1"/>
  <c r="CH10" i="1"/>
  <c r="CK8" i="1"/>
  <c r="CP20" i="1"/>
  <c r="CQ157" i="1"/>
  <c r="CJ9" i="1"/>
  <c r="CG18" i="1"/>
  <c r="CL86" i="1"/>
  <c r="CL157" i="1"/>
  <c r="CL2" i="1"/>
  <c r="CG83" i="1"/>
  <c r="CL11" i="1"/>
  <c r="CO100" i="1"/>
  <c r="CK127" i="1"/>
  <c r="CR89" i="1"/>
  <c r="CO10" i="1"/>
  <c r="CJ20" i="1"/>
  <c r="CN77" i="1"/>
  <c r="CP102" i="1"/>
  <c r="CI4" i="1"/>
  <c r="CQ3" i="1"/>
  <c r="CK87" i="1"/>
  <c r="CQ6" i="1"/>
  <c r="CL10" i="1"/>
  <c r="CI20" i="1"/>
  <c r="CJ3" i="1"/>
  <c r="CQ96" i="1"/>
  <c r="CG96" i="1"/>
  <c r="CJ100" i="1"/>
  <c r="CM18" i="1"/>
  <c r="CJ150" i="1"/>
  <c r="CL3" i="1"/>
  <c r="CQ86" i="1"/>
  <c r="CP7" i="1"/>
  <c r="CH104" i="1"/>
  <c r="CO157" i="1"/>
  <c r="CM55" i="1"/>
  <c r="CL83" i="1"/>
  <c r="CM11" i="1"/>
  <c r="CQ54" i="1"/>
  <c r="CM10" i="1"/>
  <c r="CP127" i="1"/>
  <c r="CK158" i="1"/>
  <c r="CN6" i="1"/>
  <c r="CO89" i="1"/>
  <c r="CJ10" i="1"/>
  <c r="CQ2" i="1"/>
  <c r="CG20" i="1"/>
  <c r="CP157" i="1"/>
  <c r="CL77" i="1"/>
  <c r="CG21" i="1"/>
  <c r="CL18" i="1"/>
  <c r="CP150" i="1"/>
  <c r="CM4" i="1"/>
  <c r="CK3" i="1"/>
  <c r="CJ86" i="1"/>
  <c r="CM96" i="1"/>
  <c r="CJ7" i="1"/>
  <c r="CO104" i="1"/>
  <c r="CQ80" i="1"/>
  <c r="CP24" i="1"/>
  <c r="CP2" i="1"/>
  <c r="CI55" i="1"/>
  <c r="CK83" i="1"/>
  <c r="CJ11" i="1"/>
  <c r="CM54" i="1"/>
  <c r="CN127" i="1"/>
  <c r="CJ6" i="1"/>
  <c r="CL89" i="1"/>
  <c r="CI10" i="1"/>
  <c r="CO2" i="1"/>
  <c r="CO20" i="1"/>
  <c r="CN157" i="1"/>
  <c r="CR21" i="1"/>
  <c r="CK18" i="1"/>
  <c r="CM150" i="1"/>
  <c r="CR4" i="1"/>
  <c r="CH3" i="1"/>
  <c r="CN86" i="1"/>
  <c r="CJ96" i="1"/>
  <c r="CH11" i="1"/>
  <c r="CQ14" i="1"/>
  <c r="CR11" i="1"/>
  <c r="CI127" i="1"/>
  <c r="CR6" i="1"/>
  <c r="CQ10" i="1"/>
  <c r="CJ157" i="1"/>
  <c r="CI18" i="1"/>
  <c r="CJ102" i="1"/>
  <c r="CN150" i="1"/>
  <c r="CK4" i="1"/>
  <c r="CP3" i="1"/>
  <c r="CI86" i="1"/>
  <c r="CO96" i="1"/>
  <c r="CH127" i="1"/>
  <c r="CG10" i="1"/>
  <c r="CQ18" i="1"/>
  <c r="CO150" i="1"/>
  <c r="CP86" i="1"/>
  <c r="CL96" i="1"/>
  <c r="CK96" i="1"/>
  <c r="CP96" i="1"/>
  <c r="CG2" i="1"/>
  <c r="CI157" i="1"/>
  <c r="CK102" i="1"/>
  <c r="CI150" i="1"/>
  <c r="CI96" i="1"/>
  <c r="CR82" i="1"/>
  <c r="CR103" i="1"/>
  <c r="CO82" i="1"/>
  <c r="CO103" i="1"/>
  <c r="CL82" i="1"/>
  <c r="CP25" i="1"/>
  <c r="CL103" i="1"/>
  <c r="CI16" i="1"/>
  <c r="CK103" i="1"/>
  <c r="CH16" i="1"/>
  <c r="CQ12" i="1"/>
  <c r="CP16" i="1"/>
  <c r="CM12" i="1"/>
  <c r="CH103" i="1"/>
  <c r="CN25" i="1"/>
  <c r="CJ25" i="1"/>
  <c r="CR16" i="1"/>
  <c r="CJ12" i="1"/>
  <c r="CI25" i="1"/>
  <c r="CM16" i="1"/>
  <c r="CL19" i="1"/>
  <c r="CM8" i="1"/>
  <c r="CO16" i="1"/>
  <c r="CH12" i="1"/>
  <c r="CP82" i="1"/>
  <c r="CQ25" i="1"/>
  <c r="CQ105" i="1"/>
  <c r="CJ8" i="1"/>
  <c r="CL16" i="1"/>
  <c r="CP12" i="1"/>
  <c r="CM82" i="1"/>
  <c r="CM25" i="1"/>
  <c r="CJ105" i="1"/>
  <c r="CM105" i="1"/>
  <c r="CG8" i="1"/>
  <c r="CK16" i="1"/>
  <c r="CI97" i="1"/>
  <c r="CO117" i="1"/>
  <c r="CI12" i="1"/>
  <c r="CJ82" i="1"/>
  <c r="CH25" i="1"/>
  <c r="CG25" i="1"/>
  <c r="CQ103" i="1"/>
  <c r="CN16" i="1"/>
  <c r="CR8" i="1"/>
  <c r="CM87" i="1"/>
  <c r="CO12" i="1"/>
  <c r="CI82" i="1"/>
  <c r="CR25" i="1"/>
  <c r="CP103" i="1"/>
  <c r="CO8" i="1"/>
  <c r="CH97" i="1"/>
  <c r="CL85" i="1"/>
  <c r="CL87" i="1"/>
  <c r="CP99" i="1"/>
  <c r="CL12" i="1"/>
  <c r="CG82" i="1"/>
  <c r="CL25" i="1"/>
  <c r="CJ103" i="1"/>
  <c r="CK12" i="1"/>
  <c r="CJ59" i="1"/>
  <c r="CO9" i="1"/>
  <c r="CL104" i="1"/>
  <c r="CR59" i="1"/>
  <c r="CK54" i="1"/>
  <c r="CI105" i="1"/>
  <c r="CI19" i="1"/>
  <c r="CP68" i="1"/>
  <c r="CK15" i="1"/>
  <c r="CL9" i="1"/>
  <c r="CI21" i="1"/>
  <c r="CI5" i="1"/>
  <c r="CJ87" i="1"/>
  <c r="CO22" i="1"/>
  <c r="CK104" i="1"/>
  <c r="CO59" i="1"/>
  <c r="CG68" i="1"/>
  <c r="CG105" i="1"/>
  <c r="CH19" i="1"/>
  <c r="CN68" i="1"/>
  <c r="CK9" i="1"/>
  <c r="CJ21" i="1"/>
  <c r="CR5" i="1"/>
  <c r="CH87" i="1"/>
  <c r="CL22" i="1"/>
  <c r="CQ104" i="1"/>
  <c r="CL59" i="1"/>
  <c r="CL105" i="1"/>
  <c r="CQ19" i="1"/>
  <c r="CM68" i="1"/>
  <c r="CQ21" i="1"/>
  <c r="CL5" i="1"/>
  <c r="CI87" i="1"/>
  <c r="CK22" i="1"/>
  <c r="CN19" i="1"/>
  <c r="CK59" i="1"/>
  <c r="CI158" i="1"/>
  <c r="CK105" i="1"/>
  <c r="CP19" i="1"/>
  <c r="CN21" i="1"/>
  <c r="CK5" i="1"/>
  <c r="CG87" i="1"/>
  <c r="CJ54" i="1"/>
  <c r="CH158" i="1"/>
  <c r="CJ19" i="1"/>
  <c r="CM59" i="1"/>
  <c r="CM21" i="1"/>
  <c r="CH5" i="1"/>
  <c r="CR117" i="1"/>
  <c r="CR87" i="1"/>
  <c r="CM104" i="1"/>
  <c r="CI54" i="1"/>
  <c r="CR158" i="1"/>
  <c r="CG19" i="1"/>
  <c r="CN54" i="1"/>
  <c r="CQ15" i="1"/>
  <c r="CQ9" i="1"/>
  <c r="CH21" i="1"/>
  <c r="CO87" i="1"/>
  <c r="CN96" i="1"/>
  <c r="CP104" i="1"/>
  <c r="CQ158" i="1"/>
  <c r="CM9" i="1"/>
  <c r="CQ22" i="1"/>
  <c r="CN104" i="1"/>
  <c r="CM19" i="1"/>
  <c r="CG54" i="1"/>
  <c r="CI68" i="1"/>
  <c r="CP54" i="1"/>
  <c r="CO158" i="1"/>
  <c r="CJ15" i="1"/>
  <c r="CH9" i="1"/>
  <c r="CO21" i="1"/>
  <c r="CQ5" i="1"/>
  <c r="CP87" i="1"/>
  <c r="CJ88" i="1"/>
  <c r="CH96" i="1"/>
  <c r="CN22" i="1"/>
  <c r="CG104" i="1"/>
  <c r="CQ59" i="1"/>
  <c r="CR54" i="1"/>
  <c r="CP105" i="1"/>
  <c r="CH68" i="1"/>
  <c r="CI15" i="1"/>
  <c r="CP9" i="1"/>
  <c r="CL21" i="1"/>
  <c r="CP5" i="1"/>
  <c r="CQ87" i="1"/>
  <c r="CQ88" i="1"/>
  <c r="CM22" i="1"/>
  <c r="CR104" i="1"/>
  <c r="CP59" i="1"/>
  <c r="CO54" i="1"/>
  <c r="CN15" i="1"/>
  <c r="CN105" i="1"/>
  <c r="CR68" i="1"/>
  <c r="CL158" i="1"/>
  <c r="CG15" i="1"/>
  <c r="CI9" i="1"/>
  <c r="CM5" i="1"/>
  <c r="CI88" i="1"/>
  <c r="CI22" i="1"/>
  <c r="CJ90" i="1"/>
  <c r="CH84" i="1"/>
  <c r="CK82" i="1"/>
  <c r="CH93" i="1"/>
  <c r="CG95" i="1"/>
  <c r="CG101" i="1"/>
  <c r="CK151" i="1"/>
  <c r="CI8" i="1"/>
  <c r="CJ55" i="1"/>
  <c r="CH83" i="1"/>
  <c r="CO25" i="1"/>
  <c r="CK14" i="1"/>
  <c r="CN59" i="1"/>
  <c r="CP95" i="1"/>
  <c r="CR100" i="1"/>
  <c r="CM103" i="1"/>
  <c r="CP158" i="1"/>
  <c r="CH105" i="1"/>
  <c r="CG127" i="1"/>
  <c r="CO19" i="1"/>
  <c r="CM14" i="1"/>
  <c r="CP121" i="1"/>
  <c r="CI139" i="1"/>
  <c r="CN71" i="1"/>
  <c r="CK2" i="1"/>
  <c r="CQ16" i="1"/>
  <c r="CH15" i="1"/>
  <c r="CR20" i="1"/>
  <c r="CK17" i="1"/>
  <c r="CN9" i="1"/>
  <c r="CM102" i="1"/>
  <c r="CG5" i="1"/>
  <c r="CH90" i="1"/>
  <c r="CJ97" i="1"/>
  <c r="CH150" i="1"/>
  <c r="CH117" i="1"/>
  <c r="CG4" i="1"/>
  <c r="CM85" i="1"/>
  <c r="CH86" i="1"/>
  <c r="CN88" i="1"/>
  <c r="CN99" i="1"/>
  <c r="CH22" i="1"/>
  <c r="CN12" i="1"/>
  <c r="CH152" i="1"/>
  <c r="CI128" i="1"/>
  <c r="CN90" i="1"/>
  <c r="CR152" i="1"/>
  <c r="CH101" i="1"/>
  <c r="CR84" i="1"/>
  <c r="CH128" i="1"/>
  <c r="CQ93" i="1"/>
  <c r="CM139" i="1"/>
  <c r="CO101" i="1"/>
  <c r="CH8" i="1"/>
  <c r="CG55" i="1"/>
  <c r="CR83" i="1"/>
  <c r="CI59" i="1"/>
  <c r="CM95" i="1"/>
  <c r="CL100" i="1"/>
  <c r="CI13" i="1"/>
  <c r="CI103" i="1"/>
  <c r="CM158" i="1"/>
  <c r="CR105" i="1"/>
  <c r="CO127" i="1"/>
  <c r="CJ121" i="1"/>
  <c r="CR139" i="1"/>
  <c r="CK71" i="1"/>
  <c r="CN82" i="1"/>
  <c r="CP8" i="1"/>
  <c r="CJ16" i="1"/>
  <c r="CR15" i="1"/>
  <c r="CL20" i="1"/>
  <c r="CH157" i="1"/>
  <c r="CG9" i="1"/>
  <c r="CG102" i="1"/>
  <c r="CO5" i="1"/>
  <c r="CG90" i="1"/>
  <c r="CG97" i="1"/>
  <c r="CG150" i="1"/>
  <c r="CQ117" i="1"/>
  <c r="CO4" i="1"/>
  <c r="CG85" i="1"/>
  <c r="CG86" i="1"/>
  <c r="CG88" i="1"/>
  <c r="CG99" i="1"/>
  <c r="CG22" i="1"/>
  <c r="CG12" i="1"/>
  <c r="CQ152" i="1"/>
  <c r="CO84" i="1"/>
  <c r="CQ82" i="1"/>
  <c r="CQ128" i="1"/>
  <c r="CP93" i="1"/>
  <c r="CH139" i="1"/>
  <c r="CP71" i="1"/>
  <c r="CP151" i="1"/>
  <c r="CQ83" i="1"/>
  <c r="CR55" i="1"/>
  <c r="CI14" i="1"/>
  <c r="CG59" i="1"/>
  <c r="CK100" i="1"/>
  <c r="CG103" i="1"/>
  <c r="CJ158" i="1"/>
  <c r="CK20" i="1"/>
  <c r="CR90" i="1"/>
  <c r="CR97" i="1"/>
  <c r="CP117" i="1"/>
  <c r="CR88" i="1"/>
  <c r="CR99" i="1"/>
  <c r="CP152" i="1"/>
  <c r="CM128" i="1"/>
  <c r="CP128" i="1"/>
  <c r="CO90" i="1"/>
  <c r="CO97" i="1"/>
  <c r="CN117" i="1"/>
  <c r="CO88" i="1"/>
  <c r="CO99" i="1"/>
  <c r="CN152" i="1"/>
  <c r="CI6" i="1"/>
  <c r="CH6" i="1"/>
  <c r="CJ128" i="1"/>
  <c r="CL90" i="1"/>
  <c r="CL97" i="1"/>
  <c r="CM117" i="1"/>
  <c r="CL88" i="1"/>
  <c r="CL99" i="1"/>
  <c r="CM152" i="1"/>
  <c r="CG128" i="1"/>
  <c r="CK90" i="1"/>
  <c r="CK97" i="1"/>
  <c r="CJ117" i="1"/>
  <c r="CK88" i="1"/>
  <c r="CK99" i="1"/>
  <c r="CJ152" i="1"/>
  <c r="CH13" i="1"/>
  <c r="CP13" i="1"/>
  <c r="CR128" i="1"/>
  <c r="CQ90" i="1"/>
  <c r="CP97" i="1"/>
  <c r="CG117" i="1"/>
  <c r="CM88" i="1"/>
  <c r="CQ99" i="1"/>
  <c r="CG152" i="1"/>
  <c r="CO128" i="1"/>
  <c r="CP90" i="1"/>
  <c r="CO152" i="1"/>
  <c r="CL128" i="1"/>
  <c r="CI90" i="1"/>
  <c r="CQ97" i="1"/>
  <c r="CL117" i="1"/>
  <c r="CH88" i="1"/>
  <c r="CJ99" i="1"/>
  <c r="CL152" i="1"/>
  <c r="CI101" i="1"/>
  <c r="CN101" i="1"/>
  <c r="CK128" i="1"/>
  <c r="CR164" i="1" l="1"/>
  <c r="CN164" i="1"/>
  <c r="CJ164" i="1"/>
  <c r="CH164" i="1"/>
  <c r="CM164" i="1"/>
  <c r="CL164" i="1"/>
  <c r="CQ164" i="1"/>
  <c r="CG164" i="1"/>
  <c r="CK164" i="1"/>
  <c r="CP164" i="1"/>
  <c r="CO164" i="1"/>
  <c r="CI164" i="1"/>
</calcChain>
</file>

<file path=xl/sharedStrings.xml><?xml version="1.0" encoding="utf-8"?>
<sst xmlns="http://schemas.openxmlformats.org/spreadsheetml/2006/main" count="733" uniqueCount="271">
  <si>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</si>
  <si>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</si>
  <si>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</si>
  <si>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</si>
  <si>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</si>
  <si>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</si>
  <si>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</si>
  <si>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</si>
  <si>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</si>
  <si>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</si>
  <si>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</si>
  <si>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</si>
  <si>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</si>
  <si>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</si>
  <si>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</si>
  <si>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</si>
  <si>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</si>
  <si>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</si>
  <si>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</si>
  <si>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</si>
  <si>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</si>
  <si>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</si>
  <si>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</si>
  <si>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</si>
  <si>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</si>
  <si>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</si>
  <si>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</si>
  <si>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</si>
  <si>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</si>
  <si>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</si>
  <si>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</si>
  <si>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</si>
  <si>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</si>
  <si>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</si>
  <si>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</si>
  <si>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</si>
  <si>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</si>
  <si>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</si>
  <si>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</si>
  <si>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</si>
  <si>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</si>
  <si>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</si>
  <si>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</si>
  <si>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</si>
  <si>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</si>
  <si>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</si>
  <si>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</si>
  <si>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</si>
  <si>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</si>
  <si>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</si>
  <si>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</si>
  <si>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</si>
  <si>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</si>
  <si>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</si>
  <si>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</si>
  <si>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</si>
  <si>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</si>
  <si>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</si>
  <si>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</si>
  <si>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</si>
  <si>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</si>
  <si>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</si>
  <si>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</si>
  <si>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</si>
  <si>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</si>
  <si>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结缘者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</si>
  <si>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</si>
  <si>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</si>
  <si>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</si>
  <si>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</si>
  <si>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</si>
  <si>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</si>
  <si>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</si>
  <si>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</si>
  <si>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</si>
  <si>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</si>
  <si>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</si>
  <si>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</si>
  <si>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</si>
  <si>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</si>
  <si>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</si>
  <si>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</si>
  <si>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</si>
  <si>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</si>
  <si>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</si>
  <si>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</si>
  <si>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</si>
  <si>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</si>
  <si>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</si>
  <si>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</si>
  <si>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</si>
  <si>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</si>
  <si>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</si>
  <si>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</si>
  <si>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</si>
  <si>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</si>
  <si>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</si>
  <si>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</si>
  <si>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</si>
  <si>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</si>
  <si>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</si>
  <si>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</si>
  <si>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</si>
  <si>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</si>
  <si>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</si>
  <si>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</si>
  <si>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</si>
  <si>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</si>
  <si>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</si>
  <si>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</si>
  <si>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</si>
  <si>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</si>
  <si>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</si>
  <si>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</si>
  <si>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</si>
  <si>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</si>
  <si>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</si>
  <si>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</si>
  <si>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</si>
  <si>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</si>
  <si>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</si>
  <si>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螃蟹(5),</t>
    <phoneticPr fontId="1" type="noConversion"/>
  </si>
  <si>
    <t>金钗(5),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</si>
  <si>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</si>
  <si>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</si>
  <si>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</si>
  <si>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</si>
  <si>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金甲虫(13),</t>
    <phoneticPr fontId="1" type="noConversion"/>
  </si>
  <si>
    <t>金钗(15),</t>
    <phoneticPr fontId="1" type="noConversion"/>
  </si>
  <si>
    <t>彗星(15),</t>
    <phoneticPr fontId="1" type="noConversion"/>
  </si>
  <si>
    <t>金甲虫(48),</t>
    <phoneticPr fontId="1" type="noConversion"/>
  </si>
  <si>
    <t>金甲虫(198),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</si>
  <si>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</si>
  <si>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</si>
  <si>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</si>
  <si>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</si>
  <si>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金甲虫(8),</t>
    <phoneticPr fontId="1" type="noConversion"/>
  </si>
  <si>
    <t>小猪妖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</si>
  <si>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</si>
  <si>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</si>
  <si>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</si>
  <si>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</si>
  <si>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</si>
  <si>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</si>
  <si>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</si>
  <si>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</si>
  <si>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</si>
  <si>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</si>
  <si>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</si>
  <si>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</si>
  <si>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</si>
  <si>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</si>
  <si>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</si>
  <si>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</si>
  <si>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</si>
  <si>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</si>
  <si>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</si>
  <si>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</si>
  <si>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</si>
  <si>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</si>
  <si>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</si>
  <si>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</si>
  <si>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付炬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</si>
  <si>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</si>
  <si>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</si>
  <si>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</si>
  <si>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</si>
  <si>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</si>
  <si>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汪仔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</si>
  <si>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</si>
  <si>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</si>
  <si>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</si>
  <si>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</si>
  <si>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</si>
  <si>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</si>
  <si>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</si>
  <si>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</si>
  <si>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夕</t>
    <phoneticPr fontId="1" type="noConversion"/>
  </si>
  <si>
    <t>彗星(25),</t>
    <phoneticPr fontId="1" type="noConversion"/>
  </si>
  <si>
    <t>羽妖仔</t>
    <phoneticPr fontId="1" type="noConversion"/>
  </si>
  <si>
    <t>一饼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</si>
  <si>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</si>
  <si>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</si>
  <si>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</si>
  <si>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</si>
  <si>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</si>
  <si>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</si>
  <si>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</si>
  <si>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</si>
  <si>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</si>
  <si>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</si>
  <si>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</si>
  <si>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</si>
  <si>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</si>
  <si>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</si>
  <si>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</si>
  <si>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</si>
  <si>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</si>
  <si>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</si>
  <si>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</si>
  <si>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</si>
  <si>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</si>
  <si>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</si>
  <si>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</si>
  <si>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</si>
  <si>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</si>
  <si>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</si>
  <si>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</si>
  <si>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</si>
  <si>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圆蛋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</si>
  <si>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</si>
  <si>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</si>
  <si>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</si>
  <si>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</si>
  <si>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</si>
  <si>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</si>
  <si>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</si>
  <si>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</si>
  <si>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</si>
  <si>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</si>
  <si>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</si>
  <si>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</si>
  <si>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</si>
  <si>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</si>
  <si>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</si>
  <si>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糯米(2),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</si>
  <si>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</si>
  <si>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</si>
  <si>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</si>
  <si>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</si>
  <si>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炼妖壶(2),</t>
  </si>
  <si>
    <t>龙灵不朽藤(5),</t>
  </si>
  <si>
    <t>炼妖壶(3),</t>
  </si>
  <si>
    <t>东皇钟(1),</t>
  </si>
  <si>
    <t>神农鼎(7),</t>
  </si>
  <si>
    <t>神农鼎(2),</t>
  </si>
  <si>
    <t>东皇钟(1),_x000D_
崆峒印(3),</t>
  </si>
  <si>
    <t>龙灵不朽藤(10),</t>
    <phoneticPr fontId="1" type="noConversion"/>
  </si>
  <si>
    <t>炼妖壶(3),_x000D_
龙灵不朽藤(10),</t>
    <phoneticPr fontId="1" type="noConversion"/>
  </si>
  <si>
    <t>智慧符文叉大(2),</t>
    <phoneticPr fontId="1" type="noConversion"/>
  </si>
  <si>
    <t>炼妖壶(7),</t>
    <phoneticPr fontId="1" type="noConversion"/>
  </si>
  <si>
    <t>幸运符文叉大(3),</t>
    <phoneticPr fontId="1" type="noConversion"/>
  </si>
  <si>
    <t>炼妖壶(2),_x000D_
仙丹(5),</t>
    <phoneticPr fontId="1" type="noConversion"/>
  </si>
  <si>
    <t>神农鼎(7),_x000D_
龙灵不朽藤(15),</t>
    <phoneticPr fontId="1" type="noConversion"/>
  </si>
  <si>
    <t>炼妖壶(3),</t>
    <phoneticPr fontId="1" type="noConversion"/>
  </si>
  <si>
    <t>炼妖壶(17),</t>
    <phoneticPr fontId="1" type="noConversion"/>
  </si>
  <si>
    <t>神农鼎(12),_x000D_
幸运符文叉大(3),</t>
    <phoneticPr fontId="1" type="noConversion"/>
  </si>
  <si>
    <t>六方天运骰(5),_x000D_
力量符文叉大(1),</t>
    <phoneticPr fontId="1" type="noConversion"/>
  </si>
  <si>
    <t>炼妖壶(12),_x000D_
神农鼎(7),_x000D_
赤焰十字星(1),</t>
    <phoneticPr fontId="1" type="noConversion"/>
  </si>
  <si>
    <t>糯米(10),_x000D_
粽叶(10),_x000D_
龙灵不朽藤(5),</t>
    <phoneticPr fontId="1" type="noConversion"/>
  </si>
  <si>
    <t>欠条大(8),_x000D_
骰子大(4),</t>
    <phoneticPr fontId="1" type="noConversion"/>
  </si>
  <si>
    <t>神农鼎(2),_x000D_
欠条大(8),_x000D_
骰子大(4),</t>
    <phoneticPr fontId="1" type="noConversion"/>
  </si>
  <si>
    <t>欠条大(8),_x000D_
钱袋大(10),</t>
    <phoneticPr fontId="1" type="noConversion"/>
  </si>
  <si>
    <t>骰子大(4),_x000D_
庄家令牌大(6),</t>
    <phoneticPr fontId="1" type="noConversion"/>
  </si>
  <si>
    <t>神农鼎(2),_x000D_
欠条大(8),_x000D_
钱袋大(10),</t>
    <phoneticPr fontId="1" type="noConversion"/>
  </si>
  <si>
    <t>庄家令牌中(3),</t>
    <phoneticPr fontId="1" type="noConversion"/>
  </si>
  <si>
    <t>欠条中(6),_x000D_
钱袋中(2),_x000D_
筹码大(6),</t>
    <phoneticPr fontId="1" type="noConversion"/>
  </si>
  <si>
    <t>欠条中(6),_x000D_
欠条大(5),_x000D_
钱袋中(2),</t>
    <phoneticPr fontId="1" type="noConversion"/>
  </si>
  <si>
    <t>欠条中(6),_x000D_
钱袋中(2),_x000D_
骰子大(1),</t>
    <phoneticPr fontId="1" type="noConversion"/>
  </si>
  <si>
    <t>欠条大(8),_x000D_
骰子大(4),_x000D_
龙灵不朽藤(10),</t>
    <phoneticPr fontId="1" type="noConversion"/>
  </si>
  <si>
    <t>钱袋大(10),_x000D_
筹码大(9),</t>
    <phoneticPr fontId="1" type="noConversion"/>
  </si>
  <si>
    <t>钱袋大(2),_x000D_
筹码大(1),_x000D_
庄家令牌中(3),</t>
    <phoneticPr fontId="1" type="noConversion"/>
  </si>
  <si>
    <t>欠条中(4),_x000D_
筹码中(4),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</si>
  <si>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</si>
  <si>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</si>
  <si>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欠条中(4),_x000D_
筹码中(4),_x000D_
庄家令牌小(2),</t>
    <phoneticPr fontId="1" type="noConversion"/>
  </si>
  <si>
    <t>庄家令牌小(2),_x000D_
庄家令牌中(3),</t>
    <phoneticPr fontId="1" type="noConversion"/>
  </si>
  <si>
    <t>骰子中(3),_x000D_
庄家令牌小(2),</t>
    <phoneticPr fontId="1" type="noConversion"/>
  </si>
  <si>
    <t>欠条中(4),_x000D_
庄家令牌小(2),</t>
    <phoneticPr fontId="1" type="noConversion"/>
  </si>
  <si>
    <t>筹码中(4),_x000D_
庄家令牌小(2),</t>
    <phoneticPr fontId="1" type="noConversion"/>
  </si>
  <si>
    <t>赤焰十字星(26),_x000D_
力量符文叉大(21),_x000D_
逆鳞(10),_x000D_
星座素材火(2),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</si>
</sst>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168</xdr:row>
          <xdr:rowOff>28575</xdr:rowOff>
        </xdr:from>
        <xdr:to>
          <xdr:col>1</xdr:col>
          <xdr:colOff>428625</xdr:colOff>
          <xdr:row>169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66"/>
  <sheetViews>
    <sheetView tabSelected="1" workbookViewId="0">
      <pane xSplit="2" ySplit="1" topLeftCell="BN38" activePane="bottomRight" state="frozen"/>
      <selection pane="topRight" activeCell="C1" sqref="C1"/>
      <selection pane="bottomLeft" activeCell="A3" sqref="A3"/>
      <selection pane="bottomRight" activeCell="BP15" sqref="BP15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96</v>
      </c>
      <c r="B1" s="8" t="s">
        <v>97</v>
      </c>
      <c r="C1" s="8" t="s">
        <v>99</v>
      </c>
      <c r="D1" s="8" t="s">
        <v>98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93</v>
      </c>
      <c r="K1" s="9" t="s">
        <v>30</v>
      </c>
      <c r="L1" s="9" t="s">
        <v>54</v>
      </c>
      <c r="M1" s="9" t="s">
        <v>60</v>
      </c>
      <c r="N1" s="9" t="s">
        <v>66</v>
      </c>
      <c r="O1" s="9" t="s">
        <v>59</v>
      </c>
      <c r="P1" s="31" t="s">
        <v>185</v>
      </c>
      <c r="Q1" s="31" t="s">
        <v>197</v>
      </c>
      <c r="R1" s="31" t="s">
        <v>191</v>
      </c>
      <c r="S1" s="31" t="s">
        <v>186</v>
      </c>
      <c r="T1" s="31" t="s">
        <v>195</v>
      </c>
      <c r="U1" s="31" t="s">
        <v>201</v>
      </c>
      <c r="V1" s="31" t="s">
        <v>187</v>
      </c>
      <c r="W1" s="31" t="s">
        <v>194</v>
      </c>
      <c r="X1" s="31" t="s">
        <v>192</v>
      </c>
      <c r="Y1" s="31" t="s">
        <v>188</v>
      </c>
      <c r="Z1" s="31" t="s">
        <v>196</v>
      </c>
      <c r="AA1" s="31" t="s">
        <v>203</v>
      </c>
      <c r="AB1" s="31" t="s">
        <v>190</v>
      </c>
      <c r="AC1" s="31" t="s">
        <v>189</v>
      </c>
      <c r="AD1" s="31" t="s">
        <v>220</v>
      </c>
      <c r="AE1" s="8" t="s">
        <v>10</v>
      </c>
      <c r="AF1" s="8" t="s">
        <v>36</v>
      </c>
      <c r="AG1" s="8" t="s">
        <v>37</v>
      </c>
      <c r="AH1" s="8" t="s">
        <v>82</v>
      </c>
      <c r="AI1" s="8" t="s">
        <v>83</v>
      </c>
      <c r="AJ1" s="8" t="s">
        <v>85</v>
      </c>
      <c r="AK1" s="8" t="s">
        <v>86</v>
      </c>
      <c r="AL1" s="8" t="s">
        <v>88</v>
      </c>
      <c r="AM1" s="8" t="s">
        <v>67</v>
      </c>
      <c r="AN1" s="8" t="s">
        <v>69</v>
      </c>
      <c r="AO1" s="8" t="s">
        <v>148</v>
      </c>
      <c r="AP1" s="8" t="s">
        <v>149</v>
      </c>
      <c r="AQ1" s="10" t="s">
        <v>50</v>
      </c>
      <c r="AR1" s="10" t="s">
        <v>5</v>
      </c>
      <c r="AS1" s="10" t="s">
        <v>34</v>
      </c>
      <c r="AT1" s="10" t="s">
        <v>72</v>
      </c>
      <c r="AU1" s="10" t="s">
        <v>80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144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104</v>
      </c>
      <c r="BQ1" s="8" t="s">
        <v>105</v>
      </c>
      <c r="BR1" s="16" t="s">
        <v>106</v>
      </c>
      <c r="BS1" s="16"/>
      <c r="BT1" s="10" t="s">
        <v>50</v>
      </c>
      <c r="BU1" s="10" t="s">
        <v>5</v>
      </c>
      <c r="BV1" s="10" t="s">
        <v>34</v>
      </c>
      <c r="BW1" s="10" t="s">
        <v>72</v>
      </c>
      <c r="BX1" s="10" t="s">
        <v>80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72</v>
      </c>
      <c r="CK1" s="10" t="s">
        <v>80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IF(AQ2&gt;AQ$165, AQ2-AQ$165,"")</f>
        <v/>
      </c>
      <c r="BU2" s="1" t="str">
        <f>IF(AR2&gt;AR$165, AR2-AR$165,"")</f>
        <v/>
      </c>
      <c r="BV2" s="1" t="str">
        <f>IF(AS2&gt;AS$165, AS2-AS$165,"")</f>
        <v/>
      </c>
      <c r="BW2" s="1" t="str">
        <f>IF(AT2&gt;AT$165, AT2-AT$165,"")</f>
        <v/>
      </c>
      <c r="BX2" s="1" t="str">
        <f>IF(AU2&gt;AU$165, AU2-AU$165,"")</f>
        <v/>
      </c>
      <c r="BY2" s="1" t="str">
        <f>IF(AV2&gt;AV$165, AV2-AV$165,"")</f>
        <v/>
      </c>
      <c r="BZ2" s="1" t="str">
        <f>IF(AW2&gt;AW$165, AW2-AW$165,"")</f>
        <v/>
      </c>
      <c r="CA2" s="1" t="str">
        <f>IF(AX2&gt;AX$165, AX2-AX$165,"")</f>
        <v/>
      </c>
      <c r="CB2" s="1" t="str">
        <f>IF(AY2&gt;AY$165, AY2-AY$165,"")</f>
        <v/>
      </c>
      <c r="CC2" s="1" t="str">
        <f>IF(AZ2&gt;AZ$165, AZ2-AZ$165,"")</f>
        <v/>
      </c>
      <c r="CD2" s="1" t="str">
        <f>IF(BA2&gt;BA$165, BA2-BA$165,"")</f>
        <v/>
      </c>
      <c r="CE2" s="1" t="str">
        <f>IF(BB2&gt;BB$165, BB2-BB$165,"")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18">
        <f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IF(AQ3&gt;AQ$165, AQ3-AQ$165,"")</f>
        <v/>
      </c>
      <c r="BU3" s="1" t="str">
        <f>IF(AR3&gt;AR$165, AR3-AR$165,"")</f>
        <v/>
      </c>
      <c r="BV3" s="1" t="str">
        <f>IF(AS3&gt;AS$165, AS3-AS$165,"")</f>
        <v/>
      </c>
      <c r="BW3" s="1" t="str">
        <f>IF(AT3&gt;AT$165, AT3-AT$165,"")</f>
        <v/>
      </c>
      <c r="BX3" s="1" t="str">
        <f>IF(AU3&gt;AU$165, AU3-AU$165,"")</f>
        <v/>
      </c>
      <c r="BY3" s="1" t="str">
        <f>IF(AV3&gt;AV$165, AV3-AV$165,"")</f>
        <v/>
      </c>
      <c r="BZ3" s="1" t="str">
        <f>IF(AW3&gt;AW$165, AW3-AW$165,"")</f>
        <v/>
      </c>
      <c r="CA3" s="1" t="str">
        <f>IF(AX3&gt;AX$165, AX3-AX$165,"")</f>
        <v/>
      </c>
      <c r="CB3" s="1" t="str">
        <f>IF(AY3&gt;AY$165, AY3-AY$165,"")</f>
        <v/>
      </c>
      <c r="CC3" s="1" t="str">
        <f>IF(AZ3&gt;AZ$165, AZ3-AZ$165,"")</f>
        <v/>
      </c>
      <c r="CD3" s="1" t="str">
        <f>IF(BA3&gt;BA$165, BA3-BA$165,"")</f>
        <v/>
      </c>
      <c r="CE3" s="1" t="str">
        <f>IF(BB3&gt;BB$165, BB3-BB$165,"")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18">
        <f>SUM(AE3:BO3)</f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IF(AQ4&gt;AQ$165, AQ4-AQ$165,"")</f>
        <v/>
      </c>
      <c r="BU4" s="1" t="str">
        <f>IF(AR4&gt;AR$165, AR4-AR$165,"")</f>
        <v/>
      </c>
      <c r="BV4" s="1" t="str">
        <f>IF(AS4&gt;AS$165, AS4-AS$165,"")</f>
        <v/>
      </c>
      <c r="BW4" s="1" t="str">
        <f>IF(AT4&gt;AT$165, AT4-AT$165,"")</f>
        <v/>
      </c>
      <c r="BX4" s="1" t="str">
        <f>IF(AU4&gt;AU$165, AU4-AU$165,"")</f>
        <v/>
      </c>
      <c r="BY4" s="1" t="str">
        <f>IF(AV4&gt;AV$165, AV4-AV$165,"")</f>
        <v/>
      </c>
      <c r="BZ4" s="1" t="str">
        <f>IF(AW4&gt;AW$165, AW4-AW$165,"")</f>
        <v/>
      </c>
      <c r="CA4" s="1" t="str">
        <f>IF(AX4&gt;AX$165, AX4-AX$165,"")</f>
        <v/>
      </c>
      <c r="CB4" s="1" t="str">
        <f>IF(AY4&gt;AY$165, AY4-AY$165,"")</f>
        <v/>
      </c>
      <c r="CC4" s="1" t="str">
        <f>IF(AZ4&gt;AZ$165, AZ4-AZ$165,"")</f>
        <v/>
      </c>
      <c r="CD4" s="1" t="str">
        <f>IF(BA4&gt;BA$165, BA4-BA$165,"")</f>
        <v/>
      </c>
      <c r="CE4" s="1" t="str">
        <f>IF(BB4&gt;BB$165, BB4-BB$165,"")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18">
        <f>SUM(AE4:BO4)</f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IF(AQ5&gt;AQ$165, AQ5-AQ$165,"")</f>
        <v/>
      </c>
      <c r="BU5" s="1" t="str">
        <f>IF(AR5&gt;AR$165, AR5-AR$165,"")</f>
        <v/>
      </c>
      <c r="BV5" s="1" t="str">
        <f>IF(AS5&gt;AS$165, AS5-AS$165,"")</f>
        <v/>
      </c>
      <c r="BW5" s="1" t="str">
        <f>IF(AT5&gt;AT$165, AT5-AT$165,"")</f>
        <v/>
      </c>
      <c r="BX5" s="1" t="str">
        <f>IF(AU5&gt;AU$165, AU5-AU$165,"")</f>
        <v/>
      </c>
      <c r="BY5" s="1" t="str">
        <f>IF(AV5&gt;AV$165, AV5-AV$165,"")</f>
        <v/>
      </c>
      <c r="BZ5" s="1" t="str">
        <f>IF(AW5&gt;AW$165, AW5-AW$165,"")</f>
        <v/>
      </c>
      <c r="CA5" s="1" t="str">
        <f>IF(AX5&gt;AX$165, AX5-AX$165,"")</f>
        <v/>
      </c>
      <c r="CB5" s="1" t="str">
        <f>IF(AY5&gt;AY$165, AY5-AY$165,"")</f>
        <v/>
      </c>
      <c r="CC5" s="1" t="str">
        <f>IF(AZ5&gt;AZ$165, AZ5-AZ$165,"")</f>
        <v/>
      </c>
      <c r="CD5" s="1" t="str">
        <f>IF(BA5&gt;BA$165, BA5-BA$165,"")</f>
        <v/>
      </c>
      <c r="CE5" s="1" t="str">
        <f>IF(BB5&gt;BB$165, BB5-BB$165,"")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18">
        <f>SUM(AE5:BO5)</f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>SUM(E6:BO6)</f>
        <v>5</v>
      </c>
      <c r="BQ6" s="19">
        <v>0</v>
      </c>
      <c r="BR6" s="23">
        <v>0</v>
      </c>
      <c r="BS6" s="23"/>
      <c r="BT6" s="19" t="str">
        <f>IF(AQ6&gt;AQ$165, AQ6-AQ$165,"")</f>
        <v/>
      </c>
      <c r="BU6" s="19" t="str">
        <f>IF(AR6&gt;AR$165, AR6-AR$165,"")</f>
        <v/>
      </c>
      <c r="BV6" s="19" t="str">
        <f>IF(AS6&gt;AS$165, AS6-AS$165,"")</f>
        <v/>
      </c>
      <c r="BW6" s="19" t="str">
        <f>IF(AT6&gt;AT$165, AT6-AT$165,"")</f>
        <v/>
      </c>
      <c r="BX6" s="19" t="str">
        <f>IF(AU6&gt;AU$165, AU6-AU$165,"")</f>
        <v/>
      </c>
      <c r="BY6" s="19" t="str">
        <f>IF(AV6&gt;AV$165, AV6-AV$165,"")</f>
        <v/>
      </c>
      <c r="BZ6" s="19" t="str">
        <f>IF(AW6&gt;AW$165, AW6-AW$165,"")</f>
        <v/>
      </c>
      <c r="CA6" s="19" t="str">
        <f>IF(AX6&gt;AX$165, AX6-AX$165,"")</f>
        <v/>
      </c>
      <c r="CB6" s="19" t="str">
        <f>IF(AY6&gt;AY$165, AY6-AY$165,"")</f>
        <v/>
      </c>
      <c r="CC6" s="19" t="str">
        <f>IF(AZ6&gt;AZ$165, AZ6-AZ$165,"")</f>
        <v/>
      </c>
      <c r="CD6" s="19" t="str">
        <f>IF(BA6&gt;BA$165, BA6-BA$165,"")</f>
        <v/>
      </c>
      <c r="CE6" s="19" t="str">
        <f>IF(BB6&gt;BB$165, BB6-BB$165,"")</f>
        <v/>
      </c>
      <c r="CF6" s="19">
        <f>COUNTIF(BT6:CE6, "&gt;0")</f>
        <v>0</v>
      </c>
      <c r="CG6" s="19" t="str">
        <f>IF($CF6=1,BT6,"")</f>
        <v/>
      </c>
      <c r="CH6" s="19" t="str">
        <f>IF($CF6=1,BU6,"")</f>
        <v/>
      </c>
      <c r="CI6" s="19" t="str">
        <f>IF($CF6=1,BV6,"")</f>
        <v/>
      </c>
      <c r="CJ6" s="19" t="str">
        <f>IF($CF6=1,BW6,"")</f>
        <v/>
      </c>
      <c r="CK6" s="19" t="str">
        <f>IF($CF6=1,BX6,"")</f>
        <v/>
      </c>
      <c r="CL6" s="19" t="str">
        <f>IF($CF6=1,BY6,"")</f>
        <v/>
      </c>
      <c r="CM6" s="19" t="str">
        <f>IF($CF6=1,BZ6,"")</f>
        <v/>
      </c>
      <c r="CN6" s="19" t="str">
        <f>IF($CF6=1,CA6,"")</f>
        <v/>
      </c>
      <c r="CO6" s="19" t="str">
        <f>IF($CF6=1,CB6,"")</f>
        <v/>
      </c>
      <c r="CP6" s="19" t="str">
        <f>IF($CF6=1,CC6,"")</f>
        <v/>
      </c>
      <c r="CQ6" s="19" t="str">
        <f>IF($CF6=1,CD6,"")</f>
        <v/>
      </c>
      <c r="CR6" s="19" t="str">
        <f>IF($CF6=1,CE6,"")</f>
        <v/>
      </c>
      <c r="CS6" s="24">
        <f>SUM(AE6:BO6)</f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>SUM(E7:BO7)</f>
        <v>5</v>
      </c>
      <c r="BQ7" s="19">
        <v>0</v>
      </c>
      <c r="BR7" s="23">
        <v>0</v>
      </c>
      <c r="BS7" s="23"/>
      <c r="BT7" s="19" t="str">
        <f>IF(AQ7&gt;AQ$165, AQ7-AQ$165,"")</f>
        <v/>
      </c>
      <c r="BU7" s="19" t="str">
        <f>IF(AR7&gt;AR$165, AR7-AR$165,"")</f>
        <v/>
      </c>
      <c r="BV7" s="19" t="str">
        <f>IF(AS7&gt;AS$165, AS7-AS$165,"")</f>
        <v/>
      </c>
      <c r="BW7" s="19" t="str">
        <f>IF(AT7&gt;AT$165, AT7-AT$165,"")</f>
        <v/>
      </c>
      <c r="BX7" s="19" t="str">
        <f>IF(AU7&gt;AU$165, AU7-AU$165,"")</f>
        <v/>
      </c>
      <c r="BY7" s="19" t="str">
        <f>IF(AV7&gt;AV$165, AV7-AV$165,"")</f>
        <v/>
      </c>
      <c r="BZ7" s="19" t="str">
        <f>IF(AW7&gt;AW$165, AW7-AW$165,"")</f>
        <v/>
      </c>
      <c r="CA7" s="19" t="str">
        <f>IF(AX7&gt;AX$165, AX7-AX$165,"")</f>
        <v/>
      </c>
      <c r="CB7" s="19" t="str">
        <f>IF(AY7&gt;AY$165, AY7-AY$165,"")</f>
        <v/>
      </c>
      <c r="CC7" s="19" t="str">
        <f>IF(AZ7&gt;AZ$165, AZ7-AZ$165,"")</f>
        <v/>
      </c>
      <c r="CD7" s="19" t="str">
        <f>IF(BA7&gt;BA$165, BA7-BA$165,"")</f>
        <v/>
      </c>
      <c r="CE7" s="19" t="str">
        <f>IF(BB7&gt;BB$165, BB7-BB$165,"")</f>
        <v/>
      </c>
      <c r="CF7" s="19">
        <f>COUNTIF(BT7:CE7, "&gt;0")</f>
        <v>0</v>
      </c>
      <c r="CG7" s="19" t="str">
        <f>IF($CF7=1,BT7,"")</f>
        <v/>
      </c>
      <c r="CH7" s="19" t="str">
        <f>IF($CF7=1,BU7,"")</f>
        <v/>
      </c>
      <c r="CI7" s="19" t="str">
        <f>IF($CF7=1,BV7,"")</f>
        <v/>
      </c>
      <c r="CJ7" s="19" t="str">
        <f>IF($CF7=1,BW7,"")</f>
        <v/>
      </c>
      <c r="CK7" s="19" t="str">
        <f>IF($CF7=1,BX7,"")</f>
        <v/>
      </c>
      <c r="CL7" s="19" t="str">
        <f>IF($CF7=1,BY7,"")</f>
        <v/>
      </c>
      <c r="CM7" s="19" t="str">
        <f>IF($CF7=1,BZ7,"")</f>
        <v/>
      </c>
      <c r="CN7" s="19" t="str">
        <f>IF($CF7=1,CA7,"")</f>
        <v/>
      </c>
      <c r="CO7" s="19" t="str">
        <f>IF($CF7=1,CB7,"")</f>
        <v/>
      </c>
      <c r="CP7" s="19" t="str">
        <f>IF($CF7=1,CC7,"")</f>
        <v/>
      </c>
      <c r="CQ7" s="19" t="str">
        <f>IF($CF7=1,CD7,"")</f>
        <v/>
      </c>
      <c r="CR7" s="19" t="str">
        <f>IF($CF7=1,CE7,"")</f>
        <v/>
      </c>
      <c r="CS7" s="24">
        <f>SUM(AE7:BO7)</f>
        <v>0</v>
      </c>
    </row>
    <row r="8" spans="1:97" s="25" customFormat="1" x14ac:dyDescent="0.15">
      <c r="A8" s="19">
        <v>83</v>
      </c>
      <c r="B8" s="26" t="s">
        <v>76</v>
      </c>
      <c r="C8" s="26" t="s">
        <v>71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>SUM(E8:BO8)</f>
        <v>5</v>
      </c>
      <c r="BQ8" s="19">
        <v>0</v>
      </c>
      <c r="BR8" s="23">
        <v>0</v>
      </c>
      <c r="BS8" s="23"/>
      <c r="BT8" s="19" t="str">
        <f>IF(AQ8&gt;AQ$165, AQ8-AQ$165,"")</f>
        <v/>
      </c>
      <c r="BU8" s="19" t="str">
        <f>IF(AR8&gt;AR$165, AR8-AR$165,"")</f>
        <v/>
      </c>
      <c r="BV8" s="19" t="str">
        <f>IF(AS8&gt;AS$165, AS8-AS$165,"")</f>
        <v/>
      </c>
      <c r="BW8" s="19" t="str">
        <f>IF(AT8&gt;AT$165, AT8-AT$165,"")</f>
        <v/>
      </c>
      <c r="BX8" s="19" t="str">
        <f>IF(AU8&gt;AU$165, AU8-AU$165,"")</f>
        <v/>
      </c>
      <c r="BY8" s="19" t="str">
        <f>IF(AV8&gt;AV$165, AV8-AV$165,"")</f>
        <v/>
      </c>
      <c r="BZ8" s="19" t="str">
        <f>IF(AW8&gt;AW$165, AW8-AW$165,"")</f>
        <v/>
      </c>
      <c r="CA8" s="19" t="str">
        <f>IF(AX8&gt;AX$165, AX8-AX$165,"")</f>
        <v/>
      </c>
      <c r="CB8" s="19" t="str">
        <f>IF(AY8&gt;AY$165, AY8-AY$165,"")</f>
        <v/>
      </c>
      <c r="CC8" s="19" t="str">
        <f>IF(AZ8&gt;AZ$165, AZ8-AZ$165,"")</f>
        <v/>
      </c>
      <c r="CD8" s="19" t="str">
        <f>IF(BA8&gt;BA$165, BA8-BA$165,"")</f>
        <v/>
      </c>
      <c r="CE8" s="19" t="str">
        <f>IF(BB8&gt;BB$165, BB8-BB$165,"")</f>
        <v/>
      </c>
      <c r="CF8" s="19">
        <f>COUNTIF(BT8:CE8, "&gt;0")</f>
        <v>0</v>
      </c>
      <c r="CG8" s="19" t="str">
        <f>IF($CF8=1,BT8,"")</f>
        <v/>
      </c>
      <c r="CH8" s="19" t="str">
        <f>IF($CF8=1,BU8,"")</f>
        <v/>
      </c>
      <c r="CI8" s="19" t="str">
        <f>IF($CF8=1,BV8,"")</f>
        <v/>
      </c>
      <c r="CJ8" s="19" t="str">
        <f>IF($CF8=1,BW8,"")</f>
        <v/>
      </c>
      <c r="CK8" s="19" t="str">
        <f>IF($CF8=1,BX8,"")</f>
        <v/>
      </c>
      <c r="CL8" s="19" t="str">
        <f>IF($CF8=1,BY8,"")</f>
        <v/>
      </c>
      <c r="CM8" s="19" t="str">
        <f>IF($CF8=1,BZ8,"")</f>
        <v/>
      </c>
      <c r="CN8" s="19" t="str">
        <f>IF($CF8=1,CA8,"")</f>
        <v/>
      </c>
      <c r="CO8" s="19" t="str">
        <f>IF($CF8=1,CB8,"")</f>
        <v/>
      </c>
      <c r="CP8" s="19" t="str">
        <f>IF($CF8=1,CC8,"")</f>
        <v/>
      </c>
      <c r="CQ8" s="19" t="str">
        <f>IF($CF8=1,CD8,"")</f>
        <v/>
      </c>
      <c r="CR8" s="19" t="str">
        <f>IF($CF8=1,CE8,"")</f>
        <v/>
      </c>
      <c r="CS8" s="24">
        <f>SUM(AE8:BO8)</f>
        <v>0</v>
      </c>
    </row>
    <row r="9" spans="1:97" s="25" customFormat="1" x14ac:dyDescent="0.15">
      <c r="A9" s="1">
        <v>101</v>
      </c>
      <c r="B9" s="3" t="s">
        <v>112</v>
      </c>
      <c r="C9" s="3" t="s">
        <v>78</v>
      </c>
      <c r="D9" s="1" t="s">
        <v>13</v>
      </c>
      <c r="E9" s="6"/>
      <c r="F9" s="6"/>
      <c r="G9" s="6"/>
      <c r="H9" s="6">
        <v>6</v>
      </c>
      <c r="I9" s="6">
        <v>6</v>
      </c>
      <c r="J9" s="6"/>
      <c r="K9" s="6"/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>
        <v>8</v>
      </c>
      <c r="AV9" s="4"/>
      <c r="AW9" s="2">
        <v>8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28</v>
      </c>
      <c r="BQ9" s="1">
        <v>0</v>
      </c>
      <c r="BR9" s="17">
        <v>0</v>
      </c>
      <c r="BS9" s="17"/>
      <c r="BT9" s="1" t="str">
        <f>IF(AQ9&gt;AQ$165, AQ9-AQ$165,"")</f>
        <v/>
      </c>
      <c r="BU9" s="1" t="str">
        <f>IF(AR9&gt;AR$165, AR9-AR$165,"")</f>
        <v/>
      </c>
      <c r="BV9" s="1" t="str">
        <f>IF(AS9&gt;AS$165, AS9-AS$165,"")</f>
        <v/>
      </c>
      <c r="BW9" s="1" t="str">
        <f>IF(AT9&gt;AT$165, AT9-AT$165,"")</f>
        <v/>
      </c>
      <c r="BX9" s="1" t="str">
        <f>IF(AU9&gt;AU$165, AU9-AU$165,"")</f>
        <v/>
      </c>
      <c r="BY9" s="1" t="str">
        <f>IF(AV9&gt;AV$165, AV9-AV$165,"")</f>
        <v/>
      </c>
      <c r="BZ9" s="1" t="str">
        <f>IF(AW9&gt;AW$165, AW9-AW$165,"")</f>
        <v/>
      </c>
      <c r="CA9" s="1" t="str">
        <f>IF(AX9&gt;AX$165, AX9-AX$165,"")</f>
        <v/>
      </c>
      <c r="CB9" s="1" t="str">
        <f>IF(AY9&gt;AY$165, AY9-AY$165,"")</f>
        <v/>
      </c>
      <c r="CC9" s="1" t="str">
        <f>IF(AZ9&gt;AZ$165, AZ9-AZ$165,"")</f>
        <v/>
      </c>
      <c r="CD9" s="1" t="str">
        <f>IF(BA9&gt;BA$165, BA9-BA$165,"")</f>
        <v/>
      </c>
      <c r="CE9" s="1" t="str">
        <f>IF(BB9&gt;BB$165, BB9-BB$165,"")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18">
        <f>SUM(AE9:BO9)</f>
        <v>16</v>
      </c>
    </row>
    <row r="10" spans="1:97" s="25" customFormat="1" x14ac:dyDescent="0.15">
      <c r="A10" s="1">
        <v>9</v>
      </c>
      <c r="B10" s="1" t="s">
        <v>28</v>
      </c>
      <c r="C10" s="1" t="s">
        <v>2</v>
      </c>
      <c r="D10" s="1" t="s">
        <v>26</v>
      </c>
      <c r="E10" s="6"/>
      <c r="F10" s="6"/>
      <c r="G10" s="6"/>
      <c r="H10" s="6"/>
      <c r="I10" s="6">
        <v>4</v>
      </c>
      <c r="J10" s="6"/>
      <c r="K10" s="6">
        <v>4</v>
      </c>
      <c r="L10" s="6"/>
      <c r="M10" s="6"/>
      <c r="N10" s="6"/>
      <c r="O10" s="6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>
        <v>5</v>
      </c>
      <c r="AS10" s="4"/>
      <c r="AT10" s="4"/>
      <c r="AU10" s="4"/>
      <c r="AV10" s="4"/>
      <c r="AW10" s="2">
        <v>5</v>
      </c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18</v>
      </c>
      <c r="BQ10" s="1">
        <v>0</v>
      </c>
      <c r="BR10" s="17">
        <v>0</v>
      </c>
      <c r="BS10" s="17"/>
      <c r="BT10" s="1" t="str">
        <f>IF(AQ10&gt;AQ$165, AQ10-AQ$165,"")</f>
        <v/>
      </c>
      <c r="BU10" s="1" t="str">
        <f>IF(AR10&gt;AR$165, AR10-AR$165,"")</f>
        <v/>
      </c>
      <c r="BV10" s="1" t="str">
        <f>IF(AS10&gt;AS$165, AS10-AS$165,"")</f>
        <v/>
      </c>
      <c r="BW10" s="1" t="str">
        <f>IF(AT10&gt;AT$165, AT10-AT$165,"")</f>
        <v/>
      </c>
      <c r="BX10" s="1" t="str">
        <f>IF(AU10&gt;AU$165, AU10-AU$165,"")</f>
        <v/>
      </c>
      <c r="BY10" s="1" t="str">
        <f>IF(AV10&gt;AV$165, AV10-AV$165,"")</f>
        <v/>
      </c>
      <c r="BZ10" s="1" t="str">
        <f>IF(AW10&gt;AW$165, AW10-AW$165,"")</f>
        <v/>
      </c>
      <c r="CA10" s="1" t="str">
        <f>IF(AX10&gt;AX$165, AX10-AX$165,"")</f>
        <v/>
      </c>
      <c r="CB10" s="1" t="str">
        <f>IF(AY10&gt;AY$165, AY10-AY$165,"")</f>
        <v/>
      </c>
      <c r="CC10" s="1" t="str">
        <f>IF(AZ10&gt;AZ$165, AZ10-AZ$165,"")</f>
        <v/>
      </c>
      <c r="CD10" s="1" t="str">
        <f>IF(BA10&gt;BA$165, BA10-BA$165,"")</f>
        <v/>
      </c>
      <c r="CE10" s="1" t="str">
        <f>IF(BB10&gt;BB$165, BB10-BB$165,"")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18">
        <f>SUM(AE10:BO10)</f>
        <v>10</v>
      </c>
    </row>
    <row r="11" spans="1:97" x14ac:dyDescent="0.15">
      <c r="A11" s="1">
        <v>81</v>
      </c>
      <c r="B11" s="3" t="s">
        <v>74</v>
      </c>
      <c r="C11" s="3" t="s">
        <v>71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/>
      <c r="O11" s="6">
        <v>6</v>
      </c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>
        <v>10</v>
      </c>
      <c r="AU11" s="4"/>
      <c r="AV11" s="4"/>
      <c r="AW11" s="2"/>
      <c r="AX11" s="2"/>
      <c r="AY11" s="2"/>
      <c r="AZ11" s="2"/>
      <c r="BA11" s="2">
        <v>10</v>
      </c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0</v>
      </c>
      <c r="BR11" s="17">
        <v>0</v>
      </c>
      <c r="BS11" s="17"/>
      <c r="BT11" s="1" t="str">
        <f>IF(AQ11&gt;AQ$165, AQ11-AQ$165,"")</f>
        <v/>
      </c>
      <c r="BU11" s="1" t="str">
        <f>IF(AR11&gt;AR$165, AR11-AR$165,"")</f>
        <v/>
      </c>
      <c r="BV11" s="1" t="str">
        <f>IF(AS11&gt;AS$165, AS11-AS$165,"")</f>
        <v/>
      </c>
      <c r="BW11" s="1" t="str">
        <f>IF(AT11&gt;AT$165, AT11-AT$165,"")</f>
        <v/>
      </c>
      <c r="BX11" s="1" t="str">
        <f>IF(AU11&gt;AU$165, AU11-AU$165,"")</f>
        <v/>
      </c>
      <c r="BY11" s="1" t="str">
        <f>IF(AV11&gt;AV$165, AV11-AV$165,"")</f>
        <v/>
      </c>
      <c r="BZ11" s="1" t="str">
        <f>IF(AW11&gt;AW$165, AW11-AW$165,"")</f>
        <v/>
      </c>
      <c r="CA11" s="1" t="str">
        <f>IF(AX11&gt;AX$165, AX11-AX$165,"")</f>
        <v/>
      </c>
      <c r="CB11" s="1" t="str">
        <f>IF(AY11&gt;AY$165, AY11-AY$165,"")</f>
        <v/>
      </c>
      <c r="CC11" s="1" t="str">
        <f>IF(AZ11&gt;AZ$165, AZ11-AZ$165,"")</f>
        <v/>
      </c>
      <c r="CD11" s="1" t="str">
        <f>IF(BA11&gt;BA$165, BA11-BA$165,"")</f>
        <v/>
      </c>
      <c r="CE11" s="1" t="str">
        <f>IF(BB11&gt;BB$165, BB11-BB$165,"")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18">
        <f>SUM(AE11:BO11)</f>
        <v>20</v>
      </c>
    </row>
    <row r="12" spans="1:97" x14ac:dyDescent="0.15">
      <c r="A12" s="19">
        <v>13</v>
      </c>
      <c r="B12" s="19" t="s">
        <v>118</v>
      </c>
      <c r="C12" s="19" t="s">
        <v>2</v>
      </c>
      <c r="D12" s="19" t="s">
        <v>1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1"/>
      <c r="AR12" s="21"/>
      <c r="AS12" s="21"/>
      <c r="AT12" s="21"/>
      <c r="AU12" s="21"/>
      <c r="AV12" s="21"/>
      <c r="AW12" s="22"/>
      <c r="AX12" s="22"/>
      <c r="AY12" s="22"/>
      <c r="AZ12" s="22"/>
      <c r="BA12" s="22"/>
      <c r="BB12" s="22"/>
      <c r="BC12" s="30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>
        <f>SUM(E12:BO12)</f>
        <v>0</v>
      </c>
      <c r="BQ12" s="19">
        <v>0</v>
      </c>
      <c r="BR12" s="23">
        <v>0</v>
      </c>
      <c r="BS12" s="23"/>
      <c r="BT12" s="19" t="str">
        <f>IF(AQ12&gt;AQ$165, AQ12-AQ$165,"")</f>
        <v/>
      </c>
      <c r="BU12" s="19" t="str">
        <f>IF(AR12&gt;AR$165, AR12-AR$165,"")</f>
        <v/>
      </c>
      <c r="BV12" s="19" t="str">
        <f>IF(AS12&gt;AS$165, AS12-AS$165,"")</f>
        <v/>
      </c>
      <c r="BW12" s="19" t="str">
        <f>IF(AT12&gt;AT$165, AT12-AT$165,"")</f>
        <v/>
      </c>
      <c r="BX12" s="19" t="str">
        <f>IF(AU12&gt;AU$165, AU12-AU$165,"")</f>
        <v/>
      </c>
      <c r="BY12" s="19" t="str">
        <f>IF(AV12&gt;AV$165, AV12-AV$165,"")</f>
        <v/>
      </c>
      <c r="BZ12" s="19" t="str">
        <f>IF(AW12&gt;AW$165, AW12-AW$165,"")</f>
        <v/>
      </c>
      <c r="CA12" s="19" t="str">
        <f>IF(AX12&gt;AX$165, AX12-AX$165,"")</f>
        <v/>
      </c>
      <c r="CB12" s="19" t="str">
        <f>IF(AY12&gt;AY$165, AY12-AY$165,"")</f>
        <v/>
      </c>
      <c r="CC12" s="19" t="str">
        <f>IF(AZ12&gt;AZ$165, AZ12-AZ$165,"")</f>
        <v/>
      </c>
      <c r="CD12" s="19" t="str">
        <f>IF(BA12&gt;BA$165, BA12-BA$165,"")</f>
        <v/>
      </c>
      <c r="CE12" s="19" t="str">
        <f>IF(BB12&gt;BB$165, BB12-BB$165,"")</f>
        <v/>
      </c>
      <c r="CF12" s="19">
        <f>COUNTIF(BT12:CE12, "&gt;0")</f>
        <v>0</v>
      </c>
      <c r="CG12" s="19" t="str">
        <f>IF($CF12=1,BT12,"")</f>
        <v/>
      </c>
      <c r="CH12" s="19" t="str">
        <f>IF($CF12=1,BU12,"")</f>
        <v/>
      </c>
      <c r="CI12" s="19" t="str">
        <f>IF($CF12=1,BV12,"")</f>
        <v/>
      </c>
      <c r="CJ12" s="19" t="str">
        <f>IF($CF12=1,BW12,"")</f>
        <v/>
      </c>
      <c r="CK12" s="19" t="str">
        <f>IF($CF12=1,BX12,"")</f>
        <v/>
      </c>
      <c r="CL12" s="19" t="str">
        <f>IF($CF12=1,BY12,"")</f>
        <v/>
      </c>
      <c r="CM12" s="19" t="str">
        <f>IF($CF12=1,BZ12,"")</f>
        <v/>
      </c>
      <c r="CN12" s="19" t="str">
        <f>IF($CF12=1,CA12,"")</f>
        <v/>
      </c>
      <c r="CO12" s="19" t="str">
        <f>IF($CF12=1,CB12,"")</f>
        <v/>
      </c>
      <c r="CP12" s="19" t="str">
        <f>IF($CF12=1,CC12,"")</f>
        <v/>
      </c>
      <c r="CQ12" s="19" t="str">
        <f>IF($CF12=1,CD12,"")</f>
        <v/>
      </c>
      <c r="CR12" s="19" t="str">
        <f>IF($CF12=1,CE12,"")</f>
        <v/>
      </c>
      <c r="CS12" s="24">
        <f>SUM(AE12:BO12)</f>
        <v>0</v>
      </c>
    </row>
    <row r="13" spans="1:97" x14ac:dyDescent="0.15">
      <c r="A13" s="1">
        <v>82</v>
      </c>
      <c r="B13" s="3" t="s">
        <v>75</v>
      </c>
      <c r="C13" s="3" t="s">
        <v>71</v>
      </c>
      <c r="D13" s="1" t="s">
        <v>13</v>
      </c>
      <c r="E13" s="6"/>
      <c r="F13" s="6"/>
      <c r="G13" s="6"/>
      <c r="H13" s="6"/>
      <c r="I13" s="6"/>
      <c r="J13" s="6"/>
      <c r="K13" s="6"/>
      <c r="L13" s="6">
        <v>6</v>
      </c>
      <c r="M13" s="6"/>
      <c r="N13" s="6">
        <v>6</v>
      </c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>
        <v>10</v>
      </c>
      <c r="AU13" s="4"/>
      <c r="AV13" s="4"/>
      <c r="AW13" s="2"/>
      <c r="AX13" s="2"/>
      <c r="AY13" s="2"/>
      <c r="AZ13" s="2">
        <v>10</v>
      </c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32</v>
      </c>
      <c r="BQ13" s="1">
        <v>0</v>
      </c>
      <c r="BR13" s="17">
        <v>0</v>
      </c>
      <c r="BS13" s="17"/>
      <c r="BT13" s="1" t="str">
        <f>IF(AQ13&gt;AQ$165, AQ13-AQ$165,"")</f>
        <v/>
      </c>
      <c r="BU13" s="1" t="str">
        <f>IF(AR13&gt;AR$165, AR13-AR$165,"")</f>
        <v/>
      </c>
      <c r="BV13" s="1" t="str">
        <f>IF(AS13&gt;AS$165, AS13-AS$165,"")</f>
        <v/>
      </c>
      <c r="BW13" s="1" t="str">
        <f>IF(AT13&gt;AT$165, AT13-AT$165,"")</f>
        <v/>
      </c>
      <c r="BX13" s="1" t="str">
        <f>IF(AU13&gt;AU$165, AU13-AU$165,"")</f>
        <v/>
      </c>
      <c r="BY13" s="1" t="str">
        <f>IF(AV13&gt;AV$165, AV13-AV$165,"")</f>
        <v/>
      </c>
      <c r="BZ13" s="1" t="str">
        <f>IF(AW13&gt;AW$165, AW13-AW$165,"")</f>
        <v/>
      </c>
      <c r="CA13" s="1" t="str">
        <f>IF(AX13&gt;AX$165, AX13-AX$165,"")</f>
        <v/>
      </c>
      <c r="CB13" s="1" t="str">
        <f>IF(AY13&gt;AY$165, AY13-AY$165,"")</f>
        <v/>
      </c>
      <c r="CC13" s="1" t="str">
        <f>IF(AZ13&gt;AZ$165, AZ13-AZ$165,"")</f>
        <v/>
      </c>
      <c r="CD13" s="1" t="str">
        <f>IF(BA13&gt;BA$165, BA13-BA$165,"")</f>
        <v/>
      </c>
      <c r="CE13" s="1" t="str">
        <f>IF(BB13&gt;BB$165, BB13-BB$165,"")</f>
        <v/>
      </c>
      <c r="CF13" s="1">
        <f>COUNTIF(BT13:CE13, "&gt;0")</f>
        <v>0</v>
      </c>
      <c r="CG13" s="1" t="str">
        <f>IF($CF13=1,BT13,"")</f>
        <v/>
      </c>
      <c r="CH13" s="1" t="str">
        <f>IF($CF13=1,BU13,"")</f>
        <v/>
      </c>
      <c r="CI13" s="1" t="str">
        <f>IF($CF13=1,BV13,"")</f>
        <v/>
      </c>
      <c r="CJ13" s="1" t="str">
        <f>IF($CF13=1,BW13,"")</f>
        <v/>
      </c>
      <c r="CK13" s="1" t="str">
        <f>IF($CF13=1,BX13,"")</f>
        <v/>
      </c>
      <c r="CL13" s="1" t="str">
        <f>IF($CF13=1,BY13,"")</f>
        <v/>
      </c>
      <c r="CM13" s="1" t="str">
        <f>IF($CF13=1,BZ13,"")</f>
        <v/>
      </c>
      <c r="CN13" s="1" t="str">
        <f>IF($CF13=1,CA13,"")</f>
        <v/>
      </c>
      <c r="CO13" s="1" t="str">
        <f>IF($CF13=1,CB13,"")</f>
        <v/>
      </c>
      <c r="CP13" s="1" t="str">
        <f>IF($CF13=1,CC13,"")</f>
        <v/>
      </c>
      <c r="CQ13" s="1" t="str">
        <f>IF($CF13=1,CD13,"")</f>
        <v/>
      </c>
      <c r="CR13" s="1" t="str">
        <f>IF($CF13=1,CE13,"")</f>
        <v/>
      </c>
      <c r="CS13" s="18">
        <f>SUM(AE13:BO13)</f>
        <v>20</v>
      </c>
    </row>
    <row r="14" spans="1:97" x14ac:dyDescent="0.15">
      <c r="A14" s="19">
        <v>60</v>
      </c>
      <c r="B14" s="19" t="s">
        <v>113</v>
      </c>
      <c r="C14" s="19" t="s">
        <v>62</v>
      </c>
      <c r="D14" s="19" t="s">
        <v>1</v>
      </c>
      <c r="E14" s="20"/>
      <c r="F14" s="20"/>
      <c r="G14" s="20"/>
      <c r="H14" s="20"/>
      <c r="I14" s="20"/>
      <c r="J14" s="20"/>
      <c r="K14" s="20">
        <v>5</v>
      </c>
      <c r="L14" s="20"/>
      <c r="M14" s="20"/>
      <c r="N14" s="20"/>
      <c r="O14" s="20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1"/>
      <c r="AR14" s="21"/>
      <c r="AS14" s="21"/>
      <c r="AT14" s="21"/>
      <c r="AU14" s="21"/>
      <c r="AV14" s="21"/>
      <c r="AW14" s="22"/>
      <c r="AX14" s="22"/>
      <c r="AY14" s="22"/>
      <c r="AZ14" s="22"/>
      <c r="BA14" s="22"/>
      <c r="BB14" s="22"/>
      <c r="BC14" s="30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>
        <f>SUM(E14:BO14)</f>
        <v>5</v>
      </c>
      <c r="BQ14" s="19">
        <v>0</v>
      </c>
      <c r="BR14" s="23">
        <v>0</v>
      </c>
      <c r="BS14" s="23"/>
      <c r="BT14" s="19" t="str">
        <f>IF(AQ14&gt;AQ$165, AQ14-AQ$165,"")</f>
        <v/>
      </c>
      <c r="BU14" s="19" t="str">
        <f>IF(AR14&gt;AR$165, AR14-AR$165,"")</f>
        <v/>
      </c>
      <c r="BV14" s="19" t="str">
        <f>IF(AS14&gt;AS$165, AS14-AS$165,"")</f>
        <v/>
      </c>
      <c r="BW14" s="19" t="str">
        <f>IF(AT14&gt;AT$165, AT14-AT$165,"")</f>
        <v/>
      </c>
      <c r="BX14" s="19" t="str">
        <f>IF(AU14&gt;AU$165, AU14-AU$165,"")</f>
        <v/>
      </c>
      <c r="BY14" s="19" t="str">
        <f>IF(AV14&gt;AV$165, AV14-AV$165,"")</f>
        <v/>
      </c>
      <c r="BZ14" s="19" t="str">
        <f>IF(AW14&gt;AW$165, AW14-AW$165,"")</f>
        <v/>
      </c>
      <c r="CA14" s="19" t="str">
        <f>IF(AX14&gt;AX$165, AX14-AX$165,"")</f>
        <v/>
      </c>
      <c r="CB14" s="19" t="str">
        <f>IF(AY14&gt;AY$165, AY14-AY$165,"")</f>
        <v/>
      </c>
      <c r="CC14" s="19" t="str">
        <f>IF(AZ14&gt;AZ$165, AZ14-AZ$165,"")</f>
        <v/>
      </c>
      <c r="CD14" s="19" t="str">
        <f>IF(BA14&gt;BA$165, BA14-BA$165,"")</f>
        <v/>
      </c>
      <c r="CE14" s="19" t="str">
        <f>IF(BB14&gt;BB$165, BB14-BB$165,"")</f>
        <v/>
      </c>
      <c r="CF14" s="19">
        <f>COUNTIF(BT14:CE14, "&gt;0")</f>
        <v>0</v>
      </c>
      <c r="CG14" s="19" t="str">
        <f>IF($CF14=1,BT14,"")</f>
        <v/>
      </c>
      <c r="CH14" s="19" t="str">
        <f>IF($CF14=1,BU14,"")</f>
        <v/>
      </c>
      <c r="CI14" s="19" t="str">
        <f>IF($CF14=1,BV14,"")</f>
        <v/>
      </c>
      <c r="CJ14" s="19" t="str">
        <f>IF($CF14=1,BW14,"")</f>
        <v/>
      </c>
      <c r="CK14" s="19" t="str">
        <f>IF($CF14=1,BX14,"")</f>
        <v/>
      </c>
      <c r="CL14" s="19" t="str">
        <f>IF($CF14=1,BY14,"")</f>
        <v/>
      </c>
      <c r="CM14" s="19" t="str">
        <f>IF($CF14=1,BZ14,"")</f>
        <v/>
      </c>
      <c r="CN14" s="19" t="str">
        <f>IF($CF14=1,CA14,"")</f>
        <v/>
      </c>
      <c r="CO14" s="19" t="str">
        <f>IF($CF14=1,CB14,"")</f>
        <v/>
      </c>
      <c r="CP14" s="19" t="str">
        <f>IF($CF14=1,CC14,"")</f>
        <v/>
      </c>
      <c r="CQ14" s="19" t="str">
        <f>IF($CF14=1,CD14,"")</f>
        <v/>
      </c>
      <c r="CR14" s="19" t="str">
        <f>IF($CF14=1,CE14,"")</f>
        <v/>
      </c>
      <c r="CS14" s="24">
        <f>SUM(AE14:BO14)</f>
        <v>0</v>
      </c>
    </row>
    <row r="15" spans="1:97" x14ac:dyDescent="0.15">
      <c r="A15" s="19">
        <v>92</v>
      </c>
      <c r="B15" s="27" t="s">
        <v>92</v>
      </c>
      <c r="C15" s="27" t="s">
        <v>90</v>
      </c>
      <c r="D15" s="19" t="s">
        <v>24</v>
      </c>
      <c r="E15" s="20">
        <v>10</v>
      </c>
      <c r="F15" s="20"/>
      <c r="G15" s="20"/>
      <c r="H15" s="20"/>
      <c r="I15" s="20">
        <v>10</v>
      </c>
      <c r="J15" s="20">
        <v>10</v>
      </c>
      <c r="K15" s="20"/>
      <c r="L15" s="20"/>
      <c r="M15" s="20"/>
      <c r="N15" s="20"/>
      <c r="O15" s="20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1"/>
      <c r="AR15" s="21"/>
      <c r="AS15" s="21"/>
      <c r="AT15" s="21"/>
      <c r="AU15" s="21"/>
      <c r="AV15" s="21"/>
      <c r="AW15" s="22"/>
      <c r="AX15" s="22"/>
      <c r="AY15" s="22"/>
      <c r="AZ15" s="22"/>
      <c r="BA15" s="22"/>
      <c r="BB15" s="22"/>
      <c r="BC15" s="30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>
        <f>SUM(E15:BO15)</f>
        <v>30</v>
      </c>
      <c r="BQ15" s="19">
        <v>0</v>
      </c>
      <c r="BR15" s="23">
        <v>0</v>
      </c>
      <c r="BS15" s="23"/>
      <c r="BT15" s="19" t="str">
        <f>IF(AQ15&gt;AQ$165, AQ15-AQ$165,"")</f>
        <v/>
      </c>
      <c r="BU15" s="19" t="str">
        <f>IF(AR15&gt;AR$165, AR15-AR$165,"")</f>
        <v/>
      </c>
      <c r="BV15" s="19" t="str">
        <f>IF(AS15&gt;AS$165, AS15-AS$165,"")</f>
        <v/>
      </c>
      <c r="BW15" s="19" t="str">
        <f>IF(AT15&gt;AT$165, AT15-AT$165,"")</f>
        <v/>
      </c>
      <c r="BX15" s="19" t="str">
        <f>IF(AU15&gt;AU$165, AU15-AU$165,"")</f>
        <v/>
      </c>
      <c r="BY15" s="19" t="str">
        <f>IF(AV15&gt;AV$165, AV15-AV$165,"")</f>
        <v/>
      </c>
      <c r="BZ15" s="19" t="str">
        <f>IF(AW15&gt;AW$165, AW15-AW$165,"")</f>
        <v/>
      </c>
      <c r="CA15" s="19" t="str">
        <f>IF(AX15&gt;AX$165, AX15-AX$165,"")</f>
        <v/>
      </c>
      <c r="CB15" s="19" t="str">
        <f>IF(AY15&gt;AY$165, AY15-AY$165,"")</f>
        <v/>
      </c>
      <c r="CC15" s="19" t="str">
        <f>IF(AZ15&gt;AZ$165, AZ15-AZ$165,"")</f>
        <v/>
      </c>
      <c r="CD15" s="19" t="str">
        <f>IF(BA15&gt;BA$165, BA15-BA$165,"")</f>
        <v/>
      </c>
      <c r="CE15" s="19" t="str">
        <f>IF(BB15&gt;BB$165, BB15-BB$165,"")</f>
        <v/>
      </c>
      <c r="CF15" s="19">
        <f>COUNTIF(BT15:CE15, "&gt;0")</f>
        <v>0</v>
      </c>
      <c r="CG15" s="19" t="str">
        <f>IF($CF15=1,BT15,"")</f>
        <v/>
      </c>
      <c r="CH15" s="19" t="str">
        <f>IF($CF15=1,BU15,"")</f>
        <v/>
      </c>
      <c r="CI15" s="19" t="str">
        <f>IF($CF15=1,BV15,"")</f>
        <v/>
      </c>
      <c r="CJ15" s="19" t="str">
        <f>IF($CF15=1,BW15,"")</f>
        <v/>
      </c>
      <c r="CK15" s="19" t="str">
        <f>IF($CF15=1,BX15,"")</f>
        <v/>
      </c>
      <c r="CL15" s="19" t="str">
        <f>IF($CF15=1,BY15,"")</f>
        <v/>
      </c>
      <c r="CM15" s="19" t="str">
        <f>IF($CF15=1,BZ15,"")</f>
        <v/>
      </c>
      <c r="CN15" s="19" t="str">
        <f>IF($CF15=1,CA15,"")</f>
        <v/>
      </c>
      <c r="CO15" s="19" t="str">
        <f>IF($CF15=1,CB15,"")</f>
        <v/>
      </c>
      <c r="CP15" s="19" t="str">
        <f>IF($CF15=1,CC15,"")</f>
        <v/>
      </c>
      <c r="CQ15" s="19" t="str">
        <f>IF($CF15=1,CD15,"")</f>
        <v/>
      </c>
      <c r="CR15" s="19" t="str">
        <f>IF($CF15=1,CE15,"")</f>
        <v/>
      </c>
      <c r="CS15" s="24">
        <f>SUM(AE15:BO15)</f>
        <v>0</v>
      </c>
    </row>
    <row r="16" spans="1:97" x14ac:dyDescent="0.15">
      <c r="A16" s="1">
        <v>84</v>
      </c>
      <c r="B16" s="3" t="s">
        <v>76</v>
      </c>
      <c r="C16" s="3" t="s">
        <v>71</v>
      </c>
      <c r="D16" s="1" t="s">
        <v>13</v>
      </c>
      <c r="E16" s="6"/>
      <c r="F16" s="6"/>
      <c r="G16" s="6">
        <v>5</v>
      </c>
      <c r="H16" s="6">
        <v>5</v>
      </c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5</v>
      </c>
      <c r="BB16" s="2">
        <v>5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20</v>
      </c>
      <c r="BQ16" s="1">
        <v>0</v>
      </c>
      <c r="BR16" s="17">
        <v>0</v>
      </c>
      <c r="BS16" s="17"/>
      <c r="BT16" s="1" t="str">
        <f>IF(AQ16&gt;AQ$165, AQ16-AQ$165,"")</f>
        <v/>
      </c>
      <c r="BU16" s="1" t="str">
        <f>IF(AR16&gt;AR$165, AR16-AR$165,"")</f>
        <v/>
      </c>
      <c r="BV16" s="1" t="str">
        <f>IF(AS16&gt;AS$165, AS16-AS$165,"")</f>
        <v/>
      </c>
      <c r="BW16" s="1" t="str">
        <f>IF(AT16&gt;AT$165, AT16-AT$165,"")</f>
        <v/>
      </c>
      <c r="BX16" s="1" t="str">
        <f>IF(AU16&gt;AU$165, AU16-AU$165,"")</f>
        <v/>
      </c>
      <c r="BY16" s="1" t="str">
        <f>IF(AV16&gt;AV$165, AV16-AV$165,"")</f>
        <v/>
      </c>
      <c r="BZ16" s="1" t="str">
        <f>IF(AW16&gt;AW$165, AW16-AW$165,"")</f>
        <v/>
      </c>
      <c r="CA16" s="1" t="str">
        <f>IF(AX16&gt;AX$165, AX16-AX$165,"")</f>
        <v/>
      </c>
      <c r="CB16" s="1" t="str">
        <f>IF(AY16&gt;AY$165, AY16-AY$165,"")</f>
        <v/>
      </c>
      <c r="CC16" s="1" t="str">
        <f>IF(AZ16&gt;AZ$165, AZ16-AZ$165,"")</f>
        <v/>
      </c>
      <c r="CD16" s="1" t="str">
        <f>IF(BA16&gt;BA$165, BA16-BA$165,"")</f>
        <v/>
      </c>
      <c r="CE16" s="1" t="str">
        <f>IF(BB16&gt;BB$165, BB16-BB$165,"")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18">
        <f>SUM(AE16:BO16)</f>
        <v>10</v>
      </c>
    </row>
    <row r="17" spans="1:97" x14ac:dyDescent="0.15">
      <c r="A17" s="1">
        <v>69</v>
      </c>
      <c r="B17" s="3" t="s">
        <v>70</v>
      </c>
      <c r="C17" s="1" t="s">
        <v>62</v>
      </c>
      <c r="D17" s="1" t="s">
        <v>13</v>
      </c>
      <c r="E17" s="6"/>
      <c r="F17" s="6"/>
      <c r="G17" s="6"/>
      <c r="H17" s="6">
        <v>6</v>
      </c>
      <c r="I17" s="6">
        <v>6</v>
      </c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>
        <v>10</v>
      </c>
      <c r="AW17" s="2"/>
      <c r="AX17" s="2">
        <v>10</v>
      </c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32</v>
      </c>
      <c r="BQ17" s="1">
        <v>0</v>
      </c>
      <c r="BR17" s="17">
        <v>0</v>
      </c>
      <c r="BS17" s="17"/>
      <c r="BT17" s="1" t="str">
        <f>IF(AQ17&gt;AQ$165, AQ17-AQ$165,"")</f>
        <v/>
      </c>
      <c r="BU17" s="1" t="str">
        <f>IF(AR17&gt;AR$165, AR17-AR$165,"")</f>
        <v/>
      </c>
      <c r="BV17" s="1" t="str">
        <f>IF(AS17&gt;AS$165, AS17-AS$165,"")</f>
        <v/>
      </c>
      <c r="BW17" s="1" t="str">
        <f>IF(AT17&gt;AT$165, AT17-AT$165,"")</f>
        <v/>
      </c>
      <c r="BX17" s="1" t="str">
        <f>IF(AU17&gt;AU$165, AU17-AU$165,"")</f>
        <v/>
      </c>
      <c r="BY17" s="1" t="str">
        <f>IF(AV17&gt;AV$165, AV17-AV$165,"")</f>
        <v/>
      </c>
      <c r="BZ17" s="1" t="str">
        <f>IF(AW17&gt;AW$165, AW17-AW$165,"")</f>
        <v/>
      </c>
      <c r="CA17" s="1" t="str">
        <f>IF(AX17&gt;AX$165, AX17-AX$165,"")</f>
        <v/>
      </c>
      <c r="CB17" s="1" t="str">
        <f>IF(AY17&gt;AY$165, AY17-AY$165,"")</f>
        <v/>
      </c>
      <c r="CC17" s="1" t="str">
        <f>IF(AZ17&gt;AZ$165, AZ17-AZ$165,"")</f>
        <v/>
      </c>
      <c r="CD17" s="1" t="str">
        <f>IF(BA17&gt;BA$165, BA17-BA$165,"")</f>
        <v/>
      </c>
      <c r="CE17" s="1" t="str">
        <f>IF(BB17&gt;BB$165, BB17-BB$165,"")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18">
        <f>SUM(AE17:BO17)</f>
        <v>20</v>
      </c>
    </row>
    <row r="18" spans="1:97" x14ac:dyDescent="0.15">
      <c r="A18" s="1">
        <v>72</v>
      </c>
      <c r="B18" s="3" t="s">
        <v>102</v>
      </c>
      <c r="C18" s="1" t="s">
        <v>62</v>
      </c>
      <c r="D18" s="1" t="s">
        <v>13</v>
      </c>
      <c r="E18" s="6"/>
      <c r="F18" s="6"/>
      <c r="G18" s="6"/>
      <c r="H18" s="6"/>
      <c r="I18" s="6"/>
      <c r="J18" s="6"/>
      <c r="K18" s="6"/>
      <c r="L18" s="6">
        <v>6</v>
      </c>
      <c r="M18" s="6">
        <v>6</v>
      </c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>
        <v>10</v>
      </c>
      <c r="AW18" s="2"/>
      <c r="AX18" s="2"/>
      <c r="AY18" s="2"/>
      <c r="AZ18" s="2"/>
      <c r="BA18" s="2">
        <v>10</v>
      </c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32</v>
      </c>
      <c r="BQ18" s="1">
        <v>0</v>
      </c>
      <c r="BR18" s="17">
        <v>0</v>
      </c>
      <c r="BS18" s="17"/>
      <c r="BT18" s="1" t="str">
        <f>IF(AQ18&gt;AQ$165, AQ18-AQ$165,"")</f>
        <v/>
      </c>
      <c r="BU18" s="1" t="str">
        <f>IF(AR18&gt;AR$165, AR18-AR$165,"")</f>
        <v/>
      </c>
      <c r="BV18" s="1" t="str">
        <f>IF(AS18&gt;AS$165, AS18-AS$165,"")</f>
        <v/>
      </c>
      <c r="BW18" s="1" t="str">
        <f>IF(AT18&gt;AT$165, AT18-AT$165,"")</f>
        <v/>
      </c>
      <c r="BX18" s="1" t="str">
        <f>IF(AU18&gt;AU$165, AU18-AU$165,"")</f>
        <v/>
      </c>
      <c r="BY18" s="1" t="str">
        <f>IF(AV18&gt;AV$165, AV18-AV$165,"")</f>
        <v/>
      </c>
      <c r="BZ18" s="1" t="str">
        <f>IF(AW18&gt;AW$165, AW18-AW$165,"")</f>
        <v/>
      </c>
      <c r="CA18" s="1" t="str">
        <f>IF(AX18&gt;AX$165, AX18-AX$165,"")</f>
        <v/>
      </c>
      <c r="CB18" s="1" t="str">
        <f>IF(AY18&gt;AY$165, AY18-AY$165,"")</f>
        <v/>
      </c>
      <c r="CC18" s="1" t="str">
        <f>IF(AZ18&gt;AZ$165, AZ18-AZ$165,"")</f>
        <v/>
      </c>
      <c r="CD18" s="1" t="str">
        <f>IF(BA18&gt;BA$165, BA18-BA$165,"")</f>
        <v/>
      </c>
      <c r="CE18" s="1" t="str">
        <f>IF(BB18&gt;BB$165, BB18-BB$165,"")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18">
        <f>SUM(AE18:BO18)</f>
        <v>20</v>
      </c>
    </row>
    <row r="19" spans="1:97" x14ac:dyDescent="0.15">
      <c r="A19" s="1">
        <v>58</v>
      </c>
      <c r="B19" s="1" t="s">
        <v>65</v>
      </c>
      <c r="C19" s="1" t="s">
        <v>62</v>
      </c>
      <c r="D19" s="1" t="s">
        <v>13</v>
      </c>
      <c r="E19" s="6"/>
      <c r="F19" s="6"/>
      <c r="G19" s="6">
        <v>10</v>
      </c>
      <c r="H19" s="6"/>
      <c r="I19" s="6"/>
      <c r="J19" s="6"/>
      <c r="K19" s="6"/>
      <c r="L19" s="6"/>
      <c r="M19" s="6"/>
      <c r="N19" s="6">
        <v>10</v>
      </c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>
        <v>10</v>
      </c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40</v>
      </c>
      <c r="BQ19" s="1">
        <v>0</v>
      </c>
      <c r="BR19" s="17">
        <v>0</v>
      </c>
      <c r="BS19" s="17"/>
      <c r="BT19" s="1" t="str">
        <f>IF(AQ19&gt;AQ$165, AQ19-AQ$165,"")</f>
        <v/>
      </c>
      <c r="BU19" s="1" t="str">
        <f>IF(AR19&gt;AR$165, AR19-AR$165,"")</f>
        <v/>
      </c>
      <c r="BV19" s="1" t="str">
        <f>IF(AS19&gt;AS$165, AS19-AS$165,"")</f>
        <v/>
      </c>
      <c r="BW19" s="1" t="str">
        <f>IF(AT19&gt;AT$165, AT19-AT$165,"")</f>
        <v/>
      </c>
      <c r="BX19" s="1" t="str">
        <f>IF(AU19&gt;AU$165, AU19-AU$165,"")</f>
        <v/>
      </c>
      <c r="BY19" s="1" t="str">
        <f>IF(AV19&gt;AV$165, AV19-AV$165,"")</f>
        <v/>
      </c>
      <c r="BZ19" s="1" t="str">
        <f>IF(AW19&gt;AW$165, AW19-AW$165,"")</f>
        <v/>
      </c>
      <c r="CA19" s="1" t="str">
        <f>IF(AX19&gt;AX$165, AX19-AX$165,"")</f>
        <v/>
      </c>
      <c r="CB19" s="1" t="str">
        <f>IF(AY19&gt;AY$165, AY19-AY$165,"")</f>
        <v/>
      </c>
      <c r="CC19" s="1" t="str">
        <f>IF(AZ19&gt;AZ$165, AZ19-AZ$165,"")</f>
        <v/>
      </c>
      <c r="CD19" s="1" t="str">
        <f>IF(BA19&gt;BA$165, BA19-BA$165,"")</f>
        <v/>
      </c>
      <c r="CE19" s="1" t="str">
        <f>IF(BB19&gt;BB$165, BB19-BB$165,"")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18">
        <f>SUM(AE19:BO19)</f>
        <v>20</v>
      </c>
    </row>
    <row r="20" spans="1:97" x14ac:dyDescent="0.15">
      <c r="A20" s="1">
        <v>5</v>
      </c>
      <c r="B20" s="1" t="s">
        <v>22</v>
      </c>
      <c r="C20" s="1" t="s">
        <v>2</v>
      </c>
      <c r="D20" s="1" t="s">
        <v>12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>
        <v>10</v>
      </c>
      <c r="AS20" s="4"/>
      <c r="AT20" s="4"/>
      <c r="AU20" s="4"/>
      <c r="AV20" s="4"/>
      <c r="AW20" s="2"/>
      <c r="AX20" s="2"/>
      <c r="AY20" s="2"/>
      <c r="AZ20" s="2"/>
      <c r="BA20" s="2"/>
      <c r="BB20" s="2">
        <v>10</v>
      </c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20</v>
      </c>
      <c r="BQ20" s="1">
        <v>0</v>
      </c>
      <c r="BR20" s="17">
        <v>0</v>
      </c>
      <c r="BS20" s="17"/>
      <c r="BT20" s="1" t="str">
        <f>IF(AQ20&gt;AQ$165, AQ20-AQ$165,"")</f>
        <v/>
      </c>
      <c r="BU20" s="1" t="str">
        <f>IF(AR20&gt;AR$165, AR20-AR$165,"")</f>
        <v/>
      </c>
      <c r="BV20" s="1" t="str">
        <f>IF(AS20&gt;AS$165, AS20-AS$165,"")</f>
        <v/>
      </c>
      <c r="BW20" s="1" t="str">
        <f>IF(AT20&gt;AT$165, AT20-AT$165,"")</f>
        <v/>
      </c>
      <c r="BX20" s="1" t="str">
        <f>IF(AU20&gt;AU$165, AU20-AU$165,"")</f>
        <v/>
      </c>
      <c r="BY20" s="1" t="str">
        <f>IF(AV20&gt;AV$165, AV20-AV$165,"")</f>
        <v/>
      </c>
      <c r="BZ20" s="1" t="str">
        <f>IF(AW20&gt;AW$165, AW20-AW$165,"")</f>
        <v/>
      </c>
      <c r="CA20" s="1" t="str">
        <f>IF(AX20&gt;AX$165, AX20-AX$165,"")</f>
        <v/>
      </c>
      <c r="CB20" s="1" t="str">
        <f>IF(AY20&gt;AY$165, AY20-AY$165,"")</f>
        <v/>
      </c>
      <c r="CC20" s="1" t="str">
        <f>IF(AZ20&gt;AZ$165, AZ20-AZ$165,"")</f>
        <v/>
      </c>
      <c r="CD20" s="1" t="str">
        <f>IF(BA20&gt;BA$165, BA20-BA$165,"")</f>
        <v/>
      </c>
      <c r="CE20" s="1" t="str">
        <f>IF(BB20&gt;BB$165, BB20-BB$165,"")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18">
        <f>SUM(AE20:BO20)</f>
        <v>20</v>
      </c>
    </row>
    <row r="21" spans="1:97" x14ac:dyDescent="0.15">
      <c r="A21" s="1">
        <v>6</v>
      </c>
      <c r="B21" s="1" t="s">
        <v>55</v>
      </c>
      <c r="C21" s="1" t="s">
        <v>2</v>
      </c>
      <c r="D21" s="1" t="s">
        <v>23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>
        <v>10</v>
      </c>
      <c r="AS21" s="4"/>
      <c r="AT21" s="4"/>
      <c r="AU21" s="4"/>
      <c r="AV21" s="4"/>
      <c r="AW21" s="2"/>
      <c r="AX21" s="2"/>
      <c r="AY21" s="2"/>
      <c r="AZ21" s="2"/>
      <c r="BA21" s="2"/>
      <c r="BB21" s="2">
        <v>10</v>
      </c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20</v>
      </c>
      <c r="BQ21" s="1">
        <v>0</v>
      </c>
      <c r="BR21" s="17">
        <v>0</v>
      </c>
      <c r="BS21" s="17"/>
      <c r="BT21" s="1" t="str">
        <f>IF(AQ21&gt;AQ$165, AQ21-AQ$165,"")</f>
        <v/>
      </c>
      <c r="BU21" s="1" t="str">
        <f>IF(AR21&gt;AR$165, AR21-AR$165,"")</f>
        <v/>
      </c>
      <c r="BV21" s="1" t="str">
        <f>IF(AS21&gt;AS$165, AS21-AS$165,"")</f>
        <v/>
      </c>
      <c r="BW21" s="1" t="str">
        <f>IF(AT21&gt;AT$165, AT21-AT$165,"")</f>
        <v/>
      </c>
      <c r="BX21" s="1" t="str">
        <f>IF(AU21&gt;AU$165, AU21-AU$165,"")</f>
        <v/>
      </c>
      <c r="BY21" s="1" t="str">
        <f>IF(AV21&gt;AV$165, AV21-AV$165,"")</f>
        <v/>
      </c>
      <c r="BZ21" s="1" t="str">
        <f>IF(AW21&gt;AW$165, AW21-AW$165,"")</f>
        <v/>
      </c>
      <c r="CA21" s="1" t="str">
        <f>IF(AX21&gt;AX$165, AX21-AX$165,"")</f>
        <v/>
      </c>
      <c r="CB21" s="1" t="str">
        <f>IF(AY21&gt;AY$165, AY21-AY$165,"")</f>
        <v/>
      </c>
      <c r="CC21" s="1" t="str">
        <f>IF(AZ21&gt;AZ$165, AZ21-AZ$165,"")</f>
        <v/>
      </c>
      <c r="CD21" s="1" t="str">
        <f>IF(BA21&gt;BA$165, BA21-BA$165,"")</f>
        <v/>
      </c>
      <c r="CE21" s="1" t="str">
        <f>IF(BB21&gt;BB$165, BB21-BB$165,"")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18">
        <f>SUM(AE21:BO21)</f>
        <v>20</v>
      </c>
    </row>
    <row r="22" spans="1:97" x14ac:dyDescent="0.15">
      <c r="A22" s="1">
        <v>8</v>
      </c>
      <c r="B22" s="1" t="s">
        <v>56</v>
      </c>
      <c r="C22" s="1" t="s">
        <v>2</v>
      </c>
      <c r="D22" s="1" t="s">
        <v>26</v>
      </c>
      <c r="E22" s="6">
        <v>6</v>
      </c>
      <c r="F22" s="6"/>
      <c r="G22" s="6"/>
      <c r="H22" s="6">
        <v>6</v>
      </c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>
        <v>10</v>
      </c>
      <c r="AS22" s="4"/>
      <c r="AT22" s="4"/>
      <c r="AU22" s="4"/>
      <c r="AV22" s="4"/>
      <c r="AW22" s="2"/>
      <c r="AX22" s="2"/>
      <c r="AY22" s="2"/>
      <c r="AZ22" s="2"/>
      <c r="BA22" s="2"/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32</v>
      </c>
      <c r="BQ22" s="1">
        <v>0</v>
      </c>
      <c r="BR22" s="17">
        <v>0</v>
      </c>
      <c r="BS22" s="17"/>
      <c r="BT22" s="1" t="str">
        <f>IF(AQ22&gt;AQ$165, AQ22-AQ$165,"")</f>
        <v/>
      </c>
      <c r="BU22" s="1" t="str">
        <f>IF(AR22&gt;AR$165, AR22-AR$165,"")</f>
        <v/>
      </c>
      <c r="BV22" s="1" t="str">
        <f>IF(AS22&gt;AS$165, AS22-AS$165,"")</f>
        <v/>
      </c>
      <c r="BW22" s="1" t="str">
        <f>IF(AT22&gt;AT$165, AT22-AT$165,"")</f>
        <v/>
      </c>
      <c r="BX22" s="1" t="str">
        <f>IF(AU22&gt;AU$165, AU22-AU$165,"")</f>
        <v/>
      </c>
      <c r="BY22" s="1" t="str">
        <f>IF(AV22&gt;AV$165, AV22-AV$165,"")</f>
        <v/>
      </c>
      <c r="BZ22" s="1" t="str">
        <f>IF(AW22&gt;AW$165, AW22-AW$165,"")</f>
        <v/>
      </c>
      <c r="CA22" s="1" t="str">
        <f>IF(AX22&gt;AX$165, AX22-AX$165,"")</f>
        <v/>
      </c>
      <c r="CB22" s="1" t="str">
        <f>IF(AY22&gt;AY$165, AY22-AY$165,"")</f>
        <v/>
      </c>
      <c r="CC22" s="1" t="str">
        <f>IF(AZ22&gt;AZ$165, AZ22-AZ$165,"")</f>
        <v/>
      </c>
      <c r="CD22" s="1" t="str">
        <f>IF(BA22&gt;BA$165, BA22-BA$165,"")</f>
        <v/>
      </c>
      <c r="CE22" s="1" t="str">
        <f>IF(BB22&gt;BB$165, BB22-BB$165,"")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18">
        <f>SUM(AE22:BO22)</f>
        <v>20</v>
      </c>
    </row>
    <row r="23" spans="1:97" x14ac:dyDescent="0.15">
      <c r="A23" s="1">
        <v>94</v>
      </c>
      <c r="B23" s="3" t="s">
        <v>94</v>
      </c>
      <c r="C23" s="3" t="s">
        <v>78</v>
      </c>
      <c r="D23" s="1" t="s">
        <v>1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>
        <v>10</v>
      </c>
      <c r="BB23" s="2">
        <v>10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20</v>
      </c>
      <c r="BQ23" s="1">
        <v>0</v>
      </c>
      <c r="BR23" s="17">
        <v>0</v>
      </c>
      <c r="BS23" s="17"/>
      <c r="BT23" s="1" t="str">
        <f>IF(AQ23&gt;AQ$165, AQ23-AQ$165,"")</f>
        <v/>
      </c>
      <c r="BU23" s="1" t="str">
        <f>IF(AR23&gt;AR$165, AR23-AR$165,"")</f>
        <v/>
      </c>
      <c r="BV23" s="1" t="str">
        <f>IF(AS23&gt;AS$165, AS23-AS$165,"")</f>
        <v/>
      </c>
      <c r="BW23" s="1" t="str">
        <f>IF(AT23&gt;AT$165, AT23-AT$165,"")</f>
        <v/>
      </c>
      <c r="BX23" s="1" t="str">
        <f>IF(AU23&gt;AU$165, AU23-AU$165,"")</f>
        <v/>
      </c>
      <c r="BY23" s="1" t="str">
        <f>IF(AV23&gt;AV$165, AV23-AV$165,"")</f>
        <v/>
      </c>
      <c r="BZ23" s="1" t="str">
        <f>IF(AW23&gt;AW$165, AW23-AW$165,"")</f>
        <v/>
      </c>
      <c r="CA23" s="1" t="str">
        <f>IF(AX23&gt;AX$165, AX23-AX$165,"")</f>
        <v/>
      </c>
      <c r="CB23" s="1" t="str">
        <f>IF(AY23&gt;AY$165, AY23-AY$165,"")</f>
        <v/>
      </c>
      <c r="CC23" s="1" t="str">
        <f>IF(AZ23&gt;AZ$165, AZ23-AZ$165,"")</f>
        <v/>
      </c>
      <c r="CD23" s="1" t="str">
        <f>IF(BA23&gt;BA$165, BA23-BA$165,"")</f>
        <v/>
      </c>
      <c r="CE23" s="1" t="str">
        <f>IF(BB23&gt;BB$165, BB23-BB$165,"")</f>
        <v/>
      </c>
      <c r="CF23" s="1">
        <f>COUNTIF(BT23:CE23, "&gt;0")</f>
        <v>0</v>
      </c>
      <c r="CG23" s="1" t="str">
        <f>IF($CF23=1,BT23,"")</f>
        <v/>
      </c>
      <c r="CH23" s="1" t="str">
        <f>IF($CF23=1,BU23,"")</f>
        <v/>
      </c>
      <c r="CI23" s="1" t="str">
        <f>IF($CF23=1,BV23,"")</f>
        <v/>
      </c>
      <c r="CJ23" s="1" t="str">
        <f>IF($CF23=1,BW23,"")</f>
        <v/>
      </c>
      <c r="CK23" s="1" t="str">
        <f>IF($CF23=1,BX23,"")</f>
        <v/>
      </c>
      <c r="CL23" s="1" t="str">
        <f>IF($CF23=1,BY23,"")</f>
        <v/>
      </c>
      <c r="CM23" s="1" t="str">
        <f>IF($CF23=1,BZ23,"")</f>
        <v/>
      </c>
      <c r="CN23" s="1" t="str">
        <f>IF($CF23=1,CA23,"")</f>
        <v/>
      </c>
      <c r="CO23" s="1" t="str">
        <f>IF($CF23=1,CB23,"")</f>
        <v/>
      </c>
      <c r="CP23" s="1" t="str">
        <f>IF($CF23=1,CC23,"")</f>
        <v/>
      </c>
      <c r="CQ23" s="1" t="str">
        <f>IF($CF23=1,CD23,"")</f>
        <v/>
      </c>
      <c r="CR23" s="1" t="str">
        <f>IF($CF23=1,CE23,"")</f>
        <v/>
      </c>
      <c r="CS23" s="18">
        <f>SUM(AE23:BO23)</f>
        <v>20</v>
      </c>
    </row>
    <row r="24" spans="1:97" x14ac:dyDescent="0.15">
      <c r="A24" s="1">
        <v>96</v>
      </c>
      <c r="B24" s="3" t="s">
        <v>77</v>
      </c>
      <c r="C24" s="3" t="s">
        <v>78</v>
      </c>
      <c r="D24" s="1" t="s">
        <v>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>
        <v>10</v>
      </c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20</v>
      </c>
      <c r="BQ24" s="1">
        <v>0</v>
      </c>
      <c r="BR24" s="17">
        <v>0</v>
      </c>
      <c r="BS24" s="17"/>
      <c r="BT24" s="1" t="str">
        <f>IF(AQ24&gt;AQ$165, AQ24-AQ$165,"")</f>
        <v/>
      </c>
      <c r="BU24" s="1" t="str">
        <f>IF(AR24&gt;AR$165, AR24-AR$165,"")</f>
        <v/>
      </c>
      <c r="BV24" s="1" t="str">
        <f>IF(AS24&gt;AS$165, AS24-AS$165,"")</f>
        <v/>
      </c>
      <c r="BW24" s="1" t="str">
        <f>IF(AT24&gt;AT$165, AT24-AT$165,"")</f>
        <v/>
      </c>
      <c r="BX24" s="1" t="str">
        <f>IF(AU24&gt;AU$165, AU24-AU$165,"")</f>
        <v/>
      </c>
      <c r="BY24" s="1" t="str">
        <f>IF(AV24&gt;AV$165, AV24-AV$165,"")</f>
        <v/>
      </c>
      <c r="BZ24" s="1" t="str">
        <f>IF(AW24&gt;AW$165, AW24-AW$165,"")</f>
        <v/>
      </c>
      <c r="CA24" s="1" t="str">
        <f>IF(AX24&gt;AX$165, AX24-AX$165,"")</f>
        <v/>
      </c>
      <c r="CB24" s="1" t="str">
        <f>IF(AY24&gt;AY$165, AY24-AY$165,"")</f>
        <v/>
      </c>
      <c r="CC24" s="1" t="str">
        <f>IF(AZ24&gt;AZ$165, AZ24-AZ$165,"")</f>
        <v/>
      </c>
      <c r="CD24" s="1" t="str">
        <f>IF(BA24&gt;BA$165, BA24-BA$165,"")</f>
        <v/>
      </c>
      <c r="CE24" s="1" t="str">
        <f>IF(BB24&gt;BB$165, BB24-BB$165,"")</f>
        <v/>
      </c>
      <c r="CF24" s="1">
        <f>COUNTIF(BT24:CE24, "&gt;0")</f>
        <v>0</v>
      </c>
      <c r="CG24" s="1" t="str">
        <f>IF($CF24=1,BT24,"")</f>
        <v/>
      </c>
      <c r="CH24" s="1" t="str">
        <f>IF($CF24=1,BU24,"")</f>
        <v/>
      </c>
      <c r="CI24" s="1" t="str">
        <f>IF($CF24=1,BV24,"")</f>
        <v/>
      </c>
      <c r="CJ24" s="1" t="str">
        <f>IF($CF24=1,BW24,"")</f>
        <v/>
      </c>
      <c r="CK24" s="1" t="str">
        <f>IF($CF24=1,BX24,"")</f>
        <v/>
      </c>
      <c r="CL24" s="1" t="str">
        <f>IF($CF24=1,BY24,"")</f>
        <v/>
      </c>
      <c r="CM24" s="1" t="str">
        <f>IF($CF24=1,BZ24,"")</f>
        <v/>
      </c>
      <c r="CN24" s="1" t="str">
        <f>IF($CF24=1,CA24,"")</f>
        <v/>
      </c>
      <c r="CO24" s="1" t="str">
        <f>IF($CF24=1,CB24,"")</f>
        <v/>
      </c>
      <c r="CP24" s="1" t="str">
        <f>IF($CF24=1,CC24,"")</f>
        <v/>
      </c>
      <c r="CQ24" s="1" t="str">
        <f>IF($CF24=1,CD24,"")</f>
        <v/>
      </c>
      <c r="CR24" s="1" t="str">
        <f>IF($CF24=1,CE24,"")</f>
        <v/>
      </c>
      <c r="CS24" s="18">
        <f>SUM(AE24:BO24)</f>
        <v>20</v>
      </c>
    </row>
    <row r="25" spans="1:97" x14ac:dyDescent="0.15">
      <c r="A25" s="1">
        <v>76</v>
      </c>
      <c r="B25" s="3" t="s">
        <v>115</v>
      </c>
      <c r="C25" s="3" t="s">
        <v>71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>
        <v>10</v>
      </c>
      <c r="BI25" s="1"/>
      <c r="BJ25" s="1"/>
      <c r="BK25" s="1"/>
      <c r="BL25" s="1"/>
      <c r="BM25" s="1"/>
      <c r="BN25" s="1"/>
      <c r="BO25" s="1"/>
      <c r="BP25" s="1">
        <f>SUM(E25:BO25)</f>
        <v>10</v>
      </c>
      <c r="BQ25" s="1">
        <v>0</v>
      </c>
      <c r="BR25" s="17">
        <v>0</v>
      </c>
      <c r="BS25" s="17"/>
      <c r="BT25" s="1" t="str">
        <f>IF(AQ25&gt;AQ$165, AQ25-AQ$165,"")</f>
        <v/>
      </c>
      <c r="BU25" s="1" t="str">
        <f>IF(AR25&gt;AR$165, AR25-AR$165,"")</f>
        <v/>
      </c>
      <c r="BV25" s="1" t="str">
        <f>IF(AS25&gt;AS$165, AS25-AS$165,"")</f>
        <v/>
      </c>
      <c r="BW25" s="1" t="str">
        <f>IF(AT25&gt;AT$165, AT25-AT$165,"")</f>
        <v/>
      </c>
      <c r="BX25" s="1" t="str">
        <f>IF(AU25&gt;AU$165, AU25-AU$165,"")</f>
        <v/>
      </c>
      <c r="BY25" s="1" t="str">
        <f>IF(AV25&gt;AV$165, AV25-AV$165,"")</f>
        <v/>
      </c>
      <c r="BZ25" s="1" t="str">
        <f>IF(AW25&gt;AW$165, AW25-AW$165,"")</f>
        <v/>
      </c>
      <c r="CA25" s="1" t="str">
        <f>IF(AX25&gt;AX$165, AX25-AX$165,"")</f>
        <v/>
      </c>
      <c r="CB25" s="1" t="str">
        <f>IF(AY25&gt;AY$165, AY25-AY$165,"")</f>
        <v/>
      </c>
      <c r="CC25" s="1" t="str">
        <f>IF(AZ25&gt;AZ$165, AZ25-AZ$165,"")</f>
        <v/>
      </c>
      <c r="CD25" s="1" t="str">
        <f>IF(BA25&gt;BA$165, BA25-BA$165,"")</f>
        <v/>
      </c>
      <c r="CE25" s="1" t="str">
        <f>IF(BB25&gt;BB$165, BB25-BB$165,"")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18">
        <f>SUM(AE25:BO25)</f>
        <v>10</v>
      </c>
    </row>
    <row r="26" spans="1:97" x14ac:dyDescent="0.15">
      <c r="A26" s="1">
        <v>95</v>
      </c>
      <c r="B26" s="3" t="s">
        <v>95</v>
      </c>
      <c r="C26" s="3" t="s">
        <v>78</v>
      </c>
      <c r="D26" s="1" t="s">
        <v>1</v>
      </c>
      <c r="E26" s="6"/>
      <c r="F26" s="6"/>
      <c r="G26" s="6"/>
      <c r="H26" s="6"/>
      <c r="I26" s="6"/>
      <c r="J26" s="6"/>
      <c r="K26" s="6"/>
      <c r="L26" s="6">
        <v>15</v>
      </c>
      <c r="M26" s="6"/>
      <c r="N26" s="6"/>
      <c r="O26" s="6">
        <v>15</v>
      </c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>
        <v>15</v>
      </c>
      <c r="BB26" s="2">
        <v>15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60</v>
      </c>
      <c r="BQ26" s="1">
        <v>0</v>
      </c>
      <c r="BR26" s="17">
        <v>0</v>
      </c>
      <c r="BS26" s="17"/>
      <c r="BT26" s="1" t="str">
        <f>IF(AQ26&gt;AQ$165, AQ26-AQ$165,"")</f>
        <v/>
      </c>
      <c r="BU26" s="1" t="str">
        <f>IF(AR26&gt;AR$165, AR26-AR$165,"")</f>
        <v/>
      </c>
      <c r="BV26" s="1" t="str">
        <f>IF(AS26&gt;AS$165, AS26-AS$165,"")</f>
        <v/>
      </c>
      <c r="BW26" s="1" t="str">
        <f>IF(AT26&gt;AT$165, AT26-AT$165,"")</f>
        <v/>
      </c>
      <c r="BX26" s="1" t="str">
        <f>IF(AU26&gt;AU$165, AU26-AU$165,"")</f>
        <v/>
      </c>
      <c r="BY26" s="1" t="str">
        <f>IF(AV26&gt;AV$165, AV26-AV$165,"")</f>
        <v/>
      </c>
      <c r="BZ26" s="1" t="str">
        <f>IF(AW26&gt;AW$165, AW26-AW$165,"")</f>
        <v/>
      </c>
      <c r="CA26" s="1" t="str">
        <f>IF(AX26&gt;AX$165, AX26-AX$165,"")</f>
        <v/>
      </c>
      <c r="CB26" s="1" t="str">
        <f>IF(AY26&gt;AY$165, AY26-AY$165,"")</f>
        <v/>
      </c>
      <c r="CC26" s="1" t="str">
        <f>IF(AZ26&gt;AZ$165, AZ26-AZ$165,"")</f>
        <v/>
      </c>
      <c r="CD26" s="1" t="str">
        <f>IF(BA26&gt;BA$165, BA26-BA$165,"")</f>
        <v/>
      </c>
      <c r="CE26" s="1" t="str">
        <f>IF(BB26&gt;BB$165, BB26-BB$165,"")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18">
        <f>SUM(AE26:BO26)</f>
        <v>30</v>
      </c>
    </row>
    <row r="27" spans="1:97" s="25" customFormat="1" x14ac:dyDescent="0.15">
      <c r="A27" s="1"/>
      <c r="B27" s="1" t="s">
        <v>137</v>
      </c>
      <c r="C27" s="1" t="s">
        <v>138</v>
      </c>
      <c r="D27" s="1" t="s">
        <v>139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>
        <v>10</v>
      </c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141</v>
      </c>
      <c r="C28" s="1" t="s">
        <v>142</v>
      </c>
      <c r="D28" s="1" t="s">
        <v>140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>
        <v>20</v>
      </c>
      <c r="BE28" s="1">
        <v>20</v>
      </c>
      <c r="BF28" s="1">
        <v>20</v>
      </c>
      <c r="BG28" s="1">
        <v>20</v>
      </c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152</v>
      </c>
      <c r="C29" s="1" t="s">
        <v>153</v>
      </c>
      <c r="D29" s="1" t="s">
        <v>140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>
        <v>20</v>
      </c>
      <c r="BG29" s="1">
        <v>20</v>
      </c>
      <c r="BH29" s="1">
        <v>20</v>
      </c>
      <c r="BI29" s="1">
        <v>20</v>
      </c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155</v>
      </c>
      <c r="C30" s="1" t="s">
        <v>153</v>
      </c>
      <c r="D30" s="1" t="s">
        <v>139</v>
      </c>
      <c r="E30" s="6"/>
      <c r="F30" s="6"/>
      <c r="G30" s="6"/>
      <c r="H30" s="6"/>
      <c r="I30" s="6"/>
      <c r="J30" s="6"/>
      <c r="K30" s="6"/>
      <c r="L30" s="6"/>
      <c r="M30" s="6"/>
      <c r="N30" s="6">
        <v>5</v>
      </c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155</v>
      </c>
      <c r="C31" s="1" t="s">
        <v>153</v>
      </c>
      <c r="D31" s="1" t="s">
        <v>140</v>
      </c>
      <c r="E31" s="6">
        <v>10</v>
      </c>
      <c r="F31" s="6"/>
      <c r="G31" s="6">
        <v>10</v>
      </c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158</v>
      </c>
      <c r="C32" s="1" t="s">
        <v>138</v>
      </c>
      <c r="D32" s="1" t="s">
        <v>140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>
        <v>20</v>
      </c>
      <c r="BE32" s="1">
        <v>20</v>
      </c>
      <c r="BF32" s="1">
        <v>20</v>
      </c>
      <c r="BG32" s="1">
        <v>20</v>
      </c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160</v>
      </c>
      <c r="C33" s="1" t="s">
        <v>138</v>
      </c>
      <c r="D33" s="1" t="s">
        <v>139</v>
      </c>
      <c r="E33" s="6"/>
      <c r="F33" s="6"/>
      <c r="G33" s="6"/>
      <c r="H33" s="6"/>
      <c r="I33" s="6"/>
      <c r="J33" s="6"/>
      <c r="K33" s="6">
        <v>5</v>
      </c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161</v>
      </c>
      <c r="C34" s="1" t="s">
        <v>163</v>
      </c>
      <c r="D34" s="1" t="s">
        <v>139</v>
      </c>
      <c r="E34" s="6"/>
      <c r="F34" s="6"/>
      <c r="G34" s="6">
        <v>2</v>
      </c>
      <c r="H34" s="6"/>
      <c r="I34" s="6"/>
      <c r="J34" s="6"/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162</v>
      </c>
      <c r="C35" s="1" t="s">
        <v>163</v>
      </c>
      <c r="D35" s="1" t="s">
        <v>139</v>
      </c>
      <c r="E35" s="6"/>
      <c r="F35" s="6"/>
      <c r="G35" s="6">
        <v>5</v>
      </c>
      <c r="H35" s="6"/>
      <c r="I35" s="6"/>
      <c r="J35" s="6"/>
      <c r="K35" s="6"/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162</v>
      </c>
      <c r="C36" s="1" t="s">
        <v>163</v>
      </c>
      <c r="D36" s="1" t="s">
        <v>140</v>
      </c>
      <c r="E36" s="6"/>
      <c r="F36" s="6"/>
      <c r="G36" s="6">
        <v>6</v>
      </c>
      <c r="H36" s="6">
        <v>6</v>
      </c>
      <c r="I36" s="6"/>
      <c r="J36" s="6"/>
      <c r="K36" s="6"/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>
        <v>10</v>
      </c>
      <c r="AW36" s="2">
        <v>10</v>
      </c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164</v>
      </c>
      <c r="C37" s="1" t="s">
        <v>163</v>
      </c>
      <c r="D37" s="1" t="s">
        <v>139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168</v>
      </c>
      <c r="C38" s="1" t="s">
        <v>166</v>
      </c>
      <c r="D38" s="1" t="s">
        <v>139</v>
      </c>
      <c r="E38" s="6"/>
      <c r="F38" s="6"/>
      <c r="G38" s="6"/>
      <c r="H38" s="6">
        <v>5</v>
      </c>
      <c r="I38" s="6"/>
      <c r="J38" s="6"/>
      <c r="K38" s="6"/>
      <c r="L38" s="6"/>
      <c r="M38" s="6">
        <v>5</v>
      </c>
      <c r="N38" s="6"/>
      <c r="O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168</v>
      </c>
      <c r="C39" s="1" t="s">
        <v>166</v>
      </c>
      <c r="D39" s="1" t="s">
        <v>140</v>
      </c>
      <c r="E39" s="6"/>
      <c r="F39" s="6"/>
      <c r="G39" s="6"/>
      <c r="H39" s="6">
        <v>6</v>
      </c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>
        <v>10</v>
      </c>
      <c r="AU39" s="4"/>
      <c r="AV39" s="4"/>
      <c r="AW39" s="2"/>
      <c r="AX39" s="2"/>
      <c r="AY39" s="2"/>
      <c r="AZ39" s="2">
        <v>6</v>
      </c>
      <c r="BA39" s="2">
        <v>6</v>
      </c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v>0</v>
      </c>
      <c r="BR39" s="17">
        <v>0</v>
      </c>
      <c r="BS39" s="17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s="25" customFormat="1" x14ac:dyDescent="0.15">
      <c r="A40" s="1"/>
      <c r="B40" s="1" t="s">
        <v>169</v>
      </c>
      <c r="C40" s="1" t="s">
        <v>166</v>
      </c>
      <c r="D40" s="1" t="s">
        <v>139</v>
      </c>
      <c r="E40" s="6"/>
      <c r="F40" s="6"/>
      <c r="G40" s="6"/>
      <c r="H40" s="6"/>
      <c r="I40" s="6"/>
      <c r="J40" s="6">
        <v>5</v>
      </c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v>0</v>
      </c>
      <c r="BR40" s="17">
        <v>0</v>
      </c>
      <c r="BS40" s="17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x14ac:dyDescent="0.15">
      <c r="A41" s="1"/>
      <c r="B41" s="1" t="s">
        <v>171</v>
      </c>
      <c r="C41" s="1" t="s">
        <v>166</v>
      </c>
      <c r="D41" s="1" t="s">
        <v>139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>
        <v>5</v>
      </c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v>0</v>
      </c>
      <c r="BR41" s="17">
        <v>0</v>
      </c>
      <c r="BS41" s="17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x14ac:dyDescent="0.15">
      <c r="A42" s="1"/>
      <c r="B42" s="1" t="s">
        <v>172</v>
      </c>
      <c r="C42" s="1" t="s">
        <v>166</v>
      </c>
      <c r="D42" s="1" t="s">
        <v>139</v>
      </c>
      <c r="E42" s="6"/>
      <c r="F42" s="6"/>
      <c r="G42" s="6"/>
      <c r="H42" s="6"/>
      <c r="I42" s="6"/>
      <c r="J42" s="6"/>
      <c r="K42" s="6">
        <v>5</v>
      </c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v>0</v>
      </c>
      <c r="BR42" s="17">
        <v>0</v>
      </c>
      <c r="BS42" s="17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x14ac:dyDescent="0.15">
      <c r="A43" s="1"/>
      <c r="B43" s="1" t="s">
        <v>173</v>
      </c>
      <c r="C43" s="1" t="s">
        <v>166</v>
      </c>
      <c r="D43" s="1" t="s">
        <v>139</v>
      </c>
      <c r="E43" s="6"/>
      <c r="F43" s="6"/>
      <c r="G43" s="6"/>
      <c r="H43" s="6">
        <v>5</v>
      </c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v>0</v>
      </c>
      <c r="BR43" s="17">
        <v>0</v>
      </c>
      <c r="BS43" s="17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x14ac:dyDescent="0.15">
      <c r="A44" s="1"/>
      <c r="B44" s="1" t="s">
        <v>173</v>
      </c>
      <c r="C44" s="1" t="s">
        <v>166</v>
      </c>
      <c r="D44" s="1" t="s">
        <v>140</v>
      </c>
      <c r="E44" s="6"/>
      <c r="F44" s="6"/>
      <c r="G44" s="6"/>
      <c r="H44" s="6">
        <v>6</v>
      </c>
      <c r="I44" s="6"/>
      <c r="J44" s="6">
        <v>6</v>
      </c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>
        <v>8</v>
      </c>
      <c r="AU44" s="4"/>
      <c r="AV44" s="4"/>
      <c r="AW44" s="2"/>
      <c r="AX44" s="2"/>
      <c r="AY44" s="2">
        <v>8</v>
      </c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v>0</v>
      </c>
      <c r="BR44" s="17">
        <v>0</v>
      </c>
      <c r="BS44" s="17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8"/>
    </row>
    <row r="45" spans="1:97" x14ac:dyDescent="0.15">
      <c r="A45" s="1"/>
      <c r="B45" s="1" t="s">
        <v>174</v>
      </c>
      <c r="C45" s="1" t="s">
        <v>166</v>
      </c>
      <c r="D45" s="1" t="s">
        <v>139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>
        <v>10</v>
      </c>
      <c r="BB45" s="2">
        <v>10</v>
      </c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v>0</v>
      </c>
      <c r="BR45" s="17">
        <v>0</v>
      </c>
      <c r="BS45" s="17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x14ac:dyDescent="0.15">
      <c r="A46" s="1"/>
      <c r="B46" s="1" t="s">
        <v>177</v>
      </c>
      <c r="C46" s="1" t="s">
        <v>176</v>
      </c>
      <c r="D46" s="1" t="s">
        <v>139</v>
      </c>
      <c r="E46" s="6"/>
      <c r="F46" s="6"/>
      <c r="G46" s="6">
        <v>5</v>
      </c>
      <c r="H46" s="6"/>
      <c r="I46" s="6"/>
      <c r="J46" s="6"/>
      <c r="K46" s="6"/>
      <c r="L46" s="6"/>
      <c r="M46" s="6"/>
      <c r="N46" s="6"/>
      <c r="O46" s="6">
        <v>5</v>
      </c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v>0</v>
      </c>
      <c r="BR46" s="17">
        <v>0</v>
      </c>
      <c r="BS46" s="17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8"/>
    </row>
    <row r="47" spans="1:97" s="25" customFormat="1" x14ac:dyDescent="0.15">
      <c r="A47" s="1"/>
      <c r="B47" s="1" t="s">
        <v>177</v>
      </c>
      <c r="C47" s="1" t="s">
        <v>176</v>
      </c>
      <c r="D47" s="1" t="s">
        <v>140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>
        <v>6</v>
      </c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>
        <v>10</v>
      </c>
      <c r="AV47" s="4"/>
      <c r="AW47" s="2"/>
      <c r="AX47" s="2"/>
      <c r="AY47" s="2"/>
      <c r="AZ47" s="2">
        <v>6</v>
      </c>
      <c r="BA47" s="2">
        <v>6</v>
      </c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v>0</v>
      </c>
      <c r="BR47" s="17">
        <v>0</v>
      </c>
      <c r="BS47" s="17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x14ac:dyDescent="0.15">
      <c r="A48" s="1"/>
      <c r="B48" s="1" t="s">
        <v>213</v>
      </c>
      <c r="C48" s="1" t="s">
        <v>212</v>
      </c>
      <c r="D48" s="1" t="s">
        <v>183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>
        <v>10</v>
      </c>
      <c r="BB48" s="2">
        <v>10</v>
      </c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0</v>
      </c>
      <c r="BR48" s="17">
        <v>0</v>
      </c>
      <c r="BS48" s="17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214</v>
      </c>
      <c r="C49" s="1" t="s">
        <v>215</v>
      </c>
      <c r="D49" s="1" t="s">
        <v>183</v>
      </c>
      <c r="E49" s="6"/>
      <c r="F49" s="6"/>
      <c r="G49" s="6"/>
      <c r="H49" s="6"/>
      <c r="I49" s="6"/>
      <c r="J49" s="6">
        <v>5</v>
      </c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0</v>
      </c>
      <c r="BR49" s="17">
        <v>0</v>
      </c>
      <c r="BS49" s="17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/>
      <c r="B50" s="1" t="s">
        <v>214</v>
      </c>
      <c r="C50" s="1" t="s">
        <v>215</v>
      </c>
      <c r="D50" s="1" t="s">
        <v>184</v>
      </c>
      <c r="E50" s="6">
        <v>10</v>
      </c>
      <c r="F50" s="6"/>
      <c r="G50" s="6">
        <v>10</v>
      </c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>
        <v>10</v>
      </c>
      <c r="AS50" s="4"/>
      <c r="AT50" s="4"/>
      <c r="AU50" s="4"/>
      <c r="AV50" s="4"/>
      <c r="AW50" s="2"/>
      <c r="AX50" s="2"/>
      <c r="AY50" s="2"/>
      <c r="AZ50" s="2"/>
      <c r="BA50" s="2"/>
      <c r="BB50" s="2">
        <v>10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v>0</v>
      </c>
      <c r="BR50" s="17">
        <v>0</v>
      </c>
      <c r="BS50" s="17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x14ac:dyDescent="0.15">
      <c r="A51" s="1"/>
      <c r="B51" s="1" t="s">
        <v>216</v>
      </c>
      <c r="C51" s="1" t="s">
        <v>217</v>
      </c>
      <c r="D51" s="1" t="s">
        <v>184</v>
      </c>
      <c r="E51" s="6"/>
      <c r="F51" s="6"/>
      <c r="G51" s="6"/>
      <c r="H51" s="6"/>
      <c r="I51" s="6"/>
      <c r="J51" s="6"/>
      <c r="K51" s="6"/>
      <c r="L51" s="6">
        <v>6</v>
      </c>
      <c r="M51" s="6"/>
      <c r="N51" s="6"/>
      <c r="O51" s="6">
        <v>6</v>
      </c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>
        <v>10</v>
      </c>
      <c r="BB51" s="2">
        <v>10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v>0</v>
      </c>
      <c r="BR51" s="17">
        <v>0</v>
      </c>
      <c r="BS51" s="17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8"/>
    </row>
    <row r="52" spans="1:97" x14ac:dyDescent="0.15">
      <c r="A52" s="1"/>
      <c r="B52" s="1" t="s">
        <v>223</v>
      </c>
      <c r="C52" s="1" t="s">
        <v>217</v>
      </c>
      <c r="D52" s="1" t="s">
        <v>183</v>
      </c>
      <c r="E52" s="6"/>
      <c r="F52" s="6"/>
      <c r="G52" s="6"/>
      <c r="H52" s="6"/>
      <c r="I52" s="6"/>
      <c r="J52" s="6"/>
      <c r="K52" s="6">
        <v>5</v>
      </c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v>0</v>
      </c>
      <c r="BR52" s="17">
        <v>0</v>
      </c>
      <c r="BS52" s="17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x14ac:dyDescent="0.15">
      <c r="A53" s="1"/>
      <c r="B53" s="1" t="s">
        <v>137</v>
      </c>
      <c r="C53" s="1" t="s">
        <v>138</v>
      </c>
      <c r="D53" s="1" t="s">
        <v>140</v>
      </c>
      <c r="E53" s="6">
        <v>10</v>
      </c>
      <c r="F53" s="6"/>
      <c r="G53" s="6">
        <v>10</v>
      </c>
      <c r="H53" s="6"/>
      <c r="I53" s="6"/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>
        <v>15</v>
      </c>
      <c r="AU53" s="4"/>
      <c r="AV53" s="4"/>
      <c r="AW53" s="2"/>
      <c r="AX53" s="2"/>
      <c r="AY53" s="2"/>
      <c r="AZ53" s="2">
        <v>15</v>
      </c>
      <c r="BA53" s="2">
        <v>15</v>
      </c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0</v>
      </c>
      <c r="BR53" s="17">
        <v>0</v>
      </c>
      <c r="BS53" s="17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x14ac:dyDescent="0.15">
      <c r="A54" s="1">
        <v>41</v>
      </c>
      <c r="B54" s="1" t="s">
        <v>57</v>
      </c>
      <c r="C54" s="1" t="s">
        <v>49</v>
      </c>
      <c r="D54" s="1" t="s">
        <v>13</v>
      </c>
      <c r="E54" s="6"/>
      <c r="F54" s="6"/>
      <c r="G54" s="6"/>
      <c r="H54" s="6"/>
      <c r="I54" s="6"/>
      <c r="J54" s="6"/>
      <c r="K54" s="6"/>
      <c r="L54" s="6">
        <v>6</v>
      </c>
      <c r="M54" s="6"/>
      <c r="N54" s="6"/>
      <c r="O54" s="6">
        <v>6</v>
      </c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>
        <v>10</v>
      </c>
      <c r="AR54" s="4"/>
      <c r="AS54" s="4"/>
      <c r="AT54" s="4"/>
      <c r="AU54" s="4"/>
      <c r="AV54" s="4"/>
      <c r="AW54" s="2"/>
      <c r="AX54" s="2">
        <v>10</v>
      </c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0</v>
      </c>
      <c r="BR54" s="17">
        <v>0</v>
      </c>
      <c r="BS54" s="17"/>
      <c r="BT54" s="1" t="str">
        <f>IF(AQ54&gt;AQ$165, AQ54-AQ$165,"")</f>
        <v/>
      </c>
      <c r="BU54" s="1" t="str">
        <f>IF(AR54&gt;AR$165, AR54-AR$165,"")</f>
        <v/>
      </c>
      <c r="BV54" s="1" t="str">
        <f>IF(AS54&gt;AS$165, AS54-AS$165,"")</f>
        <v/>
      </c>
      <c r="BW54" s="1" t="str">
        <f>IF(AT54&gt;AT$165, AT54-AT$165,"")</f>
        <v/>
      </c>
      <c r="BX54" s="1" t="str">
        <f>IF(AU54&gt;AU$165, AU54-AU$165,"")</f>
        <v/>
      </c>
      <c r="BY54" s="1" t="str">
        <f>IF(AV54&gt;AV$165, AV54-AV$165,"")</f>
        <v/>
      </c>
      <c r="BZ54" s="1" t="str">
        <f>IF(AW54&gt;AW$165, AW54-AW$165,"")</f>
        <v/>
      </c>
      <c r="CA54" s="1" t="str">
        <f>IF(AX54&gt;AX$165, AX54-AX$165,"")</f>
        <v/>
      </c>
      <c r="CB54" s="1" t="str">
        <f>IF(AY54&gt;AY$165, AY54-AY$165,"")</f>
        <v/>
      </c>
      <c r="CC54" s="1" t="str">
        <f>IF(AZ54&gt;AZ$165, AZ54-AZ$165,"")</f>
        <v/>
      </c>
      <c r="CD54" s="1" t="str">
        <f>IF(BA54&gt;BA$165, BA54-BA$165,"")</f>
        <v/>
      </c>
      <c r="CE54" s="1" t="str">
        <f>IF(BB54&gt;BB$165, BB54-BB$165,"")</f>
        <v/>
      </c>
      <c r="CF54" s="1">
        <f>COUNTIF(BT54:CE54, "&gt;0")</f>
        <v>0</v>
      </c>
      <c r="CG54" s="1" t="str">
        <f>IF($CF54=1,BT54,"")</f>
        <v/>
      </c>
      <c r="CH54" s="1" t="str">
        <f>IF($CF54=1,BU54,"")</f>
        <v/>
      </c>
      <c r="CI54" s="1" t="str">
        <f>IF($CF54=1,BV54,"")</f>
        <v/>
      </c>
      <c r="CJ54" s="1" t="str">
        <f>IF($CF54=1,BW54,"")</f>
        <v/>
      </c>
      <c r="CK54" s="1" t="str">
        <f>IF($CF54=1,BX54,"")</f>
        <v/>
      </c>
      <c r="CL54" s="1" t="str">
        <f>IF($CF54=1,BY54,"")</f>
        <v/>
      </c>
      <c r="CM54" s="1" t="str">
        <f>IF($CF54=1,BZ54,"")</f>
        <v/>
      </c>
      <c r="CN54" s="1" t="str">
        <f>IF($CF54=1,CA54,"")</f>
        <v/>
      </c>
      <c r="CO54" s="1" t="str">
        <f>IF($CF54=1,CB54,"")</f>
        <v/>
      </c>
      <c r="CP54" s="1" t="str">
        <f>IF($CF54=1,CC54,"")</f>
        <v/>
      </c>
      <c r="CQ54" s="1" t="str">
        <f>IF($CF54=1,CD54,"")</f>
        <v/>
      </c>
      <c r="CR54" s="1" t="str">
        <f>IF($CF54=1,CE54,"")</f>
        <v/>
      </c>
      <c r="CS54" s="18">
        <f>SUM(AE54:BO54)</f>
        <v>20</v>
      </c>
    </row>
    <row r="55" spans="1:97" x14ac:dyDescent="0.15">
      <c r="A55" s="1">
        <v>45</v>
      </c>
      <c r="B55" s="1" t="s">
        <v>120</v>
      </c>
      <c r="C55" s="1" t="s">
        <v>49</v>
      </c>
      <c r="D55" s="1" t="s">
        <v>13</v>
      </c>
      <c r="E55" s="6">
        <v>6</v>
      </c>
      <c r="F55" s="6"/>
      <c r="G55" s="6"/>
      <c r="H55" s="6"/>
      <c r="I55" s="6"/>
      <c r="J55" s="6"/>
      <c r="K55" s="6"/>
      <c r="L55" s="6"/>
      <c r="M55" s="6">
        <v>6</v>
      </c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>
        <v>10</v>
      </c>
      <c r="AR55" s="4"/>
      <c r="AS55" s="4"/>
      <c r="AT55" s="4"/>
      <c r="AU55" s="4"/>
      <c r="AV55" s="4"/>
      <c r="AW55" s="2"/>
      <c r="AX55" s="2"/>
      <c r="AY55" s="2"/>
      <c r="AZ55" s="2">
        <v>10</v>
      </c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0</v>
      </c>
      <c r="BR55" s="17">
        <v>0</v>
      </c>
      <c r="BS55" s="17"/>
      <c r="BT55" s="1" t="str">
        <f>IF(AQ55&gt;AQ$165, AQ55-AQ$165,"")</f>
        <v/>
      </c>
      <c r="BU55" s="1" t="str">
        <f>IF(AR55&gt;AR$165, AR55-AR$165,"")</f>
        <v/>
      </c>
      <c r="BV55" s="1" t="str">
        <f>IF(AS55&gt;AS$165, AS55-AS$165,"")</f>
        <v/>
      </c>
      <c r="BW55" s="1" t="str">
        <f>IF(AT55&gt;AT$165, AT55-AT$165,"")</f>
        <v/>
      </c>
      <c r="BX55" s="1" t="str">
        <f>IF(AU55&gt;AU$165, AU55-AU$165,"")</f>
        <v/>
      </c>
      <c r="BY55" s="1" t="str">
        <f>IF(AV55&gt;AV$165, AV55-AV$165,"")</f>
        <v/>
      </c>
      <c r="BZ55" s="1" t="str">
        <f>IF(AW55&gt;AW$165, AW55-AW$165,"")</f>
        <v/>
      </c>
      <c r="CA55" s="1" t="str">
        <f>IF(AX55&gt;AX$165, AX55-AX$165,"")</f>
        <v/>
      </c>
      <c r="CB55" s="1" t="str">
        <f>IF(AY55&gt;AY$165, AY55-AY$165,"")</f>
        <v/>
      </c>
      <c r="CC55" s="1" t="str">
        <f>IF(AZ55&gt;AZ$165, AZ55-AZ$165,"")</f>
        <v/>
      </c>
      <c r="CD55" s="1" t="str">
        <f>IF(BA55&gt;BA$165, BA55-BA$165,"")</f>
        <v/>
      </c>
      <c r="CE55" s="1" t="str">
        <f>IF(BB55&gt;BB$165, BB55-BB$165,"")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18">
        <f>SUM(AE55:BO55)</f>
        <v>20</v>
      </c>
    </row>
    <row r="56" spans="1:97" s="25" customFormat="1" x14ac:dyDescent="0.15">
      <c r="A56" s="1"/>
      <c r="B56" s="1" t="s">
        <v>159</v>
      </c>
      <c r="C56" s="1" t="s">
        <v>138</v>
      </c>
      <c r="D56" s="1" t="s">
        <v>139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>
        <v>10</v>
      </c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v>0</v>
      </c>
      <c r="BR56" s="17">
        <v>0</v>
      </c>
      <c r="BS56" s="17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x14ac:dyDescent="0.15">
      <c r="A57" s="1"/>
      <c r="B57" s="1" t="s">
        <v>160</v>
      </c>
      <c r="C57" s="1" t="s">
        <v>138</v>
      </c>
      <c r="D57" s="1" t="s">
        <v>140</v>
      </c>
      <c r="E57" s="6"/>
      <c r="F57" s="6"/>
      <c r="G57" s="6"/>
      <c r="H57" s="6">
        <v>6</v>
      </c>
      <c r="I57" s="6"/>
      <c r="J57" s="6"/>
      <c r="K57" s="6">
        <v>6</v>
      </c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>
        <v>10</v>
      </c>
      <c r="AR57" s="4"/>
      <c r="AS57" s="4"/>
      <c r="AT57" s="4"/>
      <c r="AU57" s="4"/>
      <c r="AV57" s="4"/>
      <c r="AW57" s="2">
        <v>10</v>
      </c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v>0</v>
      </c>
      <c r="BR57" s="17">
        <v>0</v>
      </c>
      <c r="BS57" s="17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x14ac:dyDescent="0.15">
      <c r="A58" s="1"/>
      <c r="B58" s="1" t="s">
        <v>209</v>
      </c>
      <c r="C58" s="1" t="s">
        <v>205</v>
      </c>
      <c r="D58" s="1" t="s">
        <v>184</v>
      </c>
      <c r="E58" s="6">
        <v>6</v>
      </c>
      <c r="F58" s="6"/>
      <c r="G58" s="6"/>
      <c r="H58" s="6"/>
      <c r="I58" s="6"/>
      <c r="J58" s="6"/>
      <c r="K58" s="6"/>
      <c r="L58" s="6"/>
      <c r="M58" s="6"/>
      <c r="N58" s="6"/>
      <c r="O58" s="6">
        <v>6</v>
      </c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>
        <v>10</v>
      </c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>
        <v>10</v>
      </c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v>0</v>
      </c>
      <c r="BR58" s="17">
        <v>0</v>
      </c>
      <c r="BS58" s="17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x14ac:dyDescent="0.15">
      <c r="A59" s="1">
        <v>34</v>
      </c>
      <c r="B59" s="1" t="s">
        <v>48</v>
      </c>
      <c r="C59" s="1" t="s">
        <v>49</v>
      </c>
      <c r="D59" s="1" t="s">
        <v>25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>
        <v>15</v>
      </c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>
        <v>15</v>
      </c>
      <c r="BC59" s="14"/>
      <c r="BD59" s="1"/>
      <c r="BE59" s="1"/>
      <c r="BF59" s="1"/>
      <c r="BG59" s="1"/>
      <c r="BH59" s="1">
        <v>15</v>
      </c>
      <c r="BI59" s="1">
        <v>15</v>
      </c>
      <c r="BJ59" s="1"/>
      <c r="BK59" s="1"/>
      <c r="BL59" s="1"/>
      <c r="BM59" s="1"/>
      <c r="BN59" s="1"/>
      <c r="BO59" s="1"/>
      <c r="BP59" s="1">
        <f>SUM(E59:BO59)</f>
        <v>60</v>
      </c>
      <c r="BQ59" s="1">
        <v>0</v>
      </c>
      <c r="BR59" s="17">
        <v>0</v>
      </c>
      <c r="BS59" s="17"/>
      <c r="BT59" s="1" t="str">
        <f>IF(AQ59&gt;AQ$165, AQ59-AQ$165,"")</f>
        <v/>
      </c>
      <c r="BU59" s="1" t="str">
        <f>IF(AR59&gt;AR$165, AR59-AR$165,"")</f>
        <v/>
      </c>
      <c r="BV59" s="1" t="str">
        <f>IF(AS59&gt;AS$165, AS59-AS$165,"")</f>
        <v/>
      </c>
      <c r="BW59" s="1" t="str">
        <f>IF(AT59&gt;AT$165, AT59-AT$165,"")</f>
        <v/>
      </c>
      <c r="BX59" s="1" t="str">
        <f>IF(AU59&gt;AU$165, AU59-AU$165,"")</f>
        <v/>
      </c>
      <c r="BY59" s="1" t="str">
        <f>IF(AV59&gt;AV$165, AV59-AV$165,"")</f>
        <v/>
      </c>
      <c r="BZ59" s="1" t="str">
        <f>IF(AW59&gt;AW$165, AW59-AW$165,"")</f>
        <v/>
      </c>
      <c r="CA59" s="1" t="str">
        <f>IF(AX59&gt;AX$165, AX59-AX$165,"")</f>
        <v/>
      </c>
      <c r="CB59" s="1" t="str">
        <f>IF(AY59&gt;AY$165, AY59-AY$165,"")</f>
        <v/>
      </c>
      <c r="CC59" s="1" t="str">
        <f>IF(AZ59&gt;AZ$165, AZ59-AZ$165,"")</f>
        <v/>
      </c>
      <c r="CD59" s="1" t="str">
        <f>IF(BA59&gt;BA$165, BA59-BA$165,"")</f>
        <v/>
      </c>
      <c r="CE59" s="1" t="str">
        <f>IF(BB59&gt;BB$165, BB59-BB$165,"")</f>
        <v/>
      </c>
      <c r="CF59" s="1">
        <f>COUNTIF(BT59:CE59, "&gt;0")</f>
        <v>0</v>
      </c>
      <c r="CG59" s="1" t="str">
        <f>IF($CF59=1,BT59,"")</f>
        <v/>
      </c>
      <c r="CH59" s="1" t="str">
        <f>IF($CF59=1,BU59,"")</f>
        <v/>
      </c>
      <c r="CI59" s="1" t="str">
        <f>IF($CF59=1,BV59,"")</f>
        <v/>
      </c>
      <c r="CJ59" s="1" t="str">
        <f>IF($CF59=1,BW59,"")</f>
        <v/>
      </c>
      <c r="CK59" s="1" t="str">
        <f>IF($CF59=1,BX59,"")</f>
        <v/>
      </c>
      <c r="CL59" s="1" t="str">
        <f>IF($CF59=1,BY59,"")</f>
        <v/>
      </c>
      <c r="CM59" s="1" t="str">
        <f>IF($CF59=1,BZ59,"")</f>
        <v/>
      </c>
      <c r="CN59" s="1" t="str">
        <f>IF($CF59=1,CA59,"")</f>
        <v/>
      </c>
      <c r="CO59" s="1" t="str">
        <f>IF($CF59=1,CB59,"")</f>
        <v/>
      </c>
      <c r="CP59" s="1" t="str">
        <f>IF($CF59=1,CC59,"")</f>
        <v/>
      </c>
      <c r="CQ59" s="1" t="str">
        <f>IF($CF59=1,CD59,"")</f>
        <v/>
      </c>
      <c r="CR59" s="1" t="str">
        <f>IF($CF59=1,CE59,"")</f>
        <v/>
      </c>
      <c r="CS59" s="18">
        <f>SUM(AE59:BO59)</f>
        <v>60</v>
      </c>
    </row>
    <row r="60" spans="1:97" x14ac:dyDescent="0.15">
      <c r="A60" s="1"/>
      <c r="B60" s="1" t="s">
        <v>158</v>
      </c>
      <c r="C60" s="1" t="s">
        <v>138</v>
      </c>
      <c r="D60" s="1" t="s">
        <v>139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15</v>
      </c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>
        <v>15</v>
      </c>
      <c r="BC60" s="14"/>
      <c r="BD60" s="1"/>
      <c r="BE60" s="1"/>
      <c r="BF60" s="1"/>
      <c r="BG60" s="1"/>
      <c r="BH60" s="1">
        <v>15</v>
      </c>
      <c r="BI60" s="1">
        <v>15</v>
      </c>
      <c r="BJ60" s="1"/>
      <c r="BK60" s="1"/>
      <c r="BL60" s="1"/>
      <c r="BM60" s="1"/>
      <c r="BN60" s="1"/>
      <c r="BO60" s="1"/>
      <c r="BP60" s="1"/>
      <c r="BQ60" s="1">
        <v>0</v>
      </c>
      <c r="BR60" s="17">
        <v>0</v>
      </c>
      <c r="BS60" s="17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8"/>
    </row>
    <row r="61" spans="1:97" x14ac:dyDescent="0.15">
      <c r="A61" s="1"/>
      <c r="B61" s="1" t="s">
        <v>180</v>
      </c>
      <c r="C61" s="1" t="s">
        <v>181</v>
      </c>
      <c r="D61" s="1" t="s">
        <v>182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2">
        <v>10</v>
      </c>
      <c r="Q61" s="32"/>
      <c r="R61" s="32"/>
      <c r="S61" s="32">
        <v>10</v>
      </c>
      <c r="T61" s="32"/>
      <c r="U61" s="32"/>
      <c r="V61" s="32">
        <v>10</v>
      </c>
      <c r="W61" s="32"/>
      <c r="X61" s="32"/>
      <c r="Y61" s="32">
        <v>10</v>
      </c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v>0</v>
      </c>
      <c r="BR61" s="17">
        <v>0</v>
      </c>
      <c r="BS61" s="17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8"/>
    </row>
    <row r="62" spans="1:97" x14ac:dyDescent="0.15">
      <c r="A62" s="1"/>
      <c r="B62" s="1" t="s">
        <v>199</v>
      </c>
      <c r="C62" s="1" t="s">
        <v>200</v>
      </c>
      <c r="D62" s="1" t="s">
        <v>182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>
        <v>10</v>
      </c>
      <c r="Q62" s="32"/>
      <c r="R62" s="32"/>
      <c r="S62" s="32">
        <v>10</v>
      </c>
      <c r="T62" s="32"/>
      <c r="U62" s="32"/>
      <c r="V62" s="32">
        <v>10</v>
      </c>
      <c r="W62" s="32"/>
      <c r="X62" s="32"/>
      <c r="Y62" s="32">
        <v>10</v>
      </c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v>0</v>
      </c>
      <c r="BR62" s="17">
        <v>0</v>
      </c>
      <c r="BS62" s="17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8"/>
    </row>
    <row r="63" spans="1:97" x14ac:dyDescent="0.15">
      <c r="A63" s="1"/>
      <c r="B63" s="1" t="s">
        <v>207</v>
      </c>
      <c r="C63" s="1" t="s">
        <v>205</v>
      </c>
      <c r="D63" s="1" t="s">
        <v>182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2">
        <v>10</v>
      </c>
      <c r="Q63" s="32"/>
      <c r="R63" s="32"/>
      <c r="S63" s="32">
        <v>10</v>
      </c>
      <c r="T63" s="32"/>
      <c r="U63" s="32"/>
      <c r="V63" s="32">
        <v>10</v>
      </c>
      <c r="W63" s="32"/>
      <c r="X63" s="32"/>
      <c r="Y63" s="32">
        <v>10</v>
      </c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v>0</v>
      </c>
      <c r="BR63" s="17">
        <v>0</v>
      </c>
      <c r="BS63" s="17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8"/>
    </row>
    <row r="64" spans="1:97" x14ac:dyDescent="0.15">
      <c r="A64" s="1"/>
      <c r="B64" s="1" t="s">
        <v>210</v>
      </c>
      <c r="C64" s="1" t="s">
        <v>212</v>
      </c>
      <c r="D64" s="1" t="s">
        <v>182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32">
        <v>10</v>
      </c>
      <c r="Q64" s="32"/>
      <c r="R64" s="32"/>
      <c r="S64" s="32">
        <v>10</v>
      </c>
      <c r="T64" s="32"/>
      <c r="U64" s="32"/>
      <c r="V64" s="32">
        <v>10</v>
      </c>
      <c r="W64" s="32"/>
      <c r="X64" s="32"/>
      <c r="Y64" s="32">
        <v>10</v>
      </c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v>0</v>
      </c>
      <c r="BR64" s="17">
        <v>0</v>
      </c>
      <c r="BS64" s="17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8"/>
    </row>
    <row r="65" spans="1:97" x14ac:dyDescent="0.15">
      <c r="A65" s="1"/>
      <c r="B65" s="1" t="s">
        <v>219</v>
      </c>
      <c r="C65" s="1" t="s">
        <v>217</v>
      </c>
      <c r="D65" s="1" t="s">
        <v>182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32">
        <v>10</v>
      </c>
      <c r="Q65" s="32"/>
      <c r="R65" s="32"/>
      <c r="S65" s="32">
        <v>10</v>
      </c>
      <c r="T65" s="32"/>
      <c r="U65" s="32"/>
      <c r="V65" s="32">
        <v>10</v>
      </c>
      <c r="W65" s="32"/>
      <c r="X65" s="32"/>
      <c r="Y65" s="32">
        <v>10</v>
      </c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v>0</v>
      </c>
      <c r="BR65" s="17">
        <v>0</v>
      </c>
      <c r="BS65" s="17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8"/>
    </row>
    <row r="66" spans="1:97" x14ac:dyDescent="0.15">
      <c r="A66" s="1"/>
      <c r="B66" s="1" t="s">
        <v>222</v>
      </c>
      <c r="C66" s="1" t="s">
        <v>217</v>
      </c>
      <c r="D66" s="1" t="s">
        <v>182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>
        <v>10</v>
      </c>
      <c r="Q66" s="32"/>
      <c r="R66" s="32"/>
      <c r="S66" s="32">
        <v>10</v>
      </c>
      <c r="T66" s="32"/>
      <c r="U66" s="32"/>
      <c r="V66" s="32">
        <v>10</v>
      </c>
      <c r="W66" s="32"/>
      <c r="X66" s="32"/>
      <c r="Y66" s="32">
        <v>10</v>
      </c>
      <c r="Z66" s="32"/>
      <c r="AA66" s="32"/>
      <c r="AB66" s="32"/>
      <c r="AC66" s="32"/>
      <c r="AD66" s="32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v>0</v>
      </c>
      <c r="BR66" s="17">
        <v>0</v>
      </c>
      <c r="BS66" s="17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8"/>
    </row>
    <row r="67" spans="1:97" x14ac:dyDescent="0.15">
      <c r="A67" s="1"/>
      <c r="B67" s="1" t="s">
        <v>224</v>
      </c>
      <c r="C67" s="1" t="s">
        <v>217</v>
      </c>
      <c r="D67" s="1" t="s">
        <v>182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>
        <v>10</v>
      </c>
      <c r="Q67" s="32"/>
      <c r="R67" s="32"/>
      <c r="S67" s="32">
        <v>10</v>
      </c>
      <c r="T67" s="32"/>
      <c r="U67" s="32"/>
      <c r="V67" s="32">
        <v>10</v>
      </c>
      <c r="W67" s="32"/>
      <c r="X67" s="32"/>
      <c r="Y67" s="32">
        <v>10</v>
      </c>
      <c r="Z67" s="32"/>
      <c r="AA67" s="32"/>
      <c r="AB67" s="32"/>
      <c r="AC67" s="32"/>
      <c r="AD67" s="32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v>0</v>
      </c>
      <c r="BR67" s="17">
        <v>0</v>
      </c>
      <c r="BS67" s="17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8"/>
    </row>
    <row r="68" spans="1:97" x14ac:dyDescent="0.15">
      <c r="A68" s="1">
        <v>3</v>
      </c>
      <c r="B68" s="1" t="s">
        <v>11</v>
      </c>
      <c r="C68" s="1" t="s">
        <v>2</v>
      </c>
      <c r="D68" s="1" t="s">
        <v>12</v>
      </c>
      <c r="E68" s="6">
        <v>15</v>
      </c>
      <c r="F68" s="6"/>
      <c r="G68" s="6">
        <v>15</v>
      </c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>
        <v>15</v>
      </c>
      <c r="AS68" s="4"/>
      <c r="AT68" s="4"/>
      <c r="AU68" s="4"/>
      <c r="AV68" s="4"/>
      <c r="AW68" s="2"/>
      <c r="AX68" s="2"/>
      <c r="AY68" s="2"/>
      <c r="AZ68" s="2"/>
      <c r="BA68" s="2"/>
      <c r="BB68" s="2">
        <v>15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60</v>
      </c>
      <c r="BQ68" s="1">
        <v>1</v>
      </c>
      <c r="BR68" s="17">
        <v>1</v>
      </c>
      <c r="BS68" s="17" t="s">
        <v>233</v>
      </c>
      <c r="BT68" s="1" t="str">
        <f>IF(AQ68&gt;AQ$165, AQ68-AQ$165,"")</f>
        <v/>
      </c>
      <c r="BU68" s="1" t="str">
        <f>IF(AR68&gt;AR$165, AR68-AR$165,"")</f>
        <v/>
      </c>
      <c r="BV68" s="1" t="str">
        <f>IF(AS68&gt;AS$165, AS68-AS$165,"")</f>
        <v/>
      </c>
      <c r="BW68" s="1" t="str">
        <f>IF(AT68&gt;AT$165, AT68-AT$165,"")</f>
        <v/>
      </c>
      <c r="BX68" s="1" t="str">
        <f>IF(AU68&gt;AU$165, AU68-AU$165,"")</f>
        <v/>
      </c>
      <c r="BY68" s="1" t="str">
        <f>IF(AV68&gt;AV$165, AV68-AV$165,"")</f>
        <v/>
      </c>
      <c r="BZ68" s="1" t="str">
        <f>IF(AW68&gt;AW$165, AW68-AW$165,"")</f>
        <v/>
      </c>
      <c r="CA68" s="1" t="str">
        <f>IF(AX68&gt;AX$165, AX68-AX$165,"")</f>
        <v/>
      </c>
      <c r="CB68" s="1" t="str">
        <f>IF(AY68&gt;AY$165, AY68-AY$165,"")</f>
        <v/>
      </c>
      <c r="CC68" s="1" t="str">
        <f>IF(AZ68&gt;AZ$165, AZ68-AZ$165,"")</f>
        <v/>
      </c>
      <c r="CD68" s="1" t="str">
        <f>IF(BA68&gt;BA$165, BA68-BA$165,"")</f>
        <v/>
      </c>
      <c r="CE68" s="1" t="str">
        <f>IF(BB68&gt;BB$165, BB68-BB$165,"")</f>
        <v/>
      </c>
      <c r="CF68" s="1">
        <f>COUNTIF(BT68:CE68, "&gt;0")</f>
        <v>0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18">
        <f>SUM(AE68:BO68)</f>
        <v>30</v>
      </c>
    </row>
    <row r="69" spans="1:97" x14ac:dyDescent="0.15">
      <c r="A69" s="1"/>
      <c r="B69" s="1" t="s">
        <v>152</v>
      </c>
      <c r="C69" s="1" t="s">
        <v>153</v>
      </c>
      <c r="D69" s="1" t="s">
        <v>139</v>
      </c>
      <c r="E69" s="6">
        <v>15</v>
      </c>
      <c r="F69" s="6"/>
      <c r="G69" s="6">
        <v>15</v>
      </c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>
        <v>15</v>
      </c>
      <c r="AS69" s="4"/>
      <c r="AT69" s="4"/>
      <c r="AU69" s="4"/>
      <c r="AV69" s="4"/>
      <c r="AW69" s="2"/>
      <c r="AX69" s="2"/>
      <c r="AY69" s="2"/>
      <c r="AZ69" s="2"/>
      <c r="BA69" s="2"/>
      <c r="BB69" s="2">
        <v>15</v>
      </c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v>1</v>
      </c>
      <c r="BR69" s="17">
        <v>1</v>
      </c>
      <c r="BS69" s="17" t="s">
        <v>233</v>
      </c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x14ac:dyDescent="0.15">
      <c r="A70" s="1"/>
      <c r="B70" s="1" t="s">
        <v>154</v>
      </c>
      <c r="C70" s="1" t="s">
        <v>153</v>
      </c>
      <c r="D70" s="1" t="s">
        <v>139</v>
      </c>
      <c r="E70" s="6">
        <v>15</v>
      </c>
      <c r="F70" s="6"/>
      <c r="G70" s="6">
        <v>15</v>
      </c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>
        <v>15</v>
      </c>
      <c r="AS70" s="4"/>
      <c r="AT70" s="4"/>
      <c r="AU70" s="4"/>
      <c r="AV70" s="4"/>
      <c r="AW70" s="2"/>
      <c r="AX70" s="2"/>
      <c r="AY70" s="2"/>
      <c r="AZ70" s="2"/>
      <c r="BA70" s="2"/>
      <c r="BB70" s="2">
        <v>15</v>
      </c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v>1</v>
      </c>
      <c r="BR70" s="17">
        <v>1</v>
      </c>
      <c r="BS70" s="17" t="s">
        <v>233</v>
      </c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x14ac:dyDescent="0.15">
      <c r="A71" s="19">
        <v>37</v>
      </c>
      <c r="B71" s="19" t="s">
        <v>52</v>
      </c>
      <c r="C71" s="19" t="s">
        <v>49</v>
      </c>
      <c r="D71" s="19" t="s">
        <v>25</v>
      </c>
      <c r="E71" s="20"/>
      <c r="F71" s="20">
        <v>5</v>
      </c>
      <c r="G71" s="20"/>
      <c r="H71" s="20"/>
      <c r="I71" s="20"/>
      <c r="J71" s="20"/>
      <c r="K71" s="20"/>
      <c r="L71" s="20"/>
      <c r="M71" s="20"/>
      <c r="N71" s="20"/>
      <c r="O71" s="20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21"/>
      <c r="AR71" s="21"/>
      <c r="AS71" s="21"/>
      <c r="AT71" s="21"/>
      <c r="AU71" s="21"/>
      <c r="AV71" s="21"/>
      <c r="AW71" s="22"/>
      <c r="AX71" s="22"/>
      <c r="AY71" s="22"/>
      <c r="AZ71" s="22"/>
      <c r="BA71" s="22"/>
      <c r="BB71" s="22"/>
      <c r="BC71" s="30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>
        <f>SUM(E71:BO71)</f>
        <v>5</v>
      </c>
      <c r="BQ71" s="19">
        <v>2</v>
      </c>
      <c r="BR71" s="23">
        <v>1</v>
      </c>
      <c r="BS71" s="23" t="s">
        <v>230</v>
      </c>
      <c r="BT71" s="19" t="str">
        <f>IF(AQ71&gt;AQ$165, AQ71-AQ$165,"")</f>
        <v/>
      </c>
      <c r="BU71" s="19" t="str">
        <f>IF(AR71&gt;AR$165, AR71-AR$165,"")</f>
        <v/>
      </c>
      <c r="BV71" s="19" t="str">
        <f>IF(AS71&gt;AS$165, AS71-AS$165,"")</f>
        <v/>
      </c>
      <c r="BW71" s="19" t="str">
        <f>IF(AT71&gt;AT$165, AT71-AT$165,"")</f>
        <v/>
      </c>
      <c r="BX71" s="19" t="str">
        <f>IF(AU71&gt;AU$165, AU71-AU$165,"")</f>
        <v/>
      </c>
      <c r="BY71" s="19" t="str">
        <f>IF(AV71&gt;AV$165, AV71-AV$165,"")</f>
        <v/>
      </c>
      <c r="BZ71" s="19" t="str">
        <f>IF(AW71&gt;AW$165, AW71-AW$165,"")</f>
        <v/>
      </c>
      <c r="CA71" s="19" t="str">
        <f>IF(AX71&gt;AX$165, AX71-AX$165,"")</f>
        <v/>
      </c>
      <c r="CB71" s="19" t="str">
        <f>IF(AY71&gt;AY$165, AY71-AY$165,"")</f>
        <v/>
      </c>
      <c r="CC71" s="19" t="str">
        <f>IF(AZ71&gt;AZ$165, AZ71-AZ$165,"")</f>
        <v/>
      </c>
      <c r="CD71" s="19" t="str">
        <f>IF(BA71&gt;BA$165, BA71-BA$165,"")</f>
        <v/>
      </c>
      <c r="CE71" s="19" t="str">
        <f>IF(BB71&gt;BB$165, BB71-BB$165,"")</f>
        <v/>
      </c>
      <c r="CF71" s="19">
        <f>COUNTIF(BT71:CE71, "&gt;0")</f>
        <v>0</v>
      </c>
      <c r="CG71" s="19" t="str">
        <f>IF($CF71=1,BT71,"")</f>
        <v/>
      </c>
      <c r="CH71" s="19" t="str">
        <f>IF($CF71=1,BU71,"")</f>
        <v/>
      </c>
      <c r="CI71" s="19" t="str">
        <f>IF($CF71=1,BV71,"")</f>
        <v/>
      </c>
      <c r="CJ71" s="19" t="str">
        <f>IF($CF71=1,BW71,"")</f>
        <v/>
      </c>
      <c r="CK71" s="19" t="str">
        <f>IF($CF71=1,BX71,"")</f>
        <v/>
      </c>
      <c r="CL71" s="19" t="str">
        <f>IF($CF71=1,BY71,"")</f>
        <v/>
      </c>
      <c r="CM71" s="19" t="str">
        <f>IF($CF71=1,BZ71,"")</f>
        <v/>
      </c>
      <c r="CN71" s="19" t="str">
        <f>IF($CF71=1,CA71,"")</f>
        <v/>
      </c>
      <c r="CO71" s="19" t="str">
        <f>IF($CF71=1,CB71,"")</f>
        <v/>
      </c>
      <c r="CP71" s="19" t="str">
        <f>IF($CF71=1,CC71,"")</f>
        <v/>
      </c>
      <c r="CQ71" s="19" t="str">
        <f>IF($CF71=1,CD71,"")</f>
        <v/>
      </c>
      <c r="CR71" s="19" t="str">
        <f>IF($CF71=1,CE71,"")</f>
        <v/>
      </c>
      <c r="CS71" s="24">
        <f>SUM(AE71:BO71)</f>
        <v>0</v>
      </c>
    </row>
    <row r="72" spans="1:97" x14ac:dyDescent="0.15">
      <c r="A72" s="1"/>
      <c r="B72" s="1" t="s">
        <v>150</v>
      </c>
      <c r="C72" s="1" t="s">
        <v>142</v>
      </c>
      <c r="D72" s="1" t="s">
        <v>139</v>
      </c>
      <c r="E72" s="6"/>
      <c r="F72" s="6">
        <v>5</v>
      </c>
      <c r="G72" s="6"/>
      <c r="H72" s="6"/>
      <c r="I72" s="6"/>
      <c r="J72" s="6"/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v>2</v>
      </c>
      <c r="BR72" s="17">
        <v>1</v>
      </c>
      <c r="BS72" s="17" t="s">
        <v>230</v>
      </c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x14ac:dyDescent="0.15">
      <c r="A73" s="1"/>
      <c r="B73" s="1" t="s">
        <v>170</v>
      </c>
      <c r="C73" s="1" t="s">
        <v>166</v>
      </c>
      <c r="D73" s="1" t="s">
        <v>139</v>
      </c>
      <c r="E73" s="6"/>
      <c r="F73" s="6">
        <v>5</v>
      </c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v>2</v>
      </c>
      <c r="BR73" s="17">
        <v>1</v>
      </c>
      <c r="BS73" s="17" t="s">
        <v>230</v>
      </c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x14ac:dyDescent="0.15">
      <c r="A74" s="1"/>
      <c r="B74" s="1" t="s">
        <v>172</v>
      </c>
      <c r="C74" s="1" t="s">
        <v>166</v>
      </c>
      <c r="D74" s="1" t="s">
        <v>140</v>
      </c>
      <c r="E74" s="6"/>
      <c r="F74" s="6"/>
      <c r="G74" s="6"/>
      <c r="H74" s="6">
        <v>10</v>
      </c>
      <c r="I74" s="6"/>
      <c r="J74" s="6">
        <v>10</v>
      </c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>
        <v>10</v>
      </c>
      <c r="AU74" s="4"/>
      <c r="AV74" s="4"/>
      <c r="AW74" s="2"/>
      <c r="AX74" s="2"/>
      <c r="AY74" s="2">
        <v>10</v>
      </c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v>2</v>
      </c>
      <c r="BR74" s="17">
        <v>1</v>
      </c>
      <c r="BS74" s="17" t="s">
        <v>235</v>
      </c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x14ac:dyDescent="0.15">
      <c r="A75" s="1"/>
      <c r="B75" s="1" t="s">
        <v>151</v>
      </c>
      <c r="C75" s="1" t="s">
        <v>142</v>
      </c>
      <c r="D75" s="1" t="s">
        <v>147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>
        <v>2</v>
      </c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v>2</v>
      </c>
      <c r="BR75" s="17">
        <v>1</v>
      </c>
      <c r="BS75" s="17" t="s">
        <v>225</v>
      </c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x14ac:dyDescent="0.15">
      <c r="A76" s="1"/>
      <c r="B76" s="1" t="s">
        <v>204</v>
      </c>
      <c r="C76" s="1" t="s">
        <v>205</v>
      </c>
      <c r="D76" s="1" t="s">
        <v>183</v>
      </c>
      <c r="E76" s="6"/>
      <c r="F76" s="6"/>
      <c r="G76" s="6"/>
      <c r="H76" s="6"/>
      <c r="I76" s="6"/>
      <c r="J76" s="6">
        <v>10</v>
      </c>
      <c r="K76" s="6"/>
      <c r="L76" s="6">
        <v>10</v>
      </c>
      <c r="M76" s="6">
        <v>10</v>
      </c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>
        <v>15</v>
      </c>
      <c r="AZ76" s="2">
        <v>15</v>
      </c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v>2</v>
      </c>
      <c r="BR76" s="17">
        <v>1</v>
      </c>
      <c r="BS76" s="17" t="s">
        <v>239</v>
      </c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x14ac:dyDescent="0.15">
      <c r="A77" s="1">
        <v>68</v>
      </c>
      <c r="B77" s="3" t="s">
        <v>117</v>
      </c>
      <c r="C77" s="1" t="s">
        <v>62</v>
      </c>
      <c r="D77" s="1" t="s">
        <v>13</v>
      </c>
      <c r="E77" s="6"/>
      <c r="F77" s="6">
        <v>6</v>
      </c>
      <c r="G77" s="6"/>
      <c r="H77" s="6"/>
      <c r="I77" s="6"/>
      <c r="J77" s="6"/>
      <c r="K77" s="6"/>
      <c r="L77" s="6"/>
      <c r="M77" s="6"/>
      <c r="N77" s="6">
        <v>6</v>
      </c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10</v>
      </c>
      <c r="AW77" s="2"/>
      <c r="AX77" s="2"/>
      <c r="AY77" s="2"/>
      <c r="AZ77" s="2"/>
      <c r="BA77" s="2"/>
      <c r="BB77" s="2">
        <v>10</v>
      </c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32</v>
      </c>
      <c r="BQ77" s="1">
        <v>3</v>
      </c>
      <c r="BR77" s="17">
        <v>1</v>
      </c>
      <c r="BS77" s="17" t="s">
        <v>232</v>
      </c>
      <c r="BT77" s="1" t="str">
        <f>IF(AQ77&gt;AQ$165, AQ77-AQ$165,"")</f>
        <v/>
      </c>
      <c r="BU77" s="1" t="str">
        <f>IF(AR77&gt;AR$165, AR77-AR$165,"")</f>
        <v/>
      </c>
      <c r="BV77" s="1" t="str">
        <f>IF(AS77&gt;AS$165, AS77-AS$165,"")</f>
        <v/>
      </c>
      <c r="BW77" s="1" t="str">
        <f>IF(AT77&gt;AT$165, AT77-AT$165,"")</f>
        <v/>
      </c>
      <c r="BX77" s="1" t="str">
        <f>IF(AU77&gt;AU$165, AU77-AU$165,"")</f>
        <v/>
      </c>
      <c r="BY77" s="1" t="str">
        <f>IF(AV77&gt;AV$165, AV77-AV$165,"")</f>
        <v/>
      </c>
      <c r="BZ77" s="1" t="str">
        <f>IF(AW77&gt;AW$165, AW77-AW$165,"")</f>
        <v/>
      </c>
      <c r="CA77" s="1" t="str">
        <f>IF(AX77&gt;AX$165, AX77-AX$165,"")</f>
        <v/>
      </c>
      <c r="CB77" s="1" t="str">
        <f>IF(AY77&gt;AY$165, AY77-AY$165,"")</f>
        <v/>
      </c>
      <c r="CC77" s="1" t="str">
        <f>IF(AZ77&gt;AZ$165, AZ77-AZ$165,"")</f>
        <v/>
      </c>
      <c r="CD77" s="1" t="str">
        <f>IF(BA77&gt;BA$165, BA77-BA$165,"")</f>
        <v/>
      </c>
      <c r="CE77" s="1" t="str">
        <f>IF(BB77&gt;BB$165, BB77-BB$165,"")</f>
        <v/>
      </c>
      <c r="CF77" s="1">
        <f>COUNTIF(BT77:CE77, "&gt;0")</f>
        <v>0</v>
      </c>
      <c r="CG77" s="1" t="str">
        <f>IF($CF77=1,BT77,"")</f>
        <v/>
      </c>
      <c r="CH77" s="1" t="str">
        <f>IF($CF77=1,BU77,"")</f>
        <v/>
      </c>
      <c r="CI77" s="1" t="str">
        <f>IF($CF77=1,BV77,"")</f>
        <v/>
      </c>
      <c r="CJ77" s="1" t="str">
        <f>IF($CF77=1,BW77,"")</f>
        <v/>
      </c>
      <c r="CK77" s="1" t="str">
        <f>IF($CF77=1,BX77,"")</f>
        <v/>
      </c>
      <c r="CL77" s="1" t="str">
        <f>IF($CF77=1,BY77,"")</f>
        <v/>
      </c>
      <c r="CM77" s="1" t="str">
        <f>IF($CF77=1,BZ77,"")</f>
        <v/>
      </c>
      <c r="CN77" s="1" t="str">
        <f>IF($CF77=1,CA77,"")</f>
        <v/>
      </c>
      <c r="CO77" s="1" t="str">
        <f>IF($CF77=1,CB77,"")</f>
        <v/>
      </c>
      <c r="CP77" s="1" t="str">
        <f>IF($CF77=1,CC77,"")</f>
        <v/>
      </c>
      <c r="CQ77" s="1" t="str">
        <f>IF($CF77=1,CD77,"")</f>
        <v/>
      </c>
      <c r="CR77" s="1" t="str">
        <f>IF($CF77=1,CE77,"")</f>
        <v/>
      </c>
      <c r="CS77" s="18">
        <f>SUM(AE77:BO77)</f>
        <v>20</v>
      </c>
    </row>
    <row r="78" spans="1:97" x14ac:dyDescent="0.15">
      <c r="A78" s="1"/>
      <c r="B78" s="1" t="s">
        <v>171</v>
      </c>
      <c r="C78" s="1" t="s">
        <v>166</v>
      </c>
      <c r="D78" s="1" t="s">
        <v>140</v>
      </c>
      <c r="E78" s="6"/>
      <c r="F78" s="6">
        <v>6</v>
      </c>
      <c r="G78" s="6"/>
      <c r="H78" s="6"/>
      <c r="I78" s="6"/>
      <c r="J78" s="6"/>
      <c r="K78" s="6"/>
      <c r="L78" s="6"/>
      <c r="M78" s="6"/>
      <c r="N78" s="6"/>
      <c r="O78" s="6">
        <v>6</v>
      </c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>
        <v>10</v>
      </c>
      <c r="AU78" s="4"/>
      <c r="AV78" s="4"/>
      <c r="AW78" s="2"/>
      <c r="AX78" s="2"/>
      <c r="AY78" s="2">
        <v>10</v>
      </c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v>3</v>
      </c>
      <c r="BR78" s="17">
        <v>1</v>
      </c>
      <c r="BS78" s="17" t="s">
        <v>232</v>
      </c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x14ac:dyDescent="0.15">
      <c r="A79" s="1"/>
      <c r="B79" s="1" t="s">
        <v>175</v>
      </c>
      <c r="C79" s="1" t="s">
        <v>176</v>
      </c>
      <c r="D79" s="1" t="s">
        <v>139</v>
      </c>
      <c r="E79" s="6"/>
      <c r="F79" s="6"/>
      <c r="G79" s="6"/>
      <c r="H79" s="6"/>
      <c r="I79" s="6"/>
      <c r="J79" s="6"/>
      <c r="K79" s="6"/>
      <c r="L79" s="6">
        <v>20</v>
      </c>
      <c r="M79" s="6"/>
      <c r="N79" s="6"/>
      <c r="O79" s="6">
        <v>20</v>
      </c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>
        <v>20</v>
      </c>
      <c r="BB79" s="2">
        <v>20</v>
      </c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v>3</v>
      </c>
      <c r="BR79" s="17">
        <v>1</v>
      </c>
      <c r="BS79" s="17" t="s">
        <v>241</v>
      </c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8"/>
    </row>
    <row r="80" spans="1:97" x14ac:dyDescent="0.15">
      <c r="A80" s="1">
        <v>39</v>
      </c>
      <c r="B80" s="1" t="s">
        <v>53</v>
      </c>
      <c r="C80" s="1" t="s">
        <v>49</v>
      </c>
      <c r="D80" s="1" t="s">
        <v>26</v>
      </c>
      <c r="E80" s="6"/>
      <c r="F80" s="6">
        <v>6</v>
      </c>
      <c r="G80" s="6"/>
      <c r="H80" s="6"/>
      <c r="I80" s="6"/>
      <c r="J80" s="6"/>
      <c r="K80" s="6"/>
      <c r="L80" s="6">
        <v>6</v>
      </c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>
        <v>10</v>
      </c>
      <c r="AR80" s="4"/>
      <c r="AS80" s="4"/>
      <c r="AT80" s="4"/>
      <c r="AU80" s="4"/>
      <c r="AV80" s="4"/>
      <c r="AW80" s="2"/>
      <c r="AX80" s="2">
        <v>10</v>
      </c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32</v>
      </c>
      <c r="BQ80" s="1">
        <v>3</v>
      </c>
      <c r="BR80" s="17">
        <v>1</v>
      </c>
      <c r="BS80" s="17" t="s">
        <v>244</v>
      </c>
      <c r="BT80" s="1" t="str">
        <f>IF(AQ80&gt;AQ$165, AQ80-AQ$165,"")</f>
        <v/>
      </c>
      <c r="BU80" s="1" t="str">
        <f>IF(AR80&gt;AR$165, AR80-AR$165,"")</f>
        <v/>
      </c>
      <c r="BV80" s="1" t="str">
        <f>IF(AS80&gt;AS$165, AS80-AS$165,"")</f>
        <v/>
      </c>
      <c r="BW80" s="1" t="str">
        <f>IF(AT80&gt;AT$165, AT80-AT$165,"")</f>
        <v/>
      </c>
      <c r="BX80" s="1" t="str">
        <f>IF(AU80&gt;AU$165, AU80-AU$165,"")</f>
        <v/>
      </c>
      <c r="BY80" s="1" t="str">
        <f>IF(AV80&gt;AV$165, AV80-AV$165,"")</f>
        <v/>
      </c>
      <c r="BZ80" s="1" t="str">
        <f>IF(AW80&gt;AW$165, AW80-AW$165,"")</f>
        <v/>
      </c>
      <c r="CA80" s="1" t="str">
        <f>IF(AX80&gt;AX$165, AX80-AX$165,"")</f>
        <v/>
      </c>
      <c r="CB80" s="1" t="str">
        <f>IF(AY80&gt;AY$165, AY80-AY$165,"")</f>
        <v/>
      </c>
      <c r="CC80" s="1" t="str">
        <f>IF(AZ80&gt;AZ$165, AZ80-AZ$165,"")</f>
        <v/>
      </c>
      <c r="CD80" s="1" t="str">
        <f>IF(BA80&gt;BA$165, BA80-BA$165,"")</f>
        <v/>
      </c>
      <c r="CE80" s="1" t="str">
        <f>IF(BB80&gt;BB$165, BB80-BB$165,"")</f>
        <v/>
      </c>
      <c r="CF80" s="1">
        <f>COUNTIF(BT80:CE80, "&gt;0")</f>
        <v>0</v>
      </c>
      <c r="CG80" s="1" t="str">
        <f>IF($CF80=1,BT80,"")</f>
        <v/>
      </c>
      <c r="CH80" s="1" t="str">
        <f>IF($CF80=1,BU80,"")</f>
        <v/>
      </c>
      <c r="CI80" s="1" t="str">
        <f>IF($CF80=1,BV80,"")</f>
        <v/>
      </c>
      <c r="CJ80" s="1" t="str">
        <f>IF($CF80=1,BW80,"")</f>
        <v/>
      </c>
      <c r="CK80" s="1" t="str">
        <f>IF($CF80=1,BX80,"")</f>
        <v/>
      </c>
      <c r="CL80" s="1" t="str">
        <f>IF($CF80=1,BY80,"")</f>
        <v/>
      </c>
      <c r="CM80" s="1" t="str">
        <f>IF($CF80=1,BZ80,"")</f>
        <v/>
      </c>
      <c r="CN80" s="1" t="str">
        <f>IF($CF80=1,CA80,"")</f>
        <v/>
      </c>
      <c r="CO80" s="1" t="str">
        <f>IF($CF80=1,CB80,"")</f>
        <v/>
      </c>
      <c r="CP80" s="1" t="str">
        <f>IF($CF80=1,CC80,"")</f>
        <v/>
      </c>
      <c r="CQ80" s="1" t="str">
        <f>IF($CF80=1,CD80,"")</f>
        <v/>
      </c>
      <c r="CR80" s="1" t="str">
        <f>IF($CF80=1,CE80,"")</f>
        <v/>
      </c>
      <c r="CS80" s="18">
        <f>SUM(AE80:BO80)</f>
        <v>20</v>
      </c>
    </row>
    <row r="81" spans="1:97" x14ac:dyDescent="0.15">
      <c r="A81" s="1"/>
      <c r="B81" s="1" t="s">
        <v>222</v>
      </c>
      <c r="C81" s="1" t="s">
        <v>217</v>
      </c>
      <c r="D81" s="1" t="s">
        <v>184</v>
      </c>
      <c r="E81" s="6"/>
      <c r="F81" s="6"/>
      <c r="G81" s="6">
        <v>5</v>
      </c>
      <c r="H81" s="6"/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>
        <v>5</v>
      </c>
      <c r="W81" s="32"/>
      <c r="X81" s="32"/>
      <c r="Y81" s="32">
        <v>5</v>
      </c>
      <c r="Z81" s="32"/>
      <c r="AA81" s="32"/>
      <c r="AB81" s="32"/>
      <c r="AC81" s="32">
        <v>5</v>
      </c>
      <c r="AD81" s="32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v>3</v>
      </c>
      <c r="BR81" s="17">
        <v>1</v>
      </c>
      <c r="BS81" s="17" t="s">
        <v>255</v>
      </c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8"/>
    </row>
    <row r="82" spans="1:97" x14ac:dyDescent="0.15">
      <c r="A82" s="1">
        <v>24</v>
      </c>
      <c r="B82" s="1" t="s">
        <v>47</v>
      </c>
      <c r="C82" s="1" t="s">
        <v>32</v>
      </c>
      <c r="D82" s="1" t="s">
        <v>26</v>
      </c>
      <c r="E82" s="6"/>
      <c r="F82" s="6"/>
      <c r="G82" s="6"/>
      <c r="H82" s="6"/>
      <c r="I82" s="6">
        <v>4</v>
      </c>
      <c r="J82" s="6"/>
      <c r="K82" s="6">
        <v>4</v>
      </c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5</v>
      </c>
      <c r="AT82" s="4"/>
      <c r="AU82" s="4"/>
      <c r="AV82" s="4"/>
      <c r="AW82" s="2">
        <v>5</v>
      </c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18</v>
      </c>
      <c r="BQ82" s="1">
        <v>5</v>
      </c>
      <c r="BR82" s="17">
        <v>1</v>
      </c>
      <c r="BS82" s="17" t="s">
        <v>231</v>
      </c>
      <c r="BT82" s="1" t="str">
        <f>IF(AQ82&gt;AQ$165, AQ82-AQ$165,"")</f>
        <v/>
      </c>
      <c r="BU82" s="1" t="str">
        <f>IF(AR82&gt;AR$165, AR82-AR$165,"")</f>
        <v/>
      </c>
      <c r="BV82" s="1">
        <f>IF(AS82&gt;AS$165, AS82-AS$165,"")</f>
        <v>5</v>
      </c>
      <c r="BW82" s="1" t="str">
        <f>IF(AT82&gt;AT$165, AT82-AT$165,"")</f>
        <v/>
      </c>
      <c r="BX82" s="1" t="str">
        <f>IF(AU82&gt;AU$165, AU82-AU$165,"")</f>
        <v/>
      </c>
      <c r="BY82" s="1" t="str">
        <f>IF(AV82&gt;AV$165, AV82-AV$165,"")</f>
        <v/>
      </c>
      <c r="BZ82" s="1" t="str">
        <f>IF(AW82&gt;AW$165, AW82-AW$165,"")</f>
        <v/>
      </c>
      <c r="CA82" s="1" t="str">
        <f>IF(AX82&gt;AX$165, AX82-AX$165,"")</f>
        <v/>
      </c>
      <c r="CB82" s="1" t="str">
        <f>IF(AY82&gt;AY$165, AY82-AY$165,"")</f>
        <v/>
      </c>
      <c r="CC82" s="1" t="str">
        <f>IF(AZ82&gt;AZ$165, AZ82-AZ$165,"")</f>
        <v/>
      </c>
      <c r="CD82" s="1" t="str">
        <f>IF(BA82&gt;BA$165, BA82-BA$165,"")</f>
        <v/>
      </c>
      <c r="CE82" s="1" t="str">
        <f>IF(BB82&gt;BB$165, BB82-BB$165,"")</f>
        <v/>
      </c>
      <c r="CF82" s="1">
        <f>COUNTIF(BT82:CE82, "&gt;0")</f>
        <v>1</v>
      </c>
      <c r="CG82" s="1" t="str">
        <f>IF($CF82=1,BT82,"")</f>
        <v/>
      </c>
      <c r="CH82" s="1" t="str">
        <f>IF($CF82=1,BU82,"")</f>
        <v/>
      </c>
      <c r="CI82" s="1">
        <f>IF($CF82=1,BV82,"")</f>
        <v>5</v>
      </c>
      <c r="CJ82" s="1" t="str">
        <f>IF($CF82=1,BW82,"")</f>
        <v/>
      </c>
      <c r="CK82" s="1" t="str">
        <f>IF($CF82=1,BX82,"")</f>
        <v/>
      </c>
      <c r="CL82" s="1" t="str">
        <f>IF($CF82=1,BY82,"")</f>
        <v/>
      </c>
      <c r="CM82" s="1" t="str">
        <f>IF($CF82=1,BZ82,"")</f>
        <v/>
      </c>
      <c r="CN82" s="1" t="str">
        <f>IF($CF82=1,CA82,"")</f>
        <v/>
      </c>
      <c r="CO82" s="1" t="str">
        <f>IF($CF82=1,CB82,"")</f>
        <v/>
      </c>
      <c r="CP82" s="1" t="str">
        <f>IF($CF82=1,CC82,"")</f>
        <v/>
      </c>
      <c r="CQ82" s="1" t="str">
        <f>IF($CF82=1,CD82,"")</f>
        <v/>
      </c>
      <c r="CR82" s="1" t="str">
        <f>IF($CF82=1,CE82,"")</f>
        <v/>
      </c>
      <c r="CS82" s="18">
        <f>SUM(AE82:BO82)</f>
        <v>10</v>
      </c>
    </row>
    <row r="83" spans="1:97" x14ac:dyDescent="0.15">
      <c r="A83" s="1">
        <v>91</v>
      </c>
      <c r="B83" s="3" t="s">
        <v>91</v>
      </c>
      <c r="C83" s="3" t="s">
        <v>90</v>
      </c>
      <c r="D83" s="1" t="s">
        <v>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>
        <v>5</v>
      </c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5</v>
      </c>
      <c r="BQ83" s="1">
        <v>5</v>
      </c>
      <c r="BR83" s="17">
        <v>1</v>
      </c>
      <c r="BS83" s="17" t="s">
        <v>122</v>
      </c>
      <c r="BT83" s="1" t="str">
        <f>IF(AQ83&gt;AQ$165, AQ83-AQ$165,"")</f>
        <v/>
      </c>
      <c r="BU83" s="1" t="str">
        <f>IF(AR83&gt;AR$165, AR83-AR$165,"")</f>
        <v/>
      </c>
      <c r="BV83" s="1" t="str">
        <f>IF(AS83&gt;AS$165, AS83-AS$165,"")</f>
        <v/>
      </c>
      <c r="BW83" s="1" t="str">
        <f>IF(AT83&gt;AT$165, AT83-AT$165,"")</f>
        <v/>
      </c>
      <c r="BX83" s="1" t="str">
        <f>IF(AU83&gt;AU$165, AU83-AU$165,"")</f>
        <v/>
      </c>
      <c r="BY83" s="1" t="str">
        <f>IF(AV83&gt;AV$165, AV83-AV$165,"")</f>
        <v/>
      </c>
      <c r="BZ83" s="1" t="str">
        <f>IF(AW83&gt;AW$165, AW83-AW$165,"")</f>
        <v/>
      </c>
      <c r="CA83" s="1" t="str">
        <f>IF(AX83&gt;AX$165, AX83-AX$165,"")</f>
        <v/>
      </c>
      <c r="CB83" s="1" t="str">
        <f>IF(AY83&gt;AY$165, AY83-AY$165,"")</f>
        <v/>
      </c>
      <c r="CC83" s="1" t="str">
        <f>IF(AZ83&gt;AZ$165, AZ83-AZ$165,"")</f>
        <v/>
      </c>
      <c r="CD83" s="1" t="str">
        <f>IF(BA83&gt;BA$165, BA83-BA$165,"")</f>
        <v/>
      </c>
      <c r="CE83" s="1" t="str">
        <f>IF(BB83&gt;BB$165, BB83-BB$165,"")</f>
        <v/>
      </c>
      <c r="CF83" s="1">
        <f>COUNTIF(BT83:CE83, "&gt;0")</f>
        <v>0</v>
      </c>
      <c r="CG83" s="1" t="str">
        <f>IF($CF83=1,BT83,"")</f>
        <v/>
      </c>
      <c r="CH83" s="1" t="str">
        <f>IF($CF83=1,BU83,"")</f>
        <v/>
      </c>
      <c r="CI83" s="1" t="str">
        <f>IF($CF83=1,BV83,"")</f>
        <v/>
      </c>
      <c r="CJ83" s="1" t="str">
        <f>IF($CF83=1,BW83,"")</f>
        <v/>
      </c>
      <c r="CK83" s="1" t="str">
        <f>IF($CF83=1,BX83,"")</f>
        <v/>
      </c>
      <c r="CL83" s="1" t="str">
        <f>IF($CF83=1,BY83,"")</f>
        <v/>
      </c>
      <c r="CM83" s="1" t="str">
        <f>IF($CF83=1,BZ83,"")</f>
        <v/>
      </c>
      <c r="CN83" s="1" t="str">
        <f>IF($CF83=1,CA83,"")</f>
        <v/>
      </c>
      <c r="CO83" s="1" t="str">
        <f>IF($CF83=1,CB83,"")</f>
        <v/>
      </c>
      <c r="CP83" s="1" t="str">
        <f>IF($CF83=1,CC83,"")</f>
        <v/>
      </c>
      <c r="CQ83" s="1" t="str">
        <f>IF($CF83=1,CD83,"")</f>
        <v/>
      </c>
      <c r="CR83" s="1" t="str">
        <f>IF($CF83=1,CE83,"")</f>
        <v/>
      </c>
      <c r="CS83" s="18">
        <f>SUM(AE83:BO83)</f>
        <v>5</v>
      </c>
    </row>
    <row r="84" spans="1:97" x14ac:dyDescent="0.15">
      <c r="A84" s="1">
        <v>17</v>
      </c>
      <c r="B84" s="1" t="s">
        <v>35</v>
      </c>
      <c r="C84" s="1" t="s">
        <v>32</v>
      </c>
      <c r="D84" s="1" t="s">
        <v>24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>
        <v>5</v>
      </c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5</v>
      </c>
      <c r="BQ84" s="1">
        <v>5</v>
      </c>
      <c r="BR84" s="17">
        <v>1</v>
      </c>
      <c r="BS84" s="17" t="s">
        <v>121</v>
      </c>
      <c r="BT84" s="1" t="str">
        <f>IF(AQ84&gt;AQ$165, AQ84-AQ$165,"")</f>
        <v/>
      </c>
      <c r="BU84" s="1" t="str">
        <f>IF(AR84&gt;AR$165, AR84-AR$165,"")</f>
        <v/>
      </c>
      <c r="BV84" s="1" t="str">
        <f>IF(AS84&gt;AS$165, AS84-AS$165,"")</f>
        <v/>
      </c>
      <c r="BW84" s="1" t="str">
        <f>IF(AT84&gt;AT$165, AT84-AT$165,"")</f>
        <v/>
      </c>
      <c r="BX84" s="1" t="str">
        <f>IF(AU84&gt;AU$165, AU84-AU$165,"")</f>
        <v/>
      </c>
      <c r="BY84" s="1" t="str">
        <f>IF(AV84&gt;AV$165, AV84-AV$165,"")</f>
        <v/>
      </c>
      <c r="BZ84" s="1" t="str">
        <f>IF(AW84&gt;AW$165, AW84-AW$165,"")</f>
        <v/>
      </c>
      <c r="CA84" s="1" t="str">
        <f>IF(AX84&gt;AX$165, AX84-AX$165,"")</f>
        <v/>
      </c>
      <c r="CB84" s="1" t="str">
        <f>IF(AY84&gt;AY$165, AY84-AY$165,"")</f>
        <v/>
      </c>
      <c r="CC84" s="1" t="str">
        <f>IF(AZ84&gt;AZ$165, AZ84-AZ$165,"")</f>
        <v/>
      </c>
      <c r="CD84" s="1" t="str">
        <f>IF(BA84&gt;BA$165, BA84-BA$165,"")</f>
        <v/>
      </c>
      <c r="CE84" s="1" t="str">
        <f>IF(BB84&gt;BB$165, BB84-BB$165,"")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18">
        <f>SUM(AE84:BO84)</f>
        <v>5</v>
      </c>
    </row>
    <row r="85" spans="1:97" x14ac:dyDescent="0.15">
      <c r="A85" s="1">
        <v>18</v>
      </c>
      <c r="B85" s="1" t="s">
        <v>35</v>
      </c>
      <c r="C85" s="1" t="s">
        <v>32</v>
      </c>
      <c r="D85" s="1" t="s">
        <v>25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/>
      <c r="AG85" s="1">
        <v>5</v>
      </c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5</v>
      </c>
      <c r="BQ85" s="1">
        <v>5</v>
      </c>
      <c r="BR85" s="17">
        <v>1</v>
      </c>
      <c r="BS85" s="17" t="s">
        <v>123</v>
      </c>
      <c r="BT85" s="1" t="str">
        <f>IF(AQ85&gt;AQ$165, AQ85-AQ$165,"")</f>
        <v/>
      </c>
      <c r="BU85" s="1" t="str">
        <f>IF(AR85&gt;AR$165, AR85-AR$165,"")</f>
        <v/>
      </c>
      <c r="BV85" s="1" t="str">
        <f>IF(AS85&gt;AS$165, AS85-AS$165,"")</f>
        <v/>
      </c>
      <c r="BW85" s="1" t="str">
        <f>IF(AT85&gt;AT$165, AT85-AT$165,"")</f>
        <v/>
      </c>
      <c r="BX85" s="1" t="str">
        <f>IF(AU85&gt;AU$165, AU85-AU$165,"")</f>
        <v/>
      </c>
      <c r="BY85" s="1" t="str">
        <f>IF(AV85&gt;AV$165, AV85-AV$165,"")</f>
        <v/>
      </c>
      <c r="BZ85" s="1" t="str">
        <f>IF(AW85&gt;AW$165, AW85-AW$165,"")</f>
        <v/>
      </c>
      <c r="CA85" s="1" t="str">
        <f>IF(AX85&gt;AX$165, AX85-AX$165,"")</f>
        <v/>
      </c>
      <c r="CB85" s="1" t="str">
        <f>IF(AY85&gt;AY$165, AY85-AY$165,"")</f>
        <v/>
      </c>
      <c r="CC85" s="1" t="str">
        <f>IF(AZ85&gt;AZ$165, AZ85-AZ$165,"")</f>
        <v/>
      </c>
      <c r="CD85" s="1" t="str">
        <f>IF(BA85&gt;BA$165, BA85-BA$165,"")</f>
        <v/>
      </c>
      <c r="CE85" s="1" t="str">
        <f>IF(BB85&gt;BB$165, BB85-BB$165,"")</f>
        <v/>
      </c>
      <c r="CF85" s="1">
        <f>COUNTIF(BT85:CE85, "&gt;0")</f>
        <v>0</v>
      </c>
      <c r="CG85" s="1" t="str">
        <f>IF($CF85=1,BT85,"")</f>
        <v/>
      </c>
      <c r="CH85" s="1" t="str">
        <f>IF($CF85=1,BU85,"")</f>
        <v/>
      </c>
      <c r="CI85" s="1" t="str">
        <f>IF($CF85=1,BV85,"")</f>
        <v/>
      </c>
      <c r="CJ85" s="1" t="str">
        <f>IF($CF85=1,BW85,"")</f>
        <v/>
      </c>
      <c r="CK85" s="1" t="str">
        <f>IF($CF85=1,BX85,"")</f>
        <v/>
      </c>
      <c r="CL85" s="1" t="str">
        <f>IF($CF85=1,BY85,"")</f>
        <v/>
      </c>
      <c r="CM85" s="1" t="str">
        <f>IF($CF85=1,BZ85,"")</f>
        <v/>
      </c>
      <c r="CN85" s="1" t="str">
        <f>IF($CF85=1,CA85,"")</f>
        <v/>
      </c>
      <c r="CO85" s="1" t="str">
        <f>IF($CF85=1,CB85,"")</f>
        <v/>
      </c>
      <c r="CP85" s="1" t="str">
        <f>IF($CF85=1,CC85,"")</f>
        <v/>
      </c>
      <c r="CQ85" s="1" t="str">
        <f>IF($CF85=1,CD85,"")</f>
        <v/>
      </c>
      <c r="CR85" s="1" t="str">
        <f>IF($CF85=1,CE85,"")</f>
        <v/>
      </c>
      <c r="CS85" s="18">
        <f>SUM(AE85:BO85)</f>
        <v>5</v>
      </c>
    </row>
    <row r="86" spans="1:97" x14ac:dyDescent="0.15">
      <c r="A86" s="1">
        <v>19</v>
      </c>
      <c r="B86" s="1" t="s">
        <v>38</v>
      </c>
      <c r="C86" s="1" t="s">
        <v>32</v>
      </c>
      <c r="D86" s="1" t="s">
        <v>24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/>
      <c r="AF86" s="1"/>
      <c r="AG86" s="1">
        <v>5</v>
      </c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5</v>
      </c>
      <c r="BQ86" s="1">
        <v>5</v>
      </c>
      <c r="BR86" s="17">
        <v>1</v>
      </c>
      <c r="BS86" s="17" t="s">
        <v>123</v>
      </c>
      <c r="BT86" s="1" t="str">
        <f>IF(AQ86&gt;AQ$165, AQ86-AQ$165,"")</f>
        <v/>
      </c>
      <c r="BU86" s="1" t="str">
        <f>IF(AR86&gt;AR$165, AR86-AR$165,"")</f>
        <v/>
      </c>
      <c r="BV86" s="1" t="str">
        <f>IF(AS86&gt;AS$165, AS86-AS$165,"")</f>
        <v/>
      </c>
      <c r="BW86" s="1" t="str">
        <f>IF(AT86&gt;AT$165, AT86-AT$165,"")</f>
        <v/>
      </c>
      <c r="BX86" s="1" t="str">
        <f>IF(AU86&gt;AU$165, AU86-AU$165,"")</f>
        <v/>
      </c>
      <c r="BY86" s="1" t="str">
        <f>IF(AV86&gt;AV$165, AV86-AV$165,"")</f>
        <v/>
      </c>
      <c r="BZ86" s="1" t="str">
        <f>IF(AW86&gt;AW$165, AW86-AW$165,"")</f>
        <v/>
      </c>
      <c r="CA86" s="1" t="str">
        <f>IF(AX86&gt;AX$165, AX86-AX$165,"")</f>
        <v/>
      </c>
      <c r="CB86" s="1" t="str">
        <f>IF(AY86&gt;AY$165, AY86-AY$165,"")</f>
        <v/>
      </c>
      <c r="CC86" s="1" t="str">
        <f>IF(AZ86&gt;AZ$165, AZ86-AZ$165,"")</f>
        <v/>
      </c>
      <c r="CD86" s="1" t="str">
        <f>IF(BA86&gt;BA$165, BA86-BA$165,"")</f>
        <v/>
      </c>
      <c r="CE86" s="1" t="str">
        <f>IF(BB86&gt;BB$165, BB86-BB$165,"")</f>
        <v/>
      </c>
      <c r="CF86" s="1">
        <f>COUNTIF(BT86:CE86, "&gt;0")</f>
        <v>0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18">
        <f>SUM(AE86:BO86)</f>
        <v>5</v>
      </c>
    </row>
    <row r="87" spans="1:97" x14ac:dyDescent="0.15">
      <c r="A87" s="1">
        <v>32</v>
      </c>
      <c r="B87" s="1" t="s">
        <v>87</v>
      </c>
      <c r="C87" s="1" t="s">
        <v>32</v>
      </c>
      <c r="D87" s="1" t="s">
        <v>24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/>
      <c r="AF87" s="1"/>
      <c r="AG87" s="1"/>
      <c r="AH87" s="1"/>
      <c r="AI87" s="1">
        <v>5</v>
      </c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5</v>
      </c>
      <c r="BQ87" s="1">
        <v>5</v>
      </c>
      <c r="BR87" s="17">
        <v>1</v>
      </c>
      <c r="BS87" s="17" t="s">
        <v>124</v>
      </c>
      <c r="BT87" s="1" t="str">
        <f>IF(AQ87&gt;AQ$165, AQ87-AQ$165,"")</f>
        <v/>
      </c>
      <c r="BU87" s="1" t="str">
        <f>IF(AR87&gt;AR$165, AR87-AR$165,"")</f>
        <v/>
      </c>
      <c r="BV87" s="1" t="str">
        <f>IF(AS87&gt;AS$165, AS87-AS$165,"")</f>
        <v/>
      </c>
      <c r="BW87" s="1" t="str">
        <f>IF(AT87&gt;AT$165, AT87-AT$165,"")</f>
        <v/>
      </c>
      <c r="BX87" s="1" t="str">
        <f>IF(AU87&gt;AU$165, AU87-AU$165,"")</f>
        <v/>
      </c>
      <c r="BY87" s="1" t="str">
        <f>IF(AV87&gt;AV$165, AV87-AV$165,"")</f>
        <v/>
      </c>
      <c r="BZ87" s="1" t="str">
        <f>IF(AW87&gt;AW$165, AW87-AW$165,"")</f>
        <v/>
      </c>
      <c r="CA87" s="1" t="str">
        <f>IF(AX87&gt;AX$165, AX87-AX$165,"")</f>
        <v/>
      </c>
      <c r="CB87" s="1" t="str">
        <f>IF(AY87&gt;AY$165, AY87-AY$165,"")</f>
        <v/>
      </c>
      <c r="CC87" s="1" t="str">
        <f>IF(AZ87&gt;AZ$165, AZ87-AZ$165,"")</f>
        <v/>
      </c>
      <c r="CD87" s="1" t="str">
        <f>IF(BA87&gt;BA$165, BA87-BA$165,"")</f>
        <v/>
      </c>
      <c r="CE87" s="1" t="str">
        <f>IF(BB87&gt;BB$165, BB87-BB$165,"")</f>
        <v/>
      </c>
      <c r="CF87" s="1">
        <f>COUNTIF(BT87:CE87, "&gt;0")</f>
        <v>0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18">
        <f>SUM(AE87:BO87)</f>
        <v>5</v>
      </c>
    </row>
    <row r="88" spans="1:97" x14ac:dyDescent="0.15">
      <c r="A88" s="1">
        <v>33</v>
      </c>
      <c r="B88" s="1" t="s">
        <v>87</v>
      </c>
      <c r="C88" s="1" t="s">
        <v>32</v>
      </c>
      <c r="D88" s="1" t="s">
        <v>1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>
        <v>5</v>
      </c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5</v>
      </c>
      <c r="BQ88" s="1">
        <v>5</v>
      </c>
      <c r="BR88" s="17">
        <v>1</v>
      </c>
      <c r="BS88" s="17" t="s">
        <v>125</v>
      </c>
      <c r="BT88" s="1" t="str">
        <f>IF(AQ88&gt;AQ$165, AQ88-AQ$165,"")</f>
        <v/>
      </c>
      <c r="BU88" s="1" t="str">
        <f>IF(AR88&gt;AR$165, AR88-AR$165,"")</f>
        <v/>
      </c>
      <c r="BV88" s="1" t="str">
        <f>IF(AS88&gt;AS$165, AS88-AS$165,"")</f>
        <v/>
      </c>
      <c r="BW88" s="1" t="str">
        <f>IF(AT88&gt;AT$165, AT88-AT$165,"")</f>
        <v/>
      </c>
      <c r="BX88" s="1" t="str">
        <f>IF(AU88&gt;AU$165, AU88-AU$165,"")</f>
        <v/>
      </c>
      <c r="BY88" s="1" t="str">
        <f>IF(AV88&gt;AV$165, AV88-AV$165,"")</f>
        <v/>
      </c>
      <c r="BZ88" s="1" t="str">
        <f>IF(AW88&gt;AW$165, AW88-AW$165,"")</f>
        <v/>
      </c>
      <c r="CA88" s="1" t="str">
        <f>IF(AX88&gt;AX$165, AX88-AX$165,"")</f>
        <v/>
      </c>
      <c r="CB88" s="1" t="str">
        <f>IF(AY88&gt;AY$165, AY88-AY$165,"")</f>
        <v/>
      </c>
      <c r="CC88" s="1" t="str">
        <f>IF(AZ88&gt;AZ$165, AZ88-AZ$165,"")</f>
        <v/>
      </c>
      <c r="CD88" s="1" t="str">
        <f>IF(BA88&gt;BA$165, BA88-BA$165,"")</f>
        <v/>
      </c>
      <c r="CE88" s="1" t="str">
        <f>IF(BB88&gt;BB$165, BB88-BB$165,"")</f>
        <v/>
      </c>
      <c r="CF88" s="1">
        <f>COUNTIF(BT88:CE88, "&gt;0")</f>
        <v>0</v>
      </c>
      <c r="CG88" s="1" t="str">
        <f>IF($CF88=1,BT88,"")</f>
        <v/>
      </c>
      <c r="CH88" s="1" t="str">
        <f>IF($CF88=1,BU88,"")</f>
        <v/>
      </c>
      <c r="CI88" s="1" t="str">
        <f>IF($CF88=1,BV88,"")</f>
        <v/>
      </c>
      <c r="CJ88" s="1" t="str">
        <f>IF($CF88=1,BW88,"")</f>
        <v/>
      </c>
      <c r="CK88" s="1" t="str">
        <f>IF($CF88=1,BX88,"")</f>
        <v/>
      </c>
      <c r="CL88" s="1" t="str">
        <f>IF($CF88=1,BY88,"")</f>
        <v/>
      </c>
      <c r="CM88" s="1" t="str">
        <f>IF($CF88=1,BZ88,"")</f>
        <v/>
      </c>
      <c r="CN88" s="1" t="str">
        <f>IF($CF88=1,CA88,"")</f>
        <v/>
      </c>
      <c r="CO88" s="1" t="str">
        <f>IF($CF88=1,CB88,"")</f>
        <v/>
      </c>
      <c r="CP88" s="1" t="str">
        <f>IF($CF88=1,CC88,"")</f>
        <v/>
      </c>
      <c r="CQ88" s="1" t="str">
        <f>IF($CF88=1,CD88,"")</f>
        <v/>
      </c>
      <c r="CR88" s="1" t="str">
        <f>IF($CF88=1,CE88,"")</f>
        <v/>
      </c>
      <c r="CS88" s="18">
        <f>SUM(AE88:BO88)</f>
        <v>5</v>
      </c>
    </row>
    <row r="89" spans="1:97" x14ac:dyDescent="0.15">
      <c r="A89" s="1">
        <v>63</v>
      </c>
      <c r="B89" s="3" t="s">
        <v>68</v>
      </c>
      <c r="C89" s="1" t="s">
        <v>62</v>
      </c>
      <c r="D89" s="1" t="s">
        <v>24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>
        <v>5</v>
      </c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5</v>
      </c>
      <c r="BQ89" s="1">
        <v>5</v>
      </c>
      <c r="BR89" s="17">
        <v>1</v>
      </c>
      <c r="BS89" s="17" t="s">
        <v>126</v>
      </c>
      <c r="BT89" s="1" t="str">
        <f>IF(AQ89&gt;AQ$165, AQ89-AQ$165,"")</f>
        <v/>
      </c>
      <c r="BU89" s="1" t="str">
        <f>IF(AR89&gt;AR$165, AR89-AR$165,"")</f>
        <v/>
      </c>
      <c r="BV89" s="1" t="str">
        <f>IF(AS89&gt;AS$165, AS89-AS$165,"")</f>
        <v/>
      </c>
      <c r="BW89" s="1" t="str">
        <f>IF(AT89&gt;AT$165, AT89-AT$165,"")</f>
        <v/>
      </c>
      <c r="BX89" s="1" t="str">
        <f>IF(AU89&gt;AU$165, AU89-AU$165,"")</f>
        <v/>
      </c>
      <c r="BY89" s="1" t="str">
        <f>IF(AV89&gt;AV$165, AV89-AV$165,"")</f>
        <v/>
      </c>
      <c r="BZ89" s="1" t="str">
        <f>IF(AW89&gt;AW$165, AW89-AW$165,"")</f>
        <v/>
      </c>
      <c r="CA89" s="1" t="str">
        <f>IF(AX89&gt;AX$165, AX89-AX$165,"")</f>
        <v/>
      </c>
      <c r="CB89" s="1" t="str">
        <f>IF(AY89&gt;AY$165, AY89-AY$165,"")</f>
        <v/>
      </c>
      <c r="CC89" s="1" t="str">
        <f>IF(AZ89&gt;AZ$165, AZ89-AZ$165,"")</f>
        <v/>
      </c>
      <c r="CD89" s="1" t="str">
        <f>IF(BA89&gt;BA$165, BA89-BA$165,"")</f>
        <v/>
      </c>
      <c r="CE89" s="1" t="str">
        <f>IF(BB89&gt;BB$165, BB89-BB$165,"")</f>
        <v/>
      </c>
      <c r="CF89" s="1">
        <f>COUNTIF(BT89:CE89, "&gt;0")</f>
        <v>0</v>
      </c>
      <c r="CG89" s="1" t="str">
        <f>IF($CF89=1,BT89,"")</f>
        <v/>
      </c>
      <c r="CH89" s="1" t="str">
        <f>IF($CF89=1,BU89,"")</f>
        <v/>
      </c>
      <c r="CI89" s="1" t="str">
        <f>IF($CF89=1,BV89,"")</f>
        <v/>
      </c>
      <c r="CJ89" s="1" t="str">
        <f>IF($CF89=1,BW89,"")</f>
        <v/>
      </c>
      <c r="CK89" s="1" t="str">
        <f>IF($CF89=1,BX89,"")</f>
        <v/>
      </c>
      <c r="CL89" s="1" t="str">
        <f>IF($CF89=1,BY89,"")</f>
        <v/>
      </c>
      <c r="CM89" s="1" t="str">
        <f>IF($CF89=1,BZ89,"")</f>
        <v/>
      </c>
      <c r="CN89" s="1" t="str">
        <f>IF($CF89=1,CA89,"")</f>
        <v/>
      </c>
      <c r="CO89" s="1" t="str">
        <f>IF($CF89=1,CB89,"")</f>
        <v/>
      </c>
      <c r="CP89" s="1" t="str">
        <f>IF($CF89=1,CC89,"")</f>
        <v/>
      </c>
      <c r="CQ89" s="1" t="str">
        <f>IF($CF89=1,CD89,"")</f>
        <v/>
      </c>
      <c r="CR89" s="1" t="str">
        <f>IF($CF89=1,CE89,"")</f>
        <v/>
      </c>
      <c r="CS89" s="18">
        <f>SUM(AE89:BO89)</f>
        <v>5</v>
      </c>
    </row>
    <row r="90" spans="1:97" x14ac:dyDescent="0.15">
      <c r="A90" s="1">
        <v>90</v>
      </c>
      <c r="B90" s="3" t="s">
        <v>91</v>
      </c>
      <c r="C90" s="3" t="s">
        <v>90</v>
      </c>
      <c r="D90" s="1" t="s">
        <v>24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>
        <v>5</v>
      </c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5</v>
      </c>
      <c r="BQ90" s="1">
        <v>5</v>
      </c>
      <c r="BR90" s="17">
        <v>1</v>
      </c>
      <c r="BS90" s="17" t="s">
        <v>126</v>
      </c>
      <c r="BT90" s="1" t="str">
        <f>IF(AQ90&gt;AQ$165, AQ90-AQ$165,"")</f>
        <v/>
      </c>
      <c r="BU90" s="1" t="str">
        <f>IF(AR90&gt;AR$165, AR90-AR$165,"")</f>
        <v/>
      </c>
      <c r="BV90" s="1" t="str">
        <f>IF(AS90&gt;AS$165, AS90-AS$165,"")</f>
        <v/>
      </c>
      <c r="BW90" s="1" t="str">
        <f>IF(AT90&gt;AT$165, AT90-AT$165,"")</f>
        <v/>
      </c>
      <c r="BX90" s="1" t="str">
        <f>IF(AU90&gt;AU$165, AU90-AU$165,"")</f>
        <v/>
      </c>
      <c r="BY90" s="1" t="str">
        <f>IF(AV90&gt;AV$165, AV90-AV$165,"")</f>
        <v/>
      </c>
      <c r="BZ90" s="1" t="str">
        <f>IF(AW90&gt;AW$165, AW90-AW$165,"")</f>
        <v/>
      </c>
      <c r="CA90" s="1" t="str">
        <f>IF(AX90&gt;AX$165, AX90-AX$165,"")</f>
        <v/>
      </c>
      <c r="CB90" s="1" t="str">
        <f>IF(AY90&gt;AY$165, AY90-AY$165,"")</f>
        <v/>
      </c>
      <c r="CC90" s="1" t="str">
        <f>IF(AZ90&gt;AZ$165, AZ90-AZ$165,"")</f>
        <v/>
      </c>
      <c r="CD90" s="1" t="str">
        <f>IF(BA90&gt;BA$165, BA90-BA$165,"")</f>
        <v/>
      </c>
      <c r="CE90" s="1" t="str">
        <f>IF(BB90&gt;BB$165, BB90-BB$165,"")</f>
        <v/>
      </c>
      <c r="CF90" s="1">
        <f>COUNTIF(BT90:CE90, "&gt;0")</f>
        <v>0</v>
      </c>
      <c r="CG90" s="1" t="str">
        <f>IF($CF90=1,BT90,"")</f>
        <v/>
      </c>
      <c r="CH90" s="1" t="str">
        <f>IF($CF90=1,BU90,"")</f>
        <v/>
      </c>
      <c r="CI90" s="1" t="str">
        <f>IF($CF90=1,BV90,"")</f>
        <v/>
      </c>
      <c r="CJ90" s="1" t="str">
        <f>IF($CF90=1,BW90,"")</f>
        <v/>
      </c>
      <c r="CK90" s="1" t="str">
        <f>IF($CF90=1,BX90,"")</f>
        <v/>
      </c>
      <c r="CL90" s="1" t="str">
        <f>IF($CF90=1,BY90,"")</f>
        <v/>
      </c>
      <c r="CM90" s="1" t="str">
        <f>IF($CF90=1,BZ90,"")</f>
        <v/>
      </c>
      <c r="CN90" s="1" t="str">
        <f>IF($CF90=1,CA90,"")</f>
        <v/>
      </c>
      <c r="CO90" s="1" t="str">
        <f>IF($CF90=1,CB90,"")</f>
        <v/>
      </c>
      <c r="CP90" s="1" t="str">
        <f>IF($CF90=1,CC90,"")</f>
        <v/>
      </c>
      <c r="CQ90" s="1" t="str">
        <f>IF($CF90=1,CD90,"")</f>
        <v/>
      </c>
      <c r="CR90" s="1" t="str">
        <f>IF($CF90=1,CE90,"")</f>
        <v/>
      </c>
      <c r="CS90" s="18">
        <f>SUM(AE90:BO90)</f>
        <v>5</v>
      </c>
    </row>
    <row r="91" spans="1:97" x14ac:dyDescent="0.15">
      <c r="A91" s="1"/>
      <c r="B91" s="1" t="s">
        <v>157</v>
      </c>
      <c r="C91" s="1" t="s">
        <v>153</v>
      </c>
      <c r="D91" s="1" t="s">
        <v>147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1"/>
      <c r="AF91" s="1"/>
      <c r="AG91" s="1"/>
      <c r="AH91" s="1">
        <v>5</v>
      </c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5</v>
      </c>
      <c r="BR91" s="17">
        <v>1</v>
      </c>
      <c r="BS91" s="17" t="s">
        <v>125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x14ac:dyDescent="0.15">
      <c r="A92" s="1"/>
      <c r="B92" s="1" t="s">
        <v>157</v>
      </c>
      <c r="C92" s="1" t="s">
        <v>153</v>
      </c>
      <c r="D92" s="1" t="s">
        <v>140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1"/>
      <c r="AF92" s="1"/>
      <c r="AG92" s="1"/>
      <c r="AH92" s="1"/>
      <c r="AI92" s="1">
        <v>5</v>
      </c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v>5</v>
      </c>
      <c r="BR92" s="17">
        <v>1</v>
      </c>
      <c r="BS92" s="17" t="s">
        <v>124</v>
      </c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x14ac:dyDescent="0.15">
      <c r="A93" s="1">
        <v>78</v>
      </c>
      <c r="B93" s="3" t="s">
        <v>73</v>
      </c>
      <c r="C93" s="3" t="s">
        <v>71</v>
      </c>
      <c r="D93" s="1" t="s">
        <v>1</v>
      </c>
      <c r="E93" s="6"/>
      <c r="F93" s="6"/>
      <c r="G93" s="6">
        <v>15</v>
      </c>
      <c r="H93" s="6">
        <v>15</v>
      </c>
      <c r="I93" s="6"/>
      <c r="J93" s="6"/>
      <c r="K93" s="6"/>
      <c r="L93" s="6"/>
      <c r="M93" s="6"/>
      <c r="N93" s="6"/>
      <c r="O93" s="6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>
        <v>15</v>
      </c>
      <c r="BB93" s="2">
        <v>15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7</v>
      </c>
      <c r="BR93" s="17">
        <v>1</v>
      </c>
      <c r="BS93" s="17" t="s">
        <v>234</v>
      </c>
      <c r="BT93" s="1" t="str">
        <f>IF(AQ93&gt;AQ$165, AQ93-AQ$165,"")</f>
        <v/>
      </c>
      <c r="BU93" s="1" t="str">
        <f>IF(AR93&gt;AR$165, AR93-AR$165,"")</f>
        <v/>
      </c>
      <c r="BV93" s="1" t="str">
        <f>IF(AS93&gt;AS$165, AS93-AS$165,"")</f>
        <v/>
      </c>
      <c r="BW93" s="1" t="str">
        <f>IF(AT93&gt;AT$165, AT93-AT$165,"")</f>
        <v/>
      </c>
      <c r="BX93" s="1" t="str">
        <f>IF(AU93&gt;AU$165, AU93-AU$165,"")</f>
        <v/>
      </c>
      <c r="BY93" s="1" t="str">
        <f>IF(AV93&gt;AV$165, AV93-AV$165,"")</f>
        <v/>
      </c>
      <c r="BZ93" s="1" t="str">
        <f>IF(AW93&gt;AW$165, AW93-AW$165,"")</f>
        <v/>
      </c>
      <c r="CA93" s="1" t="str">
        <f>IF(AX93&gt;AX$165, AX93-AX$165,"")</f>
        <v/>
      </c>
      <c r="CB93" s="1" t="str">
        <f>IF(AY93&gt;AY$165, AY93-AY$165,"")</f>
        <v/>
      </c>
      <c r="CC93" s="1" t="str">
        <f>IF(AZ93&gt;AZ$165, AZ93-AZ$165,"")</f>
        <v/>
      </c>
      <c r="CD93" s="1" t="str">
        <f>IF(BA93&gt;BA$165, BA93-BA$165,"")</f>
        <v/>
      </c>
      <c r="CE93" s="1" t="str">
        <f>IF(BB93&gt;BB$165, BB93-BB$165,"")</f>
        <v/>
      </c>
      <c r="CF93" s="1">
        <f>COUNTIF(BT93:CE93, "&gt;0")</f>
        <v>0</v>
      </c>
      <c r="CG93" s="1" t="str">
        <f>IF($CF93=1,BT93,"")</f>
        <v/>
      </c>
      <c r="CH93" s="1" t="str">
        <f>IF($CF93=1,BU93,"")</f>
        <v/>
      </c>
      <c r="CI93" s="1" t="str">
        <f>IF($CF93=1,BV93,"")</f>
        <v/>
      </c>
      <c r="CJ93" s="1" t="str">
        <f>IF($CF93=1,BW93,"")</f>
        <v/>
      </c>
      <c r="CK93" s="1" t="str">
        <f>IF($CF93=1,BX93,"")</f>
        <v/>
      </c>
      <c r="CL93" s="1" t="str">
        <f>IF($CF93=1,BY93,"")</f>
        <v/>
      </c>
      <c r="CM93" s="1" t="str">
        <f>IF($CF93=1,BZ93,"")</f>
        <v/>
      </c>
      <c r="CN93" s="1" t="str">
        <f>IF($CF93=1,CA93,"")</f>
        <v/>
      </c>
      <c r="CO93" s="1" t="str">
        <f>IF($CF93=1,CB93,"")</f>
        <v/>
      </c>
      <c r="CP93" s="1" t="str">
        <f>IF($CF93=1,CC93,"")</f>
        <v/>
      </c>
      <c r="CQ93" s="1" t="str">
        <f>IF($CF93=1,CD93,"")</f>
        <v/>
      </c>
      <c r="CR93" s="1" t="str">
        <f>IF($CF93=1,CE93,"")</f>
        <v/>
      </c>
      <c r="CS93" s="18">
        <f>SUM(AE93:BO93)</f>
        <v>30</v>
      </c>
    </row>
    <row r="94" spans="1:97" x14ac:dyDescent="0.15">
      <c r="A94" s="1"/>
      <c r="B94" s="1" t="s">
        <v>167</v>
      </c>
      <c r="C94" s="1" t="s">
        <v>166</v>
      </c>
      <c r="D94" s="1" t="s">
        <v>139</v>
      </c>
      <c r="E94" s="6"/>
      <c r="F94" s="6"/>
      <c r="G94" s="6">
        <v>15</v>
      </c>
      <c r="H94" s="6">
        <v>15</v>
      </c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>
        <v>15</v>
      </c>
      <c r="BB94" s="2">
        <v>15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7</v>
      </c>
      <c r="BR94" s="17">
        <v>1</v>
      </c>
      <c r="BS94" s="17" t="s">
        <v>234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x14ac:dyDescent="0.15">
      <c r="A95" s="1">
        <v>1</v>
      </c>
      <c r="B95" s="1" t="s">
        <v>0</v>
      </c>
      <c r="C95" s="1" t="s">
        <v>2</v>
      </c>
      <c r="D95" s="1" t="s">
        <v>1</v>
      </c>
      <c r="E95" s="6">
        <v>10</v>
      </c>
      <c r="F95" s="6">
        <v>10</v>
      </c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>
        <v>10</v>
      </c>
      <c r="AS95" s="4"/>
      <c r="AT95" s="4"/>
      <c r="AU95" s="4"/>
      <c r="AV95" s="4"/>
      <c r="AW95" s="2">
        <v>15</v>
      </c>
      <c r="AX95" s="2">
        <v>15</v>
      </c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60</v>
      </c>
      <c r="BQ95" s="1">
        <v>7</v>
      </c>
      <c r="BR95" s="17">
        <v>1</v>
      </c>
      <c r="BS95" s="17" t="s">
        <v>240</v>
      </c>
      <c r="BT95" s="1" t="str">
        <f>IF(AQ95&gt;AQ$165, AQ95-AQ$165,"")</f>
        <v/>
      </c>
      <c r="BU95" s="1" t="str">
        <f>IF(AR95&gt;AR$165, AR95-AR$165,"")</f>
        <v/>
      </c>
      <c r="BV95" s="1" t="str">
        <f>IF(AS95&gt;AS$165, AS95-AS$165,"")</f>
        <v/>
      </c>
      <c r="BW95" s="1" t="str">
        <f>IF(AT95&gt;AT$165, AT95-AT$165,"")</f>
        <v/>
      </c>
      <c r="BX95" s="1" t="str">
        <f>IF(AU95&gt;AU$165, AU95-AU$165,"")</f>
        <v/>
      </c>
      <c r="BY95" s="1" t="str">
        <f>IF(AV95&gt;AV$165, AV95-AV$165,"")</f>
        <v/>
      </c>
      <c r="BZ95" s="1" t="str">
        <f>IF(AW95&gt;AW$165, AW95-AW$165,"")</f>
        <v/>
      </c>
      <c r="CA95" s="1" t="str">
        <f>IF(AX95&gt;AX$165, AX95-AX$165,"")</f>
        <v/>
      </c>
      <c r="CB95" s="1" t="str">
        <f>IF(AY95&gt;AY$165, AY95-AY$165,"")</f>
        <v/>
      </c>
      <c r="CC95" s="1" t="str">
        <f>IF(AZ95&gt;AZ$165, AZ95-AZ$165,"")</f>
        <v/>
      </c>
      <c r="CD95" s="1" t="str">
        <f>IF(BA95&gt;BA$165, BA95-BA$165,"")</f>
        <v/>
      </c>
      <c r="CE95" s="1" t="str">
        <f>IF(BB95&gt;BB$165, BB95-BB$165,"")</f>
        <v/>
      </c>
      <c r="CF95" s="1">
        <f>COUNTIF(BT95:CE95, "&gt;0")</f>
        <v>0</v>
      </c>
      <c r="CG95" s="1" t="str">
        <f>IF($CF95=1,BT95,"")</f>
        <v/>
      </c>
      <c r="CH95" s="1" t="str">
        <f>IF($CF95=1,BU95,"")</f>
        <v/>
      </c>
      <c r="CI95" s="1" t="str">
        <f>IF($CF95=1,BV95,"")</f>
        <v/>
      </c>
      <c r="CJ95" s="1" t="str">
        <f>IF($CF95=1,BW95,"")</f>
        <v/>
      </c>
      <c r="CK95" s="1" t="str">
        <f>IF($CF95=1,BX95,"")</f>
        <v/>
      </c>
      <c r="CL95" s="1" t="str">
        <f>IF($CF95=1,BY95,"")</f>
        <v/>
      </c>
      <c r="CM95" s="1" t="str">
        <f>IF($CF95=1,BZ95,"")</f>
        <v/>
      </c>
      <c r="CN95" s="1" t="str">
        <f>IF($CF95=1,CA95,"")</f>
        <v/>
      </c>
      <c r="CO95" s="1" t="str">
        <f>IF($CF95=1,CB95,"")</f>
        <v/>
      </c>
      <c r="CP95" s="1" t="str">
        <f>IF($CF95=1,CC95,"")</f>
        <v/>
      </c>
      <c r="CQ95" s="1" t="str">
        <f>IF($CF95=1,CD95,"")</f>
        <v/>
      </c>
      <c r="CR95" s="1" t="str">
        <f>IF($CF95=1,CE95,"")</f>
        <v/>
      </c>
      <c r="CS95" s="18">
        <f>SUM(AE95:BO95)</f>
        <v>40</v>
      </c>
    </row>
    <row r="96" spans="1:97" x14ac:dyDescent="0.15">
      <c r="A96" s="1">
        <v>97</v>
      </c>
      <c r="B96" s="3" t="s">
        <v>79</v>
      </c>
      <c r="C96" s="3" t="s">
        <v>78</v>
      </c>
      <c r="D96" s="1" t="s">
        <v>24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1">
        <v>10</v>
      </c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10</v>
      </c>
      <c r="BQ96" s="1">
        <v>8</v>
      </c>
      <c r="BR96" s="17">
        <v>1</v>
      </c>
      <c r="BS96" s="17" t="s">
        <v>136</v>
      </c>
      <c r="BT96" s="1" t="str">
        <f>IF(AQ96&gt;AQ$165, AQ96-AQ$165,"")</f>
        <v/>
      </c>
      <c r="BU96" s="1" t="str">
        <f>IF(AR96&gt;AR$165, AR96-AR$165,"")</f>
        <v/>
      </c>
      <c r="BV96" s="1" t="str">
        <f>IF(AS96&gt;AS$165, AS96-AS$165,"")</f>
        <v/>
      </c>
      <c r="BW96" s="1" t="str">
        <f>IF(AT96&gt;AT$165, AT96-AT$165,"")</f>
        <v/>
      </c>
      <c r="BX96" s="1" t="str">
        <f>IF(AU96&gt;AU$165, AU96-AU$165,"")</f>
        <v/>
      </c>
      <c r="BY96" s="1" t="str">
        <f>IF(AV96&gt;AV$165, AV96-AV$165,"")</f>
        <v/>
      </c>
      <c r="BZ96" s="1" t="str">
        <f>IF(AW96&gt;AW$165, AW96-AW$165,"")</f>
        <v/>
      </c>
      <c r="CA96" s="1" t="str">
        <f>IF(AX96&gt;AX$165, AX96-AX$165,"")</f>
        <v/>
      </c>
      <c r="CB96" s="1" t="str">
        <f>IF(AY96&gt;AY$165, AY96-AY$165,"")</f>
        <v/>
      </c>
      <c r="CC96" s="1" t="str">
        <f>IF(AZ96&gt;AZ$165, AZ96-AZ$165,"")</f>
        <v/>
      </c>
      <c r="CD96" s="1" t="str">
        <f>IF(BA96&gt;BA$165, BA96-BA$165,"")</f>
        <v/>
      </c>
      <c r="CE96" s="1" t="str">
        <f>IF(BB96&gt;BB$165, BB96-BB$165,"")</f>
        <v/>
      </c>
      <c r="CF96" s="1">
        <f>COUNTIF(BT96:CE96, "&gt;0")</f>
        <v>0</v>
      </c>
      <c r="CG96" s="1" t="str">
        <f>IF($CF96=1,BT96,"")</f>
        <v/>
      </c>
      <c r="CH96" s="1" t="str">
        <f>IF($CF96=1,BU96,"")</f>
        <v/>
      </c>
      <c r="CI96" s="1" t="str">
        <f>IF($CF96=1,BV96,"")</f>
        <v/>
      </c>
      <c r="CJ96" s="1" t="str">
        <f>IF($CF96=1,BW96,"")</f>
        <v/>
      </c>
      <c r="CK96" s="1" t="str">
        <f>IF($CF96=1,BX96,"")</f>
        <v/>
      </c>
      <c r="CL96" s="1" t="str">
        <f>IF($CF96=1,BY96,"")</f>
        <v/>
      </c>
      <c r="CM96" s="1" t="str">
        <f>IF($CF96=1,BZ96,"")</f>
        <v/>
      </c>
      <c r="CN96" s="1" t="str">
        <f>IF($CF96=1,CA96,"")</f>
        <v/>
      </c>
      <c r="CO96" s="1" t="str">
        <f>IF($CF96=1,CB96,"")</f>
        <v/>
      </c>
      <c r="CP96" s="1" t="str">
        <f>IF($CF96=1,CC96,"")</f>
        <v/>
      </c>
      <c r="CQ96" s="1" t="str">
        <f>IF($CF96=1,CD96,"")</f>
        <v/>
      </c>
      <c r="CR96" s="1" t="str">
        <f>IF($CF96=1,CE96,"")</f>
        <v/>
      </c>
      <c r="CS96" s="18">
        <f>SUM(AE96:BO96)</f>
        <v>10</v>
      </c>
    </row>
    <row r="97" spans="1:97" x14ac:dyDescent="0.15">
      <c r="A97" s="1">
        <v>21</v>
      </c>
      <c r="B97" s="1" t="s">
        <v>39</v>
      </c>
      <c r="C97" s="1" t="s">
        <v>32</v>
      </c>
      <c r="D97" s="1" t="s">
        <v>26</v>
      </c>
      <c r="E97" s="6"/>
      <c r="F97" s="6"/>
      <c r="G97" s="6">
        <v>6</v>
      </c>
      <c r="H97" s="6">
        <v>6</v>
      </c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>
        <v>10</v>
      </c>
      <c r="AT97" s="4"/>
      <c r="AU97" s="4"/>
      <c r="AV97" s="4"/>
      <c r="AW97" s="2"/>
      <c r="AX97" s="2"/>
      <c r="AY97" s="2"/>
      <c r="AZ97" s="2"/>
      <c r="BA97" s="2"/>
      <c r="BB97" s="2">
        <v>10</v>
      </c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32</v>
      </c>
      <c r="BQ97" s="1">
        <v>10</v>
      </c>
      <c r="BR97" s="17">
        <v>1</v>
      </c>
      <c r="BS97" s="17" t="s">
        <v>237</v>
      </c>
      <c r="BT97" s="1" t="str">
        <f>IF(AQ97&gt;AQ$165, AQ97-AQ$165,"")</f>
        <v/>
      </c>
      <c r="BU97" s="1" t="str">
        <f>IF(AR97&gt;AR$165, AR97-AR$165,"")</f>
        <v/>
      </c>
      <c r="BV97" s="1">
        <f>IF(AS97&gt;AS$165, AS97-AS$165,"")</f>
        <v>10</v>
      </c>
      <c r="BW97" s="1" t="str">
        <f>IF(AT97&gt;AT$165, AT97-AT$165,"")</f>
        <v/>
      </c>
      <c r="BX97" s="1" t="str">
        <f>IF(AU97&gt;AU$165, AU97-AU$165,"")</f>
        <v/>
      </c>
      <c r="BY97" s="1" t="str">
        <f>IF(AV97&gt;AV$165, AV97-AV$165,"")</f>
        <v/>
      </c>
      <c r="BZ97" s="1" t="str">
        <f>IF(AW97&gt;AW$165, AW97-AW$165,"")</f>
        <v/>
      </c>
      <c r="CA97" s="1" t="str">
        <f>IF(AX97&gt;AX$165, AX97-AX$165,"")</f>
        <v/>
      </c>
      <c r="CB97" s="1" t="str">
        <f>IF(AY97&gt;AY$165, AY97-AY$165,"")</f>
        <v/>
      </c>
      <c r="CC97" s="1" t="str">
        <f>IF(AZ97&gt;AZ$165, AZ97-AZ$165,"")</f>
        <v/>
      </c>
      <c r="CD97" s="1" t="str">
        <f>IF(BA97&gt;BA$165, BA97-BA$165,"")</f>
        <v/>
      </c>
      <c r="CE97" s="1" t="str">
        <f>IF(BB97&gt;BB$165, BB97-BB$165,"")</f>
        <v/>
      </c>
      <c r="CF97" s="1">
        <f>COUNTIF(BT97:CE97, "&gt;0")</f>
        <v>1</v>
      </c>
      <c r="CG97" s="1" t="str">
        <f>IF($CF97=1,BT97,"")</f>
        <v/>
      </c>
      <c r="CH97" s="1" t="str">
        <f>IF($CF97=1,BU97,"")</f>
        <v/>
      </c>
      <c r="CI97" s="1">
        <f>IF($CF97=1,BV97,"")</f>
        <v>10</v>
      </c>
      <c r="CJ97" s="1" t="str">
        <f>IF($CF97=1,BW97,"")</f>
        <v/>
      </c>
      <c r="CK97" s="1" t="str">
        <f>IF($CF97=1,BX97,"")</f>
        <v/>
      </c>
      <c r="CL97" s="1" t="str">
        <f>IF($CF97=1,BY97,"")</f>
        <v/>
      </c>
      <c r="CM97" s="1" t="str">
        <f>IF($CF97=1,BZ97,"")</f>
        <v/>
      </c>
      <c r="CN97" s="1" t="str">
        <f>IF($CF97=1,CA97,"")</f>
        <v/>
      </c>
      <c r="CO97" s="1" t="str">
        <f>IF($CF97=1,CB97,"")</f>
        <v/>
      </c>
      <c r="CP97" s="1" t="str">
        <f>IF($CF97=1,CC97,"")</f>
        <v/>
      </c>
      <c r="CQ97" s="1" t="str">
        <f>IF($CF97=1,CD97,"")</f>
        <v/>
      </c>
      <c r="CR97" s="1" t="str">
        <f>IF($CF97=1,CE97,"")</f>
        <v/>
      </c>
      <c r="CS97" s="18">
        <f>SUM(AE97:BO97)</f>
        <v>20</v>
      </c>
    </row>
    <row r="98" spans="1:97" x14ac:dyDescent="0.15">
      <c r="A98" s="1"/>
      <c r="B98" s="1" t="s">
        <v>145</v>
      </c>
      <c r="C98" s="1" t="s">
        <v>142</v>
      </c>
      <c r="D98" s="1" t="s">
        <v>139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>
        <v>10</v>
      </c>
      <c r="AT98" s="4"/>
      <c r="AU98" s="4"/>
      <c r="AV98" s="4"/>
      <c r="AW98" s="2"/>
      <c r="AX98" s="2"/>
      <c r="AY98" s="2"/>
      <c r="AZ98" s="2"/>
      <c r="BA98" s="2"/>
      <c r="BB98" s="2">
        <v>10</v>
      </c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v>10</v>
      </c>
      <c r="BR98" s="17">
        <v>1</v>
      </c>
      <c r="BS98" s="17" t="s">
        <v>237</v>
      </c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x14ac:dyDescent="0.15">
      <c r="A99" s="1">
        <v>2</v>
      </c>
      <c r="B99" s="1" t="s">
        <v>8</v>
      </c>
      <c r="C99" s="1" t="s">
        <v>2</v>
      </c>
      <c r="D99" s="1" t="s">
        <v>1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>
        <v>15</v>
      </c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>
        <v>15</v>
      </c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30</v>
      </c>
      <c r="BQ99" s="1">
        <v>13</v>
      </c>
      <c r="BR99" s="17">
        <v>1</v>
      </c>
      <c r="BS99" s="17" t="s">
        <v>127</v>
      </c>
      <c r="BT99" s="1" t="str">
        <f>IF(AQ99&gt;AQ$165, AQ99-AQ$165,"")</f>
        <v/>
      </c>
      <c r="BU99" s="1" t="str">
        <f>IF(AR99&gt;AR$165, AR99-AR$165,"")</f>
        <v/>
      </c>
      <c r="BV99" s="1" t="str">
        <f>IF(AS99&gt;AS$165, AS99-AS$165,"")</f>
        <v/>
      </c>
      <c r="BW99" s="1" t="str">
        <f>IF(AT99&gt;AT$165, AT99-AT$165,"")</f>
        <v/>
      </c>
      <c r="BX99" s="1" t="str">
        <f>IF(AU99&gt;AU$165, AU99-AU$165,"")</f>
        <v/>
      </c>
      <c r="BY99" s="1" t="str">
        <f>IF(AV99&gt;AV$165, AV99-AV$165,"")</f>
        <v/>
      </c>
      <c r="BZ99" s="1" t="str">
        <f>IF(AW99&gt;AW$165, AW99-AW$165,"")</f>
        <v/>
      </c>
      <c r="CA99" s="1" t="str">
        <f>IF(AX99&gt;AX$165, AX99-AX$165,"")</f>
        <v/>
      </c>
      <c r="CB99" s="1" t="str">
        <f>IF(AY99&gt;AY$165, AY99-AY$165,"")</f>
        <v/>
      </c>
      <c r="CC99" s="1" t="str">
        <f>IF(AZ99&gt;AZ$165, AZ99-AZ$165,"")</f>
        <v/>
      </c>
      <c r="CD99" s="1" t="str">
        <f>IF(BA99&gt;BA$165, BA99-BA$165,"")</f>
        <v/>
      </c>
      <c r="CE99" s="1" t="str">
        <f>IF(BB99&gt;BB$165, BB99-BB$165,"")</f>
        <v/>
      </c>
      <c r="CF99" s="1">
        <f>COUNTIF(BT99:CE99, "&gt;0")</f>
        <v>0</v>
      </c>
      <c r="CG99" s="1" t="str">
        <f>IF($CF99=1,BT99,"")</f>
        <v/>
      </c>
      <c r="CH99" s="1" t="str">
        <f>IF($CF99=1,BU99,"")</f>
        <v/>
      </c>
      <c r="CI99" s="1" t="str">
        <f>IF($CF99=1,BV99,"")</f>
        <v/>
      </c>
      <c r="CJ99" s="1" t="str">
        <f>IF($CF99=1,BW99,"")</f>
        <v/>
      </c>
      <c r="CK99" s="1" t="str">
        <f>IF($CF99=1,BX99,"")</f>
        <v/>
      </c>
      <c r="CL99" s="1" t="str">
        <f>IF($CF99=1,BY99,"")</f>
        <v/>
      </c>
      <c r="CM99" s="1" t="str">
        <f>IF($CF99=1,BZ99,"")</f>
        <v/>
      </c>
      <c r="CN99" s="1" t="str">
        <f>IF($CF99=1,CA99,"")</f>
        <v/>
      </c>
      <c r="CO99" s="1" t="str">
        <f>IF($CF99=1,CB99,"")</f>
        <v/>
      </c>
      <c r="CP99" s="1" t="str">
        <f>IF($CF99=1,CC99,"")</f>
        <v/>
      </c>
      <c r="CQ99" s="1" t="str">
        <f>IF($CF99=1,CD99,"")</f>
        <v/>
      </c>
      <c r="CR99" s="1" t="str">
        <f>IF($CF99=1,CE99,"")</f>
        <v/>
      </c>
      <c r="CS99" s="18">
        <f>SUM(AE99:BO99)</f>
        <v>30</v>
      </c>
    </row>
    <row r="100" spans="1:97" x14ac:dyDescent="0.15">
      <c r="A100" s="1">
        <v>62</v>
      </c>
      <c r="B100" s="1" t="s">
        <v>119</v>
      </c>
      <c r="C100" s="1" t="s">
        <v>62</v>
      </c>
      <c r="D100" s="1" t="s">
        <v>1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>
        <v>15</v>
      </c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15</v>
      </c>
      <c r="BQ100" s="1">
        <v>15</v>
      </c>
      <c r="BR100" s="17">
        <v>1</v>
      </c>
      <c r="BS100" s="17" t="s">
        <v>128</v>
      </c>
      <c r="BT100" s="1" t="str">
        <f>IF(AQ100&gt;AQ$165, AQ100-AQ$165,"")</f>
        <v/>
      </c>
      <c r="BU100" s="1" t="str">
        <f>IF(AR100&gt;AR$165, AR100-AR$165,"")</f>
        <v/>
      </c>
      <c r="BV100" s="1" t="str">
        <f>IF(AS100&gt;AS$165, AS100-AS$165,"")</f>
        <v/>
      </c>
      <c r="BW100" s="1" t="str">
        <f>IF(AT100&gt;AT$165, AT100-AT$165,"")</f>
        <v/>
      </c>
      <c r="BX100" s="1" t="str">
        <f>IF(AU100&gt;AU$165, AU100-AU$165,"")</f>
        <v/>
      </c>
      <c r="BY100" s="1" t="str">
        <f>IF(AV100&gt;AV$165, AV100-AV$165,"")</f>
        <v/>
      </c>
      <c r="BZ100" s="1" t="str">
        <f>IF(AW100&gt;AW$165, AW100-AW$165,"")</f>
        <v/>
      </c>
      <c r="CA100" s="1" t="str">
        <f>IF(AX100&gt;AX$165, AX100-AX$165,"")</f>
        <v/>
      </c>
      <c r="CB100" s="1" t="str">
        <f>IF(AY100&gt;AY$165, AY100-AY$165,"")</f>
        <v/>
      </c>
      <c r="CC100" s="1" t="str">
        <f>IF(AZ100&gt;AZ$165, AZ100-AZ$165,"")</f>
        <v/>
      </c>
      <c r="CD100" s="1" t="str">
        <f>IF(BA100&gt;BA$165, BA100-BA$165,"")</f>
        <v/>
      </c>
      <c r="CE100" s="1" t="str">
        <f>IF(BB100&gt;BB$165, BB100-BB$165,"")</f>
        <v/>
      </c>
      <c r="CF100" s="1">
        <f>COUNTIF(BT100:CE100, "&gt;0")</f>
        <v>0</v>
      </c>
      <c r="CG100" s="1" t="str">
        <f>IF($CF100=1,BT100,"")</f>
        <v/>
      </c>
      <c r="CH100" s="1" t="str">
        <f>IF($CF100=1,BU100,"")</f>
        <v/>
      </c>
      <c r="CI100" s="1" t="str">
        <f>IF($CF100=1,BV100,"")</f>
        <v/>
      </c>
      <c r="CJ100" s="1" t="str">
        <f>IF($CF100=1,BW100,"")</f>
        <v/>
      </c>
      <c r="CK100" s="1" t="str">
        <f>IF($CF100=1,BX100,"")</f>
        <v/>
      </c>
      <c r="CL100" s="1" t="str">
        <f>IF($CF100=1,BY100,"")</f>
        <v/>
      </c>
      <c r="CM100" s="1" t="str">
        <f>IF($CF100=1,BZ100,"")</f>
        <v/>
      </c>
      <c r="CN100" s="1" t="str">
        <f>IF($CF100=1,CA100,"")</f>
        <v/>
      </c>
      <c r="CO100" s="1" t="str">
        <f>IF($CF100=1,CB100,"")</f>
        <v/>
      </c>
      <c r="CP100" s="1" t="str">
        <f>IF($CF100=1,CC100,"")</f>
        <v/>
      </c>
      <c r="CQ100" s="1" t="str">
        <f>IF($CF100=1,CD100,"")</f>
        <v/>
      </c>
      <c r="CR100" s="1" t="str">
        <f>IF($CF100=1,CE100,"")</f>
        <v/>
      </c>
      <c r="CS100" s="18">
        <f>SUM(AE100:BO100)</f>
        <v>15</v>
      </c>
    </row>
    <row r="101" spans="1:97" x14ac:dyDescent="0.15">
      <c r="A101" s="1">
        <v>64</v>
      </c>
      <c r="B101" s="3" t="s">
        <v>68</v>
      </c>
      <c r="C101" s="1" t="s">
        <v>62</v>
      </c>
      <c r="D101" s="1" t="s">
        <v>1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>
        <v>15</v>
      </c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15</v>
      </c>
      <c r="BQ101" s="1">
        <v>15</v>
      </c>
      <c r="BR101" s="17">
        <v>1</v>
      </c>
      <c r="BS101" s="17" t="s">
        <v>129</v>
      </c>
      <c r="BT101" s="1" t="str">
        <f>IF(AQ101&gt;AQ$165, AQ101-AQ$165,"")</f>
        <v/>
      </c>
      <c r="BU101" s="1" t="str">
        <f>IF(AR101&gt;AR$165, AR101-AR$165,"")</f>
        <v/>
      </c>
      <c r="BV101" s="1" t="str">
        <f>IF(AS101&gt;AS$165, AS101-AS$165,"")</f>
        <v/>
      </c>
      <c r="BW101" s="1" t="str">
        <f>IF(AT101&gt;AT$165, AT101-AT$165,"")</f>
        <v/>
      </c>
      <c r="BX101" s="1" t="str">
        <f>IF(AU101&gt;AU$165, AU101-AU$165,"")</f>
        <v/>
      </c>
      <c r="BY101" s="1" t="str">
        <f>IF(AV101&gt;AV$165, AV101-AV$165,"")</f>
        <v/>
      </c>
      <c r="BZ101" s="1" t="str">
        <f>IF(AW101&gt;AW$165, AW101-AW$165,"")</f>
        <v/>
      </c>
      <c r="CA101" s="1" t="str">
        <f>IF(AX101&gt;AX$165, AX101-AX$165,"")</f>
        <v/>
      </c>
      <c r="CB101" s="1" t="str">
        <f>IF(AY101&gt;AY$165, AY101-AY$165,"")</f>
        <v/>
      </c>
      <c r="CC101" s="1" t="str">
        <f>IF(AZ101&gt;AZ$165, AZ101-AZ$165,"")</f>
        <v/>
      </c>
      <c r="CD101" s="1" t="str">
        <f>IF(BA101&gt;BA$165, BA101-BA$165,"")</f>
        <v/>
      </c>
      <c r="CE101" s="1" t="str">
        <f>IF(BB101&gt;BB$165, BB101-BB$165,"")</f>
        <v/>
      </c>
      <c r="CF101" s="1">
        <f>COUNTIF(BT101:CE101, "&gt;0")</f>
        <v>0</v>
      </c>
      <c r="CG101" s="1" t="str">
        <f>IF($CF101=1,BT101,"")</f>
        <v/>
      </c>
      <c r="CH101" s="1" t="str">
        <f>IF($CF101=1,BU101,"")</f>
        <v/>
      </c>
      <c r="CI101" s="1" t="str">
        <f>IF($CF101=1,BV101,"")</f>
        <v/>
      </c>
      <c r="CJ101" s="1" t="str">
        <f>IF($CF101=1,BW101,"")</f>
        <v/>
      </c>
      <c r="CK101" s="1" t="str">
        <f>IF($CF101=1,BX101,"")</f>
        <v/>
      </c>
      <c r="CL101" s="1" t="str">
        <f>IF($CF101=1,BY101,"")</f>
        <v/>
      </c>
      <c r="CM101" s="1" t="str">
        <f>IF($CF101=1,BZ101,"")</f>
        <v/>
      </c>
      <c r="CN101" s="1" t="str">
        <f>IF($CF101=1,CA101,"")</f>
        <v/>
      </c>
      <c r="CO101" s="1" t="str">
        <f>IF($CF101=1,CB101,"")</f>
        <v/>
      </c>
      <c r="CP101" s="1" t="str">
        <f>IF($CF101=1,CC101,"")</f>
        <v/>
      </c>
      <c r="CQ101" s="1" t="str">
        <f>IF($CF101=1,CD101,"")</f>
        <v/>
      </c>
      <c r="CR101" s="1" t="str">
        <f>IF($CF101=1,CE101,"")</f>
        <v/>
      </c>
      <c r="CS101" s="18">
        <f>SUM(AE101:BO101)</f>
        <v>15</v>
      </c>
    </row>
    <row r="102" spans="1:97" x14ac:dyDescent="0.15">
      <c r="A102" s="19">
        <v>93</v>
      </c>
      <c r="B102" s="27" t="s">
        <v>92</v>
      </c>
      <c r="C102" s="27" t="s">
        <v>90</v>
      </c>
      <c r="D102" s="19" t="s">
        <v>1</v>
      </c>
      <c r="E102" s="20"/>
      <c r="F102" s="20">
        <v>20</v>
      </c>
      <c r="G102" s="20"/>
      <c r="H102" s="20"/>
      <c r="I102" s="20"/>
      <c r="J102" s="20"/>
      <c r="K102" s="20">
        <v>20</v>
      </c>
      <c r="L102" s="20"/>
      <c r="M102" s="20"/>
      <c r="N102" s="20">
        <v>20</v>
      </c>
      <c r="O102" s="20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21"/>
      <c r="AR102" s="21"/>
      <c r="AS102" s="21"/>
      <c r="AT102" s="21"/>
      <c r="AU102" s="21"/>
      <c r="AV102" s="21"/>
      <c r="AW102" s="22"/>
      <c r="AX102" s="22"/>
      <c r="AY102" s="22"/>
      <c r="AZ102" s="22"/>
      <c r="BA102" s="22"/>
      <c r="BB102" s="22"/>
      <c r="BC102" s="30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>
        <f>SUM(E102:BO102)</f>
        <v>60</v>
      </c>
      <c r="BQ102" s="19">
        <v>17</v>
      </c>
      <c r="BR102" s="23">
        <v>1</v>
      </c>
      <c r="BS102" s="23" t="s">
        <v>245</v>
      </c>
      <c r="BT102" s="19" t="str">
        <f>IF(AQ102&gt;AQ$165, AQ102-AQ$165,"")</f>
        <v/>
      </c>
      <c r="BU102" s="19" t="str">
        <f>IF(AR102&gt;AR$165, AR102-AR$165,"")</f>
        <v/>
      </c>
      <c r="BV102" s="19" t="str">
        <f>IF(AS102&gt;AS$165, AS102-AS$165,"")</f>
        <v/>
      </c>
      <c r="BW102" s="19" t="str">
        <f>IF(AT102&gt;AT$165, AT102-AT$165,"")</f>
        <v/>
      </c>
      <c r="BX102" s="19" t="str">
        <f>IF(AU102&gt;AU$165, AU102-AU$165,"")</f>
        <v/>
      </c>
      <c r="BY102" s="19" t="str">
        <f>IF(AV102&gt;AV$165, AV102-AV$165,"")</f>
        <v/>
      </c>
      <c r="BZ102" s="19" t="str">
        <f>IF(AW102&gt;AW$165, AW102-AW$165,"")</f>
        <v/>
      </c>
      <c r="CA102" s="19" t="str">
        <f>IF(AX102&gt;AX$165, AX102-AX$165,"")</f>
        <v/>
      </c>
      <c r="CB102" s="19" t="str">
        <f>IF(AY102&gt;AY$165, AY102-AY$165,"")</f>
        <v/>
      </c>
      <c r="CC102" s="19" t="str">
        <f>IF(AZ102&gt;AZ$165, AZ102-AZ$165,"")</f>
        <v/>
      </c>
      <c r="CD102" s="19" t="str">
        <f>IF(BA102&gt;BA$165, BA102-BA$165,"")</f>
        <v/>
      </c>
      <c r="CE102" s="19" t="str">
        <f>IF(BB102&gt;BB$165, BB102-BB$165,"")</f>
        <v/>
      </c>
      <c r="CF102" s="19">
        <f>COUNTIF(BT102:CE102, "&gt;0")</f>
        <v>0</v>
      </c>
      <c r="CG102" s="19" t="str">
        <f>IF($CF102=1,BT102,"")</f>
        <v/>
      </c>
      <c r="CH102" s="19" t="str">
        <f>IF($CF102=1,BU102,"")</f>
        <v/>
      </c>
      <c r="CI102" s="19" t="str">
        <f>IF($CF102=1,BV102,"")</f>
        <v/>
      </c>
      <c r="CJ102" s="19" t="str">
        <f>IF($CF102=1,BW102,"")</f>
        <v/>
      </c>
      <c r="CK102" s="19" t="str">
        <f>IF($CF102=1,BX102,"")</f>
        <v/>
      </c>
      <c r="CL102" s="19" t="str">
        <f>IF($CF102=1,BY102,"")</f>
        <v/>
      </c>
      <c r="CM102" s="19" t="str">
        <f>IF($CF102=1,BZ102,"")</f>
        <v/>
      </c>
      <c r="CN102" s="19" t="str">
        <f>IF($CF102=1,CA102,"")</f>
        <v/>
      </c>
      <c r="CO102" s="19" t="str">
        <f>IF($CF102=1,CB102,"")</f>
        <v/>
      </c>
      <c r="CP102" s="19" t="str">
        <f>IF($CF102=1,CC102,"")</f>
        <v/>
      </c>
      <c r="CQ102" s="19" t="str">
        <f>IF($CF102=1,CD102,"")</f>
        <v/>
      </c>
      <c r="CR102" s="19" t="str">
        <f>IF($CF102=1,CE102,"")</f>
        <v/>
      </c>
      <c r="CS102" s="24">
        <f>SUM(AE102:BO102)</f>
        <v>0</v>
      </c>
    </row>
    <row r="103" spans="1:97" x14ac:dyDescent="0.15">
      <c r="A103" s="1">
        <v>65</v>
      </c>
      <c r="B103" s="3" t="s">
        <v>68</v>
      </c>
      <c r="C103" s="1" t="s">
        <v>62</v>
      </c>
      <c r="D103" s="1" t="s">
        <v>13</v>
      </c>
      <c r="E103" s="6"/>
      <c r="F103" s="6"/>
      <c r="G103" s="6">
        <v>10</v>
      </c>
      <c r="H103" s="6"/>
      <c r="I103" s="6"/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>
        <v>25</v>
      </c>
      <c r="AO103" s="1"/>
      <c r="AP103" s="1"/>
      <c r="AQ103" s="4"/>
      <c r="AR103" s="4"/>
      <c r="AS103" s="4"/>
      <c r="AT103" s="4"/>
      <c r="AU103" s="4"/>
      <c r="AV103" s="4">
        <v>10</v>
      </c>
      <c r="AW103" s="2"/>
      <c r="AX103" s="2"/>
      <c r="AY103" s="2"/>
      <c r="AZ103" s="2">
        <v>10</v>
      </c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55</v>
      </c>
      <c r="BQ103" s="1">
        <v>25</v>
      </c>
      <c r="BR103" s="17">
        <v>1</v>
      </c>
      <c r="BS103" s="17" t="s">
        <v>178</v>
      </c>
      <c r="BT103" s="1" t="str">
        <f>IF(AQ103&gt;AQ$165, AQ103-AQ$165,"")</f>
        <v/>
      </c>
      <c r="BU103" s="1" t="str">
        <f>IF(AR103&gt;AR$165, AR103-AR$165,"")</f>
        <v/>
      </c>
      <c r="BV103" s="1" t="str">
        <f>IF(AS103&gt;AS$165, AS103-AS$165,"")</f>
        <v/>
      </c>
      <c r="BW103" s="1" t="str">
        <f>IF(AT103&gt;AT$165, AT103-AT$165,"")</f>
        <v/>
      </c>
      <c r="BX103" s="1" t="str">
        <f>IF(AU103&gt;AU$165, AU103-AU$165,"")</f>
        <v/>
      </c>
      <c r="BY103" s="1" t="str">
        <f>IF(AV103&gt;AV$165, AV103-AV$165,"")</f>
        <v/>
      </c>
      <c r="BZ103" s="1" t="str">
        <f>IF(AW103&gt;AW$165, AW103-AW$165,"")</f>
        <v/>
      </c>
      <c r="CA103" s="1" t="str">
        <f>IF(AX103&gt;AX$165, AX103-AX$165,"")</f>
        <v/>
      </c>
      <c r="CB103" s="1" t="str">
        <f>IF(AY103&gt;AY$165, AY103-AY$165,"")</f>
        <v/>
      </c>
      <c r="CC103" s="1" t="str">
        <f>IF(AZ103&gt;AZ$165, AZ103-AZ$165,"")</f>
        <v/>
      </c>
      <c r="CD103" s="1" t="str">
        <f>IF(BA103&gt;BA$165, BA103-BA$165,"")</f>
        <v/>
      </c>
      <c r="CE103" s="1" t="str">
        <f>IF(BB103&gt;BB$165, BB103-BB$165,"")</f>
        <v/>
      </c>
      <c r="CF103" s="1">
        <f>COUNTIF(BT103:CE103, "&gt;0")</f>
        <v>0</v>
      </c>
      <c r="CG103" s="1" t="str">
        <f>IF($CF103=1,BT103,"")</f>
        <v/>
      </c>
      <c r="CH103" s="1" t="str">
        <f>IF($CF103=1,BU103,"")</f>
        <v/>
      </c>
      <c r="CI103" s="1" t="str">
        <f>IF($CF103=1,BV103,"")</f>
        <v/>
      </c>
      <c r="CJ103" s="1" t="str">
        <f>IF($CF103=1,BW103,"")</f>
        <v/>
      </c>
      <c r="CK103" s="1" t="str">
        <f>IF($CF103=1,BX103,"")</f>
        <v/>
      </c>
      <c r="CL103" s="1" t="str">
        <f>IF($CF103=1,BY103,"")</f>
        <v/>
      </c>
      <c r="CM103" s="1" t="str">
        <f>IF($CF103=1,BZ103,"")</f>
        <v/>
      </c>
      <c r="CN103" s="1" t="str">
        <f>IF($CF103=1,CA103,"")</f>
        <v/>
      </c>
      <c r="CO103" s="1" t="str">
        <f>IF($CF103=1,CB103,"")</f>
        <v/>
      </c>
      <c r="CP103" s="1" t="str">
        <f>IF($CF103=1,CC103,"")</f>
        <v/>
      </c>
      <c r="CQ103" s="1" t="str">
        <f>IF($CF103=1,CD103,"")</f>
        <v/>
      </c>
      <c r="CR103" s="1" t="str">
        <f>IF($CF103=1,CE103,"")</f>
        <v/>
      </c>
      <c r="CS103" s="18">
        <f>SUM(AE103:BO103)</f>
        <v>45</v>
      </c>
    </row>
    <row r="104" spans="1:97" x14ac:dyDescent="0.15">
      <c r="A104" s="1">
        <v>98</v>
      </c>
      <c r="B104" s="3" t="s">
        <v>79</v>
      </c>
      <c r="C104" s="3" t="s">
        <v>78</v>
      </c>
      <c r="D104" s="1" t="s">
        <v>1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>
        <v>50</v>
      </c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50</v>
      </c>
      <c r="BQ104" s="1">
        <v>48</v>
      </c>
      <c r="BR104" s="17">
        <v>1</v>
      </c>
      <c r="BS104" s="17" t="s">
        <v>130</v>
      </c>
      <c r="BT104" s="1" t="str">
        <f>IF(AQ104&gt;AQ$165, AQ104-AQ$165,"")</f>
        <v/>
      </c>
      <c r="BU104" s="1" t="str">
        <f>IF(AR104&gt;AR$165, AR104-AR$165,"")</f>
        <v/>
      </c>
      <c r="BV104" s="1" t="str">
        <f>IF(AS104&gt;AS$165, AS104-AS$165,"")</f>
        <v/>
      </c>
      <c r="BW104" s="1" t="str">
        <f>IF(AT104&gt;AT$165, AT104-AT$165,"")</f>
        <v/>
      </c>
      <c r="BX104" s="1" t="str">
        <f>IF(AU104&gt;AU$165, AU104-AU$165,"")</f>
        <v/>
      </c>
      <c r="BY104" s="1" t="str">
        <f>IF(AV104&gt;AV$165, AV104-AV$165,"")</f>
        <v/>
      </c>
      <c r="BZ104" s="1" t="str">
        <f>IF(AW104&gt;AW$165, AW104-AW$165,"")</f>
        <v/>
      </c>
      <c r="CA104" s="1" t="str">
        <f>IF(AX104&gt;AX$165, AX104-AX$165,"")</f>
        <v/>
      </c>
      <c r="CB104" s="1" t="str">
        <f>IF(AY104&gt;AY$165, AY104-AY$165,"")</f>
        <v/>
      </c>
      <c r="CC104" s="1" t="str">
        <f>IF(AZ104&gt;AZ$165, AZ104-AZ$165,"")</f>
        <v/>
      </c>
      <c r="CD104" s="1" t="str">
        <f>IF(BA104&gt;BA$165, BA104-BA$165,"")</f>
        <v/>
      </c>
      <c r="CE104" s="1" t="str">
        <f>IF(BB104&gt;BB$165, BB104-BB$165,"")</f>
        <v/>
      </c>
      <c r="CF104" s="1">
        <f>COUNTIF(BT104:CE104, "&gt;0")</f>
        <v>0</v>
      </c>
      <c r="CG104" s="1" t="str">
        <f>IF($CF104=1,BT104,"")</f>
        <v/>
      </c>
      <c r="CH104" s="1" t="str">
        <f>IF($CF104=1,BU104,"")</f>
        <v/>
      </c>
      <c r="CI104" s="1" t="str">
        <f>IF($CF104=1,BV104,"")</f>
        <v/>
      </c>
      <c r="CJ104" s="1" t="str">
        <f>IF($CF104=1,BW104,"")</f>
        <v/>
      </c>
      <c r="CK104" s="1" t="str">
        <f>IF($CF104=1,BX104,"")</f>
        <v/>
      </c>
      <c r="CL104" s="1" t="str">
        <f>IF($CF104=1,BY104,"")</f>
        <v/>
      </c>
      <c r="CM104" s="1" t="str">
        <f>IF($CF104=1,BZ104,"")</f>
        <v/>
      </c>
      <c r="CN104" s="1" t="str">
        <f>IF($CF104=1,CA104,"")</f>
        <v/>
      </c>
      <c r="CO104" s="1" t="str">
        <f>IF($CF104=1,CB104,"")</f>
        <v/>
      </c>
      <c r="CP104" s="1" t="str">
        <f>IF($CF104=1,CC104,"")</f>
        <v/>
      </c>
      <c r="CQ104" s="1" t="str">
        <f>IF($CF104=1,CD104,"")</f>
        <v/>
      </c>
      <c r="CR104" s="1" t="str">
        <f>IF($CF104=1,CE104,"")</f>
        <v/>
      </c>
      <c r="CS104" s="18">
        <f>SUM(AE104:BO104)</f>
        <v>50</v>
      </c>
    </row>
    <row r="105" spans="1:97" x14ac:dyDescent="0.15">
      <c r="A105" s="1">
        <v>99</v>
      </c>
      <c r="B105" s="3" t="s">
        <v>79</v>
      </c>
      <c r="C105" s="3" t="s">
        <v>78</v>
      </c>
      <c r="D105" s="1" t="s">
        <v>13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>
        <v>200</v>
      </c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200</v>
      </c>
      <c r="BQ105" s="1">
        <v>198</v>
      </c>
      <c r="BR105" s="17">
        <v>1</v>
      </c>
      <c r="BS105" s="17" t="s">
        <v>131</v>
      </c>
      <c r="BT105" s="1" t="str">
        <f>IF(AQ105&gt;AQ$165, AQ105-AQ$165,"")</f>
        <v/>
      </c>
      <c r="BU105" s="1" t="str">
        <f>IF(AR105&gt;AR$165, AR105-AR$165,"")</f>
        <v/>
      </c>
      <c r="BV105" s="1" t="str">
        <f>IF(AS105&gt;AS$165, AS105-AS$165,"")</f>
        <v/>
      </c>
      <c r="BW105" s="1" t="str">
        <f>IF(AT105&gt;AT$165, AT105-AT$165,"")</f>
        <v/>
      </c>
      <c r="BX105" s="1" t="str">
        <f>IF(AU105&gt;AU$165, AU105-AU$165,"")</f>
        <v/>
      </c>
      <c r="BY105" s="1" t="str">
        <f>IF(AV105&gt;AV$165, AV105-AV$165,"")</f>
        <v/>
      </c>
      <c r="BZ105" s="1" t="str">
        <f>IF(AW105&gt;AW$165, AW105-AW$165,"")</f>
        <v/>
      </c>
      <c r="CA105" s="1" t="str">
        <f>IF(AX105&gt;AX$165, AX105-AX$165,"")</f>
        <v/>
      </c>
      <c r="CB105" s="1" t="str">
        <f>IF(AY105&gt;AY$165, AY105-AY$165,"")</f>
        <v/>
      </c>
      <c r="CC105" s="1" t="str">
        <f>IF(AZ105&gt;AZ$165, AZ105-AZ$165,"")</f>
        <v/>
      </c>
      <c r="CD105" s="1" t="str">
        <f>IF(BA105&gt;BA$165, BA105-BA$165,"")</f>
        <v/>
      </c>
      <c r="CE105" s="1" t="str">
        <f>IF(BB105&gt;BB$165, BB105-BB$165,"")</f>
        <v/>
      </c>
      <c r="CF105" s="1">
        <f>COUNTIF(BT105:CE105, "&gt;0")</f>
        <v>0</v>
      </c>
      <c r="CG105" s="1" t="str">
        <f>IF($CF105=1,BT105,"")</f>
        <v/>
      </c>
      <c r="CH105" s="1" t="str">
        <f>IF($CF105=1,BU105,"")</f>
        <v/>
      </c>
      <c r="CI105" s="1" t="str">
        <f>IF($CF105=1,BV105,"")</f>
        <v/>
      </c>
      <c r="CJ105" s="1" t="str">
        <f>IF($CF105=1,BW105,"")</f>
        <v/>
      </c>
      <c r="CK105" s="1" t="str">
        <f>IF($CF105=1,BX105,"")</f>
        <v/>
      </c>
      <c r="CL105" s="1" t="str">
        <f>IF($CF105=1,BY105,"")</f>
        <v/>
      </c>
      <c r="CM105" s="1" t="str">
        <f>IF($CF105=1,BZ105,"")</f>
        <v/>
      </c>
      <c r="CN105" s="1" t="str">
        <f>IF($CF105=1,CA105,"")</f>
        <v/>
      </c>
      <c r="CO105" s="1" t="str">
        <f>IF($CF105=1,CB105,"")</f>
        <v/>
      </c>
      <c r="CP105" s="1" t="str">
        <f>IF($CF105=1,CC105,"")</f>
        <v/>
      </c>
      <c r="CQ105" s="1" t="str">
        <f>IF($CF105=1,CD105,"")</f>
        <v/>
      </c>
      <c r="CR105" s="1" t="str">
        <f>IF($CF105=1,CE105,"")</f>
        <v/>
      </c>
      <c r="CS105" s="18">
        <f>SUM(AE105:BO105)</f>
        <v>200</v>
      </c>
    </row>
    <row r="106" spans="1:97" ht="27" x14ac:dyDescent="0.15">
      <c r="A106" s="1"/>
      <c r="B106" s="1" t="s">
        <v>206</v>
      </c>
      <c r="C106" s="1" t="s">
        <v>205</v>
      </c>
      <c r="D106" s="1" t="s">
        <v>183</v>
      </c>
      <c r="E106" s="6">
        <v>15</v>
      </c>
      <c r="F106" s="6"/>
      <c r="G106" s="6"/>
      <c r="H106" s="6"/>
      <c r="I106" s="6"/>
      <c r="J106" s="6"/>
      <c r="K106" s="6"/>
      <c r="L106" s="6"/>
      <c r="M106" s="6">
        <v>15</v>
      </c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>
        <v>15</v>
      </c>
      <c r="AX106" s="2"/>
      <c r="AY106" s="2"/>
      <c r="AZ106" s="2"/>
      <c r="BA106" s="2">
        <v>15</v>
      </c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v>4</v>
      </c>
      <c r="BR106" s="17">
        <v>2</v>
      </c>
      <c r="BS106" s="17" t="s">
        <v>236</v>
      </c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27" x14ac:dyDescent="0.15">
      <c r="A107" s="1"/>
      <c r="B107" s="1" t="s">
        <v>180</v>
      </c>
      <c r="C107" s="1" t="s">
        <v>181</v>
      </c>
      <c r="D107" s="1" t="s">
        <v>183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2"/>
      <c r="Q107" s="32"/>
      <c r="R107" s="32"/>
      <c r="S107" s="32"/>
      <c r="T107" s="32"/>
      <c r="U107" s="32"/>
      <c r="V107" s="32">
        <v>10</v>
      </c>
      <c r="W107" s="32"/>
      <c r="X107" s="32"/>
      <c r="Y107" s="32">
        <v>10</v>
      </c>
      <c r="Z107" s="32"/>
      <c r="AA107" s="32"/>
      <c r="AB107" s="32">
        <v>10</v>
      </c>
      <c r="AC107" s="32">
        <v>5</v>
      </c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v>5</v>
      </c>
      <c r="BR107" s="17">
        <v>2</v>
      </c>
      <c r="BS107" s="17" t="s">
        <v>266</v>
      </c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27" x14ac:dyDescent="0.15">
      <c r="A108" s="1"/>
      <c r="B108" s="1" t="s">
        <v>193</v>
      </c>
      <c r="C108" s="1" t="s">
        <v>181</v>
      </c>
      <c r="D108" s="1" t="s">
        <v>182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2">
        <v>10</v>
      </c>
      <c r="Q108" s="32"/>
      <c r="R108" s="32"/>
      <c r="S108" s="32">
        <v>10</v>
      </c>
      <c r="T108" s="32"/>
      <c r="U108" s="32"/>
      <c r="V108" s="32"/>
      <c r="W108" s="32">
        <v>5</v>
      </c>
      <c r="X108" s="32"/>
      <c r="Y108" s="32"/>
      <c r="Z108" s="32"/>
      <c r="AA108" s="32"/>
      <c r="AB108" s="32">
        <v>10</v>
      </c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v>5</v>
      </c>
      <c r="BR108" s="17">
        <v>2</v>
      </c>
      <c r="BS108" s="17" t="s">
        <v>267</v>
      </c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27" x14ac:dyDescent="0.15">
      <c r="A109" s="1"/>
      <c r="B109" s="1" t="s">
        <v>198</v>
      </c>
      <c r="C109" s="1" t="s">
        <v>181</v>
      </c>
      <c r="D109" s="1" t="s">
        <v>182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2">
        <v>10</v>
      </c>
      <c r="Q109" s="32"/>
      <c r="R109" s="32"/>
      <c r="S109" s="32">
        <v>10</v>
      </c>
      <c r="T109" s="32"/>
      <c r="U109" s="32"/>
      <c r="V109" s="32"/>
      <c r="W109" s="32">
        <v>5</v>
      </c>
      <c r="X109" s="32"/>
      <c r="Y109" s="32"/>
      <c r="Z109" s="32"/>
      <c r="AA109" s="32"/>
      <c r="AB109" s="32">
        <v>10</v>
      </c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v>5</v>
      </c>
      <c r="BR109" s="17">
        <v>2</v>
      </c>
      <c r="BS109" s="17" t="s">
        <v>267</v>
      </c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27" x14ac:dyDescent="0.15">
      <c r="A110" s="1"/>
      <c r="B110" s="1" t="s">
        <v>202</v>
      </c>
      <c r="C110" s="1" t="s">
        <v>200</v>
      </c>
      <c r="D110" s="1" t="s">
        <v>182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>
        <v>10</v>
      </c>
      <c r="Q110" s="32"/>
      <c r="R110" s="32"/>
      <c r="S110" s="32">
        <v>10</v>
      </c>
      <c r="T110" s="32"/>
      <c r="U110" s="32"/>
      <c r="V110" s="32"/>
      <c r="W110" s="32">
        <v>5</v>
      </c>
      <c r="X110" s="32"/>
      <c r="Y110" s="32"/>
      <c r="Z110" s="32"/>
      <c r="AA110" s="32"/>
      <c r="AB110" s="32">
        <v>10</v>
      </c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v>5</v>
      </c>
      <c r="BR110" s="17">
        <v>2</v>
      </c>
      <c r="BS110" s="17" t="s">
        <v>267</v>
      </c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27" x14ac:dyDescent="0.15">
      <c r="A111" s="1"/>
      <c r="B111" s="1" t="s">
        <v>208</v>
      </c>
      <c r="C111" s="1" t="s">
        <v>205</v>
      </c>
      <c r="D111" s="1" t="s">
        <v>182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>
        <v>10</v>
      </c>
      <c r="Q111" s="32"/>
      <c r="R111" s="32"/>
      <c r="S111" s="32">
        <v>10</v>
      </c>
      <c r="T111" s="32"/>
      <c r="U111" s="32"/>
      <c r="V111" s="32"/>
      <c r="W111" s="32">
        <v>5</v>
      </c>
      <c r="X111" s="32"/>
      <c r="Y111" s="32"/>
      <c r="Z111" s="32"/>
      <c r="AA111" s="32"/>
      <c r="AB111" s="32">
        <v>10</v>
      </c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v>5</v>
      </c>
      <c r="BR111" s="17">
        <v>2</v>
      </c>
      <c r="BS111" s="17" t="s">
        <v>267</v>
      </c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27" x14ac:dyDescent="0.15">
      <c r="A112" s="1"/>
      <c r="B112" s="1" t="s">
        <v>210</v>
      </c>
      <c r="C112" s="1" t="s">
        <v>212</v>
      </c>
      <c r="D112" s="1" t="s">
        <v>183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/>
      <c r="Q112" s="32"/>
      <c r="R112" s="32"/>
      <c r="S112" s="32"/>
      <c r="T112" s="32"/>
      <c r="U112" s="32"/>
      <c r="V112" s="32">
        <v>10</v>
      </c>
      <c r="W112" s="32"/>
      <c r="X112" s="32"/>
      <c r="Y112" s="32">
        <v>10</v>
      </c>
      <c r="Z112" s="32"/>
      <c r="AA112" s="32"/>
      <c r="AB112" s="32">
        <v>10</v>
      </c>
      <c r="AC112" s="32">
        <v>5</v>
      </c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v>5</v>
      </c>
      <c r="BR112" s="17">
        <v>2</v>
      </c>
      <c r="BS112" s="17" t="s">
        <v>266</v>
      </c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27" x14ac:dyDescent="0.15">
      <c r="A113" s="1"/>
      <c r="B113" s="1" t="s">
        <v>218</v>
      </c>
      <c r="C113" s="1" t="s">
        <v>217</v>
      </c>
      <c r="D113" s="1" t="s">
        <v>182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>
        <v>10</v>
      </c>
      <c r="Q113" s="32"/>
      <c r="R113" s="32"/>
      <c r="S113" s="32">
        <v>10</v>
      </c>
      <c r="T113" s="32"/>
      <c r="U113" s="32"/>
      <c r="V113" s="32"/>
      <c r="W113" s="32">
        <v>5</v>
      </c>
      <c r="X113" s="32"/>
      <c r="Y113" s="32"/>
      <c r="Z113" s="32"/>
      <c r="AA113" s="32"/>
      <c r="AB113" s="32">
        <v>10</v>
      </c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v>5</v>
      </c>
      <c r="BR113" s="17">
        <v>2</v>
      </c>
      <c r="BS113" s="17" t="s">
        <v>267</v>
      </c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27" x14ac:dyDescent="0.15">
      <c r="A114" s="1"/>
      <c r="B114" s="1" t="s">
        <v>222</v>
      </c>
      <c r="C114" s="1" t="s">
        <v>217</v>
      </c>
      <c r="D114" s="1" t="s">
        <v>183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2"/>
      <c r="Q114" s="32"/>
      <c r="R114" s="32"/>
      <c r="S114" s="32"/>
      <c r="T114" s="32"/>
      <c r="U114" s="32"/>
      <c r="V114" s="32">
        <v>10</v>
      </c>
      <c r="W114" s="32"/>
      <c r="X114" s="32"/>
      <c r="Y114" s="32">
        <v>10</v>
      </c>
      <c r="Z114" s="32"/>
      <c r="AA114" s="32"/>
      <c r="AB114" s="32">
        <v>10</v>
      </c>
      <c r="AC114" s="32">
        <v>5</v>
      </c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v>5</v>
      </c>
      <c r="BR114" s="17">
        <v>2</v>
      </c>
      <c r="BS114" s="17" t="s">
        <v>266</v>
      </c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27" x14ac:dyDescent="0.15">
      <c r="A115" s="1"/>
      <c r="B115" s="1" t="s">
        <v>224</v>
      </c>
      <c r="C115" s="1" t="s">
        <v>217</v>
      </c>
      <c r="D115" s="1" t="s">
        <v>183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2"/>
      <c r="Q115" s="32"/>
      <c r="R115" s="32"/>
      <c r="S115" s="32"/>
      <c r="T115" s="32"/>
      <c r="U115" s="32"/>
      <c r="V115" s="32">
        <v>10</v>
      </c>
      <c r="W115" s="32"/>
      <c r="X115" s="32"/>
      <c r="Y115" s="32">
        <v>10</v>
      </c>
      <c r="Z115" s="32"/>
      <c r="AA115" s="32"/>
      <c r="AB115" s="32">
        <v>10</v>
      </c>
      <c r="AC115" s="32">
        <v>5</v>
      </c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v>5</v>
      </c>
      <c r="BR115" s="17">
        <v>2</v>
      </c>
      <c r="BS115" s="17" t="s">
        <v>266</v>
      </c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27" x14ac:dyDescent="0.15">
      <c r="A116" s="1"/>
      <c r="B116" s="1" t="s">
        <v>151</v>
      </c>
      <c r="C116" s="1" t="s">
        <v>142</v>
      </c>
      <c r="D116" s="1" t="s">
        <v>139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>
        <v>5</v>
      </c>
      <c r="AP116" s="1">
        <v>1</v>
      </c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v>6</v>
      </c>
      <c r="BR116" s="17">
        <v>2</v>
      </c>
      <c r="BS116" s="17" t="s">
        <v>226</v>
      </c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27" x14ac:dyDescent="0.15">
      <c r="A117" s="1">
        <v>77</v>
      </c>
      <c r="B117" s="3" t="s">
        <v>116</v>
      </c>
      <c r="C117" s="3" t="s">
        <v>71</v>
      </c>
      <c r="D117" s="1" t="s">
        <v>13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>
        <v>20</v>
      </c>
      <c r="AU117" s="4"/>
      <c r="AV117" s="4"/>
      <c r="AW117" s="2">
        <v>20</v>
      </c>
      <c r="AX117" s="2">
        <v>20</v>
      </c>
      <c r="AY117" s="2"/>
      <c r="AZ117" s="2"/>
      <c r="BA117" s="2"/>
      <c r="BB117" s="2">
        <v>10</v>
      </c>
      <c r="BC117" s="14"/>
      <c r="BD117" s="1"/>
      <c r="BE117" s="1"/>
      <c r="BF117" s="1"/>
      <c r="BG117" s="1"/>
      <c r="BH117" s="1">
        <v>20</v>
      </c>
      <c r="BI117" s="1"/>
      <c r="BJ117" s="1"/>
      <c r="BK117" s="1"/>
      <c r="BL117" s="1"/>
      <c r="BM117" s="1"/>
      <c r="BN117" s="1"/>
      <c r="BO117" s="1"/>
      <c r="BP117" s="1">
        <f>SUM(E117:BO117)</f>
        <v>90</v>
      </c>
      <c r="BQ117" s="1">
        <v>6</v>
      </c>
      <c r="BR117" s="17">
        <v>2</v>
      </c>
      <c r="BS117" s="17" t="s">
        <v>247</v>
      </c>
      <c r="BT117" s="1" t="str">
        <f>IF(AQ117&gt;AQ$165, AQ117-AQ$165,"")</f>
        <v/>
      </c>
      <c r="BU117" s="1" t="str">
        <f>IF(AR117&gt;AR$165, AR117-AR$165,"")</f>
        <v/>
      </c>
      <c r="BV117" s="1" t="str">
        <f>IF(AS117&gt;AS$165, AS117-AS$165,"")</f>
        <v/>
      </c>
      <c r="BW117" s="1">
        <f>IF(AT117&gt;AT$165, AT117-AT$165,"")</f>
        <v>5</v>
      </c>
      <c r="BX117" s="1" t="str">
        <f>IF(AU117&gt;AU$165, AU117-AU$165,"")</f>
        <v/>
      </c>
      <c r="BY117" s="1" t="str">
        <f>IF(AV117&gt;AV$165, AV117-AV$165,"")</f>
        <v/>
      </c>
      <c r="BZ117" s="1">
        <f>IF(AW117&gt;AW$165, AW117-AW$165,"")</f>
        <v>1</v>
      </c>
      <c r="CA117" s="1" t="str">
        <f>IF(AX117&gt;AX$165, AX117-AX$165,"")</f>
        <v/>
      </c>
      <c r="CB117" s="1" t="str">
        <f>IF(AY117&gt;AY$165, AY117-AY$165,"")</f>
        <v/>
      </c>
      <c r="CC117" s="1" t="str">
        <f>IF(AZ117&gt;AZ$165, AZ117-AZ$165,"")</f>
        <v/>
      </c>
      <c r="CD117" s="1" t="str">
        <f>IF(BA117&gt;BA$165, BA117-BA$165,"")</f>
        <v/>
      </c>
      <c r="CE117" s="1" t="str">
        <f>IF(BB117&gt;BB$165, BB117-BB$165,"")</f>
        <v/>
      </c>
      <c r="CF117" s="1">
        <f>COUNTIF(BT117:CE117, "&gt;0")</f>
        <v>2</v>
      </c>
      <c r="CG117" s="1" t="str">
        <f>IF($CF117=1,BT117,"")</f>
        <v/>
      </c>
      <c r="CH117" s="1" t="str">
        <f>IF($CF117=1,BU117,"")</f>
        <v/>
      </c>
      <c r="CI117" s="1" t="str">
        <f>IF($CF117=1,BV117,"")</f>
        <v/>
      </c>
      <c r="CJ117" s="1" t="str">
        <f>IF($CF117=1,BW117,"")</f>
        <v/>
      </c>
      <c r="CK117" s="1" t="str">
        <f>IF($CF117=1,BX117,"")</f>
        <v/>
      </c>
      <c r="CL117" s="1" t="str">
        <f>IF($CF117=1,BY117,"")</f>
        <v/>
      </c>
      <c r="CM117" s="1" t="str">
        <f>IF($CF117=1,BZ117,"")</f>
        <v/>
      </c>
      <c r="CN117" s="1" t="str">
        <f>IF($CF117=1,CA117,"")</f>
        <v/>
      </c>
      <c r="CO117" s="1" t="str">
        <f>IF($CF117=1,CB117,"")</f>
        <v/>
      </c>
      <c r="CP117" s="1" t="str">
        <f>IF($CF117=1,CC117,"")</f>
        <v/>
      </c>
      <c r="CQ117" s="1" t="str">
        <f>IF($CF117=1,CD117,"")</f>
        <v/>
      </c>
      <c r="CR117" s="1" t="str">
        <f>IF($CF117=1,CE117,"")</f>
        <v/>
      </c>
      <c r="CS117" s="18">
        <f>SUM(AE117:BO117)</f>
        <v>90</v>
      </c>
    </row>
    <row r="118" spans="1:97" ht="27" x14ac:dyDescent="0.15">
      <c r="A118" s="1"/>
      <c r="B118" s="1" t="s">
        <v>199</v>
      </c>
      <c r="C118" s="1" t="s">
        <v>200</v>
      </c>
      <c r="D118" s="1" t="s">
        <v>183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32"/>
      <c r="Q118" s="32">
        <v>5</v>
      </c>
      <c r="R118" s="32"/>
      <c r="S118" s="32"/>
      <c r="T118" s="32"/>
      <c r="U118" s="32"/>
      <c r="V118" s="32">
        <v>10</v>
      </c>
      <c r="W118" s="32"/>
      <c r="X118" s="32"/>
      <c r="Y118" s="32">
        <v>10</v>
      </c>
      <c r="Z118" s="32"/>
      <c r="AA118" s="32"/>
      <c r="AB118" s="32">
        <v>10</v>
      </c>
      <c r="AC118" s="32"/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v>6</v>
      </c>
      <c r="BR118" s="17">
        <v>2</v>
      </c>
      <c r="BS118" s="17" t="s">
        <v>268</v>
      </c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27" x14ac:dyDescent="0.15">
      <c r="A119" s="1"/>
      <c r="B119" s="1" t="s">
        <v>207</v>
      </c>
      <c r="C119" s="1" t="s">
        <v>205</v>
      </c>
      <c r="D119" s="1" t="s">
        <v>183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32"/>
      <c r="Q119" s="32">
        <v>5</v>
      </c>
      <c r="R119" s="32"/>
      <c r="S119" s="32"/>
      <c r="T119" s="32"/>
      <c r="U119" s="32"/>
      <c r="V119" s="32">
        <v>10</v>
      </c>
      <c r="W119" s="32"/>
      <c r="X119" s="32"/>
      <c r="Y119" s="32">
        <v>10</v>
      </c>
      <c r="Z119" s="32"/>
      <c r="AA119" s="32"/>
      <c r="AB119" s="32">
        <v>10</v>
      </c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v>6</v>
      </c>
      <c r="BR119" s="17">
        <v>2</v>
      </c>
      <c r="BS119" s="17" t="s">
        <v>268</v>
      </c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27" x14ac:dyDescent="0.15">
      <c r="A120" s="1"/>
      <c r="B120" s="1" t="s">
        <v>211</v>
      </c>
      <c r="C120" s="1" t="s">
        <v>212</v>
      </c>
      <c r="D120" s="1" t="s">
        <v>182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2">
        <v>10</v>
      </c>
      <c r="Q120" s="32"/>
      <c r="R120" s="32"/>
      <c r="S120" s="32">
        <v>10</v>
      </c>
      <c r="T120" s="32"/>
      <c r="U120" s="32"/>
      <c r="V120" s="32"/>
      <c r="W120" s="32"/>
      <c r="X120" s="32"/>
      <c r="Y120" s="32"/>
      <c r="Z120" s="32">
        <v>5</v>
      </c>
      <c r="AA120" s="32"/>
      <c r="AB120" s="32">
        <v>10</v>
      </c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v>6</v>
      </c>
      <c r="BR120" s="17">
        <v>2</v>
      </c>
      <c r="BS120" s="17" t="s">
        <v>269</v>
      </c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27" x14ac:dyDescent="0.15">
      <c r="A121" s="1">
        <v>20</v>
      </c>
      <c r="B121" s="1" t="s">
        <v>38</v>
      </c>
      <c r="C121" s="1" t="s">
        <v>32</v>
      </c>
      <c r="D121" s="1" t="s">
        <v>25</v>
      </c>
      <c r="E121" s="6"/>
      <c r="F121" s="6">
        <v>5</v>
      </c>
      <c r="G121" s="6"/>
      <c r="H121" s="6"/>
      <c r="I121" s="6"/>
      <c r="J121" s="6"/>
      <c r="K121" s="6"/>
      <c r="L121" s="6"/>
      <c r="M121" s="6"/>
      <c r="N121" s="6"/>
      <c r="O121" s="6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"/>
      <c r="AF121" s="1"/>
      <c r="AG121" s="1">
        <v>5</v>
      </c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10</v>
      </c>
      <c r="BQ121" s="1">
        <v>7</v>
      </c>
      <c r="BR121" s="17">
        <v>2</v>
      </c>
      <c r="BS121" s="17" t="s">
        <v>242</v>
      </c>
      <c r="BT121" s="1" t="str">
        <f>IF(AQ121&gt;AQ$165, AQ121-AQ$165,"")</f>
        <v/>
      </c>
      <c r="BU121" s="1" t="str">
        <f>IF(AR121&gt;AR$165, AR121-AR$165,"")</f>
        <v/>
      </c>
      <c r="BV121" s="1" t="str">
        <f>IF(AS121&gt;AS$165, AS121-AS$165,"")</f>
        <v/>
      </c>
      <c r="BW121" s="1" t="str">
        <f>IF(AT121&gt;AT$165, AT121-AT$165,"")</f>
        <v/>
      </c>
      <c r="BX121" s="1" t="str">
        <f>IF(AU121&gt;AU$165, AU121-AU$165,"")</f>
        <v/>
      </c>
      <c r="BY121" s="1" t="str">
        <f>IF(AV121&gt;AV$165, AV121-AV$165,"")</f>
        <v/>
      </c>
      <c r="BZ121" s="1" t="str">
        <f>IF(AW121&gt;AW$165, AW121-AW$165,"")</f>
        <v/>
      </c>
      <c r="CA121" s="1" t="str">
        <f>IF(AX121&gt;AX$165, AX121-AX$165,"")</f>
        <v/>
      </c>
      <c r="CB121" s="1" t="str">
        <f>IF(AY121&gt;AY$165, AY121-AY$165,"")</f>
        <v/>
      </c>
      <c r="CC121" s="1" t="str">
        <f>IF(AZ121&gt;AZ$165, AZ121-AZ$165,"")</f>
        <v/>
      </c>
      <c r="CD121" s="1" t="str">
        <f>IF(BA121&gt;BA$165, BA121-BA$165,"")</f>
        <v/>
      </c>
      <c r="CE121" s="1" t="str">
        <f>IF(BB121&gt;BB$165, BB121-BB$165,"")</f>
        <v/>
      </c>
      <c r="CF121" s="1">
        <f>COUNTIF(BT121:CE121, "&gt;0")</f>
        <v>0</v>
      </c>
      <c r="CG121" s="1" t="str">
        <f>IF($CF121=1,BT121,"")</f>
        <v/>
      </c>
      <c r="CH121" s="1" t="str">
        <f>IF($CF121=1,BU121,"")</f>
        <v/>
      </c>
      <c r="CI121" s="1" t="str">
        <f>IF($CF121=1,BV121,"")</f>
        <v/>
      </c>
      <c r="CJ121" s="1" t="str">
        <f>IF($CF121=1,BW121,"")</f>
        <v/>
      </c>
      <c r="CK121" s="1" t="str">
        <f>IF($CF121=1,BX121,"")</f>
        <v/>
      </c>
      <c r="CL121" s="1" t="str">
        <f>IF($CF121=1,BY121,"")</f>
        <v/>
      </c>
      <c r="CM121" s="1" t="str">
        <f>IF($CF121=1,BZ121,"")</f>
        <v/>
      </c>
      <c r="CN121" s="1" t="str">
        <f>IF($CF121=1,CA121,"")</f>
        <v/>
      </c>
      <c r="CO121" s="1" t="str">
        <f>IF($CF121=1,CB121,"")</f>
        <v/>
      </c>
      <c r="CP121" s="1" t="str">
        <f>IF($CF121=1,CC121,"")</f>
        <v/>
      </c>
      <c r="CQ121" s="1" t="str">
        <f>IF($CF121=1,CD121,"")</f>
        <v/>
      </c>
      <c r="CR121" s="1" t="str">
        <f>IF($CF121=1,CE121,"")</f>
        <v/>
      </c>
      <c r="CS121" s="18">
        <f>SUM(AE121:BO121)</f>
        <v>5</v>
      </c>
    </row>
    <row r="122" spans="1:97" ht="27" x14ac:dyDescent="0.15">
      <c r="A122" s="1"/>
      <c r="B122" s="1" t="s">
        <v>146</v>
      </c>
      <c r="C122" s="1" t="s">
        <v>142</v>
      </c>
      <c r="D122" s="1" t="s">
        <v>147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>
        <v>3</v>
      </c>
      <c r="AP122" s="1">
        <v>5</v>
      </c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v>8</v>
      </c>
      <c r="BR122" s="17">
        <v>2</v>
      </c>
      <c r="BS122" s="17" t="s">
        <v>227</v>
      </c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27" x14ac:dyDescent="0.15">
      <c r="A123" s="1"/>
      <c r="B123" s="1" t="s">
        <v>193</v>
      </c>
      <c r="C123" s="1" t="s">
        <v>181</v>
      </c>
      <c r="D123" s="1" t="s">
        <v>183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>
        <v>5</v>
      </c>
      <c r="R123" s="32">
        <v>2</v>
      </c>
      <c r="S123" s="32"/>
      <c r="T123" s="32">
        <v>5</v>
      </c>
      <c r="U123" s="32"/>
      <c r="V123" s="32"/>
      <c r="W123" s="32"/>
      <c r="X123" s="32"/>
      <c r="Y123" s="32"/>
      <c r="Z123" s="32">
        <v>5</v>
      </c>
      <c r="AA123" s="32"/>
      <c r="AB123" s="32"/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v>8</v>
      </c>
      <c r="BR123" s="17">
        <v>2</v>
      </c>
      <c r="BS123" s="17" t="s">
        <v>262</v>
      </c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27" x14ac:dyDescent="0.15">
      <c r="A124" s="1"/>
      <c r="B124" s="1" t="s">
        <v>198</v>
      </c>
      <c r="C124" s="1" t="s">
        <v>181</v>
      </c>
      <c r="D124" s="1" t="s">
        <v>183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>
        <v>5</v>
      </c>
      <c r="R124" s="32">
        <v>2</v>
      </c>
      <c r="S124" s="32"/>
      <c r="T124" s="32">
        <v>5</v>
      </c>
      <c r="U124" s="32"/>
      <c r="V124" s="32"/>
      <c r="W124" s="32"/>
      <c r="X124" s="32"/>
      <c r="Y124" s="32"/>
      <c r="Z124" s="32">
        <v>5</v>
      </c>
      <c r="AA124" s="32"/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v>8</v>
      </c>
      <c r="BR124" s="17">
        <v>2</v>
      </c>
      <c r="BS124" s="17" t="s">
        <v>262</v>
      </c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27" x14ac:dyDescent="0.15">
      <c r="A125" s="1"/>
      <c r="B125" s="1" t="s">
        <v>208</v>
      </c>
      <c r="C125" s="1" t="s">
        <v>205</v>
      </c>
      <c r="D125" s="1" t="s">
        <v>183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>
        <v>5</v>
      </c>
      <c r="R125" s="32">
        <v>2</v>
      </c>
      <c r="S125" s="32"/>
      <c r="T125" s="32">
        <v>5</v>
      </c>
      <c r="U125" s="32"/>
      <c r="V125" s="32"/>
      <c r="W125" s="32"/>
      <c r="X125" s="32"/>
      <c r="Y125" s="32"/>
      <c r="Z125" s="32">
        <v>5</v>
      </c>
      <c r="AA125" s="32"/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8</v>
      </c>
      <c r="BR125" s="17">
        <v>2</v>
      </c>
      <c r="BS125" s="17" t="s">
        <v>262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27" x14ac:dyDescent="0.15">
      <c r="A126" s="1"/>
      <c r="B126" s="1" t="s">
        <v>211</v>
      </c>
      <c r="C126" s="1" t="s">
        <v>212</v>
      </c>
      <c r="D126" s="1" t="s">
        <v>183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32"/>
      <c r="Q126" s="32">
        <v>5</v>
      </c>
      <c r="R126" s="32"/>
      <c r="S126" s="32"/>
      <c r="T126" s="32">
        <v>5</v>
      </c>
      <c r="U126" s="32"/>
      <c r="V126" s="32"/>
      <c r="W126" s="32"/>
      <c r="X126" s="32">
        <v>2</v>
      </c>
      <c r="Y126" s="32"/>
      <c r="Z126" s="32">
        <v>5</v>
      </c>
      <c r="AA126" s="32"/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8</v>
      </c>
      <c r="BR126" s="17">
        <v>2</v>
      </c>
      <c r="BS126" s="17" t="s">
        <v>262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27" x14ac:dyDescent="0.15">
      <c r="A127" s="1">
        <v>27</v>
      </c>
      <c r="B127" s="1" t="s">
        <v>84</v>
      </c>
      <c r="C127" s="1" t="s">
        <v>32</v>
      </c>
      <c r="D127" s="1" t="s">
        <v>24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1"/>
      <c r="AF127" s="1"/>
      <c r="AG127" s="1"/>
      <c r="AH127" s="1">
        <v>5</v>
      </c>
      <c r="AI127" s="1">
        <v>5</v>
      </c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10</v>
      </c>
      <c r="BQ127" s="1">
        <v>10</v>
      </c>
      <c r="BR127" s="17">
        <v>2</v>
      </c>
      <c r="BS127" s="17" t="s">
        <v>228</v>
      </c>
      <c r="BT127" s="1" t="str">
        <f>IF(AQ127&gt;AQ$165, AQ127-AQ$165,"")</f>
        <v/>
      </c>
      <c r="BU127" s="1" t="str">
        <f>IF(AR127&gt;AR$165, AR127-AR$165,"")</f>
        <v/>
      </c>
      <c r="BV127" s="1" t="str">
        <f>IF(AS127&gt;AS$165, AS127-AS$165,"")</f>
        <v/>
      </c>
      <c r="BW127" s="1" t="str">
        <f>IF(AT127&gt;AT$165, AT127-AT$165,"")</f>
        <v/>
      </c>
      <c r="BX127" s="1" t="str">
        <f>IF(AU127&gt;AU$165, AU127-AU$165,"")</f>
        <v/>
      </c>
      <c r="BY127" s="1" t="str">
        <f>IF(AV127&gt;AV$165, AV127-AV$165,"")</f>
        <v/>
      </c>
      <c r="BZ127" s="1" t="str">
        <f>IF(AW127&gt;AW$165, AW127-AW$165,"")</f>
        <v/>
      </c>
      <c r="CA127" s="1" t="str">
        <f>IF(AX127&gt;AX$165, AX127-AX$165,"")</f>
        <v/>
      </c>
      <c r="CB127" s="1" t="str">
        <f>IF(AY127&gt;AY$165, AY127-AY$165,"")</f>
        <v/>
      </c>
      <c r="CC127" s="1" t="str">
        <f>IF(AZ127&gt;AZ$165, AZ127-AZ$165,"")</f>
        <v/>
      </c>
      <c r="CD127" s="1" t="str">
        <f>IF(BA127&gt;BA$165, BA127-BA$165,"")</f>
        <v/>
      </c>
      <c r="CE127" s="1" t="str">
        <f>IF(BB127&gt;BB$165, BB127-BB$165,"")</f>
        <v/>
      </c>
      <c r="CF127" s="1">
        <f>COUNTIF(BT127:CE127, "&gt;0")</f>
        <v>0</v>
      </c>
      <c r="CG127" s="1" t="str">
        <f>IF($CF127=1,BT127,"")</f>
        <v/>
      </c>
      <c r="CH127" s="1" t="str">
        <f>IF($CF127=1,BU127,"")</f>
        <v/>
      </c>
      <c r="CI127" s="1" t="str">
        <f>IF($CF127=1,BV127,"")</f>
        <v/>
      </c>
      <c r="CJ127" s="1" t="str">
        <f>IF($CF127=1,BW127,"")</f>
        <v/>
      </c>
      <c r="CK127" s="1" t="str">
        <f>IF($CF127=1,BX127,"")</f>
        <v/>
      </c>
      <c r="CL127" s="1" t="str">
        <f>IF($CF127=1,BY127,"")</f>
        <v/>
      </c>
      <c r="CM127" s="1" t="str">
        <f>IF($CF127=1,BZ127,"")</f>
        <v/>
      </c>
      <c r="CN127" s="1" t="str">
        <f>IF($CF127=1,CA127,"")</f>
        <v/>
      </c>
      <c r="CO127" s="1" t="str">
        <f>IF($CF127=1,CB127,"")</f>
        <v/>
      </c>
      <c r="CP127" s="1" t="str">
        <f>IF($CF127=1,CC127,"")</f>
        <v/>
      </c>
      <c r="CQ127" s="1" t="str">
        <f>IF($CF127=1,CD127,"")</f>
        <v/>
      </c>
      <c r="CR127" s="1" t="str">
        <f>IF($CF127=1,CE127,"")</f>
        <v/>
      </c>
      <c r="CS127" s="18">
        <f>SUM(AE127:BO127)</f>
        <v>10</v>
      </c>
    </row>
    <row r="128" spans="1:97" ht="27" x14ac:dyDescent="0.15">
      <c r="A128" s="1">
        <v>88</v>
      </c>
      <c r="B128" s="3" t="s">
        <v>89</v>
      </c>
      <c r="C128" s="3" t="s">
        <v>90</v>
      </c>
      <c r="D128" s="1" t="s">
        <v>24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1"/>
      <c r="AF128" s="1"/>
      <c r="AG128" s="1"/>
      <c r="AH128" s="1">
        <v>5</v>
      </c>
      <c r="AI128" s="1">
        <v>5</v>
      </c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10</v>
      </c>
      <c r="BQ128" s="1">
        <v>10</v>
      </c>
      <c r="BR128" s="17">
        <v>2</v>
      </c>
      <c r="BS128" s="17" t="s">
        <v>228</v>
      </c>
      <c r="BT128" s="1" t="str">
        <f>IF(AQ128&gt;AQ$165, AQ128-AQ$165,"")</f>
        <v/>
      </c>
      <c r="BU128" s="1" t="str">
        <f>IF(AR128&gt;AR$165, AR128-AR$165,"")</f>
        <v/>
      </c>
      <c r="BV128" s="1" t="str">
        <f>IF(AS128&gt;AS$165, AS128-AS$165,"")</f>
        <v/>
      </c>
      <c r="BW128" s="1" t="str">
        <f>IF(AT128&gt;AT$165, AT128-AT$165,"")</f>
        <v/>
      </c>
      <c r="BX128" s="1" t="str">
        <f>IF(AU128&gt;AU$165, AU128-AU$165,"")</f>
        <v/>
      </c>
      <c r="BY128" s="1" t="str">
        <f>IF(AV128&gt;AV$165, AV128-AV$165,"")</f>
        <v/>
      </c>
      <c r="BZ128" s="1" t="str">
        <f>IF(AW128&gt;AW$165, AW128-AW$165,"")</f>
        <v/>
      </c>
      <c r="CA128" s="1" t="str">
        <f>IF(AX128&gt;AX$165, AX128-AX$165,"")</f>
        <v/>
      </c>
      <c r="CB128" s="1" t="str">
        <f>IF(AY128&gt;AY$165, AY128-AY$165,"")</f>
        <v/>
      </c>
      <c r="CC128" s="1" t="str">
        <f>IF(AZ128&gt;AZ$165, AZ128-AZ$165,"")</f>
        <v/>
      </c>
      <c r="CD128" s="1" t="str">
        <f>IF(BA128&gt;BA$165, BA128-BA$165,"")</f>
        <v/>
      </c>
      <c r="CE128" s="1" t="str">
        <f>IF(BB128&gt;BB$165, BB128-BB$165,"")</f>
        <v/>
      </c>
      <c r="CF128" s="1">
        <f>COUNTIF(BT128:CE128, "&gt;0")</f>
        <v>0</v>
      </c>
      <c r="CG128" s="1" t="str">
        <f>IF($CF128=1,BT128,"")</f>
        <v/>
      </c>
      <c r="CH128" s="1" t="str">
        <f>IF($CF128=1,BU128,"")</f>
        <v/>
      </c>
      <c r="CI128" s="1" t="str">
        <f>IF($CF128=1,BV128,"")</f>
        <v/>
      </c>
      <c r="CJ128" s="1" t="str">
        <f>IF($CF128=1,BW128,"")</f>
        <v/>
      </c>
      <c r="CK128" s="1" t="str">
        <f>IF($CF128=1,BX128,"")</f>
        <v/>
      </c>
      <c r="CL128" s="1" t="str">
        <f>IF($CF128=1,BY128,"")</f>
        <v/>
      </c>
      <c r="CM128" s="1" t="str">
        <f>IF($CF128=1,BZ128,"")</f>
        <v/>
      </c>
      <c r="CN128" s="1" t="str">
        <f>IF($CF128=1,CA128,"")</f>
        <v/>
      </c>
      <c r="CO128" s="1" t="str">
        <f>IF($CF128=1,CB128,"")</f>
        <v/>
      </c>
      <c r="CP128" s="1" t="str">
        <f>IF($CF128=1,CC128,"")</f>
        <v/>
      </c>
      <c r="CQ128" s="1" t="str">
        <f>IF($CF128=1,CD128,"")</f>
        <v/>
      </c>
      <c r="CR128" s="1" t="str">
        <f>IF($CF128=1,CE128,"")</f>
        <v/>
      </c>
      <c r="CS128" s="18">
        <f>SUM(AE128:BO128)</f>
        <v>10</v>
      </c>
    </row>
    <row r="129" spans="1:97" ht="27" x14ac:dyDescent="0.15">
      <c r="A129" s="1"/>
      <c r="B129" s="1" t="s">
        <v>218</v>
      </c>
      <c r="C129" s="1" t="s">
        <v>217</v>
      </c>
      <c r="D129" s="1" t="s">
        <v>184</v>
      </c>
      <c r="E129" s="6"/>
      <c r="F129" s="6"/>
      <c r="G129" s="6">
        <v>10</v>
      </c>
      <c r="H129" s="6"/>
      <c r="I129" s="6"/>
      <c r="J129" s="6"/>
      <c r="K129" s="6"/>
      <c r="L129" s="6"/>
      <c r="M129" s="6"/>
      <c r="N129" s="6"/>
      <c r="O129" s="6"/>
      <c r="P129" s="32"/>
      <c r="Q129" s="32"/>
      <c r="R129" s="32"/>
      <c r="S129" s="32"/>
      <c r="T129" s="32"/>
      <c r="U129" s="32"/>
      <c r="V129" s="32"/>
      <c r="W129" s="32"/>
      <c r="X129" s="32">
        <v>10</v>
      </c>
      <c r="Y129" s="32"/>
      <c r="Z129" s="32"/>
      <c r="AA129" s="32"/>
      <c r="AB129" s="32"/>
      <c r="AC129" s="32"/>
      <c r="AD129" s="32">
        <v>10</v>
      </c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>
        <v>10</v>
      </c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10</v>
      </c>
      <c r="BR129" s="17">
        <v>2</v>
      </c>
      <c r="BS129" s="17" t="s">
        <v>253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27" x14ac:dyDescent="0.15">
      <c r="A130" s="1"/>
      <c r="B130" s="1" t="s">
        <v>180</v>
      </c>
      <c r="C130" s="1" t="s">
        <v>181</v>
      </c>
      <c r="D130" s="1" t="s">
        <v>184</v>
      </c>
      <c r="E130" s="6"/>
      <c r="F130" s="6"/>
      <c r="G130" s="6"/>
      <c r="H130" s="6"/>
      <c r="I130" s="6">
        <v>10</v>
      </c>
      <c r="J130" s="6"/>
      <c r="K130" s="6"/>
      <c r="L130" s="6"/>
      <c r="M130" s="6"/>
      <c r="N130" s="6"/>
      <c r="O130" s="6"/>
      <c r="P130" s="32"/>
      <c r="Q130" s="32"/>
      <c r="R130" s="32">
        <v>10</v>
      </c>
      <c r="S130" s="32"/>
      <c r="T130" s="32"/>
      <c r="U130" s="32"/>
      <c r="V130" s="32"/>
      <c r="W130" s="32"/>
      <c r="X130" s="32">
        <v>10</v>
      </c>
      <c r="Y130" s="32"/>
      <c r="Z130" s="32"/>
      <c r="AA130" s="32"/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>
        <v>10</v>
      </c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v>12</v>
      </c>
      <c r="BR130" s="17">
        <v>2</v>
      </c>
      <c r="BS130" s="17" t="s">
        <v>250</v>
      </c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27" x14ac:dyDescent="0.15">
      <c r="A131" s="1"/>
      <c r="B131" s="1" t="s">
        <v>150</v>
      </c>
      <c r="C131" s="1" t="s">
        <v>142</v>
      </c>
      <c r="D131" s="1" t="s">
        <v>140</v>
      </c>
      <c r="E131" s="6">
        <v>6</v>
      </c>
      <c r="F131" s="6">
        <v>6</v>
      </c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>
        <v>10</v>
      </c>
      <c r="AT131" s="4"/>
      <c r="AU131" s="4"/>
      <c r="AV131" s="4"/>
      <c r="AW131" s="2"/>
      <c r="AX131" s="2">
        <v>10</v>
      </c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>
        <v>13</v>
      </c>
      <c r="BR131" s="17">
        <v>2</v>
      </c>
      <c r="BS131" s="17" t="s">
        <v>238</v>
      </c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27" x14ac:dyDescent="0.15">
      <c r="A132" s="1"/>
      <c r="B132" s="1" t="s">
        <v>165</v>
      </c>
      <c r="C132" s="1" t="s">
        <v>166</v>
      </c>
      <c r="D132" s="1" t="s">
        <v>139</v>
      </c>
      <c r="E132" s="6"/>
      <c r="F132" s="6"/>
      <c r="G132" s="6">
        <v>20</v>
      </c>
      <c r="H132" s="6">
        <v>20</v>
      </c>
      <c r="I132" s="6"/>
      <c r="J132" s="6"/>
      <c r="K132" s="6"/>
      <c r="L132" s="6"/>
      <c r="M132" s="6"/>
      <c r="N132" s="6"/>
      <c r="O132" s="6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>
        <v>20</v>
      </c>
      <c r="BB132" s="2">
        <v>20</v>
      </c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>
        <v>15</v>
      </c>
      <c r="BR132" s="17">
        <v>2</v>
      </c>
      <c r="BS132" s="17" t="s">
        <v>246</v>
      </c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27" x14ac:dyDescent="0.15">
      <c r="A133" s="1"/>
      <c r="B133" s="1" t="s">
        <v>146</v>
      </c>
      <c r="C133" s="1" t="s">
        <v>142</v>
      </c>
      <c r="D133" s="1" t="s">
        <v>139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>
        <v>5</v>
      </c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>
        <v>5</v>
      </c>
      <c r="AP133" s="1">
        <v>10</v>
      </c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v>15</v>
      </c>
      <c r="BR133" s="17">
        <v>2</v>
      </c>
      <c r="BS133" s="17" t="s">
        <v>229</v>
      </c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27" x14ac:dyDescent="0.15">
      <c r="A134" s="1"/>
      <c r="B134" s="1" t="s">
        <v>199</v>
      </c>
      <c r="C134" s="1" t="s">
        <v>200</v>
      </c>
      <c r="D134" s="1" t="s">
        <v>184</v>
      </c>
      <c r="E134" s="6">
        <v>10</v>
      </c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2"/>
      <c r="Q134" s="32"/>
      <c r="R134" s="32">
        <v>10</v>
      </c>
      <c r="S134" s="32"/>
      <c r="T134" s="32"/>
      <c r="U134" s="32">
        <v>10</v>
      </c>
      <c r="V134" s="32"/>
      <c r="W134" s="32"/>
      <c r="X134" s="32"/>
      <c r="Y134" s="32"/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>
        <v>10</v>
      </c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>
        <v>18</v>
      </c>
      <c r="BR134" s="17">
        <v>2</v>
      </c>
      <c r="BS134" s="17" t="s">
        <v>252</v>
      </c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27" x14ac:dyDescent="0.15">
      <c r="A135" s="1"/>
      <c r="B135" s="1" t="s">
        <v>207</v>
      </c>
      <c r="C135" s="1" t="s">
        <v>205</v>
      </c>
      <c r="D135" s="1" t="s">
        <v>184</v>
      </c>
      <c r="E135" s="6">
        <v>10</v>
      </c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32"/>
      <c r="Q135" s="32"/>
      <c r="R135" s="32">
        <v>10</v>
      </c>
      <c r="S135" s="32"/>
      <c r="T135" s="32"/>
      <c r="U135" s="32">
        <v>10</v>
      </c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>
        <v>10</v>
      </c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v>18</v>
      </c>
      <c r="BR135" s="17">
        <v>2</v>
      </c>
      <c r="BS135" s="17" t="s">
        <v>252</v>
      </c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27" x14ac:dyDescent="0.15">
      <c r="A136" s="1"/>
      <c r="B136" s="1" t="s">
        <v>221</v>
      </c>
      <c r="C136" s="1" t="s">
        <v>217</v>
      </c>
      <c r="D136" s="1" t="s">
        <v>184</v>
      </c>
      <c r="E136" s="6">
        <v>10</v>
      </c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32"/>
      <c r="Q136" s="32"/>
      <c r="R136" s="32">
        <v>10</v>
      </c>
      <c r="S136" s="32"/>
      <c r="T136" s="32"/>
      <c r="U136" s="32">
        <v>10</v>
      </c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>
        <v>10</v>
      </c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v>18</v>
      </c>
      <c r="BR136" s="17">
        <v>2</v>
      </c>
      <c r="BS136" s="17" t="s">
        <v>252</v>
      </c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8"/>
    </row>
    <row r="137" spans="1:97" ht="27" x14ac:dyDescent="0.15">
      <c r="A137" s="1"/>
      <c r="B137" s="1" t="s">
        <v>210</v>
      </c>
      <c r="C137" s="1" t="s">
        <v>212</v>
      </c>
      <c r="D137" s="1" t="s">
        <v>184</v>
      </c>
      <c r="E137" s="6"/>
      <c r="F137" s="6"/>
      <c r="G137" s="6"/>
      <c r="H137" s="6"/>
      <c r="I137" s="6"/>
      <c r="J137" s="6">
        <v>10</v>
      </c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>
        <v>10</v>
      </c>
      <c r="V137" s="32"/>
      <c r="W137" s="32"/>
      <c r="X137" s="32"/>
      <c r="Y137" s="32"/>
      <c r="Z137" s="32"/>
      <c r="AA137" s="32">
        <v>10</v>
      </c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>
        <v>10</v>
      </c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v>19</v>
      </c>
      <c r="BR137" s="17">
        <v>2</v>
      </c>
      <c r="BS137" s="17" t="s">
        <v>260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27" x14ac:dyDescent="0.15">
      <c r="A138" s="1"/>
      <c r="B138" s="1" t="s">
        <v>224</v>
      </c>
      <c r="C138" s="1" t="s">
        <v>217</v>
      </c>
      <c r="D138" s="1" t="s">
        <v>184</v>
      </c>
      <c r="E138" s="6"/>
      <c r="F138" s="6"/>
      <c r="G138" s="6"/>
      <c r="H138" s="6"/>
      <c r="I138" s="6"/>
      <c r="J138" s="6">
        <v>10</v>
      </c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>
        <v>10</v>
      </c>
      <c r="V138" s="32"/>
      <c r="W138" s="32"/>
      <c r="X138" s="32"/>
      <c r="Y138" s="32"/>
      <c r="Z138" s="32"/>
      <c r="AA138" s="32">
        <v>10</v>
      </c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>
        <v>10</v>
      </c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19</v>
      </c>
      <c r="BR138" s="17">
        <v>2</v>
      </c>
      <c r="BS138" s="17" t="s">
        <v>260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27" x14ac:dyDescent="0.15">
      <c r="A139" s="1">
        <v>14</v>
      </c>
      <c r="B139" s="1" t="s">
        <v>31</v>
      </c>
      <c r="C139" s="1" t="s">
        <v>32</v>
      </c>
      <c r="D139" s="1" t="s">
        <v>33</v>
      </c>
      <c r="E139" s="6"/>
      <c r="F139" s="6"/>
      <c r="G139" s="6">
        <v>15</v>
      </c>
      <c r="H139" s="6">
        <v>15</v>
      </c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>
        <v>15</v>
      </c>
      <c r="AT139" s="4"/>
      <c r="AU139" s="4"/>
      <c r="AV139" s="4"/>
      <c r="AW139" s="2"/>
      <c r="AX139" s="2"/>
      <c r="AY139" s="2"/>
      <c r="AZ139" s="2"/>
      <c r="BA139" s="2"/>
      <c r="BB139" s="2">
        <v>15</v>
      </c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60</v>
      </c>
      <c r="BQ139" s="1">
        <v>22</v>
      </c>
      <c r="BR139" s="17">
        <v>2</v>
      </c>
      <c r="BS139" s="17" t="s">
        <v>243</v>
      </c>
      <c r="BT139" s="1" t="str">
        <f>IF(AQ139&gt;AQ$165, AQ139-AQ$165,"")</f>
        <v/>
      </c>
      <c r="BU139" s="1" t="str">
        <f>IF(AR139&gt;AR$165, AR139-AR$165,"")</f>
        <v/>
      </c>
      <c r="BV139" s="1">
        <f>IF(AS139&gt;AS$165, AS139-AS$165,"")</f>
        <v>15</v>
      </c>
      <c r="BW139" s="1" t="str">
        <f>IF(AT139&gt;AT$165, AT139-AT$165,"")</f>
        <v/>
      </c>
      <c r="BX139" s="1" t="str">
        <f>IF(AU139&gt;AU$165, AU139-AU$165,"")</f>
        <v/>
      </c>
      <c r="BY139" s="1" t="str">
        <f>IF(AV139&gt;AV$165, AV139-AV$165,"")</f>
        <v/>
      </c>
      <c r="BZ139" s="1" t="str">
        <f>IF(AW139&gt;AW$165, AW139-AW$165,"")</f>
        <v/>
      </c>
      <c r="CA139" s="1" t="str">
        <f>IF(AX139&gt;AX$165, AX139-AX$165,"")</f>
        <v/>
      </c>
      <c r="CB139" s="1" t="str">
        <f>IF(AY139&gt;AY$165, AY139-AY$165,"")</f>
        <v/>
      </c>
      <c r="CC139" s="1" t="str">
        <f>IF(AZ139&gt;AZ$165, AZ139-AZ$165,"")</f>
        <v/>
      </c>
      <c r="CD139" s="1" t="str">
        <f>IF(BA139&gt;BA$165, BA139-BA$165,"")</f>
        <v/>
      </c>
      <c r="CE139" s="1" t="str">
        <f>IF(BB139&gt;BB$165, BB139-BB$165,"")</f>
        <v/>
      </c>
      <c r="CF139" s="1">
        <f>COUNTIF(BT139:CE139, "&gt;0")</f>
        <v>1</v>
      </c>
      <c r="CG139" s="1" t="str">
        <f>IF($CF139=1,BT139,"")</f>
        <v/>
      </c>
      <c r="CH139" s="1" t="str">
        <f>IF($CF139=1,BU139,"")</f>
        <v/>
      </c>
      <c r="CI139" s="1">
        <f>IF($CF139=1,BV139,"")</f>
        <v>15</v>
      </c>
      <c r="CJ139" s="1" t="str">
        <f>IF($CF139=1,BW139,"")</f>
        <v/>
      </c>
      <c r="CK139" s="1" t="str">
        <f>IF($CF139=1,BX139,"")</f>
        <v/>
      </c>
      <c r="CL139" s="1" t="str">
        <f>IF($CF139=1,BY139,"")</f>
        <v/>
      </c>
      <c r="CM139" s="1" t="str">
        <f>IF($CF139=1,BZ139,"")</f>
        <v/>
      </c>
      <c r="CN139" s="1" t="str">
        <f>IF($CF139=1,CA139,"")</f>
        <v/>
      </c>
      <c r="CO139" s="1" t="str">
        <f>IF($CF139=1,CB139,"")</f>
        <v/>
      </c>
      <c r="CP139" s="1" t="str">
        <f>IF($CF139=1,CC139,"")</f>
        <v/>
      </c>
      <c r="CQ139" s="1" t="str">
        <f>IF($CF139=1,CD139,"")</f>
        <v/>
      </c>
      <c r="CR139" s="1" t="str">
        <f>IF($CF139=1,CE139,"")</f>
        <v/>
      </c>
      <c r="CS139" s="18">
        <f>SUM(AE139:BO139)</f>
        <v>30</v>
      </c>
    </row>
    <row r="140" spans="1:97" ht="27" x14ac:dyDescent="0.15">
      <c r="A140" s="1"/>
      <c r="B140" s="1" t="s">
        <v>141</v>
      </c>
      <c r="C140" s="1" t="s">
        <v>142</v>
      </c>
      <c r="D140" s="1" t="s">
        <v>139</v>
      </c>
      <c r="E140" s="6"/>
      <c r="F140" s="6"/>
      <c r="G140" s="6">
        <v>15</v>
      </c>
      <c r="H140" s="6">
        <v>15</v>
      </c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>
        <v>15</v>
      </c>
      <c r="AT140" s="4"/>
      <c r="AU140" s="4"/>
      <c r="AV140" s="4"/>
      <c r="AW140" s="2"/>
      <c r="AX140" s="2"/>
      <c r="AY140" s="2"/>
      <c r="AZ140" s="2"/>
      <c r="BA140" s="2"/>
      <c r="BB140" s="2">
        <v>15</v>
      </c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>
        <v>22</v>
      </c>
      <c r="BR140" s="17">
        <v>2</v>
      </c>
      <c r="BS140" s="17" t="s">
        <v>243</v>
      </c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8"/>
    </row>
    <row r="141" spans="1:97" ht="40.5" x14ac:dyDescent="0.15">
      <c r="A141" s="1"/>
      <c r="B141" s="1" t="s">
        <v>221</v>
      </c>
      <c r="C141" s="1" t="s">
        <v>217</v>
      </c>
      <c r="D141" s="1" t="s">
        <v>183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>
        <v>2</v>
      </c>
      <c r="V141" s="32"/>
      <c r="W141" s="32"/>
      <c r="X141" s="32"/>
      <c r="Y141" s="32"/>
      <c r="Z141" s="32"/>
      <c r="AA141" s="32">
        <v>2</v>
      </c>
      <c r="AB141" s="32"/>
      <c r="AC141" s="32">
        <v>5</v>
      </c>
      <c r="AD141" s="32">
        <v>2</v>
      </c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>
        <v>6</v>
      </c>
      <c r="BR141" s="17">
        <v>3</v>
      </c>
      <c r="BS141" s="17" t="s">
        <v>261</v>
      </c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8"/>
    </row>
    <row r="142" spans="1:97" ht="40.5" x14ac:dyDescent="0.15">
      <c r="A142" s="1"/>
      <c r="B142" s="1" t="s">
        <v>211</v>
      </c>
      <c r="C142" s="1" t="s">
        <v>212</v>
      </c>
      <c r="D142" s="1" t="s">
        <v>184</v>
      </c>
      <c r="E142" s="6"/>
      <c r="F142" s="6"/>
      <c r="G142" s="6"/>
      <c r="H142" s="6"/>
      <c r="I142" s="6"/>
      <c r="J142" s="6"/>
      <c r="K142" s="6"/>
      <c r="L142" s="6">
        <v>7</v>
      </c>
      <c r="M142" s="6"/>
      <c r="N142" s="6"/>
      <c r="O142" s="6"/>
      <c r="P142" s="32"/>
      <c r="Q142" s="32">
        <v>7</v>
      </c>
      <c r="R142" s="32"/>
      <c r="S142" s="32"/>
      <c r="T142" s="32">
        <v>7</v>
      </c>
      <c r="U142" s="32"/>
      <c r="V142" s="32"/>
      <c r="W142" s="32"/>
      <c r="X142" s="32">
        <v>7</v>
      </c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9</v>
      </c>
      <c r="BR142" s="17">
        <v>3</v>
      </c>
      <c r="BS142" s="17" t="s">
        <v>258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40.5" x14ac:dyDescent="0.15">
      <c r="A143" s="1"/>
      <c r="B143" s="1" t="s">
        <v>202</v>
      </c>
      <c r="C143" s="1" t="s">
        <v>200</v>
      </c>
      <c r="D143" s="1" t="s">
        <v>183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32"/>
      <c r="Q143" s="32">
        <v>5</v>
      </c>
      <c r="R143" s="32"/>
      <c r="S143" s="32"/>
      <c r="T143" s="32">
        <v>5</v>
      </c>
      <c r="U143" s="32"/>
      <c r="V143" s="32"/>
      <c r="W143" s="32"/>
      <c r="X143" s="32"/>
      <c r="Y143" s="32"/>
      <c r="Z143" s="32">
        <v>5</v>
      </c>
      <c r="AA143" s="32">
        <v>2</v>
      </c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v>9</v>
      </c>
      <c r="BR143" s="17">
        <v>3</v>
      </c>
      <c r="BS143" s="17" t="s">
        <v>263</v>
      </c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40.5" x14ac:dyDescent="0.15">
      <c r="A144" s="1"/>
      <c r="B144" s="1" t="s">
        <v>218</v>
      </c>
      <c r="C144" s="1" t="s">
        <v>217</v>
      </c>
      <c r="D144" s="1" t="s">
        <v>183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32"/>
      <c r="Q144" s="32">
        <v>5</v>
      </c>
      <c r="R144" s="32"/>
      <c r="S144" s="32"/>
      <c r="T144" s="32">
        <v>5</v>
      </c>
      <c r="U144" s="32"/>
      <c r="V144" s="32"/>
      <c r="W144" s="32"/>
      <c r="X144" s="32"/>
      <c r="Y144" s="32"/>
      <c r="Z144" s="32">
        <v>5</v>
      </c>
      <c r="AA144" s="32">
        <v>2</v>
      </c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v>9</v>
      </c>
      <c r="BR144" s="17">
        <v>3</v>
      </c>
      <c r="BS144" s="17" t="s">
        <v>263</v>
      </c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40.5" x14ac:dyDescent="0.15">
      <c r="A145" s="1"/>
      <c r="B145" s="1" t="s">
        <v>219</v>
      </c>
      <c r="C145" s="1" t="s">
        <v>217</v>
      </c>
      <c r="D145" s="1" t="s">
        <v>183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32"/>
      <c r="Q145" s="32">
        <v>5</v>
      </c>
      <c r="R145" s="32"/>
      <c r="S145" s="32"/>
      <c r="T145" s="32"/>
      <c r="U145" s="32"/>
      <c r="V145" s="32">
        <v>10</v>
      </c>
      <c r="W145" s="32"/>
      <c r="X145" s="32"/>
      <c r="Y145" s="32"/>
      <c r="Z145" s="32">
        <v>5</v>
      </c>
      <c r="AA145" s="32"/>
      <c r="AB145" s="32">
        <v>10</v>
      </c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v>10</v>
      </c>
      <c r="BR145" s="17">
        <v>3</v>
      </c>
      <c r="BS145" s="17" t="s">
        <v>265</v>
      </c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40.5" x14ac:dyDescent="0.15">
      <c r="A146" s="1"/>
      <c r="B146" s="1" t="s">
        <v>221</v>
      </c>
      <c r="C146" s="1" t="s">
        <v>217</v>
      </c>
      <c r="D146" s="1" t="s">
        <v>182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32"/>
      <c r="Q146" s="32">
        <v>5</v>
      </c>
      <c r="R146" s="32"/>
      <c r="S146" s="32"/>
      <c r="T146" s="32">
        <v>5</v>
      </c>
      <c r="U146" s="32"/>
      <c r="V146" s="32"/>
      <c r="W146" s="32">
        <v>5</v>
      </c>
      <c r="X146" s="32"/>
      <c r="Y146" s="32"/>
      <c r="Z146" s="32">
        <v>5</v>
      </c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v>11</v>
      </c>
      <c r="BR146" s="17">
        <v>3</v>
      </c>
      <c r="BS146" s="17" t="s">
        <v>264</v>
      </c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8"/>
    </row>
    <row r="147" spans="1:97" ht="40.5" x14ac:dyDescent="0.15">
      <c r="A147" s="1"/>
      <c r="B147" s="1" t="s">
        <v>208</v>
      </c>
      <c r="C147" s="1" t="s">
        <v>205</v>
      </c>
      <c r="D147" s="1" t="s">
        <v>184</v>
      </c>
      <c r="E147" s="6"/>
      <c r="F147" s="6"/>
      <c r="G147" s="6"/>
      <c r="H147" s="6"/>
      <c r="I147" s="6">
        <v>7</v>
      </c>
      <c r="J147" s="6"/>
      <c r="K147" s="6"/>
      <c r="L147" s="6"/>
      <c r="M147" s="6"/>
      <c r="N147" s="6"/>
      <c r="O147" s="6"/>
      <c r="P147" s="32"/>
      <c r="Q147" s="32">
        <v>7</v>
      </c>
      <c r="R147" s="32">
        <v>7</v>
      </c>
      <c r="S147" s="32"/>
      <c r="T147" s="32">
        <v>7</v>
      </c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v>13</v>
      </c>
      <c r="BR147" s="17">
        <v>3</v>
      </c>
      <c r="BS147" s="17" t="s">
        <v>257</v>
      </c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40.5" x14ac:dyDescent="0.15">
      <c r="A148" s="1"/>
      <c r="B148" s="1" t="s">
        <v>198</v>
      </c>
      <c r="C148" s="1" t="s">
        <v>181</v>
      </c>
      <c r="D148" s="1" t="s">
        <v>184</v>
      </c>
      <c r="E148" s="6"/>
      <c r="F148" s="6"/>
      <c r="G148" s="6"/>
      <c r="H148" s="6">
        <v>10</v>
      </c>
      <c r="I148" s="6"/>
      <c r="J148" s="6"/>
      <c r="K148" s="6"/>
      <c r="L148" s="6"/>
      <c r="M148" s="6"/>
      <c r="N148" s="6"/>
      <c r="O148" s="6"/>
      <c r="P148" s="32"/>
      <c r="Q148" s="32"/>
      <c r="R148" s="32">
        <v>10</v>
      </c>
      <c r="S148" s="32"/>
      <c r="T148" s="32"/>
      <c r="U148" s="32"/>
      <c r="V148" s="32"/>
      <c r="W148" s="32"/>
      <c r="X148" s="32">
        <v>10</v>
      </c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>
        <v>10</v>
      </c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v>14</v>
      </c>
      <c r="BR148" s="17">
        <v>3</v>
      </c>
      <c r="BS148" s="17" t="s">
        <v>251</v>
      </c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40.5" x14ac:dyDescent="0.15">
      <c r="A149" s="1"/>
      <c r="B149" s="1" t="s">
        <v>202</v>
      </c>
      <c r="C149" s="1" t="s">
        <v>200</v>
      </c>
      <c r="D149" s="1" t="s">
        <v>184</v>
      </c>
      <c r="E149" s="6"/>
      <c r="F149" s="6"/>
      <c r="G149" s="6"/>
      <c r="H149" s="6">
        <v>7</v>
      </c>
      <c r="I149" s="6"/>
      <c r="J149" s="6"/>
      <c r="K149" s="6"/>
      <c r="L149" s="6"/>
      <c r="M149" s="6"/>
      <c r="N149" s="6"/>
      <c r="O149" s="6"/>
      <c r="P149" s="32"/>
      <c r="Q149" s="32">
        <v>7</v>
      </c>
      <c r="R149" s="32"/>
      <c r="S149" s="32"/>
      <c r="T149" s="32">
        <v>7</v>
      </c>
      <c r="U149" s="32"/>
      <c r="V149" s="32"/>
      <c r="W149" s="32"/>
      <c r="X149" s="32"/>
      <c r="Y149" s="32"/>
      <c r="Z149" s="32"/>
      <c r="AA149" s="32">
        <v>7</v>
      </c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14</v>
      </c>
      <c r="BR149" s="17">
        <v>3</v>
      </c>
      <c r="BS149" s="17" t="s">
        <v>256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40.5" x14ac:dyDescent="0.15">
      <c r="A150" s="1">
        <v>28</v>
      </c>
      <c r="B150" s="1" t="s">
        <v>84</v>
      </c>
      <c r="C150" s="1" t="s">
        <v>32</v>
      </c>
      <c r="D150" s="1" t="s">
        <v>1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1"/>
      <c r="AF150" s="1"/>
      <c r="AG150" s="1"/>
      <c r="AH150" s="1">
        <v>5</v>
      </c>
      <c r="AI150" s="1">
        <v>5</v>
      </c>
      <c r="AJ150" s="1">
        <v>5</v>
      </c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>SUM(E150:BO150)</f>
        <v>15</v>
      </c>
      <c r="BQ150" s="1">
        <v>15</v>
      </c>
      <c r="BR150" s="17">
        <v>3</v>
      </c>
      <c r="BS150" s="17" t="s">
        <v>132</v>
      </c>
      <c r="BT150" s="1" t="str">
        <f>IF(AQ150&gt;AQ$165, AQ150-AQ$165,"")</f>
        <v/>
      </c>
      <c r="BU150" s="1" t="str">
        <f>IF(AR150&gt;AR$165, AR150-AR$165,"")</f>
        <v/>
      </c>
      <c r="BV150" s="1" t="str">
        <f>IF(AS150&gt;AS$165, AS150-AS$165,"")</f>
        <v/>
      </c>
      <c r="BW150" s="1" t="str">
        <f>IF(AT150&gt;AT$165, AT150-AT$165,"")</f>
        <v/>
      </c>
      <c r="BX150" s="1" t="str">
        <f>IF(AU150&gt;AU$165, AU150-AU$165,"")</f>
        <v/>
      </c>
      <c r="BY150" s="1" t="str">
        <f>IF(AV150&gt;AV$165, AV150-AV$165,"")</f>
        <v/>
      </c>
      <c r="BZ150" s="1" t="str">
        <f>IF(AW150&gt;AW$165, AW150-AW$165,"")</f>
        <v/>
      </c>
      <c r="CA150" s="1" t="str">
        <f>IF(AX150&gt;AX$165, AX150-AX$165,"")</f>
        <v/>
      </c>
      <c r="CB150" s="1" t="str">
        <f>IF(AY150&gt;AY$165, AY150-AY$165,"")</f>
        <v/>
      </c>
      <c r="CC150" s="1" t="str">
        <f>IF(AZ150&gt;AZ$165, AZ150-AZ$165,"")</f>
        <v/>
      </c>
      <c r="CD150" s="1" t="str">
        <f>IF(BA150&gt;BA$165, BA150-BA$165,"")</f>
        <v/>
      </c>
      <c r="CE150" s="1" t="str">
        <f>IF(BB150&gt;BB$165, BB150-BB$165,"")</f>
        <v/>
      </c>
      <c r="CF150" s="1">
        <f>COUNTIF(BT150:CE150, "&gt;0")</f>
        <v>0</v>
      </c>
      <c r="CG150" s="1" t="str">
        <f>IF($CF150=1,BT150,"")</f>
        <v/>
      </c>
      <c r="CH150" s="1" t="str">
        <f>IF($CF150=1,BU150,"")</f>
        <v/>
      </c>
      <c r="CI150" s="1" t="str">
        <f>IF($CF150=1,BV150,"")</f>
        <v/>
      </c>
      <c r="CJ150" s="1" t="str">
        <f>IF($CF150=1,BW150,"")</f>
        <v/>
      </c>
      <c r="CK150" s="1" t="str">
        <f>IF($CF150=1,BX150,"")</f>
        <v/>
      </c>
      <c r="CL150" s="1" t="str">
        <f>IF($CF150=1,BY150,"")</f>
        <v/>
      </c>
      <c r="CM150" s="1" t="str">
        <f>IF($CF150=1,BZ150,"")</f>
        <v/>
      </c>
      <c r="CN150" s="1" t="str">
        <f>IF($CF150=1,CA150,"")</f>
        <v/>
      </c>
      <c r="CO150" s="1" t="str">
        <f>IF($CF150=1,CB150,"")</f>
        <v/>
      </c>
      <c r="CP150" s="1" t="str">
        <f>IF($CF150=1,CC150,"")</f>
        <v/>
      </c>
      <c r="CQ150" s="1" t="str">
        <f>IF($CF150=1,CD150,"")</f>
        <v/>
      </c>
      <c r="CR150" s="1" t="str">
        <f>IF($CF150=1,CE150,"")</f>
        <v/>
      </c>
      <c r="CS150" s="18">
        <f>SUM(AE150:BO150)</f>
        <v>15</v>
      </c>
    </row>
    <row r="151" spans="1:97" ht="40.5" x14ac:dyDescent="0.15">
      <c r="A151" s="1">
        <v>89</v>
      </c>
      <c r="B151" s="3" t="s">
        <v>89</v>
      </c>
      <c r="C151" s="3" t="s">
        <v>90</v>
      </c>
      <c r="D151" s="1" t="s">
        <v>1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>
        <v>5</v>
      </c>
      <c r="AG151" s="1"/>
      <c r="AH151" s="1">
        <v>5</v>
      </c>
      <c r="AI151" s="1">
        <v>5</v>
      </c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>
        <f>SUM(E151:BO151)</f>
        <v>15</v>
      </c>
      <c r="BQ151" s="1">
        <v>15</v>
      </c>
      <c r="BR151" s="17">
        <v>3</v>
      </c>
      <c r="BS151" s="17" t="s">
        <v>133</v>
      </c>
      <c r="BT151" s="1" t="str">
        <f>IF(AQ151&gt;AQ$165, AQ151-AQ$165,"")</f>
        <v/>
      </c>
      <c r="BU151" s="1" t="str">
        <f>IF(AR151&gt;AR$165, AR151-AR$165,"")</f>
        <v/>
      </c>
      <c r="BV151" s="1" t="str">
        <f>IF(AS151&gt;AS$165, AS151-AS$165,"")</f>
        <v/>
      </c>
      <c r="BW151" s="1" t="str">
        <f>IF(AT151&gt;AT$165, AT151-AT$165,"")</f>
        <v/>
      </c>
      <c r="BX151" s="1" t="str">
        <f>IF(AU151&gt;AU$165, AU151-AU$165,"")</f>
        <v/>
      </c>
      <c r="BY151" s="1" t="str">
        <f>IF(AV151&gt;AV$165, AV151-AV$165,"")</f>
        <v/>
      </c>
      <c r="BZ151" s="1" t="str">
        <f>IF(AW151&gt;AW$165, AW151-AW$165,"")</f>
        <v/>
      </c>
      <c r="CA151" s="1" t="str">
        <f>IF(AX151&gt;AX$165, AX151-AX$165,"")</f>
        <v/>
      </c>
      <c r="CB151" s="1" t="str">
        <f>IF(AY151&gt;AY$165, AY151-AY$165,"")</f>
        <v/>
      </c>
      <c r="CC151" s="1" t="str">
        <f>IF(AZ151&gt;AZ$165, AZ151-AZ$165,"")</f>
        <v/>
      </c>
      <c r="CD151" s="1" t="str">
        <f>IF(BA151&gt;BA$165, BA151-BA$165,"")</f>
        <v/>
      </c>
      <c r="CE151" s="1" t="str">
        <f>IF(BB151&gt;BB$165, BB151-BB$165,"")</f>
        <v/>
      </c>
      <c r="CF151" s="1">
        <f>COUNTIF(BT151:CE151, "&gt;0")</f>
        <v>0</v>
      </c>
      <c r="CG151" s="1" t="str">
        <f>IF($CF151=1,BT151,"")</f>
        <v/>
      </c>
      <c r="CH151" s="1" t="str">
        <f>IF($CF151=1,BU151,"")</f>
        <v/>
      </c>
      <c r="CI151" s="1" t="str">
        <f>IF($CF151=1,BV151,"")</f>
        <v/>
      </c>
      <c r="CJ151" s="1" t="str">
        <f>IF($CF151=1,BW151,"")</f>
        <v/>
      </c>
      <c r="CK151" s="1" t="str">
        <f>IF($CF151=1,BX151,"")</f>
        <v/>
      </c>
      <c r="CL151" s="1" t="str">
        <f>IF($CF151=1,BY151,"")</f>
        <v/>
      </c>
      <c r="CM151" s="1" t="str">
        <f>IF($CF151=1,BZ151,"")</f>
        <v/>
      </c>
      <c r="CN151" s="1" t="str">
        <f>IF($CF151=1,CA151,"")</f>
        <v/>
      </c>
      <c r="CO151" s="1" t="str">
        <f>IF($CF151=1,CB151,"")</f>
        <v/>
      </c>
      <c r="CP151" s="1" t="str">
        <f>IF($CF151=1,CC151,"")</f>
        <v/>
      </c>
      <c r="CQ151" s="1" t="str">
        <f>IF($CF151=1,CD151,"")</f>
        <v/>
      </c>
      <c r="CR151" s="1" t="str">
        <f>IF($CF151=1,CE151,"")</f>
        <v/>
      </c>
      <c r="CS151" s="18">
        <f>SUM(AE151:BO151)</f>
        <v>15</v>
      </c>
    </row>
    <row r="152" spans="1:97" ht="40.5" x14ac:dyDescent="0.15">
      <c r="A152" s="1">
        <v>54</v>
      </c>
      <c r="B152" s="1" t="s">
        <v>61</v>
      </c>
      <c r="C152" s="1" t="s">
        <v>62</v>
      </c>
      <c r="D152" s="1" t="s">
        <v>1</v>
      </c>
      <c r="E152" s="6"/>
      <c r="F152" s="6">
        <v>15</v>
      </c>
      <c r="G152" s="6"/>
      <c r="H152" s="6">
        <v>15</v>
      </c>
      <c r="I152" s="6"/>
      <c r="J152" s="6"/>
      <c r="K152" s="6"/>
      <c r="L152" s="6"/>
      <c r="M152" s="6"/>
      <c r="N152" s="6"/>
      <c r="O152" s="6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>
        <v>15</v>
      </c>
      <c r="AW152" s="2"/>
      <c r="AX152" s="2"/>
      <c r="AY152" s="2"/>
      <c r="AZ152" s="2"/>
      <c r="BA152" s="2">
        <v>15</v>
      </c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>
        <f>SUM(E152:BO152)</f>
        <v>60</v>
      </c>
      <c r="BQ152" s="1">
        <v>20</v>
      </c>
      <c r="BR152" s="17">
        <v>3</v>
      </c>
      <c r="BS152" s="17" t="s">
        <v>248</v>
      </c>
      <c r="BT152" s="1" t="str">
        <f>IF(AQ152&gt;AQ$165, AQ152-AQ$165,"")</f>
        <v/>
      </c>
      <c r="BU152" s="1" t="str">
        <f>IF(AR152&gt;AR$165, AR152-AR$165,"")</f>
        <v/>
      </c>
      <c r="BV152" s="1" t="str">
        <f>IF(AS152&gt;AS$165, AS152-AS$165,"")</f>
        <v/>
      </c>
      <c r="BW152" s="1" t="str">
        <f>IF(AT152&gt;AT$165, AT152-AT$165,"")</f>
        <v/>
      </c>
      <c r="BX152" s="1" t="str">
        <f>IF(AU152&gt;AU$165, AU152-AU$165,"")</f>
        <v/>
      </c>
      <c r="BY152" s="1">
        <f>IF(AV152&gt;AV$165, AV152-AV$165,"")</f>
        <v>1</v>
      </c>
      <c r="BZ152" s="1" t="str">
        <f>IF(AW152&gt;AW$165, AW152-AW$165,"")</f>
        <v/>
      </c>
      <c r="CA152" s="1" t="str">
        <f>IF(AX152&gt;AX$165, AX152-AX$165,"")</f>
        <v/>
      </c>
      <c r="CB152" s="1" t="str">
        <f>IF(AY152&gt;AY$165, AY152-AY$165,"")</f>
        <v/>
      </c>
      <c r="CC152" s="1" t="str">
        <f>IF(AZ152&gt;AZ$165, AZ152-AZ$165,"")</f>
        <v/>
      </c>
      <c r="CD152" s="1" t="str">
        <f>IF(BA152&gt;BA$165, BA152-BA$165,"")</f>
        <v/>
      </c>
      <c r="CE152" s="1" t="str">
        <f>IF(BB152&gt;BB$165, BB152-BB$165,"")</f>
        <v/>
      </c>
      <c r="CF152" s="1">
        <f>COUNTIF(BT152:CE152, "&gt;0")</f>
        <v>1</v>
      </c>
      <c r="CG152" s="1" t="str">
        <f>IF($CF152=1,BT152,"")</f>
        <v/>
      </c>
      <c r="CH152" s="1" t="str">
        <f>IF($CF152=1,BU152,"")</f>
        <v/>
      </c>
      <c r="CI152" s="1" t="str">
        <f>IF($CF152=1,BV152,"")</f>
        <v/>
      </c>
      <c r="CJ152" s="1" t="str">
        <f>IF($CF152=1,BW152,"")</f>
        <v/>
      </c>
      <c r="CK152" s="1" t="str">
        <f>IF($CF152=1,BX152,"")</f>
        <v/>
      </c>
      <c r="CL152" s="1">
        <f>IF($CF152=1,BY152,"")</f>
        <v>1</v>
      </c>
      <c r="CM152" s="1" t="str">
        <f>IF($CF152=1,BZ152,"")</f>
        <v/>
      </c>
      <c r="CN152" s="1" t="str">
        <f>IF($CF152=1,CA152,"")</f>
        <v/>
      </c>
      <c r="CO152" s="1" t="str">
        <f>IF($CF152=1,CB152,"")</f>
        <v/>
      </c>
      <c r="CP152" s="1" t="str">
        <f>IF($CF152=1,CC152,"")</f>
        <v/>
      </c>
      <c r="CQ152" s="1" t="str">
        <f>IF($CF152=1,CD152,"")</f>
        <v/>
      </c>
      <c r="CR152" s="1" t="str">
        <f>IF($CF152=1,CE152,"")</f>
        <v/>
      </c>
      <c r="CS152" s="18">
        <f>SUM(AE152:BO152)</f>
        <v>30</v>
      </c>
    </row>
    <row r="153" spans="1:97" ht="40.5" x14ac:dyDescent="0.15">
      <c r="A153" s="1"/>
      <c r="B153" s="1" t="s">
        <v>219</v>
      </c>
      <c r="C153" s="1" t="s">
        <v>217</v>
      </c>
      <c r="D153" s="1" t="s">
        <v>184</v>
      </c>
      <c r="E153" s="6"/>
      <c r="F153" s="6"/>
      <c r="G153" s="6"/>
      <c r="H153" s="6">
        <v>10</v>
      </c>
      <c r="I153" s="6"/>
      <c r="J153" s="6"/>
      <c r="K153" s="6"/>
      <c r="L153" s="6"/>
      <c r="M153" s="6"/>
      <c r="N153" s="6"/>
      <c r="O153" s="6"/>
      <c r="P153" s="32"/>
      <c r="Q153" s="32"/>
      <c r="R153" s="32">
        <v>10</v>
      </c>
      <c r="S153" s="32"/>
      <c r="T153" s="32"/>
      <c r="U153" s="32">
        <v>10</v>
      </c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>
        <v>10</v>
      </c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>
        <v>20</v>
      </c>
      <c r="BR153" s="17">
        <v>3</v>
      </c>
      <c r="BS153" s="17" t="s">
        <v>254</v>
      </c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8"/>
    </row>
    <row r="154" spans="1:97" ht="40.5" x14ac:dyDescent="0.15">
      <c r="A154" s="1"/>
      <c r="B154" s="1" t="s">
        <v>193</v>
      </c>
      <c r="C154" s="1" t="s">
        <v>181</v>
      </c>
      <c r="D154" s="1" t="s">
        <v>184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>
        <v>10</v>
      </c>
      <c r="P154" s="32"/>
      <c r="Q154" s="32"/>
      <c r="R154" s="32">
        <v>10</v>
      </c>
      <c r="S154" s="32"/>
      <c r="T154" s="32"/>
      <c r="U154" s="32"/>
      <c r="V154" s="32"/>
      <c r="W154" s="32"/>
      <c r="X154" s="32">
        <v>10</v>
      </c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>
        <v>10</v>
      </c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>
        <v>22</v>
      </c>
      <c r="BR154" s="17">
        <v>3</v>
      </c>
      <c r="BS154" s="17" t="s">
        <v>259</v>
      </c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8"/>
    </row>
    <row r="155" spans="1:97" ht="40.5" x14ac:dyDescent="0.15">
      <c r="A155" s="1"/>
      <c r="B155" s="1" t="s">
        <v>146</v>
      </c>
      <c r="C155" s="1" t="s">
        <v>142</v>
      </c>
      <c r="D155" s="1" t="s">
        <v>140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>
        <v>10</v>
      </c>
      <c r="AP155" s="1">
        <v>10</v>
      </c>
      <c r="AQ155" s="4"/>
      <c r="AR155" s="4"/>
      <c r="AS155" s="4">
        <v>5</v>
      </c>
      <c r="AT155" s="4"/>
      <c r="AU155" s="4"/>
      <c r="AV155" s="4"/>
      <c r="AW155" s="2"/>
      <c r="AX155" s="2">
        <v>5</v>
      </c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>
        <v>25</v>
      </c>
      <c r="BR155" s="17">
        <v>3</v>
      </c>
      <c r="BS155" s="17" t="s">
        <v>249</v>
      </c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8"/>
    </row>
    <row r="156" spans="1:97" ht="54" x14ac:dyDescent="0.15">
      <c r="A156" s="1"/>
      <c r="B156" s="1" t="s">
        <v>141</v>
      </c>
      <c r="C156" s="1" t="s">
        <v>142</v>
      </c>
      <c r="D156" s="1" t="s">
        <v>143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>
        <v>40</v>
      </c>
      <c r="AW156" s="2">
        <v>40</v>
      </c>
      <c r="AX156" s="2"/>
      <c r="AY156" s="2"/>
      <c r="AZ156" s="2"/>
      <c r="BA156" s="2"/>
      <c r="BB156" s="2">
        <v>40</v>
      </c>
      <c r="BC156" s="14">
        <v>10</v>
      </c>
      <c r="BD156" s="1">
        <v>50</v>
      </c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>
        <v>59</v>
      </c>
      <c r="BR156" s="17">
        <v>4</v>
      </c>
      <c r="BS156" s="17" t="s">
        <v>270</v>
      </c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8"/>
    </row>
    <row r="157" spans="1:97" ht="54" x14ac:dyDescent="0.15">
      <c r="A157" s="1">
        <v>85</v>
      </c>
      <c r="B157" s="3" t="s">
        <v>76</v>
      </c>
      <c r="C157" s="3" t="s">
        <v>71</v>
      </c>
      <c r="D157" s="1" t="s">
        <v>40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/>
      <c r="BK157" s="1"/>
      <c r="BL157" s="1">
        <v>50</v>
      </c>
      <c r="BM157" s="1">
        <v>50</v>
      </c>
      <c r="BN157" s="1">
        <v>50</v>
      </c>
      <c r="BO157" s="1">
        <v>50</v>
      </c>
      <c r="BP157" s="1">
        <f>SUM(E157:BO157)</f>
        <v>200</v>
      </c>
      <c r="BQ157" s="1">
        <v>195</v>
      </c>
      <c r="BR157" s="17">
        <v>4</v>
      </c>
      <c r="BS157" s="17" t="s">
        <v>134</v>
      </c>
      <c r="BT157" s="1" t="str">
        <f>IF(AQ157&gt;AQ$165, AQ157-AQ$165,"")</f>
        <v/>
      </c>
      <c r="BU157" s="1" t="str">
        <f>IF(AR157&gt;AR$165, AR157-AR$165,"")</f>
        <v/>
      </c>
      <c r="BV157" s="1" t="str">
        <f>IF(AS157&gt;AS$165, AS157-AS$165,"")</f>
        <v/>
      </c>
      <c r="BW157" s="1" t="str">
        <f>IF(AT157&gt;AT$165, AT157-AT$165,"")</f>
        <v/>
      </c>
      <c r="BX157" s="1" t="str">
        <f>IF(AU157&gt;AU$165, AU157-AU$165,"")</f>
        <v/>
      </c>
      <c r="BY157" s="1" t="str">
        <f>IF(AV157&gt;AV$165, AV157-AV$165,"")</f>
        <v/>
      </c>
      <c r="BZ157" s="1" t="str">
        <f>IF(AW157&gt;AW$165, AW157-AW$165,"")</f>
        <v/>
      </c>
      <c r="CA157" s="1" t="str">
        <f>IF(AX157&gt;AX$165, AX157-AX$165,"")</f>
        <v/>
      </c>
      <c r="CB157" s="1" t="str">
        <f>IF(AY157&gt;AY$165, AY157-AY$165,"")</f>
        <v/>
      </c>
      <c r="CC157" s="1" t="str">
        <f>IF(AZ157&gt;AZ$165, AZ157-AZ$165,"")</f>
        <v/>
      </c>
      <c r="CD157" s="1" t="str">
        <f>IF(BA157&gt;BA$165, BA157-BA$165,"")</f>
        <v/>
      </c>
      <c r="CE157" s="1" t="str">
        <f>IF(BB157&gt;BB$165, BB157-BB$165,"")</f>
        <v/>
      </c>
      <c r="CF157" s="1">
        <f>COUNTIF(BT157:CE157, "&gt;0")</f>
        <v>0</v>
      </c>
      <c r="CG157" s="1" t="str">
        <f>IF($CF157=1,BT157,"")</f>
        <v/>
      </c>
      <c r="CH157" s="1" t="str">
        <f>IF($CF157=1,BU157,"")</f>
        <v/>
      </c>
      <c r="CI157" s="1" t="str">
        <f>IF($CF157=1,BV157,"")</f>
        <v/>
      </c>
      <c r="CJ157" s="1" t="str">
        <f>IF($CF157=1,BW157,"")</f>
        <v/>
      </c>
      <c r="CK157" s="1" t="str">
        <f>IF($CF157=1,BX157,"")</f>
        <v/>
      </c>
      <c r="CL157" s="1" t="str">
        <f>IF($CF157=1,BY157,"")</f>
        <v/>
      </c>
      <c r="CM157" s="1" t="str">
        <f>IF($CF157=1,BZ157,"")</f>
        <v/>
      </c>
      <c r="CN157" s="1" t="str">
        <f>IF($CF157=1,CA157,"")</f>
        <v/>
      </c>
      <c r="CO157" s="1" t="str">
        <f>IF($CF157=1,CB157,"")</f>
        <v/>
      </c>
      <c r="CP157" s="1" t="str">
        <f>IF($CF157=1,CC157,"")</f>
        <v/>
      </c>
      <c r="CQ157" s="1" t="str">
        <f>IF($CF157=1,CD157,"")</f>
        <v/>
      </c>
      <c r="CR157" s="1" t="str">
        <f>IF($CF157=1,CE157,"")</f>
        <v/>
      </c>
      <c r="CS157" s="18">
        <f>SUM(AE157:BO157)</f>
        <v>200</v>
      </c>
    </row>
    <row r="158" spans="1:97" ht="54" x14ac:dyDescent="0.15">
      <c r="A158" s="1">
        <v>23</v>
      </c>
      <c r="B158" s="1" t="s">
        <v>114</v>
      </c>
      <c r="C158" s="1" t="s">
        <v>32</v>
      </c>
      <c r="D158" s="1" t="s">
        <v>40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>
        <v>50</v>
      </c>
      <c r="BK158" s="1">
        <v>50</v>
      </c>
      <c r="BL158" s="1"/>
      <c r="BM158" s="1"/>
      <c r="BN158" s="1">
        <v>50</v>
      </c>
      <c r="BO158" s="1">
        <v>50</v>
      </c>
      <c r="BP158" s="1">
        <f>SUM(E158:BO158)</f>
        <v>200</v>
      </c>
      <c r="BQ158" s="1">
        <v>195</v>
      </c>
      <c r="BR158" s="17">
        <v>4</v>
      </c>
      <c r="BS158" s="17" t="s">
        <v>135</v>
      </c>
      <c r="BT158" s="1" t="str">
        <f>IF(AQ158&gt;AQ$165, AQ158-AQ$165,"")</f>
        <v/>
      </c>
      <c r="BU158" s="1" t="str">
        <f>IF(AR158&gt;AR$165, AR158-AR$165,"")</f>
        <v/>
      </c>
      <c r="BV158" s="1" t="str">
        <f>IF(AS158&gt;AS$165, AS158-AS$165,"")</f>
        <v/>
      </c>
      <c r="BW158" s="1" t="str">
        <f>IF(AT158&gt;AT$165, AT158-AT$165,"")</f>
        <v/>
      </c>
      <c r="BX158" s="1" t="str">
        <f>IF(AU158&gt;AU$165, AU158-AU$165,"")</f>
        <v/>
      </c>
      <c r="BY158" s="1" t="str">
        <f>IF(AV158&gt;AV$165, AV158-AV$165,"")</f>
        <v/>
      </c>
      <c r="BZ158" s="1" t="str">
        <f>IF(AW158&gt;AW$165, AW158-AW$165,"")</f>
        <v/>
      </c>
      <c r="CA158" s="1" t="str">
        <f>IF(AX158&gt;AX$165, AX158-AX$165,"")</f>
        <v/>
      </c>
      <c r="CB158" s="1" t="str">
        <f>IF(AY158&gt;AY$165, AY158-AY$165,"")</f>
        <v/>
      </c>
      <c r="CC158" s="1" t="str">
        <f>IF(AZ158&gt;AZ$165, AZ158-AZ$165,"")</f>
        <v/>
      </c>
      <c r="CD158" s="1" t="str">
        <f>IF(BA158&gt;BA$165, BA158-BA$165,"")</f>
        <v/>
      </c>
      <c r="CE158" s="1" t="str">
        <f>IF(BB158&gt;BB$165, BB158-BB$165,"")</f>
        <v/>
      </c>
      <c r="CF158" s="1">
        <f>COUNTIF(BT158:CE158, "&gt;0")</f>
        <v>0</v>
      </c>
      <c r="CG158" s="1" t="str">
        <f>IF($CF158=1,BT158,"")</f>
        <v/>
      </c>
      <c r="CH158" s="1" t="str">
        <f>IF($CF158=1,BU158,"")</f>
        <v/>
      </c>
      <c r="CI158" s="1" t="str">
        <f>IF($CF158=1,BV158,"")</f>
        <v/>
      </c>
      <c r="CJ158" s="1" t="str">
        <f>IF($CF158=1,BW158,"")</f>
        <v/>
      </c>
      <c r="CK158" s="1" t="str">
        <f>IF($CF158=1,BX158,"")</f>
        <v/>
      </c>
      <c r="CL158" s="1" t="str">
        <f>IF($CF158=1,BY158,"")</f>
        <v/>
      </c>
      <c r="CM158" s="1" t="str">
        <f>IF($CF158=1,BZ158,"")</f>
        <v/>
      </c>
      <c r="CN158" s="1" t="str">
        <f>IF($CF158=1,CA158,"")</f>
        <v/>
      </c>
      <c r="CO158" s="1" t="str">
        <f>IF($CF158=1,CB158,"")</f>
        <v/>
      </c>
      <c r="CP158" s="1" t="str">
        <f>IF($CF158=1,CC158,"")</f>
        <v/>
      </c>
      <c r="CQ158" s="1" t="str">
        <f>IF($CF158=1,CD158,"")</f>
        <v/>
      </c>
      <c r="CR158" s="1" t="str">
        <f>IF($CF158=1,CE158,"")</f>
        <v/>
      </c>
      <c r="CS158" s="18">
        <f>SUM(AE158:BO158)</f>
        <v>200</v>
      </c>
    </row>
    <row r="159" spans="1:97" ht="54" x14ac:dyDescent="0.15">
      <c r="A159" s="1"/>
      <c r="B159" s="1" t="s">
        <v>155</v>
      </c>
      <c r="C159" s="1" t="s">
        <v>153</v>
      </c>
      <c r="D159" s="1" t="s">
        <v>156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>
        <v>50</v>
      </c>
      <c r="BK159" s="1">
        <v>50</v>
      </c>
      <c r="BL159" s="1"/>
      <c r="BM159" s="1"/>
      <c r="BN159" s="1">
        <v>50</v>
      </c>
      <c r="BO159" s="1">
        <v>50</v>
      </c>
      <c r="BP159" s="1"/>
      <c r="BQ159" s="1">
        <v>195</v>
      </c>
      <c r="BR159" s="17">
        <v>4</v>
      </c>
      <c r="BS159" s="17" t="s">
        <v>135</v>
      </c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8"/>
    </row>
    <row r="160" spans="1:97" ht="54" x14ac:dyDescent="0.15">
      <c r="A160" s="1"/>
      <c r="B160" s="1" t="s">
        <v>172</v>
      </c>
      <c r="C160" s="1" t="s">
        <v>166</v>
      </c>
      <c r="D160" s="1" t="s">
        <v>156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>
        <v>50</v>
      </c>
      <c r="BM160" s="1">
        <v>50</v>
      </c>
      <c r="BN160" s="1">
        <v>50</v>
      </c>
      <c r="BO160" s="1">
        <v>50</v>
      </c>
      <c r="BP160" s="1"/>
      <c r="BQ160" s="1">
        <v>195</v>
      </c>
      <c r="BR160" s="17">
        <v>4</v>
      </c>
      <c r="BS160" s="17" t="s">
        <v>134</v>
      </c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8"/>
    </row>
    <row r="161" spans="1:97" ht="54" x14ac:dyDescent="0.15">
      <c r="A161" s="1"/>
      <c r="B161" s="1" t="s">
        <v>179</v>
      </c>
      <c r="C161" s="1" t="s">
        <v>166</v>
      </c>
      <c r="D161" s="1" t="s">
        <v>156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>
        <v>50</v>
      </c>
      <c r="BM161" s="1">
        <v>50</v>
      </c>
      <c r="BN161" s="1">
        <v>50</v>
      </c>
      <c r="BO161" s="1">
        <v>50</v>
      </c>
      <c r="BP161" s="1"/>
      <c r="BQ161" s="1">
        <v>195</v>
      </c>
      <c r="BR161" s="17">
        <v>4</v>
      </c>
      <c r="BS161" s="17" t="s">
        <v>134</v>
      </c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8"/>
    </row>
    <row r="162" spans="1:97" ht="54" x14ac:dyDescent="0.15">
      <c r="A162" s="1"/>
      <c r="B162" s="1" t="s">
        <v>214</v>
      </c>
      <c r="C162" s="1" t="s">
        <v>215</v>
      </c>
      <c r="D162" s="1" t="s">
        <v>40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4"/>
      <c r="AR162" s="4"/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>
        <v>50</v>
      </c>
      <c r="BK162" s="1">
        <v>50</v>
      </c>
      <c r="BL162" s="1"/>
      <c r="BM162" s="1"/>
      <c r="BN162" s="1">
        <v>50</v>
      </c>
      <c r="BO162" s="1">
        <v>50</v>
      </c>
      <c r="BP162" s="1"/>
      <c r="BQ162" s="1">
        <v>195</v>
      </c>
      <c r="BR162" s="17">
        <v>4</v>
      </c>
      <c r="BS162" s="17" t="s">
        <v>135</v>
      </c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8"/>
    </row>
    <row r="163" spans="1:97" ht="54" x14ac:dyDescent="0.15">
      <c r="A163" s="1">
        <v>102</v>
      </c>
      <c r="B163" s="3" t="s">
        <v>111</v>
      </c>
      <c r="C163" s="3" t="s">
        <v>78</v>
      </c>
      <c r="D163" s="1" t="s">
        <v>40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/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>
        <v>50</v>
      </c>
      <c r="BK163" s="1">
        <v>50</v>
      </c>
      <c r="BL163" s="1"/>
      <c r="BM163" s="1"/>
      <c r="BN163" s="1">
        <v>50</v>
      </c>
      <c r="BO163" s="1">
        <v>50</v>
      </c>
      <c r="BP163" s="1">
        <f>SUM(E163:BO163)</f>
        <v>200</v>
      </c>
      <c r="BQ163" s="1">
        <v>195</v>
      </c>
      <c r="BR163" s="17">
        <v>4</v>
      </c>
      <c r="BS163" s="17" t="s">
        <v>135</v>
      </c>
      <c r="BT163" s="1" t="str">
        <f>IF(AQ163&gt;AQ$165, AQ163-AQ$165,"")</f>
        <v/>
      </c>
      <c r="BU163" s="1" t="str">
        <f>IF(AR163&gt;AR$165, AR163-AR$165,"")</f>
        <v/>
      </c>
      <c r="BV163" s="1" t="str">
        <f>IF(AS163&gt;AS$165, AS163-AS$165,"")</f>
        <v/>
      </c>
      <c r="BW163" s="1" t="str">
        <f>IF(AT163&gt;AT$165, AT163-AT$165,"")</f>
        <v/>
      </c>
      <c r="BX163" s="1" t="str">
        <f>IF(AU163&gt;AU$165, AU163-AU$165,"")</f>
        <v/>
      </c>
      <c r="BY163" s="1" t="str">
        <f>IF(AV163&gt;AV$165, AV163-AV$165,"")</f>
        <v/>
      </c>
      <c r="BZ163" s="1" t="str">
        <f>IF(AW163&gt;AW$165, AW163-AW$165,"")</f>
        <v/>
      </c>
      <c r="CA163" s="1" t="str">
        <f>IF(AX163&gt;AX$165, AX163-AX$165,"")</f>
        <v/>
      </c>
      <c r="CB163" s="1" t="str">
        <f>IF(AY163&gt;AY$165, AY163-AY$165,"")</f>
        <v/>
      </c>
      <c r="CC163" s="1" t="str">
        <f>IF(AZ163&gt;AZ$165, AZ163-AZ$165,"")</f>
        <v/>
      </c>
      <c r="CD163" s="1" t="str">
        <f>IF(BA163&gt;BA$165, BA163-BA$165,"")</f>
        <v/>
      </c>
      <c r="CE163" s="1" t="str">
        <f>IF(BB163&gt;BB$165, BB163-BB$165,"")</f>
        <v/>
      </c>
      <c r="CF163" s="1">
        <f>COUNTIF(BT163:CE163, "&gt;0")</f>
        <v>0</v>
      </c>
      <c r="CG163" s="1" t="str">
        <f>IF($CF163=1,BT163,"")</f>
        <v/>
      </c>
      <c r="CH163" s="1" t="str">
        <f>IF($CF163=1,BU163,"")</f>
        <v/>
      </c>
      <c r="CI163" s="1" t="str">
        <f>IF($CF163=1,BV163,"")</f>
        <v/>
      </c>
      <c r="CJ163" s="1" t="str">
        <f>IF($CF163=1,BW163,"")</f>
        <v/>
      </c>
      <c r="CK163" s="1" t="str">
        <f>IF($CF163=1,BX163,"")</f>
        <v/>
      </c>
      <c r="CL163" s="1" t="str">
        <f>IF($CF163=1,BY163,"")</f>
        <v/>
      </c>
      <c r="CM163" s="1" t="str">
        <f>IF($CF163=1,BZ163,"")</f>
        <v/>
      </c>
      <c r="CN163" s="1" t="str">
        <f>IF($CF163=1,CA163,"")</f>
        <v/>
      </c>
      <c r="CO163" s="1" t="str">
        <f>IF($CF163=1,CB163,"")</f>
        <v/>
      </c>
      <c r="CP163" s="1" t="str">
        <f>IF($CF163=1,CC163,"")</f>
        <v/>
      </c>
      <c r="CQ163" s="1" t="str">
        <f>IF($CF163=1,CD163,"")</f>
        <v/>
      </c>
      <c r="CR163" s="1" t="str">
        <f>IF($CF163=1,CE163,"")</f>
        <v/>
      </c>
      <c r="CS163" s="18">
        <f>SUM(AE163:BO163)</f>
        <v>200</v>
      </c>
    </row>
    <row r="164" spans="1:97" x14ac:dyDescent="0.15">
      <c r="A164" s="1"/>
      <c r="B164" s="1" t="s">
        <v>81</v>
      </c>
      <c r="C164" s="1"/>
      <c r="D164" s="1"/>
      <c r="E164" s="6">
        <f>SUM(E2:E163)</f>
        <v>164</v>
      </c>
      <c r="F164" s="6">
        <f>SUM(F2:F163)</f>
        <v>89</v>
      </c>
      <c r="G164" s="6">
        <f>SUM(G2:G163)</f>
        <v>224</v>
      </c>
      <c r="H164" s="6">
        <f>SUM(H2:H163)</f>
        <v>195</v>
      </c>
      <c r="I164" s="6">
        <f>SUM(I2:I163)</f>
        <v>47</v>
      </c>
      <c r="J164" s="6">
        <f>SUM(J2:J163)</f>
        <v>66</v>
      </c>
      <c r="K164" s="6">
        <f>SUM(K2:K163)</f>
        <v>54</v>
      </c>
      <c r="L164" s="6">
        <f>SUM(L2:L163)</f>
        <v>88</v>
      </c>
      <c r="M164" s="6">
        <f>SUM(M2:M163)</f>
        <v>42</v>
      </c>
      <c r="N164" s="6">
        <f>SUM(N2:N163)</f>
        <v>47</v>
      </c>
      <c r="O164" s="6">
        <f>SUM(O2:O163)</f>
        <v>106</v>
      </c>
      <c r="P164" s="32">
        <f>SUM(P2:P163)</f>
        <v>130</v>
      </c>
      <c r="Q164" s="32">
        <f>SUM(Q2:Q163)</f>
        <v>71</v>
      </c>
      <c r="R164" s="32">
        <f>SUM(R2:R163)</f>
        <v>83</v>
      </c>
      <c r="S164" s="32">
        <f>SUM(S2:S163)</f>
        <v>130</v>
      </c>
      <c r="T164" s="32">
        <f>SUM(T2:T163)</f>
        <v>56</v>
      </c>
      <c r="U164" s="32">
        <f>SUM(U2:U163)</f>
        <v>62</v>
      </c>
      <c r="V164" s="32">
        <f>SUM(V2:V163)</f>
        <v>145</v>
      </c>
      <c r="W164" s="32">
        <f>SUM(W2:W163)</f>
        <v>30</v>
      </c>
      <c r="X164" s="32">
        <f>SUM(X2:X163)</f>
        <v>49</v>
      </c>
      <c r="Y164" s="32">
        <f>SUM(Y2:Y163)</f>
        <v>135</v>
      </c>
      <c r="Z164" s="32">
        <f>SUM(Z2:Z163)</f>
        <v>45</v>
      </c>
      <c r="AA164" s="32">
        <f>SUM(AA2:AA163)</f>
        <v>33</v>
      </c>
      <c r="AB164" s="32">
        <f>SUM(AB2:AB163)</f>
        <v>130</v>
      </c>
      <c r="AC164" s="32">
        <f>SUM(AC2:AC163)</f>
        <v>30</v>
      </c>
      <c r="AD164" s="32">
        <f>SUM(AD2:AD163)</f>
        <v>12</v>
      </c>
      <c r="AE164" s="1">
        <f>SUM(AE2:AE163)</f>
        <v>275</v>
      </c>
      <c r="AF164" s="1">
        <f>SUM(AF2:AF163)</f>
        <v>10</v>
      </c>
      <c r="AG164" s="1">
        <f>SUM(AG2:AG163)</f>
        <v>15</v>
      </c>
      <c r="AH164" s="1">
        <f>SUM(AH2:AH163)</f>
        <v>30</v>
      </c>
      <c r="AI164" s="1">
        <f>SUM(AI2:AI163)</f>
        <v>30</v>
      </c>
      <c r="AJ164" s="1">
        <f>SUM(AJ2:AJ163)</f>
        <v>5</v>
      </c>
      <c r="AK164" s="1">
        <f>SUM(AK2:AK163)</f>
        <v>0</v>
      </c>
      <c r="AL164" s="1">
        <f>SUM(AL2:AL163)</f>
        <v>0</v>
      </c>
      <c r="AM164" s="1">
        <f>SUM(AM2:AM163)</f>
        <v>20</v>
      </c>
      <c r="AN164" s="1">
        <f>SUM(AN2:AN163)</f>
        <v>50</v>
      </c>
      <c r="AO164" s="1">
        <f>SUM(AO2:AO163)</f>
        <v>25</v>
      </c>
      <c r="AP164" s="1">
        <f>SUM(AP2:AP163)</f>
        <v>26</v>
      </c>
      <c r="AQ164" s="4">
        <f>SUM(AQ2:AQ163)</f>
        <v>110</v>
      </c>
      <c r="AR164" s="4">
        <f>SUM(AR2:AR163)</f>
        <v>130</v>
      </c>
      <c r="AS164" s="4">
        <f>SUM(AS2:AS163)</f>
        <v>80</v>
      </c>
      <c r="AT164" s="4">
        <f>SUM(AT2:AT163)</f>
        <v>103</v>
      </c>
      <c r="AU164" s="4">
        <f>SUM(AU2:AU163)</f>
        <v>58</v>
      </c>
      <c r="AV164" s="4">
        <f>SUM(AV2:AV163)</f>
        <v>125</v>
      </c>
      <c r="AW164" s="2">
        <f>SUM(AW2:AW163)</f>
        <v>128</v>
      </c>
      <c r="AX164" s="2">
        <f>SUM(AX2:AX163)</f>
        <v>80</v>
      </c>
      <c r="AY164" s="2">
        <f>SUM(AY2:AY163)</f>
        <v>43</v>
      </c>
      <c r="AZ164" s="2">
        <f>SUM(AZ2:AZ163)</f>
        <v>97</v>
      </c>
      <c r="BA164" s="2">
        <f>SUM(BA2:BA163)</f>
        <v>217</v>
      </c>
      <c r="BB164" s="2">
        <f>SUM(BB2:BB163)</f>
        <v>395</v>
      </c>
      <c r="BC164" s="1">
        <f>SUM(BC2:BC163)</f>
        <v>10</v>
      </c>
      <c r="BD164" s="1">
        <f>SUM(BD2:BD163)</f>
        <v>150</v>
      </c>
      <c r="BE164" s="1">
        <f>SUM(BE2:BE163)</f>
        <v>100</v>
      </c>
      <c r="BF164" s="1">
        <f>SUM(BF2:BF163)</f>
        <v>120</v>
      </c>
      <c r="BG164" s="1">
        <f>SUM(BG2:BG163)</f>
        <v>120</v>
      </c>
      <c r="BH164" s="1">
        <f>SUM(BH2:BH163)</f>
        <v>120</v>
      </c>
      <c r="BI164" s="1">
        <f>SUM(BI2:BI163)</f>
        <v>90</v>
      </c>
      <c r="BJ164" s="1">
        <f>SUM(BJ2:BJ163)</f>
        <v>200</v>
      </c>
      <c r="BK164" s="1">
        <f>SUM(BK2:BK163)</f>
        <v>200</v>
      </c>
      <c r="BL164" s="1">
        <f>SUM(BL2:BL163)</f>
        <v>150</v>
      </c>
      <c r="BM164" s="1">
        <f>SUM(BM2:BM163)</f>
        <v>150</v>
      </c>
      <c r="BN164" s="1">
        <f>SUM(BN2:BN163)</f>
        <v>350</v>
      </c>
      <c r="BO164" s="1">
        <f>SUM(BO2:BO163)</f>
        <v>350</v>
      </c>
      <c r="BP164" s="1"/>
      <c r="BQ164" s="1"/>
      <c r="BR164" s="17"/>
      <c r="BS164" s="17"/>
      <c r="BT164" s="1">
        <f>MIN(BT2:BT163)</f>
        <v>0</v>
      </c>
      <c r="BU164" s="1">
        <f>MIN(BU2:BU163)</f>
        <v>0</v>
      </c>
      <c r="BV164" s="1">
        <f>MIN(BV2:BV163)</f>
        <v>5</v>
      </c>
      <c r="BW164" s="1">
        <f>MIN(BW2:BW163)</f>
        <v>5</v>
      </c>
      <c r="BX164" s="1">
        <f>MIN(BX2:BX163)</f>
        <v>0</v>
      </c>
      <c r="BY164" s="1">
        <f>MIN(BY2:BY163)</f>
        <v>1</v>
      </c>
      <c r="BZ164" s="1">
        <f>MIN(BZ2:BZ163)</f>
        <v>1</v>
      </c>
      <c r="CA164" s="1">
        <f>MIN(CA2:CA163)</f>
        <v>0</v>
      </c>
      <c r="CB164" s="1">
        <f>MIN(CB2:CB163)</f>
        <v>0</v>
      </c>
      <c r="CC164" s="1">
        <f>MIN(CC2:CC163)</f>
        <v>0</v>
      </c>
      <c r="CD164" s="1">
        <f>MIN(CD2:CD163)</f>
        <v>0</v>
      </c>
      <c r="CE164" s="1">
        <f>MIN(CE2:CE163)</f>
        <v>0</v>
      </c>
      <c r="CF164" s="1"/>
      <c r="CG164" s="1">
        <f>MIN(CG2:CG163)</f>
        <v>0</v>
      </c>
      <c r="CH164" s="1">
        <f>MIN(CH2:CH163)</f>
        <v>0</v>
      </c>
      <c r="CI164" s="1">
        <f>MIN(CI2:CI163)</f>
        <v>5</v>
      </c>
      <c r="CJ164" s="1">
        <f>MIN(CJ2:CJ163)</f>
        <v>0</v>
      </c>
      <c r="CK164" s="1">
        <f>MIN(CK2:CK163)</f>
        <v>0</v>
      </c>
      <c r="CL164" s="1">
        <f>MIN(CL2:CL163)</f>
        <v>1</v>
      </c>
      <c r="CM164" s="1">
        <f>MIN(CM2:CM163)</f>
        <v>0</v>
      </c>
      <c r="CN164" s="1">
        <f>MIN(CN2:CN163)</f>
        <v>0</v>
      </c>
      <c r="CO164" s="1">
        <f>MIN(CO2:CO163)</f>
        <v>0</v>
      </c>
      <c r="CP164" s="1">
        <f>MIN(CP2:CP163)</f>
        <v>0</v>
      </c>
      <c r="CQ164" s="1">
        <f>MIN(CQ2:CQ163)</f>
        <v>0</v>
      </c>
      <c r="CR164" s="1">
        <f>MIN(CR2:CR163)</f>
        <v>0</v>
      </c>
      <c r="CS164" s="18">
        <f>COUNTIF(CS2:CS163,"=0")</f>
        <v>8</v>
      </c>
    </row>
    <row r="165" spans="1:97" x14ac:dyDescent="0.15">
      <c r="A165" s="1"/>
      <c r="B165" s="3" t="s">
        <v>103</v>
      </c>
      <c r="C165" s="1"/>
      <c r="D165" s="1"/>
      <c r="E165" s="1">
        <v>14</v>
      </c>
      <c r="F165" s="1">
        <v>3</v>
      </c>
      <c r="G165" s="1">
        <v>21</v>
      </c>
      <c r="H165" s="1">
        <v>8</v>
      </c>
      <c r="I165" s="1">
        <v>26</v>
      </c>
      <c r="J165" s="1">
        <v>35</v>
      </c>
      <c r="K165" s="1">
        <v>22</v>
      </c>
      <c r="L165" s="1">
        <v>43</v>
      </c>
      <c r="M165" s="1">
        <v>12</v>
      </c>
      <c r="N165" s="1">
        <v>25</v>
      </c>
      <c r="O165" s="1">
        <v>25</v>
      </c>
      <c r="P165" s="14">
        <v>12</v>
      </c>
      <c r="Q165" s="14">
        <v>1</v>
      </c>
      <c r="R165" s="14">
        <v>2</v>
      </c>
      <c r="S165" s="14">
        <v>11</v>
      </c>
      <c r="T165" s="14">
        <v>5</v>
      </c>
      <c r="U165" s="14">
        <v>0</v>
      </c>
      <c r="V165" s="14">
        <v>12</v>
      </c>
      <c r="W165" s="14">
        <v>2</v>
      </c>
      <c r="X165" s="14">
        <v>6</v>
      </c>
      <c r="Y165" s="14">
        <v>10</v>
      </c>
      <c r="Z165" s="14">
        <v>1</v>
      </c>
      <c r="AA165" s="14">
        <v>1</v>
      </c>
      <c r="AB165" s="14">
        <v>8</v>
      </c>
      <c r="AC165" s="14">
        <v>2</v>
      </c>
      <c r="AD165" s="14">
        <v>4</v>
      </c>
      <c r="AE165" s="1">
        <v>2</v>
      </c>
      <c r="AF165" s="1">
        <v>0</v>
      </c>
      <c r="AG165" s="1">
        <v>0</v>
      </c>
      <c r="AH165" s="1">
        <v>0</v>
      </c>
      <c r="AI165" s="1">
        <v>0</v>
      </c>
      <c r="AJ165" s="1">
        <v>0</v>
      </c>
      <c r="AK165" s="1">
        <v>33</v>
      </c>
      <c r="AL165" s="1">
        <v>43</v>
      </c>
      <c r="AM165" s="1">
        <v>0</v>
      </c>
      <c r="AN165" s="1">
        <v>0</v>
      </c>
      <c r="AO165" s="1">
        <v>0</v>
      </c>
      <c r="AP165" s="1">
        <v>0</v>
      </c>
      <c r="AQ165" s="14">
        <v>15</v>
      </c>
      <c r="AR165" s="14">
        <v>16</v>
      </c>
      <c r="AS165" s="14">
        <v>0</v>
      </c>
      <c r="AT165" s="14">
        <v>15</v>
      </c>
      <c r="AU165" s="14">
        <v>12</v>
      </c>
      <c r="AV165" s="14">
        <v>14</v>
      </c>
      <c r="AW165" s="14">
        <v>19</v>
      </c>
      <c r="AX165" s="14">
        <v>25</v>
      </c>
      <c r="AY165" s="14">
        <v>13</v>
      </c>
      <c r="AZ165" s="14">
        <v>22</v>
      </c>
      <c r="BA165" s="14">
        <v>17</v>
      </c>
      <c r="BB165" s="14">
        <v>138</v>
      </c>
      <c r="BC165" s="14"/>
      <c r="BD165" s="1">
        <v>48</v>
      </c>
      <c r="BE165" s="1">
        <v>48</v>
      </c>
      <c r="BF165" s="1">
        <v>81</v>
      </c>
      <c r="BG165" s="1">
        <v>90</v>
      </c>
      <c r="BH165" s="1">
        <v>48</v>
      </c>
      <c r="BI165" s="1">
        <v>44</v>
      </c>
      <c r="BJ165" s="1">
        <v>5</v>
      </c>
      <c r="BK165" s="1"/>
      <c r="BL165" s="1">
        <v>5</v>
      </c>
      <c r="BM165" s="1"/>
      <c r="BN165" s="1"/>
      <c r="BO165" s="1"/>
      <c r="BP165" s="1"/>
      <c r="BQ165" s="1"/>
      <c r="BR165" s="17"/>
      <c r="BS165" s="17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</row>
    <row r="166" spans="1:97" x14ac:dyDescent="0.15">
      <c r="A166" s="1"/>
      <c r="B166" s="3" t="s">
        <v>110</v>
      </c>
      <c r="C166" s="1"/>
      <c r="D166" s="1"/>
      <c r="E166" s="1">
        <f>E165-E164</f>
        <v>-150</v>
      </c>
      <c r="F166" s="1">
        <f>F165-F164</f>
        <v>-86</v>
      </c>
      <c r="G166" s="1">
        <f>G165-G164</f>
        <v>-203</v>
      </c>
      <c r="H166" s="1">
        <f>H165-H164</f>
        <v>-187</v>
      </c>
      <c r="I166" s="1">
        <f>I165-I164</f>
        <v>-21</v>
      </c>
      <c r="J166" s="1">
        <f>J165-J164</f>
        <v>-31</v>
      </c>
      <c r="K166" s="1">
        <f>K165-K164</f>
        <v>-32</v>
      </c>
      <c r="L166" s="1">
        <f>L165-L164</f>
        <v>-45</v>
      </c>
      <c r="M166" s="1">
        <f>M165-M164</f>
        <v>-30</v>
      </c>
      <c r="N166" s="1">
        <f>N165-N164</f>
        <v>-22</v>
      </c>
      <c r="O166" s="1">
        <f>O165-O164</f>
        <v>-81</v>
      </c>
      <c r="P166" s="1">
        <f>P165-P164</f>
        <v>-118</v>
      </c>
      <c r="Q166" s="1">
        <f>Q165-Q164</f>
        <v>-70</v>
      </c>
      <c r="R166" s="1">
        <f>R165-R164</f>
        <v>-81</v>
      </c>
      <c r="S166" s="1">
        <f>S165-S164</f>
        <v>-119</v>
      </c>
      <c r="T166" s="1">
        <f>T165-T164</f>
        <v>-51</v>
      </c>
      <c r="U166" s="1">
        <f>U165-U164</f>
        <v>-62</v>
      </c>
      <c r="V166" s="1">
        <f>V165-V164</f>
        <v>-133</v>
      </c>
      <c r="W166" s="1">
        <f>W165-W164</f>
        <v>-28</v>
      </c>
      <c r="X166" s="1">
        <f>X165-X164</f>
        <v>-43</v>
      </c>
      <c r="Y166" s="1">
        <f>Y165-Y164</f>
        <v>-125</v>
      </c>
      <c r="Z166" s="1">
        <f>Z165-Z164</f>
        <v>-44</v>
      </c>
      <c r="AA166" s="1">
        <f>AA165-AA164</f>
        <v>-32</v>
      </c>
      <c r="AB166" s="1">
        <f>AB165-AB164</f>
        <v>-122</v>
      </c>
      <c r="AC166" s="1">
        <f>AC165-AC164</f>
        <v>-28</v>
      </c>
      <c r="AD166" s="1">
        <f>AD165-AD164</f>
        <v>-8</v>
      </c>
      <c r="AE166" s="1">
        <f>AE165-AE164</f>
        <v>-273</v>
      </c>
      <c r="AF166" s="1">
        <f>AF165-AF164</f>
        <v>-10</v>
      </c>
      <c r="AG166" s="1">
        <f>AG165-AG164</f>
        <v>-15</v>
      </c>
      <c r="AH166" s="1">
        <f>AH165-AH164</f>
        <v>-30</v>
      </c>
      <c r="AI166" s="1">
        <f>AI165-AI164</f>
        <v>-30</v>
      </c>
      <c r="AJ166" s="1">
        <f>AJ165-AJ164</f>
        <v>-5</v>
      </c>
      <c r="AK166" s="1">
        <f>AK165-AK164</f>
        <v>33</v>
      </c>
      <c r="AL166" s="1">
        <f>AL165-AL164</f>
        <v>43</v>
      </c>
      <c r="AM166" s="1">
        <f>AM165-AM164</f>
        <v>-20</v>
      </c>
      <c r="AN166" s="1">
        <f>AN165-AN164</f>
        <v>-50</v>
      </c>
      <c r="AO166" s="1">
        <f>AO165-AO164</f>
        <v>-25</v>
      </c>
      <c r="AP166" s="1">
        <f>AP165-AP164</f>
        <v>-26</v>
      </c>
      <c r="AQ166" s="1">
        <f>AQ165-AQ164</f>
        <v>-95</v>
      </c>
      <c r="AR166" s="1">
        <f>AR165-AR164</f>
        <v>-114</v>
      </c>
      <c r="AS166" s="1">
        <f>AS165-AS164</f>
        <v>-80</v>
      </c>
      <c r="AT166" s="1">
        <f>AT165-AT164</f>
        <v>-88</v>
      </c>
      <c r="AU166" s="1">
        <f>AU165-AU164</f>
        <v>-46</v>
      </c>
      <c r="AV166" s="1">
        <f>AV165-AV164</f>
        <v>-111</v>
      </c>
      <c r="AW166" s="1">
        <f>AW165-AW164</f>
        <v>-109</v>
      </c>
      <c r="AX166" s="1">
        <f>AX165-AX164</f>
        <v>-55</v>
      </c>
      <c r="AY166" s="1">
        <f>AY165-AY164</f>
        <v>-30</v>
      </c>
      <c r="AZ166" s="1">
        <f>AZ165-AZ164</f>
        <v>-75</v>
      </c>
      <c r="BA166" s="1">
        <f>BA165-BA164</f>
        <v>-200</v>
      </c>
      <c r="BB166" s="1">
        <f>BB165-BB164</f>
        <v>-257</v>
      </c>
      <c r="BC166" s="1">
        <f>BC165-BC164</f>
        <v>-10</v>
      </c>
      <c r="BD166" s="1">
        <f>BD165-BD164</f>
        <v>-102</v>
      </c>
      <c r="BE166" s="1">
        <f>BE165-BE164</f>
        <v>-52</v>
      </c>
      <c r="BF166" s="1">
        <f>BF165-BF164</f>
        <v>-39</v>
      </c>
      <c r="BG166" s="1">
        <f>BG165-BG164</f>
        <v>-30</v>
      </c>
      <c r="BH166" s="1">
        <f>BH165-BH164</f>
        <v>-72</v>
      </c>
      <c r="BI166" s="1">
        <f>BI165-BI164</f>
        <v>-46</v>
      </c>
      <c r="BJ166" s="1">
        <f>BJ165-BJ164</f>
        <v>-195</v>
      </c>
      <c r="BK166" s="1">
        <f>BK165-BK164</f>
        <v>-200</v>
      </c>
      <c r="BL166" s="1">
        <f>BL165-BL164</f>
        <v>-145</v>
      </c>
      <c r="BM166" s="1">
        <f>BM165-BM164</f>
        <v>-150</v>
      </c>
      <c r="BN166" s="1">
        <f>BN165-BN164</f>
        <v>-350</v>
      </c>
      <c r="BO166" s="1">
        <f>BO165-BO164</f>
        <v>-350</v>
      </c>
      <c r="BP166" s="1"/>
      <c r="BQ166" s="1"/>
      <c r="BR166" s="17"/>
      <c r="BS166" s="17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</row>
  </sheetData>
  <autoFilter ref="A1:BP164"/>
  <sortState ref="A2:CS166">
    <sortCondition ref="BR2:BR166"/>
    <sortCondition ref="BQ2:BQ166"/>
  </sortState>
  <phoneticPr fontId="1" type="noConversion"/>
  <conditionalFormatting sqref="E57:E58">
    <cfRule type="cellIs" dxfId="2" priority="4" operator="greaterThan">
      <formula>$E$165</formula>
    </cfRule>
  </conditionalFormatting>
  <conditionalFormatting sqref="E164">
    <cfRule type="cellIs" dxfId="1" priority="3" operator="greaterThan">
      <formula>$E$165</formula>
    </cfRule>
  </conditionalFormatting>
  <conditionalFormatting sqref="E166:BO1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168</xdr:row>
                    <xdr:rowOff>28575</xdr:rowOff>
                  </from>
                  <to>
                    <xdr:col>1</xdr:col>
                    <xdr:colOff>428625</xdr:colOff>
                    <xdr:row>169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100</v>
      </c>
      <c r="B1" s="5" t="s">
        <v>97</v>
      </c>
      <c r="C1" s="5" t="s">
        <v>101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72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80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72</v>
      </c>
      <c r="K19" s="10" t="s">
        <v>80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107</v>
      </c>
      <c r="B1" s="8" t="s">
        <v>108</v>
      </c>
      <c r="C1" s="8" t="s">
        <v>109</v>
      </c>
    </row>
    <row r="2" spans="1:3" x14ac:dyDescent="0.15">
      <c r="A2" s="1">
        <v>5</v>
      </c>
      <c r="B2" s="10" t="s">
        <v>80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72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80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72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2020-01-29T13:13:28Z</dcterms:modified>
</cp:coreProperties>
</file>