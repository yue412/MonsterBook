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Sheet1!$A$1:$BV$171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Q99" i="1" l="1"/>
  <c r="BQ100" i="1"/>
  <c r="BQ126" i="1"/>
  <c r="BQ35" i="1" l="1"/>
  <c r="BQ36" i="1"/>
  <c r="BQ55" i="1"/>
  <c r="BQ111" i="1"/>
  <c r="BQ37" i="1"/>
  <c r="BQ38" i="1"/>
  <c r="BQ39" i="1"/>
  <c r="BQ40" i="1"/>
  <c r="BQ41" i="1"/>
  <c r="BQ42" i="1"/>
  <c r="BQ103" i="1"/>
  <c r="BQ52" i="1"/>
  <c r="BQ43" i="1"/>
  <c r="BQ44" i="1"/>
  <c r="BQ45" i="1"/>
  <c r="BQ46" i="1"/>
  <c r="BD168" i="1"/>
  <c r="BD170" i="1" s="1"/>
  <c r="BD167" i="1"/>
  <c r="BD169" i="1" s="1"/>
  <c r="BD164" i="1"/>
  <c r="BD166" i="1" s="1"/>
  <c r="BQ51" i="1" l="1"/>
  <c r="BE164" i="1" l="1"/>
  <c r="BE166" i="1" s="1"/>
  <c r="BF164" i="1"/>
  <c r="BF166" i="1" s="1"/>
  <c r="BG164" i="1"/>
  <c r="BG166" i="1" s="1"/>
  <c r="BH164" i="1"/>
  <c r="BH166" i="1" s="1"/>
  <c r="BI164" i="1"/>
  <c r="BI166" i="1" s="1"/>
  <c r="BJ164" i="1"/>
  <c r="BJ166" i="1" s="1"/>
  <c r="BE167" i="1"/>
  <c r="BE169" i="1" s="1"/>
  <c r="BF167" i="1"/>
  <c r="BF169" i="1" s="1"/>
  <c r="BG167" i="1"/>
  <c r="BG169" i="1" s="1"/>
  <c r="BH167" i="1"/>
  <c r="BH169" i="1" s="1"/>
  <c r="BI167" i="1"/>
  <c r="BI169" i="1" s="1"/>
  <c r="BJ167" i="1"/>
  <c r="BJ169" i="1" s="1"/>
  <c r="BE168" i="1"/>
  <c r="BE170" i="1" s="1"/>
  <c r="BF168" i="1"/>
  <c r="BF170" i="1" s="1"/>
  <c r="BG168" i="1"/>
  <c r="BG170" i="1" s="1"/>
  <c r="BH168" i="1"/>
  <c r="BH170" i="1" s="1"/>
  <c r="BI168" i="1"/>
  <c r="BI170" i="1" s="1"/>
  <c r="BJ168" i="1"/>
  <c r="BJ170" i="1" s="1"/>
  <c r="BQ47" i="1" l="1"/>
  <c r="BU47" i="1"/>
  <c r="BV47" i="1"/>
  <c r="BU108" i="1" l="1"/>
  <c r="BV108" i="1"/>
  <c r="BU109" i="1"/>
  <c r="BV109" i="1"/>
  <c r="BU110" i="1"/>
  <c r="BV110" i="1"/>
  <c r="BU3" i="1"/>
  <c r="BV3" i="1"/>
  <c r="BU98" i="1"/>
  <c r="BV98" i="1"/>
  <c r="BU56" i="1"/>
  <c r="BV56" i="1"/>
  <c r="BU57" i="1"/>
  <c r="BV57" i="1"/>
  <c r="BU58" i="1"/>
  <c r="BV58" i="1"/>
  <c r="BU59" i="1"/>
  <c r="BV59" i="1"/>
  <c r="BU72" i="1"/>
  <c r="BV72" i="1"/>
  <c r="BU60" i="1"/>
  <c r="BV60" i="1"/>
  <c r="BU78" i="1"/>
  <c r="BV78" i="1"/>
  <c r="BU61" i="1"/>
  <c r="BV61" i="1"/>
  <c r="BU62" i="1"/>
  <c r="BV62" i="1"/>
  <c r="BU63" i="1"/>
  <c r="BV63" i="1"/>
  <c r="BU64" i="1"/>
  <c r="BV64" i="1"/>
  <c r="BU4" i="1"/>
  <c r="BV4" i="1"/>
  <c r="BU5" i="1"/>
  <c r="BV5" i="1"/>
  <c r="BU6" i="1"/>
  <c r="BV6" i="1"/>
  <c r="BU7" i="1"/>
  <c r="BV7" i="1"/>
  <c r="BU8" i="1"/>
  <c r="BV8" i="1"/>
  <c r="BU9" i="1"/>
  <c r="BV9" i="1"/>
  <c r="BU10" i="1"/>
  <c r="BV10" i="1"/>
  <c r="BU11" i="1"/>
  <c r="BV11" i="1"/>
  <c r="BU73" i="1"/>
  <c r="BV73" i="1"/>
  <c r="BU74" i="1"/>
  <c r="BV74" i="1"/>
  <c r="BU75" i="1"/>
  <c r="BV75" i="1"/>
  <c r="BU79" i="1"/>
  <c r="BV79" i="1"/>
  <c r="BU12" i="1"/>
  <c r="BV12" i="1"/>
  <c r="BU80" i="1"/>
  <c r="BV80" i="1"/>
  <c r="BU13" i="1"/>
  <c r="BV13" i="1"/>
  <c r="BU81" i="1"/>
  <c r="BV81" i="1"/>
  <c r="BU82" i="1"/>
  <c r="BV82" i="1"/>
  <c r="BU76" i="1"/>
  <c r="BV76" i="1"/>
  <c r="BU14" i="1"/>
  <c r="BV14" i="1"/>
  <c r="BU15" i="1"/>
  <c r="BV15" i="1"/>
  <c r="BU16" i="1"/>
  <c r="BV16" i="1"/>
  <c r="BU17" i="1"/>
  <c r="BV17" i="1"/>
  <c r="BU18" i="1"/>
  <c r="BV18" i="1"/>
  <c r="BU19" i="1"/>
  <c r="BV19" i="1"/>
  <c r="BU20" i="1"/>
  <c r="BV20" i="1"/>
  <c r="BU34" i="1"/>
  <c r="BV34" i="1"/>
  <c r="BU86" i="1"/>
  <c r="BV86" i="1"/>
  <c r="BU87" i="1"/>
  <c r="BV87" i="1"/>
  <c r="BU88" i="1"/>
  <c r="BV88" i="1"/>
  <c r="BU89" i="1"/>
  <c r="BV89" i="1"/>
  <c r="BU92" i="1"/>
  <c r="BV92" i="1"/>
  <c r="BU93" i="1"/>
  <c r="BV93" i="1"/>
  <c r="BU94" i="1"/>
  <c r="BV94" i="1"/>
  <c r="BU95" i="1"/>
  <c r="BV95" i="1"/>
  <c r="BU65" i="1"/>
  <c r="BV65" i="1"/>
  <c r="BU21" i="1"/>
  <c r="BV21" i="1"/>
  <c r="BU22" i="1"/>
  <c r="BV22" i="1"/>
  <c r="BU23" i="1"/>
  <c r="BV23" i="1"/>
  <c r="BU24" i="1"/>
  <c r="BV24" i="1"/>
  <c r="BU25" i="1"/>
  <c r="BV25" i="1"/>
  <c r="BU66" i="1"/>
  <c r="BV66" i="1"/>
  <c r="BU26" i="1"/>
  <c r="BV26" i="1"/>
  <c r="BU27" i="1"/>
  <c r="BV27" i="1"/>
  <c r="BU28" i="1"/>
  <c r="BV28" i="1"/>
  <c r="BU96" i="1"/>
  <c r="BV96" i="1"/>
  <c r="BU29" i="1"/>
  <c r="BV29" i="1"/>
  <c r="BU90" i="1"/>
  <c r="BV90" i="1"/>
  <c r="BU67" i="1"/>
  <c r="BV67" i="1"/>
  <c r="BU30" i="1"/>
  <c r="BV30" i="1"/>
  <c r="BU68" i="1"/>
  <c r="BV68" i="1"/>
  <c r="BU77" i="1"/>
  <c r="BV77" i="1"/>
  <c r="BU69" i="1"/>
  <c r="BV69" i="1"/>
  <c r="BU83" i="1"/>
  <c r="BV83" i="1"/>
  <c r="BU70" i="1"/>
  <c r="BV70" i="1"/>
  <c r="BU84" i="1"/>
  <c r="BV84" i="1"/>
  <c r="BU31" i="1"/>
  <c r="BV31" i="1"/>
  <c r="BU32" i="1"/>
  <c r="BV32" i="1"/>
  <c r="BU85" i="1"/>
  <c r="BV85" i="1"/>
  <c r="BU71" i="1"/>
  <c r="BV71" i="1"/>
  <c r="BU91" i="1"/>
  <c r="BV91" i="1"/>
  <c r="BU97" i="1"/>
  <c r="BV97" i="1"/>
  <c r="BU102" i="1"/>
  <c r="BV102" i="1"/>
  <c r="BU48" i="1"/>
  <c r="BV48" i="1"/>
  <c r="BU101" i="1"/>
  <c r="BV101" i="1"/>
  <c r="BU33" i="1"/>
  <c r="BV33" i="1"/>
  <c r="BU106" i="1"/>
  <c r="BV106" i="1"/>
  <c r="BU105" i="1"/>
  <c r="BV105" i="1"/>
  <c r="BU53" i="1"/>
  <c r="BV53" i="1"/>
  <c r="BU54" i="1"/>
  <c r="BV54" i="1"/>
  <c r="BU118" i="1"/>
  <c r="BV118" i="1"/>
  <c r="BU112" i="1"/>
  <c r="BV112" i="1"/>
  <c r="BU113" i="1"/>
  <c r="BV113" i="1"/>
  <c r="BU114" i="1"/>
  <c r="BV114" i="1"/>
  <c r="BU115" i="1"/>
  <c r="BV115" i="1"/>
  <c r="BU116" i="1"/>
  <c r="BV116" i="1"/>
  <c r="BU49" i="1"/>
  <c r="BV49" i="1"/>
  <c r="BU50" i="1"/>
  <c r="BV50" i="1"/>
  <c r="BU121" i="1"/>
  <c r="BV121" i="1"/>
  <c r="BU122" i="1"/>
  <c r="BV122" i="1"/>
  <c r="BU123" i="1"/>
  <c r="BV123" i="1"/>
  <c r="BU124" i="1"/>
  <c r="BV124" i="1"/>
  <c r="BU125" i="1"/>
  <c r="BV125" i="1"/>
  <c r="BU119" i="1"/>
  <c r="BV119" i="1"/>
  <c r="BU120" i="1"/>
  <c r="BV120" i="1"/>
  <c r="BU133" i="1"/>
  <c r="BV133" i="1"/>
  <c r="BU128" i="1"/>
  <c r="BV128" i="1"/>
  <c r="BU117" i="1"/>
  <c r="BV117" i="1"/>
  <c r="BU107" i="1"/>
  <c r="BV107" i="1"/>
  <c r="BU134" i="1"/>
  <c r="BV134" i="1"/>
  <c r="BU127" i="1"/>
  <c r="BV127" i="1"/>
  <c r="BU135" i="1"/>
  <c r="BV135" i="1"/>
  <c r="BU136" i="1"/>
  <c r="BV136" i="1"/>
  <c r="BU137" i="1"/>
  <c r="BV137" i="1"/>
  <c r="BU138" i="1"/>
  <c r="BV138" i="1"/>
  <c r="BU139" i="1"/>
  <c r="BV139" i="1"/>
  <c r="BU141" i="1"/>
  <c r="BV141" i="1"/>
  <c r="BU142" i="1"/>
  <c r="BV142" i="1"/>
  <c r="BU129" i="1"/>
  <c r="BV129" i="1"/>
  <c r="BU130" i="1"/>
  <c r="BV130" i="1"/>
  <c r="BU131" i="1"/>
  <c r="BV131" i="1"/>
  <c r="BU132" i="1"/>
  <c r="BV132" i="1"/>
  <c r="BU143" i="1"/>
  <c r="BV143" i="1"/>
  <c r="BU144" i="1"/>
  <c r="BV144" i="1"/>
  <c r="BU145" i="1"/>
  <c r="BV145" i="1"/>
  <c r="BU146" i="1"/>
  <c r="BV146" i="1"/>
  <c r="BU147" i="1"/>
  <c r="BV147" i="1"/>
  <c r="BU140" i="1"/>
  <c r="BV140" i="1"/>
  <c r="BU149" i="1"/>
  <c r="BV149" i="1"/>
  <c r="BU151" i="1"/>
  <c r="BV151" i="1"/>
  <c r="BU148" i="1"/>
  <c r="BV148" i="1"/>
  <c r="BU152" i="1"/>
  <c r="BV152" i="1"/>
  <c r="BU153" i="1"/>
  <c r="BV153" i="1"/>
  <c r="BU154" i="1"/>
  <c r="BV154" i="1"/>
  <c r="BU155" i="1"/>
  <c r="BV155" i="1"/>
  <c r="BU159" i="1"/>
  <c r="BV159" i="1"/>
  <c r="BU160" i="1"/>
  <c r="BV160" i="1"/>
  <c r="BU161" i="1"/>
  <c r="BV161" i="1"/>
  <c r="BU162" i="1"/>
  <c r="BV162" i="1"/>
  <c r="BU163" i="1"/>
  <c r="BV163" i="1"/>
  <c r="BU104" i="1"/>
  <c r="BV104" i="1"/>
  <c r="BU150" i="1"/>
  <c r="BV150" i="1"/>
  <c r="BU156" i="1"/>
  <c r="BV156" i="1"/>
  <c r="BU157" i="1"/>
  <c r="BV157" i="1"/>
  <c r="BU158" i="1"/>
  <c r="BV158" i="1"/>
  <c r="BQ85" i="1"/>
  <c r="BQ120" i="1"/>
  <c r="BQ71" i="1"/>
  <c r="BQ91" i="1"/>
  <c r="BQ97" i="1"/>
  <c r="BQ23" i="1" l="1"/>
  <c r="BQ24" i="1"/>
  <c r="BQ25" i="1"/>
  <c r="BQ66" i="1"/>
  <c r="BQ26" i="1"/>
  <c r="BQ132" i="1"/>
  <c r="BQ27" i="1"/>
  <c r="BQ28" i="1"/>
  <c r="BQ96" i="1"/>
  <c r="BQ29" i="1"/>
  <c r="BQ90" i="1"/>
  <c r="BQ145" i="1"/>
  <c r="BQ67" i="1"/>
  <c r="BQ30" i="1"/>
  <c r="BQ128" i="1"/>
  <c r="BQ68" i="1"/>
  <c r="BQ77" i="1"/>
  <c r="BQ163" i="1"/>
  <c r="BQ69" i="1"/>
  <c r="BQ83" i="1"/>
  <c r="BQ125" i="1"/>
  <c r="BQ70" i="1"/>
  <c r="BQ84" i="1"/>
  <c r="BQ119" i="1"/>
  <c r="BQ31" i="1"/>
  <c r="BQ32" i="1"/>
  <c r="BQ146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162" i="1" l="1"/>
  <c r="BQ65" i="1"/>
  <c r="BQ133" i="1"/>
  <c r="BQ124" i="1"/>
  <c r="BQ93" i="1"/>
  <c r="BQ94" i="1"/>
  <c r="BQ95" i="1"/>
  <c r="BQ92" i="1"/>
  <c r="BQ147" i="1"/>
  <c r="BQ149" i="1"/>
  <c r="BQ144" i="1"/>
  <c r="BQ86" i="1"/>
  <c r="BQ87" i="1"/>
  <c r="BQ88" i="1"/>
  <c r="BQ89" i="1"/>
  <c r="BQ129" i="1"/>
  <c r="BQ130" i="1"/>
  <c r="BQ131" i="1"/>
  <c r="BQ101" i="1"/>
  <c r="BQ20" i="1"/>
  <c r="BQ80" i="1"/>
  <c r="BQ13" i="1"/>
  <c r="BQ81" i="1"/>
  <c r="BQ82" i="1"/>
  <c r="BQ76" i="1"/>
  <c r="BQ16" i="1"/>
  <c r="BQ60" i="1"/>
  <c r="BQ78" i="1"/>
  <c r="BQ61" i="1"/>
  <c r="BQ62" i="1"/>
  <c r="BQ21" i="1"/>
  <c r="BQ63" i="1"/>
  <c r="BQ17" i="1"/>
  <c r="BQ64" i="1"/>
  <c r="BQ8" i="1"/>
  <c r="BQ98" i="1"/>
  <c r="BQ9" i="1"/>
  <c r="BQ10" i="1"/>
  <c r="BQ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K168" i="1"/>
  <c r="BL168" i="1"/>
  <c r="BM168" i="1"/>
  <c r="BN168" i="1"/>
  <c r="BO168" i="1"/>
  <c r="BP168" i="1"/>
  <c r="E168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K167" i="1"/>
  <c r="BL167" i="1"/>
  <c r="BM167" i="1"/>
  <c r="BN167" i="1"/>
  <c r="BO167" i="1"/>
  <c r="BP167" i="1"/>
  <c r="E167" i="1"/>
  <c r="BK164" i="1"/>
  <c r="BL164" i="1"/>
  <c r="BM164" i="1"/>
  <c r="BN164" i="1"/>
  <c r="BO164" i="1"/>
  <c r="BP164" i="1"/>
  <c r="BC164" i="1"/>
  <c r="AX164" i="1"/>
  <c r="AY164" i="1"/>
  <c r="AZ164" i="1"/>
  <c r="BA164" i="1"/>
  <c r="BB164" i="1"/>
  <c r="AW164" i="1"/>
  <c r="AR164" i="1"/>
  <c r="AS164" i="1"/>
  <c r="AT164" i="1"/>
  <c r="AU164" i="1"/>
  <c r="AV164" i="1"/>
  <c r="AQ164" i="1"/>
  <c r="AF164" i="1"/>
  <c r="AG164" i="1"/>
  <c r="AH164" i="1"/>
  <c r="AI164" i="1"/>
  <c r="AJ164" i="1"/>
  <c r="AK164" i="1"/>
  <c r="AL164" i="1"/>
  <c r="AM164" i="1"/>
  <c r="AN164" i="1"/>
  <c r="AO164" i="1"/>
  <c r="AP164" i="1"/>
  <c r="AE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P164" i="1"/>
  <c r="F164" i="1"/>
  <c r="G164" i="1"/>
  <c r="H164" i="1"/>
  <c r="I164" i="1"/>
  <c r="J164" i="1"/>
  <c r="K164" i="1"/>
  <c r="L164" i="1"/>
  <c r="M164" i="1"/>
  <c r="N164" i="1"/>
  <c r="O164" i="1"/>
  <c r="E164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110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38" i="1"/>
  <c r="BQ109" i="1"/>
  <c r="BQ106" i="1"/>
  <c r="CJ2" i="8" l="1"/>
  <c r="CK2" i="8"/>
  <c r="CR4" i="8"/>
  <c r="CN2" i="8"/>
  <c r="CM2" i="8"/>
  <c r="CG2" i="8"/>
  <c r="CH2" i="8"/>
  <c r="CL2" i="8"/>
  <c r="CQ2" i="8"/>
  <c r="CI2" i="8"/>
  <c r="CO2" i="8"/>
  <c r="CP2" i="8"/>
  <c r="BC169" i="1"/>
  <c r="BK169" i="1"/>
  <c r="BL169" i="1"/>
  <c r="BM169" i="1"/>
  <c r="BN169" i="1"/>
  <c r="BO169" i="1"/>
  <c r="BP169" i="1"/>
  <c r="BC170" i="1"/>
  <c r="BK170" i="1"/>
  <c r="BL170" i="1"/>
  <c r="BM170" i="1"/>
  <c r="BN170" i="1"/>
  <c r="BO170" i="1"/>
  <c r="BP170" i="1"/>
  <c r="BA169" i="1"/>
  <c r="BB169" i="1"/>
  <c r="BA170" i="1"/>
  <c r="BB170" i="1"/>
  <c r="AQ169" i="1"/>
  <c r="AR169" i="1"/>
  <c r="AS169" i="1"/>
  <c r="AT169" i="1"/>
  <c r="AU169" i="1"/>
  <c r="AV169" i="1"/>
  <c r="AW169" i="1"/>
  <c r="AX169" i="1"/>
  <c r="AY169" i="1"/>
  <c r="AZ169" i="1"/>
  <c r="AQ170" i="1"/>
  <c r="AR170" i="1"/>
  <c r="AS170" i="1"/>
  <c r="AT170" i="1"/>
  <c r="AU170" i="1"/>
  <c r="AV170" i="1"/>
  <c r="AW170" i="1"/>
  <c r="AX170" i="1"/>
  <c r="AY170" i="1"/>
  <c r="AZ170" i="1"/>
  <c r="AI169" i="1"/>
  <c r="AJ169" i="1"/>
  <c r="AK169" i="1"/>
  <c r="AL169" i="1"/>
  <c r="AM169" i="1"/>
  <c r="AN169" i="1"/>
  <c r="AO169" i="1"/>
  <c r="AP169" i="1"/>
  <c r="AI170" i="1"/>
  <c r="AJ170" i="1"/>
  <c r="AK170" i="1"/>
  <c r="AL170" i="1"/>
  <c r="AM170" i="1"/>
  <c r="AN170" i="1"/>
  <c r="AO170" i="1"/>
  <c r="AP170" i="1"/>
  <c r="AC169" i="1"/>
  <c r="AD169" i="1"/>
  <c r="AE169" i="1"/>
  <c r="AF169" i="1"/>
  <c r="AG169" i="1"/>
  <c r="AH169" i="1"/>
  <c r="AC170" i="1"/>
  <c r="AD170" i="1"/>
  <c r="AE170" i="1"/>
  <c r="AF170" i="1"/>
  <c r="AG170" i="1"/>
  <c r="AH170" i="1"/>
  <c r="W169" i="1"/>
  <c r="X169" i="1"/>
  <c r="Y169" i="1"/>
  <c r="Z169" i="1"/>
  <c r="AA169" i="1"/>
  <c r="AB169" i="1"/>
  <c r="W170" i="1"/>
  <c r="X170" i="1"/>
  <c r="Y170" i="1"/>
  <c r="Z170" i="1"/>
  <c r="AA170" i="1"/>
  <c r="AB170" i="1"/>
  <c r="P169" i="1"/>
  <c r="Q169" i="1"/>
  <c r="R169" i="1"/>
  <c r="S169" i="1"/>
  <c r="T169" i="1"/>
  <c r="U169" i="1"/>
  <c r="V169" i="1"/>
  <c r="P170" i="1"/>
  <c r="Q170" i="1"/>
  <c r="R170" i="1"/>
  <c r="S170" i="1"/>
  <c r="T170" i="1"/>
  <c r="U170" i="1"/>
  <c r="V170" i="1"/>
  <c r="G169" i="1"/>
  <c r="H169" i="1"/>
  <c r="I169" i="1"/>
  <c r="J169" i="1"/>
  <c r="K169" i="1"/>
  <c r="L169" i="1"/>
  <c r="M169" i="1"/>
  <c r="N169" i="1"/>
  <c r="O169" i="1"/>
  <c r="G170" i="1"/>
  <c r="H170" i="1"/>
  <c r="I170" i="1"/>
  <c r="J170" i="1"/>
  <c r="K170" i="1"/>
  <c r="L170" i="1"/>
  <c r="M170" i="1"/>
  <c r="N170" i="1"/>
  <c r="O170" i="1"/>
  <c r="F169" i="1"/>
  <c r="F170" i="1"/>
  <c r="E170" i="1"/>
  <c r="E169" i="1"/>
  <c r="CH4" i="8" l="1"/>
  <c r="CI4" i="8"/>
  <c r="CK4" i="8"/>
  <c r="CJ4" i="8"/>
  <c r="CL4" i="8"/>
  <c r="CM4" i="8"/>
  <c r="CQ4" i="8"/>
  <c r="CN4" i="8"/>
  <c r="CG4" i="8"/>
  <c r="CO4" i="8"/>
  <c r="CP4" i="8"/>
  <c r="BQ2" i="1"/>
  <c r="BQ112" i="1"/>
  <c r="BQ33" i="1"/>
  <c r="BQ113" i="1"/>
  <c r="BQ114" i="1"/>
  <c r="BQ102" i="1"/>
  <c r="BQ115" i="1"/>
  <c r="BQ116" i="1"/>
  <c r="BQ3" i="1"/>
  <c r="BQ134" i="1"/>
  <c r="BQ135" i="1"/>
  <c r="BQ136" i="1"/>
  <c r="BQ137" i="1"/>
  <c r="BQ49" i="1"/>
  <c r="BQ139" i="1"/>
  <c r="BQ73" i="1"/>
  <c r="BQ74" i="1"/>
  <c r="BQ75" i="1"/>
  <c r="BQ79" i="1"/>
  <c r="BQ50" i="1"/>
  <c r="BQ141" i="1"/>
  <c r="BQ142" i="1"/>
  <c r="BQ107" i="1"/>
  <c r="BQ53" i="1"/>
  <c r="BQ54" i="1"/>
  <c r="BQ34" i="1"/>
  <c r="BQ48" i="1"/>
  <c r="BQ72" i="1"/>
  <c r="BQ118" i="1"/>
  <c r="BQ12" i="1"/>
  <c r="BQ105" i="1"/>
  <c r="BQ159" i="1"/>
  <c r="BQ160" i="1"/>
  <c r="BQ108" i="1"/>
  <c r="BQ121" i="1"/>
  <c r="BQ122" i="1"/>
  <c r="BQ123" i="1"/>
  <c r="BQ117" i="1"/>
  <c r="BQ150" i="1"/>
  <c r="BQ148" i="1"/>
  <c r="BQ22" i="1"/>
  <c r="BQ56" i="1"/>
  <c r="BQ57" i="1"/>
  <c r="BQ58" i="1"/>
  <c r="BQ59" i="1"/>
  <c r="BQ14" i="1"/>
  <c r="BQ15" i="1"/>
  <c r="BQ18" i="1"/>
  <c r="BQ19" i="1"/>
  <c r="BQ161" i="1"/>
  <c r="BQ143" i="1"/>
  <c r="BQ140" i="1"/>
  <c r="BQ4" i="1"/>
  <c r="BQ5" i="1"/>
  <c r="BQ6" i="1"/>
  <c r="BQ7" i="1"/>
  <c r="BQ127" i="1"/>
  <c r="BQ151" i="1"/>
  <c r="BQ152" i="1"/>
  <c r="BQ153" i="1"/>
  <c r="BQ154" i="1"/>
  <c r="BQ155" i="1"/>
  <c r="BQ156" i="1"/>
  <c r="BQ157" i="1"/>
  <c r="BQ158" i="1"/>
  <c r="BQ104" i="1" l="1"/>
  <c r="BN166" i="1" l="1"/>
  <c r="AM166" i="1"/>
  <c r="L166" i="1"/>
  <c r="BL166" i="1"/>
  <c r="AJ166" i="1"/>
  <c r="AH166" i="1"/>
  <c r="AL166" i="1"/>
  <c r="BM166" i="1"/>
  <c r="J166" i="1"/>
  <c r="H166" i="1"/>
  <c r="G166" i="1"/>
  <c r="AE166" i="1"/>
  <c r="F166" i="1"/>
  <c r="BK166" i="1"/>
  <c r="AI166" i="1"/>
  <c r="I166" i="1"/>
  <c r="AG166" i="1"/>
  <c r="AF166" i="1"/>
  <c r="O166" i="1"/>
  <c r="BP166" i="1"/>
  <c r="N166" i="1"/>
  <c r="K166" i="1"/>
  <c r="AK166" i="1"/>
  <c r="E166" i="1"/>
  <c r="BO166" i="1"/>
  <c r="AN166" i="1"/>
  <c r="M166" i="1"/>
  <c r="AP166" i="1"/>
  <c r="BC166" i="1"/>
  <c r="AO166" i="1"/>
  <c r="V166" i="1"/>
  <c r="Y166" i="1"/>
  <c r="W166" i="1"/>
  <c r="S166" i="1"/>
  <c r="X166" i="1"/>
  <c r="R166" i="1"/>
  <c r="Z166" i="1"/>
  <c r="U166" i="1"/>
  <c r="T166" i="1"/>
  <c r="AC166" i="1"/>
  <c r="Q166" i="1"/>
  <c r="AB166" i="1"/>
  <c r="P166" i="1"/>
  <c r="AA166" i="1"/>
  <c r="AD166" i="1"/>
  <c r="AR166" i="1" l="1"/>
  <c r="AU166" i="1"/>
  <c r="BB166" i="1"/>
  <c r="AS166" i="1"/>
  <c r="AW166" i="1"/>
  <c r="AT166" i="1"/>
  <c r="AY166" i="1"/>
  <c r="AZ166" i="1"/>
  <c r="AV166" i="1"/>
  <c r="AQ166" i="1"/>
  <c r="AX166" i="1"/>
  <c r="BA166" i="1"/>
</calcChain>
</file>

<file path=xl/sharedStrings.xml><?xml version="1.0" encoding="utf-8"?>
<sst xmlns="http://schemas.openxmlformats.org/spreadsheetml/2006/main" count="863" uniqueCount="317">
  <si>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</si>
  <si>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</si>
  <si>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</si>
  <si>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</si>
  <si>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</si>
  <si>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</si>
  <si>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</si>
  <si>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</si>
  <si>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</si>
  <si>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</si>
  <si>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</si>
  <si>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</si>
  <si>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</si>
  <si>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</si>
  <si>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</si>
  <si>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</si>
  <si>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</si>
  <si>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</si>
  <si>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</si>
  <si>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</si>
  <si>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</si>
  <si>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</si>
  <si>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</si>
  <si>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</si>
  <si>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</si>
  <si>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</si>
  <si>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</si>
  <si>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</si>
  <si>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</si>
  <si>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</si>
  <si>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</si>
  <si>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</si>
  <si>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</si>
  <si>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</si>
  <si>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</si>
  <si>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</si>
  <si>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</si>
  <si>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</si>
  <si>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</si>
  <si>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</si>
  <si>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</si>
  <si>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</si>
  <si>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</si>
  <si>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</si>
  <si>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</si>
  <si>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</si>
  <si>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</si>
  <si>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</si>
  <si>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</si>
  <si>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</si>
  <si>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</si>
  <si>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</si>
  <si>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</si>
  <si>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</si>
  <si>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</si>
  <si>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</si>
  <si>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</si>
  <si>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</si>
  <si>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</si>
  <si>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</si>
  <si>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</si>
  <si>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</si>
  <si>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</si>
  <si>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</si>
  <si>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</si>
  <si>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</si>
  <si>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</si>
  <si>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</si>
  <si>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</si>
  <si>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</si>
  <si>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</si>
  <si>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</si>
  <si>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</si>
  <si>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</si>
  <si>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</si>
  <si>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</si>
  <si>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</si>
  <si>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</si>
  <si>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</si>
  <si>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</si>
  <si>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</si>
  <si>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</si>
  <si>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</si>
  <si>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</si>
  <si>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</si>
  <si>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</si>
  <si>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</si>
  <si>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</si>
  <si>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</si>
  <si>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</si>
  <si>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</si>
  <si>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</si>
  <si>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</si>
  <si>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</si>
  <si>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</si>
  <si>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</si>
  <si>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</si>
  <si>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</si>
  <si>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</si>
  <si>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</si>
  <si>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</si>
  <si>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</si>
  <si>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</si>
  <si>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</si>
  <si>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</si>
  <si>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</si>
  <si>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</si>
  <si>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</si>
  <si>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</si>
  <si>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</si>
  <si>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</si>
  <si>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</si>
  <si>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</si>
  <si>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</si>
  <si>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</si>
  <si>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</si>
  <si>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</si>
  <si>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</si>
  <si>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</si>
  <si>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</si>
  <si>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</si>
  <si>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</si>
  <si>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</si>
  <si>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</si>
  <si>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</si>
  <si>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</si>
  <si>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</si>
  <si>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</si>
  <si>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</si>
  <si>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</si>
  <si>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</si>
  <si>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</si>
  <si>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</si>
  <si>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</si>
  <si>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</si>
  <si>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</si>
  <si>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</si>
  <si>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</si>
  <si>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</si>
  <si>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</si>
  <si>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</si>
  <si>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</si>
  <si>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</si>
  <si>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</si>
  <si>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</si>
  <si>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</si>
  <si>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</si>
  <si>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</si>
  <si>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</si>
  <si>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</si>
  <si>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</si>
  <si>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</si>
  <si>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</si>
  <si>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</si>
  <si>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</si>
  <si>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</si>
  <si>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</si>
  <si>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</si>
  <si>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</si>
  <si>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</si>
  <si>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</si>
  <si>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</si>
  <si>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</si>
  <si>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</si>
  <si>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</si>
  <si>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</si>
  <si>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</si>
  <si>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</si>
  <si>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</si>
  <si>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</si>
  <si>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</si>
  <si>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</si>
  <si>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</si>
  <si>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</si>
  <si>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</si>
  <si>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</si>
  <si>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</si>
  <si>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</si>
  <si>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</si>
  <si>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</si>
  <si>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</si>
  <si>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</si>
  <si>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</si>
  <si>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</si>
  <si>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</si>
  <si>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</si>
  <si>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</si>
  <si>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</si>
  <si>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</si>
  <si>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</si>
  <si>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</si>
  <si>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</si>
  <si>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</si>
  <si>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</si>
  <si>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</si>
  <si>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</si>
  <si>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</si>
  <si>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</si>
  <si>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</si>
  <si>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</si>
  <si>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</si>
  <si>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</si>
  <si>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</si>
  <si>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</si>
  <si>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</si>
  <si>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</si>
  <si>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</si>
  <si>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</si>
  <si>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</si>
  <si>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</si>
  <si>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</si>
  <si>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</si>
  <si>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</si>
  <si>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</si>
  <si>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</si>
  <si>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</si>
  <si>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</si>
  <si>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</si>
  <si>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</si>
  <si>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</si>
  <si>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</si>
  <si>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</si>
  <si>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</si>
  <si>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</si>
  <si>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</si>
  <si>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</si>
  <si>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</si>
  <si>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</si>
  <si>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</si>
  <si>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</si>
  <si>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</si>
  <si>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</si>
  <si>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</si>
  <si>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</si>
  <si>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</si>
  <si>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</si>
  <si>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</si>
  <si>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</si>
  <si>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</si>
  <si>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</si>
  <si>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</si>
  <si>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</si>
  <si>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</si>
  <si>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</si>
  <si>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</si>
  <si>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</si>
  <si>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</si>
  <si>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</si>
  <si>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月燕</t>
    <phoneticPr fontId="1" type="noConversion"/>
  </si>
  <si>
    <t>心云猎手</t>
    <phoneticPr fontId="1" type="noConversion"/>
  </si>
  <si>
    <t>狐妮</t>
    <phoneticPr fontId="1" type="noConversion"/>
  </si>
  <si>
    <t>火</t>
    <phoneticPr fontId="1" type="noConversion"/>
  </si>
  <si>
    <t>寒子</t>
    <phoneticPr fontId="1" type="noConversion"/>
  </si>
  <si>
    <t>暗</t>
    <phoneticPr fontId="1" type="noConversion"/>
  </si>
  <si>
    <t>成年</t>
    <phoneticPr fontId="1" type="noConversion"/>
  </si>
  <si>
    <t>如来佛祖</t>
    <phoneticPr fontId="1" type="noConversion"/>
  </si>
  <si>
    <t>粘球</t>
    <phoneticPr fontId="1" type="noConversion"/>
  </si>
  <si>
    <t>木</t>
    <phoneticPr fontId="1" type="noConversion"/>
  </si>
  <si>
    <t>地</t>
    <phoneticPr fontId="1" type="noConversion"/>
  </si>
  <si>
    <t>星络典</t>
    <phoneticPr fontId="1" type="noConversion"/>
  </si>
  <si>
    <t>秋灵</t>
    <phoneticPr fontId="1" type="noConversion"/>
  </si>
  <si>
    <t>方片9</t>
    <phoneticPr fontId="1" type="noConversion"/>
  </si>
  <si>
    <t>水</t>
    <phoneticPr fontId="1" type="noConversion"/>
  </si>
  <si>
    <t>铜锣儿</t>
    <phoneticPr fontId="1" type="noConversion"/>
  </si>
  <si>
    <t>水瓶星</t>
    <phoneticPr fontId="1" type="noConversion"/>
  </si>
  <si>
    <t>勿忘我</t>
    <phoneticPr fontId="1" type="noConversion"/>
  </si>
  <si>
    <t>迷你貂</t>
    <phoneticPr fontId="1" type="noConversion"/>
  </si>
  <si>
    <t>火</t>
    <phoneticPr fontId="1" type="noConversion"/>
  </si>
  <si>
    <t>樱</t>
    <phoneticPr fontId="1" type="noConversion"/>
  </si>
  <si>
    <t>圆方</t>
    <phoneticPr fontId="1" type="noConversion"/>
  </si>
  <si>
    <t>暗</t>
    <phoneticPr fontId="1" type="noConversion"/>
  </si>
  <si>
    <t>锄灵</t>
    <phoneticPr fontId="1" type="noConversion"/>
  </si>
  <si>
    <t>暗</t>
    <phoneticPr fontId="1" type="noConversion"/>
  </si>
  <si>
    <t>桂花(5),</t>
    <phoneticPr fontId="1" type="noConversion"/>
  </si>
  <si>
    <t>神农鼎(8),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</si>
  <si>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</si>
  <si>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</si>
  <si>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八条</t>
    <phoneticPr fontId="1" type="noConversion"/>
  </si>
  <si>
    <t>火</t>
    <phoneticPr fontId="1" type="noConversion"/>
  </si>
  <si>
    <t>青年</t>
    <phoneticPr fontId="1" type="noConversion"/>
  </si>
  <si>
    <t>糯米(2),</t>
    <phoneticPr fontId="1" type="noConversion"/>
  </si>
  <si>
    <t>彗星(2),</t>
    <phoneticPr fontId="1" type="noConversion"/>
  </si>
  <si>
    <t>魅力符文叉大(2),</t>
    <phoneticPr fontId="1" type="noConversion"/>
  </si>
  <si>
    <t>逆鳞(2),</t>
    <phoneticPr fontId="1" type="noConversion"/>
  </si>
  <si>
    <t>糯米(3),</t>
    <phoneticPr fontId="1" type="noConversion"/>
  </si>
  <si>
    <t>神农鼎(3),</t>
    <phoneticPr fontId="1" type="noConversion"/>
  </si>
  <si>
    <t>魅力符文叉大(4),</t>
    <phoneticPr fontId="1" type="noConversion"/>
  </si>
  <si>
    <t>魅力符文叉大(4),</t>
    <phoneticPr fontId="1" type="noConversion"/>
  </si>
  <si>
    <t>智慧符文叉大(4),</t>
    <phoneticPr fontId="1" type="noConversion"/>
  </si>
  <si>
    <t>螃蟹(5),</t>
    <phoneticPr fontId="1" type="noConversion"/>
  </si>
  <si>
    <t>桂花酒(5),</t>
    <phoneticPr fontId="1" type="noConversion"/>
  </si>
  <si>
    <t>桂花酒(5),</t>
    <phoneticPr fontId="1" type="noConversion"/>
  </si>
  <si>
    <t>女娲石(5),</t>
    <phoneticPr fontId="1" type="noConversion"/>
  </si>
  <si>
    <t>欠条大(2),</t>
    <phoneticPr fontId="1" type="noConversion"/>
  </si>
  <si>
    <t>骰子大(5),</t>
    <phoneticPr fontId="1" type="noConversion"/>
  </si>
  <si>
    <t>骰子大(8),</t>
    <phoneticPr fontId="1" type="noConversion"/>
  </si>
  <si>
    <t>骰子大(8),</t>
    <phoneticPr fontId="1" type="noConversion"/>
  </si>
  <si>
    <t>彗星(12),</t>
    <phoneticPr fontId="1" type="noConversion"/>
  </si>
  <si>
    <t>金甲虫(33),</t>
    <phoneticPr fontId="1" type="noConversion"/>
  </si>
  <si>
    <t>金甲虫(183),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</si>
  <si>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</si>
  <si>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</si>
  <si>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</si>
  <si>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</si>
  <si>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欠条大(5),</t>
  </si>
  <si>
    <t>欠条大(5),</t>
    <phoneticPr fontId="1" type="noConversion"/>
  </si>
  <si>
    <t>欠条大(5),_x000D_
骰子大(8),</t>
    <phoneticPr fontId="1" type="noConversion"/>
  </si>
  <si>
    <t>技巧符文叉大(17),_x000D_
逆鳞(2),</t>
    <phoneticPr fontId="1" type="noConversion"/>
  </si>
  <si>
    <t>糯米(10),_x000D_
粽叶(10),</t>
    <phoneticPr fontId="1" type="noConversion"/>
  </si>
  <si>
    <t>女娲石(10),_x000D_
神农鼎(13),</t>
    <phoneticPr fontId="1" type="noConversion"/>
  </si>
  <si>
    <t>彗星(22),_x000D_
魅力符文叉大(4),</t>
    <phoneticPr fontId="1" type="noConversion"/>
  </si>
  <si>
    <t>超进阶素材光(45),_x000D_
超进阶素材暗(37),</t>
    <phoneticPr fontId="1" type="noConversion"/>
  </si>
  <si>
    <t>超进阶素材光(45),_x000D_
超进阶素材暗(37),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</si>
  <si>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</si>
  <si>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</si>
  <si>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神农鼎(3),_x000D_
欠条大(5),</t>
    <phoneticPr fontId="1" type="noConversion"/>
  </si>
  <si>
    <t>神农鼎(3),_x000D_
欠条大(5),_x000D_
骰子大(8),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</si>
</sst>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170</xdr:row>
          <xdr:rowOff>28575</xdr:rowOff>
        </xdr:from>
        <xdr:to>
          <xdr:col>1</xdr:col>
          <xdr:colOff>428625</xdr:colOff>
          <xdr:row>171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71"/>
  <sheetViews>
    <sheetView tabSelected="1" workbookViewId="0">
      <pane xSplit="2" ySplit="1" topLeftCell="BI2" activePane="bottomRight" state="frozen"/>
      <selection pane="topRight" activeCell="C1" sqref="C1"/>
      <selection pane="bottomLeft" activeCell="A3" sqref="A3"/>
      <selection pane="bottomRight" activeCell="BL17" sqref="BL17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259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72</v>
      </c>
      <c r="BR1" s="8" t="s">
        <v>73</v>
      </c>
      <c r="BS1" s="16" t="s">
        <v>74</v>
      </c>
      <c r="BT1" s="16"/>
      <c r="BU1" s="13" t="s">
        <v>224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/>
      <c r="B3" s="1" t="s">
        <v>144</v>
      </c>
      <c r="C3" s="1" t="s">
        <v>95</v>
      </c>
      <c r="D3" s="1" t="s">
        <v>82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>
        <v>10</v>
      </c>
      <c r="BB3" s="2">
        <v>10</v>
      </c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20</v>
      </c>
      <c r="BR3" s="1">
        <v>0</v>
      </c>
      <c r="BS3" s="17">
        <v>0</v>
      </c>
      <c r="BT3" s="17"/>
      <c r="BU3">
        <f>SUM(P3:AD3)</f>
        <v>0</v>
      </c>
      <c r="BV3" s="23">
        <f>AF3+AH3+AI3+AJ3+AO3+AP3</f>
        <v>0</v>
      </c>
    </row>
    <row r="4" spans="1:74">
      <c r="A4" s="1"/>
      <c r="B4" s="1" t="s">
        <v>115</v>
      </c>
      <c r="C4" s="1" t="s">
        <v>116</v>
      </c>
      <c r="D4" s="1" t="s">
        <v>98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40</v>
      </c>
      <c r="BR4" s="1">
        <v>0</v>
      </c>
      <c r="BS4" s="17">
        <v>0</v>
      </c>
      <c r="BT4" s="17"/>
      <c r="BU4">
        <f>SUM(P4:AD4)</f>
        <v>40</v>
      </c>
      <c r="BV4" s="23">
        <f>AF4+AH4+AI4+AJ4+AO4+AP4</f>
        <v>0</v>
      </c>
    </row>
    <row r="5" spans="1:74">
      <c r="A5" s="1"/>
      <c r="B5" s="1" t="s">
        <v>120</v>
      </c>
      <c r="C5" s="1" t="s">
        <v>119</v>
      </c>
      <c r="D5" s="1" t="s">
        <v>98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40</v>
      </c>
      <c r="BV5" s="23">
        <f>AF5+AH5+AI5+AJ5+AO5+AP5</f>
        <v>0</v>
      </c>
    </row>
    <row r="6" spans="1:74" s="40" customFormat="1">
      <c r="A6" s="1"/>
      <c r="B6" s="1" t="s">
        <v>122</v>
      </c>
      <c r="C6" s="1" t="s">
        <v>123</v>
      </c>
      <c r="D6" s="1" t="s">
        <v>98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40</v>
      </c>
      <c r="BV6" s="23">
        <f>AF6+AH6+AI6+AJ6+AO6+AP6</f>
        <v>0</v>
      </c>
    </row>
    <row r="7" spans="1:74">
      <c r="A7" s="1"/>
      <c r="B7" s="1" t="s">
        <v>127</v>
      </c>
      <c r="C7" s="1" t="s">
        <v>125</v>
      </c>
      <c r="D7" s="1" t="s">
        <v>98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40</v>
      </c>
      <c r="BR7" s="1">
        <v>0</v>
      </c>
      <c r="BS7" s="17">
        <v>0</v>
      </c>
      <c r="BT7" s="17"/>
      <c r="BU7">
        <f>SUM(P7:AD7)</f>
        <v>40</v>
      </c>
      <c r="BV7" s="23">
        <f>AF7+AH7+AI7+AJ7+AO7+AP7</f>
        <v>0</v>
      </c>
    </row>
    <row r="8" spans="1:74">
      <c r="A8" s="1"/>
      <c r="B8" s="1" t="s">
        <v>129</v>
      </c>
      <c r="C8" s="1" t="s">
        <v>125</v>
      </c>
      <c r="D8" s="1" t="s">
        <v>98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40</v>
      </c>
      <c r="BR8" s="1">
        <v>0</v>
      </c>
      <c r="BS8" s="17">
        <v>0</v>
      </c>
      <c r="BT8" s="17"/>
      <c r="BU8">
        <f>SUM(P8:AD8)</f>
        <v>40</v>
      </c>
      <c r="BV8" s="23">
        <f>AF8+AH8+AI8+AJ8+AO8+AP8</f>
        <v>0</v>
      </c>
    </row>
    <row r="9" spans="1:74">
      <c r="A9" s="1"/>
      <c r="B9" s="3" t="s">
        <v>192</v>
      </c>
      <c r="C9" s="3" t="s">
        <v>50</v>
      </c>
      <c r="D9" s="1" t="s">
        <v>190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40</v>
      </c>
      <c r="BR9" s="1">
        <v>0</v>
      </c>
      <c r="BS9" s="17">
        <v>0</v>
      </c>
      <c r="BT9" s="17"/>
      <c r="BU9">
        <f>SUM(P9:AD9)</f>
        <v>40</v>
      </c>
      <c r="BV9" s="23">
        <f>AF9+AH9+AI9+AJ9+AO9+AP9</f>
        <v>0</v>
      </c>
    </row>
    <row r="10" spans="1:74">
      <c r="A10" s="1"/>
      <c r="B10" s="3" t="s">
        <v>198</v>
      </c>
      <c r="C10" s="3" t="s">
        <v>196</v>
      </c>
      <c r="D10" s="1" t="s">
        <v>190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40</v>
      </c>
      <c r="BR10" s="1">
        <v>0</v>
      </c>
      <c r="BS10" s="17">
        <v>0</v>
      </c>
      <c r="BT10" s="17"/>
      <c r="BU10">
        <f>SUM(P10:AD10)</f>
        <v>40</v>
      </c>
      <c r="BV10" s="23">
        <f>AF10+AH10+AI10+AJ10+AO10+AP10</f>
        <v>0</v>
      </c>
    </row>
    <row r="11" spans="1:74" s="23" customFormat="1">
      <c r="A11" s="1"/>
      <c r="B11" s="3" t="s">
        <v>200</v>
      </c>
      <c r="C11" s="3" t="s">
        <v>96</v>
      </c>
      <c r="D11" s="1" t="s">
        <v>190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40</v>
      </c>
      <c r="BR11" s="1">
        <v>0</v>
      </c>
      <c r="BS11" s="17">
        <v>0</v>
      </c>
      <c r="BT11" s="17"/>
      <c r="BU11">
        <f>SUM(P11:AD11)</f>
        <v>40</v>
      </c>
      <c r="BV11" s="23">
        <f>AF11+AH11+AI11+AJ11+AO11+AP11</f>
        <v>0</v>
      </c>
    </row>
    <row r="12" spans="1:74">
      <c r="A12" s="1"/>
      <c r="B12" s="1" t="s">
        <v>126</v>
      </c>
      <c r="C12" s="1" t="s">
        <v>125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17</v>
      </c>
      <c r="BR12" s="1">
        <v>0</v>
      </c>
      <c r="BS12" s="17">
        <v>0</v>
      </c>
      <c r="BT12" s="17"/>
      <c r="BU12">
        <f>SUM(P12:AD12)</f>
        <v>17</v>
      </c>
      <c r="BV12" s="23">
        <f>AF12+AH12+AI12+AJ12+AO12+AP12</f>
        <v>0</v>
      </c>
    </row>
    <row r="13" spans="1:74">
      <c r="A13" s="1"/>
      <c r="B13" s="3" t="s">
        <v>195</v>
      </c>
      <c r="C13" s="3" t="s">
        <v>196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17</v>
      </c>
      <c r="BR13" s="1">
        <v>0</v>
      </c>
      <c r="BS13" s="17">
        <v>0</v>
      </c>
      <c r="BT13" s="17"/>
      <c r="BU13">
        <f>SUM(P13:AD13)</f>
        <v>17</v>
      </c>
      <c r="BV13" s="23">
        <f>AF13+AH13+AI13+AJ13+AO13+AP13</f>
        <v>0</v>
      </c>
    </row>
    <row r="14" spans="1:74">
      <c r="A14" s="1"/>
      <c r="B14" s="1" t="s">
        <v>122</v>
      </c>
      <c r="C14" s="1" t="s">
        <v>123</v>
      </c>
      <c r="D14" s="1" t="s">
        <v>99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35</v>
      </c>
      <c r="BR14" s="1">
        <v>0</v>
      </c>
      <c r="BS14" s="17">
        <v>0</v>
      </c>
      <c r="BT14" s="17"/>
      <c r="BU14">
        <f>SUM(P14:AD14)</f>
        <v>35</v>
      </c>
      <c r="BV14" s="23">
        <f>AF14+AH14+AI14+AJ14+AO14+AP14</f>
        <v>0</v>
      </c>
    </row>
    <row r="15" spans="1:74" s="39" customFormat="1">
      <c r="A15" s="1"/>
      <c r="B15" s="1" t="s">
        <v>129</v>
      </c>
      <c r="C15" s="1" t="s">
        <v>125</v>
      </c>
      <c r="D15" s="1" t="s">
        <v>99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35</v>
      </c>
      <c r="BR15" s="1">
        <v>0</v>
      </c>
      <c r="BS15" s="17">
        <v>0</v>
      </c>
      <c r="BT15" s="17"/>
      <c r="BU15">
        <f>SUM(P15:AD15)</f>
        <v>35</v>
      </c>
      <c r="BV15" s="23">
        <f>AF15+AH15+AI15+AJ15+AO15+AP15</f>
        <v>0</v>
      </c>
    </row>
    <row r="16" spans="1:74">
      <c r="A16" s="1"/>
      <c r="B16" s="3" t="s">
        <v>192</v>
      </c>
      <c r="C16" s="3" t="s">
        <v>50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35</v>
      </c>
      <c r="BR16" s="1">
        <v>0</v>
      </c>
      <c r="BS16" s="17">
        <v>0</v>
      </c>
      <c r="BT16" s="17"/>
      <c r="BU16">
        <f>SUM(P16:AD16)</f>
        <v>35</v>
      </c>
      <c r="BV16" s="23">
        <f>AF16+AH16+AI16+AJ16+AO16+AP16</f>
        <v>0</v>
      </c>
    </row>
    <row r="17" spans="1:74">
      <c r="A17" s="1"/>
      <c r="B17" s="3" t="s">
        <v>200</v>
      </c>
      <c r="C17" s="3" t="s">
        <v>96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35</v>
      </c>
      <c r="BR17" s="1">
        <v>0</v>
      </c>
      <c r="BS17" s="17">
        <v>0</v>
      </c>
      <c r="BT17" s="17"/>
      <c r="BU17">
        <f>SUM(P17:AD17)</f>
        <v>35</v>
      </c>
      <c r="BV17" s="23">
        <f>AF17+AH17+AI17+AJ17+AO17+AP17</f>
        <v>0</v>
      </c>
    </row>
    <row r="18" spans="1:74">
      <c r="A18" s="1"/>
      <c r="B18" s="1" t="s">
        <v>115</v>
      </c>
      <c r="C18" s="1" t="s">
        <v>116</v>
      </c>
      <c r="D18" s="1" t="s">
        <v>99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35</v>
      </c>
      <c r="BR18" s="1">
        <v>0</v>
      </c>
      <c r="BS18" s="17">
        <v>0</v>
      </c>
      <c r="BT18" s="17"/>
      <c r="BU18">
        <f>SUM(P18:AD18)</f>
        <v>35</v>
      </c>
      <c r="BV18" s="23">
        <f>AF18+AH18+AI18+AJ18+AO18+AP18</f>
        <v>0</v>
      </c>
    </row>
    <row r="19" spans="1:74" s="57" customFormat="1">
      <c r="A19" s="1"/>
      <c r="B19" s="1" t="s">
        <v>120</v>
      </c>
      <c r="C19" s="1" t="s">
        <v>119</v>
      </c>
      <c r="D19" s="1" t="s">
        <v>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35</v>
      </c>
      <c r="BR19" s="1">
        <v>0</v>
      </c>
      <c r="BS19" s="17">
        <v>0</v>
      </c>
      <c r="BT19" s="17"/>
      <c r="BU19">
        <f>SUM(P19:AD19)</f>
        <v>35</v>
      </c>
      <c r="BV19" s="23">
        <f>AF19+AH19+AI19+AJ19+AO19+AP19</f>
        <v>0</v>
      </c>
    </row>
    <row r="20" spans="1:74">
      <c r="A20" s="1"/>
      <c r="B20" s="3" t="s">
        <v>222</v>
      </c>
      <c r="C20" s="3" t="s">
        <v>50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35</v>
      </c>
      <c r="BR20" s="1">
        <v>0</v>
      </c>
      <c r="BS20" s="17">
        <v>0</v>
      </c>
      <c r="BT20" s="17"/>
      <c r="BU20">
        <f>SUM(P20:AD20)</f>
        <v>35</v>
      </c>
      <c r="BV20" s="23">
        <f>AF20+AH20+AI20+AJ20+AO20+AP20</f>
        <v>0</v>
      </c>
    </row>
    <row r="21" spans="1:74">
      <c r="A21" s="1"/>
      <c r="B21" s="3" t="s">
        <v>198</v>
      </c>
      <c r="C21" s="3" t="s">
        <v>196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30</v>
      </c>
      <c r="BR21" s="1">
        <v>0</v>
      </c>
      <c r="BS21" s="17">
        <v>0</v>
      </c>
      <c r="BT21" s="17"/>
      <c r="BU21">
        <f>SUM(P21:AD21)</f>
        <v>30</v>
      </c>
      <c r="BV21" s="23">
        <f>AF21+AH21+AI21+AJ21+AO21+AP21</f>
        <v>0</v>
      </c>
    </row>
    <row r="22" spans="1:74" s="49" customFormat="1">
      <c r="A22" s="1"/>
      <c r="B22" s="1" t="s">
        <v>127</v>
      </c>
      <c r="C22" s="1" t="s">
        <v>125</v>
      </c>
      <c r="D22" s="1" t="s">
        <v>99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30</v>
      </c>
      <c r="BR22" s="1">
        <v>0</v>
      </c>
      <c r="BS22" s="17">
        <v>0</v>
      </c>
      <c r="BT22" s="17"/>
      <c r="BU22">
        <f>SUM(P22:AD22)</f>
        <v>30</v>
      </c>
      <c r="BV22" s="23">
        <f>AF22+AH22+AI22+AJ22+AO22+AP22</f>
        <v>0</v>
      </c>
    </row>
    <row r="23" spans="1:74">
      <c r="A23" s="1"/>
      <c r="B23" s="1" t="s">
        <v>247</v>
      </c>
      <c r="C23" s="1" t="s">
        <v>227</v>
      </c>
      <c r="D23" s="1" t="s">
        <v>228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0</v>
      </c>
      <c r="BS23" s="17">
        <v>0</v>
      </c>
      <c r="BT23" s="17"/>
      <c r="BU23">
        <f>SUM(P23:AD23)</f>
        <v>40</v>
      </c>
      <c r="BV23" s="23">
        <f>AF23+AH23+AI23+AJ23+AO23+AP23</f>
        <v>0</v>
      </c>
    </row>
    <row r="24" spans="1:74">
      <c r="A24" s="1"/>
      <c r="B24" s="1" t="s">
        <v>226</v>
      </c>
      <c r="C24" s="1" t="s">
        <v>227</v>
      </c>
      <c r="D24" s="1" t="s">
        <v>229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35</v>
      </c>
      <c r="BR24" s="1">
        <v>0</v>
      </c>
      <c r="BS24" s="17">
        <v>0</v>
      </c>
      <c r="BT24" s="17"/>
      <c r="BU24">
        <f>SUM(P24:AD24)</f>
        <v>35</v>
      </c>
      <c r="BV24" s="23">
        <f>AF24+AH24+AI24+AJ24+AO24+AP24</f>
        <v>0</v>
      </c>
    </row>
    <row r="25" spans="1:74">
      <c r="A25" s="1"/>
      <c r="B25" s="1" t="s">
        <v>226</v>
      </c>
      <c r="C25" s="1" t="s">
        <v>227</v>
      </c>
      <c r="D25" s="1" t="s">
        <v>230</v>
      </c>
      <c r="E25" s="6">
        <v>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20</v>
      </c>
      <c r="BR25" s="1">
        <v>0</v>
      </c>
      <c r="BS25" s="17">
        <v>0</v>
      </c>
      <c r="BT25" s="17"/>
      <c r="BU25">
        <f>SUM(P25:AD25)</f>
        <v>15</v>
      </c>
      <c r="BV25" s="23">
        <f>AF25+AH25+AI25+AJ25+AO25+AP25</f>
        <v>0</v>
      </c>
    </row>
    <row r="26" spans="1:74">
      <c r="A26" s="1"/>
      <c r="B26" s="1" t="s">
        <v>231</v>
      </c>
      <c r="C26" s="1" t="s">
        <v>116</v>
      </c>
      <c r="D26" s="1" t="s">
        <v>229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17</v>
      </c>
      <c r="BR26" s="1">
        <v>0</v>
      </c>
      <c r="BS26" s="17">
        <v>0</v>
      </c>
      <c r="BT26" s="17"/>
      <c r="BU26">
        <f>SUM(P26:AD26)</f>
        <v>17</v>
      </c>
      <c r="BV26" s="23">
        <f>AF26+AH26+AI26+AJ26+AO26+AP26</f>
        <v>0</v>
      </c>
    </row>
    <row r="27" spans="1:74">
      <c r="A27" s="1"/>
      <c r="B27" s="1" t="s">
        <v>232</v>
      </c>
      <c r="C27" s="1" t="s">
        <v>116</v>
      </c>
      <c r="D27" s="1" t="s">
        <v>228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40</v>
      </c>
      <c r="BR27" s="1">
        <v>0</v>
      </c>
      <c r="BS27" s="17">
        <v>0</v>
      </c>
      <c r="BT27" s="17"/>
      <c r="BU27">
        <f>SUM(P27:AD27)</f>
        <v>40</v>
      </c>
      <c r="BV27" s="23">
        <f>AF27+AH27+AI27+AJ27+AO27+AP27</f>
        <v>0</v>
      </c>
    </row>
    <row r="28" spans="1:74" s="39" customFormat="1">
      <c r="A28" s="1"/>
      <c r="B28" s="1" t="s">
        <v>232</v>
      </c>
      <c r="C28" s="1" t="s">
        <v>116</v>
      </c>
      <c r="D28" s="1" t="s">
        <v>229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35</v>
      </c>
      <c r="BR28" s="1">
        <v>0</v>
      </c>
      <c r="BS28" s="17">
        <v>0</v>
      </c>
      <c r="BT28" s="17"/>
      <c r="BU28">
        <f>SUM(P28:AD28)</f>
        <v>35</v>
      </c>
      <c r="BV28" s="23">
        <f>AF28+AH28+AI28+AJ28+AO28+AP28</f>
        <v>0</v>
      </c>
    </row>
    <row r="29" spans="1:74">
      <c r="A29" s="1"/>
      <c r="B29" s="1" t="s">
        <v>233</v>
      </c>
      <c r="C29" s="1" t="s">
        <v>50</v>
      </c>
      <c r="D29" s="1" t="s">
        <v>228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20</v>
      </c>
      <c r="BR29" s="1">
        <v>0</v>
      </c>
      <c r="BS29" s="17">
        <v>0</v>
      </c>
      <c r="BT29" s="17"/>
      <c r="BU29">
        <f>SUM(P29:AD29)</f>
        <v>20</v>
      </c>
      <c r="BV29" s="23">
        <f>AF29+AH29+AI29+AJ29+AO29+AP29</f>
        <v>0</v>
      </c>
    </row>
    <row r="30" spans="1:74">
      <c r="A30" s="1"/>
      <c r="B30" s="1" t="s">
        <v>234</v>
      </c>
      <c r="C30" s="1" t="s">
        <v>50</v>
      </c>
      <c r="D30" s="1" t="s">
        <v>229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>
        <v>2</v>
      </c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0</v>
      </c>
      <c r="BS30" s="17">
        <v>0</v>
      </c>
      <c r="BT30" s="17"/>
      <c r="BU30">
        <f>SUM(P30:AD30)</f>
        <v>17</v>
      </c>
      <c r="BV30" s="23">
        <f>AF30+AH30+AI30+AJ30+AO30+AP30</f>
        <v>0</v>
      </c>
    </row>
    <row r="31" spans="1:74">
      <c r="A31" s="1"/>
      <c r="B31" s="1" t="s">
        <v>238</v>
      </c>
      <c r="C31" s="1" t="s">
        <v>52</v>
      </c>
      <c r="D31" s="1" t="s">
        <v>228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40</v>
      </c>
      <c r="BR31" s="1">
        <v>0</v>
      </c>
      <c r="BS31" s="17">
        <v>0</v>
      </c>
      <c r="BT31" s="17"/>
      <c r="BU31">
        <f>SUM(P31:AD31)</f>
        <v>40</v>
      </c>
      <c r="BV31" s="23">
        <f>AF31+AH31+AI31+AJ31+AO31+AP31</f>
        <v>0</v>
      </c>
    </row>
    <row r="32" spans="1:74">
      <c r="A32" s="1"/>
      <c r="B32" s="1" t="s">
        <v>238</v>
      </c>
      <c r="C32" s="1" t="s">
        <v>52</v>
      </c>
      <c r="D32" s="1" t="s">
        <v>229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35</v>
      </c>
      <c r="BR32" s="1">
        <v>0</v>
      </c>
      <c r="BS32" s="17">
        <v>0</v>
      </c>
      <c r="BT32" s="17"/>
      <c r="BU32">
        <f>SUM(P32:AD32)</f>
        <v>35</v>
      </c>
      <c r="BV32" s="23">
        <f>AF32+AH32+AI32+AJ32+AO32+AP32</f>
        <v>0</v>
      </c>
    </row>
    <row r="33" spans="1:74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5</v>
      </c>
      <c r="BR33" s="1">
        <v>0</v>
      </c>
      <c r="BS33" s="17">
        <v>0</v>
      </c>
      <c r="BT33" s="17"/>
      <c r="BU33">
        <f>SUM(P33:AD33)</f>
        <v>0</v>
      </c>
      <c r="BV33" s="23">
        <f>AF33+AH33+AI33+AJ33+AO33+AP33</f>
        <v>0</v>
      </c>
    </row>
    <row r="34" spans="1:74">
      <c r="A34" s="1">
        <v>95</v>
      </c>
      <c r="B34" s="3" t="s">
        <v>248</v>
      </c>
      <c r="C34" s="3" t="s">
        <v>52</v>
      </c>
      <c r="D34" s="1" t="s">
        <v>0</v>
      </c>
      <c r="E34" s="6"/>
      <c r="F34" s="6"/>
      <c r="G34" s="6"/>
      <c r="H34" s="6"/>
      <c r="I34" s="6"/>
      <c r="J34" s="6"/>
      <c r="K34" s="6"/>
      <c r="L34" s="6">
        <v>15</v>
      </c>
      <c r="M34" s="6"/>
      <c r="N34" s="6"/>
      <c r="O34" s="6">
        <v>15</v>
      </c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>
        <v>15</v>
      </c>
      <c r="BB34" s="2">
        <v>15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60</v>
      </c>
      <c r="BR34" s="1">
        <v>0</v>
      </c>
      <c r="BS34" s="17">
        <v>0</v>
      </c>
      <c r="BT34" s="17"/>
      <c r="BU34">
        <f>SUM(P34:AD34)</f>
        <v>0</v>
      </c>
      <c r="BV34" s="23">
        <f>AF34+AH34+AI34+AJ34+AO34+AP34</f>
        <v>0</v>
      </c>
    </row>
    <row r="35" spans="1:74">
      <c r="A35" s="60"/>
      <c r="B35" s="61" t="s">
        <v>256</v>
      </c>
      <c r="C35" s="60" t="s">
        <v>257</v>
      </c>
      <c r="D35" s="60" t="s">
        <v>0</v>
      </c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4"/>
      <c r="AR35" s="64"/>
      <c r="AS35" s="64">
        <v>10</v>
      </c>
      <c r="AT35" s="64"/>
      <c r="AU35" s="64"/>
      <c r="AV35" s="64"/>
      <c r="AW35" s="65"/>
      <c r="AX35" s="65"/>
      <c r="AY35" s="65"/>
      <c r="AZ35" s="65"/>
      <c r="BA35" s="65"/>
      <c r="BB35" s="65">
        <v>10</v>
      </c>
      <c r="BC35" s="66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50">
        <f>SUM(E35:BP35)</f>
        <v>20</v>
      </c>
      <c r="BR35" s="60">
        <v>0</v>
      </c>
      <c r="BS35" s="67">
        <v>0</v>
      </c>
      <c r="BT35" s="67"/>
      <c r="BU35" s="68"/>
      <c r="BV35" s="68"/>
    </row>
    <row r="36" spans="1:74">
      <c r="A36" s="60"/>
      <c r="B36" s="61" t="s">
        <v>260</v>
      </c>
      <c r="C36" s="60" t="s">
        <v>258</v>
      </c>
      <c r="D36" s="60" t="s">
        <v>0</v>
      </c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4"/>
      <c r="AR36" s="64">
        <v>10</v>
      </c>
      <c r="AS36" s="64"/>
      <c r="AT36" s="64"/>
      <c r="AU36" s="64"/>
      <c r="AV36" s="64"/>
      <c r="AW36" s="65"/>
      <c r="AX36" s="65"/>
      <c r="AY36" s="65"/>
      <c r="AZ36" s="65"/>
      <c r="BA36" s="65"/>
      <c r="BB36" s="65">
        <v>10</v>
      </c>
      <c r="BC36" s="66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50">
        <f>SUM(E36:BP36)</f>
        <v>20</v>
      </c>
      <c r="BR36" s="60">
        <v>0</v>
      </c>
      <c r="BS36" s="67">
        <v>0</v>
      </c>
      <c r="BT36" s="67"/>
      <c r="BU36" s="68"/>
      <c r="BV36" s="68"/>
    </row>
    <row r="37" spans="1:74">
      <c r="A37" s="60"/>
      <c r="B37" s="61" t="s">
        <v>263</v>
      </c>
      <c r="C37" s="60" t="s">
        <v>262</v>
      </c>
      <c r="D37" s="60" t="s">
        <v>0</v>
      </c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4">
        <v>10</v>
      </c>
      <c r="AR37" s="64"/>
      <c r="AS37" s="64"/>
      <c r="AT37" s="64"/>
      <c r="AU37" s="64"/>
      <c r="AV37" s="64"/>
      <c r="AW37" s="65"/>
      <c r="AX37" s="65"/>
      <c r="AY37" s="65"/>
      <c r="AZ37" s="65"/>
      <c r="BA37" s="65"/>
      <c r="BB37" s="65">
        <v>10</v>
      </c>
      <c r="BC37" s="66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50">
        <f>SUM(E37:BP37)</f>
        <v>20</v>
      </c>
      <c r="BR37" s="60">
        <v>0</v>
      </c>
      <c r="BS37" s="67">
        <v>0</v>
      </c>
      <c r="BT37" s="67"/>
      <c r="BU37" s="68"/>
      <c r="BV37" s="68"/>
    </row>
    <row r="38" spans="1:74">
      <c r="A38" s="60"/>
      <c r="B38" s="61" t="s">
        <v>264</v>
      </c>
      <c r="C38" s="60" t="s">
        <v>262</v>
      </c>
      <c r="D38" s="60" t="s">
        <v>0</v>
      </c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4">
        <v>15</v>
      </c>
      <c r="AR38" s="64"/>
      <c r="AS38" s="64"/>
      <c r="AT38" s="64"/>
      <c r="AU38" s="64"/>
      <c r="AV38" s="64"/>
      <c r="AW38" s="65"/>
      <c r="AX38" s="65"/>
      <c r="AY38" s="65"/>
      <c r="AZ38" s="65"/>
      <c r="BA38" s="65"/>
      <c r="BB38" s="65">
        <v>15</v>
      </c>
      <c r="BC38" s="66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50">
        <f>SUM(E38:BP38)</f>
        <v>30</v>
      </c>
      <c r="BR38" s="60">
        <v>0</v>
      </c>
      <c r="BS38" s="67">
        <v>0</v>
      </c>
      <c r="BT38" s="67"/>
      <c r="BU38" s="68"/>
      <c r="BV38" s="68"/>
    </row>
    <row r="39" spans="1:74">
      <c r="A39" s="60"/>
      <c r="B39" s="61" t="s">
        <v>264</v>
      </c>
      <c r="C39" s="60" t="s">
        <v>262</v>
      </c>
      <c r="D39" s="1" t="s">
        <v>230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4"/>
      <c r="AR39" s="64"/>
      <c r="AS39" s="64"/>
      <c r="AT39" s="64"/>
      <c r="AU39" s="64"/>
      <c r="AV39" s="64"/>
      <c r="AW39" s="65"/>
      <c r="AX39" s="65"/>
      <c r="AY39" s="65"/>
      <c r="AZ39" s="65"/>
      <c r="BA39" s="65"/>
      <c r="BB39" s="65"/>
      <c r="BC39" s="66"/>
      <c r="BD39" s="60"/>
      <c r="BE39" s="60">
        <v>20</v>
      </c>
      <c r="BF39" s="60">
        <v>20</v>
      </c>
      <c r="BG39" s="60">
        <v>20</v>
      </c>
      <c r="BH39" s="60">
        <v>20</v>
      </c>
      <c r="BI39" s="60"/>
      <c r="BJ39" s="60"/>
      <c r="BK39" s="60"/>
      <c r="BL39" s="60"/>
      <c r="BM39" s="60"/>
      <c r="BN39" s="60"/>
      <c r="BO39" s="60"/>
      <c r="BP39" s="60"/>
      <c r="BQ39" s="50">
        <f>SUM(E39:BP39)</f>
        <v>80</v>
      </c>
      <c r="BR39" s="60">
        <v>0</v>
      </c>
      <c r="BS39" s="67">
        <v>0</v>
      </c>
      <c r="BT39" s="67"/>
      <c r="BU39" s="68"/>
      <c r="BV39" s="68"/>
    </row>
    <row r="40" spans="1:74">
      <c r="A40" s="60"/>
      <c r="B40" s="61" t="s">
        <v>265</v>
      </c>
      <c r="C40" s="60" t="s">
        <v>36</v>
      </c>
      <c r="D40" s="60" t="s">
        <v>0</v>
      </c>
      <c r="E40" s="62"/>
      <c r="F40" s="62"/>
      <c r="G40" s="62"/>
      <c r="H40" s="62"/>
      <c r="I40" s="62"/>
      <c r="J40" s="62">
        <v>10</v>
      </c>
      <c r="K40" s="62"/>
      <c r="L40" s="62"/>
      <c r="M40" s="62"/>
      <c r="N40" s="62"/>
      <c r="O40" s="62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4"/>
      <c r="AR40" s="64"/>
      <c r="AS40" s="64"/>
      <c r="AT40" s="64"/>
      <c r="AU40" s="64"/>
      <c r="AV40" s="64"/>
      <c r="AW40" s="65">
        <v>10</v>
      </c>
      <c r="AX40" s="65">
        <v>10</v>
      </c>
      <c r="AY40" s="65"/>
      <c r="AZ40" s="65"/>
      <c r="BA40" s="65"/>
      <c r="BB40" s="65"/>
      <c r="BC40" s="66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50">
        <f>SUM(E40:BP40)</f>
        <v>30</v>
      </c>
      <c r="BR40" s="60">
        <v>0</v>
      </c>
      <c r="BS40" s="67">
        <v>0</v>
      </c>
      <c r="BT40" s="67"/>
      <c r="BU40" s="68"/>
      <c r="BV40" s="68"/>
    </row>
    <row r="41" spans="1:74">
      <c r="A41" s="60"/>
      <c r="B41" s="61" t="s">
        <v>265</v>
      </c>
      <c r="C41" s="60" t="s">
        <v>36</v>
      </c>
      <c r="D41" s="1" t="s">
        <v>230</v>
      </c>
      <c r="E41" s="62"/>
      <c r="F41" s="62"/>
      <c r="G41" s="62"/>
      <c r="H41" s="62"/>
      <c r="I41" s="62"/>
      <c r="J41" s="62"/>
      <c r="K41" s="62"/>
      <c r="L41" s="62"/>
      <c r="M41" s="62"/>
      <c r="N41" s="62">
        <v>10</v>
      </c>
      <c r="O41" s="62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4">
        <v>10</v>
      </c>
      <c r="AR41" s="64"/>
      <c r="AS41" s="64"/>
      <c r="AT41" s="64"/>
      <c r="AU41" s="64"/>
      <c r="AV41" s="64"/>
      <c r="AW41" s="65"/>
      <c r="AX41" s="65"/>
      <c r="AY41" s="65"/>
      <c r="AZ41" s="65"/>
      <c r="BA41" s="65"/>
      <c r="BB41" s="65"/>
      <c r="BC41" s="66"/>
      <c r="BD41" s="60">
        <v>10</v>
      </c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50">
        <f>SUM(E41:BP41)</f>
        <v>30</v>
      </c>
      <c r="BR41" s="60">
        <v>0</v>
      </c>
      <c r="BS41" s="67">
        <v>0</v>
      </c>
      <c r="BT41" s="67"/>
      <c r="BU41" s="68"/>
      <c r="BV41" s="68"/>
    </row>
    <row r="42" spans="1:74">
      <c r="A42" s="60"/>
      <c r="B42" s="61" t="s">
        <v>266</v>
      </c>
      <c r="C42" s="60" t="s">
        <v>267</v>
      </c>
      <c r="D42" s="60" t="s">
        <v>0</v>
      </c>
      <c r="E42" s="62"/>
      <c r="F42" s="62"/>
      <c r="G42" s="62"/>
      <c r="H42" s="62"/>
      <c r="I42" s="62"/>
      <c r="J42" s="62"/>
      <c r="K42" s="62"/>
      <c r="L42" s="62">
        <v>5</v>
      </c>
      <c r="M42" s="62"/>
      <c r="N42" s="62"/>
      <c r="O42" s="62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4"/>
      <c r="AR42" s="64"/>
      <c r="AS42" s="64"/>
      <c r="AT42" s="64"/>
      <c r="AU42" s="64"/>
      <c r="AV42" s="64"/>
      <c r="AW42" s="65"/>
      <c r="AX42" s="65"/>
      <c r="AY42" s="65"/>
      <c r="AZ42" s="65"/>
      <c r="BA42" s="65"/>
      <c r="BB42" s="65"/>
      <c r="BC42" s="66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50">
        <f>SUM(E42:BP42)</f>
        <v>5</v>
      </c>
      <c r="BR42" s="60">
        <v>0</v>
      </c>
      <c r="BS42" s="67">
        <v>0</v>
      </c>
      <c r="BT42" s="67"/>
      <c r="BU42" s="68"/>
      <c r="BV42" s="68"/>
    </row>
    <row r="43" spans="1:74">
      <c r="A43" s="60"/>
      <c r="B43" s="61" t="s">
        <v>268</v>
      </c>
      <c r="C43" s="60" t="s">
        <v>43</v>
      </c>
      <c r="D43" s="1" t="s">
        <v>230</v>
      </c>
      <c r="E43" s="62"/>
      <c r="F43" s="62"/>
      <c r="G43" s="62"/>
      <c r="H43" s="62"/>
      <c r="I43" s="62"/>
      <c r="J43" s="62"/>
      <c r="K43" s="62">
        <v>10</v>
      </c>
      <c r="L43" s="62"/>
      <c r="M43" s="62"/>
      <c r="N43" s="62"/>
      <c r="O43" s="62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4"/>
      <c r="AR43" s="64"/>
      <c r="AS43" s="64"/>
      <c r="AT43" s="64"/>
      <c r="AU43" s="64"/>
      <c r="AV43" s="64">
        <v>10</v>
      </c>
      <c r="AW43" s="65"/>
      <c r="AX43" s="65"/>
      <c r="AY43" s="65"/>
      <c r="AZ43" s="65"/>
      <c r="BA43" s="65"/>
      <c r="BB43" s="65"/>
      <c r="BC43" s="66"/>
      <c r="BD43" s="60">
        <v>10</v>
      </c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50">
        <f>SUM(E43:BP43)</f>
        <v>30</v>
      </c>
      <c r="BR43" s="60">
        <v>0</v>
      </c>
      <c r="BS43" s="67">
        <v>0</v>
      </c>
      <c r="BT43" s="67"/>
      <c r="BU43" s="68"/>
      <c r="BV43" s="68"/>
    </row>
    <row r="44" spans="1:74">
      <c r="A44" s="60"/>
      <c r="B44" s="61" t="s">
        <v>269</v>
      </c>
      <c r="C44" s="60" t="s">
        <v>270</v>
      </c>
      <c r="D44" s="60" t="s">
        <v>0</v>
      </c>
      <c r="E44" s="62"/>
      <c r="F44" s="62"/>
      <c r="G44" s="62"/>
      <c r="H44" s="62"/>
      <c r="I44" s="62">
        <v>5</v>
      </c>
      <c r="J44" s="62"/>
      <c r="K44" s="62"/>
      <c r="L44" s="62"/>
      <c r="M44" s="62"/>
      <c r="N44" s="62"/>
      <c r="O44" s="62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4"/>
      <c r="AR44" s="64"/>
      <c r="AS44" s="64"/>
      <c r="AT44" s="64"/>
      <c r="AU44" s="64"/>
      <c r="AV44" s="64"/>
      <c r="AW44" s="65"/>
      <c r="AX44" s="65"/>
      <c r="AY44" s="65"/>
      <c r="AZ44" s="65"/>
      <c r="BA44" s="65"/>
      <c r="BB44" s="65"/>
      <c r="BC44" s="66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50">
        <f>SUM(E44:BP44)</f>
        <v>5</v>
      </c>
      <c r="BR44" s="60">
        <v>0</v>
      </c>
      <c r="BS44" s="67">
        <v>0</v>
      </c>
      <c r="BT44" s="67"/>
      <c r="BU44" s="68"/>
      <c r="BV44" s="68"/>
    </row>
    <row r="45" spans="1:74">
      <c r="A45" s="60"/>
      <c r="B45" s="61" t="s">
        <v>269</v>
      </c>
      <c r="C45" s="60" t="s">
        <v>270</v>
      </c>
      <c r="D45" s="1" t="s">
        <v>230</v>
      </c>
      <c r="E45" s="62"/>
      <c r="F45" s="62"/>
      <c r="G45" s="62"/>
      <c r="H45" s="62"/>
      <c r="I45" s="62">
        <v>6</v>
      </c>
      <c r="J45" s="62"/>
      <c r="K45" s="62">
        <v>6</v>
      </c>
      <c r="L45" s="62"/>
      <c r="M45" s="62"/>
      <c r="N45" s="62"/>
      <c r="O45" s="62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4"/>
      <c r="AR45" s="64"/>
      <c r="AS45" s="64"/>
      <c r="AT45" s="64"/>
      <c r="AU45" s="64">
        <v>10</v>
      </c>
      <c r="AV45" s="64"/>
      <c r="AW45" s="65"/>
      <c r="AX45" s="65"/>
      <c r="AY45" s="65"/>
      <c r="AZ45" s="65"/>
      <c r="BA45" s="65"/>
      <c r="BB45" s="65">
        <v>10</v>
      </c>
      <c r="BC45" s="66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50">
        <f>SUM(E45:BP45)</f>
        <v>32</v>
      </c>
      <c r="BR45" s="60">
        <v>0</v>
      </c>
      <c r="BS45" s="67">
        <v>0</v>
      </c>
      <c r="BT45" s="67"/>
      <c r="BU45" s="68"/>
      <c r="BV45" s="68"/>
    </row>
    <row r="46" spans="1:74">
      <c r="A46" s="60"/>
      <c r="B46" s="61" t="s">
        <v>271</v>
      </c>
      <c r="C46" s="60" t="s">
        <v>272</v>
      </c>
      <c r="D46" s="60" t="s">
        <v>0</v>
      </c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4"/>
      <c r="AR46" s="64"/>
      <c r="AS46" s="64"/>
      <c r="AT46" s="64"/>
      <c r="AU46" s="64"/>
      <c r="AV46" s="64"/>
      <c r="AW46" s="65"/>
      <c r="AX46" s="65"/>
      <c r="AY46" s="65"/>
      <c r="AZ46" s="65"/>
      <c r="BA46" s="65">
        <v>10</v>
      </c>
      <c r="BB46" s="65">
        <v>10</v>
      </c>
      <c r="BC46" s="66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50">
        <f>SUM(E46:BP46)</f>
        <v>20</v>
      </c>
      <c r="BR46" s="60">
        <v>0</v>
      </c>
      <c r="BS46" s="67">
        <v>0</v>
      </c>
      <c r="BT46" s="67"/>
      <c r="BU46" s="68"/>
      <c r="BV46" s="68"/>
    </row>
    <row r="47" spans="1:74">
      <c r="A47" s="1"/>
      <c r="B47" s="1" t="s">
        <v>250</v>
      </c>
      <c r="C47" s="1" t="s">
        <v>251</v>
      </c>
      <c r="D47" s="1" t="s">
        <v>82</v>
      </c>
      <c r="E47" s="6"/>
      <c r="F47" s="6"/>
      <c r="G47" s="6"/>
      <c r="H47" s="6">
        <v>5</v>
      </c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5</v>
      </c>
      <c r="BR47" s="1">
        <v>0</v>
      </c>
      <c r="BS47" s="17">
        <v>0</v>
      </c>
      <c r="BT47" s="17"/>
      <c r="BU47">
        <f>SUM(P47:AD47)</f>
        <v>0</v>
      </c>
      <c r="BV47" s="23">
        <f>AF47+AH47+AI47+AJ47+AO47+AP47</f>
        <v>0</v>
      </c>
    </row>
    <row r="48" spans="1:74">
      <c r="A48" s="50"/>
      <c r="B48" s="50" t="s">
        <v>132</v>
      </c>
      <c r="C48" s="50" t="s">
        <v>96</v>
      </c>
      <c r="D48" s="50" t="s">
        <v>82</v>
      </c>
      <c r="E48" s="51"/>
      <c r="F48" s="51"/>
      <c r="G48" s="51"/>
      <c r="H48" s="51"/>
      <c r="I48" s="51"/>
      <c r="J48" s="51"/>
      <c r="K48" s="51"/>
      <c r="L48" s="51">
        <v>20</v>
      </c>
      <c r="M48" s="51"/>
      <c r="N48" s="51"/>
      <c r="O48" s="51">
        <v>20</v>
      </c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3"/>
      <c r="AR48" s="53"/>
      <c r="AS48" s="53"/>
      <c r="AT48" s="53"/>
      <c r="AU48" s="53"/>
      <c r="AV48" s="53"/>
      <c r="AW48" s="54"/>
      <c r="AX48" s="54"/>
      <c r="AY48" s="54"/>
      <c r="AZ48" s="54"/>
      <c r="BA48" s="54">
        <v>20</v>
      </c>
      <c r="BB48" s="54">
        <v>20</v>
      </c>
      <c r="BC48" s="55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>
        <f>SUM(E48:BP48)</f>
        <v>80</v>
      </c>
      <c r="BR48" s="50">
        <v>0</v>
      </c>
      <c r="BS48" s="56">
        <v>0</v>
      </c>
      <c r="BT48" s="56"/>
      <c r="BU48">
        <f>SUM(P48:AD48)</f>
        <v>0</v>
      </c>
      <c r="BV48" s="23">
        <f>AF48+AH48+AI48+AJ48+AO48+AP48</f>
        <v>0</v>
      </c>
    </row>
    <row r="49" spans="1:74">
      <c r="A49" s="1"/>
      <c r="B49" s="1" t="s">
        <v>141</v>
      </c>
      <c r="C49" s="1" t="s">
        <v>81</v>
      </c>
      <c r="D49" s="1" t="s">
        <v>83</v>
      </c>
      <c r="E49" s="6"/>
      <c r="F49" s="6"/>
      <c r="G49" s="6"/>
      <c r="H49" s="6">
        <v>6</v>
      </c>
      <c r="I49" s="6"/>
      <c r="J49" s="6"/>
      <c r="K49" s="6">
        <v>6</v>
      </c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>
        <v>10</v>
      </c>
      <c r="AR49" s="4"/>
      <c r="AS49" s="4"/>
      <c r="AT49" s="4"/>
      <c r="AU49" s="4"/>
      <c r="AV49" s="4"/>
      <c r="AW49" s="2">
        <v>10</v>
      </c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32</v>
      </c>
      <c r="BR49" s="1">
        <v>0</v>
      </c>
      <c r="BS49" s="17">
        <v>0</v>
      </c>
      <c r="BT49" s="17"/>
      <c r="BU49">
        <f>SUM(P49:AD49)</f>
        <v>0</v>
      </c>
      <c r="BV49" s="23">
        <f>AF49+AH49+AI49+AJ49+AO49+AP49</f>
        <v>0</v>
      </c>
    </row>
    <row r="50" spans="1:74">
      <c r="A50" s="1">
        <v>8</v>
      </c>
      <c r="B50" s="1" t="s">
        <v>134</v>
      </c>
      <c r="C50" s="1" t="s">
        <v>1</v>
      </c>
      <c r="D50" s="1" t="s">
        <v>20</v>
      </c>
      <c r="E50" s="6">
        <v>6</v>
      </c>
      <c r="F50" s="6"/>
      <c r="G50" s="6"/>
      <c r="H50" s="6">
        <v>6</v>
      </c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>
        <v>10</v>
      </c>
      <c r="AS50" s="4"/>
      <c r="AT50" s="4"/>
      <c r="AU50" s="4"/>
      <c r="AV50" s="4"/>
      <c r="AW50" s="2"/>
      <c r="AX50" s="2"/>
      <c r="AY50" s="2"/>
      <c r="AZ50" s="2"/>
      <c r="BA50" s="2"/>
      <c r="BB50" s="2">
        <v>10</v>
      </c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32</v>
      </c>
      <c r="BR50" s="1">
        <v>0</v>
      </c>
      <c r="BS50" s="17">
        <v>0</v>
      </c>
      <c r="BT50" s="17"/>
      <c r="BU50">
        <f>SUM(P50:AD50)</f>
        <v>0</v>
      </c>
      <c r="BV50" s="23">
        <f>AF50+AH50+AI50+AJ50+AO50+AP50</f>
        <v>0</v>
      </c>
    </row>
    <row r="51" spans="1:74">
      <c r="A51" s="50"/>
      <c r="B51" s="50" t="s">
        <v>252</v>
      </c>
      <c r="C51" s="50" t="s">
        <v>253</v>
      </c>
      <c r="D51" s="50" t="s">
        <v>254</v>
      </c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3"/>
      <c r="AR51" s="53"/>
      <c r="AS51" s="53"/>
      <c r="AT51" s="53"/>
      <c r="AU51" s="53">
        <v>10</v>
      </c>
      <c r="AV51" s="53"/>
      <c r="AW51" s="54"/>
      <c r="AX51" s="54"/>
      <c r="AY51" s="54">
        <v>10</v>
      </c>
      <c r="AZ51" s="54"/>
      <c r="BA51" s="54">
        <v>10</v>
      </c>
      <c r="BB51" s="54"/>
      <c r="BC51" s="55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>
        <f>SUM(E51:BP51)</f>
        <v>30</v>
      </c>
      <c r="BR51" s="50">
        <v>0</v>
      </c>
      <c r="BS51" s="56">
        <v>0</v>
      </c>
      <c r="BT51" s="56"/>
      <c r="BV51" s="23"/>
    </row>
    <row r="52" spans="1:74">
      <c r="A52" s="60"/>
      <c r="B52" s="61" t="s">
        <v>268</v>
      </c>
      <c r="C52" s="60" t="s">
        <v>267</v>
      </c>
      <c r="D52" s="60" t="s">
        <v>0</v>
      </c>
      <c r="E52" s="62">
        <v>10</v>
      </c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4"/>
      <c r="AR52" s="64"/>
      <c r="AS52" s="64"/>
      <c r="AT52" s="64"/>
      <c r="AU52" s="64"/>
      <c r="AV52" s="64"/>
      <c r="AW52" s="65"/>
      <c r="AX52" s="65"/>
      <c r="AY52" s="65">
        <v>10</v>
      </c>
      <c r="AZ52" s="65"/>
      <c r="BA52" s="65"/>
      <c r="BB52" s="65">
        <v>10</v>
      </c>
      <c r="BC52" s="66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50">
        <f>SUM(E52:BP52)</f>
        <v>30</v>
      </c>
      <c r="BR52" s="60">
        <v>0</v>
      </c>
      <c r="BS52" s="67">
        <v>0</v>
      </c>
      <c r="BT52" s="67"/>
      <c r="BU52" s="68"/>
      <c r="BV52" s="68"/>
    </row>
    <row r="53" spans="1:74">
      <c r="A53" s="1"/>
      <c r="B53" s="1" t="s">
        <v>139</v>
      </c>
      <c r="C53" s="1" t="s">
        <v>92</v>
      </c>
      <c r="D53" s="1" t="s">
        <v>83</v>
      </c>
      <c r="E53" s="6">
        <v>10</v>
      </c>
      <c r="F53" s="6"/>
      <c r="G53" s="6">
        <v>10</v>
      </c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>
        <v>10</v>
      </c>
      <c r="AS53" s="4"/>
      <c r="AT53" s="4"/>
      <c r="AU53" s="4"/>
      <c r="AV53" s="4"/>
      <c r="AW53" s="2"/>
      <c r="AX53" s="2"/>
      <c r="AY53" s="2"/>
      <c r="AZ53" s="2"/>
      <c r="BA53" s="2"/>
      <c r="BB53" s="2">
        <v>10</v>
      </c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40</v>
      </c>
      <c r="BR53" s="1">
        <v>0</v>
      </c>
      <c r="BS53" s="17">
        <v>0</v>
      </c>
      <c r="BT53" s="17"/>
      <c r="BU53">
        <f>SUM(P53:AD53)</f>
        <v>0</v>
      </c>
      <c r="BV53" s="23">
        <f>AF53+AH53+AI53+AJ53+AO53+AP53</f>
        <v>0</v>
      </c>
    </row>
    <row r="54" spans="1:74">
      <c r="A54" s="1"/>
      <c r="B54" s="1" t="s">
        <v>137</v>
      </c>
      <c r="C54" s="1" t="s">
        <v>124</v>
      </c>
      <c r="D54" s="1" t="s">
        <v>100</v>
      </c>
      <c r="E54" s="6">
        <v>10</v>
      </c>
      <c r="F54" s="6"/>
      <c r="G54" s="6">
        <v>10</v>
      </c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>
        <v>10</v>
      </c>
      <c r="AS54" s="4"/>
      <c r="AT54" s="4"/>
      <c r="AU54" s="4"/>
      <c r="AV54" s="4"/>
      <c r="AW54" s="2"/>
      <c r="AX54" s="2"/>
      <c r="AY54" s="2"/>
      <c r="AZ54" s="2"/>
      <c r="BA54" s="2"/>
      <c r="BB54" s="2">
        <v>10</v>
      </c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40</v>
      </c>
      <c r="BR54" s="1">
        <v>0</v>
      </c>
      <c r="BS54" s="17">
        <v>0</v>
      </c>
      <c r="BT54" s="17"/>
      <c r="BU54">
        <f>SUM(P54:AD54)</f>
        <v>0</v>
      </c>
      <c r="BV54" s="23">
        <f>AF54+AH54+AI54+AJ54+AO54+AP54</f>
        <v>0</v>
      </c>
    </row>
    <row r="55" spans="1:74">
      <c r="A55" s="60"/>
      <c r="B55" s="61" t="s">
        <v>261</v>
      </c>
      <c r="C55" s="60" t="s">
        <v>262</v>
      </c>
      <c r="D55" s="60" t="s">
        <v>18</v>
      </c>
      <c r="E55" s="62"/>
      <c r="F55" s="62"/>
      <c r="G55" s="62">
        <v>10</v>
      </c>
      <c r="H55" s="62"/>
      <c r="I55" s="62">
        <v>10</v>
      </c>
      <c r="J55" s="62"/>
      <c r="K55" s="62"/>
      <c r="L55" s="62"/>
      <c r="M55" s="62">
        <v>10</v>
      </c>
      <c r="N55" s="62"/>
      <c r="O55" s="62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4"/>
      <c r="AR55" s="64"/>
      <c r="AS55" s="64"/>
      <c r="AT55" s="64"/>
      <c r="AU55" s="64"/>
      <c r="AV55" s="64"/>
      <c r="AW55" s="65"/>
      <c r="AX55" s="65"/>
      <c r="AY55" s="65"/>
      <c r="AZ55" s="65"/>
      <c r="BA55" s="65"/>
      <c r="BB55" s="65"/>
      <c r="BC55" s="66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50">
        <f>SUM(E55:BP55)</f>
        <v>30</v>
      </c>
      <c r="BR55" s="60">
        <v>0</v>
      </c>
      <c r="BS55" s="67">
        <v>0</v>
      </c>
      <c r="BT55" s="67"/>
      <c r="BU55" s="68"/>
      <c r="BV55" s="68"/>
    </row>
    <row r="56" spans="1:74" s="57" customFormat="1">
      <c r="A56" s="1"/>
      <c r="B56" s="1" t="s">
        <v>109</v>
      </c>
      <c r="C56" s="1" t="s">
        <v>97</v>
      </c>
      <c r="D56" s="1" t="s">
        <v>98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>
        <v>10</v>
      </c>
      <c r="Q56" s="28"/>
      <c r="R56" s="28"/>
      <c r="S56" s="28">
        <v>10</v>
      </c>
      <c r="T56" s="28"/>
      <c r="U56" s="28"/>
      <c r="V56" s="28"/>
      <c r="W56" s="28">
        <v>5</v>
      </c>
      <c r="X56" s="28"/>
      <c r="Y56" s="28"/>
      <c r="Z56" s="28"/>
      <c r="AA56" s="28"/>
      <c r="AB56" s="28">
        <v>10</v>
      </c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35</v>
      </c>
      <c r="BR56" s="1">
        <v>0</v>
      </c>
      <c r="BS56" s="17">
        <v>0</v>
      </c>
      <c r="BT56" s="17"/>
      <c r="BU56">
        <f>SUM(P56:AD56)</f>
        <v>35</v>
      </c>
      <c r="BV56" s="23">
        <f>AF56+AH56+AI56+AJ56+AO56+AP56</f>
        <v>0</v>
      </c>
    </row>
    <row r="57" spans="1:74">
      <c r="A57" s="1"/>
      <c r="B57" s="1" t="s">
        <v>114</v>
      </c>
      <c r="C57" s="1" t="s">
        <v>97</v>
      </c>
      <c r="D57" s="1" t="s">
        <v>98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>
        <v>10</v>
      </c>
      <c r="Q57" s="28"/>
      <c r="R57" s="28"/>
      <c r="S57" s="28">
        <v>10</v>
      </c>
      <c r="T57" s="28"/>
      <c r="U57" s="28"/>
      <c r="V57" s="28"/>
      <c r="W57" s="28">
        <v>5</v>
      </c>
      <c r="X57" s="28"/>
      <c r="Y57" s="28"/>
      <c r="Z57" s="28"/>
      <c r="AA57" s="28"/>
      <c r="AB57" s="28">
        <v>10</v>
      </c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35</v>
      </c>
      <c r="BR57" s="1">
        <v>0</v>
      </c>
      <c r="BS57" s="17">
        <v>0</v>
      </c>
      <c r="BT57" s="17"/>
      <c r="BU57">
        <f>SUM(P57:AD57)</f>
        <v>35</v>
      </c>
      <c r="BV57" s="23">
        <f>AF57+AH57+AI57+AJ57+AO57+AP57</f>
        <v>0</v>
      </c>
    </row>
    <row r="58" spans="1:74">
      <c r="A58" s="1"/>
      <c r="B58" s="1" t="s">
        <v>121</v>
      </c>
      <c r="C58" s="1" t="s">
        <v>119</v>
      </c>
      <c r="D58" s="1" t="s">
        <v>98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>
        <v>10</v>
      </c>
      <c r="Q58" s="28"/>
      <c r="R58" s="28"/>
      <c r="S58" s="28">
        <v>10</v>
      </c>
      <c r="T58" s="28"/>
      <c r="U58" s="28"/>
      <c r="V58" s="28"/>
      <c r="W58" s="28">
        <v>5</v>
      </c>
      <c r="X58" s="28"/>
      <c r="Y58" s="28"/>
      <c r="Z58" s="28"/>
      <c r="AA58" s="28"/>
      <c r="AB58" s="28">
        <v>10</v>
      </c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35</v>
      </c>
      <c r="BR58" s="1">
        <v>0</v>
      </c>
      <c r="BS58" s="17">
        <v>0</v>
      </c>
      <c r="BT58" s="17"/>
      <c r="BU58">
        <f>SUM(P58:AD58)</f>
        <v>35</v>
      </c>
      <c r="BV58" s="23">
        <f>AF58+AH58+AI58+AJ58+AO58+AP58</f>
        <v>0</v>
      </c>
    </row>
    <row r="59" spans="1:74">
      <c r="A59" s="1"/>
      <c r="B59" s="1" t="s">
        <v>126</v>
      </c>
      <c r="C59" s="1" t="s">
        <v>125</v>
      </c>
      <c r="D59" s="1" t="s">
        <v>98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>
        <v>10</v>
      </c>
      <c r="Q59" s="28"/>
      <c r="R59" s="28"/>
      <c r="S59" s="28">
        <v>10</v>
      </c>
      <c r="T59" s="28"/>
      <c r="U59" s="28"/>
      <c r="V59" s="28"/>
      <c r="W59" s="28">
        <v>5</v>
      </c>
      <c r="X59" s="28"/>
      <c r="Y59" s="28"/>
      <c r="Z59" s="28"/>
      <c r="AA59" s="28"/>
      <c r="AB59" s="28">
        <v>10</v>
      </c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35</v>
      </c>
      <c r="BR59" s="1">
        <v>0</v>
      </c>
      <c r="BS59" s="17">
        <v>0</v>
      </c>
      <c r="BT59" s="17"/>
      <c r="BU59">
        <f>SUM(P59:AD59)</f>
        <v>35</v>
      </c>
      <c r="BV59" s="23">
        <f>AF59+AH59+AI59+AJ59+AO59+AP59</f>
        <v>0</v>
      </c>
    </row>
    <row r="60" spans="1:74">
      <c r="A60" s="1"/>
      <c r="B60" s="3" t="s">
        <v>193</v>
      </c>
      <c r="C60" s="3" t="s">
        <v>24</v>
      </c>
      <c r="D60" s="1" t="s">
        <v>190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>
        <v>10</v>
      </c>
      <c r="Q60" s="28"/>
      <c r="R60" s="28"/>
      <c r="S60" s="28">
        <v>10</v>
      </c>
      <c r="T60" s="28"/>
      <c r="U60" s="28"/>
      <c r="V60" s="28"/>
      <c r="W60" s="28">
        <v>5</v>
      </c>
      <c r="X60" s="28"/>
      <c r="Y60" s="28"/>
      <c r="Z60" s="28"/>
      <c r="AA60" s="28"/>
      <c r="AB60" s="28">
        <v>10</v>
      </c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35</v>
      </c>
      <c r="BR60" s="1">
        <v>0</v>
      </c>
      <c r="BS60" s="17">
        <v>0</v>
      </c>
      <c r="BT60" s="17"/>
      <c r="BU60">
        <f>SUM(P60:AD60)</f>
        <v>35</v>
      </c>
      <c r="BV60" s="23">
        <f>AF60+AH60+AI60+AJ60+AO60+AP60</f>
        <v>0</v>
      </c>
    </row>
    <row r="61" spans="1:74">
      <c r="A61" s="1"/>
      <c r="B61" s="3" t="s">
        <v>195</v>
      </c>
      <c r="C61" s="3" t="s">
        <v>196</v>
      </c>
      <c r="D61" s="1" t="s">
        <v>190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>
        <v>10</v>
      </c>
      <c r="Q61" s="28"/>
      <c r="R61" s="28"/>
      <c r="S61" s="28">
        <v>10</v>
      </c>
      <c r="T61" s="28"/>
      <c r="U61" s="28"/>
      <c r="V61" s="28"/>
      <c r="W61" s="28">
        <v>5</v>
      </c>
      <c r="X61" s="28"/>
      <c r="Y61" s="28"/>
      <c r="Z61" s="28"/>
      <c r="AA61" s="28"/>
      <c r="AB61" s="28">
        <v>10</v>
      </c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35</v>
      </c>
      <c r="BR61" s="1">
        <v>0</v>
      </c>
      <c r="BS61" s="17">
        <v>0</v>
      </c>
      <c r="BT61" s="17"/>
      <c r="BU61">
        <f>SUM(P61:AD61)</f>
        <v>35</v>
      </c>
      <c r="BV61" s="23">
        <f>AF61+AH61+AI61+AJ61+AO61+AP61</f>
        <v>0</v>
      </c>
    </row>
    <row r="62" spans="1:74">
      <c r="A62" s="1"/>
      <c r="B62" s="3" t="s">
        <v>197</v>
      </c>
      <c r="C62" s="3" t="s">
        <v>196</v>
      </c>
      <c r="D62" s="1" t="s">
        <v>190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>
        <v>10</v>
      </c>
      <c r="Q62" s="28"/>
      <c r="R62" s="28"/>
      <c r="S62" s="28">
        <v>10</v>
      </c>
      <c r="T62" s="28"/>
      <c r="U62" s="28"/>
      <c r="V62" s="28"/>
      <c r="W62" s="28">
        <v>5</v>
      </c>
      <c r="X62" s="28"/>
      <c r="Y62" s="28"/>
      <c r="Z62" s="28"/>
      <c r="AA62" s="28"/>
      <c r="AB62" s="28">
        <v>10</v>
      </c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35</v>
      </c>
      <c r="BR62" s="1">
        <v>0</v>
      </c>
      <c r="BS62" s="17">
        <v>0</v>
      </c>
      <c r="BT62" s="17"/>
      <c r="BU62">
        <f>SUM(P62:AD62)</f>
        <v>35</v>
      </c>
      <c r="BV62" s="23">
        <f>AF62+AH62+AI62+AJ62+AO62+AP62</f>
        <v>0</v>
      </c>
    </row>
    <row r="63" spans="1:74">
      <c r="A63" s="1"/>
      <c r="B63" s="3" t="s">
        <v>199</v>
      </c>
      <c r="C63" s="3" t="s">
        <v>96</v>
      </c>
      <c r="D63" s="1" t="s">
        <v>190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>
        <v>10</v>
      </c>
      <c r="Q63" s="28"/>
      <c r="R63" s="28"/>
      <c r="S63" s="28">
        <v>10</v>
      </c>
      <c r="T63" s="28"/>
      <c r="U63" s="28"/>
      <c r="V63" s="28"/>
      <c r="W63" s="28">
        <v>5</v>
      </c>
      <c r="X63" s="28"/>
      <c r="Y63" s="28"/>
      <c r="Z63" s="28"/>
      <c r="AA63" s="28"/>
      <c r="AB63" s="28">
        <v>10</v>
      </c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35</v>
      </c>
      <c r="BR63" s="1">
        <v>0</v>
      </c>
      <c r="BS63" s="17">
        <v>0</v>
      </c>
      <c r="BT63" s="17"/>
      <c r="BU63">
        <f>SUM(P63:AD63)</f>
        <v>35</v>
      </c>
      <c r="BV63" s="23">
        <f>AF63+AH63+AI63+AJ63+AO63+AP63</f>
        <v>0</v>
      </c>
    </row>
    <row r="64" spans="1:74">
      <c r="A64" s="1"/>
      <c r="B64" s="3" t="s">
        <v>201</v>
      </c>
      <c r="C64" s="3" t="s">
        <v>96</v>
      </c>
      <c r="D64" s="1" t="s">
        <v>190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>
        <v>10</v>
      </c>
      <c r="Q64" s="28"/>
      <c r="R64" s="28"/>
      <c r="S64" s="28">
        <v>10</v>
      </c>
      <c r="T64" s="28"/>
      <c r="U64" s="28"/>
      <c r="V64" s="28"/>
      <c r="W64" s="28">
        <v>5</v>
      </c>
      <c r="X64" s="28"/>
      <c r="Y64" s="28"/>
      <c r="Z64" s="28"/>
      <c r="AA64" s="28"/>
      <c r="AB64" s="28">
        <v>10</v>
      </c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35</v>
      </c>
      <c r="BR64" s="1">
        <v>0</v>
      </c>
      <c r="BS64" s="17">
        <v>0</v>
      </c>
      <c r="BT64" s="17"/>
      <c r="BU64">
        <f>SUM(P64:AD64)</f>
        <v>35</v>
      </c>
      <c r="BV64" s="23">
        <f>AF64+AH64+AI64+AJ64+AO64+AP64</f>
        <v>0</v>
      </c>
    </row>
    <row r="65" spans="1:74">
      <c r="A65" s="1"/>
      <c r="B65" s="3" t="s">
        <v>189</v>
      </c>
      <c r="C65" s="3" t="s">
        <v>50</v>
      </c>
      <c r="D65" s="1" t="s">
        <v>190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>
        <v>5</v>
      </c>
      <c r="X65" s="28"/>
      <c r="Y65" s="28"/>
      <c r="Z65" s="28"/>
      <c r="AA65" s="28"/>
      <c r="AB65" s="28"/>
      <c r="AC65" s="28">
        <v>5</v>
      </c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20</v>
      </c>
      <c r="BR65" s="1">
        <v>0</v>
      </c>
      <c r="BS65" s="17">
        <v>0</v>
      </c>
      <c r="BT65" s="17"/>
      <c r="BU65">
        <f>SUM(P65:AD65)</f>
        <v>20</v>
      </c>
      <c r="BV65" s="23">
        <f>AF65+AH65+AI65+AJ65+AO65+AP65</f>
        <v>0</v>
      </c>
    </row>
    <row r="66" spans="1:74">
      <c r="A66" s="1"/>
      <c r="B66" s="1" t="s">
        <v>231</v>
      </c>
      <c r="C66" s="1" t="s">
        <v>116</v>
      </c>
      <c r="D66" s="1" t="s">
        <v>228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>
        <v>10</v>
      </c>
      <c r="Q66" s="28"/>
      <c r="R66" s="28"/>
      <c r="S66" s="28">
        <v>10</v>
      </c>
      <c r="T66" s="28"/>
      <c r="U66" s="28"/>
      <c r="V66" s="28"/>
      <c r="W66" s="28">
        <v>5</v>
      </c>
      <c r="X66" s="28"/>
      <c r="Y66" s="28"/>
      <c r="Z66" s="28"/>
      <c r="AA66" s="28"/>
      <c r="AB66" s="28">
        <v>10</v>
      </c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35</v>
      </c>
      <c r="BR66" s="1">
        <v>0</v>
      </c>
      <c r="BS66" s="17">
        <v>0</v>
      </c>
      <c r="BT66" s="17"/>
      <c r="BU66">
        <f>SUM(P66:AD66)</f>
        <v>35</v>
      </c>
      <c r="BV66" s="23">
        <f>AF66+AH66+AI66+AJ66+AO66+AP66</f>
        <v>0</v>
      </c>
    </row>
    <row r="67" spans="1:74" s="49" customFormat="1">
      <c r="A67" s="1"/>
      <c r="B67" s="1" t="s">
        <v>234</v>
      </c>
      <c r="C67" s="1" t="s">
        <v>50</v>
      </c>
      <c r="D67" s="1" t="s">
        <v>228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>
        <v>10</v>
      </c>
      <c r="Q67" s="28"/>
      <c r="R67" s="28"/>
      <c r="S67" s="28">
        <v>10</v>
      </c>
      <c r="T67" s="28"/>
      <c r="U67" s="28"/>
      <c r="V67" s="28"/>
      <c r="W67" s="28">
        <v>5</v>
      </c>
      <c r="X67" s="28"/>
      <c r="Y67" s="28"/>
      <c r="Z67" s="28"/>
      <c r="AA67" s="28"/>
      <c r="AB67" s="28">
        <v>10</v>
      </c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35</v>
      </c>
      <c r="BR67" s="1">
        <v>0</v>
      </c>
      <c r="BS67" s="17">
        <v>0</v>
      </c>
      <c r="BT67" s="17"/>
      <c r="BU67">
        <f>SUM(P67:AD67)</f>
        <v>35</v>
      </c>
      <c r="BV67" s="23">
        <f>AF67+AH67+AI67+AJ67+AO67+AP67</f>
        <v>0</v>
      </c>
    </row>
    <row r="68" spans="1:74">
      <c r="A68" s="1"/>
      <c r="B68" s="1" t="s">
        <v>235</v>
      </c>
      <c r="C68" s="1" t="s">
        <v>50</v>
      </c>
      <c r="D68" s="1" t="s">
        <v>228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>
        <v>10</v>
      </c>
      <c r="Q68" s="28"/>
      <c r="R68" s="28"/>
      <c r="S68" s="28">
        <v>10</v>
      </c>
      <c r="T68" s="28"/>
      <c r="U68" s="28"/>
      <c r="V68" s="28"/>
      <c r="W68" s="28">
        <v>5</v>
      </c>
      <c r="X68" s="28"/>
      <c r="Y68" s="28"/>
      <c r="Z68" s="28"/>
      <c r="AA68" s="28"/>
      <c r="AB68" s="28">
        <v>10</v>
      </c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35</v>
      </c>
      <c r="BR68" s="1">
        <v>0</v>
      </c>
      <c r="BS68" s="17">
        <v>0</v>
      </c>
      <c r="BT68" s="17"/>
      <c r="BU68">
        <f>SUM(P68:AD68)</f>
        <v>35</v>
      </c>
      <c r="BV68" s="23">
        <f>AF68+AH68+AI68+AJ68+AO68+AP68</f>
        <v>0</v>
      </c>
    </row>
    <row r="69" spans="1:74">
      <c r="A69" s="1"/>
      <c r="B69" s="1" t="s">
        <v>236</v>
      </c>
      <c r="C69" s="1" t="s">
        <v>52</v>
      </c>
      <c r="D69" s="1" t="s">
        <v>228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>
        <v>5</v>
      </c>
      <c r="U69" s="28"/>
      <c r="V69" s="28"/>
      <c r="W69" s="28">
        <v>5</v>
      </c>
      <c r="X69" s="28"/>
      <c r="Y69" s="28"/>
      <c r="Z69" s="28">
        <v>5</v>
      </c>
      <c r="AA69" s="28"/>
      <c r="AB69" s="28"/>
      <c r="AC69" s="28">
        <v>5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20</v>
      </c>
      <c r="BR69" s="1">
        <v>0</v>
      </c>
      <c r="BS69" s="17">
        <v>0</v>
      </c>
      <c r="BT69" s="17"/>
      <c r="BU69">
        <f>SUM(P69:AD69)</f>
        <v>20</v>
      </c>
      <c r="BV69" s="23">
        <f>AF69+AH69+AI69+AJ69+AO69+AP69</f>
        <v>0</v>
      </c>
    </row>
    <row r="70" spans="1:74">
      <c r="A70" s="1"/>
      <c r="B70" s="1" t="s">
        <v>237</v>
      </c>
      <c r="C70" s="1" t="s">
        <v>52</v>
      </c>
      <c r="D70" s="1" t="s">
        <v>228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>
        <v>5</v>
      </c>
      <c r="X70" s="28"/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20</v>
      </c>
      <c r="BR70" s="1">
        <v>0</v>
      </c>
      <c r="BS70" s="17">
        <v>0</v>
      </c>
      <c r="BT70" s="17"/>
      <c r="BU70">
        <f>SUM(P70:AD70)</f>
        <v>20</v>
      </c>
      <c r="BV70" s="23">
        <f>AF70+AH70+AI70+AJ70+AO70+AP70</f>
        <v>0</v>
      </c>
    </row>
    <row r="71" spans="1:74">
      <c r="A71" s="1"/>
      <c r="B71" s="1" t="s">
        <v>242</v>
      </c>
      <c r="C71" s="1" t="s">
        <v>36</v>
      </c>
      <c r="D71" s="1" t="s">
        <v>239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/>
      <c r="U71" s="28"/>
      <c r="V71" s="28"/>
      <c r="W71" s="28">
        <v>5</v>
      </c>
      <c r="X71" s="28"/>
      <c r="Y71" s="28"/>
      <c r="Z71" s="28">
        <v>5</v>
      </c>
      <c r="AA71" s="28"/>
      <c r="AB71" s="28"/>
      <c r="AC71" s="28">
        <v>5</v>
      </c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20</v>
      </c>
      <c r="BR71" s="1">
        <v>0</v>
      </c>
      <c r="BS71" s="17">
        <v>0</v>
      </c>
      <c r="BT71" s="17"/>
      <c r="BU71">
        <f>SUM(P71:AD71)</f>
        <v>20</v>
      </c>
      <c r="BV71" s="23">
        <f>AF71+AH71+AI71+AJ71+AO71+AP71</f>
        <v>0</v>
      </c>
    </row>
    <row r="72" spans="1:74">
      <c r="A72" s="50"/>
      <c r="B72" s="50" t="s">
        <v>187</v>
      </c>
      <c r="C72" s="50" t="s">
        <v>125</v>
      </c>
      <c r="D72" s="50" t="s">
        <v>99</v>
      </c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2"/>
      <c r="Q72" s="52"/>
      <c r="R72" s="52"/>
      <c r="S72" s="52"/>
      <c r="T72" s="52"/>
      <c r="U72" s="52">
        <v>2</v>
      </c>
      <c r="V72" s="52"/>
      <c r="W72" s="52"/>
      <c r="X72" s="52"/>
      <c r="Y72" s="52"/>
      <c r="Z72" s="52"/>
      <c r="AA72" s="52">
        <v>2</v>
      </c>
      <c r="AB72" s="52"/>
      <c r="AC72" s="52">
        <v>5</v>
      </c>
      <c r="AD72" s="52">
        <v>2</v>
      </c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3"/>
      <c r="AR72" s="53"/>
      <c r="AS72" s="53"/>
      <c r="AT72" s="53"/>
      <c r="AU72" s="53"/>
      <c r="AV72" s="53"/>
      <c r="AW72" s="54"/>
      <c r="AX72" s="54"/>
      <c r="AY72" s="54"/>
      <c r="AZ72" s="54"/>
      <c r="BA72" s="54"/>
      <c r="BB72" s="54"/>
      <c r="BC72" s="55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>
        <f>SUM(E72:BP72)</f>
        <v>11</v>
      </c>
      <c r="BR72" s="50">
        <v>0</v>
      </c>
      <c r="BS72" s="56">
        <v>0</v>
      </c>
      <c r="BT72" s="56"/>
      <c r="BU72">
        <f>SUM(P72:AD72)</f>
        <v>11</v>
      </c>
      <c r="BV72" s="23">
        <f>AF72+AH72+AI72+AJ72+AO72+AP72</f>
        <v>0</v>
      </c>
    </row>
    <row r="73" spans="1:74">
      <c r="A73" s="1"/>
      <c r="B73" s="1" t="s">
        <v>109</v>
      </c>
      <c r="C73" s="1" t="s">
        <v>97</v>
      </c>
      <c r="D73" s="1" t="s">
        <v>99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>
        <v>2</v>
      </c>
      <c r="S73" s="28"/>
      <c r="T73" s="28">
        <v>5</v>
      </c>
      <c r="U73" s="28"/>
      <c r="V73" s="28"/>
      <c r="W73" s="28"/>
      <c r="X73" s="28"/>
      <c r="Y73" s="28"/>
      <c r="Z73" s="28">
        <v>5</v>
      </c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17</v>
      </c>
      <c r="BR73" s="1">
        <v>0</v>
      </c>
      <c r="BS73" s="17">
        <v>0</v>
      </c>
      <c r="BT73" s="17"/>
      <c r="BU73">
        <f>SUM(P73:AD73)</f>
        <v>17</v>
      </c>
      <c r="BV73" s="23">
        <f>AF73+AH73+AI73+AJ73+AO73+AP73</f>
        <v>0</v>
      </c>
    </row>
    <row r="74" spans="1:74">
      <c r="A74" s="1"/>
      <c r="B74" s="1" t="s">
        <v>114</v>
      </c>
      <c r="C74" s="1" t="s">
        <v>97</v>
      </c>
      <c r="D74" s="1" t="s">
        <v>99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>
        <v>2</v>
      </c>
      <c r="S74" s="28"/>
      <c r="T74" s="28">
        <v>5</v>
      </c>
      <c r="U74" s="28"/>
      <c r="V74" s="28"/>
      <c r="W74" s="28"/>
      <c r="X74" s="28"/>
      <c r="Y74" s="28"/>
      <c r="Z74" s="28">
        <v>5</v>
      </c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17</v>
      </c>
      <c r="BR74" s="1">
        <v>0</v>
      </c>
      <c r="BS74" s="17">
        <v>0</v>
      </c>
      <c r="BT74" s="17"/>
      <c r="BU74">
        <f>SUM(P74:AD74)</f>
        <v>17</v>
      </c>
      <c r="BV74" s="23">
        <f>AF74+AH74+AI74+AJ74+AO74+AP74</f>
        <v>0</v>
      </c>
    </row>
    <row r="75" spans="1:74">
      <c r="A75" s="1"/>
      <c r="B75" s="1" t="s">
        <v>121</v>
      </c>
      <c r="C75" s="1" t="s">
        <v>119</v>
      </c>
      <c r="D75" s="1" t="s">
        <v>99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>
        <v>2</v>
      </c>
      <c r="S75" s="28"/>
      <c r="T75" s="28">
        <v>5</v>
      </c>
      <c r="U75" s="28"/>
      <c r="V75" s="28"/>
      <c r="W75" s="28"/>
      <c r="X75" s="28"/>
      <c r="Y75" s="28"/>
      <c r="Z75" s="28">
        <v>5</v>
      </c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17</v>
      </c>
      <c r="BR75" s="1">
        <v>0</v>
      </c>
      <c r="BS75" s="17">
        <v>0</v>
      </c>
      <c r="BT75" s="17"/>
      <c r="BU75">
        <f>SUM(P75:AD75)</f>
        <v>17</v>
      </c>
      <c r="BV75" s="23">
        <f>AF75+AH75+AI75+AJ75+AO75+AP75</f>
        <v>0</v>
      </c>
    </row>
    <row r="76" spans="1:74">
      <c r="A76" s="1"/>
      <c r="B76" s="3" t="s">
        <v>201</v>
      </c>
      <c r="C76" s="3" t="s">
        <v>96</v>
      </c>
      <c r="D76" s="1" t="s"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>
        <v>2</v>
      </c>
      <c r="S76" s="28"/>
      <c r="T76" s="28">
        <v>5</v>
      </c>
      <c r="U76" s="28"/>
      <c r="V76" s="28"/>
      <c r="W76" s="28"/>
      <c r="X76" s="28"/>
      <c r="Y76" s="28"/>
      <c r="Z76" s="28">
        <v>5</v>
      </c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17</v>
      </c>
      <c r="BR76" s="1">
        <v>0</v>
      </c>
      <c r="BS76" s="17">
        <v>0</v>
      </c>
      <c r="BT76" s="17"/>
      <c r="BU76">
        <f>SUM(P76:AD76)</f>
        <v>17</v>
      </c>
      <c r="BV76" s="23">
        <f>AF76+AH76+AI76+AJ76+AO76+AP76</f>
        <v>0</v>
      </c>
    </row>
    <row r="77" spans="1:74">
      <c r="A77" s="1"/>
      <c r="B77" s="1" t="s">
        <v>235</v>
      </c>
      <c r="C77" s="1" t="s">
        <v>50</v>
      </c>
      <c r="D77" s="1" t="s">
        <v>229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>
        <v>2</v>
      </c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17</v>
      </c>
      <c r="BR77" s="1">
        <v>0</v>
      </c>
      <c r="BS77" s="17">
        <v>0</v>
      </c>
      <c r="BT77" s="17"/>
      <c r="BU77">
        <f>SUM(P77:AD77)</f>
        <v>17</v>
      </c>
      <c r="BV77" s="23">
        <f>AF77+AH77+AI77+AJ77+AO77+AP77</f>
        <v>0</v>
      </c>
    </row>
    <row r="78" spans="1:74">
      <c r="A78" s="1"/>
      <c r="B78" s="3" t="s">
        <v>245</v>
      </c>
      <c r="C78" s="3" t="s">
        <v>194</v>
      </c>
      <c r="D78" s="1" t="s">
        <v>0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>
        <v>2</v>
      </c>
      <c r="Y78" s="28"/>
      <c r="Z78" s="28"/>
      <c r="AA78" s="28">
        <v>2</v>
      </c>
      <c r="AB78" s="28"/>
      <c r="AC78" s="28">
        <v>5</v>
      </c>
      <c r="AD78" s="28">
        <v>2</v>
      </c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11</v>
      </c>
      <c r="BR78" s="1">
        <v>0</v>
      </c>
      <c r="BS78" s="17">
        <v>0</v>
      </c>
      <c r="BT78" s="17"/>
      <c r="BU78">
        <f>SUM(P78:AD78)</f>
        <v>11</v>
      </c>
      <c r="BV78" s="23">
        <f>AF78+AH78+AI78+AJ78+AO78+AP78</f>
        <v>0</v>
      </c>
    </row>
    <row r="79" spans="1:74">
      <c r="A79" s="1"/>
      <c r="B79" s="1" t="s">
        <v>244</v>
      </c>
      <c r="C79" s="1" t="s">
        <v>123</v>
      </c>
      <c r="D79" s="1" t="s">
        <v>99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>
        <v>2</v>
      </c>
      <c r="Y79" s="28"/>
      <c r="Z79" s="28">
        <v>5</v>
      </c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17</v>
      </c>
      <c r="BR79" s="1">
        <v>0</v>
      </c>
      <c r="BS79" s="17">
        <v>0</v>
      </c>
      <c r="BT79" s="17"/>
      <c r="BU79">
        <f>SUM(P79:AD79)</f>
        <v>17</v>
      </c>
      <c r="BV79" s="23">
        <f>AF79+AH79+AI79+AJ79+AO79+AP79</f>
        <v>0</v>
      </c>
    </row>
    <row r="80" spans="1:74">
      <c r="A80" s="1"/>
      <c r="B80" s="3" t="s">
        <v>193</v>
      </c>
      <c r="C80" s="3" t="s">
        <v>24</v>
      </c>
      <c r="D80" s="1" t="s">
        <v>0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/>
      <c r="X80" s="28">
        <v>2</v>
      </c>
      <c r="Y80" s="28"/>
      <c r="Z80" s="28">
        <v>5</v>
      </c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17</v>
      </c>
      <c r="BR80" s="1">
        <v>0</v>
      </c>
      <c r="BS80" s="17">
        <v>0</v>
      </c>
      <c r="BT80" s="17"/>
      <c r="BU80">
        <f>SUM(P80:AD80)</f>
        <v>17</v>
      </c>
      <c r="BV80" s="23">
        <f>AF80+AH80+AI80+AJ80+AO80+AP80</f>
        <v>0</v>
      </c>
    </row>
    <row r="81" spans="1:74" s="57" customFormat="1">
      <c r="A81" s="1"/>
      <c r="B81" s="3" t="s">
        <v>197</v>
      </c>
      <c r="C81" s="3" t="s">
        <v>196</v>
      </c>
      <c r="D81" s="1" t="s">
        <v>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>
        <v>5</v>
      </c>
      <c r="U81" s="28"/>
      <c r="V81" s="28"/>
      <c r="W81" s="28"/>
      <c r="X81" s="28">
        <v>2</v>
      </c>
      <c r="Y81" s="28"/>
      <c r="Z81" s="28">
        <v>5</v>
      </c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17</v>
      </c>
      <c r="BR81" s="1">
        <v>0</v>
      </c>
      <c r="BS81" s="17">
        <v>0</v>
      </c>
      <c r="BT81" s="17"/>
      <c r="BU81">
        <f>SUM(P81:AD81)</f>
        <v>17</v>
      </c>
      <c r="BV81" s="23">
        <f>AF81+AH81+AI81+AJ81+AO81+AP81</f>
        <v>0</v>
      </c>
    </row>
    <row r="82" spans="1:74">
      <c r="A82" s="1"/>
      <c r="B82" s="3" t="s">
        <v>199</v>
      </c>
      <c r="C82" s="3" t="s">
        <v>96</v>
      </c>
      <c r="D82" s="1" t="s">
        <v>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>
        <v>5</v>
      </c>
      <c r="R82" s="28"/>
      <c r="S82" s="28"/>
      <c r="T82" s="28">
        <v>5</v>
      </c>
      <c r="U82" s="28"/>
      <c r="V82" s="28"/>
      <c r="W82" s="28"/>
      <c r="X82" s="28">
        <v>2</v>
      </c>
      <c r="Y82" s="28"/>
      <c r="Z82" s="28">
        <v>5</v>
      </c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17</v>
      </c>
      <c r="BR82" s="1">
        <v>0</v>
      </c>
      <c r="BS82" s="17">
        <v>0</v>
      </c>
      <c r="BT82" s="17"/>
      <c r="BU82">
        <f>SUM(P82:AD82)</f>
        <v>17</v>
      </c>
      <c r="BV82" s="23">
        <f>AF82+AH82+AI82+AJ82+AO82+AP82</f>
        <v>0</v>
      </c>
    </row>
    <row r="83" spans="1:74">
      <c r="A83" s="1"/>
      <c r="B83" s="1" t="s">
        <v>236</v>
      </c>
      <c r="C83" s="1" t="s">
        <v>52</v>
      </c>
      <c r="D83" s="1" t="s">
        <v>229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>
        <v>5</v>
      </c>
      <c r="R83" s="28"/>
      <c r="S83" s="28"/>
      <c r="T83" s="28"/>
      <c r="U83" s="28"/>
      <c r="V83" s="28"/>
      <c r="W83" s="28"/>
      <c r="X83" s="28">
        <v>2</v>
      </c>
      <c r="Y83" s="28"/>
      <c r="Z83" s="28"/>
      <c r="AA83" s="28">
        <v>2</v>
      </c>
      <c r="AB83" s="28"/>
      <c r="AC83" s="28"/>
      <c r="AD83" s="28">
        <v>2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11</v>
      </c>
      <c r="BR83" s="1">
        <v>0</v>
      </c>
      <c r="BS83" s="17">
        <v>0</v>
      </c>
      <c r="BT83" s="17"/>
      <c r="BU83">
        <f>SUM(P83:AD83)</f>
        <v>11</v>
      </c>
      <c r="BV83" s="23">
        <f>AF83+AH83+AI83+AJ83+AO83+AP83</f>
        <v>0</v>
      </c>
    </row>
    <row r="84" spans="1:74">
      <c r="A84" s="1"/>
      <c r="B84" s="1" t="s">
        <v>237</v>
      </c>
      <c r="C84" s="1" t="s">
        <v>52</v>
      </c>
      <c r="D84" s="1" t="s">
        <v>229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>
        <v>2</v>
      </c>
      <c r="Y84" s="28"/>
      <c r="Z84" s="28"/>
      <c r="AA84" s="28">
        <v>2</v>
      </c>
      <c r="AB84" s="28"/>
      <c r="AC84" s="28">
        <v>5</v>
      </c>
      <c r="AD84" s="28">
        <v>2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11</v>
      </c>
      <c r="BR84" s="1">
        <v>0</v>
      </c>
      <c r="BS84" s="17">
        <v>0</v>
      </c>
      <c r="BT84" s="17"/>
      <c r="BU84">
        <f>SUM(P84:AD84)</f>
        <v>11</v>
      </c>
      <c r="BV84" s="23">
        <f>AF84+AH84+AI84+AJ84+AO84+AP84</f>
        <v>0</v>
      </c>
    </row>
    <row r="85" spans="1:74">
      <c r="A85" s="1"/>
      <c r="B85" s="1" t="s">
        <v>246</v>
      </c>
      <c r="C85" s="1" t="s">
        <v>52</v>
      </c>
      <c r="D85" s="1" t="s">
        <v>240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>
        <v>2</v>
      </c>
      <c r="Y85" s="28"/>
      <c r="Z85" s="28"/>
      <c r="AA85" s="28">
        <v>2</v>
      </c>
      <c r="AB85" s="28"/>
      <c r="AC85" s="28">
        <v>5</v>
      </c>
      <c r="AD85" s="28">
        <v>2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11</v>
      </c>
      <c r="BR85" s="1">
        <v>0</v>
      </c>
      <c r="BS85" s="17">
        <v>0</v>
      </c>
      <c r="BT85" s="17"/>
      <c r="BU85">
        <f>SUM(P85:AD85)</f>
        <v>11</v>
      </c>
      <c r="BV85" s="23">
        <f>AF85+AH85+AI85+AJ85+AO85+AP85</f>
        <v>0</v>
      </c>
    </row>
    <row r="86" spans="1:74">
      <c r="A86" s="1"/>
      <c r="B86" s="3" t="s">
        <v>189</v>
      </c>
      <c r="C86" s="3" t="s">
        <v>50</v>
      </c>
      <c r="D86" s="1" t="s">
        <v>191</v>
      </c>
      <c r="E86" s="6"/>
      <c r="F86" s="6"/>
      <c r="G86" s="6"/>
      <c r="H86" s="6"/>
      <c r="I86" s="6"/>
      <c r="J86" s="6"/>
      <c r="K86" s="6"/>
      <c r="L86" s="6"/>
      <c r="M86" s="6">
        <v>10</v>
      </c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>
        <v>10</v>
      </c>
      <c r="AB86" s="28"/>
      <c r="AC86" s="28"/>
      <c r="AD86" s="28">
        <v>10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>
        <v>10</v>
      </c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40</v>
      </c>
      <c r="BR86" s="1">
        <v>0</v>
      </c>
      <c r="BS86" s="17">
        <v>0</v>
      </c>
      <c r="BT86" s="17"/>
      <c r="BU86">
        <f>SUM(P86:AD86)</f>
        <v>20</v>
      </c>
      <c r="BV86" s="23">
        <f>AF86+AH86+AI86+AJ86+AO86+AP86</f>
        <v>0</v>
      </c>
    </row>
    <row r="87" spans="1:74">
      <c r="A87" s="1"/>
      <c r="B87" s="3" t="s">
        <v>193</v>
      </c>
      <c r="C87" s="3" t="s">
        <v>24</v>
      </c>
      <c r="D87" s="1" t="s">
        <v>191</v>
      </c>
      <c r="E87" s="6"/>
      <c r="F87" s="6"/>
      <c r="G87" s="6"/>
      <c r="H87" s="6"/>
      <c r="I87" s="6"/>
      <c r="J87" s="6"/>
      <c r="K87" s="6"/>
      <c r="L87" s="6"/>
      <c r="M87" s="6">
        <v>10</v>
      </c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>
        <v>10</v>
      </c>
      <c r="AB87" s="28"/>
      <c r="AC87" s="28"/>
      <c r="AD87" s="28">
        <v>10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>
        <v>10</v>
      </c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40</v>
      </c>
      <c r="BR87" s="1">
        <v>0</v>
      </c>
      <c r="BS87" s="17">
        <v>0</v>
      </c>
      <c r="BT87" s="17"/>
      <c r="BU87">
        <f>SUM(P87:AD87)</f>
        <v>20</v>
      </c>
      <c r="BV87" s="23">
        <f>AF87+AH87+AI87+AJ87+AO87+AP87</f>
        <v>0</v>
      </c>
    </row>
    <row r="88" spans="1:74">
      <c r="A88" s="1"/>
      <c r="B88" s="3" t="s">
        <v>197</v>
      </c>
      <c r="C88" s="3" t="s">
        <v>196</v>
      </c>
      <c r="D88" s="1" t="s">
        <v>191</v>
      </c>
      <c r="E88" s="6"/>
      <c r="F88" s="6"/>
      <c r="G88" s="6"/>
      <c r="H88" s="6"/>
      <c r="I88" s="6"/>
      <c r="J88" s="6"/>
      <c r="K88" s="6"/>
      <c r="L88" s="6"/>
      <c r="M88" s="6">
        <v>10</v>
      </c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>
        <v>10</v>
      </c>
      <c r="AB88" s="28"/>
      <c r="AC88" s="28"/>
      <c r="AD88" s="28">
        <v>10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>
        <v>10</v>
      </c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40</v>
      </c>
      <c r="BR88" s="1">
        <v>0</v>
      </c>
      <c r="BS88" s="17">
        <v>0</v>
      </c>
      <c r="BT88" s="17"/>
      <c r="BU88">
        <f>SUM(P88:AD88)</f>
        <v>20</v>
      </c>
      <c r="BV88" s="23">
        <f>AF88+AH88+AI88+AJ88+AO88+AP88</f>
        <v>0</v>
      </c>
    </row>
    <row r="89" spans="1:74">
      <c r="A89" s="1"/>
      <c r="B89" s="3" t="s">
        <v>199</v>
      </c>
      <c r="C89" s="3" t="s">
        <v>96</v>
      </c>
      <c r="D89" s="1" t="s">
        <v>191</v>
      </c>
      <c r="E89" s="6"/>
      <c r="F89" s="6"/>
      <c r="G89" s="6"/>
      <c r="H89" s="6"/>
      <c r="I89" s="6"/>
      <c r="J89" s="6"/>
      <c r="K89" s="6"/>
      <c r="L89" s="6"/>
      <c r="M89" s="6">
        <v>10</v>
      </c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>
        <v>10</v>
      </c>
      <c r="AB89" s="28"/>
      <c r="AC89" s="28"/>
      <c r="AD89" s="28">
        <v>10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>
        <v>10</v>
      </c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40</v>
      </c>
      <c r="BR89" s="1">
        <v>0</v>
      </c>
      <c r="BS89" s="17">
        <v>0</v>
      </c>
      <c r="BT89" s="17"/>
      <c r="BU89">
        <f>SUM(P89:AD89)</f>
        <v>20</v>
      </c>
      <c r="BV89" s="23">
        <f>AF89+AH89+AI89+AJ89+AO89+AP89</f>
        <v>0</v>
      </c>
    </row>
    <row r="90" spans="1:74">
      <c r="A90" s="1"/>
      <c r="B90" s="1" t="s">
        <v>233</v>
      </c>
      <c r="C90" s="1" t="s">
        <v>50</v>
      </c>
      <c r="D90" s="1" t="s">
        <v>229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>
        <v>2</v>
      </c>
      <c r="V90" s="28"/>
      <c r="W90" s="28">
        <v>5</v>
      </c>
      <c r="X90" s="28"/>
      <c r="Y90" s="28"/>
      <c r="Z90" s="28"/>
      <c r="AA90" s="28">
        <v>2</v>
      </c>
      <c r="AB90" s="28"/>
      <c r="AC90" s="28"/>
      <c r="AD90" s="28">
        <v>2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11</v>
      </c>
      <c r="BR90" s="1">
        <v>0</v>
      </c>
      <c r="BS90" s="17">
        <v>0</v>
      </c>
      <c r="BT90" s="17"/>
      <c r="BU90">
        <f>SUM(P90:AD90)</f>
        <v>11</v>
      </c>
      <c r="BV90" s="23">
        <f>AF90+AH90+AI90+AJ90+AO90+AP90</f>
        <v>0</v>
      </c>
    </row>
    <row r="91" spans="1:74">
      <c r="A91" s="1"/>
      <c r="B91" s="1" t="s">
        <v>242</v>
      </c>
      <c r="C91" s="1" t="s">
        <v>36</v>
      </c>
      <c r="D91" s="1" t="s">
        <v>240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>
        <v>2</v>
      </c>
      <c r="S91" s="28"/>
      <c r="T91" s="28">
        <v>5</v>
      </c>
      <c r="U91" s="28"/>
      <c r="V91" s="28"/>
      <c r="W91" s="28"/>
      <c r="X91" s="28">
        <v>2</v>
      </c>
      <c r="Y91" s="28"/>
      <c r="Z91" s="28"/>
      <c r="AA91" s="28"/>
      <c r="AB91" s="28"/>
      <c r="AC91" s="28"/>
      <c r="AD91" s="28">
        <v>2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11</v>
      </c>
      <c r="BR91" s="1">
        <v>0</v>
      </c>
      <c r="BS91" s="17">
        <v>0</v>
      </c>
      <c r="BT91" s="17"/>
      <c r="BU91">
        <f>SUM(P91:AD91)</f>
        <v>11</v>
      </c>
      <c r="BV91" s="23">
        <f>AF91+AH91+AI91+AJ91+AO91+AP91</f>
        <v>0</v>
      </c>
    </row>
    <row r="92" spans="1:74">
      <c r="A92" s="1"/>
      <c r="B92" s="3" t="s">
        <v>198</v>
      </c>
      <c r="C92" s="3" t="s">
        <v>196</v>
      </c>
      <c r="D92" s="1" t="s">
        <v>191</v>
      </c>
      <c r="E92" s="6"/>
      <c r="F92" s="6"/>
      <c r="G92" s="6"/>
      <c r="H92" s="6"/>
      <c r="I92" s="6"/>
      <c r="J92" s="6"/>
      <c r="K92" s="6">
        <v>10</v>
      </c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>
        <v>10</v>
      </c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40</v>
      </c>
      <c r="BR92" s="1">
        <v>0</v>
      </c>
      <c r="BS92" s="17">
        <v>0</v>
      </c>
      <c r="BT92" s="17"/>
      <c r="BU92">
        <f>SUM(P92:AD92)</f>
        <v>20</v>
      </c>
      <c r="BV92" s="23">
        <f>AF92+AH92+AI92+AJ92+AO92+AP92</f>
        <v>0</v>
      </c>
    </row>
    <row r="93" spans="1:74">
      <c r="A93" s="1"/>
      <c r="B93" s="1" t="s">
        <v>122</v>
      </c>
      <c r="C93" s="1" t="s">
        <v>123</v>
      </c>
      <c r="D93" s="1" t="s">
        <v>100</v>
      </c>
      <c r="E93" s="6"/>
      <c r="F93" s="6"/>
      <c r="G93" s="6"/>
      <c r="H93" s="6"/>
      <c r="I93" s="6"/>
      <c r="J93" s="6">
        <v>10</v>
      </c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>
        <v>10</v>
      </c>
      <c r="V93" s="28"/>
      <c r="W93" s="28"/>
      <c r="X93" s="28"/>
      <c r="Y93" s="28"/>
      <c r="Z93" s="28"/>
      <c r="AA93" s="28">
        <v>10</v>
      </c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>
        <v>10</v>
      </c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40</v>
      </c>
      <c r="BR93" s="1">
        <v>0</v>
      </c>
      <c r="BS93" s="17">
        <v>0</v>
      </c>
      <c r="BT93" s="17"/>
      <c r="BU93">
        <f>SUM(P93:AD93)</f>
        <v>20</v>
      </c>
      <c r="BV93" s="23">
        <f>AF93+AH93+AI93+AJ93+AO93+AP93</f>
        <v>0</v>
      </c>
    </row>
    <row r="94" spans="1:74">
      <c r="A94" s="1"/>
      <c r="B94" s="1" t="s">
        <v>129</v>
      </c>
      <c r="C94" s="1" t="s">
        <v>125</v>
      </c>
      <c r="D94" s="1" t="s">
        <v>100</v>
      </c>
      <c r="E94" s="6"/>
      <c r="F94" s="6"/>
      <c r="G94" s="6"/>
      <c r="H94" s="6"/>
      <c r="I94" s="6"/>
      <c r="J94" s="6">
        <v>10</v>
      </c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10</v>
      </c>
      <c r="V94" s="28"/>
      <c r="W94" s="28"/>
      <c r="X94" s="28"/>
      <c r="Y94" s="28"/>
      <c r="Z94" s="28"/>
      <c r="AA94" s="28">
        <v>10</v>
      </c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>
        <v>10</v>
      </c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40</v>
      </c>
      <c r="BR94" s="1">
        <v>0</v>
      </c>
      <c r="BS94" s="17">
        <v>0</v>
      </c>
      <c r="BT94" s="17"/>
      <c r="BU94">
        <f>SUM(P94:AD94)</f>
        <v>20</v>
      </c>
      <c r="BV94" s="23">
        <f>AF94+AH94+AI94+AJ94+AO94+AP94</f>
        <v>0</v>
      </c>
    </row>
    <row r="95" spans="1:74">
      <c r="A95" s="1"/>
      <c r="B95" s="3" t="s">
        <v>192</v>
      </c>
      <c r="C95" s="3" t="s">
        <v>50</v>
      </c>
      <c r="D95" s="1" t="s">
        <v>191</v>
      </c>
      <c r="E95" s="6"/>
      <c r="F95" s="6"/>
      <c r="G95" s="6"/>
      <c r="H95" s="6"/>
      <c r="I95" s="6"/>
      <c r="J95" s="6">
        <v>10</v>
      </c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>
        <v>10</v>
      </c>
      <c r="V95" s="28"/>
      <c r="W95" s="28"/>
      <c r="X95" s="28"/>
      <c r="Y95" s="28"/>
      <c r="Z95" s="28"/>
      <c r="AA95" s="28">
        <v>10</v>
      </c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>
        <v>10</v>
      </c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40</v>
      </c>
      <c r="BR95" s="1">
        <v>0</v>
      </c>
      <c r="BS95" s="17">
        <v>0</v>
      </c>
      <c r="BT95" s="17"/>
      <c r="BU95">
        <f>SUM(P95:AD95)</f>
        <v>20</v>
      </c>
      <c r="BV95" s="23">
        <f>AF95+AH95+AI95+AJ95+AO95+AP95</f>
        <v>0</v>
      </c>
    </row>
    <row r="96" spans="1:74">
      <c r="A96" s="1"/>
      <c r="B96" s="1" t="s">
        <v>232</v>
      </c>
      <c r="C96" s="1" t="s">
        <v>116</v>
      </c>
      <c r="D96" s="1" t="s">
        <v>230</v>
      </c>
      <c r="E96" s="6"/>
      <c r="F96" s="6"/>
      <c r="G96" s="6"/>
      <c r="H96" s="6"/>
      <c r="I96" s="6"/>
      <c r="J96" s="6">
        <v>10</v>
      </c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>
        <v>10</v>
      </c>
      <c r="V96" s="28"/>
      <c r="W96" s="28"/>
      <c r="X96" s="28"/>
      <c r="Y96" s="28"/>
      <c r="Z96" s="28"/>
      <c r="AA96" s="28">
        <v>10</v>
      </c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>
        <v>10</v>
      </c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40</v>
      </c>
      <c r="BR96" s="1">
        <v>0</v>
      </c>
      <c r="BS96" s="17">
        <v>0</v>
      </c>
      <c r="BT96" s="17"/>
      <c r="BU96">
        <f>SUM(P96:AD96)</f>
        <v>20</v>
      </c>
      <c r="BV96" s="23">
        <f>AF96+AH96+AI96+AJ96+AO96+AP96</f>
        <v>0</v>
      </c>
    </row>
    <row r="97" spans="1:74">
      <c r="A97" s="1"/>
      <c r="B97" s="1" t="s">
        <v>242</v>
      </c>
      <c r="C97" s="1" t="s">
        <v>36</v>
      </c>
      <c r="D97" s="1" t="s">
        <v>241</v>
      </c>
      <c r="E97" s="6"/>
      <c r="F97" s="6"/>
      <c r="G97" s="6"/>
      <c r="H97" s="6"/>
      <c r="I97" s="6"/>
      <c r="J97" s="6">
        <v>10</v>
      </c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>
        <v>10</v>
      </c>
      <c r="V97" s="28"/>
      <c r="W97" s="28"/>
      <c r="X97" s="28"/>
      <c r="Y97" s="28"/>
      <c r="Z97" s="28"/>
      <c r="AA97" s="28">
        <v>10</v>
      </c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>
        <v>10</v>
      </c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40</v>
      </c>
      <c r="BR97" s="1">
        <v>0</v>
      </c>
      <c r="BS97" s="17">
        <v>0</v>
      </c>
      <c r="BT97" s="17"/>
      <c r="BU97">
        <f>SUM(P97:AD97)</f>
        <v>20</v>
      </c>
      <c r="BV97" s="23">
        <f>AF97+AH97+AI97+AJ97+AO97+AP97</f>
        <v>0</v>
      </c>
    </row>
    <row r="98" spans="1:74">
      <c r="A98" s="1"/>
      <c r="B98" s="3" t="s">
        <v>189</v>
      </c>
      <c r="C98" s="3" t="s">
        <v>50</v>
      </c>
      <c r="D98" s="1" t="s">
        <v>0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>
        <v>2</v>
      </c>
      <c r="S98" s="28"/>
      <c r="T98" s="28"/>
      <c r="U98" s="28">
        <v>2</v>
      </c>
      <c r="V98" s="28"/>
      <c r="W98" s="28"/>
      <c r="X98" s="28">
        <v>2</v>
      </c>
      <c r="Y98" s="28"/>
      <c r="Z98" s="28">
        <v>5</v>
      </c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11</v>
      </c>
      <c r="BR98" s="1">
        <v>0</v>
      </c>
      <c r="BS98" s="17">
        <v>0</v>
      </c>
      <c r="BT98" s="17"/>
      <c r="BU98">
        <f>SUM(P98:AD98)</f>
        <v>11</v>
      </c>
      <c r="BV98" s="23">
        <f>AF98+AH98+AI98+AJ98+AO98+AP98</f>
        <v>0</v>
      </c>
    </row>
    <row r="99" spans="1:74">
      <c r="A99" s="1"/>
      <c r="B99" s="3" t="s">
        <v>277</v>
      </c>
      <c r="C99" s="3" t="s">
        <v>278</v>
      </c>
      <c r="D99" s="1" t="s">
        <v>279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>
        <v>5</v>
      </c>
      <c r="R99" s="28"/>
      <c r="S99" s="28"/>
      <c r="T99" s="28">
        <v>5</v>
      </c>
      <c r="U99" s="28"/>
      <c r="V99" s="28"/>
      <c r="W99" s="28">
        <v>5</v>
      </c>
      <c r="X99" s="28"/>
      <c r="Y99" s="28"/>
      <c r="Z99" s="28">
        <v>5</v>
      </c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20</v>
      </c>
      <c r="BR99" s="1">
        <v>0</v>
      </c>
      <c r="BS99" s="17">
        <v>0</v>
      </c>
      <c r="BT99" s="17"/>
      <c r="BV99" s="23"/>
    </row>
    <row r="100" spans="1:74">
      <c r="A100" s="1"/>
      <c r="B100" s="3" t="s">
        <v>277</v>
      </c>
      <c r="C100" s="3" t="s">
        <v>278</v>
      </c>
      <c r="D100" s="1" t="s">
        <v>0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>
        <v>2</v>
      </c>
      <c r="S100" s="28"/>
      <c r="T100" s="28"/>
      <c r="U100" s="28">
        <v>2</v>
      </c>
      <c r="V100" s="28"/>
      <c r="W100" s="28"/>
      <c r="X100" s="28"/>
      <c r="Y100" s="28"/>
      <c r="Z100" s="28"/>
      <c r="AA100" s="28"/>
      <c r="AB100" s="28"/>
      <c r="AC100" s="28">
        <v>5</v>
      </c>
      <c r="AD100" s="28">
        <v>2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11</v>
      </c>
      <c r="BR100" s="1">
        <v>0</v>
      </c>
      <c r="BS100" s="17">
        <v>0</v>
      </c>
      <c r="BT100" s="17"/>
      <c r="BV100" s="23"/>
    </row>
    <row r="101" spans="1:74">
      <c r="A101" s="18"/>
      <c r="B101" s="18" t="s">
        <v>91</v>
      </c>
      <c r="C101" s="18" t="s">
        <v>84</v>
      </c>
      <c r="D101" s="18" t="s">
        <v>88</v>
      </c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>
        <v>2</v>
      </c>
      <c r="AP101" s="18"/>
      <c r="AQ101" s="20"/>
      <c r="AR101" s="20"/>
      <c r="AS101" s="20"/>
      <c r="AT101" s="20"/>
      <c r="AU101" s="20"/>
      <c r="AV101" s="20"/>
      <c r="AW101" s="21"/>
      <c r="AX101" s="21"/>
      <c r="AY101" s="21"/>
      <c r="AZ101" s="21"/>
      <c r="BA101" s="21"/>
      <c r="BB101" s="21"/>
      <c r="BC101" s="26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">
        <f>SUM(E101:BP101)</f>
        <v>2</v>
      </c>
      <c r="BR101" s="18">
        <v>2</v>
      </c>
      <c r="BS101" s="22">
        <v>1</v>
      </c>
      <c r="BT101" s="22" t="s">
        <v>280</v>
      </c>
      <c r="BU101">
        <f>SUM(P101:AD101)</f>
        <v>0</v>
      </c>
      <c r="BV101" s="23">
        <f>AF101+AH101+AI101+AJ101+AO101+AP101</f>
        <v>2</v>
      </c>
    </row>
    <row r="102" spans="1:74">
      <c r="A102" s="18">
        <v>63</v>
      </c>
      <c r="B102" s="30" t="s">
        <v>48</v>
      </c>
      <c r="C102" s="18" t="s">
        <v>43</v>
      </c>
      <c r="D102" s="18" t="s">
        <v>18</v>
      </c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>
        <v>5</v>
      </c>
      <c r="AO102" s="18"/>
      <c r="AP102" s="18"/>
      <c r="AQ102" s="20"/>
      <c r="AR102" s="20"/>
      <c r="AS102" s="20"/>
      <c r="AT102" s="20"/>
      <c r="AU102" s="20"/>
      <c r="AV102" s="20"/>
      <c r="AW102" s="21"/>
      <c r="AX102" s="21"/>
      <c r="AY102" s="21"/>
      <c r="AZ102" s="21"/>
      <c r="BA102" s="21"/>
      <c r="BB102" s="21"/>
      <c r="BC102" s="26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>
        <f>SUM(E102:BP102)</f>
        <v>5</v>
      </c>
      <c r="BR102" s="18">
        <v>2</v>
      </c>
      <c r="BS102" s="22">
        <v>1</v>
      </c>
      <c r="BT102" s="22" t="s">
        <v>281</v>
      </c>
      <c r="BU102">
        <f>SUM(P102:AD102)</f>
        <v>0</v>
      </c>
      <c r="BV102" s="23">
        <f>AF102+AH102+AI102+AJ102+AO102+AP102</f>
        <v>0</v>
      </c>
    </row>
    <row r="103" spans="1:74">
      <c r="A103" s="60"/>
      <c r="B103" s="61" t="s">
        <v>266</v>
      </c>
      <c r="C103" s="60" t="s">
        <v>43</v>
      </c>
      <c r="D103" s="1" t="s">
        <v>230</v>
      </c>
      <c r="E103" s="62"/>
      <c r="F103" s="62"/>
      <c r="G103" s="62"/>
      <c r="H103" s="62"/>
      <c r="I103" s="62"/>
      <c r="J103" s="62"/>
      <c r="K103" s="62"/>
      <c r="L103" s="62">
        <v>6</v>
      </c>
      <c r="M103" s="62"/>
      <c r="N103" s="62"/>
      <c r="O103" s="62">
        <v>6</v>
      </c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4"/>
      <c r="AR103" s="64"/>
      <c r="AS103" s="64"/>
      <c r="AT103" s="64">
        <v>8</v>
      </c>
      <c r="AU103" s="64"/>
      <c r="AV103" s="64"/>
      <c r="AW103" s="65"/>
      <c r="AX103" s="65"/>
      <c r="AY103" s="65"/>
      <c r="AZ103" s="65">
        <v>8</v>
      </c>
      <c r="BA103" s="65"/>
      <c r="BB103" s="65"/>
      <c r="BC103" s="66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50">
        <f>SUM(E103:BP103)</f>
        <v>28</v>
      </c>
      <c r="BR103" s="60">
        <v>2</v>
      </c>
      <c r="BS103" s="67">
        <v>1</v>
      </c>
      <c r="BT103" s="67" t="s">
        <v>282</v>
      </c>
      <c r="BU103" s="68"/>
      <c r="BV103" s="68"/>
    </row>
    <row r="104" spans="1:74">
      <c r="A104" s="50">
        <v>4</v>
      </c>
      <c r="B104" s="50" t="s">
        <v>225</v>
      </c>
      <c r="C104" s="50" t="s">
        <v>1</v>
      </c>
      <c r="D104" s="50" t="s">
        <v>171</v>
      </c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  <c r="AQ104" s="53">
        <v>40</v>
      </c>
      <c r="AR104" s="53"/>
      <c r="AS104" s="53"/>
      <c r="AT104" s="53"/>
      <c r="AU104" s="53"/>
      <c r="AV104" s="53"/>
      <c r="AW104" s="54">
        <v>40</v>
      </c>
      <c r="AX104" s="54">
        <v>40</v>
      </c>
      <c r="AY104" s="54"/>
      <c r="AZ104" s="54"/>
      <c r="BA104" s="54"/>
      <c r="BB104" s="54"/>
      <c r="BC104" s="55">
        <v>10</v>
      </c>
      <c r="BD104" s="50"/>
      <c r="BE104" s="50"/>
      <c r="BF104" s="50">
        <v>50</v>
      </c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>
        <f>SUM(E104:BP104)</f>
        <v>180</v>
      </c>
      <c r="BR104" s="50">
        <v>2</v>
      </c>
      <c r="BS104" s="56">
        <v>1</v>
      </c>
      <c r="BT104" s="56" t="s">
        <v>283</v>
      </c>
      <c r="BU104">
        <f>SUM(P104:AD104)</f>
        <v>0</v>
      </c>
      <c r="BV104" s="23">
        <f>AF104+AH104+AI104+AJ104+AO104+AP104</f>
        <v>0</v>
      </c>
    </row>
    <row r="105" spans="1:74">
      <c r="A105" s="1"/>
      <c r="B105" s="1" t="s">
        <v>121</v>
      </c>
      <c r="C105" s="1" t="s">
        <v>119</v>
      </c>
      <c r="D105" s="1" t="s">
        <v>100</v>
      </c>
      <c r="E105" s="6"/>
      <c r="F105" s="6"/>
      <c r="G105" s="6"/>
      <c r="H105" s="6"/>
      <c r="I105" s="6">
        <v>7</v>
      </c>
      <c r="J105" s="6"/>
      <c r="K105" s="6"/>
      <c r="L105" s="6"/>
      <c r="M105" s="6"/>
      <c r="N105" s="6"/>
      <c r="O105" s="6"/>
      <c r="P105" s="28"/>
      <c r="Q105" s="28">
        <v>7</v>
      </c>
      <c r="R105" s="28">
        <v>7</v>
      </c>
      <c r="S105" s="28"/>
      <c r="T105" s="28">
        <v>7</v>
      </c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28</v>
      </c>
      <c r="BR105" s="1">
        <v>2</v>
      </c>
      <c r="BS105" s="17">
        <v>1</v>
      </c>
      <c r="BT105" s="17" t="s">
        <v>293</v>
      </c>
      <c r="BU105">
        <f>SUM(P105:AD105)</f>
        <v>21</v>
      </c>
      <c r="BV105" s="23">
        <f>AF105+AH105+AI105+AJ105+AO105+AP105</f>
        <v>0</v>
      </c>
    </row>
    <row r="106" spans="1:74">
      <c r="A106" s="18"/>
      <c r="B106" s="18" t="s">
        <v>163</v>
      </c>
      <c r="C106" s="18" t="s">
        <v>24</v>
      </c>
      <c r="D106" s="18" t="s">
        <v>164</v>
      </c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>
        <v>3</v>
      </c>
      <c r="AP106" s="18"/>
      <c r="AQ106" s="20"/>
      <c r="AR106" s="20"/>
      <c r="AS106" s="20"/>
      <c r="AT106" s="20"/>
      <c r="AU106" s="20"/>
      <c r="AV106" s="20"/>
      <c r="AW106" s="21"/>
      <c r="AX106" s="21"/>
      <c r="AY106" s="21"/>
      <c r="AZ106" s="21"/>
      <c r="BA106" s="21"/>
      <c r="BB106" s="21"/>
      <c r="BC106" s="26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>
        <f>SUM(E106:BP106)</f>
        <v>3</v>
      </c>
      <c r="BR106" s="18">
        <v>3</v>
      </c>
      <c r="BS106" s="22">
        <v>1</v>
      </c>
      <c r="BT106" s="22" t="s">
        <v>284</v>
      </c>
      <c r="BU106">
        <f>SUM(P106:AD106)</f>
        <v>0</v>
      </c>
      <c r="BV106" s="23">
        <f>AF106+AH106+AI106+AJ106+AO106+AP106</f>
        <v>3</v>
      </c>
    </row>
    <row r="107" spans="1:74">
      <c r="A107" s="1"/>
      <c r="B107" s="1" t="s">
        <v>142</v>
      </c>
      <c r="C107" s="1" t="s">
        <v>95</v>
      </c>
      <c r="D107" s="1" t="s">
        <v>83</v>
      </c>
      <c r="E107" s="6"/>
      <c r="F107" s="6"/>
      <c r="G107" s="6"/>
      <c r="H107" s="6">
        <v>10</v>
      </c>
      <c r="I107" s="6"/>
      <c r="J107" s="6">
        <v>10</v>
      </c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>
        <v>10</v>
      </c>
      <c r="AU107" s="4"/>
      <c r="AV107" s="4"/>
      <c r="AW107" s="2"/>
      <c r="AX107" s="2"/>
      <c r="AY107" s="2">
        <v>10</v>
      </c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40</v>
      </c>
      <c r="BR107" s="1">
        <v>3</v>
      </c>
      <c r="BS107" s="17">
        <v>1</v>
      </c>
      <c r="BT107" s="17" t="s">
        <v>285</v>
      </c>
      <c r="BU107">
        <f>SUM(P107:AD107)</f>
        <v>0</v>
      </c>
      <c r="BV107" s="23">
        <f>AF107+AH107+AI107+AJ107+AO107+AP107</f>
        <v>0</v>
      </c>
    </row>
    <row r="108" spans="1:74">
      <c r="A108" s="1">
        <v>45</v>
      </c>
      <c r="B108" s="1" t="s">
        <v>80</v>
      </c>
      <c r="C108" s="1" t="s">
        <v>36</v>
      </c>
      <c r="D108" s="1" t="s">
        <v>9</v>
      </c>
      <c r="E108" s="6">
        <v>6</v>
      </c>
      <c r="F108" s="6"/>
      <c r="G108" s="6"/>
      <c r="H108" s="6"/>
      <c r="I108" s="6"/>
      <c r="J108" s="6"/>
      <c r="K108" s="6"/>
      <c r="L108" s="6"/>
      <c r="M108" s="6">
        <v>6</v>
      </c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>
        <v>10</v>
      </c>
      <c r="AR108" s="4"/>
      <c r="AS108" s="4"/>
      <c r="AT108" s="4"/>
      <c r="AU108" s="4"/>
      <c r="AV108" s="4"/>
      <c r="AW108" s="2"/>
      <c r="AX108" s="2"/>
      <c r="AY108" s="2"/>
      <c r="AZ108" s="2">
        <v>10</v>
      </c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32</v>
      </c>
      <c r="BR108" s="1">
        <v>4</v>
      </c>
      <c r="BS108" s="17">
        <v>1</v>
      </c>
      <c r="BT108" s="17" t="s">
        <v>286</v>
      </c>
      <c r="BU108">
        <f>SUM(P108:AD108)</f>
        <v>0</v>
      </c>
      <c r="BV108" s="23">
        <f>AF108+AH108+AI108+AJ108+AO108+AP108</f>
        <v>0</v>
      </c>
    </row>
    <row r="109" spans="1:74">
      <c r="A109" s="1"/>
      <c r="B109" s="1" t="s">
        <v>166</v>
      </c>
      <c r="C109" s="1" t="s">
        <v>1</v>
      </c>
      <c r="D109" s="1" t="s">
        <v>165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>
        <v>10</v>
      </c>
      <c r="AS109" s="4"/>
      <c r="AT109" s="4"/>
      <c r="AU109" s="4"/>
      <c r="AV109" s="4"/>
      <c r="AW109" s="2"/>
      <c r="AX109" s="2"/>
      <c r="AY109" s="2"/>
      <c r="AZ109" s="2">
        <v>10</v>
      </c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20</v>
      </c>
      <c r="BR109" s="1">
        <v>4</v>
      </c>
      <c r="BS109" s="17">
        <v>1</v>
      </c>
      <c r="BT109" s="17" t="s">
        <v>287</v>
      </c>
      <c r="BU109">
        <f>SUM(P109:AD109)</f>
        <v>0</v>
      </c>
      <c r="BV109" s="23">
        <f>AF109+AH109+AI109+AJ109+AO109+AP109</f>
        <v>0</v>
      </c>
    </row>
    <row r="110" spans="1:74">
      <c r="A110" s="1"/>
      <c r="B110" s="1" t="s">
        <v>167</v>
      </c>
      <c r="C110" s="1" t="s">
        <v>168</v>
      </c>
      <c r="D110" s="1" t="s">
        <v>169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>
        <v>15</v>
      </c>
      <c r="AV110" s="4"/>
      <c r="AW110" s="2"/>
      <c r="AX110" s="2"/>
      <c r="AY110" s="2">
        <v>15</v>
      </c>
      <c r="AZ110" s="2"/>
      <c r="BA110" s="2">
        <v>10</v>
      </c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>SUM(E110:BP110)</f>
        <v>40</v>
      </c>
      <c r="BR110" s="1">
        <v>4</v>
      </c>
      <c r="BS110" s="17">
        <v>1</v>
      </c>
      <c r="BT110" s="17" t="s">
        <v>288</v>
      </c>
      <c r="BU110">
        <f>SUM(P110:AD110)</f>
        <v>0</v>
      </c>
      <c r="BV110" s="23">
        <f>AF110+AH110+AI110+AJ110+AO110+AP110</f>
        <v>0</v>
      </c>
    </row>
    <row r="111" spans="1:74">
      <c r="A111" s="60"/>
      <c r="B111" s="61" t="s">
        <v>261</v>
      </c>
      <c r="C111" s="60" t="s">
        <v>262</v>
      </c>
      <c r="D111" s="60" t="s">
        <v>0</v>
      </c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4">
        <v>10</v>
      </c>
      <c r="AR111" s="64"/>
      <c r="AS111" s="64"/>
      <c r="AT111" s="64"/>
      <c r="AU111" s="64"/>
      <c r="AV111" s="64"/>
      <c r="AW111" s="65"/>
      <c r="AX111" s="65"/>
      <c r="AY111" s="65"/>
      <c r="AZ111" s="65">
        <v>10</v>
      </c>
      <c r="BA111" s="65">
        <v>10</v>
      </c>
      <c r="BB111" s="65"/>
      <c r="BC111" s="66"/>
      <c r="BD111" s="60"/>
      <c r="BE111" s="60"/>
      <c r="BF111" s="60"/>
      <c r="BG111" s="60"/>
      <c r="BH111" s="60"/>
      <c r="BI111" s="60"/>
      <c r="BJ111" s="60"/>
      <c r="BK111" s="60"/>
      <c r="BL111" s="60"/>
      <c r="BM111" s="60"/>
      <c r="BN111" s="60"/>
      <c r="BO111" s="60"/>
      <c r="BP111" s="60"/>
      <c r="BQ111" s="50">
        <f>SUM(E111:BP111)</f>
        <v>30</v>
      </c>
      <c r="BR111" s="60">
        <v>4</v>
      </c>
      <c r="BS111" s="67">
        <v>1</v>
      </c>
      <c r="BT111" s="67" t="s">
        <v>286</v>
      </c>
      <c r="BU111" s="68"/>
      <c r="BV111" s="68"/>
    </row>
    <row r="112" spans="1:74">
      <c r="A112" s="18">
        <v>17</v>
      </c>
      <c r="B112" s="18" t="s">
        <v>26</v>
      </c>
      <c r="C112" s="18" t="s">
        <v>24</v>
      </c>
      <c r="D112" s="18" t="s">
        <v>18</v>
      </c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18"/>
      <c r="AF112" s="18">
        <v>5</v>
      </c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20"/>
      <c r="AR112" s="20"/>
      <c r="AS112" s="20"/>
      <c r="AT112" s="20"/>
      <c r="AU112" s="20"/>
      <c r="AV112" s="20"/>
      <c r="AW112" s="21"/>
      <c r="AX112" s="21"/>
      <c r="AY112" s="21"/>
      <c r="AZ112" s="21"/>
      <c r="BA112" s="21"/>
      <c r="BB112" s="21"/>
      <c r="BC112" s="26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>
        <f>SUM(E112:BP112)</f>
        <v>5</v>
      </c>
      <c r="BR112" s="18">
        <v>5</v>
      </c>
      <c r="BS112" s="22">
        <v>1</v>
      </c>
      <c r="BT112" s="22" t="s">
        <v>289</v>
      </c>
      <c r="BU112">
        <f>SUM(P112:AD112)</f>
        <v>0</v>
      </c>
      <c r="BV112" s="23">
        <f>AF112+AH112+AI112+AJ112+AO112+AP112</f>
        <v>5</v>
      </c>
    </row>
    <row r="113" spans="1:74">
      <c r="A113" s="18">
        <v>32</v>
      </c>
      <c r="B113" s="18" t="s">
        <v>60</v>
      </c>
      <c r="C113" s="18" t="s">
        <v>24</v>
      </c>
      <c r="D113" s="18" t="s">
        <v>18</v>
      </c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18"/>
      <c r="AF113" s="18"/>
      <c r="AG113" s="18"/>
      <c r="AH113" s="18"/>
      <c r="AI113" s="18">
        <v>5</v>
      </c>
      <c r="AJ113" s="18"/>
      <c r="AK113" s="18"/>
      <c r="AL113" s="18"/>
      <c r="AM113" s="18"/>
      <c r="AN113" s="18"/>
      <c r="AO113" s="18"/>
      <c r="AP113" s="18"/>
      <c r="AQ113" s="20"/>
      <c r="AR113" s="20"/>
      <c r="AS113" s="20"/>
      <c r="AT113" s="20"/>
      <c r="AU113" s="20"/>
      <c r="AV113" s="20"/>
      <c r="AW113" s="21"/>
      <c r="AX113" s="21"/>
      <c r="AY113" s="21"/>
      <c r="AZ113" s="21"/>
      <c r="BA113" s="21"/>
      <c r="BB113" s="21"/>
      <c r="BC113" s="26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>
        <f>SUM(E113:BP113)</f>
        <v>5</v>
      </c>
      <c r="BR113" s="18">
        <v>5</v>
      </c>
      <c r="BS113" s="22">
        <v>1</v>
      </c>
      <c r="BT113" s="22" t="s">
        <v>290</v>
      </c>
      <c r="BU113">
        <f>SUM(P113:AD113)</f>
        <v>0</v>
      </c>
      <c r="BV113" s="23">
        <f>AF113+AH113+AI113+AJ113+AO113+AP113</f>
        <v>5</v>
      </c>
    </row>
    <row r="114" spans="1:74">
      <c r="A114" s="18">
        <v>33</v>
      </c>
      <c r="B114" s="18" t="s">
        <v>60</v>
      </c>
      <c r="C114" s="18" t="s">
        <v>24</v>
      </c>
      <c r="D114" s="18" t="s">
        <v>0</v>
      </c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18"/>
      <c r="AF114" s="18"/>
      <c r="AG114" s="18"/>
      <c r="AH114" s="18">
        <v>5</v>
      </c>
      <c r="AI114" s="18"/>
      <c r="AJ114" s="18"/>
      <c r="AK114" s="18"/>
      <c r="AL114" s="18"/>
      <c r="AM114" s="18"/>
      <c r="AN114" s="18"/>
      <c r="AO114" s="18"/>
      <c r="AP114" s="18"/>
      <c r="AQ114" s="20"/>
      <c r="AR114" s="20"/>
      <c r="AS114" s="20"/>
      <c r="AT114" s="20"/>
      <c r="AU114" s="20"/>
      <c r="AV114" s="20"/>
      <c r="AW114" s="21"/>
      <c r="AX114" s="21"/>
      <c r="AY114" s="21"/>
      <c r="AZ114" s="21"/>
      <c r="BA114" s="21"/>
      <c r="BB114" s="21"/>
      <c r="BC114" s="26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>
        <f>SUM(E114:BP114)</f>
        <v>5</v>
      </c>
      <c r="BR114" s="18">
        <v>5</v>
      </c>
      <c r="BS114" s="22">
        <v>1</v>
      </c>
      <c r="BT114" s="22" t="s">
        <v>273</v>
      </c>
      <c r="BU114">
        <f>SUM(P114:AD114)</f>
        <v>0</v>
      </c>
      <c r="BV114" s="23">
        <f>AF114+AH114+AI114+AJ114+AO114+AP114</f>
        <v>5</v>
      </c>
    </row>
    <row r="115" spans="1:74">
      <c r="A115" s="18"/>
      <c r="B115" s="18" t="s">
        <v>94</v>
      </c>
      <c r="C115" s="18" t="s">
        <v>92</v>
      </c>
      <c r="D115" s="18" t="s">
        <v>88</v>
      </c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18"/>
      <c r="AF115" s="18"/>
      <c r="AG115" s="18"/>
      <c r="AH115" s="18">
        <v>5</v>
      </c>
      <c r="AI115" s="18"/>
      <c r="AJ115" s="18"/>
      <c r="AK115" s="18"/>
      <c r="AL115" s="18"/>
      <c r="AM115" s="18"/>
      <c r="AN115" s="18"/>
      <c r="AO115" s="18"/>
      <c r="AP115" s="18"/>
      <c r="AQ115" s="20"/>
      <c r="AR115" s="20"/>
      <c r="AS115" s="20"/>
      <c r="AT115" s="20"/>
      <c r="AU115" s="20"/>
      <c r="AV115" s="20"/>
      <c r="AW115" s="21"/>
      <c r="AX115" s="21"/>
      <c r="AY115" s="21"/>
      <c r="AZ115" s="21"/>
      <c r="BA115" s="21"/>
      <c r="BB115" s="21"/>
      <c r="BC115" s="26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>
        <f>SUM(E115:BP115)</f>
        <v>5</v>
      </c>
      <c r="BR115" s="18">
        <v>5</v>
      </c>
      <c r="BS115" s="22">
        <v>1</v>
      </c>
      <c r="BT115" s="22" t="s">
        <v>273</v>
      </c>
      <c r="BU115">
        <f>SUM(P115:AD115)</f>
        <v>0</v>
      </c>
      <c r="BV115" s="23">
        <f>AF115+AH115+AI115+AJ115+AO115+AP115</f>
        <v>5</v>
      </c>
    </row>
    <row r="116" spans="1:74">
      <c r="A116" s="18"/>
      <c r="B116" s="18" t="s">
        <v>94</v>
      </c>
      <c r="C116" s="18" t="s">
        <v>92</v>
      </c>
      <c r="D116" s="18" t="s">
        <v>83</v>
      </c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18"/>
      <c r="AF116" s="18"/>
      <c r="AG116" s="18"/>
      <c r="AH116" s="18"/>
      <c r="AI116" s="18">
        <v>5</v>
      </c>
      <c r="AJ116" s="18"/>
      <c r="AK116" s="18"/>
      <c r="AL116" s="18"/>
      <c r="AM116" s="18"/>
      <c r="AN116" s="18"/>
      <c r="AO116" s="18"/>
      <c r="AP116" s="18"/>
      <c r="AQ116" s="20"/>
      <c r="AR116" s="20"/>
      <c r="AS116" s="20"/>
      <c r="AT116" s="20"/>
      <c r="AU116" s="20"/>
      <c r="AV116" s="20"/>
      <c r="AW116" s="21"/>
      <c r="AX116" s="21"/>
      <c r="AY116" s="21"/>
      <c r="AZ116" s="21"/>
      <c r="BA116" s="21"/>
      <c r="BB116" s="21"/>
      <c r="BC116" s="26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>
        <f>SUM(E116:BP116)</f>
        <v>5</v>
      </c>
      <c r="BR116" s="18">
        <v>5</v>
      </c>
      <c r="BS116" s="22">
        <v>1</v>
      </c>
      <c r="BT116" s="22" t="s">
        <v>291</v>
      </c>
      <c r="BU116">
        <f>SUM(P116:AD116)</f>
        <v>0</v>
      </c>
      <c r="BV116" s="23">
        <f>AF116+AH116+AI116+AJ116+AO116+AP116</f>
        <v>5</v>
      </c>
    </row>
    <row r="117" spans="1:74" s="49" customFormat="1">
      <c r="A117" s="50"/>
      <c r="B117" s="50" t="s">
        <v>135</v>
      </c>
      <c r="C117" s="50" t="s">
        <v>92</v>
      </c>
      <c r="D117" s="50" t="s">
        <v>82</v>
      </c>
      <c r="E117" s="51">
        <v>15</v>
      </c>
      <c r="F117" s="51"/>
      <c r="G117" s="51">
        <v>15</v>
      </c>
      <c r="H117" s="51"/>
      <c r="I117" s="51"/>
      <c r="J117" s="51"/>
      <c r="K117" s="51"/>
      <c r="L117" s="51"/>
      <c r="M117" s="51"/>
      <c r="N117" s="51"/>
      <c r="O117" s="51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3"/>
      <c r="AR117" s="53">
        <v>15</v>
      </c>
      <c r="AS117" s="53"/>
      <c r="AT117" s="53"/>
      <c r="AU117" s="53"/>
      <c r="AV117" s="53"/>
      <c r="AW117" s="54"/>
      <c r="AX117" s="54"/>
      <c r="AY117" s="54"/>
      <c r="AZ117" s="54"/>
      <c r="BA117" s="54"/>
      <c r="BB117" s="54">
        <v>15</v>
      </c>
      <c r="BC117" s="55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>
        <f>SUM(E117:BP117)</f>
        <v>60</v>
      </c>
      <c r="BR117" s="50">
        <v>5</v>
      </c>
      <c r="BS117" s="56">
        <v>1</v>
      </c>
      <c r="BT117" s="56" t="s">
        <v>292</v>
      </c>
      <c r="BU117">
        <f>SUM(P117:AD117)</f>
        <v>0</v>
      </c>
      <c r="BV117" s="23">
        <f>AF117+AH117+AI117+AJ117+AO117+AP117</f>
        <v>0</v>
      </c>
    </row>
    <row r="118" spans="1:74">
      <c r="A118" s="1"/>
      <c r="B118" s="1" t="s">
        <v>244</v>
      </c>
      <c r="C118" s="1" t="s">
        <v>123</v>
      </c>
      <c r="D118" s="1" t="s">
        <v>100</v>
      </c>
      <c r="E118" s="6"/>
      <c r="F118" s="6"/>
      <c r="G118" s="6"/>
      <c r="H118" s="6"/>
      <c r="I118" s="6"/>
      <c r="J118" s="6"/>
      <c r="K118" s="6"/>
      <c r="L118" s="6">
        <v>7</v>
      </c>
      <c r="M118" s="6"/>
      <c r="N118" s="6"/>
      <c r="O118" s="6"/>
      <c r="P118" s="28"/>
      <c r="Q118" s="28">
        <v>7</v>
      </c>
      <c r="R118" s="28"/>
      <c r="S118" s="28"/>
      <c r="T118" s="28">
        <v>7</v>
      </c>
      <c r="U118" s="28"/>
      <c r="V118" s="28"/>
      <c r="W118" s="28"/>
      <c r="X118" s="28">
        <v>7</v>
      </c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>SUM(E118:BP118)</f>
        <v>28</v>
      </c>
      <c r="BR118" s="1">
        <v>5</v>
      </c>
      <c r="BS118" s="17">
        <v>1</v>
      </c>
      <c r="BT118" s="17" t="s">
        <v>294</v>
      </c>
      <c r="BU118">
        <f>SUM(P118:AD118)</f>
        <v>21</v>
      </c>
      <c r="BV118" s="23">
        <f>AF118+AH118+AI118+AJ118+AO118+AP118</f>
        <v>0</v>
      </c>
    </row>
    <row r="119" spans="1:74">
      <c r="A119" s="1"/>
      <c r="B119" s="1" t="s">
        <v>237</v>
      </c>
      <c r="C119" s="1" t="s">
        <v>52</v>
      </c>
      <c r="D119" s="1" t="s">
        <v>230</v>
      </c>
      <c r="E119" s="6"/>
      <c r="F119" s="6"/>
      <c r="G119" s="6"/>
      <c r="H119" s="6"/>
      <c r="I119" s="6"/>
      <c r="J119" s="6"/>
      <c r="K119" s="6"/>
      <c r="L119" s="6">
        <v>10</v>
      </c>
      <c r="M119" s="6"/>
      <c r="N119" s="6"/>
      <c r="O119" s="6"/>
      <c r="P119" s="28"/>
      <c r="Q119" s="28"/>
      <c r="R119" s="28">
        <v>10</v>
      </c>
      <c r="S119" s="28"/>
      <c r="T119" s="28"/>
      <c r="U119" s="28">
        <v>10</v>
      </c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>
        <v>10</v>
      </c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>SUM(E119:BP119)</f>
        <v>40</v>
      </c>
      <c r="BR119" s="1">
        <v>5</v>
      </c>
      <c r="BS119" s="17">
        <v>1</v>
      </c>
      <c r="BT119" s="17" t="s">
        <v>305</v>
      </c>
      <c r="BU119">
        <f>SUM(P119:AD119)</f>
        <v>20</v>
      </c>
      <c r="BV119" s="23">
        <f>AF119+AH119+AI119+AJ119+AO119+AP119</f>
        <v>0</v>
      </c>
    </row>
    <row r="120" spans="1:74">
      <c r="A120" s="1"/>
      <c r="B120" s="1" t="s">
        <v>246</v>
      </c>
      <c r="C120" s="1" t="s">
        <v>52</v>
      </c>
      <c r="D120" s="1" t="s">
        <v>241</v>
      </c>
      <c r="E120" s="6"/>
      <c r="F120" s="6"/>
      <c r="G120" s="6"/>
      <c r="H120" s="6"/>
      <c r="I120" s="6"/>
      <c r="J120" s="6"/>
      <c r="K120" s="6"/>
      <c r="L120" s="6">
        <v>10</v>
      </c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>
        <v>10</v>
      </c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>SUM(E120:BP120)</f>
        <v>40</v>
      </c>
      <c r="BR120" s="1">
        <v>5</v>
      </c>
      <c r="BS120" s="17">
        <v>1</v>
      </c>
      <c r="BT120" s="17" t="s">
        <v>305</v>
      </c>
      <c r="BU120">
        <f>SUM(P120:AD120)</f>
        <v>20</v>
      </c>
      <c r="BV120" s="23">
        <f>AF120+AH120+AI120+AJ120+AO120+AP120</f>
        <v>0</v>
      </c>
    </row>
    <row r="121" spans="1:74">
      <c r="A121" s="1"/>
      <c r="B121" s="1" t="s">
        <v>115</v>
      </c>
      <c r="C121" s="1" t="s">
        <v>116</v>
      </c>
      <c r="D121" s="1" t="s">
        <v>100</v>
      </c>
      <c r="E121" s="6">
        <v>10</v>
      </c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>
        <v>10</v>
      </c>
      <c r="S121" s="28"/>
      <c r="T121" s="28"/>
      <c r="U121" s="28">
        <v>10</v>
      </c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>
        <v>10</v>
      </c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>SUM(E121:BP121)</f>
        <v>40</v>
      </c>
      <c r="BR121" s="1">
        <v>5</v>
      </c>
      <c r="BS121" s="17">
        <v>1</v>
      </c>
      <c r="BT121" s="17" t="s">
        <v>305</v>
      </c>
      <c r="BU121">
        <f>SUM(P121:AD121)</f>
        <v>20</v>
      </c>
      <c r="BV121" s="23">
        <f>AF121+AH121+AI121+AJ121+AO121+AP121</f>
        <v>0</v>
      </c>
    </row>
    <row r="122" spans="1:74">
      <c r="A122" s="1"/>
      <c r="B122" s="1" t="s">
        <v>120</v>
      </c>
      <c r="C122" s="1" t="s">
        <v>119</v>
      </c>
      <c r="D122" s="1" t="s">
        <v>100</v>
      </c>
      <c r="E122" s="6">
        <v>10</v>
      </c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>
        <v>10</v>
      </c>
      <c r="S122" s="28"/>
      <c r="T122" s="28"/>
      <c r="U122" s="28">
        <v>10</v>
      </c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>
        <v>10</v>
      </c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>SUM(E122:BP122)</f>
        <v>40</v>
      </c>
      <c r="BR122" s="1">
        <v>5</v>
      </c>
      <c r="BS122" s="17">
        <v>1</v>
      </c>
      <c r="BT122" s="17" t="s">
        <v>305</v>
      </c>
      <c r="BU122">
        <f>SUM(P122:AD122)</f>
        <v>20</v>
      </c>
      <c r="BV122" s="23">
        <f>AF122+AH122+AI122+AJ122+AO122+AP122</f>
        <v>0</v>
      </c>
    </row>
    <row r="123" spans="1:74">
      <c r="A123" s="50"/>
      <c r="B123" s="50" t="s">
        <v>188</v>
      </c>
      <c r="C123" s="50" t="s">
        <v>125</v>
      </c>
      <c r="D123" s="50" t="s">
        <v>100</v>
      </c>
      <c r="E123" s="51">
        <v>10</v>
      </c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2"/>
      <c r="Q123" s="52"/>
      <c r="R123" s="52">
        <v>10</v>
      </c>
      <c r="S123" s="52"/>
      <c r="T123" s="52"/>
      <c r="U123" s="52">
        <v>10</v>
      </c>
      <c r="V123" s="52"/>
      <c r="W123" s="52"/>
      <c r="X123" s="52"/>
      <c r="Y123" s="52"/>
      <c r="Z123" s="52"/>
      <c r="AA123" s="52"/>
      <c r="AB123" s="52"/>
      <c r="AC123" s="52"/>
      <c r="AD123" s="52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3"/>
      <c r="AR123" s="53"/>
      <c r="AS123" s="53"/>
      <c r="AT123" s="53"/>
      <c r="AU123" s="53">
        <v>10</v>
      </c>
      <c r="AV123" s="53"/>
      <c r="AW123" s="54"/>
      <c r="AX123" s="54"/>
      <c r="AY123" s="54"/>
      <c r="AZ123" s="54"/>
      <c r="BA123" s="54"/>
      <c r="BB123" s="54"/>
      <c r="BC123" s="55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>
        <f>SUM(E123:BP123)</f>
        <v>40</v>
      </c>
      <c r="BR123" s="50">
        <v>5</v>
      </c>
      <c r="BS123" s="56">
        <v>1</v>
      </c>
      <c r="BT123" s="56" t="s">
        <v>305</v>
      </c>
      <c r="BU123">
        <f>SUM(P123:AD123)</f>
        <v>20</v>
      </c>
      <c r="BV123" s="23">
        <f>AF123+AH123+AI123+AJ123+AO123+AP123</f>
        <v>0</v>
      </c>
    </row>
    <row r="124" spans="1:74">
      <c r="A124" s="1"/>
      <c r="B124" s="3" t="s">
        <v>223</v>
      </c>
      <c r="C124" s="3" t="s">
        <v>50</v>
      </c>
      <c r="D124" s="1" t="s">
        <v>191</v>
      </c>
      <c r="E124" s="6">
        <v>10</v>
      </c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>
        <v>10</v>
      </c>
      <c r="S124" s="28"/>
      <c r="T124" s="28"/>
      <c r="U124" s="28">
        <v>10</v>
      </c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>
        <v>10</v>
      </c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f>SUM(E124:BP124)</f>
        <v>40</v>
      </c>
      <c r="BR124" s="1">
        <v>5</v>
      </c>
      <c r="BS124" s="17">
        <v>1</v>
      </c>
      <c r="BT124" s="17" t="s">
        <v>305</v>
      </c>
      <c r="BU124">
        <f>SUM(P124:AD124)</f>
        <v>20</v>
      </c>
      <c r="BV124" s="23">
        <f>AF124+AH124+AI124+AJ124+AO124+AP124</f>
        <v>0</v>
      </c>
    </row>
    <row r="125" spans="1:74">
      <c r="A125" s="1"/>
      <c r="B125" s="1" t="s">
        <v>236</v>
      </c>
      <c r="C125" s="1" t="s">
        <v>52</v>
      </c>
      <c r="D125" s="1" t="s">
        <v>230</v>
      </c>
      <c r="E125" s="6">
        <v>10</v>
      </c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>
        <v>10</v>
      </c>
      <c r="S125" s="28"/>
      <c r="T125" s="28"/>
      <c r="U125" s="28">
        <v>10</v>
      </c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>
        <v>10</v>
      </c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f>SUM(E125:BP125)</f>
        <v>40</v>
      </c>
      <c r="BR125" s="1">
        <v>5</v>
      </c>
      <c r="BS125" s="17">
        <v>1</v>
      </c>
      <c r="BT125" s="17" t="s">
        <v>305</v>
      </c>
      <c r="BU125">
        <f>SUM(P125:AD125)</f>
        <v>20</v>
      </c>
      <c r="BV125" s="23">
        <f>AF125+AH125+AI125+AJ125+AO125+AP125</f>
        <v>0</v>
      </c>
    </row>
    <row r="126" spans="1:74">
      <c r="A126" s="1"/>
      <c r="B126" s="3" t="s">
        <v>277</v>
      </c>
      <c r="C126" s="3" t="s">
        <v>278</v>
      </c>
      <c r="D126" s="1" t="s">
        <v>100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>
        <v>10</v>
      </c>
      <c r="P126" s="28"/>
      <c r="Q126" s="28"/>
      <c r="R126" s="28">
        <v>10</v>
      </c>
      <c r="S126" s="28"/>
      <c r="T126" s="28"/>
      <c r="U126" s="28">
        <v>10</v>
      </c>
      <c r="V126" s="28"/>
      <c r="W126" s="28"/>
      <c r="X126" s="28"/>
      <c r="Y126" s="28"/>
      <c r="Z126" s="28"/>
      <c r="AA126" s="28"/>
      <c r="AB126" s="28"/>
      <c r="AC126" s="28"/>
      <c r="AD126" s="28">
        <v>10</v>
      </c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f>SUM(E126:BP126)</f>
        <v>40</v>
      </c>
      <c r="BR126" s="1">
        <v>5</v>
      </c>
      <c r="BS126" s="17">
        <v>1</v>
      </c>
      <c r="BT126" s="17" t="s">
        <v>304</v>
      </c>
      <c r="BV126" s="23"/>
    </row>
    <row r="127" spans="1:74">
      <c r="A127" s="1">
        <v>54</v>
      </c>
      <c r="B127" s="1" t="s">
        <v>42</v>
      </c>
      <c r="C127" s="1" t="s">
        <v>43</v>
      </c>
      <c r="D127" s="1" t="s">
        <v>0</v>
      </c>
      <c r="E127" s="6"/>
      <c r="F127" s="6">
        <v>15</v>
      </c>
      <c r="G127" s="6"/>
      <c r="H127" s="6">
        <v>15</v>
      </c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>
        <v>15</v>
      </c>
      <c r="AW127" s="2"/>
      <c r="AX127" s="2"/>
      <c r="AY127" s="2"/>
      <c r="AZ127" s="2"/>
      <c r="BA127" s="2">
        <v>15</v>
      </c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f>SUM(E127:BP127)</f>
        <v>60</v>
      </c>
      <c r="BR127" s="1">
        <v>8</v>
      </c>
      <c r="BS127" s="17">
        <v>1</v>
      </c>
      <c r="BT127" s="17" t="s">
        <v>274</v>
      </c>
      <c r="BU127">
        <f>SUM(P127:AD127)</f>
        <v>0</v>
      </c>
      <c r="BV127" s="23">
        <f>AF127+AH127+AI127+AJ127+AO127+AP127</f>
        <v>0</v>
      </c>
    </row>
    <row r="128" spans="1:74">
      <c r="A128" s="1"/>
      <c r="B128" s="1" t="s">
        <v>234</v>
      </c>
      <c r="C128" s="1" t="s">
        <v>50</v>
      </c>
      <c r="D128" s="1" t="s">
        <v>230</v>
      </c>
      <c r="E128" s="6"/>
      <c r="F128" s="6"/>
      <c r="G128" s="6"/>
      <c r="H128" s="6"/>
      <c r="I128" s="6"/>
      <c r="J128" s="6"/>
      <c r="K128" s="6"/>
      <c r="L128" s="6">
        <v>10</v>
      </c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>
        <v>10</v>
      </c>
      <c r="Y128" s="28"/>
      <c r="Z128" s="28"/>
      <c r="AA128" s="28"/>
      <c r="AB128" s="28"/>
      <c r="AC128" s="28"/>
      <c r="AD128" s="28">
        <v>10</v>
      </c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>
        <v>10</v>
      </c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f>SUM(E128:BP128)</f>
        <v>40</v>
      </c>
      <c r="BR128" s="1">
        <v>8</v>
      </c>
      <c r="BS128" s="17">
        <v>1</v>
      </c>
      <c r="BT128" s="17" t="s">
        <v>295</v>
      </c>
      <c r="BU128">
        <f>SUM(P128:AD128)</f>
        <v>20</v>
      </c>
      <c r="BV128" s="23">
        <f>AF128+AH128+AI128+AJ128+AO128+AP128</f>
        <v>0</v>
      </c>
    </row>
    <row r="129" spans="1:74">
      <c r="A129" s="1"/>
      <c r="B129" s="1" t="s">
        <v>126</v>
      </c>
      <c r="C129" s="1" t="s">
        <v>125</v>
      </c>
      <c r="D129" s="1" t="s">
        <v>100</v>
      </c>
      <c r="E129" s="6"/>
      <c r="F129" s="6"/>
      <c r="G129" s="6">
        <v>10</v>
      </c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>
        <v>10</v>
      </c>
      <c r="Y129" s="28"/>
      <c r="Z129" s="28"/>
      <c r="AA129" s="28"/>
      <c r="AB129" s="28"/>
      <c r="AC129" s="28"/>
      <c r="AD129" s="28">
        <v>10</v>
      </c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>
        <v>10</v>
      </c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f>SUM(E129:BP129)</f>
        <v>40</v>
      </c>
      <c r="BR129" s="1">
        <v>8</v>
      </c>
      <c r="BS129" s="17">
        <v>1</v>
      </c>
      <c r="BT129" s="17" t="s">
        <v>296</v>
      </c>
      <c r="BU129">
        <f>SUM(P129:AD129)</f>
        <v>20</v>
      </c>
      <c r="BV129" s="23">
        <f>AF129+AH129+AI129+AJ129+AO129+AP129</f>
        <v>0</v>
      </c>
    </row>
    <row r="130" spans="1:74">
      <c r="A130" s="1"/>
      <c r="B130" s="1" t="s">
        <v>243</v>
      </c>
      <c r="C130" s="1" t="s">
        <v>95</v>
      </c>
      <c r="D130" s="1" t="s">
        <v>130</v>
      </c>
      <c r="E130" s="6"/>
      <c r="F130" s="6"/>
      <c r="G130" s="6">
        <v>10</v>
      </c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>
        <v>10</v>
      </c>
      <c r="Y130" s="28"/>
      <c r="Z130" s="28"/>
      <c r="AA130" s="28"/>
      <c r="AB130" s="28"/>
      <c r="AC130" s="28"/>
      <c r="AD130" s="28">
        <v>10</v>
      </c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>
        <v>10</v>
      </c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f>SUM(E130:BP130)</f>
        <v>40</v>
      </c>
      <c r="BR130" s="1">
        <v>8</v>
      </c>
      <c r="BS130" s="17">
        <v>1</v>
      </c>
      <c r="BT130" s="17" t="s">
        <v>296</v>
      </c>
      <c r="BU130">
        <f>SUM(P130:AD130)</f>
        <v>20</v>
      </c>
      <c r="BV130" s="23">
        <f>AF130+AH130+AI130+AJ130+AO130+AP130</f>
        <v>0</v>
      </c>
    </row>
    <row r="131" spans="1:74">
      <c r="A131" s="1"/>
      <c r="B131" s="3" t="s">
        <v>195</v>
      </c>
      <c r="C131" s="3" t="s">
        <v>196</v>
      </c>
      <c r="D131" s="1" t="s">
        <v>191</v>
      </c>
      <c r="E131" s="6"/>
      <c r="F131" s="6"/>
      <c r="G131" s="6">
        <v>10</v>
      </c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>
        <v>10</v>
      </c>
      <c r="Y131" s="28"/>
      <c r="Z131" s="28"/>
      <c r="AA131" s="28"/>
      <c r="AB131" s="28"/>
      <c r="AC131" s="28"/>
      <c r="AD131" s="28">
        <v>10</v>
      </c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>
        <v>10</v>
      </c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f>SUM(E131:BP131)</f>
        <v>40</v>
      </c>
      <c r="BR131" s="1">
        <v>8</v>
      </c>
      <c r="BS131" s="17">
        <v>1</v>
      </c>
      <c r="BT131" s="17" t="s">
        <v>296</v>
      </c>
      <c r="BU131">
        <f>SUM(P131:AD131)</f>
        <v>20</v>
      </c>
      <c r="BV131" s="23">
        <f>AF131+AH131+AI131+AJ131+AO131+AP131</f>
        <v>0</v>
      </c>
    </row>
    <row r="132" spans="1:74">
      <c r="A132" s="1"/>
      <c r="B132" s="1" t="s">
        <v>231</v>
      </c>
      <c r="C132" s="1" t="s">
        <v>116</v>
      </c>
      <c r="D132" s="1" t="s">
        <v>230</v>
      </c>
      <c r="E132" s="6"/>
      <c r="F132" s="6"/>
      <c r="G132" s="6">
        <v>10</v>
      </c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>
        <v>10</v>
      </c>
      <c r="Y132" s="28"/>
      <c r="Z132" s="28"/>
      <c r="AA132" s="28"/>
      <c r="AB132" s="28"/>
      <c r="AC132" s="28"/>
      <c r="AD132" s="28">
        <v>10</v>
      </c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>
        <v>10</v>
      </c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f>SUM(E132:BP132)</f>
        <v>40</v>
      </c>
      <c r="BR132" s="1">
        <v>8</v>
      </c>
      <c r="BS132" s="17">
        <v>1</v>
      </c>
      <c r="BT132" s="17" t="s">
        <v>296</v>
      </c>
      <c r="BU132">
        <f>SUM(P132:AD132)</f>
        <v>20</v>
      </c>
      <c r="BV132" s="23">
        <f>AF132+AH132+AI132+AJ132+AO132+AP132</f>
        <v>0</v>
      </c>
    </row>
    <row r="133" spans="1:74">
      <c r="A133" s="1"/>
      <c r="B133" s="3" t="s">
        <v>245</v>
      </c>
      <c r="C133" s="3" t="s">
        <v>194</v>
      </c>
      <c r="D133" s="1" t="s">
        <v>191</v>
      </c>
      <c r="E133" s="6"/>
      <c r="F133" s="6"/>
      <c r="G133" s="6"/>
      <c r="H133" s="6"/>
      <c r="I133" s="6"/>
      <c r="J133" s="6"/>
      <c r="K133" s="6"/>
      <c r="L133" s="6"/>
      <c r="M133" s="6"/>
      <c r="N133" s="6">
        <v>10</v>
      </c>
      <c r="O133" s="6"/>
      <c r="P133" s="28"/>
      <c r="Q133" s="28"/>
      <c r="R133" s="28"/>
      <c r="S133" s="28"/>
      <c r="T133" s="28"/>
      <c r="U133" s="28"/>
      <c r="V133" s="28"/>
      <c r="W133" s="28"/>
      <c r="X133" s="28">
        <v>10</v>
      </c>
      <c r="Y133" s="28"/>
      <c r="Z133" s="28"/>
      <c r="AA133" s="28">
        <v>10</v>
      </c>
      <c r="AB133" s="28"/>
      <c r="AC133" s="28"/>
      <c r="AD133" s="28">
        <v>10</v>
      </c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f>SUM(E133:BP133)</f>
        <v>40</v>
      </c>
      <c r="BR133" s="1">
        <v>8</v>
      </c>
      <c r="BS133" s="17">
        <v>1</v>
      </c>
      <c r="BT133" s="17" t="s">
        <v>295</v>
      </c>
      <c r="BU133">
        <f>SUM(P133:AD133)</f>
        <v>30</v>
      </c>
      <c r="BV133" s="23">
        <f>AF133+AH133+AI133+AJ133+AO133+AP133</f>
        <v>0</v>
      </c>
    </row>
    <row r="134" spans="1:74">
      <c r="A134" s="18">
        <v>64</v>
      </c>
      <c r="B134" s="24" t="s">
        <v>48</v>
      </c>
      <c r="C134" s="18" t="s">
        <v>43</v>
      </c>
      <c r="D134" s="18" t="s">
        <v>0</v>
      </c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>
        <v>15</v>
      </c>
      <c r="AO134" s="18"/>
      <c r="AP134" s="18"/>
      <c r="AQ134" s="20"/>
      <c r="AR134" s="20"/>
      <c r="AS134" s="20"/>
      <c r="AT134" s="20"/>
      <c r="AU134" s="20"/>
      <c r="AV134" s="20"/>
      <c r="AW134" s="21"/>
      <c r="AX134" s="21"/>
      <c r="AY134" s="21"/>
      <c r="AZ134" s="21"/>
      <c r="BA134" s="21"/>
      <c r="BB134" s="21"/>
      <c r="BC134" s="26"/>
      <c r="BD134" s="18"/>
      <c r="BE134" s="18"/>
      <c r="BF134" s="18"/>
      <c r="BG134" s="18"/>
      <c r="BH134" s="18"/>
      <c r="BI134" s="18"/>
      <c r="BJ134" s="18"/>
      <c r="BK134" s="18"/>
      <c r="BL134" s="18"/>
      <c r="BM134" s="18"/>
      <c r="BN134" s="18"/>
      <c r="BO134" s="18"/>
      <c r="BP134" s="18"/>
      <c r="BQ134" s="18">
        <f>SUM(E134:BP134)</f>
        <v>15</v>
      </c>
      <c r="BR134" s="18">
        <v>12</v>
      </c>
      <c r="BS134" s="22">
        <v>1</v>
      </c>
      <c r="BT134" s="22" t="s">
        <v>297</v>
      </c>
      <c r="BU134">
        <f>SUM(P134:AD134)</f>
        <v>0</v>
      </c>
      <c r="BV134" s="23">
        <f>AF134+AH134+AI134+AJ134+AO134+AP134</f>
        <v>0</v>
      </c>
    </row>
    <row r="135" spans="1:74">
      <c r="A135" s="1">
        <v>98</v>
      </c>
      <c r="B135" s="3" t="s">
        <v>133</v>
      </c>
      <c r="C135" s="3" t="s">
        <v>52</v>
      </c>
      <c r="D135" s="1" t="s">
        <v>0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>
        <v>50</v>
      </c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f>SUM(E135:BP135)</f>
        <v>50</v>
      </c>
      <c r="BR135" s="1">
        <v>33</v>
      </c>
      <c r="BS135" s="17">
        <v>1</v>
      </c>
      <c r="BT135" s="17" t="s">
        <v>298</v>
      </c>
      <c r="BU135">
        <f>SUM(P135:AD135)</f>
        <v>0</v>
      </c>
      <c r="BV135" s="23">
        <f>AF135+AH135+AI135+AJ135+AO135+AP135</f>
        <v>0</v>
      </c>
    </row>
    <row r="136" spans="1:74">
      <c r="A136" s="1">
        <v>99</v>
      </c>
      <c r="B136" s="3" t="s">
        <v>133</v>
      </c>
      <c r="C136" s="3" t="s">
        <v>52</v>
      </c>
      <c r="D136" s="1" t="s">
        <v>9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>
        <v>200</v>
      </c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f>SUM(E136:BP136)</f>
        <v>200</v>
      </c>
      <c r="BR136" s="1">
        <v>183</v>
      </c>
      <c r="BS136" s="17">
        <v>1</v>
      </c>
      <c r="BT136" s="17" t="s">
        <v>299</v>
      </c>
      <c r="BU136">
        <f>SUM(P136:AD136)</f>
        <v>0</v>
      </c>
      <c r="BV136" s="23">
        <f>AF136+AH136+AI136+AJ136+AO136+AP136</f>
        <v>0</v>
      </c>
    </row>
    <row r="137" spans="1:74" ht="27">
      <c r="A137" s="1"/>
      <c r="B137" s="1" t="s">
        <v>91</v>
      </c>
      <c r="C137" s="1" t="s">
        <v>84</v>
      </c>
      <c r="D137" s="1" t="s">
        <v>82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>
        <v>5</v>
      </c>
      <c r="AP137" s="1">
        <v>1</v>
      </c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f>SUM(E137:BP137)</f>
        <v>6</v>
      </c>
      <c r="BR137" s="1">
        <v>6</v>
      </c>
      <c r="BS137" s="17">
        <v>2</v>
      </c>
      <c r="BT137" s="17" t="s">
        <v>300</v>
      </c>
      <c r="BU137">
        <f>SUM(P137:AD137)</f>
        <v>0</v>
      </c>
      <c r="BV137" s="23">
        <f>AF137+AH137+AI137+AJ137+AO137+AP137</f>
        <v>6</v>
      </c>
    </row>
    <row r="138" spans="1:74" ht="27">
      <c r="A138" s="1"/>
      <c r="B138" s="1" t="s">
        <v>163</v>
      </c>
      <c r="C138" s="1" t="s">
        <v>24</v>
      </c>
      <c r="D138" s="1" t="s">
        <v>19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>
        <v>5</v>
      </c>
      <c r="AP138" s="1">
        <v>1</v>
      </c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f>SUM(E138:BP138)</f>
        <v>6</v>
      </c>
      <c r="BR138" s="1">
        <v>6</v>
      </c>
      <c r="BS138" s="17">
        <v>2</v>
      </c>
      <c r="BT138" s="17" t="s">
        <v>275</v>
      </c>
      <c r="BU138">
        <f>SUM(P138:AD138)</f>
        <v>0</v>
      </c>
      <c r="BV138" s="23">
        <f>AF138+AH138+AI138+AJ138+AO138+AP138</f>
        <v>6</v>
      </c>
    </row>
    <row r="139" spans="1:74" ht="27">
      <c r="A139" s="1"/>
      <c r="B139" s="1" t="s">
        <v>87</v>
      </c>
      <c r="C139" s="1" t="s">
        <v>84</v>
      </c>
      <c r="D139" s="1" t="s">
        <v>88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>
        <v>3</v>
      </c>
      <c r="AP139" s="1">
        <v>5</v>
      </c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f>SUM(E139:BP139)</f>
        <v>8</v>
      </c>
      <c r="BR139" s="1">
        <v>8</v>
      </c>
      <c r="BS139" s="17">
        <v>2</v>
      </c>
      <c r="BT139" s="17" t="s">
        <v>276</v>
      </c>
      <c r="BU139">
        <f>SUM(P139:AD139)</f>
        <v>0</v>
      </c>
      <c r="BV139" s="23">
        <f>AF139+AH139+AI139+AJ139+AO139+AP139</f>
        <v>8</v>
      </c>
    </row>
    <row r="140" spans="1:74" ht="27">
      <c r="A140" s="1"/>
      <c r="B140" s="1" t="s">
        <v>127</v>
      </c>
      <c r="C140" s="1" t="s">
        <v>125</v>
      </c>
      <c r="D140" s="1" t="s">
        <v>100</v>
      </c>
      <c r="E140" s="6"/>
      <c r="F140" s="6"/>
      <c r="G140" s="6"/>
      <c r="H140" s="6">
        <v>10</v>
      </c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>
        <v>10</v>
      </c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>
        <v>10</v>
      </c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f>SUM(E140:BP140)</f>
        <v>40</v>
      </c>
      <c r="BR140" s="1">
        <v>8</v>
      </c>
      <c r="BS140" s="17">
        <v>2</v>
      </c>
      <c r="BT140" s="17" t="s">
        <v>315</v>
      </c>
      <c r="BU140">
        <f>SUM(P140:AD140)</f>
        <v>20</v>
      </c>
      <c r="BV140" s="23">
        <f>AF140+AH140+AI140+AJ140+AO140+AP140</f>
        <v>0</v>
      </c>
    </row>
    <row r="141" spans="1:74" ht="27">
      <c r="A141" s="1">
        <v>27</v>
      </c>
      <c r="B141" s="1" t="s">
        <v>57</v>
      </c>
      <c r="C141" s="1" t="s">
        <v>24</v>
      </c>
      <c r="D141" s="1" t="s">
        <v>18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/>
      <c r="AG141" s="1"/>
      <c r="AH141" s="1">
        <v>5</v>
      </c>
      <c r="AI141" s="1">
        <v>5</v>
      </c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f>SUM(E141:BP141)</f>
        <v>10</v>
      </c>
      <c r="BR141" s="1">
        <v>10</v>
      </c>
      <c r="BS141" s="17">
        <v>2</v>
      </c>
      <c r="BT141" s="17" t="s">
        <v>301</v>
      </c>
      <c r="BU141">
        <f>SUM(P141:AD141)</f>
        <v>0</v>
      </c>
      <c r="BV141" s="23">
        <f>AF141+AH141+AI141+AJ141+AO141+AP141</f>
        <v>10</v>
      </c>
    </row>
    <row r="142" spans="1:74" s="68" customFormat="1" ht="27">
      <c r="A142" s="1">
        <v>88</v>
      </c>
      <c r="B142" s="3" t="s">
        <v>62</v>
      </c>
      <c r="C142" s="3" t="s">
        <v>63</v>
      </c>
      <c r="D142" s="1" t="s">
        <v>18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>
        <v>5</v>
      </c>
      <c r="AI142" s="1">
        <v>5</v>
      </c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f>SUM(E142:BP142)</f>
        <v>10</v>
      </c>
      <c r="BR142" s="1">
        <v>10</v>
      </c>
      <c r="BS142" s="17">
        <v>2</v>
      </c>
      <c r="BT142" s="17" t="s">
        <v>302</v>
      </c>
      <c r="BU142">
        <f>SUM(P142:AD142)</f>
        <v>0</v>
      </c>
      <c r="BV142" s="23">
        <f>AF142+AH142+AI142+AJ142+AO142+AP142</f>
        <v>10</v>
      </c>
    </row>
    <row r="143" spans="1:74" s="68" customFormat="1" ht="27">
      <c r="A143" s="1"/>
      <c r="B143" s="1" t="s">
        <v>109</v>
      </c>
      <c r="C143" s="1" t="s">
        <v>97</v>
      </c>
      <c r="D143" s="1" t="s">
        <v>100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>
        <v>10</v>
      </c>
      <c r="P143" s="28"/>
      <c r="Q143" s="28"/>
      <c r="R143" s="28">
        <v>10</v>
      </c>
      <c r="S143" s="28"/>
      <c r="T143" s="28"/>
      <c r="U143" s="28"/>
      <c r="V143" s="28"/>
      <c r="W143" s="28"/>
      <c r="X143" s="28">
        <v>10</v>
      </c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>
        <v>10</v>
      </c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f>SUM(E143:BP143)</f>
        <v>40</v>
      </c>
      <c r="BR143" s="1">
        <v>13</v>
      </c>
      <c r="BS143" s="17">
        <v>2</v>
      </c>
      <c r="BT143" s="17" t="s">
        <v>306</v>
      </c>
      <c r="BU143">
        <f>SUM(P143:AD143)</f>
        <v>20</v>
      </c>
      <c r="BV143" s="23">
        <f>AF143+AH143+AI143+AJ143+AO143+AP143</f>
        <v>0</v>
      </c>
    </row>
    <row r="144" spans="1:74" s="68" customFormat="1" ht="27">
      <c r="A144" s="1"/>
      <c r="B144" s="3" t="s">
        <v>200</v>
      </c>
      <c r="C144" s="3" t="s">
        <v>96</v>
      </c>
      <c r="D144" s="1" t="s">
        <v>191</v>
      </c>
      <c r="E144" s="6"/>
      <c r="F144" s="6"/>
      <c r="G144" s="6"/>
      <c r="H144" s="6"/>
      <c r="I144" s="6">
        <v>10</v>
      </c>
      <c r="J144" s="6"/>
      <c r="K144" s="6"/>
      <c r="L144" s="6"/>
      <c r="M144" s="6"/>
      <c r="N144" s="6"/>
      <c r="O144" s="6"/>
      <c r="P144" s="28"/>
      <c r="Q144" s="28"/>
      <c r="R144" s="28">
        <v>10</v>
      </c>
      <c r="S144" s="28"/>
      <c r="T144" s="28"/>
      <c r="U144" s="28"/>
      <c r="V144" s="28"/>
      <c r="W144" s="28"/>
      <c r="X144" s="28">
        <v>10</v>
      </c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>
        <v>10</v>
      </c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f>SUM(E144:BP144)</f>
        <v>40</v>
      </c>
      <c r="BR144" s="1">
        <v>13</v>
      </c>
      <c r="BS144" s="17">
        <v>2</v>
      </c>
      <c r="BT144" s="17" t="s">
        <v>306</v>
      </c>
      <c r="BU144">
        <f>SUM(P144:AD144)</f>
        <v>20</v>
      </c>
      <c r="BV144" s="23">
        <f>AF144+AH144+AI144+AJ144+AO144+AP144</f>
        <v>0</v>
      </c>
    </row>
    <row r="145" spans="1:74" s="68" customFormat="1" ht="27">
      <c r="A145" s="1"/>
      <c r="B145" s="1" t="s">
        <v>233</v>
      </c>
      <c r="C145" s="1" t="s">
        <v>50</v>
      </c>
      <c r="D145" s="1" t="s">
        <v>230</v>
      </c>
      <c r="E145" s="6"/>
      <c r="F145" s="6"/>
      <c r="G145" s="6"/>
      <c r="H145" s="6"/>
      <c r="I145" s="6">
        <v>10</v>
      </c>
      <c r="J145" s="6"/>
      <c r="K145" s="6"/>
      <c r="L145" s="6"/>
      <c r="M145" s="6"/>
      <c r="N145" s="6"/>
      <c r="O145" s="6"/>
      <c r="P145" s="28"/>
      <c r="Q145" s="28"/>
      <c r="R145" s="28">
        <v>10</v>
      </c>
      <c r="S145" s="28"/>
      <c r="T145" s="28"/>
      <c r="U145" s="28"/>
      <c r="V145" s="28"/>
      <c r="W145" s="28"/>
      <c r="X145" s="28">
        <v>10</v>
      </c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>
        <v>10</v>
      </c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f>SUM(E145:BP145)</f>
        <v>40</v>
      </c>
      <c r="BR145" s="1">
        <v>13</v>
      </c>
      <c r="BS145" s="17">
        <v>2</v>
      </c>
      <c r="BT145" s="17" t="s">
        <v>306</v>
      </c>
      <c r="BU145">
        <f>SUM(P145:AD145)</f>
        <v>20</v>
      </c>
      <c r="BV145" s="23">
        <f>AF145+AH145+AI145+AJ145+AO145+AP145</f>
        <v>0</v>
      </c>
    </row>
    <row r="146" spans="1:74" s="68" customFormat="1" ht="27">
      <c r="A146" s="1"/>
      <c r="B146" s="1" t="s">
        <v>238</v>
      </c>
      <c r="C146" s="1" t="s">
        <v>52</v>
      </c>
      <c r="D146" s="1" t="s">
        <v>230</v>
      </c>
      <c r="E146" s="6"/>
      <c r="F146" s="6"/>
      <c r="G146" s="6"/>
      <c r="H146" s="6"/>
      <c r="I146" s="6">
        <v>10</v>
      </c>
      <c r="J146" s="6"/>
      <c r="K146" s="6"/>
      <c r="L146" s="6"/>
      <c r="M146" s="6"/>
      <c r="N146" s="6"/>
      <c r="O146" s="6"/>
      <c r="P146" s="28"/>
      <c r="Q146" s="28"/>
      <c r="R146" s="28">
        <v>10</v>
      </c>
      <c r="S146" s="28"/>
      <c r="T146" s="28"/>
      <c r="U146" s="28"/>
      <c r="V146" s="28"/>
      <c r="W146" s="28"/>
      <c r="X146" s="28">
        <v>10</v>
      </c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>
        <v>10</v>
      </c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f>SUM(E146:BP146)</f>
        <v>40</v>
      </c>
      <c r="BR146" s="1">
        <v>13</v>
      </c>
      <c r="BS146" s="17">
        <v>2</v>
      </c>
      <c r="BT146" s="17" t="s">
        <v>306</v>
      </c>
      <c r="BU146">
        <f>SUM(P146:AD146)</f>
        <v>20</v>
      </c>
      <c r="BV146" s="23">
        <f>AF146+AH146+AI146+AJ146+AO146+AP146</f>
        <v>0</v>
      </c>
    </row>
    <row r="147" spans="1:74" s="68" customFormat="1" ht="27">
      <c r="A147" s="1"/>
      <c r="B147" s="1" t="s">
        <v>87</v>
      </c>
      <c r="C147" s="1" t="s">
        <v>84</v>
      </c>
      <c r="D147" s="1" t="s">
        <v>82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>
        <v>5</v>
      </c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>
        <v>5</v>
      </c>
      <c r="AP147" s="1">
        <v>10</v>
      </c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f>SUM(E147:BP147)</f>
        <v>20</v>
      </c>
      <c r="BR147" s="1">
        <v>15</v>
      </c>
      <c r="BS147" s="17">
        <v>2</v>
      </c>
      <c r="BT147" s="17" t="s">
        <v>303</v>
      </c>
      <c r="BU147">
        <f>SUM(P147:AD147)</f>
        <v>0</v>
      </c>
      <c r="BV147" s="23">
        <f>AF147+AH147+AI147+AJ147+AO147+AP147</f>
        <v>15</v>
      </c>
    </row>
    <row r="148" spans="1:74" s="68" customFormat="1" ht="27">
      <c r="A148" s="1"/>
      <c r="B148" s="1" t="s">
        <v>249</v>
      </c>
      <c r="C148" s="1" t="s">
        <v>84</v>
      </c>
      <c r="D148" s="1" t="s">
        <v>85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>
        <v>40</v>
      </c>
      <c r="AW148" s="2">
        <v>40</v>
      </c>
      <c r="AX148" s="2"/>
      <c r="AY148" s="2"/>
      <c r="AZ148" s="2"/>
      <c r="BA148" s="2"/>
      <c r="BB148" s="2">
        <v>40</v>
      </c>
      <c r="BC148" s="14">
        <v>10</v>
      </c>
      <c r="BD148" s="1"/>
      <c r="BE148" s="1">
        <v>50</v>
      </c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f>SUM(E148:BP148)</f>
        <v>180</v>
      </c>
      <c r="BR148" s="1">
        <v>19</v>
      </c>
      <c r="BS148" s="17">
        <v>2</v>
      </c>
      <c r="BT148" s="17" t="s">
        <v>307</v>
      </c>
      <c r="BU148">
        <f>SUM(P148:AD148)</f>
        <v>0</v>
      </c>
      <c r="BV148" s="23">
        <f>AF148+AH148+AI148+AJ148+AO148+AP148</f>
        <v>0</v>
      </c>
    </row>
    <row r="149" spans="1:74" s="68" customFormat="1" ht="27">
      <c r="A149" s="1"/>
      <c r="B149" s="1" t="s">
        <v>87</v>
      </c>
      <c r="C149" s="1" t="s">
        <v>84</v>
      </c>
      <c r="D149" s="1" t="s">
        <v>83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>
        <v>10</v>
      </c>
      <c r="AP149" s="1">
        <v>10</v>
      </c>
      <c r="AQ149" s="4"/>
      <c r="AR149" s="4"/>
      <c r="AS149" s="4">
        <v>5</v>
      </c>
      <c r="AT149" s="4"/>
      <c r="AU149" s="4"/>
      <c r="AV149" s="4"/>
      <c r="AW149" s="2"/>
      <c r="AX149" s="2">
        <v>5</v>
      </c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f>SUM(E149:BP149)</f>
        <v>30</v>
      </c>
      <c r="BR149" s="1">
        <v>20</v>
      </c>
      <c r="BS149" s="17">
        <v>2</v>
      </c>
      <c r="BT149" s="17" t="s">
        <v>308</v>
      </c>
      <c r="BU149">
        <f>SUM(P149:AD149)</f>
        <v>0</v>
      </c>
      <c r="BV149" s="23">
        <f>AF149+AH149+AI149+AJ149+AO149+AP149</f>
        <v>20</v>
      </c>
    </row>
    <row r="150" spans="1:74" s="68" customFormat="1" ht="27">
      <c r="A150" s="1"/>
      <c r="B150" s="1" t="s">
        <v>140</v>
      </c>
      <c r="C150" s="1" t="s">
        <v>95</v>
      </c>
      <c r="D150" s="1" t="s">
        <v>82</v>
      </c>
      <c r="E150" s="6"/>
      <c r="F150" s="6"/>
      <c r="G150" s="6">
        <v>20</v>
      </c>
      <c r="H150" s="6">
        <v>20</v>
      </c>
      <c r="I150" s="6"/>
      <c r="J150" s="6"/>
      <c r="K150" s="6"/>
      <c r="L150" s="6"/>
      <c r="M150" s="6"/>
      <c r="N150" s="6"/>
      <c r="O150" s="6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/>
      <c r="AW150" s="2"/>
      <c r="AX150" s="2"/>
      <c r="AY150" s="2"/>
      <c r="AZ150" s="2"/>
      <c r="BA150" s="2">
        <v>20</v>
      </c>
      <c r="BB150" s="2">
        <v>20</v>
      </c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f>SUM(E150:BP150)</f>
        <v>80</v>
      </c>
      <c r="BR150" s="1">
        <v>23</v>
      </c>
      <c r="BS150" s="17">
        <v>2</v>
      </c>
      <c r="BT150" s="17" t="s">
        <v>309</v>
      </c>
      <c r="BU150">
        <f>SUM(P150:AD150)</f>
        <v>0</v>
      </c>
      <c r="BV150" s="23">
        <f>AF150+AH150+AI150+AJ150+AO150+AP150</f>
        <v>0</v>
      </c>
    </row>
    <row r="151" spans="1:74" s="68" customFormat="1" ht="27">
      <c r="A151" s="18">
        <v>65</v>
      </c>
      <c r="B151" s="24" t="s">
        <v>48</v>
      </c>
      <c r="C151" s="18" t="s">
        <v>43</v>
      </c>
      <c r="D151" s="18" t="s">
        <v>9</v>
      </c>
      <c r="E151" s="19"/>
      <c r="F151" s="19"/>
      <c r="G151" s="19">
        <v>10</v>
      </c>
      <c r="H151" s="19"/>
      <c r="I151" s="19"/>
      <c r="J151" s="19"/>
      <c r="K151" s="19"/>
      <c r="L151" s="19"/>
      <c r="M151" s="19"/>
      <c r="N151" s="19"/>
      <c r="O151" s="1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>
        <v>25</v>
      </c>
      <c r="AO151" s="18"/>
      <c r="AP151" s="18"/>
      <c r="AQ151" s="20"/>
      <c r="AR151" s="20"/>
      <c r="AS151" s="20"/>
      <c r="AT151" s="20"/>
      <c r="AU151" s="20"/>
      <c r="AV151" s="20">
        <v>10</v>
      </c>
      <c r="AW151" s="21"/>
      <c r="AX151" s="21"/>
      <c r="AY151" s="21"/>
      <c r="AZ151" s="21">
        <v>10</v>
      </c>
      <c r="BA151" s="21"/>
      <c r="BB151" s="21"/>
      <c r="BC151" s="26"/>
      <c r="BD151" s="18"/>
      <c r="BE151" s="18"/>
      <c r="BF151" s="18"/>
      <c r="BG151" s="18"/>
      <c r="BH151" s="18"/>
      <c r="BI151" s="18"/>
      <c r="BJ151" s="18"/>
      <c r="BK151" s="18"/>
      <c r="BL151" s="18"/>
      <c r="BM151" s="18"/>
      <c r="BN151" s="18"/>
      <c r="BO151" s="18"/>
      <c r="BP151" s="18"/>
      <c r="BQ151" s="18">
        <f>SUM(E151:BP151)</f>
        <v>55</v>
      </c>
      <c r="BR151" s="18">
        <v>26</v>
      </c>
      <c r="BS151" s="22">
        <v>2</v>
      </c>
      <c r="BT151" s="22" t="s">
        <v>310</v>
      </c>
      <c r="BU151">
        <f>SUM(P151:AD151)</f>
        <v>0</v>
      </c>
      <c r="BV151" s="23">
        <f>AF151+AH151+AI151+AJ151+AO151+AP151</f>
        <v>0</v>
      </c>
    </row>
    <row r="152" spans="1:74" s="68" customFormat="1" ht="27">
      <c r="A152" s="1">
        <v>23</v>
      </c>
      <c r="B152" s="1" t="s">
        <v>79</v>
      </c>
      <c r="C152" s="1" t="s">
        <v>24</v>
      </c>
      <c r="D152" s="1" t="s">
        <v>29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>
        <v>50</v>
      </c>
      <c r="BL152" s="1">
        <v>50</v>
      </c>
      <c r="BM152" s="1"/>
      <c r="BN152" s="1"/>
      <c r="BO152" s="1">
        <v>50</v>
      </c>
      <c r="BP152" s="1">
        <v>50</v>
      </c>
      <c r="BQ152" s="1">
        <f>SUM(E152:BP152)</f>
        <v>200</v>
      </c>
      <c r="BR152" s="1">
        <v>82</v>
      </c>
      <c r="BS152" s="17">
        <v>2</v>
      </c>
      <c r="BT152" s="17" t="s">
        <v>311</v>
      </c>
      <c r="BU152">
        <f>SUM(P152:AD152)</f>
        <v>0</v>
      </c>
      <c r="BV152" s="23">
        <f>AF152+AH152+AI152+AJ152+AO152+AP152</f>
        <v>0</v>
      </c>
    </row>
    <row r="153" spans="1:74" s="68" customFormat="1" ht="27">
      <c r="A153" s="1"/>
      <c r="B153" s="1" t="s">
        <v>138</v>
      </c>
      <c r="C153" s="1" t="s">
        <v>92</v>
      </c>
      <c r="D153" s="1" t="s">
        <v>93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>
        <v>50</v>
      </c>
      <c r="BL153" s="1">
        <v>50</v>
      </c>
      <c r="BM153" s="1"/>
      <c r="BN153" s="1"/>
      <c r="BO153" s="1">
        <v>50</v>
      </c>
      <c r="BP153" s="1">
        <v>50</v>
      </c>
      <c r="BQ153" s="1">
        <f>SUM(E153:BP153)</f>
        <v>200</v>
      </c>
      <c r="BR153" s="1">
        <v>82</v>
      </c>
      <c r="BS153" s="17">
        <v>2</v>
      </c>
      <c r="BT153" s="17" t="s">
        <v>312</v>
      </c>
      <c r="BU153">
        <f>SUM(P153:AD153)</f>
        <v>0</v>
      </c>
      <c r="BV153" s="23">
        <f>AF153+AH153+AI153+AJ153+AO153+AP153</f>
        <v>0</v>
      </c>
    </row>
    <row r="154" spans="1:74" s="68" customFormat="1" ht="27">
      <c r="A154" s="1"/>
      <c r="B154" s="1" t="s">
        <v>136</v>
      </c>
      <c r="C154" s="1" t="s">
        <v>124</v>
      </c>
      <c r="D154" s="1" t="s">
        <v>29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>
        <v>50</v>
      </c>
      <c r="BL154" s="1">
        <v>50</v>
      </c>
      <c r="BM154" s="1"/>
      <c r="BN154" s="1"/>
      <c r="BO154" s="1">
        <v>50</v>
      </c>
      <c r="BP154" s="1">
        <v>50</v>
      </c>
      <c r="BQ154" s="1">
        <f>SUM(E154:BP154)</f>
        <v>200</v>
      </c>
      <c r="BR154" s="1">
        <v>82</v>
      </c>
      <c r="BS154" s="17">
        <v>2</v>
      </c>
      <c r="BT154" s="17" t="s">
        <v>312</v>
      </c>
      <c r="BU154">
        <f>SUM(P154:AD154)</f>
        <v>0</v>
      </c>
      <c r="BV154" s="23">
        <f>AF154+AH154+AI154+AJ154+AO154+AP154</f>
        <v>0</v>
      </c>
    </row>
    <row r="155" spans="1:74" s="68" customFormat="1" ht="27">
      <c r="A155" s="1">
        <v>102</v>
      </c>
      <c r="B155" s="3" t="s">
        <v>162</v>
      </c>
      <c r="C155" s="3" t="s">
        <v>52</v>
      </c>
      <c r="D155" s="1" t="s">
        <v>29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>
        <v>50</v>
      </c>
      <c r="BL155" s="1">
        <v>50</v>
      </c>
      <c r="BM155" s="1"/>
      <c r="BN155" s="1"/>
      <c r="BO155" s="1">
        <v>50</v>
      </c>
      <c r="BP155" s="1">
        <v>50</v>
      </c>
      <c r="BQ155" s="1">
        <f>SUM(E155:BP155)</f>
        <v>200</v>
      </c>
      <c r="BR155" s="1">
        <v>82</v>
      </c>
      <c r="BS155" s="17">
        <v>2</v>
      </c>
      <c r="BT155" s="17" t="s">
        <v>312</v>
      </c>
      <c r="BU155">
        <f>SUM(P155:AD155)</f>
        <v>0</v>
      </c>
      <c r="BV155" s="23">
        <f>AF155+AH155+AI155+AJ155+AO155+AP155</f>
        <v>0</v>
      </c>
    </row>
    <row r="156" spans="1:74" s="68" customFormat="1" ht="27">
      <c r="A156" s="1">
        <v>85</v>
      </c>
      <c r="B156" s="3" t="s">
        <v>255</v>
      </c>
      <c r="C156" s="3" t="s">
        <v>50</v>
      </c>
      <c r="D156" s="1" t="s">
        <v>29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/>
      <c r="BL156" s="1"/>
      <c r="BM156" s="1">
        <v>50</v>
      </c>
      <c r="BN156" s="1">
        <v>50</v>
      </c>
      <c r="BO156" s="1">
        <v>50</v>
      </c>
      <c r="BP156" s="1">
        <v>50</v>
      </c>
      <c r="BQ156" s="1">
        <f>SUM(E156:BP156)</f>
        <v>200</v>
      </c>
      <c r="BR156" s="1">
        <v>82</v>
      </c>
      <c r="BS156" s="17">
        <v>2</v>
      </c>
      <c r="BT156" s="17" t="s">
        <v>312</v>
      </c>
      <c r="BU156">
        <f>SUM(P156:AD156)</f>
        <v>0</v>
      </c>
      <c r="BV156" s="23">
        <f>AF156+AH156+AI156+AJ156+AO156+AP156</f>
        <v>0</v>
      </c>
    </row>
    <row r="157" spans="1:74" s="68" customFormat="1" ht="27">
      <c r="A157" s="1"/>
      <c r="B157" s="1" t="s">
        <v>143</v>
      </c>
      <c r="C157" s="1" t="s">
        <v>95</v>
      </c>
      <c r="D157" s="1" t="s">
        <v>93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/>
      <c r="BM157" s="1">
        <v>50</v>
      </c>
      <c r="BN157" s="1">
        <v>50</v>
      </c>
      <c r="BO157" s="1">
        <v>50</v>
      </c>
      <c r="BP157" s="1">
        <v>50</v>
      </c>
      <c r="BQ157" s="1">
        <f>SUM(E157:BP157)</f>
        <v>200</v>
      </c>
      <c r="BR157" s="1">
        <v>82</v>
      </c>
      <c r="BS157" s="17">
        <v>2</v>
      </c>
      <c r="BT157" s="17" t="s">
        <v>311</v>
      </c>
      <c r="BU157">
        <f>SUM(P157:AD157)</f>
        <v>0</v>
      </c>
      <c r="BV157" s="23">
        <f>AF157+AH157+AI157+AJ157+AO157+AP157</f>
        <v>0</v>
      </c>
    </row>
    <row r="158" spans="1:74" s="68" customFormat="1" ht="27">
      <c r="A158" s="1"/>
      <c r="B158" s="1" t="s">
        <v>161</v>
      </c>
      <c r="C158" s="1" t="s">
        <v>95</v>
      </c>
      <c r="D158" s="1" t="s">
        <v>93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/>
      <c r="BM158" s="1">
        <v>50</v>
      </c>
      <c r="BN158" s="1">
        <v>50</v>
      </c>
      <c r="BO158" s="1">
        <v>50</v>
      </c>
      <c r="BP158" s="1">
        <v>50</v>
      </c>
      <c r="BQ158" s="1">
        <f>SUM(E158:BP158)</f>
        <v>200</v>
      </c>
      <c r="BR158" s="1">
        <v>82</v>
      </c>
      <c r="BS158" s="17">
        <v>2</v>
      </c>
      <c r="BT158" s="17" t="s">
        <v>311</v>
      </c>
      <c r="BU158">
        <f>SUM(P158:AD158)</f>
        <v>0</v>
      </c>
      <c r="BV158" s="23">
        <f>AF158+AH158+AI158+AJ158+AO158+AP158</f>
        <v>0</v>
      </c>
    </row>
    <row r="159" spans="1:74" s="68" customFormat="1" ht="40.5">
      <c r="A159" s="1">
        <v>28</v>
      </c>
      <c r="B159" s="1" t="s">
        <v>57</v>
      </c>
      <c r="C159" s="1" t="s">
        <v>24</v>
      </c>
      <c r="D159" s="1" t="s">
        <v>0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1"/>
      <c r="AF159" s="1"/>
      <c r="AG159" s="1"/>
      <c r="AH159" s="1">
        <v>5</v>
      </c>
      <c r="AI159" s="1">
        <v>5</v>
      </c>
      <c r="AJ159" s="1">
        <v>5</v>
      </c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>
        <f>SUM(E159:BP159)</f>
        <v>15</v>
      </c>
      <c r="BR159" s="1">
        <v>15</v>
      </c>
      <c r="BS159" s="17">
        <v>3</v>
      </c>
      <c r="BT159" s="17" t="s">
        <v>313</v>
      </c>
      <c r="BU159">
        <f>SUM(P159:AD159)</f>
        <v>0</v>
      </c>
      <c r="BV159" s="23">
        <f>AF159+AH159+AI159+AJ159+AO159+AP159</f>
        <v>15</v>
      </c>
    </row>
    <row r="160" spans="1:74" s="68" customFormat="1" ht="40.5">
      <c r="A160" s="1">
        <v>89</v>
      </c>
      <c r="B160" s="3" t="s">
        <v>62</v>
      </c>
      <c r="C160" s="3" t="s">
        <v>63</v>
      </c>
      <c r="D160" s="1" t="s">
        <v>0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1"/>
      <c r="AF160" s="1">
        <v>5</v>
      </c>
      <c r="AG160" s="1"/>
      <c r="AH160" s="1">
        <v>5</v>
      </c>
      <c r="AI160" s="1">
        <v>5</v>
      </c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>
        <f>SUM(E160:BP160)</f>
        <v>15</v>
      </c>
      <c r="BR160" s="1">
        <v>15</v>
      </c>
      <c r="BS160" s="17">
        <v>3</v>
      </c>
      <c r="BT160" s="17" t="s">
        <v>314</v>
      </c>
      <c r="BU160">
        <f>SUM(P160:AD160)</f>
        <v>0</v>
      </c>
      <c r="BV160" s="23">
        <f>AF160+AH160+AI160+AJ160+AO160+AP160</f>
        <v>15</v>
      </c>
    </row>
    <row r="161" spans="1:74" s="68" customFormat="1" ht="40.5">
      <c r="A161" s="1"/>
      <c r="B161" s="1" t="s">
        <v>114</v>
      </c>
      <c r="C161" s="1" t="s">
        <v>97</v>
      </c>
      <c r="D161" s="1" t="s">
        <v>100</v>
      </c>
      <c r="E161" s="6"/>
      <c r="F161" s="6"/>
      <c r="G161" s="6"/>
      <c r="H161" s="6">
        <v>10</v>
      </c>
      <c r="I161" s="6"/>
      <c r="J161" s="6"/>
      <c r="K161" s="6"/>
      <c r="L161" s="6"/>
      <c r="M161" s="6"/>
      <c r="N161" s="6"/>
      <c r="O161" s="6"/>
      <c r="P161" s="28"/>
      <c r="Q161" s="28"/>
      <c r="R161" s="28">
        <v>10</v>
      </c>
      <c r="S161" s="28"/>
      <c r="T161" s="28"/>
      <c r="U161" s="28"/>
      <c r="V161" s="28"/>
      <c r="W161" s="28"/>
      <c r="X161" s="28">
        <v>10</v>
      </c>
      <c r="Y161" s="28"/>
      <c r="Z161" s="28"/>
      <c r="AA161" s="28"/>
      <c r="AB161" s="28"/>
      <c r="AC161" s="28"/>
      <c r="AD161" s="28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>
        <v>10</v>
      </c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>
        <f>SUM(E161:BP161)</f>
        <v>40</v>
      </c>
      <c r="BR161" s="1">
        <v>16</v>
      </c>
      <c r="BS161" s="17">
        <v>3</v>
      </c>
      <c r="BT161" s="17" t="s">
        <v>316</v>
      </c>
      <c r="BU161">
        <f>SUM(P161:AD161)</f>
        <v>20</v>
      </c>
      <c r="BV161" s="23">
        <f>AF161+AH161+AI161+AJ161+AO161+AP161</f>
        <v>0</v>
      </c>
    </row>
    <row r="162" spans="1:74" s="68" customFormat="1" ht="40.5">
      <c r="A162" s="1"/>
      <c r="B162" s="3" t="s">
        <v>201</v>
      </c>
      <c r="C162" s="3" t="s">
        <v>96</v>
      </c>
      <c r="D162" s="1" t="s">
        <v>191</v>
      </c>
      <c r="E162" s="6"/>
      <c r="F162" s="6"/>
      <c r="G162" s="6"/>
      <c r="H162" s="6">
        <v>10</v>
      </c>
      <c r="I162" s="6"/>
      <c r="J162" s="6"/>
      <c r="K162" s="6"/>
      <c r="L162" s="6"/>
      <c r="M162" s="6"/>
      <c r="N162" s="6"/>
      <c r="O162" s="6"/>
      <c r="P162" s="28"/>
      <c r="Q162" s="28"/>
      <c r="R162" s="28">
        <v>10</v>
      </c>
      <c r="S162" s="28"/>
      <c r="T162" s="28"/>
      <c r="U162" s="28"/>
      <c r="V162" s="28"/>
      <c r="W162" s="28"/>
      <c r="X162" s="28">
        <v>10</v>
      </c>
      <c r="Y162" s="28"/>
      <c r="Z162" s="28"/>
      <c r="AA162" s="28"/>
      <c r="AB162" s="28"/>
      <c r="AC162" s="28"/>
      <c r="AD162" s="28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4"/>
      <c r="AR162" s="4">
        <v>10</v>
      </c>
      <c r="AS162" s="4"/>
      <c r="AT162" s="4"/>
      <c r="AU162" s="4"/>
      <c r="AV162" s="4"/>
      <c r="AW162" s="2"/>
      <c r="AX162" s="2"/>
      <c r="AY162" s="2"/>
      <c r="AZ162" s="2"/>
      <c r="BA162" s="2"/>
      <c r="BB162" s="2"/>
      <c r="BC162" s="14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>
        <f>SUM(E162:BP162)</f>
        <v>40</v>
      </c>
      <c r="BR162" s="1">
        <v>16</v>
      </c>
      <c r="BS162" s="17">
        <v>3</v>
      </c>
      <c r="BT162" s="17" t="s">
        <v>316</v>
      </c>
      <c r="BU162">
        <f>SUM(P162:AD162)</f>
        <v>20</v>
      </c>
      <c r="BV162" s="23">
        <f>AF162+AH162+AI162+AJ162+AO162+AP162</f>
        <v>0</v>
      </c>
    </row>
    <row r="163" spans="1:74" ht="40.5">
      <c r="A163" s="1"/>
      <c r="B163" s="1" t="s">
        <v>235</v>
      </c>
      <c r="C163" s="1" t="s">
        <v>50</v>
      </c>
      <c r="D163" s="1" t="s">
        <v>230</v>
      </c>
      <c r="E163" s="6"/>
      <c r="F163" s="6"/>
      <c r="G163" s="6"/>
      <c r="H163" s="6">
        <v>10</v>
      </c>
      <c r="I163" s="6"/>
      <c r="J163" s="6"/>
      <c r="K163" s="6"/>
      <c r="L163" s="6"/>
      <c r="M163" s="6"/>
      <c r="N163" s="6"/>
      <c r="O163" s="6"/>
      <c r="P163" s="28"/>
      <c r="Q163" s="28"/>
      <c r="R163" s="28">
        <v>10</v>
      </c>
      <c r="S163" s="28"/>
      <c r="T163" s="28"/>
      <c r="U163" s="28"/>
      <c r="V163" s="28"/>
      <c r="W163" s="28"/>
      <c r="X163" s="28">
        <v>10</v>
      </c>
      <c r="Y163" s="28"/>
      <c r="Z163" s="28"/>
      <c r="AA163" s="28"/>
      <c r="AB163" s="28"/>
      <c r="AC163" s="28"/>
      <c r="AD163" s="28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4"/>
      <c r="AR163" s="4">
        <v>10</v>
      </c>
      <c r="AS163" s="4"/>
      <c r="AT163" s="4"/>
      <c r="AU163" s="4"/>
      <c r="AV163" s="4"/>
      <c r="AW163" s="2"/>
      <c r="AX163" s="2"/>
      <c r="AY163" s="2"/>
      <c r="AZ163" s="2"/>
      <c r="BA163" s="2"/>
      <c r="BB163" s="2"/>
      <c r="BC163" s="14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>
        <f>SUM(E163:BP163)</f>
        <v>40</v>
      </c>
      <c r="BR163" s="1">
        <v>16</v>
      </c>
      <c r="BS163" s="17">
        <v>3</v>
      </c>
      <c r="BT163" s="17" t="s">
        <v>316</v>
      </c>
      <c r="BU163">
        <f>SUM(P163:AD163)</f>
        <v>20</v>
      </c>
      <c r="BV163" s="23">
        <f>AF163+AH163+AI163+AJ163+AO163+AP163</f>
        <v>0</v>
      </c>
    </row>
    <row r="164" spans="1:74">
      <c r="A164" s="1"/>
      <c r="B164" s="1" t="s">
        <v>54</v>
      </c>
      <c r="C164" s="1"/>
      <c r="D164" s="1"/>
      <c r="E164" s="6">
        <f>SUM(E2:E163)</f>
        <v>112</v>
      </c>
      <c r="F164" s="6">
        <f>SUM(F2:F163)</f>
        <v>15</v>
      </c>
      <c r="G164" s="6">
        <f>SUM(G2:G163)</f>
        <v>115</v>
      </c>
      <c r="H164" s="6">
        <f>SUM(H2:H163)</f>
        <v>102</v>
      </c>
      <c r="I164" s="6">
        <f>SUM(I2:I163)</f>
        <v>58</v>
      </c>
      <c r="J164" s="6">
        <f>SUM(J2:J163)</f>
        <v>70</v>
      </c>
      <c r="K164" s="6">
        <f>SUM(K2:K163)</f>
        <v>32</v>
      </c>
      <c r="L164" s="6">
        <f>SUM(L2:L163)</f>
        <v>83</v>
      </c>
      <c r="M164" s="6">
        <f>SUM(M2:M163)</f>
        <v>56</v>
      </c>
      <c r="N164" s="6">
        <f>SUM(N2:N163)</f>
        <v>20</v>
      </c>
      <c r="O164" s="6">
        <f>SUM(O2:O163)</f>
        <v>66</v>
      </c>
      <c r="P164" s="28">
        <f>SUM(P2:P163)</f>
        <v>230</v>
      </c>
      <c r="Q164" s="28">
        <f>SUM(Q2:Q163)</f>
        <v>129</v>
      </c>
      <c r="R164" s="28">
        <f>SUM(R2:R163)</f>
        <v>183</v>
      </c>
      <c r="S164" s="28">
        <f>SUM(S2:S163)</f>
        <v>230</v>
      </c>
      <c r="T164" s="28">
        <f>SUM(T2:T163)</f>
        <v>109</v>
      </c>
      <c r="U164" s="28">
        <f>SUM(U2:U163)</f>
        <v>158</v>
      </c>
      <c r="V164" s="28">
        <f>SUM(V2:V163)</f>
        <v>235</v>
      </c>
      <c r="W164" s="28">
        <f>SUM(W2:W163)</f>
        <v>90</v>
      </c>
      <c r="X164" s="28">
        <f>SUM(X2:X163)</f>
        <v>157</v>
      </c>
      <c r="Y164" s="28">
        <f>SUM(Y2:Y163)</f>
        <v>215</v>
      </c>
      <c r="Z164" s="28">
        <f>SUM(Z2:Z163)</f>
        <v>105</v>
      </c>
      <c r="AA164" s="28">
        <f>SUM(AA2:AA163)</f>
        <v>130</v>
      </c>
      <c r="AB164" s="28">
        <f>SUM(AB2:AB163)</f>
        <v>240</v>
      </c>
      <c r="AC164" s="28">
        <f>SUM(AC2:AC163)</f>
        <v>90</v>
      </c>
      <c r="AD164" s="28">
        <f>SUM(AD2:AD163)</f>
        <v>126</v>
      </c>
      <c r="AE164" s="1">
        <f>SUM(AE2:AE163)</f>
        <v>250</v>
      </c>
      <c r="AF164" s="1">
        <f>SUM(AF2:AF163)</f>
        <v>10</v>
      </c>
      <c r="AG164" s="1">
        <f>SUM(AG2:AG163)</f>
        <v>5</v>
      </c>
      <c r="AH164" s="1">
        <f>SUM(AH2:AH163)</f>
        <v>30</v>
      </c>
      <c r="AI164" s="1">
        <f>SUM(AI2:AI163)</f>
        <v>30</v>
      </c>
      <c r="AJ164" s="1">
        <f>SUM(AJ2:AJ163)</f>
        <v>5</v>
      </c>
      <c r="AK164" s="1">
        <f>SUM(AK2:AK163)</f>
        <v>0</v>
      </c>
      <c r="AL164" s="1">
        <f>SUM(AL2:AL163)</f>
        <v>0</v>
      </c>
      <c r="AM164" s="1">
        <f>SUM(AM2:AM163)</f>
        <v>0</v>
      </c>
      <c r="AN164" s="1">
        <f>SUM(AN2:AN163)</f>
        <v>45</v>
      </c>
      <c r="AO164" s="1">
        <f>SUM(AO2:AO163)</f>
        <v>33</v>
      </c>
      <c r="AP164" s="1">
        <f>SUM(AP2:AP163)</f>
        <v>27</v>
      </c>
      <c r="AQ164" s="4">
        <f>SUM(AQ2:AQ163)</f>
        <v>155</v>
      </c>
      <c r="AR164" s="4">
        <f>SUM(AR2:AR163)</f>
        <v>95</v>
      </c>
      <c r="AS164" s="4">
        <f>SUM(AS2:AS163)</f>
        <v>65</v>
      </c>
      <c r="AT164" s="4">
        <f>SUM(AT2:AT163)</f>
        <v>58</v>
      </c>
      <c r="AU164" s="4">
        <f>SUM(AU2:AU163)</f>
        <v>95</v>
      </c>
      <c r="AV164" s="4">
        <f>SUM(AV2:AV163)</f>
        <v>145</v>
      </c>
      <c r="AW164" s="2">
        <f>SUM(AW2:AW163)</f>
        <v>100</v>
      </c>
      <c r="AX164" s="2">
        <f>SUM(AX2:AX163)</f>
        <v>55</v>
      </c>
      <c r="AY164" s="2">
        <f>SUM(AY2:AY163)</f>
        <v>45</v>
      </c>
      <c r="AZ164" s="2">
        <f>SUM(AZ2:AZ163)</f>
        <v>48</v>
      </c>
      <c r="BA164" s="2">
        <f>SUM(BA2:BA163)</f>
        <v>120</v>
      </c>
      <c r="BB164" s="2">
        <f>SUM(BB2:BB163)</f>
        <v>225</v>
      </c>
      <c r="BC164" s="1">
        <f>SUM(BC2:BC163)</f>
        <v>20</v>
      </c>
      <c r="BD164" s="1">
        <f>SUM(BD2:BD163)</f>
        <v>20</v>
      </c>
      <c r="BE164" s="1">
        <f>SUM(BE2:BE163)</f>
        <v>90</v>
      </c>
      <c r="BF164" s="1">
        <f>SUM(BF2:BF163)</f>
        <v>90</v>
      </c>
      <c r="BG164" s="1">
        <f>SUM(BG2:BG163)</f>
        <v>20</v>
      </c>
      <c r="BH164" s="1">
        <f>SUM(BH2:BH163)</f>
        <v>20</v>
      </c>
      <c r="BI164" s="1">
        <f>SUM(BI2:BI163)</f>
        <v>20</v>
      </c>
      <c r="BJ164" s="1">
        <f>SUM(BJ2:BJ163)</f>
        <v>20</v>
      </c>
      <c r="BK164" s="1">
        <f>SUM(BK2:BK163)</f>
        <v>200</v>
      </c>
      <c r="BL164" s="1">
        <f>SUM(BL2:BL163)</f>
        <v>200</v>
      </c>
      <c r="BM164" s="1">
        <f>SUM(BM2:BM163)</f>
        <v>150</v>
      </c>
      <c r="BN164" s="1">
        <f>SUM(BN2:BN163)</f>
        <v>150</v>
      </c>
      <c r="BO164" s="1">
        <f>SUM(BO2:BO163)</f>
        <v>350</v>
      </c>
      <c r="BP164" s="1">
        <f>SUM(BP2:BP163)</f>
        <v>350</v>
      </c>
      <c r="BQ164" s="1"/>
      <c r="BR164" s="1"/>
      <c r="BS164" s="17"/>
      <c r="BT164" s="17"/>
    </row>
    <row r="165" spans="1:74">
      <c r="A165" s="1"/>
      <c r="B165" s="3" t="s">
        <v>71</v>
      </c>
      <c r="C165" s="1"/>
      <c r="D165" s="1"/>
      <c r="E165" s="1">
        <v>25</v>
      </c>
      <c r="F165" s="1">
        <v>52</v>
      </c>
      <c r="G165" s="1">
        <v>10</v>
      </c>
      <c r="H165" s="1">
        <v>7</v>
      </c>
      <c r="I165" s="1">
        <v>95</v>
      </c>
      <c r="J165" s="1">
        <v>82</v>
      </c>
      <c r="K165" s="1">
        <v>72</v>
      </c>
      <c r="L165" s="1">
        <v>93</v>
      </c>
      <c r="M165" s="1">
        <v>61</v>
      </c>
      <c r="N165" s="1">
        <v>96</v>
      </c>
      <c r="O165" s="1">
        <v>66</v>
      </c>
      <c r="P165" s="14">
        <v>103</v>
      </c>
      <c r="Q165" s="14">
        <v>29</v>
      </c>
      <c r="R165" s="14">
        <v>5</v>
      </c>
      <c r="S165" s="14">
        <v>152</v>
      </c>
      <c r="T165" s="14">
        <v>38</v>
      </c>
      <c r="U165" s="14">
        <v>10</v>
      </c>
      <c r="V165" s="14">
        <v>106</v>
      </c>
      <c r="W165" s="14">
        <v>40</v>
      </c>
      <c r="X165" s="14">
        <v>2</v>
      </c>
      <c r="Y165" s="14">
        <v>92</v>
      </c>
      <c r="Z165" s="14">
        <v>51</v>
      </c>
      <c r="AA165" s="14">
        <v>12</v>
      </c>
      <c r="AB165" s="14">
        <v>123</v>
      </c>
      <c r="AC165" s="14">
        <v>35</v>
      </c>
      <c r="AD165" s="14">
        <v>14</v>
      </c>
      <c r="AE165" s="1">
        <v>17</v>
      </c>
      <c r="AF165" s="1">
        <v>0</v>
      </c>
      <c r="AG165" s="1">
        <v>7</v>
      </c>
      <c r="AH165" s="1">
        <v>0</v>
      </c>
      <c r="AI165" s="1">
        <v>0</v>
      </c>
      <c r="AJ165" s="1">
        <v>0</v>
      </c>
      <c r="AK165" s="1">
        <v>23</v>
      </c>
      <c r="AL165" s="1">
        <v>33</v>
      </c>
      <c r="AM165" s="1">
        <v>0</v>
      </c>
      <c r="AN165" s="1">
        <v>3</v>
      </c>
      <c r="AO165" s="1">
        <v>0</v>
      </c>
      <c r="AP165" s="1">
        <v>0</v>
      </c>
      <c r="AQ165" s="14">
        <v>42</v>
      </c>
      <c r="AR165" s="14">
        <v>52</v>
      </c>
      <c r="AS165" s="14">
        <v>36</v>
      </c>
      <c r="AT165" s="14">
        <v>10</v>
      </c>
      <c r="AU165" s="14">
        <v>39</v>
      </c>
      <c r="AV165" s="14">
        <v>86</v>
      </c>
      <c r="AW165" s="14">
        <v>40</v>
      </c>
      <c r="AX165" s="14">
        <v>46</v>
      </c>
      <c r="AY165" s="14">
        <v>11</v>
      </c>
      <c r="AZ165" s="14">
        <v>6</v>
      </c>
      <c r="BA165" s="14">
        <v>22</v>
      </c>
      <c r="BB165" s="14">
        <v>23</v>
      </c>
      <c r="BC165" s="14">
        <v>8</v>
      </c>
      <c r="BD165" s="1">
        <v>14</v>
      </c>
      <c r="BE165" s="1">
        <v>255</v>
      </c>
      <c r="BF165" s="1">
        <v>396</v>
      </c>
      <c r="BG165" s="1">
        <v>312</v>
      </c>
      <c r="BH165" s="1">
        <v>330</v>
      </c>
      <c r="BI165" s="1">
        <v>162</v>
      </c>
      <c r="BJ165" s="1">
        <v>195</v>
      </c>
      <c r="BK165" s="1">
        <v>96</v>
      </c>
      <c r="BL165" s="1">
        <v>105</v>
      </c>
      <c r="BM165" s="1">
        <v>164</v>
      </c>
      <c r="BN165" s="1">
        <v>53</v>
      </c>
      <c r="BO165" s="1">
        <v>5</v>
      </c>
      <c r="BP165" s="1">
        <v>13</v>
      </c>
      <c r="BQ165" s="1"/>
      <c r="BR165" s="1"/>
      <c r="BS165" s="17"/>
      <c r="BT165" s="17"/>
    </row>
    <row r="166" spans="1:74">
      <c r="A166" s="1"/>
      <c r="B166" s="3" t="s">
        <v>78</v>
      </c>
      <c r="C166" s="1"/>
      <c r="D166" s="1"/>
      <c r="E166" s="1">
        <f>E165-E164</f>
        <v>-87</v>
      </c>
      <c r="F166" s="1">
        <f>F165-F164</f>
        <v>37</v>
      </c>
      <c r="G166" s="1">
        <f>G165-G164</f>
        <v>-105</v>
      </c>
      <c r="H166" s="1">
        <f>H165-H164</f>
        <v>-95</v>
      </c>
      <c r="I166" s="1">
        <f>I165-I164</f>
        <v>37</v>
      </c>
      <c r="J166" s="1">
        <f>J165-J164</f>
        <v>12</v>
      </c>
      <c r="K166" s="1">
        <f>K165-K164</f>
        <v>40</v>
      </c>
      <c r="L166" s="1">
        <f>L165-L164</f>
        <v>10</v>
      </c>
      <c r="M166" s="1">
        <f>M165-M164</f>
        <v>5</v>
      </c>
      <c r="N166" s="1">
        <f>N165-N164</f>
        <v>76</v>
      </c>
      <c r="O166" s="1">
        <f>O165-O164</f>
        <v>0</v>
      </c>
      <c r="P166" s="1">
        <f>P165-P164</f>
        <v>-127</v>
      </c>
      <c r="Q166" s="1">
        <f>Q165-Q164</f>
        <v>-100</v>
      </c>
      <c r="R166" s="1">
        <f>R165-R164</f>
        <v>-178</v>
      </c>
      <c r="S166" s="1">
        <f>S165-S164</f>
        <v>-78</v>
      </c>
      <c r="T166" s="1">
        <f>T165-T164</f>
        <v>-71</v>
      </c>
      <c r="U166" s="1">
        <f>U165-U164</f>
        <v>-148</v>
      </c>
      <c r="V166" s="1">
        <f>V165-V164</f>
        <v>-129</v>
      </c>
      <c r="W166" s="1">
        <f>W165-W164</f>
        <v>-50</v>
      </c>
      <c r="X166" s="1">
        <f>X165-X164</f>
        <v>-155</v>
      </c>
      <c r="Y166" s="1">
        <f>Y165-Y164</f>
        <v>-123</v>
      </c>
      <c r="Z166" s="1">
        <f>Z165-Z164</f>
        <v>-54</v>
      </c>
      <c r="AA166" s="1">
        <f>AA165-AA164</f>
        <v>-118</v>
      </c>
      <c r="AB166" s="1">
        <f>AB165-AB164</f>
        <v>-117</v>
      </c>
      <c r="AC166" s="1">
        <f>AC165-AC164</f>
        <v>-55</v>
      </c>
      <c r="AD166" s="1">
        <f>AD165-AD164</f>
        <v>-112</v>
      </c>
      <c r="AE166" s="1">
        <f>AE165-AE164</f>
        <v>-233</v>
      </c>
      <c r="AF166" s="1">
        <f>AF165-AF164</f>
        <v>-10</v>
      </c>
      <c r="AG166" s="1">
        <f>AG165-AG164</f>
        <v>2</v>
      </c>
      <c r="AH166" s="1">
        <f>AH165-AH164</f>
        <v>-30</v>
      </c>
      <c r="AI166" s="1">
        <f>AI165-AI164</f>
        <v>-30</v>
      </c>
      <c r="AJ166" s="1">
        <f>AJ165-AJ164</f>
        <v>-5</v>
      </c>
      <c r="AK166" s="1">
        <f>AK165-AK164</f>
        <v>23</v>
      </c>
      <c r="AL166" s="1">
        <f>AL165-AL164</f>
        <v>33</v>
      </c>
      <c r="AM166" s="1">
        <f>AM165-AM164</f>
        <v>0</v>
      </c>
      <c r="AN166" s="1">
        <f>AN165-AN164</f>
        <v>-42</v>
      </c>
      <c r="AO166" s="1">
        <f>AO165-AO164</f>
        <v>-33</v>
      </c>
      <c r="AP166" s="1">
        <f>AP165-AP164</f>
        <v>-27</v>
      </c>
      <c r="AQ166" s="1">
        <f>AQ165-AQ164</f>
        <v>-113</v>
      </c>
      <c r="AR166" s="1">
        <f>AR165-AR164</f>
        <v>-43</v>
      </c>
      <c r="AS166" s="1">
        <f>AS165-AS164</f>
        <v>-29</v>
      </c>
      <c r="AT166" s="1">
        <f>AT165-AT164</f>
        <v>-48</v>
      </c>
      <c r="AU166" s="1">
        <f>AU165-AU164</f>
        <v>-56</v>
      </c>
      <c r="AV166" s="1">
        <f>AV165-AV164</f>
        <v>-59</v>
      </c>
      <c r="AW166" s="1">
        <f>AW165-AW164</f>
        <v>-60</v>
      </c>
      <c r="AX166" s="1">
        <f>AX165-AX164</f>
        <v>-9</v>
      </c>
      <c r="AY166" s="1">
        <f>AY165-AY164</f>
        <v>-34</v>
      </c>
      <c r="AZ166" s="1">
        <f>AZ165-AZ164</f>
        <v>-42</v>
      </c>
      <c r="BA166" s="1">
        <f>BA165-BA164</f>
        <v>-98</v>
      </c>
      <c r="BB166" s="1">
        <f>BB165-BB164</f>
        <v>-202</v>
      </c>
      <c r="BC166" s="1">
        <f>BC165-BC164</f>
        <v>-12</v>
      </c>
      <c r="BD166" s="1">
        <f>BD165-BD164</f>
        <v>-6</v>
      </c>
      <c r="BE166" s="1">
        <f>BE165-BE164</f>
        <v>165</v>
      </c>
      <c r="BF166" s="1">
        <f>BF165-BF164</f>
        <v>306</v>
      </c>
      <c r="BG166" s="1">
        <f>BG165-BG164</f>
        <v>292</v>
      </c>
      <c r="BH166" s="1">
        <f>BH165-BH164</f>
        <v>310</v>
      </c>
      <c r="BI166" s="1">
        <f>BI165-BI164</f>
        <v>142</v>
      </c>
      <c r="BJ166" s="1">
        <f>BJ165-BJ164</f>
        <v>175</v>
      </c>
      <c r="BK166" s="1">
        <f>BK165-BK164</f>
        <v>-104</v>
      </c>
      <c r="BL166" s="1">
        <f>BL165-BL164</f>
        <v>-95</v>
      </c>
      <c r="BM166" s="1">
        <f>BM165-BM164</f>
        <v>14</v>
      </c>
      <c r="BN166" s="1">
        <f>BN165-BN164</f>
        <v>-97</v>
      </c>
      <c r="BO166" s="1">
        <f>BO165-BO164</f>
        <v>-345</v>
      </c>
      <c r="BP166" s="1">
        <f>BP165-BP164</f>
        <v>-337</v>
      </c>
      <c r="BQ166" s="1"/>
      <c r="BR166" s="1"/>
      <c r="BS166" s="17"/>
      <c r="BT166" s="17"/>
    </row>
    <row r="167" spans="1:74">
      <c r="A167" s="1"/>
      <c r="B167" s="3" t="s">
        <v>145</v>
      </c>
      <c r="C167" s="1"/>
      <c r="D167" s="1"/>
      <c r="E167" s="1">
        <f>MAX(E2:E163)</f>
        <v>15</v>
      </c>
      <c r="F167" s="1">
        <f>MAX(F2:F163)</f>
        <v>15</v>
      </c>
      <c r="G167" s="1">
        <f>MAX(G2:G163)</f>
        <v>20</v>
      </c>
      <c r="H167" s="1">
        <f>MAX(H2:H163)</f>
        <v>20</v>
      </c>
      <c r="I167" s="1">
        <f>MAX(I2:I163)</f>
        <v>10</v>
      </c>
      <c r="J167" s="1">
        <f>MAX(J2:J163)</f>
        <v>10</v>
      </c>
      <c r="K167" s="1">
        <f>MAX(K2:K163)</f>
        <v>10</v>
      </c>
      <c r="L167" s="1">
        <f>MAX(L2:L163)</f>
        <v>20</v>
      </c>
      <c r="M167" s="1">
        <f>MAX(M2:M163)</f>
        <v>10</v>
      </c>
      <c r="N167" s="1">
        <f>MAX(N2:N163)</f>
        <v>10</v>
      </c>
      <c r="O167" s="1">
        <f>MAX(O2:O163)</f>
        <v>20</v>
      </c>
      <c r="P167" s="1">
        <f>MAX(P2:P163)</f>
        <v>10</v>
      </c>
      <c r="Q167" s="1">
        <f>MAX(Q2:Q163)</f>
        <v>7</v>
      </c>
      <c r="R167" s="1">
        <f>MAX(R2:R163)</f>
        <v>10</v>
      </c>
      <c r="S167" s="1">
        <f>MAX(S2:S163)</f>
        <v>10</v>
      </c>
      <c r="T167" s="1">
        <f>MAX(T2:T163)</f>
        <v>7</v>
      </c>
      <c r="U167" s="1">
        <f>MAX(U2:U163)</f>
        <v>10</v>
      </c>
      <c r="V167" s="1">
        <f>MAX(V2:V163)</f>
        <v>10</v>
      </c>
      <c r="W167" s="1">
        <f>MAX(W2:W163)</f>
        <v>5</v>
      </c>
      <c r="X167" s="1">
        <f>MAX(X2:X163)</f>
        <v>10</v>
      </c>
      <c r="Y167" s="1">
        <f>MAX(Y2:Y163)</f>
        <v>10</v>
      </c>
      <c r="Z167" s="1">
        <f>MAX(Z2:Z163)</f>
        <v>5</v>
      </c>
      <c r="AA167" s="1">
        <f>MAX(AA2:AA163)</f>
        <v>10</v>
      </c>
      <c r="AB167" s="1">
        <f>MAX(AB2:AB163)</f>
        <v>10</v>
      </c>
      <c r="AC167" s="1">
        <f>MAX(AC2:AC163)</f>
        <v>5</v>
      </c>
      <c r="AD167" s="1">
        <f>MAX(AD2:AD163)</f>
        <v>10</v>
      </c>
      <c r="AE167" s="1">
        <f>MAX(AE2:AE163)</f>
        <v>200</v>
      </c>
      <c r="AF167" s="1">
        <f>MAX(AF2:AF163)</f>
        <v>5</v>
      </c>
      <c r="AG167" s="1">
        <f>MAX(AG2:AG163)</f>
        <v>5</v>
      </c>
      <c r="AH167" s="1">
        <f>MAX(AH2:AH163)</f>
        <v>5</v>
      </c>
      <c r="AI167" s="1">
        <f>MAX(AI2:AI163)</f>
        <v>5</v>
      </c>
      <c r="AJ167" s="1">
        <f>MAX(AJ2:AJ163)</f>
        <v>5</v>
      </c>
      <c r="AK167" s="1">
        <f>MAX(AK2:AK163)</f>
        <v>0</v>
      </c>
      <c r="AL167" s="1">
        <f>MAX(AL2:AL163)</f>
        <v>0</v>
      </c>
      <c r="AM167" s="1">
        <f>MAX(AM2:AM163)</f>
        <v>0</v>
      </c>
      <c r="AN167" s="1">
        <f>MAX(AN2:AN163)</f>
        <v>25</v>
      </c>
      <c r="AO167" s="1">
        <f>MAX(AO2:AO163)</f>
        <v>10</v>
      </c>
      <c r="AP167" s="1">
        <f>MAX(AP2:AP163)</f>
        <v>10</v>
      </c>
      <c r="AQ167" s="1">
        <f>MAX(AQ2:AQ163)</f>
        <v>40</v>
      </c>
      <c r="AR167" s="1">
        <f>MAX(AR2:AR163)</f>
        <v>15</v>
      </c>
      <c r="AS167" s="1">
        <f>MAX(AS2:AS163)</f>
        <v>10</v>
      </c>
      <c r="AT167" s="1">
        <f>MAX(AT2:AT163)</f>
        <v>10</v>
      </c>
      <c r="AU167" s="1">
        <f>MAX(AU2:AU163)</f>
        <v>15</v>
      </c>
      <c r="AV167" s="1">
        <f>MAX(AV2:AV163)</f>
        <v>40</v>
      </c>
      <c r="AW167" s="1">
        <f>MAX(AW2:AW163)</f>
        <v>40</v>
      </c>
      <c r="AX167" s="1">
        <f>MAX(AX2:AX163)</f>
        <v>40</v>
      </c>
      <c r="AY167" s="1">
        <f>MAX(AY2:AY163)</f>
        <v>15</v>
      </c>
      <c r="AZ167" s="1">
        <f>MAX(AZ2:AZ163)</f>
        <v>10</v>
      </c>
      <c r="BA167" s="1">
        <f>MAX(BA2:BA163)</f>
        <v>20</v>
      </c>
      <c r="BB167" s="1">
        <f>MAX(BB2:BB163)</f>
        <v>40</v>
      </c>
      <c r="BC167" s="1">
        <f>MAX(BC2:BC163)</f>
        <v>10</v>
      </c>
      <c r="BD167" s="1">
        <f>MAX(BD2:BD163)</f>
        <v>10</v>
      </c>
      <c r="BE167" s="1">
        <f>MAX(BE2:BE163)</f>
        <v>50</v>
      </c>
      <c r="BF167" s="1">
        <f>MAX(BF2:BF163)</f>
        <v>50</v>
      </c>
      <c r="BG167" s="1">
        <f>MAX(BG2:BG163)</f>
        <v>20</v>
      </c>
      <c r="BH167" s="1">
        <f>MAX(BH2:BH163)</f>
        <v>20</v>
      </c>
      <c r="BI167" s="1">
        <f>MAX(BI2:BI163)</f>
        <v>20</v>
      </c>
      <c r="BJ167" s="1">
        <f>MAX(BJ2:BJ163)</f>
        <v>20</v>
      </c>
      <c r="BK167" s="1">
        <f>MAX(BK2:BK163)</f>
        <v>50</v>
      </c>
      <c r="BL167" s="1">
        <f>MAX(BL2:BL163)</f>
        <v>50</v>
      </c>
      <c r="BM167" s="1">
        <f>MAX(BM2:BM163)</f>
        <v>50</v>
      </c>
      <c r="BN167" s="1">
        <f>MAX(BN2:BN163)</f>
        <v>50</v>
      </c>
      <c r="BO167" s="1">
        <f>MAX(BO2:BO163)</f>
        <v>50</v>
      </c>
      <c r="BP167" s="1">
        <f>MAX(BP2:BP163)</f>
        <v>50</v>
      </c>
      <c r="BQ167" s="1"/>
      <c r="BR167" s="1"/>
      <c r="BS167" s="17"/>
      <c r="BT167" s="17"/>
    </row>
    <row r="168" spans="1:74">
      <c r="A168" s="1"/>
      <c r="B168" s="3" t="s">
        <v>146</v>
      </c>
      <c r="C168" s="1"/>
      <c r="D168" s="1"/>
      <c r="E168" s="1">
        <f>MIN(E2:E163)</f>
        <v>5</v>
      </c>
      <c r="F168" s="1">
        <f>MIN(F2:F163)</f>
        <v>15</v>
      </c>
      <c r="G168" s="1">
        <f>MIN(G2:G163)</f>
        <v>10</v>
      </c>
      <c r="H168" s="1">
        <f>MIN(H2:H163)</f>
        <v>5</v>
      </c>
      <c r="I168" s="1">
        <f>MIN(I2:I163)</f>
        <v>5</v>
      </c>
      <c r="J168" s="1">
        <f>MIN(J2:J163)</f>
        <v>10</v>
      </c>
      <c r="K168" s="1">
        <f>MIN(K2:K163)</f>
        <v>6</v>
      </c>
      <c r="L168" s="1">
        <f>MIN(L2:L163)</f>
        <v>5</v>
      </c>
      <c r="M168" s="1">
        <f>MIN(M2:M163)</f>
        <v>6</v>
      </c>
      <c r="N168" s="1">
        <f>MIN(N2:N163)</f>
        <v>10</v>
      </c>
      <c r="O168" s="1">
        <f>MIN(O2:O163)</f>
        <v>5</v>
      </c>
      <c r="P168" s="1">
        <f>MIN(P2:P163)</f>
        <v>10</v>
      </c>
      <c r="Q168" s="1">
        <f>MIN(Q2:Q163)</f>
        <v>5</v>
      </c>
      <c r="R168" s="1">
        <f>MIN(R2:R163)</f>
        <v>2</v>
      </c>
      <c r="S168" s="1">
        <f>MIN(S2:S163)</f>
        <v>10</v>
      </c>
      <c r="T168" s="1">
        <f>MIN(T2:T163)</f>
        <v>5</v>
      </c>
      <c r="U168" s="1">
        <f>MIN(U2:U163)</f>
        <v>2</v>
      </c>
      <c r="V168" s="1">
        <f>MIN(V2:V163)</f>
        <v>5</v>
      </c>
      <c r="W168" s="1">
        <f>MIN(W2:W163)</f>
        <v>5</v>
      </c>
      <c r="X168" s="1">
        <f>MIN(X2:X163)</f>
        <v>2</v>
      </c>
      <c r="Y168" s="1">
        <f>MIN(Y2:Y163)</f>
        <v>5</v>
      </c>
      <c r="Z168" s="1">
        <f>MIN(Z2:Z163)</f>
        <v>5</v>
      </c>
      <c r="AA168" s="1">
        <f>MIN(AA2:AA163)</f>
        <v>2</v>
      </c>
      <c r="AB168" s="1">
        <f>MIN(AB2:AB163)</f>
        <v>10</v>
      </c>
      <c r="AC168" s="1">
        <f>MIN(AC2:AC163)</f>
        <v>5</v>
      </c>
      <c r="AD168" s="1">
        <f>MIN(AD2:AD163)</f>
        <v>2</v>
      </c>
      <c r="AE168" s="1">
        <f>MIN(AE2:AE163)</f>
        <v>50</v>
      </c>
      <c r="AF168" s="1">
        <f>MIN(AF2:AF163)</f>
        <v>5</v>
      </c>
      <c r="AG168" s="1">
        <f>MIN(AG2:AG163)</f>
        <v>5</v>
      </c>
      <c r="AH168" s="1">
        <f>MIN(AH2:AH163)</f>
        <v>5</v>
      </c>
      <c r="AI168" s="1">
        <f>MIN(AI2:AI163)</f>
        <v>5</v>
      </c>
      <c r="AJ168" s="1">
        <f>MIN(AJ2:AJ163)</f>
        <v>5</v>
      </c>
      <c r="AK168" s="1">
        <f>MIN(AK2:AK163)</f>
        <v>0</v>
      </c>
      <c r="AL168" s="1">
        <f>MIN(AL2:AL163)</f>
        <v>0</v>
      </c>
      <c r="AM168" s="1">
        <f>MIN(AM2:AM163)</f>
        <v>0</v>
      </c>
      <c r="AN168" s="1">
        <f>MIN(AN2:AN163)</f>
        <v>5</v>
      </c>
      <c r="AO168" s="1">
        <f>MIN(AO2:AO163)</f>
        <v>2</v>
      </c>
      <c r="AP168" s="1">
        <f>MIN(AP2:AP163)</f>
        <v>1</v>
      </c>
      <c r="AQ168" s="1">
        <f>MIN(AQ2:AQ163)</f>
        <v>10</v>
      </c>
      <c r="AR168" s="1">
        <f>MIN(AR2:AR163)</f>
        <v>10</v>
      </c>
      <c r="AS168" s="1">
        <f>MIN(AS2:AS163)</f>
        <v>5</v>
      </c>
      <c r="AT168" s="1">
        <f>MIN(AT2:AT163)</f>
        <v>8</v>
      </c>
      <c r="AU168" s="1">
        <f>MIN(AU2:AU163)</f>
        <v>10</v>
      </c>
      <c r="AV168" s="1">
        <f>MIN(AV2:AV163)</f>
        <v>10</v>
      </c>
      <c r="AW168" s="1">
        <f>MIN(AW2:AW163)</f>
        <v>10</v>
      </c>
      <c r="AX168" s="1">
        <f>MIN(AX2:AX163)</f>
        <v>5</v>
      </c>
      <c r="AY168" s="1">
        <f>MIN(AY2:AY163)</f>
        <v>10</v>
      </c>
      <c r="AZ168" s="1">
        <f>MIN(AZ2:AZ163)</f>
        <v>8</v>
      </c>
      <c r="BA168" s="1">
        <f>MIN(BA2:BA163)</f>
        <v>10</v>
      </c>
      <c r="BB168" s="1">
        <f>MIN(BB2:BB163)</f>
        <v>10</v>
      </c>
      <c r="BC168" s="1">
        <f>MIN(BC2:BC163)</f>
        <v>10</v>
      </c>
      <c r="BD168" s="1">
        <f>MIN(BD2:BD163)</f>
        <v>10</v>
      </c>
      <c r="BE168" s="1">
        <f>MIN(BE2:BE163)</f>
        <v>20</v>
      </c>
      <c r="BF168" s="1">
        <f>MIN(BF2:BF163)</f>
        <v>20</v>
      </c>
      <c r="BG168" s="1">
        <f>MIN(BG2:BG163)</f>
        <v>20</v>
      </c>
      <c r="BH168" s="1">
        <f>MIN(BH2:BH163)</f>
        <v>20</v>
      </c>
      <c r="BI168" s="1">
        <f>MIN(BI2:BI163)</f>
        <v>20</v>
      </c>
      <c r="BJ168" s="1">
        <f>MIN(BJ2:BJ163)</f>
        <v>20</v>
      </c>
      <c r="BK168" s="1">
        <f>MIN(BK2:BK163)</f>
        <v>50</v>
      </c>
      <c r="BL168" s="1">
        <f>MIN(BL2:BL163)</f>
        <v>50</v>
      </c>
      <c r="BM168" s="1">
        <f>MIN(BM2:BM163)</f>
        <v>50</v>
      </c>
      <c r="BN168" s="1">
        <f>MIN(BN2:BN163)</f>
        <v>50</v>
      </c>
      <c r="BO168" s="1">
        <f>MIN(BO2:BO163)</f>
        <v>50</v>
      </c>
      <c r="BP168" s="1">
        <f>MIN(BP2:BP163)</f>
        <v>50</v>
      </c>
      <c r="BQ168" s="1"/>
      <c r="BR168" s="1"/>
      <c r="BS168" s="17"/>
      <c r="BT168" s="17"/>
    </row>
    <row r="169" spans="1:74">
      <c r="A169" s="1"/>
      <c r="B169" s="3" t="s">
        <v>147</v>
      </c>
      <c r="C169" s="1"/>
      <c r="D169" s="1"/>
      <c r="E169" s="1">
        <f>E165-E167</f>
        <v>10</v>
      </c>
      <c r="F169" s="1">
        <f>F165-F167</f>
        <v>37</v>
      </c>
      <c r="G169" s="1">
        <f>G165-G167</f>
        <v>-10</v>
      </c>
      <c r="H169" s="1">
        <f>H165-H167</f>
        <v>-13</v>
      </c>
      <c r="I169" s="1">
        <f>I165-I167</f>
        <v>85</v>
      </c>
      <c r="J169" s="1">
        <f>J165-J167</f>
        <v>72</v>
      </c>
      <c r="K169" s="1">
        <f>K165-K167</f>
        <v>62</v>
      </c>
      <c r="L169" s="1">
        <f>L165-L167</f>
        <v>73</v>
      </c>
      <c r="M169" s="1">
        <f>M165-M167</f>
        <v>51</v>
      </c>
      <c r="N169" s="1">
        <f>N165-N167</f>
        <v>86</v>
      </c>
      <c r="O169" s="1">
        <f>O165-O167</f>
        <v>46</v>
      </c>
      <c r="P169" s="1">
        <f>P165-P167</f>
        <v>93</v>
      </c>
      <c r="Q169" s="1">
        <f>Q165-Q167</f>
        <v>22</v>
      </c>
      <c r="R169" s="1">
        <f>R165-R167</f>
        <v>-5</v>
      </c>
      <c r="S169" s="1">
        <f>S165-S167</f>
        <v>142</v>
      </c>
      <c r="T169" s="1">
        <f>T165-T167</f>
        <v>31</v>
      </c>
      <c r="U169" s="1">
        <f>U165-U167</f>
        <v>0</v>
      </c>
      <c r="V169" s="1">
        <f>V165-V167</f>
        <v>96</v>
      </c>
      <c r="W169" s="1">
        <f>W165-W167</f>
        <v>35</v>
      </c>
      <c r="X169" s="1">
        <f>X165-X167</f>
        <v>-8</v>
      </c>
      <c r="Y169" s="1">
        <f>Y165-Y167</f>
        <v>82</v>
      </c>
      <c r="Z169" s="1">
        <f>Z165-Z167</f>
        <v>46</v>
      </c>
      <c r="AA169" s="1">
        <f>AA165-AA167</f>
        <v>2</v>
      </c>
      <c r="AB169" s="1">
        <f>AB165-AB167</f>
        <v>113</v>
      </c>
      <c r="AC169" s="1">
        <f>AC165-AC167</f>
        <v>30</v>
      </c>
      <c r="AD169" s="1">
        <f>AD165-AD167</f>
        <v>4</v>
      </c>
      <c r="AE169" s="1">
        <f>AE165-AE167</f>
        <v>-183</v>
      </c>
      <c r="AF169" s="1">
        <f>AF165-AF167</f>
        <v>-5</v>
      </c>
      <c r="AG169" s="1">
        <f>AG165-AG167</f>
        <v>2</v>
      </c>
      <c r="AH169" s="1">
        <f>AH165-AH167</f>
        <v>-5</v>
      </c>
      <c r="AI169" s="1">
        <f>AI165-AI167</f>
        <v>-5</v>
      </c>
      <c r="AJ169" s="1">
        <f>AJ165-AJ167</f>
        <v>-5</v>
      </c>
      <c r="AK169" s="1">
        <f>AK165-AK167</f>
        <v>23</v>
      </c>
      <c r="AL169" s="1">
        <f>AL165-AL167</f>
        <v>33</v>
      </c>
      <c r="AM169" s="1">
        <f>AM165-AM167</f>
        <v>0</v>
      </c>
      <c r="AN169" s="1">
        <f>AN165-AN167</f>
        <v>-22</v>
      </c>
      <c r="AO169" s="1">
        <f>AO165-AO167</f>
        <v>-10</v>
      </c>
      <c r="AP169" s="1">
        <f>AP165-AP167</f>
        <v>-10</v>
      </c>
      <c r="AQ169" s="1">
        <f>AQ165-AQ167</f>
        <v>2</v>
      </c>
      <c r="AR169" s="1">
        <f>AR165-AR167</f>
        <v>37</v>
      </c>
      <c r="AS169" s="1">
        <f>AS165-AS167</f>
        <v>26</v>
      </c>
      <c r="AT169" s="1">
        <f>AT165-AT167</f>
        <v>0</v>
      </c>
      <c r="AU169" s="1">
        <f>AU165-AU167</f>
        <v>24</v>
      </c>
      <c r="AV169" s="1">
        <f>AV165-AV167</f>
        <v>46</v>
      </c>
      <c r="AW169" s="1">
        <f>AW165-AW167</f>
        <v>0</v>
      </c>
      <c r="AX169" s="1">
        <f>AX165-AX167</f>
        <v>6</v>
      </c>
      <c r="AY169" s="1">
        <f>AY165-AY167</f>
        <v>-4</v>
      </c>
      <c r="AZ169" s="1">
        <f>AZ165-AZ167</f>
        <v>-4</v>
      </c>
      <c r="BA169" s="1">
        <f>BA165-BA167</f>
        <v>2</v>
      </c>
      <c r="BB169" s="1">
        <f>BB165-BB167</f>
        <v>-17</v>
      </c>
      <c r="BC169" s="1">
        <f>BC165-BC167</f>
        <v>-2</v>
      </c>
      <c r="BD169" s="1">
        <f>BD165-BD167</f>
        <v>4</v>
      </c>
      <c r="BE169" s="1">
        <f>BE165-BE167</f>
        <v>205</v>
      </c>
      <c r="BF169" s="1">
        <f>BF165-BF167</f>
        <v>346</v>
      </c>
      <c r="BG169" s="1">
        <f>BG165-BG167</f>
        <v>292</v>
      </c>
      <c r="BH169" s="1">
        <f>BH165-BH167</f>
        <v>310</v>
      </c>
      <c r="BI169" s="1">
        <f>BI165-BI167</f>
        <v>142</v>
      </c>
      <c r="BJ169" s="1">
        <f>BJ165-BJ167</f>
        <v>175</v>
      </c>
      <c r="BK169" s="1">
        <f>BK165-BK167</f>
        <v>46</v>
      </c>
      <c r="BL169" s="1">
        <f>BL165-BL167</f>
        <v>55</v>
      </c>
      <c r="BM169" s="1">
        <f>BM165-BM167</f>
        <v>114</v>
      </c>
      <c r="BN169" s="1">
        <f>BN165-BN167</f>
        <v>3</v>
      </c>
      <c r="BO169" s="1">
        <f>BO165-BO167</f>
        <v>-45</v>
      </c>
      <c r="BP169" s="1">
        <f>BP165-BP167</f>
        <v>-37</v>
      </c>
      <c r="BQ169" s="1"/>
      <c r="BR169" s="1"/>
      <c r="BS169" s="17"/>
      <c r="BT169" s="17"/>
    </row>
    <row r="170" spans="1:74" s="13" customFormat="1">
      <c r="A170" s="1"/>
      <c r="B170" s="3" t="s">
        <v>148</v>
      </c>
      <c r="C170" s="1"/>
      <c r="D170" s="1"/>
      <c r="E170" s="1">
        <f>E165-E168</f>
        <v>20</v>
      </c>
      <c r="F170" s="1">
        <f>F165-F168</f>
        <v>37</v>
      </c>
      <c r="G170" s="1">
        <f>G165-G168</f>
        <v>0</v>
      </c>
      <c r="H170" s="1">
        <f>H165-H168</f>
        <v>2</v>
      </c>
      <c r="I170" s="1">
        <f>I165-I168</f>
        <v>90</v>
      </c>
      <c r="J170" s="1">
        <f>J165-J168</f>
        <v>72</v>
      </c>
      <c r="K170" s="1">
        <f>K165-K168</f>
        <v>66</v>
      </c>
      <c r="L170" s="1">
        <f>L165-L168</f>
        <v>88</v>
      </c>
      <c r="M170" s="1">
        <f>M165-M168</f>
        <v>55</v>
      </c>
      <c r="N170" s="1">
        <f>N165-N168</f>
        <v>86</v>
      </c>
      <c r="O170" s="1">
        <f>O165-O168</f>
        <v>61</v>
      </c>
      <c r="P170" s="1">
        <f>P165-P168</f>
        <v>93</v>
      </c>
      <c r="Q170" s="1">
        <f>Q165-Q168</f>
        <v>24</v>
      </c>
      <c r="R170" s="1">
        <f>R165-R168</f>
        <v>3</v>
      </c>
      <c r="S170" s="1">
        <f>S165-S168</f>
        <v>142</v>
      </c>
      <c r="T170" s="1">
        <f>T165-T168</f>
        <v>33</v>
      </c>
      <c r="U170" s="1">
        <f>U165-U168</f>
        <v>8</v>
      </c>
      <c r="V170" s="1">
        <f>V165-V168</f>
        <v>101</v>
      </c>
      <c r="W170" s="1">
        <f>W165-W168</f>
        <v>35</v>
      </c>
      <c r="X170" s="1">
        <f>X165-X168</f>
        <v>0</v>
      </c>
      <c r="Y170" s="1">
        <f>Y165-Y168</f>
        <v>87</v>
      </c>
      <c r="Z170" s="1">
        <f>Z165-Z168</f>
        <v>46</v>
      </c>
      <c r="AA170" s="1">
        <f>AA165-AA168</f>
        <v>10</v>
      </c>
      <c r="AB170" s="1">
        <f>AB165-AB168</f>
        <v>113</v>
      </c>
      <c r="AC170" s="1">
        <f>AC165-AC168</f>
        <v>30</v>
      </c>
      <c r="AD170" s="1">
        <f>AD165-AD168</f>
        <v>12</v>
      </c>
      <c r="AE170" s="1">
        <f>AE165-AE168</f>
        <v>-33</v>
      </c>
      <c r="AF170" s="1">
        <f>AF165-AF168</f>
        <v>-5</v>
      </c>
      <c r="AG170" s="1">
        <f>AG165-AG168</f>
        <v>2</v>
      </c>
      <c r="AH170" s="1">
        <f>AH165-AH168</f>
        <v>-5</v>
      </c>
      <c r="AI170" s="1">
        <f>AI165-AI168</f>
        <v>-5</v>
      </c>
      <c r="AJ170" s="1">
        <f>AJ165-AJ168</f>
        <v>-5</v>
      </c>
      <c r="AK170" s="1">
        <f>AK165-AK168</f>
        <v>23</v>
      </c>
      <c r="AL170" s="1">
        <f>AL165-AL168</f>
        <v>33</v>
      </c>
      <c r="AM170" s="1">
        <f>AM165-AM168</f>
        <v>0</v>
      </c>
      <c r="AN170" s="1">
        <f>AN165-AN168</f>
        <v>-2</v>
      </c>
      <c r="AO170" s="1">
        <f>AO165-AO168</f>
        <v>-2</v>
      </c>
      <c r="AP170" s="1">
        <f>AP165-AP168</f>
        <v>-1</v>
      </c>
      <c r="AQ170" s="1">
        <f>AQ165-AQ168</f>
        <v>32</v>
      </c>
      <c r="AR170" s="1">
        <f>AR165-AR168</f>
        <v>42</v>
      </c>
      <c r="AS170" s="1">
        <f>AS165-AS168</f>
        <v>31</v>
      </c>
      <c r="AT170" s="1">
        <f>AT165-AT168</f>
        <v>2</v>
      </c>
      <c r="AU170" s="1">
        <f>AU165-AU168</f>
        <v>29</v>
      </c>
      <c r="AV170" s="1">
        <f>AV165-AV168</f>
        <v>76</v>
      </c>
      <c r="AW170" s="1">
        <f>AW165-AW168</f>
        <v>30</v>
      </c>
      <c r="AX170" s="1">
        <f>AX165-AX168</f>
        <v>41</v>
      </c>
      <c r="AY170" s="1">
        <f>AY165-AY168</f>
        <v>1</v>
      </c>
      <c r="AZ170" s="1">
        <f>AZ165-AZ168</f>
        <v>-2</v>
      </c>
      <c r="BA170" s="1">
        <f>BA165-BA168</f>
        <v>12</v>
      </c>
      <c r="BB170" s="1">
        <f>BB165-BB168</f>
        <v>13</v>
      </c>
      <c r="BC170" s="1">
        <f>BC165-BC168</f>
        <v>-2</v>
      </c>
      <c r="BD170" s="1">
        <f>BD165-BD168</f>
        <v>4</v>
      </c>
      <c r="BE170" s="1">
        <f>BE165-BE168</f>
        <v>235</v>
      </c>
      <c r="BF170" s="1">
        <f>BF165-BF168</f>
        <v>376</v>
      </c>
      <c r="BG170" s="1">
        <f>BG165-BG168</f>
        <v>292</v>
      </c>
      <c r="BH170" s="1">
        <f>BH165-BH168</f>
        <v>310</v>
      </c>
      <c r="BI170" s="1">
        <f>BI165-BI168</f>
        <v>142</v>
      </c>
      <c r="BJ170" s="1">
        <f>BJ165-BJ168</f>
        <v>175</v>
      </c>
      <c r="BK170" s="1">
        <f>BK165-BK168</f>
        <v>46</v>
      </c>
      <c r="BL170" s="1">
        <f>BL165-BL168</f>
        <v>55</v>
      </c>
      <c r="BM170" s="1">
        <f>BM165-BM168</f>
        <v>114</v>
      </c>
      <c r="BN170" s="1">
        <f>BN165-BN168</f>
        <v>3</v>
      </c>
      <c r="BO170" s="1">
        <f>BO165-BO168</f>
        <v>-45</v>
      </c>
      <c r="BP170" s="1">
        <f>BP165-BP168</f>
        <v>-37</v>
      </c>
      <c r="BQ170" s="1"/>
      <c r="BR170" s="1"/>
      <c r="BS170" s="17"/>
      <c r="BT170" s="17"/>
    </row>
    <row r="171" spans="1:74">
      <c r="AQ171" s="7" t="s">
        <v>173</v>
      </c>
      <c r="AR171" s="7" t="s">
        <v>176</v>
      </c>
      <c r="AS171" s="7" t="s">
        <v>177</v>
      </c>
      <c r="AT171" s="7" t="s">
        <v>174</v>
      </c>
      <c r="AU171" s="7" t="s">
        <v>175</v>
      </c>
      <c r="AV171" s="7" t="s">
        <v>172</v>
      </c>
      <c r="AW171" s="7" t="s">
        <v>178</v>
      </c>
      <c r="AX171" s="7" t="s">
        <v>179</v>
      </c>
      <c r="AY171" s="7" t="s">
        <v>180</v>
      </c>
      <c r="AZ171" s="7" t="s">
        <v>181</v>
      </c>
      <c r="BA171" s="7" t="s">
        <v>182</v>
      </c>
      <c r="BB171" s="7" t="s">
        <v>183</v>
      </c>
    </row>
  </sheetData>
  <autoFilter ref="A1:BV171">
    <sortState ref="A2:BV171">
      <sortCondition ref="BS2:BS171"/>
      <sortCondition ref="BR2:BR171"/>
    </sortState>
  </autoFilter>
  <sortState ref="A2:CT148">
    <sortCondition ref="BS2:BS148"/>
    <sortCondition ref="BR2:BR148"/>
  </sortState>
  <phoneticPr fontId="1" type="noConversion"/>
  <conditionalFormatting sqref="E167:BC167 BE167:BP167">
    <cfRule type="expression" dxfId="8" priority="13">
      <formula>"&lt;=$E$135"</formula>
    </cfRule>
  </conditionalFormatting>
  <conditionalFormatting sqref="E169:BC170 BE169:BP170">
    <cfRule type="cellIs" dxfId="7" priority="4" operator="lessThan">
      <formula>0</formula>
    </cfRule>
  </conditionalFormatting>
  <conditionalFormatting sqref="E166:BC166 BE166:BP166">
    <cfRule type="cellIs" dxfId="6" priority="5" operator="lessThan">
      <formula>0</formula>
    </cfRule>
  </conditionalFormatting>
  <conditionalFormatting sqref="BD167">
    <cfRule type="expression" dxfId="5" priority="3">
      <formula>"&lt;=$E$135"</formula>
    </cfRule>
  </conditionalFormatting>
  <conditionalFormatting sqref="BD169:BD170">
    <cfRule type="cellIs" dxfId="4" priority="1" operator="lessThan">
      <formula>0</formula>
    </cfRule>
  </conditionalFormatting>
  <conditionalFormatting sqref="BD166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170</xdr:row>
                    <xdr:rowOff>28575</xdr:rowOff>
                  </from>
                  <to>
                    <xdr:col>1</xdr:col>
                    <xdr:colOff>428625</xdr:colOff>
                    <xdr:row>171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1">
        <v>77</v>
      </c>
      <c r="B2" s="38" t="s">
        <v>131</v>
      </c>
      <c r="C2" s="38" t="s">
        <v>50</v>
      </c>
      <c r="D2" s="31" t="s">
        <v>9</v>
      </c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4"/>
      <c r="AR2" s="34"/>
      <c r="AS2" s="34"/>
      <c r="AT2" s="34">
        <v>20</v>
      </c>
      <c r="AU2" s="34"/>
      <c r="AV2" s="34"/>
      <c r="AW2" s="35">
        <v>20</v>
      </c>
      <c r="AX2" s="35">
        <v>20</v>
      </c>
      <c r="AY2" s="35"/>
      <c r="AZ2" s="35"/>
      <c r="BA2" s="35"/>
      <c r="BB2" s="35">
        <v>10</v>
      </c>
      <c r="BC2" s="36"/>
      <c r="BD2" s="31"/>
      <c r="BE2" s="31"/>
      <c r="BF2" s="31"/>
      <c r="BG2" s="31"/>
      <c r="BH2" s="31">
        <v>20</v>
      </c>
      <c r="BI2" s="31"/>
      <c r="BJ2" s="31"/>
      <c r="BK2" s="31"/>
      <c r="BL2" s="31"/>
      <c r="BM2" s="31"/>
      <c r="BN2" s="31"/>
      <c r="BO2" s="31"/>
      <c r="BP2" s="31">
        <f>SUM(E2:BO2)</f>
        <v>90</v>
      </c>
      <c r="BQ2" s="31">
        <v>9</v>
      </c>
      <c r="BR2" s="37">
        <v>1</v>
      </c>
      <c r="BS2" s="37" t="s">
        <v>170</v>
      </c>
      <c r="BT2" s="31" t="str">
        <f t="shared" ref="BT2:CE2" si="0">IF(AQ2&gt;AQ$4, AQ2-AQ$4,"")</f>
        <v/>
      </c>
      <c r="BU2" s="31" t="str">
        <f t="shared" si="0"/>
        <v/>
      </c>
      <c r="BV2" s="31" t="str">
        <f t="shared" si="0"/>
        <v/>
      </c>
      <c r="BW2" s="31" t="str">
        <f t="shared" si="0"/>
        <v/>
      </c>
      <c r="BX2" s="31" t="str">
        <f t="shared" si="0"/>
        <v/>
      </c>
      <c r="BY2" s="31" t="str">
        <f t="shared" si="0"/>
        <v/>
      </c>
      <c r="BZ2" s="31" t="str">
        <f t="shared" si="0"/>
        <v/>
      </c>
      <c r="CA2" s="31" t="str">
        <f t="shared" si="0"/>
        <v/>
      </c>
      <c r="CB2" s="31" t="str">
        <f t="shared" si="0"/>
        <v/>
      </c>
      <c r="CC2" s="31" t="str">
        <f t="shared" si="0"/>
        <v/>
      </c>
      <c r="CD2" s="31" t="str">
        <f t="shared" si="0"/>
        <v/>
      </c>
      <c r="CE2" s="31" t="str">
        <f t="shared" si="0"/>
        <v/>
      </c>
      <c r="CF2" s="31">
        <f>COUNTIF(BT2:CE2, "&gt;0")</f>
        <v>0</v>
      </c>
      <c r="CG2" s="31" t="str">
        <f t="shared" ref="CG2:CR2" si="1">IF($CF2=1,BT2,"")</f>
        <v/>
      </c>
      <c r="CH2" s="31" t="str">
        <f t="shared" si="1"/>
        <v/>
      </c>
      <c r="CI2" s="31" t="str">
        <f t="shared" si="1"/>
        <v/>
      </c>
      <c r="CJ2" s="31" t="str">
        <f t="shared" si="1"/>
        <v/>
      </c>
      <c r="CK2" s="31" t="str">
        <f t="shared" si="1"/>
        <v/>
      </c>
      <c r="CL2" s="31" t="str">
        <f t="shared" si="1"/>
        <v/>
      </c>
      <c r="CM2" s="31" t="str">
        <f t="shared" si="1"/>
        <v/>
      </c>
      <c r="CN2" s="31" t="str">
        <f t="shared" si="1"/>
        <v/>
      </c>
      <c r="CO2" s="31" t="str">
        <f t="shared" si="1"/>
        <v/>
      </c>
      <c r="CP2" s="31" t="str">
        <f t="shared" si="1"/>
        <v/>
      </c>
      <c r="CQ2" s="31" t="str">
        <f t="shared" si="1"/>
        <v/>
      </c>
      <c r="CR2" s="31" t="str">
        <f t="shared" si="1"/>
        <v/>
      </c>
      <c r="CS2" s="38">
        <f>SUM(AE2:BO2)</f>
        <v>90</v>
      </c>
    </row>
    <row r="3" spans="1:97" s="49" customFormat="1" ht="27">
      <c r="A3" s="41"/>
      <c r="B3" s="41" t="s">
        <v>186</v>
      </c>
      <c r="C3" s="41" t="s">
        <v>84</v>
      </c>
      <c r="D3" s="41" t="s">
        <v>100</v>
      </c>
      <c r="E3" s="42"/>
      <c r="F3" s="42"/>
      <c r="G3" s="42"/>
      <c r="H3" s="42"/>
      <c r="I3" s="42">
        <v>10</v>
      </c>
      <c r="J3" s="42"/>
      <c r="K3" s="42"/>
      <c r="L3" s="42"/>
      <c r="M3" s="42"/>
      <c r="N3" s="42"/>
      <c r="O3" s="42"/>
      <c r="P3" s="43"/>
      <c r="Q3" s="43"/>
      <c r="R3" s="43">
        <v>10</v>
      </c>
      <c r="S3" s="43"/>
      <c r="T3" s="43"/>
      <c r="U3" s="43"/>
      <c r="V3" s="43"/>
      <c r="W3" s="43"/>
      <c r="X3" s="43">
        <v>10</v>
      </c>
      <c r="Y3" s="43"/>
      <c r="Z3" s="43"/>
      <c r="AA3" s="43"/>
      <c r="AB3" s="43"/>
      <c r="AC3" s="43"/>
      <c r="AD3" s="43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4"/>
      <c r="AR3" s="44"/>
      <c r="AS3" s="44"/>
      <c r="AT3" s="44">
        <v>10</v>
      </c>
      <c r="AU3" s="44"/>
      <c r="AV3" s="44"/>
      <c r="AW3" s="45"/>
      <c r="AX3" s="45"/>
      <c r="AY3" s="45"/>
      <c r="AZ3" s="45"/>
      <c r="BA3" s="45"/>
      <c r="BB3" s="45"/>
      <c r="BC3" s="46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>
        <f>SUM(E3:BO3)</f>
        <v>40</v>
      </c>
      <c r="BQ3" s="41">
        <v>8</v>
      </c>
      <c r="BR3" s="47">
        <v>2</v>
      </c>
      <c r="BS3" s="47" t="s">
        <v>202</v>
      </c>
      <c r="BT3" s="41" t="str">
        <f t="shared" ref="BT3:CE3" si="2">IF(AQ3&gt;AQ$141, AQ3-AQ$141,"")</f>
        <v/>
      </c>
      <c r="BU3" s="41" t="str">
        <f t="shared" si="2"/>
        <v/>
      </c>
      <c r="BV3" s="41" t="str">
        <f t="shared" si="2"/>
        <v/>
      </c>
      <c r="BW3" s="41">
        <f t="shared" si="2"/>
        <v>10</v>
      </c>
      <c r="BX3" s="41" t="str">
        <f t="shared" si="2"/>
        <v/>
      </c>
      <c r="BY3" s="41" t="str">
        <f t="shared" si="2"/>
        <v/>
      </c>
      <c r="BZ3" s="41" t="str">
        <f t="shared" si="2"/>
        <v/>
      </c>
      <c r="CA3" s="41" t="str">
        <f t="shared" si="2"/>
        <v/>
      </c>
      <c r="CB3" s="41" t="str">
        <f t="shared" si="2"/>
        <v/>
      </c>
      <c r="CC3" s="41" t="str">
        <f t="shared" si="2"/>
        <v/>
      </c>
      <c r="CD3" s="41" t="str">
        <f t="shared" si="2"/>
        <v/>
      </c>
      <c r="CE3" s="41" t="str">
        <f t="shared" si="2"/>
        <v/>
      </c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8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145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146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147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148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184</v>
      </c>
      <c r="AQ11" s="7" t="s">
        <v>173</v>
      </c>
      <c r="AR11" s="7" t="s">
        <v>176</v>
      </c>
      <c r="AS11" s="7" t="s">
        <v>177</v>
      </c>
      <c r="AT11" s="7" t="s">
        <v>174</v>
      </c>
      <c r="AU11" s="7" t="s">
        <v>175</v>
      </c>
      <c r="AV11" s="7" t="s">
        <v>172</v>
      </c>
      <c r="AW11" s="7" t="s">
        <v>178</v>
      </c>
      <c r="AX11" s="7" t="s">
        <v>179</v>
      </c>
      <c r="AY11" s="7" t="s">
        <v>180</v>
      </c>
      <c r="AZ11" s="7" t="s">
        <v>181</v>
      </c>
      <c r="BA11" s="7" t="s">
        <v>182</v>
      </c>
      <c r="BB11" s="7" t="s">
        <v>183</v>
      </c>
    </row>
    <row r="12" spans="1:97">
      <c r="R12" s="7" t="s">
        <v>185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149</v>
      </c>
      <c r="D27" t="s">
        <v>150</v>
      </c>
      <c r="E27" t="s">
        <v>151</v>
      </c>
      <c r="F27" t="s">
        <v>152</v>
      </c>
      <c r="G27" t="s">
        <v>153</v>
      </c>
      <c r="H27" t="s">
        <v>154</v>
      </c>
      <c r="I27" t="s">
        <v>155</v>
      </c>
      <c r="J27" t="s">
        <v>156</v>
      </c>
      <c r="K27" t="s">
        <v>157</v>
      </c>
      <c r="L27" t="s">
        <v>158</v>
      </c>
      <c r="M27" t="s">
        <v>159</v>
      </c>
      <c r="N27" t="s">
        <v>160</v>
      </c>
    </row>
    <row r="31" spans="3:18">
      <c r="C31">
        <v>-3</v>
      </c>
      <c r="D31" t="s">
        <v>149</v>
      </c>
    </row>
    <row r="32" spans="3:18">
      <c r="C32">
        <v>-8</v>
      </c>
      <c r="D32" t="s">
        <v>150</v>
      </c>
    </row>
    <row r="33" spans="3:4">
      <c r="C33">
        <v>-3</v>
      </c>
      <c r="D33" t="s">
        <v>151</v>
      </c>
    </row>
    <row r="34" spans="3:4">
      <c r="C34">
        <v>1</v>
      </c>
      <c r="D34" t="s">
        <v>152</v>
      </c>
    </row>
    <row r="35" spans="3:4">
      <c r="C35">
        <v>3</v>
      </c>
      <c r="D35" t="s">
        <v>153</v>
      </c>
    </row>
    <row r="36" spans="3:4">
      <c r="C36">
        <v>0</v>
      </c>
      <c r="D36" t="s">
        <v>154</v>
      </c>
    </row>
    <row r="37" spans="3:4">
      <c r="C37">
        <v>-3</v>
      </c>
      <c r="D37" t="s">
        <v>155</v>
      </c>
    </row>
    <row r="38" spans="3:4">
      <c r="C38">
        <v>30</v>
      </c>
      <c r="D38" t="s">
        <v>156</v>
      </c>
    </row>
    <row r="39" spans="3:4">
      <c r="C39">
        <v>5</v>
      </c>
      <c r="D39" t="s">
        <v>157</v>
      </c>
    </row>
    <row r="40" spans="3:4">
      <c r="C40">
        <v>-10</v>
      </c>
      <c r="D40" t="s">
        <v>158</v>
      </c>
    </row>
    <row r="41" spans="3:4">
      <c r="C41">
        <v>3</v>
      </c>
      <c r="D41" t="s">
        <v>159</v>
      </c>
    </row>
    <row r="42" spans="3:4">
      <c r="C42">
        <v>138</v>
      </c>
      <c r="D42" t="s">
        <v>160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203</v>
      </c>
      <c r="F3" t="s">
        <v>204</v>
      </c>
      <c r="G3" t="s">
        <v>205</v>
      </c>
      <c r="H3" t="s">
        <v>206</v>
      </c>
      <c r="I3" t="s">
        <v>207</v>
      </c>
      <c r="J3" t="s">
        <v>208</v>
      </c>
    </row>
    <row r="4" spans="3:10">
      <c r="C4" s="58" t="s">
        <v>209</v>
      </c>
      <c r="D4" t="s">
        <v>210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8" t="s">
        <v>211</v>
      </c>
      <c r="D5" t="s">
        <v>212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8" t="s">
        <v>213</v>
      </c>
      <c r="D6" t="s">
        <v>212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8" t="s">
        <v>214</v>
      </c>
      <c r="D7" t="s">
        <v>212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215</v>
      </c>
      <c r="D8" t="s">
        <v>216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8" t="s">
        <v>217</v>
      </c>
      <c r="D9" t="s">
        <v>216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8" t="s">
        <v>218</v>
      </c>
      <c r="D10" t="s">
        <v>216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8" t="s">
        <v>221</v>
      </c>
      <c r="D11" t="s">
        <v>212</v>
      </c>
      <c r="E11" s="59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219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219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219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219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220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216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216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216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2020-05-21T10:32:21Z</dcterms:modified>
</cp:coreProperties>
</file>