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Sheet1!$A$1:$BP$128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2" i="1" l="1"/>
  <c r="BC134" i="1" s="1"/>
  <c r="BD132" i="1"/>
  <c r="BD134" i="1" s="1"/>
  <c r="BE132" i="1"/>
  <c r="BE134" i="1" s="1"/>
  <c r="BF132" i="1"/>
  <c r="BF134" i="1" s="1"/>
  <c r="BG132" i="1"/>
  <c r="BG134" i="1" s="1"/>
  <c r="BH132" i="1"/>
  <c r="BH134" i="1" s="1"/>
  <c r="BI132" i="1"/>
  <c r="BI134" i="1" s="1"/>
  <c r="BJ132" i="1"/>
  <c r="BJ134" i="1" s="1"/>
  <c r="BK132" i="1"/>
  <c r="BK134" i="1" s="1"/>
  <c r="BL132" i="1"/>
  <c r="BL134" i="1" s="1"/>
  <c r="BM132" i="1"/>
  <c r="BM134" i="1" s="1"/>
  <c r="BN132" i="1"/>
  <c r="BN134" i="1" s="1"/>
  <c r="BO132" i="1"/>
  <c r="BO134" i="1" s="1"/>
  <c r="BC133" i="1"/>
  <c r="BC135" i="1" s="1"/>
  <c r="BD133" i="1"/>
  <c r="BD135" i="1" s="1"/>
  <c r="BE133" i="1"/>
  <c r="BE135" i="1" s="1"/>
  <c r="BF133" i="1"/>
  <c r="BF135" i="1" s="1"/>
  <c r="BG133" i="1"/>
  <c r="BG135" i="1" s="1"/>
  <c r="BH133" i="1"/>
  <c r="BH135" i="1" s="1"/>
  <c r="BI133" i="1"/>
  <c r="BI135" i="1" s="1"/>
  <c r="BJ133" i="1"/>
  <c r="BJ135" i="1" s="1"/>
  <c r="BK133" i="1"/>
  <c r="BK135" i="1" s="1"/>
  <c r="BL133" i="1"/>
  <c r="BL135" i="1" s="1"/>
  <c r="BM133" i="1"/>
  <c r="BM135" i="1" s="1"/>
  <c r="BN133" i="1"/>
  <c r="BN135" i="1" s="1"/>
  <c r="BO133" i="1"/>
  <c r="BO135" i="1" s="1"/>
  <c r="BA132" i="1"/>
  <c r="BA134" i="1" s="1"/>
  <c r="BB132" i="1"/>
  <c r="BB134" i="1" s="1"/>
  <c r="BA133" i="1"/>
  <c r="BA135" i="1" s="1"/>
  <c r="BB133" i="1"/>
  <c r="BB135" i="1" s="1"/>
  <c r="AQ132" i="1"/>
  <c r="AQ134" i="1" s="1"/>
  <c r="AR132" i="1"/>
  <c r="AR134" i="1" s="1"/>
  <c r="AS132" i="1"/>
  <c r="AS134" i="1" s="1"/>
  <c r="AT132" i="1"/>
  <c r="AT134" i="1" s="1"/>
  <c r="AU132" i="1"/>
  <c r="AU134" i="1" s="1"/>
  <c r="AV132" i="1"/>
  <c r="AV134" i="1" s="1"/>
  <c r="AW132" i="1"/>
  <c r="AW134" i="1" s="1"/>
  <c r="AX132" i="1"/>
  <c r="AX134" i="1" s="1"/>
  <c r="AY132" i="1"/>
  <c r="AY134" i="1" s="1"/>
  <c r="AZ132" i="1"/>
  <c r="AZ134" i="1" s="1"/>
  <c r="AQ133" i="1"/>
  <c r="AQ135" i="1" s="1"/>
  <c r="AR133" i="1"/>
  <c r="AR135" i="1" s="1"/>
  <c r="AS133" i="1"/>
  <c r="AS135" i="1" s="1"/>
  <c r="AT133" i="1"/>
  <c r="AT135" i="1" s="1"/>
  <c r="AU133" i="1"/>
  <c r="AU135" i="1" s="1"/>
  <c r="AV133" i="1"/>
  <c r="AV135" i="1" s="1"/>
  <c r="AW133" i="1"/>
  <c r="AW135" i="1" s="1"/>
  <c r="AX133" i="1"/>
  <c r="AX135" i="1" s="1"/>
  <c r="AY133" i="1"/>
  <c r="AY135" i="1" s="1"/>
  <c r="AZ133" i="1"/>
  <c r="AZ135" i="1" s="1"/>
  <c r="AI132" i="1"/>
  <c r="AI134" i="1" s="1"/>
  <c r="AJ132" i="1"/>
  <c r="AJ134" i="1" s="1"/>
  <c r="AK132" i="1"/>
  <c r="AK134" i="1" s="1"/>
  <c r="AL132" i="1"/>
  <c r="AL134" i="1" s="1"/>
  <c r="AM132" i="1"/>
  <c r="AM134" i="1" s="1"/>
  <c r="AN132" i="1"/>
  <c r="AN134" i="1" s="1"/>
  <c r="AO132" i="1"/>
  <c r="AO134" i="1" s="1"/>
  <c r="AP132" i="1"/>
  <c r="AP134" i="1" s="1"/>
  <c r="AI133" i="1"/>
  <c r="AI135" i="1" s="1"/>
  <c r="AJ133" i="1"/>
  <c r="AJ135" i="1" s="1"/>
  <c r="AK133" i="1"/>
  <c r="AK135" i="1" s="1"/>
  <c r="AL133" i="1"/>
  <c r="AL135" i="1" s="1"/>
  <c r="AM133" i="1"/>
  <c r="AM135" i="1" s="1"/>
  <c r="AN133" i="1"/>
  <c r="AN135" i="1" s="1"/>
  <c r="AO133" i="1"/>
  <c r="AO135" i="1" s="1"/>
  <c r="AP133" i="1"/>
  <c r="AP135" i="1" s="1"/>
  <c r="AC132" i="1"/>
  <c r="AC134" i="1" s="1"/>
  <c r="AD132" i="1"/>
  <c r="AD134" i="1" s="1"/>
  <c r="AE132" i="1"/>
  <c r="AE134" i="1" s="1"/>
  <c r="AF132" i="1"/>
  <c r="AF134" i="1" s="1"/>
  <c r="AG132" i="1"/>
  <c r="AG134" i="1" s="1"/>
  <c r="AH132" i="1"/>
  <c r="AH134" i="1" s="1"/>
  <c r="AC133" i="1"/>
  <c r="AC135" i="1" s="1"/>
  <c r="AD133" i="1"/>
  <c r="AD135" i="1" s="1"/>
  <c r="AE133" i="1"/>
  <c r="AE135" i="1" s="1"/>
  <c r="AF133" i="1"/>
  <c r="AF135" i="1" s="1"/>
  <c r="AG133" i="1"/>
  <c r="AG135" i="1" s="1"/>
  <c r="AH133" i="1"/>
  <c r="AH135" i="1" s="1"/>
  <c r="W132" i="1"/>
  <c r="W134" i="1" s="1"/>
  <c r="X132" i="1"/>
  <c r="X134" i="1" s="1"/>
  <c r="Y132" i="1"/>
  <c r="Y134" i="1" s="1"/>
  <c r="Z132" i="1"/>
  <c r="Z134" i="1" s="1"/>
  <c r="AA132" i="1"/>
  <c r="AA134" i="1" s="1"/>
  <c r="AB132" i="1"/>
  <c r="AB134" i="1" s="1"/>
  <c r="W133" i="1"/>
  <c r="W135" i="1" s="1"/>
  <c r="X133" i="1"/>
  <c r="X135" i="1" s="1"/>
  <c r="Y133" i="1"/>
  <c r="Y135" i="1" s="1"/>
  <c r="Z133" i="1"/>
  <c r="Z135" i="1" s="1"/>
  <c r="AA133" i="1"/>
  <c r="AA135" i="1" s="1"/>
  <c r="AB133" i="1"/>
  <c r="AB135" i="1" s="1"/>
  <c r="P132" i="1"/>
  <c r="P134" i="1" s="1"/>
  <c r="Q132" i="1"/>
  <c r="Q134" i="1" s="1"/>
  <c r="R132" i="1"/>
  <c r="R134" i="1" s="1"/>
  <c r="S132" i="1"/>
  <c r="S134" i="1" s="1"/>
  <c r="T132" i="1"/>
  <c r="T134" i="1" s="1"/>
  <c r="U132" i="1"/>
  <c r="U134" i="1" s="1"/>
  <c r="V132" i="1"/>
  <c r="V134" i="1" s="1"/>
  <c r="P133" i="1"/>
  <c r="P135" i="1" s="1"/>
  <c r="Q133" i="1"/>
  <c r="Q135" i="1" s="1"/>
  <c r="R133" i="1"/>
  <c r="R135" i="1" s="1"/>
  <c r="S133" i="1"/>
  <c r="S135" i="1" s="1"/>
  <c r="T133" i="1"/>
  <c r="T135" i="1" s="1"/>
  <c r="U133" i="1"/>
  <c r="U135" i="1" s="1"/>
  <c r="V133" i="1"/>
  <c r="V135" i="1" s="1"/>
  <c r="G132" i="1"/>
  <c r="G134" i="1" s="1"/>
  <c r="H132" i="1"/>
  <c r="H134" i="1" s="1"/>
  <c r="I132" i="1"/>
  <c r="I134" i="1" s="1"/>
  <c r="J132" i="1"/>
  <c r="J134" i="1" s="1"/>
  <c r="K132" i="1"/>
  <c r="K134" i="1" s="1"/>
  <c r="L132" i="1"/>
  <c r="L134" i="1" s="1"/>
  <c r="M132" i="1"/>
  <c r="M134" i="1" s="1"/>
  <c r="N132" i="1"/>
  <c r="N134" i="1" s="1"/>
  <c r="O132" i="1"/>
  <c r="O134" i="1" s="1"/>
  <c r="G133" i="1"/>
  <c r="G135" i="1" s="1"/>
  <c r="H133" i="1"/>
  <c r="H135" i="1" s="1"/>
  <c r="I133" i="1"/>
  <c r="I135" i="1" s="1"/>
  <c r="J133" i="1"/>
  <c r="J135" i="1" s="1"/>
  <c r="K133" i="1"/>
  <c r="K135" i="1" s="1"/>
  <c r="L133" i="1"/>
  <c r="L135" i="1" s="1"/>
  <c r="M133" i="1"/>
  <c r="M135" i="1" s="1"/>
  <c r="N133" i="1"/>
  <c r="N135" i="1" s="1"/>
  <c r="O133" i="1"/>
  <c r="O135" i="1" s="1"/>
  <c r="F132" i="1"/>
  <c r="F134" i="1" s="1"/>
  <c r="F133" i="1"/>
  <c r="F135" i="1" s="1"/>
  <c r="E133" i="1"/>
  <c r="E135" i="1" s="1"/>
  <c r="E132" i="1"/>
  <c r="E134" i="1" s="1"/>
  <c r="BP3" i="1" l="1"/>
  <c r="BP4" i="1"/>
  <c r="BP5" i="1"/>
  <c r="BP6" i="1"/>
  <c r="BP7" i="1"/>
  <c r="BP8" i="1"/>
  <c r="BP9" i="1"/>
  <c r="BP52" i="1"/>
  <c r="BP12" i="1"/>
  <c r="BP23" i="1"/>
  <c r="BP24" i="1"/>
  <c r="BP14" i="1"/>
  <c r="BP15" i="1"/>
  <c r="BP16" i="1"/>
  <c r="BP17" i="1"/>
  <c r="BP18" i="1"/>
  <c r="BP19" i="1"/>
  <c r="BP20" i="1"/>
  <c r="BP21" i="1"/>
  <c r="BP22" i="1"/>
  <c r="BP46" i="1"/>
  <c r="BP33" i="1"/>
  <c r="BP34" i="1"/>
  <c r="BP30" i="1"/>
  <c r="BP50" i="1"/>
  <c r="BP13" i="1"/>
  <c r="BP26" i="1"/>
  <c r="BP27" i="1"/>
  <c r="BP35" i="1"/>
  <c r="BP36" i="1"/>
  <c r="BP37" i="1"/>
  <c r="BP38" i="1"/>
  <c r="BP49" i="1"/>
  <c r="BP84" i="1"/>
  <c r="BP41" i="1"/>
  <c r="BP42" i="1"/>
  <c r="BP43" i="1"/>
  <c r="BP44" i="1"/>
  <c r="BP45" i="1"/>
  <c r="BP111" i="1"/>
  <c r="BP29" i="1"/>
  <c r="BP25" i="1"/>
  <c r="BP10" i="1"/>
  <c r="BP47" i="1"/>
  <c r="BP48" i="1"/>
  <c r="BP56" i="1"/>
  <c r="BP77" i="1"/>
  <c r="BP39" i="1"/>
  <c r="BP40" i="1"/>
  <c r="BP69" i="1"/>
  <c r="BP28" i="1"/>
  <c r="BP61" i="1"/>
  <c r="BP60" i="1"/>
  <c r="BP67" i="1"/>
  <c r="BP70" i="1"/>
  <c r="BP71" i="1"/>
  <c r="BP72" i="1"/>
  <c r="BP73" i="1"/>
  <c r="BP74" i="1"/>
  <c r="BP75" i="1"/>
  <c r="BP78" i="1"/>
  <c r="BP11" i="1"/>
  <c r="BP89" i="1"/>
  <c r="BP80" i="1"/>
  <c r="BP81" i="1"/>
  <c r="BP55" i="1"/>
  <c r="BP54" i="1"/>
  <c r="BP51" i="1"/>
  <c r="BP53" i="1"/>
  <c r="BP31" i="1"/>
  <c r="BP92" i="1"/>
  <c r="BP93" i="1"/>
  <c r="BP68" i="1"/>
  <c r="BP90" i="1"/>
  <c r="BP86" i="1"/>
  <c r="BP87" i="1"/>
  <c r="BP88" i="1"/>
  <c r="BP66" i="1"/>
  <c r="BP57" i="1"/>
  <c r="BP58" i="1"/>
  <c r="BP59" i="1"/>
  <c r="BP91" i="1"/>
  <c r="BP64" i="1"/>
  <c r="BP65" i="1"/>
  <c r="BP62" i="1"/>
  <c r="BP63" i="1"/>
  <c r="BP94" i="1"/>
  <c r="BP96" i="1"/>
  <c r="BP76" i="1"/>
  <c r="BP97" i="1"/>
  <c r="BP79" i="1"/>
  <c r="BP100" i="1"/>
  <c r="BP101" i="1"/>
  <c r="BP102" i="1"/>
  <c r="BP103" i="1"/>
  <c r="BP104" i="1"/>
  <c r="BP105" i="1"/>
  <c r="BP106" i="1"/>
  <c r="BP107" i="1"/>
  <c r="BP108" i="1"/>
  <c r="BP109" i="1"/>
  <c r="BP110" i="1"/>
  <c r="BP82" i="1"/>
  <c r="BP83" i="1"/>
  <c r="BP112" i="1"/>
  <c r="BP113" i="1"/>
  <c r="BP98" i="1"/>
  <c r="BP99" i="1"/>
  <c r="BP85" i="1"/>
  <c r="BP114" i="1"/>
  <c r="BP115" i="1"/>
  <c r="BP116" i="1"/>
  <c r="BP117" i="1"/>
  <c r="BP118" i="1"/>
  <c r="BP119" i="1"/>
  <c r="BP121" i="1"/>
  <c r="BP95" i="1"/>
  <c r="BP120" i="1"/>
  <c r="BP122" i="1"/>
  <c r="BP123" i="1"/>
  <c r="BP124" i="1"/>
  <c r="BP125" i="1"/>
  <c r="BP126" i="1"/>
  <c r="BP127" i="1"/>
  <c r="BP128" i="1"/>
  <c r="CS125" i="1" l="1"/>
  <c r="CS3" i="1" l="1"/>
  <c r="CS4" i="1"/>
  <c r="CS5" i="1"/>
  <c r="CS55" i="1"/>
  <c r="CS10" i="1"/>
  <c r="CS9" i="1"/>
  <c r="CS14" i="1"/>
  <c r="CS15" i="1"/>
  <c r="CS16" i="1"/>
  <c r="CS17" i="1"/>
  <c r="CS18" i="1"/>
  <c r="CS19" i="1"/>
  <c r="CS20" i="1"/>
  <c r="CS52" i="1"/>
  <c r="CS56" i="1"/>
  <c r="CS23" i="1"/>
  <c r="CS24" i="1"/>
  <c r="CS25" i="1"/>
  <c r="CS111" i="1"/>
  <c r="CS33" i="1"/>
  <c r="CS61" i="1"/>
  <c r="CS13" i="1"/>
  <c r="CS35" i="1"/>
  <c r="CS36" i="1"/>
  <c r="CS37" i="1"/>
  <c r="CS11" i="1"/>
  <c r="CS54" i="1"/>
  <c r="CS29" i="1"/>
  <c r="CS26" i="1"/>
  <c r="CS46" i="1"/>
  <c r="CS47" i="1"/>
  <c r="CS48" i="1"/>
  <c r="CS51" i="1"/>
  <c r="CS80" i="1"/>
  <c r="CS81" i="1"/>
  <c r="CS31" i="1"/>
  <c r="CS69" i="1"/>
  <c r="CS60" i="1"/>
  <c r="CS95" i="1"/>
  <c r="CS68" i="1"/>
  <c r="CS57" i="1"/>
  <c r="CS121" i="1"/>
  <c r="CS62" i="1"/>
  <c r="CS64" i="1"/>
  <c r="CS126" i="1"/>
  <c r="CS122" i="1"/>
  <c r="CS2" i="1"/>
  <c r="CS129" i="1" l="1"/>
  <c r="BP2" i="1" l="1"/>
  <c r="BM129" i="1" l="1"/>
  <c r="BM131" i="1" s="1"/>
  <c r="AM129" i="1"/>
  <c r="AM131" i="1" s="1"/>
  <c r="L129" i="1"/>
  <c r="L131" i="1" s="1"/>
  <c r="AY129" i="1"/>
  <c r="BK129" i="1"/>
  <c r="BK131" i="1" s="1"/>
  <c r="AJ129" i="1"/>
  <c r="AJ131" i="1" s="1"/>
  <c r="AW129" i="1"/>
  <c r="BH129" i="1"/>
  <c r="BH131" i="1" s="1"/>
  <c r="AU129" i="1"/>
  <c r="AH129" i="1"/>
  <c r="AH131" i="1" s="1"/>
  <c r="AL129" i="1"/>
  <c r="AL131" i="1" s="1"/>
  <c r="BD129" i="1"/>
  <c r="BD131" i="1" s="1"/>
  <c r="BA129" i="1"/>
  <c r="BL129" i="1"/>
  <c r="BL131" i="1" s="1"/>
  <c r="AZ129" i="1"/>
  <c r="J129" i="1"/>
  <c r="J131" i="1" s="1"/>
  <c r="H129" i="1"/>
  <c r="H131" i="1" s="1"/>
  <c r="G129" i="1"/>
  <c r="G131" i="1" s="1"/>
  <c r="BG129" i="1"/>
  <c r="BG131" i="1" s="1"/>
  <c r="AQ129" i="1"/>
  <c r="AE129" i="1"/>
  <c r="AE131" i="1" s="1"/>
  <c r="F129" i="1"/>
  <c r="F131" i="1" s="1"/>
  <c r="BB129" i="1"/>
  <c r="BJ129" i="1"/>
  <c r="BJ131" i="1" s="1"/>
  <c r="AX129" i="1"/>
  <c r="AI129" i="1"/>
  <c r="AI131" i="1" s="1"/>
  <c r="I129" i="1"/>
  <c r="I131" i="1" s="1"/>
  <c r="AG129" i="1"/>
  <c r="AG131" i="1" s="1"/>
  <c r="BE129" i="1"/>
  <c r="BE131" i="1" s="1"/>
  <c r="AF129" i="1"/>
  <c r="AF131" i="1" s="1"/>
  <c r="BF129" i="1"/>
  <c r="BF131" i="1" s="1"/>
  <c r="AS129" i="1"/>
  <c r="O129" i="1"/>
  <c r="O131" i="1" s="1"/>
  <c r="BO129" i="1"/>
  <c r="BO131" i="1" s="1"/>
  <c r="AR129" i="1"/>
  <c r="N129" i="1"/>
  <c r="N131" i="1" s="1"/>
  <c r="K129" i="1"/>
  <c r="K131" i="1" s="1"/>
  <c r="AK129" i="1"/>
  <c r="AK131" i="1" s="1"/>
  <c r="BI129" i="1"/>
  <c r="BI131" i="1" s="1"/>
  <c r="AT129" i="1"/>
  <c r="AV129" i="1"/>
  <c r="E129" i="1"/>
  <c r="E131" i="1" s="1"/>
  <c r="BN129" i="1"/>
  <c r="BN131" i="1" s="1"/>
  <c r="AN129" i="1"/>
  <c r="AN131" i="1" s="1"/>
  <c r="M129" i="1"/>
  <c r="M131" i="1" s="1"/>
  <c r="AP129" i="1"/>
  <c r="AP131" i="1" s="1"/>
  <c r="BC129" i="1"/>
  <c r="BC131" i="1" s="1"/>
  <c r="AO129" i="1"/>
  <c r="AO131" i="1" s="1"/>
  <c r="V129" i="1"/>
  <c r="V131" i="1" s="1"/>
  <c r="Y129" i="1"/>
  <c r="Y131" i="1" s="1"/>
  <c r="W129" i="1"/>
  <c r="W131" i="1" s="1"/>
  <c r="S129" i="1"/>
  <c r="S131" i="1" s="1"/>
  <c r="X129" i="1"/>
  <c r="X131" i="1" s="1"/>
  <c r="R129" i="1"/>
  <c r="R131" i="1" s="1"/>
  <c r="Z129" i="1"/>
  <c r="Z131" i="1" s="1"/>
  <c r="U129" i="1"/>
  <c r="U131" i="1" s="1"/>
  <c r="T129" i="1"/>
  <c r="T131" i="1" s="1"/>
  <c r="AC129" i="1"/>
  <c r="AC131" i="1" s="1"/>
  <c r="Q129" i="1"/>
  <c r="Q131" i="1" s="1"/>
  <c r="AB129" i="1"/>
  <c r="AB131" i="1" s="1"/>
  <c r="P129" i="1"/>
  <c r="P131" i="1" s="1"/>
  <c r="AA129" i="1"/>
  <c r="AA131" i="1" s="1"/>
  <c r="AD129" i="1"/>
  <c r="AD131" i="1" s="1"/>
  <c r="AR131" i="1" l="1"/>
  <c r="BU52" i="1"/>
  <c r="BU21" i="1"/>
  <c r="BU36" i="1"/>
  <c r="BU111" i="1"/>
  <c r="BU61" i="1"/>
  <c r="BU80" i="1"/>
  <c r="BU5" i="1"/>
  <c r="BU16" i="1"/>
  <c r="BU50" i="1"/>
  <c r="BU41" i="1"/>
  <c r="BU77" i="1"/>
  <c r="BU74" i="1"/>
  <c r="BU87" i="1"/>
  <c r="BU91" i="1"/>
  <c r="BU64" i="1"/>
  <c r="BU65" i="1"/>
  <c r="BU62" i="1"/>
  <c r="BU63" i="1"/>
  <c r="BU94" i="1"/>
  <c r="BU96" i="1"/>
  <c r="BU76" i="1"/>
  <c r="BU97" i="1"/>
  <c r="BU79" i="1"/>
  <c r="BU100" i="1"/>
  <c r="BU101" i="1"/>
  <c r="BU102" i="1"/>
  <c r="BU103" i="1"/>
  <c r="BU104" i="1"/>
  <c r="BU105" i="1"/>
  <c r="BU106" i="1"/>
  <c r="BU107" i="1"/>
  <c r="BU108" i="1"/>
  <c r="BU109" i="1"/>
  <c r="BU110" i="1"/>
  <c r="BU82" i="1"/>
  <c r="BU83" i="1"/>
  <c r="BU112" i="1"/>
  <c r="BU113" i="1"/>
  <c r="BU98" i="1"/>
  <c r="BU99" i="1"/>
  <c r="BU85" i="1"/>
  <c r="BU114" i="1"/>
  <c r="BU115" i="1"/>
  <c r="BU116" i="1"/>
  <c r="BU117" i="1"/>
  <c r="BU46" i="1"/>
  <c r="BU25" i="1"/>
  <c r="BU67" i="1"/>
  <c r="BU55" i="1"/>
  <c r="BU9" i="1"/>
  <c r="BU20" i="1"/>
  <c r="BU35" i="1"/>
  <c r="BU45" i="1"/>
  <c r="BU28" i="1"/>
  <c r="BU89" i="1"/>
  <c r="BU90" i="1"/>
  <c r="BU58" i="1"/>
  <c r="BU4" i="1"/>
  <c r="BU15" i="1"/>
  <c r="BU84" i="1"/>
  <c r="BU56" i="1"/>
  <c r="BU73" i="1"/>
  <c r="BU12" i="1"/>
  <c r="BU22" i="1"/>
  <c r="BU37" i="1"/>
  <c r="BU29" i="1"/>
  <c r="BU60" i="1"/>
  <c r="BU81" i="1"/>
  <c r="BU31" i="1"/>
  <c r="BU68" i="1"/>
  <c r="BU57" i="1"/>
  <c r="BU6" i="1"/>
  <c r="BU17" i="1"/>
  <c r="BU13" i="1"/>
  <c r="BU42" i="1"/>
  <c r="BU39" i="1"/>
  <c r="BU75" i="1"/>
  <c r="BU7" i="1"/>
  <c r="BU14" i="1"/>
  <c r="BU44" i="1"/>
  <c r="BU54" i="1"/>
  <c r="BU3" i="1"/>
  <c r="BU19" i="1"/>
  <c r="BU10" i="1"/>
  <c r="BU71" i="1"/>
  <c r="BU95" i="1"/>
  <c r="BU122" i="1"/>
  <c r="BU124" i="1"/>
  <c r="BU128" i="1"/>
  <c r="BU8" i="1"/>
  <c r="BU38" i="1"/>
  <c r="BU59" i="1"/>
  <c r="BU119" i="1"/>
  <c r="BU120" i="1"/>
  <c r="BU123" i="1"/>
  <c r="BU127" i="1"/>
  <c r="BU33" i="1"/>
  <c r="BU51" i="1"/>
  <c r="BU86" i="1"/>
  <c r="BU66" i="1"/>
  <c r="BU126" i="1"/>
  <c r="BU23" i="1"/>
  <c r="BU93" i="1"/>
  <c r="BU121" i="1"/>
  <c r="BU125" i="1"/>
  <c r="BU47" i="1"/>
  <c r="BU118" i="1"/>
  <c r="BU78" i="1"/>
  <c r="BU53" i="1"/>
  <c r="BU34" i="1"/>
  <c r="BU40" i="1"/>
  <c r="BU72" i="1"/>
  <c r="BU24" i="1"/>
  <c r="BU43" i="1"/>
  <c r="BU48" i="1"/>
  <c r="BU26" i="1"/>
  <c r="BU49" i="1"/>
  <c r="BU11" i="1"/>
  <c r="BU18" i="1"/>
  <c r="BU30" i="1"/>
  <c r="BU69" i="1"/>
  <c r="BU92" i="1"/>
  <c r="BU88" i="1"/>
  <c r="BU27" i="1"/>
  <c r="BU70" i="1"/>
  <c r="BU2" i="1"/>
  <c r="AU131" i="1"/>
  <c r="BX3" i="1"/>
  <c r="BX4" i="1"/>
  <c r="BX5" i="1"/>
  <c r="BX6" i="1"/>
  <c r="BX7" i="1"/>
  <c r="BX8" i="1"/>
  <c r="BX9" i="1"/>
  <c r="BX52" i="1"/>
  <c r="BX12" i="1"/>
  <c r="BX23" i="1"/>
  <c r="BX24" i="1"/>
  <c r="BX14" i="1"/>
  <c r="BX15" i="1"/>
  <c r="BX16" i="1"/>
  <c r="BX17" i="1"/>
  <c r="BX18" i="1"/>
  <c r="BX19" i="1"/>
  <c r="BX20" i="1"/>
  <c r="BX21" i="1"/>
  <c r="BX22" i="1"/>
  <c r="BX46" i="1"/>
  <c r="BX33" i="1"/>
  <c r="BX34" i="1"/>
  <c r="BX30" i="1"/>
  <c r="BX50" i="1"/>
  <c r="BX13" i="1"/>
  <c r="BX26" i="1"/>
  <c r="BX27" i="1"/>
  <c r="BX35" i="1"/>
  <c r="BX36" i="1"/>
  <c r="BX37" i="1"/>
  <c r="BX38" i="1"/>
  <c r="BX49" i="1"/>
  <c r="BX84" i="1"/>
  <c r="BX41" i="1"/>
  <c r="BX42" i="1"/>
  <c r="BX43" i="1"/>
  <c r="BX44" i="1"/>
  <c r="BX45" i="1"/>
  <c r="BX111" i="1"/>
  <c r="BX29" i="1"/>
  <c r="BX25" i="1"/>
  <c r="BX10" i="1"/>
  <c r="BX47" i="1"/>
  <c r="BX48" i="1"/>
  <c r="BX56" i="1"/>
  <c r="BX77" i="1"/>
  <c r="BX39" i="1"/>
  <c r="BX40" i="1"/>
  <c r="BX69" i="1"/>
  <c r="BX28" i="1"/>
  <c r="BX61" i="1"/>
  <c r="BX60" i="1"/>
  <c r="BX67" i="1"/>
  <c r="BX70" i="1"/>
  <c r="BX71" i="1"/>
  <c r="BX72" i="1"/>
  <c r="BX73" i="1"/>
  <c r="BX74" i="1"/>
  <c r="BX75" i="1"/>
  <c r="BX78" i="1"/>
  <c r="BX11" i="1"/>
  <c r="BX89" i="1"/>
  <c r="BX80" i="1"/>
  <c r="BX81" i="1"/>
  <c r="BX55" i="1"/>
  <c r="BX54" i="1"/>
  <c r="BX51" i="1"/>
  <c r="BX53" i="1"/>
  <c r="BX93" i="1"/>
  <c r="BX88" i="1"/>
  <c r="BX92" i="1"/>
  <c r="BX86" i="1"/>
  <c r="BX59" i="1"/>
  <c r="BX90" i="1"/>
  <c r="BX58" i="1"/>
  <c r="BX94" i="1"/>
  <c r="BX107" i="1"/>
  <c r="BX109" i="1"/>
  <c r="BX62" i="1"/>
  <c r="BX105" i="1"/>
  <c r="BX82" i="1"/>
  <c r="BX113" i="1"/>
  <c r="BX116" i="1"/>
  <c r="BX97" i="1"/>
  <c r="BX85" i="1"/>
  <c r="BX96" i="1"/>
  <c r="BX108" i="1"/>
  <c r="BX64" i="1"/>
  <c r="BX103" i="1"/>
  <c r="BX66" i="1"/>
  <c r="BX101" i="1"/>
  <c r="BX63" i="1"/>
  <c r="BX106" i="1"/>
  <c r="BX110" i="1"/>
  <c r="BX112" i="1"/>
  <c r="BX68" i="1"/>
  <c r="BX79" i="1"/>
  <c r="BX119" i="1"/>
  <c r="BX121" i="1"/>
  <c r="BX95" i="1"/>
  <c r="BX120" i="1"/>
  <c r="BX122" i="1"/>
  <c r="BX123" i="1"/>
  <c r="BX124" i="1"/>
  <c r="BX125" i="1"/>
  <c r="BX126" i="1"/>
  <c r="BX127" i="1"/>
  <c r="BX128" i="1"/>
  <c r="BX114" i="1"/>
  <c r="BX87" i="1"/>
  <c r="BX57" i="1"/>
  <c r="BX65" i="1"/>
  <c r="BX104" i="1"/>
  <c r="BX118" i="1"/>
  <c r="BX102" i="1"/>
  <c r="BX83" i="1"/>
  <c r="BX117" i="1"/>
  <c r="BX31" i="1"/>
  <c r="BX76" i="1"/>
  <c r="BX91" i="1"/>
  <c r="BX98" i="1"/>
  <c r="BX100" i="1"/>
  <c r="BX99" i="1"/>
  <c r="BX115" i="1"/>
  <c r="BX2" i="1"/>
  <c r="BB131" i="1"/>
  <c r="CE12" i="1"/>
  <c r="CE22" i="1"/>
  <c r="CE37" i="1"/>
  <c r="CE29" i="1"/>
  <c r="CE60" i="1"/>
  <c r="CE81" i="1"/>
  <c r="CE6" i="1"/>
  <c r="CE17" i="1"/>
  <c r="CE13" i="1"/>
  <c r="CE42" i="1"/>
  <c r="CE39" i="1"/>
  <c r="CE75" i="1"/>
  <c r="CE31" i="1"/>
  <c r="CE90" i="1"/>
  <c r="CE58" i="1"/>
  <c r="CE23" i="1"/>
  <c r="CE33" i="1"/>
  <c r="CE38" i="1"/>
  <c r="CE10" i="1"/>
  <c r="CE70" i="1"/>
  <c r="CE54" i="1"/>
  <c r="CE52" i="1"/>
  <c r="CE21" i="1"/>
  <c r="CE36" i="1"/>
  <c r="CE111" i="1"/>
  <c r="CE61" i="1"/>
  <c r="CE80" i="1"/>
  <c r="CE53" i="1"/>
  <c r="CE93" i="1"/>
  <c r="CE66" i="1"/>
  <c r="CE5" i="1"/>
  <c r="CE16" i="1"/>
  <c r="CE50" i="1"/>
  <c r="CE41" i="1"/>
  <c r="CE77" i="1"/>
  <c r="CE74" i="1"/>
  <c r="CE46" i="1"/>
  <c r="CE25" i="1"/>
  <c r="CE67" i="1"/>
  <c r="CE55" i="1"/>
  <c r="CE88" i="1"/>
  <c r="CE7" i="1"/>
  <c r="CE18" i="1"/>
  <c r="CE26" i="1"/>
  <c r="CE43" i="1"/>
  <c r="CE40" i="1"/>
  <c r="CE78" i="1"/>
  <c r="CE49" i="1"/>
  <c r="CE11" i="1"/>
  <c r="CE57" i="1"/>
  <c r="CE65" i="1"/>
  <c r="CE110" i="1"/>
  <c r="CE112" i="1"/>
  <c r="CE30" i="1"/>
  <c r="CE14" i="1"/>
  <c r="CE44" i="1"/>
  <c r="CE56" i="1"/>
  <c r="CE91" i="1"/>
  <c r="CE102" i="1"/>
  <c r="CE107" i="1"/>
  <c r="CE118" i="1"/>
  <c r="CE119" i="1"/>
  <c r="CE121" i="1"/>
  <c r="CE120" i="1"/>
  <c r="CE122" i="1"/>
  <c r="CE124" i="1"/>
  <c r="CE125" i="1"/>
  <c r="CE127" i="1"/>
  <c r="CE128" i="1"/>
  <c r="CE51" i="1"/>
  <c r="CE62" i="1"/>
  <c r="CE105" i="1"/>
  <c r="CE109" i="1"/>
  <c r="CE117" i="1"/>
  <c r="CE3" i="1"/>
  <c r="CE27" i="1"/>
  <c r="CE84" i="1"/>
  <c r="CE89" i="1"/>
  <c r="CE92" i="1"/>
  <c r="CE94" i="1"/>
  <c r="CE95" i="1"/>
  <c r="CE123" i="1"/>
  <c r="CE126" i="1"/>
  <c r="CE15" i="1"/>
  <c r="CE19" i="1"/>
  <c r="CE28" i="1"/>
  <c r="CE100" i="1"/>
  <c r="CE83" i="1"/>
  <c r="CE98" i="1"/>
  <c r="CE114" i="1"/>
  <c r="CE8" i="1"/>
  <c r="CE45" i="1"/>
  <c r="CE4" i="1"/>
  <c r="CE35" i="1"/>
  <c r="CE71" i="1"/>
  <c r="CE97" i="1"/>
  <c r="CE20" i="1"/>
  <c r="CE47" i="1"/>
  <c r="CE9" i="1"/>
  <c r="CE86" i="1"/>
  <c r="CE96" i="1"/>
  <c r="CE82" i="1"/>
  <c r="CE113" i="1"/>
  <c r="CE85" i="1"/>
  <c r="CE116" i="1"/>
  <c r="CE87" i="1"/>
  <c r="CE79" i="1"/>
  <c r="CE99" i="1"/>
  <c r="CE34" i="1"/>
  <c r="CE59" i="1"/>
  <c r="CE101" i="1"/>
  <c r="CE104" i="1"/>
  <c r="CE24" i="1"/>
  <c r="CE72" i="1"/>
  <c r="CE63" i="1"/>
  <c r="CE106" i="1"/>
  <c r="CE108" i="1"/>
  <c r="CE48" i="1"/>
  <c r="CE68" i="1"/>
  <c r="CE115" i="1"/>
  <c r="CE73" i="1"/>
  <c r="CE103" i="1"/>
  <c r="CE76" i="1"/>
  <c r="CE64" i="1"/>
  <c r="CE69" i="1"/>
  <c r="CE2" i="1"/>
  <c r="AS131" i="1"/>
  <c r="BV3" i="1"/>
  <c r="BV14" i="1"/>
  <c r="BV30" i="1"/>
  <c r="BV49" i="1"/>
  <c r="BV48" i="1"/>
  <c r="BV72" i="1"/>
  <c r="BV53" i="1"/>
  <c r="BV93" i="1"/>
  <c r="BV88" i="1"/>
  <c r="BV52" i="1"/>
  <c r="BV21" i="1"/>
  <c r="BV36" i="1"/>
  <c r="BV111" i="1"/>
  <c r="BV61" i="1"/>
  <c r="BV80" i="1"/>
  <c r="BV5" i="1"/>
  <c r="BV16" i="1"/>
  <c r="BV50" i="1"/>
  <c r="BV41" i="1"/>
  <c r="BV77" i="1"/>
  <c r="BV74" i="1"/>
  <c r="BV87" i="1"/>
  <c r="BV91" i="1"/>
  <c r="BV64" i="1"/>
  <c r="BV65" i="1"/>
  <c r="BV62" i="1"/>
  <c r="BV63" i="1"/>
  <c r="BV94" i="1"/>
  <c r="BV96" i="1"/>
  <c r="BV76" i="1"/>
  <c r="BV97" i="1"/>
  <c r="BV79" i="1"/>
  <c r="BV100" i="1"/>
  <c r="BV101" i="1"/>
  <c r="BV102" i="1"/>
  <c r="BV103" i="1"/>
  <c r="BV104" i="1"/>
  <c r="BV105" i="1"/>
  <c r="BV106" i="1"/>
  <c r="BV107" i="1"/>
  <c r="BV108" i="1"/>
  <c r="BV109" i="1"/>
  <c r="BV110" i="1"/>
  <c r="BV24" i="1"/>
  <c r="BV34" i="1"/>
  <c r="BV47" i="1"/>
  <c r="BV71" i="1"/>
  <c r="BV51" i="1"/>
  <c r="BV9" i="1"/>
  <c r="BV20" i="1"/>
  <c r="BV35" i="1"/>
  <c r="BV45" i="1"/>
  <c r="BV28" i="1"/>
  <c r="BV89" i="1"/>
  <c r="BV90" i="1"/>
  <c r="BV58" i="1"/>
  <c r="BV4" i="1"/>
  <c r="BV15" i="1"/>
  <c r="BV84" i="1"/>
  <c r="BV56" i="1"/>
  <c r="BV73" i="1"/>
  <c r="BV12" i="1"/>
  <c r="BV22" i="1"/>
  <c r="BV37" i="1"/>
  <c r="BV29" i="1"/>
  <c r="BV60" i="1"/>
  <c r="BV81" i="1"/>
  <c r="BV31" i="1"/>
  <c r="BV68" i="1"/>
  <c r="BV57" i="1"/>
  <c r="BV18" i="1"/>
  <c r="BV25" i="1"/>
  <c r="BV69" i="1"/>
  <c r="BV46" i="1"/>
  <c r="BV27" i="1"/>
  <c r="BV70" i="1"/>
  <c r="BV92" i="1"/>
  <c r="BV86" i="1"/>
  <c r="BV66" i="1"/>
  <c r="BV112" i="1"/>
  <c r="BV115" i="1"/>
  <c r="BV19" i="1"/>
  <c r="BV10" i="1"/>
  <c r="BV99" i="1"/>
  <c r="BV8" i="1"/>
  <c r="BV38" i="1"/>
  <c r="BV75" i="1"/>
  <c r="BV33" i="1"/>
  <c r="BV39" i="1"/>
  <c r="BV23" i="1"/>
  <c r="BV42" i="1"/>
  <c r="BV59" i="1"/>
  <c r="BV119" i="1"/>
  <c r="BV121" i="1"/>
  <c r="BV95" i="1"/>
  <c r="BV120" i="1"/>
  <c r="BV122" i="1"/>
  <c r="BV123" i="1"/>
  <c r="BV124" i="1"/>
  <c r="BV125" i="1"/>
  <c r="BV126" i="1"/>
  <c r="BV127" i="1"/>
  <c r="BV128" i="1"/>
  <c r="BV13" i="1"/>
  <c r="BV17" i="1"/>
  <c r="BV78" i="1"/>
  <c r="BV67" i="1"/>
  <c r="BV6" i="1"/>
  <c r="BV40" i="1"/>
  <c r="BV83" i="1"/>
  <c r="BV98" i="1"/>
  <c r="BV114" i="1"/>
  <c r="BV117" i="1"/>
  <c r="BV43" i="1"/>
  <c r="BV55" i="1"/>
  <c r="BV26" i="1"/>
  <c r="BV11" i="1"/>
  <c r="BV7" i="1"/>
  <c r="BV44" i="1"/>
  <c r="BV54" i="1"/>
  <c r="BV85" i="1"/>
  <c r="BV116" i="1"/>
  <c r="BV82" i="1"/>
  <c r="BV118" i="1"/>
  <c r="BV113" i="1"/>
  <c r="BV2" i="1"/>
  <c r="AW131" i="1"/>
  <c r="BZ23" i="1"/>
  <c r="BZ33" i="1"/>
  <c r="BZ38" i="1"/>
  <c r="BZ10" i="1"/>
  <c r="BZ70" i="1"/>
  <c r="BZ54" i="1"/>
  <c r="BZ8" i="1"/>
  <c r="BZ19" i="1"/>
  <c r="BZ27" i="1"/>
  <c r="BZ44" i="1"/>
  <c r="BZ69" i="1"/>
  <c r="BZ11" i="1"/>
  <c r="BZ66" i="1"/>
  <c r="BZ3" i="1"/>
  <c r="BZ14" i="1"/>
  <c r="BZ30" i="1"/>
  <c r="BZ49" i="1"/>
  <c r="BZ48" i="1"/>
  <c r="BZ72" i="1"/>
  <c r="BZ46" i="1"/>
  <c r="BZ25" i="1"/>
  <c r="BZ67" i="1"/>
  <c r="BZ55" i="1"/>
  <c r="BZ87" i="1"/>
  <c r="BZ7" i="1"/>
  <c r="BZ18" i="1"/>
  <c r="BZ26" i="1"/>
  <c r="BZ43" i="1"/>
  <c r="BZ40" i="1"/>
  <c r="BZ78" i="1"/>
  <c r="BZ91" i="1"/>
  <c r="BZ64" i="1"/>
  <c r="BZ65" i="1"/>
  <c r="BZ62" i="1"/>
  <c r="BZ63" i="1"/>
  <c r="BZ94" i="1"/>
  <c r="BZ96" i="1"/>
  <c r="BZ76" i="1"/>
  <c r="BZ97" i="1"/>
  <c r="BZ79" i="1"/>
  <c r="BZ100" i="1"/>
  <c r="BZ101" i="1"/>
  <c r="BZ102" i="1"/>
  <c r="BZ103" i="1"/>
  <c r="BZ104" i="1"/>
  <c r="BZ105" i="1"/>
  <c r="BZ106" i="1"/>
  <c r="BZ107" i="1"/>
  <c r="BZ108" i="1"/>
  <c r="BZ109" i="1"/>
  <c r="BZ110" i="1"/>
  <c r="BZ82" i="1"/>
  <c r="BZ83" i="1"/>
  <c r="BZ112" i="1"/>
  <c r="BZ113" i="1"/>
  <c r="BZ98" i="1"/>
  <c r="BZ99" i="1"/>
  <c r="BZ85" i="1"/>
  <c r="BZ114" i="1"/>
  <c r="BZ115" i="1"/>
  <c r="BZ116" i="1"/>
  <c r="BZ24" i="1"/>
  <c r="BZ34" i="1"/>
  <c r="BZ47" i="1"/>
  <c r="BZ71" i="1"/>
  <c r="BZ51" i="1"/>
  <c r="BZ92" i="1"/>
  <c r="BZ86" i="1"/>
  <c r="BZ59" i="1"/>
  <c r="BZ9" i="1"/>
  <c r="BZ20" i="1"/>
  <c r="BZ35" i="1"/>
  <c r="BZ45" i="1"/>
  <c r="BZ28" i="1"/>
  <c r="BZ89" i="1"/>
  <c r="BZ22" i="1"/>
  <c r="BZ56" i="1"/>
  <c r="BZ31" i="1"/>
  <c r="BZ88" i="1"/>
  <c r="BZ58" i="1"/>
  <c r="BZ15" i="1"/>
  <c r="BZ74" i="1"/>
  <c r="BZ80" i="1"/>
  <c r="BZ4" i="1"/>
  <c r="BZ77" i="1"/>
  <c r="BZ41" i="1"/>
  <c r="BZ50" i="1"/>
  <c r="BZ61" i="1"/>
  <c r="BZ75" i="1"/>
  <c r="BZ93" i="1"/>
  <c r="BZ16" i="1"/>
  <c r="BZ111" i="1"/>
  <c r="BZ39" i="1"/>
  <c r="BZ5" i="1"/>
  <c r="BZ36" i="1"/>
  <c r="BZ42" i="1"/>
  <c r="BZ81" i="1"/>
  <c r="BZ53" i="1"/>
  <c r="BZ21" i="1"/>
  <c r="BZ13" i="1"/>
  <c r="BZ60" i="1"/>
  <c r="BZ73" i="1"/>
  <c r="BZ57" i="1"/>
  <c r="BZ117" i="1"/>
  <c r="BZ52" i="1"/>
  <c r="BZ17" i="1"/>
  <c r="BZ29" i="1"/>
  <c r="BZ68" i="1"/>
  <c r="BZ118" i="1"/>
  <c r="BZ119" i="1"/>
  <c r="BZ121" i="1"/>
  <c r="BZ95" i="1"/>
  <c r="BZ120" i="1"/>
  <c r="BZ122" i="1"/>
  <c r="BZ123" i="1"/>
  <c r="BZ124" i="1"/>
  <c r="BZ125" i="1"/>
  <c r="BZ126" i="1"/>
  <c r="BZ127" i="1"/>
  <c r="BZ128" i="1"/>
  <c r="BZ6" i="1"/>
  <c r="BZ37" i="1"/>
  <c r="BZ12" i="1"/>
  <c r="BZ90" i="1"/>
  <c r="BZ84" i="1"/>
  <c r="BZ2" i="1"/>
  <c r="AT131" i="1"/>
  <c r="BW3" i="1"/>
  <c r="BW4" i="1"/>
  <c r="BW5" i="1"/>
  <c r="BW6" i="1"/>
  <c r="BW7" i="1"/>
  <c r="BW8" i="1"/>
  <c r="BW9" i="1"/>
  <c r="BW52" i="1"/>
  <c r="BW12" i="1"/>
  <c r="BW23" i="1"/>
  <c r="BW24" i="1"/>
  <c r="BW14" i="1"/>
  <c r="BW15" i="1"/>
  <c r="BW16" i="1"/>
  <c r="BW17" i="1"/>
  <c r="BW18" i="1"/>
  <c r="BW19" i="1"/>
  <c r="BW20" i="1"/>
  <c r="BW21" i="1"/>
  <c r="BW22" i="1"/>
  <c r="BW46" i="1"/>
  <c r="BW33" i="1"/>
  <c r="BW34" i="1"/>
  <c r="BW30" i="1"/>
  <c r="BW50" i="1"/>
  <c r="BW13" i="1"/>
  <c r="BW26" i="1"/>
  <c r="BW27" i="1"/>
  <c r="BW35" i="1"/>
  <c r="BW36" i="1"/>
  <c r="BW37" i="1"/>
  <c r="BW38" i="1"/>
  <c r="BW49" i="1"/>
  <c r="BW84" i="1"/>
  <c r="BW41" i="1"/>
  <c r="BW42" i="1"/>
  <c r="BW43" i="1"/>
  <c r="BW44" i="1"/>
  <c r="BW45" i="1"/>
  <c r="BW111" i="1"/>
  <c r="BW29" i="1"/>
  <c r="BW25" i="1"/>
  <c r="BW10" i="1"/>
  <c r="BW47" i="1"/>
  <c r="BW48" i="1"/>
  <c r="BW56" i="1"/>
  <c r="BW77" i="1"/>
  <c r="BW39" i="1"/>
  <c r="BW40" i="1"/>
  <c r="BW69" i="1"/>
  <c r="BW28" i="1"/>
  <c r="BW61" i="1"/>
  <c r="BW60" i="1"/>
  <c r="BW67" i="1"/>
  <c r="BW70" i="1"/>
  <c r="BW71" i="1"/>
  <c r="BW72" i="1"/>
  <c r="BW73" i="1"/>
  <c r="BW74" i="1"/>
  <c r="BW75" i="1"/>
  <c r="BW78" i="1"/>
  <c r="BW11" i="1"/>
  <c r="BW89" i="1"/>
  <c r="BW80" i="1"/>
  <c r="BW81" i="1"/>
  <c r="BW55" i="1"/>
  <c r="BW54" i="1"/>
  <c r="BW51" i="1"/>
  <c r="BW53" i="1"/>
  <c r="BW31" i="1"/>
  <c r="BW92" i="1"/>
  <c r="BW93" i="1"/>
  <c r="BW68" i="1"/>
  <c r="BW90" i="1"/>
  <c r="BW86" i="1"/>
  <c r="BW87" i="1"/>
  <c r="BW88" i="1"/>
  <c r="BW66" i="1"/>
  <c r="BW57" i="1"/>
  <c r="BW58" i="1"/>
  <c r="BW59" i="1"/>
  <c r="BW100" i="1"/>
  <c r="BW97" i="1"/>
  <c r="BW82" i="1"/>
  <c r="BW113" i="1"/>
  <c r="BW85" i="1"/>
  <c r="BW116" i="1"/>
  <c r="BW103" i="1"/>
  <c r="BW64" i="1"/>
  <c r="BW101" i="1"/>
  <c r="BW96" i="1"/>
  <c r="BW108" i="1"/>
  <c r="BW63" i="1"/>
  <c r="BW106" i="1"/>
  <c r="BW110" i="1"/>
  <c r="BW112" i="1"/>
  <c r="BW99" i="1"/>
  <c r="BW115" i="1"/>
  <c r="BW79" i="1"/>
  <c r="BW65" i="1"/>
  <c r="BW104" i="1"/>
  <c r="BW118" i="1"/>
  <c r="BW76" i="1"/>
  <c r="BW94" i="1"/>
  <c r="BW107" i="1"/>
  <c r="BW91" i="1"/>
  <c r="BW102" i="1"/>
  <c r="BW83" i="1"/>
  <c r="BW98" i="1"/>
  <c r="BW114" i="1"/>
  <c r="BW117" i="1"/>
  <c r="BW109" i="1"/>
  <c r="BW128" i="1"/>
  <c r="BW119" i="1"/>
  <c r="BW121" i="1"/>
  <c r="BW125" i="1"/>
  <c r="BW122" i="1"/>
  <c r="BW95" i="1"/>
  <c r="BW126" i="1"/>
  <c r="BW105" i="1"/>
  <c r="BW120" i="1"/>
  <c r="BW127" i="1"/>
  <c r="BW123" i="1"/>
  <c r="BW124" i="1"/>
  <c r="BW62" i="1"/>
  <c r="BW2" i="1"/>
  <c r="AY131" i="1"/>
  <c r="CB3" i="1"/>
  <c r="CB4" i="1"/>
  <c r="CB5" i="1"/>
  <c r="CB6" i="1"/>
  <c r="CB7" i="1"/>
  <c r="CB8" i="1"/>
  <c r="CB9" i="1"/>
  <c r="CB52" i="1"/>
  <c r="CB12" i="1"/>
  <c r="CB23" i="1"/>
  <c r="CB24" i="1"/>
  <c r="CB14" i="1"/>
  <c r="CB15" i="1"/>
  <c r="CB16" i="1"/>
  <c r="CB17" i="1"/>
  <c r="CB18" i="1"/>
  <c r="CB19" i="1"/>
  <c r="CB20" i="1"/>
  <c r="CB21" i="1"/>
  <c r="CB22" i="1"/>
  <c r="CB46" i="1"/>
  <c r="CB33" i="1"/>
  <c r="CB34" i="1"/>
  <c r="CB30" i="1"/>
  <c r="CB50" i="1"/>
  <c r="CB13" i="1"/>
  <c r="CB26" i="1"/>
  <c r="CB27" i="1"/>
  <c r="CB35" i="1"/>
  <c r="CB36" i="1"/>
  <c r="CB37" i="1"/>
  <c r="CB38" i="1"/>
  <c r="CB49" i="1"/>
  <c r="CB84" i="1"/>
  <c r="CB41" i="1"/>
  <c r="CB42" i="1"/>
  <c r="CB43" i="1"/>
  <c r="CB44" i="1"/>
  <c r="CB45" i="1"/>
  <c r="CB111" i="1"/>
  <c r="CB29" i="1"/>
  <c r="CB25" i="1"/>
  <c r="CB10" i="1"/>
  <c r="CB47" i="1"/>
  <c r="CB48" i="1"/>
  <c r="CB56" i="1"/>
  <c r="CB77" i="1"/>
  <c r="CB39" i="1"/>
  <c r="CB40" i="1"/>
  <c r="CB69" i="1"/>
  <c r="CB28" i="1"/>
  <c r="CB61" i="1"/>
  <c r="CB60" i="1"/>
  <c r="CB67" i="1"/>
  <c r="CB70" i="1"/>
  <c r="CB71" i="1"/>
  <c r="CB72" i="1"/>
  <c r="CB73" i="1"/>
  <c r="CB74" i="1"/>
  <c r="CB75" i="1"/>
  <c r="CB78" i="1"/>
  <c r="CB11" i="1"/>
  <c r="CB89" i="1"/>
  <c r="CB80" i="1"/>
  <c r="CB81" i="1"/>
  <c r="CB55" i="1"/>
  <c r="CB54" i="1"/>
  <c r="CB51" i="1"/>
  <c r="CB53" i="1"/>
  <c r="CB31" i="1"/>
  <c r="CB92" i="1"/>
  <c r="CB93" i="1"/>
  <c r="CB68" i="1"/>
  <c r="CB90" i="1"/>
  <c r="CB86" i="1"/>
  <c r="CB87" i="1"/>
  <c r="CB88" i="1"/>
  <c r="CB66" i="1"/>
  <c r="CB57" i="1"/>
  <c r="CB58" i="1"/>
  <c r="CB59" i="1"/>
  <c r="CB91" i="1"/>
  <c r="CB64" i="1"/>
  <c r="CB65" i="1"/>
  <c r="CB62" i="1"/>
  <c r="CB63" i="1"/>
  <c r="CB94" i="1"/>
  <c r="CB96" i="1"/>
  <c r="CB76" i="1"/>
  <c r="CB97" i="1"/>
  <c r="CB79" i="1"/>
  <c r="CB100" i="1"/>
  <c r="CB101" i="1"/>
  <c r="CB102" i="1"/>
  <c r="CB103" i="1"/>
  <c r="CB104" i="1"/>
  <c r="CB105" i="1"/>
  <c r="CB106" i="1"/>
  <c r="CB107" i="1"/>
  <c r="CB118" i="1"/>
  <c r="CB122" i="1"/>
  <c r="CB126" i="1"/>
  <c r="CB109" i="1"/>
  <c r="CB117" i="1"/>
  <c r="CB82" i="1"/>
  <c r="CB116" i="1"/>
  <c r="CB113" i="1"/>
  <c r="CB85" i="1"/>
  <c r="CB119" i="1"/>
  <c r="CB95" i="1"/>
  <c r="CB123" i="1"/>
  <c r="CB127" i="1"/>
  <c r="CB110" i="1"/>
  <c r="CB112" i="1"/>
  <c r="CB99" i="1"/>
  <c r="CB115" i="1"/>
  <c r="CB121" i="1"/>
  <c r="CB124" i="1"/>
  <c r="CB128" i="1"/>
  <c r="CB120" i="1"/>
  <c r="CB125" i="1"/>
  <c r="CB98" i="1"/>
  <c r="CB114" i="1"/>
  <c r="CB108" i="1"/>
  <c r="CB83" i="1"/>
  <c r="CB2" i="1"/>
  <c r="AZ131" i="1"/>
  <c r="CC3" i="1"/>
  <c r="CC4" i="1"/>
  <c r="CC5" i="1"/>
  <c r="CC6" i="1"/>
  <c r="CC7" i="1"/>
  <c r="CC8" i="1"/>
  <c r="CC9" i="1"/>
  <c r="CC52" i="1"/>
  <c r="CC12" i="1"/>
  <c r="CC23" i="1"/>
  <c r="CC24" i="1"/>
  <c r="CC14" i="1"/>
  <c r="CC15" i="1"/>
  <c r="CC16" i="1"/>
  <c r="CC17" i="1"/>
  <c r="CC18" i="1"/>
  <c r="CC19" i="1"/>
  <c r="CC20" i="1"/>
  <c r="CC21" i="1"/>
  <c r="CC22" i="1"/>
  <c r="CC46" i="1"/>
  <c r="CC33" i="1"/>
  <c r="CC34" i="1"/>
  <c r="CC30" i="1"/>
  <c r="CC50" i="1"/>
  <c r="CC13" i="1"/>
  <c r="CC26" i="1"/>
  <c r="CC27" i="1"/>
  <c r="CC35" i="1"/>
  <c r="CC36" i="1"/>
  <c r="CC37" i="1"/>
  <c r="CC38" i="1"/>
  <c r="CC49" i="1"/>
  <c r="CC84" i="1"/>
  <c r="CC41" i="1"/>
  <c r="CC42" i="1"/>
  <c r="CC43" i="1"/>
  <c r="CC44" i="1"/>
  <c r="CC45" i="1"/>
  <c r="CC111" i="1"/>
  <c r="CC29" i="1"/>
  <c r="CC25" i="1"/>
  <c r="CC10" i="1"/>
  <c r="CC47" i="1"/>
  <c r="CC48" i="1"/>
  <c r="CC56" i="1"/>
  <c r="CC77" i="1"/>
  <c r="CC39" i="1"/>
  <c r="CC40" i="1"/>
  <c r="CC69" i="1"/>
  <c r="CC28" i="1"/>
  <c r="CC61" i="1"/>
  <c r="CC60" i="1"/>
  <c r="CC67" i="1"/>
  <c r="CC70" i="1"/>
  <c r="CC71" i="1"/>
  <c r="CC72" i="1"/>
  <c r="CC73" i="1"/>
  <c r="CC74" i="1"/>
  <c r="CC75" i="1"/>
  <c r="CC78" i="1"/>
  <c r="CC11" i="1"/>
  <c r="CC89" i="1"/>
  <c r="CC80" i="1"/>
  <c r="CC81" i="1"/>
  <c r="CC55" i="1"/>
  <c r="CC54" i="1"/>
  <c r="CC51" i="1"/>
  <c r="CC53" i="1"/>
  <c r="CC31" i="1"/>
  <c r="CC92" i="1"/>
  <c r="CC93" i="1"/>
  <c r="CC68" i="1"/>
  <c r="CC57" i="1"/>
  <c r="CC88" i="1"/>
  <c r="CC87" i="1"/>
  <c r="CC91" i="1"/>
  <c r="CC100" i="1"/>
  <c r="CC83" i="1"/>
  <c r="CC98" i="1"/>
  <c r="CC114" i="1"/>
  <c r="CC90" i="1"/>
  <c r="CC62" i="1"/>
  <c r="CC105" i="1"/>
  <c r="CC109" i="1"/>
  <c r="CC117" i="1"/>
  <c r="CC58" i="1"/>
  <c r="CC97" i="1"/>
  <c r="CC64" i="1"/>
  <c r="CC103" i="1"/>
  <c r="CC86" i="1"/>
  <c r="CC96" i="1"/>
  <c r="CC82" i="1"/>
  <c r="CC113" i="1"/>
  <c r="CC85" i="1"/>
  <c r="CC116" i="1"/>
  <c r="CC66" i="1"/>
  <c r="CC59" i="1"/>
  <c r="CC63" i="1"/>
  <c r="CC106" i="1"/>
  <c r="CC108" i="1"/>
  <c r="CC79" i="1"/>
  <c r="CC65" i="1"/>
  <c r="CC104" i="1"/>
  <c r="CC110" i="1"/>
  <c r="CC112" i="1"/>
  <c r="CC99" i="1"/>
  <c r="CC115" i="1"/>
  <c r="CC76" i="1"/>
  <c r="CC102" i="1"/>
  <c r="CC119" i="1"/>
  <c r="CC124" i="1"/>
  <c r="CC101" i="1"/>
  <c r="CC121" i="1"/>
  <c r="CC125" i="1"/>
  <c r="CC95" i="1"/>
  <c r="CC107" i="1"/>
  <c r="CC120" i="1"/>
  <c r="CC126" i="1"/>
  <c r="CC127" i="1"/>
  <c r="CC122" i="1"/>
  <c r="CC128" i="1"/>
  <c r="CC94" i="1"/>
  <c r="CC118" i="1"/>
  <c r="CC123" i="1"/>
  <c r="CC2" i="1"/>
  <c r="AV131" i="1"/>
  <c r="BY8" i="1"/>
  <c r="BY19" i="1"/>
  <c r="BY27" i="1"/>
  <c r="BY44" i="1"/>
  <c r="BY69" i="1"/>
  <c r="BY11" i="1"/>
  <c r="BY66" i="1"/>
  <c r="BY3" i="1"/>
  <c r="BY14" i="1"/>
  <c r="BY30" i="1"/>
  <c r="BY49" i="1"/>
  <c r="BY48" i="1"/>
  <c r="BY72" i="1"/>
  <c r="BY52" i="1"/>
  <c r="BY21" i="1"/>
  <c r="BY36" i="1"/>
  <c r="BY111" i="1"/>
  <c r="BY61" i="1"/>
  <c r="BY80" i="1"/>
  <c r="BY53" i="1"/>
  <c r="BY93" i="1"/>
  <c r="BY88" i="1"/>
  <c r="BY7" i="1"/>
  <c r="BY18" i="1"/>
  <c r="BY26" i="1"/>
  <c r="BY43" i="1"/>
  <c r="BY40" i="1"/>
  <c r="BY78" i="1"/>
  <c r="BY91" i="1"/>
  <c r="BY64" i="1"/>
  <c r="BY65" i="1"/>
  <c r="BY62" i="1"/>
  <c r="BY63" i="1"/>
  <c r="BY94" i="1"/>
  <c r="BY96" i="1"/>
  <c r="BY76" i="1"/>
  <c r="BY97" i="1"/>
  <c r="BY79" i="1"/>
  <c r="BY100" i="1"/>
  <c r="BY101" i="1"/>
  <c r="BY102" i="1"/>
  <c r="BY103" i="1"/>
  <c r="BY104" i="1"/>
  <c r="BY105" i="1"/>
  <c r="BY106" i="1"/>
  <c r="BY107" i="1"/>
  <c r="BY108" i="1"/>
  <c r="BY109" i="1"/>
  <c r="BY110" i="1"/>
  <c r="BY82" i="1"/>
  <c r="BY83" i="1"/>
  <c r="BY112" i="1"/>
  <c r="BY113" i="1"/>
  <c r="BY98" i="1"/>
  <c r="BY99" i="1"/>
  <c r="BY85" i="1"/>
  <c r="BY114" i="1"/>
  <c r="BY115" i="1"/>
  <c r="BY116" i="1"/>
  <c r="BY117" i="1"/>
  <c r="BY118" i="1"/>
  <c r="BY24" i="1"/>
  <c r="BY34" i="1"/>
  <c r="BY47" i="1"/>
  <c r="BY71" i="1"/>
  <c r="BY51" i="1"/>
  <c r="BY92" i="1"/>
  <c r="BY86" i="1"/>
  <c r="BY59" i="1"/>
  <c r="BY9" i="1"/>
  <c r="BY20" i="1"/>
  <c r="BY35" i="1"/>
  <c r="BY45" i="1"/>
  <c r="BY28" i="1"/>
  <c r="BY89" i="1"/>
  <c r="BY4" i="1"/>
  <c r="BY15" i="1"/>
  <c r="BY84" i="1"/>
  <c r="BY56" i="1"/>
  <c r="BY73" i="1"/>
  <c r="BY90" i="1"/>
  <c r="BY58" i="1"/>
  <c r="BY12" i="1"/>
  <c r="BY67" i="1"/>
  <c r="BY74" i="1"/>
  <c r="BY54" i="1"/>
  <c r="BY46" i="1"/>
  <c r="BY77" i="1"/>
  <c r="BY70" i="1"/>
  <c r="BY41" i="1"/>
  <c r="BY10" i="1"/>
  <c r="BY50" i="1"/>
  <c r="BY38" i="1"/>
  <c r="BY75" i="1"/>
  <c r="BY16" i="1"/>
  <c r="BY33" i="1"/>
  <c r="BY39" i="1"/>
  <c r="BY5" i="1"/>
  <c r="BY23" i="1"/>
  <c r="BY42" i="1"/>
  <c r="BY81" i="1"/>
  <c r="BY13" i="1"/>
  <c r="BY60" i="1"/>
  <c r="BY55" i="1"/>
  <c r="BY17" i="1"/>
  <c r="BY29" i="1"/>
  <c r="BY68" i="1"/>
  <c r="BY119" i="1"/>
  <c r="BY121" i="1"/>
  <c r="BY95" i="1"/>
  <c r="BY120" i="1"/>
  <c r="BY122" i="1"/>
  <c r="BY123" i="1"/>
  <c r="BY124" i="1"/>
  <c r="BY125" i="1"/>
  <c r="BY126" i="1"/>
  <c r="BY127" i="1"/>
  <c r="BY128" i="1"/>
  <c r="BY31" i="1"/>
  <c r="BY6" i="1"/>
  <c r="BY37" i="1"/>
  <c r="BY87" i="1"/>
  <c r="BY57" i="1"/>
  <c r="BY22" i="1"/>
  <c r="BY25" i="1"/>
  <c r="BY2" i="1"/>
  <c r="AQ131" i="1"/>
  <c r="BT5" i="1"/>
  <c r="BT16" i="1"/>
  <c r="BT50" i="1"/>
  <c r="BT41" i="1"/>
  <c r="BT77" i="1"/>
  <c r="BT74" i="1"/>
  <c r="BT87" i="1"/>
  <c r="BT91" i="1"/>
  <c r="BT64" i="1"/>
  <c r="BT65" i="1"/>
  <c r="BT62" i="1"/>
  <c r="BT63" i="1"/>
  <c r="BT94" i="1"/>
  <c r="BT96" i="1"/>
  <c r="BT76" i="1"/>
  <c r="BT97" i="1"/>
  <c r="BT79" i="1"/>
  <c r="BT100" i="1"/>
  <c r="BT101" i="1"/>
  <c r="BT102" i="1"/>
  <c r="BT103" i="1"/>
  <c r="BT104" i="1"/>
  <c r="BT105" i="1"/>
  <c r="BT106" i="1"/>
  <c r="BT107" i="1"/>
  <c r="BT108" i="1"/>
  <c r="BT109" i="1"/>
  <c r="BT110" i="1"/>
  <c r="BT82" i="1"/>
  <c r="BT83" i="1"/>
  <c r="BT112" i="1"/>
  <c r="BT113" i="1"/>
  <c r="BT98" i="1"/>
  <c r="BT99" i="1"/>
  <c r="BT85" i="1"/>
  <c r="BT114" i="1"/>
  <c r="BT115" i="1"/>
  <c r="BT116" i="1"/>
  <c r="BT117" i="1"/>
  <c r="BT118" i="1"/>
  <c r="BT46" i="1"/>
  <c r="BT25" i="1"/>
  <c r="BT67" i="1"/>
  <c r="BT55" i="1"/>
  <c r="BT7" i="1"/>
  <c r="BT18" i="1"/>
  <c r="BT26" i="1"/>
  <c r="BT43" i="1"/>
  <c r="BT40" i="1"/>
  <c r="BT78" i="1"/>
  <c r="BT92" i="1"/>
  <c r="BT86" i="1"/>
  <c r="BT59" i="1"/>
  <c r="BT4" i="1"/>
  <c r="BT15" i="1"/>
  <c r="BT84" i="1"/>
  <c r="BT56" i="1"/>
  <c r="BT73" i="1"/>
  <c r="BT12" i="1"/>
  <c r="BT22" i="1"/>
  <c r="BT37" i="1"/>
  <c r="BT29" i="1"/>
  <c r="BT60" i="1"/>
  <c r="BT81" i="1"/>
  <c r="BT31" i="1"/>
  <c r="BT68" i="1"/>
  <c r="BT57" i="1"/>
  <c r="BT6" i="1"/>
  <c r="BT17" i="1"/>
  <c r="BT13" i="1"/>
  <c r="BT42" i="1"/>
  <c r="BT39" i="1"/>
  <c r="BT75" i="1"/>
  <c r="BT23" i="1"/>
  <c r="BT33" i="1"/>
  <c r="BT38" i="1"/>
  <c r="BT10" i="1"/>
  <c r="BT70" i="1"/>
  <c r="BT54" i="1"/>
  <c r="BT66" i="1"/>
  <c r="BT3" i="1"/>
  <c r="BT27" i="1"/>
  <c r="BT90" i="1"/>
  <c r="BT88" i="1"/>
  <c r="BT8" i="1"/>
  <c r="BT28" i="1"/>
  <c r="BT20" i="1"/>
  <c r="BT45" i="1"/>
  <c r="BT51" i="1"/>
  <c r="BT35" i="1"/>
  <c r="BT71" i="1"/>
  <c r="BT80" i="1"/>
  <c r="BT93" i="1"/>
  <c r="BT119" i="1"/>
  <c r="BT121" i="1"/>
  <c r="BT95" i="1"/>
  <c r="BT120" i="1"/>
  <c r="BT122" i="1"/>
  <c r="BT123" i="1"/>
  <c r="BT124" i="1"/>
  <c r="BT125" i="1"/>
  <c r="BT126" i="1"/>
  <c r="BT127" i="1"/>
  <c r="BT128" i="1"/>
  <c r="BT47" i="1"/>
  <c r="BT61" i="1"/>
  <c r="BT9" i="1"/>
  <c r="BT111" i="1"/>
  <c r="BT53" i="1"/>
  <c r="BT34" i="1"/>
  <c r="BT36" i="1"/>
  <c r="BT72" i="1"/>
  <c r="BT24" i="1"/>
  <c r="BT21" i="1"/>
  <c r="BT48" i="1"/>
  <c r="BT14" i="1"/>
  <c r="BT52" i="1"/>
  <c r="BT49" i="1"/>
  <c r="BT11" i="1"/>
  <c r="BT44" i="1"/>
  <c r="BT30" i="1"/>
  <c r="BT69" i="1"/>
  <c r="BT89" i="1"/>
  <c r="BT19" i="1"/>
  <c r="BT58" i="1"/>
  <c r="BT2" i="1"/>
  <c r="AX131" i="1"/>
  <c r="CA6" i="1"/>
  <c r="CA17" i="1"/>
  <c r="CA13" i="1"/>
  <c r="CA42" i="1"/>
  <c r="CA39" i="1"/>
  <c r="CA75" i="1"/>
  <c r="CA31" i="1"/>
  <c r="CA68" i="1"/>
  <c r="CA57" i="1"/>
  <c r="CA23" i="1"/>
  <c r="CA33" i="1"/>
  <c r="CA38" i="1"/>
  <c r="CA10" i="1"/>
  <c r="CA70" i="1"/>
  <c r="CA54" i="1"/>
  <c r="CA8" i="1"/>
  <c r="CA19" i="1"/>
  <c r="CA27" i="1"/>
  <c r="CA44" i="1"/>
  <c r="CA69" i="1"/>
  <c r="CA11" i="1"/>
  <c r="CA66" i="1"/>
  <c r="CA5" i="1"/>
  <c r="CA16" i="1"/>
  <c r="CA50" i="1"/>
  <c r="CA41" i="1"/>
  <c r="CA77" i="1"/>
  <c r="CA74" i="1"/>
  <c r="CA46" i="1"/>
  <c r="CA25" i="1"/>
  <c r="CA67" i="1"/>
  <c r="CA55" i="1"/>
  <c r="CA87" i="1"/>
  <c r="CA7" i="1"/>
  <c r="CA18" i="1"/>
  <c r="CA26" i="1"/>
  <c r="CA43" i="1"/>
  <c r="CA40" i="1"/>
  <c r="CA78" i="1"/>
  <c r="CA91" i="1"/>
  <c r="CA64" i="1"/>
  <c r="CA65" i="1"/>
  <c r="CA62" i="1"/>
  <c r="CA63" i="1"/>
  <c r="CA94" i="1"/>
  <c r="CA96" i="1"/>
  <c r="CA76" i="1"/>
  <c r="CA97" i="1"/>
  <c r="CA79" i="1"/>
  <c r="CA100" i="1"/>
  <c r="CA101" i="1"/>
  <c r="CA102" i="1"/>
  <c r="CA103" i="1"/>
  <c r="CA104" i="1"/>
  <c r="CA105" i="1"/>
  <c r="CA106" i="1"/>
  <c r="CA107" i="1"/>
  <c r="CA24" i="1"/>
  <c r="CA34" i="1"/>
  <c r="CA47" i="1"/>
  <c r="CA71" i="1"/>
  <c r="CA51" i="1"/>
  <c r="CA92" i="1"/>
  <c r="CA86" i="1"/>
  <c r="CA59" i="1"/>
  <c r="CA30" i="1"/>
  <c r="CA37" i="1"/>
  <c r="CA73" i="1"/>
  <c r="CA83" i="1"/>
  <c r="CA114" i="1"/>
  <c r="CA22" i="1"/>
  <c r="CA3" i="1"/>
  <c r="CA12" i="1"/>
  <c r="CA84" i="1"/>
  <c r="CA89" i="1"/>
  <c r="CA90" i="1"/>
  <c r="CA28" i="1"/>
  <c r="CA88" i="1"/>
  <c r="CA58" i="1"/>
  <c r="CA15" i="1"/>
  <c r="CA45" i="1"/>
  <c r="CA82" i="1"/>
  <c r="CA113" i="1"/>
  <c r="CA85" i="1"/>
  <c r="CA116" i="1"/>
  <c r="CA35" i="1"/>
  <c r="CA4" i="1"/>
  <c r="CA20" i="1"/>
  <c r="CA80" i="1"/>
  <c r="CA108" i="1"/>
  <c r="CA9" i="1"/>
  <c r="CA61" i="1"/>
  <c r="CA93" i="1"/>
  <c r="CA111" i="1"/>
  <c r="CA110" i="1"/>
  <c r="CA112" i="1"/>
  <c r="CA99" i="1"/>
  <c r="CA115" i="1"/>
  <c r="CA29" i="1"/>
  <c r="CA118" i="1"/>
  <c r="CA95" i="1"/>
  <c r="CA122" i="1"/>
  <c r="CA125" i="1"/>
  <c r="CA128" i="1"/>
  <c r="CA36" i="1"/>
  <c r="CA72" i="1"/>
  <c r="CA81" i="1"/>
  <c r="CA53" i="1"/>
  <c r="CA52" i="1"/>
  <c r="CA121" i="1"/>
  <c r="CA123" i="1"/>
  <c r="CA126" i="1"/>
  <c r="CA98" i="1"/>
  <c r="CA21" i="1"/>
  <c r="CA48" i="1"/>
  <c r="CA60" i="1"/>
  <c r="CA49" i="1"/>
  <c r="CA119" i="1"/>
  <c r="CA120" i="1"/>
  <c r="CA124" i="1"/>
  <c r="CA127" i="1"/>
  <c r="CA14" i="1"/>
  <c r="CA109" i="1"/>
  <c r="CA117" i="1"/>
  <c r="CA56" i="1"/>
  <c r="CA2" i="1"/>
  <c r="BA131" i="1"/>
  <c r="CD3" i="1"/>
  <c r="CD4" i="1"/>
  <c r="CD5" i="1"/>
  <c r="CD6" i="1"/>
  <c r="CD7" i="1"/>
  <c r="CD8" i="1"/>
  <c r="CD9" i="1"/>
  <c r="CD52" i="1"/>
  <c r="CD12" i="1"/>
  <c r="CD23" i="1"/>
  <c r="CD24" i="1"/>
  <c r="CD14" i="1"/>
  <c r="CD15" i="1"/>
  <c r="CD16" i="1"/>
  <c r="CD17" i="1"/>
  <c r="CD18" i="1"/>
  <c r="CD19" i="1"/>
  <c r="CD20" i="1"/>
  <c r="CD21" i="1"/>
  <c r="CD22" i="1"/>
  <c r="CD46" i="1"/>
  <c r="CD33" i="1"/>
  <c r="CD34" i="1"/>
  <c r="CD30" i="1"/>
  <c r="CD50" i="1"/>
  <c r="CD13" i="1"/>
  <c r="CD26" i="1"/>
  <c r="CD27" i="1"/>
  <c r="CD35" i="1"/>
  <c r="CD36" i="1"/>
  <c r="CD37" i="1"/>
  <c r="CD38" i="1"/>
  <c r="CD49" i="1"/>
  <c r="CD84" i="1"/>
  <c r="CD41" i="1"/>
  <c r="CD42" i="1"/>
  <c r="CD43" i="1"/>
  <c r="CD44" i="1"/>
  <c r="CD45" i="1"/>
  <c r="CD111" i="1"/>
  <c r="CD29" i="1"/>
  <c r="CD25" i="1"/>
  <c r="CD10" i="1"/>
  <c r="CD47" i="1"/>
  <c r="CD48" i="1"/>
  <c r="CD56" i="1"/>
  <c r="CD77" i="1"/>
  <c r="CD39" i="1"/>
  <c r="CD40" i="1"/>
  <c r="CD69" i="1"/>
  <c r="CD28" i="1"/>
  <c r="CD61" i="1"/>
  <c r="CD60" i="1"/>
  <c r="CD67" i="1"/>
  <c r="CD70" i="1"/>
  <c r="CD71" i="1"/>
  <c r="CD72" i="1"/>
  <c r="CD73" i="1"/>
  <c r="CD74" i="1"/>
  <c r="CD75" i="1"/>
  <c r="CD78" i="1"/>
  <c r="CD11" i="1"/>
  <c r="CD89" i="1"/>
  <c r="CD80" i="1"/>
  <c r="CD81" i="1"/>
  <c r="CD55" i="1"/>
  <c r="CD54" i="1"/>
  <c r="CD51" i="1"/>
  <c r="CD53" i="1"/>
  <c r="CD31" i="1"/>
  <c r="CD92" i="1"/>
  <c r="CD93" i="1"/>
  <c r="CD90" i="1"/>
  <c r="CD58" i="1"/>
  <c r="CD68" i="1"/>
  <c r="CD57" i="1"/>
  <c r="CD88" i="1"/>
  <c r="CD87" i="1"/>
  <c r="CD94" i="1"/>
  <c r="CD107" i="1"/>
  <c r="CD118" i="1"/>
  <c r="CD119" i="1"/>
  <c r="CD121" i="1"/>
  <c r="CD95" i="1"/>
  <c r="CD120" i="1"/>
  <c r="CD122" i="1"/>
  <c r="CD123" i="1"/>
  <c r="CD124" i="1"/>
  <c r="CD125" i="1"/>
  <c r="CD126" i="1"/>
  <c r="CD127" i="1"/>
  <c r="CD128" i="1"/>
  <c r="CD98" i="1"/>
  <c r="CD114" i="1"/>
  <c r="CD97" i="1"/>
  <c r="CD96" i="1"/>
  <c r="CD100" i="1"/>
  <c r="CD83" i="1"/>
  <c r="CD62" i="1"/>
  <c r="CD105" i="1"/>
  <c r="CD109" i="1"/>
  <c r="CD117" i="1"/>
  <c r="CD64" i="1"/>
  <c r="CD103" i="1"/>
  <c r="CD86" i="1"/>
  <c r="CD82" i="1"/>
  <c r="CD66" i="1"/>
  <c r="CD59" i="1"/>
  <c r="CD101" i="1"/>
  <c r="CD65" i="1"/>
  <c r="CD104" i="1"/>
  <c r="CD110" i="1"/>
  <c r="CD112" i="1"/>
  <c r="CD76" i="1"/>
  <c r="CD63" i="1"/>
  <c r="CD106" i="1"/>
  <c r="CD108" i="1"/>
  <c r="CD99" i="1"/>
  <c r="CD79" i="1"/>
  <c r="CD115" i="1"/>
  <c r="CD102" i="1"/>
  <c r="CD85" i="1"/>
  <c r="CD91" i="1"/>
  <c r="CD116" i="1"/>
  <c r="CD113" i="1"/>
  <c r="CD2" i="1"/>
  <c r="CF19" i="1" l="1"/>
  <c r="CH19" i="1" s="1"/>
  <c r="CF125" i="1"/>
  <c r="CF51" i="1"/>
  <c r="CF10" i="1"/>
  <c r="CF31" i="1"/>
  <c r="CF4" i="1"/>
  <c r="CF25" i="1"/>
  <c r="CF36" i="1"/>
  <c r="CF81" i="1"/>
  <c r="BZ129" i="1"/>
  <c r="BV129" i="1"/>
  <c r="CF69" i="1"/>
  <c r="CF20" i="1"/>
  <c r="CF33" i="1"/>
  <c r="CF60" i="1"/>
  <c r="CF46" i="1"/>
  <c r="CF122" i="1"/>
  <c r="CF23" i="1"/>
  <c r="CF29" i="1"/>
  <c r="BW129" i="1"/>
  <c r="CF111" i="1"/>
  <c r="CF37" i="1"/>
  <c r="CB129" i="1"/>
  <c r="CF11" i="1"/>
  <c r="CF95" i="1"/>
  <c r="CC129" i="1"/>
  <c r="CA129" i="1"/>
  <c r="CF9" i="1"/>
  <c r="CF121" i="1"/>
  <c r="CF16" i="1"/>
  <c r="CF52" i="1"/>
  <c r="CF61" i="1"/>
  <c r="CF13" i="1"/>
  <c r="CF26" i="1"/>
  <c r="CF5" i="1"/>
  <c r="CF14" i="1"/>
  <c r="CF47" i="1"/>
  <c r="CF3" i="1"/>
  <c r="BT129" i="1"/>
  <c r="CF17" i="1"/>
  <c r="CF56" i="1"/>
  <c r="CF18" i="1"/>
  <c r="CE129" i="1"/>
  <c r="CD129" i="1"/>
  <c r="CF48" i="1"/>
  <c r="CF80" i="1"/>
  <c r="CF62" i="1"/>
  <c r="CF2" i="1"/>
  <c r="CF54" i="1"/>
  <c r="CF57" i="1"/>
  <c r="CF55" i="1"/>
  <c r="BU129" i="1"/>
  <c r="CF24" i="1"/>
  <c r="CF126" i="1"/>
  <c r="CF35" i="1"/>
  <c r="CF68" i="1"/>
  <c r="CF15" i="1"/>
  <c r="CF64" i="1"/>
  <c r="BY129" i="1"/>
  <c r="BX129" i="1"/>
  <c r="CL19" i="1" l="1"/>
  <c r="CG19" i="1"/>
  <c r="CQ19" i="1"/>
  <c r="CP19" i="1"/>
  <c r="CM19" i="1"/>
  <c r="CI19" i="1"/>
  <c r="CR19" i="1"/>
  <c r="CJ19" i="1"/>
  <c r="CO19" i="1"/>
  <c r="CK19" i="1"/>
  <c r="CN19" i="1"/>
  <c r="CG62" i="1"/>
  <c r="CQ62" i="1"/>
  <c r="CH62" i="1"/>
  <c r="CR62" i="1"/>
  <c r="CI62" i="1"/>
  <c r="CM62" i="1"/>
  <c r="CL62" i="1"/>
  <c r="CP62" i="1"/>
  <c r="CO62" i="1"/>
  <c r="CK62" i="1"/>
  <c r="CN62" i="1"/>
  <c r="CJ62" i="1"/>
  <c r="CN5" i="1"/>
  <c r="CM5" i="1"/>
  <c r="CR5" i="1"/>
  <c r="CI5" i="1"/>
  <c r="CK5" i="1"/>
  <c r="CJ5" i="1"/>
  <c r="CL5" i="1"/>
  <c r="CP5" i="1"/>
  <c r="CQ5" i="1"/>
  <c r="CG5" i="1"/>
  <c r="CH5" i="1"/>
  <c r="CO5" i="1"/>
  <c r="CK69" i="1"/>
  <c r="CQ69" i="1"/>
  <c r="CM69" i="1"/>
  <c r="CL69" i="1"/>
  <c r="CG69" i="1"/>
  <c r="CP69" i="1"/>
  <c r="CJ69" i="1"/>
  <c r="CI69" i="1"/>
  <c r="CN69" i="1"/>
  <c r="CO69" i="1"/>
  <c r="CR69" i="1"/>
  <c r="CH69" i="1"/>
  <c r="CO64" i="1"/>
  <c r="CJ64" i="1"/>
  <c r="CI64" i="1"/>
  <c r="CH64" i="1"/>
  <c r="CR64" i="1"/>
  <c r="CQ64" i="1"/>
  <c r="CM64" i="1"/>
  <c r="CP64" i="1"/>
  <c r="CG64" i="1"/>
  <c r="CK64" i="1"/>
  <c r="CN64" i="1"/>
  <c r="CL64" i="1"/>
  <c r="CR80" i="1"/>
  <c r="CG80" i="1"/>
  <c r="CI80" i="1"/>
  <c r="CN80" i="1"/>
  <c r="CL80" i="1"/>
  <c r="CJ80" i="1"/>
  <c r="CM80" i="1"/>
  <c r="CH80" i="1"/>
  <c r="CO80" i="1"/>
  <c r="CQ80" i="1"/>
  <c r="CK80" i="1"/>
  <c r="CP80" i="1"/>
  <c r="CJ26" i="1"/>
  <c r="CK26" i="1"/>
  <c r="CL26" i="1"/>
  <c r="CN26" i="1"/>
  <c r="CH26" i="1"/>
  <c r="CP26" i="1"/>
  <c r="CM26" i="1"/>
  <c r="CI26" i="1"/>
  <c r="CR26" i="1"/>
  <c r="CG26" i="1"/>
  <c r="CQ26" i="1"/>
  <c r="CO26" i="1"/>
  <c r="CO37" i="1"/>
  <c r="CR37" i="1"/>
  <c r="CN37" i="1"/>
  <c r="CQ37" i="1"/>
  <c r="CK37" i="1"/>
  <c r="CP37" i="1"/>
  <c r="CH37" i="1"/>
  <c r="CJ37" i="1"/>
  <c r="CM37" i="1"/>
  <c r="CL37" i="1"/>
  <c r="CG37" i="1"/>
  <c r="CI37" i="1"/>
  <c r="CR15" i="1"/>
  <c r="CK15" i="1"/>
  <c r="CM15" i="1"/>
  <c r="CL15" i="1"/>
  <c r="CN15" i="1"/>
  <c r="CG15" i="1"/>
  <c r="CP15" i="1"/>
  <c r="CI15" i="1"/>
  <c r="CH15" i="1"/>
  <c r="CJ15" i="1"/>
  <c r="CO15" i="1"/>
  <c r="CQ15" i="1"/>
  <c r="CN48" i="1"/>
  <c r="CH48" i="1"/>
  <c r="CR48" i="1"/>
  <c r="CJ48" i="1"/>
  <c r="CL48" i="1"/>
  <c r="CM48" i="1"/>
  <c r="CP48" i="1"/>
  <c r="CG48" i="1"/>
  <c r="CO48" i="1"/>
  <c r="CK48" i="1"/>
  <c r="CI48" i="1"/>
  <c r="CQ48" i="1"/>
  <c r="CM13" i="1"/>
  <c r="CI13" i="1"/>
  <c r="CK13" i="1"/>
  <c r="CJ13" i="1"/>
  <c r="CL13" i="1"/>
  <c r="CP13" i="1"/>
  <c r="CQ13" i="1"/>
  <c r="CO13" i="1"/>
  <c r="CH13" i="1"/>
  <c r="CG13" i="1"/>
  <c r="CR13" i="1"/>
  <c r="CN13" i="1"/>
  <c r="CJ111" i="1"/>
  <c r="CN111" i="1"/>
  <c r="CK111" i="1"/>
  <c r="CH111" i="1"/>
  <c r="CP111" i="1"/>
  <c r="CR111" i="1"/>
  <c r="CG111" i="1"/>
  <c r="CL111" i="1"/>
  <c r="CM111" i="1"/>
  <c r="CO111" i="1"/>
  <c r="CQ111" i="1"/>
  <c r="CI111" i="1"/>
  <c r="CR68" i="1"/>
  <c r="CL68" i="1"/>
  <c r="CG68" i="1"/>
  <c r="CH68" i="1"/>
  <c r="CK68" i="1"/>
  <c r="CI68" i="1"/>
  <c r="CJ68" i="1"/>
  <c r="CN68" i="1"/>
  <c r="CQ68" i="1"/>
  <c r="CO68" i="1"/>
  <c r="CM68" i="1"/>
  <c r="CP68" i="1"/>
  <c r="CH61" i="1"/>
  <c r="CN61" i="1"/>
  <c r="CG61" i="1"/>
  <c r="CR61" i="1"/>
  <c r="CL61" i="1"/>
  <c r="CJ61" i="1"/>
  <c r="CQ61" i="1"/>
  <c r="CM61" i="1"/>
  <c r="CP61" i="1"/>
  <c r="CK61" i="1"/>
  <c r="CI61" i="1"/>
  <c r="CO61" i="1"/>
  <c r="CL35" i="1"/>
  <c r="CG35" i="1"/>
  <c r="CI35" i="1"/>
  <c r="CK35" i="1"/>
  <c r="CN35" i="1"/>
  <c r="CO35" i="1"/>
  <c r="CJ35" i="1"/>
  <c r="CM35" i="1"/>
  <c r="CQ35" i="1"/>
  <c r="CR35" i="1"/>
  <c r="CH35" i="1"/>
  <c r="CP35" i="1"/>
  <c r="CM52" i="1"/>
  <c r="CN52" i="1"/>
  <c r="CL52" i="1"/>
  <c r="CI52" i="1"/>
  <c r="CO52" i="1"/>
  <c r="CQ52" i="1"/>
  <c r="CJ52" i="1"/>
  <c r="CH52" i="1"/>
  <c r="CP52" i="1"/>
  <c r="CG52" i="1"/>
  <c r="CR52" i="1"/>
  <c r="CK52" i="1"/>
  <c r="CJ81" i="1"/>
  <c r="CQ81" i="1"/>
  <c r="CP81" i="1"/>
  <c r="CM81" i="1"/>
  <c r="CK81" i="1"/>
  <c r="CO81" i="1"/>
  <c r="CI81" i="1"/>
  <c r="CR81" i="1"/>
  <c r="CH81" i="1"/>
  <c r="CL81" i="1"/>
  <c r="CN81" i="1"/>
  <c r="CG81" i="1"/>
  <c r="CR126" i="1"/>
  <c r="CL126" i="1"/>
  <c r="CJ126" i="1"/>
  <c r="CI126" i="1"/>
  <c r="CG126" i="1"/>
  <c r="CN126" i="1"/>
  <c r="CH126" i="1"/>
  <c r="CM126" i="1"/>
  <c r="CP126" i="1"/>
  <c r="CK126" i="1"/>
  <c r="CQ126" i="1"/>
  <c r="CO126" i="1"/>
  <c r="CP18" i="1"/>
  <c r="CR18" i="1"/>
  <c r="CM18" i="1"/>
  <c r="CK18" i="1"/>
  <c r="CL18" i="1"/>
  <c r="CQ18" i="1"/>
  <c r="CO18" i="1"/>
  <c r="CN18" i="1"/>
  <c r="CH18" i="1"/>
  <c r="CG18" i="1"/>
  <c r="CI18" i="1"/>
  <c r="CJ18" i="1"/>
  <c r="CR16" i="1"/>
  <c r="CO16" i="1"/>
  <c r="CJ16" i="1"/>
  <c r="CH16" i="1"/>
  <c r="CK16" i="1"/>
  <c r="CG16" i="1"/>
  <c r="CM16" i="1"/>
  <c r="CI16" i="1"/>
  <c r="CQ16" i="1"/>
  <c r="CN16" i="1"/>
  <c r="CP16" i="1"/>
  <c r="CL16" i="1"/>
  <c r="CH29" i="1"/>
  <c r="CG29" i="1"/>
  <c r="CI29" i="1"/>
  <c r="CN29" i="1"/>
  <c r="CQ29" i="1"/>
  <c r="CO29" i="1"/>
  <c r="CK29" i="1"/>
  <c r="CP29" i="1"/>
  <c r="CJ29" i="1"/>
  <c r="CR29" i="1"/>
  <c r="CL29" i="1"/>
  <c r="CM29" i="1"/>
  <c r="CI36" i="1"/>
  <c r="CN36" i="1"/>
  <c r="CM36" i="1"/>
  <c r="CJ36" i="1"/>
  <c r="CO36" i="1"/>
  <c r="CQ36" i="1"/>
  <c r="CR36" i="1"/>
  <c r="CK36" i="1"/>
  <c r="CH36" i="1"/>
  <c r="CL36" i="1"/>
  <c r="CP36" i="1"/>
  <c r="CG36" i="1"/>
  <c r="CK24" i="1"/>
  <c r="CJ24" i="1"/>
  <c r="CI24" i="1"/>
  <c r="CR24" i="1"/>
  <c r="CN24" i="1"/>
  <c r="CL24" i="1"/>
  <c r="CH24" i="1"/>
  <c r="CO24" i="1"/>
  <c r="CQ24" i="1"/>
  <c r="CG24" i="1"/>
  <c r="CM24" i="1"/>
  <c r="CP24" i="1"/>
  <c r="CQ56" i="1"/>
  <c r="CH56" i="1"/>
  <c r="CP56" i="1"/>
  <c r="CK56" i="1"/>
  <c r="CJ56" i="1"/>
  <c r="CG56" i="1"/>
  <c r="CI56" i="1"/>
  <c r="CN56" i="1"/>
  <c r="CO56" i="1"/>
  <c r="CR56" i="1"/>
  <c r="CM56" i="1"/>
  <c r="CL56" i="1"/>
  <c r="CK121" i="1"/>
  <c r="CJ121" i="1"/>
  <c r="CO121" i="1"/>
  <c r="CM121" i="1"/>
  <c r="CR121" i="1"/>
  <c r="CI121" i="1"/>
  <c r="CP121" i="1"/>
  <c r="CN121" i="1"/>
  <c r="CL121" i="1"/>
  <c r="CG121" i="1"/>
  <c r="CH121" i="1"/>
  <c r="CQ121" i="1"/>
  <c r="CH23" i="1"/>
  <c r="CI23" i="1"/>
  <c r="CO23" i="1"/>
  <c r="CR23" i="1"/>
  <c r="CL23" i="1"/>
  <c r="CN23" i="1"/>
  <c r="CG23" i="1"/>
  <c r="CK23" i="1"/>
  <c r="CP23" i="1"/>
  <c r="CJ23" i="1"/>
  <c r="CM23" i="1"/>
  <c r="CQ23" i="1"/>
  <c r="CR25" i="1"/>
  <c r="CP25" i="1"/>
  <c r="CN25" i="1"/>
  <c r="CJ25" i="1"/>
  <c r="CL25" i="1"/>
  <c r="CH25" i="1"/>
  <c r="CO25" i="1"/>
  <c r="CI25" i="1"/>
  <c r="CG25" i="1"/>
  <c r="CM25" i="1"/>
  <c r="CK25" i="1"/>
  <c r="CQ25" i="1"/>
  <c r="CN17" i="1"/>
  <c r="CK17" i="1"/>
  <c r="CR17" i="1"/>
  <c r="CH17" i="1"/>
  <c r="CG17" i="1"/>
  <c r="CL17" i="1"/>
  <c r="CJ17" i="1"/>
  <c r="CO17" i="1"/>
  <c r="CQ17" i="1"/>
  <c r="CP17" i="1"/>
  <c r="CI17" i="1"/>
  <c r="CM17" i="1"/>
  <c r="CO9" i="1"/>
  <c r="CR9" i="1"/>
  <c r="CI9" i="1"/>
  <c r="CJ9" i="1"/>
  <c r="CG9" i="1"/>
  <c r="CQ9" i="1"/>
  <c r="CM9" i="1"/>
  <c r="CH9" i="1"/>
  <c r="CP9" i="1"/>
  <c r="CN9" i="1"/>
  <c r="CK9" i="1"/>
  <c r="CL9" i="1"/>
  <c r="CG122" i="1"/>
  <c r="CI122" i="1"/>
  <c r="CM122" i="1"/>
  <c r="CK122" i="1"/>
  <c r="CR122" i="1"/>
  <c r="CL122" i="1"/>
  <c r="CQ122" i="1"/>
  <c r="CO122" i="1"/>
  <c r="CP122" i="1"/>
  <c r="CN122" i="1"/>
  <c r="CH122" i="1"/>
  <c r="CJ122" i="1"/>
  <c r="CN4" i="1"/>
  <c r="CL4" i="1"/>
  <c r="CQ4" i="1"/>
  <c r="CM4" i="1"/>
  <c r="CG4" i="1"/>
  <c r="CH4" i="1"/>
  <c r="CP4" i="1"/>
  <c r="CO4" i="1"/>
  <c r="CK4" i="1"/>
  <c r="CR4" i="1"/>
  <c r="CI4" i="1"/>
  <c r="CJ4" i="1"/>
  <c r="CQ55" i="1"/>
  <c r="CR55" i="1"/>
  <c r="CG55" i="1"/>
  <c r="CJ55" i="1"/>
  <c r="CK55" i="1"/>
  <c r="CP55" i="1"/>
  <c r="CI55" i="1"/>
  <c r="CH55" i="1"/>
  <c r="CL55" i="1"/>
  <c r="CN55" i="1"/>
  <c r="CO55" i="1"/>
  <c r="CM55" i="1"/>
  <c r="CI46" i="1"/>
  <c r="CH46" i="1"/>
  <c r="CR46" i="1"/>
  <c r="CK46" i="1"/>
  <c r="CJ46" i="1"/>
  <c r="CP46" i="1"/>
  <c r="CN46" i="1"/>
  <c r="CM46" i="1"/>
  <c r="CL46" i="1"/>
  <c r="CG46" i="1"/>
  <c r="CO46" i="1"/>
  <c r="CQ46" i="1"/>
  <c r="CN31" i="1"/>
  <c r="CL31" i="1"/>
  <c r="CP31" i="1"/>
  <c r="CH31" i="1"/>
  <c r="CM31" i="1"/>
  <c r="CQ31" i="1"/>
  <c r="CO31" i="1"/>
  <c r="CK31" i="1"/>
  <c r="CJ31" i="1"/>
  <c r="CI31" i="1"/>
  <c r="CR31" i="1"/>
  <c r="CG31" i="1"/>
  <c r="CK57" i="1"/>
  <c r="CP57" i="1"/>
  <c r="CL57" i="1"/>
  <c r="CI57" i="1"/>
  <c r="CR57" i="1"/>
  <c r="CQ57" i="1"/>
  <c r="CO57" i="1"/>
  <c r="CH57" i="1"/>
  <c r="CJ57" i="1"/>
  <c r="CM57" i="1"/>
  <c r="CG57" i="1"/>
  <c r="CN57" i="1"/>
  <c r="CN3" i="1"/>
  <c r="CR3" i="1"/>
  <c r="CI3" i="1"/>
  <c r="CO3" i="1"/>
  <c r="CK3" i="1"/>
  <c r="CJ3" i="1"/>
  <c r="CM3" i="1"/>
  <c r="CP3" i="1"/>
  <c r="CG3" i="1"/>
  <c r="CL3" i="1"/>
  <c r="CH3" i="1"/>
  <c r="CQ3" i="1"/>
  <c r="CG60" i="1"/>
  <c r="CM60" i="1"/>
  <c r="CJ60" i="1"/>
  <c r="CO60" i="1"/>
  <c r="CH60" i="1"/>
  <c r="CK60" i="1"/>
  <c r="CR60" i="1"/>
  <c r="CI60" i="1"/>
  <c r="CL60" i="1"/>
  <c r="CQ60" i="1"/>
  <c r="CP60" i="1"/>
  <c r="CN60" i="1"/>
  <c r="CR10" i="1"/>
  <c r="CM10" i="1"/>
  <c r="CL10" i="1"/>
  <c r="CQ10" i="1"/>
  <c r="CN10" i="1"/>
  <c r="CP10" i="1"/>
  <c r="CI10" i="1"/>
  <c r="CH10" i="1"/>
  <c r="CO10" i="1"/>
  <c r="CG10" i="1"/>
  <c r="CJ10" i="1"/>
  <c r="CK10" i="1"/>
  <c r="CN54" i="1"/>
  <c r="CM54" i="1"/>
  <c r="CI54" i="1"/>
  <c r="CG54" i="1"/>
  <c r="CL54" i="1"/>
  <c r="CP54" i="1"/>
  <c r="CO54" i="1"/>
  <c r="CQ54" i="1"/>
  <c r="CJ54" i="1"/>
  <c r="CK54" i="1"/>
  <c r="CH54" i="1"/>
  <c r="CR54" i="1"/>
  <c r="CL47" i="1"/>
  <c r="CO47" i="1"/>
  <c r="CM47" i="1"/>
  <c r="CP47" i="1"/>
  <c r="CQ47" i="1"/>
  <c r="CK47" i="1"/>
  <c r="CG47" i="1"/>
  <c r="CJ47" i="1"/>
  <c r="CH47" i="1"/>
  <c r="CR47" i="1"/>
  <c r="CN47" i="1"/>
  <c r="CI47" i="1"/>
  <c r="CN95" i="1"/>
  <c r="CP95" i="1"/>
  <c r="CR95" i="1"/>
  <c r="CI95" i="1"/>
  <c r="CO95" i="1"/>
  <c r="CL95" i="1"/>
  <c r="CJ95" i="1"/>
  <c r="CG95" i="1"/>
  <c r="CK95" i="1"/>
  <c r="CM95" i="1"/>
  <c r="CQ95" i="1"/>
  <c r="CH95" i="1"/>
  <c r="CH33" i="1"/>
  <c r="CK33" i="1"/>
  <c r="CQ33" i="1"/>
  <c r="CG33" i="1"/>
  <c r="CL33" i="1"/>
  <c r="CN33" i="1"/>
  <c r="CJ33" i="1"/>
  <c r="CI33" i="1"/>
  <c r="CO33" i="1"/>
  <c r="CM33" i="1"/>
  <c r="CR33" i="1"/>
  <c r="CP33" i="1"/>
  <c r="CR51" i="1"/>
  <c r="CI51" i="1"/>
  <c r="CN51" i="1"/>
  <c r="CP51" i="1"/>
  <c r="CM51" i="1"/>
  <c r="CK51" i="1"/>
  <c r="CO51" i="1"/>
  <c r="CQ51" i="1"/>
  <c r="CH51" i="1"/>
  <c r="CG51" i="1"/>
  <c r="CL51" i="1"/>
  <c r="CJ51" i="1"/>
  <c r="CH2" i="1"/>
  <c r="CO2" i="1"/>
  <c r="CR2" i="1"/>
  <c r="CL2" i="1"/>
  <c r="CK2" i="1"/>
  <c r="CI2" i="1"/>
  <c r="CQ2" i="1"/>
  <c r="CP2" i="1"/>
  <c r="CM2" i="1"/>
  <c r="CJ2" i="1"/>
  <c r="CN2" i="1"/>
  <c r="CG2" i="1"/>
  <c r="CN14" i="1"/>
  <c r="CH14" i="1"/>
  <c r="CJ14" i="1"/>
  <c r="CK14" i="1"/>
  <c r="CP14" i="1"/>
  <c r="CI14" i="1"/>
  <c r="CG14" i="1"/>
  <c r="CO14" i="1"/>
  <c r="CL14" i="1"/>
  <c r="CR14" i="1"/>
  <c r="CQ14" i="1"/>
  <c r="CM14" i="1"/>
  <c r="CG11" i="1"/>
  <c r="CM11" i="1"/>
  <c r="CO11" i="1"/>
  <c r="CQ11" i="1"/>
  <c r="CJ11" i="1"/>
  <c r="CL11" i="1"/>
  <c r="CI11" i="1"/>
  <c r="CK11" i="1"/>
  <c r="CH11" i="1"/>
  <c r="CP11" i="1"/>
  <c r="CN11" i="1"/>
  <c r="CR11" i="1"/>
  <c r="CM20" i="1"/>
  <c r="CL20" i="1"/>
  <c r="CH20" i="1"/>
  <c r="CI20" i="1"/>
  <c r="CR20" i="1"/>
  <c r="CQ20" i="1"/>
  <c r="CO20" i="1"/>
  <c r="CK20" i="1"/>
  <c r="CN20" i="1"/>
  <c r="CJ20" i="1"/>
  <c r="CP20" i="1"/>
  <c r="CG20" i="1"/>
  <c r="CM125" i="1"/>
  <c r="CN125" i="1"/>
  <c r="CP125" i="1"/>
  <c r="CL125" i="1"/>
  <c r="CG125" i="1"/>
  <c r="CR125" i="1"/>
  <c r="CK125" i="1"/>
  <c r="CJ125" i="1"/>
  <c r="CQ125" i="1"/>
  <c r="CH125" i="1"/>
  <c r="CO125" i="1"/>
  <c r="CI125" i="1"/>
  <c r="CQ129" i="1" l="1"/>
  <c r="CH129" i="1"/>
  <c r="CL129" i="1"/>
  <c r="CG129" i="1"/>
  <c r="CP129" i="1"/>
  <c r="CM129" i="1"/>
  <c r="CJ129" i="1"/>
  <c r="CK129" i="1"/>
  <c r="CO129" i="1"/>
  <c r="CI129" i="1"/>
  <c r="CR129" i="1"/>
  <c r="CN129" i="1"/>
</calcChain>
</file>

<file path=xl/sharedStrings.xml><?xml version="1.0" encoding="utf-8"?>
<sst xmlns="http://schemas.openxmlformats.org/spreadsheetml/2006/main" count="679" uniqueCount="303">
  <si>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</si>
  <si>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</si>
  <si>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</si>
  <si>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</si>
  <si>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</si>
  <si>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</si>
  <si>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</si>
  <si>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</si>
  <si>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</si>
  <si>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</si>
  <si>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</si>
  <si>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</si>
  <si>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</si>
  <si>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</si>
  <si>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</si>
  <si>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</si>
  <si>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</si>
  <si>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</si>
  <si>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</si>
  <si>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</si>
  <si>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</si>
  <si>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</si>
  <si>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</si>
  <si>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</si>
  <si>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</si>
  <si>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</si>
  <si>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</si>
  <si>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</si>
  <si>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</si>
  <si>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</si>
  <si>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</si>
  <si>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</si>
  <si>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</si>
  <si>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</si>
  <si>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</si>
  <si>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</si>
  <si>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</si>
  <si>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</si>
  <si>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</si>
  <si>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</si>
  <si>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</si>
  <si>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</si>
  <si>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</si>
  <si>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</si>
  <si>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</si>
  <si>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</si>
  <si>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</si>
  <si>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</si>
  <si>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</si>
  <si>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</si>
  <si>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</si>
  <si>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</si>
  <si>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</si>
  <si>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</si>
  <si>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</si>
  <si>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</si>
  <si>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</si>
  <si>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</si>
  <si>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</si>
  <si>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</si>
  <si>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</si>
  <si>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</si>
  <si>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</si>
  <si>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</si>
  <si>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</si>
  <si>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</si>
  <si>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</si>
  <si>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</si>
  <si>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</si>
  <si>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</si>
  <si>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</si>
  <si>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</si>
  <si>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</si>
  <si>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</si>
  <si>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</si>
  <si>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</si>
  <si>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</si>
  <si>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</si>
  <si>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</si>
  <si>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</si>
  <si>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</si>
  <si>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</si>
  <si>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</si>
  <si>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</si>
  <si>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</si>
  <si>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</si>
  <si>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</si>
  <si>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</si>
  <si>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</si>
  <si>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</si>
  <si>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</si>
  <si>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</si>
  <si>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</si>
  <si>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</si>
  <si>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</si>
  <si>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</si>
  <si>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</si>
  <si>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</si>
  <si>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</si>
  <si>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</si>
  <si>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</si>
  <si>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</si>
  <si>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</si>
  <si>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</si>
  <si>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</si>
  <si>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</si>
  <si>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</si>
  <si>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</si>
  <si>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</si>
  <si>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</si>
  <si>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</si>
  <si>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</si>
  <si>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</si>
  <si>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</si>
  <si>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</si>
  <si>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</si>
  <si>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</si>
  <si>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</si>
  <si>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</si>
  <si>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</si>
  <si>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</si>
  <si>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</si>
  <si>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</si>
  <si>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</si>
  <si>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</si>
  <si>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</si>
  <si>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</si>
  <si>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</si>
  <si>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</si>
  <si>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</si>
  <si>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</si>
  <si>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</si>
  <si>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</si>
  <si>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</si>
  <si>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</si>
  <si>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</si>
  <si>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</si>
  <si>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</si>
  <si>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</si>
  <si>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</si>
  <si>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</si>
  <si>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</si>
  <si>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</si>
  <si>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</si>
  <si>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</si>
  <si>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</si>
  <si>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</si>
  <si>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</si>
  <si>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</si>
  <si>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</si>
  <si>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</si>
  <si>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</si>
  <si>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</si>
  <si>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</si>
  <si>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</si>
  <si>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</si>
  <si>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</si>
  <si>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</si>
  <si>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</si>
  <si>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</si>
  <si>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</si>
  <si>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</si>
  <si>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</si>
  <si>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</si>
  <si>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</si>
  <si>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</si>
  <si>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</si>
  <si>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</si>
  <si>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</si>
  <si>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</si>
  <si>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</si>
  <si>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</si>
  <si>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</si>
  <si>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</si>
  <si>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</si>
  <si>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</si>
  <si>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</si>
  <si>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</si>
  <si>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</si>
  <si>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</si>
  <si>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</si>
  <si>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</si>
  <si>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</si>
  <si>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</si>
  <si>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</si>
  <si>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</si>
  <si>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</si>
  <si>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</si>
  <si>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</si>
  <si>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</si>
  <si>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铁拐李</t>
    <phoneticPr fontId="1" type="noConversion"/>
  </si>
  <si>
    <t>莲藕大佛</t>
    <phoneticPr fontId="1" type="noConversion"/>
  </si>
  <si>
    <t>欠条中(4),_x000D_
筹码中(4),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</si>
  <si>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</si>
  <si>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骰子小(8),_x000D_
筹码小(10),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</si>
  <si>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</si>
  <si>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</si>
  <si>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</si>
  <si>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</si>
  <si>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</si>
  <si>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</si>
  <si>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</si>
  <si>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</si>
  <si>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</si>
  <si>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</si>
  <si>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</si>
  <si>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</si>
  <si>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</si>
  <si>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</si>
  <si>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</si>
  <si>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</si>
  <si>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成年</t>
    <phoneticPr fontId="1" type="noConversion"/>
  </si>
  <si>
    <t>敖顺</t>
    <phoneticPr fontId="1" type="noConversion"/>
  </si>
  <si>
    <t>龙灵不朽藤(7),</t>
    <phoneticPr fontId="1" type="noConversion"/>
  </si>
  <si>
    <t>呜呜少女</t>
    <phoneticPr fontId="1" type="noConversion"/>
  </si>
  <si>
    <t>神算诸葛亮</t>
    <phoneticPr fontId="1" type="noConversion"/>
  </si>
  <si>
    <t>仙丹(5),</t>
    <phoneticPr fontId="1" type="noConversion"/>
  </si>
  <si>
    <t>金甲虫(190),</t>
    <phoneticPr fontId="1" type="noConversion"/>
  </si>
  <si>
    <t>钱袋大(2),_x000D_
筹码大(1),_x000D_
庄家令牌中(3),</t>
    <phoneticPr fontId="1" type="noConversion"/>
  </si>
  <si>
    <t>金钗(3),</t>
    <phoneticPr fontId="1" type="noConversion"/>
  </si>
  <si>
    <t>桂花(5),</t>
    <phoneticPr fontId="1" type="noConversion"/>
  </si>
  <si>
    <t>彗星(5),</t>
    <phoneticPr fontId="1" type="noConversion"/>
  </si>
  <si>
    <t>愚山乾坤石(5),</t>
    <phoneticPr fontId="1" type="noConversion"/>
  </si>
  <si>
    <t>太一之轮(11),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</si>
  <si>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</si>
  <si>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</si>
  <si>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骰子小(3),_x000D_
筹码小(5),_x000D_
庄家令牌中(3),</t>
    <phoneticPr fontId="1" type="noConversion"/>
  </si>
  <si>
    <t>桂花(5),_x000D_
桂花酒(5),_x000D_
灯笼(5),</t>
    <phoneticPr fontId="1" type="noConversion"/>
  </si>
  <si>
    <t>欠条中(4),_x000D_
骰子小(8),_x000D_
筹码中(4),_x000D_
庄家令牌小(2),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</si>
  <si>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</si>
  <si>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</si>
  <si>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超进阶素材土(25),_x000D_
超进阶素材木(25),_x000D_
超进阶素材光(45),_x000D_
超进阶素材暗(50),</t>
    <phoneticPr fontId="1" type="noConversion"/>
  </si>
  <si>
    <t>糯米(2),</t>
    <phoneticPr fontId="1" type="noConversion"/>
  </si>
  <si>
    <t>力量符文叉大(1),</t>
    <phoneticPr fontId="1" type="noConversion"/>
  </si>
  <si>
    <t>幸运符文叉大(1),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</si>
  <si>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</si>
  <si>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</si>
  <si>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</si>
  <si>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</si>
  <si>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东皇钟(2),_x000D_
愚山乾坤石(5),</t>
    <phoneticPr fontId="1" type="noConversion"/>
  </si>
  <si>
    <t>龙灵不朽藤(7),</t>
    <phoneticPr fontId="1" type="noConversion"/>
  </si>
  <si>
    <t>幸运符文叉大(6),</t>
    <phoneticPr fontId="1" type="noConversion"/>
  </si>
  <si>
    <t>幸运符文叉大(6),</t>
    <phoneticPr fontId="1" type="noConversion"/>
  </si>
  <si>
    <t>赤焰十字星(6),</t>
    <phoneticPr fontId="1" type="noConversion"/>
  </si>
  <si>
    <t>东皇钟(7),_x000D_
愚山乾坤石(10),</t>
    <phoneticPr fontId="1" type="noConversion"/>
  </si>
  <si>
    <t>秘窟冰晶卵(13),</t>
    <phoneticPr fontId="1" type="noConversion"/>
  </si>
  <si>
    <t>秘窟冰晶卵(13),</t>
    <phoneticPr fontId="1" type="noConversion"/>
  </si>
  <si>
    <t>彗星(15),</t>
    <phoneticPr fontId="1" type="noConversion"/>
  </si>
  <si>
    <t>金甲虫(40),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</si>
  <si>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</si>
  <si>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</si>
  <si>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</si>
  <si>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炼妖壶(4),_x000D_
仙丹(5),</t>
    <phoneticPr fontId="1" type="noConversion"/>
  </si>
  <si>
    <t>桂花(5),_x000D_
桂花酒(5),</t>
    <phoneticPr fontId="1" type="noConversion"/>
  </si>
  <si>
    <t>秘窟冰晶卵(8),_x000D_
力量符文叉大(3),</t>
    <phoneticPr fontId="1" type="noConversion"/>
  </si>
  <si>
    <t>炼妖壶(5),_x000D_
龙灵不朽藤(7),</t>
    <phoneticPr fontId="1" type="noConversion"/>
  </si>
  <si>
    <t>炼妖壶(5),_x000D_
秘窟冰晶卵(8),</t>
    <phoneticPr fontId="1" type="noConversion"/>
  </si>
  <si>
    <t>糯米(5),_x000D_
粽叶(10),</t>
    <phoneticPr fontId="1" type="noConversion"/>
  </si>
  <si>
    <t>赤焰十字星(6),_x000D_
幸运符文叉大(6),</t>
    <phoneticPr fontId="1" type="noConversion"/>
  </si>
  <si>
    <t>六方天运骰(9),_x000D_
幸运符文叉大(6),</t>
    <phoneticPr fontId="1" type="noConversion"/>
  </si>
  <si>
    <t>秘窟冰晶卵(8),_x000D_
魅力符文叉大(7),</t>
    <phoneticPr fontId="1" type="noConversion"/>
  </si>
  <si>
    <t>六方天运骰(9),_x000D_
魅力符文叉大(7),</t>
    <phoneticPr fontId="1" type="noConversion"/>
  </si>
  <si>
    <t>太一之轮(6),_x000D_
幸运符文叉大(11),</t>
    <phoneticPr fontId="1" type="noConversion"/>
  </si>
  <si>
    <t>东皇钟(2),_x000D_
欠条大(8),_x000D_
钱袋大(10),</t>
    <phoneticPr fontId="1" type="noConversion"/>
  </si>
  <si>
    <t>东皇钟(2),_x000D_
欠条大(8),_x000D_
钱袋大(10),</t>
    <phoneticPr fontId="1" type="noConversion"/>
  </si>
  <si>
    <t>神农鼎(6),_x000D_
龙灵不朽藤(12),</t>
    <phoneticPr fontId="1" type="noConversion"/>
  </si>
  <si>
    <t>金甲虫(5),_x000D_
魅力符文叉大(12),</t>
    <phoneticPr fontId="1" type="noConversion"/>
  </si>
  <si>
    <t>神农鼎(6),_x000D_
幸运符文叉大(11),</t>
    <phoneticPr fontId="1" type="noConversion"/>
  </si>
  <si>
    <t>神农鼎(6),_x000D_
幸运符文叉大(11),</t>
    <phoneticPr fontId="1" type="noConversion"/>
  </si>
  <si>
    <t>东皇钟(7),_x000D_
力量符文叉大(8),_x000D_
幸运符文叉大(11),</t>
    <phoneticPr fontId="1" type="noConversion"/>
  </si>
  <si>
    <t>智慧符文叉大(7),_x000D_
魅力符文叉大(12),</t>
    <phoneticPr fontId="1" type="noConversion"/>
  </si>
  <si>
    <t>太一之轮(11),_x000D_
幸运符文叉大(16),</t>
    <phoneticPr fontId="1" type="noConversion"/>
  </si>
  <si>
    <t>炼妖壶(19),_x000D_
轩辕剑(9),</t>
    <phoneticPr fontId="1" type="noConversion"/>
  </si>
  <si>
    <t>六方天运骰(19),_x000D_
力量符文叉大(13),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</si>
  <si>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</si>
  <si>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</si>
  <si>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</si>
  <si>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神农鼎(1),_x000D_
六方天运骰(9),_x000D_
智慧符文叉大(2),</t>
    <phoneticPr fontId="1" type="noConversion"/>
  </si>
  <si>
    <t>欠条中(6),_x000D_
钱袋中(2),_x000D_
筹码大(6),</t>
    <phoneticPr fontId="1" type="noConversion"/>
  </si>
  <si>
    <t>螃蟹(5),_x000D_
桂花(5),_x000D_
桂花酒(5),</t>
    <phoneticPr fontId="1" type="noConversion"/>
  </si>
  <si>
    <t>骰子大(4),_x000D_
庄家令牌大(6),_x000D_
赤焰十字星(6),</t>
    <phoneticPr fontId="1" type="noConversion"/>
  </si>
  <si>
    <t>骰子大(4),_x000D_
庄家令牌大(6),_x000D_
赤焰十字星(6),</t>
    <phoneticPr fontId="1" type="noConversion"/>
  </si>
  <si>
    <t>炼妖壶(5),_x000D_
六方天运骰(9),_x000D_
智慧符文叉大(2),</t>
    <phoneticPr fontId="1" type="noConversion"/>
  </si>
  <si>
    <t>神农鼎(1),_x000D_
欠条大(8),_x000D_
钱袋大(10),</t>
    <phoneticPr fontId="1" type="noConversion"/>
  </si>
  <si>
    <t>欠条大(8),_x000D_
骰子大(4),_x000D_
六方天运骰(9),</t>
    <phoneticPr fontId="1" type="noConversion"/>
  </si>
  <si>
    <t>糯米(10),_x000D_
粽叶(10),_x000D_
龙灵不朽藤(2),</t>
    <phoneticPr fontId="1" type="noConversion"/>
  </si>
  <si>
    <t>东皇钟(2),_x000D_
炼妖壶(9),_x000D_
愚山乾坤石(5),_x000D_
力量符文叉大(8),</t>
    <phoneticPr fontId="1" type="noConversion"/>
  </si>
  <si>
    <t>钱袋大(10),_x000D_
筹码大(9),_x000D_
秘窟冰晶卵(8),</t>
    <phoneticPr fontId="1" type="noConversion"/>
  </si>
  <si>
    <t>钱袋大(10),_x000D_
筹码大(9),_x000D_
秘窟冰晶卵(8),</t>
    <phoneticPr fontId="1" type="noConversion"/>
  </si>
  <si>
    <t>女娲石(4),_x000D_
神农鼎(11),_x000D_
幸运符文叉大(16),</t>
    <phoneticPr fontId="1" type="noConversion"/>
  </si>
  <si>
    <t>东皇钟(2),_x000D_
六方天运骰(14),_x000D_
魅力符文叉大(12),_x000D_
幸运符文叉大(11),</t>
    <phoneticPr fontId="1" type="noConversion"/>
  </si>
  <si>
    <t>彗星(25),_x000D_
赤焰十字星(6),_x000D_
魅力符文叉大(7),</t>
    <phoneticPr fontId="1" type="noConversion"/>
  </si>
  <si>
    <t>赤焰十字星(36),_x000D_
力量符文叉大(33),_x000D_
逆鳞(1),</t>
    <phoneticPr fontId="1" type="noConversion"/>
  </si>
  <si>
    <t>神农鼎(1),_x000D_
欠条大(8),_x000D_
骰子大(4),_x000D_
愚山乾坤石(5),</t>
    <phoneticPr fontId="1" type="noConversion"/>
  </si>
  <si>
    <t>太一之轮(1),_x000D_
欠条大(8),_x000D_
骰子大(4),_x000D_
龙灵不朽藤(7),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</si>
  <si>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</si>
  <si>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</si>
  <si>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</si>
  <si>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</si>
  <si>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</si>
  <si>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炼妖壶(14),_x000D_
神农鼎(6),_x000D_
赤焰十字星(11),_x000D_
幸运符文叉大(11),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</si>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</sst>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135</xdr:row>
          <xdr:rowOff>28575</xdr:rowOff>
        </xdr:from>
        <xdr:to>
          <xdr:col>1</xdr:col>
          <xdr:colOff>428625</xdr:colOff>
          <xdr:row>136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5"/>
  <sheetViews>
    <sheetView tabSelected="1" workbookViewId="0">
      <pane xSplit="2" ySplit="1" topLeftCell="BM2" activePane="bottomRight" state="frozen"/>
      <selection pane="topRight" activeCell="C1" sqref="C1"/>
      <selection pane="bottomLeft" activeCell="A3" sqref="A3"/>
      <selection pane="bottomRight" activeCell="BS13" sqref="BS13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85</v>
      </c>
      <c r="B1" s="8" t="s">
        <v>86</v>
      </c>
      <c r="C1" s="8" t="s">
        <v>88</v>
      </c>
      <c r="D1" s="8" t="s">
        <v>87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27" t="s">
        <v>126</v>
      </c>
      <c r="Q1" s="27" t="s">
        <v>138</v>
      </c>
      <c r="R1" s="27" t="s">
        <v>132</v>
      </c>
      <c r="S1" s="27" t="s">
        <v>127</v>
      </c>
      <c r="T1" s="27" t="s">
        <v>136</v>
      </c>
      <c r="U1" s="27" t="s">
        <v>142</v>
      </c>
      <c r="V1" s="27" t="s">
        <v>128</v>
      </c>
      <c r="W1" s="27" t="s">
        <v>135</v>
      </c>
      <c r="X1" s="27" t="s">
        <v>133</v>
      </c>
      <c r="Y1" s="27" t="s">
        <v>129</v>
      </c>
      <c r="Z1" s="27" t="s">
        <v>137</v>
      </c>
      <c r="AA1" s="27" t="s">
        <v>144</v>
      </c>
      <c r="AB1" s="27" t="s">
        <v>131</v>
      </c>
      <c r="AC1" s="27" t="s">
        <v>130</v>
      </c>
      <c r="AD1" s="27" t="s">
        <v>155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114</v>
      </c>
      <c r="AP1" s="8" t="s">
        <v>115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5" t="s">
        <v>111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93</v>
      </c>
      <c r="BQ1" s="8" t="s">
        <v>94</v>
      </c>
      <c r="BR1" s="16" t="s">
        <v>95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IF(AQ2&gt;AQ$129, AQ2-AQ$129,"")</f>
        <v/>
      </c>
      <c r="BU2" s="1" t="str">
        <f>IF(AR2&gt;AR$129, AR2-AR$129,"")</f>
        <v/>
      </c>
      <c r="BV2" s="1" t="str">
        <f>IF(AS2&gt;AS$129, AS2-AS$129,"")</f>
        <v/>
      </c>
      <c r="BW2" s="1" t="str">
        <f>IF(AT2&gt;AT$129, AT2-AT$129,"")</f>
        <v/>
      </c>
      <c r="BX2" s="1" t="str">
        <f>IF(AU2&gt;AU$129, AU2-AU$129,"")</f>
        <v/>
      </c>
      <c r="BY2" s="1" t="str">
        <f>IF(AV2&gt;AV$129, AV2-AV$129,"")</f>
        <v/>
      </c>
      <c r="BZ2" s="1" t="str">
        <f>IF(AW2&gt;AW$129, AW2-AW$129,"")</f>
        <v/>
      </c>
      <c r="CA2" s="1" t="str">
        <f>IF(AX2&gt;AX$129, AX2-AX$129,"")</f>
        <v/>
      </c>
      <c r="CB2" s="1" t="str">
        <f>IF(AY2&gt;AY$129, AY2-AY$129,"")</f>
        <v/>
      </c>
      <c r="CC2" s="1" t="str">
        <f>IF(AZ2&gt;AZ$129, AZ2-AZ$129,"")</f>
        <v/>
      </c>
      <c r="CD2" s="1" t="str">
        <f>IF(BA2&gt;BA$129, BA2-BA$129,"")</f>
        <v/>
      </c>
      <c r="CE2" s="1" t="str">
        <f>IF(BB2&gt;BB$129, BB2-BB$129,"")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IF(AQ3&gt;AQ$129, AQ3-AQ$129,"")</f>
        <v/>
      </c>
      <c r="BU3" s="1" t="str">
        <f>IF(AR3&gt;AR$129, AR3-AR$129,"")</f>
        <v/>
      </c>
      <c r="BV3" s="1" t="str">
        <f>IF(AS3&gt;AS$129, AS3-AS$129,"")</f>
        <v/>
      </c>
      <c r="BW3" s="1" t="str">
        <f>IF(AT3&gt;AT$129, AT3-AT$129,"")</f>
        <v/>
      </c>
      <c r="BX3" s="1" t="str">
        <f>IF(AU3&gt;AU$129, AU3-AU$129,"")</f>
        <v/>
      </c>
      <c r="BY3" s="1" t="str">
        <f>IF(AV3&gt;AV$129, AV3-AV$129,"")</f>
        <v/>
      </c>
      <c r="BZ3" s="1" t="str">
        <f>IF(AW3&gt;AW$129, AW3-AW$129,"")</f>
        <v/>
      </c>
      <c r="CA3" s="1" t="str">
        <f>IF(AX3&gt;AX$129, AX3-AX$129,"")</f>
        <v/>
      </c>
      <c r="CB3" s="1" t="str">
        <f>IF(AY3&gt;AY$129, AY3-AY$129,"")</f>
        <v/>
      </c>
      <c r="CC3" s="1" t="str">
        <f>IF(AZ3&gt;AZ$129, AZ3-AZ$129,"")</f>
        <v/>
      </c>
      <c r="CD3" s="1" t="str">
        <f>IF(BA3&gt;BA$129, BA3-BA$129,"")</f>
        <v/>
      </c>
      <c r="CE3" s="1" t="str">
        <f>IF(BB3&gt;BB$129, BB3-BB$129,"")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IF(AQ4&gt;AQ$129, AQ4-AQ$129,"")</f>
        <v/>
      </c>
      <c r="BU4" s="1" t="str">
        <f>IF(AR4&gt;AR$129, AR4-AR$129,"")</f>
        <v/>
      </c>
      <c r="BV4" s="1" t="str">
        <f>IF(AS4&gt;AS$129, AS4-AS$129,"")</f>
        <v/>
      </c>
      <c r="BW4" s="1" t="str">
        <f>IF(AT4&gt;AT$129, AT4-AT$129,"")</f>
        <v/>
      </c>
      <c r="BX4" s="1" t="str">
        <f>IF(AU4&gt;AU$129, AU4-AU$129,"")</f>
        <v/>
      </c>
      <c r="BY4" s="1" t="str">
        <f>IF(AV4&gt;AV$129, AV4-AV$129,"")</f>
        <v/>
      </c>
      <c r="BZ4" s="1" t="str">
        <f>IF(AW4&gt;AW$129, AW4-AW$129,"")</f>
        <v/>
      </c>
      <c r="CA4" s="1" t="str">
        <f>IF(AX4&gt;AX$129, AX4-AX$129,"")</f>
        <v/>
      </c>
      <c r="CB4" s="1" t="str">
        <f>IF(AY4&gt;AY$129, AY4-AY$129,"")</f>
        <v/>
      </c>
      <c r="CC4" s="1" t="str">
        <f>IF(AZ4&gt;AZ$129, AZ4-AZ$129,"")</f>
        <v/>
      </c>
      <c r="CD4" s="1" t="str">
        <f>IF(BA4&gt;BA$129, BA4-BA$129,"")</f>
        <v/>
      </c>
      <c r="CE4" s="1" t="str">
        <f>IF(BB4&gt;BB$129, BB4-BB$129,"")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IF(AQ5&gt;AQ$129, AQ5-AQ$129,"")</f>
        <v/>
      </c>
      <c r="BU5" s="1" t="str">
        <f>IF(AR5&gt;AR$129, AR5-AR$129,"")</f>
        <v/>
      </c>
      <c r="BV5" s="1" t="str">
        <f>IF(AS5&gt;AS$129, AS5-AS$129,"")</f>
        <v/>
      </c>
      <c r="BW5" s="1" t="str">
        <f>IF(AT5&gt;AT$129, AT5-AT$129,"")</f>
        <v/>
      </c>
      <c r="BX5" s="1" t="str">
        <f>IF(AU5&gt;AU$129, AU5-AU$129,"")</f>
        <v/>
      </c>
      <c r="BY5" s="1" t="str">
        <f>IF(AV5&gt;AV$129, AV5-AV$129,"")</f>
        <v/>
      </c>
      <c r="BZ5" s="1" t="str">
        <f>IF(AW5&gt;AW$129, AW5-AW$129,"")</f>
        <v/>
      </c>
      <c r="CA5" s="1" t="str">
        <f>IF(AX5&gt;AX$129, AX5-AX$129,"")</f>
        <v/>
      </c>
      <c r="CB5" s="1" t="str">
        <f>IF(AY5&gt;AY$129, AY5-AY$129,"")</f>
        <v/>
      </c>
      <c r="CC5" s="1" t="str">
        <f>IF(AZ5&gt;AZ$129, AZ5-AZ$129,"")</f>
        <v/>
      </c>
      <c r="CD5" s="1" t="str">
        <f>IF(BA5&gt;BA$129, BA5-BA$129,"")</f>
        <v/>
      </c>
      <c r="CE5" s="1" t="str">
        <f>IF(BB5&gt;BB$129, BB5-BB$129,"")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108</v>
      </c>
      <c r="C6" s="1" t="s">
        <v>109</v>
      </c>
      <c r="D6" s="1" t="s">
        <v>107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IF(AQ6&gt;AQ$129, AQ6-AQ$129,"")</f>
        <v/>
      </c>
      <c r="BU6" s="1" t="str">
        <f>IF(AR6&gt;AR$129, AR6-AR$129,"")</f>
        <v/>
      </c>
      <c r="BV6" s="1" t="str">
        <f>IF(AS6&gt;AS$129, AS6-AS$129,"")</f>
        <v/>
      </c>
      <c r="BW6" s="1" t="str">
        <f>IF(AT6&gt;AT$129, AT6-AT$129,"")</f>
        <v/>
      </c>
      <c r="BX6" s="1" t="str">
        <f>IF(AU6&gt;AU$129, AU6-AU$129,"")</f>
        <v/>
      </c>
      <c r="BY6" s="1" t="str">
        <f>IF(AV6&gt;AV$129, AV6-AV$129,"")</f>
        <v/>
      </c>
      <c r="BZ6" s="1" t="str">
        <f>IF(AW6&gt;AW$129, AW6-AW$129,"")</f>
        <v/>
      </c>
      <c r="CA6" s="1" t="str">
        <f>IF(AX6&gt;AX$129, AX6-AX$129,"")</f>
        <v/>
      </c>
      <c r="CB6" s="1" t="str">
        <f>IF(AY6&gt;AY$129, AY6-AY$129,"")</f>
        <v/>
      </c>
      <c r="CC6" s="1" t="str">
        <f>IF(AZ6&gt;AZ$129, AZ6-AZ$129,"")</f>
        <v/>
      </c>
      <c r="CD6" s="1" t="str">
        <f>IF(BA6&gt;BA$129, BA6-BA$129,"")</f>
        <v/>
      </c>
      <c r="CE6" s="1" t="str">
        <f>IF(BB6&gt;BB$129, BB6-BB$129,"")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173</v>
      </c>
      <c r="C7" s="1" t="s">
        <v>117</v>
      </c>
      <c r="D7" s="1" t="s">
        <v>107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IF(AQ7&gt;AQ$129, AQ7-AQ$129,"")</f>
        <v/>
      </c>
      <c r="BU7" s="1" t="str">
        <f>IF(AR7&gt;AR$129, AR7-AR$129,"")</f>
        <v/>
      </c>
      <c r="BV7" s="1" t="str">
        <f>IF(AS7&gt;AS$129, AS7-AS$129,"")</f>
        <v/>
      </c>
      <c r="BW7" s="1" t="str">
        <f>IF(AT7&gt;AT$129, AT7-AT$129,"")</f>
        <v/>
      </c>
      <c r="BX7" s="1" t="str">
        <f>IF(AU7&gt;AU$129, AU7-AU$129,"")</f>
        <v/>
      </c>
      <c r="BY7" s="1" t="str">
        <f>IF(AV7&gt;AV$129, AV7-AV$129,"")</f>
        <v/>
      </c>
      <c r="BZ7" s="1" t="str">
        <f>IF(AW7&gt;AW$129, AW7-AW$129,"")</f>
        <v/>
      </c>
      <c r="CA7" s="1" t="str">
        <f>IF(AX7&gt;AX$129, AX7-AX$129,"")</f>
        <v/>
      </c>
      <c r="CB7" s="1" t="str">
        <f>IF(AY7&gt;AY$129, AY7-AY$129,"")</f>
        <v/>
      </c>
      <c r="CC7" s="1" t="str">
        <f>IF(AZ7&gt;AZ$129, AZ7-AZ$129,"")</f>
        <v/>
      </c>
      <c r="CD7" s="1" t="str">
        <f>IF(BA7&gt;BA$129, BA7-BA$129,"")</f>
        <v/>
      </c>
      <c r="CE7" s="1" t="str">
        <f>IF(BB7&gt;BB$129, BB7-BB$129,"")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181</v>
      </c>
      <c r="C8" s="1" t="s">
        <v>105</v>
      </c>
      <c r="D8" s="1" t="s">
        <v>107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IF(AQ8&gt;AQ$129, AQ8-AQ$129,"")</f>
        <v/>
      </c>
      <c r="BU8" s="1" t="str">
        <f>IF(AR8&gt;AR$129, AR8-AR$129,"")</f>
        <v/>
      </c>
      <c r="BV8" s="1" t="str">
        <f>IF(AS8&gt;AS$129, AS8-AS$129,"")</f>
        <v/>
      </c>
      <c r="BW8" s="1" t="str">
        <f>IF(AT8&gt;AT$129, AT8-AT$129,"")</f>
        <v/>
      </c>
      <c r="BX8" s="1" t="str">
        <f>IF(AU8&gt;AU$129, AU8-AU$129,"")</f>
        <v/>
      </c>
      <c r="BY8" s="1" t="str">
        <f>IF(AV8&gt;AV$129, AV8-AV$129,"")</f>
        <v/>
      </c>
      <c r="BZ8" s="1" t="str">
        <f>IF(AW8&gt;AW$129, AW8-AW$129,"")</f>
        <v/>
      </c>
      <c r="CA8" s="1" t="str">
        <f>IF(AX8&gt;AX$129, AX8-AX$129,"")</f>
        <v/>
      </c>
      <c r="CB8" s="1" t="str">
        <f>IF(AY8&gt;AY$129, AY8-AY$129,"")</f>
        <v/>
      </c>
      <c r="CC8" s="1" t="str">
        <f>IF(AZ8&gt;AZ$129, AZ8-AZ$129,"")</f>
        <v/>
      </c>
      <c r="CD8" s="1" t="str">
        <f>IF(BA8&gt;BA$129, BA8-BA$129,"")</f>
        <v/>
      </c>
      <c r="CE8" s="1" t="str">
        <f>IF(BB8&gt;BB$129, BB8-BB$129,"")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IF(AQ9&gt;AQ$129, AQ9-AQ$129,"")</f>
        <v/>
      </c>
      <c r="BU9" s="1" t="str">
        <f>IF(AR9&gt;AR$129, AR9-AR$129,"")</f>
        <v/>
      </c>
      <c r="BV9" s="1" t="str">
        <f>IF(AS9&gt;AS$129, AS9-AS$129,"")</f>
        <v/>
      </c>
      <c r="BW9" s="1" t="str">
        <f>IF(AT9&gt;AT$129, AT9-AT$129,"")</f>
        <v/>
      </c>
      <c r="BX9" s="1" t="str">
        <f>IF(AU9&gt;AU$129, AU9-AU$129,"")</f>
        <v/>
      </c>
      <c r="BY9" s="1" t="str">
        <f>IF(AV9&gt;AV$129, AV9-AV$129,"")</f>
        <v/>
      </c>
      <c r="BZ9" s="1" t="str">
        <f>IF(AW9&gt;AW$129, AW9-AW$129,"")</f>
        <v/>
      </c>
      <c r="CA9" s="1" t="str">
        <f>IF(AX9&gt;AX$129, AX9-AX$129,"")</f>
        <v/>
      </c>
      <c r="CB9" s="1" t="str">
        <f>IF(AY9&gt;AY$129, AY9-AY$129,"")</f>
        <v/>
      </c>
      <c r="CC9" s="1" t="str">
        <f>IF(AZ9&gt;AZ$129, AZ9-AZ$129,"")</f>
        <v/>
      </c>
      <c r="CD9" s="1" t="str">
        <f>IF(BA9&gt;BA$129, BA9-BA$129,"")</f>
        <v/>
      </c>
      <c r="CE9" s="1" t="str">
        <f>IF(BB9&gt;BB$129, BB9-BB$129,"")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1">
        <v>101</v>
      </c>
      <c r="B10" s="3" t="s">
        <v>101</v>
      </c>
      <c r="C10" s="3" t="s">
        <v>69</v>
      </c>
      <c r="D10" s="1" t="s">
        <v>13</v>
      </c>
      <c r="E10" s="6"/>
      <c r="F10" s="6"/>
      <c r="G10" s="6"/>
      <c r="H10" s="6">
        <v>6</v>
      </c>
      <c r="I10" s="6">
        <v>6</v>
      </c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8</v>
      </c>
      <c r="AV10" s="4"/>
      <c r="AW10" s="2">
        <v>8</v>
      </c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28</v>
      </c>
      <c r="BQ10" s="1">
        <v>1</v>
      </c>
      <c r="BR10" s="17">
        <v>1</v>
      </c>
      <c r="BS10" s="17" t="s">
        <v>233</v>
      </c>
      <c r="BT10" s="1" t="str">
        <f>IF(AQ10&gt;AQ$129, AQ10-AQ$129,"")</f>
        <v/>
      </c>
      <c r="BU10" s="1" t="str">
        <f>IF(AR10&gt;AR$129, AR10-AR$129,"")</f>
        <v/>
      </c>
      <c r="BV10" s="1" t="str">
        <f>IF(AS10&gt;AS$129, AS10-AS$129,"")</f>
        <v/>
      </c>
      <c r="BW10" s="1" t="str">
        <f>IF(AT10&gt;AT$129, AT10-AT$129,"")</f>
        <v/>
      </c>
      <c r="BX10" s="1" t="str">
        <f>IF(AU10&gt;AU$129, AU10-AU$129,"")</f>
        <v/>
      </c>
      <c r="BY10" s="1" t="str">
        <f>IF(AV10&gt;AV$129, AV10-AV$129,"")</f>
        <v/>
      </c>
      <c r="BZ10" s="1" t="str">
        <f>IF(AW10&gt;AW$129, AW10-AW$129,"")</f>
        <v/>
      </c>
      <c r="CA10" s="1" t="str">
        <f>IF(AX10&gt;AX$129, AX10-AX$129,"")</f>
        <v/>
      </c>
      <c r="CB10" s="1" t="str">
        <f>IF(AY10&gt;AY$129, AY10-AY$129,"")</f>
        <v/>
      </c>
      <c r="CC10" s="1" t="str">
        <f>IF(AZ10&gt;AZ$129, AZ10-AZ$129,"")</f>
        <v/>
      </c>
      <c r="CD10" s="1" t="str">
        <f>IF(BA10&gt;BA$129, BA10-BA$129,"")</f>
        <v/>
      </c>
      <c r="CE10" s="1" t="str">
        <f>IF(BB10&gt;BB$129, BB10-BB$129,"")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16</v>
      </c>
    </row>
    <row r="11" spans="1:97" x14ac:dyDescent="0.15">
      <c r="A11" s="1">
        <v>84</v>
      </c>
      <c r="B11" s="3" t="s">
        <v>191</v>
      </c>
      <c r="C11" s="3" t="s">
        <v>64</v>
      </c>
      <c r="D11" s="1" t="s">
        <v>13</v>
      </c>
      <c r="E11" s="6"/>
      <c r="F11" s="6"/>
      <c r="G11" s="6">
        <v>5</v>
      </c>
      <c r="H11" s="6">
        <v>5</v>
      </c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5</v>
      </c>
      <c r="BB11" s="2">
        <v>5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1</v>
      </c>
      <c r="BR11" s="17">
        <v>1</v>
      </c>
      <c r="BS11" s="17" t="s">
        <v>234</v>
      </c>
      <c r="BT11" s="1" t="str">
        <f>IF(AQ11&gt;AQ$129, AQ11-AQ$129,"")</f>
        <v/>
      </c>
      <c r="BU11" s="1" t="str">
        <f>IF(AR11&gt;AR$129, AR11-AR$129,"")</f>
        <v/>
      </c>
      <c r="BV11" s="1" t="str">
        <f>IF(AS11&gt;AS$129, AS11-AS$129,"")</f>
        <v/>
      </c>
      <c r="BW11" s="1" t="str">
        <f>IF(AT11&gt;AT$129, AT11-AT$129,"")</f>
        <v/>
      </c>
      <c r="BX11" s="1" t="str">
        <f>IF(AU11&gt;AU$129, AU11-AU$129,"")</f>
        <v/>
      </c>
      <c r="BY11" s="1" t="str">
        <f>IF(AV11&gt;AV$129, AV11-AV$129,"")</f>
        <v/>
      </c>
      <c r="BZ11" s="1" t="str">
        <f>IF(AW11&gt;AW$129, AW11-AW$129,"")</f>
        <v/>
      </c>
      <c r="CA11" s="1" t="str">
        <f>IF(AX11&gt;AX$129, AX11-AX$129,"")</f>
        <v/>
      </c>
      <c r="CB11" s="1" t="str">
        <f>IF(AY11&gt;AY$129, AY11-AY$129,"")</f>
        <v/>
      </c>
      <c r="CC11" s="1" t="str">
        <f>IF(AZ11&gt;AZ$129, AZ11-AZ$129,"")</f>
        <v/>
      </c>
      <c r="CD11" s="1" t="str">
        <f>IF(BA11&gt;BA$129, BA11-BA$129,"")</f>
        <v/>
      </c>
      <c r="CE11" s="1" t="str">
        <f>IF(BB11&gt;BB$129, BB11-BB$129,"")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10</v>
      </c>
    </row>
    <row r="12" spans="1:97" x14ac:dyDescent="0.15">
      <c r="A12" s="1"/>
      <c r="B12" s="1" t="s">
        <v>116</v>
      </c>
      <c r="C12" s="1" t="s">
        <v>109</v>
      </c>
      <c r="D12" s="1" t="s">
        <v>113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>
        <v>2</v>
      </c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</v>
      </c>
      <c r="BQ12" s="1">
        <v>2</v>
      </c>
      <c r="BR12" s="17">
        <v>1</v>
      </c>
      <c r="BS12" s="17" t="s">
        <v>232</v>
      </c>
      <c r="BT12" s="1" t="str">
        <f>IF(AQ12&gt;AQ$129, AQ12-AQ$129,"")</f>
        <v/>
      </c>
      <c r="BU12" s="1" t="str">
        <f>IF(AR12&gt;AR$129, AR12-AR$129,"")</f>
        <v/>
      </c>
      <c r="BV12" s="1" t="str">
        <f>IF(AS12&gt;AS$129, AS12-AS$129,"")</f>
        <v/>
      </c>
      <c r="BW12" s="1" t="str">
        <f>IF(AT12&gt;AT$129, AT12-AT$129,"")</f>
        <v/>
      </c>
      <c r="BX12" s="1" t="str">
        <f>IF(AU12&gt;AU$129, AU12-AU$129,"")</f>
        <v/>
      </c>
      <c r="BY12" s="1" t="str">
        <f>IF(AV12&gt;AV$129, AV12-AV$129,"")</f>
        <v/>
      </c>
      <c r="BZ12" s="1" t="str">
        <f>IF(AW12&gt;AW$129, AW12-AW$129,"")</f>
        <v/>
      </c>
      <c r="CA12" s="1" t="str">
        <f>IF(AX12&gt;AX$129, AX12-AX$129,"")</f>
        <v/>
      </c>
      <c r="CB12" s="1" t="str">
        <f>IF(AY12&gt;AY$129, AY12-AY$129,"")</f>
        <v/>
      </c>
      <c r="CC12" s="1" t="str">
        <f>IF(AZ12&gt;AZ$129, AZ12-AZ$129,"")</f>
        <v/>
      </c>
      <c r="CD12" s="1" t="str">
        <f>IF(BA12&gt;BA$129, BA12-BA$129,"")</f>
        <v/>
      </c>
      <c r="CE12" s="1" t="str">
        <f>IF(BB12&gt;BB$129, BB12-BB$129,"")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x14ac:dyDescent="0.15">
      <c r="A13" s="1">
        <v>62</v>
      </c>
      <c r="B13" s="1" t="s">
        <v>103</v>
      </c>
      <c r="C13" s="1" t="s">
        <v>56</v>
      </c>
      <c r="D13" s="1" t="s">
        <v>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>
        <v>15</v>
      </c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15</v>
      </c>
      <c r="BQ13" s="1">
        <v>3</v>
      </c>
      <c r="BR13" s="17">
        <v>1</v>
      </c>
      <c r="BS13" s="17" t="s">
        <v>219</v>
      </c>
      <c r="BT13" s="1" t="str">
        <f>IF(AQ13&gt;AQ$129, AQ13-AQ$129,"")</f>
        <v/>
      </c>
      <c r="BU13" s="1" t="str">
        <f>IF(AR13&gt;AR$129, AR13-AR$129,"")</f>
        <v/>
      </c>
      <c r="BV13" s="1" t="str">
        <f>IF(AS13&gt;AS$129, AS13-AS$129,"")</f>
        <v/>
      </c>
      <c r="BW13" s="1" t="str">
        <f>IF(AT13&gt;AT$129, AT13-AT$129,"")</f>
        <v/>
      </c>
      <c r="BX13" s="1" t="str">
        <f>IF(AU13&gt;AU$129, AU13-AU$129,"")</f>
        <v/>
      </c>
      <c r="BY13" s="1" t="str">
        <f>IF(AV13&gt;AV$129, AV13-AV$129,"")</f>
        <v/>
      </c>
      <c r="BZ13" s="1" t="str">
        <f>IF(AW13&gt;AW$129, AW13-AW$129,"")</f>
        <v/>
      </c>
      <c r="CA13" s="1" t="str">
        <f>IF(AX13&gt;AX$129, AX13-AX$129,"")</f>
        <v/>
      </c>
      <c r="CB13" s="1" t="str">
        <f>IF(AY13&gt;AY$129, AY13-AY$129,"")</f>
        <v/>
      </c>
      <c r="CC13" s="1" t="str">
        <f>IF(AZ13&gt;AZ$129, AZ13-AZ$129,"")</f>
        <v/>
      </c>
      <c r="CD13" s="1" t="str">
        <f>IF(BA13&gt;BA$129, BA13-BA$129,"")</f>
        <v/>
      </c>
      <c r="CE13" s="1" t="str">
        <f>IF(BB13&gt;BB$129, BB13-BB$129,"")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3">
        <f>SUM(AE13:BO13)</f>
        <v>15</v>
      </c>
    </row>
    <row r="14" spans="1:97" x14ac:dyDescent="0.15">
      <c r="A14" s="1">
        <v>17</v>
      </c>
      <c r="B14" s="1" t="s">
        <v>34</v>
      </c>
      <c r="C14" s="1" t="s">
        <v>31</v>
      </c>
      <c r="D14" s="1" t="s">
        <v>24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>
        <v>5</v>
      </c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5</v>
      </c>
      <c r="BQ14" s="1">
        <v>5</v>
      </c>
      <c r="BR14" s="17">
        <v>1</v>
      </c>
      <c r="BS14" s="17" t="s">
        <v>235</v>
      </c>
      <c r="BT14" s="1" t="str">
        <f>IF(AQ14&gt;AQ$129, AQ14-AQ$129,"")</f>
        <v/>
      </c>
      <c r="BU14" s="1" t="str">
        <f>IF(AR14&gt;AR$129, AR14-AR$129,"")</f>
        <v/>
      </c>
      <c r="BV14" s="1" t="str">
        <f>IF(AS14&gt;AS$129, AS14-AS$129,"")</f>
        <v/>
      </c>
      <c r="BW14" s="1" t="str">
        <f>IF(AT14&gt;AT$129, AT14-AT$129,"")</f>
        <v/>
      </c>
      <c r="BX14" s="1" t="str">
        <f>IF(AU14&gt;AU$129, AU14-AU$129,"")</f>
        <v/>
      </c>
      <c r="BY14" s="1" t="str">
        <f>IF(AV14&gt;AV$129, AV14-AV$129,"")</f>
        <v/>
      </c>
      <c r="BZ14" s="1" t="str">
        <f>IF(AW14&gt;AW$129, AW14-AW$129,"")</f>
        <v/>
      </c>
      <c r="CA14" s="1" t="str">
        <f>IF(AX14&gt;AX$129, AX14-AX$129,"")</f>
        <v/>
      </c>
      <c r="CB14" s="1" t="str">
        <f>IF(AY14&gt;AY$129, AY14-AY$129,"")</f>
        <v/>
      </c>
      <c r="CC14" s="1" t="str">
        <f>IF(AZ14&gt;AZ$129, AZ14-AZ$129,"")</f>
        <v/>
      </c>
      <c r="CD14" s="1" t="str">
        <f>IF(BA14&gt;BA$129, BA14-BA$129,"")</f>
        <v/>
      </c>
      <c r="CE14" s="1" t="str">
        <f>IF(BB14&gt;BB$129, BB14-BB$129,"")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5</v>
      </c>
    </row>
    <row r="15" spans="1:97" x14ac:dyDescent="0.15">
      <c r="A15" s="1">
        <v>18</v>
      </c>
      <c r="B15" s="1" t="s">
        <v>34</v>
      </c>
      <c r="C15" s="1" t="s">
        <v>31</v>
      </c>
      <c r="D15" s="1" t="s">
        <v>25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>
        <v>5</v>
      </c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5</v>
      </c>
      <c r="BR15" s="17">
        <v>1</v>
      </c>
      <c r="BS15" s="17" t="s">
        <v>216</v>
      </c>
      <c r="BT15" s="1" t="str">
        <f>IF(AQ15&gt;AQ$129, AQ15-AQ$129,"")</f>
        <v/>
      </c>
      <c r="BU15" s="1" t="str">
        <f>IF(AR15&gt;AR$129, AR15-AR$129,"")</f>
        <v/>
      </c>
      <c r="BV15" s="1" t="str">
        <f>IF(AS15&gt;AS$129, AS15-AS$129,"")</f>
        <v/>
      </c>
      <c r="BW15" s="1" t="str">
        <f>IF(AT15&gt;AT$129, AT15-AT$129,"")</f>
        <v/>
      </c>
      <c r="BX15" s="1" t="str">
        <f>IF(AU15&gt;AU$129, AU15-AU$129,"")</f>
        <v/>
      </c>
      <c r="BY15" s="1" t="str">
        <f>IF(AV15&gt;AV$129, AV15-AV$129,"")</f>
        <v/>
      </c>
      <c r="BZ15" s="1" t="str">
        <f>IF(AW15&gt;AW$129, AW15-AW$129,"")</f>
        <v/>
      </c>
      <c r="CA15" s="1" t="str">
        <f>IF(AX15&gt;AX$129, AX15-AX$129,"")</f>
        <v/>
      </c>
      <c r="CB15" s="1" t="str">
        <f>IF(AY15&gt;AY$129, AY15-AY$129,"")</f>
        <v/>
      </c>
      <c r="CC15" s="1" t="str">
        <f>IF(AZ15&gt;AZ$129, AZ15-AZ$129,"")</f>
        <v/>
      </c>
      <c r="CD15" s="1" t="str">
        <f>IF(BA15&gt;BA$129, BA15-BA$129,"")</f>
        <v/>
      </c>
      <c r="CE15" s="1" t="str">
        <f>IF(BB15&gt;BB$129, BB15-BB$129,"")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5</v>
      </c>
    </row>
    <row r="16" spans="1:97" x14ac:dyDescent="0.15">
      <c r="A16" s="1">
        <v>19</v>
      </c>
      <c r="B16" s="1" t="s">
        <v>37</v>
      </c>
      <c r="C16" s="1" t="s">
        <v>31</v>
      </c>
      <c r="D16" s="1" t="s">
        <v>24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>
        <v>5</v>
      </c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5</v>
      </c>
      <c r="BR16" s="17">
        <v>1</v>
      </c>
      <c r="BS16" s="17" t="s">
        <v>236</v>
      </c>
      <c r="BT16" s="1" t="str">
        <f>IF(AQ16&gt;AQ$129, AQ16-AQ$129,"")</f>
        <v/>
      </c>
      <c r="BU16" s="1" t="str">
        <f>IF(AR16&gt;AR$129, AR16-AR$129,"")</f>
        <v/>
      </c>
      <c r="BV16" s="1" t="str">
        <f>IF(AS16&gt;AS$129, AS16-AS$129,"")</f>
        <v/>
      </c>
      <c r="BW16" s="1" t="str">
        <f>IF(AT16&gt;AT$129, AT16-AT$129,"")</f>
        <v/>
      </c>
      <c r="BX16" s="1" t="str">
        <f>IF(AU16&gt;AU$129, AU16-AU$129,"")</f>
        <v/>
      </c>
      <c r="BY16" s="1" t="str">
        <f>IF(AV16&gt;AV$129, AV16-AV$129,"")</f>
        <v/>
      </c>
      <c r="BZ16" s="1" t="str">
        <f>IF(AW16&gt;AW$129, AW16-AW$129,"")</f>
        <v/>
      </c>
      <c r="CA16" s="1" t="str">
        <f>IF(AX16&gt;AX$129, AX16-AX$129,"")</f>
        <v/>
      </c>
      <c r="CB16" s="1" t="str">
        <f>IF(AY16&gt;AY$129, AY16-AY$129,"")</f>
        <v/>
      </c>
      <c r="CC16" s="1" t="str">
        <f>IF(AZ16&gt;AZ$129, AZ16-AZ$129,"")</f>
        <v/>
      </c>
      <c r="CD16" s="1" t="str">
        <f>IF(BA16&gt;BA$129, BA16-BA$129,"")</f>
        <v/>
      </c>
      <c r="CE16" s="1" t="str">
        <f>IF(BB16&gt;BB$129, BB16-BB$129,"")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>
        <v>32</v>
      </c>
      <c r="B17" s="1" t="s">
        <v>77</v>
      </c>
      <c r="C17" s="1" t="s">
        <v>31</v>
      </c>
      <c r="D17" s="1" t="s">
        <v>24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>
        <v>5</v>
      </c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5</v>
      </c>
      <c r="BR17" s="17">
        <v>1</v>
      </c>
      <c r="BS17" s="17" t="s">
        <v>237</v>
      </c>
      <c r="BT17" s="1" t="str">
        <f>IF(AQ17&gt;AQ$129, AQ17-AQ$129,"")</f>
        <v/>
      </c>
      <c r="BU17" s="1" t="str">
        <f>IF(AR17&gt;AR$129, AR17-AR$129,"")</f>
        <v/>
      </c>
      <c r="BV17" s="1" t="str">
        <f>IF(AS17&gt;AS$129, AS17-AS$129,"")</f>
        <v/>
      </c>
      <c r="BW17" s="1" t="str">
        <f>IF(AT17&gt;AT$129, AT17-AT$129,"")</f>
        <v/>
      </c>
      <c r="BX17" s="1" t="str">
        <f>IF(AU17&gt;AU$129, AU17-AU$129,"")</f>
        <v/>
      </c>
      <c r="BY17" s="1" t="str">
        <f>IF(AV17&gt;AV$129, AV17-AV$129,"")</f>
        <v/>
      </c>
      <c r="BZ17" s="1" t="str">
        <f>IF(AW17&gt;AW$129, AW17-AW$129,"")</f>
        <v/>
      </c>
      <c r="CA17" s="1" t="str">
        <f>IF(AX17&gt;AX$129, AX17-AX$129,"")</f>
        <v/>
      </c>
      <c r="CB17" s="1" t="str">
        <f>IF(AY17&gt;AY$129, AY17-AY$129,"")</f>
        <v/>
      </c>
      <c r="CC17" s="1" t="str">
        <f>IF(AZ17&gt;AZ$129, AZ17-AZ$129,"")</f>
        <v/>
      </c>
      <c r="CD17" s="1" t="str">
        <f>IF(BA17&gt;BA$129, BA17-BA$129,"")</f>
        <v/>
      </c>
      <c r="CE17" s="1" t="str">
        <f>IF(BB17&gt;BB$129, BB17-BB$129,"")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5</v>
      </c>
    </row>
    <row r="18" spans="1:97" x14ac:dyDescent="0.15">
      <c r="A18" s="1">
        <v>33</v>
      </c>
      <c r="B18" s="1" t="s">
        <v>77</v>
      </c>
      <c r="C18" s="1" t="s">
        <v>31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>
        <v>5</v>
      </c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220</v>
      </c>
      <c r="BT18" s="1" t="str">
        <f>IF(AQ18&gt;AQ$129, AQ18-AQ$129,"")</f>
        <v/>
      </c>
      <c r="BU18" s="1" t="str">
        <f>IF(AR18&gt;AR$129, AR18-AR$129,"")</f>
        <v/>
      </c>
      <c r="BV18" s="1" t="str">
        <f>IF(AS18&gt;AS$129, AS18-AS$129,"")</f>
        <v/>
      </c>
      <c r="BW18" s="1" t="str">
        <f>IF(AT18&gt;AT$129, AT18-AT$129,"")</f>
        <v/>
      </c>
      <c r="BX18" s="1" t="str">
        <f>IF(AU18&gt;AU$129, AU18-AU$129,"")</f>
        <v/>
      </c>
      <c r="BY18" s="1" t="str">
        <f>IF(AV18&gt;AV$129, AV18-AV$129,"")</f>
        <v/>
      </c>
      <c r="BZ18" s="1" t="str">
        <f>IF(AW18&gt;AW$129, AW18-AW$129,"")</f>
        <v/>
      </c>
      <c r="CA18" s="1" t="str">
        <f>IF(AX18&gt;AX$129, AX18-AX$129,"")</f>
        <v/>
      </c>
      <c r="CB18" s="1" t="str">
        <f>IF(AY18&gt;AY$129, AY18-AY$129,"")</f>
        <v/>
      </c>
      <c r="CC18" s="1" t="str">
        <f>IF(AZ18&gt;AZ$129, AZ18-AZ$129,"")</f>
        <v/>
      </c>
      <c r="CD18" s="1" t="str">
        <f>IF(BA18&gt;BA$129, BA18-BA$129,"")</f>
        <v/>
      </c>
      <c r="CE18" s="1" t="str">
        <f>IF(BB18&gt;BB$129, BB18-BB$129,"")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x14ac:dyDescent="0.15">
      <c r="A19" s="1">
        <v>63</v>
      </c>
      <c r="B19" s="3" t="s">
        <v>61</v>
      </c>
      <c r="C19" s="1" t="s">
        <v>56</v>
      </c>
      <c r="D19" s="1" t="s">
        <v>24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>
        <v>5</v>
      </c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238</v>
      </c>
      <c r="BT19" s="1" t="str">
        <f>IF(AQ19&gt;AQ$129, AQ19-AQ$129,"")</f>
        <v/>
      </c>
      <c r="BU19" s="1" t="str">
        <f>IF(AR19&gt;AR$129, AR19-AR$129,"")</f>
        <v/>
      </c>
      <c r="BV19" s="1" t="str">
        <f>IF(AS19&gt;AS$129, AS19-AS$129,"")</f>
        <v/>
      </c>
      <c r="BW19" s="1" t="str">
        <f>IF(AT19&gt;AT$129, AT19-AT$129,"")</f>
        <v/>
      </c>
      <c r="BX19" s="1" t="str">
        <f>IF(AU19&gt;AU$129, AU19-AU$129,"")</f>
        <v/>
      </c>
      <c r="BY19" s="1" t="str">
        <f>IF(AV19&gt;AV$129, AV19-AV$129,"")</f>
        <v/>
      </c>
      <c r="BZ19" s="1" t="str">
        <f>IF(AW19&gt;AW$129, AW19-AW$129,"")</f>
        <v/>
      </c>
      <c r="CA19" s="1" t="str">
        <f>IF(AX19&gt;AX$129, AX19-AX$129,"")</f>
        <v/>
      </c>
      <c r="CB19" s="1" t="str">
        <f>IF(AY19&gt;AY$129, AY19-AY$129,"")</f>
        <v/>
      </c>
      <c r="CC19" s="1" t="str">
        <f>IF(AZ19&gt;AZ$129, AZ19-AZ$129,"")</f>
        <v/>
      </c>
      <c r="CD19" s="1" t="str">
        <f>IF(BA19&gt;BA$129, BA19-BA$129,"")</f>
        <v/>
      </c>
      <c r="CE19" s="1" t="str">
        <f>IF(BB19&gt;BB$129, BB19-BB$129,"")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x14ac:dyDescent="0.15">
      <c r="A20" s="1">
        <v>90</v>
      </c>
      <c r="B20" s="3" t="s">
        <v>81</v>
      </c>
      <c r="C20" s="3" t="s">
        <v>80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>
        <v>5</v>
      </c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221</v>
      </c>
      <c r="BT20" s="1" t="str">
        <f>IF(AQ20&gt;AQ$129, AQ20-AQ$129,"")</f>
        <v/>
      </c>
      <c r="BU20" s="1" t="str">
        <f>IF(AR20&gt;AR$129, AR20-AR$129,"")</f>
        <v/>
      </c>
      <c r="BV20" s="1" t="str">
        <f>IF(AS20&gt;AS$129, AS20-AS$129,"")</f>
        <v/>
      </c>
      <c r="BW20" s="1" t="str">
        <f>IF(AT20&gt;AT$129, AT20-AT$129,"")</f>
        <v/>
      </c>
      <c r="BX20" s="1" t="str">
        <f>IF(AU20&gt;AU$129, AU20-AU$129,"")</f>
        <v/>
      </c>
      <c r="BY20" s="1" t="str">
        <f>IF(AV20&gt;AV$129, AV20-AV$129,"")</f>
        <v/>
      </c>
      <c r="BZ20" s="1" t="str">
        <f>IF(AW20&gt;AW$129, AW20-AW$129,"")</f>
        <v/>
      </c>
      <c r="CA20" s="1" t="str">
        <f>IF(AX20&gt;AX$129, AX20-AX$129,"")</f>
        <v/>
      </c>
      <c r="CB20" s="1" t="str">
        <f>IF(AY20&gt;AY$129, AY20-AY$129,"")</f>
        <v/>
      </c>
      <c r="CC20" s="1" t="str">
        <f>IF(AZ20&gt;AZ$129, AZ20-AZ$129,"")</f>
        <v/>
      </c>
      <c r="CD20" s="1" t="str">
        <f>IF(BA20&gt;BA$129, BA20-BA$129,"")</f>
        <v/>
      </c>
      <c r="CE20" s="1" t="str">
        <f>IF(BB20&gt;BB$129, BB20-BB$129,"")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1"/>
      <c r="B21" s="1" t="s">
        <v>119</v>
      </c>
      <c r="C21" s="1" t="s">
        <v>117</v>
      </c>
      <c r="D21" s="1" t="s">
        <v>113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>
        <v>5</v>
      </c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220</v>
      </c>
      <c r="BT21" s="1" t="str">
        <f>IF(AQ21&gt;AQ$129, AQ21-AQ$129,"")</f>
        <v/>
      </c>
      <c r="BU21" s="1" t="str">
        <f>IF(AR21&gt;AR$129, AR21-AR$129,"")</f>
        <v/>
      </c>
      <c r="BV21" s="1" t="str">
        <f>IF(AS21&gt;AS$129, AS21-AS$129,"")</f>
        <v/>
      </c>
      <c r="BW21" s="1" t="str">
        <f>IF(AT21&gt;AT$129, AT21-AT$129,"")</f>
        <v/>
      </c>
      <c r="BX21" s="1" t="str">
        <f>IF(AU21&gt;AU$129, AU21-AU$129,"")</f>
        <v/>
      </c>
      <c r="BY21" s="1" t="str">
        <f>IF(AV21&gt;AV$129, AV21-AV$129,"")</f>
        <v/>
      </c>
      <c r="BZ21" s="1" t="str">
        <f>IF(AW21&gt;AW$129, AW21-AW$129,"")</f>
        <v/>
      </c>
      <c r="CA21" s="1" t="str">
        <f>IF(AX21&gt;AX$129, AX21-AX$129,"")</f>
        <v/>
      </c>
      <c r="CB21" s="1" t="str">
        <f>IF(AY21&gt;AY$129, AY21-AY$129,"")</f>
        <v/>
      </c>
      <c r="CC21" s="1" t="str">
        <f>IF(AZ21&gt;AZ$129, AZ21-AZ$129,"")</f>
        <v/>
      </c>
      <c r="CD21" s="1" t="str">
        <f>IF(BA21&gt;BA$129, BA21-BA$129,"")</f>
        <v/>
      </c>
      <c r="CE21" s="1" t="str">
        <f>IF(BB21&gt;BB$129, BB21-BB$129,"")</f>
        <v/>
      </c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3"/>
    </row>
    <row r="22" spans="1:97" x14ac:dyDescent="0.15">
      <c r="A22" s="1"/>
      <c r="B22" s="1" t="s">
        <v>119</v>
      </c>
      <c r="C22" s="1" t="s">
        <v>117</v>
      </c>
      <c r="D22" s="1" t="s">
        <v>107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>
        <v>5</v>
      </c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237</v>
      </c>
      <c r="BT22" s="1" t="str">
        <f>IF(AQ22&gt;AQ$129, AQ22-AQ$129,"")</f>
        <v/>
      </c>
      <c r="BU22" s="1" t="str">
        <f>IF(AR22&gt;AR$129, AR22-AR$129,"")</f>
        <v/>
      </c>
      <c r="BV22" s="1" t="str">
        <f>IF(AS22&gt;AS$129, AS22-AS$129,"")</f>
        <v/>
      </c>
      <c r="BW22" s="1" t="str">
        <f>IF(AT22&gt;AT$129, AT22-AT$129,"")</f>
        <v/>
      </c>
      <c r="BX22" s="1" t="str">
        <f>IF(AU22&gt;AU$129, AU22-AU$129,"")</f>
        <v/>
      </c>
      <c r="BY22" s="1" t="str">
        <f>IF(AV22&gt;AV$129, AV22-AV$129,"")</f>
        <v/>
      </c>
      <c r="BZ22" s="1" t="str">
        <f>IF(AW22&gt;AW$129, AW22-AW$129,"")</f>
        <v/>
      </c>
      <c r="CA22" s="1" t="str">
        <f>IF(AX22&gt;AX$129, AX22-AX$129,"")</f>
        <v/>
      </c>
      <c r="CB22" s="1" t="str">
        <f>IF(AY22&gt;AY$129, AY22-AY$129,"")</f>
        <v/>
      </c>
      <c r="CC22" s="1" t="str">
        <f>IF(AZ22&gt;AZ$129, AZ22-AZ$129,"")</f>
        <v/>
      </c>
      <c r="CD22" s="1" t="str">
        <f>IF(BA22&gt;BA$129, BA22-BA$129,"")</f>
        <v/>
      </c>
      <c r="CE22" s="1" t="str">
        <f>IF(BB22&gt;BB$129, BB22-BB$129,"")</f>
        <v/>
      </c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3"/>
    </row>
    <row r="23" spans="1:97" x14ac:dyDescent="0.15">
      <c r="A23" s="1">
        <v>5</v>
      </c>
      <c r="B23" s="1" t="s">
        <v>22</v>
      </c>
      <c r="C23" s="1" t="s">
        <v>2</v>
      </c>
      <c r="D23" s="1" t="s">
        <v>12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>
        <v>10</v>
      </c>
      <c r="AS23" s="4"/>
      <c r="AT23" s="4"/>
      <c r="AU23" s="4"/>
      <c r="AV23" s="4"/>
      <c r="AW23" s="2"/>
      <c r="AX23" s="2"/>
      <c r="AY23" s="2"/>
      <c r="AZ23" s="2"/>
      <c r="BA23" s="2"/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20</v>
      </c>
      <c r="BQ23" s="1">
        <v>5</v>
      </c>
      <c r="BR23" s="17">
        <v>1</v>
      </c>
      <c r="BS23" s="17" t="s">
        <v>222</v>
      </c>
      <c r="BT23" s="1" t="str">
        <f>IF(AQ23&gt;AQ$129, AQ23-AQ$129,"")</f>
        <v/>
      </c>
      <c r="BU23" s="1" t="str">
        <f>IF(AR23&gt;AR$129, AR23-AR$129,"")</f>
        <v/>
      </c>
      <c r="BV23" s="1" t="str">
        <f>IF(AS23&gt;AS$129, AS23-AS$129,"")</f>
        <v/>
      </c>
      <c r="BW23" s="1" t="str">
        <f>IF(AT23&gt;AT$129, AT23-AT$129,"")</f>
        <v/>
      </c>
      <c r="BX23" s="1" t="str">
        <f>IF(AU23&gt;AU$129, AU23-AU$129,"")</f>
        <v/>
      </c>
      <c r="BY23" s="1" t="str">
        <f>IF(AV23&gt;AV$129, AV23-AV$129,"")</f>
        <v/>
      </c>
      <c r="BZ23" s="1" t="str">
        <f>IF(AW23&gt;AW$129, AW23-AW$129,"")</f>
        <v/>
      </c>
      <c r="CA23" s="1" t="str">
        <f>IF(AX23&gt;AX$129, AX23-AX$129,"")</f>
        <v/>
      </c>
      <c r="CB23" s="1" t="str">
        <f>IF(AY23&gt;AY$129, AY23-AY$129,"")</f>
        <v/>
      </c>
      <c r="CC23" s="1" t="str">
        <f>IF(AZ23&gt;AZ$129, AZ23-AZ$129,"")</f>
        <v/>
      </c>
      <c r="CD23" s="1" t="str">
        <f>IF(BA23&gt;BA$129, BA23-BA$129,"")</f>
        <v/>
      </c>
      <c r="CE23" s="1" t="str">
        <f>IF(BB23&gt;BB$129, BB23-BB$129,"")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3">
        <f>SUM(AE23:BO23)</f>
        <v>20</v>
      </c>
    </row>
    <row r="24" spans="1:97" x14ac:dyDescent="0.15">
      <c r="A24" s="1">
        <v>6</v>
      </c>
      <c r="B24" s="1" t="s">
        <v>52</v>
      </c>
      <c r="C24" s="1" t="s">
        <v>2</v>
      </c>
      <c r="D24" s="1" t="s">
        <v>23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>
        <v>10</v>
      </c>
      <c r="AS24" s="4"/>
      <c r="AT24" s="4"/>
      <c r="AU24" s="4"/>
      <c r="AV24" s="4"/>
      <c r="AW24" s="2"/>
      <c r="AX24" s="2"/>
      <c r="AY24" s="2"/>
      <c r="AZ24" s="2"/>
      <c r="BA24" s="2"/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20</v>
      </c>
      <c r="BQ24" s="1">
        <v>5</v>
      </c>
      <c r="BR24" s="17">
        <v>1</v>
      </c>
      <c r="BS24" s="17" t="s">
        <v>222</v>
      </c>
      <c r="BT24" s="1" t="str">
        <f>IF(AQ24&gt;AQ$129, AQ24-AQ$129,"")</f>
        <v/>
      </c>
      <c r="BU24" s="1" t="str">
        <f>IF(AR24&gt;AR$129, AR24-AR$129,"")</f>
        <v/>
      </c>
      <c r="BV24" s="1" t="str">
        <f>IF(AS24&gt;AS$129, AS24-AS$129,"")</f>
        <v/>
      </c>
      <c r="BW24" s="1" t="str">
        <f>IF(AT24&gt;AT$129, AT24-AT$129,"")</f>
        <v/>
      </c>
      <c r="BX24" s="1" t="str">
        <f>IF(AU24&gt;AU$129, AU24-AU$129,"")</f>
        <v/>
      </c>
      <c r="BY24" s="1" t="str">
        <f>IF(AV24&gt;AV$129, AV24-AV$129,"")</f>
        <v/>
      </c>
      <c r="BZ24" s="1" t="str">
        <f>IF(AW24&gt;AW$129, AW24-AW$129,"")</f>
        <v/>
      </c>
      <c r="CA24" s="1" t="str">
        <f>IF(AX24&gt;AX$129, AX24-AX$129,"")</f>
        <v/>
      </c>
      <c r="CB24" s="1" t="str">
        <f>IF(AY24&gt;AY$129, AY24-AY$129,"")</f>
        <v/>
      </c>
      <c r="CC24" s="1" t="str">
        <f>IF(AZ24&gt;AZ$129, AZ24-AZ$129,"")</f>
        <v/>
      </c>
      <c r="CD24" s="1" t="str">
        <f>IF(BA24&gt;BA$129, BA24-BA$129,"")</f>
        <v/>
      </c>
      <c r="CE24" s="1" t="str">
        <f>IF(BB24&gt;BB$129, BB24-BB$129,"")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3">
        <f>SUM(AE24:BO24)</f>
        <v>20</v>
      </c>
    </row>
    <row r="25" spans="1:97" x14ac:dyDescent="0.15">
      <c r="A25" s="1">
        <v>8</v>
      </c>
      <c r="B25" s="1" t="s">
        <v>171</v>
      </c>
      <c r="C25" s="1" t="s">
        <v>2</v>
      </c>
      <c r="D25" s="1" t="s">
        <v>26</v>
      </c>
      <c r="E25" s="6">
        <v>6</v>
      </c>
      <c r="F25" s="6"/>
      <c r="G25" s="6"/>
      <c r="H25" s="6">
        <v>6</v>
      </c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32</v>
      </c>
      <c r="BQ25" s="1">
        <v>5</v>
      </c>
      <c r="BR25" s="17">
        <v>1</v>
      </c>
      <c r="BS25" s="17" t="s">
        <v>222</v>
      </c>
      <c r="BT25" s="1" t="str">
        <f>IF(AQ25&gt;AQ$129, AQ25-AQ$129,"")</f>
        <v/>
      </c>
      <c r="BU25" s="1" t="str">
        <f>IF(AR25&gt;AR$129, AR25-AR$129,"")</f>
        <v/>
      </c>
      <c r="BV25" s="1" t="str">
        <f>IF(AS25&gt;AS$129, AS25-AS$129,"")</f>
        <v/>
      </c>
      <c r="BW25" s="1" t="str">
        <f>IF(AT25&gt;AT$129, AT25-AT$129,"")</f>
        <v/>
      </c>
      <c r="BX25" s="1" t="str">
        <f>IF(AU25&gt;AU$129, AU25-AU$129,"")</f>
        <v/>
      </c>
      <c r="BY25" s="1" t="str">
        <f>IF(AV25&gt;AV$129, AV25-AV$129,"")</f>
        <v/>
      </c>
      <c r="BZ25" s="1" t="str">
        <f>IF(AW25&gt;AW$129, AW25-AW$129,"")</f>
        <v/>
      </c>
      <c r="CA25" s="1" t="str">
        <f>IF(AX25&gt;AX$129, AX25-AX$129,"")</f>
        <v/>
      </c>
      <c r="CB25" s="1" t="str">
        <f>IF(AY25&gt;AY$129, AY25-AY$129,"")</f>
        <v/>
      </c>
      <c r="CC25" s="1" t="str">
        <f>IF(AZ25&gt;AZ$129, AZ25-AZ$129,"")</f>
        <v/>
      </c>
      <c r="CD25" s="1" t="str">
        <f>IF(BA25&gt;BA$129, BA25-BA$129,"")</f>
        <v/>
      </c>
      <c r="CE25" s="1" t="str">
        <f>IF(BB25&gt;BB$129, BB25-BB$129,"")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20</v>
      </c>
    </row>
    <row r="26" spans="1:97" x14ac:dyDescent="0.15">
      <c r="A26" s="1">
        <v>94</v>
      </c>
      <c r="B26" s="3" t="s">
        <v>83</v>
      </c>
      <c r="C26" s="3" t="s">
        <v>69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>
        <v>10</v>
      </c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20</v>
      </c>
      <c r="BQ26" s="1">
        <v>6</v>
      </c>
      <c r="BR26" s="17">
        <v>1</v>
      </c>
      <c r="BS26" s="17" t="s">
        <v>241</v>
      </c>
      <c r="BT26" s="1" t="str">
        <f>IF(AQ26&gt;AQ$129, AQ26-AQ$129,"")</f>
        <v/>
      </c>
      <c r="BU26" s="1" t="str">
        <f>IF(AR26&gt;AR$129, AR26-AR$129,"")</f>
        <v/>
      </c>
      <c r="BV26" s="1" t="str">
        <f>IF(AS26&gt;AS$129, AS26-AS$129,"")</f>
        <v/>
      </c>
      <c r="BW26" s="1" t="str">
        <f>IF(AT26&gt;AT$129, AT26-AT$129,"")</f>
        <v/>
      </c>
      <c r="BX26" s="1" t="str">
        <f>IF(AU26&gt;AU$129, AU26-AU$129,"")</f>
        <v/>
      </c>
      <c r="BY26" s="1" t="str">
        <f>IF(AV26&gt;AV$129, AV26-AV$129,"")</f>
        <v/>
      </c>
      <c r="BZ26" s="1" t="str">
        <f>IF(AW26&gt;AW$129, AW26-AW$129,"")</f>
        <v/>
      </c>
      <c r="CA26" s="1" t="str">
        <f>IF(AX26&gt;AX$129, AX26-AX$129,"")</f>
        <v/>
      </c>
      <c r="CB26" s="1" t="str">
        <f>IF(AY26&gt;AY$129, AY26-AY$129,"")</f>
        <v/>
      </c>
      <c r="CC26" s="1" t="str">
        <f>IF(AZ26&gt;AZ$129, AZ26-AZ$129,"")</f>
        <v/>
      </c>
      <c r="CD26" s="1" t="str">
        <f>IF(BA26&gt;BA$129, BA26-BA$129,"")</f>
        <v/>
      </c>
      <c r="CE26" s="1" t="str">
        <f>IF(BB26&gt;BB$129, BB26-BB$129,"")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20</v>
      </c>
    </row>
    <row r="27" spans="1:97" x14ac:dyDescent="0.15">
      <c r="A27" s="1"/>
      <c r="B27" s="1" t="s">
        <v>188</v>
      </c>
      <c r="C27" s="1" t="s">
        <v>120</v>
      </c>
      <c r="D27" s="1" t="s">
        <v>106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>
        <v>10</v>
      </c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20</v>
      </c>
      <c r="BQ27" s="1">
        <v>6</v>
      </c>
      <c r="BR27" s="17">
        <v>1</v>
      </c>
      <c r="BS27" s="17" t="s">
        <v>242</v>
      </c>
      <c r="BT27" s="1" t="str">
        <f>IF(AQ27&gt;AQ$129, AQ27-AQ$129,"")</f>
        <v/>
      </c>
      <c r="BU27" s="1" t="str">
        <f>IF(AR27&gt;AR$129, AR27-AR$129,"")</f>
        <v/>
      </c>
      <c r="BV27" s="1" t="str">
        <f>IF(AS27&gt;AS$129, AS27-AS$129,"")</f>
        <v/>
      </c>
      <c r="BW27" s="1" t="str">
        <f>IF(AT27&gt;AT$129, AT27-AT$129,"")</f>
        <v/>
      </c>
      <c r="BX27" s="1" t="str">
        <f>IF(AU27&gt;AU$129, AU27-AU$129,"")</f>
        <v/>
      </c>
      <c r="BY27" s="1" t="str">
        <f>IF(AV27&gt;AV$129, AV27-AV$129,"")</f>
        <v/>
      </c>
      <c r="BZ27" s="1" t="str">
        <f>IF(AW27&gt;AW$129, AW27-AW$129,"")</f>
        <v/>
      </c>
      <c r="CA27" s="1" t="str">
        <f>IF(AX27&gt;AX$129, AX27-AX$129,"")</f>
        <v/>
      </c>
      <c r="CB27" s="1" t="str">
        <f>IF(AY27&gt;AY$129, AY27-AY$129,"")</f>
        <v/>
      </c>
      <c r="CC27" s="1" t="str">
        <f>IF(AZ27&gt;AZ$129, AZ27-AZ$129,"")</f>
        <v/>
      </c>
      <c r="CD27" s="1" t="str">
        <f>IF(BA27&gt;BA$129, BA27-BA$129,"")</f>
        <v/>
      </c>
      <c r="CE27" s="1" t="str">
        <f>IF(BB27&gt;BB$129, BB27-BB$129,"")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/>
      <c r="B28" s="1" t="s">
        <v>170</v>
      </c>
      <c r="C28" s="1" t="s">
        <v>152</v>
      </c>
      <c r="D28" s="1" t="s">
        <v>125</v>
      </c>
      <c r="E28" s="6"/>
      <c r="F28" s="6"/>
      <c r="G28" s="6"/>
      <c r="H28" s="6"/>
      <c r="I28" s="6"/>
      <c r="J28" s="6"/>
      <c r="K28" s="6"/>
      <c r="L28" s="6">
        <v>6</v>
      </c>
      <c r="M28" s="6"/>
      <c r="N28" s="6"/>
      <c r="O28" s="6">
        <v>6</v>
      </c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>
        <v>10</v>
      </c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32</v>
      </c>
      <c r="BQ28" s="1">
        <v>6</v>
      </c>
      <c r="BR28" s="17">
        <v>1</v>
      </c>
      <c r="BS28" s="17" t="s">
        <v>242</v>
      </c>
      <c r="BT28" s="1" t="str">
        <f>IF(AQ28&gt;AQ$129, AQ28-AQ$129,"")</f>
        <v/>
      </c>
      <c r="BU28" s="1" t="str">
        <f>IF(AR28&gt;AR$129, AR28-AR$129,"")</f>
        <v/>
      </c>
      <c r="BV28" s="1" t="str">
        <f>IF(AS28&gt;AS$129, AS28-AS$129,"")</f>
        <v/>
      </c>
      <c r="BW28" s="1" t="str">
        <f>IF(AT28&gt;AT$129, AT28-AT$129,"")</f>
        <v/>
      </c>
      <c r="BX28" s="1" t="str">
        <f>IF(AU28&gt;AU$129, AU28-AU$129,"")</f>
        <v/>
      </c>
      <c r="BY28" s="1" t="str">
        <f>IF(AV28&gt;AV$129, AV28-AV$129,"")</f>
        <v/>
      </c>
      <c r="BZ28" s="1" t="str">
        <f>IF(AW28&gt;AW$129, AW28-AW$129,"")</f>
        <v/>
      </c>
      <c r="CA28" s="1" t="str">
        <f>IF(AX28&gt;AX$129, AX28-AX$129,"")</f>
        <v/>
      </c>
      <c r="CB28" s="1" t="str">
        <f>IF(AY28&gt;AY$129, AY28-AY$129,"")</f>
        <v/>
      </c>
      <c r="CC28" s="1" t="str">
        <f>IF(AZ28&gt;AZ$129, AZ28-AZ$129,"")</f>
        <v/>
      </c>
      <c r="CD28" s="1" t="str">
        <f>IF(BA28&gt;BA$129, BA28-BA$129,"")</f>
        <v/>
      </c>
      <c r="CE28" s="1" t="str">
        <f>IF(BB28&gt;BB$129, BB28-BB$129,"")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>
        <v>69</v>
      </c>
      <c r="B29" s="3" t="s">
        <v>63</v>
      </c>
      <c r="C29" s="1" t="s">
        <v>56</v>
      </c>
      <c r="D29" s="1" t="s">
        <v>13</v>
      </c>
      <c r="E29" s="6"/>
      <c r="F29" s="6"/>
      <c r="G29" s="6"/>
      <c r="H29" s="6">
        <v>6</v>
      </c>
      <c r="I29" s="6">
        <v>6</v>
      </c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>
        <v>10</v>
      </c>
      <c r="AW29" s="2"/>
      <c r="AX29" s="2">
        <v>10</v>
      </c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6</v>
      </c>
      <c r="BR29" s="17">
        <v>1</v>
      </c>
      <c r="BS29" s="17" t="s">
        <v>243</v>
      </c>
      <c r="BT29" s="1" t="str">
        <f>IF(AQ29&gt;AQ$129, AQ29-AQ$129,"")</f>
        <v/>
      </c>
      <c r="BU29" s="1" t="str">
        <f>IF(AR29&gt;AR$129, AR29-AR$129,"")</f>
        <v/>
      </c>
      <c r="BV29" s="1" t="str">
        <f>IF(AS29&gt;AS$129, AS29-AS$129,"")</f>
        <v/>
      </c>
      <c r="BW29" s="1" t="str">
        <f>IF(AT29&gt;AT$129, AT29-AT$129,"")</f>
        <v/>
      </c>
      <c r="BX29" s="1" t="str">
        <f>IF(AU29&gt;AU$129, AU29-AU$129,"")</f>
        <v/>
      </c>
      <c r="BY29" s="1" t="str">
        <f>IF(AV29&gt;AV$129, AV29-AV$129,"")</f>
        <v/>
      </c>
      <c r="BZ29" s="1" t="str">
        <f>IF(AW29&gt;AW$129, AW29-AW$129,"")</f>
        <v/>
      </c>
      <c r="CA29" s="1" t="str">
        <f>IF(AX29&gt;AX$129, AX29-AX$129,"")</f>
        <v/>
      </c>
      <c r="CB29" s="1" t="str">
        <f>IF(AY29&gt;AY$129, AY29-AY$129,"")</f>
        <v/>
      </c>
      <c r="CC29" s="1" t="str">
        <f>IF(AZ29&gt;AZ$129, AZ29-AZ$129,"")</f>
        <v/>
      </c>
      <c r="CD29" s="1" t="str">
        <f>IF(BA29&gt;BA$129, BA29-BA$129,"")</f>
        <v/>
      </c>
      <c r="CE29" s="1" t="str">
        <f>IF(BB29&gt;BB$129, BB29-BB$129,"")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20</v>
      </c>
    </row>
    <row r="30" spans="1:97" x14ac:dyDescent="0.15">
      <c r="A30" s="1"/>
      <c r="B30" s="1" t="s">
        <v>168</v>
      </c>
      <c r="C30" s="1" t="s">
        <v>109</v>
      </c>
      <c r="D30" s="1" t="s">
        <v>106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>
        <v>10</v>
      </c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20</v>
      </c>
      <c r="BQ30" s="1">
        <v>7</v>
      </c>
      <c r="BR30" s="17">
        <v>1</v>
      </c>
      <c r="BS30" s="17" t="s">
        <v>213</v>
      </c>
      <c r="BT30" s="1" t="str">
        <f>IF(AQ30&gt;AQ$129, AQ30-AQ$129,"")</f>
        <v/>
      </c>
      <c r="BU30" s="1" t="str">
        <f>IF(AR30&gt;AR$129, AR30-AR$129,"")</f>
        <v/>
      </c>
      <c r="BV30" s="1" t="str">
        <f>IF(AS30&gt;AS$129, AS30-AS$129,"")</f>
        <v/>
      </c>
      <c r="BW30" s="1" t="str">
        <f>IF(AT30&gt;AT$129, AT30-AT$129,"")</f>
        <v/>
      </c>
      <c r="BX30" s="1" t="str">
        <f>IF(AU30&gt;AU$129, AU30-AU$129,"")</f>
        <v/>
      </c>
      <c r="BY30" s="1" t="str">
        <f>IF(AV30&gt;AV$129, AV30-AV$129,"")</f>
        <v/>
      </c>
      <c r="BZ30" s="1" t="str">
        <f>IF(AW30&gt;AW$129, AW30-AW$129,"")</f>
        <v/>
      </c>
      <c r="CA30" s="1" t="str">
        <f>IF(AX30&gt;AX$129, AX30-AX$129,"")</f>
        <v/>
      </c>
      <c r="CB30" s="1" t="str">
        <f>IF(AY30&gt;AY$129, AY30-AY$129,"")</f>
        <v/>
      </c>
      <c r="CC30" s="1" t="str">
        <f>IF(AZ30&gt;AZ$129, AZ30-AZ$129,"")</f>
        <v/>
      </c>
      <c r="CD30" s="1" t="str">
        <f>IF(BA30&gt;BA$129, BA30-BA$129,"")</f>
        <v/>
      </c>
      <c r="CE30" s="1" t="str">
        <f>IF(BB30&gt;BB$129, BB30-BB$129,"")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21</v>
      </c>
      <c r="B31" s="1" t="s">
        <v>38</v>
      </c>
      <c r="C31" s="1" t="s">
        <v>31</v>
      </c>
      <c r="D31" s="1" t="s">
        <v>26</v>
      </c>
      <c r="E31" s="6"/>
      <c r="F31" s="6"/>
      <c r="G31" s="6">
        <v>6</v>
      </c>
      <c r="H31" s="6">
        <v>6</v>
      </c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>
        <v>10</v>
      </c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32</v>
      </c>
      <c r="BQ31" s="1">
        <v>7</v>
      </c>
      <c r="BR31" s="17">
        <v>1</v>
      </c>
      <c r="BS31" s="17" t="s">
        <v>240</v>
      </c>
      <c r="BT31" s="1" t="str">
        <f>IF(AQ31&gt;AQ$129, AQ31-AQ$129,"")</f>
        <v/>
      </c>
      <c r="BU31" s="1" t="str">
        <f>IF(AR31&gt;AR$129, AR31-AR$129,"")</f>
        <v/>
      </c>
      <c r="BV31" s="1" t="str">
        <f>IF(AS31&gt;AS$129, AS31-AS$129,"")</f>
        <v/>
      </c>
      <c r="BW31" s="1" t="str">
        <f>IF(AT31&gt;AT$129, AT31-AT$129,"")</f>
        <v/>
      </c>
      <c r="BX31" s="1" t="str">
        <f>IF(AU31&gt;AU$129, AU31-AU$129,"")</f>
        <v/>
      </c>
      <c r="BY31" s="1" t="str">
        <f>IF(AV31&gt;AV$129, AV31-AV$129,"")</f>
        <v/>
      </c>
      <c r="BZ31" s="1" t="str">
        <f>IF(AW31&gt;AW$129, AW31-AW$129,"")</f>
        <v/>
      </c>
      <c r="CA31" s="1" t="str">
        <f>IF(AX31&gt;AX$129, AX31-AX$129,"")</f>
        <v/>
      </c>
      <c r="CB31" s="1" t="str">
        <f>IF(AY31&gt;AY$129, AY31-AY$129,"")</f>
        <v/>
      </c>
      <c r="CC31" s="1" t="str">
        <f>IF(AZ31&gt;AZ$129, AZ31-AZ$129,"")</f>
        <v/>
      </c>
      <c r="CD31" s="1" t="str">
        <f>IF(BA31&gt;BA$129, BA31-BA$129,"")</f>
        <v/>
      </c>
      <c r="CE31" s="1" t="str">
        <f>IF(BB31&gt;BB$129, BB31-BB$129,"")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20</v>
      </c>
    </row>
    <row r="32" spans="1:97" x14ac:dyDescent="0.15">
      <c r="A32" s="1"/>
      <c r="B32" s="1" t="s">
        <v>214</v>
      </c>
      <c r="C32" s="1" t="s">
        <v>56</v>
      </c>
      <c r="D32" s="1" t="s">
        <v>211</v>
      </c>
      <c r="E32" s="6"/>
      <c r="F32" s="6"/>
      <c r="G32" s="6"/>
      <c r="H32" s="6"/>
      <c r="I32" s="6"/>
      <c r="J32" s="6"/>
      <c r="K32" s="6"/>
      <c r="L32" s="6">
        <v>20</v>
      </c>
      <c r="M32" s="6"/>
      <c r="N32" s="6"/>
      <c r="O32" s="6">
        <v>20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11</v>
      </c>
      <c r="BR32" s="17">
        <v>1</v>
      </c>
      <c r="BS32" s="17" t="s">
        <v>223</v>
      </c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34</v>
      </c>
      <c r="B33" s="1" t="s">
        <v>46</v>
      </c>
      <c r="C33" s="1" t="s">
        <v>47</v>
      </c>
      <c r="D33" s="1" t="s">
        <v>25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15</v>
      </c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>
        <v>15</v>
      </c>
      <c r="BC33" s="14"/>
      <c r="BD33" s="1"/>
      <c r="BE33" s="1"/>
      <c r="BF33" s="1"/>
      <c r="BG33" s="1"/>
      <c r="BH33" s="1">
        <v>15</v>
      </c>
      <c r="BI33" s="1">
        <v>15</v>
      </c>
      <c r="BJ33" s="1"/>
      <c r="BK33" s="1"/>
      <c r="BL33" s="1"/>
      <c r="BM33" s="1"/>
      <c r="BN33" s="1"/>
      <c r="BO33" s="1"/>
      <c r="BP33" s="1">
        <f>SUM(E33:BO33)</f>
        <v>60</v>
      </c>
      <c r="BQ33" s="1">
        <v>13</v>
      </c>
      <c r="BR33" s="17">
        <v>1</v>
      </c>
      <c r="BS33" s="17" t="s">
        <v>245</v>
      </c>
      <c r="BT33" s="1" t="str">
        <f>IF(AQ33&gt;AQ$129, AQ33-AQ$129,"")</f>
        <v/>
      </c>
      <c r="BU33" s="1" t="str">
        <f>IF(AR33&gt;AR$129, AR33-AR$129,"")</f>
        <v/>
      </c>
      <c r="BV33" s="1" t="str">
        <f>IF(AS33&gt;AS$129, AS33-AS$129,"")</f>
        <v/>
      </c>
      <c r="BW33" s="1" t="str">
        <f>IF(AT33&gt;AT$129, AT33-AT$129,"")</f>
        <v/>
      </c>
      <c r="BX33" s="1" t="str">
        <f>IF(AU33&gt;AU$129, AU33-AU$129,"")</f>
        <v/>
      </c>
      <c r="BY33" s="1" t="str">
        <f>IF(AV33&gt;AV$129, AV33-AV$129,"")</f>
        <v/>
      </c>
      <c r="BZ33" s="1" t="str">
        <f>IF(AW33&gt;AW$129, AW33-AW$129,"")</f>
        <v/>
      </c>
      <c r="CA33" s="1" t="str">
        <f>IF(AX33&gt;AX$129, AX33-AX$129,"")</f>
        <v/>
      </c>
      <c r="CB33" s="1" t="str">
        <f>IF(AY33&gt;AY$129, AY33-AY$129,"")</f>
        <v/>
      </c>
      <c r="CC33" s="1" t="str">
        <f>IF(AZ33&gt;AZ$129, AZ33-AZ$129,"")</f>
        <v/>
      </c>
      <c r="CD33" s="1" t="str">
        <f>IF(BA33&gt;BA$129, BA33-BA$129,"")</f>
        <v/>
      </c>
      <c r="CE33" s="1" t="str">
        <f>IF(BB33&gt;BB$129, BB33-BB$129,"")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60</v>
      </c>
    </row>
    <row r="34" spans="1:97" x14ac:dyDescent="0.15">
      <c r="A34" s="1"/>
      <c r="B34" s="1" t="s">
        <v>182</v>
      </c>
      <c r="C34" s="1" t="s">
        <v>105</v>
      </c>
      <c r="D34" s="1" t="s">
        <v>106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>
        <v>15</v>
      </c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>
        <v>15</v>
      </c>
      <c r="BC34" s="14"/>
      <c r="BD34" s="1"/>
      <c r="BE34" s="1"/>
      <c r="BF34" s="1"/>
      <c r="BG34" s="1"/>
      <c r="BH34" s="1">
        <v>15</v>
      </c>
      <c r="BI34" s="1">
        <v>15</v>
      </c>
      <c r="BJ34" s="1"/>
      <c r="BK34" s="1"/>
      <c r="BL34" s="1"/>
      <c r="BM34" s="1"/>
      <c r="BN34" s="1"/>
      <c r="BO34" s="1"/>
      <c r="BP34" s="1">
        <f>SUM(E34:BO34)</f>
        <v>60</v>
      </c>
      <c r="BQ34" s="1">
        <v>13</v>
      </c>
      <c r="BR34" s="17">
        <v>1</v>
      </c>
      <c r="BS34" s="17" t="s">
        <v>246</v>
      </c>
      <c r="BT34" s="1" t="str">
        <f>IF(AQ34&gt;AQ$129, AQ34-AQ$129,"")</f>
        <v/>
      </c>
      <c r="BU34" s="1" t="str">
        <f>IF(AR34&gt;AR$129, AR34-AR$129,"")</f>
        <v/>
      </c>
      <c r="BV34" s="1" t="str">
        <f>IF(AS34&gt;AS$129, AS34-AS$129,"")</f>
        <v/>
      </c>
      <c r="BW34" s="1" t="str">
        <f>IF(AT34&gt;AT$129, AT34-AT$129,"")</f>
        <v/>
      </c>
      <c r="BX34" s="1" t="str">
        <f>IF(AU34&gt;AU$129, AU34-AU$129,"")</f>
        <v/>
      </c>
      <c r="BY34" s="1" t="str">
        <f>IF(AV34&gt;AV$129, AV34-AV$129,"")</f>
        <v/>
      </c>
      <c r="BZ34" s="1" t="str">
        <f>IF(AW34&gt;AW$129, AW34-AW$129,"")</f>
        <v/>
      </c>
      <c r="CA34" s="1" t="str">
        <f>IF(AX34&gt;AX$129, AX34-AX$129,"")</f>
        <v/>
      </c>
      <c r="CB34" s="1" t="str">
        <f>IF(AY34&gt;AY$129, AY34-AY$129,"")</f>
        <v/>
      </c>
      <c r="CC34" s="1" t="str">
        <f>IF(AZ34&gt;AZ$129, AZ34-AZ$129,"")</f>
        <v/>
      </c>
      <c r="CD34" s="1" t="str">
        <f>IF(BA34&gt;BA$129, BA34-BA$129,"")</f>
        <v/>
      </c>
      <c r="CE34" s="1" t="str">
        <f>IF(BB34&gt;BB$129, BB34-BB$129,"")</f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x14ac:dyDescent="0.15">
      <c r="A35" s="1">
        <v>64</v>
      </c>
      <c r="B35" s="3" t="s">
        <v>61</v>
      </c>
      <c r="C35" s="1" t="s">
        <v>56</v>
      </c>
      <c r="D35" s="1" t="s">
        <v>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>
        <v>15</v>
      </c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15</v>
      </c>
      <c r="BQ35" s="1">
        <v>15</v>
      </c>
      <c r="BR35" s="17">
        <v>1</v>
      </c>
      <c r="BS35" s="17" t="s">
        <v>247</v>
      </c>
      <c r="BT35" s="1" t="str">
        <f>IF(AQ35&gt;AQ$129, AQ35-AQ$129,"")</f>
        <v/>
      </c>
      <c r="BU35" s="1" t="str">
        <f>IF(AR35&gt;AR$129, AR35-AR$129,"")</f>
        <v/>
      </c>
      <c r="BV35" s="1" t="str">
        <f>IF(AS35&gt;AS$129, AS35-AS$129,"")</f>
        <v/>
      </c>
      <c r="BW35" s="1" t="str">
        <f>IF(AT35&gt;AT$129, AT35-AT$129,"")</f>
        <v/>
      </c>
      <c r="BX35" s="1" t="str">
        <f>IF(AU35&gt;AU$129, AU35-AU$129,"")</f>
        <v/>
      </c>
      <c r="BY35" s="1" t="str">
        <f>IF(AV35&gt;AV$129, AV35-AV$129,"")</f>
        <v/>
      </c>
      <c r="BZ35" s="1" t="str">
        <f>IF(AW35&gt;AW$129, AW35-AW$129,"")</f>
        <v/>
      </c>
      <c r="CA35" s="1" t="str">
        <f>IF(AX35&gt;AX$129, AX35-AX$129,"")</f>
        <v/>
      </c>
      <c r="CB35" s="1" t="str">
        <f>IF(AY35&gt;AY$129, AY35-AY$129,"")</f>
        <v/>
      </c>
      <c r="CC35" s="1" t="str">
        <f>IF(AZ35&gt;AZ$129, AZ35-AZ$129,"")</f>
        <v/>
      </c>
      <c r="CD35" s="1" t="str">
        <f>IF(BA35&gt;BA$129, BA35-BA$129,"")</f>
        <v/>
      </c>
      <c r="CE35" s="1" t="str">
        <f>IF(BB35&gt;BB$129, BB35-BB$129,"")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15</v>
      </c>
    </row>
    <row r="36" spans="1:97" x14ac:dyDescent="0.15">
      <c r="A36" s="1">
        <v>98</v>
      </c>
      <c r="B36" s="3" t="s">
        <v>169</v>
      </c>
      <c r="C36" s="3" t="s">
        <v>69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>
        <v>50</v>
      </c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50</v>
      </c>
      <c r="BQ36" s="1">
        <v>40</v>
      </c>
      <c r="BR36" s="17">
        <v>1</v>
      </c>
      <c r="BS36" s="17" t="s">
        <v>248</v>
      </c>
      <c r="BT36" s="1" t="str">
        <f>IF(AQ36&gt;AQ$129, AQ36-AQ$129,"")</f>
        <v/>
      </c>
      <c r="BU36" s="1" t="str">
        <f>IF(AR36&gt;AR$129, AR36-AR$129,"")</f>
        <v/>
      </c>
      <c r="BV36" s="1" t="str">
        <f>IF(AS36&gt;AS$129, AS36-AS$129,"")</f>
        <v/>
      </c>
      <c r="BW36" s="1" t="str">
        <f>IF(AT36&gt;AT$129, AT36-AT$129,"")</f>
        <v/>
      </c>
      <c r="BX36" s="1" t="str">
        <f>IF(AU36&gt;AU$129, AU36-AU$129,"")</f>
        <v/>
      </c>
      <c r="BY36" s="1" t="str">
        <f>IF(AV36&gt;AV$129, AV36-AV$129,"")</f>
        <v/>
      </c>
      <c r="BZ36" s="1" t="str">
        <f>IF(AW36&gt;AW$129, AW36-AW$129,"")</f>
        <v/>
      </c>
      <c r="CA36" s="1" t="str">
        <f>IF(AX36&gt;AX$129, AX36-AX$129,"")</f>
        <v/>
      </c>
      <c r="CB36" s="1" t="str">
        <f>IF(AY36&gt;AY$129, AY36-AY$129,"")</f>
        <v/>
      </c>
      <c r="CC36" s="1" t="str">
        <f>IF(AZ36&gt;AZ$129, AZ36-AZ$129,"")</f>
        <v/>
      </c>
      <c r="CD36" s="1" t="str">
        <f>IF(BA36&gt;BA$129, BA36-BA$129,"")</f>
        <v/>
      </c>
      <c r="CE36" s="1" t="str">
        <f>IF(BB36&gt;BB$129, BB36-BB$129,"")</f>
        <v/>
      </c>
      <c r="CF36" s="1">
        <f>COUNTIF(BT36:CE36, "&gt;0")</f>
        <v>0</v>
      </c>
      <c r="CG36" s="1" t="str">
        <f>IF($CF36=1,BT36,"")</f>
        <v/>
      </c>
      <c r="CH36" s="1" t="str">
        <f>IF($CF36=1,BU36,"")</f>
        <v/>
      </c>
      <c r="CI36" s="1" t="str">
        <f>IF($CF36=1,BV36,"")</f>
        <v/>
      </c>
      <c r="CJ36" s="1" t="str">
        <f>IF($CF36=1,BW36,"")</f>
        <v/>
      </c>
      <c r="CK36" s="1" t="str">
        <f>IF($CF36=1,BX36,"")</f>
        <v/>
      </c>
      <c r="CL36" s="1" t="str">
        <f>IF($CF36=1,BY36,"")</f>
        <v/>
      </c>
      <c r="CM36" s="1" t="str">
        <f>IF($CF36=1,BZ36,"")</f>
        <v/>
      </c>
      <c r="CN36" s="1" t="str">
        <f>IF($CF36=1,CA36,"")</f>
        <v/>
      </c>
      <c r="CO36" s="1" t="str">
        <f>IF($CF36=1,CB36,"")</f>
        <v/>
      </c>
      <c r="CP36" s="1" t="str">
        <f>IF($CF36=1,CC36,"")</f>
        <v/>
      </c>
      <c r="CQ36" s="1" t="str">
        <f>IF($CF36=1,CD36,"")</f>
        <v/>
      </c>
      <c r="CR36" s="1" t="str">
        <f>IF($CF36=1,CE36,"")</f>
        <v/>
      </c>
      <c r="CS36" s="3">
        <f>SUM(AE36:BO36)</f>
        <v>50</v>
      </c>
    </row>
    <row r="37" spans="1:97" x14ac:dyDescent="0.15">
      <c r="A37" s="1">
        <v>99</v>
      </c>
      <c r="B37" s="3" t="s">
        <v>169</v>
      </c>
      <c r="C37" s="3" t="s">
        <v>69</v>
      </c>
      <c r="D37" s="1" t="s">
        <v>13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>
        <v>200</v>
      </c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200</v>
      </c>
      <c r="BQ37" s="1">
        <v>190</v>
      </c>
      <c r="BR37" s="17">
        <v>1</v>
      </c>
      <c r="BS37" s="17" t="s">
        <v>217</v>
      </c>
      <c r="BT37" s="1" t="str">
        <f>IF(AQ37&gt;AQ$129, AQ37-AQ$129,"")</f>
        <v/>
      </c>
      <c r="BU37" s="1" t="str">
        <f>IF(AR37&gt;AR$129, AR37-AR$129,"")</f>
        <v/>
      </c>
      <c r="BV37" s="1" t="str">
        <f>IF(AS37&gt;AS$129, AS37-AS$129,"")</f>
        <v/>
      </c>
      <c r="BW37" s="1" t="str">
        <f>IF(AT37&gt;AT$129, AT37-AT$129,"")</f>
        <v/>
      </c>
      <c r="BX37" s="1" t="str">
        <f>IF(AU37&gt;AU$129, AU37-AU$129,"")</f>
        <v/>
      </c>
      <c r="BY37" s="1" t="str">
        <f>IF(AV37&gt;AV$129, AV37-AV$129,"")</f>
        <v/>
      </c>
      <c r="BZ37" s="1" t="str">
        <f>IF(AW37&gt;AW$129, AW37-AW$129,"")</f>
        <v/>
      </c>
      <c r="CA37" s="1" t="str">
        <f>IF(AX37&gt;AX$129, AX37-AX$129,"")</f>
        <v/>
      </c>
      <c r="CB37" s="1" t="str">
        <f>IF(AY37&gt;AY$129, AY37-AY$129,"")</f>
        <v/>
      </c>
      <c r="CC37" s="1" t="str">
        <f>IF(AZ37&gt;AZ$129, AZ37-AZ$129,"")</f>
        <v/>
      </c>
      <c r="CD37" s="1" t="str">
        <f>IF(BA37&gt;BA$129, BA37-BA$129,"")</f>
        <v/>
      </c>
      <c r="CE37" s="1" t="str">
        <f>IF(BB37&gt;BB$129, BB37-BB$129,"")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200</v>
      </c>
    </row>
    <row r="38" spans="1:97" ht="27" x14ac:dyDescent="0.15">
      <c r="A38" s="1"/>
      <c r="B38" s="1" t="s">
        <v>116</v>
      </c>
      <c r="C38" s="1" t="s">
        <v>109</v>
      </c>
      <c r="D38" s="1" t="s">
        <v>106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>
        <v>5</v>
      </c>
      <c r="AP38" s="1">
        <v>1</v>
      </c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</v>
      </c>
      <c r="BQ38" s="1">
        <v>6</v>
      </c>
      <c r="BR38" s="17">
        <v>2</v>
      </c>
      <c r="BS38" s="17" t="s">
        <v>249</v>
      </c>
      <c r="BT38" s="1" t="str">
        <f>IF(AQ38&gt;AQ$129, AQ38-AQ$129,"")</f>
        <v/>
      </c>
      <c r="BU38" s="1" t="str">
        <f>IF(AR38&gt;AR$129, AR38-AR$129,"")</f>
        <v/>
      </c>
      <c r="BV38" s="1" t="str">
        <f>IF(AS38&gt;AS$129, AS38-AS$129,"")</f>
        <v/>
      </c>
      <c r="BW38" s="1" t="str">
        <f>IF(AT38&gt;AT$129, AT38-AT$129,"")</f>
        <v/>
      </c>
      <c r="BX38" s="1" t="str">
        <f>IF(AU38&gt;AU$129, AU38-AU$129,"")</f>
        <v/>
      </c>
      <c r="BY38" s="1" t="str">
        <f>IF(AV38&gt;AV$129, AV38-AV$129,"")</f>
        <v/>
      </c>
      <c r="BZ38" s="1" t="str">
        <f>IF(AW38&gt;AW$129, AW38-AW$129,"")</f>
        <v/>
      </c>
      <c r="CA38" s="1" t="str">
        <f>IF(AX38&gt;AX$129, AX38-AX$129,"")</f>
        <v/>
      </c>
      <c r="CB38" s="1" t="str">
        <f>IF(AY38&gt;AY$129, AY38-AY$129,"")</f>
        <v/>
      </c>
      <c r="CC38" s="1" t="str">
        <f>IF(AZ38&gt;AZ$129, AZ38-AZ$129,"")</f>
        <v/>
      </c>
      <c r="CD38" s="1" t="str">
        <f>IF(BA38&gt;BA$129, BA38-BA$129,"")</f>
        <v/>
      </c>
      <c r="CE38" s="1" t="str">
        <f>IF(BB38&gt;BB$129, BB38-BB$129,"")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ht="27" x14ac:dyDescent="0.15">
      <c r="A39" s="1"/>
      <c r="B39" s="1" t="s">
        <v>178</v>
      </c>
      <c r="C39" s="1" t="s">
        <v>117</v>
      </c>
      <c r="D39" s="1" t="s">
        <v>107</v>
      </c>
      <c r="E39" s="6">
        <v>10</v>
      </c>
      <c r="F39" s="6"/>
      <c r="G39" s="6">
        <v>10</v>
      </c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>
        <v>10</v>
      </c>
      <c r="AS39" s="4"/>
      <c r="AT39" s="4"/>
      <c r="AU39" s="4"/>
      <c r="AV39" s="4"/>
      <c r="AW39" s="2"/>
      <c r="AX39" s="2"/>
      <c r="AY39" s="2"/>
      <c r="AZ39" s="2"/>
      <c r="BA39" s="2"/>
      <c r="BB39" s="2">
        <v>10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40</v>
      </c>
      <c r="BQ39" s="1">
        <v>7</v>
      </c>
      <c r="BR39" s="17">
        <v>2</v>
      </c>
      <c r="BS39" s="17" t="s">
        <v>239</v>
      </c>
      <c r="BT39" s="1" t="str">
        <f>IF(AQ39&gt;AQ$129, AQ39-AQ$129,"")</f>
        <v/>
      </c>
      <c r="BU39" s="1" t="str">
        <f>IF(AR39&gt;AR$129, AR39-AR$129,"")</f>
        <v/>
      </c>
      <c r="BV39" s="1" t="str">
        <f>IF(AS39&gt;AS$129, AS39-AS$129,"")</f>
        <v/>
      </c>
      <c r="BW39" s="1" t="str">
        <f>IF(AT39&gt;AT$129, AT39-AT$129,"")</f>
        <v/>
      </c>
      <c r="BX39" s="1" t="str">
        <f>IF(AU39&gt;AU$129, AU39-AU$129,"")</f>
        <v/>
      </c>
      <c r="BY39" s="1" t="str">
        <f>IF(AV39&gt;AV$129, AV39-AV$129,"")</f>
        <v/>
      </c>
      <c r="BZ39" s="1" t="str">
        <f>IF(AW39&gt;AW$129, AW39-AW$129,"")</f>
        <v/>
      </c>
      <c r="CA39" s="1" t="str">
        <f>IF(AX39&gt;AX$129, AX39-AX$129,"")</f>
        <v/>
      </c>
      <c r="CB39" s="1" t="str">
        <f>IF(AY39&gt;AY$129, AY39-AY$129,"")</f>
        <v/>
      </c>
      <c r="CC39" s="1" t="str">
        <f>IF(AZ39&gt;AZ$129, AZ39-AZ$129,"")</f>
        <v/>
      </c>
      <c r="CD39" s="1" t="str">
        <f>IF(BA39&gt;BA$129, BA39-BA$129,"")</f>
        <v/>
      </c>
      <c r="CE39" s="1" t="str">
        <f>IF(BB39&gt;BB$129, BB39-BB$129,"")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ht="27" x14ac:dyDescent="0.15">
      <c r="A40" s="1"/>
      <c r="B40" s="1" t="s">
        <v>176</v>
      </c>
      <c r="C40" s="1" t="s">
        <v>151</v>
      </c>
      <c r="D40" s="1" t="s">
        <v>125</v>
      </c>
      <c r="E40" s="6">
        <v>10</v>
      </c>
      <c r="F40" s="6"/>
      <c r="G40" s="6">
        <v>10</v>
      </c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>
        <v>10</v>
      </c>
      <c r="AS40" s="4"/>
      <c r="AT40" s="4"/>
      <c r="AU40" s="4"/>
      <c r="AV40" s="4"/>
      <c r="AW40" s="2"/>
      <c r="AX40" s="2"/>
      <c r="AY40" s="2"/>
      <c r="AZ40" s="2"/>
      <c r="BA40" s="2"/>
      <c r="BB40" s="2">
        <v>10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7</v>
      </c>
      <c r="BR40" s="17">
        <v>2</v>
      </c>
      <c r="BS40" s="17" t="s">
        <v>239</v>
      </c>
      <c r="BT40" s="1" t="str">
        <f>IF(AQ40&gt;AQ$129, AQ40-AQ$129,"")</f>
        <v/>
      </c>
      <c r="BU40" s="1" t="str">
        <f>IF(AR40&gt;AR$129, AR40-AR$129,"")</f>
        <v/>
      </c>
      <c r="BV40" s="1" t="str">
        <f>IF(AS40&gt;AS$129, AS40-AS$129,"")</f>
        <v/>
      </c>
      <c r="BW40" s="1" t="str">
        <f>IF(AT40&gt;AT$129, AT40-AT$129,"")</f>
        <v/>
      </c>
      <c r="BX40" s="1" t="str">
        <f>IF(AU40&gt;AU$129, AU40-AU$129,"")</f>
        <v/>
      </c>
      <c r="BY40" s="1" t="str">
        <f>IF(AV40&gt;AV$129, AV40-AV$129,"")</f>
        <v/>
      </c>
      <c r="BZ40" s="1" t="str">
        <f>IF(AW40&gt;AW$129, AW40-AW$129,"")</f>
        <v/>
      </c>
      <c r="CA40" s="1" t="str">
        <f>IF(AX40&gt;AX$129, AX40-AX$129,"")</f>
        <v/>
      </c>
      <c r="CB40" s="1" t="str">
        <f>IF(AY40&gt;AY$129, AY40-AY$129,"")</f>
        <v/>
      </c>
      <c r="CC40" s="1" t="str">
        <f>IF(AZ40&gt;AZ$129, AZ40-AZ$129,"")</f>
        <v/>
      </c>
      <c r="CD40" s="1" t="str">
        <f>IF(BA40&gt;BA$129, BA40-BA$129,"")</f>
        <v/>
      </c>
      <c r="CE40" s="1" t="str">
        <f>IF(BB40&gt;BB$129, BB40-BB$129,"")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ht="27" x14ac:dyDescent="0.15">
      <c r="A41" s="1"/>
      <c r="B41" s="1" t="s">
        <v>112</v>
      </c>
      <c r="C41" s="1" t="s">
        <v>109</v>
      </c>
      <c r="D41" s="1" t="s">
        <v>113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>
        <v>3</v>
      </c>
      <c r="AP41" s="1">
        <v>5</v>
      </c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8</v>
      </c>
      <c r="BQ41" s="1">
        <v>8</v>
      </c>
      <c r="BR41" s="17">
        <v>2</v>
      </c>
      <c r="BS41" s="17" t="s">
        <v>250</v>
      </c>
      <c r="BT41" s="1" t="str">
        <f>IF(AQ41&gt;AQ$129, AQ41-AQ$129,"")</f>
        <v/>
      </c>
      <c r="BU41" s="1" t="str">
        <f>IF(AR41&gt;AR$129, AR41-AR$129,"")</f>
        <v/>
      </c>
      <c r="BV41" s="1" t="str">
        <f>IF(AS41&gt;AS$129, AS41-AS$129,"")</f>
        <v/>
      </c>
      <c r="BW41" s="1" t="str">
        <f>IF(AT41&gt;AT$129, AT41-AT$129,"")</f>
        <v/>
      </c>
      <c r="BX41" s="1" t="str">
        <f>IF(AU41&gt;AU$129, AU41-AU$129,"")</f>
        <v/>
      </c>
      <c r="BY41" s="1" t="str">
        <f>IF(AV41&gt;AV$129, AV41-AV$129,"")</f>
        <v/>
      </c>
      <c r="BZ41" s="1" t="str">
        <f>IF(AW41&gt;AW$129, AW41-AW$129,"")</f>
        <v/>
      </c>
      <c r="CA41" s="1" t="str">
        <f>IF(AX41&gt;AX$129, AX41-AX$129,"")</f>
        <v/>
      </c>
      <c r="CB41" s="1" t="str">
        <f>IF(AY41&gt;AY$129, AY41-AY$129,"")</f>
        <v/>
      </c>
      <c r="CC41" s="1" t="str">
        <f>IF(AZ41&gt;AZ$129, AZ41-AZ$129,"")</f>
        <v/>
      </c>
      <c r="CD41" s="1" t="str">
        <f>IF(BA41&gt;BA$129, BA41-BA$129,"")</f>
        <v/>
      </c>
      <c r="CE41" s="1" t="str">
        <f>IF(BB41&gt;BB$129, BB41-BB$129,"")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ht="27" x14ac:dyDescent="0.15">
      <c r="A42" s="1"/>
      <c r="B42" s="1" t="s">
        <v>134</v>
      </c>
      <c r="C42" s="1" t="s">
        <v>122</v>
      </c>
      <c r="D42" s="1" t="s">
        <v>124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>
        <v>2</v>
      </c>
      <c r="S42" s="28"/>
      <c r="T42" s="28">
        <v>5</v>
      </c>
      <c r="U42" s="28"/>
      <c r="V42" s="28"/>
      <c r="W42" s="28"/>
      <c r="X42" s="28"/>
      <c r="Y42" s="28"/>
      <c r="Z42" s="28">
        <v>5</v>
      </c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8</v>
      </c>
      <c r="BR42" s="17">
        <v>2</v>
      </c>
      <c r="BS42" s="17" t="s">
        <v>192</v>
      </c>
      <c r="BT42" s="1" t="str">
        <f>IF(AQ42&gt;AQ$129, AQ42-AQ$129,"")</f>
        <v/>
      </c>
      <c r="BU42" s="1" t="str">
        <f>IF(AR42&gt;AR$129, AR42-AR$129,"")</f>
        <v/>
      </c>
      <c r="BV42" s="1" t="str">
        <f>IF(AS42&gt;AS$129, AS42-AS$129,"")</f>
        <v/>
      </c>
      <c r="BW42" s="1" t="str">
        <f>IF(AT42&gt;AT$129, AT42-AT$129,"")</f>
        <v/>
      </c>
      <c r="BX42" s="1" t="str">
        <f>IF(AU42&gt;AU$129, AU42-AU$129,"")</f>
        <v/>
      </c>
      <c r="BY42" s="1" t="str">
        <f>IF(AV42&gt;AV$129, AV42-AV$129,"")</f>
        <v/>
      </c>
      <c r="BZ42" s="1" t="str">
        <f>IF(AW42&gt;AW$129, AW42-AW$129,"")</f>
        <v/>
      </c>
      <c r="CA42" s="1" t="str">
        <f>IF(AX42&gt;AX$129, AX42-AX$129,"")</f>
        <v/>
      </c>
      <c r="CB42" s="1" t="str">
        <f>IF(AY42&gt;AY$129, AY42-AY$129,"")</f>
        <v/>
      </c>
      <c r="CC42" s="1" t="str">
        <f>IF(AZ42&gt;AZ$129, AZ42-AZ$129,"")</f>
        <v/>
      </c>
      <c r="CD42" s="1" t="str">
        <f>IF(BA42&gt;BA$129, BA42-BA$129,"")</f>
        <v/>
      </c>
      <c r="CE42" s="1" t="str">
        <f>IF(BB42&gt;BB$129, BB42-BB$129,"")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ht="27" x14ac:dyDescent="0.15">
      <c r="A43" s="1"/>
      <c r="B43" s="1" t="s">
        <v>139</v>
      </c>
      <c r="C43" s="1" t="s">
        <v>122</v>
      </c>
      <c r="D43" s="1" t="s">
        <v>124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>
        <v>5</v>
      </c>
      <c r="R43" s="28">
        <v>2</v>
      </c>
      <c r="S43" s="28"/>
      <c r="T43" s="28">
        <v>5</v>
      </c>
      <c r="U43" s="28"/>
      <c r="V43" s="28"/>
      <c r="W43" s="28"/>
      <c r="X43" s="28"/>
      <c r="Y43" s="28"/>
      <c r="Z43" s="28">
        <v>5</v>
      </c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17</v>
      </c>
      <c r="BQ43" s="1">
        <v>8</v>
      </c>
      <c r="BR43" s="17">
        <v>2</v>
      </c>
      <c r="BS43" s="17" t="s">
        <v>192</v>
      </c>
      <c r="BT43" s="1" t="str">
        <f>IF(AQ43&gt;AQ$129, AQ43-AQ$129,"")</f>
        <v/>
      </c>
      <c r="BU43" s="1" t="str">
        <f>IF(AR43&gt;AR$129, AR43-AR$129,"")</f>
        <v/>
      </c>
      <c r="BV43" s="1" t="str">
        <f>IF(AS43&gt;AS$129, AS43-AS$129,"")</f>
        <v/>
      </c>
      <c r="BW43" s="1" t="str">
        <f>IF(AT43&gt;AT$129, AT43-AT$129,"")</f>
        <v/>
      </c>
      <c r="BX43" s="1" t="str">
        <f>IF(AU43&gt;AU$129, AU43-AU$129,"")</f>
        <v/>
      </c>
      <c r="BY43" s="1" t="str">
        <f>IF(AV43&gt;AV$129, AV43-AV$129,"")</f>
        <v/>
      </c>
      <c r="BZ43" s="1" t="str">
        <f>IF(AW43&gt;AW$129, AW43-AW$129,"")</f>
        <v/>
      </c>
      <c r="CA43" s="1" t="str">
        <f>IF(AX43&gt;AX$129, AX43-AX$129,"")</f>
        <v/>
      </c>
      <c r="CB43" s="1" t="str">
        <f>IF(AY43&gt;AY$129, AY43-AY$129,"")</f>
        <v/>
      </c>
      <c r="CC43" s="1" t="str">
        <f>IF(AZ43&gt;AZ$129, AZ43-AZ$129,"")</f>
        <v/>
      </c>
      <c r="CD43" s="1" t="str">
        <f>IF(BA43&gt;BA$129, BA43-BA$129,"")</f>
        <v/>
      </c>
      <c r="CE43" s="1" t="str">
        <f>IF(BB43&gt;BB$129, BB43-BB$129,"")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ht="27" x14ac:dyDescent="0.15">
      <c r="A44" s="1"/>
      <c r="B44" s="1" t="s">
        <v>147</v>
      </c>
      <c r="C44" s="1" t="s">
        <v>145</v>
      </c>
      <c r="D44" s="1" t="s">
        <v>124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>
        <v>5</v>
      </c>
      <c r="R44" s="28">
        <v>2</v>
      </c>
      <c r="S44" s="28"/>
      <c r="T44" s="28">
        <v>5</v>
      </c>
      <c r="U44" s="28"/>
      <c r="V44" s="28"/>
      <c r="W44" s="28"/>
      <c r="X44" s="28"/>
      <c r="Y44" s="28"/>
      <c r="Z44" s="28">
        <v>5</v>
      </c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17</v>
      </c>
      <c r="BQ44" s="1">
        <v>8</v>
      </c>
      <c r="BR44" s="17">
        <v>2</v>
      </c>
      <c r="BS44" s="17" t="s">
        <v>251</v>
      </c>
      <c r="BT44" s="1" t="str">
        <f>IF(AQ44&gt;AQ$129, AQ44-AQ$129,"")</f>
        <v/>
      </c>
      <c r="BU44" s="1" t="str">
        <f>IF(AR44&gt;AR$129, AR44-AR$129,"")</f>
        <v/>
      </c>
      <c r="BV44" s="1" t="str">
        <f>IF(AS44&gt;AS$129, AS44-AS$129,"")</f>
        <v/>
      </c>
      <c r="BW44" s="1" t="str">
        <f>IF(AT44&gt;AT$129, AT44-AT$129,"")</f>
        <v/>
      </c>
      <c r="BX44" s="1" t="str">
        <f>IF(AU44&gt;AU$129, AU44-AU$129,"")</f>
        <v/>
      </c>
      <c r="BY44" s="1" t="str">
        <f>IF(AV44&gt;AV$129, AV44-AV$129,"")</f>
        <v/>
      </c>
      <c r="BZ44" s="1" t="str">
        <f>IF(AW44&gt;AW$129, AW44-AW$129,"")</f>
        <v/>
      </c>
      <c r="CA44" s="1" t="str">
        <f>IF(AX44&gt;AX$129, AX44-AX$129,"")</f>
        <v/>
      </c>
      <c r="CB44" s="1" t="str">
        <f>IF(AY44&gt;AY$129, AY44-AY$129,"")</f>
        <v/>
      </c>
      <c r="CC44" s="1" t="str">
        <f>IF(AZ44&gt;AZ$129, AZ44-AZ$129,"")</f>
        <v/>
      </c>
      <c r="CD44" s="1" t="str">
        <f>IF(BA44&gt;BA$129, BA44-BA$129,"")</f>
        <v/>
      </c>
      <c r="CE44" s="1" t="str">
        <f>IF(BB44&gt;BB$129, BB44-BB$129,"")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ht="27" x14ac:dyDescent="0.15">
      <c r="A45" s="1"/>
      <c r="B45" s="1" t="s">
        <v>149</v>
      </c>
      <c r="C45" s="1" t="s">
        <v>150</v>
      </c>
      <c r="D45" s="1" t="s">
        <v>124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>
        <v>5</v>
      </c>
      <c r="U45" s="28"/>
      <c r="V45" s="28"/>
      <c r="W45" s="28"/>
      <c r="X45" s="28">
        <v>2</v>
      </c>
      <c r="Y45" s="28"/>
      <c r="Z45" s="28">
        <v>5</v>
      </c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17</v>
      </c>
      <c r="BQ45" s="1">
        <v>8</v>
      </c>
      <c r="BR45" s="17">
        <v>2</v>
      </c>
      <c r="BS45" s="17" t="s">
        <v>192</v>
      </c>
      <c r="BT45" s="1" t="str">
        <f>IF(AQ45&gt;AQ$129, AQ45-AQ$129,"")</f>
        <v/>
      </c>
      <c r="BU45" s="1" t="str">
        <f>IF(AR45&gt;AR$129, AR45-AR$129,"")</f>
        <v/>
      </c>
      <c r="BV45" s="1" t="str">
        <f>IF(AS45&gt;AS$129, AS45-AS$129,"")</f>
        <v/>
      </c>
      <c r="BW45" s="1" t="str">
        <f>IF(AT45&gt;AT$129, AT45-AT$129,"")</f>
        <v/>
      </c>
      <c r="BX45" s="1" t="str">
        <f>IF(AU45&gt;AU$129, AU45-AU$129,"")</f>
        <v/>
      </c>
      <c r="BY45" s="1" t="str">
        <f>IF(AV45&gt;AV$129, AV45-AV$129,"")</f>
        <v/>
      </c>
      <c r="BZ45" s="1" t="str">
        <f>IF(AW45&gt;AW$129, AW45-AW$129,"")</f>
        <v/>
      </c>
      <c r="CA45" s="1" t="str">
        <f>IF(AX45&gt;AX$129, AX45-AX$129,"")</f>
        <v/>
      </c>
      <c r="CB45" s="1" t="str">
        <f>IF(AY45&gt;AY$129, AY45-AY$129,"")</f>
        <v/>
      </c>
      <c r="CC45" s="1" t="str">
        <f>IF(AZ45&gt;AZ$129, AZ45-AZ$129,"")</f>
        <v/>
      </c>
      <c r="CD45" s="1" t="str">
        <f>IF(BA45&gt;BA$129, BA45-BA$129,"")</f>
        <v/>
      </c>
      <c r="CE45" s="1" t="str">
        <f>IF(BB45&gt;BB$129, BB45-BB$129,"")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ht="27" x14ac:dyDescent="0.15">
      <c r="A46" s="1">
        <v>20</v>
      </c>
      <c r="B46" s="1" t="s">
        <v>37</v>
      </c>
      <c r="C46" s="1" t="s">
        <v>31</v>
      </c>
      <c r="D46" s="1" t="s">
        <v>25</v>
      </c>
      <c r="E46" s="6"/>
      <c r="F46" s="6">
        <v>5</v>
      </c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>
        <v>5</v>
      </c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10</v>
      </c>
      <c r="BQ46" s="1">
        <v>9</v>
      </c>
      <c r="BR46" s="17">
        <v>2</v>
      </c>
      <c r="BS46" s="17" t="s">
        <v>252</v>
      </c>
      <c r="BT46" s="1" t="str">
        <f>IF(AQ46&gt;AQ$129, AQ46-AQ$129,"")</f>
        <v/>
      </c>
      <c r="BU46" s="1" t="str">
        <f>IF(AR46&gt;AR$129, AR46-AR$129,"")</f>
        <v/>
      </c>
      <c r="BV46" s="1" t="str">
        <f>IF(AS46&gt;AS$129, AS46-AS$129,"")</f>
        <v/>
      </c>
      <c r="BW46" s="1" t="str">
        <f>IF(AT46&gt;AT$129, AT46-AT$129,"")</f>
        <v/>
      </c>
      <c r="BX46" s="1" t="str">
        <f>IF(AU46&gt;AU$129, AU46-AU$129,"")</f>
        <v/>
      </c>
      <c r="BY46" s="1" t="str">
        <f>IF(AV46&gt;AV$129, AV46-AV$129,"")</f>
        <v/>
      </c>
      <c r="BZ46" s="1" t="str">
        <f>IF(AW46&gt;AW$129, AW46-AW$129,"")</f>
        <v/>
      </c>
      <c r="CA46" s="1" t="str">
        <f>IF(AX46&gt;AX$129, AX46-AX$129,"")</f>
        <v/>
      </c>
      <c r="CB46" s="1" t="str">
        <f>IF(AY46&gt;AY$129, AY46-AY$129,"")</f>
        <v/>
      </c>
      <c r="CC46" s="1" t="str">
        <f>IF(AZ46&gt;AZ$129, AZ46-AZ$129,"")</f>
        <v/>
      </c>
      <c r="CD46" s="1" t="str">
        <f>IF(BA46&gt;BA$129, BA46-BA$129,"")</f>
        <v/>
      </c>
      <c r="CE46" s="1" t="str">
        <f>IF(BB46&gt;BB$129, BB46-BB$129,"")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5</v>
      </c>
    </row>
    <row r="47" spans="1:97" ht="27" x14ac:dyDescent="0.15">
      <c r="A47" s="1">
        <v>27</v>
      </c>
      <c r="B47" s="1" t="s">
        <v>74</v>
      </c>
      <c r="C47" s="1" t="s">
        <v>31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>
        <v>5</v>
      </c>
      <c r="AI47" s="1">
        <v>5</v>
      </c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10</v>
      </c>
      <c r="BQ47" s="1">
        <v>10</v>
      </c>
      <c r="BR47" s="17">
        <v>2</v>
      </c>
      <c r="BS47" s="17" t="s">
        <v>253</v>
      </c>
      <c r="BT47" s="1" t="str">
        <f>IF(AQ47&gt;AQ$129, AQ47-AQ$129,"")</f>
        <v/>
      </c>
      <c r="BU47" s="1" t="str">
        <f>IF(AR47&gt;AR$129, AR47-AR$129,"")</f>
        <v/>
      </c>
      <c r="BV47" s="1" t="str">
        <f>IF(AS47&gt;AS$129, AS47-AS$129,"")</f>
        <v/>
      </c>
      <c r="BW47" s="1" t="str">
        <f>IF(AT47&gt;AT$129, AT47-AT$129,"")</f>
        <v/>
      </c>
      <c r="BX47" s="1" t="str">
        <f>IF(AU47&gt;AU$129, AU47-AU$129,"")</f>
        <v/>
      </c>
      <c r="BY47" s="1" t="str">
        <f>IF(AV47&gt;AV$129, AV47-AV$129,"")</f>
        <v/>
      </c>
      <c r="BZ47" s="1" t="str">
        <f>IF(AW47&gt;AW$129, AW47-AW$129,"")</f>
        <v/>
      </c>
      <c r="CA47" s="1" t="str">
        <f>IF(AX47&gt;AX$129, AX47-AX$129,"")</f>
        <v/>
      </c>
      <c r="CB47" s="1" t="str">
        <f>IF(AY47&gt;AY$129, AY47-AY$129,"")</f>
        <v/>
      </c>
      <c r="CC47" s="1" t="str">
        <f>IF(AZ47&gt;AZ$129, AZ47-AZ$129,"")</f>
        <v/>
      </c>
      <c r="CD47" s="1" t="str">
        <f>IF(BA47&gt;BA$129, BA47-BA$129,"")</f>
        <v/>
      </c>
      <c r="CE47" s="1" t="str">
        <f>IF(BB47&gt;BB$129, BB47-BB$129,"")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10</v>
      </c>
    </row>
    <row r="48" spans="1:97" ht="27" x14ac:dyDescent="0.15">
      <c r="A48" s="1">
        <v>88</v>
      </c>
      <c r="B48" s="3" t="s">
        <v>79</v>
      </c>
      <c r="C48" s="3" t="s">
        <v>80</v>
      </c>
      <c r="D48" s="1" t="s">
        <v>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>
        <v>5</v>
      </c>
      <c r="AI48" s="1">
        <v>5</v>
      </c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10</v>
      </c>
      <c r="BQ48" s="1">
        <v>10</v>
      </c>
      <c r="BR48" s="17">
        <v>2</v>
      </c>
      <c r="BS48" s="17" t="s">
        <v>253</v>
      </c>
      <c r="BT48" s="1" t="str">
        <f>IF(AQ48&gt;AQ$129, AQ48-AQ$129,"")</f>
        <v/>
      </c>
      <c r="BU48" s="1" t="str">
        <f>IF(AR48&gt;AR$129, AR48-AR$129,"")</f>
        <v/>
      </c>
      <c r="BV48" s="1" t="str">
        <f>IF(AS48&gt;AS$129, AS48-AS$129,"")</f>
        <v/>
      </c>
      <c r="BW48" s="1" t="str">
        <f>IF(AT48&gt;AT$129, AT48-AT$129,"")</f>
        <v/>
      </c>
      <c r="BX48" s="1" t="str">
        <f>IF(AU48&gt;AU$129, AU48-AU$129,"")</f>
        <v/>
      </c>
      <c r="BY48" s="1" t="str">
        <f>IF(AV48&gt;AV$129, AV48-AV$129,"")</f>
        <v/>
      </c>
      <c r="BZ48" s="1" t="str">
        <f>IF(AW48&gt;AW$129, AW48-AW$129,"")</f>
        <v/>
      </c>
      <c r="CA48" s="1" t="str">
        <f>IF(AX48&gt;AX$129, AX48-AX$129,"")</f>
        <v/>
      </c>
      <c r="CB48" s="1" t="str">
        <f>IF(AY48&gt;AY$129, AY48-AY$129,"")</f>
        <v/>
      </c>
      <c r="CC48" s="1" t="str">
        <f>IF(AZ48&gt;AZ$129, AZ48-AZ$129,"")</f>
        <v/>
      </c>
      <c r="CD48" s="1" t="str">
        <f>IF(BA48&gt;BA$129, BA48-BA$129,"")</f>
        <v/>
      </c>
      <c r="CE48" s="1" t="str">
        <f>IF(BB48&gt;BB$129, BB48-BB$129,"")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10</v>
      </c>
    </row>
    <row r="49" spans="1:97" ht="27" x14ac:dyDescent="0.15">
      <c r="A49" s="1"/>
      <c r="B49" s="1" t="s">
        <v>185</v>
      </c>
      <c r="C49" s="1" t="s">
        <v>105</v>
      </c>
      <c r="D49" s="1" t="s">
        <v>107</v>
      </c>
      <c r="E49" s="6"/>
      <c r="F49" s="6"/>
      <c r="G49" s="6"/>
      <c r="H49" s="6">
        <v>6</v>
      </c>
      <c r="I49" s="6"/>
      <c r="J49" s="6"/>
      <c r="K49" s="6">
        <v>6</v>
      </c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>
        <v>10</v>
      </c>
      <c r="AR49" s="4"/>
      <c r="AS49" s="4"/>
      <c r="AT49" s="4"/>
      <c r="AU49" s="4"/>
      <c r="AV49" s="4"/>
      <c r="AW49" s="2">
        <v>10</v>
      </c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11</v>
      </c>
      <c r="BR49" s="17">
        <v>2</v>
      </c>
      <c r="BS49" s="17" t="s">
        <v>254</v>
      </c>
      <c r="BT49" s="1" t="str">
        <f>IF(AQ49&gt;AQ$129, AQ49-AQ$129,"")</f>
        <v/>
      </c>
      <c r="BU49" s="1" t="str">
        <f>IF(AR49&gt;AR$129, AR49-AR$129,"")</f>
        <v/>
      </c>
      <c r="BV49" s="1" t="str">
        <f>IF(AS49&gt;AS$129, AS49-AS$129,"")</f>
        <v/>
      </c>
      <c r="BW49" s="1" t="str">
        <f>IF(AT49&gt;AT$129, AT49-AT$129,"")</f>
        <v/>
      </c>
      <c r="BX49" s="1" t="str">
        <f>IF(AU49&gt;AU$129, AU49-AU$129,"")</f>
        <v/>
      </c>
      <c r="BY49" s="1" t="str">
        <f>IF(AV49&gt;AV$129, AV49-AV$129,"")</f>
        <v/>
      </c>
      <c r="BZ49" s="1" t="str">
        <f>IF(AW49&gt;AW$129, AW49-AW$129,"")</f>
        <v/>
      </c>
      <c r="CA49" s="1" t="str">
        <f>IF(AX49&gt;AX$129, AX49-AX$129,"")</f>
        <v/>
      </c>
      <c r="CB49" s="1" t="str">
        <f>IF(AY49&gt;AY$129, AY49-AY$129,"")</f>
        <v/>
      </c>
      <c r="CC49" s="1" t="str">
        <f>IF(AZ49&gt;AZ$129, AZ49-AZ$129,"")</f>
        <v/>
      </c>
      <c r="CD49" s="1" t="str">
        <f>IF(BA49&gt;BA$129, BA49-BA$129,"")</f>
        <v/>
      </c>
      <c r="CE49" s="1" t="str">
        <f>IF(BB49&gt;BB$129, BB49-BB$129,"")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190</v>
      </c>
      <c r="C50" s="1" t="s">
        <v>109</v>
      </c>
      <c r="D50" s="1" t="s">
        <v>107</v>
      </c>
      <c r="E50" s="6">
        <v>6</v>
      </c>
      <c r="F50" s="6">
        <v>6</v>
      </c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>
        <v>10</v>
      </c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12</v>
      </c>
      <c r="BR50" s="17">
        <v>2</v>
      </c>
      <c r="BS50" s="17" t="s">
        <v>255</v>
      </c>
      <c r="BT50" s="1" t="str">
        <f>IF(AQ50&gt;AQ$129, AQ50-AQ$129,"")</f>
        <v/>
      </c>
      <c r="BU50" s="1" t="str">
        <f>IF(AR50&gt;AR$129, AR50-AR$129,"")</f>
        <v/>
      </c>
      <c r="BV50" s="1" t="str">
        <f>IF(AS50&gt;AS$129, AS50-AS$129,"")</f>
        <v/>
      </c>
      <c r="BW50" s="1" t="str">
        <f>IF(AT50&gt;AT$129, AT50-AT$129,"")</f>
        <v/>
      </c>
      <c r="BX50" s="1" t="str">
        <f>IF(AU50&gt;AU$129, AU50-AU$129,"")</f>
        <v/>
      </c>
      <c r="BY50" s="1" t="str">
        <f>IF(AV50&gt;AV$129, AV50-AV$129,"")</f>
        <v/>
      </c>
      <c r="BZ50" s="1" t="str">
        <f>IF(AW50&gt;AW$129, AW50-AW$129,"")</f>
        <v/>
      </c>
      <c r="CA50" s="1" t="str">
        <f>IF(AX50&gt;AX$129, AX50-AX$129,"")</f>
        <v/>
      </c>
      <c r="CB50" s="1" t="str">
        <f>IF(AY50&gt;AY$129, AY50-AY$129,"")</f>
        <v/>
      </c>
      <c r="CC50" s="1" t="str">
        <f>IF(AZ50&gt;AZ$129, AZ50-AZ$129,"")</f>
        <v/>
      </c>
      <c r="CD50" s="1" t="str">
        <f>IF(BA50&gt;BA$129, BA50-BA$129,"")</f>
        <v/>
      </c>
      <c r="CE50" s="1" t="str">
        <f>IF(BB50&gt;BB$129, BB50-BB$129,"")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>
        <v>72</v>
      </c>
      <c r="B51" s="3" t="s">
        <v>91</v>
      </c>
      <c r="C51" s="1" t="s">
        <v>56</v>
      </c>
      <c r="D51" s="1" t="s">
        <v>13</v>
      </c>
      <c r="E51" s="6"/>
      <c r="F51" s="6"/>
      <c r="G51" s="6"/>
      <c r="H51" s="6"/>
      <c r="I51" s="6"/>
      <c r="J51" s="6"/>
      <c r="K51" s="6"/>
      <c r="L51" s="6">
        <v>6</v>
      </c>
      <c r="M51" s="6">
        <v>6</v>
      </c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>
        <v>10</v>
      </c>
      <c r="AW51" s="2"/>
      <c r="AX51" s="2"/>
      <c r="AY51" s="2"/>
      <c r="AZ51" s="2"/>
      <c r="BA51" s="2">
        <v>10</v>
      </c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12</v>
      </c>
      <c r="BR51" s="17">
        <v>2</v>
      </c>
      <c r="BS51" s="17" t="s">
        <v>258</v>
      </c>
      <c r="BT51" s="1" t="str">
        <f>IF(AQ51&gt;AQ$129, AQ51-AQ$129,"")</f>
        <v/>
      </c>
      <c r="BU51" s="1" t="str">
        <f>IF(AR51&gt;AR$129, AR51-AR$129,"")</f>
        <v/>
      </c>
      <c r="BV51" s="1" t="str">
        <f>IF(AS51&gt;AS$129, AS51-AS$129,"")</f>
        <v/>
      </c>
      <c r="BW51" s="1" t="str">
        <f>IF(AT51&gt;AT$129, AT51-AT$129,"")</f>
        <v/>
      </c>
      <c r="BX51" s="1" t="str">
        <f>IF(AU51&gt;AU$129, AU51-AU$129,"")</f>
        <v/>
      </c>
      <c r="BY51" s="1" t="str">
        <f>IF(AV51&gt;AV$129, AV51-AV$129,"")</f>
        <v/>
      </c>
      <c r="BZ51" s="1" t="str">
        <f>IF(AW51&gt;AW$129, AW51-AW$129,"")</f>
        <v/>
      </c>
      <c r="CA51" s="1" t="str">
        <f>IF(AX51&gt;AX$129, AX51-AX$129,"")</f>
        <v/>
      </c>
      <c r="CB51" s="1" t="str">
        <f>IF(AY51&gt;AY$129, AY51-AY$129,"")</f>
        <v/>
      </c>
      <c r="CC51" s="1" t="str">
        <f>IF(AZ51&gt;AZ$129, AZ51-AZ$129,"")</f>
        <v/>
      </c>
      <c r="CD51" s="1" t="str">
        <f>IF(BA51&gt;BA$129, BA51-BA$129,"")</f>
        <v/>
      </c>
      <c r="CE51" s="1" t="str">
        <f>IF(BB51&gt;BB$129, BB51-BB$129,"")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20</v>
      </c>
    </row>
    <row r="52" spans="1:97" ht="27" x14ac:dyDescent="0.15">
      <c r="A52" s="1">
        <v>39</v>
      </c>
      <c r="B52" s="1" t="s">
        <v>50</v>
      </c>
      <c r="C52" s="1" t="s">
        <v>47</v>
      </c>
      <c r="D52" s="1" t="s">
        <v>26</v>
      </c>
      <c r="E52" s="6"/>
      <c r="F52" s="6">
        <v>6</v>
      </c>
      <c r="G52" s="6"/>
      <c r="H52" s="6"/>
      <c r="I52" s="6"/>
      <c r="J52" s="6"/>
      <c r="K52" s="6"/>
      <c r="L52" s="6">
        <v>6</v>
      </c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>
        <v>10</v>
      </c>
      <c r="AR52" s="4"/>
      <c r="AS52" s="4"/>
      <c r="AT52" s="4"/>
      <c r="AU52" s="4"/>
      <c r="AV52" s="4"/>
      <c r="AW52" s="2"/>
      <c r="AX52" s="2">
        <v>10</v>
      </c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13</v>
      </c>
      <c r="BR52" s="17">
        <v>2</v>
      </c>
      <c r="BS52" s="17" t="s">
        <v>256</v>
      </c>
      <c r="BT52" s="1" t="str">
        <f>IF(AQ52&gt;AQ$129, AQ52-AQ$129,"")</f>
        <v/>
      </c>
      <c r="BU52" s="1" t="str">
        <f>IF(AR52&gt;AR$129, AR52-AR$129,"")</f>
        <v/>
      </c>
      <c r="BV52" s="1" t="str">
        <f>IF(AS52&gt;AS$129, AS52-AS$129,"")</f>
        <v/>
      </c>
      <c r="BW52" s="1" t="str">
        <f>IF(AT52&gt;AT$129, AT52-AT$129,"")</f>
        <v/>
      </c>
      <c r="BX52" s="1" t="str">
        <f>IF(AU52&gt;AU$129, AU52-AU$129,"")</f>
        <v/>
      </c>
      <c r="BY52" s="1" t="str">
        <f>IF(AV52&gt;AV$129, AV52-AV$129,"")</f>
        <v/>
      </c>
      <c r="BZ52" s="1" t="str">
        <f>IF(AW52&gt;AW$129, AW52-AW$129,"")</f>
        <v/>
      </c>
      <c r="CA52" s="1" t="str">
        <f>IF(AX52&gt;AX$129, AX52-AX$129,"")</f>
        <v/>
      </c>
      <c r="CB52" s="1" t="str">
        <f>IF(AY52&gt;AY$129, AY52-AY$129,"")</f>
        <v/>
      </c>
      <c r="CC52" s="1" t="str">
        <f>IF(AZ52&gt;AZ$129, AZ52-AZ$129,"")</f>
        <v/>
      </c>
      <c r="CD52" s="1" t="str">
        <f>IF(BA52&gt;BA$129, BA52-BA$129,"")</f>
        <v/>
      </c>
      <c r="CE52" s="1" t="str">
        <f>IF(BB52&gt;BB$129, BB52-BB$129,"")</f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3">
        <f>SUM(AE52:BO52)</f>
        <v>20</v>
      </c>
    </row>
    <row r="53" spans="1:97" ht="27" x14ac:dyDescent="0.15">
      <c r="A53" s="1"/>
      <c r="B53" s="1" t="s">
        <v>112</v>
      </c>
      <c r="C53" s="1" t="s">
        <v>109</v>
      </c>
      <c r="D53" s="1" t="s">
        <v>106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>
        <v>5</v>
      </c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5</v>
      </c>
      <c r="AP53" s="1">
        <v>10</v>
      </c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20</v>
      </c>
      <c r="BQ53" s="1">
        <v>15</v>
      </c>
      <c r="BR53" s="17">
        <v>2</v>
      </c>
      <c r="BS53" s="17" t="s">
        <v>257</v>
      </c>
      <c r="BT53" s="1" t="str">
        <f>IF(AQ53&gt;AQ$129, AQ53-AQ$129,"")</f>
        <v/>
      </c>
      <c r="BU53" s="1" t="str">
        <f>IF(AR53&gt;AR$129, AR53-AR$129,"")</f>
        <v/>
      </c>
      <c r="BV53" s="1" t="str">
        <f>IF(AS53&gt;AS$129, AS53-AS$129,"")</f>
        <v/>
      </c>
      <c r="BW53" s="1" t="str">
        <f>IF(AT53&gt;AT$129, AT53-AT$129,"")</f>
        <v/>
      </c>
      <c r="BX53" s="1" t="str">
        <f>IF(AU53&gt;AU$129, AU53-AU$129,"")</f>
        <v/>
      </c>
      <c r="BY53" s="1" t="str">
        <f>IF(AV53&gt;AV$129, AV53-AV$129,"")</f>
        <v/>
      </c>
      <c r="BZ53" s="1" t="str">
        <f>IF(AW53&gt;AW$129, AW53-AW$129,"")</f>
        <v/>
      </c>
      <c r="CA53" s="1" t="str">
        <f>IF(AX53&gt;AX$129, AX53-AX$129,"")</f>
        <v/>
      </c>
      <c r="CB53" s="1" t="str">
        <f>IF(AY53&gt;AY$129, AY53-AY$129,"")</f>
        <v/>
      </c>
      <c r="CC53" s="1" t="str">
        <f>IF(AZ53&gt;AZ$129, AZ53-AZ$129,"")</f>
        <v/>
      </c>
      <c r="CD53" s="1" t="str">
        <f>IF(BA53&gt;BA$129, BA53-BA$129,"")</f>
        <v/>
      </c>
      <c r="CE53" s="1" t="str">
        <f>IF(BB53&gt;BB$129, BB53-BB$129,"")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>
        <v>81</v>
      </c>
      <c r="B54" s="3" t="s">
        <v>67</v>
      </c>
      <c r="C54" s="3" t="s">
        <v>64</v>
      </c>
      <c r="D54" s="1" t="s">
        <v>13</v>
      </c>
      <c r="E54" s="6"/>
      <c r="F54" s="6"/>
      <c r="G54" s="6"/>
      <c r="H54" s="6"/>
      <c r="I54" s="6"/>
      <c r="J54" s="6"/>
      <c r="K54" s="6"/>
      <c r="L54" s="6">
        <v>6</v>
      </c>
      <c r="M54" s="6"/>
      <c r="N54" s="6"/>
      <c r="O54" s="6">
        <v>6</v>
      </c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10</v>
      </c>
      <c r="AU54" s="4"/>
      <c r="AV54" s="4"/>
      <c r="AW54" s="2"/>
      <c r="AX54" s="2"/>
      <c r="AY54" s="2"/>
      <c r="AZ54" s="2"/>
      <c r="BA54" s="2">
        <v>10</v>
      </c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15</v>
      </c>
      <c r="BR54" s="17">
        <v>2</v>
      </c>
      <c r="BS54" s="17" t="s">
        <v>259</v>
      </c>
      <c r="BT54" s="1" t="str">
        <f>IF(AQ54&gt;AQ$129, AQ54-AQ$129,"")</f>
        <v/>
      </c>
      <c r="BU54" s="1" t="str">
        <f>IF(AR54&gt;AR$129, AR54-AR$129,"")</f>
        <v/>
      </c>
      <c r="BV54" s="1" t="str">
        <f>IF(AS54&gt;AS$129, AS54-AS$129,"")</f>
        <v/>
      </c>
      <c r="BW54" s="1" t="str">
        <f>IF(AT54&gt;AT$129, AT54-AT$129,"")</f>
        <v/>
      </c>
      <c r="BX54" s="1" t="str">
        <f>IF(AU54&gt;AU$129, AU54-AU$129,"")</f>
        <v/>
      </c>
      <c r="BY54" s="1" t="str">
        <f>IF(AV54&gt;AV$129, AV54-AV$129,"")</f>
        <v/>
      </c>
      <c r="BZ54" s="1" t="str">
        <f>IF(AW54&gt;AW$129, AW54-AW$129,"")</f>
        <v/>
      </c>
      <c r="CA54" s="1" t="str">
        <f>IF(AX54&gt;AX$129, AX54-AX$129,"")</f>
        <v/>
      </c>
      <c r="CB54" s="1" t="str">
        <f>IF(AY54&gt;AY$129, AY54-AY$129,"")</f>
        <v/>
      </c>
      <c r="CC54" s="1" t="str">
        <f>IF(AZ54&gt;AZ$129, AZ54-AZ$129,"")</f>
        <v/>
      </c>
      <c r="CD54" s="1" t="str">
        <f>IF(BA54&gt;BA$129, BA54-BA$129,"")</f>
        <v/>
      </c>
      <c r="CE54" s="1" t="str">
        <f>IF(BB54&gt;BB$129, BB54-BB$129,"")</f>
        <v/>
      </c>
      <c r="CF54" s="1">
        <f>COUNTIF(BT54:CE54, "&gt;0")</f>
        <v>0</v>
      </c>
      <c r="CG54" s="1" t="str">
        <f>IF($CF54=1,BT54,"")</f>
        <v/>
      </c>
      <c r="CH54" s="1" t="str">
        <f>IF($CF54=1,BU54,"")</f>
        <v/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3">
        <f>SUM(AE54:BO54)</f>
        <v>20</v>
      </c>
    </row>
    <row r="55" spans="1:97" ht="27" x14ac:dyDescent="0.15">
      <c r="A55" s="1">
        <v>45</v>
      </c>
      <c r="B55" s="1" t="s">
        <v>104</v>
      </c>
      <c r="C55" s="1" t="s">
        <v>47</v>
      </c>
      <c r="D55" s="1" t="s">
        <v>13</v>
      </c>
      <c r="E55" s="6">
        <v>6</v>
      </c>
      <c r="F55" s="6"/>
      <c r="G55" s="6"/>
      <c r="H55" s="6"/>
      <c r="I55" s="6"/>
      <c r="J55" s="6"/>
      <c r="K55" s="6"/>
      <c r="L55" s="6"/>
      <c r="M55" s="6">
        <v>6</v>
      </c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/>
      <c r="AX55" s="2"/>
      <c r="AY55" s="2"/>
      <c r="AZ55" s="2">
        <v>10</v>
      </c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15</v>
      </c>
      <c r="BR55" s="17">
        <v>2</v>
      </c>
      <c r="BS55" s="17" t="s">
        <v>260</v>
      </c>
      <c r="BT55" s="1" t="str">
        <f>IF(AQ55&gt;AQ$129, AQ55-AQ$129,"")</f>
        <v/>
      </c>
      <c r="BU55" s="1" t="str">
        <f>IF(AR55&gt;AR$129, AR55-AR$129,"")</f>
        <v/>
      </c>
      <c r="BV55" s="1" t="str">
        <f>IF(AS55&gt;AS$129, AS55-AS$129,"")</f>
        <v/>
      </c>
      <c r="BW55" s="1" t="str">
        <f>IF(AT55&gt;AT$129, AT55-AT$129,"")</f>
        <v/>
      </c>
      <c r="BX55" s="1" t="str">
        <f>IF(AU55&gt;AU$129, AU55-AU$129,"")</f>
        <v/>
      </c>
      <c r="BY55" s="1" t="str">
        <f>IF(AV55&gt;AV$129, AV55-AV$129,"")</f>
        <v/>
      </c>
      <c r="BZ55" s="1" t="str">
        <f>IF(AW55&gt;AW$129, AW55-AW$129,"")</f>
        <v/>
      </c>
      <c r="CA55" s="1" t="str">
        <f>IF(AX55&gt;AX$129, AX55-AX$129,"")</f>
        <v/>
      </c>
      <c r="CB55" s="1" t="str">
        <f>IF(AY55&gt;AY$129, AY55-AY$129,"")</f>
        <v/>
      </c>
      <c r="CC55" s="1" t="str">
        <f>IF(AZ55&gt;AZ$129, AZ55-AZ$129,"")</f>
        <v/>
      </c>
      <c r="CD55" s="1" t="str">
        <f>IF(BA55&gt;BA$129, BA55-BA$129,"")</f>
        <v/>
      </c>
      <c r="CE55" s="1" t="str">
        <f>IF(BB55&gt;BB$129, BB55-BB$129,"")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20</v>
      </c>
    </row>
    <row r="56" spans="1:97" ht="27" x14ac:dyDescent="0.15">
      <c r="A56" s="1">
        <v>82</v>
      </c>
      <c r="B56" s="3" t="s">
        <v>68</v>
      </c>
      <c r="C56" s="3" t="s">
        <v>64</v>
      </c>
      <c r="D56" s="1" t="s">
        <v>13</v>
      </c>
      <c r="E56" s="6"/>
      <c r="F56" s="6"/>
      <c r="G56" s="6"/>
      <c r="H56" s="6"/>
      <c r="I56" s="6"/>
      <c r="J56" s="6"/>
      <c r="K56" s="6"/>
      <c r="L56" s="6">
        <v>6</v>
      </c>
      <c r="M56" s="6"/>
      <c r="N56" s="6">
        <v>6</v>
      </c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10</v>
      </c>
      <c r="AU56" s="4"/>
      <c r="AV56" s="4"/>
      <c r="AW56" s="2"/>
      <c r="AX56" s="2"/>
      <c r="AY56" s="2"/>
      <c r="AZ56" s="2">
        <v>10</v>
      </c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16</v>
      </c>
      <c r="BR56" s="17">
        <v>2</v>
      </c>
      <c r="BS56" s="17" t="s">
        <v>261</v>
      </c>
      <c r="BT56" s="1" t="str">
        <f>IF(AQ56&gt;AQ$129, AQ56-AQ$129,"")</f>
        <v/>
      </c>
      <c r="BU56" s="1" t="str">
        <f>IF(AR56&gt;AR$129, AR56-AR$129,"")</f>
        <v/>
      </c>
      <c r="BV56" s="1" t="str">
        <f>IF(AS56&gt;AS$129, AS56-AS$129,"")</f>
        <v/>
      </c>
      <c r="BW56" s="1" t="str">
        <f>IF(AT56&gt;AT$129, AT56-AT$129,"")</f>
        <v/>
      </c>
      <c r="BX56" s="1" t="str">
        <f>IF(AU56&gt;AU$129, AU56-AU$129,"")</f>
        <v/>
      </c>
      <c r="BY56" s="1" t="str">
        <f>IF(AV56&gt;AV$129, AV56-AV$129,"")</f>
        <v/>
      </c>
      <c r="BZ56" s="1" t="str">
        <f>IF(AW56&gt;AW$129, AW56-AW$129,"")</f>
        <v/>
      </c>
      <c r="CA56" s="1" t="str">
        <f>IF(AX56&gt;AX$129, AX56-AX$129,"")</f>
        <v/>
      </c>
      <c r="CB56" s="1" t="str">
        <f>IF(AY56&gt;AY$129, AY56-AY$129,"")</f>
        <v/>
      </c>
      <c r="CC56" s="1" t="str">
        <f>IF(AZ56&gt;AZ$129, AZ56-AZ$129,"")</f>
        <v/>
      </c>
      <c r="CD56" s="1" t="str">
        <f>IF(BA56&gt;BA$129, BA56-BA$129,"")</f>
        <v/>
      </c>
      <c r="CE56" s="1" t="str">
        <f>IF(BB56&gt;BB$129, BB56-BB$129,"")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20</v>
      </c>
    </row>
    <row r="57" spans="1:97" ht="27" x14ac:dyDescent="0.15">
      <c r="A57" s="1">
        <v>3</v>
      </c>
      <c r="B57" s="1" t="s">
        <v>11</v>
      </c>
      <c r="C57" s="1" t="s">
        <v>2</v>
      </c>
      <c r="D57" s="1" t="s">
        <v>12</v>
      </c>
      <c r="E57" s="6">
        <v>15</v>
      </c>
      <c r="F57" s="6"/>
      <c r="G57" s="6">
        <v>15</v>
      </c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>
        <v>15</v>
      </c>
      <c r="AS57" s="4"/>
      <c r="AT57" s="4"/>
      <c r="AU57" s="4"/>
      <c r="AV57" s="4"/>
      <c r="AW57" s="2"/>
      <c r="AX57" s="2"/>
      <c r="AY57" s="2"/>
      <c r="AZ57" s="2"/>
      <c r="BA57" s="2"/>
      <c r="BB57" s="2">
        <v>15</v>
      </c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60</v>
      </c>
      <c r="BQ57" s="1">
        <v>17</v>
      </c>
      <c r="BR57" s="17">
        <v>2</v>
      </c>
      <c r="BS57" s="17" t="s">
        <v>244</v>
      </c>
      <c r="BT57" s="1" t="str">
        <f>IF(AQ57&gt;AQ$129, AQ57-AQ$129,"")</f>
        <v/>
      </c>
      <c r="BU57" s="1" t="str">
        <f>IF(AR57&gt;AR$129, AR57-AR$129,"")</f>
        <v/>
      </c>
      <c r="BV57" s="1" t="str">
        <f>IF(AS57&gt;AS$129, AS57-AS$129,"")</f>
        <v/>
      </c>
      <c r="BW57" s="1" t="str">
        <f>IF(AT57&gt;AT$129, AT57-AT$129,"")</f>
        <v/>
      </c>
      <c r="BX57" s="1" t="str">
        <f>IF(AU57&gt;AU$129, AU57-AU$129,"")</f>
        <v/>
      </c>
      <c r="BY57" s="1" t="str">
        <f>IF(AV57&gt;AV$129, AV57-AV$129,"")</f>
        <v/>
      </c>
      <c r="BZ57" s="1" t="str">
        <f>IF(AW57&gt;AW$129, AW57-AW$129,"")</f>
        <v/>
      </c>
      <c r="CA57" s="1" t="str">
        <f>IF(AX57&gt;AX$129, AX57-AX$129,"")</f>
        <v/>
      </c>
      <c r="CB57" s="1" t="str">
        <f>IF(AY57&gt;AY$129, AY57-AY$129,"")</f>
        <v/>
      </c>
      <c r="CC57" s="1" t="str">
        <f>IF(AZ57&gt;AZ$129, AZ57-AZ$129,"")</f>
        <v/>
      </c>
      <c r="CD57" s="1" t="str">
        <f>IF(BA57&gt;BA$129, BA57-BA$129,"")</f>
        <v/>
      </c>
      <c r="CE57" s="1" t="str">
        <f>IF(BB57&gt;BB$129, BB57-BB$129,"")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30</v>
      </c>
    </row>
    <row r="58" spans="1:97" ht="27" x14ac:dyDescent="0.15">
      <c r="A58" s="1"/>
      <c r="B58" s="1" t="s">
        <v>172</v>
      </c>
      <c r="C58" s="1" t="s">
        <v>117</v>
      </c>
      <c r="D58" s="1" t="s">
        <v>106</v>
      </c>
      <c r="E58" s="6">
        <v>15</v>
      </c>
      <c r="F58" s="6"/>
      <c r="G58" s="6">
        <v>15</v>
      </c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>
        <v>15</v>
      </c>
      <c r="AS58" s="4"/>
      <c r="AT58" s="4"/>
      <c r="AU58" s="4"/>
      <c r="AV58" s="4"/>
      <c r="AW58" s="2"/>
      <c r="AX58" s="2"/>
      <c r="AY58" s="2"/>
      <c r="AZ58" s="2"/>
      <c r="BA58" s="2"/>
      <c r="BB58" s="2">
        <v>15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60</v>
      </c>
      <c r="BQ58" s="1">
        <v>17</v>
      </c>
      <c r="BR58" s="17">
        <v>2</v>
      </c>
      <c r="BS58" s="17" t="s">
        <v>244</v>
      </c>
      <c r="BT58" s="1" t="str">
        <f>IF(AQ58&gt;AQ$129, AQ58-AQ$129,"")</f>
        <v/>
      </c>
      <c r="BU58" s="1" t="str">
        <f>IF(AR58&gt;AR$129, AR58-AR$129,"")</f>
        <v/>
      </c>
      <c r="BV58" s="1" t="str">
        <f>IF(AS58&gt;AS$129, AS58-AS$129,"")</f>
        <v/>
      </c>
      <c r="BW58" s="1" t="str">
        <f>IF(AT58&gt;AT$129, AT58-AT$129,"")</f>
        <v/>
      </c>
      <c r="BX58" s="1" t="str">
        <f>IF(AU58&gt;AU$129, AU58-AU$129,"")</f>
        <v/>
      </c>
      <c r="BY58" s="1" t="str">
        <f>IF(AV58&gt;AV$129, AV58-AV$129,"")</f>
        <v/>
      </c>
      <c r="BZ58" s="1" t="str">
        <f>IF(AW58&gt;AW$129, AW58-AW$129,"")</f>
        <v/>
      </c>
      <c r="CA58" s="1" t="str">
        <f>IF(AX58&gt;AX$129, AX58-AX$129,"")</f>
        <v/>
      </c>
      <c r="CB58" s="1" t="str">
        <f>IF(AY58&gt;AY$129, AY58-AY$129,"")</f>
        <v/>
      </c>
      <c r="CC58" s="1" t="str">
        <f>IF(AZ58&gt;AZ$129, AZ58-AZ$129,"")</f>
        <v/>
      </c>
      <c r="CD58" s="1" t="str">
        <f>IF(BA58&gt;BA$129, BA58-BA$129,"")</f>
        <v/>
      </c>
      <c r="CE58" s="1" t="str">
        <f>IF(BB58&gt;BB$129, BB58-BB$129,"")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174</v>
      </c>
      <c r="C59" s="1" t="s">
        <v>117</v>
      </c>
      <c r="D59" s="1" t="s">
        <v>106</v>
      </c>
      <c r="E59" s="6">
        <v>15</v>
      </c>
      <c r="F59" s="6"/>
      <c r="G59" s="6">
        <v>15</v>
      </c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>
        <v>15</v>
      </c>
      <c r="AS59" s="4"/>
      <c r="AT59" s="4"/>
      <c r="AU59" s="4"/>
      <c r="AV59" s="4"/>
      <c r="AW59" s="2"/>
      <c r="AX59" s="2"/>
      <c r="AY59" s="2"/>
      <c r="AZ59" s="2"/>
      <c r="BA59" s="2"/>
      <c r="BB59" s="2">
        <v>15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60</v>
      </c>
      <c r="BQ59" s="1">
        <v>17</v>
      </c>
      <c r="BR59" s="17">
        <v>2</v>
      </c>
      <c r="BS59" s="17" t="s">
        <v>244</v>
      </c>
      <c r="BT59" s="1" t="str">
        <f>IF(AQ59&gt;AQ$129, AQ59-AQ$129,"")</f>
        <v/>
      </c>
      <c r="BU59" s="1" t="str">
        <f>IF(AR59&gt;AR$129, AR59-AR$129,"")</f>
        <v/>
      </c>
      <c r="BV59" s="1" t="str">
        <f>IF(AS59&gt;AS$129, AS59-AS$129,"")</f>
        <v/>
      </c>
      <c r="BW59" s="1" t="str">
        <f>IF(AT59&gt;AT$129, AT59-AT$129,"")</f>
        <v/>
      </c>
      <c r="BX59" s="1" t="str">
        <f>IF(AU59&gt;AU$129, AU59-AU$129,"")</f>
        <v/>
      </c>
      <c r="BY59" s="1" t="str">
        <f>IF(AV59&gt;AV$129, AV59-AV$129,"")</f>
        <v/>
      </c>
      <c r="BZ59" s="1" t="str">
        <f>IF(AW59&gt;AW$129, AW59-AW$129,"")</f>
        <v/>
      </c>
      <c r="CA59" s="1" t="str">
        <f>IF(AX59&gt;AX$129, AX59-AX$129,"")</f>
        <v/>
      </c>
      <c r="CB59" s="1" t="str">
        <f>IF(AY59&gt;AY$129, AY59-AY$129,"")</f>
        <v/>
      </c>
      <c r="CC59" s="1" t="str">
        <f>IF(AZ59&gt;AZ$129, AZ59-AZ$129,"")</f>
        <v/>
      </c>
      <c r="CD59" s="1" t="str">
        <f>IF(BA59&gt;BA$129, BA59-BA$129,"")</f>
        <v/>
      </c>
      <c r="CE59" s="1" t="str">
        <f>IF(BB59&gt;BB$129, BB59-BB$129,"")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>
        <v>95</v>
      </c>
      <c r="B60" s="3" t="s">
        <v>84</v>
      </c>
      <c r="C60" s="3" t="s">
        <v>69</v>
      </c>
      <c r="D60" s="1" t="s">
        <v>1</v>
      </c>
      <c r="E60" s="6"/>
      <c r="F60" s="6"/>
      <c r="G60" s="6"/>
      <c r="H60" s="6"/>
      <c r="I60" s="6"/>
      <c r="J60" s="6"/>
      <c r="K60" s="6"/>
      <c r="L60" s="6">
        <v>15</v>
      </c>
      <c r="M60" s="6"/>
      <c r="N60" s="6"/>
      <c r="O60" s="6">
        <v>15</v>
      </c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>
        <v>15</v>
      </c>
      <c r="BB60" s="2">
        <v>15</v>
      </c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60</v>
      </c>
      <c r="BQ60" s="1">
        <v>17</v>
      </c>
      <c r="BR60" s="17">
        <v>2</v>
      </c>
      <c r="BS60" s="17" t="s">
        <v>262</v>
      </c>
      <c r="BT60" s="1" t="str">
        <f>IF(AQ60&gt;AQ$129, AQ60-AQ$129,"")</f>
        <v/>
      </c>
      <c r="BU60" s="1" t="str">
        <f>IF(AR60&gt;AR$129, AR60-AR$129,"")</f>
        <v/>
      </c>
      <c r="BV60" s="1" t="str">
        <f>IF(AS60&gt;AS$129, AS60-AS$129,"")</f>
        <v/>
      </c>
      <c r="BW60" s="1" t="str">
        <f>IF(AT60&gt;AT$129, AT60-AT$129,"")</f>
        <v/>
      </c>
      <c r="BX60" s="1" t="str">
        <f>IF(AU60&gt;AU$129, AU60-AU$129,"")</f>
        <v/>
      </c>
      <c r="BY60" s="1" t="str">
        <f>IF(AV60&gt;AV$129, AV60-AV$129,"")</f>
        <v/>
      </c>
      <c r="BZ60" s="1" t="str">
        <f>IF(AW60&gt;AW$129, AW60-AW$129,"")</f>
        <v/>
      </c>
      <c r="CA60" s="1" t="str">
        <f>IF(AX60&gt;AX$129, AX60-AX$129,"")</f>
        <v/>
      </c>
      <c r="CB60" s="1" t="str">
        <f>IF(AY60&gt;AY$129, AY60-AY$129,"")</f>
        <v/>
      </c>
      <c r="CC60" s="1" t="str">
        <f>IF(AZ60&gt;AZ$129, AZ60-AZ$129,"")</f>
        <v/>
      </c>
      <c r="CD60" s="1" t="str">
        <f>IF(BA60&gt;BA$129, BA60-BA$129,"")</f>
        <v/>
      </c>
      <c r="CE60" s="1" t="str">
        <f>IF(BB60&gt;BB$129, BB60-BB$129,"")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30</v>
      </c>
    </row>
    <row r="61" spans="1:97" ht="27" x14ac:dyDescent="0.15">
      <c r="A61" s="1">
        <v>2</v>
      </c>
      <c r="B61" s="1" t="s">
        <v>8</v>
      </c>
      <c r="C61" s="1" t="s">
        <v>2</v>
      </c>
      <c r="D61" s="1" t="s">
        <v>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>
        <v>15</v>
      </c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>
        <v>15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30</v>
      </c>
      <c r="BQ61" s="1">
        <v>17</v>
      </c>
      <c r="BR61" s="17">
        <v>2</v>
      </c>
      <c r="BS61" s="17" t="s">
        <v>266</v>
      </c>
      <c r="BT61" s="1" t="str">
        <f>IF(AQ61&gt;AQ$129, AQ61-AQ$129,"")</f>
        <v/>
      </c>
      <c r="BU61" s="1" t="str">
        <f>IF(AR61&gt;AR$129, AR61-AR$129,"")</f>
        <v/>
      </c>
      <c r="BV61" s="1" t="str">
        <f>IF(AS61&gt;AS$129, AS61-AS$129,"")</f>
        <v/>
      </c>
      <c r="BW61" s="1" t="str">
        <f>IF(AT61&gt;AT$129, AT61-AT$129,"")</f>
        <v/>
      </c>
      <c r="BX61" s="1" t="str">
        <f>IF(AU61&gt;AU$129, AU61-AU$129,"")</f>
        <v/>
      </c>
      <c r="BY61" s="1" t="str">
        <f>IF(AV61&gt;AV$129, AV61-AV$129,"")</f>
        <v/>
      </c>
      <c r="BZ61" s="1" t="str">
        <f>IF(AW61&gt;AW$129, AW61-AW$129,"")</f>
        <v/>
      </c>
      <c r="CA61" s="1" t="str">
        <f>IF(AX61&gt;AX$129, AX61-AX$129,"")</f>
        <v/>
      </c>
      <c r="CB61" s="1" t="str">
        <f>IF(AY61&gt;AY$129, AY61-AY$129,"")</f>
        <v/>
      </c>
      <c r="CC61" s="1" t="str">
        <f>IF(AZ61&gt;AZ$129, AZ61-AZ$129,"")</f>
        <v/>
      </c>
      <c r="CD61" s="1" t="str">
        <f>IF(BA61&gt;BA$129, BA61-BA$129,"")</f>
        <v/>
      </c>
      <c r="CE61" s="1" t="str">
        <f>IF(BB61&gt;BB$129, BB61-BB$129,"")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30</v>
      </c>
    </row>
    <row r="62" spans="1:97" ht="27" x14ac:dyDescent="0.15">
      <c r="A62" s="1">
        <v>78</v>
      </c>
      <c r="B62" s="3" t="s">
        <v>66</v>
      </c>
      <c r="C62" s="3" t="s">
        <v>64</v>
      </c>
      <c r="D62" s="1" t="s">
        <v>1</v>
      </c>
      <c r="E62" s="6"/>
      <c r="F62" s="6"/>
      <c r="G62" s="6">
        <v>15</v>
      </c>
      <c r="H62" s="6">
        <v>15</v>
      </c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>
        <v>15</v>
      </c>
      <c r="BB62" s="2">
        <v>15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17</v>
      </c>
      <c r="BR62" s="17">
        <v>2</v>
      </c>
      <c r="BS62" s="17" t="s">
        <v>267</v>
      </c>
      <c r="BT62" s="1" t="str">
        <f>IF(AQ62&gt;AQ$129, AQ62-AQ$129,"")</f>
        <v/>
      </c>
      <c r="BU62" s="1" t="str">
        <f>IF(AR62&gt;AR$129, AR62-AR$129,"")</f>
        <v/>
      </c>
      <c r="BV62" s="1" t="str">
        <f>IF(AS62&gt;AS$129, AS62-AS$129,"")</f>
        <v/>
      </c>
      <c r="BW62" s="1" t="str">
        <f>IF(AT62&gt;AT$129, AT62-AT$129,"")</f>
        <v/>
      </c>
      <c r="BX62" s="1" t="str">
        <f>IF(AU62&gt;AU$129, AU62-AU$129,"")</f>
        <v/>
      </c>
      <c r="BY62" s="1" t="str">
        <f>IF(AV62&gt;AV$129, AV62-AV$129,"")</f>
        <v/>
      </c>
      <c r="BZ62" s="1" t="str">
        <f>IF(AW62&gt;AW$129, AW62-AW$129,"")</f>
        <v/>
      </c>
      <c r="CA62" s="1" t="str">
        <f>IF(AX62&gt;AX$129, AX62-AX$129,"")</f>
        <v/>
      </c>
      <c r="CB62" s="1" t="str">
        <f>IF(AY62&gt;AY$129, AY62-AY$129,"")</f>
        <v/>
      </c>
      <c r="CC62" s="1" t="str">
        <f>IF(AZ62&gt;AZ$129, AZ62-AZ$129,"")</f>
        <v/>
      </c>
      <c r="CD62" s="1" t="str">
        <f>IF(BA62&gt;BA$129, BA62-BA$129,"")</f>
        <v/>
      </c>
      <c r="CE62" s="1" t="str">
        <f>IF(BB62&gt;BB$129, BB62-BB$129,"")</f>
        <v/>
      </c>
      <c r="CF62" s="1">
        <f>COUNTIF(BT62:CE62, "&gt;0")</f>
        <v>0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3">
        <f>SUM(AE62:BO62)</f>
        <v>30</v>
      </c>
    </row>
    <row r="63" spans="1:97" ht="27" x14ac:dyDescent="0.15">
      <c r="A63" s="1"/>
      <c r="B63" s="1" t="s">
        <v>184</v>
      </c>
      <c r="C63" s="1" t="s">
        <v>120</v>
      </c>
      <c r="D63" s="1" t="s">
        <v>106</v>
      </c>
      <c r="E63" s="6"/>
      <c r="F63" s="6"/>
      <c r="G63" s="6">
        <v>15</v>
      </c>
      <c r="H63" s="6">
        <v>15</v>
      </c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>
        <v>15</v>
      </c>
      <c r="BB63" s="2">
        <v>15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60</v>
      </c>
      <c r="BQ63" s="1">
        <v>17</v>
      </c>
      <c r="BR63" s="17">
        <v>2</v>
      </c>
      <c r="BS63" s="17" t="s">
        <v>268</v>
      </c>
      <c r="BT63" s="1" t="str">
        <f>IF(AQ63&gt;AQ$129, AQ63-AQ$129,"")</f>
        <v/>
      </c>
      <c r="BU63" s="1" t="str">
        <f>IF(AR63&gt;AR$129, AR63-AR$129,"")</f>
        <v/>
      </c>
      <c r="BV63" s="1" t="str">
        <f>IF(AS63&gt;AS$129, AS63-AS$129,"")</f>
        <v/>
      </c>
      <c r="BW63" s="1" t="str">
        <f>IF(AT63&gt;AT$129, AT63-AT$129,"")</f>
        <v/>
      </c>
      <c r="BX63" s="1" t="str">
        <f>IF(AU63&gt;AU$129, AU63-AU$129,"")</f>
        <v/>
      </c>
      <c r="BY63" s="1" t="str">
        <f>IF(AV63&gt;AV$129, AV63-AV$129,"")</f>
        <v/>
      </c>
      <c r="BZ63" s="1" t="str">
        <f>IF(AW63&gt;AW$129, AW63-AW$129,"")</f>
        <v/>
      </c>
      <c r="CA63" s="1" t="str">
        <f>IF(AX63&gt;AX$129, AX63-AX$129,"")</f>
        <v/>
      </c>
      <c r="CB63" s="1" t="str">
        <f>IF(AY63&gt;AY$129, AY63-AY$129,"")</f>
        <v/>
      </c>
      <c r="CC63" s="1" t="str">
        <f>IF(AZ63&gt;AZ$129, AZ63-AZ$129,"")</f>
        <v/>
      </c>
      <c r="CD63" s="1" t="str">
        <f>IF(BA63&gt;BA$129, BA63-BA$129,"")</f>
        <v/>
      </c>
      <c r="CE63" s="1" t="str">
        <f>IF(BB63&gt;BB$129, BB63-BB$129,"")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>
        <v>14</v>
      </c>
      <c r="B64" s="1" t="s">
        <v>30</v>
      </c>
      <c r="C64" s="1" t="s">
        <v>31</v>
      </c>
      <c r="D64" s="1" t="s">
        <v>32</v>
      </c>
      <c r="E64" s="6"/>
      <c r="F64" s="6"/>
      <c r="G64" s="6">
        <v>15</v>
      </c>
      <c r="H64" s="6">
        <v>15</v>
      </c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>
        <v>15</v>
      </c>
      <c r="AT64" s="4"/>
      <c r="AU64" s="4"/>
      <c r="AV64" s="4"/>
      <c r="AW64" s="2"/>
      <c r="AX64" s="2"/>
      <c r="AY64" s="2"/>
      <c r="AZ64" s="2"/>
      <c r="BA64" s="2"/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18</v>
      </c>
      <c r="BR64" s="17">
        <v>2</v>
      </c>
      <c r="BS64" s="17" t="s">
        <v>265</v>
      </c>
      <c r="BT64" s="1" t="str">
        <f>IF(AQ64&gt;AQ$129, AQ64-AQ$129,"")</f>
        <v/>
      </c>
      <c r="BU64" s="1" t="str">
        <f>IF(AR64&gt;AR$129, AR64-AR$129,"")</f>
        <v/>
      </c>
      <c r="BV64" s="1" t="str">
        <f>IF(AS64&gt;AS$129, AS64-AS$129,"")</f>
        <v/>
      </c>
      <c r="BW64" s="1" t="str">
        <f>IF(AT64&gt;AT$129, AT64-AT$129,"")</f>
        <v/>
      </c>
      <c r="BX64" s="1" t="str">
        <f>IF(AU64&gt;AU$129, AU64-AU$129,"")</f>
        <v/>
      </c>
      <c r="BY64" s="1" t="str">
        <f>IF(AV64&gt;AV$129, AV64-AV$129,"")</f>
        <v/>
      </c>
      <c r="BZ64" s="1" t="str">
        <f>IF(AW64&gt;AW$129, AW64-AW$129,"")</f>
        <v/>
      </c>
      <c r="CA64" s="1" t="str">
        <f>IF(AX64&gt;AX$129, AX64-AX$129,"")</f>
        <v/>
      </c>
      <c r="CB64" s="1" t="str">
        <f>IF(AY64&gt;AY$129, AY64-AY$129,"")</f>
        <v/>
      </c>
      <c r="CC64" s="1" t="str">
        <f>IF(AZ64&gt;AZ$129, AZ64-AZ$129,"")</f>
        <v/>
      </c>
      <c r="CD64" s="1" t="str">
        <f>IF(BA64&gt;BA$129, BA64-BA$129,"")</f>
        <v/>
      </c>
      <c r="CE64" s="1" t="str">
        <f>IF(BB64&gt;BB$129, BB64-BB$129,"")</f>
        <v/>
      </c>
      <c r="CF64" s="1">
        <f>COUNTIF(BT64:CE64, "&gt;0")</f>
        <v>0</v>
      </c>
      <c r="CG64" s="1" t="str">
        <f>IF($CF64=1,BT64,"")</f>
        <v/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 t="str">
        <f>IF($CF64=1,BY64,"")</f>
        <v/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 t="str">
        <f>IF($CF64=1,CD64,"")</f>
        <v/>
      </c>
      <c r="CR64" s="1" t="str">
        <f>IF($CF64=1,CE64,"")</f>
        <v/>
      </c>
      <c r="CS64" s="3">
        <f>SUM(AE64:BO64)</f>
        <v>30</v>
      </c>
    </row>
    <row r="65" spans="1:97" ht="27" x14ac:dyDescent="0.15">
      <c r="A65" s="1"/>
      <c r="B65" s="1" t="s">
        <v>108</v>
      </c>
      <c r="C65" s="1" t="s">
        <v>109</v>
      </c>
      <c r="D65" s="1" t="s">
        <v>106</v>
      </c>
      <c r="E65" s="6"/>
      <c r="F65" s="6"/>
      <c r="G65" s="6">
        <v>15</v>
      </c>
      <c r="H65" s="6">
        <v>15</v>
      </c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15</v>
      </c>
      <c r="AT65" s="4"/>
      <c r="AU65" s="4"/>
      <c r="AV65" s="4"/>
      <c r="AW65" s="2"/>
      <c r="AX65" s="2"/>
      <c r="AY65" s="2"/>
      <c r="AZ65" s="2"/>
      <c r="BA65" s="2"/>
      <c r="BB65" s="2">
        <v>15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60</v>
      </c>
      <c r="BQ65" s="1">
        <v>18</v>
      </c>
      <c r="BR65" s="17">
        <v>2</v>
      </c>
      <c r="BS65" s="17" t="s">
        <v>265</v>
      </c>
      <c r="BT65" s="1" t="str">
        <f>IF(AQ65&gt;AQ$129, AQ65-AQ$129,"")</f>
        <v/>
      </c>
      <c r="BU65" s="1" t="str">
        <f>IF(AR65&gt;AR$129, AR65-AR$129,"")</f>
        <v/>
      </c>
      <c r="BV65" s="1" t="str">
        <f>IF(AS65&gt;AS$129, AS65-AS$129,"")</f>
        <v/>
      </c>
      <c r="BW65" s="1" t="str">
        <f>IF(AT65&gt;AT$129, AT65-AT$129,"")</f>
        <v/>
      </c>
      <c r="BX65" s="1" t="str">
        <f>IF(AU65&gt;AU$129, AU65-AU$129,"")</f>
        <v/>
      </c>
      <c r="BY65" s="1" t="str">
        <f>IF(AV65&gt;AV$129, AV65-AV$129,"")</f>
        <v/>
      </c>
      <c r="BZ65" s="1" t="str">
        <f>IF(AW65&gt;AW$129, AW65-AW$129,"")</f>
        <v/>
      </c>
      <c r="CA65" s="1" t="str">
        <f>IF(AX65&gt;AX$129, AX65-AX$129,"")</f>
        <v/>
      </c>
      <c r="CB65" s="1" t="str">
        <f>IF(AY65&gt;AY$129, AY65-AY$129,"")</f>
        <v/>
      </c>
      <c r="CC65" s="1" t="str">
        <f>IF(AZ65&gt;AZ$129, AZ65-AZ$129,"")</f>
        <v/>
      </c>
      <c r="CD65" s="1" t="str">
        <f>IF(BA65&gt;BA$129, BA65-BA$129,"")</f>
        <v/>
      </c>
      <c r="CE65" s="1" t="str">
        <f>IF(BB65&gt;BB$129, BB65-BB$129,"")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179</v>
      </c>
      <c r="C66" s="1" t="s">
        <v>145</v>
      </c>
      <c r="D66" s="1" t="s">
        <v>124</v>
      </c>
      <c r="E66" s="6"/>
      <c r="F66" s="6"/>
      <c r="G66" s="6"/>
      <c r="H66" s="6"/>
      <c r="I66" s="6"/>
      <c r="J66" s="6">
        <v>10</v>
      </c>
      <c r="K66" s="6"/>
      <c r="L66" s="6">
        <v>10</v>
      </c>
      <c r="M66" s="6">
        <v>10</v>
      </c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>
        <v>15</v>
      </c>
      <c r="AZ66" s="2">
        <v>15</v>
      </c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60</v>
      </c>
      <c r="BQ66" s="1">
        <v>19</v>
      </c>
      <c r="BR66" s="17">
        <v>2</v>
      </c>
      <c r="BS66" s="17" t="s">
        <v>270</v>
      </c>
      <c r="BT66" s="1" t="str">
        <f>IF(AQ66&gt;AQ$129, AQ66-AQ$129,"")</f>
        <v/>
      </c>
      <c r="BU66" s="1" t="str">
        <f>IF(AR66&gt;AR$129, AR66-AR$129,"")</f>
        <v/>
      </c>
      <c r="BV66" s="1" t="str">
        <f>IF(AS66&gt;AS$129, AS66-AS$129,"")</f>
        <v/>
      </c>
      <c r="BW66" s="1" t="str">
        <f>IF(AT66&gt;AT$129, AT66-AT$129,"")</f>
        <v/>
      </c>
      <c r="BX66" s="1" t="str">
        <f>IF(AU66&gt;AU$129, AU66-AU$129,"")</f>
        <v/>
      </c>
      <c r="BY66" s="1" t="str">
        <f>IF(AV66&gt;AV$129, AV66-AV$129,"")</f>
        <v/>
      </c>
      <c r="BZ66" s="1" t="str">
        <f>IF(AW66&gt;AW$129, AW66-AW$129,"")</f>
        <v/>
      </c>
      <c r="CA66" s="1" t="str">
        <f>IF(AX66&gt;AX$129, AX66-AX$129,"")</f>
        <v/>
      </c>
      <c r="CB66" s="1" t="str">
        <f>IF(AY66&gt;AY$129, AY66-AY$129,"")</f>
        <v/>
      </c>
      <c r="CC66" s="1" t="str">
        <f>IF(AZ66&gt;AZ$129, AZ66-AZ$129,"")</f>
        <v/>
      </c>
      <c r="CD66" s="1" t="str">
        <f>IF(BA66&gt;BA$129, BA66-BA$129,"")</f>
        <v/>
      </c>
      <c r="CE66" s="1" t="str">
        <f>IF(BB66&gt;BB$129, BB66-BB$129,"")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167</v>
      </c>
      <c r="C67" s="1" t="s">
        <v>121</v>
      </c>
      <c r="D67" s="1" t="s">
        <v>106</v>
      </c>
      <c r="E67" s="6"/>
      <c r="F67" s="6"/>
      <c r="G67" s="6"/>
      <c r="H67" s="6"/>
      <c r="I67" s="6"/>
      <c r="J67" s="6"/>
      <c r="K67" s="6"/>
      <c r="L67" s="6">
        <v>20</v>
      </c>
      <c r="M67" s="6"/>
      <c r="N67" s="6"/>
      <c r="O67" s="6">
        <v>20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>
        <v>20</v>
      </c>
      <c r="BB67" s="2">
        <v>20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80</v>
      </c>
      <c r="BQ67" s="1">
        <v>27</v>
      </c>
      <c r="BR67" s="17">
        <v>2</v>
      </c>
      <c r="BS67" s="17" t="s">
        <v>271</v>
      </c>
      <c r="BT67" s="1" t="str">
        <f>IF(AQ67&gt;AQ$129, AQ67-AQ$129,"")</f>
        <v/>
      </c>
      <c r="BU67" s="1" t="str">
        <f>IF(AR67&gt;AR$129, AR67-AR$129,"")</f>
        <v/>
      </c>
      <c r="BV67" s="1" t="str">
        <f>IF(AS67&gt;AS$129, AS67-AS$129,"")</f>
        <v/>
      </c>
      <c r="BW67" s="1" t="str">
        <f>IF(AT67&gt;AT$129, AT67-AT$129,"")</f>
        <v/>
      </c>
      <c r="BX67" s="1" t="str">
        <f>IF(AU67&gt;AU$129, AU67-AU$129,"")</f>
        <v/>
      </c>
      <c r="BY67" s="1" t="str">
        <f>IF(AV67&gt;AV$129, AV67-AV$129,"")</f>
        <v/>
      </c>
      <c r="BZ67" s="1" t="str">
        <f>IF(AW67&gt;AW$129, AW67-AW$129,"")</f>
        <v/>
      </c>
      <c r="CA67" s="1" t="str">
        <f>IF(AX67&gt;AX$129, AX67-AX$129,"")</f>
        <v/>
      </c>
      <c r="CB67" s="1" t="str">
        <f>IF(AY67&gt;AY$129, AY67-AY$129,"")</f>
        <v/>
      </c>
      <c r="CC67" s="1" t="str">
        <f>IF(AZ67&gt;AZ$129, AZ67-AZ$129,"")</f>
        <v/>
      </c>
      <c r="CD67" s="1" t="str">
        <f>IF(BA67&gt;BA$129, BA67-BA$129,"")</f>
        <v/>
      </c>
      <c r="CE67" s="1" t="str">
        <f>IF(BB67&gt;BB$129, BB67-BB$129,"")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8">
        <v>93</v>
      </c>
      <c r="B68" s="24" t="s">
        <v>189</v>
      </c>
      <c r="C68" s="24" t="s">
        <v>80</v>
      </c>
      <c r="D68" s="18" t="s">
        <v>1</v>
      </c>
      <c r="E68" s="19"/>
      <c r="F68" s="19">
        <v>20</v>
      </c>
      <c r="G68" s="19"/>
      <c r="H68" s="19"/>
      <c r="I68" s="19"/>
      <c r="J68" s="19"/>
      <c r="K68" s="19">
        <v>20</v>
      </c>
      <c r="L68" s="19"/>
      <c r="M68" s="19"/>
      <c r="N68" s="19">
        <v>20</v>
      </c>
      <c r="O68" s="1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20"/>
      <c r="AR68" s="20"/>
      <c r="AS68" s="20"/>
      <c r="AT68" s="20"/>
      <c r="AU68" s="20"/>
      <c r="AV68" s="20"/>
      <c r="AW68" s="21"/>
      <c r="AX68" s="21"/>
      <c r="AY68" s="21"/>
      <c r="AZ68" s="21"/>
      <c r="BA68" s="21"/>
      <c r="BB68" s="21"/>
      <c r="BC68" s="26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">
        <f>SUM(E68:BO68)</f>
        <v>60</v>
      </c>
      <c r="BQ68" s="18">
        <v>28</v>
      </c>
      <c r="BR68" s="22">
        <v>2</v>
      </c>
      <c r="BS68" s="22" t="s">
        <v>272</v>
      </c>
      <c r="BT68" s="1" t="str">
        <f>IF(AQ68&gt;AQ$129, AQ68-AQ$129,"")</f>
        <v/>
      </c>
      <c r="BU68" s="1" t="str">
        <f>IF(AR68&gt;AR$129, AR68-AR$129,"")</f>
        <v/>
      </c>
      <c r="BV68" s="1" t="str">
        <f>IF(AS68&gt;AS$129, AS68-AS$129,"")</f>
        <v/>
      </c>
      <c r="BW68" s="1" t="str">
        <f>IF(AT68&gt;AT$129, AT68-AT$129,"")</f>
        <v/>
      </c>
      <c r="BX68" s="1" t="str">
        <f>IF(AU68&gt;AU$129, AU68-AU$129,"")</f>
        <v/>
      </c>
      <c r="BY68" s="1" t="str">
        <f>IF(AV68&gt;AV$129, AV68-AV$129,"")</f>
        <v/>
      </c>
      <c r="BZ68" s="1" t="str">
        <f>IF(AW68&gt;AW$129, AW68-AW$129,"")</f>
        <v/>
      </c>
      <c r="CA68" s="1" t="str">
        <f>IF(AX68&gt;AX$129, AX68-AX$129,"")</f>
        <v/>
      </c>
      <c r="CB68" s="1" t="str">
        <f>IF(AY68&gt;AY$129, AY68-AY$129,"")</f>
        <v/>
      </c>
      <c r="CC68" s="1" t="str">
        <f>IF(AZ68&gt;AZ$129, AZ68-AZ$129,"")</f>
        <v/>
      </c>
      <c r="CD68" s="1" t="str">
        <f>IF(BA68&gt;BA$129, BA68-BA$129,"")</f>
        <v/>
      </c>
      <c r="CE68" s="1" t="str">
        <f>IF(BB68&gt;BB$129, BB68-BB$129,"")</f>
        <v/>
      </c>
      <c r="CF68" s="18">
        <f>COUNTIF(BT68:CE68, "&gt;0")</f>
        <v>0</v>
      </c>
      <c r="CG68" s="18" t="str">
        <f>IF($CF68=1,BT68,"")</f>
        <v/>
      </c>
      <c r="CH68" s="18" t="str">
        <f>IF($CF68=1,BU68,"")</f>
        <v/>
      </c>
      <c r="CI68" s="18" t="str">
        <f>IF($CF68=1,BV68,"")</f>
        <v/>
      </c>
      <c r="CJ68" s="18" t="str">
        <f>IF($CF68=1,BW68,"")</f>
        <v/>
      </c>
      <c r="CK68" s="18" t="str">
        <f>IF($CF68=1,BX68,"")</f>
        <v/>
      </c>
      <c r="CL68" s="18" t="str">
        <f>IF($CF68=1,BY68,"")</f>
        <v/>
      </c>
      <c r="CM68" s="18" t="str">
        <f>IF($CF68=1,BZ68,"")</f>
        <v/>
      </c>
      <c r="CN68" s="18" t="str">
        <f>IF($CF68=1,CA68,"")</f>
        <v/>
      </c>
      <c r="CO68" s="18" t="str">
        <f>IF($CF68=1,CB68,"")</f>
        <v/>
      </c>
      <c r="CP68" s="18" t="str">
        <f>IF($CF68=1,CC68,"")</f>
        <v/>
      </c>
      <c r="CQ68" s="18" t="str">
        <f>IF($CF68=1,CD68,"")</f>
        <v/>
      </c>
      <c r="CR68" s="18" t="str">
        <f>IF($CF68=1,CE68,"")</f>
        <v/>
      </c>
      <c r="CS68" s="30">
        <f>SUM(AE68:BO68)</f>
        <v>0</v>
      </c>
    </row>
    <row r="69" spans="1:97" ht="27" x14ac:dyDescent="0.15">
      <c r="A69" s="1">
        <v>77</v>
      </c>
      <c r="B69" s="3" t="s">
        <v>166</v>
      </c>
      <c r="C69" s="3" t="s">
        <v>64</v>
      </c>
      <c r="D69" s="1" t="s">
        <v>13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>
        <v>20</v>
      </c>
      <c r="AU69" s="4"/>
      <c r="AV69" s="4"/>
      <c r="AW69" s="2">
        <v>20</v>
      </c>
      <c r="AX69" s="2">
        <v>20</v>
      </c>
      <c r="AY69" s="2"/>
      <c r="AZ69" s="2"/>
      <c r="BA69" s="2"/>
      <c r="BB69" s="2">
        <v>10</v>
      </c>
      <c r="BC69" s="14"/>
      <c r="BD69" s="1"/>
      <c r="BE69" s="1"/>
      <c r="BF69" s="1"/>
      <c r="BG69" s="1"/>
      <c r="BH69" s="1">
        <v>20</v>
      </c>
      <c r="BI69" s="1"/>
      <c r="BJ69" s="1"/>
      <c r="BK69" s="1"/>
      <c r="BL69" s="1"/>
      <c r="BM69" s="1"/>
      <c r="BN69" s="1"/>
      <c r="BO69" s="1"/>
      <c r="BP69" s="1">
        <f>SUM(E69:BO69)</f>
        <v>90</v>
      </c>
      <c r="BQ69" s="1">
        <v>32</v>
      </c>
      <c r="BR69" s="17">
        <v>2</v>
      </c>
      <c r="BS69" s="17" t="s">
        <v>273</v>
      </c>
      <c r="BT69" s="1" t="str">
        <f>IF(AQ69&gt;AQ$129, AQ69-AQ$129,"")</f>
        <v/>
      </c>
      <c r="BU69" s="1" t="str">
        <f>IF(AR69&gt;AR$129, AR69-AR$129,"")</f>
        <v/>
      </c>
      <c r="BV69" s="1" t="str">
        <f>IF(AS69&gt;AS$129, AS69-AS$129,"")</f>
        <v/>
      </c>
      <c r="BW69" s="1" t="str">
        <f>IF(AT69&gt;AT$129, AT69-AT$129,"")</f>
        <v/>
      </c>
      <c r="BX69" s="1" t="str">
        <f>IF(AU69&gt;AU$129, AU69-AU$129,"")</f>
        <v/>
      </c>
      <c r="BY69" s="1" t="str">
        <f>IF(AV69&gt;AV$129, AV69-AV$129,"")</f>
        <v/>
      </c>
      <c r="BZ69" s="1" t="str">
        <f>IF(AW69&gt;AW$129, AW69-AW$129,"")</f>
        <v/>
      </c>
      <c r="CA69" s="1" t="str">
        <f>IF(AX69&gt;AX$129, AX69-AX$129,"")</f>
        <v/>
      </c>
      <c r="CB69" s="1" t="str">
        <f>IF(AY69&gt;AY$129, AY69-AY$129,"")</f>
        <v/>
      </c>
      <c r="CC69" s="1" t="str">
        <f>IF(AZ69&gt;AZ$129, AZ69-AZ$129,"")</f>
        <v/>
      </c>
      <c r="CD69" s="1" t="str">
        <f>IF(BA69&gt;BA$129, BA69-BA$129,"")</f>
        <v/>
      </c>
      <c r="CE69" s="1" t="str">
        <f>IF(BB69&gt;BB$129, BB69-BB$129,"")</f>
        <v/>
      </c>
      <c r="CF69" s="1">
        <f>COUNTIF(BT69:CE69, "&gt;0")</f>
        <v>0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3">
        <f>SUM(AE69:BO69)</f>
        <v>90</v>
      </c>
    </row>
    <row r="70" spans="1:97" ht="40.5" x14ac:dyDescent="0.15">
      <c r="A70" s="1"/>
      <c r="B70" s="1" t="s">
        <v>156</v>
      </c>
      <c r="C70" s="1" t="s">
        <v>152</v>
      </c>
      <c r="D70" s="1" t="s">
        <v>124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>
        <v>2</v>
      </c>
      <c r="V70" s="28"/>
      <c r="W70" s="28"/>
      <c r="X70" s="28"/>
      <c r="Y70" s="28"/>
      <c r="Z70" s="28"/>
      <c r="AA70" s="28">
        <v>2</v>
      </c>
      <c r="AB70" s="28"/>
      <c r="AC70" s="28">
        <v>5</v>
      </c>
      <c r="AD70" s="28">
        <v>2</v>
      </c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11</v>
      </c>
      <c r="BQ70" s="1">
        <v>6</v>
      </c>
      <c r="BR70" s="17">
        <v>3</v>
      </c>
      <c r="BS70" s="17" t="s">
        <v>218</v>
      </c>
      <c r="BT70" s="1" t="str">
        <f>IF(AQ70&gt;AQ$129, AQ70-AQ$129,"")</f>
        <v/>
      </c>
      <c r="BU70" s="1" t="str">
        <f>IF(AR70&gt;AR$129, AR70-AR$129,"")</f>
        <v/>
      </c>
      <c r="BV70" s="1" t="str">
        <f>IF(AS70&gt;AS$129, AS70-AS$129,"")</f>
        <v/>
      </c>
      <c r="BW70" s="1" t="str">
        <f>IF(AT70&gt;AT$129, AT70-AT$129,"")</f>
        <v/>
      </c>
      <c r="BX70" s="1" t="str">
        <f>IF(AU70&gt;AU$129, AU70-AU$129,"")</f>
        <v/>
      </c>
      <c r="BY70" s="1" t="str">
        <f>IF(AV70&gt;AV$129, AV70-AV$129,"")</f>
        <v/>
      </c>
      <c r="BZ70" s="1" t="str">
        <f>IF(AW70&gt;AW$129, AW70-AW$129,"")</f>
        <v/>
      </c>
      <c r="CA70" s="1" t="str">
        <f>IF(AX70&gt;AX$129, AX70-AX$129,"")</f>
        <v/>
      </c>
      <c r="CB70" s="1" t="str">
        <f>IF(AY70&gt;AY$129, AY70-AY$129,"")</f>
        <v/>
      </c>
      <c r="CC70" s="1" t="str">
        <f>IF(AZ70&gt;AZ$129, AZ70-AZ$129,"")</f>
        <v/>
      </c>
      <c r="CD70" s="1" t="str">
        <f>IF(BA70&gt;BA$129, BA70-BA$129,"")</f>
        <v/>
      </c>
      <c r="CE70" s="1" t="str">
        <f>IF(BB70&gt;BB$129, BB70-BB$129,"")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40.5" x14ac:dyDescent="0.15">
      <c r="A71" s="1"/>
      <c r="B71" s="1" t="s">
        <v>149</v>
      </c>
      <c r="C71" s="1" t="s">
        <v>150</v>
      </c>
      <c r="D71" s="1" t="s">
        <v>125</v>
      </c>
      <c r="E71" s="6"/>
      <c r="F71" s="6"/>
      <c r="G71" s="6"/>
      <c r="H71" s="6"/>
      <c r="I71" s="6"/>
      <c r="J71" s="6"/>
      <c r="K71" s="6"/>
      <c r="L71" s="6">
        <v>7</v>
      </c>
      <c r="M71" s="6"/>
      <c r="N71" s="6"/>
      <c r="O71" s="6"/>
      <c r="P71" s="28"/>
      <c r="Q71" s="28">
        <v>7</v>
      </c>
      <c r="R71" s="28"/>
      <c r="S71" s="28"/>
      <c r="T71" s="28">
        <v>7</v>
      </c>
      <c r="U71" s="28"/>
      <c r="V71" s="28"/>
      <c r="W71" s="28"/>
      <c r="X71" s="28">
        <v>7</v>
      </c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28</v>
      </c>
      <c r="BQ71" s="1">
        <v>9</v>
      </c>
      <c r="BR71" s="17">
        <v>3</v>
      </c>
      <c r="BS71" s="17" t="s">
        <v>224</v>
      </c>
      <c r="BT71" s="1" t="str">
        <f>IF(AQ71&gt;AQ$129, AQ71-AQ$129,"")</f>
        <v/>
      </c>
      <c r="BU71" s="1" t="str">
        <f>IF(AR71&gt;AR$129, AR71-AR$129,"")</f>
        <v/>
      </c>
      <c r="BV71" s="1" t="str">
        <f>IF(AS71&gt;AS$129, AS71-AS$129,"")</f>
        <v/>
      </c>
      <c r="BW71" s="1" t="str">
        <f>IF(AT71&gt;AT$129, AT71-AT$129,"")</f>
        <v/>
      </c>
      <c r="BX71" s="1" t="str">
        <f>IF(AU71&gt;AU$129, AU71-AU$129,"")</f>
        <v/>
      </c>
      <c r="BY71" s="1" t="str">
        <f>IF(AV71&gt;AV$129, AV71-AV$129,"")</f>
        <v/>
      </c>
      <c r="BZ71" s="1" t="str">
        <f>IF(AW71&gt;AW$129, AW71-AW$129,"")</f>
        <v/>
      </c>
      <c r="CA71" s="1" t="str">
        <f>IF(AX71&gt;AX$129, AX71-AX$129,"")</f>
        <v/>
      </c>
      <c r="CB71" s="1" t="str">
        <f>IF(AY71&gt;AY$129, AY71-AY$129,"")</f>
        <v/>
      </c>
      <c r="CC71" s="1" t="str">
        <f>IF(AZ71&gt;AZ$129, AZ71-AZ$129,"")</f>
        <v/>
      </c>
      <c r="CD71" s="1" t="str">
        <f>IF(BA71&gt;BA$129, BA71-BA$129,"")</f>
        <v/>
      </c>
      <c r="CE71" s="1" t="str">
        <f>IF(BB71&gt;BB$129, BB71-BB$129,"")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40.5" x14ac:dyDescent="0.15">
      <c r="A72" s="1"/>
      <c r="B72" s="1" t="s">
        <v>143</v>
      </c>
      <c r="C72" s="1" t="s">
        <v>141</v>
      </c>
      <c r="D72" s="1" t="s">
        <v>124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/>
      <c r="Y72" s="28"/>
      <c r="Z72" s="28">
        <v>5</v>
      </c>
      <c r="AA72" s="28">
        <v>2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9</v>
      </c>
      <c r="BR72" s="17">
        <v>3</v>
      </c>
      <c r="BS72" s="17" t="s">
        <v>274</v>
      </c>
      <c r="BT72" s="1" t="str">
        <f>IF(AQ72&gt;AQ$129, AQ72-AQ$129,"")</f>
        <v/>
      </c>
      <c r="BU72" s="1" t="str">
        <f>IF(AR72&gt;AR$129, AR72-AR$129,"")</f>
        <v/>
      </c>
      <c r="BV72" s="1" t="str">
        <f>IF(AS72&gt;AS$129, AS72-AS$129,"")</f>
        <v/>
      </c>
      <c r="BW72" s="1" t="str">
        <f>IF(AT72&gt;AT$129, AT72-AT$129,"")</f>
        <v/>
      </c>
      <c r="BX72" s="1" t="str">
        <f>IF(AU72&gt;AU$129, AU72-AU$129,"")</f>
        <v/>
      </c>
      <c r="BY72" s="1" t="str">
        <f>IF(AV72&gt;AV$129, AV72-AV$129,"")</f>
        <v/>
      </c>
      <c r="BZ72" s="1" t="str">
        <f>IF(AW72&gt;AW$129, AW72-AW$129,"")</f>
        <v/>
      </c>
      <c r="CA72" s="1" t="str">
        <f>IF(AX72&gt;AX$129, AX72-AX$129,"")</f>
        <v/>
      </c>
      <c r="CB72" s="1" t="str">
        <f>IF(AY72&gt;AY$129, AY72-AY$129,"")</f>
        <v/>
      </c>
      <c r="CC72" s="1" t="str">
        <f>IF(AZ72&gt;AZ$129, AZ72-AZ$129,"")</f>
        <v/>
      </c>
      <c r="CD72" s="1" t="str">
        <f>IF(BA72&gt;BA$129, BA72-BA$129,"")</f>
        <v/>
      </c>
      <c r="CE72" s="1" t="str">
        <f>IF(BB72&gt;BB$129, BB72-BB$129,"")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/>
      <c r="B73" s="1" t="s">
        <v>153</v>
      </c>
      <c r="C73" s="1" t="s">
        <v>152</v>
      </c>
      <c r="D73" s="1" t="s">
        <v>124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/>
      <c r="Y73" s="28"/>
      <c r="Z73" s="28">
        <v>5</v>
      </c>
      <c r="AA73" s="28">
        <v>2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17</v>
      </c>
      <c r="BQ73" s="1">
        <v>9</v>
      </c>
      <c r="BR73" s="17">
        <v>3</v>
      </c>
      <c r="BS73" s="17" t="s">
        <v>225</v>
      </c>
      <c r="BT73" s="1" t="str">
        <f>IF(AQ73&gt;AQ$129, AQ73-AQ$129,"")</f>
        <v/>
      </c>
      <c r="BU73" s="1" t="str">
        <f>IF(AR73&gt;AR$129, AR73-AR$129,"")</f>
        <v/>
      </c>
      <c r="BV73" s="1" t="str">
        <f>IF(AS73&gt;AS$129, AS73-AS$129,"")</f>
        <v/>
      </c>
      <c r="BW73" s="1" t="str">
        <f>IF(AT73&gt;AT$129, AT73-AT$129,"")</f>
        <v/>
      </c>
      <c r="BX73" s="1" t="str">
        <f>IF(AU73&gt;AU$129, AU73-AU$129,"")</f>
        <v/>
      </c>
      <c r="BY73" s="1" t="str">
        <f>IF(AV73&gt;AV$129, AV73-AV$129,"")</f>
        <v/>
      </c>
      <c r="BZ73" s="1" t="str">
        <f>IF(AW73&gt;AW$129, AW73-AW$129,"")</f>
        <v/>
      </c>
      <c r="CA73" s="1" t="str">
        <f>IF(AX73&gt;AX$129, AX73-AX$129,"")</f>
        <v/>
      </c>
      <c r="CB73" s="1" t="str">
        <f>IF(AY73&gt;AY$129, AY73-AY$129,"")</f>
        <v/>
      </c>
      <c r="CC73" s="1" t="str">
        <f>IF(AZ73&gt;AZ$129, AZ73-AZ$129,"")</f>
        <v/>
      </c>
      <c r="CD73" s="1" t="str">
        <f>IF(BA73&gt;BA$129, BA73-BA$129,"")</f>
        <v/>
      </c>
      <c r="CE73" s="1" t="str">
        <f>IF(BB73&gt;BB$129, BB73-BB$129,"")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159</v>
      </c>
      <c r="C74" s="1" t="s">
        <v>120</v>
      </c>
      <c r="D74" s="1" t="s">
        <v>161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/>
      <c r="Y74" s="28"/>
      <c r="Z74" s="28">
        <v>5</v>
      </c>
      <c r="AA74" s="28">
        <v>2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17</v>
      </c>
      <c r="BQ74" s="1">
        <v>9</v>
      </c>
      <c r="BR74" s="17">
        <v>3</v>
      </c>
      <c r="BS74" s="17" t="s">
        <v>274</v>
      </c>
      <c r="BT74" s="1" t="str">
        <f>IF(AQ74&gt;AQ$129, AQ74-AQ$129,"")</f>
        <v/>
      </c>
      <c r="BU74" s="1" t="str">
        <f>IF(AR74&gt;AR$129, AR74-AR$129,"")</f>
        <v/>
      </c>
      <c r="BV74" s="1" t="str">
        <f>IF(AS74&gt;AS$129, AS74-AS$129,"")</f>
        <v/>
      </c>
      <c r="BW74" s="1" t="str">
        <f>IF(AT74&gt;AT$129, AT74-AT$129,"")</f>
        <v/>
      </c>
      <c r="BX74" s="1" t="str">
        <f>IF(AU74&gt;AU$129, AU74-AU$129,"")</f>
        <v/>
      </c>
      <c r="BY74" s="1" t="str">
        <f>IF(AV74&gt;AV$129, AV74-AV$129,"")</f>
        <v/>
      </c>
      <c r="BZ74" s="1" t="str">
        <f>IF(AW74&gt;AW$129, AW74-AW$129,"")</f>
        <v/>
      </c>
      <c r="CA74" s="1" t="str">
        <f>IF(AX74&gt;AX$129, AX74-AX$129,"")</f>
        <v/>
      </c>
      <c r="CB74" s="1" t="str">
        <f>IF(AY74&gt;AY$129, AY74-AY$129,"")</f>
        <v/>
      </c>
      <c r="CC74" s="1" t="str">
        <f>IF(AZ74&gt;AZ$129, AZ74-AZ$129,"")</f>
        <v/>
      </c>
      <c r="CD74" s="1" t="str">
        <f>IF(BA74&gt;BA$129, BA74-BA$129,"")</f>
        <v/>
      </c>
      <c r="CE74" s="1" t="str">
        <f>IF(BB74&gt;BB$129, BB74-BB$129,"")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156</v>
      </c>
      <c r="C75" s="1" t="s">
        <v>152</v>
      </c>
      <c r="D75" s="1" t="s">
        <v>123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>
        <v>5</v>
      </c>
      <c r="X75" s="28"/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20</v>
      </c>
      <c r="BQ75" s="1">
        <v>11</v>
      </c>
      <c r="BR75" s="17">
        <v>3</v>
      </c>
      <c r="BS75" s="17" t="s">
        <v>275</v>
      </c>
      <c r="BT75" s="1" t="str">
        <f>IF(AQ75&gt;AQ$129, AQ75-AQ$129,"")</f>
        <v/>
      </c>
      <c r="BU75" s="1" t="str">
        <f>IF(AR75&gt;AR$129, AR75-AR$129,"")</f>
        <v/>
      </c>
      <c r="BV75" s="1" t="str">
        <f>IF(AS75&gt;AS$129, AS75-AS$129,"")</f>
        <v/>
      </c>
      <c r="BW75" s="1" t="str">
        <f>IF(AT75&gt;AT$129, AT75-AT$129,"")</f>
        <v/>
      </c>
      <c r="BX75" s="1" t="str">
        <f>IF(AU75&gt;AU$129, AU75-AU$129,"")</f>
        <v/>
      </c>
      <c r="BY75" s="1" t="str">
        <f>IF(AV75&gt;AV$129, AV75-AV$129,"")</f>
        <v/>
      </c>
      <c r="BZ75" s="1" t="str">
        <f>IF(AW75&gt;AW$129, AW75-AW$129,"")</f>
        <v/>
      </c>
      <c r="CA75" s="1" t="str">
        <f>IF(AX75&gt;AX$129, AX75-AX$129,"")</f>
        <v/>
      </c>
      <c r="CB75" s="1" t="str">
        <f>IF(AY75&gt;AY$129, AY75-AY$129,"")</f>
        <v/>
      </c>
      <c r="CC75" s="1" t="str">
        <f>IF(AZ75&gt;AZ$129, AZ75-AZ$129,"")</f>
        <v/>
      </c>
      <c r="CD75" s="1" t="str">
        <f>IF(BA75&gt;BA$129, BA75-BA$129,"")</f>
        <v/>
      </c>
      <c r="CE75" s="1" t="str">
        <f>IF(BB75&gt;BB$129, BB75-BB$129,"")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157</v>
      </c>
      <c r="C76" s="1" t="s">
        <v>152</v>
      </c>
      <c r="D76" s="1" t="s">
        <v>125</v>
      </c>
      <c r="E76" s="6"/>
      <c r="F76" s="6"/>
      <c r="G76" s="6">
        <v>5</v>
      </c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>
        <v>5</v>
      </c>
      <c r="W76" s="28"/>
      <c r="X76" s="28"/>
      <c r="Y76" s="28">
        <v>5</v>
      </c>
      <c r="Z76" s="28"/>
      <c r="AA76" s="28"/>
      <c r="AB76" s="28"/>
      <c r="AC76" s="28">
        <v>5</v>
      </c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20</v>
      </c>
      <c r="BQ76" s="1">
        <v>11</v>
      </c>
      <c r="BR76" s="17">
        <v>3</v>
      </c>
      <c r="BS76" s="17" t="s">
        <v>226</v>
      </c>
      <c r="BT76" s="1" t="str">
        <f>IF(AQ76&gt;AQ$129, AQ76-AQ$129,"")</f>
        <v/>
      </c>
      <c r="BU76" s="1" t="str">
        <f>IF(AR76&gt;AR$129, AR76-AR$129,"")</f>
        <v/>
      </c>
      <c r="BV76" s="1" t="str">
        <f>IF(AS76&gt;AS$129, AS76-AS$129,"")</f>
        <v/>
      </c>
      <c r="BW76" s="1" t="str">
        <f>IF(AT76&gt;AT$129, AT76-AT$129,"")</f>
        <v/>
      </c>
      <c r="BX76" s="1" t="str">
        <f>IF(AU76&gt;AU$129, AU76-AU$129,"")</f>
        <v/>
      </c>
      <c r="BY76" s="1" t="str">
        <f>IF(AV76&gt;AV$129, AV76-AV$129,"")</f>
        <v/>
      </c>
      <c r="BZ76" s="1" t="str">
        <f>IF(AW76&gt;AW$129, AW76-AW$129,"")</f>
        <v/>
      </c>
      <c r="CA76" s="1" t="str">
        <f>IF(AX76&gt;AX$129, AX76-AX$129,"")</f>
        <v/>
      </c>
      <c r="CB76" s="1" t="str">
        <f>IF(AY76&gt;AY$129, AY76-AY$129,"")</f>
        <v/>
      </c>
      <c r="CC76" s="1" t="str">
        <f>IF(AZ76&gt;AZ$129, AZ76-AZ$129,"")</f>
        <v/>
      </c>
      <c r="CD76" s="1" t="str">
        <f>IF(BA76&gt;BA$129, BA76-BA$129,"")</f>
        <v/>
      </c>
      <c r="CE76" s="1" t="str">
        <f>IF(BB76&gt;BB$129, BB76-BB$129,"")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186</v>
      </c>
      <c r="C77" s="1" t="s">
        <v>120</v>
      </c>
      <c r="D77" s="1" t="s">
        <v>107</v>
      </c>
      <c r="E77" s="6"/>
      <c r="F77" s="6"/>
      <c r="G77" s="6"/>
      <c r="H77" s="6">
        <v>10</v>
      </c>
      <c r="I77" s="6"/>
      <c r="J77" s="6">
        <v>10</v>
      </c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>
        <v>10</v>
      </c>
      <c r="AU77" s="4"/>
      <c r="AV77" s="4"/>
      <c r="AW77" s="2"/>
      <c r="AX77" s="2"/>
      <c r="AY77" s="2">
        <v>10</v>
      </c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40</v>
      </c>
      <c r="BQ77" s="1">
        <v>12</v>
      </c>
      <c r="BR77" s="17">
        <v>3</v>
      </c>
      <c r="BS77" s="17" t="s">
        <v>277</v>
      </c>
      <c r="BT77" s="1" t="str">
        <f>IF(AQ77&gt;AQ$129, AQ77-AQ$129,"")</f>
        <v/>
      </c>
      <c r="BU77" s="1" t="str">
        <f>IF(AR77&gt;AR$129, AR77-AR$129,"")</f>
        <v/>
      </c>
      <c r="BV77" s="1" t="str">
        <f>IF(AS77&gt;AS$129, AS77-AS$129,"")</f>
        <v/>
      </c>
      <c r="BW77" s="1" t="str">
        <f>IF(AT77&gt;AT$129, AT77-AT$129,"")</f>
        <v/>
      </c>
      <c r="BX77" s="1" t="str">
        <f>IF(AU77&gt;AU$129, AU77-AU$129,"")</f>
        <v/>
      </c>
      <c r="BY77" s="1" t="str">
        <f>IF(AV77&gt;AV$129, AV77-AV$129,"")</f>
        <v/>
      </c>
      <c r="BZ77" s="1" t="str">
        <f>IF(AW77&gt;AW$129, AW77-AW$129,"")</f>
        <v/>
      </c>
      <c r="CA77" s="1" t="str">
        <f>IF(AX77&gt;AX$129, AX77-AX$129,"")</f>
        <v/>
      </c>
      <c r="CB77" s="1" t="str">
        <f>IF(AY77&gt;AY$129, AY77-AY$129,"")</f>
        <v/>
      </c>
      <c r="CC77" s="1" t="str">
        <f>IF(AZ77&gt;AZ$129, AZ77-AZ$129,"")</f>
        <v/>
      </c>
      <c r="CD77" s="1" t="str">
        <f>IF(BA77&gt;BA$129, BA77-BA$129,"")</f>
        <v/>
      </c>
      <c r="CE77" s="1" t="str">
        <f>IF(BB77&gt;BB$129, BB77-BB$129,"")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147</v>
      </c>
      <c r="C78" s="1" t="s">
        <v>145</v>
      </c>
      <c r="D78" s="1" t="s">
        <v>125</v>
      </c>
      <c r="E78" s="6"/>
      <c r="F78" s="6"/>
      <c r="G78" s="6"/>
      <c r="H78" s="6"/>
      <c r="I78" s="6">
        <v>7</v>
      </c>
      <c r="J78" s="6"/>
      <c r="K78" s="6"/>
      <c r="L78" s="6"/>
      <c r="M78" s="6"/>
      <c r="N78" s="6"/>
      <c r="O78" s="6"/>
      <c r="P78" s="28"/>
      <c r="Q78" s="28">
        <v>7</v>
      </c>
      <c r="R78" s="28">
        <v>7</v>
      </c>
      <c r="S78" s="28"/>
      <c r="T78" s="28">
        <v>7</v>
      </c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28</v>
      </c>
      <c r="BQ78" s="1">
        <v>13</v>
      </c>
      <c r="BR78" s="17">
        <v>3</v>
      </c>
      <c r="BS78" s="17" t="s">
        <v>276</v>
      </c>
      <c r="BT78" s="1" t="str">
        <f>IF(AQ78&gt;AQ$129, AQ78-AQ$129,"")</f>
        <v/>
      </c>
      <c r="BU78" s="1" t="str">
        <f>IF(AR78&gt;AR$129, AR78-AR$129,"")</f>
        <v/>
      </c>
      <c r="BV78" s="1" t="str">
        <f>IF(AS78&gt;AS$129, AS78-AS$129,"")</f>
        <v/>
      </c>
      <c r="BW78" s="1" t="str">
        <f>IF(AT78&gt;AT$129, AT78-AT$129,"")</f>
        <v/>
      </c>
      <c r="BX78" s="1" t="str">
        <f>IF(AU78&gt;AU$129, AU78-AU$129,"")</f>
        <v/>
      </c>
      <c r="BY78" s="1" t="str">
        <f>IF(AV78&gt;AV$129, AV78-AV$129,"")</f>
        <v/>
      </c>
      <c r="BZ78" s="1" t="str">
        <f>IF(AW78&gt;AW$129, AW78-AW$129,"")</f>
        <v/>
      </c>
      <c r="CA78" s="1" t="str">
        <f>IF(AX78&gt;AX$129, AX78-AX$129,"")</f>
        <v/>
      </c>
      <c r="CB78" s="1" t="str">
        <f>IF(AY78&gt;AY$129, AY78-AY$129,"")</f>
        <v/>
      </c>
      <c r="CC78" s="1" t="str">
        <f>IF(AZ78&gt;AZ$129, AZ78-AZ$129,"")</f>
        <v/>
      </c>
      <c r="CD78" s="1" t="str">
        <f>IF(BA78&gt;BA$129, BA78-BA$129,"")</f>
        <v/>
      </c>
      <c r="CE78" s="1" t="str">
        <f>IF(BB78&gt;BB$129, BB78-BB$129,"")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143</v>
      </c>
      <c r="C79" s="1" t="s">
        <v>141</v>
      </c>
      <c r="D79" s="1" t="s">
        <v>125</v>
      </c>
      <c r="E79" s="6"/>
      <c r="F79" s="6"/>
      <c r="G79" s="6"/>
      <c r="H79" s="6">
        <v>7</v>
      </c>
      <c r="I79" s="6"/>
      <c r="J79" s="6"/>
      <c r="K79" s="6"/>
      <c r="L79" s="6"/>
      <c r="M79" s="6"/>
      <c r="N79" s="6"/>
      <c r="O79" s="6"/>
      <c r="P79" s="28"/>
      <c r="Q79" s="28">
        <v>7</v>
      </c>
      <c r="R79" s="28"/>
      <c r="S79" s="28"/>
      <c r="T79" s="28">
        <v>7</v>
      </c>
      <c r="U79" s="28"/>
      <c r="V79" s="28"/>
      <c r="W79" s="28"/>
      <c r="X79" s="28"/>
      <c r="Y79" s="28"/>
      <c r="Z79" s="28"/>
      <c r="AA79" s="28">
        <v>7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28</v>
      </c>
      <c r="BQ79" s="1">
        <v>14</v>
      </c>
      <c r="BR79" s="17">
        <v>3</v>
      </c>
      <c r="BS79" s="17" t="s">
        <v>278</v>
      </c>
      <c r="BT79" s="1" t="str">
        <f>IF(AQ79&gt;AQ$129, AQ79-AQ$129,"")</f>
        <v/>
      </c>
      <c r="BU79" s="1" t="str">
        <f>IF(AR79&gt;AR$129, AR79-AR$129,"")</f>
        <v/>
      </c>
      <c r="BV79" s="1" t="str">
        <f>IF(AS79&gt;AS$129, AS79-AS$129,"")</f>
        <v/>
      </c>
      <c r="BW79" s="1" t="str">
        <f>IF(AT79&gt;AT$129, AT79-AT$129,"")</f>
        <v/>
      </c>
      <c r="BX79" s="1" t="str">
        <f>IF(AU79&gt;AU$129, AU79-AU$129,"")</f>
        <v/>
      </c>
      <c r="BY79" s="1" t="str">
        <f>IF(AV79&gt;AV$129, AV79-AV$129,"")</f>
        <v/>
      </c>
      <c r="BZ79" s="1" t="str">
        <f>IF(AW79&gt;AW$129, AW79-AW$129,"")</f>
        <v/>
      </c>
      <c r="CA79" s="1" t="str">
        <f>IF(AX79&gt;AX$129, AX79-AX$129,"")</f>
        <v/>
      </c>
      <c r="CB79" s="1" t="str">
        <f>IF(AY79&gt;AY$129, AY79-AY$129,"")</f>
        <v/>
      </c>
      <c r="CC79" s="1" t="str">
        <f>IF(AZ79&gt;AZ$129, AZ79-AZ$129,"")</f>
        <v/>
      </c>
      <c r="CD79" s="1" t="str">
        <f>IF(BA79&gt;BA$129, BA79-BA$129,"")</f>
        <v/>
      </c>
      <c r="CE79" s="1" t="str">
        <f>IF(BB79&gt;BB$129, BB79-BB$129,"")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>
        <v>28</v>
      </c>
      <c r="B80" s="1" t="s">
        <v>74</v>
      </c>
      <c r="C80" s="1" t="s">
        <v>31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>
        <v>5</v>
      </c>
      <c r="AI80" s="1">
        <v>5</v>
      </c>
      <c r="AJ80" s="1">
        <v>5</v>
      </c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15</v>
      </c>
      <c r="BQ80" s="1">
        <v>15</v>
      </c>
      <c r="BR80" s="17">
        <v>3</v>
      </c>
      <c r="BS80" s="17" t="s">
        <v>227</v>
      </c>
      <c r="BT80" s="1" t="str">
        <f>IF(AQ80&gt;AQ$129, AQ80-AQ$129,"")</f>
        <v/>
      </c>
      <c r="BU80" s="1" t="str">
        <f>IF(AR80&gt;AR$129, AR80-AR$129,"")</f>
        <v/>
      </c>
      <c r="BV80" s="1" t="str">
        <f>IF(AS80&gt;AS$129, AS80-AS$129,"")</f>
        <v/>
      </c>
      <c r="BW80" s="1" t="str">
        <f>IF(AT80&gt;AT$129, AT80-AT$129,"")</f>
        <v/>
      </c>
      <c r="BX80" s="1" t="str">
        <f>IF(AU80&gt;AU$129, AU80-AU$129,"")</f>
        <v/>
      </c>
      <c r="BY80" s="1" t="str">
        <f>IF(AV80&gt;AV$129, AV80-AV$129,"")</f>
        <v/>
      </c>
      <c r="BZ80" s="1" t="str">
        <f>IF(AW80&gt;AW$129, AW80-AW$129,"")</f>
        <v/>
      </c>
      <c r="CA80" s="1" t="str">
        <f>IF(AX80&gt;AX$129, AX80-AX$129,"")</f>
        <v/>
      </c>
      <c r="CB80" s="1" t="str">
        <f>IF(AY80&gt;AY$129, AY80-AY$129,"")</f>
        <v/>
      </c>
      <c r="CC80" s="1" t="str">
        <f>IF(AZ80&gt;AZ$129, AZ80-AZ$129,"")</f>
        <v/>
      </c>
      <c r="CD80" s="1" t="str">
        <f>IF(BA80&gt;BA$129, BA80-BA$129,"")</f>
        <v/>
      </c>
      <c r="CE80" s="1" t="str">
        <f>IF(BB80&gt;BB$129, BB80-BB$129,"")</f>
        <v/>
      </c>
      <c r="CF80" s="1">
        <f>COUNTIF(BT80:CE80, "&gt;0")</f>
        <v>0</v>
      </c>
      <c r="CG80" s="1" t="str">
        <f>IF($CF80=1,BT80,"")</f>
        <v/>
      </c>
      <c r="CH80" s="1" t="str">
        <f>IF($CF80=1,BU80,"")</f>
        <v/>
      </c>
      <c r="CI80" s="1" t="str">
        <f>IF($CF80=1,BV80,"")</f>
        <v/>
      </c>
      <c r="CJ80" s="1" t="str">
        <f>IF($CF80=1,BW80,"")</f>
        <v/>
      </c>
      <c r="CK80" s="1" t="str">
        <f>IF($CF80=1,BX80,"")</f>
        <v/>
      </c>
      <c r="CL80" s="1" t="str">
        <f>IF($CF80=1,BY80,"")</f>
        <v/>
      </c>
      <c r="CM80" s="1" t="str">
        <f>IF($CF80=1,BZ80,"")</f>
        <v/>
      </c>
      <c r="CN80" s="1" t="str">
        <f>IF($CF80=1,CA80,"")</f>
        <v/>
      </c>
      <c r="CO80" s="1" t="str">
        <f>IF($CF80=1,CB80,"")</f>
        <v/>
      </c>
      <c r="CP80" s="1" t="str">
        <f>IF($CF80=1,CC80,"")</f>
        <v/>
      </c>
      <c r="CQ80" s="1" t="str">
        <f>IF($CF80=1,CD80,"")</f>
        <v/>
      </c>
      <c r="CR80" s="1" t="str">
        <f>IF($CF80=1,CE80,"")</f>
        <v/>
      </c>
      <c r="CS80" s="3">
        <f>SUM(AE80:BO80)</f>
        <v>15</v>
      </c>
    </row>
    <row r="81" spans="1:97" ht="40.5" x14ac:dyDescent="0.15">
      <c r="A81" s="1">
        <v>89</v>
      </c>
      <c r="B81" s="3" t="s">
        <v>79</v>
      </c>
      <c r="C81" s="3" t="s">
        <v>80</v>
      </c>
      <c r="D81" s="1" t="s">
        <v>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>
        <v>5</v>
      </c>
      <c r="AG81" s="1"/>
      <c r="AH81" s="1">
        <v>5</v>
      </c>
      <c r="AI81" s="1">
        <v>5</v>
      </c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15</v>
      </c>
      <c r="BQ81" s="1">
        <v>15</v>
      </c>
      <c r="BR81" s="17">
        <v>3</v>
      </c>
      <c r="BS81" s="17" t="s">
        <v>279</v>
      </c>
      <c r="BT81" s="1" t="str">
        <f>IF(AQ81&gt;AQ$129, AQ81-AQ$129,"")</f>
        <v/>
      </c>
      <c r="BU81" s="1" t="str">
        <f>IF(AR81&gt;AR$129, AR81-AR$129,"")</f>
        <v/>
      </c>
      <c r="BV81" s="1" t="str">
        <f>IF(AS81&gt;AS$129, AS81-AS$129,"")</f>
        <v/>
      </c>
      <c r="BW81" s="1" t="str">
        <f>IF(AT81&gt;AT$129, AT81-AT$129,"")</f>
        <v/>
      </c>
      <c r="BX81" s="1" t="str">
        <f>IF(AU81&gt;AU$129, AU81-AU$129,"")</f>
        <v/>
      </c>
      <c r="BY81" s="1" t="str">
        <f>IF(AV81&gt;AV$129, AV81-AV$129,"")</f>
        <v/>
      </c>
      <c r="BZ81" s="1" t="str">
        <f>IF(AW81&gt;AW$129, AW81-AW$129,"")</f>
        <v/>
      </c>
      <c r="CA81" s="1" t="str">
        <f>IF(AX81&gt;AX$129, AX81-AX$129,"")</f>
        <v/>
      </c>
      <c r="CB81" s="1" t="str">
        <f>IF(AY81&gt;AY$129, AY81-AY$129,"")</f>
        <v/>
      </c>
      <c r="CC81" s="1" t="str">
        <f>IF(AZ81&gt;AZ$129, AZ81-AZ$129,"")</f>
        <v/>
      </c>
      <c r="CD81" s="1" t="str">
        <f>IF(BA81&gt;BA$129, BA81-BA$129,"")</f>
        <v/>
      </c>
      <c r="CE81" s="1" t="str">
        <f>IF(BB81&gt;BB$129, BB81-BB$129,"")</f>
        <v/>
      </c>
      <c r="CF81" s="1">
        <f>COUNTIF(BT81:CE81, "&gt;0")</f>
        <v>0</v>
      </c>
      <c r="CG81" s="1" t="str">
        <f>IF($CF81=1,BT81,"")</f>
        <v/>
      </c>
      <c r="CH81" s="1" t="str">
        <f>IF($CF81=1,BU81,"")</f>
        <v/>
      </c>
      <c r="CI81" s="1" t="str">
        <f>IF($CF81=1,BV81,"")</f>
        <v/>
      </c>
      <c r="CJ81" s="1" t="str">
        <f>IF($CF81=1,BW81,"")</f>
        <v/>
      </c>
      <c r="CK81" s="1" t="str">
        <f>IF($CF81=1,BX81,"")</f>
        <v/>
      </c>
      <c r="CL81" s="1" t="str">
        <f>IF($CF81=1,BY81,"")</f>
        <v/>
      </c>
      <c r="CM81" s="1" t="str">
        <f>IF($CF81=1,BZ81,"")</f>
        <v/>
      </c>
      <c r="CN81" s="1" t="str">
        <f>IF($CF81=1,CA81,"")</f>
        <v/>
      </c>
      <c r="CO81" s="1" t="str">
        <f>IF($CF81=1,CB81,"")</f>
        <v/>
      </c>
      <c r="CP81" s="1" t="str">
        <f>IF($CF81=1,CC81,"")</f>
        <v/>
      </c>
      <c r="CQ81" s="1" t="str">
        <f>IF($CF81=1,CD81,"")</f>
        <v/>
      </c>
      <c r="CR81" s="1" t="str">
        <f>IF($CF81=1,CE81,"")</f>
        <v/>
      </c>
      <c r="CS81" s="3">
        <f>SUM(AE81:BO81)</f>
        <v>15</v>
      </c>
    </row>
    <row r="82" spans="1:97" ht="40.5" x14ac:dyDescent="0.15">
      <c r="A82" s="1"/>
      <c r="B82" s="1" t="s">
        <v>153</v>
      </c>
      <c r="C82" s="1" t="s">
        <v>152</v>
      </c>
      <c r="D82" s="1" t="s">
        <v>125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10</v>
      </c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16</v>
      </c>
      <c r="BR82" s="17">
        <v>3</v>
      </c>
      <c r="BS82" s="17" t="s">
        <v>280</v>
      </c>
      <c r="BT82" s="1" t="str">
        <f>IF(AQ82&gt;AQ$129, AQ82-AQ$129,"")</f>
        <v/>
      </c>
      <c r="BU82" s="1" t="str">
        <f>IF(AR82&gt;AR$129, AR82-AR$129,"")</f>
        <v/>
      </c>
      <c r="BV82" s="1" t="str">
        <f>IF(AS82&gt;AS$129, AS82-AS$129,"")</f>
        <v/>
      </c>
      <c r="BW82" s="1" t="str">
        <f>IF(AT82&gt;AT$129, AT82-AT$129,"")</f>
        <v/>
      </c>
      <c r="BX82" s="1" t="str">
        <f>IF(AU82&gt;AU$129, AU82-AU$129,"")</f>
        <v/>
      </c>
      <c r="BY82" s="1" t="str">
        <f>IF(AV82&gt;AV$129, AV82-AV$129,"")</f>
        <v/>
      </c>
      <c r="BZ82" s="1" t="str">
        <f>IF(AW82&gt;AW$129, AW82-AW$129,"")</f>
        <v/>
      </c>
      <c r="CA82" s="1" t="str">
        <f>IF(AX82&gt;AX$129, AX82-AX$129,"")</f>
        <v/>
      </c>
      <c r="CB82" s="1" t="str">
        <f>IF(AY82&gt;AY$129, AY82-AY$129,"")</f>
        <v/>
      </c>
      <c r="CC82" s="1" t="str">
        <f>IF(AZ82&gt;AZ$129, AZ82-AZ$129,"")</f>
        <v/>
      </c>
      <c r="CD82" s="1" t="str">
        <f>IF(BA82&gt;BA$129, BA82-BA$129,"")</f>
        <v/>
      </c>
      <c r="CE82" s="1" t="str">
        <f>IF(BB82&gt;BB$129, BB82-BB$129,"")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159</v>
      </c>
      <c r="C83" s="1" t="s">
        <v>120</v>
      </c>
      <c r="D83" s="1" t="s">
        <v>162</v>
      </c>
      <c r="E83" s="6"/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>
        <v>10</v>
      </c>
      <c r="Y83" s="28"/>
      <c r="Z83" s="28"/>
      <c r="AA83" s="28"/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>
        <v>10</v>
      </c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16</v>
      </c>
      <c r="BR83" s="17">
        <v>3</v>
      </c>
      <c r="BS83" s="17" t="s">
        <v>281</v>
      </c>
      <c r="BT83" s="1" t="str">
        <f>IF(AQ83&gt;AQ$129, AQ83-AQ$129,"")</f>
        <v/>
      </c>
      <c r="BU83" s="1" t="str">
        <f>IF(AR83&gt;AR$129, AR83-AR$129,"")</f>
        <v/>
      </c>
      <c r="BV83" s="1" t="str">
        <f>IF(AS83&gt;AS$129, AS83-AS$129,"")</f>
        <v/>
      </c>
      <c r="BW83" s="1" t="str">
        <f>IF(AT83&gt;AT$129, AT83-AT$129,"")</f>
        <v/>
      </c>
      <c r="BX83" s="1" t="str">
        <f>IF(AU83&gt;AU$129, AU83-AU$129,"")</f>
        <v/>
      </c>
      <c r="BY83" s="1" t="str">
        <f>IF(AV83&gt;AV$129, AV83-AV$129,"")</f>
        <v/>
      </c>
      <c r="BZ83" s="1" t="str">
        <f>IF(AW83&gt;AW$129, AW83-AW$129,"")</f>
        <v/>
      </c>
      <c r="CA83" s="1" t="str">
        <f>IF(AX83&gt;AX$129, AX83-AX$129,"")</f>
        <v/>
      </c>
      <c r="CB83" s="1" t="str">
        <f>IF(AY83&gt;AY$129, AY83-AY$129,"")</f>
        <v/>
      </c>
      <c r="CC83" s="1" t="str">
        <f>IF(AZ83&gt;AZ$129, AZ83-AZ$129,"")</f>
        <v/>
      </c>
      <c r="CD83" s="1" t="str">
        <f>IF(BA83&gt;BA$129, BA83-BA$129,"")</f>
        <v/>
      </c>
      <c r="CE83" s="1" t="str">
        <f>IF(BB83&gt;BB$129, BB83-BB$129,"")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212</v>
      </c>
      <c r="C84" s="1" t="s">
        <v>120</v>
      </c>
      <c r="D84" s="1" t="s">
        <v>107</v>
      </c>
      <c r="E84" s="6"/>
      <c r="F84" s="6">
        <v>6</v>
      </c>
      <c r="G84" s="6"/>
      <c r="H84" s="6"/>
      <c r="I84" s="6"/>
      <c r="J84" s="6"/>
      <c r="K84" s="6"/>
      <c r="L84" s="6"/>
      <c r="M84" s="6"/>
      <c r="N84" s="6"/>
      <c r="O84" s="6">
        <v>6</v>
      </c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>
        <v>10</v>
      </c>
      <c r="AU84" s="4"/>
      <c r="AV84" s="4"/>
      <c r="AW84" s="2"/>
      <c r="AX84" s="2"/>
      <c r="AY84" s="2">
        <v>10</v>
      </c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32</v>
      </c>
      <c r="BQ84" s="1">
        <v>16</v>
      </c>
      <c r="BR84" s="17">
        <v>3</v>
      </c>
      <c r="BS84" s="17" t="s">
        <v>282</v>
      </c>
      <c r="BT84" s="1" t="str">
        <f>IF(AQ84&gt;AQ$129, AQ84-AQ$129,"")</f>
        <v/>
      </c>
      <c r="BU84" s="1" t="str">
        <f>IF(AR84&gt;AR$129, AR84-AR$129,"")</f>
        <v/>
      </c>
      <c r="BV84" s="1" t="str">
        <f>IF(AS84&gt;AS$129, AS84-AS$129,"")</f>
        <v/>
      </c>
      <c r="BW84" s="1" t="str">
        <f>IF(AT84&gt;AT$129, AT84-AT$129,"")</f>
        <v/>
      </c>
      <c r="BX84" s="1" t="str">
        <f>IF(AU84&gt;AU$129, AU84-AU$129,"")</f>
        <v/>
      </c>
      <c r="BY84" s="1" t="str">
        <f>IF(AV84&gt;AV$129, AV84-AV$129,"")</f>
        <v/>
      </c>
      <c r="BZ84" s="1" t="str">
        <f>IF(AW84&gt;AW$129, AW84-AW$129,"")</f>
        <v/>
      </c>
      <c r="CA84" s="1" t="str">
        <f>IF(AX84&gt;AX$129, AX84-AX$129,"")</f>
        <v/>
      </c>
      <c r="CB84" s="1" t="str">
        <f>IF(AY84&gt;AY$129, AY84-AY$129,"")</f>
        <v/>
      </c>
      <c r="CC84" s="1" t="str">
        <f>IF(AZ84&gt;AZ$129, AZ84-AZ$129,"")</f>
        <v/>
      </c>
      <c r="CD84" s="1" t="str">
        <f>IF(BA84&gt;BA$129, BA84-BA$129,"")</f>
        <v/>
      </c>
      <c r="CE84" s="1" t="str">
        <f>IF(BB84&gt;BB$129, BB84-BB$129,"")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154</v>
      </c>
      <c r="C85" s="1" t="s">
        <v>152</v>
      </c>
      <c r="D85" s="1" t="s">
        <v>125</v>
      </c>
      <c r="E85" s="6"/>
      <c r="F85" s="6"/>
      <c r="G85" s="6"/>
      <c r="H85" s="6">
        <v>10</v>
      </c>
      <c r="I85" s="6"/>
      <c r="J85" s="6"/>
      <c r="K85" s="6"/>
      <c r="L85" s="6"/>
      <c r="M85" s="6"/>
      <c r="N85" s="6"/>
      <c r="O85" s="6"/>
      <c r="P85" s="28"/>
      <c r="Q85" s="28"/>
      <c r="R85" s="28">
        <v>10</v>
      </c>
      <c r="S85" s="28"/>
      <c r="T85" s="28"/>
      <c r="U85" s="28">
        <v>10</v>
      </c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>
        <v>10</v>
      </c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19</v>
      </c>
      <c r="BR85" s="17">
        <v>3</v>
      </c>
      <c r="BS85" s="17" t="s">
        <v>283</v>
      </c>
      <c r="BT85" s="1" t="str">
        <f>IF(AQ85&gt;AQ$129, AQ85-AQ$129,"")</f>
        <v/>
      </c>
      <c r="BU85" s="1" t="str">
        <f>IF(AR85&gt;AR$129, AR85-AR$129,"")</f>
        <v/>
      </c>
      <c r="BV85" s="1" t="str">
        <f>IF(AS85&gt;AS$129, AS85-AS$129,"")</f>
        <v/>
      </c>
      <c r="BW85" s="1" t="str">
        <f>IF(AT85&gt;AT$129, AT85-AT$129,"")</f>
        <v/>
      </c>
      <c r="BX85" s="1" t="str">
        <f>IF(AU85&gt;AU$129, AU85-AU$129,"")</f>
        <v/>
      </c>
      <c r="BY85" s="1" t="str">
        <f>IF(AV85&gt;AV$129, AV85-AV$129,"")</f>
        <v/>
      </c>
      <c r="BZ85" s="1" t="str">
        <f>IF(AW85&gt;AW$129, AW85-AW$129,"")</f>
        <v/>
      </c>
      <c r="CA85" s="1" t="str">
        <f>IF(AX85&gt;AX$129, AX85-AX$129,"")</f>
        <v/>
      </c>
      <c r="CB85" s="1" t="str">
        <f>IF(AY85&gt;AY$129, AY85-AY$129,"")</f>
        <v/>
      </c>
      <c r="CC85" s="1" t="str">
        <f>IF(AZ85&gt;AZ$129, AZ85-AZ$129,"")</f>
        <v/>
      </c>
      <c r="CD85" s="1" t="str">
        <f>IF(BA85&gt;BA$129, BA85-BA$129,"")</f>
        <v/>
      </c>
      <c r="CE85" s="1" t="str">
        <f>IF(BB85&gt;BB$129, BB85-BB$129,"")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140</v>
      </c>
      <c r="C86" s="1" t="s">
        <v>141</v>
      </c>
      <c r="D86" s="1" t="s">
        <v>125</v>
      </c>
      <c r="E86" s="6">
        <v>10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>
        <v>10</v>
      </c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>
        <v>10</v>
      </c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20</v>
      </c>
      <c r="BR86" s="17">
        <v>3</v>
      </c>
      <c r="BS86" s="17" t="s">
        <v>263</v>
      </c>
      <c r="BT86" s="1" t="str">
        <f>IF(AQ86&gt;AQ$129, AQ86-AQ$129,"")</f>
        <v/>
      </c>
      <c r="BU86" s="1" t="str">
        <f>IF(AR86&gt;AR$129, AR86-AR$129,"")</f>
        <v/>
      </c>
      <c r="BV86" s="1" t="str">
        <f>IF(AS86&gt;AS$129, AS86-AS$129,"")</f>
        <v/>
      </c>
      <c r="BW86" s="1" t="str">
        <f>IF(AT86&gt;AT$129, AT86-AT$129,"")</f>
        <v/>
      </c>
      <c r="BX86" s="1" t="str">
        <f>IF(AU86&gt;AU$129, AU86-AU$129,"")</f>
        <v/>
      </c>
      <c r="BY86" s="1" t="str">
        <f>IF(AV86&gt;AV$129, AV86-AV$129,"")</f>
        <v/>
      </c>
      <c r="BZ86" s="1" t="str">
        <f>IF(AW86&gt;AW$129, AW86-AW$129,"")</f>
        <v/>
      </c>
      <c r="CA86" s="1" t="str">
        <f>IF(AX86&gt;AX$129, AX86-AX$129,"")</f>
        <v/>
      </c>
      <c r="CB86" s="1" t="str">
        <f>IF(AY86&gt;AY$129, AY86-AY$129,"")</f>
        <v/>
      </c>
      <c r="CC86" s="1" t="str">
        <f>IF(AZ86&gt;AZ$129, AZ86-AZ$129,"")</f>
        <v/>
      </c>
      <c r="CD86" s="1" t="str">
        <f>IF(BA86&gt;BA$129, BA86-BA$129,"")</f>
        <v/>
      </c>
      <c r="CE86" s="1" t="str">
        <f>IF(BB86&gt;BB$129, BB86-BB$129,"")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146</v>
      </c>
      <c r="C87" s="1" t="s">
        <v>145</v>
      </c>
      <c r="D87" s="1" t="s">
        <v>125</v>
      </c>
      <c r="E87" s="6">
        <v>10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>
        <v>10</v>
      </c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>
        <v>10</v>
      </c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20</v>
      </c>
      <c r="BR87" s="17">
        <v>3</v>
      </c>
      <c r="BS87" s="17" t="s">
        <v>264</v>
      </c>
      <c r="BT87" s="1" t="str">
        <f>IF(AQ87&gt;AQ$129, AQ87-AQ$129,"")</f>
        <v/>
      </c>
      <c r="BU87" s="1" t="str">
        <f>IF(AR87&gt;AR$129, AR87-AR$129,"")</f>
        <v/>
      </c>
      <c r="BV87" s="1" t="str">
        <f>IF(AS87&gt;AS$129, AS87-AS$129,"")</f>
        <v/>
      </c>
      <c r="BW87" s="1" t="str">
        <f>IF(AT87&gt;AT$129, AT87-AT$129,"")</f>
        <v/>
      </c>
      <c r="BX87" s="1" t="str">
        <f>IF(AU87&gt;AU$129, AU87-AU$129,"")</f>
        <v/>
      </c>
      <c r="BY87" s="1" t="str">
        <f>IF(AV87&gt;AV$129, AV87-AV$129,"")</f>
        <v/>
      </c>
      <c r="BZ87" s="1" t="str">
        <f>IF(AW87&gt;AW$129, AW87-AW$129,"")</f>
        <v/>
      </c>
      <c r="CA87" s="1" t="str">
        <f>IF(AX87&gt;AX$129, AX87-AX$129,"")</f>
        <v/>
      </c>
      <c r="CB87" s="1" t="str">
        <f>IF(AY87&gt;AY$129, AY87-AY$129,"")</f>
        <v/>
      </c>
      <c r="CC87" s="1" t="str">
        <f>IF(AZ87&gt;AZ$129, AZ87-AZ$129,"")</f>
        <v/>
      </c>
      <c r="CD87" s="1" t="str">
        <f>IF(BA87&gt;BA$129, BA87-BA$129,"")</f>
        <v/>
      </c>
      <c r="CE87" s="1" t="str">
        <f>IF(BB87&gt;BB$129, BB87-BB$129,"")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156</v>
      </c>
      <c r="C88" s="1" t="s">
        <v>152</v>
      </c>
      <c r="D88" s="1" t="s">
        <v>125</v>
      </c>
      <c r="E88" s="6">
        <v>10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>
        <v>10</v>
      </c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>
        <v>10</v>
      </c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20</v>
      </c>
      <c r="BR88" s="17">
        <v>3</v>
      </c>
      <c r="BS88" s="17" t="s">
        <v>263</v>
      </c>
      <c r="BT88" s="1" t="str">
        <f>IF(AQ88&gt;AQ$129, AQ88-AQ$129,"")</f>
        <v/>
      </c>
      <c r="BU88" s="1" t="str">
        <f>IF(AR88&gt;AR$129, AR88-AR$129,"")</f>
        <v/>
      </c>
      <c r="BV88" s="1" t="str">
        <f>IF(AS88&gt;AS$129, AS88-AS$129,"")</f>
        <v/>
      </c>
      <c r="BW88" s="1" t="str">
        <f>IF(AT88&gt;AT$129, AT88-AT$129,"")</f>
        <v/>
      </c>
      <c r="BX88" s="1" t="str">
        <f>IF(AU88&gt;AU$129, AU88-AU$129,"")</f>
        <v/>
      </c>
      <c r="BY88" s="1" t="str">
        <f>IF(AV88&gt;AV$129, AV88-AV$129,"")</f>
        <v/>
      </c>
      <c r="BZ88" s="1" t="str">
        <f>IF(AW88&gt;AW$129, AW88-AW$129,"")</f>
        <v/>
      </c>
      <c r="CA88" s="1" t="str">
        <f>IF(AX88&gt;AX$129, AX88-AX$129,"")</f>
        <v/>
      </c>
      <c r="CB88" s="1" t="str">
        <f>IF(AY88&gt;AY$129, AY88-AY$129,"")</f>
        <v/>
      </c>
      <c r="CC88" s="1" t="str">
        <f>IF(AZ88&gt;AZ$129, AZ88-AZ$129,"")</f>
        <v/>
      </c>
      <c r="CD88" s="1" t="str">
        <f>IF(BA88&gt;BA$129, BA88-BA$129,"")</f>
        <v/>
      </c>
      <c r="CE88" s="1" t="str">
        <f>IF(BB88&gt;BB$129, BB88-BB$129,"")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165</v>
      </c>
      <c r="C89" s="1" t="s">
        <v>122</v>
      </c>
      <c r="D89" s="1" t="s">
        <v>125</v>
      </c>
      <c r="E89" s="6"/>
      <c r="F89" s="6"/>
      <c r="G89" s="6"/>
      <c r="H89" s="6"/>
      <c r="I89" s="6">
        <v>10</v>
      </c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>
        <v>10</v>
      </c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21</v>
      </c>
      <c r="BR89" s="17">
        <v>3</v>
      </c>
      <c r="BS89" s="17" t="s">
        <v>284</v>
      </c>
      <c r="BT89" s="1" t="str">
        <f>IF(AQ89&gt;AQ$129, AQ89-AQ$129,"")</f>
        <v/>
      </c>
      <c r="BU89" s="1" t="str">
        <f>IF(AR89&gt;AR$129, AR89-AR$129,"")</f>
        <v/>
      </c>
      <c r="BV89" s="1" t="str">
        <f>IF(AS89&gt;AS$129, AS89-AS$129,"")</f>
        <v/>
      </c>
      <c r="BW89" s="1" t="str">
        <f>IF(AT89&gt;AT$129, AT89-AT$129,"")</f>
        <v/>
      </c>
      <c r="BX89" s="1" t="str">
        <f>IF(AU89&gt;AU$129, AU89-AU$129,"")</f>
        <v/>
      </c>
      <c r="BY89" s="1" t="str">
        <f>IF(AV89&gt;AV$129, AV89-AV$129,"")</f>
        <v/>
      </c>
      <c r="BZ89" s="1" t="str">
        <f>IF(AW89&gt;AW$129, AW89-AW$129,"")</f>
        <v/>
      </c>
      <c r="CA89" s="1" t="str">
        <f>IF(AX89&gt;AX$129, AX89-AX$129,"")</f>
        <v/>
      </c>
      <c r="CB89" s="1" t="str">
        <f>IF(AY89&gt;AY$129, AY89-AY$129,"")</f>
        <v/>
      </c>
      <c r="CC89" s="1" t="str">
        <f>IF(AZ89&gt;AZ$129, AZ89-AZ$129,"")</f>
        <v/>
      </c>
      <c r="CD89" s="1" t="str">
        <f>IF(BA89&gt;BA$129, BA89-BA$129,"")</f>
        <v/>
      </c>
      <c r="CE89" s="1" t="str">
        <f>IF(BB89&gt;BB$129, BB89-BB$129,"")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112</v>
      </c>
      <c r="C90" s="1" t="s">
        <v>109</v>
      </c>
      <c r="D90" s="1" t="s">
        <v>107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>
        <v>10</v>
      </c>
      <c r="AP90" s="1">
        <v>10</v>
      </c>
      <c r="AQ90" s="4"/>
      <c r="AR90" s="4"/>
      <c r="AS90" s="4">
        <v>5</v>
      </c>
      <c r="AT90" s="4"/>
      <c r="AU90" s="4"/>
      <c r="AV90" s="4"/>
      <c r="AW90" s="2"/>
      <c r="AX90" s="2">
        <v>5</v>
      </c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30</v>
      </c>
      <c r="BQ90" s="1">
        <v>22</v>
      </c>
      <c r="BR90" s="17">
        <v>3</v>
      </c>
      <c r="BS90" s="17" t="s">
        <v>285</v>
      </c>
      <c r="BT90" s="1" t="str">
        <f>IF(AQ90&gt;AQ$129, AQ90-AQ$129,"")</f>
        <v/>
      </c>
      <c r="BU90" s="1" t="str">
        <f>IF(AR90&gt;AR$129, AR90-AR$129,"")</f>
        <v/>
      </c>
      <c r="BV90" s="1" t="str">
        <f>IF(AS90&gt;AS$129, AS90-AS$129,"")</f>
        <v/>
      </c>
      <c r="BW90" s="1" t="str">
        <f>IF(AT90&gt;AT$129, AT90-AT$129,"")</f>
        <v/>
      </c>
      <c r="BX90" s="1" t="str">
        <f>IF(AU90&gt;AU$129, AU90-AU$129,"")</f>
        <v/>
      </c>
      <c r="BY90" s="1" t="str">
        <f>IF(AV90&gt;AV$129, AV90-AV$129,"")</f>
        <v/>
      </c>
      <c r="BZ90" s="1" t="str">
        <f>IF(AW90&gt;AW$129, AW90-AW$129,"")</f>
        <v/>
      </c>
      <c r="CA90" s="1" t="str">
        <f>IF(AX90&gt;AX$129, AX90-AX$129,"")</f>
        <v/>
      </c>
      <c r="CB90" s="1" t="str">
        <f>IF(AY90&gt;AY$129, AY90-AY$129,"")</f>
        <v/>
      </c>
      <c r="CC90" s="1" t="str">
        <f>IF(AZ90&gt;AZ$129, AZ90-AZ$129,"")</f>
        <v/>
      </c>
      <c r="CD90" s="1" t="str">
        <f>IF(BA90&gt;BA$129, BA90-BA$129,"")</f>
        <v/>
      </c>
      <c r="CE90" s="1" t="str">
        <f>IF(BB90&gt;BB$129, BB90-BB$129,"")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180</v>
      </c>
      <c r="C91" s="1" t="s">
        <v>145</v>
      </c>
      <c r="D91" s="1" t="s">
        <v>124</v>
      </c>
      <c r="E91" s="6">
        <v>15</v>
      </c>
      <c r="F91" s="6"/>
      <c r="G91" s="6"/>
      <c r="H91" s="6"/>
      <c r="I91" s="6"/>
      <c r="J91" s="6"/>
      <c r="K91" s="6"/>
      <c r="L91" s="6"/>
      <c r="M91" s="6">
        <v>15</v>
      </c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>
        <v>15</v>
      </c>
      <c r="AX91" s="2"/>
      <c r="AY91" s="2"/>
      <c r="AZ91" s="2"/>
      <c r="BA91" s="2">
        <v>15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60</v>
      </c>
      <c r="BQ91" s="1">
        <v>26</v>
      </c>
      <c r="BR91" s="17">
        <v>3</v>
      </c>
      <c r="BS91" s="17" t="s">
        <v>269</v>
      </c>
      <c r="BT91" s="1" t="str">
        <f>IF(AQ91&gt;AQ$129, AQ91-AQ$129,"")</f>
        <v/>
      </c>
      <c r="BU91" s="1" t="str">
        <f>IF(AR91&gt;AR$129, AR91-AR$129,"")</f>
        <v/>
      </c>
      <c r="BV91" s="1" t="str">
        <f>IF(AS91&gt;AS$129, AS91-AS$129,"")</f>
        <v/>
      </c>
      <c r="BW91" s="1" t="str">
        <f>IF(AT91&gt;AT$129, AT91-AT$129,"")</f>
        <v/>
      </c>
      <c r="BX91" s="1" t="str">
        <f>IF(AU91&gt;AU$129, AU91-AU$129,"")</f>
        <v/>
      </c>
      <c r="BY91" s="1" t="str">
        <f>IF(AV91&gt;AV$129, AV91-AV$129,"")</f>
        <v/>
      </c>
      <c r="BZ91" s="1" t="str">
        <f>IF(AW91&gt;AW$129, AW91-AW$129,"")</f>
        <v/>
      </c>
      <c r="CA91" s="1" t="str">
        <f>IF(AX91&gt;AX$129, AX91-AX$129,"")</f>
        <v/>
      </c>
      <c r="CB91" s="1" t="str">
        <f>IF(AY91&gt;AY$129, AY91-AY$129,"")</f>
        <v/>
      </c>
      <c r="CC91" s="1" t="str">
        <f>IF(AZ91&gt;AZ$129, AZ91-AZ$129,"")</f>
        <v/>
      </c>
      <c r="CD91" s="1" t="str">
        <f>IF(BA91&gt;BA$129, BA91-BA$129,"")</f>
        <v/>
      </c>
      <c r="CE91" s="1" t="str">
        <f>IF(BB91&gt;BB$129, BB91-BB$129,"")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148</v>
      </c>
      <c r="C92" s="1" t="s">
        <v>150</v>
      </c>
      <c r="D92" s="1" t="s">
        <v>125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27</v>
      </c>
      <c r="BR92" s="17">
        <v>3</v>
      </c>
      <c r="BS92" s="17" t="s">
        <v>287</v>
      </c>
      <c r="BT92" s="1" t="str">
        <f>IF(AQ92&gt;AQ$129, AQ92-AQ$129,"")</f>
        <v/>
      </c>
      <c r="BU92" s="1" t="str">
        <f>IF(AR92&gt;AR$129, AR92-AR$129,"")</f>
        <v/>
      </c>
      <c r="BV92" s="1" t="str">
        <f>IF(AS92&gt;AS$129, AS92-AS$129,"")</f>
        <v/>
      </c>
      <c r="BW92" s="1" t="str">
        <f>IF(AT92&gt;AT$129, AT92-AT$129,"")</f>
        <v/>
      </c>
      <c r="BX92" s="1" t="str">
        <f>IF(AU92&gt;AU$129, AU92-AU$129,"")</f>
        <v/>
      </c>
      <c r="BY92" s="1" t="str">
        <f>IF(AV92&gt;AV$129, AV92-AV$129,"")</f>
        <v/>
      </c>
      <c r="BZ92" s="1" t="str">
        <f>IF(AW92&gt;AW$129, AW92-AW$129,"")</f>
        <v/>
      </c>
      <c r="CA92" s="1" t="str">
        <f>IF(AX92&gt;AX$129, AX92-AX$129,"")</f>
        <v/>
      </c>
      <c r="CB92" s="1" t="str">
        <f>IF(AY92&gt;AY$129, AY92-AY$129,"")</f>
        <v/>
      </c>
      <c r="CC92" s="1" t="str">
        <f>IF(AZ92&gt;AZ$129, AZ92-AZ$129,"")</f>
        <v/>
      </c>
      <c r="CD92" s="1" t="str">
        <f>IF(BA92&gt;BA$129, BA92-BA$129,"")</f>
        <v/>
      </c>
      <c r="CE92" s="1" t="str">
        <f>IF(BB92&gt;BB$129, BB92-BB$129,"")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158</v>
      </c>
      <c r="C93" s="1" t="s">
        <v>152</v>
      </c>
      <c r="D93" s="1" t="s">
        <v>125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27</v>
      </c>
      <c r="BR93" s="17">
        <v>3</v>
      </c>
      <c r="BS93" s="17" t="s">
        <v>288</v>
      </c>
      <c r="BT93" s="1" t="str">
        <f>IF(AQ93&gt;AQ$129, AQ93-AQ$129,"")</f>
        <v/>
      </c>
      <c r="BU93" s="1" t="str">
        <f>IF(AR93&gt;AR$129, AR93-AR$129,"")</f>
        <v/>
      </c>
      <c r="BV93" s="1" t="str">
        <f>IF(AS93&gt;AS$129, AS93-AS$129,"")</f>
        <v/>
      </c>
      <c r="BW93" s="1" t="str">
        <f>IF(AT93&gt;AT$129, AT93-AT$129,"")</f>
        <v/>
      </c>
      <c r="BX93" s="1" t="str">
        <f>IF(AU93&gt;AU$129, AU93-AU$129,"")</f>
        <v/>
      </c>
      <c r="BY93" s="1" t="str">
        <f>IF(AV93&gt;AV$129, AV93-AV$129,"")</f>
        <v/>
      </c>
      <c r="BZ93" s="1" t="str">
        <f>IF(AW93&gt;AW$129, AW93-AW$129,"")</f>
        <v/>
      </c>
      <c r="CA93" s="1" t="str">
        <f>IF(AX93&gt;AX$129, AX93-AX$129,"")</f>
        <v/>
      </c>
      <c r="CB93" s="1" t="str">
        <f>IF(AY93&gt;AY$129, AY93-AY$129,"")</f>
        <v/>
      </c>
      <c r="CC93" s="1" t="str">
        <f>IF(AZ93&gt;AZ$129, AZ93-AZ$129,"")</f>
        <v/>
      </c>
      <c r="CD93" s="1" t="str">
        <f>IF(BA93&gt;BA$129, BA93-BA$129,"")</f>
        <v/>
      </c>
      <c r="CE93" s="1" t="str">
        <f>IF(BB93&gt;BB$129, BB93-BB$129,"")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"/>
      <c r="B94" s="1" t="s">
        <v>183</v>
      </c>
      <c r="C94" s="1" t="s">
        <v>120</v>
      </c>
      <c r="D94" s="1" t="s">
        <v>106</v>
      </c>
      <c r="E94" s="6"/>
      <c r="F94" s="6"/>
      <c r="G94" s="6">
        <v>20</v>
      </c>
      <c r="H94" s="6">
        <v>20</v>
      </c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>
        <v>20</v>
      </c>
      <c r="BB94" s="2">
        <v>20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80</v>
      </c>
      <c r="BQ94" s="1">
        <v>31</v>
      </c>
      <c r="BR94" s="17">
        <v>3</v>
      </c>
      <c r="BS94" s="17" t="s">
        <v>289</v>
      </c>
      <c r="BT94" s="1" t="str">
        <f>IF(AQ94&gt;AQ$129, AQ94-AQ$129,"")</f>
        <v/>
      </c>
      <c r="BU94" s="1" t="str">
        <f>IF(AR94&gt;AR$129, AR94-AR$129,"")</f>
        <v/>
      </c>
      <c r="BV94" s="1" t="str">
        <f>IF(AS94&gt;AS$129, AS94-AS$129,"")</f>
        <v/>
      </c>
      <c r="BW94" s="1" t="str">
        <f>IF(AT94&gt;AT$129, AT94-AT$129,"")</f>
        <v/>
      </c>
      <c r="BX94" s="1" t="str">
        <f>IF(AU94&gt;AU$129, AU94-AU$129,"")</f>
        <v/>
      </c>
      <c r="BY94" s="1" t="str">
        <f>IF(AV94&gt;AV$129, AV94-AV$129,"")</f>
        <v/>
      </c>
      <c r="BZ94" s="1" t="str">
        <f>IF(AW94&gt;AW$129, AW94-AW$129,"")</f>
        <v/>
      </c>
      <c r="CA94" s="1" t="str">
        <f>IF(AX94&gt;AX$129, AX94-AX$129,"")</f>
        <v/>
      </c>
      <c r="CB94" s="1" t="str">
        <f>IF(AY94&gt;AY$129, AY94-AY$129,"")</f>
        <v/>
      </c>
      <c r="CC94" s="1" t="str">
        <f>IF(AZ94&gt;AZ$129, AZ94-AZ$129,"")</f>
        <v/>
      </c>
      <c r="CD94" s="1" t="str">
        <f>IF(BA94&gt;BA$129, BA94-BA$129,"")</f>
        <v/>
      </c>
      <c r="CE94" s="1" t="str">
        <f>IF(BB94&gt;BB$129, BB94-BB$129,"")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>
        <v>65</v>
      </c>
      <c r="B95" s="3" t="s">
        <v>61</v>
      </c>
      <c r="C95" s="1" t="s">
        <v>56</v>
      </c>
      <c r="D95" s="1" t="s">
        <v>13</v>
      </c>
      <c r="E95" s="6"/>
      <c r="F95" s="6"/>
      <c r="G95" s="6">
        <v>10</v>
      </c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>
        <v>25</v>
      </c>
      <c r="AO95" s="1"/>
      <c r="AP95" s="1"/>
      <c r="AQ95" s="4"/>
      <c r="AR95" s="4"/>
      <c r="AS95" s="4"/>
      <c r="AT95" s="4"/>
      <c r="AU95" s="4"/>
      <c r="AV95" s="4">
        <v>10</v>
      </c>
      <c r="AW95" s="2"/>
      <c r="AX95" s="2"/>
      <c r="AY95" s="2"/>
      <c r="AZ95" s="2">
        <v>10</v>
      </c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55</v>
      </c>
      <c r="BQ95" s="1">
        <v>38</v>
      </c>
      <c r="BR95" s="17">
        <v>3</v>
      </c>
      <c r="BS95" s="17" t="s">
        <v>291</v>
      </c>
      <c r="BT95" s="1" t="str">
        <f>IF(AQ95&gt;AQ$129, AQ95-AQ$129,"")</f>
        <v/>
      </c>
      <c r="BU95" s="1" t="str">
        <f>IF(AR95&gt;AR$129, AR95-AR$129,"")</f>
        <v/>
      </c>
      <c r="BV95" s="1" t="str">
        <f>IF(AS95&gt;AS$129, AS95-AS$129,"")</f>
        <v/>
      </c>
      <c r="BW95" s="1" t="str">
        <f>IF(AT95&gt;AT$129, AT95-AT$129,"")</f>
        <v/>
      </c>
      <c r="BX95" s="1" t="str">
        <f>IF(AU95&gt;AU$129, AU95-AU$129,"")</f>
        <v/>
      </c>
      <c r="BY95" s="1" t="str">
        <f>IF(AV95&gt;AV$129, AV95-AV$129,"")</f>
        <v/>
      </c>
      <c r="BZ95" s="1" t="str">
        <f>IF(AW95&gt;AW$129, AW95-AW$129,"")</f>
        <v/>
      </c>
      <c r="CA95" s="1" t="str">
        <f>IF(AX95&gt;AX$129, AX95-AX$129,"")</f>
        <v/>
      </c>
      <c r="CB95" s="1" t="str">
        <f>IF(AY95&gt;AY$129, AY95-AY$129,"")</f>
        <v/>
      </c>
      <c r="CC95" s="1" t="str">
        <f>IF(AZ95&gt;AZ$129, AZ95-AZ$129,"")</f>
        <v/>
      </c>
      <c r="CD95" s="1" t="str">
        <f>IF(BA95&gt;BA$129, BA95-BA$129,"")</f>
        <v/>
      </c>
      <c r="CE95" s="1" t="str">
        <f>IF(BB95&gt;BB$129, BB95-BB$129,"")</f>
        <v/>
      </c>
      <c r="CF95" s="1">
        <f>COUNTIF(BT95:CE95, "&gt;0")</f>
        <v>0</v>
      </c>
      <c r="CG95" s="1" t="str">
        <f>IF($CF95=1,BT95,"")</f>
        <v/>
      </c>
      <c r="CH95" s="1" t="str">
        <f>IF($CF95=1,BU95,"")</f>
        <v/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3">
        <f>SUM(AE95:BO95)</f>
        <v>45</v>
      </c>
    </row>
    <row r="96" spans="1:97" ht="40.5" x14ac:dyDescent="0.15">
      <c r="A96" s="1"/>
      <c r="B96" s="1" t="s">
        <v>108</v>
      </c>
      <c r="C96" s="1" t="s">
        <v>109</v>
      </c>
      <c r="D96" s="1" t="s">
        <v>110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>
        <v>40</v>
      </c>
      <c r="AW96" s="2">
        <v>40</v>
      </c>
      <c r="AX96" s="2"/>
      <c r="AY96" s="2"/>
      <c r="AZ96" s="2"/>
      <c r="BA96" s="2"/>
      <c r="BB96" s="2">
        <v>40</v>
      </c>
      <c r="BC96" s="14">
        <v>10</v>
      </c>
      <c r="BD96" s="1">
        <v>50</v>
      </c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180</v>
      </c>
      <c r="BQ96" s="1">
        <v>70</v>
      </c>
      <c r="BR96" s="17">
        <v>3</v>
      </c>
      <c r="BS96" s="17" t="s">
        <v>292</v>
      </c>
      <c r="BT96" s="1" t="str">
        <f>IF(AQ96&gt;AQ$129, AQ96-AQ$129,"")</f>
        <v/>
      </c>
      <c r="BU96" s="1" t="str">
        <f>IF(AR96&gt;AR$129, AR96-AR$129,"")</f>
        <v/>
      </c>
      <c r="BV96" s="1" t="str">
        <f>IF(AS96&gt;AS$129, AS96-AS$129,"")</f>
        <v/>
      </c>
      <c r="BW96" s="1" t="str">
        <f>IF(AT96&gt;AT$129, AT96-AT$129,"")</f>
        <v/>
      </c>
      <c r="BX96" s="1" t="str">
        <f>IF(AU96&gt;AU$129, AU96-AU$129,"")</f>
        <v/>
      </c>
      <c r="BY96" s="1" t="str">
        <f>IF(AV96&gt;AV$129, AV96-AV$129,"")</f>
        <v/>
      </c>
      <c r="BZ96" s="1" t="str">
        <f>IF(AW96&gt;AW$129, AW96-AW$129,"")</f>
        <v/>
      </c>
      <c r="CA96" s="1" t="str">
        <f>IF(AX96&gt;AX$129, AX96-AX$129,"")</f>
        <v/>
      </c>
      <c r="CB96" s="1" t="str">
        <f>IF(AY96&gt;AY$129, AY96-AY$129,"")</f>
        <v/>
      </c>
      <c r="CC96" s="1" t="str">
        <f>IF(AZ96&gt;AZ$129, AZ96-AZ$129,"")</f>
        <v/>
      </c>
      <c r="CD96" s="1" t="str">
        <f>IF(BA96&gt;BA$129, BA96-BA$129,"")</f>
        <v/>
      </c>
      <c r="CE96" s="1" t="str">
        <f>IF(BB96&gt;BB$129, BB96-BB$129,"")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154</v>
      </c>
      <c r="C97" s="1" t="s">
        <v>152</v>
      </c>
      <c r="D97" s="1" t="s">
        <v>124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>
        <v>5</v>
      </c>
      <c r="R97" s="28"/>
      <c r="S97" s="28"/>
      <c r="T97" s="28"/>
      <c r="U97" s="28"/>
      <c r="V97" s="28">
        <v>10</v>
      </c>
      <c r="W97" s="28"/>
      <c r="X97" s="28"/>
      <c r="Y97" s="28"/>
      <c r="Z97" s="28">
        <v>5</v>
      </c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30</v>
      </c>
      <c r="BQ97" s="1">
        <v>18</v>
      </c>
      <c r="BR97" s="17">
        <v>4</v>
      </c>
      <c r="BS97" s="17" t="s">
        <v>228</v>
      </c>
      <c r="BT97" s="1" t="str">
        <f>IF(AQ97&gt;AQ$129, AQ97-AQ$129,"")</f>
        <v/>
      </c>
      <c r="BU97" s="1" t="str">
        <f>IF(AR97&gt;AR$129, AR97-AR$129,"")</f>
        <v/>
      </c>
      <c r="BV97" s="1" t="str">
        <f>IF(AS97&gt;AS$129, AS97-AS$129,"")</f>
        <v/>
      </c>
      <c r="BW97" s="1" t="str">
        <f>IF(AT97&gt;AT$129, AT97-AT$129,"")</f>
        <v/>
      </c>
      <c r="BX97" s="1" t="str">
        <f>IF(AU97&gt;AU$129, AU97-AU$129,"")</f>
        <v/>
      </c>
      <c r="BY97" s="1" t="str">
        <f>IF(AV97&gt;AV$129, AV97-AV$129,"")</f>
        <v/>
      </c>
      <c r="BZ97" s="1" t="str">
        <f>IF(AW97&gt;AW$129, AW97-AW$129,"")</f>
        <v/>
      </c>
      <c r="CA97" s="1" t="str">
        <f>IF(AX97&gt;AX$129, AX97-AX$129,"")</f>
        <v/>
      </c>
      <c r="CB97" s="1" t="str">
        <f>IF(AY97&gt;AY$129, AY97-AY$129,"")</f>
        <v/>
      </c>
      <c r="CC97" s="1" t="str">
        <f>IF(AZ97&gt;AZ$129, AZ97-AZ$129,"")</f>
        <v/>
      </c>
      <c r="CD97" s="1" t="str">
        <f>IF(BA97&gt;BA$129, BA97-BA$129,"")</f>
        <v/>
      </c>
      <c r="CE97" s="1" t="str">
        <f>IF(BB97&gt;BB$129, BB97-BB$129,"")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139</v>
      </c>
      <c r="C98" s="1" t="s">
        <v>122</v>
      </c>
      <c r="D98" s="1" t="s">
        <v>125</v>
      </c>
      <c r="E98" s="6"/>
      <c r="F98" s="6"/>
      <c r="G98" s="6"/>
      <c r="H98" s="6">
        <v>10</v>
      </c>
      <c r="I98" s="6"/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10</v>
      </c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40</v>
      </c>
      <c r="BQ98" s="1">
        <v>18</v>
      </c>
      <c r="BR98" s="17">
        <v>4</v>
      </c>
      <c r="BS98" s="17" t="s">
        <v>293</v>
      </c>
      <c r="BT98" s="1" t="str">
        <f>IF(AQ98&gt;AQ$129, AQ98-AQ$129,"")</f>
        <v/>
      </c>
      <c r="BU98" s="1" t="str">
        <f>IF(AR98&gt;AR$129, AR98-AR$129,"")</f>
        <v/>
      </c>
      <c r="BV98" s="1" t="str">
        <f>IF(AS98&gt;AS$129, AS98-AS$129,"")</f>
        <v/>
      </c>
      <c r="BW98" s="1" t="str">
        <f>IF(AT98&gt;AT$129, AT98-AT$129,"")</f>
        <v/>
      </c>
      <c r="BX98" s="1" t="str">
        <f>IF(AU98&gt;AU$129, AU98-AU$129,"")</f>
        <v/>
      </c>
      <c r="BY98" s="1" t="str">
        <f>IF(AV98&gt;AV$129, AV98-AV$129,"")</f>
        <v/>
      </c>
      <c r="BZ98" s="1" t="str">
        <f>IF(AW98&gt;AW$129, AW98-AW$129,"")</f>
        <v/>
      </c>
      <c r="CA98" s="1" t="str">
        <f>IF(AX98&gt;AX$129, AX98-AX$129,"")</f>
        <v/>
      </c>
      <c r="CB98" s="1" t="str">
        <f>IF(AY98&gt;AY$129, AY98-AY$129,"")</f>
        <v/>
      </c>
      <c r="CC98" s="1" t="str">
        <f>IF(AZ98&gt;AZ$129, AZ98-AZ$129,"")</f>
        <v/>
      </c>
      <c r="CD98" s="1" t="str">
        <f>IF(BA98&gt;BA$129, BA98-BA$129,"")</f>
        <v/>
      </c>
      <c r="CE98" s="1" t="str">
        <f>IF(BB98&gt;BB$129, BB98-BB$129,"")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134</v>
      </c>
      <c r="C99" s="1" t="s">
        <v>122</v>
      </c>
      <c r="D99" s="1" t="s">
        <v>125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>
        <v>10</v>
      </c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>
        <v>10</v>
      </c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40</v>
      </c>
      <c r="BQ99" s="1">
        <v>20</v>
      </c>
      <c r="BR99" s="17">
        <v>4</v>
      </c>
      <c r="BS99" s="17" t="s">
        <v>294</v>
      </c>
      <c r="BT99" s="1" t="str">
        <f>IF(AQ99&gt;AQ$129, AQ99-AQ$129,"")</f>
        <v/>
      </c>
      <c r="BU99" s="1" t="str">
        <f>IF(AR99&gt;AR$129, AR99-AR$129,"")</f>
        <v/>
      </c>
      <c r="BV99" s="1" t="str">
        <f>IF(AS99&gt;AS$129, AS99-AS$129,"")</f>
        <v/>
      </c>
      <c r="BW99" s="1" t="str">
        <f>IF(AT99&gt;AT$129, AT99-AT$129,"")</f>
        <v/>
      </c>
      <c r="BX99" s="1" t="str">
        <f>IF(AU99&gt;AU$129, AU99-AU$129,"")</f>
        <v/>
      </c>
      <c r="BY99" s="1" t="str">
        <f>IF(AV99&gt;AV$129, AV99-AV$129,"")</f>
        <v/>
      </c>
      <c r="BZ99" s="1" t="str">
        <f>IF(AW99&gt;AW$129, AW99-AW$129,"")</f>
        <v/>
      </c>
      <c r="CA99" s="1" t="str">
        <f>IF(AX99&gt;AX$129, AX99-AX$129,"")</f>
        <v/>
      </c>
      <c r="CB99" s="1" t="str">
        <f>IF(AY99&gt;AY$129, AY99-AY$129,"")</f>
        <v/>
      </c>
      <c r="CC99" s="1" t="str">
        <f>IF(AZ99&gt;AZ$129, AZ99-AZ$129,"")</f>
        <v/>
      </c>
      <c r="CD99" s="1" t="str">
        <f>IF(BA99&gt;BA$129, BA99-BA$129,"")</f>
        <v/>
      </c>
      <c r="CE99" s="1" t="str">
        <f>IF(BB99&gt;BB$129, BB99-BB$129,"")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134</v>
      </c>
      <c r="C100" s="1" t="s">
        <v>122</v>
      </c>
      <c r="D100" s="1" t="s">
        <v>123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295</v>
      </c>
      <c r="BT100" s="1" t="str">
        <f>IF(AQ100&gt;AQ$129, AQ100-AQ$129,"")</f>
        <v/>
      </c>
      <c r="BU100" s="1" t="str">
        <f>IF(AR100&gt;AR$129, AR100-AR$129,"")</f>
        <v/>
      </c>
      <c r="BV100" s="1" t="str">
        <f>IF(AS100&gt;AS$129, AS100-AS$129,"")</f>
        <v/>
      </c>
      <c r="BW100" s="1" t="str">
        <f>IF(AT100&gt;AT$129, AT100-AT$129,"")</f>
        <v/>
      </c>
      <c r="BX100" s="1" t="str">
        <f>IF(AU100&gt;AU$129, AU100-AU$129,"")</f>
        <v/>
      </c>
      <c r="BY100" s="1" t="str">
        <f>IF(AV100&gt;AV$129, AV100-AV$129,"")</f>
        <v/>
      </c>
      <c r="BZ100" s="1" t="str">
        <f>IF(AW100&gt;AW$129, AW100-AW$129,"")</f>
        <v/>
      </c>
      <c r="CA100" s="1" t="str">
        <f>IF(AX100&gt;AX$129, AX100-AX$129,"")</f>
        <v/>
      </c>
      <c r="CB100" s="1" t="str">
        <f>IF(AY100&gt;AY$129, AY100-AY$129,"")</f>
        <v/>
      </c>
      <c r="CC100" s="1" t="str">
        <f>IF(AZ100&gt;AZ$129, AZ100-AZ$129,"")</f>
        <v/>
      </c>
      <c r="CD100" s="1" t="str">
        <f>IF(BA100&gt;BA$129, BA100-BA$129,"")</f>
        <v/>
      </c>
      <c r="CE100" s="1" t="str">
        <f>IF(BB100&gt;BB$129, BB100-BB$129,"")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139</v>
      </c>
      <c r="C101" s="1" t="s">
        <v>122</v>
      </c>
      <c r="D101" s="1" t="s">
        <v>123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193</v>
      </c>
      <c r="BT101" s="1" t="str">
        <f>IF(AQ101&gt;AQ$129, AQ101-AQ$129,"")</f>
        <v/>
      </c>
      <c r="BU101" s="1" t="str">
        <f>IF(AR101&gt;AR$129, AR101-AR$129,"")</f>
        <v/>
      </c>
      <c r="BV101" s="1" t="str">
        <f>IF(AS101&gt;AS$129, AS101-AS$129,"")</f>
        <v/>
      </c>
      <c r="BW101" s="1" t="str">
        <f>IF(AT101&gt;AT$129, AT101-AT$129,"")</f>
        <v/>
      </c>
      <c r="BX101" s="1" t="str">
        <f>IF(AU101&gt;AU$129, AU101-AU$129,"")</f>
        <v/>
      </c>
      <c r="BY101" s="1" t="str">
        <f>IF(AV101&gt;AV$129, AV101-AV$129,"")</f>
        <v/>
      </c>
      <c r="BZ101" s="1" t="str">
        <f>IF(AW101&gt;AW$129, AW101-AW$129,"")</f>
        <v/>
      </c>
      <c r="CA101" s="1" t="str">
        <f>IF(AX101&gt;AX$129, AX101-AX$129,"")</f>
        <v/>
      </c>
      <c r="CB101" s="1" t="str">
        <f>IF(AY101&gt;AY$129, AY101-AY$129,"")</f>
        <v/>
      </c>
      <c r="CC101" s="1" t="str">
        <f>IF(AZ101&gt;AZ$129, AZ101-AZ$129,"")</f>
        <v/>
      </c>
      <c r="CD101" s="1" t="str">
        <f>IF(BA101&gt;BA$129, BA101-BA$129,"")</f>
        <v/>
      </c>
      <c r="CE101" s="1" t="str">
        <f>IF(BB101&gt;BB$129, BB101-BB$129,"")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143</v>
      </c>
      <c r="C102" s="1" t="s">
        <v>141</v>
      </c>
      <c r="D102" s="1" t="s">
        <v>123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295</v>
      </c>
      <c r="BT102" s="1" t="str">
        <f>IF(AQ102&gt;AQ$129, AQ102-AQ$129,"")</f>
        <v/>
      </c>
      <c r="BU102" s="1" t="str">
        <f>IF(AR102&gt;AR$129, AR102-AR$129,"")</f>
        <v/>
      </c>
      <c r="BV102" s="1" t="str">
        <f>IF(AS102&gt;AS$129, AS102-AS$129,"")</f>
        <v/>
      </c>
      <c r="BW102" s="1" t="str">
        <f>IF(AT102&gt;AT$129, AT102-AT$129,"")</f>
        <v/>
      </c>
      <c r="BX102" s="1" t="str">
        <f>IF(AU102&gt;AU$129, AU102-AU$129,"")</f>
        <v/>
      </c>
      <c r="BY102" s="1" t="str">
        <f>IF(AV102&gt;AV$129, AV102-AV$129,"")</f>
        <v/>
      </c>
      <c r="BZ102" s="1" t="str">
        <f>IF(AW102&gt;AW$129, AW102-AW$129,"")</f>
        <v/>
      </c>
      <c r="CA102" s="1" t="str">
        <f>IF(AX102&gt;AX$129, AX102-AX$129,"")</f>
        <v/>
      </c>
      <c r="CB102" s="1" t="str">
        <f>IF(AY102&gt;AY$129, AY102-AY$129,"")</f>
        <v/>
      </c>
      <c r="CC102" s="1" t="str">
        <f>IF(AZ102&gt;AZ$129, AZ102-AZ$129,"")</f>
        <v/>
      </c>
      <c r="CD102" s="1" t="str">
        <f>IF(BA102&gt;BA$129, BA102-BA$129,"")</f>
        <v/>
      </c>
      <c r="CE102" s="1" t="str">
        <f>IF(BB102&gt;BB$129, BB102-BB$129,"")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147</v>
      </c>
      <c r="C103" s="1" t="s">
        <v>145</v>
      </c>
      <c r="D103" s="1" t="s">
        <v>123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295</v>
      </c>
      <c r="BT103" s="1" t="str">
        <f>IF(AQ103&gt;AQ$129, AQ103-AQ$129,"")</f>
        <v/>
      </c>
      <c r="BU103" s="1" t="str">
        <f>IF(AR103&gt;AR$129, AR103-AR$129,"")</f>
        <v/>
      </c>
      <c r="BV103" s="1" t="str">
        <f>IF(AS103&gt;AS$129, AS103-AS$129,"")</f>
        <v/>
      </c>
      <c r="BW103" s="1" t="str">
        <f>IF(AT103&gt;AT$129, AT103-AT$129,"")</f>
        <v/>
      </c>
      <c r="BX103" s="1" t="str">
        <f>IF(AU103&gt;AU$129, AU103-AU$129,"")</f>
        <v/>
      </c>
      <c r="BY103" s="1" t="str">
        <f>IF(AV103&gt;AV$129, AV103-AV$129,"")</f>
        <v/>
      </c>
      <c r="BZ103" s="1" t="str">
        <f>IF(AW103&gt;AW$129, AW103-AW$129,"")</f>
        <v/>
      </c>
      <c r="CA103" s="1" t="str">
        <f>IF(AX103&gt;AX$129, AX103-AX$129,"")</f>
        <v/>
      </c>
      <c r="CB103" s="1" t="str">
        <f>IF(AY103&gt;AY$129, AY103-AY$129,"")</f>
        <v/>
      </c>
      <c r="CC103" s="1" t="str">
        <f>IF(AZ103&gt;AZ$129, AZ103-AZ$129,"")</f>
        <v/>
      </c>
      <c r="CD103" s="1" t="str">
        <f>IF(BA103&gt;BA$129, BA103-BA$129,"")</f>
        <v/>
      </c>
      <c r="CE103" s="1" t="str">
        <f>IF(BB103&gt;BB$129, BB103-BB$129,"")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153</v>
      </c>
      <c r="C104" s="1" t="s">
        <v>152</v>
      </c>
      <c r="D104" s="1" t="s">
        <v>123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193</v>
      </c>
      <c r="BT104" s="1" t="str">
        <f>IF(AQ104&gt;AQ$129, AQ104-AQ$129,"")</f>
        <v/>
      </c>
      <c r="BU104" s="1" t="str">
        <f>IF(AR104&gt;AR$129, AR104-AR$129,"")</f>
        <v/>
      </c>
      <c r="BV104" s="1" t="str">
        <f>IF(AS104&gt;AS$129, AS104-AS$129,"")</f>
        <v/>
      </c>
      <c r="BW104" s="1" t="str">
        <f>IF(AT104&gt;AT$129, AT104-AT$129,"")</f>
        <v/>
      </c>
      <c r="BX104" s="1" t="str">
        <f>IF(AU104&gt;AU$129, AU104-AU$129,"")</f>
        <v/>
      </c>
      <c r="BY104" s="1" t="str">
        <f>IF(AV104&gt;AV$129, AV104-AV$129,"")</f>
        <v/>
      </c>
      <c r="BZ104" s="1" t="str">
        <f>IF(AW104&gt;AW$129, AW104-AW$129,"")</f>
        <v/>
      </c>
      <c r="CA104" s="1" t="str">
        <f>IF(AX104&gt;AX$129, AX104-AX$129,"")</f>
        <v/>
      </c>
      <c r="CB104" s="1" t="str">
        <f>IF(AY104&gt;AY$129, AY104-AY$129,"")</f>
        <v/>
      </c>
      <c r="CC104" s="1" t="str">
        <f>IF(AZ104&gt;AZ$129, AZ104-AZ$129,"")</f>
        <v/>
      </c>
      <c r="CD104" s="1" t="str">
        <f>IF(BA104&gt;BA$129, BA104-BA$129,"")</f>
        <v/>
      </c>
      <c r="CE104" s="1" t="str">
        <f>IF(BB104&gt;BB$129, BB104-BB$129,"")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159</v>
      </c>
      <c r="C105" s="1" t="s">
        <v>120</v>
      </c>
      <c r="D105" s="1" t="s">
        <v>160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193</v>
      </c>
      <c r="BT105" s="1" t="str">
        <f>IF(AQ105&gt;AQ$129, AQ105-AQ$129,"")</f>
        <v/>
      </c>
      <c r="BU105" s="1" t="str">
        <f>IF(AR105&gt;AR$129, AR105-AR$129,"")</f>
        <v/>
      </c>
      <c r="BV105" s="1" t="str">
        <f>IF(AS105&gt;AS$129, AS105-AS$129,"")</f>
        <v/>
      </c>
      <c r="BW105" s="1" t="str">
        <f>IF(AT105&gt;AT$129, AT105-AT$129,"")</f>
        <v/>
      </c>
      <c r="BX105" s="1" t="str">
        <f>IF(AU105&gt;AU$129, AU105-AU$129,"")</f>
        <v/>
      </c>
      <c r="BY105" s="1" t="str">
        <f>IF(AV105&gt;AV$129, AV105-AV$129,"")</f>
        <v/>
      </c>
      <c r="BZ105" s="1" t="str">
        <f>IF(AW105&gt;AW$129, AW105-AW$129,"")</f>
        <v/>
      </c>
      <c r="CA105" s="1" t="str">
        <f>IF(AX105&gt;AX$129, AX105-AX$129,"")</f>
        <v/>
      </c>
      <c r="CB105" s="1" t="str">
        <f>IF(AY105&gt;AY$129, AY105-AY$129,"")</f>
        <v/>
      </c>
      <c r="CC105" s="1" t="str">
        <f>IF(AZ105&gt;AZ$129, AZ105-AZ$129,"")</f>
        <v/>
      </c>
      <c r="CD105" s="1" t="str">
        <f>IF(BA105&gt;BA$129, BA105-BA$129,"")</f>
        <v/>
      </c>
      <c r="CE105" s="1" t="str">
        <f>IF(BB105&gt;BB$129, BB105-BB$129,"")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164</v>
      </c>
      <c r="C106" s="1" t="s">
        <v>122</v>
      </c>
      <c r="D106" s="1" t="s">
        <v>124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296</v>
      </c>
      <c r="BT106" s="1" t="str">
        <f>IF(AQ106&gt;AQ$129, AQ106-AQ$129,"")</f>
        <v/>
      </c>
      <c r="BU106" s="1" t="str">
        <f>IF(AR106&gt;AR$129, AR106-AR$129,"")</f>
        <v/>
      </c>
      <c r="BV106" s="1" t="str">
        <f>IF(AS106&gt;AS$129, AS106-AS$129,"")</f>
        <v/>
      </c>
      <c r="BW106" s="1" t="str">
        <f>IF(AT106&gt;AT$129, AT106-AT$129,"")</f>
        <v/>
      </c>
      <c r="BX106" s="1" t="str">
        <f>IF(AU106&gt;AU$129, AU106-AU$129,"")</f>
        <v/>
      </c>
      <c r="BY106" s="1" t="str">
        <f>IF(AV106&gt;AV$129, AV106-AV$129,"")</f>
        <v/>
      </c>
      <c r="BZ106" s="1" t="str">
        <f>IF(AW106&gt;AW$129, AW106-AW$129,"")</f>
        <v/>
      </c>
      <c r="CA106" s="1" t="str">
        <f>IF(AX106&gt;AX$129, AX106-AX$129,"")</f>
        <v/>
      </c>
      <c r="CB106" s="1" t="str">
        <f>IF(AY106&gt;AY$129, AY106-AY$129,"")</f>
        <v/>
      </c>
      <c r="CC106" s="1" t="str">
        <f>IF(AZ106&gt;AZ$129, AZ106-AZ$129,"")</f>
        <v/>
      </c>
      <c r="CD106" s="1" t="str">
        <f>IF(BA106&gt;BA$129, BA106-BA$129,"")</f>
        <v/>
      </c>
      <c r="CE106" s="1" t="str">
        <f>IF(BB106&gt;BB$129, BB106-BB$129,"")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148</v>
      </c>
      <c r="C107" s="1" t="s">
        <v>150</v>
      </c>
      <c r="D107" s="1" t="s">
        <v>124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296</v>
      </c>
      <c r="BT107" s="1" t="str">
        <f>IF(AQ107&gt;AQ$129, AQ107-AQ$129,"")</f>
        <v/>
      </c>
      <c r="BU107" s="1" t="str">
        <f>IF(AR107&gt;AR$129, AR107-AR$129,"")</f>
        <v/>
      </c>
      <c r="BV107" s="1" t="str">
        <f>IF(AS107&gt;AS$129, AS107-AS$129,"")</f>
        <v/>
      </c>
      <c r="BW107" s="1" t="str">
        <f>IF(AT107&gt;AT$129, AT107-AT$129,"")</f>
        <v/>
      </c>
      <c r="BX107" s="1" t="str">
        <f>IF(AU107&gt;AU$129, AU107-AU$129,"")</f>
        <v/>
      </c>
      <c r="BY107" s="1" t="str">
        <f>IF(AV107&gt;AV$129, AV107-AV$129,"")</f>
        <v/>
      </c>
      <c r="BZ107" s="1" t="str">
        <f>IF(AW107&gt;AW$129, AW107-AW$129,"")</f>
        <v/>
      </c>
      <c r="CA107" s="1" t="str">
        <f>IF(AX107&gt;AX$129, AX107-AX$129,"")</f>
        <v/>
      </c>
      <c r="CB107" s="1" t="str">
        <f>IF(AY107&gt;AY$129, AY107-AY$129,"")</f>
        <v/>
      </c>
      <c r="CC107" s="1" t="str">
        <f>IF(AZ107&gt;AZ$129, AZ107-AZ$129,"")</f>
        <v/>
      </c>
      <c r="CD107" s="1" t="str">
        <f>IF(BA107&gt;BA$129, BA107-BA$129,"")</f>
        <v/>
      </c>
      <c r="CE107" s="1" t="str">
        <f>IF(BB107&gt;BB$129, BB107-BB$129,"")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157</v>
      </c>
      <c r="C108" s="1" t="s">
        <v>152</v>
      </c>
      <c r="D108" s="1" t="s">
        <v>124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229</v>
      </c>
      <c r="BT108" s="1" t="str">
        <f>IF(AQ108&gt;AQ$129, AQ108-AQ$129,"")</f>
        <v/>
      </c>
      <c r="BU108" s="1" t="str">
        <f>IF(AR108&gt;AR$129, AR108-AR$129,"")</f>
        <v/>
      </c>
      <c r="BV108" s="1" t="str">
        <f>IF(AS108&gt;AS$129, AS108-AS$129,"")</f>
        <v/>
      </c>
      <c r="BW108" s="1" t="str">
        <f>IF(AT108&gt;AT$129, AT108-AT$129,"")</f>
        <v/>
      </c>
      <c r="BX108" s="1" t="str">
        <f>IF(AU108&gt;AU$129, AU108-AU$129,"")</f>
        <v/>
      </c>
      <c r="BY108" s="1" t="str">
        <f>IF(AV108&gt;AV$129, AV108-AV$129,"")</f>
        <v/>
      </c>
      <c r="BZ108" s="1" t="str">
        <f>IF(AW108&gt;AW$129, AW108-AW$129,"")</f>
        <v/>
      </c>
      <c r="CA108" s="1" t="str">
        <f>IF(AX108&gt;AX$129, AX108-AX$129,"")</f>
        <v/>
      </c>
      <c r="CB108" s="1" t="str">
        <f>IF(AY108&gt;AY$129, AY108-AY$129,"")</f>
        <v/>
      </c>
      <c r="CC108" s="1" t="str">
        <f>IF(AZ108&gt;AZ$129, AZ108-AZ$129,"")</f>
        <v/>
      </c>
      <c r="CD108" s="1" t="str">
        <f>IF(BA108&gt;BA$129, BA108-BA$129,"")</f>
        <v/>
      </c>
      <c r="CE108" s="1" t="str">
        <f>IF(BB108&gt;BB$129, BB108-BB$129,"")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158</v>
      </c>
      <c r="C109" s="1" t="s">
        <v>152</v>
      </c>
      <c r="D109" s="1" t="s">
        <v>124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296</v>
      </c>
      <c r="BT109" s="1" t="str">
        <f>IF(AQ109&gt;AQ$129, AQ109-AQ$129,"")</f>
        <v/>
      </c>
      <c r="BU109" s="1" t="str">
        <f>IF(AR109&gt;AR$129, AR109-AR$129,"")</f>
        <v/>
      </c>
      <c r="BV109" s="1" t="str">
        <f>IF(AS109&gt;AS$129, AS109-AS$129,"")</f>
        <v/>
      </c>
      <c r="BW109" s="1" t="str">
        <f>IF(AT109&gt;AT$129, AT109-AT$129,"")</f>
        <v/>
      </c>
      <c r="BX109" s="1" t="str">
        <f>IF(AU109&gt;AU$129, AU109-AU$129,"")</f>
        <v/>
      </c>
      <c r="BY109" s="1" t="str">
        <f>IF(AV109&gt;AV$129, AV109-AV$129,"")</f>
        <v/>
      </c>
      <c r="BZ109" s="1" t="str">
        <f>IF(AW109&gt;AW$129, AW109-AW$129,"")</f>
        <v/>
      </c>
      <c r="CA109" s="1" t="str">
        <f>IF(AX109&gt;AX$129, AX109-AX$129,"")</f>
        <v/>
      </c>
      <c r="CB109" s="1" t="str">
        <f>IF(AY109&gt;AY$129, AY109-AY$129,"")</f>
        <v/>
      </c>
      <c r="CC109" s="1" t="str">
        <f>IF(AZ109&gt;AZ$129, AZ109-AZ$129,"")</f>
        <v/>
      </c>
      <c r="CD109" s="1" t="str">
        <f>IF(BA109&gt;BA$129, BA109-BA$129,"")</f>
        <v/>
      </c>
      <c r="CE109" s="1" t="str">
        <f>IF(BB109&gt;BB$129, BB109-BB$129,"")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149</v>
      </c>
      <c r="C110" s="1" t="s">
        <v>150</v>
      </c>
      <c r="D110" s="1" t="s">
        <v>123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/>
      <c r="W110" s="28"/>
      <c r="X110" s="28"/>
      <c r="Y110" s="28"/>
      <c r="Z110" s="28">
        <v>5</v>
      </c>
      <c r="AA110" s="28"/>
      <c r="AB110" s="28">
        <v>10</v>
      </c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297</v>
      </c>
      <c r="BT110" s="1" t="str">
        <f>IF(AQ110&gt;AQ$129, AQ110-AQ$129,"")</f>
        <v/>
      </c>
      <c r="BU110" s="1" t="str">
        <f>IF(AR110&gt;AR$129, AR110-AR$129,"")</f>
        <v/>
      </c>
      <c r="BV110" s="1" t="str">
        <f>IF(AS110&gt;AS$129, AS110-AS$129,"")</f>
        <v/>
      </c>
      <c r="BW110" s="1" t="str">
        <f>IF(AT110&gt;AT$129, AT110-AT$129,"")</f>
        <v/>
      </c>
      <c r="BX110" s="1" t="str">
        <f>IF(AU110&gt;AU$129, AU110-AU$129,"")</f>
        <v/>
      </c>
      <c r="BY110" s="1" t="str">
        <f>IF(AV110&gt;AV$129, AV110-AV$129,"")</f>
        <v/>
      </c>
      <c r="BZ110" s="1" t="str">
        <f>IF(AW110&gt;AW$129, AW110-AW$129,"")</f>
        <v/>
      </c>
      <c r="CA110" s="1" t="str">
        <f>IF(AX110&gt;AX$129, AX110-AX$129,"")</f>
        <v/>
      </c>
      <c r="CB110" s="1" t="str">
        <f>IF(AY110&gt;AY$129, AY110-AY$129,"")</f>
        <v/>
      </c>
      <c r="CC110" s="1" t="str">
        <f>IF(AZ110&gt;AZ$129, AZ110-AZ$129,"")</f>
        <v/>
      </c>
      <c r="CD110" s="1" t="str">
        <f>IF(BA110&gt;BA$129, BA110-BA$129,"")</f>
        <v/>
      </c>
      <c r="CE110" s="1" t="str">
        <f>IF(BB110&gt;BB$129, BB110-BB$129,"")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>
        <v>1</v>
      </c>
      <c r="B111" s="1" t="s">
        <v>0</v>
      </c>
      <c r="C111" s="1" t="s">
        <v>2</v>
      </c>
      <c r="D111" s="1" t="s">
        <v>1</v>
      </c>
      <c r="E111" s="6">
        <v>10</v>
      </c>
      <c r="F111" s="6">
        <v>10</v>
      </c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>
        <v>10</v>
      </c>
      <c r="AS111" s="4"/>
      <c r="AT111" s="4"/>
      <c r="AU111" s="4"/>
      <c r="AV111" s="4"/>
      <c r="AW111" s="2">
        <v>15</v>
      </c>
      <c r="AX111" s="2">
        <v>15</v>
      </c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60</v>
      </c>
      <c r="BQ111" s="1">
        <v>24</v>
      </c>
      <c r="BR111" s="17">
        <v>4</v>
      </c>
      <c r="BS111" s="17" t="s">
        <v>286</v>
      </c>
      <c r="BT111" s="1" t="str">
        <f>IF(AQ111&gt;AQ$129, AQ111-AQ$129,"")</f>
        <v/>
      </c>
      <c r="BU111" s="1" t="str">
        <f>IF(AR111&gt;AR$129, AR111-AR$129,"")</f>
        <v/>
      </c>
      <c r="BV111" s="1" t="str">
        <f>IF(AS111&gt;AS$129, AS111-AS$129,"")</f>
        <v/>
      </c>
      <c r="BW111" s="1" t="str">
        <f>IF(AT111&gt;AT$129, AT111-AT$129,"")</f>
        <v/>
      </c>
      <c r="BX111" s="1" t="str">
        <f>IF(AU111&gt;AU$129, AU111-AU$129,"")</f>
        <v/>
      </c>
      <c r="BY111" s="1" t="str">
        <f>IF(AV111&gt;AV$129, AV111-AV$129,"")</f>
        <v/>
      </c>
      <c r="BZ111" s="1" t="str">
        <f>IF(AW111&gt;AW$129, AW111-AW$129,"")</f>
        <v/>
      </c>
      <c r="CA111" s="1" t="str">
        <f>IF(AX111&gt;AX$129, AX111-AX$129,"")</f>
        <v/>
      </c>
      <c r="CB111" s="1" t="str">
        <f>IF(AY111&gt;AY$129, AY111-AY$129,"")</f>
        <v/>
      </c>
      <c r="CC111" s="1" t="str">
        <f>IF(AZ111&gt;AZ$129, AZ111-AZ$129,"")</f>
        <v/>
      </c>
      <c r="CD111" s="1" t="str">
        <f>IF(BA111&gt;BA$129, BA111-BA$129,"")</f>
        <v/>
      </c>
      <c r="CE111" s="1" t="str">
        <f>IF(BB111&gt;BB$129, BB111-BB$129,"")</f>
        <v/>
      </c>
      <c r="CF111" s="1">
        <f>COUNTIF(BT111:CE111, "&gt;0")</f>
        <v>0</v>
      </c>
      <c r="CG111" s="1" t="str">
        <f>IF($CF111=1,BT111,"")</f>
        <v/>
      </c>
      <c r="CH111" s="1" t="str">
        <f>IF($CF111=1,BU111,"")</f>
        <v/>
      </c>
      <c r="CI111" s="1" t="str">
        <f>IF($CF111=1,BV111,"")</f>
        <v/>
      </c>
      <c r="CJ111" s="1" t="str">
        <f>IF($CF111=1,BW111,"")</f>
        <v/>
      </c>
      <c r="CK111" s="1" t="str">
        <f>IF($CF111=1,BX111,"")</f>
        <v/>
      </c>
      <c r="CL111" s="1" t="str">
        <f>IF($CF111=1,BY111,"")</f>
        <v/>
      </c>
      <c r="CM111" s="1" t="str">
        <f>IF($CF111=1,BZ111,"")</f>
        <v/>
      </c>
      <c r="CN111" s="1" t="str">
        <f>IF($CF111=1,CA111,"")</f>
        <v/>
      </c>
      <c r="CO111" s="1" t="str">
        <f>IF($CF111=1,CB111,"")</f>
        <v/>
      </c>
      <c r="CP111" s="1" t="str">
        <f>IF($CF111=1,CC111,"")</f>
        <v/>
      </c>
      <c r="CQ111" s="1" t="str">
        <f>IF($CF111=1,CD111,"")</f>
        <v/>
      </c>
      <c r="CR111" s="1" t="str">
        <f>IF($CF111=1,CE111,"")</f>
        <v/>
      </c>
      <c r="CS111" s="3">
        <f>SUM(AE111:BO111)</f>
        <v>40</v>
      </c>
    </row>
    <row r="112" spans="1:97" ht="54" x14ac:dyDescent="0.15">
      <c r="A112" s="1"/>
      <c r="B112" s="1" t="s">
        <v>140</v>
      </c>
      <c r="C112" s="1" t="s">
        <v>141</v>
      </c>
      <c r="D112" s="1" t="s">
        <v>124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>
        <v>5</v>
      </c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24</v>
      </c>
      <c r="BR112" s="17">
        <v>4</v>
      </c>
      <c r="BS112" s="17" t="s">
        <v>298</v>
      </c>
      <c r="BT112" s="1" t="str">
        <f>IF(AQ112&gt;AQ$129, AQ112-AQ$129,"")</f>
        <v/>
      </c>
      <c r="BU112" s="1" t="str">
        <f>IF(AR112&gt;AR$129, AR112-AR$129,"")</f>
        <v/>
      </c>
      <c r="BV112" s="1" t="str">
        <f>IF(AS112&gt;AS$129, AS112-AS$129,"")</f>
        <v/>
      </c>
      <c r="BW112" s="1" t="str">
        <f>IF(AT112&gt;AT$129, AT112-AT$129,"")</f>
        <v/>
      </c>
      <c r="BX112" s="1" t="str">
        <f>IF(AU112&gt;AU$129, AU112-AU$129,"")</f>
        <v/>
      </c>
      <c r="BY112" s="1" t="str">
        <f>IF(AV112&gt;AV$129, AV112-AV$129,"")</f>
        <v/>
      </c>
      <c r="BZ112" s="1" t="str">
        <f>IF(AW112&gt;AW$129, AW112-AW$129,"")</f>
        <v/>
      </c>
      <c r="CA112" s="1" t="str">
        <f>IF(AX112&gt;AX$129, AX112-AX$129,"")</f>
        <v/>
      </c>
      <c r="CB112" s="1" t="str">
        <f>IF(AY112&gt;AY$129, AY112-AY$129,"")</f>
        <v/>
      </c>
      <c r="CC112" s="1" t="str">
        <f>IF(AZ112&gt;AZ$129, AZ112-AZ$129,"")</f>
        <v/>
      </c>
      <c r="CD112" s="1" t="str">
        <f>IF(BA112&gt;BA$129, BA112-BA$129,"")</f>
        <v/>
      </c>
      <c r="CE112" s="1" t="str">
        <f>IF(BB112&gt;BB$129, BB112-BB$129,"")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146</v>
      </c>
      <c r="C113" s="1" t="s">
        <v>145</v>
      </c>
      <c r="D113" s="1" t="s">
        <v>124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>
        <v>5</v>
      </c>
      <c r="R113" s="28"/>
      <c r="S113" s="28"/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>
        <v>10</v>
      </c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24</v>
      </c>
      <c r="BR113" s="17">
        <v>4</v>
      </c>
      <c r="BS113" s="17" t="s">
        <v>230</v>
      </c>
      <c r="BT113" s="1" t="str">
        <f>IF(AQ113&gt;AQ$129, AQ113-AQ$129,"")</f>
        <v/>
      </c>
      <c r="BU113" s="1" t="str">
        <f>IF(AR113&gt;AR$129, AR113-AR$129,"")</f>
        <v/>
      </c>
      <c r="BV113" s="1" t="str">
        <f>IF(AS113&gt;AS$129, AS113-AS$129,"")</f>
        <v/>
      </c>
      <c r="BW113" s="1" t="str">
        <f>IF(AT113&gt;AT$129, AT113-AT$129,"")</f>
        <v/>
      </c>
      <c r="BX113" s="1" t="str">
        <f>IF(AU113&gt;AU$129, AU113-AU$129,"")</f>
        <v/>
      </c>
      <c r="BY113" s="1" t="str">
        <f>IF(AV113&gt;AV$129, AV113-AV$129,"")</f>
        <v/>
      </c>
      <c r="BZ113" s="1" t="str">
        <f>IF(AW113&gt;AW$129, AW113-AW$129,"")</f>
        <v/>
      </c>
      <c r="CA113" s="1" t="str">
        <f>IF(AX113&gt;AX$129, AX113-AX$129,"")</f>
        <v/>
      </c>
      <c r="CB113" s="1" t="str">
        <f>IF(AY113&gt;AY$129, AY113-AY$129,"")</f>
        <v/>
      </c>
      <c r="CC113" s="1" t="str">
        <f>IF(AZ113&gt;AZ$129, AZ113-AZ$129,"")</f>
        <v/>
      </c>
      <c r="CD113" s="1" t="str">
        <f>IF(BA113&gt;BA$129, BA113-BA$129,"")</f>
        <v/>
      </c>
      <c r="CE113" s="1" t="str">
        <f>IF(BB113&gt;BB$129, BB113-BB$129,"")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140</v>
      </c>
      <c r="C114" s="1" t="s">
        <v>141</v>
      </c>
      <c r="D114" s="1" t="s">
        <v>123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194</v>
      </c>
      <c r="BT114" s="1" t="str">
        <f>IF(AQ114&gt;AQ$129, AQ114-AQ$129,"")</f>
        <v/>
      </c>
      <c r="BU114" s="1" t="str">
        <f>IF(AR114&gt;AR$129, AR114-AR$129,"")</f>
        <v/>
      </c>
      <c r="BV114" s="1" t="str">
        <f>IF(AS114&gt;AS$129, AS114-AS$129,"")</f>
        <v/>
      </c>
      <c r="BW114" s="1" t="str">
        <f>IF(AT114&gt;AT$129, AT114-AT$129,"")</f>
        <v/>
      </c>
      <c r="BX114" s="1" t="str">
        <f>IF(AU114&gt;AU$129, AU114-AU$129,"")</f>
        <v/>
      </c>
      <c r="BY114" s="1" t="str">
        <f>IF(AV114&gt;AV$129, AV114-AV$129,"")</f>
        <v/>
      </c>
      <c r="BZ114" s="1" t="str">
        <f>IF(AW114&gt;AW$129, AW114-AW$129,"")</f>
        <v/>
      </c>
      <c r="CA114" s="1" t="str">
        <f>IF(AX114&gt;AX$129, AX114-AX$129,"")</f>
        <v/>
      </c>
      <c r="CB114" s="1" t="str">
        <f>IF(AY114&gt;AY$129, AY114-AY$129,"")</f>
        <v/>
      </c>
      <c r="CC114" s="1" t="str">
        <f>IF(AZ114&gt;AZ$129, AZ114-AZ$129,"")</f>
        <v/>
      </c>
      <c r="CD114" s="1" t="str">
        <f>IF(BA114&gt;BA$129, BA114-BA$129,"")</f>
        <v/>
      </c>
      <c r="CE114" s="1" t="str">
        <f>IF(BB114&gt;BB$129, BB114-BB$129,"")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146</v>
      </c>
      <c r="C115" s="1" t="s">
        <v>145</v>
      </c>
      <c r="D115" s="1" t="s">
        <v>123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299</v>
      </c>
      <c r="BT115" s="1" t="str">
        <f>IF(AQ115&gt;AQ$129, AQ115-AQ$129,"")</f>
        <v/>
      </c>
      <c r="BU115" s="1" t="str">
        <f>IF(AR115&gt;AR$129, AR115-AR$129,"")</f>
        <v/>
      </c>
      <c r="BV115" s="1" t="str">
        <f>IF(AS115&gt;AS$129, AS115-AS$129,"")</f>
        <v/>
      </c>
      <c r="BW115" s="1" t="str">
        <f>IF(AT115&gt;AT$129, AT115-AT$129,"")</f>
        <v/>
      </c>
      <c r="BX115" s="1" t="str">
        <f>IF(AU115&gt;AU$129, AU115-AU$129,"")</f>
        <v/>
      </c>
      <c r="BY115" s="1" t="str">
        <f>IF(AV115&gt;AV$129, AV115-AV$129,"")</f>
        <v/>
      </c>
      <c r="BZ115" s="1" t="str">
        <f>IF(AW115&gt;AW$129, AW115-AW$129,"")</f>
        <v/>
      </c>
      <c r="CA115" s="1" t="str">
        <f>IF(AX115&gt;AX$129, AX115-AX$129,"")</f>
        <v/>
      </c>
      <c r="CB115" s="1" t="str">
        <f>IF(AY115&gt;AY$129, AY115-AY$129,"")</f>
        <v/>
      </c>
      <c r="CC115" s="1" t="str">
        <f>IF(AZ115&gt;AZ$129, AZ115-AZ$129,"")</f>
        <v/>
      </c>
      <c r="CD115" s="1" t="str">
        <f>IF(BA115&gt;BA$129, BA115-BA$129,"")</f>
        <v/>
      </c>
      <c r="CE115" s="1" t="str">
        <f>IF(BB115&gt;BB$129, BB115-BB$129,"")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148</v>
      </c>
      <c r="C116" s="1" t="s">
        <v>150</v>
      </c>
      <c r="D116" s="1" t="s">
        <v>123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299</v>
      </c>
      <c r="BT116" s="1" t="str">
        <f>IF(AQ116&gt;AQ$129, AQ116-AQ$129,"")</f>
        <v/>
      </c>
      <c r="BU116" s="1" t="str">
        <f>IF(AR116&gt;AR$129, AR116-AR$129,"")</f>
        <v/>
      </c>
      <c r="BV116" s="1" t="str">
        <f>IF(AS116&gt;AS$129, AS116-AS$129,"")</f>
        <v/>
      </c>
      <c r="BW116" s="1" t="str">
        <f>IF(AT116&gt;AT$129, AT116-AT$129,"")</f>
        <v/>
      </c>
      <c r="BX116" s="1" t="str">
        <f>IF(AU116&gt;AU$129, AU116-AU$129,"")</f>
        <v/>
      </c>
      <c r="BY116" s="1" t="str">
        <f>IF(AV116&gt;AV$129, AV116-AV$129,"")</f>
        <v/>
      </c>
      <c r="BZ116" s="1" t="str">
        <f>IF(AW116&gt;AW$129, AW116-AW$129,"")</f>
        <v/>
      </c>
      <c r="CA116" s="1" t="str">
        <f>IF(AX116&gt;AX$129, AX116-AX$129,"")</f>
        <v/>
      </c>
      <c r="CB116" s="1" t="str">
        <f>IF(AY116&gt;AY$129, AY116-AY$129,"")</f>
        <v/>
      </c>
      <c r="CC116" s="1" t="str">
        <f>IF(AZ116&gt;AZ$129, AZ116-AZ$129,"")</f>
        <v/>
      </c>
      <c r="CD116" s="1" t="str">
        <f>IF(BA116&gt;BA$129, BA116-BA$129,"")</f>
        <v/>
      </c>
      <c r="CE116" s="1" t="str">
        <f>IF(BB116&gt;BB$129, BB116-BB$129,"")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154</v>
      </c>
      <c r="C117" s="1" t="s">
        <v>152</v>
      </c>
      <c r="D117" s="1" t="s">
        <v>123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194</v>
      </c>
      <c r="BT117" s="1" t="str">
        <f>IF(AQ117&gt;AQ$129, AQ117-AQ$129,"")</f>
        <v/>
      </c>
      <c r="BU117" s="1" t="str">
        <f>IF(AR117&gt;AR$129, AR117-AR$129,"")</f>
        <v/>
      </c>
      <c r="BV117" s="1" t="str">
        <f>IF(AS117&gt;AS$129, AS117-AS$129,"")</f>
        <v/>
      </c>
      <c r="BW117" s="1" t="str">
        <f>IF(AT117&gt;AT$129, AT117-AT$129,"")</f>
        <v/>
      </c>
      <c r="BX117" s="1" t="str">
        <f>IF(AU117&gt;AU$129, AU117-AU$129,"")</f>
        <v/>
      </c>
      <c r="BY117" s="1" t="str">
        <f>IF(AV117&gt;AV$129, AV117-AV$129,"")</f>
        <v/>
      </c>
      <c r="BZ117" s="1" t="str">
        <f>IF(AW117&gt;AW$129, AW117-AW$129,"")</f>
        <v/>
      </c>
      <c r="CA117" s="1" t="str">
        <f>IF(AX117&gt;AX$129, AX117-AX$129,"")</f>
        <v/>
      </c>
      <c r="CB117" s="1" t="str">
        <f>IF(AY117&gt;AY$129, AY117-AY$129,"")</f>
        <v/>
      </c>
      <c r="CC117" s="1" t="str">
        <f>IF(AZ117&gt;AZ$129, AZ117-AZ$129,"")</f>
        <v/>
      </c>
      <c r="CD117" s="1" t="str">
        <f>IF(BA117&gt;BA$129, BA117-BA$129,"")</f>
        <v/>
      </c>
      <c r="CE117" s="1" t="str">
        <f>IF(BB117&gt;BB$129, BB117-BB$129,"")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157</v>
      </c>
      <c r="C118" s="1" t="s">
        <v>152</v>
      </c>
      <c r="D118" s="1" t="s">
        <v>123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299</v>
      </c>
      <c r="BT118" s="1" t="str">
        <f>IF(AQ118&gt;AQ$129, AQ118-AQ$129,"")</f>
        <v/>
      </c>
      <c r="BU118" s="1" t="str">
        <f>IF(AR118&gt;AR$129, AR118-AR$129,"")</f>
        <v/>
      </c>
      <c r="BV118" s="1" t="str">
        <f>IF(AS118&gt;AS$129, AS118-AS$129,"")</f>
        <v/>
      </c>
      <c r="BW118" s="1" t="str">
        <f>IF(AT118&gt;AT$129, AT118-AT$129,"")</f>
        <v/>
      </c>
      <c r="BX118" s="1" t="str">
        <f>IF(AU118&gt;AU$129, AU118-AU$129,"")</f>
        <v/>
      </c>
      <c r="BY118" s="1" t="str">
        <f>IF(AV118&gt;AV$129, AV118-AV$129,"")</f>
        <v/>
      </c>
      <c r="BZ118" s="1" t="str">
        <f>IF(AW118&gt;AW$129, AW118-AW$129,"")</f>
        <v/>
      </c>
      <c r="CA118" s="1" t="str">
        <f>IF(AX118&gt;AX$129, AX118-AX$129,"")</f>
        <v/>
      </c>
      <c r="CB118" s="1" t="str">
        <f>IF(AY118&gt;AY$129, AY118-AY$129,"")</f>
        <v/>
      </c>
      <c r="CC118" s="1" t="str">
        <f>IF(AZ118&gt;AZ$129, AZ118-AZ$129,"")</f>
        <v/>
      </c>
      <c r="CD118" s="1" t="str">
        <f>IF(BA118&gt;BA$129, BA118-BA$129,"")</f>
        <v/>
      </c>
      <c r="CE118" s="1" t="str">
        <f>IF(BB118&gt;BB$129, BB118-BB$129,"")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158</v>
      </c>
      <c r="C119" s="1" t="s">
        <v>152</v>
      </c>
      <c r="D119" s="1" t="s">
        <v>123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35</v>
      </c>
      <c r="BR119" s="17">
        <v>4</v>
      </c>
      <c r="BS119" s="17" t="s">
        <v>299</v>
      </c>
      <c r="BT119" s="1" t="str">
        <f>IF(AQ119&gt;AQ$129, AQ119-AQ$129,"")</f>
        <v/>
      </c>
      <c r="BU119" s="1" t="str">
        <f>IF(AR119&gt;AR$129, AR119-AR$129,"")</f>
        <v/>
      </c>
      <c r="BV119" s="1" t="str">
        <f>IF(AS119&gt;AS$129, AS119-AS$129,"")</f>
        <v/>
      </c>
      <c r="BW119" s="1" t="str">
        <f>IF(AT119&gt;AT$129, AT119-AT$129,"")</f>
        <v/>
      </c>
      <c r="BX119" s="1" t="str">
        <f>IF(AU119&gt;AU$129, AU119-AU$129,"")</f>
        <v/>
      </c>
      <c r="BY119" s="1" t="str">
        <f>IF(AV119&gt;AV$129, AV119-AV$129,"")</f>
        <v/>
      </c>
      <c r="BZ119" s="1" t="str">
        <f>IF(AW119&gt;AW$129, AW119-AW$129,"")</f>
        <v/>
      </c>
      <c r="CA119" s="1" t="str">
        <f>IF(AX119&gt;AX$129, AX119-AX$129,"")</f>
        <v/>
      </c>
      <c r="CB119" s="1" t="str">
        <f>IF(AY119&gt;AY$129, AY119-AY$129,"")</f>
        <v/>
      </c>
      <c r="CC119" s="1" t="str">
        <f>IF(AZ119&gt;AZ$129, AZ119-AZ$129,"")</f>
        <v/>
      </c>
      <c r="CD119" s="1" t="str">
        <f>IF(BA119&gt;BA$129, BA119-BA$129,"")</f>
        <v/>
      </c>
      <c r="CE119" s="1" t="str">
        <f>IF(BB119&gt;BB$129, BB119-BB$129,"")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/>
      <c r="B120" s="1" t="s">
        <v>163</v>
      </c>
      <c r="C120" s="1" t="s">
        <v>105</v>
      </c>
      <c r="D120" s="1" t="s">
        <v>107</v>
      </c>
      <c r="E120" s="6">
        <v>10</v>
      </c>
      <c r="F120" s="6"/>
      <c r="G120" s="6">
        <v>10</v>
      </c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>
        <v>15</v>
      </c>
      <c r="AU120" s="4"/>
      <c r="AV120" s="4"/>
      <c r="AW120" s="2"/>
      <c r="AX120" s="2"/>
      <c r="AY120" s="2"/>
      <c r="AZ120" s="2">
        <v>15</v>
      </c>
      <c r="BA120" s="2">
        <v>15</v>
      </c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65</v>
      </c>
      <c r="BQ120" s="1">
        <v>39</v>
      </c>
      <c r="BR120" s="17">
        <v>4</v>
      </c>
      <c r="BS120" s="17" t="s">
        <v>290</v>
      </c>
      <c r="BT120" s="1" t="str">
        <f>IF(AQ120&gt;AQ$129, AQ120-AQ$129,"")</f>
        <v/>
      </c>
      <c r="BU120" s="1" t="str">
        <f>IF(AR120&gt;AR$129, AR120-AR$129,"")</f>
        <v/>
      </c>
      <c r="BV120" s="1" t="str">
        <f>IF(AS120&gt;AS$129, AS120-AS$129,"")</f>
        <v/>
      </c>
      <c r="BW120" s="1" t="str">
        <f>IF(AT120&gt;AT$129, AT120-AT$129,"")</f>
        <v/>
      </c>
      <c r="BX120" s="1" t="str">
        <f>IF(AU120&gt;AU$129, AU120-AU$129,"")</f>
        <v/>
      </c>
      <c r="BY120" s="1" t="str">
        <f>IF(AV120&gt;AV$129, AV120-AV$129,"")</f>
        <v/>
      </c>
      <c r="BZ120" s="1" t="str">
        <f>IF(AW120&gt;AW$129, AW120-AW$129,"")</f>
        <v/>
      </c>
      <c r="CA120" s="1" t="str">
        <f>IF(AX120&gt;AX$129, AX120-AX$129,"")</f>
        <v/>
      </c>
      <c r="CB120" s="1" t="str">
        <f>IF(AY120&gt;AY$129, AY120-AY$129,"")</f>
        <v/>
      </c>
      <c r="CC120" s="1" t="str">
        <f>IF(AZ120&gt;AZ$129, AZ120-AZ$129,"")</f>
        <v/>
      </c>
      <c r="CD120" s="1" t="str">
        <f>IF(BA120&gt;BA$129, BA120-BA$129,"")</f>
        <v/>
      </c>
      <c r="CE120" s="1" t="str">
        <f>IF(BB120&gt;BB$129, BB120-BB$129,"")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>
        <v>54</v>
      </c>
      <c r="B121" s="1" t="s">
        <v>55</v>
      </c>
      <c r="C121" s="1" t="s">
        <v>56</v>
      </c>
      <c r="D121" s="1" t="s">
        <v>1</v>
      </c>
      <c r="E121" s="6"/>
      <c r="F121" s="6">
        <v>15</v>
      </c>
      <c r="G121" s="6"/>
      <c r="H121" s="6">
        <v>15</v>
      </c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>
        <v>15</v>
      </c>
      <c r="AW121" s="2"/>
      <c r="AX121" s="2"/>
      <c r="AY121" s="2"/>
      <c r="AZ121" s="2"/>
      <c r="BA121" s="2">
        <v>15</v>
      </c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60</v>
      </c>
      <c r="BQ121" s="1">
        <v>42</v>
      </c>
      <c r="BR121" s="17">
        <v>4</v>
      </c>
      <c r="BS121" s="17" t="s">
        <v>300</v>
      </c>
      <c r="BT121" s="1" t="str">
        <f>IF(AQ121&gt;AQ$129, AQ121-AQ$129,"")</f>
        <v/>
      </c>
      <c r="BU121" s="1" t="str">
        <f>IF(AR121&gt;AR$129, AR121-AR$129,"")</f>
        <v/>
      </c>
      <c r="BV121" s="1" t="str">
        <f>IF(AS121&gt;AS$129, AS121-AS$129,"")</f>
        <v/>
      </c>
      <c r="BW121" s="1" t="str">
        <f>IF(AT121&gt;AT$129, AT121-AT$129,"")</f>
        <v/>
      </c>
      <c r="BX121" s="1" t="str">
        <f>IF(AU121&gt;AU$129, AU121-AU$129,"")</f>
        <v/>
      </c>
      <c r="BY121" s="1" t="str">
        <f>IF(AV121&gt;AV$129, AV121-AV$129,"")</f>
        <v/>
      </c>
      <c r="BZ121" s="1" t="str">
        <f>IF(AW121&gt;AW$129, AW121-AW$129,"")</f>
        <v/>
      </c>
      <c r="CA121" s="1" t="str">
        <f>IF(AX121&gt;AX$129, AX121-AX$129,"")</f>
        <v/>
      </c>
      <c r="CB121" s="1" t="str">
        <f>IF(AY121&gt;AY$129, AY121-AY$129,"")</f>
        <v/>
      </c>
      <c r="CC121" s="1" t="str">
        <f>IF(AZ121&gt;AZ$129, AZ121-AZ$129,"")</f>
        <v/>
      </c>
      <c r="CD121" s="1" t="str">
        <f>IF(BA121&gt;BA$129, BA121-BA$129,"")</f>
        <v/>
      </c>
      <c r="CE121" s="1" t="str">
        <f>IF(BB121&gt;BB$129, BB121-BB$129,"")</f>
        <v/>
      </c>
      <c r="CF121" s="1">
        <f>COUNTIF(BT121:CE121, "&gt;0")</f>
        <v>0</v>
      </c>
      <c r="CG121" s="1" t="str">
        <f>IF($CF121=1,BT121,"")</f>
        <v/>
      </c>
      <c r="CH121" s="1" t="str">
        <f>IF($CF121=1,BU121,"")</f>
        <v/>
      </c>
      <c r="CI121" s="1" t="str">
        <f>IF($CF121=1,BV121,"")</f>
        <v/>
      </c>
      <c r="CJ121" s="1" t="str">
        <f>IF($CF121=1,BW121,"")</f>
        <v/>
      </c>
      <c r="CK121" s="1" t="str">
        <f>IF($CF121=1,BX121,"")</f>
        <v/>
      </c>
      <c r="CL121" s="1" t="str">
        <f>IF($CF121=1,BY121,"")</f>
        <v/>
      </c>
      <c r="CM121" s="1" t="str">
        <f>IF($CF121=1,BZ121,"")</f>
        <v/>
      </c>
      <c r="CN121" s="1" t="str">
        <f>IF($CF121=1,CA121,"")</f>
        <v/>
      </c>
      <c r="CO121" s="1" t="str">
        <f>IF($CF121=1,CB121,"")</f>
        <v/>
      </c>
      <c r="CP121" s="1" t="str">
        <f>IF($CF121=1,CC121,"")</f>
        <v/>
      </c>
      <c r="CQ121" s="1" t="str">
        <f>IF($CF121=1,CD121,"")</f>
        <v/>
      </c>
      <c r="CR121" s="1" t="str">
        <f>IF($CF121=1,CE121,"")</f>
        <v/>
      </c>
      <c r="CS121" s="3">
        <f>SUM(AE121:BO121)</f>
        <v>30</v>
      </c>
    </row>
    <row r="122" spans="1:97" ht="54" x14ac:dyDescent="0.15">
      <c r="A122" s="1">
        <v>23</v>
      </c>
      <c r="B122" s="1" t="s">
        <v>102</v>
      </c>
      <c r="C122" s="1" t="s">
        <v>31</v>
      </c>
      <c r="D122" s="1" t="s">
        <v>39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145</v>
      </c>
      <c r="BR122" s="17">
        <v>4</v>
      </c>
      <c r="BS122" s="17" t="s">
        <v>301</v>
      </c>
      <c r="BT122" s="1" t="str">
        <f>IF(AQ122&gt;AQ$129, AQ122-AQ$129,"")</f>
        <v/>
      </c>
      <c r="BU122" s="1" t="str">
        <f>IF(AR122&gt;AR$129, AR122-AR$129,"")</f>
        <v/>
      </c>
      <c r="BV122" s="1" t="str">
        <f>IF(AS122&gt;AS$129, AS122-AS$129,"")</f>
        <v/>
      </c>
      <c r="BW122" s="1" t="str">
        <f>IF(AT122&gt;AT$129, AT122-AT$129,"")</f>
        <v/>
      </c>
      <c r="BX122" s="1" t="str">
        <f>IF(AU122&gt;AU$129, AU122-AU$129,"")</f>
        <v/>
      </c>
      <c r="BY122" s="1" t="str">
        <f>IF(AV122&gt;AV$129, AV122-AV$129,"")</f>
        <v/>
      </c>
      <c r="BZ122" s="1" t="str">
        <f>IF(AW122&gt;AW$129, AW122-AW$129,"")</f>
        <v/>
      </c>
      <c r="CA122" s="1" t="str">
        <f>IF(AX122&gt;AX$129, AX122-AX$129,"")</f>
        <v/>
      </c>
      <c r="CB122" s="1" t="str">
        <f>IF(AY122&gt;AY$129, AY122-AY$129,"")</f>
        <v/>
      </c>
      <c r="CC122" s="1" t="str">
        <f>IF(AZ122&gt;AZ$129, AZ122-AZ$129,"")</f>
        <v/>
      </c>
      <c r="CD122" s="1" t="str">
        <f>IF(BA122&gt;BA$129, BA122-BA$129,"")</f>
        <v/>
      </c>
      <c r="CE122" s="1" t="str">
        <f>IF(BB122&gt;BB$129, BB122-BB$129,"")</f>
        <v/>
      </c>
      <c r="CF122" s="1">
        <f>COUNTIF(BT122:CE122, "&gt;0")</f>
        <v>0</v>
      </c>
      <c r="CG122" s="1" t="str">
        <f>IF($CF122=1,BT122,"")</f>
        <v/>
      </c>
      <c r="CH122" s="1" t="str">
        <f>IF($CF122=1,BU122,"")</f>
        <v/>
      </c>
      <c r="CI122" s="1" t="str">
        <f>IF($CF122=1,BV122,"")</f>
        <v/>
      </c>
      <c r="CJ122" s="1" t="str">
        <f>IF($CF122=1,BW122,"")</f>
        <v/>
      </c>
      <c r="CK122" s="1" t="str">
        <f>IF($CF122=1,BX122,"")</f>
        <v/>
      </c>
      <c r="CL122" s="1" t="str">
        <f>IF($CF122=1,BY122,"")</f>
        <v/>
      </c>
      <c r="CM122" s="1" t="str">
        <f>IF($CF122=1,BZ122,"")</f>
        <v/>
      </c>
      <c r="CN122" s="1" t="str">
        <f>IF($CF122=1,CA122,"")</f>
        <v/>
      </c>
      <c r="CO122" s="1" t="str">
        <f>IF($CF122=1,CB122,"")</f>
        <v/>
      </c>
      <c r="CP122" s="1" t="str">
        <f>IF($CF122=1,CC122,"")</f>
        <v/>
      </c>
      <c r="CQ122" s="1" t="str">
        <f>IF($CF122=1,CD122,"")</f>
        <v/>
      </c>
      <c r="CR122" s="1" t="str">
        <f>IF($CF122=1,CE122,"")</f>
        <v/>
      </c>
      <c r="CS122" s="3">
        <f>SUM(AE122:BO122)</f>
        <v>200</v>
      </c>
    </row>
    <row r="123" spans="1:97" ht="54" x14ac:dyDescent="0.15">
      <c r="A123" s="1"/>
      <c r="B123" s="1" t="s">
        <v>177</v>
      </c>
      <c r="C123" s="1" t="s">
        <v>117</v>
      </c>
      <c r="D123" s="1" t="s">
        <v>118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145</v>
      </c>
      <c r="BR123" s="17">
        <v>4</v>
      </c>
      <c r="BS123" s="17" t="s">
        <v>301</v>
      </c>
      <c r="BT123" s="1" t="str">
        <f>IF(AQ123&gt;AQ$129, AQ123-AQ$129,"")</f>
        <v/>
      </c>
      <c r="BU123" s="1" t="str">
        <f>IF(AR123&gt;AR$129, AR123-AR$129,"")</f>
        <v/>
      </c>
      <c r="BV123" s="1" t="str">
        <f>IF(AS123&gt;AS$129, AS123-AS$129,"")</f>
        <v/>
      </c>
      <c r="BW123" s="1" t="str">
        <f>IF(AT123&gt;AT$129, AT123-AT$129,"")</f>
        <v/>
      </c>
      <c r="BX123" s="1" t="str">
        <f>IF(AU123&gt;AU$129, AU123-AU$129,"")</f>
        <v/>
      </c>
      <c r="BY123" s="1" t="str">
        <f>IF(AV123&gt;AV$129, AV123-AV$129,"")</f>
        <v/>
      </c>
      <c r="BZ123" s="1" t="str">
        <f>IF(AW123&gt;AW$129, AW123-AW$129,"")</f>
        <v/>
      </c>
      <c r="CA123" s="1" t="str">
        <f>IF(AX123&gt;AX$129, AX123-AX$129,"")</f>
        <v/>
      </c>
      <c r="CB123" s="1" t="str">
        <f>IF(AY123&gt;AY$129, AY123-AY$129,"")</f>
        <v/>
      </c>
      <c r="CC123" s="1" t="str">
        <f>IF(AZ123&gt;AZ$129, AZ123-AZ$129,"")</f>
        <v/>
      </c>
      <c r="CD123" s="1" t="str">
        <f>IF(BA123&gt;BA$129, BA123-BA$129,"")</f>
        <v/>
      </c>
      <c r="CE123" s="1" t="str">
        <f>IF(BB123&gt;BB$129, BB123-BB$129,"")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3"/>
    </row>
    <row r="124" spans="1:97" ht="54" x14ac:dyDescent="0.15">
      <c r="A124" s="1"/>
      <c r="B124" s="1" t="s">
        <v>175</v>
      </c>
      <c r="C124" s="1" t="s">
        <v>151</v>
      </c>
      <c r="D124" s="1" t="s">
        <v>39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>
        <v>50</v>
      </c>
      <c r="BK124" s="1">
        <v>50</v>
      </c>
      <c r="BL124" s="1"/>
      <c r="BM124" s="1"/>
      <c r="BN124" s="1">
        <v>50</v>
      </c>
      <c r="BO124" s="1">
        <v>50</v>
      </c>
      <c r="BP124" s="1">
        <f>SUM(E124:BO124)</f>
        <v>200</v>
      </c>
      <c r="BQ124" s="1">
        <v>145</v>
      </c>
      <c r="BR124" s="17">
        <v>4</v>
      </c>
      <c r="BS124" s="17" t="s">
        <v>231</v>
      </c>
      <c r="BT124" s="1" t="str">
        <f>IF(AQ124&gt;AQ$129, AQ124-AQ$129,"")</f>
        <v/>
      </c>
      <c r="BU124" s="1" t="str">
        <f>IF(AR124&gt;AR$129, AR124-AR$129,"")</f>
        <v/>
      </c>
      <c r="BV124" s="1" t="str">
        <f>IF(AS124&gt;AS$129, AS124-AS$129,"")</f>
        <v/>
      </c>
      <c r="BW124" s="1" t="str">
        <f>IF(AT124&gt;AT$129, AT124-AT$129,"")</f>
        <v/>
      </c>
      <c r="BX124" s="1" t="str">
        <f>IF(AU124&gt;AU$129, AU124-AU$129,"")</f>
        <v/>
      </c>
      <c r="BY124" s="1" t="str">
        <f>IF(AV124&gt;AV$129, AV124-AV$129,"")</f>
        <v/>
      </c>
      <c r="BZ124" s="1" t="str">
        <f>IF(AW124&gt;AW$129, AW124-AW$129,"")</f>
        <v/>
      </c>
      <c r="CA124" s="1" t="str">
        <f>IF(AX124&gt;AX$129, AX124-AX$129,"")</f>
        <v/>
      </c>
      <c r="CB124" s="1" t="str">
        <f>IF(AY124&gt;AY$129, AY124-AY$129,"")</f>
        <v/>
      </c>
      <c r="CC124" s="1" t="str">
        <f>IF(AZ124&gt;AZ$129, AZ124-AZ$129,"")</f>
        <v/>
      </c>
      <c r="CD124" s="1" t="str">
        <f>IF(BA124&gt;BA$129, BA124-BA$129,"")</f>
        <v/>
      </c>
      <c r="CE124" s="1" t="str">
        <f>IF(BB124&gt;BB$129, BB124-BB$129,"")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3"/>
    </row>
    <row r="125" spans="1:97" ht="54" x14ac:dyDescent="0.15">
      <c r="A125" s="1">
        <v>102</v>
      </c>
      <c r="B125" s="3" t="s">
        <v>100</v>
      </c>
      <c r="C125" s="3" t="s">
        <v>69</v>
      </c>
      <c r="D125" s="1" t="s">
        <v>39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>
        <v>50</v>
      </c>
      <c r="BK125" s="1">
        <v>50</v>
      </c>
      <c r="BL125" s="1"/>
      <c r="BM125" s="1"/>
      <c r="BN125" s="1">
        <v>50</v>
      </c>
      <c r="BO125" s="1">
        <v>50</v>
      </c>
      <c r="BP125" s="1">
        <f>SUM(E125:BO125)</f>
        <v>200</v>
      </c>
      <c r="BQ125" s="1">
        <v>145</v>
      </c>
      <c r="BR125" s="17">
        <v>4</v>
      </c>
      <c r="BS125" s="17" t="s">
        <v>231</v>
      </c>
      <c r="BT125" s="1" t="str">
        <f>IF(AQ125&gt;AQ$129, AQ125-AQ$129,"")</f>
        <v/>
      </c>
      <c r="BU125" s="1" t="str">
        <f>IF(AR125&gt;AR$129, AR125-AR$129,"")</f>
        <v/>
      </c>
      <c r="BV125" s="1" t="str">
        <f>IF(AS125&gt;AS$129, AS125-AS$129,"")</f>
        <v/>
      </c>
      <c r="BW125" s="1" t="str">
        <f>IF(AT125&gt;AT$129, AT125-AT$129,"")</f>
        <v/>
      </c>
      <c r="BX125" s="1" t="str">
        <f>IF(AU125&gt;AU$129, AU125-AU$129,"")</f>
        <v/>
      </c>
      <c r="BY125" s="1" t="str">
        <f>IF(AV125&gt;AV$129, AV125-AV$129,"")</f>
        <v/>
      </c>
      <c r="BZ125" s="1" t="str">
        <f>IF(AW125&gt;AW$129, AW125-AW$129,"")</f>
        <v/>
      </c>
      <c r="CA125" s="1" t="str">
        <f>IF(AX125&gt;AX$129, AX125-AX$129,"")</f>
        <v/>
      </c>
      <c r="CB125" s="1" t="str">
        <f>IF(AY125&gt;AY$129, AY125-AY$129,"")</f>
        <v/>
      </c>
      <c r="CC125" s="1" t="str">
        <f>IF(AZ125&gt;AZ$129, AZ125-AZ$129,"")</f>
        <v/>
      </c>
      <c r="CD125" s="1" t="str">
        <f>IF(BA125&gt;BA$129, BA125-BA$129,"")</f>
        <v/>
      </c>
      <c r="CE125" s="1" t="str">
        <f>IF(BB125&gt;BB$129, BB125-BB$129,"")</f>
        <v/>
      </c>
      <c r="CF125" s="1">
        <f>COUNTIF(BT125:CE125, "&gt;0")</f>
        <v>0</v>
      </c>
      <c r="CG125" s="1" t="str">
        <f>IF($CF125=1,BT125,"")</f>
        <v/>
      </c>
      <c r="CH125" s="1" t="str">
        <f>IF($CF125=1,BU125,"")</f>
        <v/>
      </c>
      <c r="CI125" s="1" t="str">
        <f>IF($CF125=1,BV125,"")</f>
        <v/>
      </c>
      <c r="CJ125" s="1" t="str">
        <f>IF($CF125=1,BW125,"")</f>
        <v/>
      </c>
      <c r="CK125" s="1" t="str">
        <f>IF($CF125=1,BX125,"")</f>
        <v/>
      </c>
      <c r="CL125" s="1" t="str">
        <f>IF($CF125=1,BY125,"")</f>
        <v/>
      </c>
      <c r="CM125" s="1" t="str">
        <f>IF($CF125=1,BZ125,"")</f>
        <v/>
      </c>
      <c r="CN125" s="1" t="str">
        <f>IF($CF125=1,CA125,"")</f>
        <v/>
      </c>
      <c r="CO125" s="1" t="str">
        <f>IF($CF125=1,CB125,"")</f>
        <v/>
      </c>
      <c r="CP125" s="1" t="str">
        <f>IF($CF125=1,CC125,"")</f>
        <v/>
      </c>
      <c r="CQ125" s="1" t="str">
        <f>IF($CF125=1,CD125,"")</f>
        <v/>
      </c>
      <c r="CR125" s="1" t="str">
        <f>IF($CF125=1,CE125,"")</f>
        <v/>
      </c>
      <c r="CS125" s="3">
        <f>SUM(AE125:BO125)</f>
        <v>200</v>
      </c>
    </row>
    <row r="126" spans="1:97" ht="54" x14ac:dyDescent="0.15">
      <c r="A126" s="1">
        <v>85</v>
      </c>
      <c r="B126" s="3" t="s">
        <v>191</v>
      </c>
      <c r="C126" s="3" t="s">
        <v>64</v>
      </c>
      <c r="D126" s="1" t="s">
        <v>39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>
        <v>50</v>
      </c>
      <c r="BM126" s="1">
        <v>50</v>
      </c>
      <c r="BN126" s="1">
        <v>50</v>
      </c>
      <c r="BO126" s="1">
        <v>50</v>
      </c>
      <c r="BP126" s="1">
        <f>SUM(E126:BO126)</f>
        <v>200</v>
      </c>
      <c r="BQ126" s="1">
        <v>146</v>
      </c>
      <c r="BR126" s="17">
        <v>4</v>
      </c>
      <c r="BS126" s="17" t="s">
        <v>302</v>
      </c>
      <c r="BT126" s="1" t="str">
        <f>IF(AQ126&gt;AQ$129, AQ126-AQ$129,"")</f>
        <v/>
      </c>
      <c r="BU126" s="1" t="str">
        <f>IF(AR126&gt;AR$129, AR126-AR$129,"")</f>
        <v/>
      </c>
      <c r="BV126" s="1" t="str">
        <f>IF(AS126&gt;AS$129, AS126-AS$129,"")</f>
        <v/>
      </c>
      <c r="BW126" s="1" t="str">
        <f>IF(AT126&gt;AT$129, AT126-AT$129,"")</f>
        <v/>
      </c>
      <c r="BX126" s="1" t="str">
        <f>IF(AU126&gt;AU$129, AU126-AU$129,"")</f>
        <v/>
      </c>
      <c r="BY126" s="1" t="str">
        <f>IF(AV126&gt;AV$129, AV126-AV$129,"")</f>
        <v/>
      </c>
      <c r="BZ126" s="1" t="str">
        <f>IF(AW126&gt;AW$129, AW126-AW$129,"")</f>
        <v/>
      </c>
      <c r="CA126" s="1" t="str">
        <f>IF(AX126&gt;AX$129, AX126-AX$129,"")</f>
        <v/>
      </c>
      <c r="CB126" s="1" t="str">
        <f>IF(AY126&gt;AY$129, AY126-AY$129,"")</f>
        <v/>
      </c>
      <c r="CC126" s="1" t="str">
        <f>IF(AZ126&gt;AZ$129, AZ126-AZ$129,"")</f>
        <v/>
      </c>
      <c r="CD126" s="1" t="str">
        <f>IF(BA126&gt;BA$129, BA126-BA$129,"")</f>
        <v/>
      </c>
      <c r="CE126" s="1" t="str">
        <f>IF(BB126&gt;BB$129, BB126-BB$129,"")</f>
        <v/>
      </c>
      <c r="CF126" s="1">
        <f>COUNTIF(BT126:CE126, "&gt;0")</f>
        <v>0</v>
      </c>
      <c r="CG126" s="1" t="str">
        <f>IF($CF126=1,BT126,"")</f>
        <v/>
      </c>
      <c r="CH126" s="1" t="str">
        <f>IF($CF126=1,BU126,"")</f>
        <v/>
      </c>
      <c r="CI126" s="1" t="str">
        <f>IF($CF126=1,BV126,"")</f>
        <v/>
      </c>
      <c r="CJ126" s="1" t="str">
        <f>IF($CF126=1,BW126,"")</f>
        <v/>
      </c>
      <c r="CK126" s="1" t="str">
        <f>IF($CF126=1,BX126,"")</f>
        <v/>
      </c>
      <c r="CL126" s="1" t="str">
        <f>IF($CF126=1,BY126,"")</f>
        <v/>
      </c>
      <c r="CM126" s="1" t="str">
        <f>IF($CF126=1,BZ126,"")</f>
        <v/>
      </c>
      <c r="CN126" s="1" t="str">
        <f>IF($CF126=1,CA126,"")</f>
        <v/>
      </c>
      <c r="CO126" s="1" t="str">
        <f>IF($CF126=1,CB126,"")</f>
        <v/>
      </c>
      <c r="CP126" s="1" t="str">
        <f>IF($CF126=1,CC126,"")</f>
        <v/>
      </c>
      <c r="CQ126" s="1" t="str">
        <f>IF($CF126=1,CD126,"")</f>
        <v/>
      </c>
      <c r="CR126" s="1" t="str">
        <f>IF($CF126=1,CE126,"")</f>
        <v/>
      </c>
      <c r="CS126" s="3">
        <f>SUM(AE126:BO126)</f>
        <v>200</v>
      </c>
    </row>
    <row r="127" spans="1:97" ht="54" x14ac:dyDescent="0.15">
      <c r="A127" s="1"/>
      <c r="B127" s="1" t="s">
        <v>187</v>
      </c>
      <c r="C127" s="1" t="s">
        <v>120</v>
      </c>
      <c r="D127" s="1" t="s">
        <v>118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>
        <v>50</v>
      </c>
      <c r="BM127" s="1">
        <v>50</v>
      </c>
      <c r="BN127" s="1">
        <v>50</v>
      </c>
      <c r="BO127" s="1">
        <v>50</v>
      </c>
      <c r="BP127" s="1">
        <f>SUM(E127:BO127)</f>
        <v>200</v>
      </c>
      <c r="BQ127" s="1">
        <v>146</v>
      </c>
      <c r="BR127" s="17">
        <v>4</v>
      </c>
      <c r="BS127" s="17" t="s">
        <v>302</v>
      </c>
      <c r="BT127" s="1" t="str">
        <f>IF(AQ127&gt;AQ$129, AQ127-AQ$129,"")</f>
        <v/>
      </c>
      <c r="BU127" s="1" t="str">
        <f>IF(AR127&gt;AR$129, AR127-AR$129,"")</f>
        <v/>
      </c>
      <c r="BV127" s="1" t="str">
        <f>IF(AS127&gt;AS$129, AS127-AS$129,"")</f>
        <v/>
      </c>
      <c r="BW127" s="1" t="str">
        <f>IF(AT127&gt;AT$129, AT127-AT$129,"")</f>
        <v/>
      </c>
      <c r="BX127" s="1" t="str">
        <f>IF(AU127&gt;AU$129, AU127-AU$129,"")</f>
        <v/>
      </c>
      <c r="BY127" s="1" t="str">
        <f>IF(AV127&gt;AV$129, AV127-AV$129,"")</f>
        <v/>
      </c>
      <c r="BZ127" s="1" t="str">
        <f>IF(AW127&gt;AW$129, AW127-AW$129,"")</f>
        <v/>
      </c>
      <c r="CA127" s="1" t="str">
        <f>IF(AX127&gt;AX$129, AX127-AX$129,"")</f>
        <v/>
      </c>
      <c r="CB127" s="1" t="str">
        <f>IF(AY127&gt;AY$129, AY127-AY$129,"")</f>
        <v/>
      </c>
      <c r="CC127" s="1" t="str">
        <f>IF(AZ127&gt;AZ$129, AZ127-AZ$129,"")</f>
        <v/>
      </c>
      <c r="CD127" s="1" t="str">
        <f>IF(BA127&gt;BA$129, BA127-BA$129,"")</f>
        <v/>
      </c>
      <c r="CE127" s="1" t="str">
        <f>IF(BB127&gt;BB$129, BB127-BB$129,"")</f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3"/>
    </row>
    <row r="128" spans="1:97" ht="54" x14ac:dyDescent="0.15">
      <c r="A128" s="1"/>
      <c r="B128" s="1" t="s">
        <v>215</v>
      </c>
      <c r="C128" s="1" t="s">
        <v>120</v>
      </c>
      <c r="D128" s="1" t="s">
        <v>118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>
        <v>50</v>
      </c>
      <c r="BM128" s="1">
        <v>50</v>
      </c>
      <c r="BN128" s="1">
        <v>50</v>
      </c>
      <c r="BO128" s="1">
        <v>50</v>
      </c>
      <c r="BP128" s="1">
        <f>SUM(E128:BO128)</f>
        <v>200</v>
      </c>
      <c r="BQ128" s="1">
        <v>146</v>
      </c>
      <c r="BR128" s="17">
        <v>4</v>
      </c>
      <c r="BS128" s="17" t="s">
        <v>302</v>
      </c>
      <c r="BT128" s="1" t="str">
        <f>IF(AQ128&gt;AQ$129, AQ128-AQ$129,"")</f>
        <v/>
      </c>
      <c r="BU128" s="1" t="str">
        <f>IF(AR128&gt;AR$129, AR128-AR$129,"")</f>
        <v/>
      </c>
      <c r="BV128" s="1" t="str">
        <f>IF(AS128&gt;AS$129, AS128-AS$129,"")</f>
        <v/>
      </c>
      <c r="BW128" s="1" t="str">
        <f>IF(AT128&gt;AT$129, AT128-AT$129,"")</f>
        <v/>
      </c>
      <c r="BX128" s="1" t="str">
        <f>IF(AU128&gt;AU$129, AU128-AU$129,"")</f>
        <v/>
      </c>
      <c r="BY128" s="1" t="str">
        <f>IF(AV128&gt;AV$129, AV128-AV$129,"")</f>
        <v/>
      </c>
      <c r="BZ128" s="1" t="str">
        <f>IF(AW128&gt;AW$129, AW128-AW$129,"")</f>
        <v/>
      </c>
      <c r="CA128" s="1" t="str">
        <f>IF(AX128&gt;AX$129, AX128-AX$129,"")</f>
        <v/>
      </c>
      <c r="CB128" s="1" t="str">
        <f>IF(AY128&gt;AY$129, AY128-AY$129,"")</f>
        <v/>
      </c>
      <c r="CC128" s="1" t="str">
        <f>IF(AZ128&gt;AZ$129, AZ128-AZ$129,"")</f>
        <v/>
      </c>
      <c r="CD128" s="1" t="str">
        <f>IF(BA128&gt;BA$129, BA128-BA$129,"")</f>
        <v/>
      </c>
      <c r="CE128" s="1" t="str">
        <f>IF(BB128&gt;BB$129, BB128-BB$129,"")</f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3"/>
    </row>
    <row r="129" spans="1:97" x14ac:dyDescent="0.15">
      <c r="A129" s="1"/>
      <c r="B129" s="1" t="s">
        <v>71</v>
      </c>
      <c r="C129" s="1"/>
      <c r="D129" s="1"/>
      <c r="E129" s="6">
        <f>SUM(E3:E128)</f>
        <v>148</v>
      </c>
      <c r="F129" s="6">
        <f>SUM(F3:F128)</f>
        <v>68</v>
      </c>
      <c r="G129" s="6">
        <f>SUM(G3:G128)</f>
        <v>201</v>
      </c>
      <c r="H129" s="6">
        <f>SUM(H3:H128)</f>
        <v>167</v>
      </c>
      <c r="I129" s="6">
        <f>SUM(I3:I128)</f>
        <v>29</v>
      </c>
      <c r="J129" s="6">
        <f>SUM(J3:J128)</f>
        <v>40</v>
      </c>
      <c r="K129" s="6">
        <f>SUM(K3:K128)</f>
        <v>26</v>
      </c>
      <c r="L129" s="6">
        <f>SUM(L3:L128)</f>
        <v>102</v>
      </c>
      <c r="M129" s="6">
        <f>SUM(M3:M128)</f>
        <v>37</v>
      </c>
      <c r="N129" s="6">
        <f>SUM(N3:N128)</f>
        <v>26</v>
      </c>
      <c r="O129" s="6">
        <f>SUM(O3:O128)</f>
        <v>88</v>
      </c>
      <c r="P129" s="28">
        <f>SUM(P3:P128)</f>
        <v>130</v>
      </c>
      <c r="Q129" s="28">
        <f>SUM(Q3:Q128)</f>
        <v>76</v>
      </c>
      <c r="R129" s="28">
        <f>SUM(R3:R128)</f>
        <v>83</v>
      </c>
      <c r="S129" s="28">
        <f>SUM(S3:S128)</f>
        <v>130</v>
      </c>
      <c r="T129" s="28">
        <f>SUM(T3:T128)</f>
        <v>61</v>
      </c>
      <c r="U129" s="28">
        <f>SUM(U3:U128)</f>
        <v>62</v>
      </c>
      <c r="V129" s="28">
        <f>SUM(V3:V128)</f>
        <v>135</v>
      </c>
      <c r="W129" s="28">
        <f>SUM(W3:W128)</f>
        <v>35</v>
      </c>
      <c r="X129" s="28">
        <f>SUM(X3:X128)</f>
        <v>59</v>
      </c>
      <c r="Y129" s="28">
        <f>SUM(Y3:Y128)</f>
        <v>125</v>
      </c>
      <c r="Z129" s="28">
        <f>SUM(Z3:Z128)</f>
        <v>50</v>
      </c>
      <c r="AA129" s="28">
        <f>SUM(AA3:AA128)</f>
        <v>35</v>
      </c>
      <c r="AB129" s="28">
        <f>SUM(AB3:AB128)</f>
        <v>140</v>
      </c>
      <c r="AC129" s="28">
        <f>SUM(AC3:AC128)</f>
        <v>30</v>
      </c>
      <c r="AD129" s="28">
        <f>SUM(AD3:AD128)</f>
        <v>22</v>
      </c>
      <c r="AE129" s="1">
        <f>SUM(AE3:AE128)</f>
        <v>265</v>
      </c>
      <c r="AF129" s="1">
        <f>SUM(AF3:AF128)</f>
        <v>10</v>
      </c>
      <c r="AG129" s="1">
        <f>SUM(AG3:AG128)</f>
        <v>15</v>
      </c>
      <c r="AH129" s="1">
        <f>SUM(AH3:AH128)</f>
        <v>30</v>
      </c>
      <c r="AI129" s="1">
        <f>SUM(AI3:AI128)</f>
        <v>30</v>
      </c>
      <c r="AJ129" s="1">
        <f>SUM(AJ3:AJ128)</f>
        <v>5</v>
      </c>
      <c r="AK129" s="1">
        <f>SUM(AK3:AK128)</f>
        <v>0</v>
      </c>
      <c r="AL129" s="1">
        <f>SUM(AL3:AL128)</f>
        <v>0</v>
      </c>
      <c r="AM129" s="1">
        <f>SUM(AM3:AM128)</f>
        <v>20</v>
      </c>
      <c r="AN129" s="1">
        <f>SUM(AN3:AN128)</f>
        <v>50</v>
      </c>
      <c r="AO129" s="1">
        <f>SUM(AO3:AO128)</f>
        <v>25</v>
      </c>
      <c r="AP129" s="1">
        <f>SUM(AP3:AP128)</f>
        <v>26</v>
      </c>
      <c r="AQ129" s="4">
        <f>SUM(AQ3:AQ128)</f>
        <v>80</v>
      </c>
      <c r="AR129" s="4">
        <f>SUM(AR3:AR128)</f>
        <v>115</v>
      </c>
      <c r="AS129" s="4">
        <f>SUM(AS3:AS128)</f>
        <v>75</v>
      </c>
      <c r="AT129" s="4">
        <f>SUM(AT3:AT128)</f>
        <v>85</v>
      </c>
      <c r="AU129" s="4">
        <f>SUM(AU3:AU128)</f>
        <v>48</v>
      </c>
      <c r="AV129" s="4">
        <f>SUM(AV3:AV128)</f>
        <v>105</v>
      </c>
      <c r="AW129" s="2">
        <f>SUM(AW3:AW128)</f>
        <v>108</v>
      </c>
      <c r="AX129" s="2">
        <f>SUM(AX3:AX128)</f>
        <v>70</v>
      </c>
      <c r="AY129" s="2">
        <f>SUM(AY3:AY128)</f>
        <v>35</v>
      </c>
      <c r="AZ129" s="2">
        <f>SUM(AZ3:AZ128)</f>
        <v>75</v>
      </c>
      <c r="BA129" s="2">
        <f>SUM(BA3:BA128)</f>
        <v>185</v>
      </c>
      <c r="BB129" s="2">
        <f>SUM(BB3:BB128)</f>
        <v>345</v>
      </c>
      <c r="BC129" s="1">
        <f>SUM(BC3:BC128)</f>
        <v>10</v>
      </c>
      <c r="BD129" s="1">
        <f>SUM(BD3:BD128)</f>
        <v>150</v>
      </c>
      <c r="BE129" s="1">
        <f>SUM(BE3:BE128)</f>
        <v>100</v>
      </c>
      <c r="BF129" s="1">
        <f>SUM(BF3:BF128)</f>
        <v>100</v>
      </c>
      <c r="BG129" s="1">
        <f>SUM(BG3:BG128)</f>
        <v>100</v>
      </c>
      <c r="BH129" s="1">
        <f>SUM(BH3:BH128)</f>
        <v>90</v>
      </c>
      <c r="BI129" s="1">
        <f>SUM(BI3:BI128)</f>
        <v>70</v>
      </c>
      <c r="BJ129" s="1">
        <f>SUM(BJ3:BJ128)</f>
        <v>200</v>
      </c>
      <c r="BK129" s="1">
        <f>SUM(BK3:BK128)</f>
        <v>200</v>
      </c>
      <c r="BL129" s="1">
        <f>SUM(BL3:BL128)</f>
        <v>150</v>
      </c>
      <c r="BM129" s="1">
        <f>SUM(BM3:BM128)</f>
        <v>150</v>
      </c>
      <c r="BN129" s="1">
        <f>SUM(BN3:BN128)</f>
        <v>350</v>
      </c>
      <c r="BO129" s="1">
        <f>SUM(BO3:BO128)</f>
        <v>350</v>
      </c>
      <c r="BP129" s="1"/>
      <c r="BQ129" s="1"/>
      <c r="BR129" s="17"/>
      <c r="BS129" s="17"/>
      <c r="BT129" s="1">
        <f>MIN(BT3:BT128)</f>
        <v>0</v>
      </c>
      <c r="BU129" s="1">
        <f>MIN(BU3:BU128)</f>
        <v>0</v>
      </c>
      <c r="BV129" s="1">
        <f>MIN(BV3:BV128)</f>
        <v>0</v>
      </c>
      <c r="BW129" s="1">
        <f>MIN(BW3:BW128)</f>
        <v>0</v>
      </c>
      <c r="BX129" s="1">
        <f>MIN(BX3:BX128)</f>
        <v>0</v>
      </c>
      <c r="BY129" s="1">
        <f>MIN(BY3:BY128)</f>
        <v>0</v>
      </c>
      <c r="BZ129" s="1">
        <f>MIN(BZ3:BZ128)</f>
        <v>0</v>
      </c>
      <c r="CA129" s="1">
        <f>MIN(CA3:CA128)</f>
        <v>0</v>
      </c>
      <c r="CB129" s="1">
        <f>MIN(CB3:CB128)</f>
        <v>0</v>
      </c>
      <c r="CC129" s="1">
        <f>MIN(CC3:CC128)</f>
        <v>0</v>
      </c>
      <c r="CD129" s="1">
        <f>MIN(CD3:CD128)</f>
        <v>0</v>
      </c>
      <c r="CE129" s="1">
        <f>MIN(CE3:CE128)</f>
        <v>0</v>
      </c>
      <c r="CF129" s="1"/>
      <c r="CG129" s="1">
        <f>MIN(CG3:CG128)</f>
        <v>0</v>
      </c>
      <c r="CH129" s="1">
        <f>MIN(CH3:CH128)</f>
        <v>0</v>
      </c>
      <c r="CI129" s="1">
        <f>MIN(CI3:CI128)</f>
        <v>0</v>
      </c>
      <c r="CJ129" s="1">
        <f>MIN(CJ3:CJ128)</f>
        <v>0</v>
      </c>
      <c r="CK129" s="1">
        <f>MIN(CK3:CK128)</f>
        <v>0</v>
      </c>
      <c r="CL129" s="1">
        <f>MIN(CL3:CL128)</f>
        <v>0</v>
      </c>
      <c r="CM129" s="1">
        <f>MIN(CM3:CM128)</f>
        <v>0</v>
      </c>
      <c r="CN129" s="1">
        <f>MIN(CN3:CN128)</f>
        <v>0</v>
      </c>
      <c r="CO129" s="1">
        <f>MIN(CO3:CO128)</f>
        <v>0</v>
      </c>
      <c r="CP129" s="1">
        <f>MIN(CP3:CP128)</f>
        <v>0</v>
      </c>
      <c r="CQ129" s="1">
        <f>MIN(CQ3:CQ128)</f>
        <v>0</v>
      </c>
      <c r="CR129" s="1">
        <f>MIN(CR3:CR128)</f>
        <v>0</v>
      </c>
      <c r="CS129" s="3">
        <f>COUNTIF(CS3:CS128,"=0")</f>
        <v>1</v>
      </c>
    </row>
    <row r="130" spans="1:97" x14ac:dyDescent="0.15">
      <c r="A130" s="1"/>
      <c r="B130" s="3" t="s">
        <v>92</v>
      </c>
      <c r="C130" s="1"/>
      <c r="D130" s="1"/>
      <c r="E130" s="1">
        <v>8</v>
      </c>
      <c r="F130" s="1">
        <v>1</v>
      </c>
      <c r="G130" s="1">
        <v>16</v>
      </c>
      <c r="H130" s="1">
        <v>9</v>
      </c>
      <c r="I130" s="1">
        <v>16</v>
      </c>
      <c r="J130" s="1">
        <v>14</v>
      </c>
      <c r="K130" s="1">
        <v>11</v>
      </c>
      <c r="L130" s="1">
        <v>55</v>
      </c>
      <c r="M130" s="1">
        <v>18</v>
      </c>
      <c r="N130" s="1">
        <v>22</v>
      </c>
      <c r="O130" s="1">
        <v>9</v>
      </c>
      <c r="P130" s="14">
        <v>2</v>
      </c>
      <c r="Q130" s="14">
        <v>1</v>
      </c>
      <c r="R130" s="14">
        <v>2</v>
      </c>
      <c r="S130" s="14">
        <v>1</v>
      </c>
      <c r="T130" s="14">
        <v>5</v>
      </c>
      <c r="U130" s="14">
        <v>0</v>
      </c>
      <c r="V130" s="14">
        <v>2</v>
      </c>
      <c r="W130" s="14">
        <v>2</v>
      </c>
      <c r="X130" s="14">
        <v>6</v>
      </c>
      <c r="Y130" s="14">
        <v>0</v>
      </c>
      <c r="Z130" s="14">
        <v>1</v>
      </c>
      <c r="AA130" s="14">
        <v>1</v>
      </c>
      <c r="AB130" s="14">
        <v>8</v>
      </c>
      <c r="AC130" s="14">
        <v>2</v>
      </c>
      <c r="AD130" s="14">
        <v>4</v>
      </c>
      <c r="AE130" s="1">
        <v>10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33</v>
      </c>
      <c r="AL130" s="1">
        <v>43</v>
      </c>
      <c r="AM130" s="1">
        <v>12</v>
      </c>
      <c r="AN130" s="1">
        <v>0</v>
      </c>
      <c r="AO130" s="1">
        <v>0</v>
      </c>
      <c r="AP130" s="1">
        <v>0</v>
      </c>
      <c r="AQ130" s="14">
        <v>2</v>
      </c>
      <c r="AR130" s="14">
        <v>5</v>
      </c>
      <c r="AS130" s="14">
        <v>3</v>
      </c>
      <c r="AT130" s="14">
        <v>1</v>
      </c>
      <c r="AU130" s="14">
        <v>12</v>
      </c>
      <c r="AV130" s="14">
        <v>4</v>
      </c>
      <c r="AW130" s="14">
        <v>7</v>
      </c>
      <c r="AX130" s="14">
        <v>28</v>
      </c>
      <c r="AY130" s="14">
        <v>8</v>
      </c>
      <c r="AZ130" s="14">
        <v>3</v>
      </c>
      <c r="BA130" s="14">
        <v>4</v>
      </c>
      <c r="BB130" s="14">
        <v>124</v>
      </c>
      <c r="BC130" s="14">
        <v>9</v>
      </c>
      <c r="BD130" s="1">
        <v>114</v>
      </c>
      <c r="BE130" s="1">
        <v>196</v>
      </c>
      <c r="BF130" s="1">
        <v>193</v>
      </c>
      <c r="BG130" s="1">
        <v>202</v>
      </c>
      <c r="BH130" s="1">
        <v>93</v>
      </c>
      <c r="BI130" s="1">
        <v>106</v>
      </c>
      <c r="BJ130" s="1">
        <v>25</v>
      </c>
      <c r="BK130" s="1">
        <v>25</v>
      </c>
      <c r="BL130" s="1">
        <v>49</v>
      </c>
      <c r="BM130" s="1"/>
      <c r="BN130" s="1">
        <v>5</v>
      </c>
      <c r="BO130" s="1"/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  <row r="131" spans="1:97" x14ac:dyDescent="0.15">
      <c r="A131" s="1"/>
      <c r="B131" s="3" t="s">
        <v>99</v>
      </c>
      <c r="C131" s="1"/>
      <c r="D131" s="1"/>
      <c r="E131" s="1">
        <f>E130-E129</f>
        <v>-140</v>
      </c>
      <c r="F131" s="1">
        <f>F130-F129</f>
        <v>-67</v>
      </c>
      <c r="G131" s="1">
        <f>G130-G129</f>
        <v>-185</v>
      </c>
      <c r="H131" s="1">
        <f>H130-H129</f>
        <v>-158</v>
      </c>
      <c r="I131" s="1">
        <f>I130-I129</f>
        <v>-13</v>
      </c>
      <c r="J131" s="1">
        <f>J130-J129</f>
        <v>-26</v>
      </c>
      <c r="K131" s="1">
        <f>K130-K129</f>
        <v>-15</v>
      </c>
      <c r="L131" s="1">
        <f>L130-L129</f>
        <v>-47</v>
      </c>
      <c r="M131" s="1">
        <f>M130-M129</f>
        <v>-19</v>
      </c>
      <c r="N131" s="1">
        <f>N130-N129</f>
        <v>-4</v>
      </c>
      <c r="O131" s="1">
        <f>O130-O129</f>
        <v>-79</v>
      </c>
      <c r="P131" s="1">
        <f>P130-P129</f>
        <v>-128</v>
      </c>
      <c r="Q131" s="1">
        <f>Q130-Q129</f>
        <v>-75</v>
      </c>
      <c r="R131" s="1">
        <f>R130-R129</f>
        <v>-81</v>
      </c>
      <c r="S131" s="1">
        <f>S130-S129</f>
        <v>-129</v>
      </c>
      <c r="T131" s="1">
        <f>T130-T129</f>
        <v>-56</v>
      </c>
      <c r="U131" s="1">
        <f>U130-U129</f>
        <v>-62</v>
      </c>
      <c r="V131" s="1">
        <f>V130-V129</f>
        <v>-133</v>
      </c>
      <c r="W131" s="1">
        <f>W130-W129</f>
        <v>-33</v>
      </c>
      <c r="X131" s="1">
        <f>X130-X129</f>
        <v>-53</v>
      </c>
      <c r="Y131" s="1">
        <f>Y130-Y129</f>
        <v>-125</v>
      </c>
      <c r="Z131" s="1">
        <f>Z130-Z129</f>
        <v>-49</v>
      </c>
      <c r="AA131" s="1">
        <f>AA130-AA129</f>
        <v>-34</v>
      </c>
      <c r="AB131" s="1">
        <f>AB130-AB129</f>
        <v>-132</v>
      </c>
      <c r="AC131" s="1">
        <f>AC130-AC129</f>
        <v>-28</v>
      </c>
      <c r="AD131" s="1">
        <f>AD130-AD129</f>
        <v>-18</v>
      </c>
      <c r="AE131" s="1">
        <f>AE130-AE129</f>
        <v>-255</v>
      </c>
      <c r="AF131" s="1">
        <f>AF130-AF129</f>
        <v>-10</v>
      </c>
      <c r="AG131" s="1">
        <f>AG130-AG129</f>
        <v>-15</v>
      </c>
      <c r="AH131" s="1">
        <f>AH130-AH129</f>
        <v>-30</v>
      </c>
      <c r="AI131" s="1">
        <f>AI130-AI129</f>
        <v>-30</v>
      </c>
      <c r="AJ131" s="1">
        <f>AJ130-AJ129</f>
        <v>-5</v>
      </c>
      <c r="AK131" s="1">
        <f>AK130-AK129</f>
        <v>33</v>
      </c>
      <c r="AL131" s="1">
        <f>AL130-AL129</f>
        <v>43</v>
      </c>
      <c r="AM131" s="1">
        <f>AM130-AM129</f>
        <v>-8</v>
      </c>
      <c r="AN131" s="1">
        <f>AN130-AN129</f>
        <v>-50</v>
      </c>
      <c r="AO131" s="1">
        <f>AO130-AO129</f>
        <v>-25</v>
      </c>
      <c r="AP131" s="1">
        <f>AP130-AP129</f>
        <v>-26</v>
      </c>
      <c r="AQ131" s="1">
        <f>AQ130-AQ129</f>
        <v>-78</v>
      </c>
      <c r="AR131" s="1">
        <f>AR130-AR129</f>
        <v>-110</v>
      </c>
      <c r="AS131" s="1">
        <f>AS130-AS129</f>
        <v>-72</v>
      </c>
      <c r="AT131" s="1">
        <f>AT130-AT129</f>
        <v>-84</v>
      </c>
      <c r="AU131" s="1">
        <f>AU130-AU129</f>
        <v>-36</v>
      </c>
      <c r="AV131" s="1">
        <f>AV130-AV129</f>
        <v>-101</v>
      </c>
      <c r="AW131" s="1">
        <f>AW130-AW129</f>
        <v>-101</v>
      </c>
      <c r="AX131" s="1">
        <f>AX130-AX129</f>
        <v>-42</v>
      </c>
      <c r="AY131" s="1">
        <f>AY130-AY129</f>
        <v>-27</v>
      </c>
      <c r="AZ131" s="1">
        <f>AZ130-AZ129</f>
        <v>-72</v>
      </c>
      <c r="BA131" s="1">
        <f>BA130-BA129</f>
        <v>-181</v>
      </c>
      <c r="BB131" s="1">
        <f>BB130-BB129</f>
        <v>-221</v>
      </c>
      <c r="BC131" s="1">
        <f>BC130-BC129</f>
        <v>-1</v>
      </c>
      <c r="BD131" s="1">
        <f>BD130-BD129</f>
        <v>-36</v>
      </c>
      <c r="BE131" s="1">
        <f>BE130-BE129</f>
        <v>96</v>
      </c>
      <c r="BF131" s="1">
        <f>BF130-BF129</f>
        <v>93</v>
      </c>
      <c r="BG131" s="1">
        <f>BG130-BG129</f>
        <v>102</v>
      </c>
      <c r="BH131" s="1">
        <f>BH130-BH129</f>
        <v>3</v>
      </c>
      <c r="BI131" s="1">
        <f>BI130-BI129</f>
        <v>36</v>
      </c>
      <c r="BJ131" s="1">
        <f>BJ130-BJ129</f>
        <v>-175</v>
      </c>
      <c r="BK131" s="1">
        <f>BK130-BK129</f>
        <v>-175</v>
      </c>
      <c r="BL131" s="1">
        <f>BL130-BL129</f>
        <v>-101</v>
      </c>
      <c r="BM131" s="1">
        <f>BM130-BM129</f>
        <v>-150</v>
      </c>
      <c r="BN131" s="1">
        <f>BN130-BN129</f>
        <v>-345</v>
      </c>
      <c r="BO131" s="1">
        <f>BO130-BO129</f>
        <v>-350</v>
      </c>
      <c r="BP131" s="1"/>
      <c r="BQ131" s="1"/>
      <c r="BR131" s="17"/>
      <c r="BS131" s="17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</row>
    <row r="132" spans="1:97" x14ac:dyDescent="0.15">
      <c r="A132" s="1"/>
      <c r="B132" s="3" t="s">
        <v>195</v>
      </c>
      <c r="C132" s="1"/>
      <c r="D132" s="1"/>
      <c r="E132" s="1">
        <f>MAX(E3:E128)</f>
        <v>15</v>
      </c>
      <c r="F132" s="1">
        <f>MAX(F3:F128)</f>
        <v>20</v>
      </c>
      <c r="G132" s="1">
        <f>MAX(G3:G128)</f>
        <v>20</v>
      </c>
      <c r="H132" s="1">
        <f>MAX(H3:H128)</f>
        <v>20</v>
      </c>
      <c r="I132" s="1">
        <f>MAX(I3:I128)</f>
        <v>10</v>
      </c>
      <c r="J132" s="1">
        <f>MAX(J3:J128)</f>
        <v>10</v>
      </c>
      <c r="K132" s="1">
        <f>MAX(K3:K128)</f>
        <v>20</v>
      </c>
      <c r="L132" s="1">
        <f>MAX(L3:L128)</f>
        <v>20</v>
      </c>
      <c r="M132" s="1">
        <f>MAX(M3:M128)</f>
        <v>15</v>
      </c>
      <c r="N132" s="1">
        <f>MAX(N3:N128)</f>
        <v>20</v>
      </c>
      <c r="O132" s="1">
        <f>MAX(O3:O128)</f>
        <v>20</v>
      </c>
      <c r="P132" s="1">
        <f>MAX(P3:P128)</f>
        <v>10</v>
      </c>
      <c r="Q132" s="1">
        <f>MAX(Q3:Q128)</f>
        <v>7</v>
      </c>
      <c r="R132" s="1">
        <f>MAX(R3:R128)</f>
        <v>10</v>
      </c>
      <c r="S132" s="1">
        <f>MAX(S3:S128)</f>
        <v>10</v>
      </c>
      <c r="T132" s="1">
        <f>MAX(T3:T128)</f>
        <v>7</v>
      </c>
      <c r="U132" s="1">
        <f>MAX(U3:U128)</f>
        <v>10</v>
      </c>
      <c r="V132" s="1">
        <f>MAX(V3:V128)</f>
        <v>10</v>
      </c>
      <c r="W132" s="1">
        <f>MAX(W3:W128)</f>
        <v>5</v>
      </c>
      <c r="X132" s="1">
        <f>MAX(X3:X128)</f>
        <v>10</v>
      </c>
      <c r="Y132" s="1">
        <f>MAX(Y3:Y128)</f>
        <v>10</v>
      </c>
      <c r="Z132" s="1">
        <f>MAX(Z3:Z128)</f>
        <v>5</v>
      </c>
      <c r="AA132" s="1">
        <f>MAX(AA3:AA128)</f>
        <v>10</v>
      </c>
      <c r="AB132" s="1">
        <f>MAX(AB3:AB128)</f>
        <v>10</v>
      </c>
      <c r="AC132" s="1">
        <f>MAX(AC3:AC128)</f>
        <v>5</v>
      </c>
      <c r="AD132" s="1">
        <f>MAX(AD3:AD128)</f>
        <v>10</v>
      </c>
      <c r="AE132" s="1">
        <f>MAX(AE3:AE128)</f>
        <v>200</v>
      </c>
      <c r="AF132" s="1">
        <f>MAX(AF3:AF128)</f>
        <v>5</v>
      </c>
      <c r="AG132" s="1">
        <f>MAX(AG3:AG128)</f>
        <v>5</v>
      </c>
      <c r="AH132" s="1">
        <f>MAX(AH3:AH128)</f>
        <v>5</v>
      </c>
      <c r="AI132" s="1">
        <f>MAX(AI3:AI128)</f>
        <v>5</v>
      </c>
      <c r="AJ132" s="1">
        <f>MAX(AJ3:AJ128)</f>
        <v>5</v>
      </c>
      <c r="AK132" s="1">
        <f>MAX(AK3:AK128)</f>
        <v>0</v>
      </c>
      <c r="AL132" s="1">
        <f>MAX(AL3:AL128)</f>
        <v>0</v>
      </c>
      <c r="AM132" s="1">
        <f>MAX(AM3:AM128)</f>
        <v>15</v>
      </c>
      <c r="AN132" s="1">
        <f>MAX(AN3:AN128)</f>
        <v>25</v>
      </c>
      <c r="AO132" s="1">
        <f>MAX(AO3:AO128)</f>
        <v>10</v>
      </c>
      <c r="AP132" s="1">
        <f>MAX(AP3:AP128)</f>
        <v>10</v>
      </c>
      <c r="AQ132" s="1">
        <f>MAX(AQ3:AQ128)</f>
        <v>15</v>
      </c>
      <c r="AR132" s="1">
        <f>MAX(AR3:AR128)</f>
        <v>15</v>
      </c>
      <c r="AS132" s="1">
        <f>MAX(AS3:AS128)</f>
        <v>15</v>
      </c>
      <c r="AT132" s="1">
        <f>MAX(AT3:AT128)</f>
        <v>20</v>
      </c>
      <c r="AU132" s="1">
        <f>MAX(AU3:AU128)</f>
        <v>10</v>
      </c>
      <c r="AV132" s="1">
        <f>MAX(AV3:AV128)</f>
        <v>40</v>
      </c>
      <c r="AW132" s="1">
        <f>MAX(AW3:AW128)</f>
        <v>40</v>
      </c>
      <c r="AX132" s="1">
        <f>MAX(AX3:AX128)</f>
        <v>20</v>
      </c>
      <c r="AY132" s="1">
        <f>MAX(AY3:AY128)</f>
        <v>15</v>
      </c>
      <c r="AZ132" s="1">
        <f>MAX(AZ3:AZ128)</f>
        <v>15</v>
      </c>
      <c r="BA132" s="1">
        <f>MAX(BA3:BA128)</f>
        <v>20</v>
      </c>
      <c r="BB132" s="1">
        <f>MAX(BB3:BB128)</f>
        <v>40</v>
      </c>
      <c r="BC132" s="1">
        <f>MAX(BC3:BC128)</f>
        <v>10</v>
      </c>
      <c r="BD132" s="1">
        <f>MAX(BD3:BD128)</f>
        <v>50</v>
      </c>
      <c r="BE132" s="1">
        <f>MAX(BE3:BE128)</f>
        <v>20</v>
      </c>
      <c r="BF132" s="1">
        <f>MAX(BF3:BF128)</f>
        <v>20</v>
      </c>
      <c r="BG132" s="1">
        <f>MAX(BG3:BG128)</f>
        <v>20</v>
      </c>
      <c r="BH132" s="1">
        <f>MAX(BH3:BH128)</f>
        <v>20</v>
      </c>
      <c r="BI132" s="1">
        <f>MAX(BI3:BI128)</f>
        <v>20</v>
      </c>
      <c r="BJ132" s="1">
        <f>MAX(BJ3:BJ128)</f>
        <v>50</v>
      </c>
      <c r="BK132" s="1">
        <f>MAX(BK3:BK128)</f>
        <v>50</v>
      </c>
      <c r="BL132" s="1">
        <f>MAX(BL3:BL128)</f>
        <v>50</v>
      </c>
      <c r="BM132" s="1">
        <f>MAX(BM3:BM128)</f>
        <v>50</v>
      </c>
      <c r="BN132" s="1">
        <f>MAX(BN3:BN128)</f>
        <v>50</v>
      </c>
      <c r="BO132" s="1">
        <f>MAX(BO3:BO128)</f>
        <v>50</v>
      </c>
      <c r="BP132" s="1"/>
      <c r="BQ132" s="1"/>
      <c r="BR132" s="17"/>
      <c r="BS132" s="17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</row>
    <row r="133" spans="1:97" x14ac:dyDescent="0.15">
      <c r="A133" s="1"/>
      <c r="B133" s="3" t="s">
        <v>196</v>
      </c>
      <c r="C133" s="1"/>
      <c r="D133" s="1"/>
      <c r="E133" s="1">
        <f>MIN(E3:E128)</f>
        <v>6</v>
      </c>
      <c r="F133" s="1">
        <f>MIN(F3:F128)</f>
        <v>5</v>
      </c>
      <c r="G133" s="1">
        <f>MIN(G3:G128)</f>
        <v>5</v>
      </c>
      <c r="H133" s="1">
        <f>MIN(H3:H128)</f>
        <v>5</v>
      </c>
      <c r="I133" s="1">
        <f>MIN(I3:I128)</f>
        <v>6</v>
      </c>
      <c r="J133" s="1">
        <f>MIN(J3:J128)</f>
        <v>10</v>
      </c>
      <c r="K133" s="1">
        <f>MIN(K3:K128)</f>
        <v>6</v>
      </c>
      <c r="L133" s="1">
        <f>MIN(L3:L128)</f>
        <v>6</v>
      </c>
      <c r="M133" s="1">
        <f>MIN(M3:M128)</f>
        <v>6</v>
      </c>
      <c r="N133" s="1">
        <f>MIN(N3:N128)</f>
        <v>6</v>
      </c>
      <c r="O133" s="1">
        <f>MIN(O3:O128)</f>
        <v>5</v>
      </c>
      <c r="P133" s="1">
        <f>MIN(P3:P128)</f>
        <v>10</v>
      </c>
      <c r="Q133" s="1">
        <f>MIN(Q3:Q128)</f>
        <v>5</v>
      </c>
      <c r="R133" s="1">
        <f>MIN(R3:R128)</f>
        <v>2</v>
      </c>
      <c r="S133" s="1">
        <f>MIN(S3:S128)</f>
        <v>10</v>
      </c>
      <c r="T133" s="1">
        <f>MIN(T3:T128)</f>
        <v>5</v>
      </c>
      <c r="U133" s="1">
        <f>MIN(U3:U128)</f>
        <v>2</v>
      </c>
      <c r="V133" s="1">
        <f>MIN(V3:V128)</f>
        <v>5</v>
      </c>
      <c r="W133" s="1">
        <f>MIN(W3:W128)</f>
        <v>5</v>
      </c>
      <c r="X133" s="1">
        <f>MIN(X3:X128)</f>
        <v>2</v>
      </c>
      <c r="Y133" s="1">
        <f>MIN(Y3:Y128)</f>
        <v>5</v>
      </c>
      <c r="Z133" s="1">
        <f>MIN(Z3:Z128)</f>
        <v>5</v>
      </c>
      <c r="AA133" s="1">
        <f>MIN(AA3:AA128)</f>
        <v>2</v>
      </c>
      <c r="AB133" s="1">
        <f>MIN(AB3:AB128)</f>
        <v>10</v>
      </c>
      <c r="AC133" s="1">
        <f>MIN(AC3:AC128)</f>
        <v>5</v>
      </c>
      <c r="AD133" s="1">
        <f>MIN(AD3:AD128)</f>
        <v>2</v>
      </c>
      <c r="AE133" s="1">
        <f>MIN(AE3:AE128)</f>
        <v>15</v>
      </c>
      <c r="AF133" s="1">
        <f>MIN(AF3:AF128)</f>
        <v>5</v>
      </c>
      <c r="AG133" s="1">
        <f>MIN(AG3:AG128)</f>
        <v>5</v>
      </c>
      <c r="AH133" s="1">
        <f>MIN(AH3:AH128)</f>
        <v>5</v>
      </c>
      <c r="AI133" s="1">
        <f>MIN(AI3:AI128)</f>
        <v>5</v>
      </c>
      <c r="AJ133" s="1">
        <f>MIN(AJ3:AJ128)</f>
        <v>5</v>
      </c>
      <c r="AK133" s="1">
        <f>MIN(AK3:AK128)</f>
        <v>0</v>
      </c>
      <c r="AL133" s="1">
        <f>MIN(AL3:AL128)</f>
        <v>0</v>
      </c>
      <c r="AM133" s="1">
        <f>MIN(AM3:AM128)</f>
        <v>5</v>
      </c>
      <c r="AN133" s="1">
        <f>MIN(AN3:AN128)</f>
        <v>5</v>
      </c>
      <c r="AO133" s="1">
        <f>MIN(AO3:AO128)</f>
        <v>2</v>
      </c>
      <c r="AP133" s="1">
        <f>MIN(AP3:AP128)</f>
        <v>1</v>
      </c>
      <c r="AQ133" s="1">
        <f>MIN(AQ3:AQ128)</f>
        <v>10</v>
      </c>
      <c r="AR133" s="1">
        <f>MIN(AR3:AR128)</f>
        <v>10</v>
      </c>
      <c r="AS133" s="1">
        <f>MIN(AS3:AS128)</f>
        <v>5</v>
      </c>
      <c r="AT133" s="1">
        <f>MIN(AT3:AT128)</f>
        <v>10</v>
      </c>
      <c r="AU133" s="1">
        <f>MIN(AU3:AU128)</f>
        <v>8</v>
      </c>
      <c r="AV133" s="1">
        <f>MIN(AV3:AV128)</f>
        <v>10</v>
      </c>
      <c r="AW133" s="1">
        <f>MIN(AW3:AW128)</f>
        <v>8</v>
      </c>
      <c r="AX133" s="1">
        <f>MIN(AX3:AX128)</f>
        <v>5</v>
      </c>
      <c r="AY133" s="1">
        <f>MIN(AY3:AY128)</f>
        <v>10</v>
      </c>
      <c r="AZ133" s="1">
        <f>MIN(AZ3:AZ128)</f>
        <v>10</v>
      </c>
      <c r="BA133" s="1">
        <f>MIN(BA3:BA128)</f>
        <v>5</v>
      </c>
      <c r="BB133" s="1">
        <f>MIN(BB3:BB128)</f>
        <v>5</v>
      </c>
      <c r="BC133" s="1">
        <f>MIN(BC3:BC128)</f>
        <v>10</v>
      </c>
      <c r="BD133" s="1">
        <f>MIN(BD3:BD128)</f>
        <v>20</v>
      </c>
      <c r="BE133" s="1">
        <f>MIN(BE3:BE128)</f>
        <v>20</v>
      </c>
      <c r="BF133" s="1">
        <f>MIN(BF3:BF128)</f>
        <v>20</v>
      </c>
      <c r="BG133" s="1">
        <f>MIN(BG3:BG128)</f>
        <v>20</v>
      </c>
      <c r="BH133" s="1">
        <f>MIN(BH3:BH128)</f>
        <v>15</v>
      </c>
      <c r="BI133" s="1">
        <f>MIN(BI3:BI128)</f>
        <v>15</v>
      </c>
      <c r="BJ133" s="1">
        <f>MIN(BJ3:BJ128)</f>
        <v>50</v>
      </c>
      <c r="BK133" s="1">
        <f>MIN(BK3:BK128)</f>
        <v>50</v>
      </c>
      <c r="BL133" s="1">
        <f>MIN(BL3:BL128)</f>
        <v>50</v>
      </c>
      <c r="BM133" s="1">
        <f>MIN(BM3:BM128)</f>
        <v>50</v>
      </c>
      <c r="BN133" s="1">
        <f>MIN(BN3:BN128)</f>
        <v>50</v>
      </c>
      <c r="BO133" s="1">
        <f>MIN(BO3:BO128)</f>
        <v>50</v>
      </c>
      <c r="BP133" s="1"/>
      <c r="BQ133" s="1"/>
      <c r="BR133" s="17"/>
      <c r="BS133" s="17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</row>
    <row r="134" spans="1:97" x14ac:dyDescent="0.15">
      <c r="A134" s="1"/>
      <c r="B134" s="3" t="s">
        <v>197</v>
      </c>
      <c r="C134" s="1"/>
      <c r="D134" s="1"/>
      <c r="E134" s="1">
        <f>E130-E132</f>
        <v>-7</v>
      </c>
      <c r="F134" s="1">
        <f>F130-F132</f>
        <v>-19</v>
      </c>
      <c r="G134" s="1">
        <f>G130-G132</f>
        <v>-4</v>
      </c>
      <c r="H134" s="1">
        <f>H130-H132</f>
        <v>-11</v>
      </c>
      <c r="I134" s="1">
        <f>I130-I132</f>
        <v>6</v>
      </c>
      <c r="J134" s="1">
        <f>J130-J132</f>
        <v>4</v>
      </c>
      <c r="K134" s="1">
        <f>K130-K132</f>
        <v>-9</v>
      </c>
      <c r="L134" s="1">
        <f>L130-L132</f>
        <v>35</v>
      </c>
      <c r="M134" s="1">
        <f>M130-M132</f>
        <v>3</v>
      </c>
      <c r="N134" s="1">
        <f>N130-N132</f>
        <v>2</v>
      </c>
      <c r="O134" s="1">
        <f>O130-O132</f>
        <v>-11</v>
      </c>
      <c r="P134" s="1">
        <f>P130-P132</f>
        <v>-8</v>
      </c>
      <c r="Q134" s="1">
        <f>Q130-Q132</f>
        <v>-6</v>
      </c>
      <c r="R134" s="1">
        <f>R130-R132</f>
        <v>-8</v>
      </c>
      <c r="S134" s="1">
        <f>S130-S132</f>
        <v>-9</v>
      </c>
      <c r="T134" s="1">
        <f>T130-T132</f>
        <v>-2</v>
      </c>
      <c r="U134" s="1">
        <f>U130-U132</f>
        <v>-10</v>
      </c>
      <c r="V134" s="1">
        <f>V130-V132</f>
        <v>-8</v>
      </c>
      <c r="W134" s="1">
        <f>W130-W132</f>
        <v>-3</v>
      </c>
      <c r="X134" s="1">
        <f>X130-X132</f>
        <v>-4</v>
      </c>
      <c r="Y134" s="1">
        <f>Y130-Y132</f>
        <v>-10</v>
      </c>
      <c r="Z134" s="1">
        <f>Z130-Z132</f>
        <v>-4</v>
      </c>
      <c r="AA134" s="1">
        <f>AA130-AA132</f>
        <v>-9</v>
      </c>
      <c r="AB134" s="1">
        <f>AB130-AB132</f>
        <v>-2</v>
      </c>
      <c r="AC134" s="1">
        <f>AC130-AC132</f>
        <v>-3</v>
      </c>
      <c r="AD134" s="1">
        <f>AD130-AD132</f>
        <v>-6</v>
      </c>
      <c r="AE134" s="1">
        <f>AE130-AE132</f>
        <v>-190</v>
      </c>
      <c r="AF134" s="1">
        <f>AF130-AF132</f>
        <v>-5</v>
      </c>
      <c r="AG134" s="1">
        <f>AG130-AG132</f>
        <v>-5</v>
      </c>
      <c r="AH134" s="1">
        <f>AH130-AH132</f>
        <v>-5</v>
      </c>
      <c r="AI134" s="1">
        <f>AI130-AI132</f>
        <v>-5</v>
      </c>
      <c r="AJ134" s="1">
        <f>AJ130-AJ132</f>
        <v>-5</v>
      </c>
      <c r="AK134" s="1">
        <f>AK130-AK132</f>
        <v>33</v>
      </c>
      <c r="AL134" s="1">
        <f>AL130-AL132</f>
        <v>43</v>
      </c>
      <c r="AM134" s="1">
        <f>AM130-AM132</f>
        <v>-3</v>
      </c>
      <c r="AN134" s="1">
        <f>AN130-AN132</f>
        <v>-25</v>
      </c>
      <c r="AO134" s="1">
        <f>AO130-AO132</f>
        <v>-10</v>
      </c>
      <c r="AP134" s="1">
        <f>AP130-AP132</f>
        <v>-10</v>
      </c>
      <c r="AQ134" s="1">
        <f>AQ130-AQ132</f>
        <v>-13</v>
      </c>
      <c r="AR134" s="1">
        <f>AR130-AR132</f>
        <v>-10</v>
      </c>
      <c r="AS134" s="1">
        <f>AS130-AS132</f>
        <v>-12</v>
      </c>
      <c r="AT134" s="1">
        <f>AT130-AT132</f>
        <v>-19</v>
      </c>
      <c r="AU134" s="1">
        <f>AU130-AU132</f>
        <v>2</v>
      </c>
      <c r="AV134" s="1">
        <f>AV130-AV132</f>
        <v>-36</v>
      </c>
      <c r="AW134" s="1">
        <f>AW130-AW132</f>
        <v>-33</v>
      </c>
      <c r="AX134" s="1">
        <f>AX130-AX132</f>
        <v>8</v>
      </c>
      <c r="AY134" s="1">
        <f>AY130-AY132</f>
        <v>-7</v>
      </c>
      <c r="AZ134" s="1">
        <f>AZ130-AZ132</f>
        <v>-12</v>
      </c>
      <c r="BA134" s="1">
        <f>BA130-BA132</f>
        <v>-16</v>
      </c>
      <c r="BB134" s="1">
        <f>BB130-BB132</f>
        <v>84</v>
      </c>
      <c r="BC134" s="1">
        <f>BC130-BC132</f>
        <v>-1</v>
      </c>
      <c r="BD134" s="1">
        <f>BD130-BD132</f>
        <v>64</v>
      </c>
      <c r="BE134" s="1">
        <f>BE130-BE132</f>
        <v>176</v>
      </c>
      <c r="BF134" s="1">
        <f>BF130-BF132</f>
        <v>173</v>
      </c>
      <c r="BG134" s="1">
        <f>BG130-BG132</f>
        <v>182</v>
      </c>
      <c r="BH134" s="1">
        <f>BH130-BH132</f>
        <v>73</v>
      </c>
      <c r="BI134" s="1">
        <f>BI130-BI132</f>
        <v>86</v>
      </c>
      <c r="BJ134" s="1">
        <f>BJ130-BJ132</f>
        <v>-25</v>
      </c>
      <c r="BK134" s="1">
        <f>BK130-BK132</f>
        <v>-25</v>
      </c>
      <c r="BL134" s="1">
        <f>BL130-BL132</f>
        <v>-1</v>
      </c>
      <c r="BM134" s="1">
        <f>BM130-BM132</f>
        <v>-50</v>
      </c>
      <c r="BN134" s="1">
        <f>BN130-BN132</f>
        <v>-45</v>
      </c>
      <c r="BO134" s="1">
        <f>BO130-BO132</f>
        <v>-50</v>
      </c>
      <c r="BP134" s="1"/>
      <c r="BQ134" s="1"/>
      <c r="BR134" s="17"/>
      <c r="BS134" s="17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</row>
    <row r="135" spans="1:97" s="13" customFormat="1" x14ac:dyDescent="0.15">
      <c r="A135" s="1"/>
      <c r="B135" s="3" t="s">
        <v>198</v>
      </c>
      <c r="C135" s="1"/>
      <c r="D135" s="1"/>
      <c r="E135" s="1">
        <f>E130-E133</f>
        <v>2</v>
      </c>
      <c r="F135" s="1">
        <f>F130-F133</f>
        <v>-4</v>
      </c>
      <c r="G135" s="1">
        <f>G130-G133</f>
        <v>11</v>
      </c>
      <c r="H135" s="1">
        <f>H130-H133</f>
        <v>4</v>
      </c>
      <c r="I135" s="1">
        <f>I130-I133</f>
        <v>10</v>
      </c>
      <c r="J135" s="1">
        <f>J130-J133</f>
        <v>4</v>
      </c>
      <c r="K135" s="1">
        <f>K130-K133</f>
        <v>5</v>
      </c>
      <c r="L135" s="1">
        <f>L130-L133</f>
        <v>49</v>
      </c>
      <c r="M135" s="1">
        <f>M130-M133</f>
        <v>12</v>
      </c>
      <c r="N135" s="1">
        <f>N130-N133</f>
        <v>16</v>
      </c>
      <c r="O135" s="1">
        <f>O130-O133</f>
        <v>4</v>
      </c>
      <c r="P135" s="1">
        <f>P130-P133</f>
        <v>-8</v>
      </c>
      <c r="Q135" s="1">
        <f>Q130-Q133</f>
        <v>-4</v>
      </c>
      <c r="R135" s="1">
        <f>R130-R133</f>
        <v>0</v>
      </c>
      <c r="S135" s="1">
        <f>S130-S133</f>
        <v>-9</v>
      </c>
      <c r="T135" s="1">
        <f>T130-T133</f>
        <v>0</v>
      </c>
      <c r="U135" s="1">
        <f>U130-U133</f>
        <v>-2</v>
      </c>
      <c r="V135" s="1">
        <f>V130-V133</f>
        <v>-3</v>
      </c>
      <c r="W135" s="1">
        <f>W130-W133</f>
        <v>-3</v>
      </c>
      <c r="X135" s="1">
        <f>X130-X133</f>
        <v>4</v>
      </c>
      <c r="Y135" s="1">
        <f>Y130-Y133</f>
        <v>-5</v>
      </c>
      <c r="Z135" s="1">
        <f>Z130-Z133</f>
        <v>-4</v>
      </c>
      <c r="AA135" s="1">
        <f>AA130-AA133</f>
        <v>-1</v>
      </c>
      <c r="AB135" s="1">
        <f>AB130-AB133</f>
        <v>-2</v>
      </c>
      <c r="AC135" s="1">
        <f>AC130-AC133</f>
        <v>-3</v>
      </c>
      <c r="AD135" s="1">
        <f>AD130-AD133</f>
        <v>2</v>
      </c>
      <c r="AE135" s="1">
        <f>AE130-AE133</f>
        <v>-5</v>
      </c>
      <c r="AF135" s="1">
        <f>AF130-AF133</f>
        <v>-5</v>
      </c>
      <c r="AG135" s="1">
        <f>AG130-AG133</f>
        <v>-5</v>
      </c>
      <c r="AH135" s="1">
        <f>AH130-AH133</f>
        <v>-5</v>
      </c>
      <c r="AI135" s="1">
        <f>AI130-AI133</f>
        <v>-5</v>
      </c>
      <c r="AJ135" s="1">
        <f>AJ130-AJ133</f>
        <v>-5</v>
      </c>
      <c r="AK135" s="1">
        <f>AK130-AK133</f>
        <v>33</v>
      </c>
      <c r="AL135" s="1">
        <f>AL130-AL133</f>
        <v>43</v>
      </c>
      <c r="AM135" s="1">
        <f>AM130-AM133</f>
        <v>7</v>
      </c>
      <c r="AN135" s="1">
        <f>AN130-AN133</f>
        <v>-5</v>
      </c>
      <c r="AO135" s="1">
        <f>AO130-AO133</f>
        <v>-2</v>
      </c>
      <c r="AP135" s="1">
        <f>AP130-AP133</f>
        <v>-1</v>
      </c>
      <c r="AQ135" s="1">
        <f>AQ130-AQ133</f>
        <v>-8</v>
      </c>
      <c r="AR135" s="1">
        <f>AR130-AR133</f>
        <v>-5</v>
      </c>
      <c r="AS135" s="1">
        <f>AS130-AS133</f>
        <v>-2</v>
      </c>
      <c r="AT135" s="1">
        <f>AT130-AT133</f>
        <v>-9</v>
      </c>
      <c r="AU135" s="1">
        <f>AU130-AU133</f>
        <v>4</v>
      </c>
      <c r="AV135" s="1">
        <f>AV130-AV133</f>
        <v>-6</v>
      </c>
      <c r="AW135" s="1">
        <f>AW130-AW133</f>
        <v>-1</v>
      </c>
      <c r="AX135" s="1">
        <f>AX130-AX133</f>
        <v>23</v>
      </c>
      <c r="AY135" s="1">
        <f>AY130-AY133</f>
        <v>-2</v>
      </c>
      <c r="AZ135" s="1">
        <f>AZ130-AZ133</f>
        <v>-7</v>
      </c>
      <c r="BA135" s="1">
        <f>BA130-BA133</f>
        <v>-1</v>
      </c>
      <c r="BB135" s="1">
        <f>BB130-BB133</f>
        <v>119</v>
      </c>
      <c r="BC135" s="1">
        <f>BC130-BC133</f>
        <v>-1</v>
      </c>
      <c r="BD135" s="1">
        <f>BD130-BD133</f>
        <v>94</v>
      </c>
      <c r="BE135" s="1">
        <f>BE130-BE133</f>
        <v>176</v>
      </c>
      <c r="BF135" s="1">
        <f>BF130-BF133</f>
        <v>173</v>
      </c>
      <c r="BG135" s="1">
        <f>BG130-BG133</f>
        <v>182</v>
      </c>
      <c r="BH135" s="1">
        <f>BH130-BH133</f>
        <v>78</v>
      </c>
      <c r="BI135" s="1">
        <f>BI130-BI133</f>
        <v>91</v>
      </c>
      <c r="BJ135" s="1">
        <f>BJ130-BJ133</f>
        <v>-25</v>
      </c>
      <c r="BK135" s="1">
        <f>BK130-BK133</f>
        <v>-25</v>
      </c>
      <c r="BL135" s="1">
        <f>BL130-BL133</f>
        <v>-1</v>
      </c>
      <c r="BM135" s="1">
        <f>BM130-BM133</f>
        <v>-50</v>
      </c>
      <c r="BN135" s="1">
        <f>BN130-BN133</f>
        <v>-45</v>
      </c>
      <c r="BO135" s="1">
        <f>BO130-BO133</f>
        <v>-50</v>
      </c>
      <c r="BP135" s="1"/>
      <c r="BQ135" s="1"/>
      <c r="BR135" s="17"/>
      <c r="BS135" s="17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</row>
  </sheetData>
  <autoFilter ref="A1:BP128"/>
  <sortState ref="A2:CS135">
    <sortCondition ref="BR2:BR135"/>
    <sortCondition ref="BQ2:BQ135"/>
  </sortState>
  <phoneticPr fontId="1" type="noConversion"/>
  <conditionalFormatting sqref="E19">
    <cfRule type="cellIs" dxfId="3" priority="13" operator="greaterThan">
      <formula>$E$129</formula>
    </cfRule>
  </conditionalFormatting>
  <conditionalFormatting sqref="E132">
    <cfRule type="expression" dxfId="2" priority="9">
      <formula>"&lt;=$E$135"</formula>
    </cfRule>
  </conditionalFormatting>
  <conditionalFormatting sqref="E134:BO135">
    <cfRule type="cellIs" dxfId="1" priority="5" operator="greaterThan">
      <formula>-1</formula>
    </cfRule>
  </conditionalFormatting>
  <conditionalFormatting sqref="E131:BO1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135</xdr:row>
                    <xdr:rowOff>28575</xdr:rowOff>
                  </from>
                  <to>
                    <xdr:col>1</xdr:col>
                    <xdr:colOff>428625</xdr:colOff>
                    <xdr:row>136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89</v>
      </c>
      <c r="B1" s="5" t="s">
        <v>86</v>
      </c>
      <c r="C1" s="5" t="s">
        <v>90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3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199</v>
      </c>
      <c r="D27" t="s">
        <v>200</v>
      </c>
      <c r="E27" t="s">
        <v>201</v>
      </c>
      <c r="F27" t="s">
        <v>202</v>
      </c>
      <c r="G27" t="s">
        <v>203</v>
      </c>
      <c r="H27" t="s">
        <v>204</v>
      </c>
      <c r="I27" t="s">
        <v>205</v>
      </c>
      <c r="J27" t="s">
        <v>206</v>
      </c>
      <c r="K27" t="s">
        <v>207</v>
      </c>
      <c r="L27" t="s">
        <v>208</v>
      </c>
      <c r="M27" t="s">
        <v>209</v>
      </c>
      <c r="N27" t="s">
        <v>210</v>
      </c>
    </row>
    <row r="31" spans="3:18" x14ac:dyDescent="0.15">
      <c r="C31">
        <v>-3</v>
      </c>
      <c r="D31" t="s">
        <v>199</v>
      </c>
    </row>
    <row r="32" spans="3:18" x14ac:dyDescent="0.15">
      <c r="C32">
        <v>-8</v>
      </c>
      <c r="D32" t="s">
        <v>200</v>
      </c>
    </row>
    <row r="33" spans="3:4" x14ac:dyDescent="0.15">
      <c r="C33">
        <v>-3</v>
      </c>
      <c r="D33" t="s">
        <v>201</v>
      </c>
    </row>
    <row r="34" spans="3:4" x14ac:dyDescent="0.15">
      <c r="C34">
        <v>1</v>
      </c>
      <c r="D34" t="s">
        <v>202</v>
      </c>
    </row>
    <row r="35" spans="3:4" x14ac:dyDescent="0.15">
      <c r="C35">
        <v>3</v>
      </c>
      <c r="D35" t="s">
        <v>203</v>
      </c>
    </row>
    <row r="36" spans="3:4" x14ac:dyDescent="0.15">
      <c r="C36">
        <v>0</v>
      </c>
      <c r="D36" t="s">
        <v>204</v>
      </c>
    </row>
    <row r="37" spans="3:4" x14ac:dyDescent="0.15">
      <c r="C37">
        <v>-3</v>
      </c>
      <c r="D37" t="s">
        <v>205</v>
      </c>
    </row>
    <row r="38" spans="3:4" x14ac:dyDescent="0.15">
      <c r="C38">
        <v>30</v>
      </c>
      <c r="D38" t="s">
        <v>206</v>
      </c>
    </row>
    <row r="39" spans="3:4" x14ac:dyDescent="0.15">
      <c r="C39">
        <v>5</v>
      </c>
      <c r="D39" t="s">
        <v>207</v>
      </c>
    </row>
    <row r="40" spans="3:4" x14ac:dyDescent="0.15">
      <c r="C40">
        <v>-10</v>
      </c>
      <c r="D40" t="s">
        <v>208</v>
      </c>
    </row>
    <row r="41" spans="3:4" x14ac:dyDescent="0.15">
      <c r="C41">
        <v>3</v>
      </c>
      <c r="D41" t="s">
        <v>209</v>
      </c>
    </row>
    <row r="42" spans="3:4" x14ac:dyDescent="0.15">
      <c r="C42">
        <v>138</v>
      </c>
      <c r="D42" t="s">
        <v>210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96</v>
      </c>
      <c r="B1" s="8" t="s">
        <v>97</v>
      </c>
      <c r="C1" s="8" t="s">
        <v>98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2020-03-06T03:15:33Z</dcterms:modified>
</cp:coreProperties>
</file>