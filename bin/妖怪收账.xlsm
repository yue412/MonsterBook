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 tabRatio="508"/>
  </bookViews>
  <sheets>
    <sheet name="Sheet1" sheetId="1" r:id="rId1"/>
    <sheet name="Sheet1 (2)" sheetId="9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Sheet1!$A$1:$BV$76</definedName>
    <definedName name="_xlnm._FilterDatabase" localSheetId="1" hidden="1">'Sheet1 (2)'!$A$1:$BV$13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U54" i="1" l="1"/>
  <c r="BV54" i="1"/>
  <c r="BQ54" i="1"/>
  <c r="BQ68" i="1" l="1"/>
  <c r="BU20" i="1" l="1"/>
  <c r="BV20" i="1"/>
  <c r="BQ20" i="1"/>
  <c r="BP10" i="9" l="1"/>
  <c r="BP12" i="9" s="1"/>
  <c r="BO10" i="9"/>
  <c r="BO12" i="9" s="1"/>
  <c r="BN10" i="9"/>
  <c r="BN12" i="9" s="1"/>
  <c r="BM10" i="9"/>
  <c r="BM12" i="9" s="1"/>
  <c r="BL10" i="9"/>
  <c r="BL12" i="9" s="1"/>
  <c r="BK10" i="9"/>
  <c r="BK12" i="9" s="1"/>
  <c r="BJ10" i="9"/>
  <c r="BJ12" i="9" s="1"/>
  <c r="BI10" i="9"/>
  <c r="BI12" i="9" s="1"/>
  <c r="BH10" i="9"/>
  <c r="BH12" i="9" s="1"/>
  <c r="BG10" i="9"/>
  <c r="BG12" i="9" s="1"/>
  <c r="BF10" i="9"/>
  <c r="BF12" i="9" s="1"/>
  <c r="BE10" i="9"/>
  <c r="BE12" i="9" s="1"/>
  <c r="BD10" i="9"/>
  <c r="BD12" i="9" s="1"/>
  <c r="BC10" i="9"/>
  <c r="BC12" i="9" s="1"/>
  <c r="BB10" i="9"/>
  <c r="BB12" i="9" s="1"/>
  <c r="BA10" i="9"/>
  <c r="BA12" i="9" s="1"/>
  <c r="AZ10" i="9"/>
  <c r="AZ12" i="9" s="1"/>
  <c r="AY10" i="9"/>
  <c r="AY12" i="9" s="1"/>
  <c r="AX10" i="9"/>
  <c r="AX12" i="9" s="1"/>
  <c r="AW10" i="9"/>
  <c r="AW12" i="9" s="1"/>
  <c r="AV10" i="9"/>
  <c r="AV12" i="9" s="1"/>
  <c r="AU10" i="9"/>
  <c r="AU12" i="9" s="1"/>
  <c r="AT10" i="9"/>
  <c r="AT12" i="9" s="1"/>
  <c r="AS10" i="9"/>
  <c r="AS12" i="9" s="1"/>
  <c r="AR10" i="9"/>
  <c r="AR12" i="9" s="1"/>
  <c r="AQ10" i="9"/>
  <c r="AQ12" i="9" s="1"/>
  <c r="AP10" i="9"/>
  <c r="AP12" i="9" s="1"/>
  <c r="AO10" i="9"/>
  <c r="AO12" i="9" s="1"/>
  <c r="AN10" i="9"/>
  <c r="AN12" i="9" s="1"/>
  <c r="AM10" i="9"/>
  <c r="AM12" i="9" s="1"/>
  <c r="AL10" i="9"/>
  <c r="AL12" i="9" s="1"/>
  <c r="AK10" i="9"/>
  <c r="AK12" i="9" s="1"/>
  <c r="AJ10" i="9"/>
  <c r="AJ12" i="9" s="1"/>
  <c r="AI10" i="9"/>
  <c r="AI12" i="9" s="1"/>
  <c r="AH10" i="9"/>
  <c r="AH12" i="9" s="1"/>
  <c r="AG10" i="9"/>
  <c r="AG12" i="9" s="1"/>
  <c r="AF10" i="9"/>
  <c r="AF12" i="9" s="1"/>
  <c r="AE10" i="9"/>
  <c r="AE12" i="9" s="1"/>
  <c r="AD10" i="9"/>
  <c r="AD12" i="9" s="1"/>
  <c r="AC10" i="9"/>
  <c r="AC12" i="9" s="1"/>
  <c r="AB10" i="9"/>
  <c r="AB12" i="9" s="1"/>
  <c r="AA10" i="9"/>
  <c r="AA12" i="9" s="1"/>
  <c r="Z10" i="9"/>
  <c r="Z12" i="9" s="1"/>
  <c r="Y10" i="9"/>
  <c r="Y12" i="9" s="1"/>
  <c r="X10" i="9"/>
  <c r="X12" i="9" s="1"/>
  <c r="W10" i="9"/>
  <c r="W12" i="9" s="1"/>
  <c r="V10" i="9"/>
  <c r="V12" i="9" s="1"/>
  <c r="U10" i="9"/>
  <c r="U12" i="9" s="1"/>
  <c r="T10" i="9"/>
  <c r="T12" i="9" s="1"/>
  <c r="S10" i="9"/>
  <c r="S12" i="9" s="1"/>
  <c r="R10" i="9"/>
  <c r="R12" i="9" s="1"/>
  <c r="Q10" i="9"/>
  <c r="Q12" i="9" s="1"/>
  <c r="P10" i="9"/>
  <c r="P12" i="9" s="1"/>
  <c r="O10" i="9"/>
  <c r="O12" i="9" s="1"/>
  <c r="N10" i="9"/>
  <c r="N12" i="9" s="1"/>
  <c r="M10" i="9"/>
  <c r="M12" i="9" s="1"/>
  <c r="L10" i="9"/>
  <c r="L12" i="9" s="1"/>
  <c r="K10" i="9"/>
  <c r="K12" i="9" s="1"/>
  <c r="J10" i="9"/>
  <c r="J12" i="9" s="1"/>
  <c r="I10" i="9"/>
  <c r="I12" i="9" s="1"/>
  <c r="H10" i="9"/>
  <c r="H12" i="9" s="1"/>
  <c r="G10" i="9"/>
  <c r="G12" i="9" s="1"/>
  <c r="F10" i="9"/>
  <c r="F12" i="9" s="1"/>
  <c r="E10" i="9"/>
  <c r="E12" i="9" s="1"/>
  <c r="BP9" i="9"/>
  <c r="BP11" i="9" s="1"/>
  <c r="BO9" i="9"/>
  <c r="BO11" i="9" s="1"/>
  <c r="BN9" i="9"/>
  <c r="BN11" i="9" s="1"/>
  <c r="BM9" i="9"/>
  <c r="BM11" i="9" s="1"/>
  <c r="BL9" i="9"/>
  <c r="BL11" i="9" s="1"/>
  <c r="BK9" i="9"/>
  <c r="BK11" i="9" s="1"/>
  <c r="BJ9" i="9"/>
  <c r="BJ11" i="9" s="1"/>
  <c r="BI9" i="9"/>
  <c r="BI11" i="9" s="1"/>
  <c r="BH9" i="9"/>
  <c r="BH11" i="9" s="1"/>
  <c r="BG9" i="9"/>
  <c r="BG11" i="9" s="1"/>
  <c r="BF9" i="9"/>
  <c r="BF11" i="9" s="1"/>
  <c r="BE9" i="9"/>
  <c r="BE11" i="9" s="1"/>
  <c r="BD9" i="9"/>
  <c r="BD11" i="9" s="1"/>
  <c r="BC9" i="9"/>
  <c r="BC11" i="9" s="1"/>
  <c r="BB9" i="9"/>
  <c r="BB11" i="9" s="1"/>
  <c r="BA9" i="9"/>
  <c r="BA11" i="9" s="1"/>
  <c r="AZ9" i="9"/>
  <c r="AZ11" i="9" s="1"/>
  <c r="AY9" i="9"/>
  <c r="AY11" i="9" s="1"/>
  <c r="AX9" i="9"/>
  <c r="AX11" i="9" s="1"/>
  <c r="AW9" i="9"/>
  <c r="AW11" i="9" s="1"/>
  <c r="AV9" i="9"/>
  <c r="AV11" i="9" s="1"/>
  <c r="AU9" i="9"/>
  <c r="AU11" i="9" s="1"/>
  <c r="AT9" i="9"/>
  <c r="AT11" i="9" s="1"/>
  <c r="AS9" i="9"/>
  <c r="AS11" i="9" s="1"/>
  <c r="AR9" i="9"/>
  <c r="AR11" i="9" s="1"/>
  <c r="AQ9" i="9"/>
  <c r="AQ11" i="9" s="1"/>
  <c r="AP9" i="9"/>
  <c r="AP11" i="9" s="1"/>
  <c r="AO9" i="9"/>
  <c r="AO11" i="9" s="1"/>
  <c r="AN9" i="9"/>
  <c r="AN11" i="9" s="1"/>
  <c r="AM9" i="9"/>
  <c r="AM11" i="9" s="1"/>
  <c r="AL9" i="9"/>
  <c r="AL11" i="9" s="1"/>
  <c r="AK9" i="9"/>
  <c r="AK11" i="9" s="1"/>
  <c r="AJ9" i="9"/>
  <c r="AJ11" i="9" s="1"/>
  <c r="AI9" i="9"/>
  <c r="AI11" i="9" s="1"/>
  <c r="AH9" i="9"/>
  <c r="AH11" i="9" s="1"/>
  <c r="AG9" i="9"/>
  <c r="AG11" i="9" s="1"/>
  <c r="AF9" i="9"/>
  <c r="AF11" i="9" s="1"/>
  <c r="AE9" i="9"/>
  <c r="AE11" i="9" s="1"/>
  <c r="AD9" i="9"/>
  <c r="AD11" i="9" s="1"/>
  <c r="AC9" i="9"/>
  <c r="AC11" i="9" s="1"/>
  <c r="AB9" i="9"/>
  <c r="AB11" i="9" s="1"/>
  <c r="AA9" i="9"/>
  <c r="AA11" i="9" s="1"/>
  <c r="Z9" i="9"/>
  <c r="Z11" i="9" s="1"/>
  <c r="Y9" i="9"/>
  <c r="Y11" i="9" s="1"/>
  <c r="X9" i="9"/>
  <c r="X11" i="9" s="1"/>
  <c r="W9" i="9"/>
  <c r="W11" i="9" s="1"/>
  <c r="V9" i="9"/>
  <c r="V11" i="9" s="1"/>
  <c r="U9" i="9"/>
  <c r="U11" i="9" s="1"/>
  <c r="T9" i="9"/>
  <c r="T11" i="9" s="1"/>
  <c r="S9" i="9"/>
  <c r="S11" i="9" s="1"/>
  <c r="R9" i="9"/>
  <c r="R11" i="9" s="1"/>
  <c r="Q9" i="9"/>
  <c r="Q11" i="9" s="1"/>
  <c r="P9" i="9"/>
  <c r="P11" i="9" s="1"/>
  <c r="O9" i="9"/>
  <c r="O11" i="9" s="1"/>
  <c r="N9" i="9"/>
  <c r="N11" i="9" s="1"/>
  <c r="M9" i="9"/>
  <c r="M11" i="9" s="1"/>
  <c r="L9" i="9"/>
  <c r="L11" i="9" s="1"/>
  <c r="K9" i="9"/>
  <c r="K11" i="9" s="1"/>
  <c r="J9" i="9"/>
  <c r="J11" i="9" s="1"/>
  <c r="I9" i="9"/>
  <c r="I11" i="9" s="1"/>
  <c r="H9" i="9"/>
  <c r="H11" i="9" s="1"/>
  <c r="G9" i="9"/>
  <c r="G11" i="9" s="1"/>
  <c r="F9" i="9"/>
  <c r="F11" i="9" s="1"/>
  <c r="E9" i="9"/>
  <c r="E11" i="9" s="1"/>
  <c r="BP6" i="9"/>
  <c r="BP8" i="9" s="1"/>
  <c r="BO6" i="9"/>
  <c r="BO8" i="9" s="1"/>
  <c r="BN6" i="9"/>
  <c r="BN8" i="9" s="1"/>
  <c r="BM6" i="9"/>
  <c r="BM8" i="9" s="1"/>
  <c r="BL6" i="9"/>
  <c r="BL8" i="9" s="1"/>
  <c r="BK6" i="9"/>
  <c r="BK8" i="9" s="1"/>
  <c r="BJ6" i="9"/>
  <c r="BJ8" i="9" s="1"/>
  <c r="BI6" i="9"/>
  <c r="BI8" i="9" s="1"/>
  <c r="BH6" i="9"/>
  <c r="BH8" i="9" s="1"/>
  <c r="BG6" i="9"/>
  <c r="BG8" i="9" s="1"/>
  <c r="BF6" i="9"/>
  <c r="BF8" i="9" s="1"/>
  <c r="BE6" i="9"/>
  <c r="BE8" i="9" s="1"/>
  <c r="BD6" i="9"/>
  <c r="BD8" i="9" s="1"/>
  <c r="BC6" i="9"/>
  <c r="BC8" i="9" s="1"/>
  <c r="BB6" i="9"/>
  <c r="BB8" i="9" s="1"/>
  <c r="BA6" i="9"/>
  <c r="BA8" i="9" s="1"/>
  <c r="AZ6" i="9"/>
  <c r="AZ8" i="9" s="1"/>
  <c r="AY6" i="9"/>
  <c r="AY8" i="9" s="1"/>
  <c r="AX6" i="9"/>
  <c r="AX8" i="9" s="1"/>
  <c r="AW6" i="9"/>
  <c r="AW8" i="9" s="1"/>
  <c r="AV6" i="9"/>
  <c r="AV8" i="9" s="1"/>
  <c r="AU6" i="9"/>
  <c r="AU8" i="9" s="1"/>
  <c r="AT6" i="9"/>
  <c r="AT8" i="9" s="1"/>
  <c r="AS6" i="9"/>
  <c r="AS8" i="9" s="1"/>
  <c r="AR6" i="9"/>
  <c r="AR8" i="9" s="1"/>
  <c r="AQ6" i="9"/>
  <c r="AQ8" i="9" s="1"/>
  <c r="AP6" i="9"/>
  <c r="AP8" i="9" s="1"/>
  <c r="AO6" i="9"/>
  <c r="AO8" i="9" s="1"/>
  <c r="AN6" i="9"/>
  <c r="AN8" i="9" s="1"/>
  <c r="AM6" i="9"/>
  <c r="AM8" i="9" s="1"/>
  <c r="AL6" i="9"/>
  <c r="AL8" i="9" s="1"/>
  <c r="AK6" i="9"/>
  <c r="AK8" i="9" s="1"/>
  <c r="AJ6" i="9"/>
  <c r="AJ8" i="9" s="1"/>
  <c r="AI6" i="9"/>
  <c r="AI8" i="9" s="1"/>
  <c r="AH6" i="9"/>
  <c r="AH8" i="9" s="1"/>
  <c r="AG6" i="9"/>
  <c r="AG8" i="9" s="1"/>
  <c r="AF6" i="9"/>
  <c r="AF8" i="9" s="1"/>
  <c r="AE6" i="9"/>
  <c r="AE8" i="9" s="1"/>
  <c r="AD6" i="9"/>
  <c r="AD8" i="9" s="1"/>
  <c r="AC6" i="9"/>
  <c r="AC8" i="9" s="1"/>
  <c r="AB6" i="9"/>
  <c r="AB8" i="9" s="1"/>
  <c r="AA6" i="9"/>
  <c r="AA8" i="9" s="1"/>
  <c r="Z6" i="9"/>
  <c r="Z8" i="9" s="1"/>
  <c r="Y6" i="9"/>
  <c r="Y8" i="9" s="1"/>
  <c r="X6" i="9"/>
  <c r="X8" i="9" s="1"/>
  <c r="W6" i="9"/>
  <c r="W8" i="9" s="1"/>
  <c r="V6" i="9"/>
  <c r="V8" i="9" s="1"/>
  <c r="U6" i="9"/>
  <c r="U8" i="9" s="1"/>
  <c r="T6" i="9"/>
  <c r="T8" i="9" s="1"/>
  <c r="S6" i="9"/>
  <c r="S8" i="9" s="1"/>
  <c r="R6" i="9"/>
  <c r="R8" i="9" s="1"/>
  <c r="Q6" i="9"/>
  <c r="Q8" i="9" s="1"/>
  <c r="P6" i="9"/>
  <c r="P8" i="9" s="1"/>
  <c r="O6" i="9"/>
  <c r="O8" i="9" s="1"/>
  <c r="N6" i="9"/>
  <c r="N8" i="9" s="1"/>
  <c r="M6" i="9"/>
  <c r="M8" i="9" s="1"/>
  <c r="L6" i="9"/>
  <c r="L8" i="9" s="1"/>
  <c r="K6" i="9"/>
  <c r="K8" i="9" s="1"/>
  <c r="J6" i="9"/>
  <c r="J8" i="9" s="1"/>
  <c r="I6" i="9"/>
  <c r="I8" i="9" s="1"/>
  <c r="H6" i="9"/>
  <c r="H8" i="9" s="1"/>
  <c r="G6" i="9"/>
  <c r="G8" i="9" s="1"/>
  <c r="F6" i="9"/>
  <c r="F8" i="9" s="1"/>
  <c r="E6" i="9"/>
  <c r="E8" i="9" s="1"/>
  <c r="BV5" i="9"/>
  <c r="BU5" i="9"/>
  <c r="BQ5" i="9"/>
  <c r="BV4" i="9"/>
  <c r="BU4" i="9"/>
  <c r="BQ4" i="9"/>
  <c r="BV3" i="9"/>
  <c r="BU3" i="9"/>
  <c r="BQ3" i="9"/>
  <c r="BV2" i="9"/>
  <c r="BU2" i="9"/>
  <c r="BQ2" i="9"/>
  <c r="BQ66" i="1"/>
  <c r="BQ23" i="1"/>
  <c r="BQ39" i="1"/>
  <c r="BQ57" i="1"/>
  <c r="BQ52" i="1"/>
  <c r="BQ47" i="1"/>
  <c r="BQ53" i="1"/>
  <c r="BU66" i="1"/>
  <c r="BV66" i="1"/>
  <c r="BU23" i="1"/>
  <c r="BV23" i="1"/>
  <c r="BU39" i="1"/>
  <c r="BV39" i="1"/>
  <c r="BU57" i="1"/>
  <c r="BV57" i="1"/>
  <c r="BU52" i="1"/>
  <c r="BV52" i="1"/>
  <c r="BU47" i="1"/>
  <c r="BV47" i="1"/>
  <c r="BU53" i="1"/>
  <c r="BV53" i="1"/>
  <c r="BU24" i="1" l="1"/>
  <c r="BV24" i="1"/>
  <c r="BU63" i="1"/>
  <c r="BV63" i="1"/>
  <c r="BQ24" i="1"/>
  <c r="BQ63" i="1"/>
  <c r="BU12" i="1" l="1"/>
  <c r="BV12" i="1"/>
  <c r="BU2" i="1"/>
  <c r="BV2" i="1"/>
  <c r="BU7" i="1"/>
  <c r="BV7" i="1"/>
  <c r="BU6" i="1"/>
  <c r="BV6" i="1"/>
  <c r="BU13" i="1"/>
  <c r="BV13" i="1"/>
  <c r="BU3" i="1"/>
  <c r="BV3" i="1"/>
  <c r="BU4" i="1"/>
  <c r="BV4" i="1"/>
  <c r="BU5" i="1"/>
  <c r="BV5" i="1"/>
  <c r="BU27" i="1"/>
  <c r="BV27" i="1"/>
  <c r="BU28" i="1"/>
  <c r="BV28" i="1"/>
  <c r="BU25" i="1"/>
  <c r="BV25" i="1"/>
  <c r="BU29" i="1"/>
  <c r="BV29" i="1"/>
  <c r="BU26" i="1"/>
  <c r="BV26" i="1"/>
  <c r="BU33" i="1"/>
  <c r="BV33" i="1"/>
  <c r="BU34" i="1"/>
  <c r="BV34" i="1"/>
  <c r="BU35" i="1"/>
  <c r="BV35" i="1"/>
  <c r="BU22" i="1"/>
  <c r="BV22" i="1"/>
  <c r="BU55" i="1"/>
  <c r="BV55" i="1"/>
  <c r="BU56" i="1"/>
  <c r="BV56" i="1"/>
  <c r="BU37" i="1"/>
  <c r="BV37" i="1"/>
  <c r="BU38" i="1"/>
  <c r="BV38" i="1"/>
  <c r="BU36" i="1"/>
  <c r="BV36" i="1"/>
  <c r="BU8" i="1"/>
  <c r="BV8" i="1"/>
  <c r="BU9" i="1"/>
  <c r="BV9" i="1"/>
  <c r="BU10" i="1"/>
  <c r="BV10" i="1"/>
  <c r="BU11" i="1"/>
  <c r="BV11" i="1"/>
  <c r="BU59" i="1"/>
  <c r="BV59" i="1"/>
  <c r="BU60" i="1"/>
  <c r="BV60" i="1"/>
  <c r="BU61" i="1"/>
  <c r="BV61" i="1"/>
  <c r="BU62" i="1"/>
  <c r="BV62" i="1"/>
  <c r="BU64" i="1"/>
  <c r="BV64" i="1"/>
  <c r="BU14" i="1"/>
  <c r="BV14" i="1"/>
  <c r="BU21" i="1"/>
  <c r="BV21" i="1"/>
  <c r="BU40" i="1"/>
  <c r="BV40" i="1"/>
  <c r="BU41" i="1"/>
  <c r="BV41" i="1"/>
  <c r="BU42" i="1"/>
  <c r="BV42" i="1"/>
  <c r="BU43" i="1"/>
  <c r="BV43" i="1"/>
  <c r="BU44" i="1"/>
  <c r="BV44" i="1"/>
  <c r="BU45" i="1"/>
  <c r="BV45" i="1"/>
  <c r="BU46" i="1"/>
  <c r="BV46" i="1"/>
  <c r="BU65" i="1"/>
  <c r="BV65" i="1"/>
  <c r="BU30" i="1"/>
  <c r="BV30" i="1"/>
  <c r="BU31" i="1"/>
  <c r="BV31" i="1"/>
  <c r="BU48" i="1"/>
  <c r="BV48" i="1"/>
  <c r="BU49" i="1"/>
  <c r="BV49" i="1"/>
  <c r="BU50" i="1"/>
  <c r="BV50" i="1"/>
  <c r="BU51" i="1"/>
  <c r="BV51" i="1"/>
  <c r="BU15" i="1"/>
  <c r="BV15" i="1"/>
  <c r="BQ56" i="1" l="1"/>
  <c r="BQ65" i="1"/>
  <c r="BD69" i="1" l="1"/>
  <c r="BE69" i="1" l="1"/>
  <c r="BF69" i="1"/>
  <c r="BG69" i="1"/>
  <c r="BH69" i="1"/>
  <c r="BI69" i="1"/>
  <c r="BJ69" i="1"/>
  <c r="BU67" i="1" l="1"/>
  <c r="BV67" i="1"/>
  <c r="BU16" i="1"/>
  <c r="BV16" i="1"/>
  <c r="BU17" i="1"/>
  <c r="BV17" i="1"/>
  <c r="BU58" i="1"/>
  <c r="BV58" i="1"/>
  <c r="BU32" i="1"/>
  <c r="BV32" i="1"/>
  <c r="BU68" i="1"/>
  <c r="BV68" i="1"/>
  <c r="BU18" i="1"/>
  <c r="BV18" i="1"/>
  <c r="BU19" i="1"/>
  <c r="BV19" i="1"/>
  <c r="BQ41" i="1"/>
  <c r="BQ22" i="1"/>
  <c r="BQ38" i="1"/>
  <c r="BQ13" i="1" l="1"/>
  <c r="BQ62" i="1"/>
  <c r="BQ50" i="1"/>
  <c r="BQ46" i="1"/>
  <c r="BQ26" i="1"/>
  <c r="BQ40" i="1"/>
  <c r="BQ3" i="1"/>
  <c r="BQ51" i="1"/>
  <c r="BQ64" i="1" l="1"/>
  <c r="BQ45" i="1"/>
  <c r="BQ37" i="1"/>
  <c r="BQ49" i="1"/>
  <c r="BQ33" i="1"/>
  <c r="BQ34" i="1"/>
  <c r="BQ35" i="1"/>
  <c r="BQ59" i="1"/>
  <c r="BQ60" i="1"/>
  <c r="BQ61" i="1"/>
  <c r="BQ7" i="1"/>
  <c r="BQ28" i="1"/>
  <c r="BQ25" i="1"/>
  <c r="BQ5" i="1"/>
  <c r="BQ55" i="1"/>
  <c r="BK69" i="1" l="1"/>
  <c r="BL69" i="1"/>
  <c r="BM69" i="1"/>
  <c r="BN69" i="1"/>
  <c r="BO69" i="1"/>
  <c r="BP69" i="1"/>
  <c r="BC69" i="1"/>
  <c r="AX69" i="1"/>
  <c r="AY69" i="1"/>
  <c r="AZ69" i="1"/>
  <c r="BA69" i="1"/>
  <c r="BB69" i="1"/>
  <c r="AW69" i="1"/>
  <c r="AR69" i="1"/>
  <c r="AS69" i="1"/>
  <c r="AT69" i="1"/>
  <c r="AU69" i="1"/>
  <c r="AV69" i="1"/>
  <c r="AQ69" i="1"/>
  <c r="AF69" i="1"/>
  <c r="AG69" i="1"/>
  <c r="AH69" i="1"/>
  <c r="AI69" i="1"/>
  <c r="AJ69" i="1"/>
  <c r="AK69" i="1"/>
  <c r="AL69" i="1"/>
  <c r="AM69" i="1"/>
  <c r="AN69" i="1"/>
  <c r="AO69" i="1"/>
  <c r="AP69" i="1"/>
  <c r="AE69" i="1"/>
  <c r="Q69" i="1"/>
  <c r="R69" i="1"/>
  <c r="S69" i="1"/>
  <c r="T69" i="1"/>
  <c r="U69" i="1"/>
  <c r="V69" i="1"/>
  <c r="W69" i="1"/>
  <c r="X69" i="1"/>
  <c r="Y69" i="1"/>
  <c r="Z69" i="1"/>
  <c r="AA69" i="1"/>
  <c r="AB69" i="1"/>
  <c r="AC69" i="1"/>
  <c r="AD69" i="1"/>
  <c r="P69" i="1"/>
  <c r="F69" i="1"/>
  <c r="G69" i="1"/>
  <c r="H69" i="1"/>
  <c r="I69" i="1"/>
  <c r="J69" i="1"/>
  <c r="K69" i="1"/>
  <c r="L69" i="1"/>
  <c r="M69" i="1"/>
  <c r="N69" i="1"/>
  <c r="O69" i="1"/>
  <c r="E69" i="1"/>
  <c r="AM72" i="1" l="1"/>
  <c r="AM74" i="1" s="1"/>
  <c r="AM73" i="1" s="1"/>
  <c r="AM75" i="1" s="1"/>
  <c r="AS72" i="1"/>
  <c r="X73" i="1"/>
  <c r="W72" i="1"/>
  <c r="W74" i="1" s="1"/>
  <c r="AL72" i="1"/>
  <c r="AL74" i="1" s="1"/>
  <c r="AR73" i="1"/>
  <c r="AR75" i="1" s="1"/>
  <c r="AL73" i="1"/>
  <c r="AL75" i="1" s="1"/>
  <c r="BP73" i="1"/>
  <c r="BP75" i="1" s="1"/>
  <c r="W73" i="1"/>
  <c r="W75" i="1" s="1"/>
  <c r="AT73" i="1"/>
  <c r="AT75" i="1" s="1"/>
  <c r="BO72" i="1"/>
  <c r="BO74" i="1" s="1"/>
  <c r="BO73" i="1" s="1"/>
  <c r="BO75" i="1" s="1"/>
  <c r="AS74" i="1"/>
  <c r="AS73" i="1" s="1"/>
  <c r="AS75" i="1" s="1"/>
  <c r="X75" i="1"/>
  <c r="AY72" i="1" l="1"/>
  <c r="AY74" i="1" s="1"/>
  <c r="AY73" i="1"/>
  <c r="AY75" i="1" s="1"/>
  <c r="BA72" i="1"/>
  <c r="BA74" i="1" s="1"/>
  <c r="BA73" i="1"/>
  <c r="BA75" i="1" s="1"/>
  <c r="J73" i="1"/>
  <c r="J75" i="1" s="1"/>
  <c r="AW73" i="1"/>
  <c r="AW75" i="1" s="1"/>
  <c r="AI72" i="1"/>
  <c r="AI74" i="1" s="1"/>
  <c r="AI73" i="1" s="1"/>
  <c r="AI75" i="1" s="1"/>
  <c r="Y72" i="1"/>
  <c r="Y74" i="1" s="1"/>
  <c r="Y73" i="1" s="1"/>
  <c r="Y75" i="1" s="1"/>
  <c r="AX72" i="1"/>
  <c r="AX74" i="1" s="1"/>
  <c r="AX73" i="1"/>
  <c r="AX75" i="1" s="1"/>
  <c r="V73" i="1"/>
  <c r="V75" i="1" s="1"/>
  <c r="G73" i="1"/>
  <c r="G75" i="1" s="1"/>
  <c r="AV72" i="1"/>
  <c r="AV74" i="1" s="1"/>
  <c r="AV73" i="1" s="1"/>
  <c r="AV75" i="1" s="1"/>
  <c r="BC73" i="1"/>
  <c r="BC75" i="1" s="1"/>
  <c r="BC72" i="1"/>
  <c r="BC74" i="1" s="1"/>
  <c r="AA73" i="1"/>
  <c r="AA75" i="1" s="1"/>
  <c r="BM72" i="1"/>
  <c r="BM74" i="1" s="1"/>
  <c r="BM73" i="1" s="1"/>
  <c r="BM75" i="1" s="1"/>
  <c r="M72" i="1"/>
  <c r="M74" i="1" s="1"/>
  <c r="M73" i="1" s="1"/>
  <c r="M75" i="1" s="1"/>
  <c r="AB73" i="1"/>
  <c r="AB75" i="1" s="1"/>
  <c r="AB72" i="1"/>
  <c r="AB74" i="1" s="1"/>
  <c r="AH72" i="1"/>
  <c r="AH74" i="1" s="1"/>
  <c r="AH73" i="1"/>
  <c r="AH75" i="1" s="1"/>
  <c r="I73" i="1"/>
  <c r="I75" i="1" s="1"/>
  <c r="K73" i="1"/>
  <c r="K75" i="1" s="1"/>
  <c r="Z73" i="1"/>
  <c r="Z75" i="1" s="1"/>
  <c r="AG72" i="1"/>
  <c r="AG74" i="1" s="1"/>
  <c r="AG73" i="1" s="1"/>
  <c r="AG75" i="1" s="1"/>
  <c r="U73" i="1"/>
  <c r="U75" i="1" s="1"/>
  <c r="S73" i="1"/>
  <c r="S75" i="1" s="1"/>
  <c r="AP72" i="1"/>
  <c r="AP74" i="1" s="1"/>
  <c r="AP73" i="1" s="1"/>
  <c r="AP75" i="1" s="1"/>
  <c r="AJ72" i="1"/>
  <c r="AJ74" i="1" s="1"/>
  <c r="AJ73" i="1" s="1"/>
  <c r="AJ75" i="1" s="1"/>
  <c r="AU73" i="1"/>
  <c r="AU75" i="1" s="1"/>
  <c r="BK73" i="1"/>
  <c r="BK75" i="1" s="1"/>
  <c r="AN72" i="1"/>
  <c r="AN74" i="1" s="1"/>
  <c r="AN73" i="1" s="1"/>
  <c r="AN75" i="1" s="1"/>
  <c r="AE73" i="1"/>
  <c r="AE75" i="1" s="1"/>
  <c r="AE72" i="1"/>
  <c r="AE74" i="1" s="1"/>
  <c r="Q72" i="1"/>
  <c r="Q74" i="1" s="1"/>
  <c r="Q73" i="1"/>
  <c r="Q75" i="1" s="1"/>
  <c r="BL73" i="1"/>
  <c r="BL75" i="1" s="1"/>
  <c r="BN73" i="1"/>
  <c r="BN75" i="1" s="1"/>
  <c r="BB73" i="1"/>
  <c r="BB75" i="1" s="1"/>
  <c r="AQ73" i="1"/>
  <c r="AQ75" i="1" s="1"/>
  <c r="AQ72" i="1"/>
  <c r="AQ74" i="1" s="1"/>
  <c r="L72" i="1"/>
  <c r="L74" i="1" s="1"/>
  <c r="L73" i="1" s="1"/>
  <c r="L75" i="1" s="1"/>
  <c r="AK72" i="1"/>
  <c r="AK74" i="1" s="1"/>
  <c r="AK73" i="1" s="1"/>
  <c r="AK75" i="1" s="1"/>
  <c r="AO72" i="1"/>
  <c r="AO74" i="1" s="1"/>
  <c r="AO73" i="1" s="1"/>
  <c r="AO75" i="1" s="1"/>
  <c r="P73" i="1"/>
  <c r="P75" i="1" s="1"/>
  <c r="P72" i="1"/>
  <c r="P74" i="1" s="1"/>
  <c r="AC73" i="1"/>
  <c r="AC75" i="1" s="1"/>
  <c r="AC72" i="1"/>
  <c r="AC74" i="1" s="1"/>
  <c r="E72" i="1"/>
  <c r="E74" i="1" s="1"/>
  <c r="E73" i="1"/>
  <c r="E75" i="1" s="1"/>
  <c r="R73" i="1"/>
  <c r="R75" i="1" s="1"/>
  <c r="AD73" i="1"/>
  <c r="AD75" i="1" s="1"/>
  <c r="O72" i="1"/>
  <c r="O74" i="1" s="1"/>
  <c r="O73" i="1"/>
  <c r="O75" i="1" s="1"/>
  <c r="H73" i="1"/>
  <c r="H75" i="1" s="1"/>
  <c r="T73" i="1"/>
  <c r="T75" i="1" s="1"/>
  <c r="F73" i="1"/>
  <c r="F75" i="1" s="1"/>
  <c r="N72" i="1"/>
  <c r="N74" i="1" s="1"/>
  <c r="N73" i="1"/>
  <c r="N75" i="1" s="1"/>
  <c r="AZ72" i="1"/>
  <c r="AZ74" i="1" s="1"/>
  <c r="AZ73" i="1"/>
  <c r="AZ75" i="1" s="1"/>
  <c r="AF73" i="1"/>
  <c r="AF75" i="1" s="1"/>
  <c r="BQ8" i="1"/>
  <c r="BQ9" i="1"/>
  <c r="BQ10" i="1"/>
  <c r="BQ11" i="1"/>
  <c r="BQ14" i="1"/>
  <c r="BQ21" i="1"/>
  <c r="BQ27" i="1"/>
  <c r="BQ29" i="1"/>
  <c r="BQ30" i="1"/>
  <c r="BQ31" i="1"/>
  <c r="BQ36" i="1"/>
  <c r="BQ12" i="1"/>
  <c r="BQ58" i="1"/>
  <c r="BQ32" i="1"/>
  <c r="BQ42" i="1"/>
  <c r="BQ43" i="1"/>
  <c r="BQ44" i="1"/>
  <c r="BQ15" i="1"/>
  <c r="BQ6" i="1"/>
  <c r="BQ4" i="1"/>
  <c r="BQ2" i="1"/>
  <c r="BQ48" i="1"/>
  <c r="BQ67" i="1"/>
  <c r="BQ16" i="1"/>
  <c r="BQ17" i="1"/>
  <c r="BQ18" i="1"/>
  <c r="BQ19" i="1"/>
  <c r="BN71" i="1" l="1"/>
  <c r="AM71" i="1"/>
  <c r="L71" i="1"/>
  <c r="BL71" i="1"/>
  <c r="AJ71" i="1"/>
  <c r="AH71" i="1"/>
  <c r="AL71" i="1"/>
  <c r="BM71" i="1"/>
  <c r="J71" i="1"/>
  <c r="H71" i="1"/>
  <c r="G71" i="1"/>
  <c r="AE71" i="1"/>
  <c r="F71" i="1"/>
  <c r="BK71" i="1"/>
  <c r="AI71" i="1"/>
  <c r="I71" i="1"/>
  <c r="AG71" i="1"/>
  <c r="AF71" i="1"/>
  <c r="O71" i="1"/>
  <c r="BP71" i="1"/>
  <c r="N71" i="1"/>
  <c r="K71" i="1"/>
  <c r="AK71" i="1"/>
  <c r="E71" i="1"/>
  <c r="BO71" i="1"/>
  <c r="AN71" i="1"/>
  <c r="M71" i="1"/>
  <c r="AP71" i="1"/>
  <c r="BC71" i="1"/>
  <c r="AO71" i="1"/>
  <c r="V71" i="1"/>
  <c r="Y71" i="1"/>
  <c r="W71" i="1"/>
  <c r="S71" i="1"/>
  <c r="X71" i="1"/>
  <c r="R71" i="1"/>
  <c r="Z71" i="1"/>
  <c r="U71" i="1"/>
  <c r="T71" i="1"/>
  <c r="AC71" i="1"/>
  <c r="Q71" i="1"/>
  <c r="AB71" i="1"/>
  <c r="P71" i="1"/>
  <c r="AA71" i="1"/>
  <c r="AD71" i="1"/>
  <c r="AR71" i="1" l="1"/>
  <c r="AU71" i="1"/>
  <c r="BB71" i="1"/>
  <c r="AS71" i="1"/>
  <c r="AW71" i="1"/>
  <c r="AT71" i="1"/>
  <c r="AY71" i="1"/>
  <c r="AZ71" i="1"/>
  <c r="AV71" i="1"/>
  <c r="AQ71" i="1"/>
  <c r="AX71" i="1"/>
  <c r="BA71" i="1"/>
  <c r="BE73" i="1"/>
  <c r="BE75" i="1" s="1"/>
  <c r="BE72" i="1"/>
  <c r="BE74" i="1" s="1"/>
  <c r="BE71" i="1"/>
  <c r="BG73" i="1"/>
  <c r="BG75" i="1" s="1"/>
  <c r="BG72" i="1"/>
  <c r="BG74" i="1" s="1"/>
  <c r="BG71" i="1"/>
  <c r="BF73" i="1"/>
  <c r="BF75" i="1" s="1"/>
  <c r="BF72" i="1"/>
  <c r="BF74" i="1" s="1"/>
  <c r="BF71" i="1"/>
  <c r="BH73" i="1"/>
  <c r="BH75" i="1" s="1"/>
  <c r="BH72" i="1"/>
  <c r="BH74" i="1" s="1"/>
  <c r="BH71" i="1"/>
  <c r="BI73" i="1"/>
  <c r="BI72" i="1"/>
  <c r="BI74" i="1" s="1"/>
  <c r="BI71" i="1"/>
  <c r="BI75" i="1"/>
  <c r="BJ73" i="1"/>
  <c r="BJ75" i="1" s="1"/>
  <c r="BJ72" i="1"/>
  <c r="BJ74" i="1" s="1"/>
  <c r="BJ71" i="1"/>
  <c r="BD73" i="1"/>
  <c r="BD75" i="1" s="1"/>
  <c r="BD72" i="1"/>
  <c r="BD74" i="1" s="1"/>
  <c r="BD71" i="1"/>
  <c r="V72" i="1"/>
  <c r="V74" i="1" s="1"/>
  <c r="K72" i="1"/>
  <c r="K74" i="1"/>
  <c r="AF72" i="1"/>
  <c r="AF74" i="1" s="1"/>
  <c r="I72" i="1"/>
  <c r="I74" i="1" s="1"/>
  <c r="AU72" i="1"/>
  <c r="AU74" i="1" s="1"/>
  <c r="X72" i="1"/>
  <c r="X74" i="1" s="1"/>
  <c r="AR72" i="1"/>
  <c r="AR74" i="1" s="1"/>
  <c r="J72" i="1"/>
  <c r="J74" i="1" s="1"/>
  <c r="AW72" i="1"/>
  <c r="AW74" i="1" s="1"/>
  <c r="U72" i="1"/>
  <c r="U74" i="1" s="1"/>
  <c r="AA72" i="1"/>
  <c r="AA74" i="1"/>
  <c r="H72" i="1"/>
  <c r="H74" i="1"/>
  <c r="R72" i="1"/>
  <c r="R74" i="1" s="1"/>
  <c r="BN72" i="1"/>
  <c r="BN74" i="1"/>
  <c r="T72" i="1"/>
  <c r="T74" i="1" s="1"/>
  <c r="Z72" i="1"/>
  <c r="Z74" i="1" s="1"/>
  <c r="AT72" i="1"/>
  <c r="AT74" i="1" s="1"/>
  <c r="G72" i="1"/>
  <c r="G74" i="1"/>
  <c r="AD72" i="1"/>
  <c r="AD74" i="1" s="1"/>
  <c r="BP72" i="1"/>
  <c r="BP74" i="1" s="1"/>
  <c r="BB72" i="1"/>
  <c r="BB74" i="1" s="1"/>
  <c r="S72" i="1"/>
  <c r="S74" i="1" s="1"/>
  <c r="F72" i="1"/>
  <c r="F74" i="1" s="1"/>
  <c r="BL72" i="1"/>
  <c r="BL74" i="1"/>
  <c r="BK72" i="1"/>
  <c r="BK74" i="1"/>
</calcChain>
</file>

<file path=xl/sharedStrings.xml><?xml version="1.0" encoding="utf-8"?>
<sst xmlns="http://schemas.openxmlformats.org/spreadsheetml/2006/main" count="552" uniqueCount="250">
  <si>
    <t>成年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</si>
  <si>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</si>
  <si>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</si>
  <si>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</si>
  <si>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</si>
  <si>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</si>
  <si>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</si>
  <si>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</si>
  <si>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</si>
  <si>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</si>
  <si>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</si>
  <si>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</si>
  <si>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</si>
  <si>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</si>
  <si>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</si>
  <si>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</si>
  <si>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</si>
  <si>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青年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</si>
  <si>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</si>
  <si>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</si>
  <si>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</si>
  <si>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木</t>
    <phoneticPr fontId="1" type="noConversion"/>
  </si>
  <si>
    <t>龙灵不朽藤</t>
    <phoneticPr fontId="1" type="noConversion"/>
  </si>
  <si>
    <t>螃蟹</t>
    <phoneticPr fontId="1" type="noConversion"/>
  </si>
  <si>
    <t>仙丹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</si>
  <si>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</si>
  <si>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</si>
  <si>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</si>
  <si>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</si>
  <si>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</si>
  <si>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</si>
  <si>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</si>
  <si>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</si>
  <si>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</si>
  <si>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</si>
  <si>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昆仑镜</t>
    <phoneticPr fontId="1" type="noConversion"/>
  </si>
  <si>
    <t>太一之轮</t>
    <phoneticPr fontId="1" type="noConversion"/>
  </si>
  <si>
    <t>崆峒印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</si>
  <si>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</si>
  <si>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</si>
  <si>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</si>
  <si>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</si>
  <si>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彗星</t>
    <phoneticPr fontId="1" type="noConversion"/>
  </si>
  <si>
    <t>光</t>
    <phoneticPr fontId="1" type="noConversion"/>
  </si>
  <si>
    <t>六方天运骰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</si>
  <si>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</si>
  <si>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</si>
  <si>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</si>
  <si>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</si>
  <si>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</si>
  <si>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</si>
  <si>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</si>
  <si>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</si>
  <si>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</si>
  <si>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</si>
  <si>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</si>
  <si>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</si>
  <si>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昊天塔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</si>
  <si>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</si>
  <si>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</si>
  <si>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</si>
  <si>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</si>
  <si>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</si>
  <si>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</si>
  <si>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</si>
  <si>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</si>
  <si>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</si>
  <si>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</si>
  <si>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</si>
  <si>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</si>
  <si>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</si>
  <si>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</si>
  <si>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成年</t>
    <phoneticPr fontId="1" type="noConversion"/>
  </si>
  <si>
    <t>壮年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</si>
  <si>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</si>
  <si>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</si>
  <si>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</si>
  <si>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</si>
  <si>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</si>
  <si>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</si>
  <si>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</si>
  <si>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</si>
  <si>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</si>
  <si>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</si>
  <si>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</si>
  <si>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</si>
  <si>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</si>
  <si>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</si>
  <si>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</si>
  <si>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</si>
  <si>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</si>
  <si>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</si>
  <si>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</si>
  <si>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</si>
  <si>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</si>
  <si>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</si>
  <si>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</si>
  <si>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</si>
  <si>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</si>
  <si>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</si>
  <si>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</si>
  <si>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</si>
  <si>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火</t>
    <phoneticPr fontId="1" type="noConversion"/>
  </si>
  <si>
    <t>钱袋大</t>
    <phoneticPr fontId="1" type="noConversion"/>
  </si>
  <si>
    <t>筹码大</t>
    <phoneticPr fontId="1" type="noConversion"/>
  </si>
  <si>
    <t>水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</si>
  <si>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</si>
  <si>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</si>
  <si>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</si>
  <si>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庄家令牌大</t>
    <phoneticPr fontId="1" type="noConversion"/>
  </si>
  <si>
    <t>壮年</t>
    <phoneticPr fontId="1" type="noConversion"/>
  </si>
  <si>
    <t>八哥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</si>
  <si>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</si>
  <si>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</si>
  <si>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</si>
  <si>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</si>
  <si>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</si>
  <si>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</si>
  <si>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</si>
  <si>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</si>
  <si>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</si>
  <si>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</si>
  <si>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</si>
  <si>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</si>
  <si>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</si>
  <si>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</si>
  <si>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</si>
  <si>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</si>
  <si>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赤兔吕布</t>
    <phoneticPr fontId="1" type="noConversion"/>
  </si>
  <si>
    <t>火8，金2</t>
    <phoneticPr fontId="1" type="noConversion"/>
  </si>
  <si>
    <t>水8，金2</t>
    <phoneticPr fontId="1" type="noConversion"/>
  </si>
  <si>
    <t>光8，金2</t>
    <phoneticPr fontId="1" type="noConversion"/>
  </si>
  <si>
    <t>暗8，金2</t>
    <phoneticPr fontId="1" type="noConversion"/>
  </si>
  <si>
    <t>土8，金2</t>
    <phoneticPr fontId="1" type="noConversion"/>
  </si>
  <si>
    <t>木8，金2</t>
    <phoneticPr fontId="1" type="noConversion"/>
  </si>
  <si>
    <t>神勇8，金8</t>
    <phoneticPr fontId="1" type="noConversion"/>
  </si>
  <si>
    <t>神速8，金4</t>
    <phoneticPr fontId="1" type="noConversion"/>
  </si>
  <si>
    <t>谋略8，金5</t>
    <phoneticPr fontId="1" type="noConversion"/>
  </si>
  <si>
    <t>妹纸8，金8</t>
    <phoneticPr fontId="1" type="noConversion"/>
  </si>
  <si>
    <t>吉祥8，金2</t>
    <phoneticPr fontId="1" type="noConversion"/>
  </si>
  <si>
    <t>乐器8，金5</t>
    <phoneticPr fontId="1" type="noConversion"/>
  </si>
  <si>
    <t>青年</t>
    <phoneticPr fontId="1" type="noConversion"/>
  </si>
  <si>
    <t>壮年</t>
    <phoneticPr fontId="1" type="noConversion"/>
  </si>
  <si>
    <t>四万</t>
    <phoneticPr fontId="1" type="noConversion"/>
  </si>
  <si>
    <t>地</t>
    <phoneticPr fontId="1" type="noConversion"/>
  </si>
  <si>
    <t>火</t>
    <phoneticPr fontId="1" type="noConversion"/>
  </si>
  <si>
    <t>六万</t>
  </si>
  <si>
    <t>金盔</t>
    <phoneticPr fontId="1" type="noConversion"/>
  </si>
  <si>
    <t>金盔</t>
    <phoneticPr fontId="1" type="noConversion"/>
  </si>
  <si>
    <t>麻将</t>
    <phoneticPr fontId="1" type="noConversion"/>
  </si>
  <si>
    <t>成年</t>
    <phoneticPr fontId="1" type="noConversion"/>
  </si>
  <si>
    <t>壮年</t>
    <phoneticPr fontId="1" type="noConversion"/>
  </si>
  <si>
    <t>成年</t>
    <phoneticPr fontId="1" type="noConversion"/>
  </si>
  <si>
    <t>壮年</t>
    <phoneticPr fontId="1" type="noConversion"/>
  </si>
  <si>
    <t>冲霸</t>
    <phoneticPr fontId="1" type="noConversion"/>
  </si>
  <si>
    <t>武仔</t>
    <phoneticPr fontId="1" type="noConversion"/>
  </si>
  <si>
    <t>古琴仔</t>
    <phoneticPr fontId="1" type="noConversion"/>
  </si>
  <si>
    <t>心云猎手</t>
    <phoneticPr fontId="1" type="noConversion"/>
  </si>
  <si>
    <t>如来佛祖</t>
    <phoneticPr fontId="1" type="noConversion"/>
  </si>
  <si>
    <t>星络典</t>
    <phoneticPr fontId="1" type="noConversion"/>
  </si>
  <si>
    <t>火</t>
    <phoneticPr fontId="1" type="noConversion"/>
  </si>
  <si>
    <t>壮年</t>
    <phoneticPr fontId="1" type="noConversion"/>
  </si>
  <si>
    <t>火</t>
    <phoneticPr fontId="1" type="noConversion"/>
  </si>
  <si>
    <t>九天玄老</t>
    <phoneticPr fontId="1" type="noConversion"/>
  </si>
  <si>
    <t>七绝散人</t>
    <phoneticPr fontId="1" type="noConversion"/>
  </si>
  <si>
    <t>无名劫匪</t>
    <phoneticPr fontId="1" type="noConversion"/>
  </si>
  <si>
    <t>星燃</t>
    <phoneticPr fontId="1" type="noConversion"/>
  </si>
  <si>
    <t>雨梨标</t>
    <phoneticPr fontId="1" type="noConversion"/>
  </si>
  <si>
    <t>枯蛛</t>
    <phoneticPr fontId="1" type="noConversion"/>
  </si>
  <si>
    <t>刺灵</t>
    <phoneticPr fontId="1" type="noConversion"/>
  </si>
  <si>
    <t>刺灵</t>
    <phoneticPr fontId="1" type="noConversion"/>
  </si>
  <si>
    <t>福球</t>
    <phoneticPr fontId="1" type="noConversion"/>
  </si>
  <si>
    <t>四遁傀兵</t>
    <phoneticPr fontId="1" type="noConversion"/>
  </si>
  <si>
    <t>彩运</t>
    <phoneticPr fontId="1" type="noConversion"/>
  </si>
  <si>
    <t>马仔</t>
    <phoneticPr fontId="1" type="noConversion"/>
  </si>
  <si>
    <t>马仔</t>
    <phoneticPr fontId="1" type="noConversion"/>
  </si>
  <si>
    <t>魔象</t>
    <phoneticPr fontId="1" type="noConversion"/>
  </si>
  <si>
    <t>自走炮</t>
    <phoneticPr fontId="1" type="noConversion"/>
  </si>
  <si>
    <t>漆风</t>
    <phoneticPr fontId="1" type="noConversion"/>
  </si>
  <si>
    <t>漆风</t>
    <phoneticPr fontId="1" type="noConversion"/>
  </si>
  <si>
    <t>六味地糖丸</t>
    <phoneticPr fontId="1" type="noConversion"/>
  </si>
  <si>
    <t>心剑合一李小白</t>
    <phoneticPr fontId="1" type="noConversion"/>
  </si>
  <si>
    <t>欠条中(5),_x000D_
骰子大(2),</t>
    <phoneticPr fontId="1" type="noConversion"/>
  </si>
  <si>
    <t>筹码大(9),_x000D_
庄家令牌大(10),</t>
    <phoneticPr fontId="1" type="noConversion"/>
  </si>
  <si>
    <t>水</t>
    <phoneticPr fontId="1" type="noConversion"/>
  </si>
  <si>
    <t>光</t>
    <phoneticPr fontId="1" type="noConversion"/>
  </si>
  <si>
    <t>骰子中(2),</t>
    <phoneticPr fontId="1" type="noConversion"/>
  </si>
  <si>
    <t>女娲石(10),_x000D_
骰子大(10),_x000D_
庄家令牌大(10),</t>
    <phoneticPr fontId="1" type="noConversion"/>
  </si>
  <si>
    <t>五福仙子</t>
    <phoneticPr fontId="1" type="noConversion"/>
  </si>
  <si>
    <t>厨妃</t>
    <phoneticPr fontId="1" type="noConversion"/>
  </si>
  <si>
    <t>喵小白</t>
    <phoneticPr fontId="1" type="noConversion"/>
  </si>
  <si>
    <t>超</t>
    <phoneticPr fontId="1" type="noConversion"/>
  </si>
  <si>
    <t>超进阶素材光(47),</t>
    <phoneticPr fontId="1" type="noConversion"/>
  </si>
  <si>
    <t>齐天大圣</t>
    <phoneticPr fontId="1" type="noConversion"/>
  </si>
  <si>
    <t>宇宙海贼双子星</t>
    <phoneticPr fontId="1" type="noConversion"/>
  </si>
  <si>
    <t>幻</t>
    <phoneticPr fontId="1" type="noConversion"/>
  </si>
  <si>
    <t>尼露</t>
    <phoneticPr fontId="1" type="noConversion"/>
  </si>
  <si>
    <t>帝孙</t>
    <phoneticPr fontId="1" type="noConversion"/>
  </si>
  <si>
    <t>聚宝盆</t>
    <phoneticPr fontId="1" type="noConversion"/>
  </si>
  <si>
    <t>熊纹</t>
  </si>
  <si>
    <t>签帽</t>
  </si>
  <si>
    <t>签盒</t>
  </si>
  <si>
    <t>九星道师</t>
  </si>
  <si>
    <t>三彩</t>
  </si>
  <si>
    <t>二眼书童</t>
  </si>
  <si>
    <t>女娲石(3),_x000D_
骰子大(10),_x000D_
庄家令牌大(4),</t>
    <phoneticPr fontId="1" type="noConversion"/>
  </si>
  <si>
    <t>桂花(5),_x000D_
桂花酒(5),_x000D_
灯笼(5),</t>
    <phoneticPr fontId="1" type="noConversion"/>
  </si>
  <si>
    <t>庄家令牌中(3),</t>
    <phoneticPr fontId="1" type="noConversion"/>
  </si>
  <si>
    <t>骰子中(5),</t>
    <phoneticPr fontId="1" type="noConversion"/>
  </si>
  <si>
    <t>骰子中(5),</t>
    <phoneticPr fontId="1" type="noConversion"/>
  </si>
  <si>
    <t>欠条中(5),</t>
    <phoneticPr fontId="1" type="noConversion"/>
  </si>
  <si>
    <t>欠条中(5),</t>
    <phoneticPr fontId="1" type="noConversion"/>
  </si>
  <si>
    <t>桂花酒(5),</t>
    <phoneticPr fontId="1" type="noConversion"/>
  </si>
  <si>
    <t>桂花(5),</t>
    <phoneticPr fontId="1" type="noConversion"/>
  </si>
  <si>
    <t>欠条大(9),_x000D_
钱袋大(10),</t>
    <phoneticPr fontId="1" type="noConversion"/>
  </si>
  <si>
    <t>欠条大(9),_x000D_
钱袋大(10),</t>
    <phoneticPr fontId="1" type="noConversion"/>
  </si>
  <si>
    <t>欠条大(9),_x000D_
钱袋大(10),</t>
    <phoneticPr fontId="1" type="noConversion"/>
  </si>
  <si>
    <t>钱袋大(10),_x000D_
筹码大(6),</t>
    <phoneticPr fontId="1" type="noConversion"/>
  </si>
  <si>
    <t>钱袋大(10),_x000D_
筹码大(6),</t>
    <phoneticPr fontId="1" type="noConversion"/>
  </si>
  <si>
    <t>钱袋大(10),_x000D_
筹码大(6),</t>
    <phoneticPr fontId="1" type="noConversion"/>
  </si>
  <si>
    <t>金甲虫(18),</t>
    <phoneticPr fontId="1" type="noConversion"/>
  </si>
  <si>
    <t>技巧符文叉大(26),</t>
    <phoneticPr fontId="1" type="noConversion"/>
  </si>
  <si>
    <t>超进阶素材光(47),</t>
    <phoneticPr fontId="1" type="noConversion"/>
  </si>
  <si>
    <t>金甲虫(168),</t>
    <phoneticPr fontId="1" type="noConversion"/>
  </si>
  <si>
    <t>欠条大(1),_x000D_
钱袋大(2),_x000D_
骰子大(2),</t>
    <phoneticPr fontId="1" type="noConversion"/>
  </si>
  <si>
    <t>欠条大(1),_x000D_
骰子大(2),</t>
    <phoneticPr fontId="1" type="noConversion"/>
  </si>
  <si>
    <t>欠条大(1),_x000D_
钱袋大(2),_x000D_
庄家令牌中(3),</t>
    <phoneticPr fontId="1" type="noConversion"/>
  </si>
  <si>
    <t>欠条大(1),_x000D_
钱袋大(2),_x000D_
庄家令牌中(3),</t>
    <phoneticPr fontId="1" type="noConversion"/>
  </si>
  <si>
    <t>钱袋大(2),_x000D_
庄家令牌中(3),</t>
    <phoneticPr fontId="1" type="noConversion"/>
  </si>
  <si>
    <t>欠条中(5),_x000D_
欠条大(1),</t>
    <phoneticPr fontId="1" type="noConversion"/>
  </si>
  <si>
    <t>欠条中(5),_x000D_
欠条大(1),</t>
    <phoneticPr fontId="1" type="noConversion"/>
  </si>
  <si>
    <t>欠条中(5),</t>
    <phoneticPr fontId="1" type="noConversion"/>
  </si>
  <si>
    <t>欠条中(5),_x000D_
骰子大(2),</t>
    <phoneticPr fontId="1" type="noConversion"/>
  </si>
  <si>
    <t>桂花(5),_x000D_
桂花酒(5),</t>
    <phoneticPr fontId="1" type="noConversion"/>
  </si>
  <si>
    <t>桂花(5),_x000D_
桂花酒(5),</t>
    <phoneticPr fontId="1" type="noConversion"/>
  </si>
  <si>
    <t>欠条大(9),_x000D_
钱袋大(10),_x000D_
庄家令牌大(4),</t>
    <phoneticPr fontId="1" type="noConversion"/>
  </si>
  <si>
    <t>欠条中(7),_x000D_
骰子大(7),</t>
    <phoneticPr fontId="1" type="noConversion"/>
  </si>
  <si>
    <t>筹码大(6),_x000D_
庄家令牌大(4),</t>
    <phoneticPr fontId="1" type="noConversion"/>
  </si>
  <si>
    <t>筹码大(6),_x000D_
庄家令牌大(4),</t>
    <phoneticPr fontId="1" type="noConversion"/>
  </si>
  <si>
    <t>钱袋大(10),_x000D_
筹码大(6),_x000D_
庄家令牌大(4),</t>
    <phoneticPr fontId="1" type="noConversion"/>
  </si>
  <si>
    <t>神农鼎(7),_x000D_
欠条大(9),_x000D_
钱袋大(10),</t>
    <phoneticPr fontId="1" type="noConversion"/>
  </si>
  <si>
    <t>欠条大(9),_x000D_
骰子大(10),</t>
    <phoneticPr fontId="1" type="noConversion"/>
  </si>
  <si>
    <t>欠条大(9),_x000D_
骰子大(10),</t>
    <phoneticPr fontId="1" type="noConversion"/>
  </si>
  <si>
    <t>愚山乾坤石(3),_x000D_
魅力符文叉大(22),</t>
    <phoneticPr fontId="1" type="noConversion"/>
  </si>
  <si>
    <t>骰子大(2),_x000D_
庄家令牌中(3),</t>
    <phoneticPr fontId="1" type="noConversion"/>
  </si>
  <si>
    <t>骰子大(2),_x000D_
庄家令牌中(3),</t>
    <phoneticPr fontId="1" type="noConversion"/>
  </si>
  <si>
    <t>女娲石(3),_x000D_
骰子大(10),_x000D_
庄家令牌大(4),</t>
    <phoneticPr fontId="1" type="noConversion"/>
  </si>
  <si>
    <t>欠条大(9),_x000D_
骰子大(10),_x000D_
庄家令牌大(4),</t>
    <phoneticPr fontId="1" type="noConversion"/>
  </si>
  <si>
    <t>骰子大(10),_x000D_
筹码大(6),_x000D_
庄家令牌大(4),</t>
    <phoneticPr fontId="1" type="noConversion"/>
  </si>
  <si>
    <t>神农鼎(7),_x000D_
欠条大(9),_x000D_
骰子大(10),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</si>
</sst>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4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6" fillId="2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6" fillId="5" borderId="1" xfId="0" applyFont="1" applyFill="1" applyBorder="1">
      <alignment vertical="center"/>
    </xf>
    <xf numFmtId="0" fontId="6" fillId="0" borderId="1" xfId="0" applyFont="1" applyBorder="1" applyAlignment="1">
      <alignment vertical="center" wrapText="1"/>
    </xf>
    <xf numFmtId="0" fontId="7" fillId="4" borderId="1" xfId="0" applyFont="1" applyFill="1" applyBorder="1">
      <alignment vertical="center"/>
    </xf>
    <xf numFmtId="0" fontId="7" fillId="6" borderId="1" xfId="0" applyFont="1" applyFill="1" applyBorder="1">
      <alignment vertical="center"/>
    </xf>
    <xf numFmtId="0" fontId="7" fillId="2" borderId="1" xfId="0" applyFont="1" applyFill="1" applyBorder="1">
      <alignment vertical="center"/>
    </xf>
    <xf numFmtId="0" fontId="7" fillId="3" borderId="1" xfId="0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0" borderId="1" xfId="0" applyFont="1" applyBorder="1" applyAlignment="1">
      <alignment vertical="center" wrapText="1"/>
    </xf>
    <xf numFmtId="0" fontId="7" fillId="0" borderId="0" xfId="0" applyFon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7" fillId="0" borderId="1" xfId="0" applyFont="1" applyBorder="1">
      <alignment vertical="center"/>
    </xf>
    <xf numFmtId="0" fontId="7" fillId="0" borderId="1" xfId="0" applyFont="1" applyFill="1" applyBorder="1">
      <alignment vertical="center"/>
    </xf>
    <xf numFmtId="0" fontId="7" fillId="5" borderId="0" xfId="0" applyFont="1" applyFill="1">
      <alignment vertical="center"/>
    </xf>
    <xf numFmtId="0" fontId="7" fillId="0" borderId="0" xfId="0" applyFont="1" applyAlignment="1">
      <alignment vertical="center" wrapText="1"/>
    </xf>
    <xf numFmtId="0" fontId="5" fillId="0" borderId="1" xfId="0" applyFont="1" applyBorder="1">
      <alignment vertical="center"/>
    </xf>
    <xf numFmtId="0" fontId="5" fillId="0" borderId="1" xfId="0" applyFont="1" applyFill="1" applyBorder="1">
      <alignment vertical="center"/>
    </xf>
    <xf numFmtId="0" fontId="9" fillId="0" borderId="0" xfId="0" applyFont="1">
      <alignment vertical="center"/>
    </xf>
  </cellXfs>
  <cellStyles count="1">
    <cellStyle name="常规" xfId="0" builtinId="0"/>
  </cellStyles>
  <dxfs count="14"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75</xdr:row>
          <xdr:rowOff>28575</xdr:rowOff>
        </xdr:from>
        <xdr:to>
          <xdr:col>1</xdr:col>
          <xdr:colOff>428625</xdr:colOff>
          <xdr:row>76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12</xdr:row>
          <xdr:rowOff>28575</xdr:rowOff>
        </xdr:from>
        <xdr:to>
          <xdr:col>1</xdr:col>
          <xdr:colOff>428625</xdr:colOff>
          <xdr:row>13</xdr:row>
          <xdr:rowOff>152400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V76"/>
  <sheetViews>
    <sheetView tabSelected="1" workbookViewId="0">
      <pane xSplit="2" ySplit="1" topLeftCell="AL2" activePane="bottomRight" state="frozen"/>
      <selection pane="topRight" activeCell="C1" sqref="C1"/>
      <selection pane="bottomLeft" activeCell="A3" sqref="A3"/>
      <selection pane="bottomRight" activeCell="B9" sqref="B9"/>
    </sheetView>
  </sheetViews>
  <sheetFormatPr defaultRowHeight="13.5"/>
  <cols>
    <col min="1" max="1" width="9.75" bestFit="1" customWidth="1"/>
    <col min="2" max="2" width="11.5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52" width="12.625" style="7" customWidth="1"/>
    <col min="53" max="53" width="12.875" style="7" customWidth="1"/>
    <col min="54" max="54" width="14.75" style="7" customWidth="1"/>
    <col min="55" max="55" width="18.125" style="7" customWidth="1"/>
    <col min="56" max="62" width="15.875" bestFit="1" customWidth="1"/>
    <col min="63" max="68" width="18.125" bestFit="1" customWidth="1"/>
    <col min="69" max="69" width="9.75" bestFit="1" customWidth="1"/>
    <col min="70" max="70" width="7.5" customWidth="1"/>
    <col min="71" max="71" width="7.625" style="15" customWidth="1"/>
    <col min="72" max="72" width="19.625" style="15" bestFit="1" customWidth="1"/>
  </cols>
  <sheetData>
    <row r="1" spans="1:74" s="13" customFormat="1">
      <c r="A1" s="8" t="s">
        <v>58</v>
      </c>
      <c r="B1" s="8" t="s">
        <v>59</v>
      </c>
      <c r="C1" s="8" t="s">
        <v>61</v>
      </c>
      <c r="D1" s="8" t="s">
        <v>60</v>
      </c>
      <c r="E1" s="9" t="s">
        <v>1</v>
      </c>
      <c r="F1" s="9" t="s">
        <v>2</v>
      </c>
      <c r="G1" s="9" t="s">
        <v>10</v>
      </c>
      <c r="H1" s="9" t="s">
        <v>18</v>
      </c>
      <c r="I1" s="9" t="s">
        <v>19</v>
      </c>
      <c r="J1" s="9" t="s">
        <v>57</v>
      </c>
      <c r="K1" s="9" t="s">
        <v>20</v>
      </c>
      <c r="L1" s="9" t="s">
        <v>35</v>
      </c>
      <c r="M1" s="9" t="s">
        <v>37</v>
      </c>
      <c r="N1" s="9" t="s">
        <v>40</v>
      </c>
      <c r="O1" s="9" t="s">
        <v>36</v>
      </c>
      <c r="P1" s="26" t="s">
        <v>89</v>
      </c>
      <c r="Q1" s="26" t="s">
        <v>101</v>
      </c>
      <c r="R1" s="26" t="s">
        <v>95</v>
      </c>
      <c r="S1" s="26" t="s">
        <v>90</v>
      </c>
      <c r="T1" s="26" t="s">
        <v>99</v>
      </c>
      <c r="U1" s="26" t="s">
        <v>103</v>
      </c>
      <c r="V1" s="26" t="s">
        <v>91</v>
      </c>
      <c r="W1" s="26" t="s">
        <v>98</v>
      </c>
      <c r="X1" s="26" t="s">
        <v>96</v>
      </c>
      <c r="Y1" s="26" t="s">
        <v>92</v>
      </c>
      <c r="Z1" s="26" t="s">
        <v>100</v>
      </c>
      <c r="AA1" s="26" t="s">
        <v>104</v>
      </c>
      <c r="AB1" s="26" t="s">
        <v>94</v>
      </c>
      <c r="AC1" s="26" t="s">
        <v>93</v>
      </c>
      <c r="AD1" s="26" t="s">
        <v>109</v>
      </c>
      <c r="AE1" s="8" t="s">
        <v>7</v>
      </c>
      <c r="AF1" s="8" t="s">
        <v>23</v>
      </c>
      <c r="AG1" s="8" t="s">
        <v>24</v>
      </c>
      <c r="AH1" s="8" t="s">
        <v>48</v>
      </c>
      <c r="AI1" s="8" t="s">
        <v>49</v>
      </c>
      <c r="AJ1" s="8" t="s">
        <v>51</v>
      </c>
      <c r="AK1" s="8" t="s">
        <v>52</v>
      </c>
      <c r="AL1" s="8" t="s">
        <v>54</v>
      </c>
      <c r="AM1" s="8" t="s">
        <v>41</v>
      </c>
      <c r="AN1" s="8" t="s">
        <v>42</v>
      </c>
      <c r="AO1" s="8" t="s">
        <v>78</v>
      </c>
      <c r="AP1" s="8" t="s">
        <v>79</v>
      </c>
      <c r="AQ1" s="10" t="s">
        <v>33</v>
      </c>
      <c r="AR1" s="10" t="s">
        <v>3</v>
      </c>
      <c r="AS1" s="10" t="s">
        <v>22</v>
      </c>
      <c r="AT1" s="10" t="s">
        <v>44</v>
      </c>
      <c r="AU1" s="10" t="s">
        <v>46</v>
      </c>
      <c r="AV1" s="10" t="s">
        <v>39</v>
      </c>
      <c r="AW1" s="11" t="s">
        <v>4</v>
      </c>
      <c r="AX1" s="11" t="s">
        <v>5</v>
      </c>
      <c r="AY1" s="11" t="s">
        <v>34</v>
      </c>
      <c r="AZ1" s="11" t="s">
        <v>6</v>
      </c>
      <c r="BA1" s="11" t="s">
        <v>38</v>
      </c>
      <c r="BB1" s="11" t="s">
        <v>9</v>
      </c>
      <c r="BC1" s="24" t="s">
        <v>76</v>
      </c>
      <c r="BD1" s="8" t="s">
        <v>159</v>
      </c>
      <c r="BE1" s="8" t="s">
        <v>14</v>
      </c>
      <c r="BF1" s="8" t="s">
        <v>13</v>
      </c>
      <c r="BG1" s="8" t="s">
        <v>11</v>
      </c>
      <c r="BH1" s="8" t="s">
        <v>12</v>
      </c>
      <c r="BI1" s="8" t="s">
        <v>15</v>
      </c>
      <c r="BJ1" s="8" t="s">
        <v>16</v>
      </c>
      <c r="BK1" s="8" t="s">
        <v>26</v>
      </c>
      <c r="BL1" s="8" t="s">
        <v>27</v>
      </c>
      <c r="BM1" s="8" t="s">
        <v>28</v>
      </c>
      <c r="BN1" s="8" t="s">
        <v>29</v>
      </c>
      <c r="BO1" s="8" t="s">
        <v>30</v>
      </c>
      <c r="BP1" s="8" t="s">
        <v>31</v>
      </c>
      <c r="BQ1" s="12" t="s">
        <v>65</v>
      </c>
      <c r="BR1" s="8" t="s">
        <v>66</v>
      </c>
      <c r="BS1" s="16" t="s">
        <v>67</v>
      </c>
      <c r="BT1" s="16"/>
      <c r="BU1" s="13" t="s">
        <v>149</v>
      </c>
    </row>
    <row r="2" spans="1:74">
      <c r="A2" s="1"/>
      <c r="B2" s="1" t="s">
        <v>203</v>
      </c>
      <c r="C2" s="1" t="s">
        <v>106</v>
      </c>
      <c r="D2" s="1" t="s">
        <v>87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7"/>
      <c r="Q2" s="27"/>
      <c r="R2" s="27"/>
      <c r="S2" s="27"/>
      <c r="T2" s="27"/>
      <c r="U2" s="27"/>
      <c r="V2" s="27">
        <v>10</v>
      </c>
      <c r="W2" s="27"/>
      <c r="X2" s="27"/>
      <c r="Y2" s="27">
        <v>10</v>
      </c>
      <c r="Z2" s="27"/>
      <c r="AA2" s="27"/>
      <c r="AB2" s="27">
        <v>10</v>
      </c>
      <c r="AC2" s="27">
        <v>5</v>
      </c>
      <c r="AD2" s="27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>
        <f t="shared" ref="BQ2:BQ31" si="0">SUM(E2:BP2)</f>
        <v>35</v>
      </c>
      <c r="BR2" s="1">
        <v>3</v>
      </c>
      <c r="BS2" s="17">
        <v>1</v>
      </c>
      <c r="BT2" s="17" t="s">
        <v>207</v>
      </c>
      <c r="BU2">
        <f t="shared" ref="BU2:BU31" si="1">SUM(P2:AD2)</f>
        <v>35</v>
      </c>
      <c r="BV2" s="23">
        <f t="shared" ref="BV2:BV31" si="2">AF2+AH2+AI2+AJ2+AO2+AP2</f>
        <v>0</v>
      </c>
    </row>
    <row r="3" spans="1:74">
      <c r="A3" s="1"/>
      <c r="B3" s="1" t="s">
        <v>178</v>
      </c>
      <c r="C3" s="1" t="s">
        <v>45</v>
      </c>
      <c r="D3" s="1" t="s">
        <v>150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7"/>
      <c r="Q3" s="27"/>
      <c r="R3" s="27"/>
      <c r="S3" s="27"/>
      <c r="T3" s="27"/>
      <c r="U3" s="27"/>
      <c r="V3" s="27">
        <v>10</v>
      </c>
      <c r="W3" s="27"/>
      <c r="X3" s="27"/>
      <c r="Y3" s="27">
        <v>10</v>
      </c>
      <c r="Z3" s="27"/>
      <c r="AA3" s="27"/>
      <c r="AB3" s="27">
        <v>10</v>
      </c>
      <c r="AC3" s="27">
        <v>5</v>
      </c>
      <c r="AD3" s="27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>
        <f t="shared" si="0"/>
        <v>35</v>
      </c>
      <c r="BR3" s="1">
        <v>3</v>
      </c>
      <c r="BS3" s="17">
        <v>1</v>
      </c>
      <c r="BT3" s="17" t="s">
        <v>207</v>
      </c>
      <c r="BU3">
        <f t="shared" si="1"/>
        <v>35</v>
      </c>
      <c r="BV3" s="23">
        <f t="shared" si="2"/>
        <v>0</v>
      </c>
    </row>
    <row r="4" spans="1:74">
      <c r="A4" s="1"/>
      <c r="B4" s="1" t="s">
        <v>97</v>
      </c>
      <c r="C4" s="1" t="s">
        <v>85</v>
      </c>
      <c r="D4" s="1" t="s">
        <v>86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7">
        <v>10</v>
      </c>
      <c r="Q4" s="27"/>
      <c r="R4" s="27"/>
      <c r="S4" s="27">
        <v>10</v>
      </c>
      <c r="T4" s="27"/>
      <c r="U4" s="27"/>
      <c r="V4" s="27"/>
      <c r="W4" s="27">
        <v>5</v>
      </c>
      <c r="X4" s="27"/>
      <c r="Y4" s="27"/>
      <c r="Z4" s="27"/>
      <c r="AA4" s="27"/>
      <c r="AB4" s="27">
        <v>10</v>
      </c>
      <c r="AC4" s="27"/>
      <c r="AD4" s="27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>
        <f t="shared" si="0"/>
        <v>35</v>
      </c>
      <c r="BR4" s="1">
        <v>5</v>
      </c>
      <c r="BS4" s="17">
        <v>1</v>
      </c>
      <c r="BT4" s="17" t="s">
        <v>208</v>
      </c>
      <c r="BU4">
        <f t="shared" si="1"/>
        <v>35</v>
      </c>
      <c r="BV4" s="23">
        <f t="shared" si="2"/>
        <v>0</v>
      </c>
    </row>
    <row r="5" spans="1:74">
      <c r="A5" s="1"/>
      <c r="B5" s="3" t="s">
        <v>146</v>
      </c>
      <c r="C5" s="3" t="s">
        <v>84</v>
      </c>
      <c r="D5" s="1" t="s">
        <v>141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7">
        <v>10</v>
      </c>
      <c r="Q5" s="27"/>
      <c r="R5" s="27"/>
      <c r="S5" s="27">
        <v>10</v>
      </c>
      <c r="T5" s="27"/>
      <c r="U5" s="27"/>
      <c r="V5" s="27"/>
      <c r="W5" s="27">
        <v>5</v>
      </c>
      <c r="X5" s="27"/>
      <c r="Y5" s="27"/>
      <c r="Z5" s="27"/>
      <c r="AA5" s="27"/>
      <c r="AB5" s="27">
        <v>10</v>
      </c>
      <c r="AC5" s="27"/>
      <c r="AD5" s="27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>
        <f t="shared" si="0"/>
        <v>35</v>
      </c>
      <c r="BR5" s="1">
        <v>5</v>
      </c>
      <c r="BS5" s="17">
        <v>1</v>
      </c>
      <c r="BT5" s="17" t="s">
        <v>209</v>
      </c>
      <c r="BU5">
        <f t="shared" si="1"/>
        <v>35</v>
      </c>
      <c r="BV5" s="23">
        <f t="shared" si="2"/>
        <v>0</v>
      </c>
    </row>
    <row r="6" spans="1:74">
      <c r="A6" s="1"/>
      <c r="B6" s="1" t="s">
        <v>176</v>
      </c>
      <c r="C6" s="1" t="s">
        <v>108</v>
      </c>
      <c r="D6" s="1" t="s">
        <v>87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7"/>
      <c r="Q6" s="27">
        <v>5</v>
      </c>
      <c r="R6" s="27"/>
      <c r="S6" s="27"/>
      <c r="T6" s="27"/>
      <c r="U6" s="27"/>
      <c r="V6" s="27">
        <v>10</v>
      </c>
      <c r="W6" s="27"/>
      <c r="X6" s="27"/>
      <c r="Y6" s="27"/>
      <c r="Z6" s="27">
        <v>5</v>
      </c>
      <c r="AA6" s="27"/>
      <c r="AB6" s="27">
        <v>10</v>
      </c>
      <c r="AC6" s="27"/>
      <c r="AD6" s="27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/>
      <c r="AT6" s="4"/>
      <c r="AU6" s="4"/>
      <c r="AV6" s="4"/>
      <c r="AW6" s="2"/>
      <c r="AX6" s="2"/>
      <c r="AY6" s="2"/>
      <c r="AZ6" s="2"/>
      <c r="BA6" s="2"/>
      <c r="BB6" s="2"/>
      <c r="BC6" s="14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>
        <f t="shared" si="0"/>
        <v>30</v>
      </c>
      <c r="BR6" s="1">
        <v>5</v>
      </c>
      <c r="BS6" s="17">
        <v>1</v>
      </c>
      <c r="BT6" s="17" t="s">
        <v>210</v>
      </c>
      <c r="BU6">
        <f t="shared" si="1"/>
        <v>30</v>
      </c>
      <c r="BV6" s="23">
        <f t="shared" si="2"/>
        <v>0</v>
      </c>
    </row>
    <row r="7" spans="1:74">
      <c r="A7" s="1"/>
      <c r="B7" s="3" t="s">
        <v>147</v>
      </c>
      <c r="C7" s="3" t="s">
        <v>43</v>
      </c>
      <c r="D7" s="1" t="s">
        <v>0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27"/>
      <c r="Q7" s="27">
        <v>5</v>
      </c>
      <c r="R7" s="27"/>
      <c r="S7" s="27"/>
      <c r="T7" s="27"/>
      <c r="U7" s="27"/>
      <c r="V7" s="27">
        <v>10</v>
      </c>
      <c r="W7" s="27"/>
      <c r="X7" s="27"/>
      <c r="Y7" s="27">
        <v>10</v>
      </c>
      <c r="Z7" s="27"/>
      <c r="AA7" s="27"/>
      <c r="AB7" s="27">
        <v>10</v>
      </c>
      <c r="AC7" s="27"/>
      <c r="AD7" s="27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>
        <f t="shared" si="0"/>
        <v>35</v>
      </c>
      <c r="BR7" s="1">
        <v>5</v>
      </c>
      <c r="BS7" s="17">
        <v>1</v>
      </c>
      <c r="BT7" s="17" t="s">
        <v>211</v>
      </c>
      <c r="BU7">
        <f t="shared" si="1"/>
        <v>35</v>
      </c>
      <c r="BV7" s="23">
        <f t="shared" si="2"/>
        <v>0</v>
      </c>
    </row>
    <row r="8" spans="1:74">
      <c r="A8" s="18">
        <v>32</v>
      </c>
      <c r="B8" s="18" t="s">
        <v>53</v>
      </c>
      <c r="C8" s="18" t="s">
        <v>21</v>
      </c>
      <c r="D8" s="18" t="s">
        <v>17</v>
      </c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18"/>
      <c r="AF8" s="18"/>
      <c r="AG8" s="18"/>
      <c r="AH8" s="18"/>
      <c r="AI8" s="18">
        <v>5</v>
      </c>
      <c r="AJ8" s="18"/>
      <c r="AK8" s="18"/>
      <c r="AL8" s="18"/>
      <c r="AM8" s="18"/>
      <c r="AN8" s="18"/>
      <c r="AO8" s="18"/>
      <c r="AP8" s="18"/>
      <c r="AQ8" s="20"/>
      <c r="AR8" s="20"/>
      <c r="AS8" s="20"/>
      <c r="AT8" s="20"/>
      <c r="AU8" s="20"/>
      <c r="AV8" s="20"/>
      <c r="AW8" s="21"/>
      <c r="AX8" s="21"/>
      <c r="AY8" s="21"/>
      <c r="AZ8" s="21"/>
      <c r="BA8" s="21"/>
      <c r="BB8" s="21"/>
      <c r="BC8" s="25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>
        <f t="shared" si="0"/>
        <v>5</v>
      </c>
      <c r="BR8" s="18">
        <v>5</v>
      </c>
      <c r="BS8" s="22">
        <v>1</v>
      </c>
      <c r="BT8" s="22" t="s">
        <v>212</v>
      </c>
      <c r="BU8">
        <f t="shared" si="1"/>
        <v>0</v>
      </c>
      <c r="BV8" s="23">
        <f t="shared" si="2"/>
        <v>5</v>
      </c>
    </row>
    <row r="9" spans="1:74">
      <c r="A9" s="18">
        <v>33</v>
      </c>
      <c r="B9" s="18" t="s">
        <v>53</v>
      </c>
      <c r="C9" s="18" t="s">
        <v>21</v>
      </c>
      <c r="D9" s="18" t="s">
        <v>0</v>
      </c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18"/>
      <c r="AF9" s="18"/>
      <c r="AG9" s="18"/>
      <c r="AH9" s="18">
        <v>5</v>
      </c>
      <c r="AI9" s="18"/>
      <c r="AJ9" s="18"/>
      <c r="AK9" s="18"/>
      <c r="AL9" s="18"/>
      <c r="AM9" s="18"/>
      <c r="AN9" s="18"/>
      <c r="AO9" s="18"/>
      <c r="AP9" s="18"/>
      <c r="AQ9" s="20"/>
      <c r="AR9" s="20"/>
      <c r="AS9" s="20"/>
      <c r="AT9" s="20"/>
      <c r="AU9" s="20"/>
      <c r="AV9" s="20"/>
      <c r="AW9" s="21"/>
      <c r="AX9" s="21"/>
      <c r="AY9" s="21"/>
      <c r="AZ9" s="21"/>
      <c r="BA9" s="21"/>
      <c r="BB9" s="21"/>
      <c r="BC9" s="25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>
        <f t="shared" si="0"/>
        <v>5</v>
      </c>
      <c r="BR9" s="18">
        <v>5</v>
      </c>
      <c r="BS9" s="22">
        <v>1</v>
      </c>
      <c r="BT9" s="22" t="s">
        <v>213</v>
      </c>
      <c r="BU9">
        <f t="shared" si="1"/>
        <v>0</v>
      </c>
      <c r="BV9" s="23">
        <f t="shared" si="2"/>
        <v>5</v>
      </c>
    </row>
    <row r="10" spans="1:74">
      <c r="A10" s="18"/>
      <c r="B10" s="18" t="s">
        <v>82</v>
      </c>
      <c r="C10" s="18" t="s">
        <v>80</v>
      </c>
      <c r="D10" s="18" t="s">
        <v>77</v>
      </c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18"/>
      <c r="AF10" s="18"/>
      <c r="AG10" s="18"/>
      <c r="AH10" s="18">
        <v>5</v>
      </c>
      <c r="AI10" s="18"/>
      <c r="AJ10" s="18"/>
      <c r="AK10" s="18"/>
      <c r="AL10" s="18"/>
      <c r="AM10" s="18"/>
      <c r="AN10" s="18"/>
      <c r="AO10" s="18"/>
      <c r="AP10" s="18"/>
      <c r="AQ10" s="20"/>
      <c r="AR10" s="20"/>
      <c r="AS10" s="20"/>
      <c r="AT10" s="20"/>
      <c r="AU10" s="20"/>
      <c r="AV10" s="20"/>
      <c r="AW10" s="21"/>
      <c r="AX10" s="21"/>
      <c r="AY10" s="21"/>
      <c r="AZ10" s="21"/>
      <c r="BA10" s="21"/>
      <c r="BB10" s="21"/>
      <c r="BC10" s="25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>
        <f t="shared" si="0"/>
        <v>5</v>
      </c>
      <c r="BR10" s="18">
        <v>5</v>
      </c>
      <c r="BS10" s="22">
        <v>1</v>
      </c>
      <c r="BT10" s="22" t="s">
        <v>213</v>
      </c>
      <c r="BU10">
        <f t="shared" si="1"/>
        <v>0</v>
      </c>
      <c r="BV10" s="23">
        <f t="shared" si="2"/>
        <v>5</v>
      </c>
    </row>
    <row r="11" spans="1:74">
      <c r="A11" s="18"/>
      <c r="B11" s="18" t="s">
        <v>82</v>
      </c>
      <c r="C11" s="18" t="s">
        <v>80</v>
      </c>
      <c r="D11" s="18" t="s">
        <v>73</v>
      </c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18"/>
      <c r="AF11" s="18"/>
      <c r="AG11" s="18"/>
      <c r="AH11" s="18"/>
      <c r="AI11" s="18">
        <v>5</v>
      </c>
      <c r="AJ11" s="18"/>
      <c r="AK11" s="18"/>
      <c r="AL11" s="18"/>
      <c r="AM11" s="18"/>
      <c r="AN11" s="18"/>
      <c r="AO11" s="18"/>
      <c r="AP11" s="18"/>
      <c r="AQ11" s="20"/>
      <c r="AR11" s="20"/>
      <c r="AS11" s="20"/>
      <c r="AT11" s="20"/>
      <c r="AU11" s="20"/>
      <c r="AV11" s="20"/>
      <c r="AW11" s="21"/>
      <c r="AX11" s="21"/>
      <c r="AY11" s="21"/>
      <c r="AZ11" s="21"/>
      <c r="BA11" s="21"/>
      <c r="BB11" s="21"/>
      <c r="BC11" s="25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>
        <f t="shared" si="0"/>
        <v>5</v>
      </c>
      <c r="BR11" s="18">
        <v>5</v>
      </c>
      <c r="BS11" s="22">
        <v>1</v>
      </c>
      <c r="BT11" s="22" t="s">
        <v>212</v>
      </c>
      <c r="BU11">
        <f t="shared" si="1"/>
        <v>0</v>
      </c>
      <c r="BV11" s="23">
        <f t="shared" si="2"/>
        <v>5</v>
      </c>
    </row>
    <row r="12" spans="1:74">
      <c r="A12" s="1"/>
      <c r="B12" s="1" t="s">
        <v>174</v>
      </c>
      <c r="C12" s="1" t="s">
        <v>108</v>
      </c>
      <c r="D12" s="1" t="s">
        <v>87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27"/>
      <c r="Q12" s="27">
        <v>5</v>
      </c>
      <c r="R12" s="27"/>
      <c r="S12" s="27"/>
      <c r="T12" s="27">
        <v>5</v>
      </c>
      <c r="U12" s="27"/>
      <c r="V12" s="27"/>
      <c r="W12" s="27"/>
      <c r="X12" s="27"/>
      <c r="Y12" s="27"/>
      <c r="Z12" s="27">
        <v>5</v>
      </c>
      <c r="AA12" s="27">
        <v>2</v>
      </c>
      <c r="AB12" s="27"/>
      <c r="AC12" s="27"/>
      <c r="AD12" s="27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/>
      <c r="AT12" s="4"/>
      <c r="AU12" s="4"/>
      <c r="AV12" s="4"/>
      <c r="AW12" s="2"/>
      <c r="AX12" s="2"/>
      <c r="AY12" s="2"/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>
        <f t="shared" si="0"/>
        <v>17</v>
      </c>
      <c r="BR12" s="1">
        <v>5</v>
      </c>
      <c r="BS12" s="17">
        <v>1</v>
      </c>
      <c r="BT12" s="17" t="s">
        <v>231</v>
      </c>
      <c r="BU12">
        <f t="shared" si="1"/>
        <v>17</v>
      </c>
      <c r="BV12" s="23">
        <f t="shared" si="2"/>
        <v>0</v>
      </c>
    </row>
    <row r="13" spans="1:74">
      <c r="A13" s="1"/>
      <c r="B13" s="1" t="s">
        <v>169</v>
      </c>
      <c r="C13" s="1" t="s">
        <v>102</v>
      </c>
      <c r="D13" s="1" t="s">
        <v>150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27"/>
      <c r="Q13" s="27">
        <v>5</v>
      </c>
      <c r="R13" s="27"/>
      <c r="S13" s="27"/>
      <c r="T13" s="27">
        <v>5</v>
      </c>
      <c r="U13" s="27"/>
      <c r="V13" s="27"/>
      <c r="W13" s="27"/>
      <c r="X13" s="27"/>
      <c r="Y13" s="27"/>
      <c r="Z13" s="27">
        <v>5</v>
      </c>
      <c r="AA13" s="27">
        <v>2</v>
      </c>
      <c r="AB13" s="27"/>
      <c r="AC13" s="27"/>
      <c r="AD13" s="27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/>
      <c r="AU13" s="4"/>
      <c r="AV13" s="4"/>
      <c r="AW13" s="2"/>
      <c r="AX13" s="2"/>
      <c r="AY13" s="2"/>
      <c r="AZ13" s="2"/>
      <c r="BA13" s="2"/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>
        <f t="shared" si="0"/>
        <v>17</v>
      </c>
      <c r="BR13" s="1">
        <v>5</v>
      </c>
      <c r="BS13" s="17">
        <v>1</v>
      </c>
      <c r="BT13" s="17" t="s">
        <v>231</v>
      </c>
      <c r="BU13">
        <f t="shared" si="1"/>
        <v>17</v>
      </c>
      <c r="BV13" s="23">
        <f t="shared" si="2"/>
        <v>0</v>
      </c>
    </row>
    <row r="14" spans="1:74">
      <c r="A14" s="1">
        <v>98</v>
      </c>
      <c r="B14" s="3" t="s">
        <v>111</v>
      </c>
      <c r="C14" s="3" t="s">
        <v>45</v>
      </c>
      <c r="D14" s="1" t="s">
        <v>0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1">
        <v>50</v>
      </c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/>
      <c r="AS14" s="4"/>
      <c r="AT14" s="4"/>
      <c r="AU14" s="4"/>
      <c r="AV14" s="4"/>
      <c r="AW14" s="2"/>
      <c r="AX14" s="2"/>
      <c r="AY14" s="2"/>
      <c r="AZ14" s="2"/>
      <c r="BA14" s="2"/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>
        <f t="shared" si="0"/>
        <v>50</v>
      </c>
      <c r="BR14" s="1">
        <v>18</v>
      </c>
      <c r="BS14" s="17">
        <v>1</v>
      </c>
      <c r="BT14" s="17" t="s">
        <v>220</v>
      </c>
      <c r="BU14">
        <f t="shared" si="1"/>
        <v>0</v>
      </c>
      <c r="BV14" s="23">
        <f t="shared" si="2"/>
        <v>0</v>
      </c>
    </row>
    <row r="15" spans="1:74">
      <c r="A15" s="1"/>
      <c r="B15" s="1" t="s">
        <v>157</v>
      </c>
      <c r="C15" s="1" t="s">
        <v>74</v>
      </c>
      <c r="D15" s="1" t="s">
        <v>75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/>
      <c r="AV15" s="4">
        <v>40</v>
      </c>
      <c r="AW15" s="2">
        <v>40</v>
      </c>
      <c r="AX15" s="2"/>
      <c r="AY15" s="2"/>
      <c r="AZ15" s="2"/>
      <c r="BA15" s="2"/>
      <c r="BB15" s="2">
        <v>40</v>
      </c>
      <c r="BC15" s="14">
        <v>10</v>
      </c>
      <c r="BD15" s="1"/>
      <c r="BE15" s="1">
        <v>50</v>
      </c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>
        <f t="shared" si="0"/>
        <v>180</v>
      </c>
      <c r="BR15" s="1">
        <v>26</v>
      </c>
      <c r="BS15" s="17">
        <v>1</v>
      </c>
      <c r="BT15" s="17" t="s">
        <v>221</v>
      </c>
      <c r="BU15">
        <f t="shared" si="1"/>
        <v>0</v>
      </c>
      <c r="BV15" s="23">
        <f t="shared" si="2"/>
        <v>0</v>
      </c>
    </row>
    <row r="16" spans="1:74">
      <c r="A16" s="1"/>
      <c r="B16" s="1" t="s">
        <v>180</v>
      </c>
      <c r="C16" s="1" t="s">
        <v>107</v>
      </c>
      <c r="D16" s="1" t="s">
        <v>25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/>
      <c r="AV16" s="4"/>
      <c r="AW16" s="2"/>
      <c r="AX16" s="2"/>
      <c r="AY16" s="2"/>
      <c r="AZ16" s="2"/>
      <c r="BA16" s="2"/>
      <c r="BB16" s="2"/>
      <c r="BC16" s="14"/>
      <c r="BD16" s="1"/>
      <c r="BE16" s="1"/>
      <c r="BF16" s="1"/>
      <c r="BG16" s="1"/>
      <c r="BH16" s="1"/>
      <c r="BI16" s="1"/>
      <c r="BJ16" s="1"/>
      <c r="BK16" s="1">
        <v>50</v>
      </c>
      <c r="BL16" s="1">
        <v>50</v>
      </c>
      <c r="BM16" s="1"/>
      <c r="BN16" s="1"/>
      <c r="BO16" s="1">
        <v>50</v>
      </c>
      <c r="BP16" s="1">
        <v>50</v>
      </c>
      <c r="BQ16" s="1">
        <f t="shared" si="0"/>
        <v>200</v>
      </c>
      <c r="BR16" s="1">
        <v>47</v>
      </c>
      <c r="BS16" s="17">
        <v>1</v>
      </c>
      <c r="BT16" s="17" t="s">
        <v>222</v>
      </c>
      <c r="BU16">
        <f t="shared" si="1"/>
        <v>0</v>
      </c>
      <c r="BV16" s="23">
        <f t="shared" si="2"/>
        <v>0</v>
      </c>
    </row>
    <row r="17" spans="1:74">
      <c r="A17" s="1">
        <v>102</v>
      </c>
      <c r="B17" s="3" t="s">
        <v>128</v>
      </c>
      <c r="C17" s="3" t="s">
        <v>45</v>
      </c>
      <c r="D17" s="1" t="s">
        <v>25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/>
      <c r="AV17" s="4"/>
      <c r="AW17" s="2"/>
      <c r="AX17" s="2"/>
      <c r="AY17" s="2"/>
      <c r="AZ17" s="2"/>
      <c r="BA17" s="2"/>
      <c r="BB17" s="2"/>
      <c r="BC17" s="14"/>
      <c r="BD17" s="1"/>
      <c r="BE17" s="1"/>
      <c r="BF17" s="1"/>
      <c r="BG17" s="1"/>
      <c r="BH17" s="1"/>
      <c r="BI17" s="1"/>
      <c r="BJ17" s="1"/>
      <c r="BK17" s="1">
        <v>50</v>
      </c>
      <c r="BL17" s="1">
        <v>50</v>
      </c>
      <c r="BM17" s="1"/>
      <c r="BN17" s="1"/>
      <c r="BO17" s="1">
        <v>50</v>
      </c>
      <c r="BP17" s="1">
        <v>50</v>
      </c>
      <c r="BQ17" s="1">
        <f t="shared" si="0"/>
        <v>200</v>
      </c>
      <c r="BR17" s="1">
        <v>47</v>
      </c>
      <c r="BS17" s="17">
        <v>1</v>
      </c>
      <c r="BT17" s="17" t="s">
        <v>192</v>
      </c>
      <c r="BU17">
        <f t="shared" si="1"/>
        <v>0</v>
      </c>
      <c r="BV17" s="23">
        <f t="shared" si="2"/>
        <v>0</v>
      </c>
    </row>
    <row r="18" spans="1:74">
      <c r="A18" s="1">
        <v>85</v>
      </c>
      <c r="B18" s="3" t="s">
        <v>158</v>
      </c>
      <c r="C18" s="3" t="s">
        <v>43</v>
      </c>
      <c r="D18" s="1" t="s">
        <v>25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/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>
        <v>50</v>
      </c>
      <c r="BN18" s="1">
        <v>50</v>
      </c>
      <c r="BO18" s="1">
        <v>50</v>
      </c>
      <c r="BP18" s="1">
        <v>50</v>
      </c>
      <c r="BQ18" s="1">
        <f t="shared" si="0"/>
        <v>200</v>
      </c>
      <c r="BR18" s="1">
        <v>47</v>
      </c>
      <c r="BS18" s="17">
        <v>1</v>
      </c>
      <c r="BT18" s="17" t="s">
        <v>192</v>
      </c>
      <c r="BU18">
        <f t="shared" si="1"/>
        <v>0</v>
      </c>
      <c r="BV18" s="23">
        <f t="shared" si="2"/>
        <v>0</v>
      </c>
    </row>
    <row r="19" spans="1:74">
      <c r="A19" s="1"/>
      <c r="B19" s="1" t="s">
        <v>181</v>
      </c>
      <c r="C19" s="1" t="s">
        <v>83</v>
      </c>
      <c r="D19" s="1" t="s">
        <v>81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/>
      <c r="AV19" s="4"/>
      <c r="AW19" s="2"/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>
        <v>50</v>
      </c>
      <c r="BN19" s="1">
        <v>50</v>
      </c>
      <c r="BO19" s="1">
        <v>50</v>
      </c>
      <c r="BP19" s="1">
        <v>50</v>
      </c>
      <c r="BQ19" s="1">
        <f t="shared" si="0"/>
        <v>200</v>
      </c>
      <c r="BR19" s="1">
        <v>47</v>
      </c>
      <c r="BS19" s="17">
        <v>1</v>
      </c>
      <c r="BT19" s="17" t="s">
        <v>192</v>
      </c>
      <c r="BU19">
        <f t="shared" si="1"/>
        <v>0</v>
      </c>
      <c r="BV19" s="23">
        <f t="shared" si="2"/>
        <v>0</v>
      </c>
    </row>
    <row r="20" spans="1:74">
      <c r="A20" s="1"/>
      <c r="B20" s="3" t="s">
        <v>193</v>
      </c>
      <c r="C20" s="3" t="s">
        <v>56</v>
      </c>
      <c r="D20" s="1" t="s">
        <v>191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/>
      <c r="AS20" s="4"/>
      <c r="AT20" s="4"/>
      <c r="AU20" s="4"/>
      <c r="AV20" s="4"/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>
        <v>50</v>
      </c>
      <c r="BN20" s="1">
        <v>50</v>
      </c>
      <c r="BO20" s="1">
        <v>50</v>
      </c>
      <c r="BP20" s="1">
        <v>50</v>
      </c>
      <c r="BQ20" s="1">
        <f t="shared" si="0"/>
        <v>200</v>
      </c>
      <c r="BR20" s="1">
        <v>47</v>
      </c>
      <c r="BS20" s="17">
        <v>1</v>
      </c>
      <c r="BT20" s="17" t="s">
        <v>192</v>
      </c>
      <c r="BU20">
        <f t="shared" si="1"/>
        <v>0</v>
      </c>
      <c r="BV20" s="23">
        <f t="shared" si="2"/>
        <v>0</v>
      </c>
    </row>
    <row r="21" spans="1:74">
      <c r="A21" s="1">
        <v>99</v>
      </c>
      <c r="B21" s="3" t="s">
        <v>111</v>
      </c>
      <c r="C21" s="3" t="s">
        <v>45</v>
      </c>
      <c r="D21" s="1" t="s">
        <v>8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1">
        <v>200</v>
      </c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/>
      <c r="AR21" s="4"/>
      <c r="AS21" s="4"/>
      <c r="AT21" s="4"/>
      <c r="AU21" s="4"/>
      <c r="AV21" s="4"/>
      <c r="AW21" s="2"/>
      <c r="AX21" s="2"/>
      <c r="AY21" s="2"/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>
        <f t="shared" si="0"/>
        <v>200</v>
      </c>
      <c r="BR21" s="1">
        <v>168</v>
      </c>
      <c r="BS21" s="17">
        <v>1</v>
      </c>
      <c r="BT21" s="17" t="s">
        <v>223</v>
      </c>
      <c r="BU21">
        <f t="shared" si="1"/>
        <v>0</v>
      </c>
      <c r="BV21" s="23">
        <f t="shared" si="2"/>
        <v>0</v>
      </c>
    </row>
    <row r="22" spans="1:74" ht="27">
      <c r="A22" s="1"/>
      <c r="B22" s="1" t="s">
        <v>197</v>
      </c>
      <c r="C22" s="1" t="s">
        <v>32</v>
      </c>
      <c r="D22" s="1" t="s">
        <v>152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27"/>
      <c r="Q22" s="27"/>
      <c r="R22" s="27">
        <v>2</v>
      </c>
      <c r="S22" s="27"/>
      <c r="T22" s="27">
        <v>5</v>
      </c>
      <c r="U22" s="27"/>
      <c r="V22" s="27"/>
      <c r="W22" s="27"/>
      <c r="X22" s="27">
        <v>2</v>
      </c>
      <c r="Y22" s="27"/>
      <c r="Z22" s="27"/>
      <c r="AA22" s="27"/>
      <c r="AB22" s="27"/>
      <c r="AC22" s="27"/>
      <c r="AD22" s="27">
        <v>2</v>
      </c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/>
      <c r="AR22" s="4"/>
      <c r="AS22" s="4"/>
      <c r="AT22" s="4"/>
      <c r="AU22" s="4"/>
      <c r="AV22" s="4"/>
      <c r="AW22" s="2"/>
      <c r="AX22" s="2"/>
      <c r="AY22" s="2"/>
      <c r="AZ22" s="2"/>
      <c r="BA22" s="2"/>
      <c r="BB22" s="2"/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>
        <f t="shared" si="0"/>
        <v>11</v>
      </c>
      <c r="BR22" s="1">
        <v>3</v>
      </c>
      <c r="BS22" s="17">
        <v>2</v>
      </c>
      <c r="BT22" s="17" t="s">
        <v>225</v>
      </c>
      <c r="BU22">
        <f t="shared" si="1"/>
        <v>11</v>
      </c>
      <c r="BV22" s="23">
        <f t="shared" si="2"/>
        <v>0</v>
      </c>
    </row>
    <row r="23" spans="1:74" ht="27">
      <c r="A23" s="1"/>
      <c r="B23" s="3" t="s">
        <v>199</v>
      </c>
      <c r="C23" s="3" t="s">
        <v>108</v>
      </c>
      <c r="D23" s="1" t="s">
        <v>0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27"/>
      <c r="Q23" s="27"/>
      <c r="R23" s="27">
        <v>2</v>
      </c>
      <c r="S23" s="27"/>
      <c r="T23" s="27">
        <v>5</v>
      </c>
      <c r="U23" s="27"/>
      <c r="V23" s="27"/>
      <c r="W23" s="27"/>
      <c r="X23" s="27">
        <v>2</v>
      </c>
      <c r="Y23" s="27"/>
      <c r="Z23" s="27"/>
      <c r="AA23" s="27"/>
      <c r="AB23" s="27"/>
      <c r="AC23" s="27"/>
      <c r="AD23" s="27">
        <v>2</v>
      </c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/>
      <c r="AR23" s="4"/>
      <c r="AS23" s="4"/>
      <c r="AT23" s="4"/>
      <c r="AU23" s="4"/>
      <c r="AV23" s="4"/>
      <c r="AW23" s="2"/>
      <c r="AX23" s="2"/>
      <c r="AY23" s="2"/>
      <c r="AZ23" s="2"/>
      <c r="BA23" s="2"/>
      <c r="BB23" s="2"/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>
        <f t="shared" si="0"/>
        <v>11</v>
      </c>
      <c r="BR23" s="1">
        <v>3</v>
      </c>
      <c r="BS23" s="17">
        <v>2</v>
      </c>
      <c r="BT23" s="17" t="s">
        <v>225</v>
      </c>
      <c r="BU23">
        <f t="shared" si="1"/>
        <v>11</v>
      </c>
      <c r="BV23" s="23">
        <f t="shared" si="2"/>
        <v>0</v>
      </c>
    </row>
    <row r="24" spans="1:74" ht="27">
      <c r="A24" s="1"/>
      <c r="B24" s="1" t="s">
        <v>167</v>
      </c>
      <c r="C24" s="1" t="s">
        <v>162</v>
      </c>
      <c r="D24" s="1" t="s">
        <v>72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27"/>
      <c r="Q24" s="27"/>
      <c r="R24" s="27"/>
      <c r="S24" s="27"/>
      <c r="T24" s="27"/>
      <c r="U24" s="27">
        <v>2</v>
      </c>
      <c r="V24" s="27"/>
      <c r="W24" s="27"/>
      <c r="X24" s="27"/>
      <c r="Y24" s="27"/>
      <c r="Z24" s="27"/>
      <c r="AA24" s="27">
        <v>2</v>
      </c>
      <c r="AB24" s="27"/>
      <c r="AC24" s="27">
        <v>5</v>
      </c>
      <c r="AD24" s="27">
        <v>2</v>
      </c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/>
      <c r="AR24" s="4"/>
      <c r="AS24" s="4"/>
      <c r="AT24" s="4"/>
      <c r="AU24" s="4"/>
      <c r="AV24" s="4"/>
      <c r="AW24" s="2"/>
      <c r="AX24" s="2"/>
      <c r="AY24" s="2"/>
      <c r="AZ24" s="2"/>
      <c r="BA24" s="2"/>
      <c r="BB24" s="2"/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>
        <f t="shared" si="0"/>
        <v>11</v>
      </c>
      <c r="BR24" s="1">
        <v>5</v>
      </c>
      <c r="BS24" s="17">
        <v>2</v>
      </c>
      <c r="BT24" s="17" t="s">
        <v>228</v>
      </c>
      <c r="BU24">
        <f t="shared" si="1"/>
        <v>11</v>
      </c>
      <c r="BV24" s="23">
        <f t="shared" si="2"/>
        <v>0</v>
      </c>
    </row>
    <row r="25" spans="1:74" s="42" customFormat="1" ht="27">
      <c r="A25" s="1"/>
      <c r="B25" s="3" t="s">
        <v>156</v>
      </c>
      <c r="C25" s="3" t="s">
        <v>144</v>
      </c>
      <c r="D25" s="1" t="s">
        <v>0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27"/>
      <c r="Q25" s="27"/>
      <c r="R25" s="27"/>
      <c r="S25" s="27"/>
      <c r="T25" s="27"/>
      <c r="U25" s="27"/>
      <c r="V25" s="27"/>
      <c r="W25" s="27"/>
      <c r="X25" s="27">
        <v>2</v>
      </c>
      <c r="Y25" s="27"/>
      <c r="Z25" s="27"/>
      <c r="AA25" s="27">
        <v>2</v>
      </c>
      <c r="AB25" s="27"/>
      <c r="AC25" s="27">
        <v>5</v>
      </c>
      <c r="AD25" s="27">
        <v>2</v>
      </c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/>
      <c r="AS25" s="4"/>
      <c r="AT25" s="4"/>
      <c r="AU25" s="4"/>
      <c r="AV25" s="4"/>
      <c r="AW25" s="2"/>
      <c r="AX25" s="2"/>
      <c r="AY25" s="2"/>
      <c r="AZ25" s="2"/>
      <c r="BA25" s="2"/>
      <c r="BB25" s="2"/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>
        <f t="shared" si="0"/>
        <v>11</v>
      </c>
      <c r="BR25" s="1">
        <v>5</v>
      </c>
      <c r="BS25" s="17">
        <v>2</v>
      </c>
      <c r="BT25" s="17" t="s">
        <v>244</v>
      </c>
      <c r="BU25">
        <f t="shared" si="1"/>
        <v>11</v>
      </c>
      <c r="BV25" s="23">
        <f t="shared" si="2"/>
        <v>0</v>
      </c>
    </row>
    <row r="26" spans="1:74" s="42" customFormat="1" ht="27">
      <c r="A26" s="1"/>
      <c r="B26" s="1" t="s">
        <v>166</v>
      </c>
      <c r="C26" s="1" t="s">
        <v>45</v>
      </c>
      <c r="D26" s="1" t="s">
        <v>150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27"/>
      <c r="Q26" s="27"/>
      <c r="R26" s="27"/>
      <c r="S26" s="27"/>
      <c r="T26" s="27"/>
      <c r="U26" s="27"/>
      <c r="V26" s="27"/>
      <c r="W26" s="27"/>
      <c r="X26" s="27">
        <v>2</v>
      </c>
      <c r="Y26" s="27"/>
      <c r="Z26" s="27"/>
      <c r="AA26" s="27">
        <v>2</v>
      </c>
      <c r="AB26" s="27"/>
      <c r="AC26" s="27">
        <v>5</v>
      </c>
      <c r="AD26" s="27">
        <v>2</v>
      </c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/>
      <c r="AS26" s="4"/>
      <c r="AT26" s="4"/>
      <c r="AU26" s="4"/>
      <c r="AV26" s="4"/>
      <c r="AW26" s="2"/>
      <c r="AX26" s="2"/>
      <c r="AY26" s="2"/>
      <c r="AZ26" s="2"/>
      <c r="BA26" s="2"/>
      <c r="BB26" s="2"/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>
        <f t="shared" si="0"/>
        <v>11</v>
      </c>
      <c r="BR26" s="1">
        <v>5</v>
      </c>
      <c r="BS26" s="17">
        <v>2</v>
      </c>
      <c r="BT26" s="17" t="s">
        <v>245</v>
      </c>
      <c r="BU26">
        <f t="shared" si="1"/>
        <v>11</v>
      </c>
      <c r="BV26" s="23">
        <f t="shared" si="2"/>
        <v>0</v>
      </c>
    </row>
    <row r="27" spans="1:74" s="42" customFormat="1" ht="27">
      <c r="A27" s="1"/>
      <c r="B27" s="1" t="s">
        <v>97</v>
      </c>
      <c r="C27" s="1" t="s">
        <v>85</v>
      </c>
      <c r="D27" s="1" t="s">
        <v>87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27"/>
      <c r="Q27" s="27">
        <v>5</v>
      </c>
      <c r="R27" s="27">
        <v>2</v>
      </c>
      <c r="S27" s="27"/>
      <c r="T27" s="27">
        <v>5</v>
      </c>
      <c r="U27" s="27"/>
      <c r="V27" s="27"/>
      <c r="W27" s="27"/>
      <c r="X27" s="27"/>
      <c r="Y27" s="27"/>
      <c r="Z27" s="27">
        <v>5</v>
      </c>
      <c r="AA27" s="27"/>
      <c r="AB27" s="27"/>
      <c r="AC27" s="27"/>
      <c r="AD27" s="27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/>
      <c r="AT27" s="4"/>
      <c r="AU27" s="4"/>
      <c r="AV27" s="4"/>
      <c r="AW27" s="2"/>
      <c r="AX27" s="2"/>
      <c r="AY27" s="2"/>
      <c r="AZ27" s="2"/>
      <c r="BA27" s="2"/>
      <c r="BB27" s="2"/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>
        <f t="shared" si="0"/>
        <v>17</v>
      </c>
      <c r="BR27" s="1">
        <v>6</v>
      </c>
      <c r="BS27" s="17">
        <v>2</v>
      </c>
      <c r="BT27" s="17" t="s">
        <v>229</v>
      </c>
      <c r="BU27">
        <f t="shared" si="1"/>
        <v>17</v>
      </c>
      <c r="BV27" s="23">
        <f t="shared" si="2"/>
        <v>0</v>
      </c>
    </row>
    <row r="28" spans="1:74" s="42" customFormat="1" ht="27">
      <c r="A28" s="1"/>
      <c r="B28" s="3" t="s">
        <v>146</v>
      </c>
      <c r="C28" s="3" t="s">
        <v>84</v>
      </c>
      <c r="D28" s="1" t="s">
        <v>0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27"/>
      <c r="Q28" s="27">
        <v>5</v>
      </c>
      <c r="R28" s="27">
        <v>2</v>
      </c>
      <c r="S28" s="27"/>
      <c r="T28" s="27">
        <v>5</v>
      </c>
      <c r="U28" s="27"/>
      <c r="V28" s="27"/>
      <c r="W28" s="27"/>
      <c r="X28" s="27"/>
      <c r="Y28" s="27"/>
      <c r="Z28" s="27">
        <v>5</v>
      </c>
      <c r="AA28" s="27"/>
      <c r="AB28" s="27"/>
      <c r="AC28" s="27"/>
      <c r="AD28" s="27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/>
      <c r="BB28" s="2"/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>
        <f t="shared" si="0"/>
        <v>17</v>
      </c>
      <c r="BR28" s="1">
        <v>6</v>
      </c>
      <c r="BS28" s="17">
        <v>2</v>
      </c>
      <c r="BT28" s="17" t="s">
        <v>230</v>
      </c>
      <c r="BU28">
        <f t="shared" si="1"/>
        <v>17</v>
      </c>
      <c r="BV28" s="23">
        <f t="shared" si="2"/>
        <v>0</v>
      </c>
    </row>
    <row r="29" spans="1:74" s="42" customFormat="1" ht="27">
      <c r="A29" s="1"/>
      <c r="B29" s="1" t="s">
        <v>155</v>
      </c>
      <c r="C29" s="1" t="s">
        <v>106</v>
      </c>
      <c r="D29" s="1" t="s">
        <v>87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27"/>
      <c r="Q29" s="27">
        <v>5</v>
      </c>
      <c r="R29" s="27"/>
      <c r="S29" s="27"/>
      <c r="T29" s="27">
        <v>5</v>
      </c>
      <c r="U29" s="27"/>
      <c r="V29" s="27"/>
      <c r="W29" s="27"/>
      <c r="X29" s="27">
        <v>2</v>
      </c>
      <c r="Y29" s="27"/>
      <c r="Z29" s="27">
        <v>5</v>
      </c>
      <c r="AA29" s="27"/>
      <c r="AB29" s="27"/>
      <c r="AC29" s="27"/>
      <c r="AD29" s="27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/>
      <c r="AT29" s="4"/>
      <c r="AU29" s="4"/>
      <c r="AV29" s="4"/>
      <c r="AW29" s="2"/>
      <c r="AX29" s="2"/>
      <c r="AY29" s="2"/>
      <c r="AZ29" s="2"/>
      <c r="BA29" s="2"/>
      <c r="BB29" s="2"/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>
        <f t="shared" si="0"/>
        <v>17</v>
      </c>
      <c r="BR29" s="1">
        <v>7</v>
      </c>
      <c r="BS29" s="17">
        <v>2</v>
      </c>
      <c r="BT29" s="17" t="s">
        <v>232</v>
      </c>
      <c r="BU29">
        <f t="shared" si="1"/>
        <v>17</v>
      </c>
      <c r="BV29" s="23">
        <f t="shared" si="2"/>
        <v>0</v>
      </c>
    </row>
    <row r="30" spans="1:74" s="42" customFormat="1" ht="27">
      <c r="A30" s="1">
        <v>27</v>
      </c>
      <c r="B30" s="1" t="s">
        <v>50</v>
      </c>
      <c r="C30" s="1" t="s">
        <v>21</v>
      </c>
      <c r="D30" s="1" t="s">
        <v>17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1"/>
      <c r="AF30" s="1"/>
      <c r="AG30" s="1"/>
      <c r="AH30" s="1">
        <v>5</v>
      </c>
      <c r="AI30" s="1">
        <v>5</v>
      </c>
      <c r="AJ30" s="1"/>
      <c r="AK30" s="1"/>
      <c r="AL30" s="1"/>
      <c r="AM30" s="1"/>
      <c r="AN30" s="1"/>
      <c r="AO30" s="1"/>
      <c r="AP30" s="1"/>
      <c r="AQ30" s="4"/>
      <c r="AR30" s="4"/>
      <c r="AS30" s="4"/>
      <c r="AT30" s="4"/>
      <c r="AU30" s="4"/>
      <c r="AV30" s="4"/>
      <c r="AW30" s="2"/>
      <c r="AX30" s="2"/>
      <c r="AY30" s="2"/>
      <c r="AZ30" s="2"/>
      <c r="BA30" s="2"/>
      <c r="BB30" s="2"/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>
        <f t="shared" si="0"/>
        <v>10</v>
      </c>
      <c r="BR30" s="1">
        <v>10</v>
      </c>
      <c r="BS30" s="17">
        <v>2</v>
      </c>
      <c r="BT30" s="17" t="s">
        <v>233</v>
      </c>
      <c r="BU30">
        <f t="shared" si="1"/>
        <v>0</v>
      </c>
      <c r="BV30" s="23">
        <f t="shared" si="2"/>
        <v>10</v>
      </c>
    </row>
    <row r="31" spans="1:74" s="42" customFormat="1" ht="27">
      <c r="A31" s="1">
        <v>88</v>
      </c>
      <c r="B31" s="3" t="s">
        <v>55</v>
      </c>
      <c r="C31" s="3" t="s">
        <v>56</v>
      </c>
      <c r="D31" s="1" t="s">
        <v>17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1"/>
      <c r="AF31" s="1"/>
      <c r="AG31" s="1"/>
      <c r="AH31" s="1">
        <v>5</v>
      </c>
      <c r="AI31" s="1">
        <v>5</v>
      </c>
      <c r="AJ31" s="1"/>
      <c r="AK31" s="1"/>
      <c r="AL31" s="1"/>
      <c r="AM31" s="1"/>
      <c r="AN31" s="1"/>
      <c r="AO31" s="1"/>
      <c r="AP31" s="1"/>
      <c r="AQ31" s="4"/>
      <c r="AR31" s="4"/>
      <c r="AS31" s="4"/>
      <c r="AT31" s="4"/>
      <c r="AU31" s="4"/>
      <c r="AV31" s="4"/>
      <c r="AW31" s="2"/>
      <c r="AX31" s="2"/>
      <c r="AY31" s="2"/>
      <c r="AZ31" s="2"/>
      <c r="BA31" s="2"/>
      <c r="BB31" s="2"/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>
        <f t="shared" si="0"/>
        <v>10</v>
      </c>
      <c r="BR31" s="1">
        <v>10</v>
      </c>
      <c r="BS31" s="17">
        <v>2</v>
      </c>
      <c r="BT31" s="17" t="s">
        <v>234</v>
      </c>
      <c r="BU31">
        <f t="shared" si="1"/>
        <v>0</v>
      </c>
      <c r="BV31" s="23">
        <f t="shared" si="2"/>
        <v>10</v>
      </c>
    </row>
    <row r="32" spans="1:74" s="42" customFormat="1" ht="27">
      <c r="A32" s="1">
        <v>89</v>
      </c>
      <c r="B32" s="3" t="s">
        <v>55</v>
      </c>
      <c r="C32" s="3" t="s">
        <v>56</v>
      </c>
      <c r="D32" s="1" t="s">
        <v>0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1"/>
      <c r="AF32" s="1">
        <v>5</v>
      </c>
      <c r="AG32" s="1"/>
      <c r="AH32" s="1">
        <v>5</v>
      </c>
      <c r="AI32" s="1">
        <v>5</v>
      </c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/>
      <c r="AW32" s="2"/>
      <c r="AX32" s="2"/>
      <c r="AY32" s="2"/>
      <c r="AZ32" s="2"/>
      <c r="BA32" s="2"/>
      <c r="BB32" s="2"/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>
        <f t="shared" ref="BQ32:BQ63" si="3">SUM(E32:BP32)</f>
        <v>15</v>
      </c>
      <c r="BR32" s="1">
        <v>10</v>
      </c>
      <c r="BS32" s="17">
        <v>2</v>
      </c>
      <c r="BT32" s="17" t="s">
        <v>234</v>
      </c>
      <c r="BU32">
        <f t="shared" ref="BU32:BU68" si="4">SUM(P32:AD32)</f>
        <v>0</v>
      </c>
      <c r="BV32" s="23">
        <f t="shared" ref="BV32:BV68" si="5">AF32+AH32+AI32+AJ32+AO32+AP32</f>
        <v>15</v>
      </c>
    </row>
    <row r="33" spans="1:74" s="42" customFormat="1" ht="27">
      <c r="A33" s="1"/>
      <c r="B33" s="3" t="s">
        <v>200</v>
      </c>
      <c r="C33" s="3" t="s">
        <v>43</v>
      </c>
      <c r="D33" s="1" t="s">
        <v>142</v>
      </c>
      <c r="E33" s="6"/>
      <c r="F33" s="6"/>
      <c r="G33" s="6"/>
      <c r="H33" s="6"/>
      <c r="I33" s="6"/>
      <c r="J33" s="6"/>
      <c r="K33" s="6"/>
      <c r="L33" s="6"/>
      <c r="M33" s="6">
        <v>10</v>
      </c>
      <c r="N33" s="6"/>
      <c r="O33" s="6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>
        <v>10</v>
      </c>
      <c r="AB33" s="27"/>
      <c r="AC33" s="27"/>
      <c r="AD33" s="27">
        <v>10</v>
      </c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4"/>
      <c r="AR33" s="4"/>
      <c r="AS33" s="4">
        <v>10</v>
      </c>
      <c r="AT33" s="4"/>
      <c r="AU33" s="4"/>
      <c r="AV33" s="4"/>
      <c r="AW33" s="2"/>
      <c r="AX33" s="2"/>
      <c r="AY33" s="2"/>
      <c r="AZ33" s="2"/>
      <c r="BA33" s="2"/>
      <c r="BB33" s="2"/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>
        <f t="shared" si="3"/>
        <v>40</v>
      </c>
      <c r="BR33" s="1">
        <v>10</v>
      </c>
      <c r="BS33" s="17">
        <v>2</v>
      </c>
      <c r="BT33" s="17" t="s">
        <v>237</v>
      </c>
      <c r="BU33">
        <f t="shared" si="4"/>
        <v>20</v>
      </c>
      <c r="BV33" s="23">
        <f t="shared" si="5"/>
        <v>0</v>
      </c>
    </row>
    <row r="34" spans="1:74" s="42" customFormat="1" ht="27">
      <c r="A34" s="1"/>
      <c r="B34" s="3" t="s">
        <v>189</v>
      </c>
      <c r="C34" s="3" t="s">
        <v>21</v>
      </c>
      <c r="D34" s="1" t="s">
        <v>142</v>
      </c>
      <c r="E34" s="6"/>
      <c r="F34" s="6"/>
      <c r="G34" s="6"/>
      <c r="H34" s="6"/>
      <c r="I34" s="6"/>
      <c r="J34" s="6"/>
      <c r="K34" s="6"/>
      <c r="L34" s="6"/>
      <c r="M34" s="6">
        <v>10</v>
      </c>
      <c r="N34" s="6"/>
      <c r="O34" s="6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>
        <v>10</v>
      </c>
      <c r="AB34" s="27"/>
      <c r="AC34" s="27"/>
      <c r="AD34" s="27">
        <v>10</v>
      </c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/>
      <c r="AS34" s="4">
        <v>10</v>
      </c>
      <c r="AT34" s="4"/>
      <c r="AU34" s="4"/>
      <c r="AV34" s="4"/>
      <c r="AW34" s="2"/>
      <c r="AX34" s="2"/>
      <c r="AY34" s="2"/>
      <c r="AZ34" s="2"/>
      <c r="BA34" s="2"/>
      <c r="BB34" s="2"/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>
        <f t="shared" si="3"/>
        <v>40</v>
      </c>
      <c r="BR34" s="1">
        <v>10</v>
      </c>
      <c r="BS34" s="17">
        <v>2</v>
      </c>
      <c r="BT34" s="17" t="s">
        <v>238</v>
      </c>
      <c r="BU34">
        <f t="shared" si="4"/>
        <v>20</v>
      </c>
      <c r="BV34" s="23">
        <f t="shared" si="5"/>
        <v>0</v>
      </c>
    </row>
    <row r="35" spans="1:74" s="42" customFormat="1" ht="27">
      <c r="A35" s="1"/>
      <c r="B35" s="3" t="s">
        <v>172</v>
      </c>
      <c r="C35" s="3" t="s">
        <v>145</v>
      </c>
      <c r="D35" s="1" t="s">
        <v>142</v>
      </c>
      <c r="E35" s="6"/>
      <c r="F35" s="6"/>
      <c r="G35" s="6"/>
      <c r="H35" s="6"/>
      <c r="I35" s="6"/>
      <c r="J35" s="6"/>
      <c r="K35" s="6"/>
      <c r="L35" s="6"/>
      <c r="M35" s="6">
        <v>10</v>
      </c>
      <c r="N35" s="6"/>
      <c r="O35" s="6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>
        <v>10</v>
      </c>
      <c r="AB35" s="27"/>
      <c r="AC35" s="27"/>
      <c r="AD35" s="27">
        <v>10</v>
      </c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/>
      <c r="AR35" s="4"/>
      <c r="AS35" s="4">
        <v>10</v>
      </c>
      <c r="AT35" s="4"/>
      <c r="AU35" s="4"/>
      <c r="AV35" s="4"/>
      <c r="AW35" s="2"/>
      <c r="AX35" s="2"/>
      <c r="AY35" s="2"/>
      <c r="AZ35" s="2"/>
      <c r="BA35" s="2"/>
      <c r="BB35" s="2"/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>
        <f t="shared" si="3"/>
        <v>40</v>
      </c>
      <c r="BR35" s="1">
        <v>10</v>
      </c>
      <c r="BS35" s="17">
        <v>2</v>
      </c>
      <c r="BT35" s="17" t="s">
        <v>237</v>
      </c>
      <c r="BU35">
        <f t="shared" si="4"/>
        <v>20</v>
      </c>
      <c r="BV35" s="23">
        <f t="shared" si="5"/>
        <v>0</v>
      </c>
    </row>
    <row r="36" spans="1:74" s="42" customFormat="1" ht="27">
      <c r="A36" s="1"/>
      <c r="B36" s="1" t="s">
        <v>155</v>
      </c>
      <c r="C36" s="1" t="s">
        <v>106</v>
      </c>
      <c r="D36" s="1" t="s">
        <v>88</v>
      </c>
      <c r="E36" s="6"/>
      <c r="F36" s="6"/>
      <c r="G36" s="6"/>
      <c r="H36" s="6"/>
      <c r="I36" s="6"/>
      <c r="J36" s="6"/>
      <c r="K36" s="6"/>
      <c r="L36" s="6">
        <v>7</v>
      </c>
      <c r="M36" s="6"/>
      <c r="N36" s="6"/>
      <c r="O36" s="6"/>
      <c r="P36" s="27"/>
      <c r="Q36" s="27">
        <v>7</v>
      </c>
      <c r="R36" s="27"/>
      <c r="S36" s="27"/>
      <c r="T36" s="27">
        <v>7</v>
      </c>
      <c r="U36" s="27"/>
      <c r="V36" s="27"/>
      <c r="W36" s="27"/>
      <c r="X36" s="27">
        <v>7</v>
      </c>
      <c r="Y36" s="27"/>
      <c r="Z36" s="27"/>
      <c r="AA36" s="27"/>
      <c r="AB36" s="27"/>
      <c r="AC36" s="27"/>
      <c r="AD36" s="27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/>
      <c r="AR36" s="4"/>
      <c r="AS36" s="4"/>
      <c r="AT36" s="4"/>
      <c r="AU36" s="4"/>
      <c r="AV36" s="4"/>
      <c r="AW36" s="2"/>
      <c r="AX36" s="2"/>
      <c r="AY36" s="2"/>
      <c r="AZ36" s="2"/>
      <c r="BA36" s="2"/>
      <c r="BB36" s="2"/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>
        <f t="shared" si="3"/>
        <v>28</v>
      </c>
      <c r="BR36" s="1">
        <v>14</v>
      </c>
      <c r="BS36" s="17">
        <v>2</v>
      </c>
      <c r="BT36" s="17" t="s">
        <v>236</v>
      </c>
      <c r="BU36">
        <f t="shared" si="4"/>
        <v>21</v>
      </c>
      <c r="BV36" s="23">
        <f t="shared" si="5"/>
        <v>0</v>
      </c>
    </row>
    <row r="37" spans="1:74" s="42" customFormat="1" ht="27">
      <c r="A37" s="1"/>
      <c r="B37" s="1" t="s">
        <v>203</v>
      </c>
      <c r="C37" s="1" t="s">
        <v>106</v>
      </c>
      <c r="D37" s="1" t="s">
        <v>88</v>
      </c>
      <c r="E37" s="6"/>
      <c r="F37" s="6"/>
      <c r="G37" s="6"/>
      <c r="H37" s="6"/>
      <c r="I37" s="6"/>
      <c r="J37" s="6">
        <v>10</v>
      </c>
      <c r="K37" s="6"/>
      <c r="L37" s="6"/>
      <c r="M37" s="6"/>
      <c r="N37" s="6"/>
      <c r="O37" s="6"/>
      <c r="P37" s="27"/>
      <c r="Q37" s="27"/>
      <c r="R37" s="27"/>
      <c r="S37" s="27"/>
      <c r="T37" s="27"/>
      <c r="U37" s="27">
        <v>10</v>
      </c>
      <c r="V37" s="27"/>
      <c r="W37" s="27"/>
      <c r="X37" s="27"/>
      <c r="Y37" s="27"/>
      <c r="Z37" s="27"/>
      <c r="AA37" s="27">
        <v>10</v>
      </c>
      <c r="AB37" s="27"/>
      <c r="AC37" s="27"/>
      <c r="AD37" s="27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>
        <v>10</v>
      </c>
      <c r="AR37" s="4"/>
      <c r="AS37" s="4"/>
      <c r="AT37" s="4"/>
      <c r="AU37" s="4"/>
      <c r="AV37" s="4"/>
      <c r="AW37" s="2"/>
      <c r="AX37" s="2"/>
      <c r="AY37" s="2"/>
      <c r="AZ37" s="2"/>
      <c r="BA37" s="2"/>
      <c r="BB37" s="2"/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>
        <f t="shared" si="3"/>
        <v>40</v>
      </c>
      <c r="BR37" s="1">
        <v>16</v>
      </c>
      <c r="BS37" s="17">
        <v>2</v>
      </c>
      <c r="BT37" s="17" t="s">
        <v>217</v>
      </c>
      <c r="BU37">
        <f t="shared" si="4"/>
        <v>20</v>
      </c>
      <c r="BV37" s="23">
        <f t="shared" si="5"/>
        <v>0</v>
      </c>
    </row>
    <row r="38" spans="1:74" s="42" customFormat="1" ht="27">
      <c r="A38" s="1"/>
      <c r="B38" s="1" t="s">
        <v>197</v>
      </c>
      <c r="C38" s="1" t="s">
        <v>32</v>
      </c>
      <c r="D38" s="1" t="s">
        <v>153</v>
      </c>
      <c r="E38" s="6"/>
      <c r="F38" s="6"/>
      <c r="G38" s="6"/>
      <c r="H38" s="6"/>
      <c r="I38" s="6"/>
      <c r="J38" s="6">
        <v>10</v>
      </c>
      <c r="K38" s="6"/>
      <c r="L38" s="6"/>
      <c r="M38" s="6"/>
      <c r="N38" s="6"/>
      <c r="O38" s="6"/>
      <c r="P38" s="27"/>
      <c r="Q38" s="27"/>
      <c r="R38" s="27"/>
      <c r="S38" s="27"/>
      <c r="T38" s="27"/>
      <c r="U38" s="27">
        <v>10</v>
      </c>
      <c r="V38" s="27"/>
      <c r="W38" s="27"/>
      <c r="X38" s="27"/>
      <c r="Y38" s="27"/>
      <c r="Z38" s="27"/>
      <c r="AA38" s="27">
        <v>10</v>
      </c>
      <c r="AB38" s="27"/>
      <c r="AC38" s="27"/>
      <c r="AD38" s="27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>
        <v>10</v>
      </c>
      <c r="AR38" s="4"/>
      <c r="AS38" s="4"/>
      <c r="AT38" s="4"/>
      <c r="AU38" s="4"/>
      <c r="AV38" s="4"/>
      <c r="AW38" s="2"/>
      <c r="AX38" s="2"/>
      <c r="AY38" s="2"/>
      <c r="AZ38" s="2"/>
      <c r="BA38" s="2"/>
      <c r="BB38" s="2"/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>
        <f t="shared" si="3"/>
        <v>40</v>
      </c>
      <c r="BR38" s="1">
        <v>16</v>
      </c>
      <c r="BS38" s="17">
        <v>2</v>
      </c>
      <c r="BT38" s="17" t="s">
        <v>218</v>
      </c>
      <c r="BU38">
        <f t="shared" si="4"/>
        <v>20</v>
      </c>
      <c r="BV38" s="23">
        <f t="shared" si="5"/>
        <v>0</v>
      </c>
    </row>
    <row r="39" spans="1:74" s="42" customFormat="1" ht="27">
      <c r="A39" s="1"/>
      <c r="B39" s="3" t="s">
        <v>199</v>
      </c>
      <c r="C39" s="3" t="s">
        <v>108</v>
      </c>
      <c r="D39" s="1" t="s">
        <v>142</v>
      </c>
      <c r="E39" s="6"/>
      <c r="F39" s="6"/>
      <c r="G39" s="6"/>
      <c r="H39" s="6"/>
      <c r="I39" s="6"/>
      <c r="J39" s="6">
        <v>10</v>
      </c>
      <c r="K39" s="6"/>
      <c r="L39" s="6"/>
      <c r="M39" s="6"/>
      <c r="N39" s="6"/>
      <c r="O39" s="6"/>
      <c r="P39" s="27"/>
      <c r="Q39" s="27"/>
      <c r="R39" s="27"/>
      <c r="S39" s="27"/>
      <c r="T39" s="27"/>
      <c r="U39" s="27">
        <v>10</v>
      </c>
      <c r="V39" s="27"/>
      <c r="W39" s="27"/>
      <c r="X39" s="27"/>
      <c r="Y39" s="27"/>
      <c r="Z39" s="27"/>
      <c r="AA39" s="27">
        <v>10</v>
      </c>
      <c r="AB39" s="27"/>
      <c r="AC39" s="27"/>
      <c r="AD39" s="27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>
        <v>10</v>
      </c>
      <c r="AR39" s="4"/>
      <c r="AS39" s="4"/>
      <c r="AT39" s="4"/>
      <c r="AU39" s="4"/>
      <c r="AV39" s="4"/>
      <c r="AW39" s="2"/>
      <c r="AX39" s="2"/>
      <c r="AY39" s="2"/>
      <c r="AZ39" s="2"/>
      <c r="BA39" s="2"/>
      <c r="BB39" s="2"/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>
        <f t="shared" si="3"/>
        <v>40</v>
      </c>
      <c r="BR39" s="1">
        <v>16</v>
      </c>
      <c r="BS39" s="17">
        <v>2</v>
      </c>
      <c r="BT39" s="17" t="s">
        <v>219</v>
      </c>
      <c r="BU39">
        <f t="shared" si="4"/>
        <v>20</v>
      </c>
      <c r="BV39" s="23">
        <f t="shared" si="5"/>
        <v>0</v>
      </c>
    </row>
    <row r="40" spans="1:74" s="42" customFormat="1" ht="27">
      <c r="A40" s="1"/>
      <c r="B40" s="1" t="s">
        <v>166</v>
      </c>
      <c r="C40" s="1" t="s">
        <v>45</v>
      </c>
      <c r="D40" s="1" t="s">
        <v>151</v>
      </c>
      <c r="E40" s="6"/>
      <c r="F40" s="6"/>
      <c r="G40" s="6"/>
      <c r="H40" s="6"/>
      <c r="I40" s="6"/>
      <c r="J40" s="6"/>
      <c r="K40" s="6"/>
      <c r="L40" s="6">
        <v>10</v>
      </c>
      <c r="M40" s="6"/>
      <c r="N40" s="6"/>
      <c r="O40" s="6"/>
      <c r="P40" s="27"/>
      <c r="Q40" s="27"/>
      <c r="R40" s="27">
        <v>10</v>
      </c>
      <c r="S40" s="27"/>
      <c r="T40" s="27"/>
      <c r="U40" s="27">
        <v>10</v>
      </c>
      <c r="V40" s="27"/>
      <c r="W40" s="27"/>
      <c r="X40" s="27"/>
      <c r="Y40" s="27"/>
      <c r="Z40" s="27"/>
      <c r="AA40" s="27"/>
      <c r="AB40" s="27"/>
      <c r="AC40" s="27"/>
      <c r="AD40" s="27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/>
      <c r="AR40" s="4"/>
      <c r="AS40" s="4"/>
      <c r="AT40" s="4"/>
      <c r="AU40" s="4"/>
      <c r="AV40" s="4">
        <v>10</v>
      </c>
      <c r="AW40" s="2"/>
      <c r="AX40" s="2"/>
      <c r="AY40" s="2"/>
      <c r="AZ40" s="2"/>
      <c r="BA40" s="2"/>
      <c r="BB40" s="2"/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>
        <f t="shared" si="3"/>
        <v>40</v>
      </c>
      <c r="BR40" s="1">
        <v>19</v>
      </c>
      <c r="BS40" s="17">
        <v>2</v>
      </c>
      <c r="BT40" s="17" t="s">
        <v>214</v>
      </c>
      <c r="BU40">
        <f t="shared" si="4"/>
        <v>20</v>
      </c>
      <c r="BV40" s="23">
        <f t="shared" si="5"/>
        <v>0</v>
      </c>
    </row>
    <row r="41" spans="1:74" s="42" customFormat="1" ht="27">
      <c r="A41" s="1"/>
      <c r="B41" s="1" t="s">
        <v>164</v>
      </c>
      <c r="C41" s="1" t="s">
        <v>45</v>
      </c>
      <c r="D41" s="1" t="s">
        <v>153</v>
      </c>
      <c r="E41" s="6"/>
      <c r="F41" s="6"/>
      <c r="G41" s="6"/>
      <c r="H41" s="6"/>
      <c r="I41" s="6"/>
      <c r="J41" s="6"/>
      <c r="K41" s="6"/>
      <c r="L41" s="6">
        <v>10</v>
      </c>
      <c r="M41" s="6"/>
      <c r="N41" s="6"/>
      <c r="O41" s="6"/>
      <c r="P41" s="27"/>
      <c r="Q41" s="27"/>
      <c r="R41" s="27">
        <v>10</v>
      </c>
      <c r="S41" s="27"/>
      <c r="T41" s="27"/>
      <c r="U41" s="27">
        <v>10</v>
      </c>
      <c r="V41" s="27"/>
      <c r="W41" s="27"/>
      <c r="X41" s="27"/>
      <c r="Y41" s="27"/>
      <c r="Z41" s="27"/>
      <c r="AA41" s="27"/>
      <c r="AB41" s="27"/>
      <c r="AC41" s="27"/>
      <c r="AD41" s="27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/>
      <c r="AS41" s="4"/>
      <c r="AT41" s="4"/>
      <c r="AU41" s="4"/>
      <c r="AV41" s="4">
        <v>10</v>
      </c>
      <c r="AW41" s="2"/>
      <c r="AX41" s="2"/>
      <c r="AY41" s="2"/>
      <c r="AZ41" s="2"/>
      <c r="BA41" s="2"/>
      <c r="BB41" s="2"/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>
        <f t="shared" si="3"/>
        <v>40</v>
      </c>
      <c r="BR41" s="1">
        <v>19</v>
      </c>
      <c r="BS41" s="17">
        <v>2</v>
      </c>
      <c r="BT41" s="17" t="s">
        <v>215</v>
      </c>
      <c r="BU41">
        <f t="shared" si="4"/>
        <v>20</v>
      </c>
      <c r="BV41" s="23">
        <f t="shared" si="5"/>
        <v>0</v>
      </c>
    </row>
    <row r="42" spans="1:74" s="42" customFormat="1" ht="27">
      <c r="A42" s="1"/>
      <c r="B42" s="1" t="s">
        <v>173</v>
      </c>
      <c r="C42" s="1" t="s">
        <v>102</v>
      </c>
      <c r="D42" s="1" t="s">
        <v>88</v>
      </c>
      <c r="E42" s="6">
        <v>10</v>
      </c>
      <c r="F42" s="6"/>
      <c r="G42" s="6"/>
      <c r="H42" s="6"/>
      <c r="I42" s="6"/>
      <c r="J42" s="6"/>
      <c r="K42" s="6"/>
      <c r="L42" s="6"/>
      <c r="M42" s="6"/>
      <c r="N42" s="6"/>
      <c r="O42" s="6"/>
      <c r="P42" s="27"/>
      <c r="Q42" s="27"/>
      <c r="R42" s="27">
        <v>10</v>
      </c>
      <c r="S42" s="27"/>
      <c r="T42" s="27"/>
      <c r="U42" s="27">
        <v>10</v>
      </c>
      <c r="V42" s="27"/>
      <c r="W42" s="27"/>
      <c r="X42" s="27"/>
      <c r="Y42" s="27"/>
      <c r="Z42" s="27"/>
      <c r="AA42" s="27"/>
      <c r="AB42" s="27"/>
      <c r="AC42" s="27"/>
      <c r="AD42" s="27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/>
      <c r="AS42" s="4"/>
      <c r="AT42" s="4"/>
      <c r="AU42" s="4">
        <v>10</v>
      </c>
      <c r="AV42" s="4"/>
      <c r="AW42" s="2"/>
      <c r="AX42" s="2"/>
      <c r="AY42" s="2"/>
      <c r="AZ42" s="2"/>
      <c r="BA42" s="2"/>
      <c r="BB42" s="2"/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>
        <f t="shared" si="3"/>
        <v>40</v>
      </c>
      <c r="BR42" s="1">
        <v>19</v>
      </c>
      <c r="BS42" s="17">
        <v>2</v>
      </c>
      <c r="BT42" s="17" t="s">
        <v>215</v>
      </c>
      <c r="BU42">
        <f t="shared" si="4"/>
        <v>20</v>
      </c>
      <c r="BV42" s="23">
        <f t="shared" si="5"/>
        <v>0</v>
      </c>
    </row>
    <row r="43" spans="1:74" s="42" customFormat="1" ht="27">
      <c r="A43" s="1"/>
      <c r="B43" s="1" t="s">
        <v>204</v>
      </c>
      <c r="C43" s="1" t="s">
        <v>105</v>
      </c>
      <c r="D43" s="1" t="s">
        <v>88</v>
      </c>
      <c r="E43" s="6">
        <v>10</v>
      </c>
      <c r="F43" s="6"/>
      <c r="G43" s="6"/>
      <c r="H43" s="6"/>
      <c r="I43" s="6"/>
      <c r="J43" s="6"/>
      <c r="K43" s="6"/>
      <c r="L43" s="6"/>
      <c r="M43" s="6"/>
      <c r="N43" s="6"/>
      <c r="O43" s="6"/>
      <c r="P43" s="27"/>
      <c r="Q43" s="27"/>
      <c r="R43" s="27">
        <v>10</v>
      </c>
      <c r="S43" s="27"/>
      <c r="T43" s="27"/>
      <c r="U43" s="27">
        <v>10</v>
      </c>
      <c r="V43" s="27"/>
      <c r="W43" s="27"/>
      <c r="X43" s="27"/>
      <c r="Y43" s="27"/>
      <c r="Z43" s="27"/>
      <c r="AA43" s="27"/>
      <c r="AB43" s="27"/>
      <c r="AC43" s="27"/>
      <c r="AD43" s="27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/>
      <c r="AS43" s="4"/>
      <c r="AT43" s="4"/>
      <c r="AU43" s="4">
        <v>10</v>
      </c>
      <c r="AV43" s="4"/>
      <c r="AW43" s="2"/>
      <c r="AX43" s="2"/>
      <c r="AY43" s="2"/>
      <c r="AZ43" s="2"/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>
        <f t="shared" si="3"/>
        <v>40</v>
      </c>
      <c r="BR43" s="1">
        <v>19</v>
      </c>
      <c r="BS43" s="17">
        <v>2</v>
      </c>
      <c r="BT43" s="17" t="s">
        <v>215</v>
      </c>
      <c r="BU43">
        <f t="shared" si="4"/>
        <v>20</v>
      </c>
      <c r="BV43" s="23">
        <f t="shared" si="5"/>
        <v>0</v>
      </c>
    </row>
    <row r="44" spans="1:74" s="42" customFormat="1" ht="27">
      <c r="A44" s="29"/>
      <c r="B44" s="29" t="s">
        <v>163</v>
      </c>
      <c r="C44" s="29" t="s">
        <v>108</v>
      </c>
      <c r="D44" s="29" t="s">
        <v>88</v>
      </c>
      <c r="E44" s="30">
        <v>10</v>
      </c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1"/>
      <c r="Q44" s="31"/>
      <c r="R44" s="31">
        <v>10</v>
      </c>
      <c r="S44" s="31"/>
      <c r="T44" s="31"/>
      <c r="U44" s="31">
        <v>10</v>
      </c>
      <c r="V44" s="31"/>
      <c r="W44" s="31"/>
      <c r="X44" s="31"/>
      <c r="Y44" s="31"/>
      <c r="Z44" s="31"/>
      <c r="AA44" s="31"/>
      <c r="AB44" s="31"/>
      <c r="AC44" s="31"/>
      <c r="AD44" s="31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32"/>
      <c r="AR44" s="32"/>
      <c r="AS44" s="32"/>
      <c r="AT44" s="32"/>
      <c r="AU44" s="32">
        <v>10</v>
      </c>
      <c r="AV44" s="32"/>
      <c r="AW44" s="33"/>
      <c r="AX44" s="33"/>
      <c r="AY44" s="33"/>
      <c r="AZ44" s="33"/>
      <c r="BA44" s="33"/>
      <c r="BB44" s="33"/>
      <c r="BC44" s="34"/>
      <c r="BD44" s="29"/>
      <c r="BE44" s="29"/>
      <c r="BF44" s="29"/>
      <c r="BG44" s="29"/>
      <c r="BH44" s="29"/>
      <c r="BI44" s="29"/>
      <c r="BJ44" s="29"/>
      <c r="BK44" s="29"/>
      <c r="BL44" s="29"/>
      <c r="BM44" s="29"/>
      <c r="BN44" s="29"/>
      <c r="BO44" s="29"/>
      <c r="BP44" s="29"/>
      <c r="BQ44" s="29">
        <f t="shared" si="3"/>
        <v>40</v>
      </c>
      <c r="BR44" s="29">
        <v>19</v>
      </c>
      <c r="BS44" s="35">
        <v>2</v>
      </c>
      <c r="BT44" s="35" t="s">
        <v>215</v>
      </c>
      <c r="BU44">
        <f t="shared" si="4"/>
        <v>20</v>
      </c>
      <c r="BV44" s="23">
        <f t="shared" si="5"/>
        <v>0</v>
      </c>
    </row>
    <row r="45" spans="1:74" s="42" customFormat="1" ht="27">
      <c r="A45" s="1"/>
      <c r="B45" s="3" t="s">
        <v>148</v>
      </c>
      <c r="C45" s="3" t="s">
        <v>43</v>
      </c>
      <c r="D45" s="1" t="s">
        <v>142</v>
      </c>
      <c r="E45" s="6">
        <v>10</v>
      </c>
      <c r="F45" s="6"/>
      <c r="G45" s="6"/>
      <c r="H45" s="6"/>
      <c r="I45" s="6"/>
      <c r="J45" s="6"/>
      <c r="K45" s="6"/>
      <c r="L45" s="6"/>
      <c r="M45" s="6"/>
      <c r="N45" s="6"/>
      <c r="O45" s="6"/>
      <c r="P45" s="27"/>
      <c r="Q45" s="27"/>
      <c r="R45" s="27">
        <v>10</v>
      </c>
      <c r="S45" s="27"/>
      <c r="T45" s="27"/>
      <c r="U45" s="27">
        <v>10</v>
      </c>
      <c r="V45" s="27"/>
      <c r="W45" s="27"/>
      <c r="X45" s="27"/>
      <c r="Y45" s="27"/>
      <c r="Z45" s="27"/>
      <c r="AA45" s="27"/>
      <c r="AB45" s="27"/>
      <c r="AC45" s="27"/>
      <c r="AD45" s="27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/>
      <c r="AT45" s="4"/>
      <c r="AU45" s="4">
        <v>10</v>
      </c>
      <c r="AV45" s="4"/>
      <c r="AW45" s="2"/>
      <c r="AX45" s="2"/>
      <c r="AY45" s="2"/>
      <c r="AZ45" s="2"/>
      <c r="BA45" s="2"/>
      <c r="BB45" s="2"/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>
        <f t="shared" si="3"/>
        <v>40</v>
      </c>
      <c r="BR45" s="1">
        <v>19</v>
      </c>
      <c r="BS45" s="17">
        <v>2</v>
      </c>
      <c r="BT45" s="17" t="s">
        <v>215</v>
      </c>
      <c r="BU45">
        <f t="shared" si="4"/>
        <v>20</v>
      </c>
      <c r="BV45" s="23">
        <f t="shared" si="5"/>
        <v>0</v>
      </c>
    </row>
    <row r="46" spans="1:74" s="42" customFormat="1" ht="27">
      <c r="A46" s="1"/>
      <c r="B46" s="1" t="s">
        <v>165</v>
      </c>
      <c r="C46" s="1" t="s">
        <v>45</v>
      </c>
      <c r="D46" s="1" t="s">
        <v>151</v>
      </c>
      <c r="E46" s="6">
        <v>10</v>
      </c>
      <c r="F46" s="6"/>
      <c r="G46" s="6"/>
      <c r="H46" s="6"/>
      <c r="I46" s="6"/>
      <c r="J46" s="6"/>
      <c r="K46" s="6"/>
      <c r="L46" s="6"/>
      <c r="M46" s="6"/>
      <c r="N46" s="6"/>
      <c r="O46" s="6"/>
      <c r="P46" s="27"/>
      <c r="Q46" s="27"/>
      <c r="R46" s="27">
        <v>10</v>
      </c>
      <c r="S46" s="27"/>
      <c r="T46" s="27"/>
      <c r="U46" s="27">
        <v>10</v>
      </c>
      <c r="V46" s="27"/>
      <c r="W46" s="27"/>
      <c r="X46" s="27"/>
      <c r="Y46" s="27"/>
      <c r="Z46" s="27"/>
      <c r="AA46" s="27"/>
      <c r="AB46" s="27"/>
      <c r="AC46" s="27"/>
      <c r="AD46" s="27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4"/>
      <c r="AR46" s="4"/>
      <c r="AS46" s="4"/>
      <c r="AT46" s="4"/>
      <c r="AU46" s="4">
        <v>10</v>
      </c>
      <c r="AV46" s="4"/>
      <c r="AW46" s="2"/>
      <c r="AX46" s="2"/>
      <c r="AY46" s="2"/>
      <c r="AZ46" s="2"/>
      <c r="BA46" s="2"/>
      <c r="BB46" s="2"/>
      <c r="BC46" s="14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>
        <f t="shared" si="3"/>
        <v>40</v>
      </c>
      <c r="BR46" s="1">
        <v>19</v>
      </c>
      <c r="BS46" s="17">
        <v>2</v>
      </c>
      <c r="BT46" s="17" t="s">
        <v>215</v>
      </c>
      <c r="BU46">
        <f t="shared" si="4"/>
        <v>20</v>
      </c>
      <c r="BV46" s="23">
        <f t="shared" si="5"/>
        <v>0</v>
      </c>
    </row>
    <row r="47" spans="1:74" s="42" customFormat="1" ht="27">
      <c r="A47" s="1"/>
      <c r="B47" s="3" t="s">
        <v>202</v>
      </c>
      <c r="C47" s="3" t="s">
        <v>108</v>
      </c>
      <c r="D47" s="1" t="s">
        <v>142</v>
      </c>
      <c r="E47" s="6">
        <v>10</v>
      </c>
      <c r="F47" s="6"/>
      <c r="G47" s="6"/>
      <c r="H47" s="6"/>
      <c r="I47" s="6"/>
      <c r="J47" s="6"/>
      <c r="K47" s="6"/>
      <c r="L47" s="6"/>
      <c r="M47" s="6"/>
      <c r="N47" s="6"/>
      <c r="O47" s="6"/>
      <c r="P47" s="27"/>
      <c r="Q47" s="27"/>
      <c r="R47" s="27">
        <v>10</v>
      </c>
      <c r="S47" s="27"/>
      <c r="T47" s="27"/>
      <c r="U47" s="27">
        <v>10</v>
      </c>
      <c r="V47" s="27"/>
      <c r="W47" s="27"/>
      <c r="X47" s="27"/>
      <c r="Y47" s="27"/>
      <c r="Z47" s="27"/>
      <c r="AA47" s="27"/>
      <c r="AB47" s="27"/>
      <c r="AC47" s="27"/>
      <c r="AD47" s="27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/>
      <c r="AU47" s="4">
        <v>10</v>
      </c>
      <c r="AV47" s="4"/>
      <c r="AW47" s="2"/>
      <c r="AX47" s="2"/>
      <c r="AY47" s="2"/>
      <c r="AZ47" s="2"/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>
        <f t="shared" si="3"/>
        <v>40</v>
      </c>
      <c r="BR47" s="1">
        <v>19</v>
      </c>
      <c r="BS47" s="17">
        <v>2</v>
      </c>
      <c r="BT47" s="17" t="s">
        <v>216</v>
      </c>
      <c r="BU47">
        <f t="shared" si="4"/>
        <v>20</v>
      </c>
      <c r="BV47" s="23">
        <f t="shared" si="5"/>
        <v>0</v>
      </c>
    </row>
    <row r="48" spans="1:74" s="42" customFormat="1" ht="27">
      <c r="A48" s="1"/>
      <c r="B48" s="1" t="s">
        <v>97</v>
      </c>
      <c r="C48" s="1" t="s">
        <v>85</v>
      </c>
      <c r="D48" s="1" t="s">
        <v>88</v>
      </c>
      <c r="E48" s="6"/>
      <c r="F48" s="6"/>
      <c r="G48" s="6"/>
      <c r="H48" s="6"/>
      <c r="I48" s="6"/>
      <c r="J48" s="6"/>
      <c r="K48" s="6"/>
      <c r="L48" s="6"/>
      <c r="M48" s="6"/>
      <c r="N48" s="6"/>
      <c r="O48" s="6">
        <v>10</v>
      </c>
      <c r="P48" s="27"/>
      <c r="Q48" s="27"/>
      <c r="R48" s="27">
        <v>10</v>
      </c>
      <c r="S48" s="27"/>
      <c r="T48" s="27"/>
      <c r="U48" s="27"/>
      <c r="V48" s="27"/>
      <c r="W48" s="27"/>
      <c r="X48" s="27">
        <v>10</v>
      </c>
      <c r="Y48" s="27"/>
      <c r="Z48" s="27"/>
      <c r="AA48" s="27"/>
      <c r="AB48" s="27"/>
      <c r="AC48" s="27"/>
      <c r="AD48" s="27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/>
      <c r="AR48" s="4"/>
      <c r="AS48" s="4">
        <v>10</v>
      </c>
      <c r="AT48" s="4"/>
      <c r="AU48" s="4"/>
      <c r="AV48" s="4"/>
      <c r="AW48" s="2"/>
      <c r="AX48" s="2"/>
      <c r="AY48" s="2"/>
      <c r="AZ48" s="2"/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>
        <f t="shared" si="3"/>
        <v>40</v>
      </c>
      <c r="BR48" s="1">
        <v>19</v>
      </c>
      <c r="BS48" s="17">
        <v>2</v>
      </c>
      <c r="BT48" s="17" t="s">
        <v>241</v>
      </c>
      <c r="BU48">
        <f t="shared" si="4"/>
        <v>20</v>
      </c>
      <c r="BV48" s="23">
        <f t="shared" si="5"/>
        <v>0</v>
      </c>
    </row>
    <row r="49" spans="1:74" s="42" customFormat="1" ht="27">
      <c r="A49" s="1"/>
      <c r="B49" s="3" t="s">
        <v>177</v>
      </c>
      <c r="C49" s="3" t="s">
        <v>84</v>
      </c>
      <c r="D49" s="1" t="s">
        <v>142</v>
      </c>
      <c r="E49" s="6"/>
      <c r="F49" s="6"/>
      <c r="G49" s="6"/>
      <c r="H49" s="6"/>
      <c r="I49" s="6">
        <v>10</v>
      </c>
      <c r="J49" s="6"/>
      <c r="K49" s="6"/>
      <c r="L49" s="6"/>
      <c r="M49" s="6"/>
      <c r="N49" s="6"/>
      <c r="O49" s="6"/>
      <c r="P49" s="27"/>
      <c r="Q49" s="27"/>
      <c r="R49" s="27">
        <v>10</v>
      </c>
      <c r="S49" s="27"/>
      <c r="T49" s="27"/>
      <c r="U49" s="27"/>
      <c r="V49" s="27"/>
      <c r="W49" s="27"/>
      <c r="X49" s="27">
        <v>10</v>
      </c>
      <c r="Y49" s="27"/>
      <c r="Z49" s="27"/>
      <c r="AA49" s="27"/>
      <c r="AB49" s="27"/>
      <c r="AC49" s="27"/>
      <c r="AD49" s="27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/>
      <c r="AR49" s="4"/>
      <c r="AS49" s="4"/>
      <c r="AT49" s="4">
        <v>10</v>
      </c>
      <c r="AU49" s="4"/>
      <c r="AV49" s="4"/>
      <c r="AW49" s="2"/>
      <c r="AX49" s="2"/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>
        <f t="shared" si="3"/>
        <v>40</v>
      </c>
      <c r="BR49" s="1">
        <v>19</v>
      </c>
      <c r="BS49" s="17">
        <v>2</v>
      </c>
      <c r="BT49" s="17" t="s">
        <v>241</v>
      </c>
      <c r="BU49">
        <f t="shared" si="4"/>
        <v>20</v>
      </c>
      <c r="BV49" s="23">
        <f t="shared" si="5"/>
        <v>0</v>
      </c>
    </row>
    <row r="50" spans="1:74" s="42" customFormat="1" ht="27">
      <c r="A50" s="1"/>
      <c r="B50" s="1" t="s">
        <v>198</v>
      </c>
      <c r="C50" s="1" t="s">
        <v>43</v>
      </c>
      <c r="D50" s="1" t="s">
        <v>151</v>
      </c>
      <c r="E50" s="6"/>
      <c r="F50" s="6"/>
      <c r="G50" s="6"/>
      <c r="H50" s="6"/>
      <c r="I50" s="6">
        <v>10</v>
      </c>
      <c r="J50" s="6"/>
      <c r="K50" s="6"/>
      <c r="L50" s="6"/>
      <c r="M50" s="6"/>
      <c r="N50" s="6"/>
      <c r="O50" s="6"/>
      <c r="P50" s="27"/>
      <c r="Q50" s="27"/>
      <c r="R50" s="27">
        <v>10</v>
      </c>
      <c r="S50" s="27"/>
      <c r="T50" s="27"/>
      <c r="U50" s="27"/>
      <c r="V50" s="27"/>
      <c r="W50" s="27"/>
      <c r="X50" s="27">
        <v>10</v>
      </c>
      <c r="Y50" s="27"/>
      <c r="Z50" s="27"/>
      <c r="AA50" s="27"/>
      <c r="AB50" s="27"/>
      <c r="AC50" s="27"/>
      <c r="AD50" s="27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/>
      <c r="AS50" s="4"/>
      <c r="AT50" s="4">
        <v>10</v>
      </c>
      <c r="AU50" s="4"/>
      <c r="AV50" s="4"/>
      <c r="AW50" s="2"/>
      <c r="AX50" s="2"/>
      <c r="AY50" s="2"/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>
        <f t="shared" si="3"/>
        <v>40</v>
      </c>
      <c r="BR50" s="1">
        <v>19</v>
      </c>
      <c r="BS50" s="17">
        <v>2</v>
      </c>
      <c r="BT50" s="17" t="s">
        <v>241</v>
      </c>
      <c r="BU50">
        <f t="shared" si="4"/>
        <v>20</v>
      </c>
      <c r="BV50" s="23">
        <f t="shared" si="5"/>
        <v>0</v>
      </c>
    </row>
    <row r="51" spans="1:74" s="42" customFormat="1" ht="27">
      <c r="A51" s="1"/>
      <c r="B51" s="1" t="s">
        <v>179</v>
      </c>
      <c r="C51" s="1" t="s">
        <v>45</v>
      </c>
      <c r="D51" s="1" t="s">
        <v>151</v>
      </c>
      <c r="E51" s="6"/>
      <c r="F51" s="6"/>
      <c r="G51" s="6"/>
      <c r="H51" s="6"/>
      <c r="I51" s="6">
        <v>10</v>
      </c>
      <c r="J51" s="6"/>
      <c r="K51" s="6"/>
      <c r="L51" s="6"/>
      <c r="M51" s="6"/>
      <c r="N51" s="6"/>
      <c r="O51" s="6"/>
      <c r="P51" s="27"/>
      <c r="Q51" s="27"/>
      <c r="R51" s="27">
        <v>10</v>
      </c>
      <c r="S51" s="27"/>
      <c r="T51" s="27"/>
      <c r="U51" s="27"/>
      <c r="V51" s="27"/>
      <c r="W51" s="27"/>
      <c r="X51" s="27">
        <v>10</v>
      </c>
      <c r="Y51" s="27"/>
      <c r="Z51" s="27"/>
      <c r="AA51" s="27"/>
      <c r="AB51" s="27"/>
      <c r="AC51" s="27"/>
      <c r="AD51" s="27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/>
      <c r="AR51" s="4"/>
      <c r="AS51" s="4"/>
      <c r="AT51" s="4">
        <v>10</v>
      </c>
      <c r="AU51" s="4"/>
      <c r="AV51" s="4"/>
      <c r="AW51" s="2"/>
      <c r="AX51" s="2"/>
      <c r="AY51" s="2"/>
      <c r="AZ51" s="2"/>
      <c r="BA51" s="2"/>
      <c r="BB51" s="2"/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>
        <f t="shared" si="3"/>
        <v>40</v>
      </c>
      <c r="BR51" s="1">
        <v>19</v>
      </c>
      <c r="BS51" s="17">
        <v>2</v>
      </c>
      <c r="BT51" s="17" t="s">
        <v>242</v>
      </c>
      <c r="BU51">
        <f t="shared" si="4"/>
        <v>20</v>
      </c>
      <c r="BV51" s="23">
        <f t="shared" si="5"/>
        <v>0</v>
      </c>
    </row>
    <row r="52" spans="1:74" s="42" customFormat="1" ht="27">
      <c r="A52" s="1"/>
      <c r="B52" s="3" t="s">
        <v>201</v>
      </c>
      <c r="C52" s="3" t="s">
        <v>108</v>
      </c>
      <c r="D52" s="1" t="s">
        <v>142</v>
      </c>
      <c r="E52" s="6"/>
      <c r="F52" s="6"/>
      <c r="G52" s="6"/>
      <c r="H52" s="6"/>
      <c r="I52" s="6">
        <v>10</v>
      </c>
      <c r="J52" s="6"/>
      <c r="K52" s="6"/>
      <c r="L52" s="6"/>
      <c r="M52" s="6"/>
      <c r="N52" s="6"/>
      <c r="O52" s="6"/>
      <c r="P52" s="27"/>
      <c r="Q52" s="27"/>
      <c r="R52" s="27">
        <v>10</v>
      </c>
      <c r="S52" s="27"/>
      <c r="T52" s="27"/>
      <c r="U52" s="27"/>
      <c r="V52" s="27"/>
      <c r="W52" s="27"/>
      <c r="X52" s="27">
        <v>10</v>
      </c>
      <c r="Y52" s="27"/>
      <c r="Z52" s="27"/>
      <c r="AA52" s="27"/>
      <c r="AB52" s="27"/>
      <c r="AC52" s="27"/>
      <c r="AD52" s="27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/>
      <c r="AT52" s="4">
        <v>10</v>
      </c>
      <c r="AU52" s="4"/>
      <c r="AV52" s="4"/>
      <c r="AW52" s="2"/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>
        <f t="shared" si="3"/>
        <v>40</v>
      </c>
      <c r="BR52" s="1">
        <v>19</v>
      </c>
      <c r="BS52" s="17">
        <v>2</v>
      </c>
      <c r="BT52" s="17" t="s">
        <v>242</v>
      </c>
      <c r="BU52">
        <f t="shared" si="4"/>
        <v>20</v>
      </c>
      <c r="BV52" s="23">
        <f t="shared" si="5"/>
        <v>0</v>
      </c>
    </row>
    <row r="53" spans="1:74" s="42" customFormat="1" ht="27">
      <c r="A53" s="1"/>
      <c r="B53" s="3" t="s">
        <v>190</v>
      </c>
      <c r="C53" s="3" t="s">
        <v>185</v>
      </c>
      <c r="D53" s="1" t="s">
        <v>142</v>
      </c>
      <c r="E53" s="6"/>
      <c r="F53" s="6"/>
      <c r="G53" s="6"/>
      <c r="H53" s="6"/>
      <c r="I53" s="6">
        <v>10</v>
      </c>
      <c r="J53" s="6"/>
      <c r="K53" s="6"/>
      <c r="L53" s="6"/>
      <c r="M53" s="6"/>
      <c r="N53" s="6"/>
      <c r="O53" s="6"/>
      <c r="P53" s="27"/>
      <c r="Q53" s="27"/>
      <c r="R53" s="27">
        <v>10</v>
      </c>
      <c r="S53" s="27"/>
      <c r="T53" s="27"/>
      <c r="U53" s="27"/>
      <c r="V53" s="27"/>
      <c r="W53" s="27"/>
      <c r="X53" s="27">
        <v>10</v>
      </c>
      <c r="Y53" s="27"/>
      <c r="Z53" s="27"/>
      <c r="AA53" s="27"/>
      <c r="AB53" s="27"/>
      <c r="AC53" s="27"/>
      <c r="AD53" s="27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>
        <v>10</v>
      </c>
      <c r="AU53" s="4"/>
      <c r="AV53" s="4"/>
      <c r="AW53" s="2"/>
      <c r="AX53" s="2"/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>
        <f t="shared" si="3"/>
        <v>40</v>
      </c>
      <c r="BR53" s="1">
        <v>19</v>
      </c>
      <c r="BS53" s="17">
        <v>2</v>
      </c>
      <c r="BT53" s="17" t="s">
        <v>241</v>
      </c>
      <c r="BU53">
        <f t="shared" si="4"/>
        <v>20</v>
      </c>
      <c r="BV53" s="23">
        <f t="shared" si="5"/>
        <v>0</v>
      </c>
    </row>
    <row r="54" spans="1:74" s="42" customFormat="1" ht="27">
      <c r="A54" s="1"/>
      <c r="B54" s="3" t="s">
        <v>194</v>
      </c>
      <c r="C54" s="3" t="s">
        <v>45</v>
      </c>
      <c r="D54" s="1" t="s">
        <v>195</v>
      </c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27"/>
      <c r="Q54" s="27"/>
      <c r="R54" s="27"/>
      <c r="S54" s="27"/>
      <c r="T54" s="27"/>
      <c r="U54" s="27"/>
      <c r="V54" s="27"/>
      <c r="W54" s="27"/>
      <c r="X54" s="27"/>
      <c r="Y54" s="27"/>
      <c r="Z54" s="27"/>
      <c r="AA54" s="27"/>
      <c r="AB54" s="27"/>
      <c r="AC54" s="27"/>
      <c r="AD54" s="27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>
        <v>40</v>
      </c>
      <c r="AS54" s="4"/>
      <c r="AT54" s="4"/>
      <c r="AU54" s="4"/>
      <c r="AV54" s="4"/>
      <c r="AW54" s="2"/>
      <c r="AX54" s="2">
        <v>40</v>
      </c>
      <c r="AY54" s="2"/>
      <c r="AZ54" s="2">
        <v>40</v>
      </c>
      <c r="BA54" s="2"/>
      <c r="BB54" s="2"/>
      <c r="BC54" s="14">
        <v>10</v>
      </c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>
        <f t="shared" si="3"/>
        <v>130</v>
      </c>
      <c r="BR54" s="1">
        <v>25</v>
      </c>
      <c r="BS54" s="17">
        <v>2</v>
      </c>
      <c r="BT54" s="17" t="s">
        <v>243</v>
      </c>
      <c r="BU54">
        <f t="shared" si="4"/>
        <v>0</v>
      </c>
      <c r="BV54" s="23">
        <f t="shared" si="5"/>
        <v>0</v>
      </c>
    </row>
    <row r="55" spans="1:74" s="42" customFormat="1" ht="40.5">
      <c r="A55" s="1"/>
      <c r="B55" s="3" t="s">
        <v>200</v>
      </c>
      <c r="C55" s="3" t="s">
        <v>43</v>
      </c>
      <c r="D55" s="1" t="s">
        <v>0</v>
      </c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27"/>
      <c r="Q55" s="27"/>
      <c r="R55" s="27">
        <v>2</v>
      </c>
      <c r="S55" s="27"/>
      <c r="T55" s="27"/>
      <c r="U55" s="27">
        <v>2</v>
      </c>
      <c r="V55" s="27"/>
      <c r="W55" s="27"/>
      <c r="X55" s="27">
        <v>2</v>
      </c>
      <c r="Y55" s="27"/>
      <c r="Z55" s="27">
        <v>5</v>
      </c>
      <c r="AA55" s="27"/>
      <c r="AB55" s="27"/>
      <c r="AC55" s="27"/>
      <c r="AD55" s="27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/>
      <c r="AS55" s="4"/>
      <c r="AT55" s="4"/>
      <c r="AU55" s="4"/>
      <c r="AV55" s="4"/>
      <c r="AW55" s="2"/>
      <c r="AX55" s="2"/>
      <c r="AY55" s="2"/>
      <c r="AZ55" s="2"/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>
        <f t="shared" si="3"/>
        <v>11</v>
      </c>
      <c r="BR55" s="1">
        <v>5</v>
      </c>
      <c r="BS55" s="17">
        <v>3</v>
      </c>
      <c r="BT55" s="17" t="s">
        <v>224</v>
      </c>
      <c r="BU55">
        <f t="shared" si="4"/>
        <v>11</v>
      </c>
      <c r="BV55" s="23">
        <f t="shared" si="5"/>
        <v>0</v>
      </c>
    </row>
    <row r="56" spans="1:74" s="42" customFormat="1" ht="40.5">
      <c r="A56" s="1"/>
      <c r="B56" s="3" t="s">
        <v>168</v>
      </c>
      <c r="C56" s="3" t="s">
        <v>160</v>
      </c>
      <c r="D56" s="1" t="s">
        <v>0</v>
      </c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27"/>
      <c r="Q56" s="27"/>
      <c r="R56" s="27">
        <v>2</v>
      </c>
      <c r="S56" s="27"/>
      <c r="T56" s="27"/>
      <c r="U56" s="27">
        <v>2</v>
      </c>
      <c r="V56" s="27"/>
      <c r="W56" s="27"/>
      <c r="X56" s="27"/>
      <c r="Y56" s="27"/>
      <c r="Z56" s="27"/>
      <c r="AA56" s="27"/>
      <c r="AB56" s="27"/>
      <c r="AC56" s="27">
        <v>5</v>
      </c>
      <c r="AD56" s="27">
        <v>2</v>
      </c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/>
      <c r="AU56" s="4"/>
      <c r="AV56" s="4"/>
      <c r="AW56" s="2"/>
      <c r="AX56" s="2"/>
      <c r="AY56" s="2"/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>
        <f t="shared" si="3"/>
        <v>11</v>
      </c>
      <c r="BR56" s="1">
        <v>6</v>
      </c>
      <c r="BS56" s="17">
        <v>3</v>
      </c>
      <c r="BT56" s="17" t="s">
        <v>226</v>
      </c>
      <c r="BU56">
        <f t="shared" si="4"/>
        <v>11</v>
      </c>
      <c r="BV56" s="23">
        <f t="shared" si="5"/>
        <v>0</v>
      </c>
    </row>
    <row r="57" spans="1:74" s="42" customFormat="1" ht="40.5">
      <c r="A57" s="1"/>
      <c r="B57" s="3" t="s">
        <v>201</v>
      </c>
      <c r="C57" s="3" t="s">
        <v>108</v>
      </c>
      <c r="D57" s="1" t="s">
        <v>0</v>
      </c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27"/>
      <c r="Q57" s="27"/>
      <c r="R57" s="27">
        <v>2</v>
      </c>
      <c r="S57" s="27"/>
      <c r="T57" s="27"/>
      <c r="U57" s="27">
        <v>2</v>
      </c>
      <c r="V57" s="27"/>
      <c r="W57" s="27"/>
      <c r="X57" s="27"/>
      <c r="Y57" s="27"/>
      <c r="Z57" s="27"/>
      <c r="AA57" s="27"/>
      <c r="AB57" s="27"/>
      <c r="AC57" s="27">
        <v>5</v>
      </c>
      <c r="AD57" s="27">
        <v>2</v>
      </c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/>
      <c r="AV57" s="4"/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>
        <f t="shared" si="3"/>
        <v>11</v>
      </c>
      <c r="BR57" s="1">
        <v>6</v>
      </c>
      <c r="BS57" s="17">
        <v>3</v>
      </c>
      <c r="BT57" s="17" t="s">
        <v>227</v>
      </c>
      <c r="BU57">
        <f t="shared" si="4"/>
        <v>11</v>
      </c>
      <c r="BV57" s="23">
        <f t="shared" si="5"/>
        <v>0</v>
      </c>
    </row>
    <row r="58" spans="1:74" s="42" customFormat="1" ht="40.5">
      <c r="A58" s="1">
        <v>28</v>
      </c>
      <c r="B58" s="1" t="s">
        <v>50</v>
      </c>
      <c r="C58" s="1" t="s">
        <v>21</v>
      </c>
      <c r="D58" s="1" t="s">
        <v>0</v>
      </c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C58" s="27"/>
      <c r="AD58" s="27"/>
      <c r="AE58" s="1"/>
      <c r="AF58" s="1"/>
      <c r="AG58" s="1"/>
      <c r="AH58" s="1">
        <v>5</v>
      </c>
      <c r="AI58" s="1">
        <v>5</v>
      </c>
      <c r="AJ58" s="1">
        <v>5</v>
      </c>
      <c r="AK58" s="1"/>
      <c r="AL58" s="1"/>
      <c r="AM58" s="1"/>
      <c r="AN58" s="1"/>
      <c r="AO58" s="1"/>
      <c r="AP58" s="1"/>
      <c r="AQ58" s="4"/>
      <c r="AR58" s="4"/>
      <c r="AS58" s="4"/>
      <c r="AT58" s="4"/>
      <c r="AU58" s="4"/>
      <c r="AV58" s="4"/>
      <c r="AW58" s="2"/>
      <c r="AX58" s="2"/>
      <c r="AY58" s="2"/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>
        <f t="shared" si="3"/>
        <v>15</v>
      </c>
      <c r="BR58" s="1">
        <v>15</v>
      </c>
      <c r="BS58" s="17">
        <v>3</v>
      </c>
      <c r="BT58" s="17" t="s">
        <v>206</v>
      </c>
      <c r="BU58">
        <f t="shared" si="4"/>
        <v>0</v>
      </c>
      <c r="BV58" s="23">
        <f t="shared" si="5"/>
        <v>15</v>
      </c>
    </row>
    <row r="59" spans="1:74" s="42" customFormat="1" ht="40.5">
      <c r="A59" s="1"/>
      <c r="B59" s="1" t="s">
        <v>175</v>
      </c>
      <c r="C59" s="1" t="s">
        <v>108</v>
      </c>
      <c r="D59" s="1" t="s">
        <v>88</v>
      </c>
      <c r="E59" s="6"/>
      <c r="F59" s="6"/>
      <c r="G59" s="6">
        <v>10</v>
      </c>
      <c r="H59" s="6"/>
      <c r="I59" s="6"/>
      <c r="J59" s="6"/>
      <c r="K59" s="6"/>
      <c r="L59" s="6"/>
      <c r="M59" s="6"/>
      <c r="N59" s="6"/>
      <c r="O59" s="6"/>
      <c r="P59" s="27"/>
      <c r="Q59" s="27"/>
      <c r="R59" s="27"/>
      <c r="S59" s="27"/>
      <c r="T59" s="27"/>
      <c r="U59" s="27"/>
      <c r="V59" s="27"/>
      <c r="W59" s="27"/>
      <c r="X59" s="27">
        <v>10</v>
      </c>
      <c r="Y59" s="27"/>
      <c r="Z59" s="27"/>
      <c r="AA59" s="27"/>
      <c r="AB59" s="27"/>
      <c r="AC59" s="27"/>
      <c r="AD59" s="27">
        <v>10</v>
      </c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/>
      <c r="AU59" s="4"/>
      <c r="AV59" s="4">
        <v>10</v>
      </c>
      <c r="AW59" s="2"/>
      <c r="AX59" s="2"/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>
        <f t="shared" si="3"/>
        <v>40</v>
      </c>
      <c r="BR59" s="1">
        <v>17</v>
      </c>
      <c r="BS59" s="17">
        <v>3</v>
      </c>
      <c r="BT59" s="17" t="s">
        <v>246</v>
      </c>
      <c r="BU59">
        <f t="shared" si="4"/>
        <v>20</v>
      </c>
      <c r="BV59" s="23">
        <f t="shared" si="5"/>
        <v>0</v>
      </c>
    </row>
    <row r="60" spans="1:74" s="42" customFormat="1" ht="40.5">
      <c r="A60" s="1"/>
      <c r="B60" s="1" t="s">
        <v>154</v>
      </c>
      <c r="C60" s="1" t="s">
        <v>83</v>
      </c>
      <c r="D60" s="1" t="s">
        <v>110</v>
      </c>
      <c r="E60" s="6"/>
      <c r="F60" s="6"/>
      <c r="G60" s="6">
        <v>10</v>
      </c>
      <c r="H60" s="6"/>
      <c r="I60" s="6"/>
      <c r="J60" s="6"/>
      <c r="K60" s="6"/>
      <c r="L60" s="6"/>
      <c r="M60" s="6"/>
      <c r="N60" s="6"/>
      <c r="O60" s="6"/>
      <c r="P60" s="27"/>
      <c r="Q60" s="27"/>
      <c r="R60" s="27"/>
      <c r="S60" s="27"/>
      <c r="T60" s="27"/>
      <c r="U60" s="27"/>
      <c r="V60" s="27"/>
      <c r="W60" s="27"/>
      <c r="X60" s="27">
        <v>10</v>
      </c>
      <c r="Y60" s="27"/>
      <c r="Z60" s="27"/>
      <c r="AA60" s="27"/>
      <c r="AB60" s="27"/>
      <c r="AC60" s="27"/>
      <c r="AD60" s="27">
        <v>10</v>
      </c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/>
      <c r="AT60" s="4"/>
      <c r="AU60" s="4"/>
      <c r="AV60" s="4">
        <v>10</v>
      </c>
      <c r="AW60" s="2"/>
      <c r="AX60" s="2"/>
      <c r="AY60" s="2"/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>
        <f t="shared" si="3"/>
        <v>40</v>
      </c>
      <c r="BR60" s="1">
        <v>17</v>
      </c>
      <c r="BS60" s="17">
        <v>3</v>
      </c>
      <c r="BT60" s="17" t="s">
        <v>246</v>
      </c>
      <c r="BU60">
        <f t="shared" si="4"/>
        <v>20</v>
      </c>
      <c r="BV60" s="23">
        <f t="shared" si="5"/>
        <v>0</v>
      </c>
    </row>
    <row r="61" spans="1:74" s="42" customFormat="1" ht="40.5">
      <c r="A61" s="1"/>
      <c r="B61" s="3" t="s">
        <v>188</v>
      </c>
      <c r="C61" s="3" t="s">
        <v>145</v>
      </c>
      <c r="D61" s="1" t="s">
        <v>142</v>
      </c>
      <c r="E61" s="6"/>
      <c r="F61" s="6"/>
      <c r="G61" s="6">
        <v>10</v>
      </c>
      <c r="H61" s="6"/>
      <c r="I61" s="6"/>
      <c r="J61" s="6"/>
      <c r="K61" s="6"/>
      <c r="L61" s="6"/>
      <c r="M61" s="6"/>
      <c r="N61" s="6"/>
      <c r="O61" s="6"/>
      <c r="P61" s="27"/>
      <c r="Q61" s="27"/>
      <c r="R61" s="27"/>
      <c r="S61" s="27"/>
      <c r="T61" s="27"/>
      <c r="U61" s="27"/>
      <c r="V61" s="27"/>
      <c r="W61" s="27"/>
      <c r="X61" s="27">
        <v>10</v>
      </c>
      <c r="Y61" s="27"/>
      <c r="Z61" s="27"/>
      <c r="AA61" s="27"/>
      <c r="AB61" s="27"/>
      <c r="AC61" s="27"/>
      <c r="AD61" s="27">
        <v>10</v>
      </c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/>
      <c r="AU61" s="4"/>
      <c r="AV61" s="4">
        <v>10</v>
      </c>
      <c r="AW61" s="2"/>
      <c r="AX61" s="2"/>
      <c r="AY61" s="2"/>
      <c r="AZ61" s="2"/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>
        <f t="shared" si="3"/>
        <v>40</v>
      </c>
      <c r="BR61" s="1">
        <v>17</v>
      </c>
      <c r="BS61" s="17">
        <v>3</v>
      </c>
      <c r="BT61" s="17" t="s">
        <v>205</v>
      </c>
      <c r="BU61">
        <f t="shared" si="4"/>
        <v>20</v>
      </c>
      <c r="BV61" s="23">
        <f t="shared" si="5"/>
        <v>0</v>
      </c>
    </row>
    <row r="62" spans="1:74" s="42" customFormat="1" ht="40.5">
      <c r="A62" s="1"/>
      <c r="B62" s="1" t="s">
        <v>170</v>
      </c>
      <c r="C62" s="1" t="s">
        <v>102</v>
      </c>
      <c r="D62" s="1" t="s">
        <v>151</v>
      </c>
      <c r="E62" s="6"/>
      <c r="F62" s="6"/>
      <c r="G62" s="6">
        <v>10</v>
      </c>
      <c r="H62" s="6"/>
      <c r="I62" s="6"/>
      <c r="J62" s="6"/>
      <c r="K62" s="6"/>
      <c r="L62" s="6"/>
      <c r="M62" s="6"/>
      <c r="N62" s="6"/>
      <c r="O62" s="6"/>
      <c r="P62" s="27"/>
      <c r="Q62" s="27"/>
      <c r="R62" s="27"/>
      <c r="S62" s="27"/>
      <c r="T62" s="27"/>
      <c r="U62" s="27"/>
      <c r="V62" s="27"/>
      <c r="W62" s="27"/>
      <c r="X62" s="27">
        <v>10</v>
      </c>
      <c r="Y62" s="27"/>
      <c r="Z62" s="27"/>
      <c r="AA62" s="27"/>
      <c r="AB62" s="27"/>
      <c r="AC62" s="27"/>
      <c r="AD62" s="27">
        <v>10</v>
      </c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/>
      <c r="AV62" s="4">
        <v>10</v>
      </c>
      <c r="AW62" s="2"/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>
        <f t="shared" si="3"/>
        <v>40</v>
      </c>
      <c r="BR62" s="1">
        <v>17</v>
      </c>
      <c r="BS62" s="17">
        <v>3</v>
      </c>
      <c r="BT62" s="17" t="s">
        <v>246</v>
      </c>
      <c r="BU62">
        <f t="shared" si="4"/>
        <v>20</v>
      </c>
      <c r="BV62" s="23">
        <f t="shared" si="5"/>
        <v>0</v>
      </c>
    </row>
    <row r="63" spans="1:74" s="42" customFormat="1" ht="40.5">
      <c r="A63" s="1"/>
      <c r="B63" s="1" t="s">
        <v>167</v>
      </c>
      <c r="C63" s="1" t="s">
        <v>162</v>
      </c>
      <c r="D63" s="1" t="s">
        <v>161</v>
      </c>
      <c r="E63" s="6"/>
      <c r="F63" s="6"/>
      <c r="G63" s="6"/>
      <c r="H63" s="6"/>
      <c r="I63" s="6"/>
      <c r="J63" s="6"/>
      <c r="K63" s="6"/>
      <c r="L63" s="6"/>
      <c r="M63" s="6">
        <v>10</v>
      </c>
      <c r="N63" s="6"/>
      <c r="O63" s="6"/>
      <c r="P63" s="27"/>
      <c r="Q63" s="27"/>
      <c r="R63" s="27"/>
      <c r="S63" s="27"/>
      <c r="T63" s="27"/>
      <c r="U63" s="27">
        <v>10</v>
      </c>
      <c r="V63" s="27"/>
      <c r="W63" s="27"/>
      <c r="X63" s="27"/>
      <c r="Y63" s="27"/>
      <c r="Z63" s="27"/>
      <c r="AA63" s="27">
        <v>10</v>
      </c>
      <c r="AB63" s="27"/>
      <c r="AC63" s="27"/>
      <c r="AD63" s="27">
        <v>10</v>
      </c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/>
      <c r="AV63" s="4"/>
      <c r="AW63" s="2"/>
      <c r="AX63" s="2"/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>
        <f t="shared" si="3"/>
        <v>40</v>
      </c>
      <c r="BR63" s="1">
        <v>20</v>
      </c>
      <c r="BS63" s="17">
        <v>3</v>
      </c>
      <c r="BT63" s="17" t="s">
        <v>239</v>
      </c>
      <c r="BU63">
        <f t="shared" si="4"/>
        <v>30</v>
      </c>
      <c r="BV63" s="23">
        <f t="shared" si="5"/>
        <v>0</v>
      </c>
    </row>
    <row r="64" spans="1:74" s="42" customFormat="1" ht="40.5">
      <c r="A64" s="1"/>
      <c r="B64" s="3" t="s">
        <v>156</v>
      </c>
      <c r="C64" s="3" t="s">
        <v>144</v>
      </c>
      <c r="D64" s="1" t="s">
        <v>142</v>
      </c>
      <c r="E64" s="6"/>
      <c r="F64" s="6"/>
      <c r="G64" s="6"/>
      <c r="H64" s="6"/>
      <c r="I64" s="6"/>
      <c r="J64" s="6"/>
      <c r="K64" s="6"/>
      <c r="L64" s="6"/>
      <c r="M64" s="6"/>
      <c r="N64" s="6">
        <v>10</v>
      </c>
      <c r="O64" s="6"/>
      <c r="P64" s="27"/>
      <c r="Q64" s="27"/>
      <c r="R64" s="27"/>
      <c r="S64" s="27"/>
      <c r="T64" s="27"/>
      <c r="U64" s="27"/>
      <c r="V64" s="27"/>
      <c r="W64" s="27"/>
      <c r="X64" s="27">
        <v>10</v>
      </c>
      <c r="Y64" s="27"/>
      <c r="Z64" s="27"/>
      <c r="AA64" s="27">
        <v>10</v>
      </c>
      <c r="AB64" s="27"/>
      <c r="AC64" s="27"/>
      <c r="AD64" s="27">
        <v>10</v>
      </c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/>
      <c r="AT64" s="4"/>
      <c r="AU64" s="4"/>
      <c r="AV64" s="4"/>
      <c r="AW64" s="2"/>
      <c r="AX64" s="2"/>
      <c r="AY64" s="2"/>
      <c r="AZ64" s="2"/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>
        <f t="shared" ref="BQ64:BQ68" si="6">SUM(E64:BP64)</f>
        <v>40</v>
      </c>
      <c r="BR64" s="1">
        <v>20</v>
      </c>
      <c r="BS64" s="17">
        <v>3</v>
      </c>
      <c r="BT64" s="17" t="s">
        <v>248</v>
      </c>
      <c r="BU64">
        <f t="shared" si="4"/>
        <v>30</v>
      </c>
      <c r="BV64" s="23">
        <f t="shared" si="5"/>
        <v>0</v>
      </c>
    </row>
    <row r="65" spans="1:74" s="42" customFormat="1" ht="40.5">
      <c r="A65" s="1"/>
      <c r="B65" s="3" t="s">
        <v>168</v>
      </c>
      <c r="C65" s="3" t="s">
        <v>160</v>
      </c>
      <c r="D65" s="1" t="s">
        <v>88</v>
      </c>
      <c r="E65" s="6"/>
      <c r="F65" s="6"/>
      <c r="G65" s="6"/>
      <c r="H65" s="6"/>
      <c r="I65" s="6"/>
      <c r="J65" s="6"/>
      <c r="K65" s="6"/>
      <c r="L65" s="6"/>
      <c r="M65" s="6"/>
      <c r="N65" s="6"/>
      <c r="O65" s="6">
        <v>10</v>
      </c>
      <c r="P65" s="27"/>
      <c r="Q65" s="27"/>
      <c r="R65" s="27">
        <v>10</v>
      </c>
      <c r="S65" s="27"/>
      <c r="T65" s="27"/>
      <c r="U65" s="27">
        <v>10</v>
      </c>
      <c r="V65" s="27"/>
      <c r="W65" s="27"/>
      <c r="X65" s="27"/>
      <c r="Y65" s="27"/>
      <c r="Z65" s="27"/>
      <c r="AA65" s="27"/>
      <c r="AB65" s="27"/>
      <c r="AC65" s="27"/>
      <c r="AD65" s="27">
        <v>10</v>
      </c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/>
      <c r="AT65" s="4"/>
      <c r="AU65" s="4"/>
      <c r="AV65" s="4"/>
      <c r="AW65" s="2"/>
      <c r="AX65" s="2"/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>
        <f t="shared" si="6"/>
        <v>40</v>
      </c>
      <c r="BR65" s="1">
        <v>23</v>
      </c>
      <c r="BS65" s="17">
        <v>3</v>
      </c>
      <c r="BT65" s="17" t="s">
        <v>235</v>
      </c>
      <c r="BU65">
        <f t="shared" si="4"/>
        <v>30</v>
      </c>
      <c r="BV65" s="23">
        <f t="shared" si="5"/>
        <v>0</v>
      </c>
    </row>
    <row r="66" spans="1:74" s="42" customFormat="1" ht="40.5">
      <c r="A66" s="1"/>
      <c r="B66" s="3" t="s">
        <v>196</v>
      </c>
      <c r="C66" s="3" t="s">
        <v>184</v>
      </c>
      <c r="D66" s="1" t="s">
        <v>142</v>
      </c>
      <c r="E66" s="6"/>
      <c r="F66" s="6"/>
      <c r="G66" s="6"/>
      <c r="H66" s="6"/>
      <c r="I66" s="6"/>
      <c r="J66" s="6">
        <v>10</v>
      </c>
      <c r="K66" s="6"/>
      <c r="L66" s="6"/>
      <c r="M66" s="6"/>
      <c r="N66" s="6"/>
      <c r="O66" s="6"/>
      <c r="P66" s="27"/>
      <c r="Q66" s="27"/>
      <c r="R66" s="27">
        <v>10</v>
      </c>
      <c r="S66" s="27"/>
      <c r="T66" s="27"/>
      <c r="U66" s="27"/>
      <c r="V66" s="27"/>
      <c r="W66" s="27"/>
      <c r="X66" s="27">
        <v>10</v>
      </c>
      <c r="Y66" s="27"/>
      <c r="Z66" s="27"/>
      <c r="AA66" s="27"/>
      <c r="AB66" s="27"/>
      <c r="AC66" s="27"/>
      <c r="AD66" s="27">
        <v>10</v>
      </c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>
        <v>10</v>
      </c>
      <c r="AR66" s="4"/>
      <c r="AS66" s="4"/>
      <c r="AT66" s="4"/>
      <c r="AU66" s="4"/>
      <c r="AV66" s="4"/>
      <c r="AW66" s="2"/>
      <c r="AX66" s="2"/>
      <c r="AY66" s="2"/>
      <c r="AZ66" s="2"/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>
        <f t="shared" si="6"/>
        <v>50</v>
      </c>
      <c r="BR66" s="1">
        <v>23</v>
      </c>
      <c r="BS66" s="17">
        <v>3</v>
      </c>
      <c r="BT66" s="17" t="s">
        <v>247</v>
      </c>
      <c r="BU66">
        <f t="shared" si="4"/>
        <v>30</v>
      </c>
      <c r="BV66" s="23">
        <f t="shared" si="5"/>
        <v>0</v>
      </c>
    </row>
    <row r="67" spans="1:74" s="42" customFormat="1" ht="40.5">
      <c r="A67" s="1"/>
      <c r="B67" s="1" t="s">
        <v>176</v>
      </c>
      <c r="C67" s="1" t="s">
        <v>108</v>
      </c>
      <c r="D67" s="1" t="s">
        <v>88</v>
      </c>
      <c r="E67" s="6"/>
      <c r="F67" s="6"/>
      <c r="G67" s="6"/>
      <c r="H67" s="6">
        <v>10</v>
      </c>
      <c r="I67" s="6"/>
      <c r="J67" s="6"/>
      <c r="K67" s="6"/>
      <c r="L67" s="6"/>
      <c r="M67" s="6"/>
      <c r="N67" s="6"/>
      <c r="O67" s="6"/>
      <c r="P67" s="27"/>
      <c r="Q67" s="27"/>
      <c r="R67" s="27">
        <v>10</v>
      </c>
      <c r="S67" s="27"/>
      <c r="T67" s="27"/>
      <c r="U67" s="27">
        <v>10</v>
      </c>
      <c r="V67" s="27"/>
      <c r="W67" s="27"/>
      <c r="X67" s="27"/>
      <c r="Y67" s="27"/>
      <c r="Z67" s="27"/>
      <c r="AA67" s="27"/>
      <c r="AB67" s="27"/>
      <c r="AC67" s="27"/>
      <c r="AD67" s="27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/>
      <c r="AU67" s="4">
        <v>10</v>
      </c>
      <c r="AV67" s="4"/>
      <c r="AW67" s="2"/>
      <c r="AX67" s="2"/>
      <c r="AY67" s="2"/>
      <c r="AZ67" s="2"/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>
        <f t="shared" si="6"/>
        <v>40</v>
      </c>
      <c r="BR67" s="1">
        <v>26</v>
      </c>
      <c r="BS67" s="17">
        <v>3</v>
      </c>
      <c r="BT67" s="17" t="s">
        <v>240</v>
      </c>
      <c r="BU67">
        <f t="shared" si="4"/>
        <v>20</v>
      </c>
      <c r="BV67" s="23">
        <f t="shared" si="5"/>
        <v>0</v>
      </c>
    </row>
    <row r="68" spans="1:74" s="42" customFormat="1" ht="40.5">
      <c r="A68" s="1"/>
      <c r="B68" s="3" t="s">
        <v>146</v>
      </c>
      <c r="C68" s="3" t="s">
        <v>84</v>
      </c>
      <c r="D68" s="1" t="s">
        <v>142</v>
      </c>
      <c r="E68" s="6"/>
      <c r="F68" s="6"/>
      <c r="G68" s="6"/>
      <c r="H68" s="6">
        <v>10</v>
      </c>
      <c r="I68" s="6"/>
      <c r="J68" s="6"/>
      <c r="K68" s="6"/>
      <c r="L68" s="6"/>
      <c r="M68" s="6"/>
      <c r="N68" s="6"/>
      <c r="O68" s="6"/>
      <c r="P68" s="27"/>
      <c r="Q68" s="27"/>
      <c r="R68" s="27">
        <v>10</v>
      </c>
      <c r="S68" s="27"/>
      <c r="T68" s="27"/>
      <c r="U68" s="27"/>
      <c r="V68" s="27"/>
      <c r="W68" s="27"/>
      <c r="X68" s="27">
        <v>10</v>
      </c>
      <c r="Y68" s="27"/>
      <c r="Z68" s="27"/>
      <c r="AA68" s="27"/>
      <c r="AB68" s="27"/>
      <c r="AC68" s="27"/>
      <c r="AD68" s="27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>
        <v>10</v>
      </c>
      <c r="AS68" s="4"/>
      <c r="AT68" s="4"/>
      <c r="AU68" s="4"/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>
        <f t="shared" si="6"/>
        <v>40</v>
      </c>
      <c r="BR68" s="1">
        <v>26</v>
      </c>
      <c r="BS68" s="17">
        <v>3</v>
      </c>
      <c r="BT68" s="17" t="s">
        <v>249</v>
      </c>
      <c r="BU68">
        <f t="shared" si="4"/>
        <v>20</v>
      </c>
      <c r="BV68" s="23">
        <f t="shared" si="5"/>
        <v>0</v>
      </c>
    </row>
    <row r="69" spans="1:74">
      <c r="A69" s="1"/>
      <c r="B69" s="1" t="s">
        <v>47</v>
      </c>
      <c r="C69" s="1"/>
      <c r="D69" s="1"/>
      <c r="E69" s="6">
        <f>SUM(E2:E68)</f>
        <v>60</v>
      </c>
      <c r="F69" s="6">
        <f>SUM(F2:F68)</f>
        <v>0</v>
      </c>
      <c r="G69" s="6">
        <f>SUM(G2:G68)</f>
        <v>40</v>
      </c>
      <c r="H69" s="6">
        <f>SUM(H2:H68)</f>
        <v>20</v>
      </c>
      <c r="I69" s="6">
        <f>SUM(I2:I68)</f>
        <v>50</v>
      </c>
      <c r="J69" s="6">
        <f>SUM(J2:J68)</f>
        <v>40</v>
      </c>
      <c r="K69" s="6">
        <f>SUM(K2:K68)</f>
        <v>0</v>
      </c>
      <c r="L69" s="6">
        <f>SUM(L2:L68)</f>
        <v>27</v>
      </c>
      <c r="M69" s="6">
        <f>SUM(M2:M68)</f>
        <v>40</v>
      </c>
      <c r="N69" s="6">
        <f>SUM(N2:N68)</f>
        <v>10</v>
      </c>
      <c r="O69" s="6">
        <f>SUM(O2:O68)</f>
        <v>20</v>
      </c>
      <c r="P69" s="27">
        <f>SUM(P2:P68)</f>
        <v>20</v>
      </c>
      <c r="Q69" s="27">
        <f>SUM(Q2:Q68)</f>
        <v>42</v>
      </c>
      <c r="R69" s="27">
        <f>SUM(R2:R68)</f>
        <v>194</v>
      </c>
      <c r="S69" s="27">
        <f>SUM(S2:S68)</f>
        <v>20</v>
      </c>
      <c r="T69" s="27">
        <f>SUM(T2:T68)</f>
        <v>42</v>
      </c>
      <c r="U69" s="27">
        <f>SUM(U2:U68)</f>
        <v>148</v>
      </c>
      <c r="V69" s="27">
        <f>SUM(V2:V68)</f>
        <v>40</v>
      </c>
      <c r="W69" s="27">
        <f>SUM(W2:W68)</f>
        <v>10</v>
      </c>
      <c r="X69" s="27">
        <f>SUM(X2:X68)</f>
        <v>149</v>
      </c>
      <c r="Y69" s="27">
        <f>SUM(Y2:Y68)</f>
        <v>30</v>
      </c>
      <c r="Z69" s="27">
        <f>SUM(Z2:Z68)</f>
        <v>35</v>
      </c>
      <c r="AA69" s="27">
        <f>SUM(AA2:AA68)</f>
        <v>90</v>
      </c>
      <c r="AB69" s="27">
        <f>SUM(AB2:AB68)</f>
        <v>60</v>
      </c>
      <c r="AC69" s="27">
        <f>SUM(AC2:AC68)</f>
        <v>35</v>
      </c>
      <c r="AD69" s="27">
        <f>SUM(AD2:AD68)</f>
        <v>124</v>
      </c>
      <c r="AE69" s="1">
        <f>SUM(AE2:AE68)</f>
        <v>250</v>
      </c>
      <c r="AF69" s="1">
        <f>SUM(AF2:AF68)</f>
        <v>5</v>
      </c>
      <c r="AG69" s="1">
        <f>SUM(AG2:AG68)</f>
        <v>0</v>
      </c>
      <c r="AH69" s="1">
        <f>SUM(AH2:AH68)</f>
        <v>30</v>
      </c>
      <c r="AI69" s="1">
        <f>SUM(AI2:AI68)</f>
        <v>30</v>
      </c>
      <c r="AJ69" s="1">
        <f>SUM(AJ2:AJ68)</f>
        <v>5</v>
      </c>
      <c r="AK69" s="1">
        <f>SUM(AK2:AK68)</f>
        <v>0</v>
      </c>
      <c r="AL69" s="1">
        <f>SUM(AL2:AL68)</f>
        <v>0</v>
      </c>
      <c r="AM69" s="1">
        <f>SUM(AM2:AM68)</f>
        <v>0</v>
      </c>
      <c r="AN69" s="1">
        <f>SUM(AN2:AN68)</f>
        <v>0</v>
      </c>
      <c r="AO69" s="1">
        <f>SUM(AO2:AO68)</f>
        <v>0</v>
      </c>
      <c r="AP69" s="1">
        <f>SUM(AP2:AP68)</f>
        <v>0</v>
      </c>
      <c r="AQ69" s="4">
        <f>SUM(AQ2:AQ68)</f>
        <v>40</v>
      </c>
      <c r="AR69" s="4">
        <f>SUM(AR2:AR68)</f>
        <v>50</v>
      </c>
      <c r="AS69" s="4">
        <f>SUM(AS2:AS68)</f>
        <v>40</v>
      </c>
      <c r="AT69" s="4">
        <f>SUM(AT2:AT68)</f>
        <v>50</v>
      </c>
      <c r="AU69" s="4">
        <f>SUM(AU2:AU68)</f>
        <v>70</v>
      </c>
      <c r="AV69" s="4">
        <f>SUM(AV2:AV68)</f>
        <v>100</v>
      </c>
      <c r="AW69" s="2">
        <f>SUM(AW2:AW68)</f>
        <v>40</v>
      </c>
      <c r="AX69" s="2">
        <f>SUM(AX2:AX68)</f>
        <v>40</v>
      </c>
      <c r="AY69" s="2">
        <f>SUM(AY2:AY68)</f>
        <v>0</v>
      </c>
      <c r="AZ69" s="2">
        <f>SUM(AZ2:AZ68)</f>
        <v>40</v>
      </c>
      <c r="BA69" s="2">
        <f>SUM(BA2:BA68)</f>
        <v>0</v>
      </c>
      <c r="BB69" s="2">
        <f>SUM(BB2:BB68)</f>
        <v>40</v>
      </c>
      <c r="BC69" s="1">
        <f>SUM(BC2:BC68)</f>
        <v>20</v>
      </c>
      <c r="BD69" s="1">
        <f>SUM(BD2:BD68)</f>
        <v>0</v>
      </c>
      <c r="BE69" s="1">
        <f>SUM(BE2:BE68)</f>
        <v>50</v>
      </c>
      <c r="BF69" s="1">
        <f>SUM(BF2:BF68)</f>
        <v>0</v>
      </c>
      <c r="BG69" s="1">
        <f>SUM(BG2:BG68)</f>
        <v>0</v>
      </c>
      <c r="BH69" s="1">
        <f>SUM(BH2:BH68)</f>
        <v>0</v>
      </c>
      <c r="BI69" s="1">
        <f>SUM(BI2:BI68)</f>
        <v>0</v>
      </c>
      <c r="BJ69" s="1">
        <f>SUM(BJ2:BJ68)</f>
        <v>0</v>
      </c>
      <c r="BK69" s="1">
        <f>SUM(BK2:BK68)</f>
        <v>100</v>
      </c>
      <c r="BL69" s="1">
        <f>SUM(BL2:BL68)</f>
        <v>100</v>
      </c>
      <c r="BM69" s="1">
        <f>SUM(BM2:BM68)</f>
        <v>150</v>
      </c>
      <c r="BN69" s="1">
        <f>SUM(BN2:BN68)</f>
        <v>150</v>
      </c>
      <c r="BO69" s="1">
        <f>SUM(BO2:BO68)</f>
        <v>250</v>
      </c>
      <c r="BP69" s="1">
        <f>SUM(BP2:BP68)</f>
        <v>250</v>
      </c>
      <c r="BQ69" s="1"/>
      <c r="BR69" s="1"/>
      <c r="BS69" s="17"/>
      <c r="BT69" s="17"/>
    </row>
    <row r="70" spans="1:74">
      <c r="A70" s="1"/>
      <c r="B70" s="3" t="s">
        <v>64</v>
      </c>
      <c r="C70" s="1"/>
      <c r="D70" s="1"/>
      <c r="E70" s="1">
        <v>52</v>
      </c>
      <c r="F70" s="1">
        <v>146</v>
      </c>
      <c r="G70" s="1">
        <v>7</v>
      </c>
      <c r="H70" s="1">
        <v>3</v>
      </c>
      <c r="I70" s="1">
        <v>200</v>
      </c>
      <c r="J70" s="1">
        <v>166</v>
      </c>
      <c r="K70" s="1">
        <v>119</v>
      </c>
      <c r="L70" s="1">
        <v>127</v>
      </c>
      <c r="M70" s="1">
        <v>145</v>
      </c>
      <c r="N70" s="1">
        <v>209</v>
      </c>
      <c r="O70" s="1">
        <v>125</v>
      </c>
      <c r="P70" s="14">
        <v>178</v>
      </c>
      <c r="Q70" s="14">
        <v>0</v>
      </c>
      <c r="R70" s="14">
        <v>1</v>
      </c>
      <c r="S70" s="14">
        <v>238</v>
      </c>
      <c r="T70" s="14">
        <v>32</v>
      </c>
      <c r="U70" s="14">
        <v>0</v>
      </c>
      <c r="V70" s="14">
        <v>155</v>
      </c>
      <c r="W70" s="14">
        <v>0</v>
      </c>
      <c r="X70" s="14">
        <v>0</v>
      </c>
      <c r="Y70" s="14">
        <v>149</v>
      </c>
      <c r="Z70" s="14">
        <v>8</v>
      </c>
      <c r="AA70" s="14">
        <v>4</v>
      </c>
      <c r="AB70" s="14">
        <v>225</v>
      </c>
      <c r="AC70" s="14">
        <v>2</v>
      </c>
      <c r="AD70" s="14">
        <v>6</v>
      </c>
      <c r="AE70" s="1">
        <v>32</v>
      </c>
      <c r="AF70" s="1">
        <v>5</v>
      </c>
      <c r="AG70" s="1">
        <v>3</v>
      </c>
      <c r="AH70" s="1">
        <v>0</v>
      </c>
      <c r="AI70" s="1">
        <v>0</v>
      </c>
      <c r="AJ70" s="1">
        <v>0</v>
      </c>
      <c r="AK70" s="1">
        <v>23</v>
      </c>
      <c r="AL70" s="1">
        <v>33</v>
      </c>
      <c r="AM70" s="1">
        <v>0</v>
      </c>
      <c r="AN70" s="1">
        <v>11</v>
      </c>
      <c r="AO70" s="1">
        <v>0</v>
      </c>
      <c r="AP70" s="1">
        <v>8</v>
      </c>
      <c r="AQ70" s="14">
        <v>41</v>
      </c>
      <c r="AR70" s="14">
        <v>43</v>
      </c>
      <c r="AS70" s="14">
        <v>63</v>
      </c>
      <c r="AT70" s="14">
        <v>67</v>
      </c>
      <c r="AU70" s="14">
        <v>76</v>
      </c>
      <c r="AV70" s="14">
        <v>114</v>
      </c>
      <c r="AW70" s="14">
        <v>40</v>
      </c>
      <c r="AX70" s="14">
        <v>55</v>
      </c>
      <c r="AY70" s="14">
        <v>23</v>
      </c>
      <c r="AZ70" s="14">
        <v>28</v>
      </c>
      <c r="BA70" s="14">
        <v>0</v>
      </c>
      <c r="BB70" s="14">
        <v>23</v>
      </c>
      <c r="BC70" s="14">
        <v>9</v>
      </c>
      <c r="BD70" s="1">
        <v>20</v>
      </c>
      <c r="BE70" s="1">
        <v>255</v>
      </c>
      <c r="BF70" s="1">
        <v>396</v>
      </c>
      <c r="BG70" s="1">
        <v>312</v>
      </c>
      <c r="BH70" s="1">
        <v>330</v>
      </c>
      <c r="BI70" s="1">
        <v>162</v>
      </c>
      <c r="BJ70" s="1">
        <v>195</v>
      </c>
      <c r="BK70" s="1">
        <v>131</v>
      </c>
      <c r="BL70" s="1">
        <v>127</v>
      </c>
      <c r="BM70" s="1">
        <v>324</v>
      </c>
      <c r="BN70" s="1">
        <v>141</v>
      </c>
      <c r="BO70" s="1">
        <v>3</v>
      </c>
      <c r="BP70" s="1">
        <v>217</v>
      </c>
      <c r="BQ70" s="1"/>
      <c r="BR70" s="1"/>
      <c r="BS70" s="17"/>
      <c r="BT70" s="17"/>
    </row>
    <row r="71" spans="1:74">
      <c r="A71" s="1"/>
      <c r="B71" s="3" t="s">
        <v>71</v>
      </c>
      <c r="C71" s="1"/>
      <c r="D71" s="1"/>
      <c r="E71" s="1">
        <f t="shared" ref="E71:AJ71" si="7">E70-E69</f>
        <v>-8</v>
      </c>
      <c r="F71" s="1">
        <f t="shared" si="7"/>
        <v>146</v>
      </c>
      <c r="G71" s="1">
        <f t="shared" si="7"/>
        <v>-33</v>
      </c>
      <c r="H71" s="1">
        <f t="shared" si="7"/>
        <v>-17</v>
      </c>
      <c r="I71" s="1">
        <f t="shared" si="7"/>
        <v>150</v>
      </c>
      <c r="J71" s="1">
        <f t="shared" si="7"/>
        <v>126</v>
      </c>
      <c r="K71" s="1">
        <f t="shared" si="7"/>
        <v>119</v>
      </c>
      <c r="L71" s="1">
        <f t="shared" si="7"/>
        <v>100</v>
      </c>
      <c r="M71" s="1">
        <f t="shared" si="7"/>
        <v>105</v>
      </c>
      <c r="N71" s="1">
        <f t="shared" si="7"/>
        <v>199</v>
      </c>
      <c r="O71" s="1">
        <f t="shared" si="7"/>
        <v>105</v>
      </c>
      <c r="P71" s="1">
        <f t="shared" si="7"/>
        <v>158</v>
      </c>
      <c r="Q71" s="1">
        <f t="shared" si="7"/>
        <v>-42</v>
      </c>
      <c r="R71" s="1">
        <f t="shared" si="7"/>
        <v>-193</v>
      </c>
      <c r="S71" s="1">
        <f t="shared" si="7"/>
        <v>218</v>
      </c>
      <c r="T71" s="1">
        <f t="shared" si="7"/>
        <v>-10</v>
      </c>
      <c r="U71" s="1">
        <f t="shared" si="7"/>
        <v>-148</v>
      </c>
      <c r="V71" s="1">
        <f t="shared" si="7"/>
        <v>115</v>
      </c>
      <c r="W71" s="1">
        <f t="shared" si="7"/>
        <v>-10</v>
      </c>
      <c r="X71" s="1">
        <f t="shared" si="7"/>
        <v>-149</v>
      </c>
      <c r="Y71" s="1">
        <f t="shared" si="7"/>
        <v>119</v>
      </c>
      <c r="Z71" s="1">
        <f t="shared" si="7"/>
        <v>-27</v>
      </c>
      <c r="AA71" s="1">
        <f t="shared" si="7"/>
        <v>-86</v>
      </c>
      <c r="AB71" s="1">
        <f t="shared" si="7"/>
        <v>165</v>
      </c>
      <c r="AC71" s="1">
        <f t="shared" si="7"/>
        <v>-33</v>
      </c>
      <c r="AD71" s="1">
        <f t="shared" si="7"/>
        <v>-118</v>
      </c>
      <c r="AE71" s="1">
        <f t="shared" si="7"/>
        <v>-218</v>
      </c>
      <c r="AF71" s="1">
        <f t="shared" si="7"/>
        <v>0</v>
      </c>
      <c r="AG71" s="1">
        <f t="shared" si="7"/>
        <v>3</v>
      </c>
      <c r="AH71" s="1">
        <f t="shared" si="7"/>
        <v>-30</v>
      </c>
      <c r="AI71" s="1">
        <f t="shared" si="7"/>
        <v>-30</v>
      </c>
      <c r="AJ71" s="1">
        <f t="shared" si="7"/>
        <v>-5</v>
      </c>
      <c r="AK71" s="1">
        <f t="shared" ref="AK71:BP71" si="8">AK70-AK69</f>
        <v>23</v>
      </c>
      <c r="AL71" s="1">
        <f t="shared" si="8"/>
        <v>33</v>
      </c>
      <c r="AM71" s="1">
        <f t="shared" si="8"/>
        <v>0</v>
      </c>
      <c r="AN71" s="1">
        <f t="shared" si="8"/>
        <v>11</v>
      </c>
      <c r="AO71" s="1">
        <f t="shared" si="8"/>
        <v>0</v>
      </c>
      <c r="AP71" s="1">
        <f t="shared" si="8"/>
        <v>8</v>
      </c>
      <c r="AQ71" s="1">
        <f t="shared" si="8"/>
        <v>1</v>
      </c>
      <c r="AR71" s="1">
        <f t="shared" si="8"/>
        <v>-7</v>
      </c>
      <c r="AS71" s="1">
        <f t="shared" si="8"/>
        <v>23</v>
      </c>
      <c r="AT71" s="1">
        <f t="shared" si="8"/>
        <v>17</v>
      </c>
      <c r="AU71" s="1">
        <f t="shared" si="8"/>
        <v>6</v>
      </c>
      <c r="AV71" s="1">
        <f t="shared" si="8"/>
        <v>14</v>
      </c>
      <c r="AW71" s="1">
        <f t="shared" si="8"/>
        <v>0</v>
      </c>
      <c r="AX71" s="1">
        <f t="shared" si="8"/>
        <v>15</v>
      </c>
      <c r="AY71" s="1">
        <f t="shared" si="8"/>
        <v>23</v>
      </c>
      <c r="AZ71" s="1">
        <f t="shared" si="8"/>
        <v>-12</v>
      </c>
      <c r="BA71" s="1">
        <f t="shared" si="8"/>
        <v>0</v>
      </c>
      <c r="BB71" s="1">
        <f t="shared" si="8"/>
        <v>-17</v>
      </c>
      <c r="BC71" s="1">
        <f t="shared" si="8"/>
        <v>-11</v>
      </c>
      <c r="BD71" s="1">
        <f t="shared" si="8"/>
        <v>20</v>
      </c>
      <c r="BE71" s="1">
        <f t="shared" si="8"/>
        <v>205</v>
      </c>
      <c r="BF71" s="1">
        <f t="shared" si="8"/>
        <v>396</v>
      </c>
      <c r="BG71" s="1">
        <f t="shared" si="8"/>
        <v>312</v>
      </c>
      <c r="BH71" s="1">
        <f t="shared" si="8"/>
        <v>330</v>
      </c>
      <c r="BI71" s="1">
        <f t="shared" si="8"/>
        <v>162</v>
      </c>
      <c r="BJ71" s="1">
        <f t="shared" si="8"/>
        <v>195</v>
      </c>
      <c r="BK71" s="1">
        <f t="shared" si="8"/>
        <v>31</v>
      </c>
      <c r="BL71" s="1">
        <f t="shared" si="8"/>
        <v>27</v>
      </c>
      <c r="BM71" s="1">
        <f t="shared" si="8"/>
        <v>174</v>
      </c>
      <c r="BN71" s="1">
        <f t="shared" si="8"/>
        <v>-9</v>
      </c>
      <c r="BO71" s="1">
        <f t="shared" si="8"/>
        <v>-247</v>
      </c>
      <c r="BP71" s="1">
        <f t="shared" si="8"/>
        <v>-33</v>
      </c>
      <c r="BQ71" s="1"/>
      <c r="BR71" s="1"/>
      <c r="BS71" s="17"/>
      <c r="BT71" s="17"/>
    </row>
    <row r="72" spans="1:74">
      <c r="A72" s="1"/>
      <c r="B72" s="3" t="s">
        <v>112</v>
      </c>
      <c r="C72" s="1"/>
      <c r="D72" s="1"/>
      <c r="E72" s="1">
        <f>MAX(E2:E68)</f>
        <v>10</v>
      </c>
      <c r="F72" s="1">
        <f>MAX(F2:F68)</f>
        <v>0</v>
      </c>
      <c r="G72" s="1">
        <f>MAX(G2:G68)</f>
        <v>10</v>
      </c>
      <c r="H72" s="1">
        <f>MAX(H2:H68)</f>
        <v>10</v>
      </c>
      <c r="I72" s="1">
        <f>MAX(I2:I68)</f>
        <v>10</v>
      </c>
      <c r="J72" s="1">
        <f>MAX(J2:J68)</f>
        <v>10</v>
      </c>
      <c r="K72" s="1">
        <f>MAX(K2:K68)</f>
        <v>0</v>
      </c>
      <c r="L72" s="1">
        <f>MAX(L2:L68)</f>
        <v>10</v>
      </c>
      <c r="M72" s="1">
        <f>MAX(M2:M68)</f>
        <v>10</v>
      </c>
      <c r="N72" s="1">
        <f>MAX(N2:N68)</f>
        <v>10</v>
      </c>
      <c r="O72" s="1">
        <f>MAX(O2:O68)</f>
        <v>10</v>
      </c>
      <c r="P72" s="1">
        <f>MAX(P2:P68)</f>
        <v>10</v>
      </c>
      <c r="Q72" s="1">
        <f>MAX(Q2:Q68)</f>
        <v>7</v>
      </c>
      <c r="R72" s="1">
        <f>MAX(R2:R68)</f>
        <v>10</v>
      </c>
      <c r="S72" s="1">
        <f>MAX(S2:S68)</f>
        <v>10</v>
      </c>
      <c r="T72" s="1">
        <f>MAX(T2:T68)</f>
        <v>7</v>
      </c>
      <c r="U72" s="1">
        <f>MAX(U2:U68)</f>
        <v>10</v>
      </c>
      <c r="V72" s="1">
        <f>MAX(V2:V68)</f>
        <v>10</v>
      </c>
      <c r="W72" s="1">
        <f>MAX(W2:W68)</f>
        <v>5</v>
      </c>
      <c r="X72" s="1">
        <f>MAX(X2:X68)</f>
        <v>10</v>
      </c>
      <c r="Y72" s="1">
        <f>MAX(Y2:Y68)</f>
        <v>10</v>
      </c>
      <c r="Z72" s="1">
        <f>MAX(Z2:Z68)</f>
        <v>5</v>
      </c>
      <c r="AA72" s="1">
        <f>MAX(AA2:AA68)</f>
        <v>10</v>
      </c>
      <c r="AB72" s="1">
        <f>MAX(AB2:AB68)</f>
        <v>10</v>
      </c>
      <c r="AC72" s="1">
        <f>MAX(AC2:AC68)</f>
        <v>5</v>
      </c>
      <c r="AD72" s="1">
        <f>MAX(AD2:AD68)</f>
        <v>10</v>
      </c>
      <c r="AE72" s="1">
        <f>MAX(AE2:AE68)</f>
        <v>200</v>
      </c>
      <c r="AF72" s="1">
        <f>MAX(AF2:AF68)</f>
        <v>5</v>
      </c>
      <c r="AG72" s="1">
        <f>MAX(AG2:AG68)</f>
        <v>0</v>
      </c>
      <c r="AH72" s="1">
        <f>MAX(AH2:AH68)</f>
        <v>5</v>
      </c>
      <c r="AI72" s="1">
        <f>MAX(AI2:AI68)</f>
        <v>5</v>
      </c>
      <c r="AJ72" s="1">
        <f>MAX(AJ2:AJ68)</f>
        <v>5</v>
      </c>
      <c r="AK72" s="1">
        <f>MAX(AK2:AK68)</f>
        <v>0</v>
      </c>
      <c r="AL72" s="1">
        <f>MAX(AL2:AL68)</f>
        <v>0</v>
      </c>
      <c r="AM72" s="1">
        <f>MAX(AM2:AM68)</f>
        <v>0</v>
      </c>
      <c r="AN72" s="1">
        <f>MAX(AN2:AN68)</f>
        <v>0</v>
      </c>
      <c r="AO72" s="1">
        <f>MAX(AO2:AO68)</f>
        <v>0</v>
      </c>
      <c r="AP72" s="1">
        <f>MAX(AP2:AP68)</f>
        <v>0</v>
      </c>
      <c r="AQ72" s="1">
        <f>MAX(AQ2:AQ68)</f>
        <v>10</v>
      </c>
      <c r="AR72" s="1">
        <f>MAX(AR2:AR68)</f>
        <v>40</v>
      </c>
      <c r="AS72" s="1">
        <f>MAX(AS2:AS68)</f>
        <v>10</v>
      </c>
      <c r="AT72" s="1">
        <f>MAX(AT2:AT68)</f>
        <v>10</v>
      </c>
      <c r="AU72" s="1">
        <f>MAX(AU2:AU68)</f>
        <v>10</v>
      </c>
      <c r="AV72" s="1">
        <f>MAX(AV2:AV68)</f>
        <v>40</v>
      </c>
      <c r="AW72" s="1">
        <f>MAX(AW2:AW68)</f>
        <v>40</v>
      </c>
      <c r="AX72" s="1">
        <f>MAX(AX2:AX68)</f>
        <v>40</v>
      </c>
      <c r="AY72" s="1">
        <f>MAX(AY2:AY68)</f>
        <v>0</v>
      </c>
      <c r="AZ72" s="1">
        <f>MAX(AZ2:AZ68)</f>
        <v>40</v>
      </c>
      <c r="BA72" s="1">
        <f>MAX(BA2:BA68)</f>
        <v>0</v>
      </c>
      <c r="BB72" s="1">
        <f>MAX(BB2:BB68)</f>
        <v>40</v>
      </c>
      <c r="BC72" s="1">
        <f>MAX(BC2:BC68)</f>
        <v>10</v>
      </c>
      <c r="BD72" s="1">
        <f>MAX(BD2:BD68)</f>
        <v>0</v>
      </c>
      <c r="BE72" s="1">
        <f>MAX(BE2:BE68)</f>
        <v>50</v>
      </c>
      <c r="BF72" s="1">
        <f>MAX(BF2:BF68)</f>
        <v>0</v>
      </c>
      <c r="BG72" s="1">
        <f>MAX(BG2:BG68)</f>
        <v>0</v>
      </c>
      <c r="BH72" s="1">
        <f>MAX(BH2:BH68)</f>
        <v>0</v>
      </c>
      <c r="BI72" s="1">
        <f>MAX(BI2:BI68)</f>
        <v>0</v>
      </c>
      <c r="BJ72" s="1">
        <f>MAX(BJ2:BJ68)</f>
        <v>0</v>
      </c>
      <c r="BK72" s="1">
        <f>MAX(BK2:BK68)</f>
        <v>50</v>
      </c>
      <c r="BL72" s="1">
        <f>MAX(BL2:BL68)</f>
        <v>50</v>
      </c>
      <c r="BM72" s="1">
        <f>MAX(BM2:BM68)</f>
        <v>50</v>
      </c>
      <c r="BN72" s="1">
        <f>MAX(BN2:BN68)</f>
        <v>50</v>
      </c>
      <c r="BO72" s="1">
        <f>MAX(BO2:BO68)</f>
        <v>50</v>
      </c>
      <c r="BP72" s="1">
        <f>MAX(BP2:BP68)</f>
        <v>50</v>
      </c>
      <c r="BQ72" s="1"/>
      <c r="BR72" s="1"/>
      <c r="BS72" s="17"/>
      <c r="BT72" s="17"/>
    </row>
    <row r="73" spans="1:74">
      <c r="A73" s="1"/>
      <c r="B73" s="3" t="s">
        <v>113</v>
      </c>
      <c r="C73" s="1"/>
      <c r="D73" s="1"/>
      <c r="E73" s="1">
        <f>MIN(E2:E68)</f>
        <v>10</v>
      </c>
      <c r="F73" s="1">
        <f>MIN(F2:F68)</f>
        <v>0</v>
      </c>
      <c r="G73" s="1">
        <f>MIN(G2:G68)</f>
        <v>10</v>
      </c>
      <c r="H73" s="1">
        <f>MIN(H2:H68)</f>
        <v>10</v>
      </c>
      <c r="I73" s="1">
        <f>MIN(I2:I68)</f>
        <v>10</v>
      </c>
      <c r="J73" s="1">
        <f>MIN(J2:J68)</f>
        <v>10</v>
      </c>
      <c r="K73" s="1">
        <f>MIN(K2:K68)</f>
        <v>0</v>
      </c>
      <c r="L73" s="1">
        <f>MIN(L2:L68)</f>
        <v>7</v>
      </c>
      <c r="M73" s="1">
        <f>MIN(M2:M68)</f>
        <v>10</v>
      </c>
      <c r="N73" s="1">
        <f>MIN(N2:N68)</f>
        <v>10</v>
      </c>
      <c r="O73" s="1">
        <f>MIN(O2:O68)</f>
        <v>10</v>
      </c>
      <c r="P73" s="1">
        <f>MIN(P2:P68)</f>
        <v>10</v>
      </c>
      <c r="Q73" s="1">
        <f>MIN(Q2:Q68)</f>
        <v>5</v>
      </c>
      <c r="R73" s="1">
        <f>MIN(R2:R68)</f>
        <v>2</v>
      </c>
      <c r="S73" s="1">
        <f>MIN(S2:S68)</f>
        <v>10</v>
      </c>
      <c r="T73" s="1">
        <f>MIN(T2:T68)</f>
        <v>5</v>
      </c>
      <c r="U73" s="1">
        <f>MIN(U2:U68)</f>
        <v>2</v>
      </c>
      <c r="V73" s="1">
        <f>MIN(V2:V68)</f>
        <v>10</v>
      </c>
      <c r="W73" s="1">
        <f>MIN(W2:W68)</f>
        <v>5</v>
      </c>
      <c r="X73" s="1">
        <f>MIN(X2:X68)</f>
        <v>2</v>
      </c>
      <c r="Y73" s="1">
        <f>MIN(Y2:Y68)</f>
        <v>10</v>
      </c>
      <c r="Z73" s="1">
        <f>MIN(Z2:Z68)</f>
        <v>5</v>
      </c>
      <c r="AA73" s="1">
        <f>MIN(AA2:AA68)</f>
        <v>2</v>
      </c>
      <c r="AB73" s="1">
        <f>MIN(AB2:AB68)</f>
        <v>10</v>
      </c>
      <c r="AC73" s="1">
        <f>MIN(AC2:AC68)</f>
        <v>5</v>
      </c>
      <c r="AD73" s="1">
        <f>MIN(AD2:AD68)</f>
        <v>2</v>
      </c>
      <c r="AE73" s="1">
        <f>MIN(AE2:AE68)</f>
        <v>50</v>
      </c>
      <c r="AF73" s="1">
        <f>MIN(AF2:AF68)</f>
        <v>5</v>
      </c>
      <c r="AG73" s="1">
        <f>MIN(AG2:AG68)</f>
        <v>0</v>
      </c>
      <c r="AH73" s="1">
        <f>MIN(AH2:AH68)</f>
        <v>5</v>
      </c>
      <c r="AI73" s="1">
        <f>MIN(AI2:AI68)</f>
        <v>5</v>
      </c>
      <c r="AJ73" s="1">
        <f>MIN(AJ2:AJ68)</f>
        <v>5</v>
      </c>
      <c r="AK73" s="1">
        <f>MIN(AK2:AK68)</f>
        <v>0</v>
      </c>
      <c r="AL73" s="1">
        <f>MIN(AL2:AL68)</f>
        <v>0</v>
      </c>
      <c r="AM73" s="1">
        <f>MIN(AM2:AM68)</f>
        <v>0</v>
      </c>
      <c r="AN73" s="1">
        <f>MIN(AN2:AN68)</f>
        <v>0</v>
      </c>
      <c r="AO73" s="1">
        <f>MIN(AO2:AO68)</f>
        <v>0</v>
      </c>
      <c r="AP73" s="1">
        <f>MIN(AP2:AP68)</f>
        <v>0</v>
      </c>
      <c r="AQ73" s="1">
        <f>MIN(AQ2:AQ68)</f>
        <v>10</v>
      </c>
      <c r="AR73" s="1">
        <f>MIN(AR2:AR68)</f>
        <v>10</v>
      </c>
      <c r="AS73" s="1">
        <f>MIN(AS2:AS68)</f>
        <v>10</v>
      </c>
      <c r="AT73" s="1">
        <f>MIN(AT2:AT68)</f>
        <v>10</v>
      </c>
      <c r="AU73" s="1">
        <f>MIN(AU2:AU68)</f>
        <v>10</v>
      </c>
      <c r="AV73" s="1">
        <f>MIN(AV2:AV68)</f>
        <v>10</v>
      </c>
      <c r="AW73" s="1">
        <f>MIN(AW2:AW68)</f>
        <v>40</v>
      </c>
      <c r="AX73" s="1">
        <f>MIN(AX2:AX68)</f>
        <v>40</v>
      </c>
      <c r="AY73" s="1">
        <f>MIN(AY2:AY68)</f>
        <v>0</v>
      </c>
      <c r="AZ73" s="1">
        <f>MIN(AZ2:AZ68)</f>
        <v>40</v>
      </c>
      <c r="BA73" s="1">
        <f>MIN(BA2:BA68)</f>
        <v>0</v>
      </c>
      <c r="BB73" s="1">
        <f>MIN(BB2:BB68)</f>
        <v>40</v>
      </c>
      <c r="BC73" s="1">
        <f>MIN(BC2:BC68)</f>
        <v>10</v>
      </c>
      <c r="BD73" s="1">
        <f>MIN(BD2:BD68)</f>
        <v>0</v>
      </c>
      <c r="BE73" s="1">
        <f>MIN(BE2:BE68)</f>
        <v>50</v>
      </c>
      <c r="BF73" s="1">
        <f>MIN(BF2:BF68)</f>
        <v>0</v>
      </c>
      <c r="BG73" s="1">
        <f>MIN(BG2:BG68)</f>
        <v>0</v>
      </c>
      <c r="BH73" s="1">
        <f>MIN(BH2:BH68)</f>
        <v>0</v>
      </c>
      <c r="BI73" s="1">
        <f>MIN(BI2:BI68)</f>
        <v>0</v>
      </c>
      <c r="BJ73" s="1">
        <f>MIN(BJ2:BJ68)</f>
        <v>0</v>
      </c>
      <c r="BK73" s="1">
        <f>MIN(BK2:BK68)</f>
        <v>50</v>
      </c>
      <c r="BL73" s="1">
        <f>MIN(BL2:BL68)</f>
        <v>50</v>
      </c>
      <c r="BM73" s="1">
        <f>MIN(BM2:BM68)</f>
        <v>50</v>
      </c>
      <c r="BN73" s="1">
        <f>MIN(BN2:BN68)</f>
        <v>50</v>
      </c>
      <c r="BO73" s="1">
        <f>MIN(BO2:BO68)</f>
        <v>50</v>
      </c>
      <c r="BP73" s="1">
        <f>MIN(BP2:BP68)</f>
        <v>50</v>
      </c>
      <c r="BQ73" s="1"/>
      <c r="BR73" s="1"/>
      <c r="BS73" s="17"/>
      <c r="BT73" s="17"/>
    </row>
    <row r="74" spans="1:74">
      <c r="A74" s="1"/>
      <c r="B74" s="3" t="s">
        <v>114</v>
      </c>
      <c r="C74" s="1"/>
      <c r="D74" s="1"/>
      <c r="E74" s="1">
        <f t="shared" ref="E74:AJ74" si="9">E70-E72</f>
        <v>42</v>
      </c>
      <c r="F74" s="1">
        <f t="shared" si="9"/>
        <v>146</v>
      </c>
      <c r="G74" s="1">
        <f t="shared" si="9"/>
        <v>-3</v>
      </c>
      <c r="H74" s="1">
        <f t="shared" si="9"/>
        <v>-7</v>
      </c>
      <c r="I74" s="1">
        <f t="shared" si="9"/>
        <v>190</v>
      </c>
      <c r="J74" s="1">
        <f t="shared" si="9"/>
        <v>156</v>
      </c>
      <c r="K74" s="1">
        <f t="shared" si="9"/>
        <v>119</v>
      </c>
      <c r="L74" s="1">
        <f t="shared" si="9"/>
        <v>117</v>
      </c>
      <c r="M74" s="1">
        <f t="shared" si="9"/>
        <v>135</v>
      </c>
      <c r="N74" s="1">
        <f t="shared" si="9"/>
        <v>199</v>
      </c>
      <c r="O74" s="1">
        <f t="shared" si="9"/>
        <v>115</v>
      </c>
      <c r="P74" s="1">
        <f t="shared" si="9"/>
        <v>168</v>
      </c>
      <c r="Q74" s="1">
        <f t="shared" si="9"/>
        <v>-7</v>
      </c>
      <c r="R74" s="1">
        <f t="shared" si="9"/>
        <v>-9</v>
      </c>
      <c r="S74" s="1">
        <f t="shared" si="9"/>
        <v>228</v>
      </c>
      <c r="T74" s="1">
        <f t="shared" si="9"/>
        <v>25</v>
      </c>
      <c r="U74" s="1">
        <f t="shared" si="9"/>
        <v>-10</v>
      </c>
      <c r="V74" s="1">
        <f t="shared" si="9"/>
        <v>145</v>
      </c>
      <c r="W74" s="1">
        <f t="shared" si="9"/>
        <v>-5</v>
      </c>
      <c r="X74" s="1">
        <f t="shared" si="9"/>
        <v>-10</v>
      </c>
      <c r="Y74" s="1">
        <f t="shared" si="9"/>
        <v>139</v>
      </c>
      <c r="Z74" s="1">
        <f t="shared" si="9"/>
        <v>3</v>
      </c>
      <c r="AA74" s="1">
        <f t="shared" si="9"/>
        <v>-6</v>
      </c>
      <c r="AB74" s="1">
        <f t="shared" si="9"/>
        <v>215</v>
      </c>
      <c r="AC74" s="1">
        <f t="shared" si="9"/>
        <v>-3</v>
      </c>
      <c r="AD74" s="1">
        <f t="shared" si="9"/>
        <v>-4</v>
      </c>
      <c r="AE74" s="1">
        <f t="shared" si="9"/>
        <v>-168</v>
      </c>
      <c r="AF74" s="1">
        <f t="shared" si="9"/>
        <v>0</v>
      </c>
      <c r="AG74" s="1">
        <f t="shared" si="9"/>
        <v>3</v>
      </c>
      <c r="AH74" s="1">
        <f t="shared" si="9"/>
        <v>-5</v>
      </c>
      <c r="AI74" s="1">
        <f t="shared" si="9"/>
        <v>-5</v>
      </c>
      <c r="AJ74" s="1">
        <f t="shared" si="9"/>
        <v>-5</v>
      </c>
      <c r="AK74" s="1">
        <f t="shared" ref="AK74:BP74" si="10">AK70-AK72</f>
        <v>23</v>
      </c>
      <c r="AL74" s="1">
        <f t="shared" si="10"/>
        <v>33</v>
      </c>
      <c r="AM74" s="1">
        <f t="shared" si="10"/>
        <v>0</v>
      </c>
      <c r="AN74" s="1">
        <f t="shared" si="10"/>
        <v>11</v>
      </c>
      <c r="AO74" s="1">
        <f t="shared" si="10"/>
        <v>0</v>
      </c>
      <c r="AP74" s="1">
        <f t="shared" si="10"/>
        <v>8</v>
      </c>
      <c r="AQ74" s="1">
        <f t="shared" si="10"/>
        <v>31</v>
      </c>
      <c r="AR74" s="1">
        <f t="shared" si="10"/>
        <v>3</v>
      </c>
      <c r="AS74" s="1">
        <f t="shared" si="10"/>
        <v>53</v>
      </c>
      <c r="AT74" s="1">
        <f t="shared" si="10"/>
        <v>57</v>
      </c>
      <c r="AU74" s="1">
        <f t="shared" si="10"/>
        <v>66</v>
      </c>
      <c r="AV74" s="1">
        <f t="shared" si="10"/>
        <v>74</v>
      </c>
      <c r="AW74" s="1">
        <f t="shared" si="10"/>
        <v>0</v>
      </c>
      <c r="AX74" s="1">
        <f t="shared" si="10"/>
        <v>15</v>
      </c>
      <c r="AY74" s="1">
        <f t="shared" si="10"/>
        <v>23</v>
      </c>
      <c r="AZ74" s="1">
        <f t="shared" si="10"/>
        <v>-12</v>
      </c>
      <c r="BA74" s="1">
        <f t="shared" si="10"/>
        <v>0</v>
      </c>
      <c r="BB74" s="1">
        <f t="shared" si="10"/>
        <v>-17</v>
      </c>
      <c r="BC74" s="1">
        <f t="shared" si="10"/>
        <v>-1</v>
      </c>
      <c r="BD74" s="1">
        <f t="shared" si="10"/>
        <v>20</v>
      </c>
      <c r="BE74" s="1">
        <f t="shared" si="10"/>
        <v>205</v>
      </c>
      <c r="BF74" s="1">
        <f t="shared" si="10"/>
        <v>396</v>
      </c>
      <c r="BG74" s="1">
        <f t="shared" si="10"/>
        <v>312</v>
      </c>
      <c r="BH74" s="1">
        <f t="shared" si="10"/>
        <v>330</v>
      </c>
      <c r="BI74" s="1">
        <f t="shared" si="10"/>
        <v>162</v>
      </c>
      <c r="BJ74" s="1">
        <f t="shared" si="10"/>
        <v>195</v>
      </c>
      <c r="BK74" s="1">
        <f t="shared" si="10"/>
        <v>81</v>
      </c>
      <c r="BL74" s="1">
        <f t="shared" si="10"/>
        <v>77</v>
      </c>
      <c r="BM74" s="1">
        <f t="shared" si="10"/>
        <v>274</v>
      </c>
      <c r="BN74" s="1">
        <f t="shared" si="10"/>
        <v>91</v>
      </c>
      <c r="BO74" s="1">
        <f t="shared" si="10"/>
        <v>-47</v>
      </c>
      <c r="BP74" s="1">
        <f t="shared" si="10"/>
        <v>167</v>
      </c>
      <c r="BQ74" s="1"/>
      <c r="BR74" s="1"/>
      <c r="BS74" s="17"/>
      <c r="BT74" s="17"/>
    </row>
    <row r="75" spans="1:74" s="13" customFormat="1">
      <c r="A75" s="1"/>
      <c r="B75" s="3" t="s">
        <v>115</v>
      </c>
      <c r="C75" s="1"/>
      <c r="D75" s="1"/>
      <c r="E75" s="1">
        <f t="shared" ref="E75:AJ75" si="11">E70-E73</f>
        <v>42</v>
      </c>
      <c r="F75" s="1">
        <f t="shared" si="11"/>
        <v>146</v>
      </c>
      <c r="G75" s="1">
        <f t="shared" si="11"/>
        <v>-3</v>
      </c>
      <c r="H75" s="1">
        <f t="shared" si="11"/>
        <v>-7</v>
      </c>
      <c r="I75" s="1">
        <f t="shared" si="11"/>
        <v>190</v>
      </c>
      <c r="J75" s="1">
        <f t="shared" si="11"/>
        <v>156</v>
      </c>
      <c r="K75" s="1">
        <f t="shared" si="11"/>
        <v>119</v>
      </c>
      <c r="L75" s="1">
        <f t="shared" si="11"/>
        <v>120</v>
      </c>
      <c r="M75" s="1">
        <f t="shared" si="11"/>
        <v>135</v>
      </c>
      <c r="N75" s="1">
        <f t="shared" si="11"/>
        <v>199</v>
      </c>
      <c r="O75" s="1">
        <f t="shared" si="11"/>
        <v>115</v>
      </c>
      <c r="P75" s="1">
        <f t="shared" si="11"/>
        <v>168</v>
      </c>
      <c r="Q75" s="1">
        <f t="shared" si="11"/>
        <v>-5</v>
      </c>
      <c r="R75" s="1">
        <f t="shared" si="11"/>
        <v>-1</v>
      </c>
      <c r="S75" s="1">
        <f t="shared" si="11"/>
        <v>228</v>
      </c>
      <c r="T75" s="1">
        <f t="shared" si="11"/>
        <v>27</v>
      </c>
      <c r="U75" s="1">
        <f t="shared" si="11"/>
        <v>-2</v>
      </c>
      <c r="V75" s="1">
        <f t="shared" si="11"/>
        <v>145</v>
      </c>
      <c r="W75" s="1">
        <f t="shared" si="11"/>
        <v>-5</v>
      </c>
      <c r="X75" s="1">
        <f t="shared" si="11"/>
        <v>-2</v>
      </c>
      <c r="Y75" s="1">
        <f t="shared" si="11"/>
        <v>139</v>
      </c>
      <c r="Z75" s="1">
        <f t="shared" si="11"/>
        <v>3</v>
      </c>
      <c r="AA75" s="1">
        <f t="shared" si="11"/>
        <v>2</v>
      </c>
      <c r="AB75" s="1">
        <f t="shared" si="11"/>
        <v>215</v>
      </c>
      <c r="AC75" s="1">
        <f t="shared" si="11"/>
        <v>-3</v>
      </c>
      <c r="AD75" s="1">
        <f t="shared" si="11"/>
        <v>4</v>
      </c>
      <c r="AE75" s="1">
        <f t="shared" si="11"/>
        <v>-18</v>
      </c>
      <c r="AF75" s="1">
        <f t="shared" si="11"/>
        <v>0</v>
      </c>
      <c r="AG75" s="1">
        <f t="shared" si="11"/>
        <v>3</v>
      </c>
      <c r="AH75" s="1">
        <f t="shared" si="11"/>
        <v>-5</v>
      </c>
      <c r="AI75" s="1">
        <f t="shared" si="11"/>
        <v>-5</v>
      </c>
      <c r="AJ75" s="1">
        <f t="shared" si="11"/>
        <v>-5</v>
      </c>
      <c r="AK75" s="1">
        <f t="shared" ref="AK75:BP75" si="12">AK70-AK73</f>
        <v>23</v>
      </c>
      <c r="AL75" s="1">
        <f t="shared" si="12"/>
        <v>33</v>
      </c>
      <c r="AM75" s="1">
        <f t="shared" si="12"/>
        <v>0</v>
      </c>
      <c r="AN75" s="1">
        <f t="shared" si="12"/>
        <v>11</v>
      </c>
      <c r="AO75" s="1">
        <f t="shared" si="12"/>
        <v>0</v>
      </c>
      <c r="AP75" s="1">
        <f t="shared" si="12"/>
        <v>8</v>
      </c>
      <c r="AQ75" s="1">
        <f t="shared" si="12"/>
        <v>31</v>
      </c>
      <c r="AR75" s="1">
        <f t="shared" si="12"/>
        <v>33</v>
      </c>
      <c r="AS75" s="1">
        <f t="shared" si="12"/>
        <v>53</v>
      </c>
      <c r="AT75" s="1">
        <f t="shared" si="12"/>
        <v>57</v>
      </c>
      <c r="AU75" s="1">
        <f t="shared" si="12"/>
        <v>66</v>
      </c>
      <c r="AV75" s="1">
        <f t="shared" si="12"/>
        <v>104</v>
      </c>
      <c r="AW75" s="1">
        <f t="shared" si="12"/>
        <v>0</v>
      </c>
      <c r="AX75" s="1">
        <f t="shared" si="12"/>
        <v>15</v>
      </c>
      <c r="AY75" s="1">
        <f t="shared" si="12"/>
        <v>23</v>
      </c>
      <c r="AZ75" s="1">
        <f t="shared" si="12"/>
        <v>-12</v>
      </c>
      <c r="BA75" s="1">
        <f t="shared" si="12"/>
        <v>0</v>
      </c>
      <c r="BB75" s="1">
        <f t="shared" si="12"/>
        <v>-17</v>
      </c>
      <c r="BC75" s="1">
        <f t="shared" si="12"/>
        <v>-1</v>
      </c>
      <c r="BD75" s="1">
        <f t="shared" si="12"/>
        <v>20</v>
      </c>
      <c r="BE75" s="1">
        <f t="shared" si="12"/>
        <v>205</v>
      </c>
      <c r="BF75" s="1">
        <f t="shared" si="12"/>
        <v>396</v>
      </c>
      <c r="BG75" s="1">
        <f t="shared" si="12"/>
        <v>312</v>
      </c>
      <c r="BH75" s="1">
        <f t="shared" si="12"/>
        <v>330</v>
      </c>
      <c r="BI75" s="1">
        <f t="shared" si="12"/>
        <v>162</v>
      </c>
      <c r="BJ75" s="1">
        <f t="shared" si="12"/>
        <v>195</v>
      </c>
      <c r="BK75" s="1">
        <f t="shared" si="12"/>
        <v>81</v>
      </c>
      <c r="BL75" s="1">
        <f t="shared" si="12"/>
        <v>77</v>
      </c>
      <c r="BM75" s="1">
        <f t="shared" si="12"/>
        <v>274</v>
      </c>
      <c r="BN75" s="1">
        <f t="shared" si="12"/>
        <v>91</v>
      </c>
      <c r="BO75" s="1">
        <f t="shared" si="12"/>
        <v>-47</v>
      </c>
      <c r="BP75" s="1">
        <f t="shared" si="12"/>
        <v>167</v>
      </c>
      <c r="BQ75" s="1"/>
      <c r="BR75" s="1"/>
      <c r="BS75" s="17"/>
      <c r="BT75" s="17"/>
    </row>
    <row r="76" spans="1:74">
      <c r="AQ76" s="7" t="s">
        <v>130</v>
      </c>
      <c r="AR76" s="7" t="s">
        <v>133</v>
      </c>
      <c r="AS76" s="7" t="s">
        <v>134</v>
      </c>
      <c r="AT76" s="7" t="s">
        <v>131</v>
      </c>
      <c r="AU76" s="7" t="s">
        <v>132</v>
      </c>
      <c r="AV76" s="7" t="s">
        <v>129</v>
      </c>
      <c r="AW76" s="7" t="s">
        <v>135</v>
      </c>
      <c r="AX76" s="7" t="s">
        <v>136</v>
      </c>
      <c r="AY76" s="7" t="s">
        <v>137</v>
      </c>
      <c r="AZ76" s="7" t="s">
        <v>138</v>
      </c>
      <c r="BA76" s="7" t="s">
        <v>139</v>
      </c>
      <c r="BB76" s="7" t="s">
        <v>140</v>
      </c>
    </row>
  </sheetData>
  <autoFilter ref="A1:BV76">
    <sortState ref="A2:BV78">
      <sortCondition ref="BS2:BS78"/>
      <sortCondition ref="BR2:BR78"/>
    </sortState>
  </autoFilter>
  <sortState ref="A2:CT148">
    <sortCondition ref="BS2:BS148"/>
    <sortCondition ref="BR2:BR148"/>
  </sortState>
  <phoneticPr fontId="1" type="noConversion"/>
  <conditionalFormatting sqref="E72:BC72 BE72:BP72">
    <cfRule type="expression" dxfId="13" priority="13">
      <formula>"&lt;=$E$135"</formula>
    </cfRule>
  </conditionalFormatting>
  <conditionalFormatting sqref="E74:BC75 BE74:BP75">
    <cfRule type="cellIs" dxfId="12" priority="4" operator="lessThan">
      <formula>0</formula>
    </cfRule>
  </conditionalFormatting>
  <conditionalFormatting sqref="E71:BC71 BE71:BP71">
    <cfRule type="cellIs" dxfId="11" priority="5" operator="lessThan">
      <formula>0</formula>
    </cfRule>
  </conditionalFormatting>
  <conditionalFormatting sqref="BD72">
    <cfRule type="expression" dxfId="10" priority="3">
      <formula>"&lt;=$E$135"</formula>
    </cfRule>
  </conditionalFormatting>
  <conditionalFormatting sqref="BD74:BD75">
    <cfRule type="cellIs" dxfId="9" priority="1" operator="lessThan">
      <formula>0</formula>
    </cfRule>
  </conditionalFormatting>
  <conditionalFormatting sqref="BD71">
    <cfRule type="cellIs" dxfId="8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75</xdr:row>
                    <xdr:rowOff>28575</xdr:rowOff>
                  </from>
                  <to>
                    <xdr:col>1</xdr:col>
                    <xdr:colOff>428625</xdr:colOff>
                    <xdr:row>76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V13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B5" sqref="B5"/>
    </sheetView>
  </sheetViews>
  <sheetFormatPr defaultRowHeight="13.5"/>
  <cols>
    <col min="1" max="1" width="9.75" bestFit="1" customWidth="1"/>
    <col min="2" max="2" width="15.125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53" width="12.625" style="7" customWidth="1"/>
    <col min="54" max="54" width="14.75" style="7" customWidth="1"/>
    <col min="55" max="55" width="18.125" style="7" customWidth="1"/>
    <col min="56" max="62" width="15.875" bestFit="1" customWidth="1"/>
    <col min="63" max="68" width="18.125" bestFit="1" customWidth="1"/>
    <col min="69" max="69" width="9.75" bestFit="1" customWidth="1"/>
    <col min="70" max="70" width="7.5" customWidth="1"/>
    <col min="71" max="71" width="7.625" style="15" customWidth="1"/>
    <col min="72" max="72" width="19.625" style="15" bestFit="1" customWidth="1"/>
  </cols>
  <sheetData>
    <row r="1" spans="1:74" s="13" customFormat="1">
      <c r="A1" s="45" t="s">
        <v>58</v>
      </c>
      <c r="B1" s="45" t="s">
        <v>59</v>
      </c>
      <c r="C1" s="45" t="s">
        <v>61</v>
      </c>
      <c r="D1" s="45" t="s">
        <v>60</v>
      </c>
      <c r="E1" s="46" t="s">
        <v>1</v>
      </c>
      <c r="F1" s="46" t="s">
        <v>2</v>
      </c>
      <c r="G1" s="46" t="s">
        <v>10</v>
      </c>
      <c r="H1" s="46" t="s">
        <v>18</v>
      </c>
      <c r="I1" s="46" t="s">
        <v>19</v>
      </c>
      <c r="J1" s="46" t="s">
        <v>57</v>
      </c>
      <c r="K1" s="46" t="s">
        <v>20</v>
      </c>
      <c r="L1" s="46" t="s">
        <v>35</v>
      </c>
      <c r="M1" s="46" t="s">
        <v>37</v>
      </c>
      <c r="N1" s="46" t="s">
        <v>40</v>
      </c>
      <c r="O1" s="46" t="s">
        <v>36</v>
      </c>
      <c r="P1" s="47" t="s">
        <v>89</v>
      </c>
      <c r="Q1" s="47" t="s">
        <v>101</v>
      </c>
      <c r="R1" s="47" t="s">
        <v>95</v>
      </c>
      <c r="S1" s="47" t="s">
        <v>90</v>
      </c>
      <c r="T1" s="47" t="s">
        <v>99</v>
      </c>
      <c r="U1" s="47" t="s">
        <v>103</v>
      </c>
      <c r="V1" s="47" t="s">
        <v>91</v>
      </c>
      <c r="W1" s="47" t="s">
        <v>98</v>
      </c>
      <c r="X1" s="47" t="s">
        <v>96</v>
      </c>
      <c r="Y1" s="47" t="s">
        <v>92</v>
      </c>
      <c r="Z1" s="47" t="s">
        <v>100</v>
      </c>
      <c r="AA1" s="47" t="s">
        <v>104</v>
      </c>
      <c r="AB1" s="47" t="s">
        <v>94</v>
      </c>
      <c r="AC1" s="47" t="s">
        <v>93</v>
      </c>
      <c r="AD1" s="47" t="s">
        <v>109</v>
      </c>
      <c r="AE1" s="45" t="s">
        <v>7</v>
      </c>
      <c r="AF1" s="45" t="s">
        <v>23</v>
      </c>
      <c r="AG1" s="45" t="s">
        <v>24</v>
      </c>
      <c r="AH1" s="45" t="s">
        <v>48</v>
      </c>
      <c r="AI1" s="45" t="s">
        <v>49</v>
      </c>
      <c r="AJ1" s="45" t="s">
        <v>51</v>
      </c>
      <c r="AK1" s="45" t="s">
        <v>52</v>
      </c>
      <c r="AL1" s="45" t="s">
        <v>54</v>
      </c>
      <c r="AM1" s="45" t="s">
        <v>41</v>
      </c>
      <c r="AN1" s="45" t="s">
        <v>42</v>
      </c>
      <c r="AO1" s="45" t="s">
        <v>78</v>
      </c>
      <c r="AP1" s="45" t="s">
        <v>79</v>
      </c>
      <c r="AQ1" s="48" t="s">
        <v>33</v>
      </c>
      <c r="AR1" s="48" t="s">
        <v>3</v>
      </c>
      <c r="AS1" s="48" t="s">
        <v>22</v>
      </c>
      <c r="AT1" s="48" t="s">
        <v>44</v>
      </c>
      <c r="AU1" s="48" t="s">
        <v>46</v>
      </c>
      <c r="AV1" s="48" t="s">
        <v>39</v>
      </c>
      <c r="AW1" s="49" t="s">
        <v>4</v>
      </c>
      <c r="AX1" s="49" t="s">
        <v>5</v>
      </c>
      <c r="AY1" s="49" t="s">
        <v>34</v>
      </c>
      <c r="AZ1" s="49" t="s">
        <v>6</v>
      </c>
      <c r="BA1" s="49" t="s">
        <v>38</v>
      </c>
      <c r="BB1" s="49" t="s">
        <v>9</v>
      </c>
      <c r="BC1" s="50" t="s">
        <v>76</v>
      </c>
      <c r="BD1" s="45" t="s">
        <v>159</v>
      </c>
      <c r="BE1" s="45" t="s">
        <v>14</v>
      </c>
      <c r="BF1" s="45" t="s">
        <v>13</v>
      </c>
      <c r="BG1" s="45" t="s">
        <v>11</v>
      </c>
      <c r="BH1" s="45" t="s">
        <v>12</v>
      </c>
      <c r="BI1" s="45" t="s">
        <v>15</v>
      </c>
      <c r="BJ1" s="45" t="s">
        <v>16</v>
      </c>
      <c r="BK1" s="45" t="s">
        <v>26</v>
      </c>
      <c r="BL1" s="45" t="s">
        <v>27</v>
      </c>
      <c r="BM1" s="45" t="s">
        <v>28</v>
      </c>
      <c r="BN1" s="45" t="s">
        <v>29</v>
      </c>
      <c r="BO1" s="45" t="s">
        <v>30</v>
      </c>
      <c r="BP1" s="45" t="s">
        <v>31</v>
      </c>
      <c r="BQ1" s="51" t="s">
        <v>65</v>
      </c>
      <c r="BR1" s="45" t="s">
        <v>66</v>
      </c>
      <c r="BS1" s="52" t="s">
        <v>67</v>
      </c>
      <c r="BT1" s="52"/>
      <c r="BU1" s="53" t="s">
        <v>149</v>
      </c>
      <c r="BV1" s="53"/>
    </row>
    <row r="2" spans="1:74" s="60" customFormat="1">
      <c r="A2" s="58"/>
      <c r="B2" s="59" t="s">
        <v>143</v>
      </c>
      <c r="C2" s="59" t="s">
        <v>21</v>
      </c>
      <c r="D2" s="58" t="s">
        <v>17</v>
      </c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28">
        <v>10</v>
      </c>
      <c r="Q2" s="28"/>
      <c r="R2" s="28"/>
      <c r="S2" s="28">
        <v>10</v>
      </c>
      <c r="T2" s="28"/>
      <c r="U2" s="28"/>
      <c r="V2" s="28"/>
      <c r="W2" s="28">
        <v>5</v>
      </c>
      <c r="X2" s="28"/>
      <c r="Y2" s="28"/>
      <c r="Z2" s="28"/>
      <c r="AA2" s="28"/>
      <c r="AB2" s="28">
        <v>10</v>
      </c>
      <c r="AC2" s="28"/>
      <c r="AD2" s="28"/>
      <c r="AE2" s="58"/>
      <c r="AF2" s="58"/>
      <c r="AG2" s="58"/>
      <c r="AH2" s="58"/>
      <c r="AI2" s="58"/>
      <c r="AJ2" s="58"/>
      <c r="AK2" s="58"/>
      <c r="AL2" s="58"/>
      <c r="AM2" s="58"/>
      <c r="AN2" s="58"/>
      <c r="AO2" s="58"/>
      <c r="AP2" s="58"/>
      <c r="AQ2" s="20"/>
      <c r="AR2" s="20"/>
      <c r="AS2" s="20"/>
      <c r="AT2" s="20"/>
      <c r="AU2" s="20"/>
      <c r="AV2" s="20"/>
      <c r="AW2" s="21"/>
      <c r="AX2" s="21"/>
      <c r="AY2" s="21"/>
      <c r="AZ2" s="21"/>
      <c r="BA2" s="21"/>
      <c r="BB2" s="21"/>
      <c r="BC2" s="25"/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O2" s="58"/>
      <c r="BP2" s="58"/>
      <c r="BQ2" s="58">
        <f t="shared" ref="BQ2:BQ3" si="0">SUM(E2:BP2)</f>
        <v>35</v>
      </c>
      <c r="BR2" s="58">
        <v>2</v>
      </c>
      <c r="BS2" s="22">
        <v>1</v>
      </c>
      <c r="BT2" s="22" t="s">
        <v>186</v>
      </c>
      <c r="BU2" s="23">
        <f t="shared" ref="BU2:BU3" si="1">SUM(P2:AD2)</f>
        <v>35</v>
      </c>
      <c r="BV2" s="23">
        <f t="shared" ref="BV2:BV3" si="2">AF2+AH2+AI2+AJ2+AO2+AP2</f>
        <v>0</v>
      </c>
    </row>
    <row r="3" spans="1:74" s="23" customFormat="1" ht="27">
      <c r="A3" s="58"/>
      <c r="B3" s="59" t="s">
        <v>143</v>
      </c>
      <c r="C3" s="59" t="s">
        <v>21</v>
      </c>
      <c r="D3" s="58" t="s">
        <v>0</v>
      </c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28"/>
      <c r="Q3" s="28">
        <v>5</v>
      </c>
      <c r="R3" s="28"/>
      <c r="S3" s="28"/>
      <c r="T3" s="28">
        <v>5</v>
      </c>
      <c r="U3" s="28"/>
      <c r="V3" s="28"/>
      <c r="W3" s="28"/>
      <c r="X3" s="28">
        <v>2</v>
      </c>
      <c r="Y3" s="28"/>
      <c r="Z3" s="28">
        <v>5</v>
      </c>
      <c r="AA3" s="28"/>
      <c r="AB3" s="28"/>
      <c r="AC3" s="28"/>
      <c r="AD3" s="28"/>
      <c r="AE3" s="58"/>
      <c r="AF3" s="58"/>
      <c r="AG3" s="58"/>
      <c r="AH3" s="58"/>
      <c r="AI3" s="58"/>
      <c r="AJ3" s="58"/>
      <c r="AK3" s="58"/>
      <c r="AL3" s="58"/>
      <c r="AM3" s="58"/>
      <c r="AN3" s="58"/>
      <c r="AO3" s="58"/>
      <c r="AP3" s="58"/>
      <c r="AQ3" s="20"/>
      <c r="AR3" s="20"/>
      <c r="AS3" s="20"/>
      <c r="AT3" s="20"/>
      <c r="AU3" s="20"/>
      <c r="AV3" s="20"/>
      <c r="AW3" s="21"/>
      <c r="AX3" s="21"/>
      <c r="AY3" s="21"/>
      <c r="AZ3" s="21"/>
      <c r="BA3" s="21"/>
      <c r="BB3" s="21"/>
      <c r="BC3" s="25"/>
      <c r="BD3" s="58"/>
      <c r="BE3" s="58"/>
      <c r="BF3" s="58"/>
      <c r="BG3" s="58"/>
      <c r="BH3" s="58"/>
      <c r="BI3" s="58"/>
      <c r="BJ3" s="58"/>
      <c r="BK3" s="58"/>
      <c r="BL3" s="58"/>
      <c r="BM3" s="58"/>
      <c r="BN3" s="58"/>
      <c r="BO3" s="58"/>
      <c r="BP3" s="58"/>
      <c r="BQ3" s="58">
        <f t="shared" si="0"/>
        <v>17</v>
      </c>
      <c r="BR3" s="58">
        <v>7</v>
      </c>
      <c r="BS3" s="22">
        <v>2</v>
      </c>
      <c r="BT3" s="22" t="s">
        <v>182</v>
      </c>
      <c r="BU3" s="23">
        <f t="shared" si="1"/>
        <v>17</v>
      </c>
      <c r="BV3" s="23">
        <f t="shared" si="2"/>
        <v>0</v>
      </c>
    </row>
    <row r="4" spans="1:74" s="23" customFormat="1" ht="27">
      <c r="A4" s="58"/>
      <c r="B4" s="59" t="s">
        <v>143</v>
      </c>
      <c r="C4" s="59" t="s">
        <v>21</v>
      </c>
      <c r="D4" s="58" t="s">
        <v>142</v>
      </c>
      <c r="E4" s="19"/>
      <c r="F4" s="19"/>
      <c r="G4" s="19"/>
      <c r="H4" s="19"/>
      <c r="I4" s="19"/>
      <c r="J4" s="19"/>
      <c r="K4" s="19"/>
      <c r="L4" s="19"/>
      <c r="M4" s="19">
        <v>10</v>
      </c>
      <c r="N4" s="19"/>
      <c r="O4" s="19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>
        <v>10</v>
      </c>
      <c r="AB4" s="28"/>
      <c r="AC4" s="28"/>
      <c r="AD4" s="28">
        <v>10</v>
      </c>
      <c r="AE4" s="58"/>
      <c r="AF4" s="58"/>
      <c r="AG4" s="58"/>
      <c r="AH4" s="58"/>
      <c r="AI4" s="58"/>
      <c r="AJ4" s="58"/>
      <c r="AK4" s="58"/>
      <c r="AL4" s="58"/>
      <c r="AM4" s="58"/>
      <c r="AN4" s="58"/>
      <c r="AO4" s="58"/>
      <c r="AP4" s="58"/>
      <c r="AQ4" s="20"/>
      <c r="AR4" s="20"/>
      <c r="AS4" s="20">
        <v>10</v>
      </c>
      <c r="AT4" s="20"/>
      <c r="AU4" s="20"/>
      <c r="AV4" s="20"/>
      <c r="AW4" s="21"/>
      <c r="AX4" s="21"/>
      <c r="AY4" s="21"/>
      <c r="AZ4" s="21"/>
      <c r="BA4" s="21"/>
      <c r="BB4" s="21"/>
      <c r="BC4" s="25"/>
      <c r="BD4" s="58"/>
      <c r="BE4" s="58"/>
      <c r="BF4" s="58"/>
      <c r="BG4" s="58"/>
      <c r="BH4" s="58"/>
      <c r="BI4" s="58"/>
      <c r="BJ4" s="58"/>
      <c r="BK4" s="58"/>
      <c r="BL4" s="58"/>
      <c r="BM4" s="58"/>
      <c r="BN4" s="58"/>
      <c r="BO4" s="58"/>
      <c r="BP4" s="58"/>
      <c r="BQ4" s="58">
        <f t="shared" ref="BQ4:BQ5" si="3">SUM(E4:BP4)</f>
        <v>40</v>
      </c>
      <c r="BR4" s="58">
        <v>19</v>
      </c>
      <c r="BS4" s="22">
        <v>2</v>
      </c>
      <c r="BT4" s="22" t="s">
        <v>183</v>
      </c>
      <c r="BU4" s="23">
        <f t="shared" ref="BU4:BU5" si="4">SUM(P4:AD4)</f>
        <v>20</v>
      </c>
      <c r="BV4" s="23">
        <f t="shared" ref="BV4:BV5" si="5">AF4+AH4+AI4+AJ4+AO4+AP4</f>
        <v>0</v>
      </c>
    </row>
    <row r="5" spans="1:74" s="23" customFormat="1" ht="40.5">
      <c r="A5" s="58"/>
      <c r="B5" s="59" t="s">
        <v>171</v>
      </c>
      <c r="C5" s="59" t="s">
        <v>145</v>
      </c>
      <c r="D5" s="58" t="s">
        <v>142</v>
      </c>
      <c r="E5" s="19"/>
      <c r="F5" s="19"/>
      <c r="G5" s="19">
        <v>10</v>
      </c>
      <c r="H5" s="19"/>
      <c r="I5" s="19"/>
      <c r="J5" s="19"/>
      <c r="K5" s="19"/>
      <c r="L5" s="19"/>
      <c r="M5" s="19"/>
      <c r="N5" s="19"/>
      <c r="O5" s="19"/>
      <c r="P5" s="28"/>
      <c r="Q5" s="28"/>
      <c r="R5" s="28"/>
      <c r="S5" s="28"/>
      <c r="T5" s="28"/>
      <c r="U5" s="28"/>
      <c r="V5" s="28"/>
      <c r="W5" s="28"/>
      <c r="X5" s="28">
        <v>10</v>
      </c>
      <c r="Y5" s="28"/>
      <c r="Z5" s="28"/>
      <c r="AA5" s="28"/>
      <c r="AB5" s="28"/>
      <c r="AC5" s="28"/>
      <c r="AD5" s="28">
        <v>10</v>
      </c>
      <c r="AE5" s="58"/>
      <c r="AF5" s="58"/>
      <c r="AG5" s="58"/>
      <c r="AH5" s="58"/>
      <c r="AI5" s="58"/>
      <c r="AJ5" s="58"/>
      <c r="AK5" s="58"/>
      <c r="AL5" s="58"/>
      <c r="AM5" s="58"/>
      <c r="AN5" s="58"/>
      <c r="AO5" s="58"/>
      <c r="AP5" s="58"/>
      <c r="AQ5" s="20"/>
      <c r="AR5" s="20"/>
      <c r="AS5" s="20"/>
      <c r="AT5" s="20"/>
      <c r="AU5" s="20"/>
      <c r="AV5" s="20">
        <v>10</v>
      </c>
      <c r="AW5" s="21"/>
      <c r="AX5" s="21"/>
      <c r="AY5" s="21"/>
      <c r="AZ5" s="21"/>
      <c r="BA5" s="21"/>
      <c r="BB5" s="21"/>
      <c r="BC5" s="25"/>
      <c r="BD5" s="58"/>
      <c r="BE5" s="58"/>
      <c r="BF5" s="58"/>
      <c r="BG5" s="58"/>
      <c r="BH5" s="58"/>
      <c r="BI5" s="58"/>
      <c r="BJ5" s="58"/>
      <c r="BK5" s="58"/>
      <c r="BL5" s="58"/>
      <c r="BM5" s="58"/>
      <c r="BN5" s="58"/>
      <c r="BO5" s="58"/>
      <c r="BP5" s="58"/>
      <c r="BQ5" s="58">
        <f t="shared" si="3"/>
        <v>40</v>
      </c>
      <c r="BR5" s="58">
        <v>30</v>
      </c>
      <c r="BS5" s="22">
        <v>3</v>
      </c>
      <c r="BT5" s="22" t="s">
        <v>187</v>
      </c>
      <c r="BU5" s="23">
        <f t="shared" si="4"/>
        <v>20</v>
      </c>
      <c r="BV5" s="23">
        <f t="shared" si="5"/>
        <v>0</v>
      </c>
    </row>
    <row r="6" spans="1:74">
      <c r="A6" s="54"/>
      <c r="B6" s="54" t="s">
        <v>47</v>
      </c>
      <c r="C6" s="54"/>
      <c r="D6" s="54"/>
      <c r="E6" s="36">
        <f t="shared" ref="E6:AJ6" si="6">SUM(E2:E5)</f>
        <v>0</v>
      </c>
      <c r="F6" s="36">
        <f t="shared" si="6"/>
        <v>0</v>
      </c>
      <c r="G6" s="36">
        <f t="shared" si="6"/>
        <v>10</v>
      </c>
      <c r="H6" s="36">
        <f t="shared" si="6"/>
        <v>0</v>
      </c>
      <c r="I6" s="36">
        <f t="shared" si="6"/>
        <v>0</v>
      </c>
      <c r="J6" s="36">
        <f t="shared" si="6"/>
        <v>0</v>
      </c>
      <c r="K6" s="36">
        <f t="shared" si="6"/>
        <v>0</v>
      </c>
      <c r="L6" s="36">
        <f t="shared" si="6"/>
        <v>0</v>
      </c>
      <c r="M6" s="36">
        <f t="shared" si="6"/>
        <v>10</v>
      </c>
      <c r="N6" s="36">
        <f t="shared" si="6"/>
        <v>0</v>
      </c>
      <c r="O6" s="36">
        <f t="shared" si="6"/>
        <v>0</v>
      </c>
      <c r="P6" s="37">
        <f t="shared" si="6"/>
        <v>10</v>
      </c>
      <c r="Q6" s="37">
        <f t="shared" si="6"/>
        <v>5</v>
      </c>
      <c r="R6" s="37">
        <f t="shared" si="6"/>
        <v>0</v>
      </c>
      <c r="S6" s="37">
        <f t="shared" si="6"/>
        <v>10</v>
      </c>
      <c r="T6" s="37">
        <f t="shared" si="6"/>
        <v>5</v>
      </c>
      <c r="U6" s="37">
        <f t="shared" si="6"/>
        <v>0</v>
      </c>
      <c r="V6" s="37">
        <f t="shared" si="6"/>
        <v>0</v>
      </c>
      <c r="W6" s="37">
        <f t="shared" si="6"/>
        <v>5</v>
      </c>
      <c r="X6" s="37">
        <f t="shared" si="6"/>
        <v>12</v>
      </c>
      <c r="Y6" s="37">
        <f t="shared" si="6"/>
        <v>0</v>
      </c>
      <c r="Z6" s="37">
        <f t="shared" si="6"/>
        <v>5</v>
      </c>
      <c r="AA6" s="37">
        <f t="shared" si="6"/>
        <v>10</v>
      </c>
      <c r="AB6" s="37">
        <f t="shared" si="6"/>
        <v>10</v>
      </c>
      <c r="AC6" s="37">
        <f t="shared" si="6"/>
        <v>0</v>
      </c>
      <c r="AD6" s="37">
        <f t="shared" si="6"/>
        <v>20</v>
      </c>
      <c r="AE6" s="54">
        <f t="shared" si="6"/>
        <v>0</v>
      </c>
      <c r="AF6" s="54">
        <f t="shared" si="6"/>
        <v>0</v>
      </c>
      <c r="AG6" s="54">
        <f t="shared" si="6"/>
        <v>0</v>
      </c>
      <c r="AH6" s="54">
        <f t="shared" si="6"/>
        <v>0</v>
      </c>
      <c r="AI6" s="54">
        <f t="shared" si="6"/>
        <v>0</v>
      </c>
      <c r="AJ6" s="54">
        <f t="shared" si="6"/>
        <v>0</v>
      </c>
      <c r="AK6" s="54">
        <f t="shared" ref="AK6:BP6" si="7">SUM(AK2:AK5)</f>
        <v>0</v>
      </c>
      <c r="AL6" s="54">
        <f t="shared" si="7"/>
        <v>0</v>
      </c>
      <c r="AM6" s="54">
        <f t="shared" si="7"/>
        <v>0</v>
      </c>
      <c r="AN6" s="54">
        <f t="shared" si="7"/>
        <v>0</v>
      </c>
      <c r="AO6" s="54">
        <f t="shared" si="7"/>
        <v>0</v>
      </c>
      <c r="AP6" s="54">
        <f t="shared" si="7"/>
        <v>0</v>
      </c>
      <c r="AQ6" s="38">
        <f t="shared" si="7"/>
        <v>0</v>
      </c>
      <c r="AR6" s="38">
        <f t="shared" si="7"/>
        <v>0</v>
      </c>
      <c r="AS6" s="38">
        <f t="shared" si="7"/>
        <v>10</v>
      </c>
      <c r="AT6" s="38">
        <f t="shared" si="7"/>
        <v>0</v>
      </c>
      <c r="AU6" s="38">
        <f t="shared" si="7"/>
        <v>0</v>
      </c>
      <c r="AV6" s="38">
        <f t="shared" si="7"/>
        <v>10</v>
      </c>
      <c r="AW6" s="39">
        <f t="shared" si="7"/>
        <v>0</v>
      </c>
      <c r="AX6" s="39">
        <f t="shared" si="7"/>
        <v>0</v>
      </c>
      <c r="AY6" s="39">
        <f t="shared" si="7"/>
        <v>0</v>
      </c>
      <c r="AZ6" s="39">
        <f t="shared" si="7"/>
        <v>0</v>
      </c>
      <c r="BA6" s="39">
        <f t="shared" si="7"/>
        <v>0</v>
      </c>
      <c r="BB6" s="39">
        <f t="shared" si="7"/>
        <v>0</v>
      </c>
      <c r="BC6" s="54">
        <f t="shared" si="7"/>
        <v>0</v>
      </c>
      <c r="BD6" s="54">
        <f t="shared" si="7"/>
        <v>0</v>
      </c>
      <c r="BE6" s="54">
        <f t="shared" si="7"/>
        <v>0</v>
      </c>
      <c r="BF6" s="54">
        <f t="shared" si="7"/>
        <v>0</v>
      </c>
      <c r="BG6" s="54">
        <f t="shared" si="7"/>
        <v>0</v>
      </c>
      <c r="BH6" s="54">
        <f t="shared" si="7"/>
        <v>0</v>
      </c>
      <c r="BI6" s="54">
        <f t="shared" si="7"/>
        <v>0</v>
      </c>
      <c r="BJ6" s="54">
        <f t="shared" si="7"/>
        <v>0</v>
      </c>
      <c r="BK6" s="54">
        <f t="shared" si="7"/>
        <v>0</v>
      </c>
      <c r="BL6" s="54">
        <f t="shared" si="7"/>
        <v>0</v>
      </c>
      <c r="BM6" s="54">
        <f t="shared" si="7"/>
        <v>0</v>
      </c>
      <c r="BN6" s="54">
        <f t="shared" si="7"/>
        <v>0</v>
      </c>
      <c r="BO6" s="54">
        <f t="shared" si="7"/>
        <v>0</v>
      </c>
      <c r="BP6" s="54">
        <f t="shared" si="7"/>
        <v>0</v>
      </c>
      <c r="BQ6" s="54"/>
      <c r="BR6" s="54"/>
      <c r="BS6" s="41"/>
      <c r="BT6" s="41"/>
      <c r="BU6" s="42"/>
      <c r="BV6" s="42"/>
    </row>
    <row r="7" spans="1:74">
      <c r="A7" s="54"/>
      <c r="B7" s="55" t="s">
        <v>64</v>
      </c>
      <c r="C7" s="54"/>
      <c r="D7" s="54"/>
      <c r="E7" s="54">
        <v>14</v>
      </c>
      <c r="F7" s="54">
        <v>67</v>
      </c>
      <c r="G7" s="54">
        <v>0</v>
      </c>
      <c r="H7" s="54">
        <v>0</v>
      </c>
      <c r="I7" s="54">
        <v>130</v>
      </c>
      <c r="J7" s="54">
        <v>130</v>
      </c>
      <c r="K7" s="54">
        <v>102</v>
      </c>
      <c r="L7" s="54">
        <v>86</v>
      </c>
      <c r="M7" s="54">
        <v>93</v>
      </c>
      <c r="N7" s="54">
        <v>153</v>
      </c>
      <c r="O7" s="54">
        <v>77</v>
      </c>
      <c r="P7" s="40">
        <v>268</v>
      </c>
      <c r="Q7" s="40">
        <v>97</v>
      </c>
      <c r="R7" s="40">
        <v>30</v>
      </c>
      <c r="S7" s="40">
        <v>328</v>
      </c>
      <c r="T7" s="40">
        <v>114</v>
      </c>
      <c r="U7" s="40">
        <v>31</v>
      </c>
      <c r="V7" s="40">
        <v>229</v>
      </c>
      <c r="W7" s="40">
        <v>100</v>
      </c>
      <c r="X7" s="40">
        <v>22</v>
      </c>
      <c r="Y7" s="40">
        <v>223</v>
      </c>
      <c r="Z7" s="40">
        <v>108</v>
      </c>
      <c r="AA7" s="40">
        <v>23</v>
      </c>
      <c r="AB7" s="40">
        <v>315</v>
      </c>
      <c r="AC7" s="40">
        <v>87</v>
      </c>
      <c r="AD7" s="40">
        <v>18</v>
      </c>
      <c r="AE7" s="54">
        <v>28</v>
      </c>
      <c r="AF7" s="54">
        <v>3</v>
      </c>
      <c r="AG7" s="54">
        <v>3</v>
      </c>
      <c r="AH7" s="54">
        <v>0</v>
      </c>
      <c r="AI7" s="54">
        <v>0</v>
      </c>
      <c r="AJ7" s="54">
        <v>0</v>
      </c>
      <c r="AK7" s="54">
        <v>23</v>
      </c>
      <c r="AL7" s="54">
        <v>33</v>
      </c>
      <c r="AM7" s="54">
        <v>0</v>
      </c>
      <c r="AN7" s="54">
        <v>7</v>
      </c>
      <c r="AO7" s="54">
        <v>2</v>
      </c>
      <c r="AP7" s="54">
        <v>6</v>
      </c>
      <c r="AQ7" s="40">
        <v>66</v>
      </c>
      <c r="AR7" s="40">
        <v>25</v>
      </c>
      <c r="AS7" s="40">
        <v>56</v>
      </c>
      <c r="AT7" s="40">
        <v>40</v>
      </c>
      <c r="AU7" s="40">
        <v>31</v>
      </c>
      <c r="AV7" s="40">
        <v>146</v>
      </c>
      <c r="AW7" s="40">
        <v>34</v>
      </c>
      <c r="AX7" s="40">
        <v>58</v>
      </c>
      <c r="AY7" s="40">
        <v>0</v>
      </c>
      <c r="AZ7" s="40">
        <v>6</v>
      </c>
      <c r="BA7" s="40">
        <v>15</v>
      </c>
      <c r="BB7" s="40">
        <v>14</v>
      </c>
      <c r="BC7" s="40">
        <v>3</v>
      </c>
      <c r="BD7" s="54">
        <v>2</v>
      </c>
      <c r="BE7" s="54">
        <v>255</v>
      </c>
      <c r="BF7" s="54">
        <v>396</v>
      </c>
      <c r="BG7" s="54">
        <v>312</v>
      </c>
      <c r="BH7" s="54">
        <v>330</v>
      </c>
      <c r="BI7" s="54">
        <v>162</v>
      </c>
      <c r="BJ7" s="54">
        <v>195</v>
      </c>
      <c r="BK7" s="54">
        <v>131</v>
      </c>
      <c r="BL7" s="54">
        <v>127</v>
      </c>
      <c r="BM7" s="54">
        <v>241</v>
      </c>
      <c r="BN7" s="54">
        <v>101</v>
      </c>
      <c r="BO7" s="54">
        <v>3</v>
      </c>
      <c r="BP7" s="54">
        <v>73</v>
      </c>
      <c r="BQ7" s="54"/>
      <c r="BR7" s="54"/>
      <c r="BS7" s="41"/>
      <c r="BT7" s="41"/>
      <c r="BU7" s="42"/>
      <c r="BV7" s="42"/>
    </row>
    <row r="8" spans="1:74">
      <c r="A8" s="54"/>
      <c r="B8" s="55" t="s">
        <v>71</v>
      </c>
      <c r="C8" s="54"/>
      <c r="D8" s="54"/>
      <c r="E8" s="54">
        <f t="shared" ref="E8:BP8" si="8">E7-E6</f>
        <v>14</v>
      </c>
      <c r="F8" s="54">
        <f t="shared" si="8"/>
        <v>67</v>
      </c>
      <c r="G8" s="54">
        <f t="shared" si="8"/>
        <v>-10</v>
      </c>
      <c r="H8" s="54">
        <f t="shared" si="8"/>
        <v>0</v>
      </c>
      <c r="I8" s="54">
        <f t="shared" si="8"/>
        <v>130</v>
      </c>
      <c r="J8" s="54">
        <f t="shared" si="8"/>
        <v>130</v>
      </c>
      <c r="K8" s="54">
        <f t="shared" si="8"/>
        <v>102</v>
      </c>
      <c r="L8" s="54">
        <f t="shared" si="8"/>
        <v>86</v>
      </c>
      <c r="M8" s="54">
        <f t="shared" si="8"/>
        <v>83</v>
      </c>
      <c r="N8" s="54">
        <f t="shared" si="8"/>
        <v>153</v>
      </c>
      <c r="O8" s="54">
        <f t="shared" si="8"/>
        <v>77</v>
      </c>
      <c r="P8" s="54">
        <f t="shared" si="8"/>
        <v>258</v>
      </c>
      <c r="Q8" s="54">
        <f t="shared" si="8"/>
        <v>92</v>
      </c>
      <c r="R8" s="54">
        <f t="shared" si="8"/>
        <v>30</v>
      </c>
      <c r="S8" s="54">
        <f t="shared" si="8"/>
        <v>318</v>
      </c>
      <c r="T8" s="54">
        <f t="shared" si="8"/>
        <v>109</v>
      </c>
      <c r="U8" s="54">
        <f t="shared" si="8"/>
        <v>31</v>
      </c>
      <c r="V8" s="54">
        <f t="shared" si="8"/>
        <v>229</v>
      </c>
      <c r="W8" s="54">
        <f t="shared" si="8"/>
        <v>95</v>
      </c>
      <c r="X8" s="54">
        <f t="shared" si="8"/>
        <v>10</v>
      </c>
      <c r="Y8" s="54">
        <f t="shared" si="8"/>
        <v>223</v>
      </c>
      <c r="Z8" s="54">
        <f t="shared" si="8"/>
        <v>103</v>
      </c>
      <c r="AA8" s="54">
        <f t="shared" si="8"/>
        <v>13</v>
      </c>
      <c r="AB8" s="54">
        <f t="shared" si="8"/>
        <v>305</v>
      </c>
      <c r="AC8" s="54">
        <f t="shared" si="8"/>
        <v>87</v>
      </c>
      <c r="AD8" s="54">
        <f t="shared" si="8"/>
        <v>-2</v>
      </c>
      <c r="AE8" s="54">
        <f t="shared" si="8"/>
        <v>28</v>
      </c>
      <c r="AF8" s="54">
        <f t="shared" si="8"/>
        <v>3</v>
      </c>
      <c r="AG8" s="54">
        <f t="shared" si="8"/>
        <v>3</v>
      </c>
      <c r="AH8" s="54">
        <f t="shared" si="8"/>
        <v>0</v>
      </c>
      <c r="AI8" s="54">
        <f t="shared" si="8"/>
        <v>0</v>
      </c>
      <c r="AJ8" s="54">
        <f t="shared" si="8"/>
        <v>0</v>
      </c>
      <c r="AK8" s="54">
        <f t="shared" si="8"/>
        <v>23</v>
      </c>
      <c r="AL8" s="54">
        <f t="shared" si="8"/>
        <v>33</v>
      </c>
      <c r="AM8" s="54">
        <f t="shared" si="8"/>
        <v>0</v>
      </c>
      <c r="AN8" s="54">
        <f t="shared" si="8"/>
        <v>7</v>
      </c>
      <c r="AO8" s="54">
        <f t="shared" si="8"/>
        <v>2</v>
      </c>
      <c r="AP8" s="54">
        <f t="shared" si="8"/>
        <v>6</v>
      </c>
      <c r="AQ8" s="54">
        <f t="shared" si="8"/>
        <v>66</v>
      </c>
      <c r="AR8" s="54">
        <f t="shared" si="8"/>
        <v>25</v>
      </c>
      <c r="AS8" s="54">
        <f t="shared" si="8"/>
        <v>46</v>
      </c>
      <c r="AT8" s="54">
        <f t="shared" si="8"/>
        <v>40</v>
      </c>
      <c r="AU8" s="54">
        <f t="shared" si="8"/>
        <v>31</v>
      </c>
      <c r="AV8" s="54">
        <f t="shared" si="8"/>
        <v>136</v>
      </c>
      <c r="AW8" s="54">
        <f t="shared" si="8"/>
        <v>34</v>
      </c>
      <c r="AX8" s="54">
        <f t="shared" si="8"/>
        <v>58</v>
      </c>
      <c r="AY8" s="54">
        <f t="shared" si="8"/>
        <v>0</v>
      </c>
      <c r="AZ8" s="54">
        <f t="shared" si="8"/>
        <v>6</v>
      </c>
      <c r="BA8" s="54">
        <f t="shared" si="8"/>
        <v>15</v>
      </c>
      <c r="BB8" s="54">
        <f t="shared" si="8"/>
        <v>14</v>
      </c>
      <c r="BC8" s="54">
        <f t="shared" si="8"/>
        <v>3</v>
      </c>
      <c r="BD8" s="54">
        <f t="shared" si="8"/>
        <v>2</v>
      </c>
      <c r="BE8" s="54">
        <f t="shared" si="8"/>
        <v>255</v>
      </c>
      <c r="BF8" s="54">
        <f t="shared" si="8"/>
        <v>396</v>
      </c>
      <c r="BG8" s="54">
        <f t="shared" si="8"/>
        <v>312</v>
      </c>
      <c r="BH8" s="54">
        <f t="shared" si="8"/>
        <v>330</v>
      </c>
      <c r="BI8" s="54">
        <f t="shared" si="8"/>
        <v>162</v>
      </c>
      <c r="BJ8" s="54">
        <f t="shared" si="8"/>
        <v>195</v>
      </c>
      <c r="BK8" s="54">
        <f t="shared" si="8"/>
        <v>131</v>
      </c>
      <c r="BL8" s="54">
        <f t="shared" si="8"/>
        <v>127</v>
      </c>
      <c r="BM8" s="54">
        <f t="shared" si="8"/>
        <v>241</v>
      </c>
      <c r="BN8" s="54">
        <f t="shared" si="8"/>
        <v>101</v>
      </c>
      <c r="BO8" s="54">
        <f t="shared" si="8"/>
        <v>3</v>
      </c>
      <c r="BP8" s="54">
        <f t="shared" si="8"/>
        <v>73</v>
      </c>
      <c r="BQ8" s="54"/>
      <c r="BR8" s="54"/>
      <c r="BS8" s="41"/>
      <c r="BT8" s="41"/>
      <c r="BU8" s="42"/>
      <c r="BV8" s="42"/>
    </row>
    <row r="9" spans="1:74">
      <c r="A9" s="54"/>
      <c r="B9" s="55" t="s">
        <v>112</v>
      </c>
      <c r="C9" s="54"/>
      <c r="D9" s="54"/>
      <c r="E9" s="54">
        <f t="shared" ref="E9:AJ9" si="9">MAX(E2:E5)</f>
        <v>0</v>
      </c>
      <c r="F9" s="54">
        <f t="shared" si="9"/>
        <v>0</v>
      </c>
      <c r="G9" s="54">
        <f t="shared" si="9"/>
        <v>10</v>
      </c>
      <c r="H9" s="54">
        <f t="shared" si="9"/>
        <v>0</v>
      </c>
      <c r="I9" s="54">
        <f t="shared" si="9"/>
        <v>0</v>
      </c>
      <c r="J9" s="54">
        <f t="shared" si="9"/>
        <v>0</v>
      </c>
      <c r="K9" s="54">
        <f t="shared" si="9"/>
        <v>0</v>
      </c>
      <c r="L9" s="54">
        <f t="shared" si="9"/>
        <v>0</v>
      </c>
      <c r="M9" s="54">
        <f t="shared" si="9"/>
        <v>10</v>
      </c>
      <c r="N9" s="54">
        <f t="shared" si="9"/>
        <v>0</v>
      </c>
      <c r="O9" s="54">
        <f t="shared" si="9"/>
        <v>0</v>
      </c>
      <c r="P9" s="54">
        <f t="shared" si="9"/>
        <v>10</v>
      </c>
      <c r="Q9" s="54">
        <f t="shared" si="9"/>
        <v>5</v>
      </c>
      <c r="R9" s="54">
        <f t="shared" si="9"/>
        <v>0</v>
      </c>
      <c r="S9" s="54">
        <f t="shared" si="9"/>
        <v>10</v>
      </c>
      <c r="T9" s="54">
        <f t="shared" si="9"/>
        <v>5</v>
      </c>
      <c r="U9" s="54">
        <f t="shared" si="9"/>
        <v>0</v>
      </c>
      <c r="V9" s="54">
        <f t="shared" si="9"/>
        <v>0</v>
      </c>
      <c r="W9" s="54">
        <f t="shared" si="9"/>
        <v>5</v>
      </c>
      <c r="X9" s="54">
        <f t="shared" si="9"/>
        <v>10</v>
      </c>
      <c r="Y9" s="54">
        <f t="shared" si="9"/>
        <v>0</v>
      </c>
      <c r="Z9" s="54">
        <f t="shared" si="9"/>
        <v>5</v>
      </c>
      <c r="AA9" s="54">
        <f t="shared" si="9"/>
        <v>10</v>
      </c>
      <c r="AB9" s="54">
        <f t="shared" si="9"/>
        <v>10</v>
      </c>
      <c r="AC9" s="54">
        <f t="shared" si="9"/>
        <v>0</v>
      </c>
      <c r="AD9" s="54">
        <f t="shared" si="9"/>
        <v>10</v>
      </c>
      <c r="AE9" s="54">
        <f t="shared" si="9"/>
        <v>0</v>
      </c>
      <c r="AF9" s="54">
        <f t="shared" si="9"/>
        <v>0</v>
      </c>
      <c r="AG9" s="54">
        <f t="shared" si="9"/>
        <v>0</v>
      </c>
      <c r="AH9" s="54">
        <f t="shared" si="9"/>
        <v>0</v>
      </c>
      <c r="AI9" s="54">
        <f t="shared" si="9"/>
        <v>0</v>
      </c>
      <c r="AJ9" s="54">
        <f t="shared" si="9"/>
        <v>0</v>
      </c>
      <c r="AK9" s="54">
        <f t="shared" ref="AK9:BP9" si="10">MAX(AK2:AK5)</f>
        <v>0</v>
      </c>
      <c r="AL9" s="54">
        <f t="shared" si="10"/>
        <v>0</v>
      </c>
      <c r="AM9" s="54">
        <f t="shared" si="10"/>
        <v>0</v>
      </c>
      <c r="AN9" s="54">
        <f t="shared" si="10"/>
        <v>0</v>
      </c>
      <c r="AO9" s="54">
        <f t="shared" si="10"/>
        <v>0</v>
      </c>
      <c r="AP9" s="54">
        <f t="shared" si="10"/>
        <v>0</v>
      </c>
      <c r="AQ9" s="54">
        <f t="shared" si="10"/>
        <v>0</v>
      </c>
      <c r="AR9" s="54">
        <f t="shared" si="10"/>
        <v>0</v>
      </c>
      <c r="AS9" s="54">
        <f t="shared" si="10"/>
        <v>10</v>
      </c>
      <c r="AT9" s="54">
        <f t="shared" si="10"/>
        <v>0</v>
      </c>
      <c r="AU9" s="54">
        <f t="shared" si="10"/>
        <v>0</v>
      </c>
      <c r="AV9" s="54">
        <f t="shared" si="10"/>
        <v>10</v>
      </c>
      <c r="AW9" s="54">
        <f t="shared" si="10"/>
        <v>0</v>
      </c>
      <c r="AX9" s="54">
        <f t="shared" si="10"/>
        <v>0</v>
      </c>
      <c r="AY9" s="54">
        <f t="shared" si="10"/>
        <v>0</v>
      </c>
      <c r="AZ9" s="54">
        <f t="shared" si="10"/>
        <v>0</v>
      </c>
      <c r="BA9" s="54">
        <f t="shared" si="10"/>
        <v>0</v>
      </c>
      <c r="BB9" s="54">
        <f t="shared" si="10"/>
        <v>0</v>
      </c>
      <c r="BC9" s="54">
        <f t="shared" si="10"/>
        <v>0</v>
      </c>
      <c r="BD9" s="54">
        <f t="shared" si="10"/>
        <v>0</v>
      </c>
      <c r="BE9" s="54">
        <f t="shared" si="10"/>
        <v>0</v>
      </c>
      <c r="BF9" s="54">
        <f t="shared" si="10"/>
        <v>0</v>
      </c>
      <c r="BG9" s="54">
        <f t="shared" si="10"/>
        <v>0</v>
      </c>
      <c r="BH9" s="54">
        <f t="shared" si="10"/>
        <v>0</v>
      </c>
      <c r="BI9" s="54">
        <f t="shared" si="10"/>
        <v>0</v>
      </c>
      <c r="BJ9" s="54">
        <f t="shared" si="10"/>
        <v>0</v>
      </c>
      <c r="BK9" s="54">
        <f t="shared" si="10"/>
        <v>0</v>
      </c>
      <c r="BL9" s="54">
        <f t="shared" si="10"/>
        <v>0</v>
      </c>
      <c r="BM9" s="54">
        <f t="shared" si="10"/>
        <v>0</v>
      </c>
      <c r="BN9" s="54">
        <f t="shared" si="10"/>
        <v>0</v>
      </c>
      <c r="BO9" s="54">
        <f t="shared" si="10"/>
        <v>0</v>
      </c>
      <c r="BP9" s="54">
        <f t="shared" si="10"/>
        <v>0</v>
      </c>
      <c r="BQ9" s="54"/>
      <c r="BR9" s="54"/>
      <c r="BS9" s="41"/>
      <c r="BT9" s="41"/>
      <c r="BU9" s="42"/>
      <c r="BV9" s="42"/>
    </row>
    <row r="10" spans="1:74">
      <c r="A10" s="54"/>
      <c r="B10" s="55" t="s">
        <v>113</v>
      </c>
      <c r="C10" s="54"/>
      <c r="D10" s="54"/>
      <c r="E10" s="54">
        <f t="shared" ref="E10:AJ10" si="11">MIN(E2:E5)</f>
        <v>0</v>
      </c>
      <c r="F10" s="54">
        <f t="shared" si="11"/>
        <v>0</v>
      </c>
      <c r="G10" s="54">
        <f t="shared" si="11"/>
        <v>10</v>
      </c>
      <c r="H10" s="54">
        <f t="shared" si="11"/>
        <v>0</v>
      </c>
      <c r="I10" s="54">
        <f t="shared" si="11"/>
        <v>0</v>
      </c>
      <c r="J10" s="54">
        <f t="shared" si="11"/>
        <v>0</v>
      </c>
      <c r="K10" s="54">
        <f t="shared" si="11"/>
        <v>0</v>
      </c>
      <c r="L10" s="54">
        <f t="shared" si="11"/>
        <v>0</v>
      </c>
      <c r="M10" s="54">
        <f t="shared" si="11"/>
        <v>10</v>
      </c>
      <c r="N10" s="54">
        <f t="shared" si="11"/>
        <v>0</v>
      </c>
      <c r="O10" s="54">
        <f t="shared" si="11"/>
        <v>0</v>
      </c>
      <c r="P10" s="54">
        <f t="shared" si="11"/>
        <v>10</v>
      </c>
      <c r="Q10" s="54">
        <f t="shared" si="11"/>
        <v>5</v>
      </c>
      <c r="R10" s="54">
        <f t="shared" si="11"/>
        <v>0</v>
      </c>
      <c r="S10" s="54">
        <f t="shared" si="11"/>
        <v>10</v>
      </c>
      <c r="T10" s="54">
        <f t="shared" si="11"/>
        <v>5</v>
      </c>
      <c r="U10" s="54">
        <f t="shared" si="11"/>
        <v>0</v>
      </c>
      <c r="V10" s="54">
        <f t="shared" si="11"/>
        <v>0</v>
      </c>
      <c r="W10" s="54">
        <f t="shared" si="11"/>
        <v>5</v>
      </c>
      <c r="X10" s="54">
        <f t="shared" si="11"/>
        <v>2</v>
      </c>
      <c r="Y10" s="54">
        <f t="shared" si="11"/>
        <v>0</v>
      </c>
      <c r="Z10" s="54">
        <f t="shared" si="11"/>
        <v>5</v>
      </c>
      <c r="AA10" s="54">
        <f t="shared" si="11"/>
        <v>10</v>
      </c>
      <c r="AB10" s="54">
        <f t="shared" si="11"/>
        <v>10</v>
      </c>
      <c r="AC10" s="54">
        <f t="shared" si="11"/>
        <v>0</v>
      </c>
      <c r="AD10" s="54">
        <f t="shared" si="11"/>
        <v>10</v>
      </c>
      <c r="AE10" s="54">
        <f t="shared" si="11"/>
        <v>0</v>
      </c>
      <c r="AF10" s="54">
        <f t="shared" si="11"/>
        <v>0</v>
      </c>
      <c r="AG10" s="54">
        <f t="shared" si="11"/>
        <v>0</v>
      </c>
      <c r="AH10" s="54">
        <f t="shared" si="11"/>
        <v>0</v>
      </c>
      <c r="AI10" s="54">
        <f t="shared" si="11"/>
        <v>0</v>
      </c>
      <c r="AJ10" s="54">
        <f t="shared" si="11"/>
        <v>0</v>
      </c>
      <c r="AK10" s="54">
        <f t="shared" ref="AK10:BP10" si="12">MIN(AK2:AK5)</f>
        <v>0</v>
      </c>
      <c r="AL10" s="54">
        <f t="shared" si="12"/>
        <v>0</v>
      </c>
      <c r="AM10" s="54">
        <f t="shared" si="12"/>
        <v>0</v>
      </c>
      <c r="AN10" s="54">
        <f t="shared" si="12"/>
        <v>0</v>
      </c>
      <c r="AO10" s="54">
        <f t="shared" si="12"/>
        <v>0</v>
      </c>
      <c r="AP10" s="54">
        <f t="shared" si="12"/>
        <v>0</v>
      </c>
      <c r="AQ10" s="54">
        <f t="shared" si="12"/>
        <v>0</v>
      </c>
      <c r="AR10" s="54">
        <f t="shared" si="12"/>
        <v>0</v>
      </c>
      <c r="AS10" s="54">
        <f t="shared" si="12"/>
        <v>10</v>
      </c>
      <c r="AT10" s="54">
        <f t="shared" si="12"/>
        <v>0</v>
      </c>
      <c r="AU10" s="54">
        <f t="shared" si="12"/>
        <v>0</v>
      </c>
      <c r="AV10" s="54">
        <f t="shared" si="12"/>
        <v>10</v>
      </c>
      <c r="AW10" s="54">
        <f t="shared" si="12"/>
        <v>0</v>
      </c>
      <c r="AX10" s="54">
        <f t="shared" si="12"/>
        <v>0</v>
      </c>
      <c r="AY10" s="54">
        <f t="shared" si="12"/>
        <v>0</v>
      </c>
      <c r="AZ10" s="54">
        <f t="shared" si="12"/>
        <v>0</v>
      </c>
      <c r="BA10" s="54">
        <f t="shared" si="12"/>
        <v>0</v>
      </c>
      <c r="BB10" s="54">
        <f t="shared" si="12"/>
        <v>0</v>
      </c>
      <c r="BC10" s="54">
        <f t="shared" si="12"/>
        <v>0</v>
      </c>
      <c r="BD10" s="54">
        <f t="shared" si="12"/>
        <v>0</v>
      </c>
      <c r="BE10" s="54">
        <f t="shared" si="12"/>
        <v>0</v>
      </c>
      <c r="BF10" s="54">
        <f t="shared" si="12"/>
        <v>0</v>
      </c>
      <c r="BG10" s="54">
        <f t="shared" si="12"/>
        <v>0</v>
      </c>
      <c r="BH10" s="54">
        <f t="shared" si="12"/>
        <v>0</v>
      </c>
      <c r="BI10" s="54">
        <f t="shared" si="12"/>
        <v>0</v>
      </c>
      <c r="BJ10" s="54">
        <f t="shared" si="12"/>
        <v>0</v>
      </c>
      <c r="BK10" s="54">
        <f t="shared" si="12"/>
        <v>0</v>
      </c>
      <c r="BL10" s="54">
        <f t="shared" si="12"/>
        <v>0</v>
      </c>
      <c r="BM10" s="54">
        <f t="shared" si="12"/>
        <v>0</v>
      </c>
      <c r="BN10" s="54">
        <f t="shared" si="12"/>
        <v>0</v>
      </c>
      <c r="BO10" s="54">
        <f t="shared" si="12"/>
        <v>0</v>
      </c>
      <c r="BP10" s="54">
        <f t="shared" si="12"/>
        <v>0</v>
      </c>
      <c r="BQ10" s="54"/>
      <c r="BR10" s="54"/>
      <c r="BS10" s="41"/>
      <c r="BT10" s="41"/>
      <c r="BU10" s="42"/>
      <c r="BV10" s="42"/>
    </row>
    <row r="11" spans="1:74">
      <c r="A11" s="54"/>
      <c r="B11" s="55" t="s">
        <v>114</v>
      </c>
      <c r="C11" s="54"/>
      <c r="D11" s="54"/>
      <c r="E11" s="54">
        <f t="shared" ref="E11:BP11" si="13">E7-E9</f>
        <v>14</v>
      </c>
      <c r="F11" s="54">
        <f t="shared" si="13"/>
        <v>67</v>
      </c>
      <c r="G11" s="54">
        <f t="shared" si="13"/>
        <v>-10</v>
      </c>
      <c r="H11" s="54">
        <f t="shared" si="13"/>
        <v>0</v>
      </c>
      <c r="I11" s="54">
        <f t="shared" si="13"/>
        <v>130</v>
      </c>
      <c r="J11" s="54">
        <f t="shared" si="13"/>
        <v>130</v>
      </c>
      <c r="K11" s="54">
        <f t="shared" si="13"/>
        <v>102</v>
      </c>
      <c r="L11" s="54">
        <f t="shared" si="13"/>
        <v>86</v>
      </c>
      <c r="M11" s="54">
        <f t="shared" si="13"/>
        <v>83</v>
      </c>
      <c r="N11" s="54">
        <f t="shared" si="13"/>
        <v>153</v>
      </c>
      <c r="O11" s="54">
        <f t="shared" si="13"/>
        <v>77</v>
      </c>
      <c r="P11" s="54">
        <f t="shared" si="13"/>
        <v>258</v>
      </c>
      <c r="Q11" s="54">
        <f t="shared" si="13"/>
        <v>92</v>
      </c>
      <c r="R11" s="54">
        <f t="shared" si="13"/>
        <v>30</v>
      </c>
      <c r="S11" s="54">
        <f t="shared" si="13"/>
        <v>318</v>
      </c>
      <c r="T11" s="54">
        <f t="shared" si="13"/>
        <v>109</v>
      </c>
      <c r="U11" s="54">
        <f t="shared" si="13"/>
        <v>31</v>
      </c>
      <c r="V11" s="54">
        <f t="shared" si="13"/>
        <v>229</v>
      </c>
      <c r="W11" s="54">
        <f t="shared" si="13"/>
        <v>95</v>
      </c>
      <c r="X11" s="54">
        <f t="shared" si="13"/>
        <v>12</v>
      </c>
      <c r="Y11" s="54">
        <f t="shared" si="13"/>
        <v>223</v>
      </c>
      <c r="Z11" s="54">
        <f t="shared" si="13"/>
        <v>103</v>
      </c>
      <c r="AA11" s="54">
        <f t="shared" si="13"/>
        <v>13</v>
      </c>
      <c r="AB11" s="54">
        <f t="shared" si="13"/>
        <v>305</v>
      </c>
      <c r="AC11" s="54">
        <f t="shared" si="13"/>
        <v>87</v>
      </c>
      <c r="AD11" s="54">
        <f t="shared" si="13"/>
        <v>8</v>
      </c>
      <c r="AE11" s="54">
        <f t="shared" si="13"/>
        <v>28</v>
      </c>
      <c r="AF11" s="54">
        <f t="shared" si="13"/>
        <v>3</v>
      </c>
      <c r="AG11" s="54">
        <f t="shared" si="13"/>
        <v>3</v>
      </c>
      <c r="AH11" s="54">
        <f t="shared" si="13"/>
        <v>0</v>
      </c>
      <c r="AI11" s="54">
        <f t="shared" si="13"/>
        <v>0</v>
      </c>
      <c r="AJ11" s="54">
        <f t="shared" si="13"/>
        <v>0</v>
      </c>
      <c r="AK11" s="54">
        <f t="shared" si="13"/>
        <v>23</v>
      </c>
      <c r="AL11" s="54">
        <f t="shared" si="13"/>
        <v>33</v>
      </c>
      <c r="AM11" s="54">
        <f t="shared" si="13"/>
        <v>0</v>
      </c>
      <c r="AN11" s="54">
        <f t="shared" si="13"/>
        <v>7</v>
      </c>
      <c r="AO11" s="54">
        <f t="shared" si="13"/>
        <v>2</v>
      </c>
      <c r="AP11" s="54">
        <f t="shared" si="13"/>
        <v>6</v>
      </c>
      <c r="AQ11" s="54">
        <f t="shared" si="13"/>
        <v>66</v>
      </c>
      <c r="AR11" s="54">
        <f t="shared" si="13"/>
        <v>25</v>
      </c>
      <c r="AS11" s="54">
        <f t="shared" si="13"/>
        <v>46</v>
      </c>
      <c r="AT11" s="54">
        <f t="shared" si="13"/>
        <v>40</v>
      </c>
      <c r="AU11" s="54">
        <f t="shared" si="13"/>
        <v>31</v>
      </c>
      <c r="AV11" s="54">
        <f t="shared" si="13"/>
        <v>136</v>
      </c>
      <c r="AW11" s="54">
        <f t="shared" si="13"/>
        <v>34</v>
      </c>
      <c r="AX11" s="54">
        <f t="shared" si="13"/>
        <v>58</v>
      </c>
      <c r="AY11" s="54">
        <f t="shared" si="13"/>
        <v>0</v>
      </c>
      <c r="AZ11" s="54">
        <f t="shared" si="13"/>
        <v>6</v>
      </c>
      <c r="BA11" s="54">
        <f t="shared" si="13"/>
        <v>15</v>
      </c>
      <c r="BB11" s="54">
        <f t="shared" si="13"/>
        <v>14</v>
      </c>
      <c r="BC11" s="54">
        <f t="shared" si="13"/>
        <v>3</v>
      </c>
      <c r="BD11" s="54">
        <f t="shared" si="13"/>
        <v>2</v>
      </c>
      <c r="BE11" s="54">
        <f t="shared" si="13"/>
        <v>255</v>
      </c>
      <c r="BF11" s="54">
        <f t="shared" si="13"/>
        <v>396</v>
      </c>
      <c r="BG11" s="54">
        <f t="shared" si="13"/>
        <v>312</v>
      </c>
      <c r="BH11" s="54">
        <f t="shared" si="13"/>
        <v>330</v>
      </c>
      <c r="BI11" s="54">
        <f t="shared" si="13"/>
        <v>162</v>
      </c>
      <c r="BJ11" s="54">
        <f t="shared" si="13"/>
        <v>195</v>
      </c>
      <c r="BK11" s="54">
        <f t="shared" si="13"/>
        <v>131</v>
      </c>
      <c r="BL11" s="54">
        <f t="shared" si="13"/>
        <v>127</v>
      </c>
      <c r="BM11" s="54">
        <f t="shared" si="13"/>
        <v>241</v>
      </c>
      <c r="BN11" s="54">
        <f t="shared" si="13"/>
        <v>101</v>
      </c>
      <c r="BO11" s="54">
        <f t="shared" si="13"/>
        <v>3</v>
      </c>
      <c r="BP11" s="54">
        <f t="shared" si="13"/>
        <v>73</v>
      </c>
      <c r="BQ11" s="54"/>
      <c r="BR11" s="54"/>
      <c r="BS11" s="41"/>
      <c r="BT11" s="41"/>
      <c r="BU11" s="42"/>
      <c r="BV11" s="42"/>
    </row>
    <row r="12" spans="1:74" s="13" customFormat="1">
      <c r="A12" s="54"/>
      <c r="B12" s="55" t="s">
        <v>115</v>
      </c>
      <c r="C12" s="54"/>
      <c r="D12" s="54"/>
      <c r="E12" s="54">
        <f t="shared" ref="E12:BP12" si="14">E7-E10</f>
        <v>14</v>
      </c>
      <c r="F12" s="54">
        <f t="shared" si="14"/>
        <v>67</v>
      </c>
      <c r="G12" s="54">
        <f t="shared" si="14"/>
        <v>-10</v>
      </c>
      <c r="H12" s="54">
        <f t="shared" si="14"/>
        <v>0</v>
      </c>
      <c r="I12" s="54">
        <f t="shared" si="14"/>
        <v>130</v>
      </c>
      <c r="J12" s="54">
        <f t="shared" si="14"/>
        <v>130</v>
      </c>
      <c r="K12" s="54">
        <f t="shared" si="14"/>
        <v>102</v>
      </c>
      <c r="L12" s="54">
        <f t="shared" si="14"/>
        <v>86</v>
      </c>
      <c r="M12" s="54">
        <f t="shared" si="14"/>
        <v>83</v>
      </c>
      <c r="N12" s="54">
        <f t="shared" si="14"/>
        <v>153</v>
      </c>
      <c r="O12" s="54">
        <f t="shared" si="14"/>
        <v>77</v>
      </c>
      <c r="P12" s="54">
        <f t="shared" si="14"/>
        <v>258</v>
      </c>
      <c r="Q12" s="54">
        <f t="shared" si="14"/>
        <v>92</v>
      </c>
      <c r="R12" s="54">
        <f t="shared" si="14"/>
        <v>30</v>
      </c>
      <c r="S12" s="54">
        <f t="shared" si="14"/>
        <v>318</v>
      </c>
      <c r="T12" s="54">
        <f t="shared" si="14"/>
        <v>109</v>
      </c>
      <c r="U12" s="54">
        <f t="shared" si="14"/>
        <v>31</v>
      </c>
      <c r="V12" s="54">
        <f t="shared" si="14"/>
        <v>229</v>
      </c>
      <c r="W12" s="54">
        <f t="shared" si="14"/>
        <v>95</v>
      </c>
      <c r="X12" s="54">
        <f t="shared" si="14"/>
        <v>20</v>
      </c>
      <c r="Y12" s="54">
        <f t="shared" si="14"/>
        <v>223</v>
      </c>
      <c r="Z12" s="54">
        <f t="shared" si="14"/>
        <v>103</v>
      </c>
      <c r="AA12" s="54">
        <f t="shared" si="14"/>
        <v>13</v>
      </c>
      <c r="AB12" s="54">
        <f t="shared" si="14"/>
        <v>305</v>
      </c>
      <c r="AC12" s="54">
        <f t="shared" si="14"/>
        <v>87</v>
      </c>
      <c r="AD12" s="54">
        <f t="shared" si="14"/>
        <v>8</v>
      </c>
      <c r="AE12" s="54">
        <f t="shared" si="14"/>
        <v>28</v>
      </c>
      <c r="AF12" s="54">
        <f t="shared" si="14"/>
        <v>3</v>
      </c>
      <c r="AG12" s="54">
        <f t="shared" si="14"/>
        <v>3</v>
      </c>
      <c r="AH12" s="54">
        <f t="shared" si="14"/>
        <v>0</v>
      </c>
      <c r="AI12" s="54">
        <f t="shared" si="14"/>
        <v>0</v>
      </c>
      <c r="AJ12" s="54">
        <f t="shared" si="14"/>
        <v>0</v>
      </c>
      <c r="AK12" s="54">
        <f t="shared" si="14"/>
        <v>23</v>
      </c>
      <c r="AL12" s="54">
        <f t="shared" si="14"/>
        <v>33</v>
      </c>
      <c r="AM12" s="54">
        <f t="shared" si="14"/>
        <v>0</v>
      </c>
      <c r="AN12" s="54">
        <f t="shared" si="14"/>
        <v>7</v>
      </c>
      <c r="AO12" s="54">
        <f t="shared" si="14"/>
        <v>2</v>
      </c>
      <c r="AP12" s="54">
        <f t="shared" si="14"/>
        <v>6</v>
      </c>
      <c r="AQ12" s="54">
        <f t="shared" si="14"/>
        <v>66</v>
      </c>
      <c r="AR12" s="54">
        <f t="shared" si="14"/>
        <v>25</v>
      </c>
      <c r="AS12" s="54">
        <f t="shared" si="14"/>
        <v>46</v>
      </c>
      <c r="AT12" s="54">
        <f t="shared" si="14"/>
        <v>40</v>
      </c>
      <c r="AU12" s="54">
        <f t="shared" si="14"/>
        <v>31</v>
      </c>
      <c r="AV12" s="54">
        <f t="shared" si="14"/>
        <v>136</v>
      </c>
      <c r="AW12" s="54">
        <f t="shared" si="14"/>
        <v>34</v>
      </c>
      <c r="AX12" s="54">
        <f t="shared" si="14"/>
        <v>58</v>
      </c>
      <c r="AY12" s="54">
        <f t="shared" si="14"/>
        <v>0</v>
      </c>
      <c r="AZ12" s="54">
        <f t="shared" si="14"/>
        <v>6</v>
      </c>
      <c r="BA12" s="54">
        <f t="shared" si="14"/>
        <v>15</v>
      </c>
      <c r="BB12" s="54">
        <f t="shared" si="14"/>
        <v>14</v>
      </c>
      <c r="BC12" s="54">
        <f t="shared" si="14"/>
        <v>3</v>
      </c>
      <c r="BD12" s="54">
        <f t="shared" si="14"/>
        <v>2</v>
      </c>
      <c r="BE12" s="54">
        <f t="shared" si="14"/>
        <v>255</v>
      </c>
      <c r="BF12" s="54">
        <f t="shared" si="14"/>
        <v>396</v>
      </c>
      <c r="BG12" s="54">
        <f t="shared" si="14"/>
        <v>312</v>
      </c>
      <c r="BH12" s="54">
        <f t="shared" si="14"/>
        <v>330</v>
      </c>
      <c r="BI12" s="54">
        <f t="shared" si="14"/>
        <v>162</v>
      </c>
      <c r="BJ12" s="54">
        <f t="shared" si="14"/>
        <v>195</v>
      </c>
      <c r="BK12" s="54">
        <f t="shared" si="14"/>
        <v>131</v>
      </c>
      <c r="BL12" s="54">
        <f t="shared" si="14"/>
        <v>127</v>
      </c>
      <c r="BM12" s="54">
        <f t="shared" si="14"/>
        <v>241</v>
      </c>
      <c r="BN12" s="54">
        <f t="shared" si="14"/>
        <v>101</v>
      </c>
      <c r="BO12" s="54">
        <f t="shared" si="14"/>
        <v>3</v>
      </c>
      <c r="BP12" s="54">
        <f t="shared" si="14"/>
        <v>73</v>
      </c>
      <c r="BQ12" s="54"/>
      <c r="BR12" s="54"/>
      <c r="BS12" s="41"/>
      <c r="BT12" s="41"/>
      <c r="BU12" s="53"/>
      <c r="BV12" s="53"/>
    </row>
    <row r="13" spans="1:74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56" t="s">
        <v>130</v>
      </c>
      <c r="AR13" s="56" t="s">
        <v>133</v>
      </c>
      <c r="AS13" s="56" t="s">
        <v>134</v>
      </c>
      <c r="AT13" s="56" t="s">
        <v>131</v>
      </c>
      <c r="AU13" s="56" t="s">
        <v>132</v>
      </c>
      <c r="AV13" s="56" t="s">
        <v>129</v>
      </c>
      <c r="AW13" s="56" t="s">
        <v>135</v>
      </c>
      <c r="AX13" s="56" t="s">
        <v>136</v>
      </c>
      <c r="AY13" s="56" t="s">
        <v>137</v>
      </c>
      <c r="AZ13" s="56" t="s">
        <v>138</v>
      </c>
      <c r="BA13" s="56" t="s">
        <v>139</v>
      </c>
      <c r="BB13" s="56" t="s">
        <v>140</v>
      </c>
      <c r="BC13" s="56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57"/>
      <c r="BT13" s="57"/>
      <c r="BU13" s="42"/>
      <c r="BV13" s="42"/>
    </row>
  </sheetData>
  <autoFilter ref="A1:BV13">
    <sortState ref="A14:BV117">
      <sortCondition ref="BS2:BS117"/>
      <sortCondition ref="BR2:BR117"/>
    </sortState>
  </autoFilter>
  <phoneticPr fontId="1" type="noConversion"/>
  <conditionalFormatting sqref="E9:BC9 BE9:BP9">
    <cfRule type="expression" dxfId="7" priority="6">
      <formula>"&lt;=$E$135"</formula>
    </cfRule>
  </conditionalFormatting>
  <conditionalFormatting sqref="E11:BC12 BE11:BP12">
    <cfRule type="cellIs" dxfId="6" priority="4" operator="lessThan">
      <formula>0</formula>
    </cfRule>
  </conditionalFormatting>
  <conditionalFormatting sqref="E8:BC8 BE8:BP8">
    <cfRule type="cellIs" dxfId="5" priority="5" operator="lessThan">
      <formula>0</formula>
    </cfRule>
  </conditionalFormatting>
  <conditionalFormatting sqref="BD9">
    <cfRule type="expression" dxfId="4" priority="3">
      <formula>"&lt;=$E$135"</formula>
    </cfRule>
  </conditionalFormatting>
  <conditionalFormatting sqref="BD11:BD12">
    <cfRule type="cellIs" dxfId="3" priority="1" operator="lessThan">
      <formula>0</formula>
    </cfRule>
  </conditionalFormatting>
  <conditionalFormatting sqref="BD8">
    <cfRule type="cellIs" dxfId="2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12</xdr:row>
                    <xdr:rowOff>28575</xdr:rowOff>
                  </from>
                  <to>
                    <xdr:col>1</xdr:col>
                    <xdr:colOff>428625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/>
  <cols>
    <col min="1" max="1" width="5.25" bestFit="1" customWidth="1"/>
    <col min="2" max="2" width="13" bestFit="1" customWidth="1"/>
  </cols>
  <sheetData>
    <row r="1" spans="1:3">
      <c r="A1" s="5" t="s">
        <v>62</v>
      </c>
      <c r="B1" s="5" t="s">
        <v>59</v>
      </c>
      <c r="C1" s="5" t="s">
        <v>63</v>
      </c>
    </row>
    <row r="2" spans="1:3">
      <c r="A2" s="1">
        <v>10</v>
      </c>
      <c r="B2" s="2" t="s">
        <v>9</v>
      </c>
      <c r="C2" s="1">
        <v>190</v>
      </c>
    </row>
    <row r="3" spans="1:3">
      <c r="A3" s="1">
        <v>12</v>
      </c>
      <c r="B3" s="2" t="s">
        <v>38</v>
      </c>
      <c r="C3" s="1">
        <v>120</v>
      </c>
    </row>
    <row r="4" spans="1:3">
      <c r="A4" s="1">
        <v>4</v>
      </c>
      <c r="B4" s="4" t="s">
        <v>39</v>
      </c>
      <c r="C4" s="1">
        <v>85</v>
      </c>
    </row>
    <row r="5" spans="1:3">
      <c r="A5" s="1">
        <v>3</v>
      </c>
      <c r="B5" s="4" t="s">
        <v>33</v>
      </c>
      <c r="C5" s="1">
        <v>65</v>
      </c>
    </row>
    <row r="6" spans="1:3">
      <c r="A6" s="1">
        <v>8</v>
      </c>
      <c r="B6" s="2" t="s">
        <v>5</v>
      </c>
      <c r="C6" s="1">
        <v>65</v>
      </c>
    </row>
    <row r="7" spans="1:3">
      <c r="A7" s="1">
        <v>9</v>
      </c>
      <c r="B7" s="2" t="s">
        <v>6</v>
      </c>
      <c r="C7" s="1">
        <v>65</v>
      </c>
    </row>
    <row r="8" spans="1:3">
      <c r="A8" s="1">
        <v>1</v>
      </c>
      <c r="B8" s="4" t="s">
        <v>3</v>
      </c>
      <c r="C8" s="1">
        <v>60</v>
      </c>
    </row>
    <row r="9" spans="1:3">
      <c r="A9" s="1">
        <v>7</v>
      </c>
      <c r="B9" s="2" t="s">
        <v>4</v>
      </c>
      <c r="C9" s="1">
        <v>53</v>
      </c>
    </row>
    <row r="10" spans="1:3">
      <c r="A10" s="1">
        <v>2</v>
      </c>
      <c r="B10" s="4" t="s">
        <v>22</v>
      </c>
      <c r="C10" s="1">
        <v>45</v>
      </c>
    </row>
    <row r="11" spans="1:3">
      <c r="A11" s="1">
        <v>5</v>
      </c>
      <c r="B11" s="4" t="s">
        <v>44</v>
      </c>
      <c r="C11" s="1">
        <v>45</v>
      </c>
    </row>
    <row r="12" spans="1:3">
      <c r="A12" s="1">
        <v>11</v>
      </c>
      <c r="B12" s="2" t="s">
        <v>34</v>
      </c>
      <c r="C12" s="1">
        <v>10</v>
      </c>
    </row>
    <row r="13" spans="1:3">
      <c r="A13" s="1">
        <v>6</v>
      </c>
      <c r="B13" s="4" t="s">
        <v>46</v>
      </c>
      <c r="C13" s="1">
        <v>8</v>
      </c>
    </row>
    <row r="19" spans="3:18">
      <c r="G19" s="10" t="s">
        <v>33</v>
      </c>
      <c r="H19" s="10" t="s">
        <v>3</v>
      </c>
      <c r="I19" s="10" t="s">
        <v>22</v>
      </c>
      <c r="J19" s="10" t="s">
        <v>44</v>
      </c>
      <c r="K19" s="10" t="s">
        <v>46</v>
      </c>
      <c r="L19" s="10" t="s">
        <v>39</v>
      </c>
      <c r="M19" s="11" t="s">
        <v>4</v>
      </c>
      <c r="N19" s="11" t="s">
        <v>5</v>
      </c>
      <c r="O19" s="11" t="s">
        <v>34</v>
      </c>
      <c r="P19" s="11" t="s">
        <v>6</v>
      </c>
      <c r="Q19" s="11" t="s">
        <v>38</v>
      </c>
      <c r="R19" s="11" t="s">
        <v>9</v>
      </c>
    </row>
    <row r="20" spans="3:18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>
      <c r="C27" t="s">
        <v>116</v>
      </c>
      <c r="D27" t="s">
        <v>117</v>
      </c>
      <c r="E27" t="s">
        <v>118</v>
      </c>
      <c r="F27" t="s">
        <v>119</v>
      </c>
      <c r="G27" t="s">
        <v>120</v>
      </c>
      <c r="H27" t="s">
        <v>121</v>
      </c>
      <c r="I27" t="s">
        <v>122</v>
      </c>
      <c r="J27" t="s">
        <v>123</v>
      </c>
      <c r="K27" t="s">
        <v>124</v>
      </c>
      <c r="L27" t="s">
        <v>125</v>
      </c>
      <c r="M27" t="s">
        <v>126</v>
      </c>
      <c r="N27" t="s">
        <v>127</v>
      </c>
    </row>
    <row r="31" spans="3:18">
      <c r="C31">
        <v>-3</v>
      </c>
      <c r="D31" t="s">
        <v>116</v>
      </c>
    </row>
    <row r="32" spans="3:18">
      <c r="C32">
        <v>-8</v>
      </c>
      <c r="D32" t="s">
        <v>117</v>
      </c>
    </row>
    <row r="33" spans="3:4">
      <c r="C33">
        <v>-3</v>
      </c>
      <c r="D33" t="s">
        <v>118</v>
      </c>
    </row>
    <row r="34" spans="3:4">
      <c r="C34">
        <v>1</v>
      </c>
      <c r="D34" t="s">
        <v>119</v>
      </c>
    </row>
    <row r="35" spans="3:4">
      <c r="C35">
        <v>3</v>
      </c>
      <c r="D35" t="s">
        <v>120</v>
      </c>
    </row>
    <row r="36" spans="3:4">
      <c r="C36">
        <v>0</v>
      </c>
      <c r="D36" t="s">
        <v>121</v>
      </c>
    </row>
    <row r="37" spans="3:4">
      <c r="C37">
        <v>-3</v>
      </c>
      <c r="D37" t="s">
        <v>122</v>
      </c>
    </row>
    <row r="38" spans="3:4">
      <c r="C38">
        <v>30</v>
      </c>
      <c r="D38" t="s">
        <v>123</v>
      </c>
    </row>
    <row r="39" spans="3:4">
      <c r="C39">
        <v>5</v>
      </c>
      <c r="D39" t="s">
        <v>124</v>
      </c>
    </row>
    <row r="40" spans="3:4">
      <c r="C40">
        <v>-10</v>
      </c>
      <c r="D40" t="s">
        <v>125</v>
      </c>
    </row>
    <row r="41" spans="3:4">
      <c r="C41">
        <v>3</v>
      </c>
      <c r="D41" t="s">
        <v>126</v>
      </c>
    </row>
    <row r="42" spans="3:4">
      <c r="C42">
        <v>138</v>
      </c>
      <c r="D42" t="s">
        <v>127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3"/>
  <sheetViews>
    <sheetView workbookViewId="0">
      <selection activeCell="D22" sqref="D22"/>
    </sheetView>
  </sheetViews>
  <sheetFormatPr defaultRowHeight="13.5"/>
  <cols>
    <col min="2" max="2" width="14.125" bestFit="1" customWidth="1"/>
  </cols>
  <sheetData>
    <row r="1" spans="1:3">
      <c r="A1" s="8" t="s">
        <v>68</v>
      </c>
      <c r="B1" s="8" t="s">
        <v>69</v>
      </c>
      <c r="C1" s="8" t="s">
        <v>70</v>
      </c>
    </row>
    <row r="2" spans="1:3">
      <c r="A2" s="1">
        <v>5</v>
      </c>
      <c r="B2" s="10" t="s">
        <v>46</v>
      </c>
      <c r="C2" s="1">
        <v>0</v>
      </c>
    </row>
    <row r="3" spans="1:3">
      <c r="A3" s="1">
        <v>9</v>
      </c>
      <c r="B3" s="11" t="s">
        <v>34</v>
      </c>
      <c r="C3" s="1">
        <v>0</v>
      </c>
    </row>
    <row r="4" spans="1:3">
      <c r="A4" s="1">
        <v>10</v>
      </c>
      <c r="B4" s="11" t="s">
        <v>6</v>
      </c>
      <c r="C4" s="1">
        <v>0</v>
      </c>
    </row>
    <row r="5" spans="1:3">
      <c r="A5" s="1">
        <v>4</v>
      </c>
      <c r="B5" s="10" t="s">
        <v>44</v>
      </c>
      <c r="C5" s="1">
        <v>2</v>
      </c>
    </row>
    <row r="6" spans="1:3">
      <c r="A6" s="1">
        <v>8</v>
      </c>
      <c r="B6" s="11" t="s">
        <v>5</v>
      </c>
      <c r="C6" s="1">
        <v>3</v>
      </c>
    </row>
    <row r="7" spans="1:3">
      <c r="A7" s="1">
        <v>12</v>
      </c>
      <c r="B7" s="11" t="s">
        <v>9</v>
      </c>
      <c r="C7" s="1">
        <v>3</v>
      </c>
    </row>
    <row r="8" spans="1:3">
      <c r="A8" s="1">
        <v>1</v>
      </c>
      <c r="B8" s="10" t="s">
        <v>33</v>
      </c>
      <c r="C8" s="1">
        <v>4</v>
      </c>
    </row>
    <row r="9" spans="1:3">
      <c r="A9" s="1">
        <v>2</v>
      </c>
      <c r="B9" s="10" t="s">
        <v>3</v>
      </c>
      <c r="C9" s="1">
        <v>4</v>
      </c>
    </row>
    <row r="10" spans="1:3">
      <c r="A10" s="1">
        <v>7</v>
      </c>
      <c r="B10" s="11" t="s">
        <v>4</v>
      </c>
      <c r="C10" s="1">
        <v>4</v>
      </c>
    </row>
    <row r="11" spans="1:3">
      <c r="A11" s="1">
        <v>3</v>
      </c>
      <c r="B11" s="10" t="s">
        <v>22</v>
      </c>
      <c r="C11" s="1">
        <v>5</v>
      </c>
    </row>
    <row r="12" spans="1:3">
      <c r="A12" s="1">
        <v>11</v>
      </c>
      <c r="B12" s="11" t="s">
        <v>38</v>
      </c>
      <c r="C12" s="1">
        <v>5</v>
      </c>
    </row>
    <row r="13" spans="1:3">
      <c r="A13" s="1">
        <v>6</v>
      </c>
      <c r="B13" s="10" t="s">
        <v>39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40:N47"/>
  <sheetViews>
    <sheetView topLeftCell="A34" workbookViewId="0">
      <selection activeCell="B40" sqref="B40:N47"/>
    </sheetView>
  </sheetViews>
  <sheetFormatPr defaultRowHeight="13.5"/>
  <cols>
    <col min="2" max="2" width="9" bestFit="1" customWidth="1"/>
  </cols>
  <sheetData>
    <row r="40" spans="2:14" ht="27">
      <c r="B40" s="16" t="s">
        <v>59</v>
      </c>
      <c r="C40" s="43" t="s">
        <v>33</v>
      </c>
      <c r="D40" s="43" t="s">
        <v>3</v>
      </c>
      <c r="E40" s="43" t="s">
        <v>22</v>
      </c>
      <c r="F40" s="43" t="s">
        <v>44</v>
      </c>
      <c r="G40" s="43" t="s">
        <v>46</v>
      </c>
      <c r="H40" s="43" t="s">
        <v>39</v>
      </c>
      <c r="I40" s="44" t="s">
        <v>4</v>
      </c>
      <c r="J40" s="44" t="s">
        <v>5</v>
      </c>
      <c r="K40" s="44" t="s">
        <v>34</v>
      </c>
      <c r="L40" s="44" t="s">
        <v>6</v>
      </c>
      <c r="M40" s="44" t="s">
        <v>38</v>
      </c>
      <c r="N40" s="44" t="s">
        <v>9</v>
      </c>
    </row>
    <row r="41" spans="2:14">
      <c r="B41" s="1" t="s">
        <v>47</v>
      </c>
      <c r="C41" s="4">
        <v>100</v>
      </c>
      <c r="D41" s="4">
        <v>40</v>
      </c>
      <c r="E41" s="4">
        <v>55</v>
      </c>
      <c r="F41" s="4">
        <v>50</v>
      </c>
      <c r="G41" s="4">
        <v>60</v>
      </c>
      <c r="H41" s="4">
        <v>140</v>
      </c>
      <c r="I41" s="2">
        <v>145</v>
      </c>
      <c r="J41" s="2">
        <v>20</v>
      </c>
      <c r="K41" s="2">
        <v>10</v>
      </c>
      <c r="L41" s="2">
        <v>60</v>
      </c>
      <c r="M41" s="2">
        <v>60</v>
      </c>
      <c r="N41" s="2">
        <v>60</v>
      </c>
    </row>
    <row r="42" spans="2:14">
      <c r="B42" s="3" t="s">
        <v>64</v>
      </c>
      <c r="C42" s="14">
        <v>59</v>
      </c>
      <c r="D42" s="14">
        <v>18</v>
      </c>
      <c r="E42" s="14">
        <v>56</v>
      </c>
      <c r="F42" s="14">
        <v>48</v>
      </c>
      <c r="G42" s="14">
        <v>25</v>
      </c>
      <c r="H42" s="14">
        <v>142</v>
      </c>
      <c r="I42" s="14">
        <v>78</v>
      </c>
      <c r="J42" s="14">
        <v>58</v>
      </c>
      <c r="K42" s="14">
        <v>9</v>
      </c>
      <c r="L42" s="14">
        <v>48</v>
      </c>
      <c r="M42" s="14">
        <v>10</v>
      </c>
      <c r="N42" s="14">
        <v>8</v>
      </c>
    </row>
    <row r="43" spans="2:14">
      <c r="B43" s="3" t="s">
        <v>71</v>
      </c>
      <c r="C43" s="1">
        <v>-41</v>
      </c>
      <c r="D43" s="1">
        <v>-22</v>
      </c>
      <c r="E43" s="1">
        <v>1</v>
      </c>
      <c r="F43" s="1">
        <v>-2</v>
      </c>
      <c r="G43" s="1">
        <v>-35</v>
      </c>
      <c r="H43" s="1">
        <v>2</v>
      </c>
      <c r="I43" s="1">
        <v>-67</v>
      </c>
      <c r="J43" s="1">
        <v>38</v>
      </c>
      <c r="K43" s="1">
        <v>-1</v>
      </c>
      <c r="L43" s="1">
        <v>-12</v>
      </c>
      <c r="M43" s="1">
        <v>-50</v>
      </c>
      <c r="N43" s="1">
        <v>-52</v>
      </c>
    </row>
    <row r="44" spans="2:14">
      <c r="B44" s="3" t="s">
        <v>112</v>
      </c>
      <c r="C44" s="1">
        <v>40</v>
      </c>
      <c r="D44" s="1">
        <v>10</v>
      </c>
      <c r="E44" s="1">
        <v>10</v>
      </c>
      <c r="F44" s="1">
        <v>10</v>
      </c>
      <c r="G44" s="1">
        <v>10</v>
      </c>
      <c r="H44" s="1">
        <v>40</v>
      </c>
      <c r="I44" s="1">
        <v>50</v>
      </c>
      <c r="J44" s="1">
        <v>15</v>
      </c>
      <c r="K44" s="1">
        <v>10</v>
      </c>
      <c r="L44" s="1">
        <v>50</v>
      </c>
      <c r="M44" s="1">
        <v>40</v>
      </c>
      <c r="N44" s="1">
        <v>40</v>
      </c>
    </row>
    <row r="45" spans="2:14">
      <c r="B45" s="3" t="s">
        <v>113</v>
      </c>
      <c r="C45" s="1">
        <v>10</v>
      </c>
      <c r="D45" s="1">
        <v>10</v>
      </c>
      <c r="E45" s="1">
        <v>5</v>
      </c>
      <c r="F45" s="1">
        <v>10</v>
      </c>
      <c r="G45" s="1">
        <v>10</v>
      </c>
      <c r="H45" s="1">
        <v>10</v>
      </c>
      <c r="I45" s="1">
        <v>15</v>
      </c>
      <c r="J45" s="1">
        <v>5</v>
      </c>
      <c r="K45" s="1">
        <v>10</v>
      </c>
      <c r="L45" s="1">
        <v>10</v>
      </c>
      <c r="M45" s="1">
        <v>20</v>
      </c>
      <c r="N45" s="1">
        <v>20</v>
      </c>
    </row>
    <row r="46" spans="2:14">
      <c r="B46" s="3" t="s">
        <v>114</v>
      </c>
      <c r="C46" s="1">
        <v>19</v>
      </c>
      <c r="D46" s="1">
        <v>8</v>
      </c>
      <c r="E46" s="1">
        <v>46</v>
      </c>
      <c r="F46" s="1">
        <v>38</v>
      </c>
      <c r="G46" s="1">
        <v>15</v>
      </c>
      <c r="H46" s="1">
        <v>102</v>
      </c>
      <c r="I46" s="1">
        <v>28</v>
      </c>
      <c r="J46" s="1">
        <v>43</v>
      </c>
      <c r="K46" s="1">
        <v>-1</v>
      </c>
      <c r="L46" s="1">
        <v>-2</v>
      </c>
      <c r="M46" s="1">
        <v>-30</v>
      </c>
      <c r="N46" s="1">
        <v>-32</v>
      </c>
    </row>
    <row r="47" spans="2:14">
      <c r="B47" s="3" t="s">
        <v>115</v>
      </c>
      <c r="C47" s="1">
        <v>49</v>
      </c>
      <c r="D47" s="1">
        <v>8</v>
      </c>
      <c r="E47" s="1">
        <v>51</v>
      </c>
      <c r="F47" s="1">
        <v>38</v>
      </c>
      <c r="G47" s="1">
        <v>15</v>
      </c>
      <c r="H47" s="1">
        <v>132</v>
      </c>
      <c r="I47" s="1">
        <v>63</v>
      </c>
      <c r="J47" s="1">
        <v>53</v>
      </c>
      <c r="K47" s="1">
        <v>-1</v>
      </c>
      <c r="L47" s="1">
        <v>38</v>
      </c>
      <c r="M47" s="1">
        <v>-10</v>
      </c>
      <c r="N47" s="1">
        <v>-12</v>
      </c>
    </row>
  </sheetData>
  <phoneticPr fontId="1" type="noConversion"/>
  <conditionalFormatting sqref="C44:N44">
    <cfRule type="expression" dxfId="1" priority="3">
      <formula>"&lt;=$E$135"</formula>
    </cfRule>
  </conditionalFormatting>
  <conditionalFormatting sqref="C46:N47 C43:N43">
    <cfRule type="cellIs" dxfId="0" priority="1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2020-09-25T05:19:11Z</dcterms:modified>
</cp:coreProperties>
</file>