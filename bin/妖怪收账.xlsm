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Sheet1!$A$1:$BP$146</definedName>
    <definedName name="_xlnm._FilterDatabase" localSheetId="1" hidden="1">'Sheet1 (2)'!$A$1:$BP$5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141" i="1" l="1"/>
  <c r="BP136" i="1"/>
  <c r="BP137" i="1"/>
  <c r="BP125" i="1"/>
  <c r="BP126" i="1"/>
  <c r="BP127" i="1"/>
  <c r="BP128" i="1"/>
  <c r="BP129" i="1"/>
  <c r="BP130" i="1"/>
  <c r="BP131" i="1"/>
  <c r="BP113" i="1"/>
  <c r="BP114" i="1"/>
  <c r="BP115" i="1"/>
  <c r="BP116" i="1"/>
  <c r="BP117" i="1"/>
  <c r="BP100" i="1"/>
  <c r="BP101" i="1"/>
  <c r="BP102" i="1"/>
  <c r="BP103" i="1"/>
  <c r="BP104" i="1"/>
  <c r="BP105" i="1"/>
  <c r="BP66" i="1"/>
  <c r="BP67" i="1"/>
  <c r="BP68" i="1"/>
  <c r="BP69" i="1"/>
  <c r="BP70" i="1"/>
  <c r="BP71" i="1"/>
  <c r="BP72" i="1"/>
  <c r="BP73" i="1"/>
  <c r="BP74" i="1"/>
  <c r="BP47" i="1"/>
  <c r="BP48" i="1"/>
  <c r="BP49" i="1"/>
  <c r="BP50" i="1"/>
  <c r="BP51" i="1"/>
  <c r="BP52" i="1"/>
  <c r="BP53" i="1"/>
  <c r="BP54" i="1"/>
  <c r="BP55" i="1"/>
  <c r="BP28" i="1"/>
  <c r="BP29" i="1"/>
  <c r="BP30" i="1"/>
  <c r="BP31" i="1"/>
  <c r="BP32" i="1"/>
  <c r="BP33" i="1"/>
  <c r="BP34" i="1"/>
  <c r="BO10" i="8" l="1"/>
  <c r="BO12" i="8" s="1"/>
  <c r="BN10" i="8"/>
  <c r="BN12" i="8" s="1"/>
  <c r="BM10" i="8"/>
  <c r="BM12" i="8" s="1"/>
  <c r="BL10" i="8"/>
  <c r="BL12" i="8" s="1"/>
  <c r="BK10" i="8"/>
  <c r="BK12" i="8" s="1"/>
  <c r="BJ10" i="8"/>
  <c r="BJ12" i="8" s="1"/>
  <c r="BI10" i="8"/>
  <c r="BI12" i="8" s="1"/>
  <c r="BH10" i="8"/>
  <c r="BH12" i="8" s="1"/>
  <c r="BG10" i="8"/>
  <c r="BG12" i="8" s="1"/>
  <c r="BF10" i="8"/>
  <c r="BF12" i="8" s="1"/>
  <c r="BE10" i="8"/>
  <c r="BE12" i="8" s="1"/>
  <c r="BD10" i="8"/>
  <c r="BD12" i="8" s="1"/>
  <c r="BC10" i="8"/>
  <c r="BC12" i="8" s="1"/>
  <c r="BB10" i="8"/>
  <c r="BB12" i="8" s="1"/>
  <c r="BA10" i="8"/>
  <c r="BA12" i="8" s="1"/>
  <c r="AZ10" i="8"/>
  <c r="AZ12" i="8" s="1"/>
  <c r="AY10" i="8"/>
  <c r="AY12" i="8" s="1"/>
  <c r="AX10" i="8"/>
  <c r="AX12" i="8" s="1"/>
  <c r="AW10" i="8"/>
  <c r="AW12" i="8" s="1"/>
  <c r="AV10" i="8"/>
  <c r="AV12" i="8" s="1"/>
  <c r="AU10" i="8"/>
  <c r="AU12" i="8" s="1"/>
  <c r="AT10" i="8"/>
  <c r="AT12" i="8" s="1"/>
  <c r="AS10" i="8"/>
  <c r="AS12" i="8" s="1"/>
  <c r="AR10" i="8"/>
  <c r="AR12" i="8" s="1"/>
  <c r="AQ10" i="8"/>
  <c r="AQ12" i="8" s="1"/>
  <c r="AP10" i="8"/>
  <c r="AP12" i="8" s="1"/>
  <c r="AO10" i="8"/>
  <c r="AO12" i="8" s="1"/>
  <c r="AN10" i="8"/>
  <c r="AN12" i="8" s="1"/>
  <c r="AM10" i="8"/>
  <c r="AM12" i="8" s="1"/>
  <c r="AL10" i="8"/>
  <c r="AL12" i="8" s="1"/>
  <c r="AK10" i="8"/>
  <c r="AK12" i="8" s="1"/>
  <c r="AJ10" i="8"/>
  <c r="AJ12" i="8" s="1"/>
  <c r="AI10" i="8"/>
  <c r="AI12" i="8" s="1"/>
  <c r="AH10" i="8"/>
  <c r="AH12" i="8" s="1"/>
  <c r="AG10" i="8"/>
  <c r="AG12" i="8" s="1"/>
  <c r="AF10" i="8"/>
  <c r="AF12" i="8" s="1"/>
  <c r="AE10" i="8"/>
  <c r="AE12" i="8" s="1"/>
  <c r="AD10" i="8"/>
  <c r="AD12" i="8" s="1"/>
  <c r="AC10" i="8"/>
  <c r="AC12" i="8" s="1"/>
  <c r="AB10" i="8"/>
  <c r="AB12" i="8" s="1"/>
  <c r="AA10" i="8"/>
  <c r="AA12" i="8" s="1"/>
  <c r="Z10" i="8"/>
  <c r="Z12" i="8" s="1"/>
  <c r="Y10" i="8"/>
  <c r="Y12" i="8" s="1"/>
  <c r="X10" i="8"/>
  <c r="X12" i="8" s="1"/>
  <c r="W10" i="8"/>
  <c r="W12" i="8" s="1"/>
  <c r="V10" i="8"/>
  <c r="V12" i="8" s="1"/>
  <c r="U10" i="8"/>
  <c r="U12" i="8" s="1"/>
  <c r="T10" i="8"/>
  <c r="T12" i="8" s="1"/>
  <c r="S10" i="8"/>
  <c r="S12" i="8" s="1"/>
  <c r="R10" i="8"/>
  <c r="R12" i="8" s="1"/>
  <c r="Q10" i="8"/>
  <c r="Q12" i="8" s="1"/>
  <c r="P10" i="8"/>
  <c r="P12" i="8" s="1"/>
  <c r="O10" i="8"/>
  <c r="O12" i="8" s="1"/>
  <c r="N10" i="8"/>
  <c r="N12" i="8" s="1"/>
  <c r="M10" i="8"/>
  <c r="M12" i="8" s="1"/>
  <c r="L10" i="8"/>
  <c r="L12" i="8" s="1"/>
  <c r="K10" i="8"/>
  <c r="K12" i="8" s="1"/>
  <c r="J10" i="8"/>
  <c r="J12" i="8" s="1"/>
  <c r="I10" i="8"/>
  <c r="I12" i="8" s="1"/>
  <c r="H10" i="8"/>
  <c r="H12" i="8" s="1"/>
  <c r="G10" i="8"/>
  <c r="G12" i="8" s="1"/>
  <c r="F10" i="8"/>
  <c r="F12" i="8" s="1"/>
  <c r="E10" i="8"/>
  <c r="E12" i="8" s="1"/>
  <c r="BO9" i="8"/>
  <c r="BO11" i="8" s="1"/>
  <c r="BN9" i="8"/>
  <c r="BN11" i="8" s="1"/>
  <c r="BM9" i="8"/>
  <c r="BM11" i="8" s="1"/>
  <c r="BL9" i="8"/>
  <c r="BL11" i="8" s="1"/>
  <c r="BK9" i="8"/>
  <c r="BK11" i="8" s="1"/>
  <c r="BJ9" i="8"/>
  <c r="BJ11" i="8" s="1"/>
  <c r="BI9" i="8"/>
  <c r="BI11" i="8" s="1"/>
  <c r="BH9" i="8"/>
  <c r="BH11" i="8" s="1"/>
  <c r="BG9" i="8"/>
  <c r="BG11" i="8" s="1"/>
  <c r="BF9" i="8"/>
  <c r="BF11" i="8" s="1"/>
  <c r="BE9" i="8"/>
  <c r="BE11" i="8" s="1"/>
  <c r="BD9" i="8"/>
  <c r="BD11" i="8" s="1"/>
  <c r="BC9" i="8"/>
  <c r="BC11" i="8" s="1"/>
  <c r="BB9" i="8"/>
  <c r="BB11" i="8" s="1"/>
  <c r="BA9" i="8"/>
  <c r="BA11" i="8" s="1"/>
  <c r="AZ9" i="8"/>
  <c r="AZ11" i="8" s="1"/>
  <c r="AY9" i="8"/>
  <c r="AY11" i="8" s="1"/>
  <c r="AX9" i="8"/>
  <c r="AX11" i="8" s="1"/>
  <c r="AW9" i="8"/>
  <c r="AW11" i="8" s="1"/>
  <c r="AV9" i="8"/>
  <c r="AV11" i="8" s="1"/>
  <c r="AU9" i="8"/>
  <c r="AU11" i="8" s="1"/>
  <c r="AT9" i="8"/>
  <c r="AT11" i="8" s="1"/>
  <c r="AS9" i="8"/>
  <c r="AS11" i="8" s="1"/>
  <c r="AR9" i="8"/>
  <c r="AR11" i="8" s="1"/>
  <c r="AQ9" i="8"/>
  <c r="AQ11" i="8" s="1"/>
  <c r="AP9" i="8"/>
  <c r="AP11" i="8" s="1"/>
  <c r="AO9" i="8"/>
  <c r="AO11" i="8" s="1"/>
  <c r="AN9" i="8"/>
  <c r="AN11" i="8" s="1"/>
  <c r="AM9" i="8"/>
  <c r="AM11" i="8" s="1"/>
  <c r="AL9" i="8"/>
  <c r="AL11" i="8" s="1"/>
  <c r="AK9" i="8"/>
  <c r="AK11" i="8" s="1"/>
  <c r="AJ9" i="8"/>
  <c r="AJ11" i="8" s="1"/>
  <c r="AI9" i="8"/>
  <c r="AI11" i="8" s="1"/>
  <c r="AH9" i="8"/>
  <c r="AH11" i="8" s="1"/>
  <c r="AG9" i="8"/>
  <c r="AG11" i="8" s="1"/>
  <c r="AF9" i="8"/>
  <c r="AF11" i="8" s="1"/>
  <c r="AE9" i="8"/>
  <c r="AE11" i="8" s="1"/>
  <c r="AD9" i="8"/>
  <c r="AD11" i="8" s="1"/>
  <c r="AC9" i="8"/>
  <c r="AC11" i="8" s="1"/>
  <c r="AB9" i="8"/>
  <c r="AB11" i="8" s="1"/>
  <c r="AA9" i="8"/>
  <c r="AA11" i="8" s="1"/>
  <c r="Z9" i="8"/>
  <c r="Z11" i="8" s="1"/>
  <c r="Y9" i="8"/>
  <c r="Y11" i="8" s="1"/>
  <c r="X9" i="8"/>
  <c r="X11" i="8" s="1"/>
  <c r="W9" i="8"/>
  <c r="W11" i="8" s="1"/>
  <c r="V9" i="8"/>
  <c r="V11" i="8" s="1"/>
  <c r="U9" i="8"/>
  <c r="U11" i="8" s="1"/>
  <c r="T9" i="8"/>
  <c r="T11" i="8" s="1"/>
  <c r="S9" i="8"/>
  <c r="S11" i="8" s="1"/>
  <c r="R9" i="8"/>
  <c r="R11" i="8" s="1"/>
  <c r="Q9" i="8"/>
  <c r="Q11" i="8" s="1"/>
  <c r="P9" i="8"/>
  <c r="P11" i="8" s="1"/>
  <c r="O9" i="8"/>
  <c r="O11" i="8" s="1"/>
  <c r="N9" i="8"/>
  <c r="N11" i="8" s="1"/>
  <c r="M9" i="8"/>
  <c r="M11" i="8" s="1"/>
  <c r="L9" i="8"/>
  <c r="L11" i="8" s="1"/>
  <c r="K9" i="8"/>
  <c r="K11" i="8" s="1"/>
  <c r="J9" i="8"/>
  <c r="J11" i="8" s="1"/>
  <c r="I9" i="8"/>
  <c r="I11" i="8" s="1"/>
  <c r="H9" i="8"/>
  <c r="H11" i="8" s="1"/>
  <c r="G9" i="8"/>
  <c r="G11" i="8" s="1"/>
  <c r="F9" i="8"/>
  <c r="F11" i="8" s="1"/>
  <c r="E9" i="8"/>
  <c r="E11" i="8" s="1"/>
  <c r="BF8" i="8"/>
  <c r="BO6" i="8"/>
  <c r="BO8" i="8" s="1"/>
  <c r="BN6" i="8"/>
  <c r="BN8" i="8" s="1"/>
  <c r="BM6" i="8"/>
  <c r="BM8" i="8" s="1"/>
  <c r="BL6" i="8"/>
  <c r="BL8" i="8" s="1"/>
  <c r="BK6" i="8"/>
  <c r="BK8" i="8" s="1"/>
  <c r="BJ6" i="8"/>
  <c r="BJ8" i="8" s="1"/>
  <c r="BI6" i="8"/>
  <c r="BI8" i="8" s="1"/>
  <c r="BH6" i="8"/>
  <c r="BH8" i="8" s="1"/>
  <c r="BG6" i="8"/>
  <c r="BG8" i="8" s="1"/>
  <c r="BF6" i="8"/>
  <c r="BE6" i="8"/>
  <c r="BE8" i="8" s="1"/>
  <c r="BD6" i="8"/>
  <c r="BD8" i="8" s="1"/>
  <c r="BC6" i="8"/>
  <c r="BC8" i="8" s="1"/>
  <c r="BB6" i="8"/>
  <c r="BB8" i="8" s="1"/>
  <c r="BA6" i="8"/>
  <c r="BA8" i="8" s="1"/>
  <c r="AZ6" i="8"/>
  <c r="AZ8" i="8" s="1"/>
  <c r="AY6" i="8"/>
  <c r="AY8" i="8" s="1"/>
  <c r="AX6" i="8"/>
  <c r="AW6" i="8"/>
  <c r="AV6" i="8"/>
  <c r="AV8" i="8" s="1"/>
  <c r="AU6" i="8"/>
  <c r="AU8" i="8" s="1"/>
  <c r="AT6" i="8"/>
  <c r="AT8" i="8" s="1"/>
  <c r="AS6" i="8"/>
  <c r="AS8" i="8" s="1"/>
  <c r="AR6" i="8"/>
  <c r="BU5" i="8" s="1"/>
  <c r="AQ6" i="8"/>
  <c r="AQ8" i="8" s="1"/>
  <c r="AP6" i="8"/>
  <c r="AP8" i="8" s="1"/>
  <c r="AO6" i="8"/>
  <c r="AO8" i="8" s="1"/>
  <c r="AN6" i="8"/>
  <c r="AN8" i="8" s="1"/>
  <c r="AM6" i="8"/>
  <c r="AM8" i="8" s="1"/>
  <c r="AL6" i="8"/>
  <c r="AL8" i="8" s="1"/>
  <c r="AK6" i="8"/>
  <c r="AK8" i="8" s="1"/>
  <c r="AJ6" i="8"/>
  <c r="AJ8" i="8" s="1"/>
  <c r="AI6" i="8"/>
  <c r="AI8" i="8" s="1"/>
  <c r="AH6" i="8"/>
  <c r="AH8" i="8" s="1"/>
  <c r="AG6" i="8"/>
  <c r="AG8" i="8" s="1"/>
  <c r="AF6" i="8"/>
  <c r="AF8" i="8" s="1"/>
  <c r="AE6" i="8"/>
  <c r="AE8" i="8" s="1"/>
  <c r="AD6" i="8"/>
  <c r="AD8" i="8" s="1"/>
  <c r="AC6" i="8"/>
  <c r="AC8" i="8" s="1"/>
  <c r="AB6" i="8"/>
  <c r="AB8" i="8" s="1"/>
  <c r="AA6" i="8"/>
  <c r="AA8" i="8" s="1"/>
  <c r="Z6" i="8"/>
  <c r="Z8" i="8" s="1"/>
  <c r="Y6" i="8"/>
  <c r="Y8" i="8" s="1"/>
  <c r="X6" i="8"/>
  <c r="X8" i="8" s="1"/>
  <c r="W6" i="8"/>
  <c r="W8" i="8" s="1"/>
  <c r="V6" i="8"/>
  <c r="V8" i="8" s="1"/>
  <c r="U6" i="8"/>
  <c r="U8" i="8" s="1"/>
  <c r="T6" i="8"/>
  <c r="T8" i="8" s="1"/>
  <c r="S6" i="8"/>
  <c r="S8" i="8" s="1"/>
  <c r="R6" i="8"/>
  <c r="R8" i="8" s="1"/>
  <c r="Q6" i="8"/>
  <c r="Q8" i="8" s="1"/>
  <c r="P6" i="8"/>
  <c r="P8" i="8" s="1"/>
  <c r="O6" i="8"/>
  <c r="O8" i="8" s="1"/>
  <c r="N6" i="8"/>
  <c r="N8" i="8" s="1"/>
  <c r="M6" i="8"/>
  <c r="M8" i="8" s="1"/>
  <c r="L6" i="8"/>
  <c r="L8" i="8" s="1"/>
  <c r="K6" i="8"/>
  <c r="K8" i="8" s="1"/>
  <c r="J6" i="8"/>
  <c r="J8" i="8" s="1"/>
  <c r="I6" i="8"/>
  <c r="I8" i="8" s="1"/>
  <c r="H6" i="8"/>
  <c r="H8" i="8" s="1"/>
  <c r="G6" i="8"/>
  <c r="G8" i="8" s="1"/>
  <c r="F6" i="8"/>
  <c r="F8" i="8" s="1"/>
  <c r="E6" i="8"/>
  <c r="E8" i="8" s="1"/>
  <c r="CC5" i="8"/>
  <c r="CB5" i="8"/>
  <c r="BX5" i="8"/>
  <c r="BW5" i="8"/>
  <c r="BP5" i="8"/>
  <c r="CS6" i="8"/>
  <c r="CC4" i="8"/>
  <c r="BW4" i="8"/>
  <c r="BT4" i="8"/>
  <c r="BP4" i="8"/>
  <c r="CS3" i="8"/>
  <c r="CC3" i="8"/>
  <c r="BW3" i="8"/>
  <c r="BU3" i="8"/>
  <c r="BT3" i="8"/>
  <c r="BP3" i="8"/>
  <c r="CS2" i="8"/>
  <c r="CE2" i="8"/>
  <c r="CC2" i="8"/>
  <c r="BX2" i="8"/>
  <c r="BW2" i="8"/>
  <c r="BT2" i="8"/>
  <c r="BP2" i="8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E151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E150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C147" i="1"/>
  <c r="AX147" i="1"/>
  <c r="AY147" i="1"/>
  <c r="AZ147" i="1"/>
  <c r="BA147" i="1"/>
  <c r="BB147" i="1"/>
  <c r="AW147" i="1"/>
  <c r="AR147" i="1"/>
  <c r="AS147" i="1"/>
  <c r="AT147" i="1"/>
  <c r="AU147" i="1"/>
  <c r="AV147" i="1"/>
  <c r="AQ147" i="1"/>
  <c r="AF147" i="1"/>
  <c r="AG147" i="1"/>
  <c r="AH147" i="1"/>
  <c r="AI147" i="1"/>
  <c r="AJ147" i="1"/>
  <c r="AK147" i="1"/>
  <c r="AL147" i="1"/>
  <c r="AM147" i="1"/>
  <c r="AN147" i="1"/>
  <c r="AO147" i="1"/>
  <c r="AP147" i="1"/>
  <c r="AE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P147" i="1"/>
  <c r="F147" i="1"/>
  <c r="G147" i="1"/>
  <c r="H147" i="1"/>
  <c r="I147" i="1"/>
  <c r="J147" i="1"/>
  <c r="K147" i="1"/>
  <c r="L147" i="1"/>
  <c r="M147" i="1"/>
  <c r="N147" i="1"/>
  <c r="O147" i="1"/>
  <c r="E147" i="1"/>
  <c r="BV4" i="8" l="1"/>
  <c r="BU4" i="8"/>
  <c r="CB4" i="8"/>
  <c r="CB3" i="8"/>
  <c r="BT5" i="8"/>
  <c r="BU2" i="8"/>
  <c r="BV5" i="8"/>
  <c r="BV2" i="8"/>
  <c r="BV6" i="8" s="1"/>
  <c r="BX3" i="8"/>
  <c r="CB2" i="8"/>
  <c r="CE3" i="8"/>
  <c r="CE6" i="8" s="1"/>
  <c r="BV3" i="8"/>
  <c r="BX4" i="8"/>
  <c r="CE5" i="8"/>
  <c r="CE4" i="8"/>
  <c r="BT6" i="8"/>
  <c r="BY4" i="8"/>
  <c r="BY2" i="8"/>
  <c r="BY5" i="8"/>
  <c r="BY3" i="8"/>
  <c r="CA3" i="8"/>
  <c r="CD4" i="8"/>
  <c r="CD5" i="8"/>
  <c r="CD3" i="8"/>
  <c r="CD2" i="8"/>
  <c r="BZ3" i="8"/>
  <c r="AR8" i="8"/>
  <c r="BZ2" i="8"/>
  <c r="AW8" i="8"/>
  <c r="CA2" i="8"/>
  <c r="AX8" i="8"/>
  <c r="BZ4" i="8"/>
  <c r="CA4" i="8"/>
  <c r="BZ5" i="8"/>
  <c r="CA5" i="8"/>
  <c r="BP15" i="1"/>
  <c r="BX6" i="8" l="1"/>
  <c r="BU6" i="8"/>
  <c r="BW6" i="8"/>
  <c r="CB6" i="8"/>
  <c r="BY6" i="8"/>
  <c r="CC6" i="8"/>
  <c r="CF3" i="8"/>
  <c r="CR3" i="8" s="1"/>
  <c r="CF2" i="8"/>
  <c r="CR2" i="8" s="1"/>
  <c r="CD6" i="8"/>
  <c r="CK2" i="8"/>
  <c r="CG2" i="8"/>
  <c r="CK3" i="8"/>
  <c r="CJ3" i="8"/>
  <c r="BZ6" i="8"/>
  <c r="CA6" i="8"/>
  <c r="BP107" i="1"/>
  <c r="BP93" i="1"/>
  <c r="BP75" i="1"/>
  <c r="CR6" i="8" l="1"/>
  <c r="CN3" i="8"/>
  <c r="CM3" i="8"/>
  <c r="CG3" i="8"/>
  <c r="CH3" i="8"/>
  <c r="CP2" i="8"/>
  <c r="CL3" i="8"/>
  <c r="CQ3" i="8"/>
  <c r="CH2" i="8"/>
  <c r="CH6" i="8" s="1"/>
  <c r="CI3" i="8"/>
  <c r="CJ2" i="8"/>
  <c r="CL2" i="8"/>
  <c r="CO3" i="8"/>
  <c r="CM2" i="8"/>
  <c r="CP3" i="8"/>
  <c r="CI2" i="8"/>
  <c r="CN2" i="8"/>
  <c r="CO2" i="8"/>
  <c r="CQ2" i="8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A152" i="1"/>
  <c r="BB152" i="1"/>
  <c r="BA153" i="1"/>
  <c r="BB153" i="1"/>
  <c r="AQ152" i="1"/>
  <c r="AR152" i="1"/>
  <c r="AS152" i="1"/>
  <c r="AT152" i="1"/>
  <c r="AU152" i="1"/>
  <c r="AV152" i="1"/>
  <c r="AW152" i="1"/>
  <c r="AX152" i="1"/>
  <c r="AY152" i="1"/>
  <c r="AZ152" i="1"/>
  <c r="AQ153" i="1"/>
  <c r="AR153" i="1"/>
  <c r="AS153" i="1"/>
  <c r="AT153" i="1"/>
  <c r="AU153" i="1"/>
  <c r="AV153" i="1"/>
  <c r="AW153" i="1"/>
  <c r="AX153" i="1"/>
  <c r="AY153" i="1"/>
  <c r="AZ153" i="1"/>
  <c r="AI152" i="1"/>
  <c r="AJ152" i="1"/>
  <c r="AK152" i="1"/>
  <c r="AL152" i="1"/>
  <c r="AM152" i="1"/>
  <c r="AN152" i="1"/>
  <c r="AO152" i="1"/>
  <c r="AP152" i="1"/>
  <c r="AI153" i="1"/>
  <c r="AJ153" i="1"/>
  <c r="AK153" i="1"/>
  <c r="AL153" i="1"/>
  <c r="AM153" i="1"/>
  <c r="AN153" i="1"/>
  <c r="AO153" i="1"/>
  <c r="AP153" i="1"/>
  <c r="AC152" i="1"/>
  <c r="AD152" i="1"/>
  <c r="AE152" i="1"/>
  <c r="AF152" i="1"/>
  <c r="AG152" i="1"/>
  <c r="AH152" i="1"/>
  <c r="AC153" i="1"/>
  <c r="AD153" i="1"/>
  <c r="AE153" i="1"/>
  <c r="AF153" i="1"/>
  <c r="AG153" i="1"/>
  <c r="AH153" i="1"/>
  <c r="W152" i="1"/>
  <c r="X152" i="1"/>
  <c r="Y152" i="1"/>
  <c r="Z152" i="1"/>
  <c r="AA152" i="1"/>
  <c r="AB152" i="1"/>
  <c r="W153" i="1"/>
  <c r="X153" i="1"/>
  <c r="Y153" i="1"/>
  <c r="Z153" i="1"/>
  <c r="AA153" i="1"/>
  <c r="AB153" i="1"/>
  <c r="P152" i="1"/>
  <c r="Q152" i="1"/>
  <c r="R152" i="1"/>
  <c r="S152" i="1"/>
  <c r="T152" i="1"/>
  <c r="U152" i="1"/>
  <c r="V152" i="1"/>
  <c r="P153" i="1"/>
  <c r="Q153" i="1"/>
  <c r="R153" i="1"/>
  <c r="S153" i="1"/>
  <c r="T153" i="1"/>
  <c r="U153" i="1"/>
  <c r="V153" i="1"/>
  <c r="G152" i="1"/>
  <c r="H152" i="1"/>
  <c r="I152" i="1"/>
  <c r="J152" i="1"/>
  <c r="K152" i="1"/>
  <c r="L152" i="1"/>
  <c r="M152" i="1"/>
  <c r="N152" i="1"/>
  <c r="O152" i="1"/>
  <c r="G153" i="1"/>
  <c r="H153" i="1"/>
  <c r="I153" i="1"/>
  <c r="J153" i="1"/>
  <c r="K153" i="1"/>
  <c r="L153" i="1"/>
  <c r="M153" i="1"/>
  <c r="N153" i="1"/>
  <c r="O153" i="1"/>
  <c r="F152" i="1"/>
  <c r="F153" i="1"/>
  <c r="E153" i="1"/>
  <c r="E152" i="1"/>
  <c r="CI6" i="8" l="1"/>
  <c r="CK6" i="8"/>
  <c r="CJ6" i="8"/>
  <c r="CL6" i="8"/>
  <c r="CM6" i="8"/>
  <c r="CQ6" i="8"/>
  <c r="CN6" i="8"/>
  <c r="CG6" i="8"/>
  <c r="CO6" i="8"/>
  <c r="CP6" i="8"/>
  <c r="BP2" i="1"/>
  <c r="BP3" i="1"/>
  <c r="BP4" i="1"/>
  <c r="BP5" i="1"/>
  <c r="BP6" i="1"/>
  <c r="BP9" i="1"/>
  <c r="BP19" i="1"/>
  <c r="BP82" i="1"/>
  <c r="BP81" i="1"/>
  <c r="BP83" i="1"/>
  <c r="BP84" i="1"/>
  <c r="BP79" i="1"/>
  <c r="BP80" i="1"/>
  <c r="BP85" i="1"/>
  <c r="BP86" i="1"/>
  <c r="BP87" i="1"/>
  <c r="BP11" i="1"/>
  <c r="BP14" i="1"/>
  <c r="BP96" i="1"/>
  <c r="BP98" i="1"/>
  <c r="BP99" i="1"/>
  <c r="BP106" i="1"/>
  <c r="BP20" i="1"/>
  <c r="BP8" i="1"/>
  <c r="BP110" i="1"/>
  <c r="BP56" i="1"/>
  <c r="BP57" i="1"/>
  <c r="BP58" i="1"/>
  <c r="BP59" i="1"/>
  <c r="BP92" i="1"/>
  <c r="BP118" i="1"/>
  <c r="BP119" i="1"/>
  <c r="BP7" i="1"/>
  <c r="BP90" i="1"/>
  <c r="BP91" i="1"/>
  <c r="BP88" i="1"/>
  <c r="BP16" i="1"/>
  <c r="BP76" i="1"/>
  <c r="BP89" i="1"/>
  <c r="BP42" i="1"/>
  <c r="BP78" i="1"/>
  <c r="BP60" i="1"/>
  <c r="BP61" i="1"/>
  <c r="BP62" i="1"/>
  <c r="BP108" i="1"/>
  <c r="BP10" i="1"/>
  <c r="BP111" i="1"/>
  <c r="BP138" i="1"/>
  <c r="BP139" i="1"/>
  <c r="BP21" i="1"/>
  <c r="BP17" i="1"/>
  <c r="BP18" i="1"/>
  <c r="BP120" i="1"/>
  <c r="BP121" i="1"/>
  <c r="BP122" i="1"/>
  <c r="BP41" i="1"/>
  <c r="BP94" i="1"/>
  <c r="BP95" i="1"/>
  <c r="BP12" i="1"/>
  <c r="BP13" i="1"/>
  <c r="BP124" i="1"/>
  <c r="BP142" i="1"/>
  <c r="BP43" i="1"/>
  <c r="BP63" i="1"/>
  <c r="BP109" i="1"/>
  <c r="BP35" i="1"/>
  <c r="BP36" i="1"/>
  <c r="BP37" i="1"/>
  <c r="BP38" i="1"/>
  <c r="BP39" i="1"/>
  <c r="BP40" i="1"/>
  <c r="BP44" i="1"/>
  <c r="BP45" i="1"/>
  <c r="BP46" i="1"/>
  <c r="BP22" i="1"/>
  <c r="BP64" i="1"/>
  <c r="BP65" i="1"/>
  <c r="BP140" i="1"/>
  <c r="BP112" i="1"/>
  <c r="BP123" i="1"/>
  <c r="BP23" i="1"/>
  <c r="BP24" i="1"/>
  <c r="BP25" i="1"/>
  <c r="BP26" i="1"/>
  <c r="BP27" i="1"/>
  <c r="BP77" i="1"/>
  <c r="BP97" i="1"/>
  <c r="BP132" i="1"/>
  <c r="BP133" i="1"/>
  <c r="BP134" i="1"/>
  <c r="BP135" i="1"/>
  <c r="BP144" i="1"/>
  <c r="BP145" i="1"/>
  <c r="BP146" i="1"/>
  <c r="CS135" i="1" l="1"/>
  <c r="CS2" i="1" l="1"/>
  <c r="CS3" i="1"/>
  <c r="CS21" i="1"/>
  <c r="CS9" i="1"/>
  <c r="CS82" i="1"/>
  <c r="CS81" i="1"/>
  <c r="CS83" i="1"/>
  <c r="CS84" i="1"/>
  <c r="CS79" i="1"/>
  <c r="CS80" i="1"/>
  <c r="CS19" i="1"/>
  <c r="CS92" i="1"/>
  <c r="CS96" i="1"/>
  <c r="CS98" i="1"/>
  <c r="CS99" i="1"/>
  <c r="CS10" i="1"/>
  <c r="CS17" i="1"/>
  <c r="CS118" i="1"/>
  <c r="CS119" i="1"/>
  <c r="CS18" i="1"/>
  <c r="CS138" i="1"/>
  <c r="CS139" i="1"/>
  <c r="CS88" i="1"/>
  <c r="CS76" i="1"/>
  <c r="CS97" i="1"/>
  <c r="CS77" i="1"/>
  <c r="CS12" i="1"/>
  <c r="CS144" i="1"/>
  <c r="CS132" i="1"/>
  <c r="CS143" i="1"/>
  <c r="CS147" i="1" l="1"/>
  <c r="BP143" i="1" l="1"/>
  <c r="BM149" i="1" l="1"/>
  <c r="AM149" i="1"/>
  <c r="L149" i="1"/>
  <c r="BK149" i="1"/>
  <c r="AJ149" i="1"/>
  <c r="BH149" i="1"/>
  <c r="AH149" i="1"/>
  <c r="AL149" i="1"/>
  <c r="BD149" i="1"/>
  <c r="BL149" i="1"/>
  <c r="J149" i="1"/>
  <c r="H149" i="1"/>
  <c r="G149" i="1"/>
  <c r="BG149" i="1"/>
  <c r="AE149" i="1"/>
  <c r="F149" i="1"/>
  <c r="BJ149" i="1"/>
  <c r="AI149" i="1"/>
  <c r="I149" i="1"/>
  <c r="AG149" i="1"/>
  <c r="BE149" i="1"/>
  <c r="AF149" i="1"/>
  <c r="BF149" i="1"/>
  <c r="O149" i="1"/>
  <c r="BO149" i="1"/>
  <c r="N149" i="1"/>
  <c r="K149" i="1"/>
  <c r="AK149" i="1"/>
  <c r="BI149" i="1"/>
  <c r="E149" i="1"/>
  <c r="BN149" i="1"/>
  <c r="AN149" i="1"/>
  <c r="M149" i="1"/>
  <c r="AP149" i="1"/>
  <c r="BC149" i="1"/>
  <c r="AO149" i="1"/>
  <c r="V149" i="1"/>
  <c r="Y149" i="1"/>
  <c r="W149" i="1"/>
  <c r="S149" i="1"/>
  <c r="X149" i="1"/>
  <c r="R149" i="1"/>
  <c r="Z149" i="1"/>
  <c r="U149" i="1"/>
  <c r="T149" i="1"/>
  <c r="AC149" i="1"/>
  <c r="Q149" i="1"/>
  <c r="AB149" i="1"/>
  <c r="P149" i="1"/>
  <c r="AA149" i="1"/>
  <c r="AD149" i="1"/>
  <c r="AR149" i="1" l="1"/>
  <c r="BU19" i="1"/>
  <c r="BU85" i="1"/>
  <c r="BU98" i="1"/>
  <c r="BU138" i="1"/>
  <c r="BU3" i="1"/>
  <c r="BU11" i="1"/>
  <c r="BU110" i="1"/>
  <c r="BU7" i="1"/>
  <c r="BU62" i="1"/>
  <c r="BU121" i="1"/>
  <c r="BU103" i="1"/>
  <c r="BU12" i="1"/>
  <c r="BU13" i="1"/>
  <c r="BU124" i="1"/>
  <c r="BU142" i="1"/>
  <c r="BU43" i="1"/>
  <c r="BU63" i="1"/>
  <c r="BU109" i="1"/>
  <c r="BU35" i="1"/>
  <c r="BU36" i="1"/>
  <c r="BU37" i="1"/>
  <c r="BU38" i="1"/>
  <c r="BU39" i="1"/>
  <c r="BU40" i="1"/>
  <c r="BU44" i="1"/>
  <c r="BU45" i="1"/>
  <c r="BU46" i="1"/>
  <c r="BU22" i="1"/>
  <c r="BU101" i="1"/>
  <c r="BU102" i="1"/>
  <c r="BU64" i="1"/>
  <c r="BU65" i="1"/>
  <c r="BU140" i="1"/>
  <c r="BU112" i="1"/>
  <c r="BU123" i="1"/>
  <c r="BU23" i="1"/>
  <c r="BU24" i="1"/>
  <c r="BU25" i="1"/>
  <c r="BU26" i="1"/>
  <c r="BU92" i="1"/>
  <c r="BU89" i="1"/>
  <c r="BU21" i="1"/>
  <c r="BU9" i="1"/>
  <c r="BU80" i="1"/>
  <c r="BU96" i="1"/>
  <c r="BU59" i="1"/>
  <c r="BU16" i="1"/>
  <c r="BU111" i="1"/>
  <c r="BU131" i="1"/>
  <c r="BU94" i="1"/>
  <c r="BU81" i="1"/>
  <c r="BU8" i="1"/>
  <c r="BU61" i="1"/>
  <c r="BU66" i="1"/>
  <c r="BU86" i="1"/>
  <c r="BU99" i="1"/>
  <c r="BU76" i="1"/>
  <c r="BU139" i="1"/>
  <c r="BU4" i="1"/>
  <c r="BU83" i="1"/>
  <c r="BU56" i="1"/>
  <c r="BU90" i="1"/>
  <c r="BU5" i="1"/>
  <c r="BU82" i="1"/>
  <c r="BU58" i="1"/>
  <c r="BU17" i="1"/>
  <c r="BU2" i="1"/>
  <c r="BU79" i="1"/>
  <c r="BU78" i="1"/>
  <c r="BU97" i="1"/>
  <c r="BU132" i="1"/>
  <c r="BU134" i="1"/>
  <c r="BU146" i="1"/>
  <c r="BU6" i="1"/>
  <c r="BU106" i="1"/>
  <c r="BU95" i="1"/>
  <c r="BU28" i="1"/>
  <c r="BU104" i="1"/>
  <c r="BU133" i="1"/>
  <c r="BU145" i="1"/>
  <c r="BU18" i="1"/>
  <c r="BU120" i="1"/>
  <c r="BU41" i="1"/>
  <c r="BU144" i="1"/>
  <c r="BU127" i="1"/>
  <c r="BU77" i="1"/>
  <c r="BU135" i="1"/>
  <c r="BU118" i="1"/>
  <c r="BU27" i="1"/>
  <c r="BU108" i="1"/>
  <c r="BU130" i="1"/>
  <c r="BU87" i="1"/>
  <c r="BU91" i="1"/>
  <c r="BU60" i="1"/>
  <c r="BU57" i="1"/>
  <c r="BU119" i="1"/>
  <c r="BU20" i="1"/>
  <c r="BU10" i="1"/>
  <c r="BU84" i="1"/>
  <c r="BU88" i="1"/>
  <c r="BU126" i="1"/>
  <c r="BU122" i="1"/>
  <c r="BU14" i="1"/>
  <c r="BU42" i="1"/>
  <c r="BU143" i="1"/>
  <c r="AU149" i="1"/>
  <c r="BX2" i="1"/>
  <c r="BX3" i="1"/>
  <c r="BX4" i="1"/>
  <c r="BX5" i="1"/>
  <c r="BX6" i="1"/>
  <c r="BX9" i="1"/>
  <c r="BX19" i="1"/>
  <c r="BX66" i="1"/>
  <c r="BX82" i="1"/>
  <c r="BX81" i="1"/>
  <c r="BX83" i="1"/>
  <c r="BX84" i="1"/>
  <c r="BX79" i="1"/>
  <c r="BX80" i="1"/>
  <c r="BX85" i="1"/>
  <c r="BX86" i="1"/>
  <c r="BX87" i="1"/>
  <c r="BX11" i="1"/>
  <c r="BX14" i="1"/>
  <c r="BX96" i="1"/>
  <c r="BX98" i="1"/>
  <c r="BX99" i="1"/>
  <c r="BX106" i="1"/>
  <c r="BX20" i="1"/>
  <c r="BX8" i="1"/>
  <c r="BX110" i="1"/>
  <c r="BX56" i="1"/>
  <c r="BX57" i="1"/>
  <c r="BX58" i="1"/>
  <c r="BX59" i="1"/>
  <c r="BX92" i="1"/>
  <c r="BX118" i="1"/>
  <c r="BX119" i="1"/>
  <c r="BX7" i="1"/>
  <c r="BX90" i="1"/>
  <c r="BX91" i="1"/>
  <c r="BX88" i="1"/>
  <c r="BX16" i="1"/>
  <c r="BX76" i="1"/>
  <c r="BX89" i="1"/>
  <c r="BX42" i="1"/>
  <c r="BX78" i="1"/>
  <c r="BX60" i="1"/>
  <c r="BX61" i="1"/>
  <c r="BX62" i="1"/>
  <c r="BX108" i="1"/>
  <c r="BX10" i="1"/>
  <c r="BX111" i="1"/>
  <c r="BX138" i="1"/>
  <c r="BX139" i="1"/>
  <c r="BX21" i="1"/>
  <c r="BX17" i="1"/>
  <c r="BX18" i="1"/>
  <c r="BX130" i="1"/>
  <c r="BX127" i="1"/>
  <c r="BX122" i="1"/>
  <c r="BX126" i="1"/>
  <c r="BX120" i="1"/>
  <c r="BX95" i="1"/>
  <c r="BX131" i="1"/>
  <c r="BX94" i="1"/>
  <c r="BX124" i="1"/>
  <c r="BX44" i="1"/>
  <c r="BX46" i="1"/>
  <c r="BX40" i="1"/>
  <c r="BX101" i="1"/>
  <c r="BX65" i="1"/>
  <c r="BX25" i="1"/>
  <c r="BX63" i="1"/>
  <c r="BX123" i="1"/>
  <c r="BX142" i="1"/>
  <c r="BX45" i="1"/>
  <c r="BX12" i="1"/>
  <c r="BX38" i="1"/>
  <c r="BX41" i="1"/>
  <c r="BX36" i="1"/>
  <c r="BX22" i="1"/>
  <c r="BX64" i="1"/>
  <c r="BX109" i="1"/>
  <c r="BX28" i="1"/>
  <c r="BX77" i="1"/>
  <c r="BX97" i="1"/>
  <c r="BX104" i="1"/>
  <c r="BX132" i="1"/>
  <c r="BX133" i="1"/>
  <c r="BX134" i="1"/>
  <c r="BX135" i="1"/>
  <c r="BX144" i="1"/>
  <c r="BX145" i="1"/>
  <c r="BX146" i="1"/>
  <c r="BX23" i="1"/>
  <c r="BX121" i="1"/>
  <c r="BX13" i="1"/>
  <c r="BX39" i="1"/>
  <c r="BX27" i="1"/>
  <c r="BX37" i="1"/>
  <c r="BX102" i="1"/>
  <c r="BX26" i="1"/>
  <c r="BX43" i="1"/>
  <c r="BX103" i="1"/>
  <c r="BX140" i="1"/>
  <c r="BX35" i="1"/>
  <c r="BX112" i="1"/>
  <c r="BX24" i="1"/>
  <c r="BX143" i="1"/>
  <c r="BB149" i="1"/>
  <c r="CE66" i="1"/>
  <c r="CE86" i="1"/>
  <c r="CE99" i="1"/>
  <c r="CE76" i="1"/>
  <c r="CE139" i="1"/>
  <c r="CE4" i="1"/>
  <c r="CE83" i="1"/>
  <c r="CE56" i="1"/>
  <c r="CE90" i="1"/>
  <c r="CE131" i="1"/>
  <c r="CE94" i="1"/>
  <c r="CE106" i="1"/>
  <c r="CE42" i="1"/>
  <c r="CE17" i="1"/>
  <c r="CE19" i="1"/>
  <c r="CE85" i="1"/>
  <c r="CE98" i="1"/>
  <c r="CE138" i="1"/>
  <c r="CE130" i="1"/>
  <c r="CE127" i="1"/>
  <c r="CE41" i="1"/>
  <c r="CE3" i="1"/>
  <c r="CE11" i="1"/>
  <c r="CE110" i="1"/>
  <c r="CE7" i="1"/>
  <c r="CE62" i="1"/>
  <c r="CE92" i="1"/>
  <c r="CE89" i="1"/>
  <c r="CE21" i="1"/>
  <c r="CE122" i="1"/>
  <c r="CE5" i="1"/>
  <c r="CE84" i="1"/>
  <c r="CE57" i="1"/>
  <c r="CE91" i="1"/>
  <c r="CE108" i="1"/>
  <c r="CE20" i="1"/>
  <c r="CE10" i="1"/>
  <c r="CE13" i="1"/>
  <c r="CE22" i="1"/>
  <c r="CE64" i="1"/>
  <c r="CE82" i="1"/>
  <c r="CE58" i="1"/>
  <c r="CE103" i="1"/>
  <c r="CE37" i="1"/>
  <c r="CE44" i="1"/>
  <c r="CE27" i="1"/>
  <c r="CE28" i="1"/>
  <c r="CE77" i="1"/>
  <c r="CE104" i="1"/>
  <c r="CE132" i="1"/>
  <c r="CE134" i="1"/>
  <c r="CE135" i="1"/>
  <c r="CE145" i="1"/>
  <c r="CE146" i="1"/>
  <c r="CE18" i="1"/>
  <c r="CE40" i="1"/>
  <c r="CE46" i="1"/>
  <c r="CE26" i="1"/>
  <c r="CE2" i="1"/>
  <c r="CE14" i="1"/>
  <c r="CE8" i="1"/>
  <c r="CE111" i="1"/>
  <c r="CE126" i="1"/>
  <c r="CE124" i="1"/>
  <c r="CE97" i="1"/>
  <c r="CE133" i="1"/>
  <c r="CE144" i="1"/>
  <c r="CE81" i="1"/>
  <c r="CE79" i="1"/>
  <c r="CE16" i="1"/>
  <c r="CE35" i="1"/>
  <c r="CE102" i="1"/>
  <c r="CE140" i="1"/>
  <c r="CE23" i="1"/>
  <c r="CE6" i="1"/>
  <c r="CE59" i="1"/>
  <c r="CE96" i="1"/>
  <c r="CE78" i="1"/>
  <c r="CE63" i="1"/>
  <c r="CE80" i="1"/>
  <c r="CE118" i="1"/>
  <c r="CE9" i="1"/>
  <c r="CE120" i="1"/>
  <c r="CE142" i="1"/>
  <c r="CE101" i="1"/>
  <c r="CE65" i="1"/>
  <c r="CE123" i="1"/>
  <c r="CE25" i="1"/>
  <c r="CE121" i="1"/>
  <c r="CE109" i="1"/>
  <c r="CE112" i="1"/>
  <c r="CE87" i="1"/>
  <c r="CE95" i="1"/>
  <c r="CE36" i="1"/>
  <c r="CE39" i="1"/>
  <c r="CE60" i="1"/>
  <c r="CE45" i="1"/>
  <c r="CE119" i="1"/>
  <c r="CE24" i="1"/>
  <c r="CE61" i="1"/>
  <c r="CE38" i="1"/>
  <c r="CE43" i="1"/>
  <c r="CE12" i="1"/>
  <c r="CE88" i="1"/>
  <c r="CE143" i="1"/>
  <c r="AS149" i="1"/>
  <c r="BV2" i="1"/>
  <c r="BV82" i="1"/>
  <c r="BV20" i="1"/>
  <c r="BV119" i="1"/>
  <c r="BV60" i="1"/>
  <c r="BV130" i="1"/>
  <c r="BV127" i="1"/>
  <c r="BV122" i="1"/>
  <c r="BV19" i="1"/>
  <c r="BV85" i="1"/>
  <c r="BV98" i="1"/>
  <c r="BV138" i="1"/>
  <c r="BV3" i="1"/>
  <c r="BV11" i="1"/>
  <c r="BV110" i="1"/>
  <c r="BV7" i="1"/>
  <c r="BV62" i="1"/>
  <c r="BV121" i="1"/>
  <c r="BV103" i="1"/>
  <c r="BV12" i="1"/>
  <c r="BV13" i="1"/>
  <c r="BV124" i="1"/>
  <c r="BV142" i="1"/>
  <c r="BV43" i="1"/>
  <c r="BV63" i="1"/>
  <c r="BV109" i="1"/>
  <c r="BV35" i="1"/>
  <c r="BV36" i="1"/>
  <c r="BV37" i="1"/>
  <c r="BV38" i="1"/>
  <c r="BV39" i="1"/>
  <c r="BV40" i="1"/>
  <c r="BV44" i="1"/>
  <c r="BV45" i="1"/>
  <c r="BV46" i="1"/>
  <c r="BV22" i="1"/>
  <c r="BV87" i="1"/>
  <c r="BV118" i="1"/>
  <c r="BV78" i="1"/>
  <c r="BV18" i="1"/>
  <c r="BV9" i="1"/>
  <c r="BV80" i="1"/>
  <c r="BV96" i="1"/>
  <c r="BV59" i="1"/>
  <c r="BV16" i="1"/>
  <c r="BV111" i="1"/>
  <c r="BV131" i="1"/>
  <c r="BV94" i="1"/>
  <c r="BV81" i="1"/>
  <c r="BV8" i="1"/>
  <c r="BV61" i="1"/>
  <c r="BV66" i="1"/>
  <c r="BV86" i="1"/>
  <c r="BV99" i="1"/>
  <c r="BV76" i="1"/>
  <c r="BV139" i="1"/>
  <c r="BV84" i="1"/>
  <c r="BV92" i="1"/>
  <c r="BV88" i="1"/>
  <c r="BV14" i="1"/>
  <c r="BV42" i="1"/>
  <c r="BV126" i="1"/>
  <c r="BV120" i="1"/>
  <c r="BV41" i="1"/>
  <c r="BV64" i="1"/>
  <c r="BV24" i="1"/>
  <c r="BV79" i="1"/>
  <c r="BV112" i="1"/>
  <c r="BV6" i="1"/>
  <c r="BV106" i="1"/>
  <c r="BV90" i="1"/>
  <c r="BV56" i="1"/>
  <c r="BV95" i="1"/>
  <c r="BV28" i="1"/>
  <c r="BV77" i="1"/>
  <c r="BV97" i="1"/>
  <c r="BV104" i="1"/>
  <c r="BV132" i="1"/>
  <c r="BV133" i="1"/>
  <c r="BV134" i="1"/>
  <c r="BV135" i="1"/>
  <c r="BV144" i="1"/>
  <c r="BV145" i="1"/>
  <c r="BV146" i="1"/>
  <c r="BV83" i="1"/>
  <c r="BV108" i="1"/>
  <c r="BV89" i="1"/>
  <c r="BV4" i="1"/>
  <c r="BV91" i="1"/>
  <c r="BV102" i="1"/>
  <c r="BV140" i="1"/>
  <c r="BV23" i="1"/>
  <c r="BV26" i="1"/>
  <c r="BV57" i="1"/>
  <c r="BV21" i="1"/>
  <c r="BV10" i="1"/>
  <c r="BV5" i="1"/>
  <c r="BV58" i="1"/>
  <c r="BV17" i="1"/>
  <c r="BV123" i="1"/>
  <c r="BV25" i="1"/>
  <c r="BV101" i="1"/>
  <c r="BV27" i="1"/>
  <c r="BV65" i="1"/>
  <c r="BV143" i="1"/>
  <c r="AW149" i="1"/>
  <c r="BZ106" i="1"/>
  <c r="BZ42" i="1"/>
  <c r="BZ17" i="1"/>
  <c r="BZ6" i="1"/>
  <c r="BZ79" i="1"/>
  <c r="BZ14" i="1"/>
  <c r="BZ58" i="1"/>
  <c r="BZ88" i="1"/>
  <c r="BZ10" i="1"/>
  <c r="BZ41" i="1"/>
  <c r="BZ2" i="1"/>
  <c r="BZ82" i="1"/>
  <c r="BZ20" i="1"/>
  <c r="BZ119" i="1"/>
  <c r="BZ60" i="1"/>
  <c r="BZ92" i="1"/>
  <c r="BZ89" i="1"/>
  <c r="BZ21" i="1"/>
  <c r="BZ121" i="1"/>
  <c r="BZ5" i="1"/>
  <c r="BZ84" i="1"/>
  <c r="BZ57" i="1"/>
  <c r="BZ91" i="1"/>
  <c r="BZ108" i="1"/>
  <c r="BZ103" i="1"/>
  <c r="BZ12" i="1"/>
  <c r="BZ13" i="1"/>
  <c r="BZ124" i="1"/>
  <c r="BZ142" i="1"/>
  <c r="BZ43" i="1"/>
  <c r="BZ63" i="1"/>
  <c r="BZ109" i="1"/>
  <c r="BZ35" i="1"/>
  <c r="BZ36" i="1"/>
  <c r="BZ37" i="1"/>
  <c r="BZ38" i="1"/>
  <c r="BZ39" i="1"/>
  <c r="BZ40" i="1"/>
  <c r="BZ44" i="1"/>
  <c r="BZ45" i="1"/>
  <c r="BZ46" i="1"/>
  <c r="BZ22" i="1"/>
  <c r="BZ101" i="1"/>
  <c r="BZ102" i="1"/>
  <c r="BZ64" i="1"/>
  <c r="BZ65" i="1"/>
  <c r="BZ140" i="1"/>
  <c r="BZ112" i="1"/>
  <c r="BZ123" i="1"/>
  <c r="BZ23" i="1"/>
  <c r="BZ24" i="1"/>
  <c r="BZ25" i="1"/>
  <c r="BZ87" i="1"/>
  <c r="BZ118" i="1"/>
  <c r="BZ78" i="1"/>
  <c r="BZ18" i="1"/>
  <c r="BZ126" i="1"/>
  <c r="BZ120" i="1"/>
  <c r="BZ95" i="1"/>
  <c r="BZ9" i="1"/>
  <c r="BZ80" i="1"/>
  <c r="BZ96" i="1"/>
  <c r="BZ59" i="1"/>
  <c r="BZ16" i="1"/>
  <c r="BZ111" i="1"/>
  <c r="BZ86" i="1"/>
  <c r="BZ122" i="1"/>
  <c r="BZ94" i="1"/>
  <c r="BZ81" i="1"/>
  <c r="BZ62" i="1"/>
  <c r="BZ138" i="1"/>
  <c r="BZ7" i="1"/>
  <c r="BZ110" i="1"/>
  <c r="BZ11" i="1"/>
  <c r="BZ127" i="1"/>
  <c r="BZ90" i="1"/>
  <c r="BZ3" i="1"/>
  <c r="BZ98" i="1"/>
  <c r="BZ56" i="1"/>
  <c r="BZ139" i="1"/>
  <c r="BZ130" i="1"/>
  <c r="BZ85" i="1"/>
  <c r="BZ76" i="1"/>
  <c r="BZ61" i="1"/>
  <c r="BZ26" i="1"/>
  <c r="BZ19" i="1"/>
  <c r="BZ83" i="1"/>
  <c r="BZ27" i="1"/>
  <c r="BZ28" i="1"/>
  <c r="BZ77" i="1"/>
  <c r="BZ97" i="1"/>
  <c r="BZ104" i="1"/>
  <c r="BZ132" i="1"/>
  <c r="BZ133" i="1"/>
  <c r="BZ134" i="1"/>
  <c r="BZ135" i="1"/>
  <c r="BZ144" i="1"/>
  <c r="BZ145" i="1"/>
  <c r="BZ146" i="1"/>
  <c r="BZ4" i="1"/>
  <c r="BZ99" i="1"/>
  <c r="BZ66" i="1"/>
  <c r="BZ131" i="1"/>
  <c r="BZ8" i="1"/>
  <c r="BZ143" i="1"/>
  <c r="AT149" i="1"/>
  <c r="BW2" i="1"/>
  <c r="BW3" i="1"/>
  <c r="BW4" i="1"/>
  <c r="BW5" i="1"/>
  <c r="BW6" i="1"/>
  <c r="BW9" i="1"/>
  <c r="BW19" i="1"/>
  <c r="BW66" i="1"/>
  <c r="BW82" i="1"/>
  <c r="BW81" i="1"/>
  <c r="BW83" i="1"/>
  <c r="BW84" i="1"/>
  <c r="BW79" i="1"/>
  <c r="BW80" i="1"/>
  <c r="BW85" i="1"/>
  <c r="BW86" i="1"/>
  <c r="BW87" i="1"/>
  <c r="BW11" i="1"/>
  <c r="BW14" i="1"/>
  <c r="BW96" i="1"/>
  <c r="BW98" i="1"/>
  <c r="BW99" i="1"/>
  <c r="BW106" i="1"/>
  <c r="BW20" i="1"/>
  <c r="BW8" i="1"/>
  <c r="BW110" i="1"/>
  <c r="BW56" i="1"/>
  <c r="BW57" i="1"/>
  <c r="BW58" i="1"/>
  <c r="BW59" i="1"/>
  <c r="BW92" i="1"/>
  <c r="BW118" i="1"/>
  <c r="BW119" i="1"/>
  <c r="BW7" i="1"/>
  <c r="BW90" i="1"/>
  <c r="BW91" i="1"/>
  <c r="BW88" i="1"/>
  <c r="BW16" i="1"/>
  <c r="BW76" i="1"/>
  <c r="BW89" i="1"/>
  <c r="BW42" i="1"/>
  <c r="BW78" i="1"/>
  <c r="BW60" i="1"/>
  <c r="BW61" i="1"/>
  <c r="BW62" i="1"/>
  <c r="BW108" i="1"/>
  <c r="BW10" i="1"/>
  <c r="BW111" i="1"/>
  <c r="BW138" i="1"/>
  <c r="BW139" i="1"/>
  <c r="BW21" i="1"/>
  <c r="BW17" i="1"/>
  <c r="BW18" i="1"/>
  <c r="BW130" i="1"/>
  <c r="BW126" i="1"/>
  <c r="BW127" i="1"/>
  <c r="BW131" i="1"/>
  <c r="BW120" i="1"/>
  <c r="BW121" i="1"/>
  <c r="BW122" i="1"/>
  <c r="BW41" i="1"/>
  <c r="BW94" i="1"/>
  <c r="BW95" i="1"/>
  <c r="BW35" i="1"/>
  <c r="BW63" i="1"/>
  <c r="BW101" i="1"/>
  <c r="BW65" i="1"/>
  <c r="BW123" i="1"/>
  <c r="BW25" i="1"/>
  <c r="BW38" i="1"/>
  <c r="BW12" i="1"/>
  <c r="BW36" i="1"/>
  <c r="BW142" i="1"/>
  <c r="BW45" i="1"/>
  <c r="BW22" i="1"/>
  <c r="BW64" i="1"/>
  <c r="BW112" i="1"/>
  <c r="BW24" i="1"/>
  <c r="BW109" i="1"/>
  <c r="BW13" i="1"/>
  <c r="BW39" i="1"/>
  <c r="BW27" i="1"/>
  <c r="BW43" i="1"/>
  <c r="BW124" i="1"/>
  <c r="BW44" i="1"/>
  <c r="BW103" i="1"/>
  <c r="BW37" i="1"/>
  <c r="BW102" i="1"/>
  <c r="BW140" i="1"/>
  <c r="BW23" i="1"/>
  <c r="BW26" i="1"/>
  <c r="BW46" i="1"/>
  <c r="BW146" i="1"/>
  <c r="BW28" i="1"/>
  <c r="BW77" i="1"/>
  <c r="BW135" i="1"/>
  <c r="BW132" i="1"/>
  <c r="BW97" i="1"/>
  <c r="BW144" i="1"/>
  <c r="BW40" i="1"/>
  <c r="BW104" i="1"/>
  <c r="BW145" i="1"/>
  <c r="BW133" i="1"/>
  <c r="BW134" i="1"/>
  <c r="BW143" i="1"/>
  <c r="AY149" i="1"/>
  <c r="CB2" i="1"/>
  <c r="CB3" i="1"/>
  <c r="CB4" i="1"/>
  <c r="CB5" i="1"/>
  <c r="CB6" i="1"/>
  <c r="CB9" i="1"/>
  <c r="CB19" i="1"/>
  <c r="CB66" i="1"/>
  <c r="CB82" i="1"/>
  <c r="CB81" i="1"/>
  <c r="CB83" i="1"/>
  <c r="CB84" i="1"/>
  <c r="CB79" i="1"/>
  <c r="CB80" i="1"/>
  <c r="CB85" i="1"/>
  <c r="CB86" i="1"/>
  <c r="CB87" i="1"/>
  <c r="CB11" i="1"/>
  <c r="CB14" i="1"/>
  <c r="CB96" i="1"/>
  <c r="CB98" i="1"/>
  <c r="CB99" i="1"/>
  <c r="CB106" i="1"/>
  <c r="CB20" i="1"/>
  <c r="CB8" i="1"/>
  <c r="CB110" i="1"/>
  <c r="CB56" i="1"/>
  <c r="CB57" i="1"/>
  <c r="CB58" i="1"/>
  <c r="CB59" i="1"/>
  <c r="CB92" i="1"/>
  <c r="CB118" i="1"/>
  <c r="CB119" i="1"/>
  <c r="CB7" i="1"/>
  <c r="CB90" i="1"/>
  <c r="CB91" i="1"/>
  <c r="CB88" i="1"/>
  <c r="CB16" i="1"/>
  <c r="CB76" i="1"/>
  <c r="CB89" i="1"/>
  <c r="CB42" i="1"/>
  <c r="CB78" i="1"/>
  <c r="CB60" i="1"/>
  <c r="CB61" i="1"/>
  <c r="CB62" i="1"/>
  <c r="CB108" i="1"/>
  <c r="CB10" i="1"/>
  <c r="CB111" i="1"/>
  <c r="CB138" i="1"/>
  <c r="CB139" i="1"/>
  <c r="CB21" i="1"/>
  <c r="CB17" i="1"/>
  <c r="CB18" i="1"/>
  <c r="CB130" i="1"/>
  <c r="CB126" i="1"/>
  <c r="CB127" i="1"/>
  <c r="CB131" i="1"/>
  <c r="CB120" i="1"/>
  <c r="CB121" i="1"/>
  <c r="CB122" i="1"/>
  <c r="CB41" i="1"/>
  <c r="CB94" i="1"/>
  <c r="CB95" i="1"/>
  <c r="CB103" i="1"/>
  <c r="CB12" i="1"/>
  <c r="CB13" i="1"/>
  <c r="CB124" i="1"/>
  <c r="CB142" i="1"/>
  <c r="CB43" i="1"/>
  <c r="CB63" i="1"/>
  <c r="CB109" i="1"/>
  <c r="CB35" i="1"/>
  <c r="CB36" i="1"/>
  <c r="CB37" i="1"/>
  <c r="CB38" i="1"/>
  <c r="CB39" i="1"/>
  <c r="CB40" i="1"/>
  <c r="CB44" i="1"/>
  <c r="CB27" i="1"/>
  <c r="CB132" i="1"/>
  <c r="CB144" i="1"/>
  <c r="CB46" i="1"/>
  <c r="CB26" i="1"/>
  <c r="CB101" i="1"/>
  <c r="CB25" i="1"/>
  <c r="CB65" i="1"/>
  <c r="CB123" i="1"/>
  <c r="CB28" i="1"/>
  <c r="CB97" i="1"/>
  <c r="CB133" i="1"/>
  <c r="CB145" i="1"/>
  <c r="CB22" i="1"/>
  <c r="CB64" i="1"/>
  <c r="CB112" i="1"/>
  <c r="CB24" i="1"/>
  <c r="CB77" i="1"/>
  <c r="CB134" i="1"/>
  <c r="CB146" i="1"/>
  <c r="CB104" i="1"/>
  <c r="CB135" i="1"/>
  <c r="CB140" i="1"/>
  <c r="CB23" i="1"/>
  <c r="CB45" i="1"/>
  <c r="CB102" i="1"/>
  <c r="CB143" i="1"/>
  <c r="AZ149" i="1"/>
  <c r="CC2" i="1"/>
  <c r="CC3" i="1"/>
  <c r="CC4" i="1"/>
  <c r="CC5" i="1"/>
  <c r="CC6" i="1"/>
  <c r="CC9" i="1"/>
  <c r="CC19" i="1"/>
  <c r="CC66" i="1"/>
  <c r="CC82" i="1"/>
  <c r="CC81" i="1"/>
  <c r="CC83" i="1"/>
  <c r="CC84" i="1"/>
  <c r="CC79" i="1"/>
  <c r="CC80" i="1"/>
  <c r="CC85" i="1"/>
  <c r="CC86" i="1"/>
  <c r="CC87" i="1"/>
  <c r="CC11" i="1"/>
  <c r="CC14" i="1"/>
  <c r="CC96" i="1"/>
  <c r="CC98" i="1"/>
  <c r="CC99" i="1"/>
  <c r="CC106" i="1"/>
  <c r="CC20" i="1"/>
  <c r="CC8" i="1"/>
  <c r="CC110" i="1"/>
  <c r="CC56" i="1"/>
  <c r="CC57" i="1"/>
  <c r="CC58" i="1"/>
  <c r="CC59" i="1"/>
  <c r="CC92" i="1"/>
  <c r="CC118" i="1"/>
  <c r="CC119" i="1"/>
  <c r="CC7" i="1"/>
  <c r="CC90" i="1"/>
  <c r="CC91" i="1"/>
  <c r="CC88" i="1"/>
  <c r="CC16" i="1"/>
  <c r="CC76" i="1"/>
  <c r="CC89" i="1"/>
  <c r="CC42" i="1"/>
  <c r="CC78" i="1"/>
  <c r="CC60" i="1"/>
  <c r="CC61" i="1"/>
  <c r="CC62" i="1"/>
  <c r="CC108" i="1"/>
  <c r="CC10" i="1"/>
  <c r="CC111" i="1"/>
  <c r="CC138" i="1"/>
  <c r="CC139" i="1"/>
  <c r="CC21" i="1"/>
  <c r="CC17" i="1"/>
  <c r="CC18" i="1"/>
  <c r="CC130" i="1"/>
  <c r="CC126" i="1"/>
  <c r="CC127" i="1"/>
  <c r="CC122" i="1"/>
  <c r="CC121" i="1"/>
  <c r="CC103" i="1"/>
  <c r="CC35" i="1"/>
  <c r="CC102" i="1"/>
  <c r="CC140" i="1"/>
  <c r="CC23" i="1"/>
  <c r="CC131" i="1"/>
  <c r="CC40" i="1"/>
  <c r="CC46" i="1"/>
  <c r="CC26" i="1"/>
  <c r="CC94" i="1"/>
  <c r="CC63" i="1"/>
  <c r="CC12" i="1"/>
  <c r="CC38" i="1"/>
  <c r="CC120" i="1"/>
  <c r="CC142" i="1"/>
  <c r="CC101" i="1"/>
  <c r="CC65" i="1"/>
  <c r="CC123" i="1"/>
  <c r="CC25" i="1"/>
  <c r="CC41" i="1"/>
  <c r="CC95" i="1"/>
  <c r="CC45" i="1"/>
  <c r="CC109" i="1"/>
  <c r="CC13" i="1"/>
  <c r="CC39" i="1"/>
  <c r="CC22" i="1"/>
  <c r="CC64" i="1"/>
  <c r="CC112" i="1"/>
  <c r="CC24" i="1"/>
  <c r="CC43" i="1"/>
  <c r="CC37" i="1"/>
  <c r="CC28" i="1"/>
  <c r="CC134" i="1"/>
  <c r="CC36" i="1"/>
  <c r="CC77" i="1"/>
  <c r="CC135" i="1"/>
  <c r="CC97" i="1"/>
  <c r="CC44" i="1"/>
  <c r="CC104" i="1"/>
  <c r="CC144" i="1"/>
  <c r="CC145" i="1"/>
  <c r="CC132" i="1"/>
  <c r="CC146" i="1"/>
  <c r="CC124" i="1"/>
  <c r="CC27" i="1"/>
  <c r="CC133" i="1"/>
  <c r="CC143" i="1"/>
  <c r="AV149" i="1"/>
  <c r="BY6" i="1"/>
  <c r="BY79" i="1"/>
  <c r="BY14" i="1"/>
  <c r="BY58" i="1"/>
  <c r="BY88" i="1"/>
  <c r="BY10" i="1"/>
  <c r="BY41" i="1"/>
  <c r="BY2" i="1"/>
  <c r="BY82" i="1"/>
  <c r="BY20" i="1"/>
  <c r="BY119" i="1"/>
  <c r="BY60" i="1"/>
  <c r="BY19" i="1"/>
  <c r="BY85" i="1"/>
  <c r="BY98" i="1"/>
  <c r="BY138" i="1"/>
  <c r="BY130" i="1"/>
  <c r="BY127" i="1"/>
  <c r="BY122" i="1"/>
  <c r="BY5" i="1"/>
  <c r="BY84" i="1"/>
  <c r="BY57" i="1"/>
  <c r="BY91" i="1"/>
  <c r="BY108" i="1"/>
  <c r="BY103" i="1"/>
  <c r="BY12" i="1"/>
  <c r="BY13" i="1"/>
  <c r="BY124" i="1"/>
  <c r="BY142" i="1"/>
  <c r="BY43" i="1"/>
  <c r="BY63" i="1"/>
  <c r="BY109" i="1"/>
  <c r="BY35" i="1"/>
  <c r="BY36" i="1"/>
  <c r="BY37" i="1"/>
  <c r="BY38" i="1"/>
  <c r="BY39" i="1"/>
  <c r="BY40" i="1"/>
  <c r="BY44" i="1"/>
  <c r="BY45" i="1"/>
  <c r="BY46" i="1"/>
  <c r="BY22" i="1"/>
  <c r="BY101" i="1"/>
  <c r="BY102" i="1"/>
  <c r="BY64" i="1"/>
  <c r="BY65" i="1"/>
  <c r="BY140" i="1"/>
  <c r="BY112" i="1"/>
  <c r="BY123" i="1"/>
  <c r="BY23" i="1"/>
  <c r="BY24" i="1"/>
  <c r="BY25" i="1"/>
  <c r="BY26" i="1"/>
  <c r="BY27" i="1"/>
  <c r="BY87" i="1"/>
  <c r="BY118" i="1"/>
  <c r="BY78" i="1"/>
  <c r="BY18" i="1"/>
  <c r="BY126" i="1"/>
  <c r="BY120" i="1"/>
  <c r="BY95" i="1"/>
  <c r="BY9" i="1"/>
  <c r="BY80" i="1"/>
  <c r="BY96" i="1"/>
  <c r="BY59" i="1"/>
  <c r="BY16" i="1"/>
  <c r="BY111" i="1"/>
  <c r="BY81" i="1"/>
  <c r="BY8" i="1"/>
  <c r="BY61" i="1"/>
  <c r="BY131" i="1"/>
  <c r="BY94" i="1"/>
  <c r="BY66" i="1"/>
  <c r="BY89" i="1"/>
  <c r="BY62" i="1"/>
  <c r="BY17" i="1"/>
  <c r="BY7" i="1"/>
  <c r="BY42" i="1"/>
  <c r="BY110" i="1"/>
  <c r="BY11" i="1"/>
  <c r="BY106" i="1"/>
  <c r="BY90" i="1"/>
  <c r="BY3" i="1"/>
  <c r="BY56" i="1"/>
  <c r="BY139" i="1"/>
  <c r="BY76" i="1"/>
  <c r="BY21" i="1"/>
  <c r="BY83" i="1"/>
  <c r="BY28" i="1"/>
  <c r="BY77" i="1"/>
  <c r="BY97" i="1"/>
  <c r="BY104" i="1"/>
  <c r="BY132" i="1"/>
  <c r="BY133" i="1"/>
  <c r="BY134" i="1"/>
  <c r="BY135" i="1"/>
  <c r="BY144" i="1"/>
  <c r="BY145" i="1"/>
  <c r="BY146" i="1"/>
  <c r="BY4" i="1"/>
  <c r="BY99" i="1"/>
  <c r="BY121" i="1"/>
  <c r="BY86" i="1"/>
  <c r="BY92" i="1"/>
  <c r="BY143" i="1"/>
  <c r="AQ149" i="1"/>
  <c r="BT3" i="1"/>
  <c r="BT11" i="1"/>
  <c r="BT110" i="1"/>
  <c r="BT7" i="1"/>
  <c r="BT62" i="1"/>
  <c r="BT121" i="1"/>
  <c r="BT103" i="1"/>
  <c r="BT12" i="1"/>
  <c r="BT13" i="1"/>
  <c r="BT124" i="1"/>
  <c r="BT142" i="1"/>
  <c r="BT43" i="1"/>
  <c r="BT63" i="1"/>
  <c r="BT109" i="1"/>
  <c r="BT35" i="1"/>
  <c r="BT36" i="1"/>
  <c r="BT37" i="1"/>
  <c r="BT38" i="1"/>
  <c r="BT39" i="1"/>
  <c r="BT40" i="1"/>
  <c r="BT44" i="1"/>
  <c r="BT45" i="1"/>
  <c r="BT46" i="1"/>
  <c r="BT22" i="1"/>
  <c r="BT101" i="1"/>
  <c r="BT102" i="1"/>
  <c r="BT64" i="1"/>
  <c r="BT65" i="1"/>
  <c r="BT140" i="1"/>
  <c r="BT112" i="1"/>
  <c r="BT123" i="1"/>
  <c r="BT23" i="1"/>
  <c r="BT24" i="1"/>
  <c r="BT25" i="1"/>
  <c r="BT26" i="1"/>
  <c r="BT27" i="1"/>
  <c r="BT92" i="1"/>
  <c r="BT89" i="1"/>
  <c r="BT21" i="1"/>
  <c r="BT5" i="1"/>
  <c r="BT84" i="1"/>
  <c r="BT57" i="1"/>
  <c r="BT91" i="1"/>
  <c r="BT108" i="1"/>
  <c r="BT126" i="1"/>
  <c r="BT120" i="1"/>
  <c r="BT95" i="1"/>
  <c r="BT81" i="1"/>
  <c r="BT8" i="1"/>
  <c r="BT61" i="1"/>
  <c r="BT66" i="1"/>
  <c r="BT86" i="1"/>
  <c r="BT99" i="1"/>
  <c r="BT76" i="1"/>
  <c r="BT139" i="1"/>
  <c r="BT4" i="1"/>
  <c r="BT83" i="1"/>
  <c r="BT56" i="1"/>
  <c r="BT90" i="1"/>
  <c r="BT106" i="1"/>
  <c r="BT42" i="1"/>
  <c r="BT17" i="1"/>
  <c r="BT41" i="1"/>
  <c r="BT2" i="1"/>
  <c r="BT14" i="1"/>
  <c r="BT131" i="1"/>
  <c r="BT122" i="1"/>
  <c r="BT6" i="1"/>
  <c r="BT16" i="1"/>
  <c r="BT80" i="1"/>
  <c r="BT59" i="1"/>
  <c r="BT18" i="1"/>
  <c r="BT96" i="1"/>
  <c r="BT78" i="1"/>
  <c r="BT138" i="1"/>
  <c r="BT127" i="1"/>
  <c r="BT28" i="1"/>
  <c r="BT77" i="1"/>
  <c r="BT97" i="1"/>
  <c r="BT104" i="1"/>
  <c r="BT132" i="1"/>
  <c r="BT133" i="1"/>
  <c r="BT134" i="1"/>
  <c r="BT135" i="1"/>
  <c r="BT144" i="1"/>
  <c r="BT145" i="1"/>
  <c r="BT146" i="1"/>
  <c r="BT118" i="1"/>
  <c r="BT9" i="1"/>
  <c r="BT130" i="1"/>
  <c r="BT87" i="1"/>
  <c r="BT98" i="1"/>
  <c r="BT60" i="1"/>
  <c r="BT85" i="1"/>
  <c r="BT119" i="1"/>
  <c r="BT82" i="1"/>
  <c r="BT19" i="1"/>
  <c r="BT20" i="1"/>
  <c r="BT10" i="1"/>
  <c r="BT58" i="1"/>
  <c r="BT88" i="1"/>
  <c r="BT111" i="1"/>
  <c r="BT79" i="1"/>
  <c r="BT94" i="1"/>
  <c r="BT143" i="1"/>
  <c r="AX149" i="1"/>
  <c r="CA4" i="1"/>
  <c r="CA83" i="1"/>
  <c r="CA56" i="1"/>
  <c r="CA90" i="1"/>
  <c r="CA106" i="1"/>
  <c r="CA42" i="1"/>
  <c r="CA17" i="1"/>
  <c r="CA6" i="1"/>
  <c r="CA79" i="1"/>
  <c r="CA14" i="1"/>
  <c r="CA58" i="1"/>
  <c r="CA88" i="1"/>
  <c r="CA10" i="1"/>
  <c r="CA41" i="1"/>
  <c r="CA3" i="1"/>
  <c r="CA11" i="1"/>
  <c r="CA110" i="1"/>
  <c r="CA7" i="1"/>
  <c r="CA62" i="1"/>
  <c r="CA92" i="1"/>
  <c r="CA89" i="1"/>
  <c r="CA21" i="1"/>
  <c r="CA121" i="1"/>
  <c r="CA5" i="1"/>
  <c r="CA84" i="1"/>
  <c r="CA57" i="1"/>
  <c r="CA91" i="1"/>
  <c r="CA108" i="1"/>
  <c r="CA103" i="1"/>
  <c r="CA12" i="1"/>
  <c r="CA13" i="1"/>
  <c r="CA124" i="1"/>
  <c r="CA142" i="1"/>
  <c r="CA43" i="1"/>
  <c r="CA63" i="1"/>
  <c r="CA109" i="1"/>
  <c r="CA35" i="1"/>
  <c r="CA36" i="1"/>
  <c r="CA37" i="1"/>
  <c r="CA38" i="1"/>
  <c r="CA39" i="1"/>
  <c r="CA40" i="1"/>
  <c r="CA44" i="1"/>
  <c r="CA87" i="1"/>
  <c r="CA118" i="1"/>
  <c r="CA78" i="1"/>
  <c r="CA18" i="1"/>
  <c r="CA126" i="1"/>
  <c r="CA120" i="1"/>
  <c r="CA95" i="1"/>
  <c r="CA99" i="1"/>
  <c r="CA61" i="1"/>
  <c r="CA102" i="1"/>
  <c r="CA23" i="1"/>
  <c r="CA86" i="1"/>
  <c r="CA2" i="1"/>
  <c r="CA66" i="1"/>
  <c r="CA8" i="1"/>
  <c r="CA111" i="1"/>
  <c r="CA131" i="1"/>
  <c r="CA16" i="1"/>
  <c r="CA122" i="1"/>
  <c r="CA94" i="1"/>
  <c r="CA81" i="1"/>
  <c r="CA59" i="1"/>
  <c r="CA101" i="1"/>
  <c r="CA65" i="1"/>
  <c r="CA123" i="1"/>
  <c r="CA25" i="1"/>
  <c r="CA96" i="1"/>
  <c r="CA80" i="1"/>
  <c r="CA138" i="1"/>
  <c r="CA45" i="1"/>
  <c r="CA9" i="1"/>
  <c r="CA127" i="1"/>
  <c r="CA22" i="1"/>
  <c r="CA64" i="1"/>
  <c r="CA112" i="1"/>
  <c r="CA24" i="1"/>
  <c r="CA27" i="1"/>
  <c r="CA97" i="1"/>
  <c r="CA132" i="1"/>
  <c r="CA135" i="1"/>
  <c r="CA146" i="1"/>
  <c r="CA98" i="1"/>
  <c r="CA60" i="1"/>
  <c r="CA139" i="1"/>
  <c r="CA130" i="1"/>
  <c r="CA19" i="1"/>
  <c r="CA77" i="1"/>
  <c r="CA133" i="1"/>
  <c r="CA144" i="1"/>
  <c r="CA140" i="1"/>
  <c r="CA85" i="1"/>
  <c r="CA119" i="1"/>
  <c r="CA76" i="1"/>
  <c r="CA20" i="1"/>
  <c r="CA28" i="1"/>
  <c r="CA104" i="1"/>
  <c r="CA134" i="1"/>
  <c r="CA145" i="1"/>
  <c r="CA82" i="1"/>
  <c r="CA46" i="1"/>
  <c r="CA26" i="1"/>
  <c r="CA143" i="1"/>
  <c r="BA149" i="1"/>
  <c r="CD2" i="1"/>
  <c r="CD3" i="1"/>
  <c r="CD4" i="1"/>
  <c r="CD5" i="1"/>
  <c r="CD6" i="1"/>
  <c r="CD9" i="1"/>
  <c r="CD19" i="1"/>
  <c r="CD66" i="1"/>
  <c r="CD82" i="1"/>
  <c r="CD81" i="1"/>
  <c r="CD83" i="1"/>
  <c r="CD84" i="1"/>
  <c r="CD79" i="1"/>
  <c r="CD80" i="1"/>
  <c r="CD85" i="1"/>
  <c r="CD86" i="1"/>
  <c r="CD87" i="1"/>
  <c r="CD11" i="1"/>
  <c r="CD14" i="1"/>
  <c r="CD96" i="1"/>
  <c r="CD98" i="1"/>
  <c r="CD99" i="1"/>
  <c r="CD106" i="1"/>
  <c r="CD20" i="1"/>
  <c r="CD8" i="1"/>
  <c r="CD110" i="1"/>
  <c r="CD56" i="1"/>
  <c r="CD57" i="1"/>
  <c r="CD58" i="1"/>
  <c r="CD59" i="1"/>
  <c r="CD92" i="1"/>
  <c r="CD118" i="1"/>
  <c r="CD119" i="1"/>
  <c r="CD7" i="1"/>
  <c r="CD90" i="1"/>
  <c r="CD91" i="1"/>
  <c r="CD88" i="1"/>
  <c r="CD16" i="1"/>
  <c r="CD76" i="1"/>
  <c r="CD89" i="1"/>
  <c r="CD42" i="1"/>
  <c r="CD78" i="1"/>
  <c r="CD60" i="1"/>
  <c r="CD61" i="1"/>
  <c r="CD62" i="1"/>
  <c r="CD108" i="1"/>
  <c r="CD10" i="1"/>
  <c r="CD111" i="1"/>
  <c r="CD138" i="1"/>
  <c r="CD139" i="1"/>
  <c r="CD21" i="1"/>
  <c r="CD17" i="1"/>
  <c r="CD18" i="1"/>
  <c r="CD130" i="1"/>
  <c r="CD126" i="1"/>
  <c r="CD127" i="1"/>
  <c r="CD131" i="1"/>
  <c r="CD94" i="1"/>
  <c r="CD122" i="1"/>
  <c r="CD121" i="1"/>
  <c r="CD124" i="1"/>
  <c r="CD44" i="1"/>
  <c r="CD27" i="1"/>
  <c r="CD28" i="1"/>
  <c r="CD77" i="1"/>
  <c r="CD97" i="1"/>
  <c r="CD104" i="1"/>
  <c r="CD132" i="1"/>
  <c r="CD133" i="1"/>
  <c r="CD134" i="1"/>
  <c r="CD135" i="1"/>
  <c r="CD144" i="1"/>
  <c r="CD145" i="1"/>
  <c r="CD146" i="1"/>
  <c r="CD140" i="1"/>
  <c r="CD23" i="1"/>
  <c r="CD63" i="1"/>
  <c r="CD142" i="1"/>
  <c r="CD35" i="1"/>
  <c r="CD102" i="1"/>
  <c r="CD40" i="1"/>
  <c r="CD46" i="1"/>
  <c r="CD26" i="1"/>
  <c r="CD12" i="1"/>
  <c r="CD38" i="1"/>
  <c r="CD120" i="1"/>
  <c r="CD101" i="1"/>
  <c r="CD41" i="1"/>
  <c r="CD95" i="1"/>
  <c r="CD36" i="1"/>
  <c r="CD13" i="1"/>
  <c r="CD39" i="1"/>
  <c r="CD22" i="1"/>
  <c r="CD64" i="1"/>
  <c r="CD43" i="1"/>
  <c r="CD45" i="1"/>
  <c r="CD112" i="1"/>
  <c r="CD109" i="1"/>
  <c r="CD24" i="1"/>
  <c r="CD37" i="1"/>
  <c r="CD123" i="1"/>
  <c r="CD103" i="1"/>
  <c r="CD25" i="1"/>
  <c r="CD65" i="1"/>
  <c r="CD143" i="1"/>
  <c r="CF79" i="1" l="1"/>
  <c r="CH79" i="1" s="1"/>
  <c r="CF135" i="1"/>
  <c r="CF18" i="1"/>
  <c r="CF92" i="1"/>
  <c r="CF98" i="1"/>
  <c r="CF139" i="1"/>
  <c r="BZ147" i="1"/>
  <c r="BV147" i="1"/>
  <c r="CF88" i="1"/>
  <c r="CF80" i="1"/>
  <c r="CF76" i="1"/>
  <c r="CF132" i="1"/>
  <c r="BW147" i="1"/>
  <c r="CF99" i="1"/>
  <c r="CB147" i="1"/>
  <c r="CF10" i="1"/>
  <c r="CF97" i="1"/>
  <c r="CC147" i="1"/>
  <c r="CA147" i="1"/>
  <c r="CF9" i="1"/>
  <c r="CF77" i="1"/>
  <c r="CF19" i="1"/>
  <c r="CF3" i="1"/>
  <c r="CF82" i="1"/>
  <c r="CF118" i="1"/>
  <c r="CF2" i="1"/>
  <c r="BT147" i="1"/>
  <c r="CF83" i="1"/>
  <c r="CF84" i="1"/>
  <c r="CE147" i="1"/>
  <c r="CD147" i="1"/>
  <c r="CF119" i="1"/>
  <c r="CF138" i="1"/>
  <c r="CF143" i="1"/>
  <c r="CF17" i="1"/>
  <c r="CF21" i="1"/>
  <c r="BU147" i="1"/>
  <c r="CF144" i="1"/>
  <c r="CF96" i="1"/>
  <c r="CF81" i="1"/>
  <c r="CF12" i="1"/>
  <c r="BY147" i="1"/>
  <c r="BX147" i="1"/>
  <c r="CL79" i="1" l="1"/>
  <c r="CG79" i="1"/>
  <c r="CQ79" i="1"/>
  <c r="CP79" i="1"/>
  <c r="CM79" i="1"/>
  <c r="CI79" i="1"/>
  <c r="CR79" i="1"/>
  <c r="CJ79" i="1"/>
  <c r="CO79" i="1"/>
  <c r="CK79" i="1"/>
  <c r="CN79" i="1"/>
  <c r="CN3" i="1"/>
  <c r="CM3" i="1"/>
  <c r="CR3" i="1"/>
  <c r="CI3" i="1"/>
  <c r="CK3" i="1"/>
  <c r="CJ3" i="1"/>
  <c r="CL3" i="1"/>
  <c r="CP3" i="1"/>
  <c r="CQ3" i="1"/>
  <c r="CG3" i="1"/>
  <c r="CH3" i="1"/>
  <c r="CO3" i="1"/>
  <c r="CK88" i="1"/>
  <c r="CQ88" i="1"/>
  <c r="CM88" i="1"/>
  <c r="CL88" i="1"/>
  <c r="CG88" i="1"/>
  <c r="CP88" i="1"/>
  <c r="CJ88" i="1"/>
  <c r="CI88" i="1"/>
  <c r="CN88" i="1"/>
  <c r="CO88" i="1"/>
  <c r="CR88" i="1"/>
  <c r="CH88" i="1"/>
  <c r="CO12" i="1"/>
  <c r="CJ12" i="1"/>
  <c r="CI12" i="1"/>
  <c r="CH12" i="1"/>
  <c r="CR12" i="1"/>
  <c r="CQ12" i="1"/>
  <c r="CM12" i="1"/>
  <c r="CP12" i="1"/>
  <c r="CG12" i="1"/>
  <c r="CK12" i="1"/>
  <c r="CN12" i="1"/>
  <c r="CL12" i="1"/>
  <c r="CR138" i="1"/>
  <c r="CG138" i="1"/>
  <c r="CI138" i="1"/>
  <c r="CN138" i="1"/>
  <c r="CL138" i="1"/>
  <c r="CJ138" i="1"/>
  <c r="CM138" i="1"/>
  <c r="CH138" i="1"/>
  <c r="CO138" i="1"/>
  <c r="CQ138" i="1"/>
  <c r="CK138" i="1"/>
  <c r="CP138" i="1"/>
  <c r="CO99" i="1"/>
  <c r="CR99" i="1"/>
  <c r="CN99" i="1"/>
  <c r="CQ99" i="1"/>
  <c r="CK99" i="1"/>
  <c r="CP99" i="1"/>
  <c r="CH99" i="1"/>
  <c r="CJ99" i="1"/>
  <c r="CM99" i="1"/>
  <c r="CL99" i="1"/>
  <c r="CG99" i="1"/>
  <c r="CI99" i="1"/>
  <c r="CR81" i="1"/>
  <c r="CK81" i="1"/>
  <c r="CM81" i="1"/>
  <c r="CL81" i="1"/>
  <c r="CN81" i="1"/>
  <c r="CG81" i="1"/>
  <c r="CP81" i="1"/>
  <c r="CI81" i="1"/>
  <c r="CH81" i="1"/>
  <c r="CJ81" i="1"/>
  <c r="CO81" i="1"/>
  <c r="CQ81" i="1"/>
  <c r="CN119" i="1"/>
  <c r="CH119" i="1"/>
  <c r="CR119" i="1"/>
  <c r="CJ119" i="1"/>
  <c r="CL119" i="1"/>
  <c r="CM119" i="1"/>
  <c r="CP119" i="1"/>
  <c r="CG119" i="1"/>
  <c r="CO119" i="1"/>
  <c r="CK119" i="1"/>
  <c r="CI119" i="1"/>
  <c r="CQ119" i="1"/>
  <c r="CL96" i="1"/>
  <c r="CG96" i="1"/>
  <c r="CI96" i="1"/>
  <c r="CK96" i="1"/>
  <c r="CN96" i="1"/>
  <c r="CO96" i="1"/>
  <c r="CJ96" i="1"/>
  <c r="CM96" i="1"/>
  <c r="CQ96" i="1"/>
  <c r="CR96" i="1"/>
  <c r="CH96" i="1"/>
  <c r="CP96" i="1"/>
  <c r="CM19" i="1"/>
  <c r="CN19" i="1"/>
  <c r="CL19" i="1"/>
  <c r="CI19" i="1"/>
  <c r="CO19" i="1"/>
  <c r="CQ19" i="1"/>
  <c r="CJ19" i="1"/>
  <c r="CH19" i="1"/>
  <c r="CP19" i="1"/>
  <c r="CG19" i="1"/>
  <c r="CR19" i="1"/>
  <c r="CK19" i="1"/>
  <c r="CJ139" i="1"/>
  <c r="CQ139" i="1"/>
  <c r="CP139" i="1"/>
  <c r="CM139" i="1"/>
  <c r="CK139" i="1"/>
  <c r="CO139" i="1"/>
  <c r="CI139" i="1"/>
  <c r="CR139" i="1"/>
  <c r="CH139" i="1"/>
  <c r="CL139" i="1"/>
  <c r="CN139" i="1"/>
  <c r="CG139" i="1"/>
  <c r="CR144" i="1"/>
  <c r="CL144" i="1"/>
  <c r="CJ144" i="1"/>
  <c r="CI144" i="1"/>
  <c r="CG144" i="1"/>
  <c r="CN144" i="1"/>
  <c r="CH144" i="1"/>
  <c r="CM144" i="1"/>
  <c r="CP144" i="1"/>
  <c r="CK144" i="1"/>
  <c r="CQ144" i="1"/>
  <c r="CO144" i="1"/>
  <c r="CP84" i="1"/>
  <c r="CR84" i="1"/>
  <c r="CM84" i="1"/>
  <c r="CK84" i="1"/>
  <c r="CL84" i="1"/>
  <c r="CQ84" i="1"/>
  <c r="CO84" i="1"/>
  <c r="CN84" i="1"/>
  <c r="CH84" i="1"/>
  <c r="CG84" i="1"/>
  <c r="CI84" i="1"/>
  <c r="CJ84" i="1"/>
  <c r="CI98" i="1"/>
  <c r="CN98" i="1"/>
  <c r="CM98" i="1"/>
  <c r="CJ98" i="1"/>
  <c r="CO98" i="1"/>
  <c r="CQ98" i="1"/>
  <c r="CR98" i="1"/>
  <c r="CK98" i="1"/>
  <c r="CH98" i="1"/>
  <c r="CL98" i="1"/>
  <c r="CP98" i="1"/>
  <c r="CG98" i="1"/>
  <c r="CK77" i="1"/>
  <c r="CJ77" i="1"/>
  <c r="CO77" i="1"/>
  <c r="CM77" i="1"/>
  <c r="CR77" i="1"/>
  <c r="CI77" i="1"/>
  <c r="CP77" i="1"/>
  <c r="CN77" i="1"/>
  <c r="CL77" i="1"/>
  <c r="CG77" i="1"/>
  <c r="CH77" i="1"/>
  <c r="CQ77" i="1"/>
  <c r="CR92" i="1"/>
  <c r="CP92" i="1"/>
  <c r="CN92" i="1"/>
  <c r="CJ92" i="1"/>
  <c r="CL92" i="1"/>
  <c r="CH92" i="1"/>
  <c r="CO92" i="1"/>
  <c r="CI92" i="1"/>
  <c r="CG92" i="1"/>
  <c r="CM92" i="1"/>
  <c r="CK92" i="1"/>
  <c r="CQ92" i="1"/>
  <c r="CN83" i="1"/>
  <c r="CK83" i="1"/>
  <c r="CR83" i="1"/>
  <c r="CH83" i="1"/>
  <c r="CG83" i="1"/>
  <c r="CL83" i="1"/>
  <c r="CJ83" i="1"/>
  <c r="CO83" i="1"/>
  <c r="CQ83" i="1"/>
  <c r="CP83" i="1"/>
  <c r="CI83" i="1"/>
  <c r="CM83" i="1"/>
  <c r="CO9" i="1"/>
  <c r="CR9" i="1"/>
  <c r="CI9" i="1"/>
  <c r="CJ9" i="1"/>
  <c r="CG9" i="1"/>
  <c r="CQ9" i="1"/>
  <c r="CM9" i="1"/>
  <c r="CH9" i="1"/>
  <c r="CP9" i="1"/>
  <c r="CN9" i="1"/>
  <c r="CK9" i="1"/>
  <c r="CL9" i="1"/>
  <c r="CG132" i="1"/>
  <c r="CI132" i="1"/>
  <c r="CM132" i="1"/>
  <c r="CK132" i="1"/>
  <c r="CR132" i="1"/>
  <c r="CL132" i="1"/>
  <c r="CQ132" i="1"/>
  <c r="CO132" i="1"/>
  <c r="CP132" i="1"/>
  <c r="CN132" i="1"/>
  <c r="CH132" i="1"/>
  <c r="CJ132" i="1"/>
  <c r="CQ21" i="1"/>
  <c r="CR21" i="1"/>
  <c r="CG21" i="1"/>
  <c r="CJ21" i="1"/>
  <c r="CK21" i="1"/>
  <c r="CP21" i="1"/>
  <c r="CI21" i="1"/>
  <c r="CH21" i="1"/>
  <c r="CL21" i="1"/>
  <c r="CN21" i="1"/>
  <c r="CO21" i="1"/>
  <c r="CM21" i="1"/>
  <c r="CN2" i="1"/>
  <c r="CR2" i="1"/>
  <c r="CI2" i="1"/>
  <c r="CO2" i="1"/>
  <c r="CK2" i="1"/>
  <c r="CJ2" i="1"/>
  <c r="CM2" i="1"/>
  <c r="CP2" i="1"/>
  <c r="CG2" i="1"/>
  <c r="CL2" i="1"/>
  <c r="CH2" i="1"/>
  <c r="CQ2" i="1"/>
  <c r="CG76" i="1"/>
  <c r="CM76" i="1"/>
  <c r="CJ76" i="1"/>
  <c r="CO76" i="1"/>
  <c r="CH76" i="1"/>
  <c r="CK76" i="1"/>
  <c r="CR76" i="1"/>
  <c r="CI76" i="1"/>
  <c r="CL76" i="1"/>
  <c r="CQ76" i="1"/>
  <c r="CP76" i="1"/>
  <c r="CN76" i="1"/>
  <c r="CN17" i="1"/>
  <c r="CM17" i="1"/>
  <c r="CI17" i="1"/>
  <c r="CG17" i="1"/>
  <c r="CL17" i="1"/>
  <c r="CP17" i="1"/>
  <c r="CO17" i="1"/>
  <c r="CQ17" i="1"/>
  <c r="CJ17" i="1"/>
  <c r="CK17" i="1"/>
  <c r="CH17" i="1"/>
  <c r="CR17" i="1"/>
  <c r="CL118" i="1"/>
  <c r="CO118" i="1"/>
  <c r="CM118" i="1"/>
  <c r="CP118" i="1"/>
  <c r="CQ118" i="1"/>
  <c r="CK118" i="1"/>
  <c r="CG118" i="1"/>
  <c r="CJ118" i="1"/>
  <c r="CH118" i="1"/>
  <c r="CR118" i="1"/>
  <c r="CN118" i="1"/>
  <c r="CI118" i="1"/>
  <c r="CN97" i="1"/>
  <c r="CP97" i="1"/>
  <c r="CR97" i="1"/>
  <c r="CI97" i="1"/>
  <c r="CO97" i="1"/>
  <c r="CL97" i="1"/>
  <c r="CJ97" i="1"/>
  <c r="CG97" i="1"/>
  <c r="CK97" i="1"/>
  <c r="CM97" i="1"/>
  <c r="CQ97" i="1"/>
  <c r="CH97" i="1"/>
  <c r="CR18" i="1"/>
  <c r="CI18" i="1"/>
  <c r="CN18" i="1"/>
  <c r="CP18" i="1"/>
  <c r="CM18" i="1"/>
  <c r="CK18" i="1"/>
  <c r="CO18" i="1"/>
  <c r="CQ18" i="1"/>
  <c r="CH18" i="1"/>
  <c r="CG18" i="1"/>
  <c r="CL18" i="1"/>
  <c r="CJ18" i="1"/>
  <c r="CH143" i="1"/>
  <c r="CO143" i="1"/>
  <c r="CR143" i="1"/>
  <c r="CL143" i="1"/>
  <c r="CK143" i="1"/>
  <c r="CI143" i="1"/>
  <c r="CQ143" i="1"/>
  <c r="CP143" i="1"/>
  <c r="CM143" i="1"/>
  <c r="CJ143" i="1"/>
  <c r="CN143" i="1"/>
  <c r="CG143" i="1"/>
  <c r="CN82" i="1"/>
  <c r="CH82" i="1"/>
  <c r="CJ82" i="1"/>
  <c r="CK82" i="1"/>
  <c r="CP82" i="1"/>
  <c r="CI82" i="1"/>
  <c r="CG82" i="1"/>
  <c r="CO82" i="1"/>
  <c r="CL82" i="1"/>
  <c r="CR82" i="1"/>
  <c r="CQ82" i="1"/>
  <c r="CM82" i="1"/>
  <c r="CG10" i="1"/>
  <c r="CM10" i="1"/>
  <c r="CO10" i="1"/>
  <c r="CQ10" i="1"/>
  <c r="CJ10" i="1"/>
  <c r="CL10" i="1"/>
  <c r="CI10" i="1"/>
  <c r="CK10" i="1"/>
  <c r="CH10" i="1"/>
  <c r="CP10" i="1"/>
  <c r="CN10" i="1"/>
  <c r="CR10" i="1"/>
  <c r="CM80" i="1"/>
  <c r="CL80" i="1"/>
  <c r="CH80" i="1"/>
  <c r="CI80" i="1"/>
  <c r="CR80" i="1"/>
  <c r="CQ80" i="1"/>
  <c r="CO80" i="1"/>
  <c r="CK80" i="1"/>
  <c r="CN80" i="1"/>
  <c r="CJ80" i="1"/>
  <c r="CP80" i="1"/>
  <c r="CG80" i="1"/>
  <c r="CM135" i="1"/>
  <c r="CN135" i="1"/>
  <c r="CP135" i="1"/>
  <c r="CL135" i="1"/>
  <c r="CG135" i="1"/>
  <c r="CR135" i="1"/>
  <c r="CK135" i="1"/>
  <c r="CJ135" i="1"/>
  <c r="CQ135" i="1"/>
  <c r="CH135" i="1"/>
  <c r="CO135" i="1"/>
  <c r="CI135" i="1"/>
  <c r="CQ147" i="1" l="1"/>
  <c r="CH147" i="1"/>
  <c r="CL147" i="1"/>
  <c r="CG147" i="1"/>
  <c r="CP147" i="1"/>
  <c r="CM147" i="1"/>
  <c r="CJ147" i="1"/>
  <c r="CK147" i="1"/>
  <c r="CO147" i="1"/>
  <c r="CI147" i="1"/>
  <c r="CR147" i="1"/>
  <c r="CN147" i="1"/>
</calcChain>
</file>

<file path=xl/sharedStrings.xml><?xml version="1.0" encoding="utf-8"?>
<sst xmlns="http://schemas.openxmlformats.org/spreadsheetml/2006/main" count="869" uniqueCount="299">
  <si>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</si>
  <si>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</si>
  <si>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</si>
  <si>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</si>
  <si>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</si>
  <si>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</si>
  <si>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</si>
  <si>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</si>
  <si>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</si>
  <si>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</si>
  <si>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</si>
  <si>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</si>
  <si>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</si>
  <si>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</si>
  <si>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</si>
  <si>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</si>
  <si>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</si>
  <si>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</si>
  <si>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</si>
  <si>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</si>
  <si>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</si>
  <si>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</si>
  <si>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</si>
  <si>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</si>
  <si>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</si>
  <si>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</si>
  <si>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</si>
  <si>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</si>
  <si>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</si>
  <si>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</si>
  <si>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</si>
  <si>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</si>
  <si>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</si>
  <si>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</si>
  <si>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</si>
  <si>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</si>
  <si>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</si>
  <si>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</si>
  <si>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</si>
  <si>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</si>
  <si>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</si>
  <si>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</si>
  <si>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</si>
  <si>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</si>
  <si>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</si>
  <si>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</si>
  <si>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</si>
  <si>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</si>
  <si>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</si>
  <si>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</si>
  <si>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</si>
  <si>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</si>
  <si>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</si>
  <si>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</si>
  <si>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</si>
  <si>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</si>
  <si>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</si>
  <si>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</si>
  <si>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</si>
  <si>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</si>
  <si>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</si>
  <si>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</si>
  <si>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</si>
  <si>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</si>
  <si>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</si>
  <si>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</si>
  <si>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</si>
  <si>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</si>
  <si>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</si>
  <si>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</si>
  <si>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</si>
  <si>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</si>
  <si>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</si>
  <si>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</si>
  <si>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</si>
  <si>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</si>
  <si>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</si>
  <si>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</si>
  <si>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</si>
  <si>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</si>
  <si>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</si>
  <si>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</si>
  <si>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</si>
  <si>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</si>
  <si>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</si>
  <si>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</si>
  <si>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</si>
  <si>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</si>
  <si>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</si>
  <si>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</si>
  <si>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</si>
  <si>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</si>
  <si>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</si>
  <si>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</si>
  <si>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</si>
  <si>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</si>
  <si>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</si>
  <si>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</si>
  <si>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</si>
  <si>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</si>
  <si>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</si>
  <si>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</si>
  <si>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</si>
  <si>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</si>
  <si>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</si>
  <si>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</si>
  <si>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</si>
  <si>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</si>
  <si>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</si>
  <si>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</si>
  <si>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</si>
  <si>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</si>
  <si>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</si>
  <si>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</si>
  <si>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</si>
  <si>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</si>
  <si>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</si>
  <si>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</si>
  <si>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</si>
  <si>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</si>
  <si>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</si>
  <si>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</si>
  <si>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</si>
  <si>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</si>
  <si>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</si>
  <si>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</si>
  <si>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</si>
  <si>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</si>
  <si>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</si>
  <si>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</si>
  <si>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</si>
  <si>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</si>
  <si>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</si>
  <si>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</si>
  <si>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</si>
  <si>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</si>
  <si>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</si>
  <si>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</si>
  <si>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</si>
  <si>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</si>
  <si>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</si>
  <si>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</si>
  <si>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</si>
  <si>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</si>
  <si>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</si>
  <si>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</si>
  <si>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</si>
  <si>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</si>
  <si>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</si>
  <si>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</si>
  <si>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</si>
  <si>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</si>
  <si>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</si>
  <si>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</si>
  <si>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</si>
  <si>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</si>
  <si>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</si>
  <si>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</si>
  <si>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</si>
  <si>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</si>
  <si>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</si>
  <si>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</si>
  <si>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</si>
  <si>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</si>
  <si>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</si>
  <si>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</si>
  <si>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</si>
  <si>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</si>
  <si>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</si>
  <si>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</si>
  <si>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</si>
  <si>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</si>
  <si>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</si>
  <si>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</si>
  <si>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</si>
  <si>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</si>
  <si>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</si>
  <si>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</si>
  <si>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</si>
  <si>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</si>
  <si>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</si>
  <si>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</si>
  <si>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</si>
  <si>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</si>
  <si>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</si>
  <si>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</si>
  <si>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</si>
  <si>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</si>
  <si>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</si>
  <si>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</si>
  <si>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</si>
  <si>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</si>
  <si>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</si>
  <si>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</si>
  <si>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</si>
  <si>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</si>
  <si>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</si>
  <si>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皇天</t>
    <phoneticPr fontId="1" type="noConversion"/>
  </si>
  <si>
    <t>力量符文叉大(9),</t>
    <phoneticPr fontId="1" type="noConversion"/>
  </si>
  <si>
    <t>幻</t>
    <phoneticPr fontId="1" type="noConversion"/>
  </si>
  <si>
    <t>仙丹(1),</t>
    <phoneticPr fontId="1" type="noConversion"/>
  </si>
  <si>
    <t>幸运符文叉大(14),</t>
    <phoneticPr fontId="1" type="noConversion"/>
  </si>
  <si>
    <t>欠条大(8),_x000D_
钱袋大(10),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</si>
  <si>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</si>
  <si>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</si>
  <si>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</si>
  <si>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</si>
  <si>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</si>
  <si>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</si>
  <si>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</si>
  <si>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</si>
  <si>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</si>
  <si>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</si>
  <si>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</si>
  <si>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</si>
  <si>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</si>
  <si>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</si>
  <si>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</si>
  <si>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糯米(3),</t>
    <phoneticPr fontId="1" type="noConversion"/>
  </si>
  <si>
    <t>桂花酒(5),</t>
    <phoneticPr fontId="1" type="noConversion"/>
  </si>
  <si>
    <t>力量符文叉大(6),</t>
    <phoneticPr fontId="1" type="noConversion"/>
  </si>
  <si>
    <t>愚山乾坤石(9),</t>
    <phoneticPr fontId="1" type="noConversion"/>
  </si>
  <si>
    <t>糯米(5),_x000D_
粽叶(10),</t>
    <phoneticPr fontId="1" type="noConversion"/>
  </si>
  <si>
    <t>欠条大(6),_x000D_
钱袋大(7),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</si>
  <si>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</si>
  <si>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</si>
  <si>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</si>
  <si>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</si>
  <si>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</si>
  <si>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光兵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</si>
  <si>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</si>
  <si>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</si>
  <si>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</si>
  <si>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</si>
  <si>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</si>
  <si>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</si>
  <si>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</si>
  <si>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</si>
  <si>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</si>
  <si>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</si>
  <si>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</si>
  <si>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</si>
  <si>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欠条中(2),</t>
  </si>
  <si>
    <t>骰子中(1),</t>
  </si>
  <si>
    <t>魅力符文叉大(1),</t>
    <phoneticPr fontId="1" type="noConversion"/>
  </si>
  <si>
    <t>庄家令牌中(1),</t>
  </si>
  <si>
    <t>庄家令牌中(1),</t>
    <phoneticPr fontId="1" type="noConversion"/>
  </si>
  <si>
    <t>庄家令牌中(1),</t>
    <phoneticPr fontId="1" type="noConversion"/>
  </si>
  <si>
    <t>糯米(2),</t>
    <phoneticPr fontId="1" type="noConversion"/>
  </si>
  <si>
    <t>欠条中(4),</t>
    <phoneticPr fontId="1" type="noConversion"/>
  </si>
  <si>
    <t>幸运符文叉大(3),</t>
    <phoneticPr fontId="1" type="noConversion"/>
  </si>
  <si>
    <t>幸运符文叉大(3),</t>
    <phoneticPr fontId="1" type="noConversion"/>
  </si>
  <si>
    <t>彗星(4),</t>
    <phoneticPr fontId="1" type="noConversion"/>
  </si>
  <si>
    <t>彗星(4),</t>
    <phoneticPr fontId="1" type="noConversion"/>
  </si>
  <si>
    <t>仙丹(5),</t>
    <phoneticPr fontId="1" type="noConversion"/>
  </si>
  <si>
    <t>螃蟹(5),</t>
    <phoneticPr fontId="1" type="noConversion"/>
  </si>
  <si>
    <t>桂花(5),</t>
    <phoneticPr fontId="1" type="noConversion"/>
  </si>
  <si>
    <t>桂花(5),</t>
    <phoneticPr fontId="1" type="noConversion"/>
  </si>
  <si>
    <t>秘窟冰晶卵(5),</t>
    <phoneticPr fontId="1" type="noConversion"/>
  </si>
  <si>
    <t>幸运符文叉大(8),</t>
    <phoneticPr fontId="1" type="noConversion"/>
  </si>
  <si>
    <t>愚山乾坤石(9),</t>
    <phoneticPr fontId="1" type="noConversion"/>
  </si>
  <si>
    <t>愚山乾坤石(14),</t>
    <phoneticPr fontId="1" type="noConversion"/>
  </si>
  <si>
    <t>彗星(14),</t>
    <phoneticPr fontId="1" type="noConversion"/>
  </si>
  <si>
    <t>彗星(24),</t>
    <phoneticPr fontId="1" type="noConversion"/>
  </si>
  <si>
    <t>金甲虫(44),</t>
    <phoneticPr fontId="1" type="noConversion"/>
  </si>
  <si>
    <t>金甲虫(194),</t>
    <phoneticPr fontId="1" type="noConversion"/>
  </si>
  <si>
    <t>骰子大(2),_x000D_
庄家令牌大(2),</t>
  </si>
  <si>
    <t>骰子大(2),_x000D_
庄家令牌大(2),</t>
    <phoneticPr fontId="1" type="noConversion"/>
  </si>
  <si>
    <t>力量符文叉大(1),_x000D_
幸运符文叉大(3),</t>
    <phoneticPr fontId="1" type="noConversion"/>
  </si>
  <si>
    <t>魅力符文叉大(1),_x000D_
幸运符文叉大(3),</t>
    <phoneticPr fontId="1" type="noConversion"/>
  </si>
  <si>
    <t>欠条中(4),_x000D_
欠条大(3),</t>
    <phoneticPr fontId="1" type="noConversion"/>
  </si>
  <si>
    <t>糯米(5),_x000D_
粽叶(1),</t>
    <phoneticPr fontId="1" type="noConversion"/>
  </si>
  <si>
    <t>糯米(5),_x000D_
粽叶(1),</t>
    <phoneticPr fontId="1" type="noConversion"/>
  </si>
  <si>
    <t>欠条中(4),_x000D_
筹码大(4),</t>
    <phoneticPr fontId="1" type="noConversion"/>
  </si>
  <si>
    <t>糯米(3),_x000D_
粽叶(5),</t>
    <phoneticPr fontId="1" type="noConversion"/>
  </si>
  <si>
    <t>欠条大(6),_x000D_
骰子大(2),</t>
  </si>
  <si>
    <t>欠条大(6),_x000D_
骰子大(2),</t>
    <phoneticPr fontId="1" type="noConversion"/>
  </si>
  <si>
    <t>欠条大(6),_x000D_
骰子大(2),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</si>
  <si>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</si>
  <si>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</si>
  <si>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欠条大(6),_x000D_
钱袋大(7),</t>
  </si>
  <si>
    <t>欠条大(6),_x000D_
钱袋大(7),</t>
    <phoneticPr fontId="1" type="noConversion"/>
  </si>
  <si>
    <t>神农鼎(5),_x000D_
幸运符文叉大(8),</t>
    <phoneticPr fontId="1" type="noConversion"/>
  </si>
  <si>
    <t>钱袋大(7),_x000D_
筹码大(7),</t>
  </si>
  <si>
    <t>钱袋大(7),_x000D_
筹码大(7),</t>
    <phoneticPr fontId="1" type="noConversion"/>
  </si>
  <si>
    <t>糯米(10),_x000D_
粽叶(10),</t>
    <phoneticPr fontId="1" type="noConversion"/>
  </si>
  <si>
    <t>超进阶素材光(45),_x000D_
超进阶素材暗(45),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</si>
  <si>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</si>
  <si>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</si>
  <si>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欠条大(6),_x000D_
骰子大(2),_x000D_
愚山乾坤石(9),</t>
  </si>
  <si>
    <t>欠条大(6),_x000D_
骰子大(2),_x000D_
愚山乾坤石(9),</t>
    <phoneticPr fontId="1" type="noConversion"/>
  </si>
  <si>
    <t>赤焰十字星(14),_x000D_
力量符文叉大(26),_x000D_
技巧符文叉大(3),</t>
    <phoneticPr fontId="1" type="noConversion"/>
  </si>
  <si>
    <t>秘窟冰晶卵(30),_x000D_
力量符文叉大(26),_x000D_
速度符文叉大(9),</t>
    <phoneticPr fontId="1" type="noConversion"/>
  </si>
  <si>
    <t>超进阶素材火(42),_x000D_
超进阶素材光(45),_x000D_
超进阶素材暗(45),</t>
    <phoneticPr fontId="1" type="noConversion"/>
  </si>
  <si>
    <t>欠条中(2),_x000D_
骰子中(1),_x000D_
庄家令牌中(1),</t>
  </si>
  <si>
    <t>筹码大(7),_x000D_
庄家令牌大(2),</t>
  </si>
  <si>
    <t>欠条中(2),_x000D_
骰子中(1),</t>
  </si>
  <si>
    <t>骰子大(2),_x000D_
筹码大(7),_x000D_
庄家令牌大(2),</t>
  </si>
  <si>
    <t>超进阶素材火(42),_x000D_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</si>
</sst>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b/>
      <u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1" xfId="0" applyFont="1" applyFill="1" applyBorder="1">
      <alignment vertical="center"/>
    </xf>
    <xf numFmtId="0" fontId="10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4" borderId="1" xfId="0" applyFont="1" applyFill="1" applyBorder="1">
      <alignment vertical="center"/>
    </xf>
    <xf numFmtId="0" fontId="11" fillId="6" borderId="1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11" fillId="3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11" fillId="0" borderId="1" xfId="0" applyFont="1" applyBorder="1" applyAlignment="1">
      <alignment vertical="center" wrapText="1"/>
    </xf>
    <xf numFmtId="0" fontId="11" fillId="0" borderId="1" xfId="0" applyFont="1" applyFill="1" applyBorder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153</xdr:row>
          <xdr:rowOff>28575</xdr:rowOff>
        </xdr:from>
        <xdr:to>
          <xdr:col>1</xdr:col>
          <xdr:colOff>428625</xdr:colOff>
          <xdr:row>154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54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P9" sqref="BP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72</v>
      </c>
      <c r="B1" s="8" t="s">
        <v>73</v>
      </c>
      <c r="C1" s="8" t="s">
        <v>75</v>
      </c>
      <c r="D1" s="8" t="s">
        <v>74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70</v>
      </c>
      <c r="K1" s="9" t="s">
        <v>24</v>
      </c>
      <c r="L1" s="9" t="s">
        <v>43</v>
      </c>
      <c r="M1" s="9" t="s">
        <v>45</v>
      </c>
      <c r="N1" s="9" t="s">
        <v>50</v>
      </c>
      <c r="O1" s="9" t="s">
        <v>44</v>
      </c>
      <c r="P1" s="27" t="s">
        <v>110</v>
      </c>
      <c r="Q1" s="27" t="s">
        <v>122</v>
      </c>
      <c r="R1" s="27" t="s">
        <v>116</v>
      </c>
      <c r="S1" s="27" t="s">
        <v>111</v>
      </c>
      <c r="T1" s="27" t="s">
        <v>120</v>
      </c>
      <c r="U1" s="27" t="s">
        <v>126</v>
      </c>
      <c r="V1" s="27" t="s">
        <v>112</v>
      </c>
      <c r="W1" s="27" t="s">
        <v>119</v>
      </c>
      <c r="X1" s="27" t="s">
        <v>117</v>
      </c>
      <c r="Y1" s="27" t="s">
        <v>113</v>
      </c>
      <c r="Z1" s="27" t="s">
        <v>121</v>
      </c>
      <c r="AA1" s="27" t="s">
        <v>128</v>
      </c>
      <c r="AB1" s="27" t="s">
        <v>115</v>
      </c>
      <c r="AC1" s="27" t="s">
        <v>114</v>
      </c>
      <c r="AD1" s="27" t="s">
        <v>139</v>
      </c>
      <c r="AE1" s="8" t="s">
        <v>8</v>
      </c>
      <c r="AF1" s="8" t="s">
        <v>30</v>
      </c>
      <c r="AG1" s="8" t="s">
        <v>31</v>
      </c>
      <c r="AH1" s="8" t="s">
        <v>60</v>
      </c>
      <c r="AI1" s="8" t="s">
        <v>61</v>
      </c>
      <c r="AJ1" s="8" t="s">
        <v>63</v>
      </c>
      <c r="AK1" s="8" t="s">
        <v>64</v>
      </c>
      <c r="AL1" s="8" t="s">
        <v>66</v>
      </c>
      <c r="AM1" s="8" t="s">
        <v>51</v>
      </c>
      <c r="AN1" s="8" t="s">
        <v>53</v>
      </c>
      <c r="AO1" s="8" t="s">
        <v>98</v>
      </c>
      <c r="AP1" s="8" t="s">
        <v>99</v>
      </c>
      <c r="AQ1" s="10" t="s">
        <v>40</v>
      </c>
      <c r="AR1" s="10" t="s">
        <v>4</v>
      </c>
      <c r="AS1" s="10" t="s">
        <v>28</v>
      </c>
      <c r="AT1" s="10" t="s">
        <v>55</v>
      </c>
      <c r="AU1" s="10" t="s">
        <v>58</v>
      </c>
      <c r="AV1" s="10" t="s">
        <v>49</v>
      </c>
      <c r="AW1" s="11" t="s">
        <v>5</v>
      </c>
      <c r="AX1" s="11" t="s">
        <v>6</v>
      </c>
      <c r="AY1" s="11" t="s">
        <v>41</v>
      </c>
      <c r="AZ1" s="11" t="s">
        <v>7</v>
      </c>
      <c r="BA1" s="11" t="s">
        <v>48</v>
      </c>
      <c r="BB1" s="11" t="s">
        <v>11</v>
      </c>
      <c r="BC1" s="25" t="s">
        <v>95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33</v>
      </c>
      <c r="BK1" s="8" t="s">
        <v>34</v>
      </c>
      <c r="BL1" s="8" t="s">
        <v>35</v>
      </c>
      <c r="BM1" s="8" t="s">
        <v>36</v>
      </c>
      <c r="BN1" s="8" t="s">
        <v>37</v>
      </c>
      <c r="BO1" s="8" t="s">
        <v>38</v>
      </c>
      <c r="BP1" s="12" t="s">
        <v>80</v>
      </c>
      <c r="BQ1" s="8" t="s">
        <v>81</v>
      </c>
      <c r="BR1" s="16" t="s">
        <v>82</v>
      </c>
      <c r="BS1" s="16"/>
      <c r="BT1" s="10" t="s">
        <v>40</v>
      </c>
      <c r="BU1" s="10" t="s">
        <v>4</v>
      </c>
      <c r="BV1" s="10" t="s">
        <v>28</v>
      </c>
      <c r="BW1" s="10" t="s">
        <v>55</v>
      </c>
      <c r="BX1" s="10" t="s">
        <v>58</v>
      </c>
      <c r="BY1" s="10" t="s">
        <v>49</v>
      </c>
      <c r="BZ1" s="11" t="s">
        <v>5</v>
      </c>
      <c r="CA1" s="11" t="s">
        <v>6</v>
      </c>
      <c r="CB1" s="11" t="s">
        <v>41</v>
      </c>
      <c r="CC1" s="11" t="s">
        <v>7</v>
      </c>
      <c r="CD1" s="11" t="s">
        <v>48</v>
      </c>
      <c r="CE1" s="11" t="s">
        <v>11</v>
      </c>
      <c r="CF1" s="8"/>
      <c r="CG1" s="10" t="s">
        <v>40</v>
      </c>
      <c r="CH1" s="10" t="s">
        <v>4</v>
      </c>
      <c r="CI1" s="10" t="s">
        <v>28</v>
      </c>
      <c r="CJ1" s="10" t="s">
        <v>55</v>
      </c>
      <c r="CK1" s="10" t="s">
        <v>58</v>
      </c>
      <c r="CL1" s="10" t="s">
        <v>49</v>
      </c>
      <c r="CM1" s="11" t="s">
        <v>5</v>
      </c>
      <c r="CN1" s="11" t="s">
        <v>6</v>
      </c>
      <c r="CO1" s="11" t="s">
        <v>41</v>
      </c>
      <c r="CP1" s="11" t="s">
        <v>7</v>
      </c>
      <c r="CQ1" s="11" t="s">
        <v>48</v>
      </c>
      <c r="CR1" s="11" t="s">
        <v>11</v>
      </c>
      <c r="CS1" s="8"/>
    </row>
    <row r="2" spans="1:97" s="76" customFormat="1" x14ac:dyDescent="0.15">
      <c r="A2" s="1">
        <v>15</v>
      </c>
      <c r="B2" s="1" t="s">
        <v>25</v>
      </c>
      <c r="C2" s="1" t="s">
        <v>26</v>
      </c>
      <c r="D2" s="1" t="s">
        <v>21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>
        <v>20</v>
      </c>
      <c r="BG2" s="1">
        <v>20</v>
      </c>
      <c r="BH2" s="1"/>
      <c r="BI2" s="1"/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IF(AQ2&gt;AQ$147, AQ2-AQ$147,"")</f>
        <v/>
      </c>
      <c r="BU2" s="1" t="str">
        <f>IF(AR2&gt;AR$147, AR2-AR$147,"")</f>
        <v/>
      </c>
      <c r="BV2" s="1" t="str">
        <f>IF(AS2&gt;AS$147, AS2-AS$147,"")</f>
        <v/>
      </c>
      <c r="BW2" s="1" t="str">
        <f>IF(AT2&gt;AT$147, AT2-AT$147,"")</f>
        <v/>
      </c>
      <c r="BX2" s="1" t="str">
        <f>IF(AU2&gt;AU$147, AU2-AU$147,"")</f>
        <v/>
      </c>
      <c r="BY2" s="1" t="str">
        <f>IF(AV2&gt;AV$147, AV2-AV$147,"")</f>
        <v/>
      </c>
      <c r="BZ2" s="1" t="str">
        <f>IF(AW2&gt;AW$147, AW2-AW$147,"")</f>
        <v/>
      </c>
      <c r="CA2" s="1" t="str">
        <f>IF(AX2&gt;AX$147, AX2-AX$147,"")</f>
        <v/>
      </c>
      <c r="CB2" s="1" t="str">
        <f>IF(AY2&gt;AY$147, AY2-AY$147,"")</f>
        <v/>
      </c>
      <c r="CC2" s="1" t="str">
        <f>IF(AZ2&gt;AZ$147, AZ2-AZ$147,"")</f>
        <v/>
      </c>
      <c r="CD2" s="1" t="str">
        <f>IF(BA2&gt;BA$147, BA2-BA$147,"")</f>
        <v/>
      </c>
      <c r="CE2" s="1" t="str">
        <f>IF(BB2&gt;BB$147, BB2-BB$147,"")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55</v>
      </c>
      <c r="B3" s="1" t="s">
        <v>46</v>
      </c>
      <c r="C3" s="1" t="s">
        <v>47</v>
      </c>
      <c r="D3" s="1" t="s">
        <v>10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/>
      <c r="BG3" s="1"/>
      <c r="BH3" s="1">
        <v>20</v>
      </c>
      <c r="BI3" s="1">
        <v>20</v>
      </c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IF(AQ3&gt;AQ$147, AQ3-AQ$147,"")</f>
        <v/>
      </c>
      <c r="BU3" s="1" t="str">
        <f>IF(AR3&gt;AR$147, AR3-AR$147,"")</f>
        <v/>
      </c>
      <c r="BV3" s="1" t="str">
        <f>IF(AS3&gt;AS$147, AS3-AS$147,"")</f>
        <v/>
      </c>
      <c r="BW3" s="1" t="str">
        <f>IF(AT3&gt;AT$147, AT3-AT$147,"")</f>
        <v/>
      </c>
      <c r="BX3" s="1" t="str">
        <f>IF(AU3&gt;AU$147, AU3-AU$147,"")</f>
        <v/>
      </c>
      <c r="BY3" s="1" t="str">
        <f>IF(AV3&gt;AV$147, AV3-AV$147,"")</f>
        <v/>
      </c>
      <c r="BZ3" s="1" t="str">
        <f>IF(AW3&gt;AW$147, AW3-AW$147,"")</f>
        <v/>
      </c>
      <c r="CA3" s="1" t="str">
        <f>IF(AX3&gt;AX$147, AX3-AX$147,"")</f>
        <v/>
      </c>
      <c r="CB3" s="1" t="str">
        <f>IF(AY3&gt;AY$147, AY3-AY$147,"")</f>
        <v/>
      </c>
      <c r="CC3" s="1" t="str">
        <f>IF(AZ3&gt;AZ$147, AZ3-AZ$147,"")</f>
        <v/>
      </c>
      <c r="CD3" s="1" t="str">
        <f>IF(BA3&gt;BA$147, BA3-BA$147,"")</f>
        <v/>
      </c>
      <c r="CE3" s="1" t="str">
        <f>IF(BB3&gt;BB$147, BB3-BB$147,"")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/>
      <c r="B4" s="1" t="s">
        <v>92</v>
      </c>
      <c r="C4" s="1" t="s">
        <v>93</v>
      </c>
      <c r="D4" s="1" t="s">
        <v>91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IF(AQ4&gt;AQ$147, AQ4-AQ$147,"")</f>
        <v/>
      </c>
      <c r="BU4" s="1" t="str">
        <f>IF(AR4&gt;AR$147, AR4-AR$147,"")</f>
        <v/>
      </c>
      <c r="BV4" s="1" t="str">
        <f>IF(AS4&gt;AS$147, AS4-AS$147,"")</f>
        <v/>
      </c>
      <c r="BW4" s="1" t="str">
        <f>IF(AT4&gt;AT$147, AT4-AT$147,"")</f>
        <v/>
      </c>
      <c r="BX4" s="1" t="str">
        <f>IF(AU4&gt;AU$147, AU4-AU$147,"")</f>
        <v/>
      </c>
      <c r="BY4" s="1" t="str">
        <f>IF(AV4&gt;AV$147, AV4-AV$147,"")</f>
        <v/>
      </c>
      <c r="BZ4" s="1" t="str">
        <f>IF(AW4&gt;AW$147, AW4-AW$147,"")</f>
        <v/>
      </c>
      <c r="CA4" s="1" t="str">
        <f>IF(AX4&gt;AX$147, AX4-AX$147,"")</f>
        <v/>
      </c>
      <c r="CB4" s="1" t="str">
        <f>IF(AY4&gt;AY$147, AY4-AY$147,"")</f>
        <v/>
      </c>
      <c r="CC4" s="1" t="str">
        <f>IF(AZ4&gt;AZ$147, AZ4-AZ$147,"")</f>
        <v/>
      </c>
      <c r="CD4" s="1" t="str">
        <f>IF(BA4&gt;BA$147, BA4-BA$147,"")</f>
        <v/>
      </c>
      <c r="CE4" s="1" t="str">
        <f>IF(BB4&gt;BB$147, BB4-BB$147,"")</f>
        <v/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3"/>
    </row>
    <row r="5" spans="1:97" s="23" customFormat="1" x14ac:dyDescent="0.15">
      <c r="A5" s="1"/>
      <c r="B5" s="1" t="s">
        <v>154</v>
      </c>
      <c r="C5" s="1" t="s">
        <v>101</v>
      </c>
      <c r="D5" s="1" t="s">
        <v>91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>
        <v>20</v>
      </c>
      <c r="BG5" s="1">
        <v>20</v>
      </c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IF(AQ5&gt;AQ$147, AQ5-AQ$147,"")</f>
        <v/>
      </c>
      <c r="BU5" s="1" t="str">
        <f>IF(AR5&gt;AR$147, AR5-AR$147,"")</f>
        <v/>
      </c>
      <c r="BV5" s="1" t="str">
        <f>IF(AS5&gt;AS$147, AS5-AS$147,"")</f>
        <v/>
      </c>
      <c r="BW5" s="1" t="str">
        <f>IF(AT5&gt;AT$147, AT5-AT$147,"")</f>
        <v/>
      </c>
      <c r="BX5" s="1" t="str">
        <f>IF(AU5&gt;AU$147, AU5-AU$147,"")</f>
        <v/>
      </c>
      <c r="BY5" s="1" t="str">
        <f>IF(AV5&gt;AV$147, AV5-AV$147,"")</f>
        <v/>
      </c>
      <c r="BZ5" s="1" t="str">
        <f>IF(AW5&gt;AW$147, AW5-AW$147,"")</f>
        <v/>
      </c>
      <c r="CA5" s="1" t="str">
        <f>IF(AX5&gt;AX$147, AX5-AX$147,"")</f>
        <v/>
      </c>
      <c r="CB5" s="1" t="str">
        <f>IF(AY5&gt;AY$147, AY5-AY$147,"")</f>
        <v/>
      </c>
      <c r="CC5" s="1" t="str">
        <f>IF(AZ5&gt;AZ$147, AZ5-AZ$147,"")</f>
        <v/>
      </c>
      <c r="CD5" s="1" t="str">
        <f>IF(BA5&gt;BA$147, BA5-BA$147,"")</f>
        <v/>
      </c>
      <c r="CE5" s="1" t="str">
        <f>IF(BB5&gt;BB$147, BB5-BB$147,"")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162</v>
      </c>
      <c r="C6" s="1" t="s">
        <v>89</v>
      </c>
      <c r="D6" s="1" t="s">
        <v>91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IF(AQ6&gt;AQ$147, AQ6-AQ$147,"")</f>
        <v/>
      </c>
      <c r="BU6" s="1" t="str">
        <f>IF(AR6&gt;AR$147, AR6-AR$147,"")</f>
        <v/>
      </c>
      <c r="BV6" s="1" t="str">
        <f>IF(AS6&gt;AS$147, AS6-AS$147,"")</f>
        <v/>
      </c>
      <c r="BW6" s="1" t="str">
        <f>IF(AT6&gt;AT$147, AT6-AT$147,"")</f>
        <v/>
      </c>
      <c r="BX6" s="1" t="str">
        <f>IF(AU6&gt;AU$147, AU6-AU$147,"")</f>
        <v/>
      </c>
      <c r="BY6" s="1" t="str">
        <f>IF(AV6&gt;AV$147, AV6-AV$147,"")</f>
        <v/>
      </c>
      <c r="BZ6" s="1" t="str">
        <f>IF(AW6&gt;AW$147, AW6-AW$147,"")</f>
        <v/>
      </c>
      <c r="CA6" s="1" t="str">
        <f>IF(AX6&gt;AX$147, AX6-AX$147,"")</f>
        <v/>
      </c>
      <c r="CB6" s="1" t="str">
        <f>IF(AY6&gt;AY$147, AY6-AY$147,"")</f>
        <v/>
      </c>
      <c r="CC6" s="1" t="str">
        <f>IF(AZ6&gt;AZ$147, AZ6-AZ$147,"")</f>
        <v/>
      </c>
      <c r="CD6" s="1" t="str">
        <f>IF(BA6&gt;BA$147, BA6-BA$147,"")</f>
        <v/>
      </c>
      <c r="CE6" s="1" t="str">
        <f>IF(BB6&gt;BB$147, BB6-BB$147,"")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166</v>
      </c>
      <c r="C7" s="1" t="s">
        <v>104</v>
      </c>
      <c r="D7" s="1" t="s">
        <v>91</v>
      </c>
      <c r="E7" s="6"/>
      <c r="F7" s="6"/>
      <c r="G7" s="6"/>
      <c r="H7" s="6">
        <v>10</v>
      </c>
      <c r="I7" s="6"/>
      <c r="J7" s="6">
        <v>10</v>
      </c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>
        <v>10</v>
      </c>
      <c r="AU7" s="4"/>
      <c r="AV7" s="4"/>
      <c r="AW7" s="2"/>
      <c r="AX7" s="2"/>
      <c r="AY7" s="2">
        <v>10</v>
      </c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 s="1" t="str">
        <f>IF(AQ7&gt;AQ$147, AQ7-AQ$147,"")</f>
        <v/>
      </c>
      <c r="BU7" s="1" t="str">
        <f>IF(AR7&gt;AR$147, AR7-AR$147,"")</f>
        <v/>
      </c>
      <c r="BV7" s="1" t="str">
        <f>IF(AS7&gt;AS$147, AS7-AS$147,"")</f>
        <v/>
      </c>
      <c r="BW7" s="1" t="str">
        <f>IF(AT7&gt;AT$147, AT7-AT$147,"")</f>
        <v/>
      </c>
      <c r="BX7" s="1" t="str">
        <f>IF(AU7&gt;AU$147, AU7-AU$147,"")</f>
        <v/>
      </c>
      <c r="BY7" s="1" t="str">
        <f>IF(AV7&gt;AV$147, AV7-AV$147,"")</f>
        <v/>
      </c>
      <c r="BZ7" s="1" t="str">
        <f>IF(AW7&gt;AW$147, AW7-AW$147,"")</f>
        <v/>
      </c>
      <c r="CA7" s="1" t="str">
        <f>IF(AX7&gt;AX$147, AX7-AX$147,"")</f>
        <v/>
      </c>
      <c r="CB7" s="1" t="str">
        <f>IF(AY7&gt;AY$147, AY7-AY$147,"")</f>
        <v/>
      </c>
      <c r="CC7" s="1" t="str">
        <f>IF(AZ7&gt;AZ$147, AZ7-AZ$147,"")</f>
        <v/>
      </c>
      <c r="CD7" s="1" t="str">
        <f>IF(BA7&gt;BA$147, BA7-BA$147,"")</f>
        <v/>
      </c>
      <c r="CE7" s="1" t="str">
        <f>IF(BB7&gt;BB$147, BB7-BB$147,"")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187</v>
      </c>
      <c r="C8" s="1" t="s">
        <v>104</v>
      </c>
      <c r="D8" s="1" t="s">
        <v>91</v>
      </c>
      <c r="E8" s="6"/>
      <c r="F8" s="6">
        <v>6</v>
      </c>
      <c r="G8" s="6"/>
      <c r="H8" s="6"/>
      <c r="I8" s="6"/>
      <c r="J8" s="6"/>
      <c r="K8" s="6"/>
      <c r="L8" s="6"/>
      <c r="M8" s="6"/>
      <c r="N8" s="6"/>
      <c r="O8" s="6">
        <v>6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32</v>
      </c>
      <c r="BQ8" s="1">
        <v>0</v>
      </c>
      <c r="BR8" s="17">
        <v>0</v>
      </c>
      <c r="BS8" s="17"/>
      <c r="BT8" s="1" t="str">
        <f>IF(AQ8&gt;AQ$147, AQ8-AQ$147,"")</f>
        <v/>
      </c>
      <c r="BU8" s="1" t="str">
        <f>IF(AR8&gt;AR$147, AR8-AR$147,"")</f>
        <v/>
      </c>
      <c r="BV8" s="1" t="str">
        <f>IF(AS8&gt;AS$147, AS8-AS$147,"")</f>
        <v/>
      </c>
      <c r="BW8" s="1" t="str">
        <f>IF(AT8&gt;AT$147, AT8-AT$147,"")</f>
        <v/>
      </c>
      <c r="BX8" s="1" t="str">
        <f>IF(AU8&gt;AU$147, AU8-AU$147,"")</f>
        <v/>
      </c>
      <c r="BY8" s="1" t="str">
        <f>IF(AV8&gt;AV$147, AV8-AV$147,"")</f>
        <v/>
      </c>
      <c r="BZ8" s="1" t="str">
        <f>IF(AW8&gt;AW$147, AW8-AW$147,"")</f>
        <v/>
      </c>
      <c r="CA8" s="1" t="str">
        <f>IF(AX8&gt;AX$147, AX8-AX$147,"")</f>
        <v/>
      </c>
      <c r="CB8" s="1" t="str">
        <f>IF(AY8&gt;AY$147, AY8-AY$147,"")</f>
        <v/>
      </c>
      <c r="CC8" s="1" t="str">
        <f>IF(AZ8&gt;AZ$147, AZ8-AZ$147,"")</f>
        <v/>
      </c>
      <c r="CD8" s="1" t="str">
        <f>IF(BA8&gt;BA$147, BA8-BA$147,"")</f>
        <v/>
      </c>
      <c r="CE8" s="1" t="str">
        <f>IF(BB8&gt;BB$147, BB8-BB$147,"")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69</v>
      </c>
      <c r="C9" s="3" t="s">
        <v>68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IF(AQ9&gt;AQ$147, AQ9-AQ$147,"")</f>
        <v/>
      </c>
      <c r="BU9" s="1" t="str">
        <f>IF(AR9&gt;AR$147, AR9-AR$147,"")</f>
        <v/>
      </c>
      <c r="BV9" s="1" t="str">
        <f>IF(AS9&gt;AS$147, AS9-AS$147,"")</f>
        <v/>
      </c>
      <c r="BW9" s="1" t="str">
        <f>IF(AT9&gt;AT$147, AT9-AT$147,"")</f>
        <v/>
      </c>
      <c r="BX9" s="1" t="str">
        <f>IF(AU9&gt;AU$147, AU9-AU$147,"")</f>
        <v/>
      </c>
      <c r="BY9" s="1" t="str">
        <f>IF(AV9&gt;AV$147, AV9-AV$147,"")</f>
        <v/>
      </c>
      <c r="BZ9" s="1" t="str">
        <f>IF(AW9&gt;AW$147, AW9-AW$147,"")</f>
        <v/>
      </c>
      <c r="CA9" s="1" t="str">
        <f>IF(AX9&gt;AX$147, AX9-AX$147,"")</f>
        <v/>
      </c>
      <c r="CB9" s="1" t="str">
        <f>IF(AY9&gt;AY$147, AY9-AY$147,"")</f>
        <v/>
      </c>
      <c r="CC9" s="1" t="str">
        <f>IF(AZ9&gt;AZ$147, AZ9-AZ$147,"")</f>
        <v/>
      </c>
      <c r="CD9" s="1" t="str">
        <f>IF(BA9&gt;BA$147, BA9-BA$147,"")</f>
        <v/>
      </c>
      <c r="CE9" s="1" t="str">
        <f>IF(BB9&gt;BB$147, BB9-BB$147,"")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31">
        <v>84</v>
      </c>
      <c r="B10" s="32" t="s">
        <v>170</v>
      </c>
      <c r="C10" s="32" t="s">
        <v>54</v>
      </c>
      <c r="D10" s="31" t="s">
        <v>10</v>
      </c>
      <c r="E10" s="33"/>
      <c r="F10" s="33"/>
      <c r="G10" s="33">
        <v>5</v>
      </c>
      <c r="H10" s="33">
        <v>5</v>
      </c>
      <c r="I10" s="33"/>
      <c r="J10" s="33"/>
      <c r="K10" s="33"/>
      <c r="L10" s="33"/>
      <c r="M10" s="33"/>
      <c r="N10" s="33"/>
      <c r="O10" s="33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5"/>
      <c r="AR10" s="35"/>
      <c r="AS10" s="35"/>
      <c r="AT10" s="35"/>
      <c r="AU10" s="35"/>
      <c r="AV10" s="35"/>
      <c r="AW10" s="36"/>
      <c r="AX10" s="36"/>
      <c r="AY10" s="36"/>
      <c r="AZ10" s="36"/>
      <c r="BA10" s="36">
        <v>5</v>
      </c>
      <c r="BB10" s="36">
        <v>5</v>
      </c>
      <c r="BC10" s="37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>
        <f>SUM(E10:BO10)</f>
        <v>20</v>
      </c>
      <c r="BQ10" s="31">
        <v>0</v>
      </c>
      <c r="BR10" s="38">
        <v>0</v>
      </c>
      <c r="BS10" s="38"/>
      <c r="BT10" s="31" t="str">
        <f>IF(AQ10&gt;AQ$147, AQ10-AQ$147,"")</f>
        <v/>
      </c>
      <c r="BU10" s="31" t="str">
        <f>IF(AR10&gt;AR$147, AR10-AR$147,"")</f>
        <v/>
      </c>
      <c r="BV10" s="31" t="str">
        <f>IF(AS10&gt;AS$147, AS10-AS$147,"")</f>
        <v/>
      </c>
      <c r="BW10" s="31" t="str">
        <f>IF(AT10&gt;AT$147, AT10-AT$147,"")</f>
        <v/>
      </c>
      <c r="BX10" s="31" t="str">
        <f>IF(AU10&gt;AU$147, AU10-AU$147,"")</f>
        <v/>
      </c>
      <c r="BY10" s="31" t="str">
        <f>IF(AV10&gt;AV$147, AV10-AV$147,"")</f>
        <v/>
      </c>
      <c r="BZ10" s="31" t="str">
        <f>IF(AW10&gt;AW$147, AW10-AW$147,"")</f>
        <v/>
      </c>
      <c r="CA10" s="31" t="str">
        <f>IF(AX10&gt;AX$147, AX10-AX$147,"")</f>
        <v/>
      </c>
      <c r="CB10" s="31" t="str">
        <f>IF(AY10&gt;AY$147, AY10-AY$147,"")</f>
        <v/>
      </c>
      <c r="CC10" s="31" t="str">
        <f>IF(AZ10&gt;AZ$147, AZ10-AZ$147,"")</f>
        <v/>
      </c>
      <c r="CD10" s="31" t="str">
        <f>IF(BA10&gt;BA$147, BA10-BA$147,"")</f>
        <v/>
      </c>
      <c r="CE10" s="31" t="str">
        <f>IF(BB10&gt;BB$147, BB10-BB$147,"")</f>
        <v/>
      </c>
      <c r="CF10" s="31">
        <f>COUNTIF(BT10:CE10, "&gt;0")</f>
        <v>0</v>
      </c>
      <c r="CG10" s="31" t="str">
        <f>IF($CF10=1,BT10,"")</f>
        <v/>
      </c>
      <c r="CH10" s="31" t="str">
        <f>IF($CF10=1,BU10,"")</f>
        <v/>
      </c>
      <c r="CI10" s="31" t="str">
        <f>IF($CF10=1,BV10,"")</f>
        <v/>
      </c>
      <c r="CJ10" s="31" t="str">
        <f>IF($CF10=1,BW10,"")</f>
        <v/>
      </c>
      <c r="CK10" s="31" t="str">
        <f>IF($CF10=1,BX10,"")</f>
        <v/>
      </c>
      <c r="CL10" s="31" t="str">
        <f>IF($CF10=1,BY10,"")</f>
        <v/>
      </c>
      <c r="CM10" s="31" t="str">
        <f>IF($CF10=1,BZ10,"")</f>
        <v/>
      </c>
      <c r="CN10" s="31" t="str">
        <f>IF($CF10=1,CA10,"")</f>
        <v/>
      </c>
      <c r="CO10" s="31" t="str">
        <f>IF($CF10=1,CB10,"")</f>
        <v/>
      </c>
      <c r="CP10" s="31" t="str">
        <f>IF($CF10=1,CC10,"")</f>
        <v/>
      </c>
      <c r="CQ10" s="31" t="str">
        <f>IF($CF10=1,CD10,"")</f>
        <v/>
      </c>
      <c r="CR10" s="31" t="str">
        <f>IF($CF10=1,CE10,"")</f>
        <v/>
      </c>
      <c r="CS10" s="32">
        <f>SUM(AE10:BO10)</f>
        <v>10</v>
      </c>
    </row>
    <row r="11" spans="1:97" s="23" customFormat="1" x14ac:dyDescent="0.15">
      <c r="A11" s="1"/>
      <c r="B11" s="1" t="s">
        <v>169</v>
      </c>
      <c r="C11" s="1" t="s">
        <v>93</v>
      </c>
      <c r="D11" s="1" t="s">
        <v>91</v>
      </c>
      <c r="E11" s="6">
        <v>6</v>
      </c>
      <c r="F11" s="6">
        <v>6</v>
      </c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>
        <v>10</v>
      </c>
      <c r="AT11" s="4"/>
      <c r="AU11" s="4"/>
      <c r="AV11" s="4"/>
      <c r="AW11" s="2"/>
      <c r="AX11" s="2">
        <v>10</v>
      </c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0</v>
      </c>
      <c r="BR11" s="17">
        <v>0</v>
      </c>
      <c r="BS11" s="17"/>
      <c r="BT11" s="1" t="str">
        <f>IF(AQ11&gt;AQ$147, AQ11-AQ$147,"")</f>
        <v/>
      </c>
      <c r="BU11" s="1" t="str">
        <f>IF(AR11&gt;AR$147, AR11-AR$147,"")</f>
        <v/>
      </c>
      <c r="BV11" s="1" t="str">
        <f>IF(AS11&gt;AS$147, AS11-AS$147,"")</f>
        <v/>
      </c>
      <c r="BW11" s="1" t="str">
        <f>IF(AT11&gt;AT$147, AT11-AT$147,"")</f>
        <v/>
      </c>
      <c r="BX11" s="1" t="str">
        <f>IF(AU11&gt;AU$147, AU11-AU$147,"")</f>
        <v/>
      </c>
      <c r="BY11" s="1" t="str">
        <f>IF(AV11&gt;AV$147, AV11-AV$147,"")</f>
        <v/>
      </c>
      <c r="BZ11" s="1" t="str">
        <f>IF(AW11&gt;AW$147, AW11-AW$147,"")</f>
        <v/>
      </c>
      <c r="CA11" s="1" t="str">
        <f>IF(AX11&gt;AX$147, AX11-AX$147,"")</f>
        <v/>
      </c>
      <c r="CB11" s="1" t="str">
        <f>IF(AY11&gt;AY$147, AY11-AY$147,"")</f>
        <v/>
      </c>
      <c r="CC11" s="1" t="str">
        <f>IF(AZ11&gt;AZ$147, AZ11-AZ$147,"")</f>
        <v/>
      </c>
      <c r="CD11" s="1" t="str">
        <f>IF(BA11&gt;BA$147, BA11-BA$147,"")</f>
        <v/>
      </c>
      <c r="CE11" s="1" t="str">
        <f>IF(BB11&gt;BB$147, BB11-BB$147,"")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3"/>
    </row>
    <row r="12" spans="1:97" x14ac:dyDescent="0.15">
      <c r="A12" s="1">
        <v>14</v>
      </c>
      <c r="B12" s="1" t="s">
        <v>25</v>
      </c>
      <c r="C12" s="1" t="s">
        <v>26</v>
      </c>
      <c r="D12" s="1" t="s">
        <v>27</v>
      </c>
      <c r="E12" s="6"/>
      <c r="F12" s="6"/>
      <c r="G12" s="6">
        <v>15</v>
      </c>
      <c r="H12" s="6">
        <v>15</v>
      </c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>
        <v>15</v>
      </c>
      <c r="AT12" s="4"/>
      <c r="AU12" s="4"/>
      <c r="AV12" s="4"/>
      <c r="AW12" s="2"/>
      <c r="AX12" s="2"/>
      <c r="AY12" s="2"/>
      <c r="AZ12" s="2"/>
      <c r="BA12" s="2"/>
      <c r="BB12" s="2">
        <v>15</v>
      </c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60</v>
      </c>
      <c r="BQ12" s="1">
        <v>0</v>
      </c>
      <c r="BR12" s="17">
        <v>0</v>
      </c>
      <c r="BS12" s="17"/>
      <c r="BT12" s="1" t="str">
        <f>IF(AQ12&gt;AQ$147, AQ12-AQ$147,"")</f>
        <v/>
      </c>
      <c r="BU12" s="1" t="str">
        <f>IF(AR12&gt;AR$147, AR12-AR$147,"")</f>
        <v/>
      </c>
      <c r="BV12" s="1" t="str">
        <f>IF(AS12&gt;AS$147, AS12-AS$147,"")</f>
        <v/>
      </c>
      <c r="BW12" s="1" t="str">
        <f>IF(AT12&gt;AT$147, AT12-AT$147,"")</f>
        <v/>
      </c>
      <c r="BX12" s="1" t="str">
        <f>IF(AU12&gt;AU$147, AU12-AU$147,"")</f>
        <v/>
      </c>
      <c r="BY12" s="1" t="str">
        <f>IF(AV12&gt;AV$147, AV12-AV$147,"")</f>
        <v/>
      </c>
      <c r="BZ12" s="1" t="str">
        <f>IF(AW12&gt;AW$147, AW12-AW$147,"")</f>
        <v/>
      </c>
      <c r="CA12" s="1" t="str">
        <f>IF(AX12&gt;AX$147, AX12-AX$147,"")</f>
        <v/>
      </c>
      <c r="CB12" s="1" t="str">
        <f>IF(AY12&gt;AY$147, AY12-AY$147,"")</f>
        <v/>
      </c>
      <c r="CC12" s="1" t="str">
        <f>IF(AZ12&gt;AZ$147, AZ12-AZ$147,"")</f>
        <v/>
      </c>
      <c r="CD12" s="1" t="str">
        <f>IF(BA12&gt;BA$147, BA12-BA$147,"")</f>
        <v/>
      </c>
      <c r="CE12" s="1" t="str">
        <f>IF(BB12&gt;BB$147, BB12-BB$147,"")</f>
        <v/>
      </c>
      <c r="CF12" s="1">
        <f>COUNTIF(BT12:CE12, "&gt;0")</f>
        <v>0</v>
      </c>
      <c r="CG12" s="1" t="str">
        <f>IF($CF12=1,BT12,"")</f>
        <v/>
      </c>
      <c r="CH12" s="1" t="str">
        <f>IF($CF12=1,BU12,"")</f>
        <v/>
      </c>
      <c r="CI12" s="1" t="str">
        <f>IF($CF12=1,BV12,"")</f>
        <v/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3">
        <f>SUM(AE12:BO12)</f>
        <v>30</v>
      </c>
    </row>
    <row r="13" spans="1:97" x14ac:dyDescent="0.15">
      <c r="A13" s="1"/>
      <c r="B13" s="1" t="s">
        <v>92</v>
      </c>
      <c r="C13" s="1" t="s">
        <v>93</v>
      </c>
      <c r="D13" s="1" t="s">
        <v>90</v>
      </c>
      <c r="E13" s="6"/>
      <c r="F13" s="6"/>
      <c r="G13" s="6">
        <v>15</v>
      </c>
      <c r="H13" s="6">
        <v>15</v>
      </c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>
        <v>15</v>
      </c>
      <c r="AT13" s="4"/>
      <c r="AU13" s="4"/>
      <c r="AV13" s="4"/>
      <c r="AW13" s="2"/>
      <c r="AX13" s="2"/>
      <c r="AY13" s="2"/>
      <c r="AZ13" s="2"/>
      <c r="BA13" s="2"/>
      <c r="BB13" s="2">
        <v>15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60</v>
      </c>
      <c r="BQ13" s="1">
        <v>0</v>
      </c>
      <c r="BR13" s="17">
        <v>0</v>
      </c>
      <c r="BS13" s="17"/>
      <c r="BT13" s="1" t="str">
        <f>IF(AQ13&gt;AQ$147, AQ13-AQ$147,"")</f>
        <v/>
      </c>
      <c r="BU13" s="1" t="str">
        <f>IF(AR13&gt;AR$147, AR13-AR$147,"")</f>
        <v/>
      </c>
      <c r="BV13" s="1" t="str">
        <f>IF(AS13&gt;AS$147, AS13-AS$147,"")</f>
        <v/>
      </c>
      <c r="BW13" s="1" t="str">
        <f>IF(AT13&gt;AT$147, AT13-AT$147,"")</f>
        <v/>
      </c>
      <c r="BX13" s="1" t="str">
        <f>IF(AU13&gt;AU$147, AU13-AU$147,"")</f>
        <v/>
      </c>
      <c r="BY13" s="1" t="str">
        <f>IF(AV13&gt;AV$147, AV13-AV$147,"")</f>
        <v/>
      </c>
      <c r="BZ13" s="1" t="str">
        <f>IF(AW13&gt;AW$147, AW13-AW$147,"")</f>
        <v/>
      </c>
      <c r="CA13" s="1" t="str">
        <f>IF(AX13&gt;AX$147, AX13-AX$147,"")</f>
        <v/>
      </c>
      <c r="CB13" s="1" t="str">
        <f>IF(AY13&gt;AY$147, AY13-AY$147,"")</f>
        <v/>
      </c>
      <c r="CC13" s="1" t="str">
        <f>IF(AZ13&gt;AZ$147, AZ13-AZ$147,"")</f>
        <v/>
      </c>
      <c r="CD13" s="1" t="str">
        <f>IF(BA13&gt;BA$147, BA13-BA$147,"")</f>
        <v/>
      </c>
      <c r="CE13" s="1" t="str">
        <f>IF(BB13&gt;BB$147, BB13-BB$147,"")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"/>
      <c r="B14" s="1" t="s">
        <v>168</v>
      </c>
      <c r="C14" s="1" t="s">
        <v>104</v>
      </c>
      <c r="D14" s="1" t="s">
        <v>90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>
        <v>10</v>
      </c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20</v>
      </c>
      <c r="BQ14" s="1">
        <v>0</v>
      </c>
      <c r="BR14" s="17">
        <v>0</v>
      </c>
      <c r="BS14" s="17"/>
      <c r="BT14" s="1" t="str">
        <f>IF(AQ14&gt;AQ$147, AQ14-AQ$147,"")</f>
        <v/>
      </c>
      <c r="BU14" s="1" t="str">
        <f>IF(AR14&gt;AR$147, AR14-AR$147,"")</f>
        <v/>
      </c>
      <c r="BV14" s="1" t="str">
        <f>IF(AS14&gt;AS$147, AS14-AS$147,"")</f>
        <v/>
      </c>
      <c r="BW14" s="1" t="str">
        <f>IF(AT14&gt;AT$147, AT14-AT$147,"")</f>
        <v/>
      </c>
      <c r="BX14" s="1" t="str">
        <f>IF(AU14&gt;AU$147, AU14-AU$147,"")</f>
        <v/>
      </c>
      <c r="BY14" s="1" t="str">
        <f>IF(AV14&gt;AV$147, AV14-AV$147,"")</f>
        <v/>
      </c>
      <c r="BZ14" s="1" t="str">
        <f>IF(AW14&gt;AW$147, AW14-AW$147,"")</f>
        <v/>
      </c>
      <c r="CA14" s="1" t="str">
        <f>IF(AX14&gt;AX$147, AX14-AX$147,"")</f>
        <v/>
      </c>
      <c r="CB14" s="1" t="str">
        <f>IF(AY14&gt;AY$147, AY14-AY$147,"")</f>
        <v/>
      </c>
      <c r="CC14" s="1" t="str">
        <f>IF(AZ14&gt;AZ$147, AZ14-AZ$147,"")</f>
        <v/>
      </c>
      <c r="CD14" s="1" t="str">
        <f>IF(BA14&gt;BA$147, BA14-BA$147,"")</f>
        <v/>
      </c>
      <c r="CE14" s="1" t="str">
        <f>IF(BB14&gt;BB$147, BB14-BB$147,"")</f>
        <v/>
      </c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s="49" customFormat="1" x14ac:dyDescent="0.15">
      <c r="A15" s="1"/>
      <c r="B15" s="1" t="s">
        <v>194</v>
      </c>
      <c r="C15" s="1" t="s">
        <v>195</v>
      </c>
      <c r="D15" s="1" t="s">
        <v>196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>
        <v>15</v>
      </c>
      <c r="AV15" s="4"/>
      <c r="AW15" s="2"/>
      <c r="AX15" s="2"/>
      <c r="AY15" s="2">
        <v>15</v>
      </c>
      <c r="AZ15" s="2"/>
      <c r="BA15" s="2">
        <v>10</v>
      </c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40</v>
      </c>
      <c r="BQ15" s="1">
        <v>0</v>
      </c>
      <c r="BR15" s="17">
        <v>0</v>
      </c>
      <c r="BS15" s="17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3"/>
    </row>
    <row r="16" spans="1:97" x14ac:dyDescent="0.15">
      <c r="A16" s="1"/>
      <c r="B16" s="1" t="s">
        <v>151</v>
      </c>
      <c r="C16" s="1" t="s">
        <v>136</v>
      </c>
      <c r="D16" s="1" t="s">
        <v>109</v>
      </c>
      <c r="E16" s="6"/>
      <c r="F16" s="6"/>
      <c r="G16" s="6"/>
      <c r="H16" s="6"/>
      <c r="I16" s="6"/>
      <c r="J16" s="6"/>
      <c r="K16" s="6"/>
      <c r="L16" s="6">
        <v>6</v>
      </c>
      <c r="M16" s="6"/>
      <c r="N16" s="6"/>
      <c r="O16" s="6">
        <v>6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10</v>
      </c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0</v>
      </c>
      <c r="BR16" s="17">
        <v>0</v>
      </c>
      <c r="BS16" s="17"/>
      <c r="BT16" s="1" t="str">
        <f>IF(AQ16&gt;AQ$147, AQ16-AQ$147,"")</f>
        <v/>
      </c>
      <c r="BU16" s="1" t="str">
        <f>IF(AR16&gt;AR$147, AR16-AR$147,"")</f>
        <v/>
      </c>
      <c r="BV16" s="1" t="str">
        <f>IF(AS16&gt;AS$147, AS16-AS$147,"")</f>
        <v/>
      </c>
      <c r="BW16" s="1" t="str">
        <f>IF(AT16&gt;AT$147, AT16-AT$147,"")</f>
        <v/>
      </c>
      <c r="BX16" s="1" t="str">
        <f>IF(AU16&gt;AU$147, AU16-AU$147,"")</f>
        <v/>
      </c>
      <c r="BY16" s="1" t="str">
        <f>IF(AV16&gt;AV$147, AV16-AV$147,"")</f>
        <v/>
      </c>
      <c r="BZ16" s="1" t="str">
        <f>IF(AW16&gt;AW$147, AW16-AW$147,"")</f>
        <v/>
      </c>
      <c r="CA16" s="1" t="str">
        <f>IF(AX16&gt;AX$147, AX16-AX$147,"")</f>
        <v/>
      </c>
      <c r="CB16" s="1" t="str">
        <f>IF(AY16&gt;AY$147, AY16-AY$147,"")</f>
        <v/>
      </c>
      <c r="CC16" s="1" t="str">
        <f>IF(AZ16&gt;AZ$147, AZ16-AZ$147,"")</f>
        <v/>
      </c>
      <c r="CD16" s="1" t="str">
        <f>IF(BA16&gt;BA$147, BA16-BA$147,"")</f>
        <v/>
      </c>
      <c r="CE16" s="1" t="str">
        <f>IF(BB16&gt;BB$147, BB16-BB$147,"")</f>
        <v/>
      </c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3"/>
    </row>
    <row r="17" spans="1:97" x14ac:dyDescent="0.15">
      <c r="A17" s="1">
        <v>81</v>
      </c>
      <c r="B17" s="3" t="s">
        <v>56</v>
      </c>
      <c r="C17" s="3" t="s">
        <v>54</v>
      </c>
      <c r="D17" s="1" t="s">
        <v>10</v>
      </c>
      <c r="E17" s="6"/>
      <c r="F17" s="6"/>
      <c r="G17" s="6"/>
      <c r="H17" s="6"/>
      <c r="I17" s="6"/>
      <c r="J17" s="6"/>
      <c r="K17" s="6"/>
      <c r="L17" s="6">
        <v>6</v>
      </c>
      <c r="M17" s="6"/>
      <c r="N17" s="6"/>
      <c r="O17" s="6">
        <v>6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>
        <v>10</v>
      </c>
      <c r="AU17" s="4"/>
      <c r="AV17" s="4"/>
      <c r="AW17" s="2"/>
      <c r="AX17" s="2"/>
      <c r="AY17" s="2"/>
      <c r="AZ17" s="2"/>
      <c r="BA17" s="2">
        <v>10</v>
      </c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0</v>
      </c>
      <c r="BR17" s="17">
        <v>0</v>
      </c>
      <c r="BS17" s="17"/>
      <c r="BT17" s="1" t="str">
        <f>IF(AQ17&gt;AQ$147, AQ17-AQ$147,"")</f>
        <v/>
      </c>
      <c r="BU17" s="1" t="str">
        <f>IF(AR17&gt;AR$147, AR17-AR$147,"")</f>
        <v/>
      </c>
      <c r="BV17" s="1" t="str">
        <f>IF(AS17&gt;AS$147, AS17-AS$147,"")</f>
        <v/>
      </c>
      <c r="BW17" s="1" t="str">
        <f>IF(AT17&gt;AT$147, AT17-AT$147,"")</f>
        <v/>
      </c>
      <c r="BX17" s="1" t="str">
        <f>IF(AU17&gt;AU$147, AU17-AU$147,"")</f>
        <v/>
      </c>
      <c r="BY17" s="1" t="str">
        <f>IF(AV17&gt;AV$147, AV17-AV$147,"")</f>
        <v/>
      </c>
      <c r="BZ17" s="1" t="str">
        <f>IF(AW17&gt;AW$147, AW17-AW$147,"")</f>
        <v/>
      </c>
      <c r="CA17" s="1" t="str">
        <f>IF(AX17&gt;AX$147, AX17-AX$147,"")</f>
        <v/>
      </c>
      <c r="CB17" s="1" t="str">
        <f>IF(AY17&gt;AY$147, AY17-AY$147,"")</f>
        <v/>
      </c>
      <c r="CC17" s="1" t="str">
        <f>IF(AZ17&gt;AZ$147, AZ17-AZ$147,"")</f>
        <v/>
      </c>
      <c r="CD17" s="1" t="str">
        <f>IF(BA17&gt;BA$147, BA17-BA$147,"")</f>
        <v/>
      </c>
      <c r="CE17" s="1" t="str">
        <f>IF(BB17&gt;BB$147, BB17-BB$147,"")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20</v>
      </c>
    </row>
    <row r="18" spans="1:97" x14ac:dyDescent="0.15">
      <c r="A18" s="1">
        <v>72</v>
      </c>
      <c r="B18" s="3" t="s">
        <v>78</v>
      </c>
      <c r="C18" s="1" t="s">
        <v>47</v>
      </c>
      <c r="D18" s="1" t="s">
        <v>10</v>
      </c>
      <c r="E18" s="6"/>
      <c r="F18" s="6"/>
      <c r="G18" s="6"/>
      <c r="H18" s="6"/>
      <c r="I18" s="6"/>
      <c r="J18" s="6"/>
      <c r="K18" s="6"/>
      <c r="L18" s="6">
        <v>6</v>
      </c>
      <c r="M18" s="6">
        <v>6</v>
      </c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>
        <v>10</v>
      </c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32</v>
      </c>
      <c r="BQ18" s="1">
        <v>0</v>
      </c>
      <c r="BR18" s="17">
        <v>0</v>
      </c>
      <c r="BS18" s="17"/>
      <c r="BT18" s="1" t="str">
        <f>IF(AQ18&gt;AQ$147, AQ18-AQ$147,"")</f>
        <v/>
      </c>
      <c r="BU18" s="1" t="str">
        <f>IF(AR18&gt;AR$147, AR18-AR$147,"")</f>
        <v/>
      </c>
      <c r="BV18" s="1" t="str">
        <f>IF(AS18&gt;AS$147, AS18-AS$147,"")</f>
        <v/>
      </c>
      <c r="BW18" s="1" t="str">
        <f>IF(AT18&gt;AT$147, AT18-AT$147,"")</f>
        <v/>
      </c>
      <c r="BX18" s="1" t="str">
        <f>IF(AU18&gt;AU$147, AU18-AU$147,"")</f>
        <v/>
      </c>
      <c r="BY18" s="1" t="str">
        <f>IF(AV18&gt;AV$147, AV18-AV$147,"")</f>
        <v/>
      </c>
      <c r="BZ18" s="1" t="str">
        <f>IF(AW18&gt;AW$147, AW18-AW$147,"")</f>
        <v/>
      </c>
      <c r="CA18" s="1" t="str">
        <f>IF(AX18&gt;AX$147, AX18-AX$147,"")</f>
        <v/>
      </c>
      <c r="CB18" s="1" t="str">
        <f>IF(AY18&gt;AY$147, AY18-AY$147,"")</f>
        <v/>
      </c>
      <c r="CC18" s="1" t="str">
        <f>IF(AZ18&gt;AZ$147, AZ18-AZ$147,"")</f>
        <v/>
      </c>
      <c r="CD18" s="1" t="str">
        <f>IF(BA18&gt;BA$147, BA18-BA$147,"")</f>
        <v/>
      </c>
      <c r="CE18" s="1" t="str">
        <f>IF(BB18&gt;BB$147, BB18-BB$147,"")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20</v>
      </c>
    </row>
    <row r="19" spans="1:97" x14ac:dyDescent="0.15">
      <c r="A19" s="1">
        <v>39</v>
      </c>
      <c r="B19" s="1" t="s">
        <v>42</v>
      </c>
      <c r="C19" s="1" t="s">
        <v>39</v>
      </c>
      <c r="D19" s="1" t="s">
        <v>21</v>
      </c>
      <c r="E19" s="6"/>
      <c r="F19" s="6">
        <v>6</v>
      </c>
      <c r="G19" s="6"/>
      <c r="H19" s="6"/>
      <c r="I19" s="6"/>
      <c r="J19" s="6"/>
      <c r="K19" s="6"/>
      <c r="L19" s="6">
        <v>6</v>
      </c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/>
      <c r="AX19" s="2">
        <v>10</v>
      </c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32</v>
      </c>
      <c r="BQ19" s="1">
        <v>0</v>
      </c>
      <c r="BR19" s="17">
        <v>0</v>
      </c>
      <c r="BS19" s="17"/>
      <c r="BT19" s="1" t="str">
        <f>IF(AQ19&gt;AQ$147, AQ19-AQ$147,"")</f>
        <v/>
      </c>
      <c r="BU19" s="1" t="str">
        <f>IF(AR19&gt;AR$147, AR19-AR$147,"")</f>
        <v/>
      </c>
      <c r="BV19" s="1" t="str">
        <f>IF(AS19&gt;AS$147, AS19-AS$147,"")</f>
        <v/>
      </c>
      <c r="BW19" s="1" t="str">
        <f>IF(AT19&gt;AT$147, AT19-AT$147,"")</f>
        <v/>
      </c>
      <c r="BX19" s="1" t="str">
        <f>IF(AU19&gt;AU$147, AU19-AU$147,"")</f>
        <v/>
      </c>
      <c r="BY19" s="1" t="str">
        <f>IF(AV19&gt;AV$147, AV19-AV$147,"")</f>
        <v/>
      </c>
      <c r="BZ19" s="1" t="str">
        <f>IF(AW19&gt;AW$147, AW19-AW$147,"")</f>
        <v/>
      </c>
      <c r="CA19" s="1" t="str">
        <f>IF(AX19&gt;AX$147, AX19-AX$147,"")</f>
        <v/>
      </c>
      <c r="CB19" s="1" t="str">
        <f>IF(AY19&gt;AY$147, AY19-AY$147,"")</f>
        <v/>
      </c>
      <c r="CC19" s="1" t="str">
        <f>IF(AZ19&gt;AZ$147, AZ19-AZ$147,"")</f>
        <v/>
      </c>
      <c r="CD19" s="1" t="str">
        <f>IF(BA19&gt;BA$147, BA19-BA$147,"")</f>
        <v/>
      </c>
      <c r="CE19" s="1" t="str">
        <f>IF(BB19&gt;BB$147, BB19-BB$147,"")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20</v>
      </c>
    </row>
    <row r="20" spans="1:97" x14ac:dyDescent="0.15">
      <c r="A20" s="1"/>
      <c r="B20" s="1" t="s">
        <v>165</v>
      </c>
      <c r="C20" s="1" t="s">
        <v>89</v>
      </c>
      <c r="D20" s="1" t="s">
        <v>91</v>
      </c>
      <c r="E20" s="6"/>
      <c r="F20" s="6"/>
      <c r="G20" s="6"/>
      <c r="H20" s="6">
        <v>6</v>
      </c>
      <c r="I20" s="6"/>
      <c r="J20" s="6"/>
      <c r="K20" s="6">
        <v>6</v>
      </c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>
        <v>10</v>
      </c>
      <c r="AR20" s="4"/>
      <c r="AS20" s="4"/>
      <c r="AT20" s="4"/>
      <c r="AU20" s="4"/>
      <c r="AV20" s="4"/>
      <c r="AW20" s="2">
        <v>10</v>
      </c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32</v>
      </c>
      <c r="BQ20" s="1">
        <v>0</v>
      </c>
      <c r="BR20" s="17">
        <v>0</v>
      </c>
      <c r="BS20" s="17"/>
      <c r="BT20" s="1" t="str">
        <f>IF(AQ20&gt;AQ$147, AQ20-AQ$147,"")</f>
        <v/>
      </c>
      <c r="BU20" s="1" t="str">
        <f>IF(AR20&gt;AR$147, AR20-AR$147,"")</f>
        <v/>
      </c>
      <c r="BV20" s="1" t="str">
        <f>IF(AS20&gt;AS$147, AS20-AS$147,"")</f>
        <v/>
      </c>
      <c r="BW20" s="1" t="str">
        <f>IF(AT20&gt;AT$147, AT20-AT$147,"")</f>
        <v/>
      </c>
      <c r="BX20" s="1" t="str">
        <f>IF(AU20&gt;AU$147, AU20-AU$147,"")</f>
        <v/>
      </c>
      <c r="BY20" s="1" t="str">
        <f>IF(AV20&gt;AV$147, AV20-AV$147,"")</f>
        <v/>
      </c>
      <c r="BZ20" s="1" t="str">
        <f>IF(AW20&gt;AW$147, AW20-AW$147,"")</f>
        <v/>
      </c>
      <c r="CA20" s="1" t="str">
        <f>IF(AX20&gt;AX$147, AX20-AX$147,"")</f>
        <v/>
      </c>
      <c r="CB20" s="1" t="str">
        <f>IF(AY20&gt;AY$147, AY20-AY$147,"")</f>
        <v/>
      </c>
      <c r="CC20" s="1" t="str">
        <f>IF(AZ20&gt;AZ$147, AZ20-AZ$147,"")</f>
        <v/>
      </c>
      <c r="CD20" s="1" t="str">
        <f>IF(BA20&gt;BA$147, BA20-BA$147,"")</f>
        <v/>
      </c>
      <c r="CE20" s="1" t="str">
        <f>IF(BB20&gt;BB$147, BB20-BB$147,"")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3"/>
    </row>
    <row r="21" spans="1:97" x14ac:dyDescent="0.15">
      <c r="A21" s="1">
        <v>45</v>
      </c>
      <c r="B21" s="1" t="s">
        <v>88</v>
      </c>
      <c r="C21" s="1" t="s">
        <v>39</v>
      </c>
      <c r="D21" s="1" t="s">
        <v>10</v>
      </c>
      <c r="E21" s="6">
        <v>6</v>
      </c>
      <c r="F21" s="6"/>
      <c r="G21" s="6"/>
      <c r="H21" s="6"/>
      <c r="I21" s="6"/>
      <c r="J21" s="6"/>
      <c r="K21" s="6"/>
      <c r="L21" s="6"/>
      <c r="M21" s="6">
        <v>6</v>
      </c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>
        <v>10</v>
      </c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32</v>
      </c>
      <c r="BQ21" s="1">
        <v>0</v>
      </c>
      <c r="BR21" s="17">
        <v>0</v>
      </c>
      <c r="BS21" s="17"/>
      <c r="BT21" s="1" t="str">
        <f>IF(AQ21&gt;AQ$147, AQ21-AQ$147,"")</f>
        <v/>
      </c>
      <c r="BU21" s="1" t="str">
        <f>IF(AR21&gt;AR$147, AR21-AR$147,"")</f>
        <v/>
      </c>
      <c r="BV21" s="1" t="str">
        <f>IF(AS21&gt;AS$147, AS21-AS$147,"")</f>
        <v/>
      </c>
      <c r="BW21" s="1" t="str">
        <f>IF(AT21&gt;AT$147, AT21-AT$147,"")</f>
        <v/>
      </c>
      <c r="BX21" s="1" t="str">
        <f>IF(AU21&gt;AU$147, AU21-AU$147,"")</f>
        <v/>
      </c>
      <c r="BY21" s="1" t="str">
        <f>IF(AV21&gt;AV$147, AV21-AV$147,"")</f>
        <v/>
      </c>
      <c r="BZ21" s="1" t="str">
        <f>IF(AW21&gt;AW$147, AW21-AW$147,"")</f>
        <v/>
      </c>
      <c r="CA21" s="1" t="str">
        <f>IF(AX21&gt;AX$147, AX21-AX$147,"")</f>
        <v/>
      </c>
      <c r="CB21" s="1" t="str">
        <f>IF(AY21&gt;AY$147, AY21-AY$147,"")</f>
        <v/>
      </c>
      <c r="CC21" s="1" t="str">
        <f>IF(AZ21&gt;AZ$147, AZ21-AZ$147,"")</f>
        <v/>
      </c>
      <c r="CD21" s="1" t="str">
        <f>IF(BA21&gt;BA$147, BA21-BA$147,"")</f>
        <v/>
      </c>
      <c r="CE21" s="1" t="str">
        <f>IF(BB21&gt;BB$147, BB21-BB$147,"")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20</v>
      </c>
    </row>
    <row r="22" spans="1:97" x14ac:dyDescent="0.15">
      <c r="A22" s="1"/>
      <c r="B22" s="1" t="s">
        <v>133</v>
      </c>
      <c r="C22" s="1" t="s">
        <v>134</v>
      </c>
      <c r="D22" s="1" t="s">
        <v>107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 s="1" t="str">
        <f>IF(AQ22&gt;AQ$147, AQ22-AQ$147,"")</f>
        <v/>
      </c>
      <c r="BU22" s="1" t="str">
        <f>IF(AR22&gt;AR$147, AR22-AR$147,"")</f>
        <v/>
      </c>
      <c r="BV22" s="1" t="str">
        <f>IF(AS22&gt;AS$147, AS22-AS$147,"")</f>
        <v/>
      </c>
      <c r="BW22" s="1" t="str">
        <f>IF(AT22&gt;AT$147, AT22-AT$147,"")</f>
        <v/>
      </c>
      <c r="BX22" s="1" t="str">
        <f>IF(AU22&gt;AU$147, AU22-AU$147,"")</f>
        <v/>
      </c>
      <c r="BY22" s="1" t="str">
        <f>IF(AV22&gt;AV$147, AV22-AV$147,"")</f>
        <v/>
      </c>
      <c r="BZ22" s="1" t="str">
        <f>IF(AW22&gt;AW$147, AW22-AW$147,"")</f>
        <v/>
      </c>
      <c r="CA22" s="1" t="str">
        <f>IF(AX22&gt;AX$147, AX22-AX$147,"")</f>
        <v/>
      </c>
      <c r="CB22" s="1" t="str">
        <f>IF(AY22&gt;AY$147, AY22-AY$147,"")</f>
        <v/>
      </c>
      <c r="CC22" s="1" t="str">
        <f>IF(AZ22&gt;AZ$147, AZ22-AZ$147,"")</f>
        <v/>
      </c>
      <c r="CD22" s="1" t="str">
        <f>IF(BA22&gt;BA$147, BA22-BA$147,"")</f>
        <v/>
      </c>
      <c r="CE22" s="1" t="str">
        <f>IF(BB22&gt;BB$147, BB22-BB$147,"")</f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3"/>
    </row>
    <row r="23" spans="1:97" x14ac:dyDescent="0.15">
      <c r="A23" s="1"/>
      <c r="B23" s="1" t="s">
        <v>124</v>
      </c>
      <c r="C23" s="1" t="s">
        <v>125</v>
      </c>
      <c r="D23" s="1" t="s">
        <v>107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0</v>
      </c>
      <c r="BR23" s="17">
        <v>0</v>
      </c>
      <c r="BS23" s="17"/>
      <c r="BT23" s="1" t="str">
        <f>IF(AQ23&gt;AQ$147, AQ23-AQ$147,"")</f>
        <v/>
      </c>
      <c r="BU23" s="1" t="str">
        <f>IF(AR23&gt;AR$147, AR23-AR$147,"")</f>
        <v/>
      </c>
      <c r="BV23" s="1" t="str">
        <f>IF(AS23&gt;AS$147, AS23-AS$147,"")</f>
        <v/>
      </c>
      <c r="BW23" s="1" t="str">
        <f>IF(AT23&gt;AT$147, AT23-AT$147,"")</f>
        <v/>
      </c>
      <c r="BX23" s="1" t="str">
        <f>IF(AU23&gt;AU$147, AU23-AU$147,"")</f>
        <v/>
      </c>
      <c r="BY23" s="1" t="str">
        <f>IF(AV23&gt;AV$147, AV23-AV$147,"")</f>
        <v/>
      </c>
      <c r="BZ23" s="1" t="str">
        <f>IF(AW23&gt;AW$147, AW23-AW$147,"")</f>
        <v/>
      </c>
      <c r="CA23" s="1" t="str">
        <f>IF(AX23&gt;AX$147, AX23-AX$147,"")</f>
        <v/>
      </c>
      <c r="CB23" s="1" t="str">
        <f>IF(AY23&gt;AY$147, AY23-AY$147,"")</f>
        <v/>
      </c>
      <c r="CC23" s="1" t="str">
        <f>IF(AZ23&gt;AZ$147, AZ23-AZ$147,"")</f>
        <v/>
      </c>
      <c r="CD23" s="1" t="str">
        <f>IF(BA23&gt;BA$147, BA23-BA$147,"")</f>
        <v/>
      </c>
      <c r="CE23" s="1" t="str">
        <f>IF(BB23&gt;BB$147, BB23-BB$147,"")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3"/>
    </row>
    <row r="24" spans="1:97" x14ac:dyDescent="0.15">
      <c r="A24" s="1"/>
      <c r="B24" s="1" t="s">
        <v>130</v>
      </c>
      <c r="C24" s="1" t="s">
        <v>129</v>
      </c>
      <c r="D24" s="1" t="s">
        <v>107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40</v>
      </c>
      <c r="BQ24" s="1">
        <v>0</v>
      </c>
      <c r="BR24" s="17">
        <v>0</v>
      </c>
      <c r="BS24" s="17"/>
      <c r="BT24" s="1" t="str">
        <f>IF(AQ24&gt;AQ$147, AQ24-AQ$147,"")</f>
        <v/>
      </c>
      <c r="BU24" s="1" t="str">
        <f>IF(AR24&gt;AR$147, AR24-AR$147,"")</f>
        <v/>
      </c>
      <c r="BV24" s="1" t="str">
        <f>IF(AS24&gt;AS$147, AS24-AS$147,"")</f>
        <v/>
      </c>
      <c r="BW24" s="1" t="str">
        <f>IF(AT24&gt;AT$147, AT24-AT$147,"")</f>
        <v/>
      </c>
      <c r="BX24" s="1" t="str">
        <f>IF(AU24&gt;AU$147, AU24-AU$147,"")</f>
        <v/>
      </c>
      <c r="BY24" s="1" t="str">
        <f>IF(AV24&gt;AV$147, AV24-AV$147,"")</f>
        <v/>
      </c>
      <c r="BZ24" s="1" t="str">
        <f>IF(AW24&gt;AW$147, AW24-AW$147,"")</f>
        <v/>
      </c>
      <c r="CA24" s="1" t="str">
        <f>IF(AX24&gt;AX$147, AX24-AX$147,"")</f>
        <v/>
      </c>
      <c r="CB24" s="1" t="str">
        <f>IF(AY24&gt;AY$147, AY24-AY$147,"")</f>
        <v/>
      </c>
      <c r="CC24" s="1" t="str">
        <f>IF(AZ24&gt;AZ$147, AZ24-AZ$147,"")</f>
        <v/>
      </c>
      <c r="CD24" s="1" t="str">
        <f>IF(BA24&gt;BA$147, BA24-BA$147,"")</f>
        <v/>
      </c>
      <c r="CE24" s="1" t="str">
        <f>IF(BB24&gt;BB$147, BB24-BB$147,"")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3"/>
    </row>
    <row r="25" spans="1:97" x14ac:dyDescent="0.15">
      <c r="A25" s="1"/>
      <c r="B25" s="1" t="s">
        <v>132</v>
      </c>
      <c r="C25" s="1" t="s">
        <v>134</v>
      </c>
      <c r="D25" s="1" t="s">
        <v>107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40</v>
      </c>
      <c r="BQ25" s="1">
        <v>0</v>
      </c>
      <c r="BR25" s="17">
        <v>0</v>
      </c>
      <c r="BS25" s="17"/>
      <c r="BT25" s="1" t="str">
        <f>IF(AQ25&gt;AQ$147, AQ25-AQ$147,"")</f>
        <v/>
      </c>
      <c r="BU25" s="1" t="str">
        <f>IF(AR25&gt;AR$147, AR25-AR$147,"")</f>
        <v/>
      </c>
      <c r="BV25" s="1" t="str">
        <f>IF(AS25&gt;AS$147, AS25-AS$147,"")</f>
        <v/>
      </c>
      <c r="BW25" s="1" t="str">
        <f>IF(AT25&gt;AT$147, AT25-AT$147,"")</f>
        <v/>
      </c>
      <c r="BX25" s="1" t="str">
        <f>IF(AU25&gt;AU$147, AU25-AU$147,"")</f>
        <v/>
      </c>
      <c r="BY25" s="1" t="str">
        <f>IF(AV25&gt;AV$147, AV25-AV$147,"")</f>
        <v/>
      </c>
      <c r="BZ25" s="1" t="str">
        <f>IF(AW25&gt;AW$147, AW25-AW$147,"")</f>
        <v/>
      </c>
      <c r="CA25" s="1" t="str">
        <f>IF(AX25&gt;AX$147, AX25-AX$147,"")</f>
        <v/>
      </c>
      <c r="CB25" s="1" t="str">
        <f>IF(AY25&gt;AY$147, AY25-AY$147,"")</f>
        <v/>
      </c>
      <c r="CC25" s="1" t="str">
        <f>IF(AZ25&gt;AZ$147, AZ25-AZ$147,"")</f>
        <v/>
      </c>
      <c r="CD25" s="1" t="str">
        <f>IF(BA25&gt;BA$147, BA25-BA$147,"")</f>
        <v/>
      </c>
      <c r="CE25" s="1" t="str">
        <f>IF(BB25&gt;BB$147, BB25-BB$147,"")</f>
        <v/>
      </c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3"/>
    </row>
    <row r="26" spans="1:97" x14ac:dyDescent="0.15">
      <c r="A26" s="1"/>
      <c r="B26" s="1" t="s">
        <v>138</v>
      </c>
      <c r="C26" s="1" t="s">
        <v>136</v>
      </c>
      <c r="D26" s="1" t="s">
        <v>107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40</v>
      </c>
      <c r="BQ26" s="1">
        <v>0</v>
      </c>
      <c r="BR26" s="17">
        <v>0</v>
      </c>
      <c r="BS26" s="17"/>
      <c r="BT26" s="1" t="str">
        <f>IF(AQ26&gt;AQ$147, AQ26-AQ$147,"")</f>
        <v/>
      </c>
      <c r="BU26" s="1" t="str">
        <f>IF(AR26&gt;AR$147, AR26-AR$147,"")</f>
        <v/>
      </c>
      <c r="BV26" s="1" t="str">
        <f>IF(AS26&gt;AS$147, AS26-AS$147,"")</f>
        <v/>
      </c>
      <c r="BW26" s="1" t="str">
        <f>IF(AT26&gt;AT$147, AT26-AT$147,"")</f>
        <v/>
      </c>
      <c r="BX26" s="1" t="str">
        <f>IF(AU26&gt;AU$147, AU26-AU$147,"")</f>
        <v/>
      </c>
      <c r="BY26" s="1" t="str">
        <f>IF(AV26&gt;AV$147, AV26-AV$147,"")</f>
        <v/>
      </c>
      <c r="BZ26" s="1" t="str">
        <f>IF(AW26&gt;AW$147, AW26-AW$147,"")</f>
        <v/>
      </c>
      <c r="CA26" s="1" t="str">
        <f>IF(AX26&gt;AX$147, AX26-AX$147,"")</f>
        <v/>
      </c>
      <c r="CB26" s="1" t="str">
        <f>IF(AY26&gt;AY$147, AY26-AY$147,"")</f>
        <v/>
      </c>
      <c r="CC26" s="1" t="str">
        <f>IF(AZ26&gt;AZ$147, AZ26-AZ$147,"")</f>
        <v/>
      </c>
      <c r="CD26" s="1" t="str">
        <f>IF(BA26&gt;BA$147, BA26-BA$147,"")</f>
        <v/>
      </c>
      <c r="CE26" s="1" t="str">
        <f>IF(BB26&gt;BB$147, BB26-BB$147,"")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3"/>
    </row>
    <row r="27" spans="1:97" x14ac:dyDescent="0.15">
      <c r="A27" s="1"/>
      <c r="B27" s="1" t="s">
        <v>141</v>
      </c>
      <c r="C27" s="1" t="s">
        <v>136</v>
      </c>
      <c r="D27" s="1" t="s">
        <v>107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 s="1" t="str">
        <f>IF(AQ27&gt;AQ$147, AQ27-AQ$147,"")</f>
        <v/>
      </c>
      <c r="BU27" s="1" t="str">
        <f>IF(AR27&gt;AR$147, AR27-AR$147,"")</f>
        <v/>
      </c>
      <c r="BV27" s="1" t="str">
        <f>IF(AS27&gt;AS$147, AS27-AS$147,"")</f>
        <v/>
      </c>
      <c r="BW27" s="1" t="str">
        <f>IF(AT27&gt;AT$147, AT27-AT$147,"")</f>
        <v/>
      </c>
      <c r="BX27" s="1" t="str">
        <f>IF(AU27&gt;AU$147, AU27-AU$147,"")</f>
        <v/>
      </c>
      <c r="BY27" s="1" t="str">
        <f>IF(AV27&gt;AV$147, AV27-AV$147,"")</f>
        <v/>
      </c>
      <c r="BZ27" s="1" t="str">
        <f>IF(AW27&gt;AW$147, AW27-AW$147,"")</f>
        <v/>
      </c>
      <c r="CA27" s="1" t="str">
        <f>IF(AX27&gt;AX$147, AX27-AX$147,"")</f>
        <v/>
      </c>
      <c r="CB27" s="1" t="str">
        <f>IF(AY27&gt;AY$147, AY27-AY$147,"")</f>
        <v/>
      </c>
      <c r="CC27" s="1" t="str">
        <f>IF(AZ27&gt;AZ$147, AZ27-AZ$147,"")</f>
        <v/>
      </c>
      <c r="CD27" s="1" t="str">
        <f>IF(BA27&gt;BA$147, BA27-BA$147,"")</f>
        <v/>
      </c>
      <c r="CE27" s="1" t="str">
        <f>IF(BB27&gt;BB$147, BB27-BB$147,"")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142</v>
      </c>
      <c r="C28" s="1" t="s">
        <v>136</v>
      </c>
      <c r="D28" s="1" t="s">
        <v>107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>
        <v>10</v>
      </c>
      <c r="Q28" s="28"/>
      <c r="R28" s="28"/>
      <c r="S28" s="28">
        <v>10</v>
      </c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 t="shared" ref="BP28:BP34" si="0">SUM(E28:BO28)</f>
        <v>40</v>
      </c>
      <c r="BQ28" s="1">
        <v>0</v>
      </c>
      <c r="BR28" s="17">
        <v>0</v>
      </c>
      <c r="BS28" s="17"/>
      <c r="BT28" s="1" t="str">
        <f>IF(AQ28&gt;AQ$147, AQ28-AQ$147,"")</f>
        <v/>
      </c>
      <c r="BU28" s="1" t="str">
        <f>IF(AR28&gt;AR$147, AR28-AR$147,"")</f>
        <v/>
      </c>
      <c r="BV28" s="1" t="str">
        <f>IF(AS28&gt;AS$147, AS28-AS$147,"")</f>
        <v/>
      </c>
      <c r="BW28" s="1" t="str">
        <f>IF(AT28&gt;AT$147, AT28-AT$147,"")</f>
        <v/>
      </c>
      <c r="BX28" s="1" t="str">
        <f>IF(AU28&gt;AU$147, AU28-AU$147,"")</f>
        <v/>
      </c>
      <c r="BY28" s="1" t="str">
        <f>IF(AV28&gt;AV$147, AV28-AV$147,"")</f>
        <v/>
      </c>
      <c r="BZ28" s="1" t="str">
        <f>IF(AW28&gt;AW$147, AW28-AW$147,"")</f>
        <v/>
      </c>
      <c r="CA28" s="1" t="str">
        <f>IF(AX28&gt;AX$147, AX28-AX$147,"")</f>
        <v/>
      </c>
      <c r="CB28" s="1" t="str">
        <f>IF(AY28&gt;AY$147, AY28-AY$147,"")</f>
        <v/>
      </c>
      <c r="CC28" s="1" t="str">
        <f>IF(AZ28&gt;AZ$147, AZ28-AZ$147,"")</f>
        <v/>
      </c>
      <c r="CD28" s="1" t="str">
        <f>IF(BA28&gt;BA$147, BA28-BA$147,"")</f>
        <v/>
      </c>
      <c r="CE28" s="1" t="str">
        <f>IF(BB28&gt;BB$147, BB28-BB$147,"")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/>
      <c r="B29" s="3" t="s">
        <v>226</v>
      </c>
      <c r="C29" s="3" t="s">
        <v>54</v>
      </c>
      <c r="D29" s="1" t="s"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>
        <v>2</v>
      </c>
      <c r="S29" s="28"/>
      <c r="T29" s="28"/>
      <c r="U29" s="28">
        <v>2</v>
      </c>
      <c r="V29" s="28"/>
      <c r="W29" s="28"/>
      <c r="X29" s="28">
        <v>2</v>
      </c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0"/>
        <v>11</v>
      </c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/>
      <c r="B30" s="3" t="s">
        <v>229</v>
      </c>
      <c r="C30" s="3" t="s">
        <v>54</v>
      </c>
      <c r="D30" s="1" t="s">
        <v>227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0"/>
        <v>40</v>
      </c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s="23" customFormat="1" x14ac:dyDescent="0.15">
      <c r="A31" s="1"/>
      <c r="B31" s="3" t="s">
        <v>230</v>
      </c>
      <c r="C31" s="3" t="s">
        <v>54</v>
      </c>
      <c r="D31" s="1" t="s">
        <v>227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0"/>
        <v>40</v>
      </c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s="67" customFormat="1" x14ac:dyDescent="0.15">
      <c r="A32" s="1"/>
      <c r="B32" s="3" t="s">
        <v>237</v>
      </c>
      <c r="C32" s="3" t="s">
        <v>235</v>
      </c>
      <c r="D32" s="1" t="s">
        <v>227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 t="shared" si="0"/>
        <v>40</v>
      </c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/>
      <c r="B33" s="3" t="s">
        <v>239</v>
      </c>
      <c r="C33" s="3" t="s">
        <v>105</v>
      </c>
      <c r="D33" s="1" t="s">
        <v>227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 t="shared" si="0"/>
        <v>40</v>
      </c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3"/>
    </row>
    <row r="34" spans="1:97" x14ac:dyDescent="0.15">
      <c r="A34" s="1"/>
      <c r="B34" s="3" t="s">
        <v>240</v>
      </c>
      <c r="C34" s="3" t="s">
        <v>105</v>
      </c>
      <c r="D34" s="1" t="s">
        <v>227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si="0"/>
        <v>40</v>
      </c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x14ac:dyDescent="0.15">
      <c r="A35" s="1"/>
      <c r="B35" s="1" t="s">
        <v>118</v>
      </c>
      <c r="C35" s="1" t="s">
        <v>106</v>
      </c>
      <c r="D35" s="1" t="s">
        <v>107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/>
      <c r="W35" s="28">
        <v>5</v>
      </c>
      <c r="X35" s="28"/>
      <c r="Y35" s="28"/>
      <c r="Z35" s="28"/>
      <c r="AA35" s="28"/>
      <c r="AB35" s="28">
        <v>10</v>
      </c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35</v>
      </c>
      <c r="BQ35" s="1">
        <v>1</v>
      </c>
      <c r="BR35" s="17">
        <v>1</v>
      </c>
      <c r="BS35" s="17" t="s">
        <v>243</v>
      </c>
      <c r="BT35" s="1" t="str">
        <f>IF(AQ35&gt;AQ$147, AQ35-AQ$147,"")</f>
        <v/>
      </c>
      <c r="BU35" s="1" t="str">
        <f>IF(AR35&gt;AR$147, AR35-AR$147,"")</f>
        <v/>
      </c>
      <c r="BV35" s="1" t="str">
        <f>IF(AS35&gt;AS$147, AS35-AS$147,"")</f>
        <v/>
      </c>
      <c r="BW35" s="1" t="str">
        <f>IF(AT35&gt;AT$147, AT35-AT$147,"")</f>
        <v/>
      </c>
      <c r="BX35" s="1" t="str">
        <f>IF(AU35&gt;AU$147, AU35-AU$147,"")</f>
        <v/>
      </c>
      <c r="BY35" s="1" t="str">
        <f>IF(AV35&gt;AV$147, AV35-AV$147,"")</f>
        <v/>
      </c>
      <c r="BZ35" s="1" t="str">
        <f>IF(AW35&gt;AW$147, AW35-AW$147,"")</f>
        <v/>
      </c>
      <c r="CA35" s="1" t="str">
        <f>IF(AX35&gt;AX$147, AX35-AX$147,"")</f>
        <v/>
      </c>
      <c r="CB35" s="1" t="str">
        <f>IF(AY35&gt;AY$147, AY35-AY$147,"")</f>
        <v/>
      </c>
      <c r="CC35" s="1" t="str">
        <f>IF(AZ35&gt;AZ$147, AZ35-AZ$147,"")</f>
        <v/>
      </c>
      <c r="CD35" s="1" t="str">
        <f>IF(BA35&gt;BA$147, BA35-BA$147,"")</f>
        <v/>
      </c>
      <c r="CE35" s="1" t="str">
        <f>IF(BB35&gt;BB$147, BB35-BB$147,"")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s="48" customFormat="1" x14ac:dyDescent="0.15">
      <c r="A36" s="1"/>
      <c r="B36" s="1" t="s">
        <v>123</v>
      </c>
      <c r="C36" s="1" t="s">
        <v>106</v>
      </c>
      <c r="D36" s="1" t="s">
        <v>107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/>
      <c r="W36" s="28">
        <v>5</v>
      </c>
      <c r="X36" s="28"/>
      <c r="Y36" s="28"/>
      <c r="Z36" s="28"/>
      <c r="AA36" s="28"/>
      <c r="AB36" s="28">
        <v>10</v>
      </c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35</v>
      </c>
      <c r="BQ36" s="1">
        <v>1</v>
      </c>
      <c r="BR36" s="17">
        <v>1</v>
      </c>
      <c r="BS36" s="17" t="s">
        <v>243</v>
      </c>
      <c r="BT36" s="1" t="str">
        <f>IF(AQ36&gt;AQ$147, AQ36-AQ$147,"")</f>
        <v/>
      </c>
      <c r="BU36" s="1" t="str">
        <f>IF(AR36&gt;AR$147, AR36-AR$147,"")</f>
        <v/>
      </c>
      <c r="BV36" s="1" t="str">
        <f>IF(AS36&gt;AS$147, AS36-AS$147,"")</f>
        <v/>
      </c>
      <c r="BW36" s="1" t="str">
        <f>IF(AT36&gt;AT$147, AT36-AT$147,"")</f>
        <v/>
      </c>
      <c r="BX36" s="1" t="str">
        <f>IF(AU36&gt;AU$147, AU36-AU$147,"")</f>
        <v/>
      </c>
      <c r="BY36" s="1" t="str">
        <f>IF(AV36&gt;AV$147, AV36-AV$147,"")</f>
        <v/>
      </c>
      <c r="BZ36" s="1" t="str">
        <f>IF(AW36&gt;AW$147, AW36-AW$147,"")</f>
        <v/>
      </c>
      <c r="CA36" s="1" t="str">
        <f>IF(AX36&gt;AX$147, AX36-AX$147,"")</f>
        <v/>
      </c>
      <c r="CB36" s="1" t="str">
        <f>IF(AY36&gt;AY$147, AY36-AY$147,"")</f>
        <v/>
      </c>
      <c r="CC36" s="1" t="str">
        <f>IF(AZ36&gt;AZ$147, AZ36-AZ$147,"")</f>
        <v/>
      </c>
      <c r="CD36" s="1" t="str">
        <f>IF(BA36&gt;BA$147, BA36-BA$147,"")</f>
        <v/>
      </c>
      <c r="CE36" s="1" t="str">
        <f>IF(BB36&gt;BB$147, BB36-BB$147,"")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/>
      <c r="B37" s="1" t="s">
        <v>127</v>
      </c>
      <c r="C37" s="1" t="s">
        <v>125</v>
      </c>
      <c r="D37" s="1" t="s">
        <v>107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35</v>
      </c>
      <c r="BQ37" s="1">
        <v>1</v>
      </c>
      <c r="BR37" s="17">
        <v>1</v>
      </c>
      <c r="BS37" s="17" t="s">
        <v>243</v>
      </c>
      <c r="BT37" s="1" t="str">
        <f>IF(AQ37&gt;AQ$147, AQ37-AQ$147,"")</f>
        <v/>
      </c>
      <c r="BU37" s="1" t="str">
        <f>IF(AR37&gt;AR$147, AR37-AR$147,"")</f>
        <v/>
      </c>
      <c r="BV37" s="1" t="str">
        <f>IF(AS37&gt;AS$147, AS37-AS$147,"")</f>
        <v/>
      </c>
      <c r="BW37" s="1" t="str">
        <f>IF(AT37&gt;AT$147, AT37-AT$147,"")</f>
        <v/>
      </c>
      <c r="BX37" s="1" t="str">
        <f>IF(AU37&gt;AU$147, AU37-AU$147,"")</f>
        <v/>
      </c>
      <c r="BY37" s="1" t="str">
        <f>IF(AV37&gt;AV$147, AV37-AV$147,"")</f>
        <v/>
      </c>
      <c r="BZ37" s="1" t="str">
        <f>IF(AW37&gt;AW$147, AW37-AW$147,"")</f>
        <v/>
      </c>
      <c r="CA37" s="1" t="str">
        <f>IF(AX37&gt;AX$147, AX37-AX$147,"")</f>
        <v/>
      </c>
      <c r="CB37" s="1" t="str">
        <f>IF(AY37&gt;AY$147, AY37-AY$147,"")</f>
        <v/>
      </c>
      <c r="CC37" s="1" t="str">
        <f>IF(AZ37&gt;AZ$147, AZ37-AZ$147,"")</f>
        <v/>
      </c>
      <c r="CD37" s="1" t="str">
        <f>IF(BA37&gt;BA$147, BA37-BA$147,"")</f>
        <v/>
      </c>
      <c r="CE37" s="1" t="str">
        <f>IF(BB37&gt;BB$147, BB37-BB$147,"")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s="48" customFormat="1" x14ac:dyDescent="0.15">
      <c r="A38" s="1"/>
      <c r="B38" s="1" t="s">
        <v>131</v>
      </c>
      <c r="C38" s="1" t="s">
        <v>129</v>
      </c>
      <c r="D38" s="1" t="s">
        <v>107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1</v>
      </c>
      <c r="BR38" s="17">
        <v>1</v>
      </c>
      <c r="BS38" s="17" t="s">
        <v>243</v>
      </c>
      <c r="BT38" s="1" t="str">
        <f>IF(AQ38&gt;AQ$147, AQ38-AQ$147,"")</f>
        <v/>
      </c>
      <c r="BU38" s="1" t="str">
        <f>IF(AR38&gt;AR$147, AR38-AR$147,"")</f>
        <v/>
      </c>
      <c r="BV38" s="1" t="str">
        <f>IF(AS38&gt;AS$147, AS38-AS$147,"")</f>
        <v/>
      </c>
      <c r="BW38" s="1" t="str">
        <f>IF(AT38&gt;AT$147, AT38-AT$147,"")</f>
        <v/>
      </c>
      <c r="BX38" s="1" t="str">
        <f>IF(AU38&gt;AU$147, AU38-AU$147,"")</f>
        <v/>
      </c>
      <c r="BY38" s="1" t="str">
        <f>IF(AV38&gt;AV$147, AV38-AV$147,"")</f>
        <v/>
      </c>
      <c r="BZ38" s="1" t="str">
        <f>IF(AW38&gt;AW$147, AW38-AW$147,"")</f>
        <v/>
      </c>
      <c r="CA38" s="1" t="str">
        <f>IF(AX38&gt;AX$147, AX38-AX$147,"")</f>
        <v/>
      </c>
      <c r="CB38" s="1" t="str">
        <f>IF(AY38&gt;AY$147, AY38-AY$147,"")</f>
        <v/>
      </c>
      <c r="CC38" s="1" t="str">
        <f>IF(AZ38&gt;AZ$147, AZ38-AZ$147,"")</f>
        <v/>
      </c>
      <c r="CD38" s="1" t="str">
        <f>IF(BA38&gt;BA$147, BA38-BA$147,"")</f>
        <v/>
      </c>
      <c r="CE38" s="1" t="str">
        <f>IF(BB38&gt;BB$147, BB38-BB$147,"")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/>
      <c r="B39" s="1" t="s">
        <v>137</v>
      </c>
      <c r="C39" s="1" t="s">
        <v>136</v>
      </c>
      <c r="D39" s="1" t="s">
        <v>107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243</v>
      </c>
      <c r="BT39" s="1" t="str">
        <f>IF(AQ39&gt;AQ$147, AQ39-AQ$147,"")</f>
        <v/>
      </c>
      <c r="BU39" s="1" t="str">
        <f>IF(AR39&gt;AR$147, AR39-AR$147,"")</f>
        <v/>
      </c>
      <c r="BV39" s="1" t="str">
        <f>IF(AS39&gt;AS$147, AS39-AS$147,"")</f>
        <v/>
      </c>
      <c r="BW39" s="1" t="str">
        <f>IF(AT39&gt;AT$147, AT39-AT$147,"")</f>
        <v/>
      </c>
      <c r="BX39" s="1" t="str">
        <f>IF(AU39&gt;AU$147, AU39-AU$147,"")</f>
        <v/>
      </c>
      <c r="BY39" s="1" t="str">
        <f>IF(AV39&gt;AV$147, AV39-AV$147,"")</f>
        <v/>
      </c>
      <c r="BZ39" s="1" t="str">
        <f>IF(AW39&gt;AW$147, AW39-AW$147,"")</f>
        <v/>
      </c>
      <c r="CA39" s="1" t="str">
        <f>IF(AX39&gt;AX$147, AX39-AX$147,"")</f>
        <v/>
      </c>
      <c r="CB39" s="1" t="str">
        <f>IF(AY39&gt;AY$147, AY39-AY$147,"")</f>
        <v/>
      </c>
      <c r="CC39" s="1" t="str">
        <f>IF(AZ39&gt;AZ$147, AZ39-AZ$147,"")</f>
        <v/>
      </c>
      <c r="CD39" s="1" t="str">
        <f>IF(BA39&gt;BA$147, BA39-BA$147,"")</f>
        <v/>
      </c>
      <c r="CE39" s="1" t="str">
        <f>IF(BB39&gt;BB$147, BB39-BB$147,"")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3"/>
    </row>
    <row r="40" spans="1:97" x14ac:dyDescent="0.15">
      <c r="A40" s="1"/>
      <c r="B40" s="1" t="s">
        <v>143</v>
      </c>
      <c r="C40" s="1" t="s">
        <v>104</v>
      </c>
      <c r="D40" s="1" t="s">
        <v>144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243</v>
      </c>
      <c r="BT40" s="1" t="str">
        <f>IF(AQ40&gt;AQ$147, AQ40-AQ$147,"")</f>
        <v/>
      </c>
      <c r="BU40" s="1" t="str">
        <f>IF(AR40&gt;AR$147, AR40-AR$147,"")</f>
        <v/>
      </c>
      <c r="BV40" s="1" t="str">
        <f>IF(AS40&gt;AS$147, AS40-AS$147,"")</f>
        <v/>
      </c>
      <c r="BW40" s="1" t="str">
        <f>IF(AT40&gt;AT$147, AT40-AT$147,"")</f>
        <v/>
      </c>
      <c r="BX40" s="1" t="str">
        <f>IF(AU40&gt;AU$147, AU40-AU$147,"")</f>
        <v/>
      </c>
      <c r="BY40" s="1" t="str">
        <f>IF(AV40&gt;AV$147, AV40-AV$147,"")</f>
        <v/>
      </c>
      <c r="BZ40" s="1" t="str">
        <f>IF(AW40&gt;AW$147, AW40-AW$147,"")</f>
        <v/>
      </c>
      <c r="CA40" s="1" t="str">
        <f>IF(AX40&gt;AX$147, AX40-AX$147,"")</f>
        <v/>
      </c>
      <c r="CB40" s="1" t="str">
        <f>IF(AY40&gt;AY$147, AY40-AY$147,"")</f>
        <v/>
      </c>
      <c r="CC40" s="1" t="str">
        <f>IF(AZ40&gt;AZ$147, AZ40-AZ$147,"")</f>
        <v/>
      </c>
      <c r="CD40" s="1" t="str">
        <f>IF(BA40&gt;BA$147, BA40-BA$147,"")</f>
        <v/>
      </c>
      <c r="CE40" s="1" t="str">
        <f>IF(BB40&gt;BB$147, BB40-BB$147,"")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/>
      <c r="B41" s="1" t="s">
        <v>160</v>
      </c>
      <c r="C41" s="1" t="s">
        <v>129</v>
      </c>
      <c r="D41" s="1" t="s">
        <v>108</v>
      </c>
      <c r="E41" s="6"/>
      <c r="F41" s="6"/>
      <c r="G41" s="6"/>
      <c r="H41" s="6"/>
      <c r="I41" s="6"/>
      <c r="J41" s="6">
        <v>10</v>
      </c>
      <c r="K41" s="6"/>
      <c r="L41" s="6">
        <v>10</v>
      </c>
      <c r="M41" s="6">
        <v>10</v>
      </c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>
        <v>15</v>
      </c>
      <c r="AZ41" s="2">
        <v>15</v>
      </c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</v>
      </c>
      <c r="BR41" s="17">
        <v>1</v>
      </c>
      <c r="BS41" s="17" t="s">
        <v>244</v>
      </c>
      <c r="BT41" s="1" t="str">
        <f>IF(AQ41&gt;AQ$147, AQ41-AQ$147,"")</f>
        <v/>
      </c>
      <c r="BU41" s="1" t="str">
        <f>IF(AR41&gt;AR$147, AR41-AR$147,"")</f>
        <v/>
      </c>
      <c r="BV41" s="1" t="str">
        <f>IF(AS41&gt;AS$147, AS41-AS$147,"")</f>
        <v/>
      </c>
      <c r="BW41" s="1" t="str">
        <f>IF(AT41&gt;AT$147, AT41-AT$147,"")</f>
        <v/>
      </c>
      <c r="BX41" s="1" t="str">
        <f>IF(AU41&gt;AU$147, AU41-AU$147,"")</f>
        <v/>
      </c>
      <c r="BY41" s="1" t="str">
        <f>IF(AV41&gt;AV$147, AV41-AV$147,"")</f>
        <v/>
      </c>
      <c r="BZ41" s="1" t="str">
        <f>IF(AW41&gt;AW$147, AW41-AW$147,"")</f>
        <v/>
      </c>
      <c r="CA41" s="1" t="str">
        <f>IF(AX41&gt;AX$147, AX41-AX$147,"")</f>
        <v/>
      </c>
      <c r="CB41" s="1" t="str">
        <f>IF(AY41&gt;AY$147, AY41-AY$147,"")</f>
        <v/>
      </c>
      <c r="CC41" s="1" t="str">
        <f>IF(AZ41&gt;AZ$147, AZ41-AZ$147,"")</f>
        <v/>
      </c>
      <c r="CD41" s="1" t="str">
        <f>IF(BA41&gt;BA$147, BA41-BA$147,"")</f>
        <v/>
      </c>
      <c r="CE41" s="1" t="str">
        <f>IF(BB41&gt;BB$147, BB41-BB$147,"")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50"/>
      <c r="B42" s="50" t="s">
        <v>224</v>
      </c>
      <c r="C42" s="50" t="s">
        <v>136</v>
      </c>
      <c r="D42" s="50" t="s">
        <v>108</v>
      </c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2"/>
      <c r="Q42" s="52"/>
      <c r="R42" s="52"/>
      <c r="S42" s="52"/>
      <c r="T42" s="52"/>
      <c r="U42" s="52">
        <v>2</v>
      </c>
      <c r="V42" s="52"/>
      <c r="W42" s="52"/>
      <c r="X42" s="52"/>
      <c r="Y42" s="52"/>
      <c r="Z42" s="52"/>
      <c r="AA42" s="52">
        <v>2</v>
      </c>
      <c r="AB42" s="52"/>
      <c r="AC42" s="52">
        <v>5</v>
      </c>
      <c r="AD42" s="52">
        <v>2</v>
      </c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3"/>
      <c r="AR42" s="53"/>
      <c r="AS42" s="53"/>
      <c r="AT42" s="53"/>
      <c r="AU42" s="53"/>
      <c r="AV42" s="53"/>
      <c r="AW42" s="54"/>
      <c r="AX42" s="54"/>
      <c r="AY42" s="54"/>
      <c r="AZ42" s="54"/>
      <c r="BA42" s="54"/>
      <c r="BB42" s="54"/>
      <c r="BC42" s="55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>
        <f>SUM(E42:BO42)</f>
        <v>11</v>
      </c>
      <c r="BQ42" s="50">
        <v>1</v>
      </c>
      <c r="BR42" s="56">
        <v>1</v>
      </c>
      <c r="BS42" s="56" t="s">
        <v>246</v>
      </c>
      <c r="BT42" s="50" t="str">
        <f>IF(AQ42&gt;AQ$147, AQ42-AQ$147,"")</f>
        <v/>
      </c>
      <c r="BU42" s="50" t="str">
        <f>IF(AR42&gt;AR$147, AR42-AR$147,"")</f>
        <v/>
      </c>
      <c r="BV42" s="50" t="str">
        <f>IF(AS42&gt;AS$147, AS42-AS$147,"")</f>
        <v/>
      </c>
      <c r="BW42" s="50" t="str">
        <f>IF(AT42&gt;AT$147, AT42-AT$147,"")</f>
        <v/>
      </c>
      <c r="BX42" s="50" t="str">
        <f>IF(AU42&gt;AU$147, AU42-AU$147,"")</f>
        <v/>
      </c>
      <c r="BY42" s="50" t="str">
        <f>IF(AV42&gt;AV$147, AV42-AV$147,"")</f>
        <v/>
      </c>
      <c r="BZ42" s="50" t="str">
        <f>IF(AW42&gt;AW$147, AW42-AW$147,"")</f>
        <v/>
      </c>
      <c r="CA42" s="50" t="str">
        <f>IF(AX42&gt;AX$147, AX42-AX$147,"")</f>
        <v/>
      </c>
      <c r="CB42" s="50" t="str">
        <f>IF(AY42&gt;AY$147, AY42-AY$147,"")</f>
        <v/>
      </c>
      <c r="CC42" s="50" t="str">
        <f>IF(AZ42&gt;AZ$147, AZ42-AZ$147,"")</f>
        <v/>
      </c>
      <c r="CD42" s="50" t="str">
        <f>IF(BA42&gt;BA$147, BA42-BA$147,"")</f>
        <v/>
      </c>
      <c r="CE42" s="50" t="str">
        <f>IF(BB42&gt;BB$147, BB42-BB$147,"")</f>
        <v/>
      </c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7"/>
    </row>
    <row r="43" spans="1:97" x14ac:dyDescent="0.15">
      <c r="A43" s="1"/>
      <c r="B43" s="1" t="s">
        <v>141</v>
      </c>
      <c r="C43" s="1" t="s">
        <v>136</v>
      </c>
      <c r="D43" s="1" t="s">
        <v>109</v>
      </c>
      <c r="E43" s="6"/>
      <c r="F43" s="6"/>
      <c r="G43" s="6">
        <v>5</v>
      </c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>
        <v>5</v>
      </c>
      <c r="W43" s="28"/>
      <c r="X43" s="28"/>
      <c r="Y43" s="28">
        <v>5</v>
      </c>
      <c r="Z43" s="28"/>
      <c r="AA43" s="28"/>
      <c r="AB43" s="28"/>
      <c r="AC43" s="28">
        <v>5</v>
      </c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20</v>
      </c>
      <c r="BQ43" s="1">
        <v>1</v>
      </c>
      <c r="BR43" s="17">
        <v>1</v>
      </c>
      <c r="BS43" s="17" t="s">
        <v>247</v>
      </c>
      <c r="BT43" s="1" t="str">
        <f>IF(AQ43&gt;AQ$147, AQ43-AQ$147,"")</f>
        <v/>
      </c>
      <c r="BU43" s="1" t="str">
        <f>IF(AR43&gt;AR$147, AR43-AR$147,"")</f>
        <v/>
      </c>
      <c r="BV43" s="1" t="str">
        <f>IF(AS43&gt;AS$147, AS43-AS$147,"")</f>
        <v/>
      </c>
      <c r="BW43" s="1" t="str">
        <f>IF(AT43&gt;AT$147, AT43-AT$147,"")</f>
        <v/>
      </c>
      <c r="BX43" s="1" t="str">
        <f>IF(AU43&gt;AU$147, AU43-AU$147,"")</f>
        <v/>
      </c>
      <c r="BY43" s="1" t="str">
        <f>IF(AV43&gt;AV$147, AV43-AV$147,"")</f>
        <v/>
      </c>
      <c r="BZ43" s="1" t="str">
        <f>IF(AW43&gt;AW$147, AW43-AW$147,"")</f>
        <v/>
      </c>
      <c r="CA43" s="1" t="str">
        <f>IF(AX43&gt;AX$147, AX43-AX$147,"")</f>
        <v/>
      </c>
      <c r="CB43" s="1" t="str">
        <f>IF(AY43&gt;AY$147, AY43-AY$147,"")</f>
        <v/>
      </c>
      <c r="CC43" s="1" t="str">
        <f>IF(AZ43&gt;AZ$147, AZ43-AZ$147,"")</f>
        <v/>
      </c>
      <c r="CD43" s="1" t="str">
        <f>IF(BA43&gt;BA$147, BA43-BA$147,"")</f>
        <v/>
      </c>
      <c r="CE43" s="1" t="str">
        <f>IF(BB43&gt;BB$147, BB43-BB$147,"")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x14ac:dyDescent="0.15">
      <c r="A44" s="1"/>
      <c r="B44" s="1" t="s">
        <v>132</v>
      </c>
      <c r="C44" s="1" t="s">
        <v>134</v>
      </c>
      <c r="D44" s="1" t="s">
        <v>108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>
        <v>10</v>
      </c>
      <c r="W44" s="28"/>
      <c r="X44" s="28"/>
      <c r="Y44" s="28">
        <v>10</v>
      </c>
      <c r="Z44" s="28"/>
      <c r="AA44" s="28"/>
      <c r="AB44" s="28">
        <v>10</v>
      </c>
      <c r="AC44" s="28">
        <v>5</v>
      </c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247</v>
      </c>
      <c r="BT44" s="1" t="str">
        <f>IF(AQ44&gt;AQ$147, AQ44-AQ$147,"")</f>
        <v/>
      </c>
      <c r="BU44" s="1" t="str">
        <f>IF(AR44&gt;AR$147, AR44-AR$147,"")</f>
        <v/>
      </c>
      <c r="BV44" s="1" t="str">
        <f>IF(AS44&gt;AS$147, AS44-AS$147,"")</f>
        <v/>
      </c>
      <c r="BW44" s="1" t="str">
        <f>IF(AT44&gt;AT$147, AT44-AT$147,"")</f>
        <v/>
      </c>
      <c r="BX44" s="1" t="str">
        <f>IF(AU44&gt;AU$147, AU44-AU$147,"")</f>
        <v/>
      </c>
      <c r="BY44" s="1" t="str">
        <f>IF(AV44&gt;AV$147, AV44-AV$147,"")</f>
        <v/>
      </c>
      <c r="BZ44" s="1" t="str">
        <f>IF(AW44&gt;AW$147, AW44-AW$147,"")</f>
        <v/>
      </c>
      <c r="CA44" s="1" t="str">
        <f>IF(AX44&gt;AX$147, AX44-AX$147,"")</f>
        <v/>
      </c>
      <c r="CB44" s="1" t="str">
        <f>IF(AY44&gt;AY$147, AY44-AY$147,"")</f>
        <v/>
      </c>
      <c r="CC44" s="1" t="str">
        <f>IF(AZ44&gt;AZ$147, AZ44-AZ$147,"")</f>
        <v/>
      </c>
      <c r="CD44" s="1" t="str">
        <f>IF(BA44&gt;BA$147, BA44-BA$147,"")</f>
        <v/>
      </c>
      <c r="CE44" s="1" t="str">
        <f>IF(BB44&gt;BB$147, BB44-BB$147,"")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x14ac:dyDescent="0.15">
      <c r="A45" s="1"/>
      <c r="B45" s="1" t="s">
        <v>141</v>
      </c>
      <c r="C45" s="1" t="s">
        <v>136</v>
      </c>
      <c r="D45" s="1" t="s">
        <v>108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>
        <v>10</v>
      </c>
      <c r="W45" s="28"/>
      <c r="X45" s="28"/>
      <c r="Y45" s="28">
        <v>10</v>
      </c>
      <c r="Z45" s="28"/>
      <c r="AA45" s="28"/>
      <c r="AB45" s="28">
        <v>10</v>
      </c>
      <c r="AC45" s="28">
        <v>5</v>
      </c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246</v>
      </c>
      <c r="BT45" s="1" t="str">
        <f>IF(AQ45&gt;AQ$147, AQ45-AQ$147,"")</f>
        <v/>
      </c>
      <c r="BU45" s="1" t="str">
        <f>IF(AR45&gt;AR$147, AR45-AR$147,"")</f>
        <v/>
      </c>
      <c r="BV45" s="1" t="str">
        <f>IF(AS45&gt;AS$147, AS45-AS$147,"")</f>
        <v/>
      </c>
      <c r="BW45" s="1" t="str">
        <f>IF(AT45&gt;AT$147, AT45-AT$147,"")</f>
        <v/>
      </c>
      <c r="BX45" s="1" t="str">
        <f>IF(AU45&gt;AU$147, AU45-AU$147,"")</f>
        <v/>
      </c>
      <c r="BY45" s="1" t="str">
        <f>IF(AV45&gt;AV$147, AV45-AV$147,"")</f>
        <v/>
      </c>
      <c r="BZ45" s="1" t="str">
        <f>IF(AW45&gt;AW$147, AW45-AW$147,"")</f>
        <v/>
      </c>
      <c r="CA45" s="1" t="str">
        <f>IF(AX45&gt;AX$147, AX45-AX$147,"")</f>
        <v/>
      </c>
      <c r="CB45" s="1" t="str">
        <f>IF(AY45&gt;AY$147, AY45-AY$147,"")</f>
        <v/>
      </c>
      <c r="CC45" s="1" t="str">
        <f>IF(AZ45&gt;AZ$147, AZ45-AZ$147,"")</f>
        <v/>
      </c>
      <c r="CD45" s="1" t="str">
        <f>IF(BA45&gt;BA$147, BA45-BA$147,"")</f>
        <v/>
      </c>
      <c r="CE45" s="1" t="str">
        <f>IF(BB45&gt;BB$147, BB45-BB$147,"")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s="58" customFormat="1" x14ac:dyDescent="0.15">
      <c r="A46" s="1"/>
      <c r="B46" s="1" t="s">
        <v>142</v>
      </c>
      <c r="C46" s="1" t="s">
        <v>136</v>
      </c>
      <c r="D46" s="1" t="s">
        <v>108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>
        <v>10</v>
      </c>
      <c r="W46" s="28"/>
      <c r="X46" s="28"/>
      <c r="Y46" s="28">
        <v>10</v>
      </c>
      <c r="Z46" s="28"/>
      <c r="AA46" s="28"/>
      <c r="AB46" s="28">
        <v>10</v>
      </c>
      <c r="AC46" s="28">
        <v>5</v>
      </c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246</v>
      </c>
      <c r="BT46" s="1" t="str">
        <f>IF(AQ46&gt;AQ$147, AQ46-AQ$147,"")</f>
        <v/>
      </c>
      <c r="BU46" s="1" t="str">
        <f>IF(AR46&gt;AR$147, AR46-AR$147,"")</f>
        <v/>
      </c>
      <c r="BV46" s="1" t="str">
        <f>IF(AS46&gt;AS$147, AS46-AS$147,"")</f>
        <v/>
      </c>
      <c r="BW46" s="1" t="str">
        <f>IF(AT46&gt;AT$147, AT46-AT$147,"")</f>
        <v/>
      </c>
      <c r="BX46" s="1" t="str">
        <f>IF(AU46&gt;AU$147, AU46-AU$147,"")</f>
        <v/>
      </c>
      <c r="BY46" s="1" t="str">
        <f>IF(AV46&gt;AV$147, AV46-AV$147,"")</f>
        <v/>
      </c>
      <c r="BZ46" s="1" t="str">
        <f>IF(AW46&gt;AW$147, AW46-AW$147,"")</f>
        <v/>
      </c>
      <c r="CA46" s="1" t="str">
        <f>IF(AX46&gt;AX$147, AX46-AX$147,"")</f>
        <v/>
      </c>
      <c r="CB46" s="1" t="str">
        <f>IF(AY46&gt;AY$147, AY46-AY$147,"")</f>
        <v/>
      </c>
      <c r="CC46" s="1" t="str">
        <f>IF(AZ46&gt;AZ$147, AZ46-AZ$147,"")</f>
        <v/>
      </c>
      <c r="CD46" s="1" t="str">
        <f>IF(BA46&gt;BA$147, BA46-BA$147,"")</f>
        <v/>
      </c>
      <c r="CE46" s="1" t="str">
        <f>IF(BB46&gt;BB$147, BB46-BB$147,"")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x14ac:dyDescent="0.15">
      <c r="A47" s="1"/>
      <c r="B47" s="3" t="s">
        <v>230</v>
      </c>
      <c r="C47" s="3" t="s">
        <v>54</v>
      </c>
      <c r="D47" s="1" t="s">
        <v>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>
        <v>10</v>
      </c>
      <c r="W47" s="28"/>
      <c r="X47" s="28"/>
      <c r="Y47" s="28">
        <v>10</v>
      </c>
      <c r="Z47" s="28"/>
      <c r="AA47" s="28"/>
      <c r="AB47" s="28">
        <v>10</v>
      </c>
      <c r="AC47" s="28">
        <v>5</v>
      </c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ref="BP47:BP55" si="1">SUM(E47:BO47)</f>
        <v>35</v>
      </c>
      <c r="BQ47" s="1">
        <v>1</v>
      </c>
      <c r="BR47" s="17">
        <v>1</v>
      </c>
      <c r="BS47" s="17" t="s">
        <v>245</v>
      </c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x14ac:dyDescent="0.15">
      <c r="A48" s="1"/>
      <c r="B48" s="3" t="s">
        <v>231</v>
      </c>
      <c r="C48" s="3" t="s">
        <v>26</v>
      </c>
      <c r="D48" s="1" t="s">
        <v>227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1"/>
        <v>35</v>
      </c>
      <c r="BQ48" s="1">
        <v>1</v>
      </c>
      <c r="BR48" s="17">
        <v>1</v>
      </c>
      <c r="BS48" s="17" t="s">
        <v>243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x14ac:dyDescent="0.15">
      <c r="A49" s="1"/>
      <c r="B49" s="3" t="s">
        <v>232</v>
      </c>
      <c r="C49" s="3" t="s">
        <v>233</v>
      </c>
      <c r="D49" s="1" t="s"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>
        <v>2</v>
      </c>
      <c r="Y49" s="28"/>
      <c r="Z49" s="28"/>
      <c r="AA49" s="28">
        <v>2</v>
      </c>
      <c r="AB49" s="28"/>
      <c r="AC49" s="28">
        <v>5</v>
      </c>
      <c r="AD49" s="28">
        <v>2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1"/>
        <v>11</v>
      </c>
      <c r="BQ49" s="1">
        <v>1</v>
      </c>
      <c r="BR49" s="17">
        <v>1</v>
      </c>
      <c r="BS49" s="17" t="s">
        <v>245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x14ac:dyDescent="0.15">
      <c r="A50" s="1"/>
      <c r="B50" s="3" t="s">
        <v>234</v>
      </c>
      <c r="C50" s="3" t="s">
        <v>235</v>
      </c>
      <c r="D50" s="1" t="s">
        <v>227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1"/>
        <v>35</v>
      </c>
      <c r="BQ50" s="1">
        <v>1</v>
      </c>
      <c r="BR50" s="17">
        <v>1</v>
      </c>
      <c r="BS50" s="17" t="s">
        <v>243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s="48" customFormat="1" x14ac:dyDescent="0.15">
      <c r="A51" s="1"/>
      <c r="B51" s="3" t="s">
        <v>236</v>
      </c>
      <c r="C51" s="3" t="s">
        <v>235</v>
      </c>
      <c r="D51" s="1" t="s">
        <v>227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1"/>
        <v>35</v>
      </c>
      <c r="BQ51" s="1">
        <v>1</v>
      </c>
      <c r="BR51" s="17">
        <v>1</v>
      </c>
      <c r="BS51" s="17" t="s">
        <v>243</v>
      </c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x14ac:dyDescent="0.15">
      <c r="A52" s="1"/>
      <c r="B52" s="3" t="s">
        <v>237</v>
      </c>
      <c r="C52" s="3" t="s">
        <v>235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>
        <v>10</v>
      </c>
      <c r="W52" s="28"/>
      <c r="X52" s="28"/>
      <c r="Y52" s="28"/>
      <c r="Z52" s="28">
        <v>5</v>
      </c>
      <c r="AA52" s="28"/>
      <c r="AB52" s="28">
        <v>10</v>
      </c>
      <c r="AC52" s="28">
        <v>5</v>
      </c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1"/>
        <v>30</v>
      </c>
      <c r="BQ52" s="1">
        <v>1</v>
      </c>
      <c r="BR52" s="17">
        <v>1</v>
      </c>
      <c r="BS52" s="17" t="s">
        <v>245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x14ac:dyDescent="0.15">
      <c r="A53" s="1"/>
      <c r="B53" s="3" t="s">
        <v>238</v>
      </c>
      <c r="C53" s="3" t="s">
        <v>105</v>
      </c>
      <c r="D53" s="1" t="s">
        <v>227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si="1"/>
        <v>35</v>
      </c>
      <c r="BQ53" s="1">
        <v>1</v>
      </c>
      <c r="BR53" s="17">
        <v>1</v>
      </c>
      <c r="BS53" s="17" t="s">
        <v>243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x14ac:dyDescent="0.15">
      <c r="A54" s="1"/>
      <c r="B54" s="3" t="s">
        <v>239</v>
      </c>
      <c r="C54" s="3" t="s">
        <v>105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>
        <v>10</v>
      </c>
      <c r="W54" s="28"/>
      <c r="X54" s="28"/>
      <c r="Y54" s="28">
        <v>10</v>
      </c>
      <c r="Z54" s="28"/>
      <c r="AA54" s="28"/>
      <c r="AB54" s="28">
        <v>10</v>
      </c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si="1"/>
        <v>35</v>
      </c>
      <c r="BQ54" s="1">
        <v>1</v>
      </c>
      <c r="BR54" s="17">
        <v>1</v>
      </c>
      <c r="BS54" s="17" t="s">
        <v>245</v>
      </c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x14ac:dyDescent="0.15">
      <c r="A55" s="1"/>
      <c r="B55" s="3" t="s">
        <v>241</v>
      </c>
      <c r="C55" s="3" t="s">
        <v>105</v>
      </c>
      <c r="D55" s="1" t="s">
        <v>227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>
        <v>10</v>
      </c>
      <c r="Q55" s="28"/>
      <c r="R55" s="28"/>
      <c r="S55" s="28">
        <v>10</v>
      </c>
      <c r="T55" s="28"/>
      <c r="U55" s="28"/>
      <c r="V55" s="28"/>
      <c r="W55" s="28">
        <v>5</v>
      </c>
      <c r="X55" s="28"/>
      <c r="Y55" s="28"/>
      <c r="Z55" s="28"/>
      <c r="AA55" s="28"/>
      <c r="AB55" s="28">
        <v>10</v>
      </c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 t="shared" si="1"/>
        <v>35</v>
      </c>
      <c r="BQ55" s="1">
        <v>1</v>
      </c>
      <c r="BR55" s="17">
        <v>1</v>
      </c>
      <c r="BS55" s="17" t="s">
        <v>243</v>
      </c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s="48" customFormat="1" x14ac:dyDescent="0.15">
      <c r="A56" s="1"/>
      <c r="B56" s="1" t="s">
        <v>118</v>
      </c>
      <c r="C56" s="1" t="s">
        <v>106</v>
      </c>
      <c r="D56" s="1" t="s">
        <v>108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2</v>
      </c>
      <c r="BR56" s="17">
        <v>1</v>
      </c>
      <c r="BS56" s="17" t="s">
        <v>242</v>
      </c>
      <c r="BT56" s="1" t="str">
        <f>IF(AQ56&gt;AQ$147, AQ56-AQ$147,"")</f>
        <v/>
      </c>
      <c r="BU56" s="1" t="str">
        <f>IF(AR56&gt;AR$147, AR56-AR$147,"")</f>
        <v/>
      </c>
      <c r="BV56" s="1" t="str">
        <f>IF(AS56&gt;AS$147, AS56-AS$147,"")</f>
        <v/>
      </c>
      <c r="BW56" s="1" t="str">
        <f>IF(AT56&gt;AT$147, AT56-AT$147,"")</f>
        <v/>
      </c>
      <c r="BX56" s="1" t="str">
        <f>IF(AU56&gt;AU$147, AU56-AU$147,"")</f>
        <v/>
      </c>
      <c r="BY56" s="1" t="str">
        <f>IF(AV56&gt;AV$147, AV56-AV$147,"")</f>
        <v/>
      </c>
      <c r="BZ56" s="1" t="str">
        <f>IF(AW56&gt;AW$147, AW56-AW$147,"")</f>
        <v/>
      </c>
      <c r="CA56" s="1" t="str">
        <f>IF(AX56&gt;AX$147, AX56-AX$147,"")</f>
        <v/>
      </c>
      <c r="CB56" s="1" t="str">
        <f>IF(AY56&gt;AY$147, AY56-AY$147,"")</f>
        <v/>
      </c>
      <c r="CC56" s="1" t="str">
        <f>IF(AZ56&gt;AZ$147, AZ56-AZ$147,"")</f>
        <v/>
      </c>
      <c r="CD56" s="1" t="str">
        <f>IF(BA56&gt;BA$147, BA56-BA$147,"")</f>
        <v/>
      </c>
      <c r="CE56" s="1" t="str">
        <f>IF(BB56&gt;BB$147, BB56-BB$147,"")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x14ac:dyDescent="0.15">
      <c r="A57" s="1"/>
      <c r="B57" s="1" t="s">
        <v>123</v>
      </c>
      <c r="C57" s="1" t="s">
        <v>106</v>
      </c>
      <c r="D57" s="1" t="s">
        <v>108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2</v>
      </c>
      <c r="BR57" s="17">
        <v>1</v>
      </c>
      <c r="BS57" s="17" t="s">
        <v>242</v>
      </c>
      <c r="BT57" s="1" t="str">
        <f>IF(AQ57&gt;AQ$147, AQ57-AQ$147,"")</f>
        <v/>
      </c>
      <c r="BU57" s="1" t="str">
        <f>IF(AR57&gt;AR$147, AR57-AR$147,"")</f>
        <v/>
      </c>
      <c r="BV57" s="1" t="str">
        <f>IF(AS57&gt;AS$147, AS57-AS$147,"")</f>
        <v/>
      </c>
      <c r="BW57" s="1" t="str">
        <f>IF(AT57&gt;AT$147, AT57-AT$147,"")</f>
        <v/>
      </c>
      <c r="BX57" s="1" t="str">
        <f>IF(AU57&gt;AU$147, AU57-AU$147,"")</f>
        <v/>
      </c>
      <c r="BY57" s="1" t="str">
        <f>IF(AV57&gt;AV$147, AV57-AV$147,"")</f>
        <v/>
      </c>
      <c r="BZ57" s="1" t="str">
        <f>IF(AW57&gt;AW$147, AW57-AW$147,"")</f>
        <v/>
      </c>
      <c r="CA57" s="1" t="str">
        <f>IF(AX57&gt;AX$147, AX57-AX$147,"")</f>
        <v/>
      </c>
      <c r="CB57" s="1" t="str">
        <f>IF(AY57&gt;AY$147, AY57-AY$147,"")</f>
        <v/>
      </c>
      <c r="CC57" s="1" t="str">
        <f>IF(AZ57&gt;AZ$147, AZ57-AZ$147,"")</f>
        <v/>
      </c>
      <c r="CD57" s="1" t="str">
        <f>IF(BA57&gt;BA$147, BA57-BA$147,"")</f>
        <v/>
      </c>
      <c r="CE57" s="1" t="str">
        <f>IF(BB57&gt;BB$147, BB57-BB$147,"")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x14ac:dyDescent="0.15">
      <c r="A58" s="1"/>
      <c r="B58" s="1" t="s">
        <v>131</v>
      </c>
      <c r="C58" s="1" t="s">
        <v>129</v>
      </c>
      <c r="D58" s="1" t="s">
        <v>108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2</v>
      </c>
      <c r="BR58" s="17">
        <v>1</v>
      </c>
      <c r="BS58" s="17" t="s">
        <v>242</v>
      </c>
      <c r="BT58" s="1" t="str">
        <f>IF(AQ58&gt;AQ$147, AQ58-AQ$147,"")</f>
        <v/>
      </c>
      <c r="BU58" s="1" t="str">
        <f>IF(AR58&gt;AR$147, AR58-AR$147,"")</f>
        <v/>
      </c>
      <c r="BV58" s="1" t="str">
        <f>IF(AS58&gt;AS$147, AS58-AS$147,"")</f>
        <v/>
      </c>
      <c r="BW58" s="1" t="str">
        <f>IF(AT58&gt;AT$147, AT58-AT$147,"")</f>
        <v/>
      </c>
      <c r="BX58" s="1" t="str">
        <f>IF(AU58&gt;AU$147, AU58-AU$147,"")</f>
        <v/>
      </c>
      <c r="BY58" s="1" t="str">
        <f>IF(AV58&gt;AV$147, AV58-AV$147,"")</f>
        <v/>
      </c>
      <c r="BZ58" s="1" t="str">
        <f>IF(AW58&gt;AW$147, AW58-AW$147,"")</f>
        <v/>
      </c>
      <c r="CA58" s="1" t="str">
        <f>IF(AX58&gt;AX$147, AX58-AX$147,"")</f>
        <v/>
      </c>
      <c r="CB58" s="1" t="str">
        <f>IF(AY58&gt;AY$147, AY58-AY$147,"")</f>
        <v/>
      </c>
      <c r="CC58" s="1" t="str">
        <f>IF(AZ58&gt;AZ$147, AZ58-AZ$147,"")</f>
        <v/>
      </c>
      <c r="CD58" s="1" t="str">
        <f>IF(BA58&gt;BA$147, BA58-BA$147,"")</f>
        <v/>
      </c>
      <c r="CE58" s="1" t="str">
        <f>IF(BB58&gt;BB$147, BB58-BB$147,"")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x14ac:dyDescent="0.15">
      <c r="A59" s="1"/>
      <c r="B59" s="1" t="s">
        <v>133</v>
      </c>
      <c r="C59" s="1" t="s">
        <v>134</v>
      </c>
      <c r="D59" s="1" t="s">
        <v>108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>
        <v>2</v>
      </c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2</v>
      </c>
      <c r="BR59" s="17">
        <v>1</v>
      </c>
      <c r="BS59" s="17" t="s">
        <v>242</v>
      </c>
      <c r="BT59" s="1" t="str">
        <f>IF(AQ59&gt;AQ$147, AQ59-AQ$147,"")</f>
        <v/>
      </c>
      <c r="BU59" s="1" t="str">
        <f>IF(AR59&gt;AR$147, AR59-AR$147,"")</f>
        <v/>
      </c>
      <c r="BV59" s="1" t="str">
        <f>IF(AS59&gt;AS$147, AS59-AS$147,"")</f>
        <v/>
      </c>
      <c r="BW59" s="1" t="str">
        <f>IF(AT59&gt;AT$147, AT59-AT$147,"")</f>
        <v/>
      </c>
      <c r="BX59" s="1" t="str">
        <f>IF(AU59&gt;AU$147, AU59-AU$147,"")</f>
        <v/>
      </c>
      <c r="BY59" s="1" t="str">
        <f>IF(AV59&gt;AV$147, AV59-AV$147,"")</f>
        <v/>
      </c>
      <c r="BZ59" s="1" t="str">
        <f>IF(AW59&gt;AW$147, AW59-AW$147,"")</f>
        <v/>
      </c>
      <c r="CA59" s="1" t="str">
        <f>IF(AX59&gt;AX$147, AX59-AX$147,"")</f>
        <v/>
      </c>
      <c r="CB59" s="1" t="str">
        <f>IF(AY59&gt;AY$147, AY59-AY$147,"")</f>
        <v/>
      </c>
      <c r="CC59" s="1" t="str">
        <f>IF(AZ59&gt;AZ$147, AZ59-AZ$147,"")</f>
        <v/>
      </c>
      <c r="CD59" s="1" t="str">
        <f>IF(BA59&gt;BA$147, BA59-BA$147,"")</f>
        <v/>
      </c>
      <c r="CE59" s="1" t="str">
        <f>IF(BB59&gt;BB$147, BB59-BB$147,"")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x14ac:dyDescent="0.15">
      <c r="A60" s="1"/>
      <c r="B60" s="1" t="s">
        <v>127</v>
      </c>
      <c r="C60" s="1" t="s">
        <v>125</v>
      </c>
      <c r="D60" s="1" t="s">
        <v>108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>
        <v>2</v>
      </c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2</v>
      </c>
      <c r="BR60" s="17">
        <v>1</v>
      </c>
      <c r="BS60" s="17" t="s">
        <v>242</v>
      </c>
      <c r="BT60" s="1" t="str">
        <f>IF(AQ60&gt;AQ$147, AQ60-AQ$147,"")</f>
        <v/>
      </c>
      <c r="BU60" s="1" t="str">
        <f>IF(AR60&gt;AR$147, AR60-AR$147,"")</f>
        <v/>
      </c>
      <c r="BV60" s="1" t="str">
        <f>IF(AS60&gt;AS$147, AS60-AS$147,"")</f>
        <v/>
      </c>
      <c r="BW60" s="1" t="str">
        <f>IF(AT60&gt;AT$147, AT60-AT$147,"")</f>
        <v/>
      </c>
      <c r="BX60" s="1" t="str">
        <f>IF(AU60&gt;AU$147, AU60-AU$147,"")</f>
        <v/>
      </c>
      <c r="BY60" s="1" t="str">
        <f>IF(AV60&gt;AV$147, AV60-AV$147,"")</f>
        <v/>
      </c>
      <c r="BZ60" s="1" t="str">
        <f>IF(AW60&gt;AW$147, AW60-AW$147,"")</f>
        <v/>
      </c>
      <c r="CA60" s="1" t="str">
        <f>IF(AX60&gt;AX$147, AX60-AX$147,"")</f>
        <v/>
      </c>
      <c r="CB60" s="1" t="str">
        <f>IF(AY60&gt;AY$147, AY60-AY$147,"")</f>
        <v/>
      </c>
      <c r="CC60" s="1" t="str">
        <f>IF(AZ60&gt;AZ$147, AZ60-AZ$147,"")</f>
        <v/>
      </c>
      <c r="CD60" s="1" t="str">
        <f>IF(BA60&gt;BA$147, BA60-BA$147,"")</f>
        <v/>
      </c>
      <c r="CE60" s="1" t="str">
        <f>IF(BB60&gt;BB$147, BB60-BB$147,"")</f>
        <v/>
      </c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3"/>
    </row>
    <row r="61" spans="1:97" x14ac:dyDescent="0.15">
      <c r="A61" s="1"/>
      <c r="B61" s="1" t="s">
        <v>137</v>
      </c>
      <c r="C61" s="1" t="s">
        <v>136</v>
      </c>
      <c r="D61" s="1" t="s">
        <v>108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>
        <v>2</v>
      </c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2</v>
      </c>
      <c r="BR61" s="17">
        <v>1</v>
      </c>
      <c r="BS61" s="17" t="s">
        <v>242</v>
      </c>
      <c r="BT61" s="1" t="str">
        <f>IF(AQ61&gt;AQ$147, AQ61-AQ$147,"")</f>
        <v/>
      </c>
      <c r="BU61" s="1" t="str">
        <f>IF(AR61&gt;AR$147, AR61-AR$147,"")</f>
        <v/>
      </c>
      <c r="BV61" s="1" t="str">
        <f>IF(AS61&gt;AS$147, AS61-AS$147,"")</f>
        <v/>
      </c>
      <c r="BW61" s="1" t="str">
        <f>IF(AT61&gt;AT$147, AT61-AT$147,"")</f>
        <v/>
      </c>
      <c r="BX61" s="1" t="str">
        <f>IF(AU61&gt;AU$147, AU61-AU$147,"")</f>
        <v/>
      </c>
      <c r="BY61" s="1" t="str">
        <f>IF(AV61&gt;AV$147, AV61-AV$147,"")</f>
        <v/>
      </c>
      <c r="BZ61" s="1" t="str">
        <f>IF(AW61&gt;AW$147, AW61-AW$147,"")</f>
        <v/>
      </c>
      <c r="CA61" s="1" t="str">
        <f>IF(AX61&gt;AX$147, AX61-AX$147,"")</f>
        <v/>
      </c>
      <c r="CB61" s="1" t="str">
        <f>IF(AY61&gt;AY$147, AY61-AY$147,"")</f>
        <v/>
      </c>
      <c r="CC61" s="1" t="str">
        <f>IF(AZ61&gt;AZ$147, AZ61-AZ$147,"")</f>
        <v/>
      </c>
      <c r="CD61" s="1" t="str">
        <f>IF(BA61&gt;BA$147, BA61-BA$147,"")</f>
        <v/>
      </c>
      <c r="CE61" s="1" t="str">
        <f>IF(BB61&gt;BB$147, BB61-BB$147,"")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x14ac:dyDescent="0.15">
      <c r="A62" s="1"/>
      <c r="B62" s="1" t="s">
        <v>143</v>
      </c>
      <c r="C62" s="1" t="s">
        <v>104</v>
      </c>
      <c r="D62" s="1" t="s">
        <v>145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2</v>
      </c>
      <c r="BR62" s="17">
        <v>1</v>
      </c>
      <c r="BS62" s="17" t="s">
        <v>242</v>
      </c>
      <c r="BT62" s="1" t="str">
        <f>IF(AQ62&gt;AQ$147, AQ62-AQ$147,"")</f>
        <v/>
      </c>
      <c r="BU62" s="1" t="str">
        <f>IF(AR62&gt;AR$147, AR62-AR$147,"")</f>
        <v/>
      </c>
      <c r="BV62" s="1" t="str">
        <f>IF(AS62&gt;AS$147, AS62-AS$147,"")</f>
        <v/>
      </c>
      <c r="BW62" s="1" t="str">
        <f>IF(AT62&gt;AT$147, AT62-AT$147,"")</f>
        <v/>
      </c>
      <c r="BX62" s="1" t="str">
        <f>IF(AU62&gt;AU$147, AU62-AU$147,"")</f>
        <v/>
      </c>
      <c r="BY62" s="1" t="str">
        <f>IF(AV62&gt;AV$147, AV62-AV$147,"")</f>
        <v/>
      </c>
      <c r="BZ62" s="1" t="str">
        <f>IF(AW62&gt;AW$147, AW62-AW$147,"")</f>
        <v/>
      </c>
      <c r="CA62" s="1" t="str">
        <f>IF(AX62&gt;AX$147, AX62-AX$147,"")</f>
        <v/>
      </c>
      <c r="CB62" s="1" t="str">
        <f>IF(AY62&gt;AY$147, AY62-AY$147,"")</f>
        <v/>
      </c>
      <c r="CC62" s="1" t="str">
        <f>IF(AZ62&gt;AZ$147, AZ62-AZ$147,"")</f>
        <v/>
      </c>
      <c r="CD62" s="1" t="str">
        <f>IF(BA62&gt;BA$147, BA62-BA$147,"")</f>
        <v/>
      </c>
      <c r="CE62" s="1" t="str">
        <f>IF(BB62&gt;BB$147, BB62-BB$147,"")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x14ac:dyDescent="0.15">
      <c r="A63" s="1"/>
      <c r="B63" s="1" t="s">
        <v>138</v>
      </c>
      <c r="C63" s="1" t="s">
        <v>136</v>
      </c>
      <c r="D63" s="1" t="s">
        <v>108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>
        <v>10</v>
      </c>
      <c r="W63" s="28"/>
      <c r="X63" s="28"/>
      <c r="Y63" s="28"/>
      <c r="Z63" s="28">
        <v>5</v>
      </c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30</v>
      </c>
      <c r="BQ63" s="1">
        <v>2</v>
      </c>
      <c r="BR63" s="17">
        <v>1</v>
      </c>
      <c r="BS63" s="17" t="s">
        <v>242</v>
      </c>
      <c r="BT63" s="1" t="str">
        <f>IF(AQ63&gt;AQ$147, AQ63-AQ$147,"")</f>
        <v/>
      </c>
      <c r="BU63" s="1" t="str">
        <f>IF(AR63&gt;AR$147, AR63-AR$147,"")</f>
        <v/>
      </c>
      <c r="BV63" s="1" t="str">
        <f>IF(AS63&gt;AS$147, AS63-AS$147,"")</f>
        <v/>
      </c>
      <c r="BW63" s="1" t="str">
        <f>IF(AT63&gt;AT$147, AT63-AT$147,"")</f>
        <v/>
      </c>
      <c r="BX63" s="1" t="str">
        <f>IF(AU63&gt;AU$147, AU63-AU$147,"")</f>
        <v/>
      </c>
      <c r="BY63" s="1" t="str">
        <f>IF(AV63&gt;AV$147, AV63-AV$147,"")</f>
        <v/>
      </c>
      <c r="BZ63" s="1" t="str">
        <f>IF(AW63&gt;AW$147, AW63-AW$147,"")</f>
        <v/>
      </c>
      <c r="CA63" s="1" t="str">
        <f>IF(AX63&gt;AX$147, AX63-AX$147,"")</f>
        <v/>
      </c>
      <c r="CB63" s="1" t="str">
        <f>IF(AY63&gt;AY$147, AY63-AY$147,"")</f>
        <v/>
      </c>
      <c r="CC63" s="1" t="str">
        <f>IF(AZ63&gt;AZ$147, AZ63-AZ$147,"")</f>
        <v/>
      </c>
      <c r="CD63" s="1" t="str">
        <f>IF(BA63&gt;BA$147, BA63-BA$147,"")</f>
        <v/>
      </c>
      <c r="CE63" s="1" t="str">
        <f>IF(BB63&gt;BB$147, BB63-BB$147,"")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x14ac:dyDescent="0.15">
      <c r="A64" s="1"/>
      <c r="B64" s="1" t="s">
        <v>124</v>
      </c>
      <c r="C64" s="1" t="s">
        <v>125</v>
      </c>
      <c r="D64" s="1" t="s">
        <v>108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35</v>
      </c>
      <c r="BQ64" s="1">
        <v>2</v>
      </c>
      <c r="BR64" s="17">
        <v>1</v>
      </c>
      <c r="BS64" s="17" t="s">
        <v>242</v>
      </c>
      <c r="BT64" s="1" t="str">
        <f>IF(AQ64&gt;AQ$147, AQ64-AQ$147,"")</f>
        <v/>
      </c>
      <c r="BU64" s="1" t="str">
        <f>IF(AR64&gt;AR$147, AR64-AR$147,"")</f>
        <v/>
      </c>
      <c r="BV64" s="1" t="str">
        <f>IF(AS64&gt;AS$147, AS64-AS$147,"")</f>
        <v/>
      </c>
      <c r="BW64" s="1" t="str">
        <f>IF(AT64&gt;AT$147, AT64-AT$147,"")</f>
        <v/>
      </c>
      <c r="BX64" s="1" t="str">
        <f>IF(AU64&gt;AU$147, AU64-AU$147,"")</f>
        <v/>
      </c>
      <c r="BY64" s="1" t="str">
        <f>IF(AV64&gt;AV$147, AV64-AV$147,"")</f>
        <v/>
      </c>
      <c r="BZ64" s="1" t="str">
        <f>IF(AW64&gt;AW$147, AW64-AW$147,"")</f>
        <v/>
      </c>
      <c r="CA64" s="1" t="str">
        <f>IF(AX64&gt;AX$147, AX64-AX$147,"")</f>
        <v/>
      </c>
      <c r="CB64" s="1" t="str">
        <f>IF(AY64&gt;AY$147, AY64-AY$147,"")</f>
        <v/>
      </c>
      <c r="CC64" s="1" t="str">
        <f>IF(AZ64&gt;AZ$147, AZ64-AZ$147,"")</f>
        <v/>
      </c>
      <c r="CD64" s="1" t="str">
        <f>IF(BA64&gt;BA$147, BA64-BA$147,"")</f>
        <v/>
      </c>
      <c r="CE64" s="1" t="str">
        <f>IF(BB64&gt;BB$147, BB64-BB$147,"")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x14ac:dyDescent="0.15">
      <c r="A65" s="1"/>
      <c r="B65" s="1" t="s">
        <v>130</v>
      </c>
      <c r="C65" s="1" t="s">
        <v>129</v>
      </c>
      <c r="D65" s="1" t="s">
        <v>108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/>
      <c r="U65" s="28"/>
      <c r="V65" s="28">
        <v>10</v>
      </c>
      <c r="W65" s="28"/>
      <c r="X65" s="28"/>
      <c r="Y65" s="28">
        <v>10</v>
      </c>
      <c r="Z65" s="28"/>
      <c r="AA65" s="28"/>
      <c r="AB65" s="28">
        <v>10</v>
      </c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35</v>
      </c>
      <c r="BQ65" s="1">
        <v>2</v>
      </c>
      <c r="BR65" s="17">
        <v>1</v>
      </c>
      <c r="BS65" s="17" t="s">
        <v>242</v>
      </c>
      <c r="BT65" s="1" t="str">
        <f>IF(AQ65&gt;AQ$147, AQ65-AQ$147,"")</f>
        <v/>
      </c>
      <c r="BU65" s="1" t="str">
        <f>IF(AR65&gt;AR$147, AR65-AR$147,"")</f>
        <v/>
      </c>
      <c r="BV65" s="1" t="str">
        <f>IF(AS65&gt;AS$147, AS65-AS$147,"")</f>
        <v/>
      </c>
      <c r="BW65" s="1" t="str">
        <f>IF(AT65&gt;AT$147, AT65-AT$147,"")</f>
        <v/>
      </c>
      <c r="BX65" s="1" t="str">
        <f>IF(AU65&gt;AU$147, AU65-AU$147,"")</f>
        <v/>
      </c>
      <c r="BY65" s="1" t="str">
        <f>IF(AV65&gt;AV$147, AV65-AV$147,"")</f>
        <v/>
      </c>
      <c r="BZ65" s="1" t="str">
        <f>IF(AW65&gt;AW$147, AW65-AW$147,"")</f>
        <v/>
      </c>
      <c r="CA65" s="1" t="str">
        <f>IF(AX65&gt;AX$147, AX65-AX$147,"")</f>
        <v/>
      </c>
      <c r="CB65" s="1" t="str">
        <f>IF(AY65&gt;AY$147, AY65-AY$147,"")</f>
        <v/>
      </c>
      <c r="CC65" s="1" t="str">
        <f>IF(AZ65&gt;AZ$147, AZ65-AZ$147,"")</f>
        <v/>
      </c>
      <c r="CD65" s="1" t="str">
        <f>IF(BA65&gt;BA$147, BA65-BA$147,"")</f>
        <v/>
      </c>
      <c r="CE65" s="1" t="str">
        <f>IF(BB65&gt;BB$147, BB65-BB$147,"")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x14ac:dyDescent="0.15">
      <c r="A66" s="18"/>
      <c r="B66" s="18" t="s">
        <v>100</v>
      </c>
      <c r="C66" s="18" t="s">
        <v>93</v>
      </c>
      <c r="D66" s="18" t="s">
        <v>97</v>
      </c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>
        <v>2</v>
      </c>
      <c r="AP66" s="18"/>
      <c r="AQ66" s="20"/>
      <c r="AR66" s="20"/>
      <c r="AS66" s="20"/>
      <c r="AT66" s="20"/>
      <c r="AU66" s="20"/>
      <c r="AV66" s="20"/>
      <c r="AW66" s="21"/>
      <c r="AX66" s="21"/>
      <c r="AY66" s="21"/>
      <c r="AZ66" s="21"/>
      <c r="BA66" s="21"/>
      <c r="BB66" s="21"/>
      <c r="BC66" s="26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">
        <f t="shared" ref="BP66:BP74" si="2">SUM(E66:BO66)</f>
        <v>2</v>
      </c>
      <c r="BQ66" s="18">
        <v>2</v>
      </c>
      <c r="BR66" s="22">
        <v>1</v>
      </c>
      <c r="BS66" s="22" t="s">
        <v>248</v>
      </c>
      <c r="BT66" s="18" t="str">
        <f>IF(AQ66&gt;AQ$147, AQ66-AQ$147,"")</f>
        <v/>
      </c>
      <c r="BU66" s="18" t="str">
        <f>IF(AR66&gt;AR$147, AR66-AR$147,"")</f>
        <v/>
      </c>
      <c r="BV66" s="18" t="str">
        <f>IF(AS66&gt;AS$147, AS66-AS$147,"")</f>
        <v/>
      </c>
      <c r="BW66" s="18" t="str">
        <f>IF(AT66&gt;AT$147, AT66-AT$147,"")</f>
        <v/>
      </c>
      <c r="BX66" s="18" t="str">
        <f>IF(AU66&gt;AU$147, AU66-AU$147,"")</f>
        <v/>
      </c>
      <c r="BY66" s="18" t="str">
        <f>IF(AV66&gt;AV$147, AV66-AV$147,"")</f>
        <v/>
      </c>
      <c r="BZ66" s="18" t="str">
        <f>IF(AW66&gt;AW$147, AW66-AW$147,"")</f>
        <v/>
      </c>
      <c r="CA66" s="18" t="str">
        <f>IF(AX66&gt;AX$147, AX66-AX$147,"")</f>
        <v/>
      </c>
      <c r="CB66" s="18" t="str">
        <f>IF(AY66&gt;AY$147, AY66-AY$147,"")</f>
        <v/>
      </c>
      <c r="CC66" s="18" t="str">
        <f>IF(AZ66&gt;AZ$147, AZ66-AZ$147,"")</f>
        <v/>
      </c>
      <c r="CD66" s="18" t="str">
        <f>IF(BA66&gt;BA$147, BA66-BA$147,"")</f>
        <v/>
      </c>
      <c r="CE66" s="18" t="str">
        <f>IF(BB66&gt;BB$147, BB66-BB$147,"")</f>
        <v/>
      </c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30"/>
    </row>
    <row r="67" spans="1:97" s="58" customFormat="1" x14ac:dyDescent="0.15">
      <c r="A67" s="1"/>
      <c r="B67" s="3" t="s">
        <v>229</v>
      </c>
      <c r="C67" s="3" t="s">
        <v>54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"/>
        <v>35</v>
      </c>
      <c r="BQ67" s="1">
        <v>2</v>
      </c>
      <c r="BR67" s="17">
        <v>1</v>
      </c>
      <c r="BS67" s="17" t="s">
        <v>242</v>
      </c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x14ac:dyDescent="0.15">
      <c r="A68" s="1"/>
      <c r="B68" s="3" t="s">
        <v>231</v>
      </c>
      <c r="C68" s="3" t="s">
        <v>26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>
        <v>2</v>
      </c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"/>
        <v>17</v>
      </c>
      <c r="BQ68" s="1">
        <v>2</v>
      </c>
      <c r="BR68" s="17">
        <v>1</v>
      </c>
      <c r="BS68" s="17" t="s">
        <v>242</v>
      </c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x14ac:dyDescent="0.15">
      <c r="A69" s="1"/>
      <c r="B69" s="3" t="s">
        <v>234</v>
      </c>
      <c r="C69" s="3" t="s">
        <v>235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>
        <v>2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2"/>
        <v>17</v>
      </c>
      <c r="BQ69" s="1">
        <v>2</v>
      </c>
      <c r="BR69" s="17">
        <v>1</v>
      </c>
      <c r="BS69" s="17" t="s">
        <v>242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x14ac:dyDescent="0.15">
      <c r="A70" s="1"/>
      <c r="B70" s="3" t="s">
        <v>236</v>
      </c>
      <c r="C70" s="3" t="s">
        <v>235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2"/>
        <v>17</v>
      </c>
      <c r="BQ70" s="1">
        <v>2</v>
      </c>
      <c r="BR70" s="17">
        <v>1</v>
      </c>
      <c r="BS70" s="17" t="s">
        <v>242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x14ac:dyDescent="0.15">
      <c r="A71" s="1"/>
      <c r="B71" s="3" t="s">
        <v>238</v>
      </c>
      <c r="C71" s="3" t="s">
        <v>105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2"/>
        <v>17</v>
      </c>
      <c r="BQ71" s="1">
        <v>2</v>
      </c>
      <c r="BR71" s="17">
        <v>1</v>
      </c>
      <c r="BS71" s="17" t="s">
        <v>242</v>
      </c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x14ac:dyDescent="0.15">
      <c r="A72" s="1"/>
      <c r="B72" s="3" t="s">
        <v>240</v>
      </c>
      <c r="C72" s="3" t="s">
        <v>105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 t="shared" si="2"/>
        <v>35</v>
      </c>
      <c r="BQ72" s="1">
        <v>2</v>
      </c>
      <c r="BR72" s="17">
        <v>1</v>
      </c>
      <c r="BS72" s="17" t="s">
        <v>242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x14ac:dyDescent="0.15">
      <c r="A73" s="1"/>
      <c r="B73" s="3" t="s">
        <v>240</v>
      </c>
      <c r="C73" s="3" t="s">
        <v>105</v>
      </c>
      <c r="D73" s="1" t="s">
        <v>228</v>
      </c>
      <c r="E73" s="6"/>
      <c r="F73" s="6"/>
      <c r="G73" s="6"/>
      <c r="H73" s="6"/>
      <c r="I73" s="6"/>
      <c r="J73" s="6">
        <v>5</v>
      </c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>
        <v>5</v>
      </c>
      <c r="W73" s="28"/>
      <c r="X73" s="28"/>
      <c r="Y73" s="28">
        <v>5</v>
      </c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 t="shared" si="2"/>
        <v>20</v>
      </c>
      <c r="BQ73" s="1">
        <v>2</v>
      </c>
      <c r="BR73" s="17">
        <v>1</v>
      </c>
      <c r="BS73" s="17" t="s">
        <v>242</v>
      </c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x14ac:dyDescent="0.15">
      <c r="A74" s="1"/>
      <c r="B74" s="3" t="s">
        <v>241</v>
      </c>
      <c r="C74" s="3" t="s">
        <v>105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>
        <v>2</v>
      </c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 t="shared" si="2"/>
        <v>17</v>
      </c>
      <c r="BQ74" s="1">
        <v>2</v>
      </c>
      <c r="BR74" s="17">
        <v>1</v>
      </c>
      <c r="BS74" s="17" t="s">
        <v>242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x14ac:dyDescent="0.15">
      <c r="A75" s="18"/>
      <c r="B75" s="18" t="s">
        <v>190</v>
      </c>
      <c r="C75" s="18" t="s">
        <v>26</v>
      </c>
      <c r="D75" s="18" t="s">
        <v>191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>
        <v>3</v>
      </c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3</v>
      </c>
      <c r="BQ75" s="18">
        <v>3</v>
      </c>
      <c r="BR75" s="22">
        <v>1</v>
      </c>
      <c r="BS75" s="22" t="s">
        <v>218</v>
      </c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30"/>
    </row>
    <row r="76" spans="1:97" x14ac:dyDescent="0.15">
      <c r="A76" s="1">
        <v>95</v>
      </c>
      <c r="B76" s="3" t="s">
        <v>71</v>
      </c>
      <c r="C76" s="3" t="s">
        <v>57</v>
      </c>
      <c r="D76" s="1" t="s">
        <v>0</v>
      </c>
      <c r="E76" s="6"/>
      <c r="F76" s="6"/>
      <c r="G76" s="6"/>
      <c r="H76" s="6"/>
      <c r="I76" s="6"/>
      <c r="J76" s="6"/>
      <c r="K76" s="6"/>
      <c r="L76" s="6">
        <v>15</v>
      </c>
      <c r="M76" s="6"/>
      <c r="N76" s="6"/>
      <c r="O76" s="6">
        <v>15</v>
      </c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>
        <v>15</v>
      </c>
      <c r="BB76" s="2">
        <v>15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60</v>
      </c>
      <c r="BQ76" s="1">
        <v>3</v>
      </c>
      <c r="BR76" s="17">
        <v>1</v>
      </c>
      <c r="BS76" s="17" t="s">
        <v>250</v>
      </c>
      <c r="BT76" s="1" t="str">
        <f>IF(AQ76&gt;AQ$147, AQ76-AQ$147,"")</f>
        <v/>
      </c>
      <c r="BU76" s="1" t="str">
        <f>IF(AR76&gt;AR$147, AR76-AR$147,"")</f>
        <v/>
      </c>
      <c r="BV76" s="1" t="str">
        <f>IF(AS76&gt;AS$147, AS76-AS$147,"")</f>
        <v/>
      </c>
      <c r="BW76" s="1" t="str">
        <f>IF(AT76&gt;AT$147, AT76-AT$147,"")</f>
        <v/>
      </c>
      <c r="BX76" s="1" t="str">
        <f>IF(AU76&gt;AU$147, AU76-AU$147,"")</f>
        <v/>
      </c>
      <c r="BY76" s="1" t="str">
        <f>IF(AV76&gt;AV$147, AV76-AV$147,"")</f>
        <v/>
      </c>
      <c r="BZ76" s="1" t="str">
        <f>IF(AW76&gt;AW$147, AW76-AW$147,"")</f>
        <v/>
      </c>
      <c r="CA76" s="1" t="str">
        <f>IF(AX76&gt;AX$147, AX76-AX$147,"")</f>
        <v/>
      </c>
      <c r="CB76" s="1" t="str">
        <f>IF(AY76&gt;AY$147, AY76-AY$147,"")</f>
        <v/>
      </c>
      <c r="CC76" s="1" t="str">
        <f>IF(AZ76&gt;AZ$147, AZ76-AZ$147,"")</f>
        <v/>
      </c>
      <c r="CD76" s="1" t="str">
        <f>IF(BA76&gt;BA$147, BA76-BA$147,"")</f>
        <v/>
      </c>
      <c r="CE76" s="1" t="str">
        <f>IF(BB76&gt;BB$147, BB76-BB$147,"")</f>
        <v/>
      </c>
      <c r="CF76" s="1">
        <f>COUNTIF(BT76:CE76, "&gt;0")</f>
        <v>0</v>
      </c>
      <c r="CG76" s="1" t="str">
        <f>IF($CF76=1,BT76,"")</f>
        <v/>
      </c>
      <c r="CH76" s="1" t="str">
        <f>IF($CF76=1,BU76,"")</f>
        <v/>
      </c>
      <c r="CI76" s="1" t="str">
        <f>IF($CF76=1,BV76,"")</f>
        <v/>
      </c>
      <c r="CJ76" s="1" t="str">
        <f>IF($CF76=1,BW76,"")</f>
        <v/>
      </c>
      <c r="CK76" s="1" t="str">
        <f>IF($CF76=1,BX76,"")</f>
        <v/>
      </c>
      <c r="CL76" s="1" t="str">
        <f>IF($CF76=1,BY76,"")</f>
        <v/>
      </c>
      <c r="CM76" s="1" t="str">
        <f>IF($CF76=1,BZ76,"")</f>
        <v/>
      </c>
      <c r="CN76" s="1" t="str">
        <f>IF($CF76=1,CA76,"")</f>
        <v/>
      </c>
      <c r="CO76" s="1" t="str">
        <f>IF($CF76=1,CB76,"")</f>
        <v/>
      </c>
      <c r="CP76" s="1" t="str">
        <f>IF($CF76=1,CC76,"")</f>
        <v/>
      </c>
      <c r="CQ76" s="1" t="str">
        <f>IF($CF76=1,CD76,"")</f>
        <v/>
      </c>
      <c r="CR76" s="1" t="str">
        <f>IF($CF76=1,CE76,"")</f>
        <v/>
      </c>
      <c r="CS76" s="3">
        <f>SUM(AE76:BO76)</f>
        <v>30</v>
      </c>
    </row>
    <row r="77" spans="1:97" x14ac:dyDescent="0.15">
      <c r="A77" s="1">
        <v>54</v>
      </c>
      <c r="B77" s="1" t="s">
        <v>46</v>
      </c>
      <c r="C77" s="1" t="s">
        <v>47</v>
      </c>
      <c r="D77" s="1" t="s">
        <v>0</v>
      </c>
      <c r="E77" s="6"/>
      <c r="F77" s="6">
        <v>15</v>
      </c>
      <c r="G77" s="6"/>
      <c r="H77" s="6">
        <v>15</v>
      </c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15</v>
      </c>
      <c r="AW77" s="2"/>
      <c r="AX77" s="2"/>
      <c r="AY77" s="2"/>
      <c r="AZ77" s="2"/>
      <c r="BA77" s="2">
        <v>15</v>
      </c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60</v>
      </c>
      <c r="BQ77" s="1">
        <v>3</v>
      </c>
      <c r="BR77" s="17">
        <v>1</v>
      </c>
      <c r="BS77" s="17" t="s">
        <v>251</v>
      </c>
      <c r="BT77" s="1" t="str">
        <f>IF(AQ77&gt;AQ$147, AQ77-AQ$147,"")</f>
        <v/>
      </c>
      <c r="BU77" s="1" t="str">
        <f>IF(AR77&gt;AR$147, AR77-AR$147,"")</f>
        <v/>
      </c>
      <c r="BV77" s="1" t="str">
        <f>IF(AS77&gt;AS$147, AS77-AS$147,"")</f>
        <v/>
      </c>
      <c r="BW77" s="1" t="str">
        <f>IF(AT77&gt;AT$147, AT77-AT$147,"")</f>
        <v/>
      </c>
      <c r="BX77" s="1" t="str">
        <f>IF(AU77&gt;AU$147, AU77-AU$147,"")</f>
        <v/>
      </c>
      <c r="BY77" s="1" t="str">
        <f>IF(AV77&gt;AV$147, AV77-AV$147,"")</f>
        <v/>
      </c>
      <c r="BZ77" s="1" t="str">
        <f>IF(AW77&gt;AW$147, AW77-AW$147,"")</f>
        <v/>
      </c>
      <c r="CA77" s="1" t="str">
        <f>IF(AX77&gt;AX$147, AX77-AX$147,"")</f>
        <v/>
      </c>
      <c r="CB77" s="1" t="str">
        <f>IF(AY77&gt;AY$147, AY77-AY$147,"")</f>
        <v/>
      </c>
      <c r="CC77" s="1" t="str">
        <f>IF(AZ77&gt;AZ$147, AZ77-AZ$147,"")</f>
        <v/>
      </c>
      <c r="CD77" s="1" t="str">
        <f>IF(BA77&gt;BA$147, BA77-BA$147,"")</f>
        <v/>
      </c>
      <c r="CE77" s="1" t="str">
        <f>IF(BB77&gt;BB$147, BB77-BB$147,"")</f>
        <v/>
      </c>
      <c r="CF77" s="1">
        <f>COUNTIF(BT77:CE77, "&gt;0")</f>
        <v>0</v>
      </c>
      <c r="CG77" s="1" t="str">
        <f>IF($CF77=1,BT77,"")</f>
        <v/>
      </c>
      <c r="CH77" s="1" t="str">
        <f>IF($CF77=1,BU77,"")</f>
        <v/>
      </c>
      <c r="CI77" s="1" t="str">
        <f>IF($CF77=1,BV77,"")</f>
        <v/>
      </c>
      <c r="CJ77" s="1" t="str">
        <f>IF($CF77=1,BW77,"")</f>
        <v/>
      </c>
      <c r="CK77" s="1" t="str">
        <f>IF($CF77=1,BX77,"")</f>
        <v/>
      </c>
      <c r="CL77" s="1" t="str">
        <f>IF($CF77=1,BY77,"")</f>
        <v/>
      </c>
      <c r="CM77" s="1" t="str">
        <f>IF($CF77=1,BZ77,"")</f>
        <v/>
      </c>
      <c r="CN77" s="1" t="str">
        <f>IF($CF77=1,CA77,"")</f>
        <v/>
      </c>
      <c r="CO77" s="1" t="str">
        <f>IF($CF77=1,CB77,"")</f>
        <v/>
      </c>
      <c r="CP77" s="1" t="str">
        <f>IF($CF77=1,CC77,"")</f>
        <v/>
      </c>
      <c r="CQ77" s="1" t="str">
        <f>IF($CF77=1,CD77,"")</f>
        <v/>
      </c>
      <c r="CR77" s="1" t="str">
        <f>IF($CF77=1,CE77,"")</f>
        <v/>
      </c>
      <c r="CS77" s="3">
        <f>SUM(AE77:BO77)</f>
        <v>30</v>
      </c>
    </row>
    <row r="78" spans="1:97" x14ac:dyDescent="0.15">
      <c r="A78" s="1"/>
      <c r="B78" s="1" t="s">
        <v>133</v>
      </c>
      <c r="C78" s="1" t="s">
        <v>134</v>
      </c>
      <c r="D78" s="1" t="s">
        <v>109</v>
      </c>
      <c r="E78" s="6"/>
      <c r="F78" s="6"/>
      <c r="G78" s="6"/>
      <c r="H78" s="6"/>
      <c r="I78" s="6"/>
      <c r="J78" s="6"/>
      <c r="K78" s="6"/>
      <c r="L78" s="6">
        <v>7</v>
      </c>
      <c r="M78" s="6"/>
      <c r="N78" s="6"/>
      <c r="O78" s="6"/>
      <c r="P78" s="28"/>
      <c r="Q78" s="28">
        <v>7</v>
      </c>
      <c r="R78" s="28"/>
      <c r="S78" s="28"/>
      <c r="T78" s="28">
        <v>7</v>
      </c>
      <c r="U78" s="28"/>
      <c r="V78" s="28"/>
      <c r="W78" s="28"/>
      <c r="X78" s="28">
        <v>7</v>
      </c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28</v>
      </c>
      <c r="BQ78" s="1">
        <v>4</v>
      </c>
      <c r="BR78" s="17">
        <v>1</v>
      </c>
      <c r="BS78" s="17" t="s">
        <v>249</v>
      </c>
      <c r="BT78" s="1" t="str">
        <f>IF(AQ78&gt;AQ$147, AQ78-AQ$147,"")</f>
        <v/>
      </c>
      <c r="BU78" s="1" t="str">
        <f>IF(AR78&gt;AR$147, AR78-AR$147,"")</f>
        <v/>
      </c>
      <c r="BV78" s="1" t="str">
        <f>IF(AS78&gt;AS$147, AS78-AS$147,"")</f>
        <v/>
      </c>
      <c r="BW78" s="1" t="str">
        <f>IF(AT78&gt;AT$147, AT78-AT$147,"")</f>
        <v/>
      </c>
      <c r="BX78" s="1" t="str">
        <f>IF(AU78&gt;AU$147, AU78-AU$147,"")</f>
        <v/>
      </c>
      <c r="BY78" s="1" t="str">
        <f>IF(AV78&gt;AV$147, AV78-AV$147,"")</f>
        <v/>
      </c>
      <c r="BZ78" s="1" t="str">
        <f>IF(AW78&gt;AW$147, AW78-AW$147,"")</f>
        <v/>
      </c>
      <c r="CA78" s="1" t="str">
        <f>IF(AX78&gt;AX$147, AX78-AX$147,"")</f>
        <v/>
      </c>
      <c r="CB78" s="1" t="str">
        <f>IF(AY78&gt;AY$147, AY78-AY$147,"")</f>
        <v/>
      </c>
      <c r="CC78" s="1" t="str">
        <f>IF(AZ78&gt;AZ$147, AZ78-AZ$147,"")</f>
        <v/>
      </c>
      <c r="CD78" s="1" t="str">
        <f>IF(BA78&gt;BA$147, BA78-BA$147,"")</f>
        <v/>
      </c>
      <c r="CE78" s="1" t="str">
        <f>IF(BB78&gt;BB$147, BB78-BB$147,"")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x14ac:dyDescent="0.15">
      <c r="A79" s="18">
        <v>63</v>
      </c>
      <c r="B79" s="30" t="s">
        <v>52</v>
      </c>
      <c r="C79" s="18" t="s">
        <v>47</v>
      </c>
      <c r="D79" s="18" t="s">
        <v>19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/>
      <c r="AG79" s="18"/>
      <c r="AH79" s="18"/>
      <c r="AI79" s="18"/>
      <c r="AJ79" s="18"/>
      <c r="AK79" s="18"/>
      <c r="AL79" s="18"/>
      <c r="AM79" s="18"/>
      <c r="AN79" s="18">
        <v>5</v>
      </c>
      <c r="AO79" s="18"/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>
        <f>SUM(E79:BO79)</f>
        <v>5</v>
      </c>
      <c r="BQ79" s="18">
        <v>4</v>
      </c>
      <c r="BR79" s="22">
        <v>1</v>
      </c>
      <c r="BS79" s="22" t="s">
        <v>252</v>
      </c>
      <c r="BT79" s="18" t="str">
        <f>IF(AQ79&gt;AQ$147, AQ79-AQ$147,"")</f>
        <v/>
      </c>
      <c r="BU79" s="18" t="str">
        <f>IF(AR79&gt;AR$147, AR79-AR$147,"")</f>
        <v/>
      </c>
      <c r="BV79" s="18" t="str">
        <f>IF(AS79&gt;AS$147, AS79-AS$147,"")</f>
        <v/>
      </c>
      <c r="BW79" s="18" t="str">
        <f>IF(AT79&gt;AT$147, AT79-AT$147,"")</f>
        <v/>
      </c>
      <c r="BX79" s="18" t="str">
        <f>IF(AU79&gt;AU$147, AU79-AU$147,"")</f>
        <v/>
      </c>
      <c r="BY79" s="18" t="str">
        <f>IF(AV79&gt;AV$147, AV79-AV$147,"")</f>
        <v/>
      </c>
      <c r="BZ79" s="18" t="str">
        <f>IF(AW79&gt;AW$147, AW79-AW$147,"")</f>
        <v/>
      </c>
      <c r="CA79" s="18" t="str">
        <f>IF(AX79&gt;AX$147, AX79-AX$147,"")</f>
        <v/>
      </c>
      <c r="CB79" s="18" t="str">
        <f>IF(AY79&gt;AY$147, AY79-AY$147,"")</f>
        <v/>
      </c>
      <c r="CC79" s="18" t="str">
        <f>IF(AZ79&gt;AZ$147, AZ79-AZ$147,"")</f>
        <v/>
      </c>
      <c r="CD79" s="18" t="str">
        <f>IF(BA79&gt;BA$147, BA79-BA$147,"")</f>
        <v/>
      </c>
      <c r="CE79" s="18" t="str">
        <f>IF(BB79&gt;BB$147, BB79-BB$147,"")</f>
        <v/>
      </c>
      <c r="CF79" s="18">
        <f>COUNTIF(BT79:CE79, "&gt;0")</f>
        <v>0</v>
      </c>
      <c r="CG79" s="18" t="str">
        <f>IF($CF79=1,BT79,"")</f>
        <v/>
      </c>
      <c r="CH79" s="18" t="str">
        <f>IF($CF79=1,BU79,"")</f>
        <v/>
      </c>
      <c r="CI79" s="18" t="str">
        <f>IF($CF79=1,BV79,"")</f>
        <v/>
      </c>
      <c r="CJ79" s="18" t="str">
        <f>IF($CF79=1,BW79,"")</f>
        <v/>
      </c>
      <c r="CK79" s="18" t="str">
        <f>IF($CF79=1,BX79,"")</f>
        <v/>
      </c>
      <c r="CL79" s="18" t="str">
        <f>IF($CF79=1,BY79,"")</f>
        <v/>
      </c>
      <c r="CM79" s="18" t="str">
        <f>IF($CF79=1,BZ79,"")</f>
        <v/>
      </c>
      <c r="CN79" s="18" t="str">
        <f>IF($CF79=1,CA79,"")</f>
        <v/>
      </c>
      <c r="CO79" s="18" t="str">
        <f>IF($CF79=1,CB79,"")</f>
        <v/>
      </c>
      <c r="CP79" s="18" t="str">
        <f>IF($CF79=1,CC79,"")</f>
        <v/>
      </c>
      <c r="CQ79" s="18" t="str">
        <f>IF($CF79=1,CD79,"")</f>
        <v/>
      </c>
      <c r="CR79" s="18" t="str">
        <f>IF($CF79=1,CE79,"")</f>
        <v/>
      </c>
      <c r="CS79" s="30">
        <f>SUM(AE79:BO79)</f>
        <v>5</v>
      </c>
    </row>
    <row r="80" spans="1:97" x14ac:dyDescent="0.15">
      <c r="A80" s="18">
        <v>90</v>
      </c>
      <c r="B80" s="30" t="s">
        <v>69</v>
      </c>
      <c r="C80" s="30" t="s">
        <v>68</v>
      </c>
      <c r="D80" s="18" t="s">
        <v>19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/>
      <c r="AI80" s="18"/>
      <c r="AJ80" s="18"/>
      <c r="AK80" s="18"/>
      <c r="AL80" s="18"/>
      <c r="AM80" s="18"/>
      <c r="AN80" s="18">
        <v>5</v>
      </c>
      <c r="AO80" s="18"/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>SUM(E80:BO80)</f>
        <v>5</v>
      </c>
      <c r="BQ80" s="18">
        <v>4</v>
      </c>
      <c r="BR80" s="22">
        <v>1</v>
      </c>
      <c r="BS80" s="22" t="s">
        <v>253</v>
      </c>
      <c r="BT80" s="18" t="str">
        <f>IF(AQ80&gt;AQ$147, AQ80-AQ$147,"")</f>
        <v/>
      </c>
      <c r="BU80" s="18" t="str">
        <f>IF(AR80&gt;AR$147, AR80-AR$147,"")</f>
        <v/>
      </c>
      <c r="BV80" s="18" t="str">
        <f>IF(AS80&gt;AS$147, AS80-AS$147,"")</f>
        <v/>
      </c>
      <c r="BW80" s="18" t="str">
        <f>IF(AT80&gt;AT$147, AT80-AT$147,"")</f>
        <v/>
      </c>
      <c r="BX80" s="18" t="str">
        <f>IF(AU80&gt;AU$147, AU80-AU$147,"")</f>
        <v/>
      </c>
      <c r="BY80" s="18" t="str">
        <f>IF(AV80&gt;AV$147, AV80-AV$147,"")</f>
        <v/>
      </c>
      <c r="BZ80" s="18" t="str">
        <f>IF(AW80&gt;AW$147, AW80-AW$147,"")</f>
        <v/>
      </c>
      <c r="CA80" s="18" t="str">
        <f>IF(AX80&gt;AX$147, AX80-AX$147,"")</f>
        <v/>
      </c>
      <c r="CB80" s="18" t="str">
        <f>IF(AY80&gt;AY$147, AY80-AY$147,"")</f>
        <v/>
      </c>
      <c r="CC80" s="18" t="str">
        <f>IF(AZ80&gt;AZ$147, AZ80-AZ$147,"")</f>
        <v/>
      </c>
      <c r="CD80" s="18" t="str">
        <f>IF(BA80&gt;BA$147, BA80-BA$147,"")</f>
        <v/>
      </c>
      <c r="CE80" s="18" t="str">
        <f>IF(BB80&gt;BB$147, BB80-BB$147,"")</f>
        <v/>
      </c>
      <c r="CF80" s="18">
        <f>COUNTIF(BT80:CE80, "&gt;0")</f>
        <v>0</v>
      </c>
      <c r="CG80" s="18" t="str">
        <f>IF($CF80=1,BT80,"")</f>
        <v/>
      </c>
      <c r="CH80" s="18" t="str">
        <f>IF($CF80=1,BU80,"")</f>
        <v/>
      </c>
      <c r="CI80" s="18" t="str">
        <f>IF($CF80=1,BV80,"")</f>
        <v/>
      </c>
      <c r="CJ80" s="18" t="str">
        <f>IF($CF80=1,BW80,"")</f>
        <v/>
      </c>
      <c r="CK80" s="18" t="str">
        <f>IF($CF80=1,BX80,"")</f>
        <v/>
      </c>
      <c r="CL80" s="18" t="str">
        <f>IF($CF80=1,BY80,"")</f>
        <v/>
      </c>
      <c r="CM80" s="18" t="str">
        <f>IF($CF80=1,BZ80,"")</f>
        <v/>
      </c>
      <c r="CN80" s="18" t="str">
        <f>IF($CF80=1,CA80,"")</f>
        <v/>
      </c>
      <c r="CO80" s="18" t="str">
        <f>IF($CF80=1,CB80,"")</f>
        <v/>
      </c>
      <c r="CP80" s="18" t="str">
        <f>IF($CF80=1,CC80,"")</f>
        <v/>
      </c>
      <c r="CQ80" s="18" t="str">
        <f>IF($CF80=1,CD80,"")</f>
        <v/>
      </c>
      <c r="CR80" s="18" t="str">
        <f>IF($CF80=1,CE80,"")</f>
        <v/>
      </c>
      <c r="CS80" s="30">
        <f>SUM(AE80:BO80)</f>
        <v>5</v>
      </c>
    </row>
    <row r="81" spans="1:97" x14ac:dyDescent="0.15">
      <c r="A81" s="1">
        <v>18</v>
      </c>
      <c r="B81" s="1" t="s">
        <v>29</v>
      </c>
      <c r="C81" s="1" t="s">
        <v>26</v>
      </c>
      <c r="D81" s="1" t="s">
        <v>20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>
        <v>5</v>
      </c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5</v>
      </c>
      <c r="BQ81" s="1">
        <v>5</v>
      </c>
      <c r="BR81" s="17">
        <v>1</v>
      </c>
      <c r="BS81" s="17" t="s">
        <v>254</v>
      </c>
      <c r="BT81" s="1" t="str">
        <f>IF(AQ81&gt;AQ$147, AQ81-AQ$147,"")</f>
        <v/>
      </c>
      <c r="BU81" s="1" t="str">
        <f>IF(AR81&gt;AR$147, AR81-AR$147,"")</f>
        <v/>
      </c>
      <c r="BV81" s="1" t="str">
        <f>IF(AS81&gt;AS$147, AS81-AS$147,"")</f>
        <v/>
      </c>
      <c r="BW81" s="1" t="str">
        <f>IF(AT81&gt;AT$147, AT81-AT$147,"")</f>
        <v/>
      </c>
      <c r="BX81" s="1" t="str">
        <f>IF(AU81&gt;AU$147, AU81-AU$147,"")</f>
        <v/>
      </c>
      <c r="BY81" s="1" t="str">
        <f>IF(AV81&gt;AV$147, AV81-AV$147,"")</f>
        <v/>
      </c>
      <c r="BZ81" s="1" t="str">
        <f>IF(AW81&gt;AW$147, AW81-AW$147,"")</f>
        <v/>
      </c>
      <c r="CA81" s="1" t="str">
        <f>IF(AX81&gt;AX$147, AX81-AX$147,"")</f>
        <v/>
      </c>
      <c r="CB81" s="1" t="str">
        <f>IF(AY81&gt;AY$147, AY81-AY$147,"")</f>
        <v/>
      </c>
      <c r="CC81" s="1" t="str">
        <f>IF(AZ81&gt;AZ$147, AZ81-AZ$147,"")</f>
        <v/>
      </c>
      <c r="CD81" s="1" t="str">
        <f>IF(BA81&gt;BA$147, BA81-BA$147,"")</f>
        <v/>
      </c>
      <c r="CE81" s="1" t="str">
        <f>IF(BB81&gt;BB$147, BB81-BB$147,"")</f>
        <v/>
      </c>
      <c r="CF81" s="1">
        <f>COUNTIF(BT81:CE81, "&gt;0")</f>
        <v>0</v>
      </c>
      <c r="CG81" s="1" t="str">
        <f>IF($CF81=1,BT81,"")</f>
        <v/>
      </c>
      <c r="CH81" s="1" t="str">
        <f>IF($CF81=1,BU81,"")</f>
        <v/>
      </c>
      <c r="CI81" s="1" t="str">
        <f>IF($CF81=1,BV81,"")</f>
        <v/>
      </c>
      <c r="CJ81" s="1" t="str">
        <f>IF($CF81=1,BW81,"")</f>
        <v/>
      </c>
      <c r="CK81" s="1" t="str">
        <f>IF($CF81=1,BX81,"")</f>
        <v/>
      </c>
      <c r="CL81" s="1" t="str">
        <f>IF($CF81=1,BY81,"")</f>
        <v/>
      </c>
      <c r="CM81" s="1" t="str">
        <f>IF($CF81=1,BZ81,"")</f>
        <v/>
      </c>
      <c r="CN81" s="1" t="str">
        <f>IF($CF81=1,CA81,"")</f>
        <v/>
      </c>
      <c r="CO81" s="1" t="str">
        <f>IF($CF81=1,CB81,"")</f>
        <v/>
      </c>
      <c r="CP81" s="1" t="str">
        <f>IF($CF81=1,CC81,"")</f>
        <v/>
      </c>
      <c r="CQ81" s="1" t="str">
        <f>IF($CF81=1,CD81,"")</f>
        <v/>
      </c>
      <c r="CR81" s="1" t="str">
        <f>IF($CF81=1,CE81,"")</f>
        <v/>
      </c>
      <c r="CS81" s="3">
        <f>SUM(AE81:BO81)</f>
        <v>5</v>
      </c>
    </row>
    <row r="82" spans="1:97" x14ac:dyDescent="0.15">
      <c r="A82" s="18">
        <v>17</v>
      </c>
      <c r="B82" s="18" t="s">
        <v>29</v>
      </c>
      <c r="C82" s="18" t="s">
        <v>26</v>
      </c>
      <c r="D82" s="18" t="s">
        <v>19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>
        <v>5</v>
      </c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>SUM(E82:BO82)</f>
        <v>5</v>
      </c>
      <c r="BQ82" s="18">
        <v>5</v>
      </c>
      <c r="BR82" s="22">
        <v>1</v>
      </c>
      <c r="BS82" s="22" t="s">
        <v>255</v>
      </c>
      <c r="BT82" s="18" t="str">
        <f>IF(AQ82&gt;AQ$147, AQ82-AQ$147,"")</f>
        <v/>
      </c>
      <c r="BU82" s="18" t="str">
        <f>IF(AR82&gt;AR$147, AR82-AR$147,"")</f>
        <v/>
      </c>
      <c r="BV82" s="18" t="str">
        <f>IF(AS82&gt;AS$147, AS82-AS$147,"")</f>
        <v/>
      </c>
      <c r="BW82" s="18" t="str">
        <f>IF(AT82&gt;AT$147, AT82-AT$147,"")</f>
        <v/>
      </c>
      <c r="BX82" s="18" t="str">
        <f>IF(AU82&gt;AU$147, AU82-AU$147,"")</f>
        <v/>
      </c>
      <c r="BY82" s="18" t="str">
        <f>IF(AV82&gt;AV$147, AV82-AV$147,"")</f>
        <v/>
      </c>
      <c r="BZ82" s="18" t="str">
        <f>IF(AW82&gt;AW$147, AW82-AW$147,"")</f>
        <v/>
      </c>
      <c r="CA82" s="18" t="str">
        <f>IF(AX82&gt;AX$147, AX82-AX$147,"")</f>
        <v/>
      </c>
      <c r="CB82" s="18" t="str">
        <f>IF(AY82&gt;AY$147, AY82-AY$147,"")</f>
        <v/>
      </c>
      <c r="CC82" s="18" t="str">
        <f>IF(AZ82&gt;AZ$147, AZ82-AZ$147,"")</f>
        <v/>
      </c>
      <c r="CD82" s="18" t="str">
        <f>IF(BA82&gt;BA$147, BA82-BA$147,"")</f>
        <v/>
      </c>
      <c r="CE82" s="18" t="str">
        <f>IF(BB82&gt;BB$147, BB82-BB$147,"")</f>
        <v/>
      </c>
      <c r="CF82" s="18">
        <f>COUNTIF(BT82:CE82, "&gt;0")</f>
        <v>0</v>
      </c>
      <c r="CG82" s="18" t="str">
        <f>IF($CF82=1,BT82,"")</f>
        <v/>
      </c>
      <c r="CH82" s="18" t="str">
        <f>IF($CF82=1,BU82,"")</f>
        <v/>
      </c>
      <c r="CI82" s="18" t="str">
        <f>IF($CF82=1,BV82,"")</f>
        <v/>
      </c>
      <c r="CJ82" s="18" t="str">
        <f>IF($CF82=1,BW82,"")</f>
        <v/>
      </c>
      <c r="CK82" s="18" t="str">
        <f>IF($CF82=1,BX82,"")</f>
        <v/>
      </c>
      <c r="CL82" s="18" t="str">
        <f>IF($CF82=1,BY82,"")</f>
        <v/>
      </c>
      <c r="CM82" s="18" t="str">
        <f>IF($CF82=1,BZ82,"")</f>
        <v/>
      </c>
      <c r="CN82" s="18" t="str">
        <f>IF($CF82=1,CA82,"")</f>
        <v/>
      </c>
      <c r="CO82" s="18" t="str">
        <f>IF($CF82=1,CB82,"")</f>
        <v/>
      </c>
      <c r="CP82" s="18" t="str">
        <f>IF($CF82=1,CC82,"")</f>
        <v/>
      </c>
      <c r="CQ82" s="18" t="str">
        <f>IF($CF82=1,CD82,"")</f>
        <v/>
      </c>
      <c r="CR82" s="18" t="str">
        <f>IF($CF82=1,CE82,"")</f>
        <v/>
      </c>
      <c r="CS82" s="30">
        <f>SUM(AE82:BO82)</f>
        <v>5</v>
      </c>
    </row>
    <row r="83" spans="1:97" x14ac:dyDescent="0.15">
      <c r="A83" s="18">
        <v>32</v>
      </c>
      <c r="B83" s="18" t="s">
        <v>65</v>
      </c>
      <c r="C83" s="18" t="s">
        <v>26</v>
      </c>
      <c r="D83" s="18" t="s">
        <v>19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>
        <v>5</v>
      </c>
      <c r="AJ83" s="18"/>
      <c r="AK83" s="18"/>
      <c r="AL83" s="18"/>
      <c r="AM83" s="18"/>
      <c r="AN83" s="18"/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5</v>
      </c>
      <c r="BQ83" s="18">
        <v>5</v>
      </c>
      <c r="BR83" s="22">
        <v>1</v>
      </c>
      <c r="BS83" s="22" t="s">
        <v>219</v>
      </c>
      <c r="BT83" s="18" t="str">
        <f>IF(AQ83&gt;AQ$147, AQ83-AQ$147,"")</f>
        <v/>
      </c>
      <c r="BU83" s="18" t="str">
        <f>IF(AR83&gt;AR$147, AR83-AR$147,"")</f>
        <v/>
      </c>
      <c r="BV83" s="18" t="str">
        <f>IF(AS83&gt;AS$147, AS83-AS$147,"")</f>
        <v/>
      </c>
      <c r="BW83" s="18" t="str">
        <f>IF(AT83&gt;AT$147, AT83-AT$147,"")</f>
        <v/>
      </c>
      <c r="BX83" s="18" t="str">
        <f>IF(AU83&gt;AU$147, AU83-AU$147,"")</f>
        <v/>
      </c>
      <c r="BY83" s="18" t="str">
        <f>IF(AV83&gt;AV$147, AV83-AV$147,"")</f>
        <v/>
      </c>
      <c r="BZ83" s="18" t="str">
        <f>IF(AW83&gt;AW$147, AW83-AW$147,"")</f>
        <v/>
      </c>
      <c r="CA83" s="18" t="str">
        <f>IF(AX83&gt;AX$147, AX83-AX$147,"")</f>
        <v/>
      </c>
      <c r="CB83" s="18" t="str">
        <f>IF(AY83&gt;AY$147, AY83-AY$147,"")</f>
        <v/>
      </c>
      <c r="CC83" s="18" t="str">
        <f>IF(AZ83&gt;AZ$147, AZ83-AZ$147,"")</f>
        <v/>
      </c>
      <c r="CD83" s="18" t="str">
        <f>IF(BA83&gt;BA$147, BA83-BA$147,"")</f>
        <v/>
      </c>
      <c r="CE83" s="18" t="str">
        <f>IF(BB83&gt;BB$147, BB83-BB$147,"")</f>
        <v/>
      </c>
      <c r="CF83" s="18">
        <f>COUNTIF(BT83:CE83, "&gt;0")</f>
        <v>0</v>
      </c>
      <c r="CG83" s="18" t="str">
        <f>IF($CF83=1,BT83,"")</f>
        <v/>
      </c>
      <c r="CH83" s="18" t="str">
        <f>IF($CF83=1,BU83,"")</f>
        <v/>
      </c>
      <c r="CI83" s="18" t="str">
        <f>IF($CF83=1,BV83,"")</f>
        <v/>
      </c>
      <c r="CJ83" s="18" t="str">
        <f>IF($CF83=1,BW83,"")</f>
        <v/>
      </c>
      <c r="CK83" s="18" t="str">
        <f>IF($CF83=1,BX83,"")</f>
        <v/>
      </c>
      <c r="CL83" s="18" t="str">
        <f>IF($CF83=1,BY83,"")</f>
        <v/>
      </c>
      <c r="CM83" s="18" t="str">
        <f>IF($CF83=1,BZ83,"")</f>
        <v/>
      </c>
      <c r="CN83" s="18" t="str">
        <f>IF($CF83=1,CA83,"")</f>
        <v/>
      </c>
      <c r="CO83" s="18" t="str">
        <f>IF($CF83=1,CB83,"")</f>
        <v/>
      </c>
      <c r="CP83" s="18" t="str">
        <f>IF($CF83=1,CC83,"")</f>
        <v/>
      </c>
      <c r="CQ83" s="18" t="str">
        <f>IF($CF83=1,CD83,"")</f>
        <v/>
      </c>
      <c r="CR83" s="18" t="str">
        <f>IF($CF83=1,CE83,"")</f>
        <v/>
      </c>
      <c r="CS83" s="30">
        <f>SUM(AE83:BO83)</f>
        <v>5</v>
      </c>
    </row>
    <row r="84" spans="1:97" x14ac:dyDescent="0.15">
      <c r="A84" s="18">
        <v>33</v>
      </c>
      <c r="B84" s="18" t="s">
        <v>65</v>
      </c>
      <c r="C84" s="18" t="s">
        <v>26</v>
      </c>
      <c r="D84" s="18" t="s">
        <v>0</v>
      </c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18"/>
      <c r="AF84" s="18"/>
      <c r="AG84" s="18"/>
      <c r="AH84" s="18">
        <v>5</v>
      </c>
      <c r="AI84" s="18"/>
      <c r="AJ84" s="18"/>
      <c r="AK84" s="18"/>
      <c r="AL84" s="18"/>
      <c r="AM84" s="18"/>
      <c r="AN84" s="18"/>
      <c r="AO84" s="18"/>
      <c r="AP84" s="18"/>
      <c r="AQ84" s="20"/>
      <c r="AR84" s="20"/>
      <c r="AS84" s="20"/>
      <c r="AT84" s="20"/>
      <c r="AU84" s="20"/>
      <c r="AV84" s="20"/>
      <c r="AW84" s="21"/>
      <c r="AX84" s="21"/>
      <c r="AY84" s="21"/>
      <c r="AZ84" s="21"/>
      <c r="BA84" s="21"/>
      <c r="BB84" s="21"/>
      <c r="BC84" s="26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>
        <f>SUM(E84:BO84)</f>
        <v>5</v>
      </c>
      <c r="BQ84" s="18">
        <v>5</v>
      </c>
      <c r="BR84" s="22">
        <v>1</v>
      </c>
      <c r="BS84" s="22" t="s">
        <v>256</v>
      </c>
      <c r="BT84" s="18" t="str">
        <f>IF(AQ84&gt;AQ$147, AQ84-AQ$147,"")</f>
        <v/>
      </c>
      <c r="BU84" s="18" t="str">
        <f>IF(AR84&gt;AR$147, AR84-AR$147,"")</f>
        <v/>
      </c>
      <c r="BV84" s="18" t="str">
        <f>IF(AS84&gt;AS$147, AS84-AS$147,"")</f>
        <v/>
      </c>
      <c r="BW84" s="18" t="str">
        <f>IF(AT84&gt;AT$147, AT84-AT$147,"")</f>
        <v/>
      </c>
      <c r="BX84" s="18" t="str">
        <f>IF(AU84&gt;AU$147, AU84-AU$147,"")</f>
        <v/>
      </c>
      <c r="BY84" s="18" t="str">
        <f>IF(AV84&gt;AV$147, AV84-AV$147,"")</f>
        <v/>
      </c>
      <c r="BZ84" s="18" t="str">
        <f>IF(AW84&gt;AW$147, AW84-AW$147,"")</f>
        <v/>
      </c>
      <c r="CA84" s="18" t="str">
        <f>IF(AX84&gt;AX$147, AX84-AX$147,"")</f>
        <v/>
      </c>
      <c r="CB84" s="18" t="str">
        <f>IF(AY84&gt;AY$147, AY84-AY$147,"")</f>
        <v/>
      </c>
      <c r="CC84" s="18" t="str">
        <f>IF(AZ84&gt;AZ$147, AZ84-AZ$147,"")</f>
        <v/>
      </c>
      <c r="CD84" s="18" t="str">
        <f>IF(BA84&gt;BA$147, BA84-BA$147,"")</f>
        <v/>
      </c>
      <c r="CE84" s="18" t="str">
        <f>IF(BB84&gt;BB$147, BB84-BB$147,"")</f>
        <v/>
      </c>
      <c r="CF84" s="18">
        <f>COUNTIF(BT84:CE84, "&gt;0")</f>
        <v>0</v>
      </c>
      <c r="CG84" s="18" t="str">
        <f>IF($CF84=1,BT84,"")</f>
        <v/>
      </c>
      <c r="CH84" s="18" t="str">
        <f>IF($CF84=1,BU84,"")</f>
        <v/>
      </c>
      <c r="CI84" s="18" t="str">
        <f>IF($CF84=1,BV84,"")</f>
        <v/>
      </c>
      <c r="CJ84" s="18" t="str">
        <f>IF($CF84=1,BW84,"")</f>
        <v/>
      </c>
      <c r="CK84" s="18" t="str">
        <f>IF($CF84=1,BX84,"")</f>
        <v/>
      </c>
      <c r="CL84" s="18" t="str">
        <f>IF($CF84=1,BY84,"")</f>
        <v/>
      </c>
      <c r="CM84" s="18" t="str">
        <f>IF($CF84=1,BZ84,"")</f>
        <v/>
      </c>
      <c r="CN84" s="18" t="str">
        <f>IF($CF84=1,CA84,"")</f>
        <v/>
      </c>
      <c r="CO84" s="18" t="str">
        <f>IF($CF84=1,CB84,"")</f>
        <v/>
      </c>
      <c r="CP84" s="18" t="str">
        <f>IF($CF84=1,CC84,"")</f>
        <v/>
      </c>
      <c r="CQ84" s="18" t="str">
        <f>IF($CF84=1,CD84,"")</f>
        <v/>
      </c>
      <c r="CR84" s="18" t="str">
        <f>IF($CF84=1,CE84,"")</f>
        <v/>
      </c>
      <c r="CS84" s="30">
        <f>SUM(AE84:BO84)</f>
        <v>5</v>
      </c>
    </row>
    <row r="85" spans="1:97" x14ac:dyDescent="0.15">
      <c r="A85" s="18"/>
      <c r="B85" s="18" t="s">
        <v>103</v>
      </c>
      <c r="C85" s="18" t="s">
        <v>101</v>
      </c>
      <c r="D85" s="18" t="s">
        <v>97</v>
      </c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18"/>
      <c r="AF85" s="18"/>
      <c r="AG85" s="18"/>
      <c r="AH85" s="18">
        <v>5</v>
      </c>
      <c r="AI85" s="18"/>
      <c r="AJ85" s="18"/>
      <c r="AK85" s="18"/>
      <c r="AL85" s="18"/>
      <c r="AM85" s="18"/>
      <c r="AN85" s="18"/>
      <c r="AO85" s="18"/>
      <c r="AP85" s="18"/>
      <c r="AQ85" s="20"/>
      <c r="AR85" s="20"/>
      <c r="AS85" s="20"/>
      <c r="AT85" s="20"/>
      <c r="AU85" s="20"/>
      <c r="AV85" s="20"/>
      <c r="AW85" s="21"/>
      <c r="AX85" s="21"/>
      <c r="AY85" s="21"/>
      <c r="AZ85" s="21"/>
      <c r="BA85" s="21"/>
      <c r="BB85" s="21"/>
      <c r="BC85" s="26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>
        <f>SUM(E85:BO85)</f>
        <v>5</v>
      </c>
      <c r="BQ85" s="18">
        <v>5</v>
      </c>
      <c r="BR85" s="22">
        <v>1</v>
      </c>
      <c r="BS85" s="22" t="s">
        <v>257</v>
      </c>
      <c r="BT85" s="18" t="str">
        <f>IF(AQ85&gt;AQ$147, AQ85-AQ$147,"")</f>
        <v/>
      </c>
      <c r="BU85" s="18" t="str">
        <f>IF(AR85&gt;AR$147, AR85-AR$147,"")</f>
        <v/>
      </c>
      <c r="BV85" s="18" t="str">
        <f>IF(AS85&gt;AS$147, AS85-AS$147,"")</f>
        <v/>
      </c>
      <c r="BW85" s="18" t="str">
        <f>IF(AT85&gt;AT$147, AT85-AT$147,"")</f>
        <v/>
      </c>
      <c r="BX85" s="18" t="str">
        <f>IF(AU85&gt;AU$147, AU85-AU$147,"")</f>
        <v/>
      </c>
      <c r="BY85" s="18" t="str">
        <f>IF(AV85&gt;AV$147, AV85-AV$147,"")</f>
        <v/>
      </c>
      <c r="BZ85" s="18" t="str">
        <f>IF(AW85&gt;AW$147, AW85-AW$147,"")</f>
        <v/>
      </c>
      <c r="CA85" s="18" t="str">
        <f>IF(AX85&gt;AX$147, AX85-AX$147,"")</f>
        <v/>
      </c>
      <c r="CB85" s="18" t="str">
        <f>IF(AY85&gt;AY$147, AY85-AY$147,"")</f>
        <v/>
      </c>
      <c r="CC85" s="18" t="str">
        <f>IF(AZ85&gt;AZ$147, AZ85-AZ$147,"")</f>
        <v/>
      </c>
      <c r="CD85" s="18" t="str">
        <f>IF(BA85&gt;BA$147, BA85-BA$147,"")</f>
        <v/>
      </c>
      <c r="CE85" s="18" t="str">
        <f>IF(BB85&gt;BB$147, BB85-BB$147,"")</f>
        <v/>
      </c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30"/>
    </row>
    <row r="86" spans="1:97" x14ac:dyDescent="0.15">
      <c r="A86" s="18"/>
      <c r="B86" s="18" t="s">
        <v>103</v>
      </c>
      <c r="C86" s="18" t="s">
        <v>101</v>
      </c>
      <c r="D86" s="18" t="s">
        <v>91</v>
      </c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18"/>
      <c r="AF86" s="18"/>
      <c r="AG86" s="18"/>
      <c r="AH86" s="18"/>
      <c r="AI86" s="18">
        <v>5</v>
      </c>
      <c r="AJ86" s="18"/>
      <c r="AK86" s="18"/>
      <c r="AL86" s="18"/>
      <c r="AM86" s="18"/>
      <c r="AN86" s="18"/>
      <c r="AO86" s="18"/>
      <c r="AP86" s="18"/>
      <c r="AQ86" s="20"/>
      <c r="AR86" s="20"/>
      <c r="AS86" s="20"/>
      <c r="AT86" s="20"/>
      <c r="AU86" s="20"/>
      <c r="AV86" s="20"/>
      <c r="AW86" s="21"/>
      <c r="AX86" s="21"/>
      <c r="AY86" s="21"/>
      <c r="AZ86" s="21"/>
      <c r="BA86" s="21"/>
      <c r="BB86" s="21"/>
      <c r="BC86" s="26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>
        <f>SUM(E86:BO86)</f>
        <v>5</v>
      </c>
      <c r="BQ86" s="18">
        <v>5</v>
      </c>
      <c r="BR86" s="22">
        <v>1</v>
      </c>
      <c r="BS86" s="22" t="s">
        <v>219</v>
      </c>
      <c r="BT86" s="18" t="str">
        <f>IF(AQ86&gt;AQ$147, AQ86-AQ$147,"")</f>
        <v/>
      </c>
      <c r="BU86" s="18" t="str">
        <f>IF(AR86&gt;AR$147, AR86-AR$147,"")</f>
        <v/>
      </c>
      <c r="BV86" s="18" t="str">
        <f>IF(AS86&gt;AS$147, AS86-AS$147,"")</f>
        <v/>
      </c>
      <c r="BW86" s="18" t="str">
        <f>IF(AT86&gt;AT$147, AT86-AT$147,"")</f>
        <v/>
      </c>
      <c r="BX86" s="18" t="str">
        <f>IF(AU86&gt;AU$147, AU86-AU$147,"")</f>
        <v/>
      </c>
      <c r="BY86" s="18" t="str">
        <f>IF(AV86&gt;AV$147, AV86-AV$147,"")</f>
        <v/>
      </c>
      <c r="BZ86" s="18" t="str">
        <f>IF(AW86&gt;AW$147, AW86-AW$147,"")</f>
        <v/>
      </c>
      <c r="CA86" s="18" t="str">
        <f>IF(AX86&gt;AX$147, AX86-AX$147,"")</f>
        <v/>
      </c>
      <c r="CB86" s="18" t="str">
        <f>IF(AY86&gt;AY$147, AY86-AY$147,"")</f>
        <v/>
      </c>
      <c r="CC86" s="18" t="str">
        <f>IF(AZ86&gt;AZ$147, AZ86-AZ$147,"")</f>
        <v/>
      </c>
      <c r="CD86" s="18" t="str">
        <f>IF(BA86&gt;BA$147, BA86-BA$147,"")</f>
        <v/>
      </c>
      <c r="CE86" s="18" t="str">
        <f>IF(BB86&gt;BB$147, BB86-BB$147,"")</f>
        <v/>
      </c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30"/>
    </row>
    <row r="87" spans="1:97" x14ac:dyDescent="0.15">
      <c r="A87" s="1"/>
      <c r="B87" s="1" t="s">
        <v>163</v>
      </c>
      <c r="C87" s="1" t="s">
        <v>89</v>
      </c>
      <c r="D87" s="1" t="s">
        <v>90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>
        <v>15</v>
      </c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>
        <v>15</v>
      </c>
      <c r="BC87" s="14"/>
      <c r="BD87" s="1"/>
      <c r="BE87" s="1"/>
      <c r="BF87" s="1"/>
      <c r="BG87" s="1"/>
      <c r="BH87" s="1">
        <v>15</v>
      </c>
      <c r="BI87" s="1">
        <v>15</v>
      </c>
      <c r="BJ87" s="1"/>
      <c r="BK87" s="1"/>
      <c r="BL87" s="1"/>
      <c r="BM87" s="1"/>
      <c r="BN87" s="1"/>
      <c r="BO87" s="1"/>
      <c r="BP87" s="1">
        <f>SUM(E87:BO87)</f>
        <v>60</v>
      </c>
      <c r="BQ87" s="1">
        <v>5</v>
      </c>
      <c r="BR87" s="17">
        <v>1</v>
      </c>
      <c r="BS87" s="17" t="s">
        <v>258</v>
      </c>
      <c r="BT87" s="1" t="str">
        <f>IF(AQ87&gt;AQ$147, AQ87-AQ$147,"")</f>
        <v/>
      </c>
      <c r="BU87" s="1" t="str">
        <f>IF(AR87&gt;AR$147, AR87-AR$147,"")</f>
        <v/>
      </c>
      <c r="BV87" s="1" t="str">
        <f>IF(AS87&gt;AS$147, AS87-AS$147,"")</f>
        <v/>
      </c>
      <c r="BW87" s="1" t="str">
        <f>IF(AT87&gt;AT$147, AT87-AT$147,"")</f>
        <v/>
      </c>
      <c r="BX87" s="1" t="str">
        <f>IF(AU87&gt;AU$147, AU87-AU$147,"")</f>
        <v/>
      </c>
      <c r="BY87" s="1" t="str">
        <f>IF(AV87&gt;AV$147, AV87-AV$147,"")</f>
        <v/>
      </c>
      <c r="BZ87" s="1" t="str">
        <f>IF(AW87&gt;AW$147, AW87-AW$147,"")</f>
        <v/>
      </c>
      <c r="CA87" s="1" t="str">
        <f>IF(AX87&gt;AX$147, AX87-AX$147,"")</f>
        <v/>
      </c>
      <c r="CB87" s="1" t="str">
        <f>IF(AY87&gt;AY$147, AY87-AY$147,"")</f>
        <v/>
      </c>
      <c r="CC87" s="1" t="str">
        <f>IF(AZ87&gt;AZ$147, AZ87-AZ$147,"")</f>
        <v/>
      </c>
      <c r="CD87" s="1" t="str">
        <f>IF(BA87&gt;BA$147, BA87-BA$147,"")</f>
        <v/>
      </c>
      <c r="CE87" s="1" t="str">
        <f>IF(BB87&gt;BB$147, BB87-BB$147,"")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x14ac:dyDescent="0.15">
      <c r="A88" s="40">
        <v>77</v>
      </c>
      <c r="B88" s="47" t="s">
        <v>148</v>
      </c>
      <c r="C88" s="47" t="s">
        <v>54</v>
      </c>
      <c r="D88" s="40" t="s">
        <v>10</v>
      </c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3"/>
      <c r="AR88" s="43"/>
      <c r="AS88" s="43"/>
      <c r="AT88" s="43">
        <v>20</v>
      </c>
      <c r="AU88" s="43"/>
      <c r="AV88" s="43"/>
      <c r="AW88" s="44">
        <v>20</v>
      </c>
      <c r="AX88" s="44">
        <v>20</v>
      </c>
      <c r="AY88" s="44"/>
      <c r="AZ88" s="44"/>
      <c r="BA88" s="44"/>
      <c r="BB88" s="44">
        <v>10</v>
      </c>
      <c r="BC88" s="45"/>
      <c r="BD88" s="40"/>
      <c r="BE88" s="40"/>
      <c r="BF88" s="40"/>
      <c r="BG88" s="40"/>
      <c r="BH88" s="40">
        <v>20</v>
      </c>
      <c r="BI88" s="40"/>
      <c r="BJ88" s="40"/>
      <c r="BK88" s="40"/>
      <c r="BL88" s="40"/>
      <c r="BM88" s="40"/>
      <c r="BN88" s="40"/>
      <c r="BO88" s="40"/>
      <c r="BP88" s="40">
        <f>SUM(E88:BO88)</f>
        <v>90</v>
      </c>
      <c r="BQ88" s="40">
        <v>6</v>
      </c>
      <c r="BR88" s="46">
        <v>1</v>
      </c>
      <c r="BS88" s="46" t="s">
        <v>220</v>
      </c>
      <c r="BT88" s="40" t="str">
        <f>IF(AQ88&gt;AQ$147, AQ88-AQ$147,"")</f>
        <v/>
      </c>
      <c r="BU88" s="40" t="str">
        <f>IF(AR88&gt;AR$147, AR88-AR$147,"")</f>
        <v/>
      </c>
      <c r="BV88" s="40" t="str">
        <f>IF(AS88&gt;AS$147, AS88-AS$147,"")</f>
        <v/>
      </c>
      <c r="BW88" s="40" t="str">
        <f>IF(AT88&gt;AT$147, AT88-AT$147,"")</f>
        <v/>
      </c>
      <c r="BX88" s="40" t="str">
        <f>IF(AU88&gt;AU$147, AU88-AU$147,"")</f>
        <v/>
      </c>
      <c r="BY88" s="40" t="str">
        <f>IF(AV88&gt;AV$147, AV88-AV$147,"")</f>
        <v/>
      </c>
      <c r="BZ88" s="40" t="str">
        <f>IF(AW88&gt;AW$147, AW88-AW$147,"")</f>
        <v/>
      </c>
      <c r="CA88" s="40" t="str">
        <f>IF(AX88&gt;AX$147, AX88-AX$147,"")</f>
        <v/>
      </c>
      <c r="CB88" s="40" t="str">
        <f>IF(AY88&gt;AY$147, AY88-AY$147,"")</f>
        <v/>
      </c>
      <c r="CC88" s="40" t="str">
        <f>IF(AZ88&gt;AZ$147, AZ88-AZ$147,"")</f>
        <v/>
      </c>
      <c r="CD88" s="40" t="str">
        <f>IF(BA88&gt;BA$147, BA88-BA$147,"")</f>
        <v/>
      </c>
      <c r="CE88" s="40" t="str">
        <f>IF(BB88&gt;BB$147, BB88-BB$147,"")</f>
        <v/>
      </c>
      <c r="CF88" s="40">
        <f>COUNTIF(BT88:CE88, "&gt;0")</f>
        <v>0</v>
      </c>
      <c r="CG88" s="40" t="str">
        <f>IF($CF88=1,BT88,"")</f>
        <v/>
      </c>
      <c r="CH88" s="40" t="str">
        <f>IF($CF88=1,BU88,"")</f>
        <v/>
      </c>
      <c r="CI88" s="40" t="str">
        <f>IF($CF88=1,BV88,"")</f>
        <v/>
      </c>
      <c r="CJ88" s="40" t="str">
        <f>IF($CF88=1,BW88,"")</f>
        <v/>
      </c>
      <c r="CK88" s="40" t="str">
        <f>IF($CF88=1,BX88,"")</f>
        <v/>
      </c>
      <c r="CL88" s="40" t="str">
        <f>IF($CF88=1,BY88,"")</f>
        <v/>
      </c>
      <c r="CM88" s="40" t="str">
        <f>IF($CF88=1,BZ88,"")</f>
        <v/>
      </c>
      <c r="CN88" s="40" t="str">
        <f>IF($CF88=1,CA88,"")</f>
        <v/>
      </c>
      <c r="CO88" s="40" t="str">
        <f>IF($CF88=1,CB88,"")</f>
        <v/>
      </c>
      <c r="CP88" s="40" t="str">
        <f>IF($CF88=1,CC88,"")</f>
        <v/>
      </c>
      <c r="CQ88" s="40" t="str">
        <f>IF($CF88=1,CD88,"")</f>
        <v/>
      </c>
      <c r="CR88" s="40" t="str">
        <f>IF($CF88=1,CE88,"")</f>
        <v/>
      </c>
      <c r="CS88" s="47">
        <f>SUM(AE88:BO88)</f>
        <v>90</v>
      </c>
    </row>
    <row r="89" spans="1:97" x14ac:dyDescent="0.15">
      <c r="A89" s="59"/>
      <c r="B89" s="59" t="s">
        <v>149</v>
      </c>
      <c r="C89" s="59" t="s">
        <v>105</v>
      </c>
      <c r="D89" s="59" t="s">
        <v>90</v>
      </c>
      <c r="E89" s="60"/>
      <c r="F89" s="60"/>
      <c r="G89" s="60"/>
      <c r="H89" s="60"/>
      <c r="I89" s="60"/>
      <c r="J89" s="60"/>
      <c r="K89" s="60"/>
      <c r="L89" s="60">
        <v>20</v>
      </c>
      <c r="M89" s="60"/>
      <c r="N89" s="60"/>
      <c r="O89" s="60">
        <v>20</v>
      </c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62"/>
      <c r="AR89" s="62"/>
      <c r="AS89" s="62"/>
      <c r="AT89" s="62"/>
      <c r="AU89" s="62"/>
      <c r="AV89" s="62"/>
      <c r="AW89" s="63"/>
      <c r="AX89" s="63"/>
      <c r="AY89" s="63"/>
      <c r="AZ89" s="63"/>
      <c r="BA89" s="63">
        <v>20</v>
      </c>
      <c r="BB89" s="63">
        <v>20</v>
      </c>
      <c r="BC89" s="64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>
        <f>SUM(E89:BO89)</f>
        <v>80</v>
      </c>
      <c r="BQ89" s="59">
        <v>8</v>
      </c>
      <c r="BR89" s="65">
        <v>1</v>
      </c>
      <c r="BS89" s="65" t="s">
        <v>259</v>
      </c>
      <c r="BT89" s="59" t="str">
        <f>IF(AQ89&gt;AQ$147, AQ89-AQ$147,"")</f>
        <v/>
      </c>
      <c r="BU89" s="59" t="str">
        <f>IF(AR89&gt;AR$147, AR89-AR$147,"")</f>
        <v/>
      </c>
      <c r="BV89" s="59" t="str">
        <f>IF(AS89&gt;AS$147, AS89-AS$147,"")</f>
        <v/>
      </c>
      <c r="BW89" s="59" t="str">
        <f>IF(AT89&gt;AT$147, AT89-AT$147,"")</f>
        <v/>
      </c>
      <c r="BX89" s="59" t="str">
        <f>IF(AU89&gt;AU$147, AU89-AU$147,"")</f>
        <v/>
      </c>
      <c r="BY89" s="59" t="str">
        <f>IF(AV89&gt;AV$147, AV89-AV$147,"")</f>
        <v/>
      </c>
      <c r="BZ89" s="59" t="str">
        <f>IF(AW89&gt;AW$147, AW89-AW$147,"")</f>
        <v/>
      </c>
      <c r="CA89" s="59" t="str">
        <f>IF(AX89&gt;AX$147, AX89-AX$147,"")</f>
        <v/>
      </c>
      <c r="CB89" s="59" t="str">
        <f>IF(AY89&gt;AY$147, AY89-AY$147,"")</f>
        <v/>
      </c>
      <c r="CC89" s="59" t="str">
        <f>IF(AZ89&gt;AZ$147, AZ89-AZ$147,"")</f>
        <v/>
      </c>
      <c r="CD89" s="59" t="str">
        <f>IF(BA89&gt;BA$147, BA89-BA$147,"")</f>
        <v/>
      </c>
      <c r="CE89" s="59" t="str">
        <f>IF(BB89&gt;BB$147, BB89-BB$147,"")</f>
        <v/>
      </c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66"/>
    </row>
    <row r="90" spans="1:97" x14ac:dyDescent="0.15">
      <c r="A90" s="1"/>
      <c r="B90" s="1" t="s">
        <v>159</v>
      </c>
      <c r="C90" s="1" t="s">
        <v>101</v>
      </c>
      <c r="D90" s="1" t="s">
        <v>91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>
        <v>10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9</v>
      </c>
      <c r="BR90" s="17">
        <v>1</v>
      </c>
      <c r="BS90" s="17" t="s">
        <v>260</v>
      </c>
      <c r="BT90" s="1" t="str">
        <f>IF(AQ90&gt;AQ$147, AQ90-AQ$147,"")</f>
        <v/>
      </c>
      <c r="BU90" s="1" t="str">
        <f>IF(AR90&gt;AR$147, AR90-AR$147,"")</f>
        <v/>
      </c>
      <c r="BV90" s="1" t="str">
        <f>IF(AS90&gt;AS$147, AS90-AS$147,"")</f>
        <v/>
      </c>
      <c r="BW90" s="1" t="str">
        <f>IF(AT90&gt;AT$147, AT90-AT$147,"")</f>
        <v/>
      </c>
      <c r="BX90" s="1" t="str">
        <f>IF(AU90&gt;AU$147, AU90-AU$147,"")</f>
        <v/>
      </c>
      <c r="BY90" s="1" t="str">
        <f>IF(AV90&gt;AV$147, AV90-AV$147,"")</f>
        <v/>
      </c>
      <c r="BZ90" s="1" t="str">
        <f>IF(AW90&gt;AW$147, AW90-AW$147,"")</f>
        <v/>
      </c>
      <c r="CA90" s="1" t="str">
        <f>IF(AX90&gt;AX$147, AX90-AX$147,"")</f>
        <v/>
      </c>
      <c r="CB90" s="1" t="str">
        <f>IF(AY90&gt;AY$147, AY90-AY$147,"")</f>
        <v/>
      </c>
      <c r="CC90" s="1" t="str">
        <f>IF(AZ90&gt;AZ$147, AZ90-AZ$147,"")</f>
        <v/>
      </c>
      <c r="CD90" s="1" t="str">
        <f>IF(BA90&gt;BA$147, BA90-BA$147,"")</f>
        <v/>
      </c>
      <c r="CE90" s="1" t="str">
        <f>IF(BB90&gt;BB$147, BB90-BB$147,"")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x14ac:dyDescent="0.15">
      <c r="A91" s="1"/>
      <c r="B91" s="1" t="s">
        <v>157</v>
      </c>
      <c r="C91" s="1" t="s">
        <v>135</v>
      </c>
      <c r="D91" s="1" t="s">
        <v>109</v>
      </c>
      <c r="E91" s="6">
        <v>10</v>
      </c>
      <c r="F91" s="6"/>
      <c r="G91" s="6">
        <v>10</v>
      </c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>
        <v>10</v>
      </c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9</v>
      </c>
      <c r="BR91" s="17">
        <v>1</v>
      </c>
      <c r="BS91" s="17" t="s">
        <v>221</v>
      </c>
      <c r="BT91" s="1" t="str">
        <f>IF(AQ91&gt;AQ$147, AQ91-AQ$147,"")</f>
        <v/>
      </c>
      <c r="BU91" s="1" t="str">
        <f>IF(AR91&gt;AR$147, AR91-AR$147,"")</f>
        <v/>
      </c>
      <c r="BV91" s="1" t="str">
        <f>IF(AS91&gt;AS$147, AS91-AS$147,"")</f>
        <v/>
      </c>
      <c r="BW91" s="1" t="str">
        <f>IF(AT91&gt;AT$147, AT91-AT$147,"")</f>
        <v/>
      </c>
      <c r="BX91" s="1" t="str">
        <f>IF(AU91&gt;AU$147, AU91-AU$147,"")</f>
        <v/>
      </c>
      <c r="BY91" s="1" t="str">
        <f>IF(AV91&gt;AV$147, AV91-AV$147,"")</f>
        <v/>
      </c>
      <c r="BZ91" s="1" t="str">
        <f>IF(AW91&gt;AW$147, AW91-AW$147,"")</f>
        <v/>
      </c>
      <c r="CA91" s="1" t="str">
        <f>IF(AX91&gt;AX$147, AX91-AX$147,"")</f>
        <v/>
      </c>
      <c r="CB91" s="1" t="str">
        <f>IF(AY91&gt;AY$147, AY91-AY$147,"")</f>
        <v/>
      </c>
      <c r="CC91" s="1" t="str">
        <f>IF(AZ91&gt;AZ$147, AZ91-AZ$147,"")</f>
        <v/>
      </c>
      <c r="CD91" s="1" t="str">
        <f>IF(BA91&gt;BA$147, BA91-BA$147,"")</f>
        <v/>
      </c>
      <c r="CE91" s="1" t="str">
        <f>IF(BB91&gt;BB$147, BB91-BB$147,"")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x14ac:dyDescent="0.15">
      <c r="A92" s="1">
        <v>8</v>
      </c>
      <c r="B92" s="1" t="s">
        <v>152</v>
      </c>
      <c r="C92" s="1" t="s">
        <v>1</v>
      </c>
      <c r="D92" s="1" t="s">
        <v>21</v>
      </c>
      <c r="E92" s="6">
        <v>6</v>
      </c>
      <c r="F92" s="6"/>
      <c r="G92" s="6"/>
      <c r="H92" s="6">
        <v>6</v>
      </c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>
        <v>10</v>
      </c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32</v>
      </c>
      <c r="BQ92" s="1">
        <v>9</v>
      </c>
      <c r="BR92" s="17">
        <v>1</v>
      </c>
      <c r="BS92" s="17" t="s">
        <v>260</v>
      </c>
      <c r="BT92" s="1" t="str">
        <f>IF(AQ92&gt;AQ$147, AQ92-AQ$147,"")</f>
        <v/>
      </c>
      <c r="BU92" s="1" t="str">
        <f>IF(AR92&gt;AR$147, AR92-AR$147,"")</f>
        <v/>
      </c>
      <c r="BV92" s="1" t="str">
        <f>IF(AS92&gt;AS$147, AS92-AS$147,"")</f>
        <v/>
      </c>
      <c r="BW92" s="1" t="str">
        <f>IF(AT92&gt;AT$147, AT92-AT$147,"")</f>
        <v/>
      </c>
      <c r="BX92" s="1" t="str">
        <f>IF(AU92&gt;AU$147, AU92-AU$147,"")</f>
        <v/>
      </c>
      <c r="BY92" s="1" t="str">
        <f>IF(AV92&gt;AV$147, AV92-AV$147,"")</f>
        <v/>
      </c>
      <c r="BZ92" s="1" t="str">
        <f>IF(AW92&gt;AW$147, AW92-AW$147,"")</f>
        <v/>
      </c>
      <c r="CA92" s="1" t="str">
        <f>IF(AX92&gt;AX$147, AX92-AX$147,"")</f>
        <v/>
      </c>
      <c r="CB92" s="1" t="str">
        <f>IF(AY92&gt;AY$147, AY92-AY$147,"")</f>
        <v/>
      </c>
      <c r="CC92" s="1" t="str">
        <f>IF(AZ92&gt;AZ$147, AZ92-AZ$147,"")</f>
        <v/>
      </c>
      <c r="CD92" s="1" t="str">
        <f>IF(BA92&gt;BA$147, BA92-BA$147,"")</f>
        <v/>
      </c>
      <c r="CE92" s="1" t="str">
        <f>IF(BB92&gt;BB$147, BB92-BB$147,"")</f>
        <v/>
      </c>
      <c r="CF92" s="1">
        <f>COUNTIF(BT92:CE92, "&gt;0")</f>
        <v>0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 t="str">
        <f>IF($CF92=1,CD92,"")</f>
        <v/>
      </c>
      <c r="CR92" s="1" t="str">
        <f>IF($CF92=1,CE92,"")</f>
        <v/>
      </c>
      <c r="CS92" s="3">
        <f>SUM(AE92:BO92)</f>
        <v>20</v>
      </c>
    </row>
    <row r="93" spans="1:97" x14ac:dyDescent="0.15">
      <c r="A93" s="1"/>
      <c r="B93" s="1" t="s">
        <v>193</v>
      </c>
      <c r="C93" s="1" t="s">
        <v>1</v>
      </c>
      <c r="D93" s="1" t="s">
        <v>192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>
        <v>10</v>
      </c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20</v>
      </c>
      <c r="BQ93" s="1">
        <v>9</v>
      </c>
      <c r="BR93" s="17">
        <v>1</v>
      </c>
      <c r="BS93" s="17" t="s">
        <v>260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x14ac:dyDescent="0.15">
      <c r="A94" s="1"/>
      <c r="B94" s="1" t="s">
        <v>153</v>
      </c>
      <c r="C94" s="1" t="s">
        <v>101</v>
      </c>
      <c r="D94" s="1" t="s">
        <v>90</v>
      </c>
      <c r="E94" s="6">
        <v>15</v>
      </c>
      <c r="F94" s="6"/>
      <c r="G94" s="6">
        <v>15</v>
      </c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>
        <v>15</v>
      </c>
      <c r="AS94" s="4"/>
      <c r="AT94" s="4"/>
      <c r="AU94" s="4"/>
      <c r="AV94" s="4"/>
      <c r="AW94" s="2"/>
      <c r="AX94" s="2"/>
      <c r="AY94" s="2"/>
      <c r="AZ94" s="2"/>
      <c r="BA94" s="2"/>
      <c r="BB94" s="2">
        <v>15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14</v>
      </c>
      <c r="BR94" s="17">
        <v>1</v>
      </c>
      <c r="BS94" s="17" t="s">
        <v>261</v>
      </c>
      <c r="BT94" s="1" t="str">
        <f>IF(AQ94&gt;AQ$147, AQ94-AQ$147,"")</f>
        <v/>
      </c>
      <c r="BU94" s="1" t="str">
        <f>IF(AR94&gt;AR$147, AR94-AR$147,"")</f>
        <v/>
      </c>
      <c r="BV94" s="1" t="str">
        <f>IF(AS94&gt;AS$147, AS94-AS$147,"")</f>
        <v/>
      </c>
      <c r="BW94" s="1" t="str">
        <f>IF(AT94&gt;AT$147, AT94-AT$147,"")</f>
        <v/>
      </c>
      <c r="BX94" s="1" t="str">
        <f>IF(AU94&gt;AU$147, AU94-AU$147,"")</f>
        <v/>
      </c>
      <c r="BY94" s="1" t="str">
        <f>IF(AV94&gt;AV$147, AV94-AV$147,"")</f>
        <v/>
      </c>
      <c r="BZ94" s="1" t="str">
        <f>IF(AW94&gt;AW$147, AW94-AW$147,"")</f>
        <v/>
      </c>
      <c r="CA94" s="1" t="str">
        <f>IF(AX94&gt;AX$147, AX94-AX$147,"")</f>
        <v/>
      </c>
      <c r="CB94" s="1" t="str">
        <f>IF(AY94&gt;AY$147, AY94-AY$147,"")</f>
        <v/>
      </c>
      <c r="CC94" s="1" t="str">
        <f>IF(AZ94&gt;AZ$147, AZ94-AZ$147,"")</f>
        <v/>
      </c>
      <c r="CD94" s="1" t="str">
        <f>IF(BA94&gt;BA$147, BA94-BA$147,"")</f>
        <v/>
      </c>
      <c r="CE94" s="1" t="str">
        <f>IF(BB94&gt;BB$147, BB94-BB$147,"")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x14ac:dyDescent="0.15">
      <c r="A95" s="68"/>
      <c r="B95" s="68" t="s">
        <v>155</v>
      </c>
      <c r="C95" s="68" t="s">
        <v>101</v>
      </c>
      <c r="D95" s="68" t="s">
        <v>90</v>
      </c>
      <c r="E95" s="69">
        <v>15</v>
      </c>
      <c r="F95" s="69"/>
      <c r="G95" s="69">
        <v>15</v>
      </c>
      <c r="H95" s="69"/>
      <c r="I95" s="69"/>
      <c r="J95" s="69"/>
      <c r="K95" s="69"/>
      <c r="L95" s="69"/>
      <c r="M95" s="69"/>
      <c r="N95" s="6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71"/>
      <c r="AR95" s="71">
        <v>15</v>
      </c>
      <c r="AS95" s="71"/>
      <c r="AT95" s="71"/>
      <c r="AU95" s="71"/>
      <c r="AV95" s="71"/>
      <c r="AW95" s="72"/>
      <c r="AX95" s="72"/>
      <c r="AY95" s="72"/>
      <c r="AZ95" s="72"/>
      <c r="BA95" s="72"/>
      <c r="BB95" s="72">
        <v>15</v>
      </c>
      <c r="BC95" s="73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  <c r="BP95" s="68">
        <f>SUM(E95:BO95)</f>
        <v>60</v>
      </c>
      <c r="BQ95" s="68">
        <v>14</v>
      </c>
      <c r="BR95" s="74">
        <v>1</v>
      </c>
      <c r="BS95" s="74" t="s">
        <v>261</v>
      </c>
      <c r="BT95" s="68" t="str">
        <f>IF(AQ95&gt;AQ$147, AQ95-AQ$147,"")</f>
        <v/>
      </c>
      <c r="BU95" s="68" t="str">
        <f>IF(AR95&gt;AR$147, AR95-AR$147,"")</f>
        <v/>
      </c>
      <c r="BV95" s="68" t="str">
        <f>IF(AS95&gt;AS$147, AS95-AS$147,"")</f>
        <v/>
      </c>
      <c r="BW95" s="68" t="str">
        <f>IF(AT95&gt;AT$147, AT95-AT$147,"")</f>
        <v/>
      </c>
      <c r="BX95" s="68" t="str">
        <f>IF(AU95&gt;AU$147, AU95-AU$147,"")</f>
        <v/>
      </c>
      <c r="BY95" s="68" t="str">
        <f>IF(AV95&gt;AV$147, AV95-AV$147,"")</f>
        <v/>
      </c>
      <c r="BZ95" s="68" t="str">
        <f>IF(AW95&gt;AW$147, AW95-AW$147,"")</f>
        <v/>
      </c>
      <c r="CA95" s="68" t="str">
        <f>IF(AX95&gt;AX$147, AX95-AX$147,"")</f>
        <v/>
      </c>
      <c r="CB95" s="68" t="str">
        <f>IF(AY95&gt;AY$147, AY95-AY$147,"")</f>
        <v/>
      </c>
      <c r="CC95" s="68" t="str">
        <f>IF(AZ95&gt;AZ$147, AZ95-AZ$147,"")</f>
        <v/>
      </c>
      <c r="CD95" s="68" t="str">
        <f>IF(BA95&gt;BA$147, BA95-BA$147,"")</f>
        <v/>
      </c>
      <c r="CE95" s="68" t="str">
        <f>IF(BB95&gt;BB$147, BB95-BB$147,"")</f>
        <v/>
      </c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75"/>
    </row>
    <row r="96" spans="1:97" x14ac:dyDescent="0.15">
      <c r="A96" s="18">
        <v>64</v>
      </c>
      <c r="B96" s="24" t="s">
        <v>52</v>
      </c>
      <c r="C96" s="18" t="s">
        <v>47</v>
      </c>
      <c r="D96" s="18" t="s">
        <v>0</v>
      </c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18"/>
      <c r="AF96" s="18"/>
      <c r="AG96" s="18"/>
      <c r="AH96" s="18"/>
      <c r="AI96" s="18"/>
      <c r="AJ96" s="18"/>
      <c r="AK96" s="18"/>
      <c r="AL96" s="18"/>
      <c r="AM96" s="18"/>
      <c r="AN96" s="18">
        <v>15</v>
      </c>
      <c r="AO96" s="18"/>
      <c r="AP96" s="18"/>
      <c r="AQ96" s="20"/>
      <c r="AR96" s="20"/>
      <c r="AS96" s="20"/>
      <c r="AT96" s="20"/>
      <c r="AU96" s="20"/>
      <c r="AV96" s="20"/>
      <c r="AW96" s="21"/>
      <c r="AX96" s="21"/>
      <c r="AY96" s="21"/>
      <c r="AZ96" s="21"/>
      <c r="BA96" s="21"/>
      <c r="BB96" s="21"/>
      <c r="BC96" s="26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>
        <f>SUM(E96:BO96)</f>
        <v>15</v>
      </c>
      <c r="BQ96" s="18">
        <v>14</v>
      </c>
      <c r="BR96" s="22">
        <v>1</v>
      </c>
      <c r="BS96" s="22" t="s">
        <v>262</v>
      </c>
      <c r="BT96" s="18" t="str">
        <f>IF(AQ96&gt;AQ$147, AQ96-AQ$147,"")</f>
        <v/>
      </c>
      <c r="BU96" s="18" t="str">
        <f>IF(AR96&gt;AR$147, AR96-AR$147,"")</f>
        <v/>
      </c>
      <c r="BV96" s="18" t="str">
        <f>IF(AS96&gt;AS$147, AS96-AS$147,"")</f>
        <v/>
      </c>
      <c r="BW96" s="18" t="str">
        <f>IF(AT96&gt;AT$147, AT96-AT$147,"")</f>
        <v/>
      </c>
      <c r="BX96" s="18" t="str">
        <f>IF(AU96&gt;AU$147, AU96-AU$147,"")</f>
        <v/>
      </c>
      <c r="BY96" s="18" t="str">
        <f>IF(AV96&gt;AV$147, AV96-AV$147,"")</f>
        <v/>
      </c>
      <c r="BZ96" s="18" t="str">
        <f>IF(AW96&gt;AW$147, AW96-AW$147,"")</f>
        <v/>
      </c>
      <c r="CA96" s="18" t="str">
        <f>IF(AX96&gt;AX$147, AX96-AX$147,"")</f>
        <v/>
      </c>
      <c r="CB96" s="18" t="str">
        <f>IF(AY96&gt;AY$147, AY96-AY$147,"")</f>
        <v/>
      </c>
      <c r="CC96" s="18" t="str">
        <f>IF(AZ96&gt;AZ$147, AZ96-AZ$147,"")</f>
        <v/>
      </c>
      <c r="CD96" s="18" t="str">
        <f>IF(BA96&gt;BA$147, BA96-BA$147,"")</f>
        <v/>
      </c>
      <c r="CE96" s="18" t="str">
        <f>IF(BB96&gt;BB$147, BB96-BB$147,"")</f>
        <v/>
      </c>
      <c r="CF96" s="18">
        <f>COUNTIF(BT96:CE96, "&gt;0")</f>
        <v>0</v>
      </c>
      <c r="CG96" s="18" t="str">
        <f>IF($CF96=1,BT96,"")</f>
        <v/>
      </c>
      <c r="CH96" s="18" t="str">
        <f>IF($CF96=1,BU96,"")</f>
        <v/>
      </c>
      <c r="CI96" s="18" t="str">
        <f>IF($CF96=1,BV96,"")</f>
        <v/>
      </c>
      <c r="CJ96" s="18" t="str">
        <f>IF($CF96=1,BW96,"")</f>
        <v/>
      </c>
      <c r="CK96" s="18" t="str">
        <f>IF($CF96=1,BX96,"")</f>
        <v/>
      </c>
      <c r="CL96" s="18" t="str">
        <f>IF($CF96=1,BY96,"")</f>
        <v/>
      </c>
      <c r="CM96" s="18" t="str">
        <f>IF($CF96=1,BZ96,"")</f>
        <v/>
      </c>
      <c r="CN96" s="18" t="str">
        <f>IF($CF96=1,CA96,"")</f>
        <v/>
      </c>
      <c r="CO96" s="18" t="str">
        <f>IF($CF96=1,CB96,"")</f>
        <v/>
      </c>
      <c r="CP96" s="18" t="str">
        <f>IF($CF96=1,CC96,"")</f>
        <v/>
      </c>
      <c r="CQ96" s="18" t="str">
        <f>IF($CF96=1,CD96,"")</f>
        <v/>
      </c>
      <c r="CR96" s="18" t="str">
        <f>IF($CF96=1,CE96,"")</f>
        <v/>
      </c>
      <c r="CS96" s="24">
        <f>SUM(AE96:BO96)</f>
        <v>15</v>
      </c>
    </row>
    <row r="97" spans="1:97" x14ac:dyDescent="0.15">
      <c r="A97" s="18">
        <v>65</v>
      </c>
      <c r="B97" s="24" t="s">
        <v>52</v>
      </c>
      <c r="C97" s="18" t="s">
        <v>47</v>
      </c>
      <c r="D97" s="18" t="s">
        <v>10</v>
      </c>
      <c r="E97" s="19"/>
      <c r="F97" s="19"/>
      <c r="G97" s="19">
        <v>10</v>
      </c>
      <c r="H97" s="19"/>
      <c r="I97" s="19"/>
      <c r="J97" s="19"/>
      <c r="K97" s="19"/>
      <c r="L97" s="19"/>
      <c r="M97" s="19"/>
      <c r="N97" s="19"/>
      <c r="O97" s="1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18"/>
      <c r="AF97" s="18"/>
      <c r="AG97" s="18"/>
      <c r="AH97" s="18"/>
      <c r="AI97" s="18"/>
      <c r="AJ97" s="18"/>
      <c r="AK97" s="18"/>
      <c r="AL97" s="18"/>
      <c r="AM97" s="18"/>
      <c r="AN97" s="18">
        <v>25</v>
      </c>
      <c r="AO97" s="18"/>
      <c r="AP97" s="18"/>
      <c r="AQ97" s="20"/>
      <c r="AR97" s="20"/>
      <c r="AS97" s="20"/>
      <c r="AT97" s="20"/>
      <c r="AU97" s="20"/>
      <c r="AV97" s="20">
        <v>10</v>
      </c>
      <c r="AW97" s="21"/>
      <c r="AX97" s="21"/>
      <c r="AY97" s="21"/>
      <c r="AZ97" s="21">
        <v>10</v>
      </c>
      <c r="BA97" s="21"/>
      <c r="BB97" s="21"/>
      <c r="BC97" s="26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>
        <f>SUM(E97:BO97)</f>
        <v>55</v>
      </c>
      <c r="BQ97" s="18">
        <v>24</v>
      </c>
      <c r="BR97" s="22">
        <v>1</v>
      </c>
      <c r="BS97" s="22" t="s">
        <v>263</v>
      </c>
      <c r="BT97" s="18" t="str">
        <f>IF(AQ97&gt;AQ$147, AQ97-AQ$147,"")</f>
        <v/>
      </c>
      <c r="BU97" s="18" t="str">
        <f>IF(AR97&gt;AR$147, AR97-AR$147,"")</f>
        <v/>
      </c>
      <c r="BV97" s="18" t="str">
        <f>IF(AS97&gt;AS$147, AS97-AS$147,"")</f>
        <v/>
      </c>
      <c r="BW97" s="18" t="str">
        <f>IF(AT97&gt;AT$147, AT97-AT$147,"")</f>
        <v/>
      </c>
      <c r="BX97" s="18" t="str">
        <f>IF(AU97&gt;AU$147, AU97-AU$147,"")</f>
        <v/>
      </c>
      <c r="BY97" s="18" t="str">
        <f>IF(AV97&gt;AV$147, AV97-AV$147,"")</f>
        <v/>
      </c>
      <c r="BZ97" s="18" t="str">
        <f>IF(AW97&gt;AW$147, AW97-AW$147,"")</f>
        <v/>
      </c>
      <c r="CA97" s="18" t="str">
        <f>IF(AX97&gt;AX$147, AX97-AX$147,"")</f>
        <v/>
      </c>
      <c r="CB97" s="18" t="str">
        <f>IF(AY97&gt;AY$147, AY97-AY$147,"")</f>
        <v/>
      </c>
      <c r="CC97" s="18" t="str">
        <f>IF(AZ97&gt;AZ$147, AZ97-AZ$147,"")</f>
        <v/>
      </c>
      <c r="CD97" s="18" t="str">
        <f>IF(BA97&gt;BA$147, BA97-BA$147,"")</f>
        <v/>
      </c>
      <c r="CE97" s="18" t="str">
        <f>IF(BB97&gt;BB$147, BB97-BB$147,"")</f>
        <v/>
      </c>
      <c r="CF97" s="18">
        <f>COUNTIF(BT97:CE97, "&gt;0")</f>
        <v>0</v>
      </c>
      <c r="CG97" s="18" t="str">
        <f>IF($CF97=1,BT97,"")</f>
        <v/>
      </c>
      <c r="CH97" s="18" t="str">
        <f>IF($CF97=1,BU97,"")</f>
        <v/>
      </c>
      <c r="CI97" s="18" t="str">
        <f>IF($CF97=1,BV97,"")</f>
        <v/>
      </c>
      <c r="CJ97" s="18" t="str">
        <f>IF($CF97=1,BW97,"")</f>
        <v/>
      </c>
      <c r="CK97" s="18" t="str">
        <f>IF($CF97=1,BX97,"")</f>
        <v/>
      </c>
      <c r="CL97" s="18" t="str">
        <f>IF($CF97=1,BY97,"")</f>
        <v/>
      </c>
      <c r="CM97" s="18" t="str">
        <f>IF($CF97=1,BZ97,"")</f>
        <v/>
      </c>
      <c r="CN97" s="18" t="str">
        <f>IF($CF97=1,CA97,"")</f>
        <v/>
      </c>
      <c r="CO97" s="18" t="str">
        <f>IF($CF97=1,CB97,"")</f>
        <v/>
      </c>
      <c r="CP97" s="18" t="str">
        <f>IF($CF97=1,CC97,"")</f>
        <v/>
      </c>
      <c r="CQ97" s="18" t="str">
        <f>IF($CF97=1,CD97,"")</f>
        <v/>
      </c>
      <c r="CR97" s="18" t="str">
        <f>IF($CF97=1,CE97,"")</f>
        <v/>
      </c>
      <c r="CS97" s="24">
        <f>SUM(AE97:BO97)</f>
        <v>45</v>
      </c>
    </row>
    <row r="98" spans="1:97" x14ac:dyDescent="0.15">
      <c r="A98" s="1">
        <v>98</v>
      </c>
      <c r="B98" s="3" t="s">
        <v>150</v>
      </c>
      <c r="C98" s="3" t="s">
        <v>57</v>
      </c>
      <c r="D98" s="1" t="s"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>
        <v>50</v>
      </c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50</v>
      </c>
      <c r="BQ98" s="1">
        <v>44</v>
      </c>
      <c r="BR98" s="17">
        <v>1</v>
      </c>
      <c r="BS98" s="17" t="s">
        <v>264</v>
      </c>
      <c r="BT98" s="1" t="str">
        <f>IF(AQ98&gt;AQ$147, AQ98-AQ$147,"")</f>
        <v/>
      </c>
      <c r="BU98" s="1" t="str">
        <f>IF(AR98&gt;AR$147, AR98-AR$147,"")</f>
        <v/>
      </c>
      <c r="BV98" s="1" t="str">
        <f>IF(AS98&gt;AS$147, AS98-AS$147,"")</f>
        <v/>
      </c>
      <c r="BW98" s="1" t="str">
        <f>IF(AT98&gt;AT$147, AT98-AT$147,"")</f>
        <v/>
      </c>
      <c r="BX98" s="1" t="str">
        <f>IF(AU98&gt;AU$147, AU98-AU$147,"")</f>
        <v/>
      </c>
      <c r="BY98" s="1" t="str">
        <f>IF(AV98&gt;AV$147, AV98-AV$147,"")</f>
        <v/>
      </c>
      <c r="BZ98" s="1" t="str">
        <f>IF(AW98&gt;AW$147, AW98-AW$147,"")</f>
        <v/>
      </c>
      <c r="CA98" s="1" t="str">
        <f>IF(AX98&gt;AX$147, AX98-AX$147,"")</f>
        <v/>
      </c>
      <c r="CB98" s="1" t="str">
        <f>IF(AY98&gt;AY$147, AY98-AY$147,"")</f>
        <v/>
      </c>
      <c r="CC98" s="1" t="str">
        <f>IF(AZ98&gt;AZ$147, AZ98-AZ$147,"")</f>
        <v/>
      </c>
      <c r="CD98" s="1" t="str">
        <f>IF(BA98&gt;BA$147, BA98-BA$147,"")</f>
        <v/>
      </c>
      <c r="CE98" s="1" t="str">
        <f>IF(BB98&gt;BB$147, BB98-BB$147,"")</f>
        <v/>
      </c>
      <c r="CF98" s="1">
        <f>COUNTIF(BT98:CE98, "&gt;0")</f>
        <v>0</v>
      </c>
      <c r="CG98" s="1" t="str">
        <f>IF($CF98=1,BT98,"")</f>
        <v/>
      </c>
      <c r="CH98" s="1" t="str">
        <f>IF($CF98=1,BU98,"")</f>
        <v/>
      </c>
      <c r="CI98" s="1" t="str">
        <f>IF($CF98=1,BV98,"")</f>
        <v/>
      </c>
      <c r="CJ98" s="1" t="str">
        <f>IF($CF98=1,BW98,"")</f>
        <v/>
      </c>
      <c r="CK98" s="1" t="str">
        <f>IF($CF98=1,BX98,"")</f>
        <v/>
      </c>
      <c r="CL98" s="1" t="str">
        <f>IF($CF98=1,BY98,"")</f>
        <v/>
      </c>
      <c r="CM98" s="1" t="str">
        <f>IF($CF98=1,BZ98,"")</f>
        <v/>
      </c>
      <c r="CN98" s="1" t="str">
        <f>IF($CF98=1,CA98,"")</f>
        <v/>
      </c>
      <c r="CO98" s="1" t="str">
        <f>IF($CF98=1,CB98,"")</f>
        <v/>
      </c>
      <c r="CP98" s="1" t="str">
        <f>IF($CF98=1,CC98,"")</f>
        <v/>
      </c>
      <c r="CQ98" s="1" t="str">
        <f>IF($CF98=1,CD98,"")</f>
        <v/>
      </c>
      <c r="CR98" s="1" t="str">
        <f>IF($CF98=1,CE98,"")</f>
        <v/>
      </c>
      <c r="CS98" s="3">
        <f>SUM(AE98:BO98)</f>
        <v>50</v>
      </c>
    </row>
    <row r="99" spans="1:97" x14ac:dyDescent="0.15">
      <c r="A99" s="1">
        <v>99</v>
      </c>
      <c r="B99" s="3" t="s">
        <v>150</v>
      </c>
      <c r="C99" s="3" t="s">
        <v>57</v>
      </c>
      <c r="D99" s="1" t="s">
        <v>10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>
        <v>200</v>
      </c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200</v>
      </c>
      <c r="BQ99" s="1">
        <v>194</v>
      </c>
      <c r="BR99" s="17">
        <v>1</v>
      </c>
      <c r="BS99" s="17" t="s">
        <v>265</v>
      </c>
      <c r="BT99" s="1" t="str">
        <f>IF(AQ99&gt;AQ$147, AQ99-AQ$147,"")</f>
        <v/>
      </c>
      <c r="BU99" s="1" t="str">
        <f>IF(AR99&gt;AR$147, AR99-AR$147,"")</f>
        <v/>
      </c>
      <c r="BV99" s="1" t="str">
        <f>IF(AS99&gt;AS$147, AS99-AS$147,"")</f>
        <v/>
      </c>
      <c r="BW99" s="1" t="str">
        <f>IF(AT99&gt;AT$147, AT99-AT$147,"")</f>
        <v/>
      </c>
      <c r="BX99" s="1" t="str">
        <f>IF(AU99&gt;AU$147, AU99-AU$147,"")</f>
        <v/>
      </c>
      <c r="BY99" s="1" t="str">
        <f>IF(AV99&gt;AV$147, AV99-AV$147,"")</f>
        <v/>
      </c>
      <c r="BZ99" s="1" t="str">
        <f>IF(AW99&gt;AW$147, AW99-AW$147,"")</f>
        <v/>
      </c>
      <c r="CA99" s="1" t="str">
        <f>IF(AX99&gt;AX$147, AX99-AX$147,"")</f>
        <v/>
      </c>
      <c r="CB99" s="1" t="str">
        <f>IF(AY99&gt;AY$147, AY99-AY$147,"")</f>
        <v/>
      </c>
      <c r="CC99" s="1" t="str">
        <f>IF(AZ99&gt;AZ$147, AZ99-AZ$147,"")</f>
        <v/>
      </c>
      <c r="CD99" s="1" t="str">
        <f>IF(BA99&gt;BA$147, BA99-BA$147,"")</f>
        <v/>
      </c>
      <c r="CE99" s="1" t="str">
        <f>IF(BB99&gt;BB$147, BB99-BB$147,"")</f>
        <v/>
      </c>
      <c r="CF99" s="1">
        <f>COUNTIF(BT99:CE99, "&gt;0")</f>
        <v>0</v>
      </c>
      <c r="CG99" s="1" t="str">
        <f>IF($CF99=1,BT99,"")</f>
        <v/>
      </c>
      <c r="CH99" s="1" t="str">
        <f>IF($CF99=1,BU99,"")</f>
        <v/>
      </c>
      <c r="CI99" s="1" t="str">
        <f>IF($CF99=1,BV99,"")</f>
        <v/>
      </c>
      <c r="CJ99" s="1" t="str">
        <f>IF($CF99=1,BW99,"")</f>
        <v/>
      </c>
      <c r="CK99" s="1" t="str">
        <f>IF($CF99=1,BX99,"")</f>
        <v/>
      </c>
      <c r="CL99" s="1" t="str">
        <f>IF($CF99=1,BY99,"")</f>
        <v/>
      </c>
      <c r="CM99" s="1" t="str">
        <f>IF($CF99=1,BZ99,"")</f>
        <v/>
      </c>
      <c r="CN99" s="1" t="str">
        <f>IF($CF99=1,CA99,"")</f>
        <v/>
      </c>
      <c r="CO99" s="1" t="str">
        <f>IF($CF99=1,CB99,"")</f>
        <v/>
      </c>
      <c r="CP99" s="1" t="str">
        <f>IF($CF99=1,CC99,"")</f>
        <v/>
      </c>
      <c r="CQ99" s="1" t="str">
        <f>IF($CF99=1,CD99,"")</f>
        <v/>
      </c>
      <c r="CR99" s="1" t="str">
        <f>IF($CF99=1,CE99,"")</f>
        <v/>
      </c>
      <c r="CS99" s="3">
        <f>SUM(AE99:BO99)</f>
        <v>200</v>
      </c>
    </row>
    <row r="100" spans="1:97" ht="27" x14ac:dyDescent="0.15">
      <c r="A100" s="1"/>
      <c r="B100" s="3" t="s">
        <v>232</v>
      </c>
      <c r="C100" s="3" t="s">
        <v>233</v>
      </c>
      <c r="D100" s="1" t="s">
        <v>227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>
        <v>5</v>
      </c>
      <c r="U100" s="28"/>
      <c r="V100" s="28"/>
      <c r="W100" s="28">
        <v>5</v>
      </c>
      <c r="X100" s="28"/>
      <c r="Y100" s="28"/>
      <c r="Z100" s="28">
        <v>5</v>
      </c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ref="BP100:BP105" si="3">SUM(E100:BO100)</f>
        <v>20</v>
      </c>
      <c r="BQ100" s="1">
        <v>3</v>
      </c>
      <c r="BR100" s="17">
        <v>2</v>
      </c>
      <c r="BS100" s="17" t="s">
        <v>296</v>
      </c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27" x14ac:dyDescent="0.15">
      <c r="A101" s="1"/>
      <c r="B101" s="1" t="s">
        <v>137</v>
      </c>
      <c r="C101" s="1" t="s">
        <v>136</v>
      </c>
      <c r="D101" s="1" t="s">
        <v>109</v>
      </c>
      <c r="E101" s="6"/>
      <c r="F101" s="6"/>
      <c r="G101" s="6">
        <v>10</v>
      </c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10</v>
      </c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3"/>
        <v>40</v>
      </c>
      <c r="BQ101" s="1">
        <v>4</v>
      </c>
      <c r="BR101" s="17">
        <v>2</v>
      </c>
      <c r="BS101" s="17" t="s">
        <v>267</v>
      </c>
      <c r="BT101" s="1" t="str">
        <f>IF(AQ101&gt;AQ$147, AQ101-AQ$147,"")</f>
        <v/>
      </c>
      <c r="BU101" s="1" t="str">
        <f>IF(AR101&gt;AR$147, AR101-AR$147,"")</f>
        <v/>
      </c>
      <c r="BV101" s="1" t="str">
        <f>IF(AS101&gt;AS$147, AS101-AS$147,"")</f>
        <v/>
      </c>
      <c r="BW101" s="1" t="str">
        <f>IF(AT101&gt;AT$147, AT101-AT$147,"")</f>
        <v/>
      </c>
      <c r="BX101" s="1" t="str">
        <f>IF(AU101&gt;AU$147, AU101-AU$147,"")</f>
        <v/>
      </c>
      <c r="BY101" s="1" t="str">
        <f>IF(AV101&gt;AV$147, AV101-AV$147,"")</f>
        <v/>
      </c>
      <c r="BZ101" s="1" t="str">
        <f>IF(AW101&gt;AW$147, AW101-AW$147,"")</f>
        <v/>
      </c>
      <c r="CA101" s="1" t="str">
        <f>IF(AX101&gt;AX$147, AX101-AX$147,"")</f>
        <v/>
      </c>
      <c r="CB101" s="1" t="str">
        <f>IF(AY101&gt;AY$147, AY101-AY$147,"")</f>
        <v/>
      </c>
      <c r="CC101" s="1" t="str">
        <f>IF(AZ101&gt;AZ$147, AZ101-AZ$147,"")</f>
        <v/>
      </c>
      <c r="CD101" s="1" t="str">
        <f>IF(BA101&gt;BA$147, BA101-BA$147,"")</f>
        <v/>
      </c>
      <c r="CE101" s="1" t="str">
        <f>IF(BB101&gt;BB$147, BB101-BB$147,"")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27" x14ac:dyDescent="0.15">
      <c r="A102" s="1"/>
      <c r="B102" s="1" t="s">
        <v>143</v>
      </c>
      <c r="C102" s="1" t="s">
        <v>104</v>
      </c>
      <c r="D102" s="1" t="s">
        <v>146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3"/>
        <v>40</v>
      </c>
      <c r="BQ102" s="1">
        <v>4</v>
      </c>
      <c r="BR102" s="17">
        <v>2</v>
      </c>
      <c r="BS102" s="17" t="s">
        <v>267</v>
      </c>
      <c r="BT102" s="1" t="str">
        <f>IF(AQ102&gt;AQ$147, AQ102-AQ$147,"")</f>
        <v/>
      </c>
      <c r="BU102" s="1" t="str">
        <f>IF(AR102&gt;AR$147, AR102-AR$147,"")</f>
        <v/>
      </c>
      <c r="BV102" s="1" t="str">
        <f>IF(AS102&gt;AS$147, AS102-AS$147,"")</f>
        <v/>
      </c>
      <c r="BW102" s="1" t="str">
        <f>IF(AT102&gt;AT$147, AT102-AT$147,"")</f>
        <v/>
      </c>
      <c r="BX102" s="1" t="str">
        <f>IF(AU102&gt;AU$147, AU102-AU$147,"")</f>
        <v/>
      </c>
      <c r="BY102" s="1" t="str">
        <f>IF(AV102&gt;AV$147, AV102-AV$147,"")</f>
        <v/>
      </c>
      <c r="BZ102" s="1" t="str">
        <f>IF(AW102&gt;AW$147, AW102-AW$147,"")</f>
        <v/>
      </c>
      <c r="CA102" s="1" t="str">
        <f>IF(AX102&gt;AX$147, AX102-AX$147,"")</f>
        <v/>
      </c>
      <c r="CB102" s="1" t="str">
        <f>IF(AY102&gt;AY$147, AY102-AY$147,"")</f>
        <v/>
      </c>
      <c r="CC102" s="1" t="str">
        <f>IF(AZ102&gt;AZ$147, AZ102-AZ$147,"")</f>
        <v/>
      </c>
      <c r="CD102" s="1" t="str">
        <f>IF(BA102&gt;BA$147, BA102-BA$147,"")</f>
        <v/>
      </c>
      <c r="CE102" s="1" t="str">
        <f>IF(BB102&gt;BB$147, BB102-BB$147,"")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27" x14ac:dyDescent="0.15">
      <c r="A103" s="1"/>
      <c r="B103" s="1" t="s">
        <v>161</v>
      </c>
      <c r="C103" s="1" t="s">
        <v>129</v>
      </c>
      <c r="D103" s="1" t="s">
        <v>108</v>
      </c>
      <c r="E103" s="6">
        <v>15</v>
      </c>
      <c r="F103" s="6"/>
      <c r="G103" s="6"/>
      <c r="H103" s="6"/>
      <c r="I103" s="6"/>
      <c r="J103" s="6"/>
      <c r="K103" s="6"/>
      <c r="L103" s="6"/>
      <c r="M103" s="6">
        <v>15</v>
      </c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>
        <v>15</v>
      </c>
      <c r="AX103" s="2"/>
      <c r="AY103" s="2"/>
      <c r="AZ103" s="2"/>
      <c r="BA103" s="2">
        <v>15</v>
      </c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3"/>
        <v>60</v>
      </c>
      <c r="BQ103" s="1">
        <v>4</v>
      </c>
      <c r="BR103" s="17">
        <v>2</v>
      </c>
      <c r="BS103" s="17" t="s">
        <v>268</v>
      </c>
      <c r="BT103" s="1" t="str">
        <f>IF(AQ103&gt;AQ$147, AQ103-AQ$147,"")</f>
        <v/>
      </c>
      <c r="BU103" s="1" t="str">
        <f>IF(AR103&gt;AR$147, AR103-AR$147,"")</f>
        <v/>
      </c>
      <c r="BV103" s="1" t="str">
        <f>IF(AS103&gt;AS$147, AS103-AS$147,"")</f>
        <v/>
      </c>
      <c r="BW103" s="1" t="str">
        <f>IF(AT103&gt;AT$147, AT103-AT$147,"")</f>
        <v/>
      </c>
      <c r="BX103" s="1" t="str">
        <f>IF(AU103&gt;AU$147, AU103-AU$147,"")</f>
        <v/>
      </c>
      <c r="BY103" s="1" t="str">
        <f>IF(AV103&gt;AV$147, AV103-AV$147,"")</f>
        <v/>
      </c>
      <c r="BZ103" s="1" t="str">
        <f>IF(AW103&gt;AW$147, AW103-AW$147,"")</f>
        <v/>
      </c>
      <c r="CA103" s="1" t="str">
        <f>IF(AX103&gt;AX$147, AX103-AX$147,"")</f>
        <v/>
      </c>
      <c r="CB103" s="1" t="str">
        <f>IF(AY103&gt;AY$147, AY103-AY$147,"")</f>
        <v/>
      </c>
      <c r="CC103" s="1" t="str">
        <f>IF(AZ103&gt;AZ$147, AZ103-AZ$147,"")</f>
        <v/>
      </c>
      <c r="CD103" s="1" t="str">
        <f>IF(BA103&gt;BA$147, BA103-BA$147,"")</f>
        <v/>
      </c>
      <c r="CE103" s="1" t="str">
        <f>IF(BB103&gt;BB$147, BB103-BB$147,"")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27" x14ac:dyDescent="0.15">
      <c r="A104" s="1"/>
      <c r="B104" s="1" t="s">
        <v>147</v>
      </c>
      <c r="C104" s="1" t="s">
        <v>89</v>
      </c>
      <c r="D104" s="1" t="s">
        <v>91</v>
      </c>
      <c r="E104" s="6">
        <v>10</v>
      </c>
      <c r="F104" s="6"/>
      <c r="G104" s="6">
        <v>10</v>
      </c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>
        <v>15</v>
      </c>
      <c r="AU104" s="4"/>
      <c r="AV104" s="4"/>
      <c r="AW104" s="2"/>
      <c r="AX104" s="2"/>
      <c r="AY104" s="2"/>
      <c r="AZ104" s="2">
        <v>15</v>
      </c>
      <c r="BA104" s="2">
        <v>15</v>
      </c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 t="shared" si="3"/>
        <v>65</v>
      </c>
      <c r="BQ104" s="1">
        <v>4</v>
      </c>
      <c r="BR104" s="17">
        <v>2</v>
      </c>
      <c r="BS104" s="17" t="s">
        <v>269</v>
      </c>
      <c r="BT104" s="1" t="str">
        <f>IF(AQ104&gt;AQ$147, AQ104-AQ$147,"")</f>
        <v/>
      </c>
      <c r="BU104" s="1" t="str">
        <f>IF(AR104&gt;AR$147, AR104-AR$147,"")</f>
        <v/>
      </c>
      <c r="BV104" s="1" t="str">
        <f>IF(AS104&gt;AS$147, AS104-AS$147,"")</f>
        <v/>
      </c>
      <c r="BW104" s="1" t="str">
        <f>IF(AT104&gt;AT$147, AT104-AT$147,"")</f>
        <v/>
      </c>
      <c r="BX104" s="1" t="str">
        <f>IF(AU104&gt;AU$147, AU104-AU$147,"")</f>
        <v/>
      </c>
      <c r="BY104" s="1" t="str">
        <f>IF(AV104&gt;AV$147, AV104-AV$147,"")</f>
        <v/>
      </c>
      <c r="BZ104" s="1" t="str">
        <f>IF(AW104&gt;AW$147, AW104-AW$147,"")</f>
        <v/>
      </c>
      <c r="CA104" s="1" t="str">
        <f>IF(AX104&gt;AX$147, AX104-AX$147,"")</f>
        <v/>
      </c>
      <c r="CB104" s="1" t="str">
        <f>IF(AY104&gt;AY$147, AY104-AY$147,"")</f>
        <v/>
      </c>
      <c r="CC104" s="1" t="str">
        <f>IF(AZ104&gt;AZ$147, AZ104-AZ$147,"")</f>
        <v/>
      </c>
      <c r="CD104" s="1" t="str">
        <f>IF(BA104&gt;BA$147, BA104-BA$147,"")</f>
        <v/>
      </c>
      <c r="CE104" s="1" t="str">
        <f>IF(BB104&gt;BB$147, BB104-BB$147,"")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27" x14ac:dyDescent="0.15">
      <c r="A105" s="1"/>
      <c r="B105" s="3" t="s">
        <v>234</v>
      </c>
      <c r="C105" s="3" t="s">
        <v>235</v>
      </c>
      <c r="D105" s="1" t="s">
        <v>228</v>
      </c>
      <c r="E105" s="6"/>
      <c r="F105" s="6"/>
      <c r="G105" s="6">
        <v>10</v>
      </c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10</v>
      </c>
      <c r="Y105" s="28"/>
      <c r="Z105" s="28"/>
      <c r="AA105" s="28"/>
      <c r="AB105" s="28"/>
      <c r="AC105" s="28"/>
      <c r="AD105" s="28">
        <v>10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3"/>
        <v>40</v>
      </c>
      <c r="BQ105" s="1">
        <v>4</v>
      </c>
      <c r="BR105" s="17">
        <v>2</v>
      </c>
      <c r="BS105" s="17" t="s">
        <v>266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27" x14ac:dyDescent="0.15">
      <c r="A106" s="1"/>
      <c r="B106" s="1" t="s">
        <v>100</v>
      </c>
      <c r="C106" s="1" t="s">
        <v>93</v>
      </c>
      <c r="D106" s="1" t="s">
        <v>90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>
        <v>5</v>
      </c>
      <c r="AP106" s="1">
        <v>1</v>
      </c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6</v>
      </c>
      <c r="BQ106" s="1">
        <v>6</v>
      </c>
      <c r="BR106" s="17">
        <v>2</v>
      </c>
      <c r="BS106" s="17" t="s">
        <v>271</v>
      </c>
      <c r="BT106" s="1" t="str">
        <f>IF(AQ106&gt;AQ$147, AQ106-AQ$147,"")</f>
        <v/>
      </c>
      <c r="BU106" s="1" t="str">
        <f>IF(AR106&gt;AR$147, AR106-AR$147,"")</f>
        <v/>
      </c>
      <c r="BV106" s="1" t="str">
        <f>IF(AS106&gt;AS$147, AS106-AS$147,"")</f>
        <v/>
      </c>
      <c r="BW106" s="1" t="str">
        <f>IF(AT106&gt;AT$147, AT106-AT$147,"")</f>
        <v/>
      </c>
      <c r="BX106" s="1" t="str">
        <f>IF(AU106&gt;AU$147, AU106-AU$147,"")</f>
        <v/>
      </c>
      <c r="BY106" s="1" t="str">
        <f>IF(AV106&gt;AV$147, AV106-AV$147,"")</f>
        <v/>
      </c>
      <c r="BZ106" s="1" t="str">
        <f>IF(AW106&gt;AW$147, AW106-AW$147,"")</f>
        <v/>
      </c>
      <c r="CA106" s="1" t="str">
        <f>IF(AX106&gt;AX$147, AX106-AX$147,"")</f>
        <v/>
      </c>
      <c r="CB106" s="1" t="str">
        <f>IF(AY106&gt;AY$147, AY106-AY$147,"")</f>
        <v/>
      </c>
      <c r="CC106" s="1" t="str">
        <f>IF(AZ106&gt;AZ$147, AZ106-AZ$147,"")</f>
        <v/>
      </c>
      <c r="CD106" s="1" t="str">
        <f>IF(BA106&gt;BA$147, BA106-BA$147,"")</f>
        <v/>
      </c>
      <c r="CE106" s="1" t="str">
        <f>IF(BB106&gt;BB$147, BB106-BB$147,"")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27" x14ac:dyDescent="0.15">
      <c r="A107" s="1"/>
      <c r="B107" s="1" t="s">
        <v>190</v>
      </c>
      <c r="C107" s="1" t="s">
        <v>26</v>
      </c>
      <c r="D107" s="1" t="s">
        <v>20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>
        <v>5</v>
      </c>
      <c r="AP107" s="1">
        <v>1</v>
      </c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6</v>
      </c>
      <c r="BQ107" s="1">
        <v>6</v>
      </c>
      <c r="BR107" s="17">
        <v>2</v>
      </c>
      <c r="BS107" s="17" t="s">
        <v>272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27" x14ac:dyDescent="0.15">
      <c r="A108" s="1"/>
      <c r="B108" s="1" t="s">
        <v>131</v>
      </c>
      <c r="C108" s="1" t="s">
        <v>129</v>
      </c>
      <c r="D108" s="1" t="s">
        <v>109</v>
      </c>
      <c r="E108" s="6"/>
      <c r="F108" s="6"/>
      <c r="G108" s="6"/>
      <c r="H108" s="6"/>
      <c r="I108" s="6">
        <v>7</v>
      </c>
      <c r="J108" s="6"/>
      <c r="K108" s="6"/>
      <c r="L108" s="6"/>
      <c r="M108" s="6"/>
      <c r="N108" s="6"/>
      <c r="O108" s="6"/>
      <c r="P108" s="28"/>
      <c r="Q108" s="28">
        <v>7</v>
      </c>
      <c r="R108" s="28">
        <v>7</v>
      </c>
      <c r="S108" s="28"/>
      <c r="T108" s="28">
        <v>7</v>
      </c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28</v>
      </c>
      <c r="BQ108" s="1">
        <v>7</v>
      </c>
      <c r="BR108" s="17">
        <v>2</v>
      </c>
      <c r="BS108" s="17" t="s">
        <v>270</v>
      </c>
      <c r="BT108" s="1" t="str">
        <f>IF(AQ108&gt;AQ$147, AQ108-AQ$147,"")</f>
        <v/>
      </c>
      <c r="BU108" s="1" t="str">
        <f>IF(AR108&gt;AR$147, AR108-AR$147,"")</f>
        <v/>
      </c>
      <c r="BV108" s="1" t="str">
        <f>IF(AS108&gt;AS$147, AS108-AS$147,"")</f>
        <v/>
      </c>
      <c r="BW108" s="1" t="str">
        <f>IF(AT108&gt;AT$147, AT108-AT$147,"")</f>
        <v/>
      </c>
      <c r="BX108" s="1" t="str">
        <f>IF(AU108&gt;AU$147, AU108-AU$147,"")</f>
        <v/>
      </c>
      <c r="BY108" s="1" t="str">
        <f>IF(AV108&gt;AV$147, AV108-AV$147,"")</f>
        <v/>
      </c>
      <c r="BZ108" s="1" t="str">
        <f>IF(AW108&gt;AW$147, AW108-AW$147,"")</f>
        <v/>
      </c>
      <c r="CA108" s="1" t="str">
        <f>IF(AX108&gt;AX$147, AX108-AX$147,"")</f>
        <v/>
      </c>
      <c r="CB108" s="1" t="str">
        <f>IF(AY108&gt;AY$147, AY108-AY$147,"")</f>
        <v/>
      </c>
      <c r="CC108" s="1" t="str">
        <f>IF(AZ108&gt;AZ$147, AZ108-AZ$147,"")</f>
        <v/>
      </c>
      <c r="CD108" s="1" t="str">
        <f>IF(BA108&gt;BA$147, BA108-BA$147,"")</f>
        <v/>
      </c>
      <c r="CE108" s="1" t="str">
        <f>IF(BB108&gt;BB$147, BB108-BB$147,"")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27" x14ac:dyDescent="0.15">
      <c r="A109" s="1"/>
      <c r="B109" s="1" t="s">
        <v>127</v>
      </c>
      <c r="C109" s="1" t="s">
        <v>125</v>
      </c>
      <c r="D109" s="1" t="s">
        <v>109</v>
      </c>
      <c r="E109" s="6"/>
      <c r="F109" s="6"/>
      <c r="G109" s="6"/>
      <c r="H109" s="6">
        <v>7</v>
      </c>
      <c r="I109" s="6"/>
      <c r="J109" s="6"/>
      <c r="K109" s="6"/>
      <c r="L109" s="6"/>
      <c r="M109" s="6"/>
      <c r="N109" s="6"/>
      <c r="O109" s="6"/>
      <c r="P109" s="28"/>
      <c r="Q109" s="28">
        <v>7</v>
      </c>
      <c r="R109" s="28"/>
      <c r="S109" s="28"/>
      <c r="T109" s="28">
        <v>7</v>
      </c>
      <c r="U109" s="28"/>
      <c r="V109" s="28"/>
      <c r="W109" s="28"/>
      <c r="X109" s="28"/>
      <c r="Y109" s="28"/>
      <c r="Z109" s="28"/>
      <c r="AA109" s="28">
        <v>7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28</v>
      </c>
      <c r="BQ109" s="1">
        <v>8</v>
      </c>
      <c r="BR109" s="17">
        <v>2</v>
      </c>
      <c r="BS109" s="17" t="s">
        <v>273</v>
      </c>
      <c r="BT109" s="1" t="str">
        <f>IF(AQ109&gt;AQ$147, AQ109-AQ$147,"")</f>
        <v/>
      </c>
      <c r="BU109" s="1" t="str">
        <f>IF(AR109&gt;AR$147, AR109-AR$147,"")</f>
        <v/>
      </c>
      <c r="BV109" s="1" t="str">
        <f>IF(AS109&gt;AS$147, AS109-AS$147,"")</f>
        <v/>
      </c>
      <c r="BW109" s="1" t="str">
        <f>IF(AT109&gt;AT$147, AT109-AT$147,"")</f>
        <v/>
      </c>
      <c r="BX109" s="1" t="str">
        <f>IF(AU109&gt;AU$147, AU109-AU$147,"")</f>
        <v/>
      </c>
      <c r="BY109" s="1" t="str">
        <f>IF(AV109&gt;AV$147, AV109-AV$147,"")</f>
        <v/>
      </c>
      <c r="BZ109" s="1" t="str">
        <f>IF(AW109&gt;AW$147, AW109-AW$147,"")</f>
        <v/>
      </c>
      <c r="CA109" s="1" t="str">
        <f>IF(AX109&gt;AX$147, AX109-AX$147,"")</f>
        <v/>
      </c>
      <c r="CB109" s="1" t="str">
        <f>IF(AY109&gt;AY$147, AY109-AY$147,"")</f>
        <v/>
      </c>
      <c r="CC109" s="1" t="str">
        <f>IF(AZ109&gt;AZ$147, AZ109-AZ$147,"")</f>
        <v/>
      </c>
      <c r="CD109" s="1" t="str">
        <f>IF(BA109&gt;BA$147, BA109-BA$147,"")</f>
        <v/>
      </c>
      <c r="CE109" s="1" t="str">
        <f>IF(BB109&gt;BB$147, BB109-BB$147,"")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27" x14ac:dyDescent="0.15">
      <c r="A110" s="1"/>
      <c r="B110" s="1" t="s">
        <v>96</v>
      </c>
      <c r="C110" s="1" t="s">
        <v>93</v>
      </c>
      <c r="D110" s="1" t="s">
        <v>97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>
        <v>3</v>
      </c>
      <c r="AP110" s="1">
        <v>5</v>
      </c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8</v>
      </c>
      <c r="BQ110" s="1">
        <v>8</v>
      </c>
      <c r="BR110" s="17">
        <v>2</v>
      </c>
      <c r="BS110" s="17" t="s">
        <v>274</v>
      </c>
      <c r="BT110" s="1" t="str">
        <f>IF(AQ110&gt;AQ$147, AQ110-AQ$147,"")</f>
        <v/>
      </c>
      <c r="BU110" s="1" t="str">
        <f>IF(AR110&gt;AR$147, AR110-AR$147,"")</f>
        <v/>
      </c>
      <c r="BV110" s="1" t="str">
        <f>IF(AS110&gt;AS$147, AS110-AS$147,"")</f>
        <v/>
      </c>
      <c r="BW110" s="1" t="str">
        <f>IF(AT110&gt;AT$147, AT110-AT$147,"")</f>
        <v/>
      </c>
      <c r="BX110" s="1" t="str">
        <f>IF(AU110&gt;AU$147, AU110-AU$147,"")</f>
        <v/>
      </c>
      <c r="BY110" s="1" t="str">
        <f>IF(AV110&gt;AV$147, AV110-AV$147,"")</f>
        <v/>
      </c>
      <c r="BZ110" s="1" t="str">
        <f>IF(AW110&gt;AW$147, AW110-AW$147,"")</f>
        <v/>
      </c>
      <c r="CA110" s="1" t="str">
        <f>IF(AX110&gt;AX$147, AX110-AX$147,"")</f>
        <v/>
      </c>
      <c r="CB110" s="1" t="str">
        <f>IF(AY110&gt;AY$147, AY110-AY$147,"")</f>
        <v/>
      </c>
      <c r="CC110" s="1" t="str">
        <f>IF(AZ110&gt;AZ$147, AZ110-AZ$147,"")</f>
        <v/>
      </c>
      <c r="CD110" s="1" t="str">
        <f>IF(BA110&gt;BA$147, BA110-BA$147,"")</f>
        <v/>
      </c>
      <c r="CE110" s="1" t="str">
        <f>IF(BB110&gt;BB$147, BB110-BB$147,"")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27" x14ac:dyDescent="0.15">
      <c r="A111" s="1"/>
      <c r="B111" s="1" t="s">
        <v>217</v>
      </c>
      <c r="C111" s="1" t="s">
        <v>106</v>
      </c>
      <c r="D111" s="1" t="s">
        <v>109</v>
      </c>
      <c r="E111" s="6"/>
      <c r="F111" s="6"/>
      <c r="G111" s="6"/>
      <c r="H111" s="6"/>
      <c r="I111" s="6">
        <v>10</v>
      </c>
      <c r="J111" s="6"/>
      <c r="K111" s="6"/>
      <c r="L111" s="6"/>
      <c r="M111" s="6"/>
      <c r="N111" s="6"/>
      <c r="O111" s="6"/>
      <c r="P111" s="28"/>
      <c r="Q111" s="28"/>
      <c r="R111" s="28">
        <v>10</v>
      </c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>
        <v>10</v>
      </c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8</v>
      </c>
      <c r="BR111" s="17">
        <v>2</v>
      </c>
      <c r="BS111" s="17" t="s">
        <v>276</v>
      </c>
      <c r="BT111" s="1" t="str">
        <f>IF(AQ111&gt;AQ$147, AQ111-AQ$147,"")</f>
        <v/>
      </c>
      <c r="BU111" s="1" t="str">
        <f>IF(AR111&gt;AR$147, AR111-AR$147,"")</f>
        <v/>
      </c>
      <c r="BV111" s="1" t="str">
        <f>IF(AS111&gt;AS$147, AS111-AS$147,"")</f>
        <v/>
      </c>
      <c r="BW111" s="1" t="str">
        <f>IF(AT111&gt;AT$147, AT111-AT$147,"")</f>
        <v/>
      </c>
      <c r="BX111" s="1" t="str">
        <f>IF(AU111&gt;AU$147, AU111-AU$147,"")</f>
        <v/>
      </c>
      <c r="BY111" s="1" t="str">
        <f>IF(AV111&gt;AV$147, AV111-AV$147,"")</f>
        <v/>
      </c>
      <c r="BZ111" s="1" t="str">
        <f>IF(AW111&gt;AW$147, AW111-AW$147,"")</f>
        <v/>
      </c>
      <c r="CA111" s="1" t="str">
        <f>IF(AX111&gt;AX$147, AX111-AX$147,"")</f>
        <v/>
      </c>
      <c r="CB111" s="1" t="str">
        <f>IF(AY111&gt;AY$147, AY111-AY$147,"")</f>
        <v/>
      </c>
      <c r="CC111" s="1" t="str">
        <f>IF(AZ111&gt;AZ$147, AZ111-AZ$147,"")</f>
        <v/>
      </c>
      <c r="CD111" s="1" t="str">
        <f>IF(BA111&gt;BA$147, BA111-BA$147,"")</f>
        <v/>
      </c>
      <c r="CE111" s="1" t="str">
        <f>IF(BB111&gt;BB$147, BB111-BB$147,"")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27" x14ac:dyDescent="0.15">
      <c r="A112" s="1"/>
      <c r="B112" s="1" t="s">
        <v>118</v>
      </c>
      <c r="C112" s="1" t="s">
        <v>106</v>
      </c>
      <c r="D112" s="1" t="s">
        <v>109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>
        <v>10</v>
      </c>
      <c r="P112" s="28"/>
      <c r="Q112" s="28"/>
      <c r="R112" s="28">
        <v>10</v>
      </c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>
        <v>10</v>
      </c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8</v>
      </c>
      <c r="BR112" s="17">
        <v>2</v>
      </c>
      <c r="BS112" s="17" t="s">
        <v>277</v>
      </c>
      <c r="BT112" s="1" t="str">
        <f>IF(AQ112&gt;AQ$147, AQ112-AQ$147,"")</f>
        <v/>
      </c>
      <c r="BU112" s="1" t="str">
        <f>IF(AR112&gt;AR$147, AR112-AR$147,"")</f>
        <v/>
      </c>
      <c r="BV112" s="1" t="str">
        <f>IF(AS112&gt;AS$147, AS112-AS$147,"")</f>
        <v/>
      </c>
      <c r="BW112" s="1" t="str">
        <f>IF(AT112&gt;AT$147, AT112-AT$147,"")</f>
        <v/>
      </c>
      <c r="BX112" s="1" t="str">
        <f>IF(AU112&gt;AU$147, AU112-AU$147,"")</f>
        <v/>
      </c>
      <c r="BY112" s="1" t="str">
        <f>IF(AV112&gt;AV$147, AV112-AV$147,"")</f>
        <v/>
      </c>
      <c r="BZ112" s="1" t="str">
        <f>IF(AW112&gt;AW$147, AW112-AW$147,"")</f>
        <v/>
      </c>
      <c r="CA112" s="1" t="str">
        <f>IF(AX112&gt;AX$147, AX112-AX$147,"")</f>
        <v/>
      </c>
      <c r="CB112" s="1" t="str">
        <f>IF(AY112&gt;AY$147, AY112-AY$147,"")</f>
        <v/>
      </c>
      <c r="CC112" s="1" t="str">
        <f>IF(AZ112&gt;AZ$147, AZ112-AZ$147,"")</f>
        <v/>
      </c>
      <c r="CD112" s="1" t="str">
        <f>IF(BA112&gt;BA$147, BA112-BA$147,"")</f>
        <v/>
      </c>
      <c r="CE112" s="1" t="str">
        <f>IF(BB112&gt;BB$147, BB112-BB$147,"")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27" x14ac:dyDescent="0.15">
      <c r="A113" s="1"/>
      <c r="B113" s="3" t="s">
        <v>239</v>
      </c>
      <c r="C113" s="3" t="s">
        <v>105</v>
      </c>
      <c r="D113" s="1" t="s">
        <v>228</v>
      </c>
      <c r="E113" s="6"/>
      <c r="F113" s="6"/>
      <c r="G113" s="6"/>
      <c r="H113" s="6"/>
      <c r="I113" s="6">
        <v>10</v>
      </c>
      <c r="J113" s="6"/>
      <c r="K113" s="6"/>
      <c r="L113" s="6"/>
      <c r="M113" s="6"/>
      <c r="N113" s="6"/>
      <c r="O113" s="6"/>
      <c r="P113" s="28"/>
      <c r="Q113" s="28"/>
      <c r="R113" s="28">
        <v>10</v>
      </c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>
        <v>10</v>
      </c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ref="BP113:BP117" si="4">SUM(E113:BO113)</f>
        <v>40</v>
      </c>
      <c r="BQ113" s="1">
        <v>8</v>
      </c>
      <c r="BR113" s="17">
        <v>2</v>
      </c>
      <c r="BS113" s="17" t="s">
        <v>275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27" x14ac:dyDescent="0.15">
      <c r="A114" s="1"/>
      <c r="B114" s="3" t="s">
        <v>226</v>
      </c>
      <c r="C114" s="3" t="s">
        <v>54</v>
      </c>
      <c r="D114" s="1" t="s">
        <v>228</v>
      </c>
      <c r="E114" s="6"/>
      <c r="F114" s="6"/>
      <c r="G114" s="6"/>
      <c r="H114" s="6"/>
      <c r="I114" s="6"/>
      <c r="J114" s="6"/>
      <c r="K114" s="6"/>
      <c r="L114" s="6"/>
      <c r="M114" s="6">
        <v>10</v>
      </c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>
        <v>10</v>
      </c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>
        <v>10</v>
      </c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 t="shared" si="4"/>
        <v>40</v>
      </c>
      <c r="BQ114" s="1">
        <v>9</v>
      </c>
      <c r="BR114" s="17">
        <v>2</v>
      </c>
      <c r="BS114" s="17" t="s">
        <v>295</v>
      </c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27" x14ac:dyDescent="0.15">
      <c r="A115" s="1"/>
      <c r="B115" s="3" t="s">
        <v>231</v>
      </c>
      <c r="C115" s="3" t="s">
        <v>26</v>
      </c>
      <c r="D115" s="1" t="s">
        <v>228</v>
      </c>
      <c r="E115" s="6"/>
      <c r="F115" s="6"/>
      <c r="G115" s="6"/>
      <c r="H115" s="6"/>
      <c r="I115" s="6"/>
      <c r="J115" s="6"/>
      <c r="K115" s="6"/>
      <c r="L115" s="6"/>
      <c r="M115" s="6">
        <v>10</v>
      </c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>
        <v>10</v>
      </c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>
        <v>10</v>
      </c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4"/>
        <v>40</v>
      </c>
      <c r="BQ115" s="1">
        <v>9</v>
      </c>
      <c r="BR115" s="17">
        <v>2</v>
      </c>
      <c r="BS115" s="17" t="s">
        <v>295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27" x14ac:dyDescent="0.15">
      <c r="A116" s="1"/>
      <c r="B116" s="3" t="s">
        <v>236</v>
      </c>
      <c r="C116" s="3" t="s">
        <v>235</v>
      </c>
      <c r="D116" s="1" t="s">
        <v>228</v>
      </c>
      <c r="E116" s="6"/>
      <c r="F116" s="6"/>
      <c r="G116" s="6"/>
      <c r="H116" s="6"/>
      <c r="I116" s="6"/>
      <c r="J116" s="6"/>
      <c r="K116" s="6"/>
      <c r="L116" s="6"/>
      <c r="M116" s="6">
        <v>10</v>
      </c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>
        <v>10</v>
      </c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>
        <v>10</v>
      </c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4"/>
        <v>40</v>
      </c>
      <c r="BQ116" s="1">
        <v>9</v>
      </c>
      <c r="BR116" s="17">
        <v>2</v>
      </c>
      <c r="BS116" s="17" t="s">
        <v>295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27" x14ac:dyDescent="0.15">
      <c r="A117" s="1"/>
      <c r="B117" s="3" t="s">
        <v>238</v>
      </c>
      <c r="C117" s="3" t="s">
        <v>105</v>
      </c>
      <c r="D117" s="1" t="s">
        <v>228</v>
      </c>
      <c r="E117" s="6"/>
      <c r="F117" s="6"/>
      <c r="G117" s="6"/>
      <c r="H117" s="6"/>
      <c r="I117" s="6"/>
      <c r="J117" s="6"/>
      <c r="K117" s="6"/>
      <c r="L117" s="6"/>
      <c r="M117" s="6">
        <v>10</v>
      </c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>
        <v>10</v>
      </c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>
        <v>10</v>
      </c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si="4"/>
        <v>40</v>
      </c>
      <c r="BQ117" s="1">
        <v>9</v>
      </c>
      <c r="BR117" s="17">
        <v>2</v>
      </c>
      <c r="BS117" s="17" t="s">
        <v>295</v>
      </c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27" x14ac:dyDescent="0.15">
      <c r="A118" s="1">
        <v>27</v>
      </c>
      <c r="B118" s="1" t="s">
        <v>62</v>
      </c>
      <c r="C118" s="1" t="s">
        <v>26</v>
      </c>
      <c r="D118" s="1" t="s">
        <v>19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>
        <v>5</v>
      </c>
      <c r="AI118" s="1">
        <v>5</v>
      </c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10</v>
      </c>
      <c r="BQ118" s="1">
        <v>10</v>
      </c>
      <c r="BR118" s="17">
        <v>2</v>
      </c>
      <c r="BS118" s="17" t="s">
        <v>278</v>
      </c>
      <c r="BT118" s="1" t="str">
        <f>IF(AQ118&gt;AQ$147, AQ118-AQ$147,"")</f>
        <v/>
      </c>
      <c r="BU118" s="1" t="str">
        <f>IF(AR118&gt;AR$147, AR118-AR$147,"")</f>
        <v/>
      </c>
      <c r="BV118" s="1" t="str">
        <f>IF(AS118&gt;AS$147, AS118-AS$147,"")</f>
        <v/>
      </c>
      <c r="BW118" s="1" t="str">
        <f>IF(AT118&gt;AT$147, AT118-AT$147,"")</f>
        <v/>
      </c>
      <c r="BX118" s="1" t="str">
        <f>IF(AU118&gt;AU$147, AU118-AU$147,"")</f>
        <v/>
      </c>
      <c r="BY118" s="1" t="str">
        <f>IF(AV118&gt;AV$147, AV118-AV$147,"")</f>
        <v/>
      </c>
      <c r="BZ118" s="1" t="str">
        <f>IF(AW118&gt;AW$147, AW118-AW$147,"")</f>
        <v/>
      </c>
      <c r="CA118" s="1" t="str">
        <f>IF(AX118&gt;AX$147, AX118-AX$147,"")</f>
        <v/>
      </c>
      <c r="CB118" s="1" t="str">
        <f>IF(AY118&gt;AY$147, AY118-AY$147,"")</f>
        <v/>
      </c>
      <c r="CC118" s="1" t="str">
        <f>IF(AZ118&gt;AZ$147, AZ118-AZ$147,"")</f>
        <v/>
      </c>
      <c r="CD118" s="1" t="str">
        <f>IF(BA118&gt;BA$147, BA118-BA$147,"")</f>
        <v/>
      </c>
      <c r="CE118" s="1" t="str">
        <f>IF(BB118&gt;BB$147, BB118-BB$147,"")</f>
        <v/>
      </c>
      <c r="CF118" s="1">
        <f>COUNTIF(BT118:CE118, "&gt;0")</f>
        <v>0</v>
      </c>
      <c r="CG118" s="1" t="str">
        <f>IF($CF118=1,BT118,"")</f>
        <v/>
      </c>
      <c r="CH118" s="1" t="str">
        <f>IF($CF118=1,BU118,"")</f>
        <v/>
      </c>
      <c r="CI118" s="1" t="str">
        <f>IF($CF118=1,BV118,"")</f>
        <v/>
      </c>
      <c r="CJ118" s="1" t="str">
        <f>IF($CF118=1,BW118,"")</f>
        <v/>
      </c>
      <c r="CK118" s="1" t="str">
        <f>IF($CF118=1,BX118,"")</f>
        <v/>
      </c>
      <c r="CL118" s="1" t="str">
        <f>IF($CF118=1,BY118,"")</f>
        <v/>
      </c>
      <c r="CM118" s="1" t="str">
        <f>IF($CF118=1,BZ118,"")</f>
        <v/>
      </c>
      <c r="CN118" s="1" t="str">
        <f>IF($CF118=1,CA118,"")</f>
        <v/>
      </c>
      <c r="CO118" s="1" t="str">
        <f>IF($CF118=1,CB118,"")</f>
        <v/>
      </c>
      <c r="CP118" s="1" t="str">
        <f>IF($CF118=1,CC118,"")</f>
        <v/>
      </c>
      <c r="CQ118" s="1" t="str">
        <f>IF($CF118=1,CD118,"")</f>
        <v/>
      </c>
      <c r="CR118" s="1" t="str">
        <f>IF($CF118=1,CE118,"")</f>
        <v/>
      </c>
      <c r="CS118" s="3">
        <f>SUM(AE118:BO118)</f>
        <v>10</v>
      </c>
    </row>
    <row r="119" spans="1:97" ht="27" x14ac:dyDescent="0.15">
      <c r="A119" s="1">
        <v>88</v>
      </c>
      <c r="B119" s="3" t="s">
        <v>67</v>
      </c>
      <c r="C119" s="3" t="s">
        <v>68</v>
      </c>
      <c r="D119" s="1" t="s">
        <v>19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>
        <v>5</v>
      </c>
      <c r="AI119" s="1">
        <v>5</v>
      </c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10</v>
      </c>
      <c r="BQ119" s="1">
        <v>10</v>
      </c>
      <c r="BR119" s="17">
        <v>2</v>
      </c>
      <c r="BS119" s="17" t="s">
        <v>279</v>
      </c>
      <c r="BT119" s="1" t="str">
        <f>IF(AQ119&gt;AQ$147, AQ119-AQ$147,"")</f>
        <v/>
      </c>
      <c r="BU119" s="1" t="str">
        <f>IF(AR119&gt;AR$147, AR119-AR$147,"")</f>
        <v/>
      </c>
      <c r="BV119" s="1" t="str">
        <f>IF(AS119&gt;AS$147, AS119-AS$147,"")</f>
        <v/>
      </c>
      <c r="BW119" s="1" t="str">
        <f>IF(AT119&gt;AT$147, AT119-AT$147,"")</f>
        <v/>
      </c>
      <c r="BX119" s="1" t="str">
        <f>IF(AU119&gt;AU$147, AU119-AU$147,"")</f>
        <v/>
      </c>
      <c r="BY119" s="1" t="str">
        <f>IF(AV119&gt;AV$147, AV119-AV$147,"")</f>
        <v/>
      </c>
      <c r="BZ119" s="1" t="str">
        <f>IF(AW119&gt;AW$147, AW119-AW$147,"")</f>
        <v/>
      </c>
      <c r="CA119" s="1" t="str">
        <f>IF(AX119&gt;AX$147, AX119-AX$147,"")</f>
        <v/>
      </c>
      <c r="CB119" s="1" t="str">
        <f>IF(AY119&gt;AY$147, AY119-AY$147,"")</f>
        <v/>
      </c>
      <c r="CC119" s="1" t="str">
        <f>IF(AZ119&gt;AZ$147, AZ119-AZ$147,"")</f>
        <v/>
      </c>
      <c r="CD119" s="1" t="str">
        <f>IF(BA119&gt;BA$147, BA119-BA$147,"")</f>
        <v/>
      </c>
      <c r="CE119" s="1" t="str">
        <f>IF(BB119&gt;BB$147, BB119-BB$147,"")</f>
        <v/>
      </c>
      <c r="CF119" s="1">
        <f>COUNTIF(BT119:CE119, "&gt;0")</f>
        <v>0</v>
      </c>
      <c r="CG119" s="1" t="str">
        <f>IF($CF119=1,BT119,"")</f>
        <v/>
      </c>
      <c r="CH119" s="1" t="str">
        <f>IF($CF119=1,BU119,"")</f>
        <v/>
      </c>
      <c r="CI119" s="1" t="str">
        <f>IF($CF119=1,BV119,"")</f>
        <v/>
      </c>
      <c r="CJ119" s="1" t="str">
        <f>IF($CF119=1,BW119,"")</f>
        <v/>
      </c>
      <c r="CK119" s="1" t="str">
        <f>IF($CF119=1,BX119,"")</f>
        <v/>
      </c>
      <c r="CL119" s="1" t="str">
        <f>IF($CF119=1,BY119,"")</f>
        <v/>
      </c>
      <c r="CM119" s="1" t="str">
        <f>IF($CF119=1,BZ119,"")</f>
        <v/>
      </c>
      <c r="CN119" s="1" t="str">
        <f>IF($CF119=1,CA119,"")</f>
        <v/>
      </c>
      <c r="CO119" s="1" t="str">
        <f>IF($CF119=1,CB119,"")</f>
        <v/>
      </c>
      <c r="CP119" s="1" t="str">
        <f>IF($CF119=1,CC119,"")</f>
        <v/>
      </c>
      <c r="CQ119" s="1" t="str">
        <f>IF($CF119=1,CD119,"")</f>
        <v/>
      </c>
      <c r="CR119" s="1" t="str">
        <f>IF($CF119=1,CE119,"")</f>
        <v/>
      </c>
      <c r="CS119" s="3">
        <f>SUM(AE119:BO119)</f>
        <v>10</v>
      </c>
    </row>
    <row r="120" spans="1:97" ht="27" x14ac:dyDescent="0.15">
      <c r="A120" s="1"/>
      <c r="B120" s="1" t="s">
        <v>124</v>
      </c>
      <c r="C120" s="1" t="s">
        <v>125</v>
      </c>
      <c r="D120" s="1" t="s">
        <v>109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13</v>
      </c>
      <c r="BR120" s="17">
        <v>2</v>
      </c>
      <c r="BS120" s="17" t="s">
        <v>281</v>
      </c>
      <c r="BT120" s="1" t="str">
        <f>IF(AQ120&gt;AQ$147, AQ120-AQ$147,"")</f>
        <v/>
      </c>
      <c r="BU120" s="1" t="str">
        <f>IF(AR120&gt;AR$147, AR120-AR$147,"")</f>
        <v/>
      </c>
      <c r="BV120" s="1" t="str">
        <f>IF(AS120&gt;AS$147, AS120-AS$147,"")</f>
        <v/>
      </c>
      <c r="BW120" s="1" t="str">
        <f>IF(AT120&gt;AT$147, AT120-AT$147,"")</f>
        <v/>
      </c>
      <c r="BX120" s="1" t="str">
        <f>IF(AU120&gt;AU$147, AU120-AU$147,"")</f>
        <v/>
      </c>
      <c r="BY120" s="1" t="str">
        <f>IF(AV120&gt;AV$147, AV120-AV$147,"")</f>
        <v/>
      </c>
      <c r="BZ120" s="1" t="str">
        <f>IF(AW120&gt;AW$147, AW120-AW$147,"")</f>
        <v/>
      </c>
      <c r="CA120" s="1" t="str">
        <f>IF(AX120&gt;AX$147, AX120-AX$147,"")</f>
        <v/>
      </c>
      <c r="CB120" s="1" t="str">
        <f>IF(AY120&gt;AY$147, AY120-AY$147,"")</f>
        <v/>
      </c>
      <c r="CC120" s="1" t="str">
        <f>IF(AZ120&gt;AZ$147, AZ120-AZ$147,"")</f>
        <v/>
      </c>
      <c r="CD120" s="1" t="str">
        <f>IF(BA120&gt;BA$147, BA120-BA$147,"")</f>
        <v/>
      </c>
      <c r="CE120" s="1" t="str">
        <f>IF(BB120&gt;BB$147, BB120-BB$147,"")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27" x14ac:dyDescent="0.15">
      <c r="A121" s="1"/>
      <c r="B121" s="1" t="s">
        <v>130</v>
      </c>
      <c r="C121" s="1" t="s">
        <v>129</v>
      </c>
      <c r="D121" s="1" t="s">
        <v>109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13</v>
      </c>
      <c r="BR121" s="17">
        <v>2</v>
      </c>
      <c r="BS121" s="17" t="s">
        <v>281</v>
      </c>
      <c r="BT121" s="1" t="str">
        <f>IF(AQ121&gt;AQ$147, AQ121-AQ$147,"")</f>
        <v/>
      </c>
      <c r="BU121" s="1" t="str">
        <f>IF(AR121&gt;AR$147, AR121-AR$147,"")</f>
        <v/>
      </c>
      <c r="BV121" s="1" t="str">
        <f>IF(AS121&gt;AS$147, AS121-AS$147,"")</f>
        <v/>
      </c>
      <c r="BW121" s="1" t="str">
        <f>IF(AT121&gt;AT$147, AT121-AT$147,"")</f>
        <v/>
      </c>
      <c r="BX121" s="1" t="str">
        <f>IF(AU121&gt;AU$147, AU121-AU$147,"")</f>
        <v/>
      </c>
      <c r="BY121" s="1" t="str">
        <f>IF(AV121&gt;AV$147, AV121-AV$147,"")</f>
        <v/>
      </c>
      <c r="BZ121" s="1" t="str">
        <f>IF(AW121&gt;AW$147, AW121-AW$147,"")</f>
        <v/>
      </c>
      <c r="CA121" s="1" t="str">
        <f>IF(AX121&gt;AX$147, AX121-AX$147,"")</f>
        <v/>
      </c>
      <c r="CB121" s="1" t="str">
        <f>IF(AY121&gt;AY$147, AY121-AY$147,"")</f>
        <v/>
      </c>
      <c r="CC121" s="1" t="str">
        <f>IF(AZ121&gt;AZ$147, AZ121-AZ$147,"")</f>
        <v/>
      </c>
      <c r="CD121" s="1" t="str">
        <f>IF(BA121&gt;BA$147, BA121-BA$147,"")</f>
        <v/>
      </c>
      <c r="CE121" s="1" t="str">
        <f>IF(BB121&gt;BB$147, BB121-BB$147,"")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27" x14ac:dyDescent="0.15">
      <c r="A122" s="50"/>
      <c r="B122" s="50" t="s">
        <v>225</v>
      </c>
      <c r="C122" s="50" t="s">
        <v>136</v>
      </c>
      <c r="D122" s="50" t="s">
        <v>109</v>
      </c>
      <c r="E122" s="51">
        <v>10</v>
      </c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2"/>
      <c r="Q122" s="52"/>
      <c r="R122" s="52">
        <v>10</v>
      </c>
      <c r="S122" s="52"/>
      <c r="T122" s="52"/>
      <c r="U122" s="52">
        <v>10</v>
      </c>
      <c r="V122" s="52"/>
      <c r="W122" s="52"/>
      <c r="X122" s="52"/>
      <c r="Y122" s="52"/>
      <c r="Z122" s="52"/>
      <c r="AA122" s="52"/>
      <c r="AB122" s="52"/>
      <c r="AC122" s="52"/>
      <c r="AD122" s="52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3"/>
      <c r="AR122" s="53"/>
      <c r="AS122" s="53"/>
      <c r="AT122" s="53"/>
      <c r="AU122" s="53">
        <v>10</v>
      </c>
      <c r="AV122" s="53"/>
      <c r="AW122" s="54"/>
      <c r="AX122" s="54"/>
      <c r="AY122" s="54"/>
      <c r="AZ122" s="54"/>
      <c r="BA122" s="54"/>
      <c r="BB122" s="54"/>
      <c r="BC122" s="55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>
        <f>SUM(E122:BO122)</f>
        <v>40</v>
      </c>
      <c r="BQ122" s="50">
        <v>13</v>
      </c>
      <c r="BR122" s="56">
        <v>2</v>
      </c>
      <c r="BS122" s="56" t="s">
        <v>223</v>
      </c>
      <c r="BT122" s="50" t="str">
        <f>IF(AQ122&gt;AQ$147, AQ122-AQ$147,"")</f>
        <v/>
      </c>
      <c r="BU122" s="50" t="str">
        <f>IF(AR122&gt;AR$147, AR122-AR$147,"")</f>
        <v/>
      </c>
      <c r="BV122" s="50" t="str">
        <f>IF(AS122&gt;AS$147, AS122-AS$147,"")</f>
        <v/>
      </c>
      <c r="BW122" s="50" t="str">
        <f>IF(AT122&gt;AT$147, AT122-AT$147,"")</f>
        <v/>
      </c>
      <c r="BX122" s="50" t="str">
        <f>IF(AU122&gt;AU$147, AU122-AU$147,"")</f>
        <v/>
      </c>
      <c r="BY122" s="50" t="str">
        <f>IF(AV122&gt;AV$147, AV122-AV$147,"")</f>
        <v/>
      </c>
      <c r="BZ122" s="50" t="str">
        <f>IF(AW122&gt;AW$147, AW122-AW$147,"")</f>
        <v/>
      </c>
      <c r="CA122" s="50" t="str">
        <f>IF(AX122&gt;AX$147, AX122-AX$147,"")</f>
        <v/>
      </c>
      <c r="CB122" s="50" t="str">
        <f>IF(AY122&gt;AY$147, AY122-AY$147,"")</f>
        <v/>
      </c>
      <c r="CC122" s="50" t="str">
        <f>IF(AZ122&gt;AZ$147, AZ122-AZ$147,"")</f>
        <v/>
      </c>
      <c r="CD122" s="50" t="str">
        <f>IF(BA122&gt;BA$147, BA122-BA$147,"")</f>
        <v/>
      </c>
      <c r="CE122" s="50" t="str">
        <f>IF(BB122&gt;BB$147, BB122-BB$147,"")</f>
        <v/>
      </c>
      <c r="CF122" s="50"/>
      <c r="CG122" s="50"/>
      <c r="CH122" s="50"/>
      <c r="CI122" s="50"/>
      <c r="CJ122" s="50"/>
      <c r="CK122" s="50"/>
      <c r="CL122" s="50"/>
      <c r="CM122" s="50"/>
      <c r="CN122" s="50"/>
      <c r="CO122" s="50"/>
      <c r="CP122" s="50"/>
      <c r="CQ122" s="50"/>
      <c r="CR122" s="50"/>
      <c r="CS122" s="57"/>
    </row>
    <row r="123" spans="1:97" ht="27" x14ac:dyDescent="0.15">
      <c r="A123" s="1"/>
      <c r="B123" s="1" t="s">
        <v>138</v>
      </c>
      <c r="C123" s="1" t="s">
        <v>136</v>
      </c>
      <c r="D123" s="1" t="s">
        <v>109</v>
      </c>
      <c r="E123" s="6"/>
      <c r="F123" s="6"/>
      <c r="G123" s="6"/>
      <c r="H123" s="6">
        <v>10</v>
      </c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13</v>
      </c>
      <c r="BR123" s="17">
        <v>2</v>
      </c>
      <c r="BS123" s="17" t="s">
        <v>281</v>
      </c>
      <c r="BT123" s="1" t="str">
        <f>IF(AQ123&gt;AQ$147, AQ123-AQ$147,"")</f>
        <v/>
      </c>
      <c r="BU123" s="1" t="str">
        <f>IF(AR123&gt;AR$147, AR123-AR$147,"")</f>
        <v/>
      </c>
      <c r="BV123" s="1" t="str">
        <f>IF(AS123&gt;AS$147, AS123-AS$147,"")</f>
        <v/>
      </c>
      <c r="BW123" s="1" t="str">
        <f>IF(AT123&gt;AT$147, AT123-AT$147,"")</f>
        <v/>
      </c>
      <c r="BX123" s="1" t="str">
        <f>IF(AU123&gt;AU$147, AU123-AU$147,"")</f>
        <v/>
      </c>
      <c r="BY123" s="1" t="str">
        <f>IF(AV123&gt;AV$147, AV123-AV$147,"")</f>
        <v/>
      </c>
      <c r="BZ123" s="1" t="str">
        <f>IF(AW123&gt;AW$147, AW123-AW$147,"")</f>
        <v/>
      </c>
      <c r="CA123" s="1" t="str">
        <f>IF(AX123&gt;AX$147, AX123-AX$147,"")</f>
        <v/>
      </c>
      <c r="CB123" s="1" t="str">
        <f>IF(AY123&gt;AY$147, AY123-AY$147,"")</f>
        <v/>
      </c>
      <c r="CC123" s="1" t="str">
        <f>IF(AZ123&gt;AZ$147, AZ123-AZ$147,"")</f>
        <v/>
      </c>
      <c r="CD123" s="1" t="str">
        <f>IF(BA123&gt;BA$147, BA123-BA$147,"")</f>
        <v/>
      </c>
      <c r="CE123" s="1" t="str">
        <f>IF(BB123&gt;BB$147, BB123-BB$147,"")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ht="27" x14ac:dyDescent="0.15">
      <c r="A124" s="1"/>
      <c r="B124" s="1" t="s">
        <v>164</v>
      </c>
      <c r="C124" s="1" t="s">
        <v>104</v>
      </c>
      <c r="D124" s="1" t="s">
        <v>90</v>
      </c>
      <c r="E124" s="6"/>
      <c r="F124" s="6"/>
      <c r="G124" s="6">
        <v>20</v>
      </c>
      <c r="H124" s="6">
        <v>20</v>
      </c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>
        <v>20</v>
      </c>
      <c r="BB124" s="2">
        <v>20</v>
      </c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80</v>
      </c>
      <c r="BQ124" s="1">
        <v>13</v>
      </c>
      <c r="BR124" s="17">
        <v>2</v>
      </c>
      <c r="BS124" s="17" t="s">
        <v>282</v>
      </c>
      <c r="BT124" s="1" t="str">
        <f>IF(AQ124&gt;AQ$147, AQ124-AQ$147,"")</f>
        <v/>
      </c>
      <c r="BU124" s="1" t="str">
        <f>IF(AR124&gt;AR$147, AR124-AR$147,"")</f>
        <v/>
      </c>
      <c r="BV124" s="1" t="str">
        <f>IF(AS124&gt;AS$147, AS124-AS$147,"")</f>
        <v/>
      </c>
      <c r="BW124" s="1" t="str">
        <f>IF(AT124&gt;AT$147, AT124-AT$147,"")</f>
        <v/>
      </c>
      <c r="BX124" s="1" t="str">
        <f>IF(AU124&gt;AU$147, AU124-AU$147,"")</f>
        <v/>
      </c>
      <c r="BY124" s="1" t="str">
        <f>IF(AV124&gt;AV$147, AV124-AV$147,"")</f>
        <v/>
      </c>
      <c r="BZ124" s="1" t="str">
        <f>IF(AW124&gt;AW$147, AW124-AW$147,"")</f>
        <v/>
      </c>
      <c r="CA124" s="1" t="str">
        <f>IF(AX124&gt;AX$147, AX124-AX$147,"")</f>
        <v/>
      </c>
      <c r="CB124" s="1" t="str">
        <f>IF(AY124&gt;AY$147, AY124-AY$147,"")</f>
        <v/>
      </c>
      <c r="CC124" s="1" t="str">
        <f>IF(AZ124&gt;AZ$147, AZ124-AZ$147,"")</f>
        <v/>
      </c>
      <c r="CD124" s="1" t="str">
        <f>IF(BA124&gt;BA$147, BA124-BA$147,"")</f>
        <v/>
      </c>
      <c r="CE124" s="1" t="str">
        <f>IF(BB124&gt;BB$147, BB124-BB$147,"")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3"/>
    </row>
    <row r="125" spans="1:97" ht="27" x14ac:dyDescent="0.15">
      <c r="A125" s="1"/>
      <c r="B125" s="3" t="s">
        <v>229</v>
      </c>
      <c r="C125" s="3" t="s">
        <v>54</v>
      </c>
      <c r="D125" s="1" t="s">
        <v>228</v>
      </c>
      <c r="E125" s="6">
        <v>10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>
        <v>10</v>
      </c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>
        <v>10</v>
      </c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ref="BP125:BP131" si="5">SUM(E125:BO125)</f>
        <v>40</v>
      </c>
      <c r="BQ125" s="1">
        <v>13</v>
      </c>
      <c r="BR125" s="17">
        <v>2</v>
      </c>
      <c r="BS125" s="17" t="s">
        <v>280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3"/>
    </row>
    <row r="126" spans="1:97" ht="27" x14ac:dyDescent="0.15">
      <c r="A126" s="1"/>
      <c r="B126" s="1" t="s">
        <v>132</v>
      </c>
      <c r="C126" s="1" t="s">
        <v>134</v>
      </c>
      <c r="D126" s="1" t="s">
        <v>109</v>
      </c>
      <c r="E126" s="6"/>
      <c r="F126" s="6"/>
      <c r="G126" s="6"/>
      <c r="H126" s="6"/>
      <c r="I126" s="6"/>
      <c r="J126" s="6">
        <v>10</v>
      </c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>
        <v>10</v>
      </c>
      <c r="V126" s="28"/>
      <c r="W126" s="28"/>
      <c r="X126" s="28"/>
      <c r="Y126" s="28"/>
      <c r="Z126" s="28"/>
      <c r="AA126" s="28">
        <v>10</v>
      </c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>
        <v>10</v>
      </c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 t="shared" si="5"/>
        <v>40</v>
      </c>
      <c r="BQ126" s="1">
        <v>14</v>
      </c>
      <c r="BR126" s="17">
        <v>2</v>
      </c>
      <c r="BS126" s="17" t="s">
        <v>284</v>
      </c>
      <c r="BT126" s="1" t="str">
        <f>IF(AQ126&gt;AQ$147, AQ126-AQ$147,"")</f>
        <v/>
      </c>
      <c r="BU126" s="1" t="str">
        <f>IF(AR126&gt;AR$147, AR126-AR$147,"")</f>
        <v/>
      </c>
      <c r="BV126" s="1" t="str">
        <f>IF(AS126&gt;AS$147, AS126-AS$147,"")</f>
        <v/>
      </c>
      <c r="BW126" s="1" t="str">
        <f>IF(AT126&gt;AT$147, AT126-AT$147,"")</f>
        <v/>
      </c>
      <c r="BX126" s="1" t="str">
        <f>IF(AU126&gt;AU$147, AU126-AU$147,"")</f>
        <v/>
      </c>
      <c r="BY126" s="1" t="str">
        <f>IF(AV126&gt;AV$147, AV126-AV$147,"")</f>
        <v/>
      </c>
      <c r="BZ126" s="1" t="str">
        <f>IF(AW126&gt;AW$147, AW126-AW$147,"")</f>
        <v/>
      </c>
      <c r="CA126" s="1" t="str">
        <f>IF(AX126&gt;AX$147, AX126-AX$147,"")</f>
        <v/>
      </c>
      <c r="CB126" s="1" t="str">
        <f>IF(AY126&gt;AY$147, AY126-AY$147,"")</f>
        <v/>
      </c>
      <c r="CC126" s="1" t="str">
        <f>IF(AZ126&gt;AZ$147, AZ126-AZ$147,"")</f>
        <v/>
      </c>
      <c r="CD126" s="1" t="str">
        <f>IF(BA126&gt;BA$147, BA126-BA$147,"")</f>
        <v/>
      </c>
      <c r="CE126" s="1" t="str">
        <f>IF(BB126&gt;BB$147, BB126-BB$147,"")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3"/>
    </row>
    <row r="127" spans="1:97" ht="27" x14ac:dyDescent="0.15">
      <c r="A127" s="1"/>
      <c r="B127" s="1" t="s">
        <v>142</v>
      </c>
      <c r="C127" s="1" t="s">
        <v>136</v>
      </c>
      <c r="D127" s="1" t="s">
        <v>109</v>
      </c>
      <c r="E127" s="6"/>
      <c r="F127" s="6"/>
      <c r="G127" s="6"/>
      <c r="H127" s="6"/>
      <c r="I127" s="6"/>
      <c r="J127" s="6">
        <v>10</v>
      </c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>
        <v>10</v>
      </c>
      <c r="V127" s="28"/>
      <c r="W127" s="28"/>
      <c r="X127" s="28"/>
      <c r="Y127" s="28"/>
      <c r="Z127" s="28"/>
      <c r="AA127" s="28">
        <v>10</v>
      </c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>
        <v>10</v>
      </c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 t="shared" si="5"/>
        <v>40</v>
      </c>
      <c r="BQ127" s="1">
        <v>14</v>
      </c>
      <c r="BR127" s="17">
        <v>2</v>
      </c>
      <c r="BS127" s="17" t="s">
        <v>284</v>
      </c>
      <c r="BT127" s="1" t="str">
        <f>IF(AQ127&gt;AQ$147, AQ127-AQ$147,"")</f>
        <v/>
      </c>
      <c r="BU127" s="1" t="str">
        <f>IF(AR127&gt;AR$147, AR127-AR$147,"")</f>
        <v/>
      </c>
      <c r="BV127" s="1" t="str">
        <f>IF(AS127&gt;AS$147, AS127-AS$147,"")</f>
        <v/>
      </c>
      <c r="BW127" s="1" t="str">
        <f>IF(AT127&gt;AT$147, AT127-AT$147,"")</f>
        <v/>
      </c>
      <c r="BX127" s="1" t="str">
        <f>IF(AU127&gt;AU$147, AU127-AU$147,"")</f>
        <v/>
      </c>
      <c r="BY127" s="1" t="str">
        <f>IF(AV127&gt;AV$147, AV127-AV$147,"")</f>
        <v/>
      </c>
      <c r="BZ127" s="1" t="str">
        <f>IF(AW127&gt;AW$147, AW127-AW$147,"")</f>
        <v/>
      </c>
      <c r="CA127" s="1" t="str">
        <f>IF(AX127&gt;AX$147, AX127-AX$147,"")</f>
        <v/>
      </c>
      <c r="CB127" s="1" t="str">
        <f>IF(AY127&gt;AY$147, AY127-AY$147,"")</f>
        <v/>
      </c>
      <c r="CC127" s="1" t="str">
        <f>IF(AZ127&gt;AZ$147, AZ127-AZ$147,"")</f>
        <v/>
      </c>
      <c r="CD127" s="1" t="str">
        <f>IF(BA127&gt;BA$147, BA127-BA$147,"")</f>
        <v/>
      </c>
      <c r="CE127" s="1" t="str">
        <f>IF(BB127&gt;BB$147, BB127-BB$147,"")</f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3"/>
    </row>
    <row r="128" spans="1:97" ht="27" x14ac:dyDescent="0.15">
      <c r="A128" s="1"/>
      <c r="B128" s="3" t="s">
        <v>230</v>
      </c>
      <c r="C128" s="3" t="s">
        <v>54</v>
      </c>
      <c r="D128" s="1" t="s">
        <v>228</v>
      </c>
      <c r="E128" s="6"/>
      <c r="F128" s="6"/>
      <c r="G128" s="6"/>
      <c r="H128" s="6"/>
      <c r="I128" s="6"/>
      <c r="J128" s="6">
        <v>10</v>
      </c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>
        <v>10</v>
      </c>
      <c r="V128" s="28"/>
      <c r="W128" s="28"/>
      <c r="X128" s="28"/>
      <c r="Y128" s="28"/>
      <c r="Z128" s="28"/>
      <c r="AA128" s="28">
        <v>10</v>
      </c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>
        <v>10</v>
      </c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 t="shared" si="5"/>
        <v>40</v>
      </c>
      <c r="BQ128" s="1">
        <v>14</v>
      </c>
      <c r="BR128" s="17">
        <v>2</v>
      </c>
      <c r="BS128" s="17" t="s">
        <v>283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3"/>
    </row>
    <row r="129" spans="1:97" ht="27" x14ac:dyDescent="0.15">
      <c r="A129" s="1"/>
      <c r="B129" s="3" t="s">
        <v>237</v>
      </c>
      <c r="C129" s="3" t="s">
        <v>235</v>
      </c>
      <c r="D129" s="1" t="s">
        <v>228</v>
      </c>
      <c r="E129" s="6"/>
      <c r="F129" s="6"/>
      <c r="G129" s="6"/>
      <c r="H129" s="6"/>
      <c r="I129" s="6"/>
      <c r="J129" s="6"/>
      <c r="K129" s="6">
        <v>10</v>
      </c>
      <c r="L129" s="6"/>
      <c r="M129" s="6"/>
      <c r="N129" s="6"/>
      <c r="O129" s="6"/>
      <c r="P129" s="28"/>
      <c r="Q129" s="28"/>
      <c r="R129" s="28"/>
      <c r="S129" s="28"/>
      <c r="T129" s="28"/>
      <c r="U129" s="28">
        <v>10</v>
      </c>
      <c r="V129" s="28"/>
      <c r="W129" s="28"/>
      <c r="X129" s="28"/>
      <c r="Y129" s="28"/>
      <c r="Z129" s="28"/>
      <c r="AA129" s="28">
        <v>10</v>
      </c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>
        <v>10</v>
      </c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 t="shared" si="5"/>
        <v>40</v>
      </c>
      <c r="BQ129" s="1">
        <v>14</v>
      </c>
      <c r="BR129" s="17">
        <v>2</v>
      </c>
      <c r="BS129" s="17" t="s">
        <v>283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3"/>
    </row>
    <row r="130" spans="1:97" ht="27" x14ac:dyDescent="0.15">
      <c r="A130" s="1"/>
      <c r="B130" s="1" t="s">
        <v>96</v>
      </c>
      <c r="C130" s="1" t="s">
        <v>93</v>
      </c>
      <c r="D130" s="1" t="s">
        <v>90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>
        <v>5</v>
      </c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>
        <v>5</v>
      </c>
      <c r="AP130" s="1">
        <v>10</v>
      </c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 t="shared" si="5"/>
        <v>20</v>
      </c>
      <c r="BQ130" s="1">
        <v>15</v>
      </c>
      <c r="BR130" s="17">
        <v>2</v>
      </c>
      <c r="BS130" s="17" t="s">
        <v>222</v>
      </c>
      <c r="BT130" s="1" t="str">
        <f>IF(AQ130&gt;AQ$147, AQ130-AQ$147,"")</f>
        <v/>
      </c>
      <c r="BU130" s="1" t="str">
        <f>IF(AR130&gt;AR$147, AR130-AR$147,"")</f>
        <v/>
      </c>
      <c r="BV130" s="1" t="str">
        <f>IF(AS130&gt;AS$147, AS130-AS$147,"")</f>
        <v/>
      </c>
      <c r="BW130" s="1" t="str">
        <f>IF(AT130&gt;AT$147, AT130-AT$147,"")</f>
        <v/>
      </c>
      <c r="BX130" s="1" t="str">
        <f>IF(AU130&gt;AU$147, AU130-AU$147,"")</f>
        <v/>
      </c>
      <c r="BY130" s="1" t="str">
        <f>IF(AV130&gt;AV$147, AV130-AV$147,"")</f>
        <v/>
      </c>
      <c r="BZ130" s="1" t="str">
        <f>IF(AW130&gt;AW$147, AW130-AW$147,"")</f>
        <v/>
      </c>
      <c r="CA130" s="1" t="str">
        <f>IF(AX130&gt;AX$147, AX130-AX$147,"")</f>
        <v/>
      </c>
      <c r="CB130" s="1" t="str">
        <f>IF(AY130&gt;AY$147, AY130-AY$147,"")</f>
        <v/>
      </c>
      <c r="CC130" s="1" t="str">
        <f>IF(AZ130&gt;AZ$147, AZ130-AZ$147,"")</f>
        <v/>
      </c>
      <c r="CD130" s="1" t="str">
        <f>IF(BA130&gt;BA$147, BA130-BA$147,"")</f>
        <v/>
      </c>
      <c r="CE130" s="1" t="str">
        <f>IF(BB130&gt;BB$147, BB130-BB$147,"")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3"/>
    </row>
    <row r="131" spans="1:97" ht="27" x14ac:dyDescent="0.15">
      <c r="A131" s="1"/>
      <c r="B131" s="1" t="s">
        <v>96</v>
      </c>
      <c r="C131" s="1" t="s">
        <v>93</v>
      </c>
      <c r="D131" s="1" t="s">
        <v>91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>
        <v>10</v>
      </c>
      <c r="AP131" s="1">
        <v>10</v>
      </c>
      <c r="AQ131" s="4"/>
      <c r="AR131" s="4"/>
      <c r="AS131" s="4">
        <v>5</v>
      </c>
      <c r="AT131" s="4"/>
      <c r="AU131" s="4"/>
      <c r="AV131" s="4"/>
      <c r="AW131" s="2"/>
      <c r="AX131" s="2">
        <v>5</v>
      </c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 t="shared" si="5"/>
        <v>30</v>
      </c>
      <c r="BQ131" s="1">
        <v>20</v>
      </c>
      <c r="BR131" s="17">
        <v>2</v>
      </c>
      <c r="BS131" s="17" t="s">
        <v>285</v>
      </c>
      <c r="BT131" s="1" t="str">
        <f>IF(AQ131&gt;AQ$147, AQ131-AQ$147,"")</f>
        <v/>
      </c>
      <c r="BU131" s="1" t="str">
        <f>IF(AR131&gt;AR$147, AR131-AR$147,"")</f>
        <v/>
      </c>
      <c r="BV131" s="1" t="str">
        <f>IF(AS131&gt;AS$147, AS131-AS$147,"")</f>
        <v/>
      </c>
      <c r="BW131" s="1" t="str">
        <f>IF(AT131&gt;AT$147, AT131-AT$147,"")</f>
        <v/>
      </c>
      <c r="BX131" s="1" t="str">
        <f>IF(AU131&gt;AU$147, AU131-AU$147,"")</f>
        <v/>
      </c>
      <c r="BY131" s="1" t="str">
        <f>IF(AV131&gt;AV$147, AV131-AV$147,"")</f>
        <v/>
      </c>
      <c r="BZ131" s="1" t="str">
        <f>IF(AW131&gt;AW$147, AW131-AW$147,"")</f>
        <v/>
      </c>
      <c r="CA131" s="1" t="str">
        <f>IF(AX131&gt;AX$147, AX131-AX$147,"")</f>
        <v/>
      </c>
      <c r="CB131" s="1" t="str">
        <f>IF(AY131&gt;AY$147, AY131-AY$147,"")</f>
        <v/>
      </c>
      <c r="CC131" s="1" t="str">
        <f>IF(AZ131&gt;AZ$147, AZ131-AZ$147,"")</f>
        <v/>
      </c>
      <c r="CD131" s="1" t="str">
        <f>IF(BA131&gt;BA$147, BA131-BA$147,"")</f>
        <v/>
      </c>
      <c r="CE131" s="1" t="str">
        <f>IF(BB131&gt;BB$147, BB131-BB$147,"")</f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3"/>
    </row>
    <row r="132" spans="1:97" ht="27" x14ac:dyDescent="0.15">
      <c r="A132" s="1">
        <v>23</v>
      </c>
      <c r="B132" s="1" t="s">
        <v>87</v>
      </c>
      <c r="C132" s="1" t="s">
        <v>26</v>
      </c>
      <c r="D132" s="1" t="s">
        <v>32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90</v>
      </c>
      <c r="BR132" s="17">
        <v>2</v>
      </c>
      <c r="BS132" s="17" t="s">
        <v>286</v>
      </c>
      <c r="BT132" s="1" t="str">
        <f>IF(AQ132&gt;AQ$147, AQ132-AQ$147,"")</f>
        <v/>
      </c>
      <c r="BU132" s="1" t="str">
        <f>IF(AR132&gt;AR$147, AR132-AR$147,"")</f>
        <v/>
      </c>
      <c r="BV132" s="1" t="str">
        <f>IF(AS132&gt;AS$147, AS132-AS$147,"")</f>
        <v/>
      </c>
      <c r="BW132" s="1" t="str">
        <f>IF(AT132&gt;AT$147, AT132-AT$147,"")</f>
        <v/>
      </c>
      <c r="BX132" s="1" t="str">
        <f>IF(AU132&gt;AU$147, AU132-AU$147,"")</f>
        <v/>
      </c>
      <c r="BY132" s="1" t="str">
        <f>IF(AV132&gt;AV$147, AV132-AV$147,"")</f>
        <v/>
      </c>
      <c r="BZ132" s="1" t="str">
        <f>IF(AW132&gt;AW$147, AW132-AW$147,"")</f>
        <v/>
      </c>
      <c r="CA132" s="1" t="str">
        <f>IF(AX132&gt;AX$147, AX132-AX$147,"")</f>
        <v/>
      </c>
      <c r="CB132" s="1" t="str">
        <f>IF(AY132&gt;AY$147, AY132-AY$147,"")</f>
        <v/>
      </c>
      <c r="CC132" s="1" t="str">
        <f>IF(AZ132&gt;AZ$147, AZ132-AZ$147,"")</f>
        <v/>
      </c>
      <c r="CD132" s="1" t="str">
        <f>IF(BA132&gt;BA$147, BA132-BA$147,"")</f>
        <v/>
      </c>
      <c r="CE132" s="1" t="str">
        <f>IF(BB132&gt;BB$147, BB132-BB$147,"")</f>
        <v/>
      </c>
      <c r="CF132" s="1">
        <f>COUNTIF(BT132:CE132, "&gt;0")</f>
        <v>0</v>
      </c>
      <c r="CG132" s="1" t="str">
        <f>IF($CF132=1,BT132,"")</f>
        <v/>
      </c>
      <c r="CH132" s="1" t="str">
        <f>IF($CF132=1,BU132,"")</f>
        <v/>
      </c>
      <c r="CI132" s="1" t="str">
        <f>IF($CF132=1,BV132,"")</f>
        <v/>
      </c>
      <c r="CJ132" s="1" t="str">
        <f>IF($CF132=1,BW132,"")</f>
        <v/>
      </c>
      <c r="CK132" s="1" t="str">
        <f>IF($CF132=1,BX132,"")</f>
        <v/>
      </c>
      <c r="CL132" s="1" t="str">
        <f>IF($CF132=1,BY132,"")</f>
        <v/>
      </c>
      <c r="CM132" s="1" t="str">
        <f>IF($CF132=1,BZ132,"")</f>
        <v/>
      </c>
      <c r="CN132" s="1" t="str">
        <f>IF($CF132=1,CA132,"")</f>
        <v/>
      </c>
      <c r="CO132" s="1" t="str">
        <f>IF($CF132=1,CB132,"")</f>
        <v/>
      </c>
      <c r="CP132" s="1" t="str">
        <f>IF($CF132=1,CC132,"")</f>
        <v/>
      </c>
      <c r="CQ132" s="1" t="str">
        <f>IF($CF132=1,CD132,"")</f>
        <v/>
      </c>
      <c r="CR132" s="1" t="str">
        <f>IF($CF132=1,CE132,"")</f>
        <v/>
      </c>
      <c r="CS132" s="3">
        <f>SUM(AE132:BO132)</f>
        <v>200</v>
      </c>
    </row>
    <row r="133" spans="1:97" ht="27" x14ac:dyDescent="0.15">
      <c r="A133" s="1"/>
      <c r="B133" s="1" t="s">
        <v>158</v>
      </c>
      <c r="C133" s="1" t="s">
        <v>101</v>
      </c>
      <c r="D133" s="1" t="s">
        <v>102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>
        <v>50</v>
      </c>
      <c r="BK133" s="1">
        <v>50</v>
      </c>
      <c r="BL133" s="1"/>
      <c r="BM133" s="1"/>
      <c r="BN133" s="1">
        <v>50</v>
      </c>
      <c r="BO133" s="1">
        <v>50</v>
      </c>
      <c r="BP133" s="1">
        <f>SUM(E133:BO133)</f>
        <v>200</v>
      </c>
      <c r="BQ133" s="1">
        <v>90</v>
      </c>
      <c r="BR133" s="17">
        <v>2</v>
      </c>
      <c r="BS133" s="17" t="s">
        <v>286</v>
      </c>
      <c r="BT133" s="1" t="str">
        <f>IF(AQ133&gt;AQ$147, AQ133-AQ$147,"")</f>
        <v/>
      </c>
      <c r="BU133" s="1" t="str">
        <f>IF(AR133&gt;AR$147, AR133-AR$147,"")</f>
        <v/>
      </c>
      <c r="BV133" s="1" t="str">
        <f>IF(AS133&gt;AS$147, AS133-AS$147,"")</f>
        <v/>
      </c>
      <c r="BW133" s="1" t="str">
        <f>IF(AT133&gt;AT$147, AT133-AT$147,"")</f>
        <v/>
      </c>
      <c r="BX133" s="1" t="str">
        <f>IF(AU133&gt;AU$147, AU133-AU$147,"")</f>
        <v/>
      </c>
      <c r="BY133" s="1" t="str">
        <f>IF(AV133&gt;AV$147, AV133-AV$147,"")</f>
        <v/>
      </c>
      <c r="BZ133" s="1" t="str">
        <f>IF(AW133&gt;AW$147, AW133-AW$147,"")</f>
        <v/>
      </c>
      <c r="CA133" s="1" t="str">
        <f>IF(AX133&gt;AX$147, AX133-AX$147,"")</f>
        <v/>
      </c>
      <c r="CB133" s="1" t="str">
        <f>IF(AY133&gt;AY$147, AY133-AY$147,"")</f>
        <v/>
      </c>
      <c r="CC133" s="1" t="str">
        <f>IF(AZ133&gt;AZ$147, AZ133-AZ$147,"")</f>
        <v/>
      </c>
      <c r="CD133" s="1" t="str">
        <f>IF(BA133&gt;BA$147, BA133-BA$147,"")</f>
        <v/>
      </c>
      <c r="CE133" s="1" t="str">
        <f>IF(BB133&gt;BB$147, BB133-BB$147,"")</f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3"/>
    </row>
    <row r="134" spans="1:97" ht="27" x14ac:dyDescent="0.15">
      <c r="A134" s="1"/>
      <c r="B134" s="1" t="s">
        <v>156</v>
      </c>
      <c r="C134" s="1" t="s">
        <v>135</v>
      </c>
      <c r="D134" s="1" t="s">
        <v>32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>
        <v>50</v>
      </c>
      <c r="BK134" s="1">
        <v>50</v>
      </c>
      <c r="BL134" s="1"/>
      <c r="BM134" s="1"/>
      <c r="BN134" s="1">
        <v>50</v>
      </c>
      <c r="BO134" s="1">
        <v>50</v>
      </c>
      <c r="BP134" s="1">
        <f>SUM(E134:BO134)</f>
        <v>200</v>
      </c>
      <c r="BQ134" s="1">
        <v>90</v>
      </c>
      <c r="BR134" s="17">
        <v>2</v>
      </c>
      <c r="BS134" s="17" t="s">
        <v>286</v>
      </c>
      <c r="BT134" s="1" t="str">
        <f>IF(AQ134&gt;AQ$147, AQ134-AQ$147,"")</f>
        <v/>
      </c>
      <c r="BU134" s="1" t="str">
        <f>IF(AR134&gt;AR$147, AR134-AR$147,"")</f>
        <v/>
      </c>
      <c r="BV134" s="1" t="str">
        <f>IF(AS134&gt;AS$147, AS134-AS$147,"")</f>
        <v/>
      </c>
      <c r="BW134" s="1" t="str">
        <f>IF(AT134&gt;AT$147, AT134-AT$147,"")</f>
        <v/>
      </c>
      <c r="BX134" s="1" t="str">
        <f>IF(AU134&gt;AU$147, AU134-AU$147,"")</f>
        <v/>
      </c>
      <c r="BY134" s="1" t="str">
        <f>IF(AV134&gt;AV$147, AV134-AV$147,"")</f>
        <v/>
      </c>
      <c r="BZ134" s="1" t="str">
        <f>IF(AW134&gt;AW$147, AW134-AW$147,"")</f>
        <v/>
      </c>
      <c r="CA134" s="1" t="str">
        <f>IF(AX134&gt;AX$147, AX134-AX$147,"")</f>
        <v/>
      </c>
      <c r="CB134" s="1" t="str">
        <f>IF(AY134&gt;AY$147, AY134-AY$147,"")</f>
        <v/>
      </c>
      <c r="CC134" s="1" t="str">
        <f>IF(AZ134&gt;AZ$147, AZ134-AZ$147,"")</f>
        <v/>
      </c>
      <c r="CD134" s="1" t="str">
        <f>IF(BA134&gt;BA$147, BA134-BA$147,"")</f>
        <v/>
      </c>
      <c r="CE134" s="1" t="str">
        <f>IF(BB134&gt;BB$147, BB134-BB$147,"")</f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3"/>
    </row>
    <row r="135" spans="1:97" ht="27" x14ac:dyDescent="0.15">
      <c r="A135" s="1">
        <v>102</v>
      </c>
      <c r="B135" s="3" t="s">
        <v>189</v>
      </c>
      <c r="C135" s="3" t="s">
        <v>57</v>
      </c>
      <c r="D135" s="1" t="s">
        <v>32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>
        <v>50</v>
      </c>
      <c r="BK135" s="1">
        <v>50</v>
      </c>
      <c r="BL135" s="1"/>
      <c r="BM135" s="1"/>
      <c r="BN135" s="1">
        <v>50</v>
      </c>
      <c r="BO135" s="1">
        <v>50</v>
      </c>
      <c r="BP135" s="1">
        <f>SUM(E135:BO135)</f>
        <v>200</v>
      </c>
      <c r="BQ135" s="1">
        <v>90</v>
      </c>
      <c r="BR135" s="17">
        <v>2</v>
      </c>
      <c r="BS135" s="17" t="s">
        <v>286</v>
      </c>
      <c r="BT135" s="1" t="str">
        <f>IF(AQ135&gt;AQ$147, AQ135-AQ$147,"")</f>
        <v/>
      </c>
      <c r="BU135" s="1" t="str">
        <f>IF(AR135&gt;AR$147, AR135-AR$147,"")</f>
        <v/>
      </c>
      <c r="BV135" s="1" t="str">
        <f>IF(AS135&gt;AS$147, AS135-AS$147,"")</f>
        <v/>
      </c>
      <c r="BW135" s="1" t="str">
        <f>IF(AT135&gt;AT$147, AT135-AT$147,"")</f>
        <v/>
      </c>
      <c r="BX135" s="1" t="str">
        <f>IF(AU135&gt;AU$147, AU135-AU$147,"")</f>
        <v/>
      </c>
      <c r="BY135" s="1" t="str">
        <f>IF(AV135&gt;AV$147, AV135-AV$147,"")</f>
        <v/>
      </c>
      <c r="BZ135" s="1" t="str">
        <f>IF(AW135&gt;AW$147, AW135-AW$147,"")</f>
        <v/>
      </c>
      <c r="CA135" s="1" t="str">
        <f>IF(AX135&gt;AX$147, AX135-AX$147,"")</f>
        <v/>
      </c>
      <c r="CB135" s="1" t="str">
        <f>IF(AY135&gt;AY$147, AY135-AY$147,"")</f>
        <v/>
      </c>
      <c r="CC135" s="1" t="str">
        <f>IF(AZ135&gt;AZ$147, AZ135-AZ$147,"")</f>
        <v/>
      </c>
      <c r="CD135" s="1" t="str">
        <f>IF(BA135&gt;BA$147, BA135-BA$147,"")</f>
        <v/>
      </c>
      <c r="CE135" s="1" t="str">
        <f>IF(BB135&gt;BB$147, BB135-BB$147,"")</f>
        <v/>
      </c>
      <c r="CF135" s="1">
        <f>COUNTIF(BT135:CE135, "&gt;0")</f>
        <v>0</v>
      </c>
      <c r="CG135" s="1" t="str">
        <f>IF($CF135=1,BT135,"")</f>
        <v/>
      </c>
      <c r="CH135" s="1" t="str">
        <f>IF($CF135=1,BU135,"")</f>
        <v/>
      </c>
      <c r="CI135" s="1" t="str">
        <f>IF($CF135=1,BV135,"")</f>
        <v/>
      </c>
      <c r="CJ135" s="1" t="str">
        <f>IF($CF135=1,BW135,"")</f>
        <v/>
      </c>
      <c r="CK135" s="1" t="str">
        <f>IF($CF135=1,BX135,"")</f>
        <v/>
      </c>
      <c r="CL135" s="1" t="str">
        <f>IF($CF135=1,BY135,"")</f>
        <v/>
      </c>
      <c r="CM135" s="1" t="str">
        <f>IF($CF135=1,BZ135,"")</f>
        <v/>
      </c>
      <c r="CN135" s="1" t="str">
        <f>IF($CF135=1,CA135,"")</f>
        <v/>
      </c>
      <c r="CO135" s="1" t="str">
        <f>IF($CF135=1,CB135,"")</f>
        <v/>
      </c>
      <c r="CP135" s="1" t="str">
        <f>IF($CF135=1,CC135,"")</f>
        <v/>
      </c>
      <c r="CQ135" s="1" t="str">
        <f>IF($CF135=1,CD135,"")</f>
        <v/>
      </c>
      <c r="CR135" s="1" t="str">
        <f>IF($CF135=1,CE135,"")</f>
        <v/>
      </c>
      <c r="CS135" s="3">
        <f>SUM(AE135:BO135)</f>
        <v>200</v>
      </c>
    </row>
    <row r="136" spans="1:97" ht="40.5" x14ac:dyDescent="0.15">
      <c r="A136" s="1"/>
      <c r="B136" s="3" t="s">
        <v>226</v>
      </c>
      <c r="C136" s="3" t="s">
        <v>54</v>
      </c>
      <c r="D136" s="1" t="s">
        <v>227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>
        <v>5</v>
      </c>
      <c r="R136" s="28"/>
      <c r="S136" s="28"/>
      <c r="T136" s="28">
        <v>5</v>
      </c>
      <c r="U136" s="28"/>
      <c r="V136" s="28"/>
      <c r="W136" s="28">
        <v>5</v>
      </c>
      <c r="X136" s="28"/>
      <c r="Y136" s="28"/>
      <c r="Z136" s="28"/>
      <c r="AA136" s="28"/>
      <c r="AB136" s="28"/>
      <c r="AC136" s="28">
        <v>5</v>
      </c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 t="shared" ref="BP136:BP137" si="6">SUM(E136:BO136)</f>
        <v>20</v>
      </c>
      <c r="BQ136" s="1">
        <v>4</v>
      </c>
      <c r="BR136" s="17">
        <v>3</v>
      </c>
      <c r="BS136" s="17" t="s">
        <v>294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3"/>
    </row>
    <row r="137" spans="1:97" ht="40.5" x14ac:dyDescent="0.15">
      <c r="A137" s="1"/>
      <c r="B137" s="3" t="s">
        <v>232</v>
      </c>
      <c r="C137" s="3" t="s">
        <v>233</v>
      </c>
      <c r="D137" s="1" t="s">
        <v>228</v>
      </c>
      <c r="E137" s="6"/>
      <c r="F137" s="6"/>
      <c r="G137" s="6"/>
      <c r="H137" s="6"/>
      <c r="I137" s="6"/>
      <c r="J137" s="6"/>
      <c r="K137" s="6"/>
      <c r="L137" s="6"/>
      <c r="M137" s="6"/>
      <c r="N137" s="6">
        <v>10</v>
      </c>
      <c r="O137" s="6"/>
      <c r="P137" s="28"/>
      <c r="Q137" s="28"/>
      <c r="R137" s="28"/>
      <c r="S137" s="28"/>
      <c r="T137" s="28"/>
      <c r="U137" s="28"/>
      <c r="V137" s="28"/>
      <c r="W137" s="28"/>
      <c r="X137" s="28">
        <v>10</v>
      </c>
      <c r="Y137" s="28"/>
      <c r="Z137" s="28"/>
      <c r="AA137" s="28">
        <v>10</v>
      </c>
      <c r="AB137" s="28"/>
      <c r="AC137" s="28"/>
      <c r="AD137" s="28">
        <v>10</v>
      </c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 t="shared" si="6"/>
        <v>40</v>
      </c>
      <c r="BQ137" s="1">
        <v>11</v>
      </c>
      <c r="BR137" s="17">
        <v>3</v>
      </c>
      <c r="BS137" s="17" t="s">
        <v>297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3"/>
    </row>
    <row r="138" spans="1:97" ht="40.5" x14ac:dyDescent="0.15">
      <c r="A138" s="1">
        <v>28</v>
      </c>
      <c r="B138" s="1" t="s">
        <v>62</v>
      </c>
      <c r="C138" s="1" t="s">
        <v>26</v>
      </c>
      <c r="D138" s="1" t="s">
        <v>0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>
        <v>5</v>
      </c>
      <c r="AI138" s="1">
        <v>5</v>
      </c>
      <c r="AJ138" s="1">
        <v>5</v>
      </c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15</v>
      </c>
      <c r="BQ138" s="1">
        <v>15</v>
      </c>
      <c r="BR138" s="17">
        <v>3</v>
      </c>
      <c r="BS138" s="17" t="s">
        <v>287</v>
      </c>
      <c r="BT138" s="1" t="str">
        <f>IF(AQ138&gt;AQ$147, AQ138-AQ$147,"")</f>
        <v/>
      </c>
      <c r="BU138" s="1" t="str">
        <f>IF(AR138&gt;AR$147, AR138-AR$147,"")</f>
        <v/>
      </c>
      <c r="BV138" s="1" t="str">
        <f>IF(AS138&gt;AS$147, AS138-AS$147,"")</f>
        <v/>
      </c>
      <c r="BW138" s="1" t="str">
        <f>IF(AT138&gt;AT$147, AT138-AT$147,"")</f>
        <v/>
      </c>
      <c r="BX138" s="1" t="str">
        <f>IF(AU138&gt;AU$147, AU138-AU$147,"")</f>
        <v/>
      </c>
      <c r="BY138" s="1" t="str">
        <f>IF(AV138&gt;AV$147, AV138-AV$147,"")</f>
        <v/>
      </c>
      <c r="BZ138" s="1" t="str">
        <f>IF(AW138&gt;AW$147, AW138-AW$147,"")</f>
        <v/>
      </c>
      <c r="CA138" s="1" t="str">
        <f>IF(AX138&gt;AX$147, AX138-AX$147,"")</f>
        <v/>
      </c>
      <c r="CB138" s="1" t="str">
        <f>IF(AY138&gt;AY$147, AY138-AY$147,"")</f>
        <v/>
      </c>
      <c r="CC138" s="1" t="str">
        <f>IF(AZ138&gt;AZ$147, AZ138-AZ$147,"")</f>
        <v/>
      </c>
      <c r="CD138" s="1" t="str">
        <f>IF(BA138&gt;BA$147, BA138-BA$147,"")</f>
        <v/>
      </c>
      <c r="CE138" s="1" t="str">
        <f>IF(BB138&gt;BB$147, BB138-BB$147,"")</f>
        <v/>
      </c>
      <c r="CF138" s="1">
        <f>COUNTIF(BT138:CE138, "&gt;0")</f>
        <v>0</v>
      </c>
      <c r="CG138" s="1" t="str">
        <f>IF($CF138=1,BT138,"")</f>
        <v/>
      </c>
      <c r="CH138" s="1" t="str">
        <f>IF($CF138=1,BU138,"")</f>
        <v/>
      </c>
      <c r="CI138" s="1" t="str">
        <f>IF($CF138=1,BV138,"")</f>
        <v/>
      </c>
      <c r="CJ138" s="1" t="str">
        <f>IF($CF138=1,BW138,"")</f>
        <v/>
      </c>
      <c r="CK138" s="1" t="str">
        <f>IF($CF138=1,BX138,"")</f>
        <v/>
      </c>
      <c r="CL138" s="1" t="str">
        <f>IF($CF138=1,BY138,"")</f>
        <v/>
      </c>
      <c r="CM138" s="1" t="str">
        <f>IF($CF138=1,BZ138,"")</f>
        <v/>
      </c>
      <c r="CN138" s="1" t="str">
        <f>IF($CF138=1,CA138,"")</f>
        <v/>
      </c>
      <c r="CO138" s="1" t="str">
        <f>IF($CF138=1,CB138,"")</f>
        <v/>
      </c>
      <c r="CP138" s="1" t="str">
        <f>IF($CF138=1,CC138,"")</f>
        <v/>
      </c>
      <c r="CQ138" s="1" t="str">
        <f>IF($CF138=1,CD138,"")</f>
        <v/>
      </c>
      <c r="CR138" s="1" t="str">
        <f>IF($CF138=1,CE138,"")</f>
        <v/>
      </c>
      <c r="CS138" s="3">
        <f>SUM(AE138:BO138)</f>
        <v>15</v>
      </c>
    </row>
    <row r="139" spans="1:97" ht="40.5" x14ac:dyDescent="0.15">
      <c r="A139" s="1">
        <v>89</v>
      </c>
      <c r="B139" s="3" t="s">
        <v>67</v>
      </c>
      <c r="C139" s="3" t="s">
        <v>68</v>
      </c>
      <c r="D139" s="1" t="s"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>
        <v>5</v>
      </c>
      <c r="AG139" s="1"/>
      <c r="AH139" s="1">
        <v>5</v>
      </c>
      <c r="AI139" s="1">
        <v>5</v>
      </c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15</v>
      </c>
      <c r="BQ139" s="1">
        <v>15</v>
      </c>
      <c r="BR139" s="17">
        <v>3</v>
      </c>
      <c r="BS139" s="17" t="s">
        <v>288</v>
      </c>
      <c r="BT139" s="1" t="str">
        <f>IF(AQ139&gt;AQ$147, AQ139-AQ$147,"")</f>
        <v/>
      </c>
      <c r="BU139" s="1" t="str">
        <f>IF(AR139&gt;AR$147, AR139-AR$147,"")</f>
        <v/>
      </c>
      <c r="BV139" s="1" t="str">
        <f>IF(AS139&gt;AS$147, AS139-AS$147,"")</f>
        <v/>
      </c>
      <c r="BW139" s="1" t="str">
        <f>IF(AT139&gt;AT$147, AT139-AT$147,"")</f>
        <v/>
      </c>
      <c r="BX139" s="1" t="str">
        <f>IF(AU139&gt;AU$147, AU139-AU$147,"")</f>
        <v/>
      </c>
      <c r="BY139" s="1" t="str">
        <f>IF(AV139&gt;AV$147, AV139-AV$147,"")</f>
        <v/>
      </c>
      <c r="BZ139" s="1" t="str">
        <f>IF(AW139&gt;AW$147, AW139-AW$147,"")</f>
        <v/>
      </c>
      <c r="CA139" s="1" t="str">
        <f>IF(AX139&gt;AX$147, AX139-AX$147,"")</f>
        <v/>
      </c>
      <c r="CB139" s="1" t="str">
        <f>IF(AY139&gt;AY$147, AY139-AY$147,"")</f>
        <v/>
      </c>
      <c r="CC139" s="1" t="str">
        <f>IF(AZ139&gt;AZ$147, AZ139-AZ$147,"")</f>
        <v/>
      </c>
      <c r="CD139" s="1" t="str">
        <f>IF(BA139&gt;BA$147, BA139-BA$147,"")</f>
        <v/>
      </c>
      <c r="CE139" s="1" t="str">
        <f>IF(BB139&gt;BB$147, BB139-BB$147,"")</f>
        <v/>
      </c>
      <c r="CF139" s="1">
        <f>COUNTIF(BT139:CE139, "&gt;0")</f>
        <v>0</v>
      </c>
      <c r="CG139" s="1" t="str">
        <f>IF($CF139=1,BT139,"")</f>
        <v/>
      </c>
      <c r="CH139" s="1" t="str">
        <f>IF($CF139=1,BU139,"")</f>
        <v/>
      </c>
      <c r="CI139" s="1" t="str">
        <f>IF($CF139=1,BV139,"")</f>
        <v/>
      </c>
      <c r="CJ139" s="1" t="str">
        <f>IF($CF139=1,BW139,"")</f>
        <v/>
      </c>
      <c r="CK139" s="1" t="str">
        <f>IF($CF139=1,BX139,"")</f>
        <v/>
      </c>
      <c r="CL139" s="1" t="str">
        <f>IF($CF139=1,BY139,"")</f>
        <v/>
      </c>
      <c r="CM139" s="1" t="str">
        <f>IF($CF139=1,BZ139,"")</f>
        <v/>
      </c>
      <c r="CN139" s="1" t="str">
        <f>IF($CF139=1,CA139,"")</f>
        <v/>
      </c>
      <c r="CO139" s="1" t="str">
        <f>IF($CF139=1,CB139,"")</f>
        <v/>
      </c>
      <c r="CP139" s="1" t="str">
        <f>IF($CF139=1,CC139,"")</f>
        <v/>
      </c>
      <c r="CQ139" s="1" t="str">
        <f>IF($CF139=1,CD139,"")</f>
        <v/>
      </c>
      <c r="CR139" s="1" t="str">
        <f>IF($CF139=1,CE139,"")</f>
        <v/>
      </c>
      <c r="CS139" s="3">
        <f>SUM(AE139:BO139)</f>
        <v>15</v>
      </c>
    </row>
    <row r="140" spans="1:97" ht="40.5" x14ac:dyDescent="0.15">
      <c r="A140" s="1"/>
      <c r="B140" s="1" t="s">
        <v>123</v>
      </c>
      <c r="C140" s="1" t="s">
        <v>106</v>
      </c>
      <c r="D140" s="1" t="s">
        <v>109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17</v>
      </c>
      <c r="BR140" s="17">
        <v>3</v>
      </c>
      <c r="BS140" s="17" t="s">
        <v>290</v>
      </c>
      <c r="BT140" s="1" t="str">
        <f>IF(AQ140&gt;AQ$147, AQ140-AQ$147,"")</f>
        <v/>
      </c>
      <c r="BU140" s="1" t="str">
        <f>IF(AR140&gt;AR$147, AR140-AR$147,"")</f>
        <v/>
      </c>
      <c r="BV140" s="1" t="str">
        <f>IF(AS140&gt;AS$147, AS140-AS$147,"")</f>
        <v/>
      </c>
      <c r="BW140" s="1" t="str">
        <f>IF(AT140&gt;AT$147, AT140-AT$147,"")</f>
        <v/>
      </c>
      <c r="BX140" s="1" t="str">
        <f>IF(AU140&gt;AU$147, AU140-AU$147,"")</f>
        <v/>
      </c>
      <c r="BY140" s="1" t="str">
        <f>IF(AV140&gt;AV$147, AV140-AV$147,"")</f>
        <v/>
      </c>
      <c r="BZ140" s="1" t="str">
        <f>IF(AW140&gt;AW$147, AW140-AW$147,"")</f>
        <v/>
      </c>
      <c r="CA140" s="1" t="str">
        <f>IF(AX140&gt;AX$147, AX140-AX$147,"")</f>
        <v/>
      </c>
      <c r="CB140" s="1" t="str">
        <f>IF(AY140&gt;AY$147, AY140-AY$147,"")</f>
        <v/>
      </c>
      <c r="CC140" s="1" t="str">
        <f>IF(AZ140&gt;AZ$147, AZ140-AZ$147,"")</f>
        <v/>
      </c>
      <c r="CD140" s="1" t="str">
        <f>IF(BA140&gt;BA$147, BA140-BA$147,"")</f>
        <v/>
      </c>
      <c r="CE140" s="1" t="str">
        <f>IF(BB140&gt;BB$147, BB140-BB$147,"")</f>
        <v/>
      </c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3"/>
    </row>
    <row r="141" spans="1:97" ht="40.5" x14ac:dyDescent="0.15">
      <c r="A141" s="1"/>
      <c r="B141" s="3" t="s">
        <v>241</v>
      </c>
      <c r="C141" s="3" t="s">
        <v>105</v>
      </c>
      <c r="D141" s="1" t="s">
        <v>228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17</v>
      </c>
      <c r="BR141" s="17">
        <v>3</v>
      </c>
      <c r="BS141" s="17" t="s">
        <v>289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3"/>
    </row>
    <row r="142" spans="1:97" ht="40.5" x14ac:dyDescent="0.15">
      <c r="A142" s="1"/>
      <c r="B142" s="1" t="s">
        <v>92</v>
      </c>
      <c r="C142" s="1" t="s">
        <v>93</v>
      </c>
      <c r="D142" s="1" t="s">
        <v>94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>
        <v>40</v>
      </c>
      <c r="AW142" s="2">
        <v>40</v>
      </c>
      <c r="AX142" s="2"/>
      <c r="AY142" s="2"/>
      <c r="AZ142" s="2"/>
      <c r="BA142" s="2"/>
      <c r="BB142" s="2">
        <v>40</v>
      </c>
      <c r="BC142" s="14">
        <v>10</v>
      </c>
      <c r="BD142" s="1">
        <v>50</v>
      </c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180</v>
      </c>
      <c r="BQ142" s="1">
        <v>43</v>
      </c>
      <c r="BR142" s="17">
        <v>3</v>
      </c>
      <c r="BS142" s="17" t="s">
        <v>291</v>
      </c>
      <c r="BT142" s="1" t="str">
        <f>IF(AQ142&gt;AQ$147, AQ142-AQ$147,"")</f>
        <v/>
      </c>
      <c r="BU142" s="1" t="str">
        <f>IF(AR142&gt;AR$147, AR142-AR$147,"")</f>
        <v/>
      </c>
      <c r="BV142" s="1" t="str">
        <f>IF(AS142&gt;AS$147, AS142-AS$147,"")</f>
        <v/>
      </c>
      <c r="BW142" s="1" t="str">
        <f>IF(AT142&gt;AT$147, AT142-AT$147,"")</f>
        <v/>
      </c>
      <c r="BX142" s="1" t="str">
        <f>IF(AU142&gt;AU$147, AU142-AU$147,"")</f>
        <v/>
      </c>
      <c r="BY142" s="1" t="str">
        <f>IF(AV142&gt;AV$147, AV142-AV$147,"")</f>
        <v/>
      </c>
      <c r="BZ142" s="1" t="str">
        <f>IF(AW142&gt;AW$147, AW142-AW$147,"")</f>
        <v/>
      </c>
      <c r="CA142" s="1" t="str">
        <f>IF(AX142&gt;AX$147, AX142-AX$147,"")</f>
        <v/>
      </c>
      <c r="CB142" s="1" t="str">
        <f>IF(AY142&gt;AY$147, AY142-AY$147,"")</f>
        <v/>
      </c>
      <c r="CC142" s="1" t="str">
        <f>IF(AZ142&gt;AZ$147, AZ142-AZ$147,"")</f>
        <v/>
      </c>
      <c r="CD142" s="1" t="str">
        <f>IF(BA142&gt;BA$147, BA142-BA$147,"")</f>
        <v/>
      </c>
      <c r="CE142" s="1" t="str">
        <f>IF(BB142&gt;BB$147, BB142-BB$147,"")</f>
        <v/>
      </c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3"/>
    </row>
    <row r="143" spans="1:97" ht="40.5" x14ac:dyDescent="0.15">
      <c r="A143" s="68">
        <v>4</v>
      </c>
      <c r="B143" s="68" t="s">
        <v>9</v>
      </c>
      <c r="C143" s="68" t="s">
        <v>1</v>
      </c>
      <c r="D143" s="68" t="s">
        <v>199</v>
      </c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71">
        <v>40</v>
      </c>
      <c r="AR143" s="71"/>
      <c r="AS143" s="71"/>
      <c r="AT143" s="71"/>
      <c r="AU143" s="71"/>
      <c r="AV143" s="71"/>
      <c r="AW143" s="72">
        <v>40</v>
      </c>
      <c r="AX143" s="72">
        <v>40</v>
      </c>
      <c r="AY143" s="72"/>
      <c r="AZ143" s="72"/>
      <c r="BA143" s="72"/>
      <c r="BB143" s="72"/>
      <c r="BC143" s="73">
        <v>10</v>
      </c>
      <c r="BD143" s="68"/>
      <c r="BE143" s="68">
        <v>50</v>
      </c>
      <c r="BF143" s="68"/>
      <c r="BG143" s="68"/>
      <c r="BH143" s="68"/>
      <c r="BI143" s="68"/>
      <c r="BJ143" s="68"/>
      <c r="BK143" s="68"/>
      <c r="BL143" s="68"/>
      <c r="BM143" s="68"/>
      <c r="BN143" s="68"/>
      <c r="BO143" s="68"/>
      <c r="BP143" s="68">
        <f>SUM(E143:BO143)</f>
        <v>180</v>
      </c>
      <c r="BQ143" s="68">
        <v>65</v>
      </c>
      <c r="BR143" s="74">
        <v>3</v>
      </c>
      <c r="BS143" s="74" t="s">
        <v>292</v>
      </c>
      <c r="BT143" s="68" t="str">
        <f>IF(AQ143&gt;AQ$147, AQ143-AQ$147,"")</f>
        <v/>
      </c>
      <c r="BU143" s="68" t="str">
        <f>IF(AR143&gt;AR$147, AR143-AR$147,"")</f>
        <v/>
      </c>
      <c r="BV143" s="68" t="str">
        <f>IF(AS143&gt;AS$147, AS143-AS$147,"")</f>
        <v/>
      </c>
      <c r="BW143" s="68" t="str">
        <f>IF(AT143&gt;AT$147, AT143-AT$147,"")</f>
        <v/>
      </c>
      <c r="BX143" s="68" t="str">
        <f>IF(AU143&gt;AU$147, AU143-AU$147,"")</f>
        <v/>
      </c>
      <c r="BY143" s="68" t="str">
        <f>IF(AV143&gt;AV$147, AV143-AV$147,"")</f>
        <v/>
      </c>
      <c r="BZ143" s="68" t="str">
        <f>IF(AW143&gt;AW$147, AW143-AW$147,"")</f>
        <v/>
      </c>
      <c r="CA143" s="68" t="str">
        <f>IF(AX143&gt;AX$147, AX143-AX$147,"")</f>
        <v/>
      </c>
      <c r="CB143" s="68" t="str">
        <f>IF(AY143&gt;AY$147, AY143-AY$147,"")</f>
        <v/>
      </c>
      <c r="CC143" s="68" t="str">
        <f>IF(AZ143&gt;AZ$147, AZ143-AZ$147,"")</f>
        <v/>
      </c>
      <c r="CD143" s="68" t="str">
        <f>IF(BA143&gt;BA$147, BA143-BA$147,"")</f>
        <v/>
      </c>
      <c r="CE143" s="68" t="str">
        <f>IF(BB143&gt;BB$147, BB143-BB$147,"")</f>
        <v/>
      </c>
      <c r="CF143" s="68">
        <f>12-COUNTA(BT143:CE143)</f>
        <v>0</v>
      </c>
      <c r="CG143" s="68" t="str">
        <f>IF($CF143=1,BT143,"")</f>
        <v/>
      </c>
      <c r="CH143" s="68" t="str">
        <f>IF($CF143=1,BU143,"")</f>
        <v/>
      </c>
      <c r="CI143" s="68" t="str">
        <f>IF($CF143=1,BV143,"")</f>
        <v/>
      </c>
      <c r="CJ143" s="68" t="str">
        <f>IF($CF143=1,BW143,"")</f>
        <v/>
      </c>
      <c r="CK143" s="68" t="str">
        <f>IF($CF143=1,BX143,"")</f>
        <v/>
      </c>
      <c r="CL143" s="68" t="str">
        <f>IF($CF143=1,BY143,"")</f>
        <v/>
      </c>
      <c r="CM143" s="68" t="str">
        <f>IF($CF143=1,BZ143,"")</f>
        <v/>
      </c>
      <c r="CN143" s="68" t="str">
        <f>IF($CF143=1,CA143,"")</f>
        <v/>
      </c>
      <c r="CO143" s="68" t="str">
        <f>IF($CF143=1,CB143,"")</f>
        <v/>
      </c>
      <c r="CP143" s="68" t="str">
        <f>IF($CF143=1,CC143,"")</f>
        <v/>
      </c>
      <c r="CQ143" s="68" t="str">
        <f>IF($CF143=1,CD143,"")</f>
        <v/>
      </c>
      <c r="CR143" s="68" t="str">
        <f>IF($CF143=1,CE143,"")</f>
        <v/>
      </c>
      <c r="CS143" s="75">
        <f>SUM(AE143:BO143)</f>
        <v>180</v>
      </c>
    </row>
    <row r="144" spans="1:97" ht="40.5" x14ac:dyDescent="0.15">
      <c r="A144" s="1">
        <v>85</v>
      </c>
      <c r="B144" s="3" t="s">
        <v>170</v>
      </c>
      <c r="C144" s="3" t="s">
        <v>54</v>
      </c>
      <c r="D144" s="1" t="s">
        <v>32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>
        <v>50</v>
      </c>
      <c r="BM144" s="1">
        <v>50</v>
      </c>
      <c r="BN144" s="1">
        <v>50</v>
      </c>
      <c r="BO144" s="1">
        <v>50</v>
      </c>
      <c r="BP144" s="1">
        <f>SUM(E144:BO144)</f>
        <v>200</v>
      </c>
      <c r="BQ144" s="1">
        <v>132</v>
      </c>
      <c r="BR144" s="17">
        <v>3</v>
      </c>
      <c r="BS144" s="17" t="s">
        <v>293</v>
      </c>
      <c r="BT144" s="1" t="str">
        <f>IF(AQ144&gt;AQ$147, AQ144-AQ$147,"")</f>
        <v/>
      </c>
      <c r="BU144" s="1" t="str">
        <f>IF(AR144&gt;AR$147, AR144-AR$147,"")</f>
        <v/>
      </c>
      <c r="BV144" s="1" t="str">
        <f>IF(AS144&gt;AS$147, AS144-AS$147,"")</f>
        <v/>
      </c>
      <c r="BW144" s="1" t="str">
        <f>IF(AT144&gt;AT$147, AT144-AT$147,"")</f>
        <v/>
      </c>
      <c r="BX144" s="1" t="str">
        <f>IF(AU144&gt;AU$147, AU144-AU$147,"")</f>
        <v/>
      </c>
      <c r="BY144" s="1" t="str">
        <f>IF(AV144&gt;AV$147, AV144-AV$147,"")</f>
        <v/>
      </c>
      <c r="BZ144" s="1" t="str">
        <f>IF(AW144&gt;AW$147, AW144-AW$147,"")</f>
        <v/>
      </c>
      <c r="CA144" s="1" t="str">
        <f>IF(AX144&gt;AX$147, AX144-AX$147,"")</f>
        <v/>
      </c>
      <c r="CB144" s="1" t="str">
        <f>IF(AY144&gt;AY$147, AY144-AY$147,"")</f>
        <v/>
      </c>
      <c r="CC144" s="1" t="str">
        <f>IF(AZ144&gt;AZ$147, AZ144-AZ$147,"")</f>
        <v/>
      </c>
      <c r="CD144" s="1" t="str">
        <f>IF(BA144&gt;BA$147, BA144-BA$147,"")</f>
        <v/>
      </c>
      <c r="CE144" s="1" t="str">
        <f>IF(BB144&gt;BB$147, BB144-BB$147,"")</f>
        <v/>
      </c>
      <c r="CF144" s="1">
        <f>COUNTIF(BT144:CE144, "&gt;0")</f>
        <v>0</v>
      </c>
      <c r="CG144" s="1" t="str">
        <f>IF($CF144=1,BT144,"")</f>
        <v/>
      </c>
      <c r="CH144" s="1" t="str">
        <f>IF($CF144=1,BU144,"")</f>
        <v/>
      </c>
      <c r="CI144" s="1" t="str">
        <f>IF($CF144=1,BV144,"")</f>
        <v/>
      </c>
      <c r="CJ144" s="1" t="str">
        <f>IF($CF144=1,BW144,"")</f>
        <v/>
      </c>
      <c r="CK144" s="1" t="str">
        <f>IF($CF144=1,BX144,"")</f>
        <v/>
      </c>
      <c r="CL144" s="1" t="str">
        <f>IF($CF144=1,BY144,"")</f>
        <v/>
      </c>
      <c r="CM144" s="1" t="str">
        <f>IF($CF144=1,BZ144,"")</f>
        <v/>
      </c>
      <c r="CN144" s="1" t="str">
        <f>IF($CF144=1,CA144,"")</f>
        <v/>
      </c>
      <c r="CO144" s="1" t="str">
        <f>IF($CF144=1,CB144,"")</f>
        <v/>
      </c>
      <c r="CP144" s="1" t="str">
        <f>IF($CF144=1,CC144,"")</f>
        <v/>
      </c>
      <c r="CQ144" s="1" t="str">
        <f>IF($CF144=1,CD144,"")</f>
        <v/>
      </c>
      <c r="CR144" s="1" t="str">
        <f>IF($CF144=1,CE144,"")</f>
        <v/>
      </c>
      <c r="CS144" s="3">
        <f>SUM(AE144:BO144)</f>
        <v>200</v>
      </c>
    </row>
    <row r="145" spans="1:97" ht="40.5" x14ac:dyDescent="0.15">
      <c r="A145" s="1"/>
      <c r="B145" s="1" t="s">
        <v>167</v>
      </c>
      <c r="C145" s="1" t="s">
        <v>104</v>
      </c>
      <c r="D145" s="1" t="s">
        <v>102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>
        <v>50</v>
      </c>
      <c r="BM145" s="1">
        <v>50</v>
      </c>
      <c r="BN145" s="1">
        <v>50</v>
      </c>
      <c r="BO145" s="1">
        <v>50</v>
      </c>
      <c r="BP145" s="1">
        <f>SUM(E145:BO145)</f>
        <v>200</v>
      </c>
      <c r="BQ145" s="1">
        <v>132</v>
      </c>
      <c r="BR145" s="17">
        <v>3</v>
      </c>
      <c r="BS145" s="17" t="s">
        <v>298</v>
      </c>
      <c r="BT145" s="1" t="str">
        <f>IF(AQ145&gt;AQ$147, AQ145-AQ$147,"")</f>
        <v/>
      </c>
      <c r="BU145" s="1" t="str">
        <f>IF(AR145&gt;AR$147, AR145-AR$147,"")</f>
        <v/>
      </c>
      <c r="BV145" s="1" t="str">
        <f>IF(AS145&gt;AS$147, AS145-AS$147,"")</f>
        <v/>
      </c>
      <c r="BW145" s="1" t="str">
        <f>IF(AT145&gt;AT$147, AT145-AT$147,"")</f>
        <v/>
      </c>
      <c r="BX145" s="1" t="str">
        <f>IF(AU145&gt;AU$147, AU145-AU$147,"")</f>
        <v/>
      </c>
      <c r="BY145" s="1" t="str">
        <f>IF(AV145&gt;AV$147, AV145-AV$147,"")</f>
        <v/>
      </c>
      <c r="BZ145" s="1" t="str">
        <f>IF(AW145&gt;AW$147, AW145-AW$147,"")</f>
        <v/>
      </c>
      <c r="CA145" s="1" t="str">
        <f>IF(AX145&gt;AX$147, AX145-AX$147,"")</f>
        <v/>
      </c>
      <c r="CB145" s="1" t="str">
        <f>IF(AY145&gt;AY$147, AY145-AY$147,"")</f>
        <v/>
      </c>
      <c r="CC145" s="1" t="str">
        <f>IF(AZ145&gt;AZ$147, AZ145-AZ$147,"")</f>
        <v/>
      </c>
      <c r="CD145" s="1" t="str">
        <f>IF(BA145&gt;BA$147, BA145-BA$147,"")</f>
        <v/>
      </c>
      <c r="CE145" s="1" t="str">
        <f>IF(BB145&gt;BB$147, BB145-BB$147,"")</f>
        <v/>
      </c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3"/>
    </row>
    <row r="146" spans="1:97" ht="40.5" x14ac:dyDescent="0.15">
      <c r="A146" s="1"/>
      <c r="B146" s="1" t="s">
        <v>188</v>
      </c>
      <c r="C146" s="1" t="s">
        <v>104</v>
      </c>
      <c r="D146" s="1" t="s">
        <v>102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>
        <v>50</v>
      </c>
      <c r="BM146" s="1">
        <v>50</v>
      </c>
      <c r="BN146" s="1">
        <v>50</v>
      </c>
      <c r="BO146" s="1">
        <v>50</v>
      </c>
      <c r="BP146" s="1">
        <f>SUM(E146:BO146)</f>
        <v>200</v>
      </c>
      <c r="BQ146" s="1">
        <v>132</v>
      </c>
      <c r="BR146" s="17">
        <v>3</v>
      </c>
      <c r="BS146" s="17" t="s">
        <v>298</v>
      </c>
      <c r="BT146" s="1" t="str">
        <f>IF(AQ146&gt;AQ$147, AQ146-AQ$147,"")</f>
        <v/>
      </c>
      <c r="BU146" s="1" t="str">
        <f>IF(AR146&gt;AR$147, AR146-AR$147,"")</f>
        <v/>
      </c>
      <c r="BV146" s="1" t="str">
        <f>IF(AS146&gt;AS$147, AS146-AS$147,"")</f>
        <v/>
      </c>
      <c r="BW146" s="1" t="str">
        <f>IF(AT146&gt;AT$147, AT146-AT$147,"")</f>
        <v/>
      </c>
      <c r="BX146" s="1" t="str">
        <f>IF(AU146&gt;AU$147, AU146-AU$147,"")</f>
        <v/>
      </c>
      <c r="BY146" s="1" t="str">
        <f>IF(AV146&gt;AV$147, AV146-AV$147,"")</f>
        <v/>
      </c>
      <c r="BZ146" s="1" t="str">
        <f>IF(AW146&gt;AW$147, AW146-AW$147,"")</f>
        <v/>
      </c>
      <c r="CA146" s="1" t="str">
        <f>IF(AX146&gt;AX$147, AX146-AX$147,"")</f>
        <v/>
      </c>
      <c r="CB146" s="1" t="str">
        <f>IF(AY146&gt;AY$147, AY146-AY$147,"")</f>
        <v/>
      </c>
      <c r="CC146" s="1" t="str">
        <f>IF(AZ146&gt;AZ$147, AZ146-AZ$147,"")</f>
        <v/>
      </c>
      <c r="CD146" s="1" t="str">
        <f>IF(BA146&gt;BA$147, BA146-BA$147,"")</f>
        <v/>
      </c>
      <c r="CE146" s="1" t="str">
        <f>IF(BB146&gt;BB$147, BB146-BB$147,"")</f>
        <v/>
      </c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3"/>
    </row>
    <row r="147" spans="1:97" x14ac:dyDescent="0.15">
      <c r="A147" s="1"/>
      <c r="B147" s="1" t="s">
        <v>59</v>
      </c>
      <c r="C147" s="1"/>
      <c r="D147" s="1"/>
      <c r="E147" s="6">
        <f>SUM(E2:E146)</f>
        <v>133</v>
      </c>
      <c r="F147" s="6">
        <f>SUM(F2:F146)</f>
        <v>33</v>
      </c>
      <c r="G147" s="6">
        <f>SUM(G2:G146)</f>
        <v>160</v>
      </c>
      <c r="H147" s="6">
        <f>SUM(H2:H146)</f>
        <v>129</v>
      </c>
      <c r="I147" s="6">
        <f>SUM(I2:I146)</f>
        <v>27</v>
      </c>
      <c r="J147" s="6">
        <f>SUM(J2:J146)</f>
        <v>55</v>
      </c>
      <c r="K147" s="6">
        <f>SUM(K2:K146)</f>
        <v>16</v>
      </c>
      <c r="L147" s="6">
        <f>SUM(L2:L146)</f>
        <v>76</v>
      </c>
      <c r="M147" s="6">
        <f>SUM(M2:M146)</f>
        <v>77</v>
      </c>
      <c r="N147" s="6">
        <f>SUM(N2:N146)</f>
        <v>10</v>
      </c>
      <c r="O147" s="6">
        <f>SUM(O2:O146)</f>
        <v>68</v>
      </c>
      <c r="P147" s="28">
        <f>SUM(P2:P146)</f>
        <v>230</v>
      </c>
      <c r="Q147" s="28">
        <f>SUM(Q2:Q146)</f>
        <v>121</v>
      </c>
      <c r="R147" s="28">
        <f>SUM(R2:R146)</f>
        <v>117</v>
      </c>
      <c r="S147" s="28">
        <f>SUM(S2:S146)</f>
        <v>230</v>
      </c>
      <c r="T147" s="28">
        <f>SUM(T2:T146)</f>
        <v>91</v>
      </c>
      <c r="U147" s="28">
        <f>SUM(U2:U146)</f>
        <v>94</v>
      </c>
      <c r="V147" s="28">
        <f>SUM(V2:V146)</f>
        <v>230</v>
      </c>
      <c r="W147" s="28">
        <f>SUM(W2:W146)</f>
        <v>65</v>
      </c>
      <c r="X147" s="28">
        <f>SUM(X2:X146)</f>
        <v>109</v>
      </c>
      <c r="Y147" s="28">
        <f>SUM(Y2:Y146)</f>
        <v>210</v>
      </c>
      <c r="Z147" s="28">
        <f>SUM(Z2:Z146)</f>
        <v>85</v>
      </c>
      <c r="AA147" s="28">
        <f>SUM(AA2:AA146)</f>
        <v>109</v>
      </c>
      <c r="AB147" s="28">
        <f>SUM(AB2:AB146)</f>
        <v>230</v>
      </c>
      <c r="AC147" s="28">
        <f>SUM(AC2:AC146)</f>
        <v>50</v>
      </c>
      <c r="AD147" s="28">
        <f>SUM(AD2:AD146)</f>
        <v>84</v>
      </c>
      <c r="AE147" s="1">
        <f>SUM(AE2:AE146)</f>
        <v>250</v>
      </c>
      <c r="AF147" s="1">
        <f>SUM(AF2:AF146)</f>
        <v>10</v>
      </c>
      <c r="AG147" s="1">
        <f>SUM(AG2:AG146)</f>
        <v>5</v>
      </c>
      <c r="AH147" s="1">
        <f>SUM(AH2:AH146)</f>
        <v>30</v>
      </c>
      <c r="AI147" s="1">
        <f>SUM(AI2:AI146)</f>
        <v>30</v>
      </c>
      <c r="AJ147" s="1">
        <f>SUM(AJ2:AJ146)</f>
        <v>5</v>
      </c>
      <c r="AK147" s="1">
        <f>SUM(AK2:AK146)</f>
        <v>0</v>
      </c>
      <c r="AL147" s="1">
        <f>SUM(AL2:AL146)</f>
        <v>0</v>
      </c>
      <c r="AM147" s="1">
        <f>SUM(AM2:AM146)</f>
        <v>5</v>
      </c>
      <c r="AN147" s="1">
        <f>SUM(AN2:AN146)</f>
        <v>50</v>
      </c>
      <c r="AO147" s="1">
        <f>SUM(AO2:AO146)</f>
        <v>33</v>
      </c>
      <c r="AP147" s="1">
        <f>SUM(AP2:AP146)</f>
        <v>27</v>
      </c>
      <c r="AQ147" s="4">
        <f>SUM(AQ2:AQ146)</f>
        <v>115</v>
      </c>
      <c r="AR147" s="4">
        <f>SUM(AR2:AR146)</f>
        <v>90</v>
      </c>
      <c r="AS147" s="4">
        <f>SUM(AS2:AS146)</f>
        <v>95</v>
      </c>
      <c r="AT147" s="4">
        <f>SUM(AT2:AT146)</f>
        <v>85</v>
      </c>
      <c r="AU147" s="4">
        <f>SUM(AU2:AU146)</f>
        <v>65</v>
      </c>
      <c r="AV147" s="4">
        <f>SUM(AV2:AV146)</f>
        <v>115</v>
      </c>
      <c r="AW147" s="2">
        <f>SUM(AW2:AW146)</f>
        <v>125</v>
      </c>
      <c r="AX147" s="2">
        <f>SUM(AX2:AX146)</f>
        <v>85</v>
      </c>
      <c r="AY147" s="2">
        <f>SUM(AY2:AY146)</f>
        <v>50</v>
      </c>
      <c r="AZ147" s="2">
        <f>SUM(AZ2:AZ146)</f>
        <v>60</v>
      </c>
      <c r="BA147" s="2">
        <f>SUM(BA2:BA146)</f>
        <v>155</v>
      </c>
      <c r="BB147" s="2">
        <f>SUM(BB2:BB146)</f>
        <v>235</v>
      </c>
      <c r="BC147" s="1">
        <f>SUM(BC2:BC146)</f>
        <v>20</v>
      </c>
      <c r="BD147" s="1">
        <f>SUM(BD2:BD146)</f>
        <v>130</v>
      </c>
      <c r="BE147" s="1">
        <f>SUM(BE2:BE146)</f>
        <v>130</v>
      </c>
      <c r="BF147" s="1">
        <f>SUM(BF2:BF146)</f>
        <v>80</v>
      </c>
      <c r="BG147" s="1">
        <f>SUM(BG2:BG146)</f>
        <v>80</v>
      </c>
      <c r="BH147" s="1">
        <f>SUM(BH2:BH146)</f>
        <v>75</v>
      </c>
      <c r="BI147" s="1">
        <f>SUM(BI2:BI146)</f>
        <v>55</v>
      </c>
      <c r="BJ147" s="1">
        <f>SUM(BJ2:BJ146)</f>
        <v>200</v>
      </c>
      <c r="BK147" s="1">
        <f>SUM(BK2:BK146)</f>
        <v>200</v>
      </c>
      <c r="BL147" s="1">
        <f>SUM(BL2:BL146)</f>
        <v>150</v>
      </c>
      <c r="BM147" s="1">
        <f>SUM(BM2:BM146)</f>
        <v>150</v>
      </c>
      <c r="BN147" s="1">
        <f>SUM(BN2:BN146)</f>
        <v>350</v>
      </c>
      <c r="BO147" s="1">
        <f>SUM(BO2:BO146)</f>
        <v>350</v>
      </c>
      <c r="BP147" s="1"/>
      <c r="BQ147" s="1"/>
      <c r="BR147" s="17"/>
      <c r="BS147" s="17"/>
      <c r="BT147" s="1">
        <f>MIN(BT3:BT146)</f>
        <v>0</v>
      </c>
      <c r="BU147" s="1">
        <f>MIN(BU3:BU146)</f>
        <v>0</v>
      </c>
      <c r="BV147" s="1">
        <f>MIN(BV3:BV146)</f>
        <v>0</v>
      </c>
      <c r="BW147" s="1">
        <f>MIN(BW3:BW146)</f>
        <v>0</v>
      </c>
      <c r="BX147" s="1">
        <f>MIN(BX3:BX146)</f>
        <v>0</v>
      </c>
      <c r="BY147" s="1">
        <f>MIN(BY3:BY146)</f>
        <v>0</v>
      </c>
      <c r="BZ147" s="1">
        <f>MIN(BZ3:BZ146)</f>
        <v>0</v>
      </c>
      <c r="CA147" s="1">
        <f>MIN(CA3:CA146)</f>
        <v>0</v>
      </c>
      <c r="CB147" s="1">
        <f>MIN(CB3:CB146)</f>
        <v>0</v>
      </c>
      <c r="CC147" s="1">
        <f>MIN(CC3:CC146)</f>
        <v>0</v>
      </c>
      <c r="CD147" s="1">
        <f>MIN(CD3:CD146)</f>
        <v>0</v>
      </c>
      <c r="CE147" s="1">
        <f>MIN(CE3:CE146)</f>
        <v>0</v>
      </c>
      <c r="CF147" s="1"/>
      <c r="CG147" s="1">
        <f>MIN(CG3:CG146)</f>
        <v>0</v>
      </c>
      <c r="CH147" s="1">
        <f>MIN(CH3:CH146)</f>
        <v>0</v>
      </c>
      <c r="CI147" s="1">
        <f>MIN(CI3:CI146)</f>
        <v>0</v>
      </c>
      <c r="CJ147" s="1">
        <f>MIN(CJ3:CJ146)</f>
        <v>0</v>
      </c>
      <c r="CK147" s="1">
        <f>MIN(CK3:CK146)</f>
        <v>0</v>
      </c>
      <c r="CL147" s="1">
        <f>MIN(CL3:CL146)</f>
        <v>0</v>
      </c>
      <c r="CM147" s="1">
        <f>MIN(CM3:CM146)</f>
        <v>0</v>
      </c>
      <c r="CN147" s="1">
        <f>MIN(CN3:CN146)</f>
        <v>0</v>
      </c>
      <c r="CO147" s="1">
        <f>MIN(CO3:CO146)</f>
        <v>0</v>
      </c>
      <c r="CP147" s="1">
        <f>MIN(CP3:CP146)</f>
        <v>0</v>
      </c>
      <c r="CQ147" s="1">
        <f>MIN(CQ3:CQ146)</f>
        <v>0</v>
      </c>
      <c r="CR147" s="1">
        <f>MIN(CR3:CR146)</f>
        <v>0</v>
      </c>
      <c r="CS147" s="3">
        <f>COUNTIF(CS3:CS146,"=0")</f>
        <v>0</v>
      </c>
    </row>
    <row r="148" spans="1:97" x14ac:dyDescent="0.15">
      <c r="A148" s="1"/>
      <c r="B148" s="3" t="s">
        <v>79</v>
      </c>
      <c r="C148" s="1"/>
      <c r="D148" s="1"/>
      <c r="E148" s="1">
        <v>43</v>
      </c>
      <c r="F148" s="1">
        <v>29</v>
      </c>
      <c r="G148" s="1">
        <v>36</v>
      </c>
      <c r="H148" s="1">
        <v>15</v>
      </c>
      <c r="I148" s="1">
        <v>68</v>
      </c>
      <c r="J148" s="1">
        <v>81</v>
      </c>
      <c r="K148" s="1">
        <v>53</v>
      </c>
      <c r="L148" s="1">
        <v>92</v>
      </c>
      <c r="M148" s="1">
        <v>60</v>
      </c>
      <c r="N148" s="1">
        <v>63</v>
      </c>
      <c r="O148" s="1">
        <v>41</v>
      </c>
      <c r="P148" s="14">
        <v>34</v>
      </c>
      <c r="Q148" s="14">
        <v>3</v>
      </c>
      <c r="R148" s="14">
        <v>4</v>
      </c>
      <c r="S148" s="14">
        <v>24</v>
      </c>
      <c r="T148" s="14">
        <v>15</v>
      </c>
      <c r="U148" s="14">
        <v>3</v>
      </c>
      <c r="V148" s="14">
        <v>16</v>
      </c>
      <c r="W148" s="14">
        <v>4</v>
      </c>
      <c r="X148" s="14">
        <v>8</v>
      </c>
      <c r="Y148" s="14">
        <v>20</v>
      </c>
      <c r="Z148" s="14">
        <v>6</v>
      </c>
      <c r="AA148" s="14">
        <v>3</v>
      </c>
      <c r="AB148" s="14">
        <v>23</v>
      </c>
      <c r="AC148" s="14">
        <v>4</v>
      </c>
      <c r="AD148" s="14">
        <v>8</v>
      </c>
      <c r="AE148" s="1">
        <v>6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33</v>
      </c>
      <c r="AL148" s="1">
        <v>43</v>
      </c>
      <c r="AM148" s="1">
        <v>5</v>
      </c>
      <c r="AN148" s="1">
        <v>1</v>
      </c>
      <c r="AO148" s="1">
        <v>0</v>
      </c>
      <c r="AP148" s="1">
        <v>0</v>
      </c>
      <c r="AQ148" s="14">
        <v>10</v>
      </c>
      <c r="AR148" s="14">
        <v>1</v>
      </c>
      <c r="AS148" s="14">
        <v>16</v>
      </c>
      <c r="AT148" s="14">
        <v>20</v>
      </c>
      <c r="AU148" s="14">
        <v>24</v>
      </c>
      <c r="AV148" s="14">
        <v>26</v>
      </c>
      <c r="AW148" s="14">
        <v>14</v>
      </c>
      <c r="AX148" s="14">
        <v>31</v>
      </c>
      <c r="AY148" s="14">
        <v>32</v>
      </c>
      <c r="AZ148" s="14">
        <v>14</v>
      </c>
      <c r="BA148" s="14">
        <v>12</v>
      </c>
      <c r="BB148" s="14">
        <v>37</v>
      </c>
      <c r="BC148" s="14">
        <v>12</v>
      </c>
      <c r="BD148" s="1">
        <v>162</v>
      </c>
      <c r="BE148" s="1">
        <v>244</v>
      </c>
      <c r="BF148" s="1">
        <v>233</v>
      </c>
      <c r="BG148" s="1">
        <v>242</v>
      </c>
      <c r="BH148" s="1">
        <v>141</v>
      </c>
      <c r="BI148" s="1">
        <v>154</v>
      </c>
      <c r="BJ148" s="1">
        <v>56</v>
      </c>
      <c r="BK148" s="1">
        <v>65</v>
      </c>
      <c r="BL148" s="1">
        <v>93</v>
      </c>
      <c r="BM148" s="1">
        <v>8</v>
      </c>
      <c r="BN148" s="1">
        <v>5</v>
      </c>
      <c r="BO148" s="1">
        <v>5</v>
      </c>
      <c r="BP148" s="1"/>
      <c r="BQ148" s="1"/>
      <c r="BR148" s="17"/>
      <c r="BS148" s="17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</row>
    <row r="149" spans="1:97" x14ac:dyDescent="0.15">
      <c r="A149" s="1"/>
      <c r="B149" s="3" t="s">
        <v>86</v>
      </c>
      <c r="C149" s="1"/>
      <c r="D149" s="1"/>
      <c r="E149" s="1">
        <f>E148-E147</f>
        <v>-90</v>
      </c>
      <c r="F149" s="1">
        <f>F148-F147</f>
        <v>-4</v>
      </c>
      <c r="G149" s="1">
        <f>G148-G147</f>
        <v>-124</v>
      </c>
      <c r="H149" s="1">
        <f>H148-H147</f>
        <v>-114</v>
      </c>
      <c r="I149" s="1">
        <f>I148-I147</f>
        <v>41</v>
      </c>
      <c r="J149" s="1">
        <f>J148-J147</f>
        <v>26</v>
      </c>
      <c r="K149" s="1">
        <f>K148-K147</f>
        <v>37</v>
      </c>
      <c r="L149" s="1">
        <f>L148-L147</f>
        <v>16</v>
      </c>
      <c r="M149" s="1">
        <f>M148-M147</f>
        <v>-17</v>
      </c>
      <c r="N149" s="1">
        <f>N148-N147</f>
        <v>53</v>
      </c>
      <c r="O149" s="1">
        <f>O148-O147</f>
        <v>-27</v>
      </c>
      <c r="P149" s="1">
        <f>P148-P147</f>
        <v>-196</v>
      </c>
      <c r="Q149" s="1">
        <f>Q148-Q147</f>
        <v>-118</v>
      </c>
      <c r="R149" s="1">
        <f>R148-R147</f>
        <v>-113</v>
      </c>
      <c r="S149" s="1">
        <f>S148-S147</f>
        <v>-206</v>
      </c>
      <c r="T149" s="1">
        <f>T148-T147</f>
        <v>-76</v>
      </c>
      <c r="U149" s="1">
        <f>U148-U147</f>
        <v>-91</v>
      </c>
      <c r="V149" s="1">
        <f>V148-V147</f>
        <v>-214</v>
      </c>
      <c r="W149" s="1">
        <f>W148-W147</f>
        <v>-61</v>
      </c>
      <c r="X149" s="1">
        <f>X148-X147</f>
        <v>-101</v>
      </c>
      <c r="Y149" s="1">
        <f>Y148-Y147</f>
        <v>-190</v>
      </c>
      <c r="Z149" s="1">
        <f>Z148-Z147</f>
        <v>-79</v>
      </c>
      <c r="AA149" s="1">
        <f>AA148-AA147</f>
        <v>-106</v>
      </c>
      <c r="AB149" s="1">
        <f>AB148-AB147</f>
        <v>-207</v>
      </c>
      <c r="AC149" s="1">
        <f>AC148-AC147</f>
        <v>-46</v>
      </c>
      <c r="AD149" s="1">
        <f>AD148-AD147</f>
        <v>-76</v>
      </c>
      <c r="AE149" s="1">
        <f>AE148-AE147</f>
        <v>-244</v>
      </c>
      <c r="AF149" s="1">
        <f>AF148-AF147</f>
        <v>-10</v>
      </c>
      <c r="AG149" s="1">
        <f>AG148-AG147</f>
        <v>-5</v>
      </c>
      <c r="AH149" s="1">
        <f>AH148-AH147</f>
        <v>-30</v>
      </c>
      <c r="AI149" s="1">
        <f>AI148-AI147</f>
        <v>-30</v>
      </c>
      <c r="AJ149" s="1">
        <f>AJ148-AJ147</f>
        <v>-5</v>
      </c>
      <c r="AK149" s="1">
        <f>AK148-AK147</f>
        <v>33</v>
      </c>
      <c r="AL149" s="1">
        <f>AL148-AL147</f>
        <v>43</v>
      </c>
      <c r="AM149" s="1">
        <f>AM148-AM147</f>
        <v>0</v>
      </c>
      <c r="AN149" s="1">
        <f>AN148-AN147</f>
        <v>-49</v>
      </c>
      <c r="AO149" s="1">
        <f>AO148-AO147</f>
        <v>-33</v>
      </c>
      <c r="AP149" s="1">
        <f>AP148-AP147</f>
        <v>-27</v>
      </c>
      <c r="AQ149" s="1">
        <f>AQ148-AQ147</f>
        <v>-105</v>
      </c>
      <c r="AR149" s="1">
        <f>AR148-AR147</f>
        <v>-89</v>
      </c>
      <c r="AS149" s="1">
        <f>AS148-AS147</f>
        <v>-79</v>
      </c>
      <c r="AT149" s="1">
        <f>AT148-AT147</f>
        <v>-65</v>
      </c>
      <c r="AU149" s="1">
        <f>AU148-AU147</f>
        <v>-41</v>
      </c>
      <c r="AV149" s="1">
        <f>AV148-AV147</f>
        <v>-89</v>
      </c>
      <c r="AW149" s="1">
        <f>AW148-AW147</f>
        <v>-111</v>
      </c>
      <c r="AX149" s="1">
        <f>AX148-AX147</f>
        <v>-54</v>
      </c>
      <c r="AY149" s="1">
        <f>AY148-AY147</f>
        <v>-18</v>
      </c>
      <c r="AZ149" s="1">
        <f>AZ148-AZ147</f>
        <v>-46</v>
      </c>
      <c r="BA149" s="1">
        <f>BA148-BA147</f>
        <v>-143</v>
      </c>
      <c r="BB149" s="1">
        <f>BB148-BB147</f>
        <v>-198</v>
      </c>
      <c r="BC149" s="1">
        <f>BC148-BC147</f>
        <v>-8</v>
      </c>
      <c r="BD149" s="1">
        <f>BD148-BD147</f>
        <v>32</v>
      </c>
      <c r="BE149" s="1">
        <f>BE148-BE147</f>
        <v>114</v>
      </c>
      <c r="BF149" s="1">
        <f>BF148-BF147</f>
        <v>153</v>
      </c>
      <c r="BG149" s="1">
        <f>BG148-BG147</f>
        <v>162</v>
      </c>
      <c r="BH149" s="1">
        <f>BH148-BH147</f>
        <v>66</v>
      </c>
      <c r="BI149" s="1">
        <f>BI148-BI147</f>
        <v>99</v>
      </c>
      <c r="BJ149" s="1">
        <f>BJ148-BJ147</f>
        <v>-144</v>
      </c>
      <c r="BK149" s="1">
        <f>BK148-BK147</f>
        <v>-135</v>
      </c>
      <c r="BL149" s="1">
        <f>BL148-BL147</f>
        <v>-57</v>
      </c>
      <c r="BM149" s="1">
        <f>BM148-BM147</f>
        <v>-142</v>
      </c>
      <c r="BN149" s="1">
        <f>BN148-BN147</f>
        <v>-345</v>
      </c>
      <c r="BO149" s="1">
        <f>BO148-BO147</f>
        <v>-345</v>
      </c>
      <c r="BP149" s="1"/>
      <c r="BQ149" s="1"/>
      <c r="BR149" s="17"/>
      <c r="BS149" s="17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</row>
    <row r="150" spans="1:97" x14ac:dyDescent="0.15">
      <c r="A150" s="1"/>
      <c r="B150" s="3" t="s">
        <v>171</v>
      </c>
      <c r="C150" s="1"/>
      <c r="D150" s="1"/>
      <c r="E150" s="1">
        <f>MAX(E2:E146)</f>
        <v>15</v>
      </c>
      <c r="F150" s="1">
        <f>MAX(F2:F146)</f>
        <v>15</v>
      </c>
      <c r="G150" s="1">
        <f>MAX(G2:G146)</f>
        <v>20</v>
      </c>
      <c r="H150" s="1">
        <f>MAX(H2:H146)</f>
        <v>20</v>
      </c>
      <c r="I150" s="1">
        <f>MAX(I2:I146)</f>
        <v>10</v>
      </c>
      <c r="J150" s="1">
        <f>MAX(J2:J146)</f>
        <v>10</v>
      </c>
      <c r="K150" s="1">
        <f>MAX(K2:K146)</f>
        <v>10</v>
      </c>
      <c r="L150" s="1">
        <f>MAX(L2:L146)</f>
        <v>20</v>
      </c>
      <c r="M150" s="1">
        <f>MAX(M2:M146)</f>
        <v>15</v>
      </c>
      <c r="N150" s="1">
        <f>MAX(N2:N146)</f>
        <v>10</v>
      </c>
      <c r="O150" s="1">
        <f>MAX(O2:O146)</f>
        <v>20</v>
      </c>
      <c r="P150" s="1">
        <f>MAX(P2:P146)</f>
        <v>10</v>
      </c>
      <c r="Q150" s="1">
        <f>MAX(Q2:Q146)</f>
        <v>7</v>
      </c>
      <c r="R150" s="1">
        <f>MAX(R2:R146)</f>
        <v>10</v>
      </c>
      <c r="S150" s="1">
        <f>MAX(S2:S146)</f>
        <v>10</v>
      </c>
      <c r="T150" s="1">
        <f>MAX(T2:T146)</f>
        <v>7</v>
      </c>
      <c r="U150" s="1">
        <f>MAX(U2:U146)</f>
        <v>10</v>
      </c>
      <c r="V150" s="1">
        <f>MAX(V2:V146)</f>
        <v>10</v>
      </c>
      <c r="W150" s="1">
        <f>MAX(W2:W146)</f>
        <v>5</v>
      </c>
      <c r="X150" s="1">
        <f>MAX(X2:X146)</f>
        <v>10</v>
      </c>
      <c r="Y150" s="1">
        <f>MAX(Y2:Y146)</f>
        <v>10</v>
      </c>
      <c r="Z150" s="1">
        <f>MAX(Z2:Z146)</f>
        <v>5</v>
      </c>
      <c r="AA150" s="1">
        <f>MAX(AA2:AA146)</f>
        <v>10</v>
      </c>
      <c r="AB150" s="1">
        <f>MAX(AB2:AB146)</f>
        <v>10</v>
      </c>
      <c r="AC150" s="1">
        <f>MAX(AC2:AC146)</f>
        <v>5</v>
      </c>
      <c r="AD150" s="1">
        <f>MAX(AD2:AD146)</f>
        <v>10</v>
      </c>
      <c r="AE150" s="1">
        <f>MAX(AE2:AE146)</f>
        <v>200</v>
      </c>
      <c r="AF150" s="1">
        <f>MAX(AF2:AF146)</f>
        <v>5</v>
      </c>
      <c r="AG150" s="1">
        <f>MAX(AG2:AG146)</f>
        <v>5</v>
      </c>
      <c r="AH150" s="1">
        <f>MAX(AH2:AH146)</f>
        <v>5</v>
      </c>
      <c r="AI150" s="1">
        <f>MAX(AI2:AI146)</f>
        <v>5</v>
      </c>
      <c r="AJ150" s="1">
        <f>MAX(AJ2:AJ146)</f>
        <v>5</v>
      </c>
      <c r="AK150" s="1">
        <f>MAX(AK2:AK146)</f>
        <v>0</v>
      </c>
      <c r="AL150" s="1">
        <f>MAX(AL2:AL146)</f>
        <v>0</v>
      </c>
      <c r="AM150" s="1">
        <f>MAX(AM2:AM146)</f>
        <v>5</v>
      </c>
      <c r="AN150" s="1">
        <f>MAX(AN2:AN146)</f>
        <v>25</v>
      </c>
      <c r="AO150" s="1">
        <f>MAX(AO2:AO146)</f>
        <v>10</v>
      </c>
      <c r="AP150" s="1">
        <f>MAX(AP2:AP146)</f>
        <v>10</v>
      </c>
      <c r="AQ150" s="1">
        <f>MAX(AQ2:AQ146)</f>
        <v>40</v>
      </c>
      <c r="AR150" s="1">
        <f>MAX(AR2:AR146)</f>
        <v>15</v>
      </c>
      <c r="AS150" s="1">
        <f>MAX(AS2:AS146)</f>
        <v>15</v>
      </c>
      <c r="AT150" s="1">
        <f>MAX(AT2:AT146)</f>
        <v>20</v>
      </c>
      <c r="AU150" s="1">
        <f>MAX(AU2:AU146)</f>
        <v>15</v>
      </c>
      <c r="AV150" s="1">
        <f>MAX(AV2:AV146)</f>
        <v>40</v>
      </c>
      <c r="AW150" s="1">
        <f>MAX(AW2:AW146)</f>
        <v>40</v>
      </c>
      <c r="AX150" s="1">
        <f>MAX(AX2:AX146)</f>
        <v>40</v>
      </c>
      <c r="AY150" s="1">
        <f>MAX(AY2:AY146)</f>
        <v>15</v>
      </c>
      <c r="AZ150" s="1">
        <f>MAX(AZ2:AZ146)</f>
        <v>15</v>
      </c>
      <c r="BA150" s="1">
        <f>MAX(BA2:BA146)</f>
        <v>20</v>
      </c>
      <c r="BB150" s="1">
        <f>MAX(BB2:BB146)</f>
        <v>40</v>
      </c>
      <c r="BC150" s="1">
        <f>MAX(BC2:BC146)</f>
        <v>10</v>
      </c>
      <c r="BD150" s="1">
        <f>MAX(BD2:BD146)</f>
        <v>50</v>
      </c>
      <c r="BE150" s="1">
        <f>MAX(BE2:BE146)</f>
        <v>50</v>
      </c>
      <c r="BF150" s="1">
        <f>MAX(BF2:BF146)</f>
        <v>20</v>
      </c>
      <c r="BG150" s="1">
        <f>MAX(BG2:BG146)</f>
        <v>20</v>
      </c>
      <c r="BH150" s="1">
        <f>MAX(BH2:BH146)</f>
        <v>20</v>
      </c>
      <c r="BI150" s="1">
        <f>MAX(BI2:BI146)</f>
        <v>20</v>
      </c>
      <c r="BJ150" s="1">
        <f>MAX(BJ2:BJ146)</f>
        <v>50</v>
      </c>
      <c r="BK150" s="1">
        <f>MAX(BK2:BK146)</f>
        <v>50</v>
      </c>
      <c r="BL150" s="1">
        <f>MAX(BL2:BL146)</f>
        <v>50</v>
      </c>
      <c r="BM150" s="1">
        <f>MAX(BM2:BM146)</f>
        <v>50</v>
      </c>
      <c r="BN150" s="1">
        <f>MAX(BN2:BN146)</f>
        <v>50</v>
      </c>
      <c r="BO150" s="1">
        <f>MAX(BO2:BO146)</f>
        <v>50</v>
      </c>
      <c r="BP150" s="1"/>
      <c r="BQ150" s="1"/>
      <c r="BR150" s="17"/>
      <c r="BS150" s="17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</row>
    <row r="151" spans="1:97" x14ac:dyDescent="0.15">
      <c r="A151" s="1"/>
      <c r="B151" s="3" t="s">
        <v>172</v>
      </c>
      <c r="C151" s="1"/>
      <c r="D151" s="1"/>
      <c r="E151" s="1">
        <f>MIN(E2:E146)</f>
        <v>6</v>
      </c>
      <c r="F151" s="1">
        <f>MIN(F2:F146)</f>
        <v>6</v>
      </c>
      <c r="G151" s="1">
        <f>MIN(G2:G146)</f>
        <v>5</v>
      </c>
      <c r="H151" s="1">
        <f>MIN(H2:H146)</f>
        <v>5</v>
      </c>
      <c r="I151" s="1">
        <f>MIN(I2:I146)</f>
        <v>7</v>
      </c>
      <c r="J151" s="1">
        <f>MIN(J2:J146)</f>
        <v>5</v>
      </c>
      <c r="K151" s="1">
        <f>MIN(K2:K146)</f>
        <v>6</v>
      </c>
      <c r="L151" s="1">
        <f>MIN(L2:L146)</f>
        <v>6</v>
      </c>
      <c r="M151" s="1">
        <f>MIN(M2:M146)</f>
        <v>6</v>
      </c>
      <c r="N151" s="1">
        <f>MIN(N2:N146)</f>
        <v>10</v>
      </c>
      <c r="O151" s="1">
        <f>MIN(O2:O146)</f>
        <v>5</v>
      </c>
      <c r="P151" s="1">
        <f>MIN(P2:P146)</f>
        <v>10</v>
      </c>
      <c r="Q151" s="1">
        <f>MIN(Q2:Q146)</f>
        <v>5</v>
      </c>
      <c r="R151" s="1">
        <f>MIN(R2:R146)</f>
        <v>2</v>
      </c>
      <c r="S151" s="1">
        <f>MIN(S2:S146)</f>
        <v>10</v>
      </c>
      <c r="T151" s="1">
        <f>MIN(T2:T146)</f>
        <v>5</v>
      </c>
      <c r="U151" s="1">
        <f>MIN(U2:U146)</f>
        <v>2</v>
      </c>
      <c r="V151" s="1">
        <f>MIN(V2:V146)</f>
        <v>5</v>
      </c>
      <c r="W151" s="1">
        <f>MIN(W2:W146)</f>
        <v>5</v>
      </c>
      <c r="X151" s="1">
        <f>MIN(X2:X146)</f>
        <v>2</v>
      </c>
      <c r="Y151" s="1">
        <f>MIN(Y2:Y146)</f>
        <v>5</v>
      </c>
      <c r="Z151" s="1">
        <f>MIN(Z2:Z146)</f>
        <v>5</v>
      </c>
      <c r="AA151" s="1">
        <f>MIN(AA2:AA146)</f>
        <v>2</v>
      </c>
      <c r="AB151" s="1">
        <f>MIN(AB2:AB146)</f>
        <v>10</v>
      </c>
      <c r="AC151" s="1">
        <f>MIN(AC2:AC146)</f>
        <v>5</v>
      </c>
      <c r="AD151" s="1">
        <f>MIN(AD2:AD146)</f>
        <v>2</v>
      </c>
      <c r="AE151" s="1">
        <f>MIN(AE2:AE146)</f>
        <v>50</v>
      </c>
      <c r="AF151" s="1">
        <f>MIN(AF2:AF146)</f>
        <v>5</v>
      </c>
      <c r="AG151" s="1">
        <f>MIN(AG2:AG146)</f>
        <v>5</v>
      </c>
      <c r="AH151" s="1">
        <f>MIN(AH2:AH146)</f>
        <v>5</v>
      </c>
      <c r="AI151" s="1">
        <f>MIN(AI2:AI146)</f>
        <v>5</v>
      </c>
      <c r="AJ151" s="1">
        <f>MIN(AJ2:AJ146)</f>
        <v>5</v>
      </c>
      <c r="AK151" s="1">
        <f>MIN(AK2:AK146)</f>
        <v>0</v>
      </c>
      <c r="AL151" s="1">
        <f>MIN(AL2:AL146)</f>
        <v>0</v>
      </c>
      <c r="AM151" s="1">
        <f>MIN(AM2:AM146)</f>
        <v>5</v>
      </c>
      <c r="AN151" s="1">
        <f>MIN(AN2:AN146)</f>
        <v>5</v>
      </c>
      <c r="AO151" s="1">
        <f>MIN(AO2:AO146)</f>
        <v>2</v>
      </c>
      <c r="AP151" s="1">
        <f>MIN(AP2:AP146)</f>
        <v>1</v>
      </c>
      <c r="AQ151" s="1">
        <f>MIN(AQ2:AQ146)</f>
        <v>10</v>
      </c>
      <c r="AR151" s="1">
        <f>MIN(AR2:AR146)</f>
        <v>10</v>
      </c>
      <c r="AS151" s="1">
        <f>MIN(AS2:AS146)</f>
        <v>5</v>
      </c>
      <c r="AT151" s="1">
        <f>MIN(AT2:AT146)</f>
        <v>10</v>
      </c>
      <c r="AU151" s="1">
        <f>MIN(AU2:AU146)</f>
        <v>10</v>
      </c>
      <c r="AV151" s="1">
        <f>MIN(AV2:AV146)</f>
        <v>10</v>
      </c>
      <c r="AW151" s="1">
        <f>MIN(AW2:AW146)</f>
        <v>10</v>
      </c>
      <c r="AX151" s="1">
        <f>MIN(AX2:AX146)</f>
        <v>5</v>
      </c>
      <c r="AY151" s="1">
        <f>MIN(AY2:AY146)</f>
        <v>10</v>
      </c>
      <c r="AZ151" s="1">
        <f>MIN(AZ2:AZ146)</f>
        <v>10</v>
      </c>
      <c r="BA151" s="1">
        <f>MIN(BA2:BA146)</f>
        <v>5</v>
      </c>
      <c r="BB151" s="1">
        <f>MIN(BB2:BB146)</f>
        <v>5</v>
      </c>
      <c r="BC151" s="1">
        <f>MIN(BC2:BC146)</f>
        <v>10</v>
      </c>
      <c r="BD151" s="1">
        <f>MIN(BD2:BD146)</f>
        <v>20</v>
      </c>
      <c r="BE151" s="1">
        <f>MIN(BE2:BE146)</f>
        <v>20</v>
      </c>
      <c r="BF151" s="1">
        <f>MIN(BF2:BF146)</f>
        <v>20</v>
      </c>
      <c r="BG151" s="1">
        <f>MIN(BG2:BG146)</f>
        <v>20</v>
      </c>
      <c r="BH151" s="1">
        <f>MIN(BH2:BH146)</f>
        <v>15</v>
      </c>
      <c r="BI151" s="1">
        <f>MIN(BI2:BI146)</f>
        <v>15</v>
      </c>
      <c r="BJ151" s="1">
        <f>MIN(BJ2:BJ146)</f>
        <v>50</v>
      </c>
      <c r="BK151" s="1">
        <f>MIN(BK2:BK146)</f>
        <v>50</v>
      </c>
      <c r="BL151" s="1">
        <f>MIN(BL2:BL146)</f>
        <v>50</v>
      </c>
      <c r="BM151" s="1">
        <f>MIN(BM2:BM146)</f>
        <v>50</v>
      </c>
      <c r="BN151" s="1">
        <f>MIN(BN2:BN146)</f>
        <v>50</v>
      </c>
      <c r="BO151" s="1">
        <f>MIN(BO2:BO146)</f>
        <v>50</v>
      </c>
      <c r="BP151" s="1"/>
      <c r="BQ151" s="1"/>
      <c r="BR151" s="17"/>
      <c r="BS151" s="17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</row>
    <row r="152" spans="1:97" x14ac:dyDescent="0.15">
      <c r="A152" s="1"/>
      <c r="B152" s="3" t="s">
        <v>173</v>
      </c>
      <c r="C152" s="1"/>
      <c r="D152" s="1"/>
      <c r="E152" s="1">
        <f>E148-E150</f>
        <v>28</v>
      </c>
      <c r="F152" s="1">
        <f>F148-F150</f>
        <v>14</v>
      </c>
      <c r="G152" s="1">
        <f>G148-G150</f>
        <v>16</v>
      </c>
      <c r="H152" s="1">
        <f>H148-H150</f>
        <v>-5</v>
      </c>
      <c r="I152" s="1">
        <f>I148-I150</f>
        <v>58</v>
      </c>
      <c r="J152" s="1">
        <f>J148-J150</f>
        <v>71</v>
      </c>
      <c r="K152" s="1">
        <f>K148-K150</f>
        <v>43</v>
      </c>
      <c r="L152" s="1">
        <f>L148-L150</f>
        <v>72</v>
      </c>
      <c r="M152" s="1">
        <f>M148-M150</f>
        <v>45</v>
      </c>
      <c r="N152" s="1">
        <f>N148-N150</f>
        <v>53</v>
      </c>
      <c r="O152" s="1">
        <f>O148-O150</f>
        <v>21</v>
      </c>
      <c r="P152" s="1">
        <f>P148-P150</f>
        <v>24</v>
      </c>
      <c r="Q152" s="1">
        <f>Q148-Q150</f>
        <v>-4</v>
      </c>
      <c r="R152" s="1">
        <f>R148-R150</f>
        <v>-6</v>
      </c>
      <c r="S152" s="1">
        <f>S148-S150</f>
        <v>14</v>
      </c>
      <c r="T152" s="1">
        <f>T148-T150</f>
        <v>8</v>
      </c>
      <c r="U152" s="1">
        <f>U148-U150</f>
        <v>-7</v>
      </c>
      <c r="V152" s="1">
        <f>V148-V150</f>
        <v>6</v>
      </c>
      <c r="W152" s="1">
        <f>W148-W150</f>
        <v>-1</v>
      </c>
      <c r="X152" s="1">
        <f>X148-X150</f>
        <v>-2</v>
      </c>
      <c r="Y152" s="1">
        <f>Y148-Y150</f>
        <v>10</v>
      </c>
      <c r="Z152" s="1">
        <f>Z148-Z150</f>
        <v>1</v>
      </c>
      <c r="AA152" s="1">
        <f>AA148-AA150</f>
        <v>-7</v>
      </c>
      <c r="AB152" s="1">
        <f>AB148-AB150</f>
        <v>13</v>
      </c>
      <c r="AC152" s="1">
        <f>AC148-AC150</f>
        <v>-1</v>
      </c>
      <c r="AD152" s="1">
        <f>AD148-AD150</f>
        <v>-2</v>
      </c>
      <c r="AE152" s="1">
        <f>AE148-AE150</f>
        <v>-194</v>
      </c>
      <c r="AF152" s="1">
        <f>AF148-AF150</f>
        <v>-5</v>
      </c>
      <c r="AG152" s="1">
        <f>AG148-AG150</f>
        <v>-5</v>
      </c>
      <c r="AH152" s="1">
        <f>AH148-AH150</f>
        <v>-5</v>
      </c>
      <c r="AI152" s="1">
        <f>AI148-AI150</f>
        <v>-5</v>
      </c>
      <c r="AJ152" s="1">
        <f>AJ148-AJ150</f>
        <v>-5</v>
      </c>
      <c r="AK152" s="1">
        <f>AK148-AK150</f>
        <v>33</v>
      </c>
      <c r="AL152" s="1">
        <f>AL148-AL150</f>
        <v>43</v>
      </c>
      <c r="AM152" s="1">
        <f>AM148-AM150</f>
        <v>0</v>
      </c>
      <c r="AN152" s="1">
        <f>AN148-AN150</f>
        <v>-24</v>
      </c>
      <c r="AO152" s="1">
        <f>AO148-AO150</f>
        <v>-10</v>
      </c>
      <c r="AP152" s="1">
        <f>AP148-AP150</f>
        <v>-10</v>
      </c>
      <c r="AQ152" s="1">
        <f>AQ148-AQ150</f>
        <v>-30</v>
      </c>
      <c r="AR152" s="1">
        <f>AR148-AR150</f>
        <v>-14</v>
      </c>
      <c r="AS152" s="1">
        <f>AS148-AS150</f>
        <v>1</v>
      </c>
      <c r="AT152" s="1">
        <f>AT148-AT150</f>
        <v>0</v>
      </c>
      <c r="AU152" s="1">
        <f>AU148-AU150</f>
        <v>9</v>
      </c>
      <c r="AV152" s="1">
        <f>AV148-AV150</f>
        <v>-14</v>
      </c>
      <c r="AW152" s="1">
        <f>AW148-AW150</f>
        <v>-26</v>
      </c>
      <c r="AX152" s="1">
        <f>AX148-AX150</f>
        <v>-9</v>
      </c>
      <c r="AY152" s="1">
        <f>AY148-AY150</f>
        <v>17</v>
      </c>
      <c r="AZ152" s="1">
        <f>AZ148-AZ150</f>
        <v>-1</v>
      </c>
      <c r="BA152" s="1">
        <f>BA148-BA150</f>
        <v>-8</v>
      </c>
      <c r="BB152" s="1">
        <f>BB148-BB150</f>
        <v>-3</v>
      </c>
      <c r="BC152" s="1">
        <f>BC148-BC150</f>
        <v>2</v>
      </c>
      <c r="BD152" s="1">
        <f>BD148-BD150</f>
        <v>112</v>
      </c>
      <c r="BE152" s="1">
        <f>BE148-BE150</f>
        <v>194</v>
      </c>
      <c r="BF152" s="1">
        <f>BF148-BF150</f>
        <v>213</v>
      </c>
      <c r="BG152" s="1">
        <f>BG148-BG150</f>
        <v>222</v>
      </c>
      <c r="BH152" s="1">
        <f>BH148-BH150</f>
        <v>121</v>
      </c>
      <c r="BI152" s="1">
        <f>BI148-BI150</f>
        <v>134</v>
      </c>
      <c r="BJ152" s="1">
        <f>BJ148-BJ150</f>
        <v>6</v>
      </c>
      <c r="BK152" s="1">
        <f>BK148-BK150</f>
        <v>15</v>
      </c>
      <c r="BL152" s="1">
        <f>BL148-BL150</f>
        <v>43</v>
      </c>
      <c r="BM152" s="1">
        <f>BM148-BM150</f>
        <v>-42</v>
      </c>
      <c r="BN152" s="1">
        <f>BN148-BN150</f>
        <v>-45</v>
      </c>
      <c r="BO152" s="1">
        <f>BO148-BO150</f>
        <v>-45</v>
      </c>
      <c r="BP152" s="1"/>
      <c r="BQ152" s="1"/>
      <c r="BR152" s="17"/>
      <c r="BS152" s="17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</row>
    <row r="153" spans="1:97" s="13" customFormat="1" x14ac:dyDescent="0.15">
      <c r="A153" s="1"/>
      <c r="B153" s="3" t="s">
        <v>174</v>
      </c>
      <c r="C153" s="1"/>
      <c r="D153" s="1"/>
      <c r="E153" s="1">
        <f>E148-E151</f>
        <v>37</v>
      </c>
      <c r="F153" s="1">
        <f>F148-F151</f>
        <v>23</v>
      </c>
      <c r="G153" s="1">
        <f>G148-G151</f>
        <v>31</v>
      </c>
      <c r="H153" s="1">
        <f>H148-H151</f>
        <v>10</v>
      </c>
      <c r="I153" s="1">
        <f>I148-I151</f>
        <v>61</v>
      </c>
      <c r="J153" s="1">
        <f>J148-J151</f>
        <v>76</v>
      </c>
      <c r="K153" s="1">
        <f>K148-K151</f>
        <v>47</v>
      </c>
      <c r="L153" s="1">
        <f>L148-L151</f>
        <v>86</v>
      </c>
      <c r="M153" s="1">
        <f>M148-M151</f>
        <v>54</v>
      </c>
      <c r="N153" s="1">
        <f>N148-N151</f>
        <v>53</v>
      </c>
      <c r="O153" s="1">
        <f>O148-O151</f>
        <v>36</v>
      </c>
      <c r="P153" s="1">
        <f>P148-P151</f>
        <v>24</v>
      </c>
      <c r="Q153" s="1">
        <f>Q148-Q151</f>
        <v>-2</v>
      </c>
      <c r="R153" s="1">
        <f>R148-R151</f>
        <v>2</v>
      </c>
      <c r="S153" s="1">
        <f>S148-S151</f>
        <v>14</v>
      </c>
      <c r="T153" s="1">
        <f>T148-T151</f>
        <v>10</v>
      </c>
      <c r="U153" s="1">
        <f>U148-U151</f>
        <v>1</v>
      </c>
      <c r="V153" s="1">
        <f>V148-V151</f>
        <v>11</v>
      </c>
      <c r="W153" s="1">
        <f>W148-W151</f>
        <v>-1</v>
      </c>
      <c r="X153" s="1">
        <f>X148-X151</f>
        <v>6</v>
      </c>
      <c r="Y153" s="1">
        <f>Y148-Y151</f>
        <v>15</v>
      </c>
      <c r="Z153" s="1">
        <f>Z148-Z151</f>
        <v>1</v>
      </c>
      <c r="AA153" s="1">
        <f>AA148-AA151</f>
        <v>1</v>
      </c>
      <c r="AB153" s="1">
        <f>AB148-AB151</f>
        <v>13</v>
      </c>
      <c r="AC153" s="1">
        <f>AC148-AC151</f>
        <v>-1</v>
      </c>
      <c r="AD153" s="1">
        <f>AD148-AD151</f>
        <v>6</v>
      </c>
      <c r="AE153" s="1">
        <f>AE148-AE151</f>
        <v>-44</v>
      </c>
      <c r="AF153" s="1">
        <f>AF148-AF151</f>
        <v>-5</v>
      </c>
      <c r="AG153" s="1">
        <f>AG148-AG151</f>
        <v>-5</v>
      </c>
      <c r="AH153" s="1">
        <f>AH148-AH151</f>
        <v>-5</v>
      </c>
      <c r="AI153" s="1">
        <f>AI148-AI151</f>
        <v>-5</v>
      </c>
      <c r="AJ153" s="1">
        <f>AJ148-AJ151</f>
        <v>-5</v>
      </c>
      <c r="AK153" s="1">
        <f>AK148-AK151</f>
        <v>33</v>
      </c>
      <c r="AL153" s="1">
        <f>AL148-AL151</f>
        <v>43</v>
      </c>
      <c r="AM153" s="1">
        <f>AM148-AM151</f>
        <v>0</v>
      </c>
      <c r="AN153" s="1">
        <f>AN148-AN151</f>
        <v>-4</v>
      </c>
      <c r="AO153" s="1">
        <f>AO148-AO151</f>
        <v>-2</v>
      </c>
      <c r="AP153" s="1">
        <f>AP148-AP151</f>
        <v>-1</v>
      </c>
      <c r="AQ153" s="1">
        <f>AQ148-AQ151</f>
        <v>0</v>
      </c>
      <c r="AR153" s="1">
        <f>AR148-AR151</f>
        <v>-9</v>
      </c>
      <c r="AS153" s="1">
        <f>AS148-AS151</f>
        <v>11</v>
      </c>
      <c r="AT153" s="1">
        <f>AT148-AT151</f>
        <v>10</v>
      </c>
      <c r="AU153" s="1">
        <f>AU148-AU151</f>
        <v>14</v>
      </c>
      <c r="AV153" s="1">
        <f>AV148-AV151</f>
        <v>16</v>
      </c>
      <c r="AW153" s="1">
        <f>AW148-AW151</f>
        <v>4</v>
      </c>
      <c r="AX153" s="1">
        <f>AX148-AX151</f>
        <v>26</v>
      </c>
      <c r="AY153" s="1">
        <f>AY148-AY151</f>
        <v>22</v>
      </c>
      <c r="AZ153" s="1">
        <f>AZ148-AZ151</f>
        <v>4</v>
      </c>
      <c r="BA153" s="1">
        <f>BA148-BA151</f>
        <v>7</v>
      </c>
      <c r="BB153" s="1">
        <f>BB148-BB151</f>
        <v>32</v>
      </c>
      <c r="BC153" s="1">
        <f>BC148-BC151</f>
        <v>2</v>
      </c>
      <c r="BD153" s="1">
        <f>BD148-BD151</f>
        <v>142</v>
      </c>
      <c r="BE153" s="1">
        <f>BE148-BE151</f>
        <v>224</v>
      </c>
      <c r="BF153" s="1">
        <f>BF148-BF151</f>
        <v>213</v>
      </c>
      <c r="BG153" s="1">
        <f>BG148-BG151</f>
        <v>222</v>
      </c>
      <c r="BH153" s="1">
        <f>BH148-BH151</f>
        <v>126</v>
      </c>
      <c r="BI153" s="1">
        <f>BI148-BI151</f>
        <v>139</v>
      </c>
      <c r="BJ153" s="1">
        <f>BJ148-BJ151</f>
        <v>6</v>
      </c>
      <c r="BK153" s="1">
        <f>BK148-BK151</f>
        <v>15</v>
      </c>
      <c r="BL153" s="1">
        <f>BL148-BL151</f>
        <v>43</v>
      </c>
      <c r="BM153" s="1">
        <f>BM148-BM151</f>
        <v>-42</v>
      </c>
      <c r="BN153" s="1">
        <f>BN148-BN151</f>
        <v>-45</v>
      </c>
      <c r="BO153" s="1">
        <f>BO148-BO151</f>
        <v>-45</v>
      </c>
      <c r="BP153" s="1"/>
      <c r="BQ153" s="1"/>
      <c r="BR153" s="17"/>
      <c r="BS153" s="17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</row>
    <row r="154" spans="1:97" x14ac:dyDescent="0.15">
      <c r="AQ154" s="7" t="s">
        <v>204</v>
      </c>
      <c r="AR154" s="7" t="s">
        <v>207</v>
      </c>
      <c r="AS154" s="7" t="s">
        <v>208</v>
      </c>
      <c r="AT154" s="7" t="s">
        <v>205</v>
      </c>
      <c r="AU154" s="7" t="s">
        <v>206</v>
      </c>
      <c r="AV154" s="7" t="s">
        <v>203</v>
      </c>
      <c r="AW154" s="7" t="s">
        <v>209</v>
      </c>
      <c r="AX154" s="7" t="s">
        <v>210</v>
      </c>
      <c r="AY154" s="7" t="s">
        <v>211</v>
      </c>
      <c r="AZ154" s="7" t="s">
        <v>212</v>
      </c>
      <c r="BA154" s="7" t="s">
        <v>213</v>
      </c>
      <c r="BB154" s="7" t="s">
        <v>214</v>
      </c>
    </row>
  </sheetData>
  <autoFilter ref="A1:BP146"/>
  <sortState ref="A2:CS154">
    <sortCondition ref="BR2:BR154"/>
    <sortCondition ref="BQ2:BQ154"/>
  </sortState>
  <phoneticPr fontId="1" type="noConversion"/>
  <conditionalFormatting sqref="E150:BO150">
    <cfRule type="expression" dxfId="5" priority="10">
      <formula>"&lt;=$E$135"</formula>
    </cfRule>
  </conditionalFormatting>
  <conditionalFormatting sqref="E152:BO153">
    <cfRule type="cellIs" dxfId="4" priority="1" operator="lessThan">
      <formula>0</formula>
    </cfRule>
  </conditionalFormatting>
  <conditionalFormatting sqref="E149:BO14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153</xdr:row>
                    <xdr:rowOff>28575</xdr:rowOff>
                  </from>
                  <to>
                    <xdr:col>1</xdr:col>
                    <xdr:colOff>428625</xdr:colOff>
                    <xdr:row>154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4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AT6" sqref="AT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72</v>
      </c>
      <c r="B1" s="8" t="s">
        <v>73</v>
      </c>
      <c r="C1" s="8" t="s">
        <v>75</v>
      </c>
      <c r="D1" s="8" t="s">
        <v>74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70</v>
      </c>
      <c r="K1" s="9" t="s">
        <v>24</v>
      </c>
      <c r="L1" s="9" t="s">
        <v>43</v>
      </c>
      <c r="M1" s="9" t="s">
        <v>45</v>
      </c>
      <c r="N1" s="9" t="s">
        <v>50</v>
      </c>
      <c r="O1" s="9" t="s">
        <v>44</v>
      </c>
      <c r="P1" s="27" t="s">
        <v>110</v>
      </c>
      <c r="Q1" s="27" t="s">
        <v>122</v>
      </c>
      <c r="R1" s="27" t="s">
        <v>116</v>
      </c>
      <c r="S1" s="27" t="s">
        <v>111</v>
      </c>
      <c r="T1" s="27" t="s">
        <v>120</v>
      </c>
      <c r="U1" s="27" t="s">
        <v>126</v>
      </c>
      <c r="V1" s="27" t="s">
        <v>112</v>
      </c>
      <c r="W1" s="27" t="s">
        <v>119</v>
      </c>
      <c r="X1" s="27" t="s">
        <v>117</v>
      </c>
      <c r="Y1" s="27" t="s">
        <v>113</v>
      </c>
      <c r="Z1" s="27" t="s">
        <v>121</v>
      </c>
      <c r="AA1" s="27" t="s">
        <v>128</v>
      </c>
      <c r="AB1" s="27" t="s">
        <v>115</v>
      </c>
      <c r="AC1" s="27" t="s">
        <v>114</v>
      </c>
      <c r="AD1" s="27" t="s">
        <v>139</v>
      </c>
      <c r="AE1" s="8" t="s">
        <v>8</v>
      </c>
      <c r="AF1" s="8" t="s">
        <v>30</v>
      </c>
      <c r="AG1" s="8" t="s">
        <v>31</v>
      </c>
      <c r="AH1" s="8" t="s">
        <v>60</v>
      </c>
      <c r="AI1" s="8" t="s">
        <v>61</v>
      </c>
      <c r="AJ1" s="8" t="s">
        <v>63</v>
      </c>
      <c r="AK1" s="8" t="s">
        <v>64</v>
      </c>
      <c r="AL1" s="8" t="s">
        <v>66</v>
      </c>
      <c r="AM1" s="8" t="s">
        <v>51</v>
      </c>
      <c r="AN1" s="8" t="s">
        <v>53</v>
      </c>
      <c r="AO1" s="8" t="s">
        <v>98</v>
      </c>
      <c r="AP1" s="8" t="s">
        <v>99</v>
      </c>
      <c r="AQ1" s="10" t="s">
        <v>40</v>
      </c>
      <c r="AR1" s="10" t="s">
        <v>4</v>
      </c>
      <c r="AS1" s="10" t="s">
        <v>28</v>
      </c>
      <c r="AT1" s="10" t="s">
        <v>55</v>
      </c>
      <c r="AU1" s="10" t="s">
        <v>58</v>
      </c>
      <c r="AV1" s="10" t="s">
        <v>49</v>
      </c>
      <c r="AW1" s="11" t="s">
        <v>5</v>
      </c>
      <c r="AX1" s="11" t="s">
        <v>6</v>
      </c>
      <c r="AY1" s="11" t="s">
        <v>41</v>
      </c>
      <c r="AZ1" s="11" t="s">
        <v>7</v>
      </c>
      <c r="BA1" s="11" t="s">
        <v>48</v>
      </c>
      <c r="BB1" s="11" t="s">
        <v>11</v>
      </c>
      <c r="BC1" s="25" t="s">
        <v>95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33</v>
      </c>
      <c r="BK1" s="8" t="s">
        <v>34</v>
      </c>
      <c r="BL1" s="8" t="s">
        <v>35</v>
      </c>
      <c r="BM1" s="8" t="s">
        <v>36</v>
      </c>
      <c r="BN1" s="8" t="s">
        <v>37</v>
      </c>
      <c r="BO1" s="8" t="s">
        <v>38</v>
      </c>
      <c r="BP1" s="12" t="s">
        <v>59</v>
      </c>
      <c r="BQ1" s="8" t="s">
        <v>81</v>
      </c>
      <c r="BR1" s="16" t="s">
        <v>82</v>
      </c>
      <c r="BS1" s="16"/>
      <c r="BT1" s="10" t="s">
        <v>40</v>
      </c>
      <c r="BU1" s="10" t="s">
        <v>4</v>
      </c>
      <c r="BV1" s="10" t="s">
        <v>28</v>
      </c>
      <c r="BW1" s="10" t="s">
        <v>55</v>
      </c>
      <c r="BX1" s="10" t="s">
        <v>58</v>
      </c>
      <c r="BY1" s="10" t="s">
        <v>49</v>
      </c>
      <c r="BZ1" s="11" t="s">
        <v>5</v>
      </c>
      <c r="CA1" s="11" t="s">
        <v>6</v>
      </c>
      <c r="CB1" s="11" t="s">
        <v>41</v>
      </c>
      <c r="CC1" s="11" t="s">
        <v>7</v>
      </c>
      <c r="CD1" s="11" t="s">
        <v>48</v>
      </c>
      <c r="CE1" s="11" t="s">
        <v>11</v>
      </c>
      <c r="CF1" s="8"/>
      <c r="CG1" s="10" t="s">
        <v>40</v>
      </c>
      <c r="CH1" s="10" t="s">
        <v>4</v>
      </c>
      <c r="CI1" s="10" t="s">
        <v>28</v>
      </c>
      <c r="CJ1" s="10" t="s">
        <v>55</v>
      </c>
      <c r="CK1" s="10" t="s">
        <v>58</v>
      </c>
      <c r="CL1" s="10" t="s">
        <v>49</v>
      </c>
      <c r="CM1" s="11" t="s">
        <v>5</v>
      </c>
      <c r="CN1" s="11" t="s">
        <v>6</v>
      </c>
      <c r="CO1" s="11" t="s">
        <v>41</v>
      </c>
      <c r="CP1" s="11" t="s">
        <v>7</v>
      </c>
      <c r="CQ1" s="11" t="s">
        <v>48</v>
      </c>
      <c r="CR1" s="11" t="s">
        <v>11</v>
      </c>
      <c r="CS1" s="8"/>
    </row>
    <row r="2" spans="1:97" s="23" customFormat="1" x14ac:dyDescent="0.15">
      <c r="A2" s="40">
        <v>20</v>
      </c>
      <c r="B2" s="40" t="s">
        <v>197</v>
      </c>
      <c r="C2" s="40" t="s">
        <v>26</v>
      </c>
      <c r="D2" s="40" t="s">
        <v>20</v>
      </c>
      <c r="E2" s="41"/>
      <c r="F2" s="41">
        <v>5</v>
      </c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>
        <v>5</v>
      </c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>
        <f>SUM(E2:BO2)</f>
        <v>10</v>
      </c>
      <c r="BQ2" s="40">
        <v>1</v>
      </c>
      <c r="BR2" s="46">
        <v>1</v>
      </c>
      <c r="BS2" s="46" t="s">
        <v>200</v>
      </c>
      <c r="BT2" s="40" t="str">
        <f t="shared" ref="BT2:CE5" si="0">IF(AQ2&gt;AQ$6, AQ2-AQ$6,"")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3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5</v>
      </c>
    </row>
    <row r="3" spans="1:97" x14ac:dyDescent="0.15">
      <c r="A3" s="40">
        <v>77</v>
      </c>
      <c r="B3" s="47" t="s">
        <v>148</v>
      </c>
      <c r="C3" s="47" t="s">
        <v>54</v>
      </c>
      <c r="D3" s="40" t="s">
        <v>10</v>
      </c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20</v>
      </c>
      <c r="AU3" s="43"/>
      <c r="AV3" s="43"/>
      <c r="AW3" s="44">
        <v>20</v>
      </c>
      <c r="AX3" s="44">
        <v>20</v>
      </c>
      <c r="AY3" s="44"/>
      <c r="AZ3" s="44"/>
      <c r="BA3" s="44"/>
      <c r="BB3" s="44">
        <v>10</v>
      </c>
      <c r="BC3" s="45"/>
      <c r="BD3" s="40"/>
      <c r="BE3" s="40"/>
      <c r="BF3" s="40"/>
      <c r="BG3" s="40"/>
      <c r="BH3" s="40">
        <v>20</v>
      </c>
      <c r="BI3" s="40"/>
      <c r="BJ3" s="40"/>
      <c r="BK3" s="40"/>
      <c r="BL3" s="40"/>
      <c r="BM3" s="40"/>
      <c r="BN3" s="40"/>
      <c r="BO3" s="40"/>
      <c r="BP3" s="40">
        <f>SUM(E3:BO3)</f>
        <v>90</v>
      </c>
      <c r="BQ3" s="40">
        <v>9</v>
      </c>
      <c r="BR3" s="46">
        <v>1</v>
      </c>
      <c r="BS3" s="46" t="s">
        <v>198</v>
      </c>
      <c r="BT3" s="40" t="str">
        <f t="shared" si="0"/>
        <v/>
      </c>
      <c r="BU3" s="40" t="str">
        <f t="shared" si="0"/>
        <v/>
      </c>
      <c r="BV3" s="40" t="str">
        <f t="shared" si="0"/>
        <v/>
      </c>
      <c r="BW3" s="40" t="str">
        <f t="shared" si="0"/>
        <v/>
      </c>
      <c r="BX3" s="40" t="str">
        <f t="shared" si="0"/>
        <v/>
      </c>
      <c r="BY3" s="40" t="str">
        <f t="shared" si="0"/>
        <v/>
      </c>
      <c r="BZ3" s="40" t="str">
        <f t="shared" si="0"/>
        <v/>
      </c>
      <c r="CA3" s="40" t="str">
        <f t="shared" si="0"/>
        <v/>
      </c>
      <c r="CB3" s="40" t="str">
        <f t="shared" si="0"/>
        <v/>
      </c>
      <c r="CC3" s="40" t="str">
        <f t="shared" si="0"/>
        <v/>
      </c>
      <c r="CD3" s="40" t="str">
        <f t="shared" si="0"/>
        <v/>
      </c>
      <c r="CE3" s="40" t="str">
        <f t="shared" si="0"/>
        <v/>
      </c>
      <c r="CF3" s="40">
        <f>COUNTIF(BT3:CE3, "&gt;0")</f>
        <v>0</v>
      </c>
      <c r="CG3" s="40" t="str">
        <f t="shared" si="1"/>
        <v/>
      </c>
      <c r="CH3" s="40" t="str">
        <f t="shared" si="1"/>
        <v/>
      </c>
      <c r="CI3" s="40" t="str">
        <f t="shared" si="1"/>
        <v/>
      </c>
      <c r="CJ3" s="40" t="str">
        <f t="shared" si="1"/>
        <v/>
      </c>
      <c r="CK3" s="40" t="str">
        <f t="shared" si="1"/>
        <v/>
      </c>
      <c r="CL3" s="40" t="str">
        <f t="shared" si="1"/>
        <v/>
      </c>
      <c r="CM3" s="40" t="str">
        <f t="shared" si="1"/>
        <v/>
      </c>
      <c r="CN3" s="40" t="str">
        <f t="shared" si="1"/>
        <v/>
      </c>
      <c r="CO3" s="40" t="str">
        <f t="shared" si="1"/>
        <v/>
      </c>
      <c r="CP3" s="40" t="str">
        <f t="shared" si="1"/>
        <v/>
      </c>
      <c r="CQ3" s="40" t="str">
        <f t="shared" si="1"/>
        <v/>
      </c>
      <c r="CR3" s="40" t="str">
        <f t="shared" si="1"/>
        <v/>
      </c>
      <c r="CS3" s="47">
        <f>SUM(AE3:BO3)</f>
        <v>90</v>
      </c>
    </row>
    <row r="4" spans="1:97" s="48" customFormat="1" x14ac:dyDescent="0.15">
      <c r="A4" s="59"/>
      <c r="B4" s="59" t="s">
        <v>149</v>
      </c>
      <c r="C4" s="59" t="s">
        <v>57</v>
      </c>
      <c r="D4" s="59" t="s">
        <v>90</v>
      </c>
      <c r="E4" s="60"/>
      <c r="F4" s="60"/>
      <c r="G4" s="60"/>
      <c r="H4" s="60"/>
      <c r="I4" s="60"/>
      <c r="J4" s="60"/>
      <c r="K4" s="60"/>
      <c r="L4" s="60">
        <v>20</v>
      </c>
      <c r="M4" s="60"/>
      <c r="N4" s="60"/>
      <c r="O4" s="60">
        <v>20</v>
      </c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62"/>
      <c r="AR4" s="62"/>
      <c r="AS4" s="62"/>
      <c r="AT4" s="62"/>
      <c r="AU4" s="62"/>
      <c r="AV4" s="62"/>
      <c r="AW4" s="63"/>
      <c r="AX4" s="63"/>
      <c r="AY4" s="63"/>
      <c r="AZ4" s="63"/>
      <c r="BA4" s="63">
        <v>20</v>
      </c>
      <c r="BB4" s="63">
        <v>20</v>
      </c>
      <c r="BC4" s="64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>
        <f>SUM(E4:BO4)</f>
        <v>80</v>
      </c>
      <c r="BQ4" s="59">
        <v>14</v>
      </c>
      <c r="BR4" s="65">
        <v>1</v>
      </c>
      <c r="BS4" s="65" t="s">
        <v>201</v>
      </c>
      <c r="BT4" s="59" t="str">
        <f t="shared" si="0"/>
        <v/>
      </c>
      <c r="BU4" s="59" t="str">
        <f t="shared" si="0"/>
        <v/>
      </c>
      <c r="BV4" s="59" t="str">
        <f t="shared" si="0"/>
        <v/>
      </c>
      <c r="BW4" s="59" t="str">
        <f t="shared" si="0"/>
        <v/>
      </c>
      <c r="BX4" s="59" t="str">
        <f t="shared" si="0"/>
        <v/>
      </c>
      <c r="BY4" s="59" t="str">
        <f t="shared" si="0"/>
        <v/>
      </c>
      <c r="BZ4" s="59" t="str">
        <f t="shared" si="0"/>
        <v/>
      </c>
      <c r="CA4" s="59" t="str">
        <f t="shared" si="0"/>
        <v/>
      </c>
      <c r="CB4" s="59" t="str">
        <f t="shared" si="0"/>
        <v/>
      </c>
      <c r="CC4" s="59" t="str">
        <f t="shared" si="0"/>
        <v/>
      </c>
      <c r="CD4" s="59" t="str">
        <f t="shared" si="0"/>
        <v/>
      </c>
      <c r="CE4" s="59" t="str">
        <f t="shared" si="0"/>
        <v/>
      </c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66"/>
    </row>
    <row r="5" spans="1:97" ht="27" x14ac:dyDescent="0.15">
      <c r="A5" s="50"/>
      <c r="B5" s="50" t="s">
        <v>140</v>
      </c>
      <c r="C5" s="50" t="s">
        <v>57</v>
      </c>
      <c r="D5" s="50" t="s">
        <v>10</v>
      </c>
      <c r="E5" s="51">
        <v>10</v>
      </c>
      <c r="F5" s="51"/>
      <c r="G5" s="51"/>
      <c r="H5" s="51"/>
      <c r="I5" s="51"/>
      <c r="J5" s="51"/>
      <c r="K5" s="51"/>
      <c r="L5" s="51"/>
      <c r="M5" s="51"/>
      <c r="N5" s="51"/>
      <c r="O5" s="51"/>
      <c r="P5" s="52"/>
      <c r="Q5" s="52"/>
      <c r="R5" s="52">
        <v>10</v>
      </c>
      <c r="S5" s="52"/>
      <c r="T5" s="52"/>
      <c r="U5" s="52">
        <v>10</v>
      </c>
      <c r="V5" s="52"/>
      <c r="W5" s="52"/>
      <c r="X5" s="52"/>
      <c r="Y5" s="52"/>
      <c r="Z5" s="52"/>
      <c r="AA5" s="52"/>
      <c r="AB5" s="52"/>
      <c r="AC5" s="52"/>
      <c r="AD5" s="52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3"/>
      <c r="AR5" s="53"/>
      <c r="AS5" s="53"/>
      <c r="AT5" s="53"/>
      <c r="AU5" s="53">
        <v>10</v>
      </c>
      <c r="AV5" s="53"/>
      <c r="AW5" s="54"/>
      <c r="AX5" s="54"/>
      <c r="AY5" s="54"/>
      <c r="AZ5" s="54"/>
      <c r="BA5" s="54"/>
      <c r="BB5" s="54"/>
      <c r="BC5" s="55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>
        <f>SUM(E5:BO5)</f>
        <v>40</v>
      </c>
      <c r="BQ5" s="50">
        <v>18</v>
      </c>
      <c r="BR5" s="56">
        <v>2</v>
      </c>
      <c r="BS5" s="56" t="s">
        <v>202</v>
      </c>
      <c r="BT5" s="50" t="str">
        <f t="shared" si="0"/>
        <v/>
      </c>
      <c r="BU5" s="50" t="str">
        <f t="shared" si="0"/>
        <v/>
      </c>
      <c r="BV5" s="50" t="str">
        <f t="shared" si="0"/>
        <v/>
      </c>
      <c r="BW5" s="50" t="str">
        <f t="shared" si="0"/>
        <v/>
      </c>
      <c r="BX5" s="50" t="str">
        <f t="shared" si="0"/>
        <v/>
      </c>
      <c r="BY5" s="50" t="str">
        <f t="shared" si="0"/>
        <v/>
      </c>
      <c r="BZ5" s="50" t="str">
        <f t="shared" si="0"/>
        <v/>
      </c>
      <c r="CA5" s="50" t="str">
        <f t="shared" si="0"/>
        <v/>
      </c>
      <c r="CB5" s="50" t="str">
        <f t="shared" si="0"/>
        <v/>
      </c>
      <c r="CC5" s="50" t="str">
        <f t="shared" si="0"/>
        <v/>
      </c>
      <c r="CD5" s="50" t="str">
        <f t="shared" si="0"/>
        <v/>
      </c>
      <c r="CE5" s="50" t="str">
        <f t="shared" si="0"/>
        <v/>
      </c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7"/>
    </row>
    <row r="6" spans="1:97" x14ac:dyDescent="0.15">
      <c r="A6" s="1"/>
      <c r="B6" s="1" t="s">
        <v>59</v>
      </c>
      <c r="C6" s="1"/>
      <c r="D6" s="1"/>
      <c r="E6" s="6">
        <f t="shared" ref="E6:AJ6" si="2">SUM(E2:E5)</f>
        <v>10</v>
      </c>
      <c r="F6" s="6">
        <f t="shared" si="2"/>
        <v>5</v>
      </c>
      <c r="G6" s="6">
        <f t="shared" si="2"/>
        <v>0</v>
      </c>
      <c r="H6" s="6">
        <f t="shared" si="2"/>
        <v>0</v>
      </c>
      <c r="I6" s="6">
        <f t="shared" si="2"/>
        <v>0</v>
      </c>
      <c r="J6" s="6">
        <f t="shared" si="2"/>
        <v>0</v>
      </c>
      <c r="K6" s="6">
        <f t="shared" si="2"/>
        <v>0</v>
      </c>
      <c r="L6" s="6">
        <f t="shared" si="2"/>
        <v>20</v>
      </c>
      <c r="M6" s="6">
        <f t="shared" si="2"/>
        <v>0</v>
      </c>
      <c r="N6" s="6">
        <f t="shared" si="2"/>
        <v>0</v>
      </c>
      <c r="O6" s="6">
        <f t="shared" si="2"/>
        <v>20</v>
      </c>
      <c r="P6" s="28">
        <f t="shared" si="2"/>
        <v>0</v>
      </c>
      <c r="Q6" s="28">
        <f t="shared" si="2"/>
        <v>0</v>
      </c>
      <c r="R6" s="28">
        <f t="shared" si="2"/>
        <v>10</v>
      </c>
      <c r="S6" s="28">
        <f t="shared" si="2"/>
        <v>0</v>
      </c>
      <c r="T6" s="28">
        <f t="shared" si="2"/>
        <v>0</v>
      </c>
      <c r="U6" s="28">
        <f t="shared" si="2"/>
        <v>10</v>
      </c>
      <c r="V6" s="28">
        <f t="shared" si="2"/>
        <v>0</v>
      </c>
      <c r="W6" s="28">
        <f t="shared" si="2"/>
        <v>0</v>
      </c>
      <c r="X6" s="28">
        <f t="shared" si="2"/>
        <v>0</v>
      </c>
      <c r="Y6" s="28">
        <f t="shared" si="2"/>
        <v>0</v>
      </c>
      <c r="Z6" s="28">
        <f t="shared" si="2"/>
        <v>0</v>
      </c>
      <c r="AA6" s="28">
        <f t="shared" si="2"/>
        <v>0</v>
      </c>
      <c r="AB6" s="28">
        <f t="shared" si="2"/>
        <v>0</v>
      </c>
      <c r="AC6" s="28">
        <f t="shared" si="2"/>
        <v>0</v>
      </c>
      <c r="AD6" s="28">
        <f t="shared" si="2"/>
        <v>0</v>
      </c>
      <c r="AE6" s="1">
        <f t="shared" si="2"/>
        <v>0</v>
      </c>
      <c r="AF6" s="1">
        <f t="shared" si="2"/>
        <v>0</v>
      </c>
      <c r="AG6" s="1">
        <f t="shared" si="2"/>
        <v>5</v>
      </c>
      <c r="AH6" s="1">
        <f t="shared" si="2"/>
        <v>0</v>
      </c>
      <c r="AI6" s="1">
        <f t="shared" si="2"/>
        <v>0</v>
      </c>
      <c r="AJ6" s="1">
        <f t="shared" si="2"/>
        <v>0</v>
      </c>
      <c r="AK6" s="1">
        <f t="shared" ref="AK6:BO6" si="3">SUM(AK2:AK5)</f>
        <v>0</v>
      </c>
      <c r="AL6" s="1">
        <f t="shared" si="3"/>
        <v>0</v>
      </c>
      <c r="AM6" s="1">
        <f t="shared" si="3"/>
        <v>0</v>
      </c>
      <c r="AN6" s="1">
        <f t="shared" si="3"/>
        <v>0</v>
      </c>
      <c r="AO6" s="1">
        <f t="shared" si="3"/>
        <v>0</v>
      </c>
      <c r="AP6" s="1">
        <f t="shared" si="3"/>
        <v>0</v>
      </c>
      <c r="AQ6" s="4">
        <f t="shared" si="3"/>
        <v>0</v>
      </c>
      <c r="AR6" s="4">
        <f t="shared" si="3"/>
        <v>0</v>
      </c>
      <c r="AS6" s="4">
        <f t="shared" si="3"/>
        <v>0</v>
      </c>
      <c r="AT6" s="4">
        <f t="shared" si="3"/>
        <v>20</v>
      </c>
      <c r="AU6" s="4">
        <f t="shared" si="3"/>
        <v>10</v>
      </c>
      <c r="AV6" s="4">
        <f t="shared" si="3"/>
        <v>0</v>
      </c>
      <c r="AW6" s="2">
        <f t="shared" si="3"/>
        <v>20</v>
      </c>
      <c r="AX6" s="2">
        <f t="shared" si="3"/>
        <v>20</v>
      </c>
      <c r="AY6" s="2">
        <f t="shared" si="3"/>
        <v>0</v>
      </c>
      <c r="AZ6" s="2">
        <f t="shared" si="3"/>
        <v>0</v>
      </c>
      <c r="BA6" s="2">
        <f t="shared" si="3"/>
        <v>20</v>
      </c>
      <c r="BB6" s="2">
        <f t="shared" si="3"/>
        <v>30</v>
      </c>
      <c r="BC6" s="1">
        <f t="shared" si="3"/>
        <v>0</v>
      </c>
      <c r="BD6" s="1">
        <f t="shared" si="3"/>
        <v>0</v>
      </c>
      <c r="BE6" s="1">
        <f t="shared" si="3"/>
        <v>0</v>
      </c>
      <c r="BF6" s="1">
        <f t="shared" si="3"/>
        <v>0</v>
      </c>
      <c r="BG6" s="1">
        <f t="shared" si="3"/>
        <v>0</v>
      </c>
      <c r="BH6" s="1">
        <f t="shared" si="3"/>
        <v>20</v>
      </c>
      <c r="BI6" s="1">
        <f t="shared" si="3"/>
        <v>0</v>
      </c>
      <c r="BJ6" s="1">
        <f t="shared" si="3"/>
        <v>0</v>
      </c>
      <c r="BK6" s="1">
        <f t="shared" si="3"/>
        <v>0</v>
      </c>
      <c r="BL6" s="1">
        <f t="shared" si="3"/>
        <v>0</v>
      </c>
      <c r="BM6" s="1">
        <f t="shared" si="3"/>
        <v>0</v>
      </c>
      <c r="BN6" s="1">
        <f t="shared" si="3"/>
        <v>0</v>
      </c>
      <c r="BO6" s="1">
        <f t="shared" si="3"/>
        <v>0</v>
      </c>
      <c r="BP6" s="1"/>
      <c r="BQ6" s="1"/>
      <c r="BR6" s="17"/>
      <c r="BS6" s="17"/>
      <c r="BT6" s="1">
        <f t="shared" ref="BT6:CE6" si="4">MIN(BT2:BT5)</f>
        <v>0</v>
      </c>
      <c r="BU6" s="1">
        <f t="shared" si="4"/>
        <v>0</v>
      </c>
      <c r="BV6" s="1">
        <f t="shared" si="4"/>
        <v>0</v>
      </c>
      <c r="BW6" s="1">
        <f t="shared" si="4"/>
        <v>0</v>
      </c>
      <c r="BX6" s="1">
        <f t="shared" si="4"/>
        <v>0</v>
      </c>
      <c r="BY6" s="1">
        <f t="shared" si="4"/>
        <v>0</v>
      </c>
      <c r="BZ6" s="1">
        <f t="shared" si="4"/>
        <v>0</v>
      </c>
      <c r="CA6" s="1">
        <f t="shared" si="4"/>
        <v>0</v>
      </c>
      <c r="CB6" s="1">
        <f t="shared" si="4"/>
        <v>0</v>
      </c>
      <c r="CC6" s="1">
        <f t="shared" si="4"/>
        <v>0</v>
      </c>
      <c r="CD6" s="1">
        <f t="shared" si="4"/>
        <v>0</v>
      </c>
      <c r="CE6" s="1">
        <f t="shared" si="4"/>
        <v>0</v>
      </c>
      <c r="CF6" s="1"/>
      <c r="CG6" s="1">
        <f t="shared" ref="CG6:CR6" si="5">MIN(CG2:CG5)</f>
        <v>0</v>
      </c>
      <c r="CH6" s="1">
        <f t="shared" si="5"/>
        <v>0</v>
      </c>
      <c r="CI6" s="1">
        <f t="shared" si="5"/>
        <v>0</v>
      </c>
      <c r="CJ6" s="1">
        <f t="shared" si="5"/>
        <v>0</v>
      </c>
      <c r="CK6" s="1">
        <f t="shared" si="5"/>
        <v>0</v>
      </c>
      <c r="CL6" s="1">
        <f t="shared" si="5"/>
        <v>0</v>
      </c>
      <c r="CM6" s="1">
        <f t="shared" si="5"/>
        <v>0</v>
      </c>
      <c r="CN6" s="1">
        <f t="shared" si="5"/>
        <v>0</v>
      </c>
      <c r="CO6" s="1">
        <f t="shared" si="5"/>
        <v>0</v>
      </c>
      <c r="CP6" s="1">
        <f t="shared" si="5"/>
        <v>0</v>
      </c>
      <c r="CQ6" s="1">
        <f t="shared" si="5"/>
        <v>0</v>
      </c>
      <c r="CR6" s="1">
        <f t="shared" si="5"/>
        <v>0</v>
      </c>
      <c r="CS6" s="3">
        <f>COUNTIF(CS2:CS5,"=0")</f>
        <v>0</v>
      </c>
    </row>
    <row r="7" spans="1:97" x14ac:dyDescent="0.15">
      <c r="A7" s="1"/>
      <c r="B7" s="3" t="s">
        <v>79</v>
      </c>
      <c r="C7" s="1"/>
      <c r="D7" s="1"/>
      <c r="E7" s="1">
        <v>43</v>
      </c>
      <c r="F7" s="1">
        <v>33</v>
      </c>
      <c r="G7" s="1">
        <v>36</v>
      </c>
      <c r="H7" s="1">
        <v>15</v>
      </c>
      <c r="I7" s="1">
        <v>67</v>
      </c>
      <c r="J7" s="1">
        <v>81</v>
      </c>
      <c r="K7" s="1">
        <v>53</v>
      </c>
      <c r="L7" s="1">
        <v>92</v>
      </c>
      <c r="M7" s="1">
        <v>60</v>
      </c>
      <c r="N7" s="1">
        <v>62</v>
      </c>
      <c r="O7" s="1">
        <v>41</v>
      </c>
      <c r="P7" s="14">
        <v>2</v>
      </c>
      <c r="Q7" s="14">
        <v>1</v>
      </c>
      <c r="R7" s="14">
        <v>2</v>
      </c>
      <c r="S7" s="14">
        <v>1</v>
      </c>
      <c r="T7" s="14">
        <v>5</v>
      </c>
      <c r="U7" s="14">
        <v>0</v>
      </c>
      <c r="V7" s="14">
        <v>2</v>
      </c>
      <c r="W7" s="14">
        <v>2</v>
      </c>
      <c r="X7" s="14">
        <v>6</v>
      </c>
      <c r="Y7" s="14">
        <v>0</v>
      </c>
      <c r="Z7" s="14">
        <v>1</v>
      </c>
      <c r="AA7" s="14">
        <v>1</v>
      </c>
      <c r="AB7" s="14">
        <v>8</v>
      </c>
      <c r="AC7" s="14">
        <v>2</v>
      </c>
      <c r="AD7" s="14">
        <v>4</v>
      </c>
      <c r="AE7" s="1">
        <v>4</v>
      </c>
      <c r="AF7" s="1">
        <v>0</v>
      </c>
      <c r="AG7" s="1">
        <v>4</v>
      </c>
      <c r="AH7" s="1">
        <v>0</v>
      </c>
      <c r="AI7" s="1">
        <v>0</v>
      </c>
      <c r="AJ7" s="1">
        <v>0</v>
      </c>
      <c r="AK7" s="1">
        <v>33</v>
      </c>
      <c r="AL7" s="1">
        <v>43</v>
      </c>
      <c r="AM7" s="1">
        <v>5</v>
      </c>
      <c r="AN7" s="1">
        <v>0</v>
      </c>
      <c r="AO7" s="1">
        <v>0</v>
      </c>
      <c r="AP7" s="1">
        <v>0</v>
      </c>
      <c r="AQ7" s="14">
        <v>6</v>
      </c>
      <c r="AR7" s="14">
        <v>0</v>
      </c>
      <c r="AS7" s="14">
        <v>15</v>
      </c>
      <c r="AT7" s="14">
        <v>20</v>
      </c>
      <c r="AU7" s="14">
        <v>24</v>
      </c>
      <c r="AV7" s="14">
        <v>22</v>
      </c>
      <c r="AW7" s="14">
        <v>11</v>
      </c>
      <c r="AX7" s="14">
        <v>27</v>
      </c>
      <c r="AY7" s="14">
        <v>27</v>
      </c>
      <c r="AZ7" s="14">
        <v>9</v>
      </c>
      <c r="BA7" s="14">
        <v>6</v>
      </c>
      <c r="BB7" s="14">
        <v>34</v>
      </c>
      <c r="BC7" s="14">
        <v>12</v>
      </c>
      <c r="BD7" s="1">
        <v>162</v>
      </c>
      <c r="BE7" s="1">
        <v>244</v>
      </c>
      <c r="BF7" s="1">
        <v>233</v>
      </c>
      <c r="BG7" s="1">
        <v>242</v>
      </c>
      <c r="BH7" s="1">
        <v>141</v>
      </c>
      <c r="BI7" s="1">
        <v>154</v>
      </c>
      <c r="BJ7" s="1">
        <v>56</v>
      </c>
      <c r="BK7" s="1">
        <v>65</v>
      </c>
      <c r="BL7" s="1">
        <v>93</v>
      </c>
      <c r="BM7" s="1">
        <v>8</v>
      </c>
      <c r="BN7" s="1">
        <v>5</v>
      </c>
      <c r="BO7" s="1">
        <v>5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 x14ac:dyDescent="0.15">
      <c r="A8" s="1"/>
      <c r="B8" s="3" t="s">
        <v>86</v>
      </c>
      <c r="C8" s="1"/>
      <c r="D8" s="1"/>
      <c r="E8" s="1">
        <f t="shared" ref="E8:AJ8" si="6">E7-E6</f>
        <v>33</v>
      </c>
      <c r="F8" s="1">
        <f t="shared" si="6"/>
        <v>28</v>
      </c>
      <c r="G8" s="1">
        <f t="shared" si="6"/>
        <v>36</v>
      </c>
      <c r="H8" s="1">
        <f t="shared" si="6"/>
        <v>15</v>
      </c>
      <c r="I8" s="1">
        <f t="shared" si="6"/>
        <v>67</v>
      </c>
      <c r="J8" s="1">
        <f t="shared" si="6"/>
        <v>81</v>
      </c>
      <c r="K8" s="1">
        <f t="shared" si="6"/>
        <v>53</v>
      </c>
      <c r="L8" s="1">
        <f t="shared" si="6"/>
        <v>72</v>
      </c>
      <c r="M8" s="1">
        <f t="shared" si="6"/>
        <v>60</v>
      </c>
      <c r="N8" s="1">
        <f t="shared" si="6"/>
        <v>62</v>
      </c>
      <c r="O8" s="1">
        <f t="shared" si="6"/>
        <v>21</v>
      </c>
      <c r="P8" s="1">
        <f t="shared" si="6"/>
        <v>2</v>
      </c>
      <c r="Q8" s="1">
        <f t="shared" si="6"/>
        <v>1</v>
      </c>
      <c r="R8" s="1">
        <f t="shared" si="6"/>
        <v>-8</v>
      </c>
      <c r="S8" s="1">
        <f t="shared" si="6"/>
        <v>1</v>
      </c>
      <c r="T8" s="1">
        <f t="shared" si="6"/>
        <v>5</v>
      </c>
      <c r="U8" s="1">
        <f t="shared" si="6"/>
        <v>-10</v>
      </c>
      <c r="V8" s="1">
        <f t="shared" si="6"/>
        <v>2</v>
      </c>
      <c r="W8" s="1">
        <f t="shared" si="6"/>
        <v>2</v>
      </c>
      <c r="X8" s="1">
        <f t="shared" si="6"/>
        <v>6</v>
      </c>
      <c r="Y8" s="1">
        <f t="shared" si="6"/>
        <v>0</v>
      </c>
      <c r="Z8" s="1">
        <f t="shared" si="6"/>
        <v>1</v>
      </c>
      <c r="AA8" s="1">
        <f t="shared" si="6"/>
        <v>1</v>
      </c>
      <c r="AB8" s="1">
        <f t="shared" si="6"/>
        <v>8</v>
      </c>
      <c r="AC8" s="1">
        <f t="shared" si="6"/>
        <v>2</v>
      </c>
      <c r="AD8" s="1">
        <f t="shared" si="6"/>
        <v>4</v>
      </c>
      <c r="AE8" s="1">
        <f t="shared" si="6"/>
        <v>4</v>
      </c>
      <c r="AF8" s="1">
        <f t="shared" si="6"/>
        <v>0</v>
      </c>
      <c r="AG8" s="1">
        <f t="shared" si="6"/>
        <v>-1</v>
      </c>
      <c r="AH8" s="1">
        <f t="shared" si="6"/>
        <v>0</v>
      </c>
      <c r="AI8" s="1">
        <f t="shared" si="6"/>
        <v>0</v>
      </c>
      <c r="AJ8" s="1">
        <f t="shared" si="6"/>
        <v>0</v>
      </c>
      <c r="AK8" s="1">
        <f t="shared" ref="AK8:BO8" si="7">AK7-AK6</f>
        <v>33</v>
      </c>
      <c r="AL8" s="1">
        <f t="shared" si="7"/>
        <v>43</v>
      </c>
      <c r="AM8" s="1">
        <f t="shared" si="7"/>
        <v>5</v>
      </c>
      <c r="AN8" s="1">
        <f t="shared" si="7"/>
        <v>0</v>
      </c>
      <c r="AO8" s="1">
        <f t="shared" si="7"/>
        <v>0</v>
      </c>
      <c r="AP8" s="1">
        <f t="shared" si="7"/>
        <v>0</v>
      </c>
      <c r="AQ8" s="1">
        <f t="shared" si="7"/>
        <v>6</v>
      </c>
      <c r="AR8" s="1">
        <f t="shared" si="7"/>
        <v>0</v>
      </c>
      <c r="AS8" s="1">
        <f t="shared" si="7"/>
        <v>15</v>
      </c>
      <c r="AT8" s="1">
        <f t="shared" si="7"/>
        <v>0</v>
      </c>
      <c r="AU8" s="1">
        <f t="shared" si="7"/>
        <v>14</v>
      </c>
      <c r="AV8" s="1">
        <f t="shared" si="7"/>
        <v>22</v>
      </c>
      <c r="AW8" s="1">
        <f t="shared" si="7"/>
        <v>-9</v>
      </c>
      <c r="AX8" s="1">
        <f t="shared" si="7"/>
        <v>7</v>
      </c>
      <c r="AY8" s="1">
        <f t="shared" si="7"/>
        <v>27</v>
      </c>
      <c r="AZ8" s="1">
        <f t="shared" si="7"/>
        <v>9</v>
      </c>
      <c r="BA8" s="1">
        <f t="shared" si="7"/>
        <v>-14</v>
      </c>
      <c r="BB8" s="1">
        <f t="shared" si="7"/>
        <v>4</v>
      </c>
      <c r="BC8" s="1">
        <f t="shared" si="7"/>
        <v>12</v>
      </c>
      <c r="BD8" s="1">
        <f t="shared" si="7"/>
        <v>162</v>
      </c>
      <c r="BE8" s="1">
        <f t="shared" si="7"/>
        <v>244</v>
      </c>
      <c r="BF8" s="1">
        <f t="shared" si="7"/>
        <v>233</v>
      </c>
      <c r="BG8" s="1">
        <f t="shared" si="7"/>
        <v>242</v>
      </c>
      <c r="BH8" s="1">
        <f t="shared" si="7"/>
        <v>121</v>
      </c>
      <c r="BI8" s="1">
        <f t="shared" si="7"/>
        <v>154</v>
      </c>
      <c r="BJ8" s="1">
        <f t="shared" si="7"/>
        <v>56</v>
      </c>
      <c r="BK8" s="1">
        <f t="shared" si="7"/>
        <v>65</v>
      </c>
      <c r="BL8" s="1">
        <f t="shared" si="7"/>
        <v>93</v>
      </c>
      <c r="BM8" s="1">
        <f t="shared" si="7"/>
        <v>8</v>
      </c>
      <c r="BN8" s="1">
        <f t="shared" si="7"/>
        <v>5</v>
      </c>
      <c r="BO8" s="1">
        <f t="shared" si="7"/>
        <v>5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 x14ac:dyDescent="0.15">
      <c r="A9" s="1"/>
      <c r="B9" s="3" t="s">
        <v>171</v>
      </c>
      <c r="C9" s="1"/>
      <c r="D9" s="1"/>
      <c r="E9" s="1">
        <f t="shared" ref="E9:AJ9" si="8">MAX(E2:E5)</f>
        <v>10</v>
      </c>
      <c r="F9" s="1">
        <f t="shared" si="8"/>
        <v>5</v>
      </c>
      <c r="G9" s="1">
        <f t="shared" si="8"/>
        <v>0</v>
      </c>
      <c r="H9" s="1">
        <f t="shared" si="8"/>
        <v>0</v>
      </c>
      <c r="I9" s="1">
        <f t="shared" si="8"/>
        <v>0</v>
      </c>
      <c r="J9" s="1">
        <f t="shared" si="8"/>
        <v>0</v>
      </c>
      <c r="K9" s="1">
        <f t="shared" si="8"/>
        <v>0</v>
      </c>
      <c r="L9" s="1">
        <f t="shared" si="8"/>
        <v>20</v>
      </c>
      <c r="M9" s="1">
        <f t="shared" si="8"/>
        <v>0</v>
      </c>
      <c r="N9" s="1">
        <f t="shared" si="8"/>
        <v>0</v>
      </c>
      <c r="O9" s="1">
        <f t="shared" si="8"/>
        <v>20</v>
      </c>
      <c r="P9" s="1">
        <f t="shared" si="8"/>
        <v>0</v>
      </c>
      <c r="Q9" s="1">
        <f t="shared" si="8"/>
        <v>0</v>
      </c>
      <c r="R9" s="1">
        <f t="shared" si="8"/>
        <v>10</v>
      </c>
      <c r="S9" s="1">
        <f t="shared" si="8"/>
        <v>0</v>
      </c>
      <c r="T9" s="1">
        <f t="shared" si="8"/>
        <v>0</v>
      </c>
      <c r="U9" s="1">
        <f t="shared" si="8"/>
        <v>10</v>
      </c>
      <c r="V9" s="1">
        <f t="shared" si="8"/>
        <v>0</v>
      </c>
      <c r="W9" s="1">
        <f t="shared" si="8"/>
        <v>0</v>
      </c>
      <c r="X9" s="1">
        <f t="shared" si="8"/>
        <v>0</v>
      </c>
      <c r="Y9" s="1">
        <f t="shared" si="8"/>
        <v>0</v>
      </c>
      <c r="Z9" s="1">
        <f t="shared" si="8"/>
        <v>0</v>
      </c>
      <c r="AA9" s="1">
        <f t="shared" si="8"/>
        <v>0</v>
      </c>
      <c r="AB9" s="1">
        <f t="shared" si="8"/>
        <v>0</v>
      </c>
      <c r="AC9" s="1">
        <f t="shared" si="8"/>
        <v>0</v>
      </c>
      <c r="AD9" s="1">
        <f t="shared" si="8"/>
        <v>0</v>
      </c>
      <c r="AE9" s="1">
        <f t="shared" si="8"/>
        <v>0</v>
      </c>
      <c r="AF9" s="1">
        <f t="shared" si="8"/>
        <v>0</v>
      </c>
      <c r="AG9" s="1">
        <f t="shared" si="8"/>
        <v>5</v>
      </c>
      <c r="AH9" s="1">
        <f t="shared" si="8"/>
        <v>0</v>
      </c>
      <c r="AI9" s="1">
        <f t="shared" si="8"/>
        <v>0</v>
      </c>
      <c r="AJ9" s="1">
        <f t="shared" si="8"/>
        <v>0</v>
      </c>
      <c r="AK9" s="1">
        <f t="shared" ref="AK9:BO9" si="9">MAX(AK2:AK5)</f>
        <v>0</v>
      </c>
      <c r="AL9" s="1">
        <f t="shared" si="9"/>
        <v>0</v>
      </c>
      <c r="AM9" s="1">
        <f t="shared" si="9"/>
        <v>0</v>
      </c>
      <c r="AN9" s="1">
        <f t="shared" si="9"/>
        <v>0</v>
      </c>
      <c r="AO9" s="1">
        <f t="shared" si="9"/>
        <v>0</v>
      </c>
      <c r="AP9" s="1">
        <f t="shared" si="9"/>
        <v>0</v>
      </c>
      <c r="AQ9" s="1">
        <f t="shared" si="9"/>
        <v>0</v>
      </c>
      <c r="AR9" s="1">
        <f t="shared" si="9"/>
        <v>0</v>
      </c>
      <c r="AS9" s="1">
        <f t="shared" si="9"/>
        <v>0</v>
      </c>
      <c r="AT9" s="1">
        <f t="shared" si="9"/>
        <v>20</v>
      </c>
      <c r="AU9" s="1">
        <f t="shared" si="9"/>
        <v>10</v>
      </c>
      <c r="AV9" s="1">
        <f t="shared" si="9"/>
        <v>0</v>
      </c>
      <c r="AW9" s="1">
        <f t="shared" si="9"/>
        <v>20</v>
      </c>
      <c r="AX9" s="1">
        <f t="shared" si="9"/>
        <v>20</v>
      </c>
      <c r="AY9" s="1">
        <f t="shared" si="9"/>
        <v>0</v>
      </c>
      <c r="AZ9" s="1">
        <f t="shared" si="9"/>
        <v>0</v>
      </c>
      <c r="BA9" s="1">
        <f t="shared" si="9"/>
        <v>20</v>
      </c>
      <c r="BB9" s="1">
        <f t="shared" si="9"/>
        <v>20</v>
      </c>
      <c r="BC9" s="1">
        <f t="shared" si="9"/>
        <v>0</v>
      </c>
      <c r="BD9" s="1">
        <f t="shared" si="9"/>
        <v>0</v>
      </c>
      <c r="BE9" s="1">
        <f t="shared" si="9"/>
        <v>0</v>
      </c>
      <c r="BF9" s="1">
        <f t="shared" si="9"/>
        <v>0</v>
      </c>
      <c r="BG9" s="1">
        <f t="shared" si="9"/>
        <v>0</v>
      </c>
      <c r="BH9" s="1">
        <f t="shared" si="9"/>
        <v>20</v>
      </c>
      <c r="BI9" s="1">
        <f t="shared" si="9"/>
        <v>0</v>
      </c>
      <c r="BJ9" s="1">
        <f t="shared" si="9"/>
        <v>0</v>
      </c>
      <c r="BK9" s="1">
        <f t="shared" si="9"/>
        <v>0</v>
      </c>
      <c r="BL9" s="1">
        <f t="shared" si="9"/>
        <v>0</v>
      </c>
      <c r="BM9" s="1">
        <f t="shared" si="9"/>
        <v>0</v>
      </c>
      <c r="BN9" s="1">
        <f t="shared" si="9"/>
        <v>0</v>
      </c>
      <c r="BO9" s="1">
        <f t="shared" si="9"/>
        <v>0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x14ac:dyDescent="0.15">
      <c r="A10" s="1"/>
      <c r="B10" s="3" t="s">
        <v>172</v>
      </c>
      <c r="C10" s="1"/>
      <c r="D10" s="1"/>
      <c r="E10" s="1">
        <f t="shared" ref="E10:AJ10" si="10">MIN(E2:E5)</f>
        <v>10</v>
      </c>
      <c r="F10" s="1">
        <f t="shared" si="10"/>
        <v>5</v>
      </c>
      <c r="G10" s="1">
        <f t="shared" si="10"/>
        <v>0</v>
      </c>
      <c r="H10" s="1">
        <f t="shared" si="10"/>
        <v>0</v>
      </c>
      <c r="I10" s="1">
        <f t="shared" si="10"/>
        <v>0</v>
      </c>
      <c r="J10" s="1">
        <f t="shared" si="10"/>
        <v>0</v>
      </c>
      <c r="K10" s="1">
        <f t="shared" si="10"/>
        <v>0</v>
      </c>
      <c r="L10" s="1">
        <f t="shared" si="10"/>
        <v>20</v>
      </c>
      <c r="M10" s="1">
        <f t="shared" si="10"/>
        <v>0</v>
      </c>
      <c r="N10" s="1">
        <f t="shared" si="10"/>
        <v>0</v>
      </c>
      <c r="O10" s="1">
        <f t="shared" si="10"/>
        <v>20</v>
      </c>
      <c r="P10" s="1">
        <f t="shared" si="10"/>
        <v>0</v>
      </c>
      <c r="Q10" s="1">
        <f t="shared" si="10"/>
        <v>0</v>
      </c>
      <c r="R10" s="1">
        <f t="shared" si="10"/>
        <v>10</v>
      </c>
      <c r="S10" s="1">
        <f t="shared" si="10"/>
        <v>0</v>
      </c>
      <c r="T10" s="1">
        <f t="shared" si="10"/>
        <v>0</v>
      </c>
      <c r="U10" s="1">
        <f t="shared" si="10"/>
        <v>10</v>
      </c>
      <c r="V10" s="1">
        <f t="shared" si="10"/>
        <v>0</v>
      </c>
      <c r="W10" s="1">
        <f t="shared" si="10"/>
        <v>0</v>
      </c>
      <c r="X10" s="1">
        <f t="shared" si="10"/>
        <v>0</v>
      </c>
      <c r="Y10" s="1">
        <f t="shared" si="10"/>
        <v>0</v>
      </c>
      <c r="Z10" s="1">
        <f t="shared" si="10"/>
        <v>0</v>
      </c>
      <c r="AA10" s="1">
        <f t="shared" si="10"/>
        <v>0</v>
      </c>
      <c r="AB10" s="1">
        <f t="shared" si="10"/>
        <v>0</v>
      </c>
      <c r="AC10" s="1">
        <f t="shared" si="10"/>
        <v>0</v>
      </c>
      <c r="AD10" s="1">
        <f t="shared" si="10"/>
        <v>0</v>
      </c>
      <c r="AE10" s="1">
        <f t="shared" si="10"/>
        <v>0</v>
      </c>
      <c r="AF10" s="1">
        <f t="shared" si="10"/>
        <v>0</v>
      </c>
      <c r="AG10" s="1">
        <f t="shared" si="10"/>
        <v>5</v>
      </c>
      <c r="AH10" s="1">
        <f t="shared" si="10"/>
        <v>0</v>
      </c>
      <c r="AI10" s="1">
        <f t="shared" si="10"/>
        <v>0</v>
      </c>
      <c r="AJ10" s="1">
        <f t="shared" si="10"/>
        <v>0</v>
      </c>
      <c r="AK10" s="1">
        <f t="shared" ref="AK10:BO10" si="11">MIN(AK2:AK5)</f>
        <v>0</v>
      </c>
      <c r="AL10" s="1">
        <f t="shared" si="11"/>
        <v>0</v>
      </c>
      <c r="AM10" s="1">
        <f t="shared" si="11"/>
        <v>0</v>
      </c>
      <c r="AN10" s="1">
        <f t="shared" si="11"/>
        <v>0</v>
      </c>
      <c r="AO10" s="1">
        <f t="shared" si="11"/>
        <v>0</v>
      </c>
      <c r="AP10" s="1">
        <f t="shared" si="11"/>
        <v>0</v>
      </c>
      <c r="AQ10" s="1">
        <f t="shared" si="11"/>
        <v>0</v>
      </c>
      <c r="AR10" s="1">
        <f t="shared" si="11"/>
        <v>0</v>
      </c>
      <c r="AS10" s="1">
        <f t="shared" si="11"/>
        <v>0</v>
      </c>
      <c r="AT10" s="1">
        <f t="shared" si="11"/>
        <v>20</v>
      </c>
      <c r="AU10" s="1">
        <f t="shared" si="11"/>
        <v>10</v>
      </c>
      <c r="AV10" s="1">
        <f t="shared" si="11"/>
        <v>0</v>
      </c>
      <c r="AW10" s="1">
        <f t="shared" si="11"/>
        <v>20</v>
      </c>
      <c r="AX10" s="1">
        <f t="shared" si="11"/>
        <v>20</v>
      </c>
      <c r="AY10" s="1">
        <f t="shared" si="11"/>
        <v>0</v>
      </c>
      <c r="AZ10" s="1">
        <f t="shared" si="11"/>
        <v>0</v>
      </c>
      <c r="BA10" s="1">
        <f t="shared" si="11"/>
        <v>20</v>
      </c>
      <c r="BB10" s="1">
        <f t="shared" si="11"/>
        <v>10</v>
      </c>
      <c r="BC10" s="1">
        <f t="shared" si="11"/>
        <v>0</v>
      </c>
      <c r="BD10" s="1">
        <f t="shared" si="11"/>
        <v>0</v>
      </c>
      <c r="BE10" s="1">
        <f t="shared" si="11"/>
        <v>0</v>
      </c>
      <c r="BF10" s="1">
        <f t="shared" si="11"/>
        <v>0</v>
      </c>
      <c r="BG10" s="1">
        <f t="shared" si="11"/>
        <v>0</v>
      </c>
      <c r="BH10" s="1">
        <f t="shared" si="11"/>
        <v>20</v>
      </c>
      <c r="BI10" s="1">
        <f t="shared" si="11"/>
        <v>0</v>
      </c>
      <c r="BJ10" s="1">
        <f t="shared" si="11"/>
        <v>0</v>
      </c>
      <c r="BK10" s="1">
        <f t="shared" si="11"/>
        <v>0</v>
      </c>
      <c r="BL10" s="1">
        <f t="shared" si="11"/>
        <v>0</v>
      </c>
      <c r="BM10" s="1">
        <f t="shared" si="11"/>
        <v>0</v>
      </c>
      <c r="BN10" s="1">
        <f t="shared" si="11"/>
        <v>0</v>
      </c>
      <c r="BO10" s="1">
        <f t="shared" si="11"/>
        <v>0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173</v>
      </c>
      <c r="C11" s="1"/>
      <c r="D11" s="1"/>
      <c r="E11" s="1">
        <f t="shared" ref="E11:AJ11" si="12">E7-E9</f>
        <v>33</v>
      </c>
      <c r="F11" s="1">
        <f t="shared" si="12"/>
        <v>28</v>
      </c>
      <c r="G11" s="1">
        <f t="shared" si="12"/>
        <v>36</v>
      </c>
      <c r="H11" s="1">
        <f t="shared" si="12"/>
        <v>15</v>
      </c>
      <c r="I11" s="1">
        <f t="shared" si="12"/>
        <v>67</v>
      </c>
      <c r="J11" s="1">
        <f t="shared" si="12"/>
        <v>81</v>
      </c>
      <c r="K11" s="1">
        <f t="shared" si="12"/>
        <v>53</v>
      </c>
      <c r="L11" s="1">
        <f t="shared" si="12"/>
        <v>72</v>
      </c>
      <c r="M11" s="1">
        <f t="shared" si="12"/>
        <v>60</v>
      </c>
      <c r="N11" s="1">
        <f t="shared" si="12"/>
        <v>62</v>
      </c>
      <c r="O11" s="1">
        <f t="shared" si="12"/>
        <v>21</v>
      </c>
      <c r="P11" s="1">
        <f t="shared" si="12"/>
        <v>2</v>
      </c>
      <c r="Q11" s="1">
        <f t="shared" si="12"/>
        <v>1</v>
      </c>
      <c r="R11" s="1">
        <f t="shared" si="12"/>
        <v>-8</v>
      </c>
      <c r="S11" s="1">
        <f t="shared" si="12"/>
        <v>1</v>
      </c>
      <c r="T11" s="1">
        <f t="shared" si="12"/>
        <v>5</v>
      </c>
      <c r="U11" s="1">
        <f t="shared" si="12"/>
        <v>-10</v>
      </c>
      <c r="V11" s="1">
        <f t="shared" si="12"/>
        <v>2</v>
      </c>
      <c r="W11" s="1">
        <f t="shared" si="12"/>
        <v>2</v>
      </c>
      <c r="X11" s="1">
        <f t="shared" si="12"/>
        <v>6</v>
      </c>
      <c r="Y11" s="1">
        <f t="shared" si="12"/>
        <v>0</v>
      </c>
      <c r="Z11" s="1">
        <f t="shared" si="12"/>
        <v>1</v>
      </c>
      <c r="AA11" s="1">
        <f t="shared" si="12"/>
        <v>1</v>
      </c>
      <c r="AB11" s="1">
        <f t="shared" si="12"/>
        <v>8</v>
      </c>
      <c r="AC11" s="1">
        <f t="shared" si="12"/>
        <v>2</v>
      </c>
      <c r="AD11" s="1">
        <f t="shared" si="12"/>
        <v>4</v>
      </c>
      <c r="AE11" s="1">
        <f t="shared" si="12"/>
        <v>4</v>
      </c>
      <c r="AF11" s="1">
        <f t="shared" si="12"/>
        <v>0</v>
      </c>
      <c r="AG11" s="1">
        <f t="shared" si="12"/>
        <v>-1</v>
      </c>
      <c r="AH11" s="1">
        <f t="shared" si="12"/>
        <v>0</v>
      </c>
      <c r="AI11" s="1">
        <f t="shared" si="12"/>
        <v>0</v>
      </c>
      <c r="AJ11" s="1">
        <f t="shared" si="12"/>
        <v>0</v>
      </c>
      <c r="AK11" s="1">
        <f t="shared" ref="AK11:BO11" si="13">AK7-AK9</f>
        <v>33</v>
      </c>
      <c r="AL11" s="1">
        <f t="shared" si="13"/>
        <v>43</v>
      </c>
      <c r="AM11" s="1">
        <f t="shared" si="13"/>
        <v>5</v>
      </c>
      <c r="AN11" s="1">
        <f t="shared" si="13"/>
        <v>0</v>
      </c>
      <c r="AO11" s="1">
        <f t="shared" si="13"/>
        <v>0</v>
      </c>
      <c r="AP11" s="1">
        <f t="shared" si="13"/>
        <v>0</v>
      </c>
      <c r="AQ11" s="1">
        <f t="shared" si="13"/>
        <v>6</v>
      </c>
      <c r="AR11" s="1">
        <f t="shared" si="13"/>
        <v>0</v>
      </c>
      <c r="AS11" s="1">
        <f t="shared" si="13"/>
        <v>15</v>
      </c>
      <c r="AT11" s="1">
        <f t="shared" si="13"/>
        <v>0</v>
      </c>
      <c r="AU11" s="1">
        <f t="shared" si="13"/>
        <v>14</v>
      </c>
      <c r="AV11" s="1">
        <f t="shared" si="13"/>
        <v>22</v>
      </c>
      <c r="AW11" s="1">
        <f t="shared" si="13"/>
        <v>-9</v>
      </c>
      <c r="AX11" s="1">
        <f t="shared" si="13"/>
        <v>7</v>
      </c>
      <c r="AY11" s="1">
        <f t="shared" si="13"/>
        <v>27</v>
      </c>
      <c r="AZ11" s="1">
        <f t="shared" si="13"/>
        <v>9</v>
      </c>
      <c r="BA11" s="1">
        <f t="shared" si="13"/>
        <v>-14</v>
      </c>
      <c r="BB11" s="1">
        <f t="shared" si="13"/>
        <v>14</v>
      </c>
      <c r="BC11" s="1">
        <f t="shared" si="13"/>
        <v>12</v>
      </c>
      <c r="BD11" s="1">
        <f t="shared" si="13"/>
        <v>162</v>
      </c>
      <c r="BE11" s="1">
        <f t="shared" si="13"/>
        <v>244</v>
      </c>
      <c r="BF11" s="1">
        <f t="shared" si="13"/>
        <v>233</v>
      </c>
      <c r="BG11" s="1">
        <f t="shared" si="13"/>
        <v>242</v>
      </c>
      <c r="BH11" s="1">
        <f t="shared" si="13"/>
        <v>121</v>
      </c>
      <c r="BI11" s="1">
        <f t="shared" si="13"/>
        <v>154</v>
      </c>
      <c r="BJ11" s="1">
        <f t="shared" si="13"/>
        <v>56</v>
      </c>
      <c r="BK11" s="1">
        <f t="shared" si="13"/>
        <v>65</v>
      </c>
      <c r="BL11" s="1">
        <f t="shared" si="13"/>
        <v>93</v>
      </c>
      <c r="BM11" s="1">
        <f t="shared" si="13"/>
        <v>8</v>
      </c>
      <c r="BN11" s="1">
        <f t="shared" si="13"/>
        <v>5</v>
      </c>
      <c r="BO11" s="1">
        <f t="shared" si="13"/>
        <v>5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s="13" customFormat="1" x14ac:dyDescent="0.15">
      <c r="A12" s="1"/>
      <c r="B12" s="3" t="s">
        <v>174</v>
      </c>
      <c r="C12" s="1"/>
      <c r="D12" s="1"/>
      <c r="E12" s="1">
        <f t="shared" ref="E12:AJ12" si="14">E7-E10</f>
        <v>33</v>
      </c>
      <c r="F12" s="1">
        <f t="shared" si="14"/>
        <v>28</v>
      </c>
      <c r="G12" s="1">
        <f t="shared" si="14"/>
        <v>36</v>
      </c>
      <c r="H12" s="1">
        <f t="shared" si="14"/>
        <v>15</v>
      </c>
      <c r="I12" s="1">
        <f t="shared" si="14"/>
        <v>67</v>
      </c>
      <c r="J12" s="1">
        <f t="shared" si="14"/>
        <v>81</v>
      </c>
      <c r="K12" s="1">
        <f t="shared" si="14"/>
        <v>53</v>
      </c>
      <c r="L12" s="1">
        <f t="shared" si="14"/>
        <v>72</v>
      </c>
      <c r="M12" s="1">
        <f t="shared" si="14"/>
        <v>60</v>
      </c>
      <c r="N12" s="1">
        <f t="shared" si="14"/>
        <v>62</v>
      </c>
      <c r="O12" s="1">
        <f t="shared" si="14"/>
        <v>21</v>
      </c>
      <c r="P12" s="1">
        <f t="shared" si="14"/>
        <v>2</v>
      </c>
      <c r="Q12" s="1">
        <f t="shared" si="14"/>
        <v>1</v>
      </c>
      <c r="R12" s="1">
        <f t="shared" si="14"/>
        <v>-8</v>
      </c>
      <c r="S12" s="1">
        <f t="shared" si="14"/>
        <v>1</v>
      </c>
      <c r="T12" s="1">
        <f t="shared" si="14"/>
        <v>5</v>
      </c>
      <c r="U12" s="1">
        <f t="shared" si="14"/>
        <v>-10</v>
      </c>
      <c r="V12" s="1">
        <f t="shared" si="14"/>
        <v>2</v>
      </c>
      <c r="W12" s="1">
        <f t="shared" si="14"/>
        <v>2</v>
      </c>
      <c r="X12" s="1">
        <f t="shared" si="14"/>
        <v>6</v>
      </c>
      <c r="Y12" s="1">
        <f t="shared" si="14"/>
        <v>0</v>
      </c>
      <c r="Z12" s="1">
        <f t="shared" si="14"/>
        <v>1</v>
      </c>
      <c r="AA12" s="1">
        <f t="shared" si="14"/>
        <v>1</v>
      </c>
      <c r="AB12" s="1">
        <f t="shared" si="14"/>
        <v>8</v>
      </c>
      <c r="AC12" s="1">
        <f t="shared" si="14"/>
        <v>2</v>
      </c>
      <c r="AD12" s="1">
        <f t="shared" si="14"/>
        <v>4</v>
      </c>
      <c r="AE12" s="1">
        <f t="shared" si="14"/>
        <v>4</v>
      </c>
      <c r="AF12" s="1">
        <f t="shared" si="14"/>
        <v>0</v>
      </c>
      <c r="AG12" s="1">
        <f t="shared" si="14"/>
        <v>-1</v>
      </c>
      <c r="AH12" s="1">
        <f t="shared" si="14"/>
        <v>0</v>
      </c>
      <c r="AI12" s="1">
        <f t="shared" si="14"/>
        <v>0</v>
      </c>
      <c r="AJ12" s="1">
        <f t="shared" si="14"/>
        <v>0</v>
      </c>
      <c r="AK12" s="1">
        <f t="shared" ref="AK12:BO12" si="15">AK7-AK10</f>
        <v>33</v>
      </c>
      <c r="AL12" s="1">
        <f t="shared" si="15"/>
        <v>43</v>
      </c>
      <c r="AM12" s="1">
        <f t="shared" si="15"/>
        <v>5</v>
      </c>
      <c r="AN12" s="1">
        <f t="shared" si="15"/>
        <v>0</v>
      </c>
      <c r="AO12" s="1">
        <f t="shared" si="15"/>
        <v>0</v>
      </c>
      <c r="AP12" s="1">
        <f t="shared" si="15"/>
        <v>0</v>
      </c>
      <c r="AQ12" s="1">
        <f t="shared" si="15"/>
        <v>6</v>
      </c>
      <c r="AR12" s="1">
        <f t="shared" si="15"/>
        <v>0</v>
      </c>
      <c r="AS12" s="1">
        <f t="shared" si="15"/>
        <v>15</v>
      </c>
      <c r="AT12" s="1">
        <f t="shared" si="15"/>
        <v>0</v>
      </c>
      <c r="AU12" s="1">
        <f t="shared" si="15"/>
        <v>14</v>
      </c>
      <c r="AV12" s="1">
        <f t="shared" si="15"/>
        <v>22</v>
      </c>
      <c r="AW12" s="1">
        <f t="shared" si="15"/>
        <v>-9</v>
      </c>
      <c r="AX12" s="1">
        <f t="shared" si="15"/>
        <v>7</v>
      </c>
      <c r="AY12" s="1">
        <f t="shared" si="15"/>
        <v>27</v>
      </c>
      <c r="AZ12" s="1">
        <f t="shared" si="15"/>
        <v>9</v>
      </c>
      <c r="BA12" s="1">
        <f t="shared" si="15"/>
        <v>-14</v>
      </c>
      <c r="BB12" s="1">
        <f t="shared" si="15"/>
        <v>24</v>
      </c>
      <c r="BC12" s="1">
        <f t="shared" si="15"/>
        <v>12</v>
      </c>
      <c r="BD12" s="1">
        <f t="shared" si="15"/>
        <v>162</v>
      </c>
      <c r="BE12" s="1">
        <f t="shared" si="15"/>
        <v>244</v>
      </c>
      <c r="BF12" s="1">
        <f t="shared" si="15"/>
        <v>233</v>
      </c>
      <c r="BG12" s="1">
        <f t="shared" si="15"/>
        <v>242</v>
      </c>
      <c r="BH12" s="1">
        <f t="shared" si="15"/>
        <v>121</v>
      </c>
      <c r="BI12" s="1">
        <f t="shared" si="15"/>
        <v>154</v>
      </c>
      <c r="BJ12" s="1">
        <f t="shared" si="15"/>
        <v>56</v>
      </c>
      <c r="BK12" s="1">
        <f t="shared" si="15"/>
        <v>65</v>
      </c>
      <c r="BL12" s="1">
        <f t="shared" si="15"/>
        <v>93</v>
      </c>
      <c r="BM12" s="1">
        <f t="shared" si="15"/>
        <v>8</v>
      </c>
      <c r="BN12" s="1">
        <f t="shared" si="15"/>
        <v>5</v>
      </c>
      <c r="BO12" s="1">
        <f t="shared" si="15"/>
        <v>5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R13" s="7" t="s">
        <v>215</v>
      </c>
      <c r="AQ13" s="7" t="s">
        <v>204</v>
      </c>
      <c r="AR13" s="7" t="s">
        <v>207</v>
      </c>
      <c r="AS13" s="7" t="s">
        <v>208</v>
      </c>
      <c r="AT13" s="7" t="s">
        <v>205</v>
      </c>
      <c r="AU13" s="7" t="s">
        <v>206</v>
      </c>
      <c r="AV13" s="7" t="s">
        <v>203</v>
      </c>
      <c r="AW13" s="7" t="s">
        <v>209</v>
      </c>
      <c r="AX13" s="7" t="s">
        <v>210</v>
      </c>
      <c r="AY13" s="7" t="s">
        <v>211</v>
      </c>
      <c r="AZ13" s="7" t="s">
        <v>212</v>
      </c>
      <c r="BA13" s="7" t="s">
        <v>213</v>
      </c>
      <c r="BB13" s="7" t="s">
        <v>214</v>
      </c>
    </row>
    <row r="14" spans="1:97" x14ac:dyDescent="0.15">
      <c r="R14" s="7" t="s">
        <v>216</v>
      </c>
    </row>
  </sheetData>
  <autoFilter ref="A1:BP5"/>
  <phoneticPr fontId="1" type="noConversion"/>
  <conditionalFormatting sqref="E9:BO9">
    <cfRule type="expression" dxfId="2" priority="3">
      <formula>"&lt;=$E$135"</formula>
    </cfRule>
  </conditionalFormatting>
  <conditionalFormatting sqref="E11:BO12">
    <cfRule type="cellIs" dxfId="1" priority="1" operator="lessThan">
      <formula>0</formula>
    </cfRule>
  </conditionalFormatting>
  <conditionalFormatting sqref="E8:BO8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76</v>
      </c>
      <c r="B1" s="5" t="s">
        <v>73</v>
      </c>
      <c r="C1" s="5" t="s">
        <v>77</v>
      </c>
    </row>
    <row r="2" spans="1:3" x14ac:dyDescent="0.15">
      <c r="A2" s="1">
        <v>10</v>
      </c>
      <c r="B2" s="2" t="s">
        <v>11</v>
      </c>
      <c r="C2" s="1">
        <v>190</v>
      </c>
    </row>
    <row r="3" spans="1:3" x14ac:dyDescent="0.15">
      <c r="A3" s="1">
        <v>12</v>
      </c>
      <c r="B3" s="2" t="s">
        <v>48</v>
      </c>
      <c r="C3" s="1">
        <v>120</v>
      </c>
    </row>
    <row r="4" spans="1:3" x14ac:dyDescent="0.15">
      <c r="A4" s="1">
        <v>4</v>
      </c>
      <c r="B4" s="4" t="s">
        <v>49</v>
      </c>
      <c r="C4" s="1">
        <v>85</v>
      </c>
    </row>
    <row r="5" spans="1:3" x14ac:dyDescent="0.15">
      <c r="A5" s="1">
        <v>3</v>
      </c>
      <c r="B5" s="4" t="s">
        <v>40</v>
      </c>
      <c r="C5" s="1">
        <v>65</v>
      </c>
    </row>
    <row r="6" spans="1:3" x14ac:dyDescent="0.15">
      <c r="A6" s="1">
        <v>8</v>
      </c>
      <c r="B6" s="2" t="s">
        <v>6</v>
      </c>
      <c r="C6" s="1">
        <v>65</v>
      </c>
    </row>
    <row r="7" spans="1:3" x14ac:dyDescent="0.15">
      <c r="A7" s="1">
        <v>9</v>
      </c>
      <c r="B7" s="2" t="s">
        <v>7</v>
      </c>
      <c r="C7" s="1">
        <v>65</v>
      </c>
    </row>
    <row r="8" spans="1:3" x14ac:dyDescent="0.15">
      <c r="A8" s="1">
        <v>1</v>
      </c>
      <c r="B8" s="4" t="s">
        <v>4</v>
      </c>
      <c r="C8" s="1">
        <v>60</v>
      </c>
    </row>
    <row r="9" spans="1:3" x14ac:dyDescent="0.15">
      <c r="A9" s="1">
        <v>7</v>
      </c>
      <c r="B9" s="2" t="s">
        <v>5</v>
      </c>
      <c r="C9" s="1">
        <v>53</v>
      </c>
    </row>
    <row r="10" spans="1:3" x14ac:dyDescent="0.15">
      <c r="A10" s="1">
        <v>2</v>
      </c>
      <c r="B10" s="4" t="s">
        <v>28</v>
      </c>
      <c r="C10" s="1">
        <v>45</v>
      </c>
    </row>
    <row r="11" spans="1:3" x14ac:dyDescent="0.15">
      <c r="A11" s="1">
        <v>5</v>
      </c>
      <c r="B11" s="4" t="s">
        <v>55</v>
      </c>
      <c r="C11" s="1">
        <v>45</v>
      </c>
    </row>
    <row r="12" spans="1:3" x14ac:dyDescent="0.15">
      <c r="A12" s="1">
        <v>11</v>
      </c>
      <c r="B12" s="2" t="s">
        <v>41</v>
      </c>
      <c r="C12" s="1">
        <v>10</v>
      </c>
    </row>
    <row r="13" spans="1:3" x14ac:dyDescent="0.15">
      <c r="A13" s="1">
        <v>6</v>
      </c>
      <c r="B13" s="4" t="s">
        <v>58</v>
      </c>
      <c r="C13" s="1">
        <v>8</v>
      </c>
    </row>
    <row r="19" spans="3:18" x14ac:dyDescent="0.15">
      <c r="G19" s="10" t="s">
        <v>40</v>
      </c>
      <c r="H19" s="10" t="s">
        <v>4</v>
      </c>
      <c r="I19" s="10" t="s">
        <v>28</v>
      </c>
      <c r="J19" s="10" t="s">
        <v>55</v>
      </c>
      <c r="K19" s="10" t="s">
        <v>58</v>
      </c>
      <c r="L19" s="10" t="s">
        <v>49</v>
      </c>
      <c r="M19" s="11" t="s">
        <v>5</v>
      </c>
      <c r="N19" s="11" t="s">
        <v>6</v>
      </c>
      <c r="O19" s="11" t="s">
        <v>41</v>
      </c>
      <c r="P19" s="11" t="s">
        <v>7</v>
      </c>
      <c r="Q19" s="11" t="s">
        <v>48</v>
      </c>
      <c r="R19" s="11" t="s">
        <v>11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175</v>
      </c>
      <c r="D27" t="s">
        <v>176</v>
      </c>
      <c r="E27" t="s">
        <v>177</v>
      </c>
      <c r="F27" t="s">
        <v>178</v>
      </c>
      <c r="G27" t="s">
        <v>179</v>
      </c>
      <c r="H27" t="s">
        <v>180</v>
      </c>
      <c r="I27" t="s">
        <v>181</v>
      </c>
      <c r="J27" t="s">
        <v>182</v>
      </c>
      <c r="K27" t="s">
        <v>183</v>
      </c>
      <c r="L27" t="s">
        <v>184</v>
      </c>
      <c r="M27" t="s">
        <v>185</v>
      </c>
      <c r="N27" t="s">
        <v>186</v>
      </c>
    </row>
    <row r="31" spans="3:18" x14ac:dyDescent="0.15">
      <c r="C31">
        <v>-3</v>
      </c>
      <c r="D31" t="s">
        <v>175</v>
      </c>
    </row>
    <row r="32" spans="3:18" x14ac:dyDescent="0.15">
      <c r="C32">
        <v>-8</v>
      </c>
      <c r="D32" t="s">
        <v>176</v>
      </c>
    </row>
    <row r="33" spans="3:4" x14ac:dyDescent="0.15">
      <c r="C33">
        <v>-3</v>
      </c>
      <c r="D33" t="s">
        <v>177</v>
      </c>
    </row>
    <row r="34" spans="3:4" x14ac:dyDescent="0.15">
      <c r="C34">
        <v>1</v>
      </c>
      <c r="D34" t="s">
        <v>178</v>
      </c>
    </row>
    <row r="35" spans="3:4" x14ac:dyDescent="0.15">
      <c r="C35">
        <v>3</v>
      </c>
      <c r="D35" t="s">
        <v>179</v>
      </c>
    </row>
    <row r="36" spans="3:4" x14ac:dyDescent="0.15">
      <c r="C36">
        <v>0</v>
      </c>
      <c r="D36" t="s">
        <v>180</v>
      </c>
    </row>
    <row r="37" spans="3:4" x14ac:dyDescent="0.15">
      <c r="C37">
        <v>-3</v>
      </c>
      <c r="D37" t="s">
        <v>181</v>
      </c>
    </row>
    <row r="38" spans="3:4" x14ac:dyDescent="0.15">
      <c r="C38">
        <v>30</v>
      </c>
      <c r="D38" t="s">
        <v>182</v>
      </c>
    </row>
    <row r="39" spans="3:4" x14ac:dyDescent="0.15">
      <c r="C39">
        <v>5</v>
      </c>
      <c r="D39" t="s">
        <v>183</v>
      </c>
    </row>
    <row r="40" spans="3:4" x14ac:dyDescent="0.15">
      <c r="C40">
        <v>-10</v>
      </c>
      <c r="D40" t="s">
        <v>184</v>
      </c>
    </row>
    <row r="41" spans="3:4" x14ac:dyDescent="0.15">
      <c r="C41">
        <v>3</v>
      </c>
      <c r="D41" t="s">
        <v>185</v>
      </c>
    </row>
    <row r="42" spans="3:4" x14ac:dyDescent="0.15">
      <c r="C42">
        <v>138</v>
      </c>
      <c r="D42" t="s">
        <v>186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83</v>
      </c>
      <c r="B1" s="8" t="s">
        <v>84</v>
      </c>
      <c r="C1" s="8" t="s">
        <v>85</v>
      </c>
    </row>
    <row r="2" spans="1:3" x14ac:dyDescent="0.15">
      <c r="A2" s="1">
        <v>5</v>
      </c>
      <c r="B2" s="10" t="s">
        <v>58</v>
      </c>
      <c r="C2" s="1">
        <v>0</v>
      </c>
    </row>
    <row r="3" spans="1:3" x14ac:dyDescent="0.15">
      <c r="A3" s="1">
        <v>9</v>
      </c>
      <c r="B3" s="11" t="s">
        <v>41</v>
      </c>
      <c r="C3" s="1">
        <v>0</v>
      </c>
    </row>
    <row r="4" spans="1:3" x14ac:dyDescent="0.15">
      <c r="A4" s="1">
        <v>10</v>
      </c>
      <c r="B4" s="11" t="s">
        <v>7</v>
      </c>
      <c r="C4" s="1">
        <v>0</v>
      </c>
    </row>
    <row r="5" spans="1:3" x14ac:dyDescent="0.15">
      <c r="A5" s="1">
        <v>4</v>
      </c>
      <c r="B5" s="10" t="s">
        <v>55</v>
      </c>
      <c r="C5" s="1">
        <v>2</v>
      </c>
    </row>
    <row r="6" spans="1:3" x14ac:dyDescent="0.15">
      <c r="A6" s="1">
        <v>8</v>
      </c>
      <c r="B6" s="11" t="s">
        <v>6</v>
      </c>
      <c r="C6" s="1">
        <v>3</v>
      </c>
    </row>
    <row r="7" spans="1:3" x14ac:dyDescent="0.15">
      <c r="A7" s="1">
        <v>12</v>
      </c>
      <c r="B7" s="11" t="s">
        <v>11</v>
      </c>
      <c r="C7" s="1">
        <v>3</v>
      </c>
    </row>
    <row r="8" spans="1:3" x14ac:dyDescent="0.15">
      <c r="A8" s="1">
        <v>1</v>
      </c>
      <c r="B8" s="10" t="s">
        <v>40</v>
      </c>
      <c r="C8" s="1">
        <v>4</v>
      </c>
    </row>
    <row r="9" spans="1:3" x14ac:dyDescent="0.15">
      <c r="A9" s="1">
        <v>2</v>
      </c>
      <c r="B9" s="10" t="s">
        <v>4</v>
      </c>
      <c r="C9" s="1">
        <v>4</v>
      </c>
    </row>
    <row r="10" spans="1:3" x14ac:dyDescent="0.15">
      <c r="A10" s="1">
        <v>7</v>
      </c>
      <c r="B10" s="11" t="s">
        <v>5</v>
      </c>
      <c r="C10" s="1">
        <v>4</v>
      </c>
    </row>
    <row r="11" spans="1:3" x14ac:dyDescent="0.15">
      <c r="A11" s="1">
        <v>3</v>
      </c>
      <c r="B11" s="10" t="s">
        <v>28</v>
      </c>
      <c r="C11" s="1">
        <v>5</v>
      </c>
    </row>
    <row r="12" spans="1:3" x14ac:dyDescent="0.15">
      <c r="A12" s="1">
        <v>11</v>
      </c>
      <c r="B12" s="11" t="s">
        <v>48</v>
      </c>
      <c r="C12" s="1">
        <v>5</v>
      </c>
    </row>
    <row r="13" spans="1:3" x14ac:dyDescent="0.15">
      <c r="A13" s="1">
        <v>6</v>
      </c>
      <c r="B13" s="10" t="s">
        <v>49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40</v>
      </c>
      <c r="C2">
        <v>0</v>
      </c>
    </row>
    <row r="3" spans="2:3" x14ac:dyDescent="0.15">
      <c r="B3" s="10" t="s">
        <v>4</v>
      </c>
      <c r="C3">
        <v>0</v>
      </c>
    </row>
    <row r="4" spans="2:3" x14ac:dyDescent="0.15">
      <c r="B4" s="10" t="s">
        <v>28</v>
      </c>
      <c r="C4">
        <v>0</v>
      </c>
    </row>
    <row r="5" spans="2:3" x14ac:dyDescent="0.15">
      <c r="B5" s="10" t="s">
        <v>58</v>
      </c>
      <c r="C5">
        <v>0</v>
      </c>
    </row>
    <row r="6" spans="2:3" x14ac:dyDescent="0.15">
      <c r="B6" s="11" t="s">
        <v>41</v>
      </c>
      <c r="C6">
        <v>0</v>
      </c>
    </row>
    <row r="7" spans="2:3" x14ac:dyDescent="0.15">
      <c r="B7" s="11" t="s">
        <v>7</v>
      </c>
      <c r="C7">
        <v>0</v>
      </c>
    </row>
    <row r="8" spans="2:3" x14ac:dyDescent="0.15">
      <c r="B8" s="11" t="s">
        <v>48</v>
      </c>
      <c r="C8">
        <v>0</v>
      </c>
    </row>
    <row r="9" spans="2:3" x14ac:dyDescent="0.15">
      <c r="B9" s="10" t="s">
        <v>55</v>
      </c>
      <c r="C9">
        <v>2</v>
      </c>
    </row>
    <row r="10" spans="2:3" x14ac:dyDescent="0.15">
      <c r="B10" s="11" t="s">
        <v>6</v>
      </c>
      <c r="C10">
        <v>3</v>
      </c>
    </row>
    <row r="11" spans="2:3" x14ac:dyDescent="0.15">
      <c r="B11" s="11" t="s">
        <v>11</v>
      </c>
      <c r="C11">
        <v>3</v>
      </c>
    </row>
    <row r="12" spans="2:3" x14ac:dyDescent="0.15">
      <c r="B12" s="11" t="s">
        <v>5</v>
      </c>
      <c r="C12">
        <v>4</v>
      </c>
    </row>
    <row r="13" spans="2:3" x14ac:dyDescent="0.15">
      <c r="B13" s="10" t="s">
        <v>49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2020-04-20T03:33:38Z</dcterms:modified>
</cp:coreProperties>
</file>