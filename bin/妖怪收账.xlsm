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Sheet1!$A$1:$BU$173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155" i="1"/>
  <c r="BU155" i="1"/>
  <c r="BT12" i="1"/>
  <c r="BU12" i="1"/>
  <c r="BT13" i="1"/>
  <c r="BU13" i="1"/>
  <c r="BT14" i="1"/>
  <c r="BU14" i="1"/>
  <c r="BT15" i="1"/>
  <c r="BU15" i="1"/>
  <c r="BT16" i="1"/>
  <c r="BU16" i="1"/>
  <c r="BT75" i="1"/>
  <c r="BU75" i="1"/>
  <c r="BT17" i="1"/>
  <c r="BU17" i="1"/>
  <c r="BT18" i="1"/>
  <c r="BU18" i="1"/>
  <c r="BT84" i="1"/>
  <c r="BU84" i="1"/>
  <c r="BT19" i="1"/>
  <c r="BU19" i="1"/>
  <c r="BT20" i="1"/>
  <c r="BU20" i="1"/>
  <c r="BT21" i="1"/>
  <c r="BU21" i="1"/>
  <c r="BT22" i="1"/>
  <c r="BU22" i="1"/>
  <c r="BT23" i="1"/>
  <c r="BU23" i="1"/>
  <c r="BT24" i="1"/>
  <c r="BU24" i="1"/>
  <c r="BT25" i="1"/>
  <c r="BU25" i="1"/>
  <c r="BT26" i="1"/>
  <c r="BU26" i="1"/>
  <c r="BT27" i="1"/>
  <c r="BU27" i="1"/>
  <c r="BT28" i="1"/>
  <c r="BU28" i="1"/>
  <c r="BT29" i="1"/>
  <c r="BU29" i="1"/>
  <c r="BT30" i="1"/>
  <c r="BU30" i="1"/>
  <c r="BT31" i="1"/>
  <c r="BU31" i="1"/>
  <c r="BT32" i="1"/>
  <c r="BU32" i="1"/>
  <c r="BT33" i="1"/>
  <c r="BU33" i="1"/>
  <c r="BT34" i="1"/>
  <c r="BU34" i="1"/>
  <c r="BT35" i="1"/>
  <c r="BU35" i="1"/>
  <c r="BT76" i="1"/>
  <c r="BU76" i="1"/>
  <c r="BT77" i="1"/>
  <c r="BU77" i="1"/>
  <c r="BT78" i="1"/>
  <c r="BU78" i="1"/>
  <c r="BT85" i="1"/>
  <c r="BU85" i="1"/>
  <c r="BT36" i="1"/>
  <c r="BU36" i="1"/>
  <c r="BT37" i="1"/>
  <c r="BU37" i="1"/>
  <c r="BT86" i="1"/>
  <c r="BU86" i="1"/>
  <c r="BT38" i="1"/>
  <c r="BU38" i="1"/>
  <c r="BT87" i="1"/>
  <c r="BU87" i="1"/>
  <c r="BT88" i="1"/>
  <c r="BU88" i="1"/>
  <c r="BT79" i="1"/>
  <c r="BU79" i="1"/>
  <c r="BT39" i="1"/>
  <c r="BU39" i="1"/>
  <c r="BT40" i="1"/>
  <c r="BU40" i="1"/>
  <c r="BT41" i="1"/>
  <c r="BU41" i="1"/>
  <c r="BT42" i="1"/>
  <c r="BU42" i="1"/>
  <c r="BT43" i="1"/>
  <c r="BU43" i="1"/>
  <c r="BT44" i="1"/>
  <c r="BU44" i="1"/>
  <c r="BT45" i="1"/>
  <c r="BU45" i="1"/>
  <c r="BT46" i="1"/>
  <c r="BU46" i="1"/>
  <c r="BT47" i="1"/>
  <c r="BU47" i="1"/>
  <c r="BT48" i="1"/>
  <c r="BU48" i="1"/>
  <c r="BT49" i="1"/>
  <c r="BU49" i="1"/>
  <c r="BT50" i="1"/>
  <c r="BU50" i="1"/>
  <c r="BT51" i="1"/>
  <c r="BU51" i="1"/>
  <c r="BT52" i="1"/>
  <c r="BU52" i="1"/>
  <c r="BT109" i="1"/>
  <c r="BU109" i="1"/>
  <c r="BT110" i="1"/>
  <c r="BU110" i="1"/>
  <c r="BT111" i="1"/>
  <c r="BU111" i="1"/>
  <c r="BT112" i="1"/>
  <c r="BU112" i="1"/>
  <c r="BT53" i="1"/>
  <c r="BU53" i="1"/>
  <c r="BT54" i="1"/>
  <c r="BU54" i="1"/>
  <c r="BT55" i="1"/>
  <c r="BU55" i="1"/>
  <c r="BT56" i="1"/>
  <c r="BU56" i="1"/>
  <c r="BT57" i="1"/>
  <c r="BU57" i="1"/>
  <c r="BT58" i="1"/>
  <c r="BU58" i="1"/>
  <c r="BT59" i="1"/>
  <c r="BU59" i="1"/>
  <c r="BT60" i="1"/>
  <c r="BU60" i="1"/>
  <c r="BT61" i="1"/>
  <c r="BU61" i="1"/>
  <c r="BT62" i="1"/>
  <c r="BU62" i="1"/>
  <c r="BT63" i="1"/>
  <c r="BU63" i="1"/>
  <c r="BT113" i="1"/>
  <c r="BU113" i="1"/>
  <c r="BT64" i="1"/>
  <c r="BU64" i="1"/>
  <c r="BT80" i="1"/>
  <c r="BU80" i="1"/>
  <c r="BT65" i="1"/>
  <c r="BU65" i="1"/>
  <c r="BT66" i="1"/>
  <c r="BU66" i="1"/>
  <c r="BT67" i="1"/>
  <c r="BU67" i="1"/>
  <c r="BT81" i="1"/>
  <c r="BU81" i="1"/>
  <c r="BT68" i="1"/>
  <c r="BU68" i="1"/>
  <c r="BT89" i="1"/>
  <c r="BU89" i="1"/>
  <c r="BT69" i="1"/>
  <c r="BU69" i="1"/>
  <c r="BT90" i="1"/>
  <c r="BU90" i="1"/>
  <c r="BT70" i="1"/>
  <c r="BU70" i="1"/>
  <c r="BT71" i="1"/>
  <c r="BU71" i="1"/>
  <c r="BT72" i="1"/>
  <c r="BU72" i="1"/>
  <c r="BT91" i="1"/>
  <c r="BU91" i="1"/>
  <c r="BT73" i="1"/>
  <c r="BU73" i="1"/>
  <c r="BT123" i="1"/>
  <c r="BU123" i="1"/>
  <c r="BT114" i="1"/>
  <c r="BU114" i="1"/>
  <c r="BT82" i="1"/>
  <c r="BU82" i="1"/>
  <c r="BT83" i="1"/>
  <c r="BU83" i="1"/>
  <c r="BT74" i="1"/>
  <c r="BU74" i="1"/>
  <c r="BT92" i="1"/>
  <c r="BU92" i="1"/>
  <c r="BT93" i="1"/>
  <c r="BU93" i="1"/>
  <c r="BT94" i="1"/>
  <c r="BU94" i="1"/>
  <c r="BT103" i="1"/>
  <c r="BU103" i="1"/>
  <c r="BT95" i="1"/>
  <c r="BU95" i="1"/>
  <c r="BT96" i="1"/>
  <c r="BU96" i="1"/>
  <c r="BT106" i="1"/>
  <c r="BU106" i="1"/>
  <c r="BT97" i="1"/>
  <c r="BU97" i="1"/>
  <c r="BT98" i="1"/>
  <c r="BU98" i="1"/>
  <c r="BT99" i="1"/>
  <c r="BU99" i="1"/>
  <c r="BT100" i="1"/>
  <c r="BU100" i="1"/>
  <c r="BT101" i="1"/>
  <c r="BU101" i="1"/>
  <c r="BT102" i="1"/>
  <c r="BU102" i="1"/>
  <c r="BT104" i="1"/>
  <c r="BU104" i="1"/>
  <c r="BT105" i="1"/>
  <c r="BU105" i="1"/>
  <c r="BT135" i="1"/>
  <c r="BU135" i="1"/>
  <c r="BT136" i="1"/>
  <c r="BU136" i="1"/>
  <c r="BT137" i="1"/>
  <c r="BU137" i="1"/>
  <c r="BT138" i="1"/>
  <c r="BU138" i="1"/>
  <c r="BT139" i="1"/>
  <c r="BU139" i="1"/>
  <c r="BT140" i="1"/>
  <c r="BU140" i="1"/>
  <c r="BT107" i="1"/>
  <c r="BU107" i="1"/>
  <c r="BT141" i="1"/>
  <c r="BU141" i="1"/>
  <c r="BT116" i="1"/>
  <c r="BU116" i="1"/>
  <c r="BT117" i="1"/>
  <c r="BU117" i="1"/>
  <c r="BT108" i="1"/>
  <c r="BU108" i="1"/>
  <c r="BT115" i="1"/>
  <c r="BU115" i="1"/>
  <c r="BT118" i="1"/>
  <c r="BU118" i="1"/>
  <c r="BT119" i="1"/>
  <c r="BU119" i="1"/>
  <c r="BT120" i="1"/>
  <c r="BU120" i="1"/>
  <c r="BT121" i="1"/>
  <c r="BU121" i="1"/>
  <c r="BT122" i="1"/>
  <c r="BU122" i="1"/>
  <c r="BT125" i="1"/>
  <c r="BU125" i="1"/>
  <c r="BT126" i="1"/>
  <c r="BU126" i="1"/>
  <c r="BT124" i="1"/>
  <c r="BU124" i="1"/>
  <c r="BT127" i="1"/>
  <c r="BU127" i="1"/>
  <c r="BT128" i="1"/>
  <c r="BU128" i="1"/>
  <c r="BT129" i="1"/>
  <c r="BU129" i="1"/>
  <c r="BT130" i="1"/>
  <c r="BU130" i="1"/>
  <c r="BT131" i="1"/>
  <c r="BU131" i="1"/>
  <c r="BT132" i="1"/>
  <c r="BU132" i="1"/>
  <c r="BT133" i="1"/>
  <c r="BU133" i="1"/>
  <c r="BT142" i="1"/>
  <c r="BU142" i="1"/>
  <c r="BT143" i="1"/>
  <c r="BU143" i="1"/>
  <c r="BT144" i="1"/>
  <c r="BU144" i="1"/>
  <c r="BT145" i="1"/>
  <c r="BU145" i="1"/>
  <c r="BT134" i="1"/>
  <c r="BU134" i="1"/>
  <c r="BT158" i="1"/>
  <c r="BU158" i="1"/>
  <c r="BT146" i="1"/>
  <c r="BU146" i="1"/>
  <c r="BT147" i="1"/>
  <c r="BU147" i="1"/>
  <c r="BT148" i="1"/>
  <c r="BU148" i="1"/>
  <c r="BT149" i="1"/>
  <c r="BU149" i="1"/>
  <c r="BT151" i="1"/>
  <c r="BU151" i="1"/>
  <c r="BT152" i="1"/>
  <c r="BU152" i="1"/>
  <c r="BT153" i="1"/>
  <c r="BU153" i="1"/>
  <c r="BT154" i="1"/>
  <c r="BU154" i="1"/>
  <c r="BT156" i="1"/>
  <c r="BU156" i="1"/>
  <c r="BT157" i="1"/>
  <c r="BU157" i="1"/>
  <c r="BT159" i="1"/>
  <c r="BU159" i="1"/>
  <c r="BT160" i="1"/>
  <c r="BU160" i="1"/>
  <c r="BT161" i="1"/>
  <c r="BU161" i="1"/>
  <c r="BT162" i="1"/>
  <c r="BU162" i="1"/>
  <c r="BT150" i="1"/>
  <c r="BU150" i="1"/>
  <c r="BT163" i="1"/>
  <c r="BU163" i="1"/>
  <c r="BT164" i="1"/>
  <c r="BU164" i="1"/>
  <c r="BT165" i="1"/>
  <c r="BU165" i="1"/>
  <c r="BP72" i="1"/>
  <c r="BP91" i="1"/>
  <c r="BP141" i="1"/>
  <c r="BP73" i="1"/>
  <c r="BP123" i="1"/>
  <c r="BP114" i="1"/>
  <c r="BP57" i="1" l="1"/>
  <c r="BP58" i="1"/>
  <c r="BP59" i="1"/>
  <c r="BP60" i="1"/>
  <c r="BP61" i="1"/>
  <c r="BP133" i="1"/>
  <c r="BP62" i="1"/>
  <c r="BP63" i="1"/>
  <c r="BP113" i="1"/>
  <c r="BP64" i="1"/>
  <c r="BP80" i="1"/>
  <c r="BP144" i="1"/>
  <c r="BP65" i="1"/>
  <c r="BP66" i="1"/>
  <c r="BP117" i="1"/>
  <c r="BP67" i="1"/>
  <c r="BP81" i="1"/>
  <c r="BP161" i="1"/>
  <c r="BP68" i="1"/>
  <c r="BP89" i="1"/>
  <c r="BP139" i="1"/>
  <c r="BP69" i="1"/>
  <c r="BP90" i="1"/>
  <c r="BP140" i="1"/>
  <c r="BP70" i="1"/>
  <c r="BP71" i="1"/>
  <c r="BP145" i="1"/>
  <c r="BP108" i="1" l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60" i="1" l="1"/>
  <c r="BP54" i="1"/>
  <c r="BP116" i="1"/>
  <c r="BP138" i="1"/>
  <c r="BP110" i="1"/>
  <c r="BP111" i="1"/>
  <c r="BP112" i="1"/>
  <c r="BP109" i="1"/>
  <c r="BP134" i="1"/>
  <c r="BP146" i="1"/>
  <c r="BP143" i="1"/>
  <c r="BP49" i="1"/>
  <c r="BP50" i="1"/>
  <c r="BP51" i="1"/>
  <c r="BP52" i="1"/>
  <c r="BP53" i="1"/>
  <c r="BP130" i="1"/>
  <c r="BP131" i="1"/>
  <c r="BP25" i="1"/>
  <c r="BP124" i="1"/>
  <c r="BP132" i="1"/>
  <c r="BP92" i="1"/>
  <c r="BP46" i="1"/>
  <c r="BP86" i="1"/>
  <c r="BP38" i="1"/>
  <c r="BP87" i="1"/>
  <c r="BP88" i="1"/>
  <c r="BP47" i="1"/>
  <c r="BP23" i="1"/>
  <c r="BP79" i="1"/>
  <c r="BP42" i="1"/>
  <c r="BP18" i="1"/>
  <c r="BP84" i="1"/>
  <c r="BP19" i="1"/>
  <c r="BP20" i="1"/>
  <c r="BP55" i="1"/>
  <c r="BP21" i="1"/>
  <c r="BP43" i="1"/>
  <c r="BP22" i="1"/>
  <c r="BP31" i="1"/>
  <c r="BP155" i="1"/>
  <c r="BP32" i="1"/>
  <c r="BP33" i="1"/>
  <c r="BP34" i="1"/>
  <c r="BP35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E170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E169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C166" i="1"/>
  <c r="AX166" i="1"/>
  <c r="AY166" i="1"/>
  <c r="AZ166" i="1"/>
  <c r="BA166" i="1"/>
  <c r="BB166" i="1"/>
  <c r="AW166" i="1"/>
  <c r="AR166" i="1"/>
  <c r="AS166" i="1"/>
  <c r="AT166" i="1"/>
  <c r="AU166" i="1"/>
  <c r="AV166" i="1"/>
  <c r="AQ166" i="1"/>
  <c r="AF166" i="1"/>
  <c r="AG166" i="1"/>
  <c r="AH166" i="1"/>
  <c r="AI166" i="1"/>
  <c r="AJ166" i="1"/>
  <c r="AK166" i="1"/>
  <c r="AL166" i="1"/>
  <c r="AM166" i="1"/>
  <c r="AN166" i="1"/>
  <c r="AO166" i="1"/>
  <c r="AP166" i="1"/>
  <c r="AE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P166" i="1"/>
  <c r="F166" i="1"/>
  <c r="G166" i="1"/>
  <c r="H166" i="1"/>
  <c r="I166" i="1"/>
  <c r="J166" i="1"/>
  <c r="K166" i="1"/>
  <c r="L166" i="1"/>
  <c r="M166" i="1"/>
  <c r="N166" i="1"/>
  <c r="O166" i="1"/>
  <c r="E166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26" i="1"/>
  <c r="BP8" i="1"/>
  <c r="BP94" i="1"/>
  <c r="CJ2" i="8" l="1"/>
  <c r="CK2" i="8"/>
  <c r="CR4" i="8"/>
  <c r="CN2" i="8"/>
  <c r="CM2" i="8"/>
  <c r="CG2" i="8"/>
  <c r="CH2" i="8"/>
  <c r="CL2" i="8"/>
  <c r="CQ2" i="8"/>
  <c r="CI2" i="8"/>
  <c r="CO2" i="8"/>
  <c r="CP2" i="8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A171" i="1"/>
  <c r="BB171" i="1"/>
  <c r="BA172" i="1"/>
  <c r="BB172" i="1"/>
  <c r="AQ171" i="1"/>
  <c r="AR171" i="1"/>
  <c r="AS171" i="1"/>
  <c r="AT171" i="1"/>
  <c r="AU171" i="1"/>
  <c r="AV171" i="1"/>
  <c r="AW171" i="1"/>
  <c r="AX171" i="1"/>
  <c r="AY171" i="1"/>
  <c r="AZ171" i="1"/>
  <c r="AQ172" i="1"/>
  <c r="AR172" i="1"/>
  <c r="AS172" i="1"/>
  <c r="AT172" i="1"/>
  <c r="AU172" i="1"/>
  <c r="AV172" i="1"/>
  <c r="AW172" i="1"/>
  <c r="AX172" i="1"/>
  <c r="AY172" i="1"/>
  <c r="AZ172" i="1"/>
  <c r="AI171" i="1"/>
  <c r="AJ171" i="1"/>
  <c r="AK171" i="1"/>
  <c r="AL171" i="1"/>
  <c r="AM171" i="1"/>
  <c r="AN171" i="1"/>
  <c r="AO171" i="1"/>
  <c r="AP171" i="1"/>
  <c r="AI172" i="1"/>
  <c r="AJ172" i="1"/>
  <c r="AK172" i="1"/>
  <c r="AL172" i="1"/>
  <c r="AM172" i="1"/>
  <c r="AN172" i="1"/>
  <c r="AO172" i="1"/>
  <c r="AP172" i="1"/>
  <c r="AC171" i="1"/>
  <c r="AD171" i="1"/>
  <c r="AE171" i="1"/>
  <c r="AF171" i="1"/>
  <c r="AG171" i="1"/>
  <c r="AH171" i="1"/>
  <c r="AC172" i="1"/>
  <c r="AD172" i="1"/>
  <c r="AE172" i="1"/>
  <c r="AF172" i="1"/>
  <c r="AG172" i="1"/>
  <c r="AH172" i="1"/>
  <c r="W171" i="1"/>
  <c r="X171" i="1"/>
  <c r="Y171" i="1"/>
  <c r="Z171" i="1"/>
  <c r="AA171" i="1"/>
  <c r="AB171" i="1"/>
  <c r="W172" i="1"/>
  <c r="X172" i="1"/>
  <c r="Y172" i="1"/>
  <c r="Z172" i="1"/>
  <c r="AA172" i="1"/>
  <c r="AB172" i="1"/>
  <c r="P171" i="1"/>
  <c r="Q171" i="1"/>
  <c r="R171" i="1"/>
  <c r="S171" i="1"/>
  <c r="T171" i="1"/>
  <c r="U171" i="1"/>
  <c r="V171" i="1"/>
  <c r="P172" i="1"/>
  <c r="Q172" i="1"/>
  <c r="R172" i="1"/>
  <c r="S172" i="1"/>
  <c r="T172" i="1"/>
  <c r="U172" i="1"/>
  <c r="V172" i="1"/>
  <c r="G171" i="1"/>
  <c r="H171" i="1"/>
  <c r="I171" i="1"/>
  <c r="J171" i="1"/>
  <c r="K171" i="1"/>
  <c r="L171" i="1"/>
  <c r="M171" i="1"/>
  <c r="N171" i="1"/>
  <c r="O171" i="1"/>
  <c r="G172" i="1"/>
  <c r="H172" i="1"/>
  <c r="I172" i="1"/>
  <c r="J172" i="1"/>
  <c r="K172" i="1"/>
  <c r="L172" i="1"/>
  <c r="M172" i="1"/>
  <c r="N172" i="1"/>
  <c r="O172" i="1"/>
  <c r="F171" i="1"/>
  <c r="F172" i="1"/>
  <c r="E172" i="1"/>
  <c r="E171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97" i="1"/>
  <c r="BP93" i="1"/>
  <c r="BP98" i="1"/>
  <c r="BP99" i="1"/>
  <c r="BP82" i="1"/>
  <c r="BP83" i="1"/>
  <c r="BP100" i="1"/>
  <c r="BP101" i="1"/>
  <c r="BP24" i="1"/>
  <c r="BP6" i="1"/>
  <c r="BP11" i="1"/>
  <c r="BP119" i="1"/>
  <c r="BP121" i="1"/>
  <c r="BP122" i="1"/>
  <c r="BP125" i="1"/>
  <c r="BP104" i="1"/>
  <c r="BP9" i="1"/>
  <c r="BP127" i="1"/>
  <c r="BP76" i="1"/>
  <c r="BP77" i="1"/>
  <c r="BP78" i="1"/>
  <c r="BP85" i="1"/>
  <c r="BP105" i="1"/>
  <c r="BP128" i="1"/>
  <c r="BP129" i="1"/>
  <c r="BP118" i="1"/>
  <c r="BP95" i="1"/>
  <c r="BP96" i="1"/>
  <c r="BP48" i="1"/>
  <c r="BP74" i="1"/>
  <c r="BP75" i="1"/>
  <c r="BP106" i="1"/>
  <c r="BP36" i="1"/>
  <c r="BP37" i="1"/>
  <c r="BP103" i="1"/>
  <c r="BP102" i="1"/>
  <c r="BP156" i="1"/>
  <c r="BP157" i="1"/>
  <c r="BP7" i="1"/>
  <c r="BP135" i="1"/>
  <c r="BP136" i="1"/>
  <c r="BP137" i="1"/>
  <c r="BP115" i="1"/>
  <c r="BP147" i="1"/>
  <c r="BP150" i="1"/>
  <c r="BP149" i="1"/>
  <c r="BP17" i="1"/>
  <c r="BP56" i="1"/>
  <c r="BP107" i="1"/>
  <c r="BP12" i="1"/>
  <c r="BP13" i="1"/>
  <c r="BP14" i="1"/>
  <c r="BP15" i="1"/>
  <c r="BP16" i="1"/>
  <c r="BP39" i="1"/>
  <c r="BP40" i="1"/>
  <c r="BP41" i="1"/>
  <c r="BP44" i="1"/>
  <c r="BP45" i="1"/>
  <c r="BP159" i="1"/>
  <c r="BP142" i="1"/>
  <c r="BP158" i="1"/>
  <c r="BP26" i="1"/>
  <c r="BP27" i="1"/>
  <c r="BP28" i="1"/>
  <c r="BP29" i="1"/>
  <c r="BP30" i="1"/>
  <c r="BP120" i="1"/>
  <c r="BP148" i="1"/>
  <c r="BP151" i="1"/>
  <c r="BP152" i="1"/>
  <c r="BP153" i="1"/>
  <c r="BP154" i="1"/>
  <c r="BP163" i="1"/>
  <c r="BP164" i="1"/>
  <c r="BP165" i="1"/>
  <c r="BP162" i="1" l="1"/>
  <c r="BM168" i="1" l="1"/>
  <c r="AM168" i="1"/>
  <c r="L168" i="1"/>
  <c r="BK168" i="1"/>
  <c r="AJ168" i="1"/>
  <c r="BH168" i="1"/>
  <c r="AH168" i="1"/>
  <c r="AL168" i="1"/>
  <c r="BD168" i="1"/>
  <c r="BL168" i="1"/>
  <c r="J168" i="1"/>
  <c r="H168" i="1"/>
  <c r="G168" i="1"/>
  <c r="BG168" i="1"/>
  <c r="AE168" i="1"/>
  <c r="F168" i="1"/>
  <c r="BJ168" i="1"/>
  <c r="AI168" i="1"/>
  <c r="I168" i="1"/>
  <c r="AG168" i="1"/>
  <c r="BE168" i="1"/>
  <c r="AF168" i="1"/>
  <c r="BF168" i="1"/>
  <c r="O168" i="1"/>
  <c r="BO168" i="1"/>
  <c r="N168" i="1"/>
  <c r="K168" i="1"/>
  <c r="AK168" i="1"/>
  <c r="BI168" i="1"/>
  <c r="E168" i="1"/>
  <c r="BN168" i="1"/>
  <c r="AN168" i="1"/>
  <c r="M168" i="1"/>
  <c r="AP168" i="1"/>
  <c r="BC168" i="1"/>
  <c r="AO168" i="1"/>
  <c r="V168" i="1"/>
  <c r="Y168" i="1"/>
  <c r="W168" i="1"/>
  <c r="S168" i="1"/>
  <c r="X168" i="1"/>
  <c r="R168" i="1"/>
  <c r="Z168" i="1"/>
  <c r="U168" i="1"/>
  <c r="T168" i="1"/>
  <c r="AC168" i="1"/>
  <c r="Q168" i="1"/>
  <c r="AB168" i="1"/>
  <c r="P168" i="1"/>
  <c r="AA168" i="1"/>
  <c r="AD168" i="1"/>
  <c r="AR168" i="1" l="1"/>
  <c r="AU168" i="1"/>
  <c r="BB168" i="1"/>
  <c r="AS168" i="1"/>
  <c r="AW168" i="1"/>
  <c r="AT168" i="1"/>
  <c r="AY168" i="1"/>
  <c r="AZ168" i="1"/>
  <c r="AV168" i="1"/>
  <c r="AQ168" i="1"/>
  <c r="AX168" i="1"/>
  <c r="BA168" i="1"/>
</calcChain>
</file>

<file path=xl/sharedStrings.xml><?xml version="1.0" encoding="utf-8"?>
<sst xmlns="http://schemas.openxmlformats.org/spreadsheetml/2006/main" count="896" uniqueCount="310">
  <si>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</si>
  <si>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</si>
  <si>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</si>
  <si>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</si>
  <si>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</si>
  <si>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</si>
  <si>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</si>
  <si>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</si>
  <si>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</si>
  <si>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</si>
  <si>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</si>
  <si>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</si>
  <si>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</si>
  <si>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</si>
  <si>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</si>
  <si>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</si>
  <si>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</si>
  <si>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</si>
  <si>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</si>
  <si>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</si>
  <si>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</si>
  <si>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</si>
  <si>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</si>
  <si>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</si>
  <si>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</si>
  <si>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</si>
  <si>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</si>
  <si>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</si>
  <si>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</si>
  <si>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</si>
  <si>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</si>
  <si>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</si>
  <si>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</si>
  <si>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</si>
  <si>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</si>
  <si>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</si>
  <si>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</si>
  <si>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</si>
  <si>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</si>
  <si>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</si>
  <si>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</si>
  <si>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</si>
  <si>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</si>
  <si>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</si>
  <si>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</si>
  <si>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</si>
  <si>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</si>
  <si>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</si>
  <si>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</si>
  <si>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</si>
  <si>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</si>
  <si>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</si>
  <si>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</si>
  <si>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</si>
  <si>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</si>
  <si>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</si>
  <si>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</si>
  <si>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</si>
  <si>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</si>
  <si>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</si>
  <si>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</si>
  <si>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</si>
  <si>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</si>
  <si>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</si>
  <si>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</si>
  <si>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</si>
  <si>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</si>
  <si>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</si>
  <si>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</si>
  <si>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</si>
  <si>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</si>
  <si>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</si>
  <si>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</si>
  <si>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</si>
  <si>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</si>
  <si>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</si>
  <si>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</si>
  <si>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</si>
  <si>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</si>
  <si>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</si>
  <si>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</si>
  <si>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</si>
  <si>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</si>
  <si>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</si>
  <si>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</si>
  <si>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</si>
  <si>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</si>
  <si>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</si>
  <si>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</si>
  <si>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</si>
  <si>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</si>
  <si>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</si>
  <si>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</si>
  <si>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</si>
  <si>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</si>
  <si>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</si>
  <si>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</si>
  <si>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</si>
  <si>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</si>
  <si>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</si>
  <si>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</si>
  <si>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</si>
  <si>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</si>
  <si>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</si>
  <si>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</si>
  <si>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</si>
  <si>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</si>
  <si>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</si>
  <si>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</si>
  <si>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</si>
  <si>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</si>
  <si>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</si>
  <si>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</si>
  <si>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</si>
  <si>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</si>
  <si>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</si>
  <si>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</si>
  <si>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</si>
  <si>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</si>
  <si>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</si>
  <si>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</si>
  <si>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</si>
  <si>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</si>
  <si>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</si>
  <si>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</si>
  <si>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</si>
  <si>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</si>
  <si>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</si>
  <si>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</si>
  <si>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</si>
  <si>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</si>
  <si>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</si>
  <si>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</si>
  <si>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</si>
  <si>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</si>
  <si>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</si>
  <si>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</si>
  <si>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</si>
  <si>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</si>
  <si>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</si>
  <si>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</si>
  <si>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</si>
  <si>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</si>
  <si>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</si>
  <si>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</si>
  <si>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</si>
  <si>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</si>
  <si>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</si>
  <si>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</si>
  <si>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</si>
  <si>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</si>
  <si>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</si>
  <si>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</si>
  <si>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</si>
  <si>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</si>
  <si>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</si>
  <si>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</si>
  <si>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</si>
  <si>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</si>
  <si>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</si>
  <si>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</si>
  <si>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</si>
  <si>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</si>
  <si>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</si>
  <si>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</si>
  <si>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</si>
  <si>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</si>
  <si>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</si>
  <si>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</si>
  <si>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</si>
  <si>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</si>
  <si>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</si>
  <si>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</si>
  <si>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</si>
  <si>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</si>
  <si>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</si>
  <si>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</si>
  <si>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</si>
  <si>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</si>
  <si>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</si>
  <si>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</si>
  <si>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</si>
  <si>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</si>
  <si>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</si>
  <si>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</si>
  <si>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</si>
  <si>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</si>
  <si>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</si>
  <si>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</si>
  <si>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</si>
  <si>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</si>
  <si>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</si>
  <si>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</si>
  <si>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</si>
  <si>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</si>
  <si>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</si>
  <si>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</si>
  <si>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</si>
  <si>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</si>
  <si>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</si>
  <si>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</si>
  <si>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</si>
  <si>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</si>
  <si>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</si>
  <si>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</si>
  <si>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</si>
  <si>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</si>
  <si>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</si>
  <si>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</si>
  <si>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</si>
  <si>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</si>
  <si>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</si>
  <si>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</si>
  <si>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</si>
  <si>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</si>
  <si>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</si>
  <si>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</si>
  <si>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</si>
  <si>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</si>
  <si>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</si>
  <si>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</si>
  <si>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</si>
  <si>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</si>
  <si>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</si>
  <si>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</si>
  <si>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</si>
  <si>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</si>
  <si>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</si>
  <si>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</si>
  <si>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</si>
  <si>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</si>
  <si>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</si>
  <si>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</si>
  <si>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</si>
  <si>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</si>
  <si>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</si>
  <si>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</si>
  <si>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</si>
  <si>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</si>
  <si>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</si>
  <si>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桂花(5),</t>
    <phoneticPr fontId="1" type="noConversion"/>
  </si>
  <si>
    <t>无双小狮妹</t>
    <phoneticPr fontId="1" type="noConversion"/>
  </si>
  <si>
    <t>幻</t>
    <phoneticPr fontId="1" type="noConversion"/>
  </si>
  <si>
    <t>螃蟹(5),</t>
    <phoneticPr fontId="1" type="noConversion"/>
  </si>
  <si>
    <t>神农鼎(10),</t>
    <phoneticPr fontId="1" type="noConversion"/>
  </si>
  <si>
    <t>超进阶素材光(45),_x000D_
超进阶素材暗(45),</t>
    <phoneticPr fontId="1" type="noConversion"/>
  </si>
  <si>
    <t>糯米(10),_x000D_
粽叶(10),</t>
    <phoneticPr fontId="1" type="noConversion"/>
  </si>
  <si>
    <t>糯米(3),</t>
    <phoneticPr fontId="1" type="noConversion"/>
  </si>
  <si>
    <t>女娲石(4),</t>
    <phoneticPr fontId="1" type="noConversion"/>
  </si>
  <si>
    <t>桂花酒(5),</t>
    <phoneticPr fontId="1" type="noConversion"/>
  </si>
  <si>
    <t>神农鼎(5),</t>
    <phoneticPr fontId="1" type="noConversion"/>
  </si>
  <si>
    <t>神农鼎(6),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</si>
  <si>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</si>
  <si>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</si>
  <si>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</si>
  <si>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</si>
  <si>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</si>
  <si>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</si>
  <si>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</si>
  <si>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</si>
  <si>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</si>
  <si>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</si>
  <si>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</si>
  <si>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</si>
  <si>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</si>
  <si>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</si>
  <si>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</si>
  <si>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</si>
  <si>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彗星(1),</t>
    <phoneticPr fontId="1" type="noConversion"/>
  </si>
  <si>
    <t>仙丹(2),</t>
    <phoneticPr fontId="1" type="noConversion"/>
  </si>
  <si>
    <t>彗星(11),</t>
    <phoneticPr fontId="1" type="noConversion"/>
  </si>
  <si>
    <t>糯米(3),_x000D_
粽叶(5),</t>
    <phoneticPr fontId="1" type="noConversion"/>
  </si>
  <si>
    <t>女娲石(9),</t>
    <phoneticPr fontId="1" type="noConversion"/>
  </si>
  <si>
    <t>神农鼎(15),</t>
    <phoneticPr fontId="1" type="noConversion"/>
  </si>
  <si>
    <t>女娲石(4),_x000D_
彗星(21),</t>
    <phoneticPr fontId="1" type="noConversion"/>
  </si>
  <si>
    <t>神农鼎(7),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</si>
  <si>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</si>
  <si>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</si>
  <si>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神农鼎(15),</t>
    <phoneticPr fontId="1" type="noConversion"/>
  </si>
  <si>
    <t>超进阶素材火(13),_x000D_
超进阶素材光(45),_x000D_
超进阶素材暗(45),</t>
    <phoneticPr fontId="1" type="noConversion"/>
  </si>
  <si>
    <t>七万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</si>
  <si>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</si>
  <si>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</si>
  <si>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</si>
  <si>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</si>
  <si>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魅力符文叉大(7),</t>
    <phoneticPr fontId="1" type="noConversion"/>
  </si>
  <si>
    <t>女娲石(14),_x000D_
神农鼎(20),</t>
    <phoneticPr fontId="1" type="noConversion"/>
  </si>
  <si>
    <t>骰子大(7),</t>
    <phoneticPr fontId="1" type="noConversion"/>
  </si>
  <si>
    <t>欠条大(9),_x000D_
钱袋大(9),</t>
    <phoneticPr fontId="1" type="noConversion"/>
  </si>
  <si>
    <t>骰子大(10),</t>
    <phoneticPr fontId="1" type="noConversion"/>
  </si>
  <si>
    <t>金甲虫(40),</t>
    <phoneticPr fontId="1" type="noConversion"/>
  </si>
  <si>
    <t>女娲石(4),_x000D_
六方天运骰(1),</t>
    <phoneticPr fontId="1" type="noConversion"/>
  </si>
  <si>
    <t>女娲石(4),_x000D_
骰子大(10),</t>
    <phoneticPr fontId="1" type="noConversion"/>
  </si>
  <si>
    <t>欠条大(9),_x000D_
骰子大(10),</t>
    <phoneticPr fontId="1" type="noConversion"/>
  </si>
  <si>
    <t>神农鼎(10),_x000D_
欠条大(9),_x000D_
钱袋大(9),</t>
    <phoneticPr fontId="1" type="noConversion"/>
  </si>
  <si>
    <t>神农鼎(10),_x000D_
欠条大(9),_x000D_
骰子大(10),</t>
    <phoneticPr fontId="1" type="noConversion"/>
  </si>
  <si>
    <t>冲霸</t>
    <phoneticPr fontId="1" type="noConversion"/>
  </si>
  <si>
    <t>欠条大(1),</t>
    <phoneticPr fontId="1" type="noConversion"/>
  </si>
  <si>
    <t>骰子大(2),</t>
    <phoneticPr fontId="1" type="noConversion"/>
  </si>
  <si>
    <t>钱袋大(9),</t>
    <phoneticPr fontId="1" type="noConversion"/>
  </si>
  <si>
    <t>欠条大(1),_x000D_
骰子大(2),</t>
    <phoneticPr fontId="1" type="noConversion"/>
  </si>
  <si>
    <t>秘窟冰晶卵(13),_x000D_
力量符文叉大(11),_x000D_
速度符文叉大(8),</t>
    <phoneticPr fontId="1" type="noConversion"/>
  </si>
  <si>
    <t>武仔</t>
    <phoneticPr fontId="1" type="noConversion"/>
  </si>
  <si>
    <t>钱袋大(1),</t>
    <phoneticPr fontId="1" type="noConversion"/>
  </si>
  <si>
    <t>糯米(2),</t>
    <phoneticPr fontId="1" type="noConversion"/>
  </si>
  <si>
    <t>欠条大(6),</t>
    <phoneticPr fontId="1" type="noConversion"/>
  </si>
  <si>
    <t>金甲虫(190),</t>
    <phoneticPr fontId="1" type="noConversion"/>
  </si>
  <si>
    <t>力量符文叉大(11),_x000D_
技巧符文叉大(16),</t>
    <phoneticPr fontId="1" type="noConversion"/>
  </si>
  <si>
    <t>欠条大(1),_x000D_
钱袋大(1),_x000D_
骰子大(2),</t>
    <phoneticPr fontId="1" type="noConversion"/>
  </si>
  <si>
    <t>超进阶素材火(13),_x000D_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</si>
</sst>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172</xdr:row>
          <xdr:rowOff>28575</xdr:rowOff>
        </xdr:from>
        <xdr:to>
          <xdr:col>1</xdr:col>
          <xdr:colOff>428625</xdr:colOff>
          <xdr:row>173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173"/>
  <sheetViews>
    <sheetView tabSelected="1" workbookViewId="0">
      <pane xSplit="2" ySplit="1" topLeftCell="BL68" activePane="bottomRight" state="frozen"/>
      <selection pane="topRight" activeCell="C1" sqref="C1"/>
      <selection pane="bottomLeft" activeCell="A3" sqref="A3"/>
      <selection pane="bottomRight" activeCell="BM80" sqref="BM80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132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74</v>
      </c>
      <c r="BQ1" s="8" t="s">
        <v>75</v>
      </c>
      <c r="BR1" s="16" t="s">
        <v>76</v>
      </c>
      <c r="BS1" s="16"/>
      <c r="BT1" s="13" t="s">
        <v>238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86</v>
      </c>
      <c r="C3" s="1" t="s">
        <v>87</v>
      </c>
      <c r="D3" s="1" t="s">
        <v>85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147</v>
      </c>
      <c r="C4" s="1" t="s">
        <v>83</v>
      </c>
      <c r="D4" s="1" t="s">
        <v>85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91</v>
      </c>
      <c r="B5" s="3" t="s">
        <v>64</v>
      </c>
      <c r="C5" s="3" t="s">
        <v>63</v>
      </c>
      <c r="D5" s="1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>
        <v>5</v>
      </c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5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s="39" customFormat="1">
      <c r="A6" s="1"/>
      <c r="B6" s="1" t="s">
        <v>154</v>
      </c>
      <c r="C6" s="1" t="s">
        <v>87</v>
      </c>
      <c r="D6" s="1" t="s">
        <v>85</v>
      </c>
      <c r="E6" s="6">
        <v>6</v>
      </c>
      <c r="F6" s="6">
        <v>6</v>
      </c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>
        <v>10</v>
      </c>
      <c r="AT6" s="4"/>
      <c r="AU6" s="4"/>
      <c r="AV6" s="4"/>
      <c r="AW6" s="2"/>
      <c r="AX6" s="2">
        <v>10</v>
      </c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>
        <v>45</v>
      </c>
      <c r="B7" s="1" t="s">
        <v>82</v>
      </c>
      <c r="C7" s="1" t="s">
        <v>36</v>
      </c>
      <c r="D7" s="1" t="s">
        <v>9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>
        <v>10</v>
      </c>
      <c r="AR7" s="4"/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178</v>
      </c>
      <c r="C8" s="1" t="s">
        <v>1</v>
      </c>
      <c r="D8" s="1" t="s">
        <v>177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10</v>
      </c>
      <c r="AS8" s="4"/>
      <c r="AT8" s="4"/>
      <c r="AU8" s="4"/>
      <c r="AV8" s="4"/>
      <c r="AW8" s="2"/>
      <c r="AX8" s="2"/>
      <c r="AY8" s="2"/>
      <c r="AZ8" s="2">
        <v>10</v>
      </c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20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>
      <c r="A9" s="1"/>
      <c r="B9" s="1" t="s">
        <v>172</v>
      </c>
      <c r="C9" s="1" t="s">
        <v>98</v>
      </c>
      <c r="D9" s="1" t="s">
        <v>85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>
      <c r="A10" s="1"/>
      <c r="B10" s="1" t="s">
        <v>179</v>
      </c>
      <c r="C10" s="1" t="s">
        <v>180</v>
      </c>
      <c r="D10" s="1" t="s">
        <v>181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>
        <v>15</v>
      </c>
      <c r="AV10" s="4"/>
      <c r="AW10" s="2"/>
      <c r="AX10" s="2"/>
      <c r="AY10" s="2">
        <v>15</v>
      </c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0</v>
      </c>
      <c r="BU10" s="23">
        <f>AF10+AH10+AI10+AJ10+AO10+AP10</f>
        <v>0</v>
      </c>
    </row>
    <row r="11" spans="1:73" s="49" customFormat="1">
      <c r="A11" s="1"/>
      <c r="B11" s="1" t="s">
        <v>153</v>
      </c>
      <c r="C11" s="1" t="s">
        <v>98</v>
      </c>
      <c r="D11" s="1" t="s">
        <v>84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>
        <f>SUM(P11:AD11)</f>
        <v>0</v>
      </c>
      <c r="BU11" s="23">
        <f>AF11+AH11+AI11+AJ11+AO11+AP11</f>
        <v>0</v>
      </c>
    </row>
    <row r="12" spans="1:73">
      <c r="A12" s="1"/>
      <c r="B12" s="1" t="s">
        <v>112</v>
      </c>
      <c r="C12" s="1" t="s">
        <v>100</v>
      </c>
      <c r="D12" s="1" t="s">
        <v>101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>
        <v>5</v>
      </c>
      <c r="X12" s="28"/>
      <c r="Y12" s="28"/>
      <c r="Z12" s="28"/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0</v>
      </c>
      <c r="BR12" s="17">
        <v>0</v>
      </c>
      <c r="BS12" s="17"/>
      <c r="BT12">
        <f>SUM(P12:AD12)</f>
        <v>35</v>
      </c>
      <c r="BU12" s="23">
        <f>AF12+AH12+AI12+AJ12+AO12+AP12</f>
        <v>0</v>
      </c>
    </row>
    <row r="13" spans="1:73">
      <c r="A13" s="1"/>
      <c r="B13" s="1" t="s">
        <v>117</v>
      </c>
      <c r="C13" s="1" t="s">
        <v>100</v>
      </c>
      <c r="D13" s="1" t="s">
        <v>101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/>
      <c r="W13" s="28">
        <v>5</v>
      </c>
      <c r="X13" s="28"/>
      <c r="Y13" s="28"/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35</v>
      </c>
      <c r="BQ13" s="1">
        <v>0</v>
      </c>
      <c r="BR13" s="17">
        <v>0</v>
      </c>
      <c r="BS13" s="17"/>
      <c r="BT13">
        <f>SUM(P13:AD13)</f>
        <v>35</v>
      </c>
      <c r="BU13" s="23">
        <f>AF13+AH13+AI13+AJ13+AO13+AP13</f>
        <v>0</v>
      </c>
    </row>
    <row r="14" spans="1:73">
      <c r="A14" s="1"/>
      <c r="B14" s="1" t="s">
        <v>121</v>
      </c>
      <c r="C14" s="1" t="s">
        <v>119</v>
      </c>
      <c r="D14" s="1" t="s">
        <v>101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0</v>
      </c>
      <c r="BR14" s="17">
        <v>0</v>
      </c>
      <c r="BS14" s="17"/>
      <c r="BT14">
        <f>SUM(P14:AD14)</f>
        <v>35</v>
      </c>
      <c r="BU14" s="23">
        <f>AF14+AH14+AI14+AJ14+AO14+AP14</f>
        <v>0</v>
      </c>
    </row>
    <row r="15" spans="1:73">
      <c r="A15" s="1"/>
      <c r="B15" s="1" t="s">
        <v>125</v>
      </c>
      <c r="C15" s="1" t="s">
        <v>123</v>
      </c>
      <c r="D15" s="1" t="s">
        <v>101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>
      <c r="A16" s="1"/>
      <c r="B16" s="1" t="s">
        <v>130</v>
      </c>
      <c r="C16" s="1" t="s">
        <v>129</v>
      </c>
      <c r="D16" s="1" t="s">
        <v>101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/>
      <c r="W16" s="28">
        <v>5</v>
      </c>
      <c r="X16" s="28"/>
      <c r="Y16" s="28"/>
      <c r="Z16" s="28"/>
      <c r="AA16" s="28"/>
      <c r="AB16" s="28">
        <v>10</v>
      </c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>
      <c r="A17" s="1"/>
      <c r="B17" s="1" t="s">
        <v>133</v>
      </c>
      <c r="C17" s="1" t="s">
        <v>129</v>
      </c>
      <c r="D17" s="1" t="s">
        <v>103</v>
      </c>
      <c r="E17" s="6"/>
      <c r="F17" s="6"/>
      <c r="G17" s="6">
        <v>5</v>
      </c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5</v>
      </c>
      <c r="W17" s="28"/>
      <c r="X17" s="28"/>
      <c r="Y17" s="28">
        <v>5</v>
      </c>
      <c r="Z17" s="28"/>
      <c r="AA17" s="28"/>
      <c r="AB17" s="28"/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20</v>
      </c>
      <c r="BQ17" s="1">
        <v>0</v>
      </c>
      <c r="BR17" s="17">
        <v>0</v>
      </c>
      <c r="BS17" s="17"/>
      <c r="BT17">
        <f>SUM(P17:AD17)</f>
        <v>15</v>
      </c>
      <c r="BU17" s="23">
        <f>AF17+AH17+AI17+AJ17+AO17+AP17</f>
        <v>0</v>
      </c>
    </row>
    <row r="18" spans="1:73">
      <c r="A18" s="1"/>
      <c r="B18" s="3" t="s">
        <v>205</v>
      </c>
      <c r="C18" s="3" t="s">
        <v>24</v>
      </c>
      <c r="D18" s="1" t="s">
        <v>202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/>
      <c r="W18" s="28">
        <v>5</v>
      </c>
      <c r="X18" s="28"/>
      <c r="Y18" s="28"/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>
      <c r="A19" s="1"/>
      <c r="B19" s="3" t="s">
        <v>208</v>
      </c>
      <c r="C19" s="3" t="s">
        <v>209</v>
      </c>
      <c r="D19" s="1" t="s">
        <v>202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/>
      <c r="W19" s="28">
        <v>5</v>
      </c>
      <c r="X19" s="28"/>
      <c r="Y19" s="28"/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s="23" customFormat="1">
      <c r="A20" s="1"/>
      <c r="B20" s="3" t="s">
        <v>210</v>
      </c>
      <c r="C20" s="3" t="s">
        <v>209</v>
      </c>
      <c r="D20" s="1" t="s">
        <v>202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/>
      <c r="W20" s="28">
        <v>5</v>
      </c>
      <c r="X20" s="28"/>
      <c r="Y20" s="28"/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>
      <c r="A21" s="1"/>
      <c r="B21" s="3" t="s">
        <v>212</v>
      </c>
      <c r="C21" s="3" t="s">
        <v>99</v>
      </c>
      <c r="D21" s="1" t="s">
        <v>202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>
        <v>10</v>
      </c>
      <c r="Q21" s="28"/>
      <c r="R21" s="28"/>
      <c r="S21" s="28">
        <v>10</v>
      </c>
      <c r="T21" s="28"/>
      <c r="U21" s="28"/>
      <c r="V21" s="28"/>
      <c r="W21" s="28">
        <v>5</v>
      </c>
      <c r="X21" s="28"/>
      <c r="Y21" s="28"/>
      <c r="Z21" s="28"/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0</v>
      </c>
      <c r="BR21" s="17">
        <v>0</v>
      </c>
      <c r="BS21" s="17"/>
      <c r="BT21">
        <f>SUM(P21:AD21)</f>
        <v>35</v>
      </c>
      <c r="BU21" s="23">
        <f>AF21+AH21+AI21+AJ21+AO21+AP21</f>
        <v>0</v>
      </c>
    </row>
    <row r="22" spans="1:73">
      <c r="A22" s="1"/>
      <c r="B22" s="3" t="s">
        <v>215</v>
      </c>
      <c r="C22" s="3" t="s">
        <v>99</v>
      </c>
      <c r="D22" s="1" t="s">
        <v>202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0</v>
      </c>
      <c r="BR22" s="17">
        <v>0</v>
      </c>
      <c r="BS22" s="17"/>
      <c r="BT22">
        <f>SUM(P22:AD22)</f>
        <v>35</v>
      </c>
      <c r="BU22" s="23">
        <f>AF22+AH22+AI22+AJ22+AO22+AP22</f>
        <v>0</v>
      </c>
    </row>
    <row r="23" spans="1:73">
      <c r="A23" s="1"/>
      <c r="B23" s="3" t="s">
        <v>214</v>
      </c>
      <c r="C23" s="3" t="s">
        <v>99</v>
      </c>
      <c r="D23" s="1" t="s">
        <v>203</v>
      </c>
      <c r="E23" s="6"/>
      <c r="F23" s="6"/>
      <c r="G23" s="6"/>
      <c r="H23" s="6"/>
      <c r="I23" s="6"/>
      <c r="J23" s="6">
        <v>5</v>
      </c>
      <c r="K23" s="6"/>
      <c r="L23" s="6"/>
      <c r="M23" s="6"/>
      <c r="N23" s="6"/>
      <c r="O23" s="6"/>
      <c r="P23" s="28"/>
      <c r="Q23" s="28">
        <v>5</v>
      </c>
      <c r="R23" s="28"/>
      <c r="S23" s="28"/>
      <c r="T23" s="28"/>
      <c r="U23" s="28"/>
      <c r="V23" s="28">
        <v>5</v>
      </c>
      <c r="W23" s="28"/>
      <c r="X23" s="28"/>
      <c r="Y23" s="28">
        <v>5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20</v>
      </c>
      <c r="BQ23" s="1">
        <v>0</v>
      </c>
      <c r="BR23" s="17">
        <v>0</v>
      </c>
      <c r="BS23" s="17"/>
      <c r="BT23">
        <f>SUM(P23:AD23)</f>
        <v>15</v>
      </c>
      <c r="BU23" s="23">
        <f>AF23+AH23+AI23+AJ23+AO23+AP23</f>
        <v>0</v>
      </c>
    </row>
    <row r="24" spans="1:73">
      <c r="A24" s="1"/>
      <c r="B24" s="1" t="s">
        <v>148</v>
      </c>
      <c r="C24" s="1" t="s">
        <v>83</v>
      </c>
      <c r="D24" s="1" t="s">
        <v>84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>
        <v>15</v>
      </c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>
        <v>15</v>
      </c>
      <c r="BC24" s="14"/>
      <c r="BD24" s="1"/>
      <c r="BE24" s="1"/>
      <c r="BF24" s="1"/>
      <c r="BG24" s="1"/>
      <c r="BH24" s="1">
        <v>15</v>
      </c>
      <c r="BI24" s="1">
        <v>15</v>
      </c>
      <c r="BJ24" s="1"/>
      <c r="BK24" s="1"/>
      <c r="BL24" s="1"/>
      <c r="BM24" s="1"/>
      <c r="BN24" s="1"/>
      <c r="BO24" s="1"/>
      <c r="BP24" s="1">
        <f>SUM(E24:BO24)</f>
        <v>60</v>
      </c>
      <c r="BQ24" s="1">
        <v>0</v>
      </c>
      <c r="BR24" s="17">
        <v>0</v>
      </c>
      <c r="BS24" s="17"/>
      <c r="BT24">
        <f>SUM(P24:AD24)</f>
        <v>0</v>
      </c>
      <c r="BU24" s="23">
        <f>AF24+AH24+AI24+AJ24+AO24+AP24</f>
        <v>0</v>
      </c>
    </row>
    <row r="25" spans="1:73" s="48" customFormat="1">
      <c r="A25" s="1"/>
      <c r="B25" s="1" t="s">
        <v>146</v>
      </c>
      <c r="C25" s="1" t="s">
        <v>123</v>
      </c>
      <c r="D25" s="1" t="s">
        <v>102</v>
      </c>
      <c r="E25" s="6">
        <v>15</v>
      </c>
      <c r="F25" s="6"/>
      <c r="G25" s="6"/>
      <c r="H25" s="6"/>
      <c r="I25" s="6"/>
      <c r="J25" s="6"/>
      <c r="K25" s="6"/>
      <c r="L25" s="6"/>
      <c r="M25" s="6">
        <v>15</v>
      </c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>
        <v>15</v>
      </c>
      <c r="AX25" s="2"/>
      <c r="AY25" s="2"/>
      <c r="AZ25" s="2"/>
      <c r="BA25" s="2">
        <v>15</v>
      </c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60</v>
      </c>
      <c r="BQ25" s="1">
        <v>0</v>
      </c>
      <c r="BR25" s="17">
        <v>0</v>
      </c>
      <c r="BS25" s="17"/>
      <c r="BT25">
        <f>SUM(P25:AD25)</f>
        <v>0</v>
      </c>
      <c r="BU25" s="23">
        <f>AF25+AH25+AI25+AJ25+AO25+AP25</f>
        <v>0</v>
      </c>
    </row>
    <row r="26" spans="1:73">
      <c r="A26" s="1"/>
      <c r="B26" s="1" t="s">
        <v>118</v>
      </c>
      <c r="C26" s="1" t="s">
        <v>119</v>
      </c>
      <c r="D26" s="1" t="s">
        <v>101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40</v>
      </c>
      <c r="BQ26" s="1">
        <v>0</v>
      </c>
      <c r="BR26" s="17">
        <v>0</v>
      </c>
      <c r="BS26" s="17"/>
      <c r="BT26">
        <f>SUM(P26:AD26)</f>
        <v>40</v>
      </c>
      <c r="BU26" s="23">
        <f>AF26+AH26+AI26+AJ26+AO26+AP26</f>
        <v>0</v>
      </c>
    </row>
    <row r="27" spans="1:73">
      <c r="A27" s="1"/>
      <c r="B27" s="1" t="s">
        <v>124</v>
      </c>
      <c r="C27" s="1" t="s">
        <v>123</v>
      </c>
      <c r="D27" s="1" t="s">
        <v>101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0</v>
      </c>
      <c r="BR27" s="17">
        <v>0</v>
      </c>
      <c r="BS27" s="17"/>
      <c r="BT27">
        <f>SUM(P27:AD27)</f>
        <v>40</v>
      </c>
      <c r="BU27" s="23">
        <f>AF27+AH27+AI27+AJ27+AO27+AP27</f>
        <v>0</v>
      </c>
    </row>
    <row r="28" spans="1:73">
      <c r="A28" s="1"/>
      <c r="B28" s="1" t="s">
        <v>126</v>
      </c>
      <c r="C28" s="1" t="s">
        <v>127</v>
      </c>
      <c r="D28" s="1" t="s">
        <v>101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>
        <v>10</v>
      </c>
      <c r="Q28" s="28"/>
      <c r="R28" s="28"/>
      <c r="S28" s="28">
        <v>10</v>
      </c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40</v>
      </c>
      <c r="BQ28" s="1">
        <v>0</v>
      </c>
      <c r="BR28" s="17">
        <v>0</v>
      </c>
      <c r="BS28" s="17"/>
      <c r="BT28">
        <f>SUM(P28:AD28)</f>
        <v>40</v>
      </c>
      <c r="BU28" s="23">
        <f>AF28+AH28+AI28+AJ28+AO28+AP28</f>
        <v>0</v>
      </c>
    </row>
    <row r="29" spans="1:73" s="66" customFormat="1">
      <c r="A29" s="1"/>
      <c r="B29" s="1" t="s">
        <v>131</v>
      </c>
      <c r="C29" s="1" t="s">
        <v>129</v>
      </c>
      <c r="D29" s="1" t="s">
        <v>101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>
        <v>10</v>
      </c>
      <c r="Q29" s="28"/>
      <c r="R29" s="28"/>
      <c r="S29" s="28">
        <v>10</v>
      </c>
      <c r="T29" s="28"/>
      <c r="U29" s="28"/>
      <c r="V29" s="28">
        <v>10</v>
      </c>
      <c r="W29" s="28"/>
      <c r="X29" s="28"/>
      <c r="Y29" s="28">
        <v>10</v>
      </c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40</v>
      </c>
      <c r="BQ29" s="1">
        <v>0</v>
      </c>
      <c r="BR29" s="17">
        <v>0</v>
      </c>
      <c r="BS29" s="17"/>
      <c r="BT29">
        <f>SUM(P29:AD29)</f>
        <v>40</v>
      </c>
      <c r="BU29" s="23">
        <f>AF29+AH29+AI29+AJ29+AO29+AP29</f>
        <v>0</v>
      </c>
    </row>
    <row r="30" spans="1:73">
      <c r="A30" s="1"/>
      <c r="B30" s="1" t="s">
        <v>133</v>
      </c>
      <c r="C30" s="1" t="s">
        <v>129</v>
      </c>
      <c r="D30" s="1" t="s">
        <v>101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0</v>
      </c>
      <c r="BR30" s="17">
        <v>0</v>
      </c>
      <c r="BS30" s="17"/>
      <c r="BT30">
        <f>SUM(P30:AD30)</f>
        <v>40</v>
      </c>
      <c r="BU30" s="23">
        <f>AF30+AH30+AI30+AJ30+AO30+AP30</f>
        <v>0</v>
      </c>
    </row>
    <row r="31" spans="1:73">
      <c r="A31" s="1"/>
      <c r="B31" s="1" t="s">
        <v>134</v>
      </c>
      <c r="C31" s="1" t="s">
        <v>129</v>
      </c>
      <c r="D31" s="1" t="s">
        <v>101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0</v>
      </c>
      <c r="BR31" s="17">
        <v>0</v>
      </c>
      <c r="BS31" s="17"/>
      <c r="BT31">
        <f>SUM(P31:AD31)</f>
        <v>40</v>
      </c>
      <c r="BU31" s="23">
        <f>AF31+AH31+AI31+AJ31+AO31+AP31</f>
        <v>0</v>
      </c>
    </row>
    <row r="32" spans="1:73">
      <c r="A32" s="1"/>
      <c r="B32" s="3" t="s">
        <v>204</v>
      </c>
      <c r="C32" s="3" t="s">
        <v>50</v>
      </c>
      <c r="D32" s="1" t="s">
        <v>202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0</v>
      </c>
      <c r="BR32" s="17">
        <v>0</v>
      </c>
      <c r="BS32" s="17"/>
      <c r="BT32">
        <f>SUM(P32:AD32)</f>
        <v>40</v>
      </c>
      <c r="BU32" s="23">
        <f>AF32+AH32+AI32+AJ32+AO32+AP32</f>
        <v>0</v>
      </c>
    </row>
    <row r="33" spans="1:73" s="58" customFormat="1">
      <c r="A33" s="1"/>
      <c r="B33" s="3" t="s">
        <v>211</v>
      </c>
      <c r="C33" s="3" t="s">
        <v>209</v>
      </c>
      <c r="D33" s="1" t="s">
        <v>202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0</v>
      </c>
      <c r="BR33" s="17">
        <v>0</v>
      </c>
      <c r="BS33" s="17"/>
      <c r="BT33">
        <f>SUM(P33:AD33)</f>
        <v>40</v>
      </c>
      <c r="BU33" s="23">
        <f>AF33+AH33+AI33+AJ33+AO33+AP33</f>
        <v>0</v>
      </c>
    </row>
    <row r="34" spans="1:73">
      <c r="A34" s="1"/>
      <c r="B34" s="3" t="s">
        <v>213</v>
      </c>
      <c r="C34" s="3" t="s">
        <v>99</v>
      </c>
      <c r="D34" s="1" t="s">
        <v>202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40</v>
      </c>
      <c r="BU34" s="23">
        <f>AF34+AH34+AI34+AJ34+AO34+AP34</f>
        <v>0</v>
      </c>
    </row>
    <row r="35" spans="1:73">
      <c r="A35" s="1"/>
      <c r="B35" s="3" t="s">
        <v>214</v>
      </c>
      <c r="C35" s="3" t="s">
        <v>99</v>
      </c>
      <c r="D35" s="1" t="s">
        <v>202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0</v>
      </c>
      <c r="BR35" s="17">
        <v>0</v>
      </c>
      <c r="BS35" s="17"/>
      <c r="BT35">
        <f>SUM(P35:AD35)</f>
        <v>40</v>
      </c>
      <c r="BU35" s="23">
        <f>AF35+AH35+AI35+AJ35+AO35+AP35</f>
        <v>0</v>
      </c>
    </row>
    <row r="36" spans="1:73">
      <c r="A36" s="1"/>
      <c r="B36" s="1" t="s">
        <v>121</v>
      </c>
      <c r="C36" s="1" t="s">
        <v>119</v>
      </c>
      <c r="D36" s="1" t="s">
        <v>102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>
        <v>5</v>
      </c>
      <c r="R36" s="28"/>
      <c r="S36" s="28"/>
      <c r="T36" s="28">
        <v>5</v>
      </c>
      <c r="U36" s="28"/>
      <c r="V36" s="28"/>
      <c r="W36" s="28"/>
      <c r="X36" s="28"/>
      <c r="Y36" s="28"/>
      <c r="Z36" s="28">
        <v>5</v>
      </c>
      <c r="AA36" s="28">
        <v>2</v>
      </c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17</v>
      </c>
      <c r="BQ36" s="1">
        <v>0</v>
      </c>
      <c r="BR36" s="17">
        <v>0</v>
      </c>
      <c r="BS36" s="17"/>
      <c r="BT36">
        <f>SUM(P36:AD36)</f>
        <v>17</v>
      </c>
      <c r="BU36" s="23">
        <f>AF36+AH36+AI36+AJ36+AO36+AP36</f>
        <v>0</v>
      </c>
    </row>
    <row r="37" spans="1:73">
      <c r="A37" s="1"/>
      <c r="B37" s="1" t="s">
        <v>130</v>
      </c>
      <c r="C37" s="1" t="s">
        <v>129</v>
      </c>
      <c r="D37" s="1" t="s">
        <v>102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>
        <v>5</v>
      </c>
      <c r="R37" s="28"/>
      <c r="S37" s="28"/>
      <c r="T37" s="28">
        <v>5</v>
      </c>
      <c r="U37" s="28"/>
      <c r="V37" s="28"/>
      <c r="W37" s="28"/>
      <c r="X37" s="28"/>
      <c r="Y37" s="28"/>
      <c r="Z37" s="28">
        <v>5</v>
      </c>
      <c r="AA37" s="28">
        <v>2</v>
      </c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17</v>
      </c>
      <c r="BQ37" s="1">
        <v>0</v>
      </c>
      <c r="BR37" s="17">
        <v>0</v>
      </c>
      <c r="BS37" s="17"/>
      <c r="BT37">
        <f>SUM(P37:AD37)</f>
        <v>17</v>
      </c>
      <c r="BU37" s="23">
        <f>AF37+AH37+AI37+AJ37+AO37+AP37</f>
        <v>0</v>
      </c>
    </row>
    <row r="38" spans="1:73">
      <c r="A38" s="1"/>
      <c r="B38" s="3" t="s">
        <v>208</v>
      </c>
      <c r="C38" s="3" t="s">
        <v>209</v>
      </c>
      <c r="D38" s="1" t="s">
        <v>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>
        <v>5</v>
      </c>
      <c r="R38" s="28"/>
      <c r="S38" s="28"/>
      <c r="T38" s="28">
        <v>5</v>
      </c>
      <c r="U38" s="28"/>
      <c r="V38" s="28"/>
      <c r="W38" s="28"/>
      <c r="X38" s="28"/>
      <c r="Y38" s="28"/>
      <c r="Z38" s="28">
        <v>5</v>
      </c>
      <c r="AA38" s="28">
        <v>2</v>
      </c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17</v>
      </c>
      <c r="BQ38" s="1">
        <v>0</v>
      </c>
      <c r="BR38" s="17">
        <v>0</v>
      </c>
      <c r="BS38" s="17"/>
      <c r="BT38">
        <f>SUM(P38:AD38)</f>
        <v>17</v>
      </c>
      <c r="BU38" s="23">
        <f>AF38+AH38+AI38+AJ38+AO38+AP38</f>
        <v>0</v>
      </c>
    </row>
    <row r="39" spans="1:73">
      <c r="A39" s="1"/>
      <c r="B39" s="1" t="s">
        <v>126</v>
      </c>
      <c r="C39" s="1" t="s">
        <v>127</v>
      </c>
      <c r="D39" s="1" t="s">
        <v>102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>
        <v>10</v>
      </c>
      <c r="AC39" s="28">
        <v>5</v>
      </c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0</v>
      </c>
      <c r="BR39" s="17">
        <v>0</v>
      </c>
      <c r="BS39" s="17"/>
      <c r="BT39">
        <f>SUM(P39:AD39)</f>
        <v>35</v>
      </c>
      <c r="BU39" s="23">
        <f>AF39+AH39+AI39+AJ39+AO39+AP39</f>
        <v>0</v>
      </c>
    </row>
    <row r="40" spans="1:73">
      <c r="A40" s="1"/>
      <c r="B40" s="1" t="s">
        <v>133</v>
      </c>
      <c r="C40" s="1" t="s">
        <v>129</v>
      </c>
      <c r="D40" s="1" t="s">
        <v>102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>
        <v>10</v>
      </c>
      <c r="W40" s="28"/>
      <c r="X40" s="28"/>
      <c r="Y40" s="28">
        <v>10</v>
      </c>
      <c r="Z40" s="28"/>
      <c r="AA40" s="28"/>
      <c r="AB40" s="28">
        <v>10</v>
      </c>
      <c r="AC40" s="28">
        <v>5</v>
      </c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0</v>
      </c>
      <c r="BR40" s="17">
        <v>0</v>
      </c>
      <c r="BS40" s="17"/>
      <c r="BT40">
        <f>SUM(P40:AD40)</f>
        <v>35</v>
      </c>
      <c r="BU40" s="23">
        <f>AF40+AH40+AI40+AJ40+AO40+AP40</f>
        <v>0</v>
      </c>
    </row>
    <row r="41" spans="1:73">
      <c r="A41" s="1"/>
      <c r="B41" s="1" t="s">
        <v>134</v>
      </c>
      <c r="C41" s="1" t="s">
        <v>129</v>
      </c>
      <c r="D41" s="1" t="s">
        <v>102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>
        <v>10</v>
      </c>
      <c r="W41" s="28"/>
      <c r="X41" s="28"/>
      <c r="Y41" s="28">
        <v>10</v>
      </c>
      <c r="Z41" s="28"/>
      <c r="AA41" s="28"/>
      <c r="AB41" s="28">
        <v>10</v>
      </c>
      <c r="AC41" s="28">
        <v>5</v>
      </c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0</v>
      </c>
      <c r="BR41" s="17">
        <v>0</v>
      </c>
      <c r="BS41" s="17"/>
      <c r="BT41">
        <f>SUM(P41:AD41)</f>
        <v>35</v>
      </c>
      <c r="BU41" s="23">
        <f>AF41+AH41+AI41+AJ41+AO41+AP41</f>
        <v>0</v>
      </c>
    </row>
    <row r="42" spans="1:73" s="48" customFormat="1">
      <c r="A42" s="1"/>
      <c r="B42" s="3" t="s">
        <v>204</v>
      </c>
      <c r="C42" s="3" t="s">
        <v>50</v>
      </c>
      <c r="D42" s="1" t="s">
        <v>0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>
        <v>10</v>
      </c>
      <c r="W42" s="28"/>
      <c r="X42" s="28"/>
      <c r="Y42" s="28">
        <v>10</v>
      </c>
      <c r="Z42" s="28"/>
      <c r="AA42" s="28"/>
      <c r="AB42" s="28">
        <v>10</v>
      </c>
      <c r="AC42" s="28">
        <v>5</v>
      </c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0</v>
      </c>
      <c r="BR42" s="17">
        <v>0</v>
      </c>
      <c r="BS42" s="17"/>
      <c r="BT42">
        <f>SUM(P42:AD42)</f>
        <v>35</v>
      </c>
      <c r="BU42" s="23">
        <f>AF42+AH42+AI42+AJ42+AO42+AP42</f>
        <v>0</v>
      </c>
    </row>
    <row r="43" spans="1:73">
      <c r="A43" s="1"/>
      <c r="B43" s="3" t="s">
        <v>213</v>
      </c>
      <c r="C43" s="3" t="s">
        <v>99</v>
      </c>
      <c r="D43" s="1" t="s">
        <v>0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>
        <v>10</v>
      </c>
      <c r="W43" s="28"/>
      <c r="X43" s="28"/>
      <c r="Y43" s="28">
        <v>10</v>
      </c>
      <c r="Z43" s="28"/>
      <c r="AA43" s="28"/>
      <c r="AB43" s="28">
        <v>10</v>
      </c>
      <c r="AC43" s="28">
        <v>5</v>
      </c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0</v>
      </c>
      <c r="BR43" s="17">
        <v>0</v>
      </c>
      <c r="BS43" s="17"/>
      <c r="BT43">
        <f>SUM(P43:AD43)</f>
        <v>35</v>
      </c>
      <c r="BU43" s="23">
        <f>AF43+AH43+AI43+AJ43+AO43+AP43</f>
        <v>0</v>
      </c>
    </row>
    <row r="44" spans="1:73">
      <c r="A44" s="1"/>
      <c r="B44" s="1" t="s">
        <v>118</v>
      </c>
      <c r="C44" s="1" t="s">
        <v>119</v>
      </c>
      <c r="D44" s="1" t="s">
        <v>102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>
        <v>5</v>
      </c>
      <c r="R44" s="28"/>
      <c r="S44" s="28"/>
      <c r="T44" s="28"/>
      <c r="U44" s="28"/>
      <c r="V44" s="28">
        <v>10</v>
      </c>
      <c r="W44" s="28"/>
      <c r="X44" s="28"/>
      <c r="Y44" s="28">
        <v>10</v>
      </c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0</v>
      </c>
      <c r="BR44" s="17">
        <v>0</v>
      </c>
      <c r="BS44" s="17"/>
      <c r="BT44">
        <f>SUM(P44:AD44)</f>
        <v>35</v>
      </c>
      <c r="BU44" s="23">
        <f>AF44+AH44+AI44+AJ44+AO44+AP44</f>
        <v>0</v>
      </c>
    </row>
    <row r="45" spans="1:73">
      <c r="A45" s="1"/>
      <c r="B45" s="1" t="s">
        <v>124</v>
      </c>
      <c r="C45" s="1" t="s">
        <v>123</v>
      </c>
      <c r="D45" s="1" t="s">
        <v>102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/>
      <c r="S45" s="28"/>
      <c r="T45" s="28"/>
      <c r="U45" s="28"/>
      <c r="V45" s="28">
        <v>10</v>
      </c>
      <c r="W45" s="28"/>
      <c r="X45" s="28"/>
      <c r="Y45" s="28">
        <v>10</v>
      </c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0</v>
      </c>
      <c r="BR45" s="17">
        <v>0</v>
      </c>
      <c r="BS45" s="17"/>
      <c r="BT45">
        <f>SUM(P45:AD45)</f>
        <v>35</v>
      </c>
      <c r="BU45" s="23">
        <f>AF45+AH45+AI45+AJ45+AO45+AP45</f>
        <v>0</v>
      </c>
    </row>
    <row r="46" spans="1:73">
      <c r="A46" s="1"/>
      <c r="B46" s="3" t="s">
        <v>236</v>
      </c>
      <c r="C46" s="3" t="s">
        <v>50</v>
      </c>
      <c r="D46" s="1" t="s">
        <v>0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>
        <v>5</v>
      </c>
      <c r="R46" s="28"/>
      <c r="S46" s="28"/>
      <c r="T46" s="28"/>
      <c r="U46" s="28"/>
      <c r="V46" s="28">
        <v>10</v>
      </c>
      <c r="W46" s="28"/>
      <c r="X46" s="28"/>
      <c r="Y46" s="28">
        <v>10</v>
      </c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0</v>
      </c>
      <c r="BR46" s="17">
        <v>0</v>
      </c>
      <c r="BS46" s="17"/>
      <c r="BT46">
        <f>SUM(P46:AD46)</f>
        <v>35</v>
      </c>
      <c r="BU46" s="23">
        <f>AF46+AH46+AI46+AJ46+AO46+AP46</f>
        <v>0</v>
      </c>
    </row>
    <row r="47" spans="1:73">
      <c r="A47" s="1"/>
      <c r="B47" s="3" t="s">
        <v>214</v>
      </c>
      <c r="C47" s="3" t="s">
        <v>99</v>
      </c>
      <c r="D47" s="1" t="s">
        <v>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/>
      <c r="S47" s="28"/>
      <c r="T47" s="28"/>
      <c r="U47" s="28"/>
      <c r="V47" s="28">
        <v>10</v>
      </c>
      <c r="W47" s="28"/>
      <c r="X47" s="28"/>
      <c r="Y47" s="28">
        <v>10</v>
      </c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0</v>
      </c>
      <c r="BR47" s="17">
        <v>0</v>
      </c>
      <c r="BS47" s="17"/>
      <c r="BT47">
        <f>SUM(P47:AD47)</f>
        <v>35</v>
      </c>
      <c r="BU47" s="23">
        <f>AF47+AH47+AI47+AJ47+AO47+AP47</f>
        <v>0</v>
      </c>
    </row>
    <row r="48" spans="1:73">
      <c r="A48" s="1">
        <v>95</v>
      </c>
      <c r="B48" s="3" t="s">
        <v>66</v>
      </c>
      <c r="C48" s="3" t="s">
        <v>52</v>
      </c>
      <c r="D48" s="1" t="s">
        <v>0</v>
      </c>
      <c r="E48" s="6"/>
      <c r="F48" s="6"/>
      <c r="G48" s="6"/>
      <c r="H48" s="6"/>
      <c r="I48" s="6"/>
      <c r="J48" s="6"/>
      <c r="K48" s="6"/>
      <c r="L48" s="6">
        <v>15</v>
      </c>
      <c r="M48" s="6"/>
      <c r="N48" s="6"/>
      <c r="O48" s="6">
        <v>15</v>
      </c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>
        <v>15</v>
      </c>
      <c r="BB48" s="2">
        <v>15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60</v>
      </c>
      <c r="BQ48" s="1">
        <v>0</v>
      </c>
      <c r="BR48" s="17">
        <v>0</v>
      </c>
      <c r="BS48" s="17"/>
      <c r="BT48">
        <f>SUM(P48:AD48)</f>
        <v>0</v>
      </c>
      <c r="BU48" s="23">
        <f>AF48+AH48+AI48+AJ48+AO48+AP48</f>
        <v>0</v>
      </c>
    </row>
    <row r="49" spans="1:73">
      <c r="A49" s="1"/>
      <c r="B49" s="3" t="s">
        <v>201</v>
      </c>
      <c r="C49" s="3" t="s">
        <v>50</v>
      </c>
      <c r="D49" s="1" t="s">
        <v>203</v>
      </c>
      <c r="E49" s="6"/>
      <c r="F49" s="6"/>
      <c r="G49" s="6"/>
      <c r="H49" s="6"/>
      <c r="I49" s="6"/>
      <c r="J49" s="6"/>
      <c r="K49" s="6"/>
      <c r="L49" s="6"/>
      <c r="M49" s="6">
        <v>10</v>
      </c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>
        <v>10</v>
      </c>
      <c r="AB49" s="28"/>
      <c r="AC49" s="28"/>
      <c r="AD49" s="28">
        <v>10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>
        <v>10</v>
      </c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40</v>
      </c>
      <c r="BQ49" s="1">
        <v>0</v>
      </c>
      <c r="BR49" s="17">
        <v>0</v>
      </c>
      <c r="BS49" s="17"/>
      <c r="BT49">
        <f>SUM(P49:AD49)</f>
        <v>20</v>
      </c>
      <c r="BU49" s="23">
        <f>AF49+AH49+AI49+AJ49+AO49+AP49</f>
        <v>0</v>
      </c>
    </row>
    <row r="50" spans="1:73">
      <c r="A50" s="1"/>
      <c r="B50" s="3" t="s">
        <v>205</v>
      </c>
      <c r="C50" s="3" t="s">
        <v>24</v>
      </c>
      <c r="D50" s="1" t="s">
        <v>203</v>
      </c>
      <c r="E50" s="6"/>
      <c r="F50" s="6"/>
      <c r="G50" s="6"/>
      <c r="H50" s="6"/>
      <c r="I50" s="6"/>
      <c r="J50" s="6"/>
      <c r="K50" s="6"/>
      <c r="L50" s="6"/>
      <c r="M50" s="6">
        <v>10</v>
      </c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>
        <v>10</v>
      </c>
      <c r="AB50" s="28"/>
      <c r="AC50" s="28"/>
      <c r="AD50" s="28">
        <v>10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40</v>
      </c>
      <c r="BQ50" s="1">
        <v>0</v>
      </c>
      <c r="BR50" s="17">
        <v>0</v>
      </c>
      <c r="BS50" s="17"/>
      <c r="BT50">
        <f>SUM(P50:AD50)</f>
        <v>20</v>
      </c>
      <c r="BU50" s="23">
        <f>AF50+AH50+AI50+AJ50+AO50+AP50</f>
        <v>0</v>
      </c>
    </row>
    <row r="51" spans="1:73">
      <c r="A51" s="1"/>
      <c r="B51" s="3" t="s">
        <v>210</v>
      </c>
      <c r="C51" s="3" t="s">
        <v>209</v>
      </c>
      <c r="D51" s="1" t="s">
        <v>203</v>
      </c>
      <c r="E51" s="6"/>
      <c r="F51" s="6"/>
      <c r="G51" s="6"/>
      <c r="H51" s="6"/>
      <c r="I51" s="6"/>
      <c r="J51" s="6"/>
      <c r="K51" s="6"/>
      <c r="L51" s="6"/>
      <c r="M51" s="6">
        <v>10</v>
      </c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>
        <v>10</v>
      </c>
      <c r="AB51" s="28"/>
      <c r="AC51" s="28"/>
      <c r="AD51" s="28">
        <v>10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10</v>
      </c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40</v>
      </c>
      <c r="BQ51" s="1">
        <v>0</v>
      </c>
      <c r="BR51" s="17">
        <v>0</v>
      </c>
      <c r="BS51" s="17"/>
      <c r="BT51">
        <f>SUM(P51:AD51)</f>
        <v>20</v>
      </c>
      <c r="BU51" s="23">
        <f>AF51+AH51+AI51+AJ51+AO51+AP51</f>
        <v>0</v>
      </c>
    </row>
    <row r="52" spans="1:73">
      <c r="A52" s="1"/>
      <c r="B52" s="3" t="s">
        <v>212</v>
      </c>
      <c r="C52" s="3" t="s">
        <v>99</v>
      </c>
      <c r="D52" s="1" t="s">
        <v>203</v>
      </c>
      <c r="E52" s="6"/>
      <c r="F52" s="6"/>
      <c r="G52" s="6"/>
      <c r="H52" s="6"/>
      <c r="I52" s="6"/>
      <c r="J52" s="6"/>
      <c r="K52" s="6"/>
      <c r="L52" s="6"/>
      <c r="M52" s="6">
        <v>10</v>
      </c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>
        <v>10</v>
      </c>
      <c r="AB52" s="28"/>
      <c r="AC52" s="28"/>
      <c r="AD52" s="28">
        <v>10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>
        <v>10</v>
      </c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40</v>
      </c>
      <c r="BQ52" s="1">
        <v>0</v>
      </c>
      <c r="BR52" s="17">
        <v>0</v>
      </c>
      <c r="BS52" s="17"/>
      <c r="BT52">
        <f>SUM(P52:AD52)</f>
        <v>20</v>
      </c>
      <c r="BU52" s="23">
        <f>AF52+AH52+AI52+AJ52+AO52+AP52</f>
        <v>0</v>
      </c>
    </row>
    <row r="53" spans="1:73" s="58" customFormat="1">
      <c r="A53" s="1"/>
      <c r="B53" s="3" t="s">
        <v>206</v>
      </c>
      <c r="C53" s="3" t="s">
        <v>207</v>
      </c>
      <c r="D53" s="1" t="s">
        <v>202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>
        <v>5</v>
      </c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20</v>
      </c>
      <c r="BQ53" s="1">
        <v>0</v>
      </c>
      <c r="BR53" s="17">
        <v>0</v>
      </c>
      <c r="BS53" s="17"/>
      <c r="BT53">
        <f>SUM(P53:AD53)</f>
        <v>20</v>
      </c>
      <c r="BU53" s="23">
        <f>AF53+AH53+AI53+AJ53+AO53+AP53</f>
        <v>0</v>
      </c>
    </row>
    <row r="54" spans="1:73">
      <c r="A54" s="1"/>
      <c r="B54" s="3" t="s">
        <v>201</v>
      </c>
      <c r="C54" s="3" t="s">
        <v>50</v>
      </c>
      <c r="D54" s="1" t="s">
        <v>202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>
        <v>5</v>
      </c>
      <c r="U54" s="28"/>
      <c r="V54" s="28"/>
      <c r="W54" s="28">
        <v>5</v>
      </c>
      <c r="X54" s="28"/>
      <c r="Y54" s="28"/>
      <c r="Z54" s="28"/>
      <c r="AA54" s="28"/>
      <c r="AB54" s="28"/>
      <c r="AC54" s="28">
        <v>5</v>
      </c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20</v>
      </c>
      <c r="BQ54" s="1">
        <v>0</v>
      </c>
      <c r="BR54" s="17">
        <v>0</v>
      </c>
      <c r="BS54" s="17"/>
      <c r="BT54">
        <f>SUM(P54:AD54)</f>
        <v>20</v>
      </c>
      <c r="BU54" s="23">
        <f>AF54+AH54+AI54+AJ54+AO54+AP54</f>
        <v>0</v>
      </c>
    </row>
    <row r="55" spans="1:73">
      <c r="A55" s="1"/>
      <c r="B55" s="3" t="s">
        <v>211</v>
      </c>
      <c r="C55" s="3" t="s">
        <v>209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>
        <v>10</v>
      </c>
      <c r="W55" s="28"/>
      <c r="X55" s="28"/>
      <c r="Y55" s="28"/>
      <c r="Z55" s="28">
        <v>5</v>
      </c>
      <c r="AA55" s="28"/>
      <c r="AB55" s="28">
        <v>10</v>
      </c>
      <c r="AC55" s="28">
        <v>5</v>
      </c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30</v>
      </c>
      <c r="BQ55" s="1">
        <v>0</v>
      </c>
      <c r="BR55" s="17">
        <v>0</v>
      </c>
      <c r="BS55" s="17"/>
      <c r="BT55">
        <f>SUM(P55:AD55)</f>
        <v>30</v>
      </c>
      <c r="BU55" s="23">
        <f>AF55+AH55+AI55+AJ55+AO55+AP55</f>
        <v>0</v>
      </c>
    </row>
    <row r="56" spans="1:73">
      <c r="A56" s="1"/>
      <c r="B56" s="1" t="s">
        <v>131</v>
      </c>
      <c r="C56" s="1" t="s">
        <v>129</v>
      </c>
      <c r="D56" s="1" t="s">
        <v>102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/>
      <c r="U56" s="28"/>
      <c r="V56" s="28">
        <v>10</v>
      </c>
      <c r="W56" s="28"/>
      <c r="X56" s="28"/>
      <c r="Y56" s="28"/>
      <c r="Z56" s="28">
        <v>5</v>
      </c>
      <c r="AA56" s="28"/>
      <c r="AB56" s="28">
        <v>10</v>
      </c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30</v>
      </c>
      <c r="BQ56" s="1">
        <v>0</v>
      </c>
      <c r="BR56" s="17">
        <v>0</v>
      </c>
      <c r="BS56" s="17"/>
      <c r="BT56">
        <f>SUM(P56:AD56)</f>
        <v>30</v>
      </c>
      <c r="BU56" s="23">
        <f>AF56+AH56+AI56+AJ56+AO56+AP56</f>
        <v>0</v>
      </c>
    </row>
    <row r="57" spans="1:73">
      <c r="A57" s="1"/>
      <c r="B57" s="1" t="s">
        <v>255</v>
      </c>
      <c r="C57" s="1" t="s">
        <v>256</v>
      </c>
      <c r="D57" s="1" t="s">
        <v>257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>
        <v>10</v>
      </c>
      <c r="Q57" s="28"/>
      <c r="R57" s="28"/>
      <c r="S57" s="28">
        <v>10</v>
      </c>
      <c r="T57" s="28"/>
      <c r="U57" s="28"/>
      <c r="V57" s="28">
        <v>10</v>
      </c>
      <c r="W57" s="28"/>
      <c r="X57" s="28"/>
      <c r="Y57" s="28">
        <v>10</v>
      </c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40</v>
      </c>
      <c r="BQ57" s="1">
        <v>0</v>
      </c>
      <c r="BR57" s="17">
        <v>0</v>
      </c>
      <c r="BS57" s="17"/>
      <c r="BT57">
        <f>SUM(P57:AD57)</f>
        <v>40</v>
      </c>
      <c r="BU57" s="23">
        <f>AF57+AH57+AI57+AJ57+AO57+AP57</f>
        <v>0</v>
      </c>
    </row>
    <row r="58" spans="1:73">
      <c r="A58" s="1"/>
      <c r="B58" s="1" t="s">
        <v>255</v>
      </c>
      <c r="C58" s="1" t="s">
        <v>256</v>
      </c>
      <c r="D58" s="1" t="s">
        <v>258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>
        <v>10</v>
      </c>
      <c r="W58" s="28"/>
      <c r="X58" s="28"/>
      <c r="Y58" s="28">
        <v>10</v>
      </c>
      <c r="Z58" s="28"/>
      <c r="AA58" s="28"/>
      <c r="AB58" s="28">
        <v>10</v>
      </c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35</v>
      </c>
      <c r="BQ58" s="1">
        <v>0</v>
      </c>
      <c r="BR58" s="17">
        <v>0</v>
      </c>
      <c r="BS58" s="17"/>
      <c r="BT58">
        <f>SUM(P58:AD58)</f>
        <v>35</v>
      </c>
      <c r="BU58" s="23">
        <f>AF58+AH58+AI58+AJ58+AO58+AP58</f>
        <v>0</v>
      </c>
    </row>
    <row r="59" spans="1:73">
      <c r="A59" s="1"/>
      <c r="B59" s="1" t="s">
        <v>255</v>
      </c>
      <c r="C59" s="1" t="s">
        <v>256</v>
      </c>
      <c r="D59" s="1" t="s">
        <v>259</v>
      </c>
      <c r="E59" s="6">
        <v>5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>
        <v>5</v>
      </c>
      <c r="W59" s="28"/>
      <c r="X59" s="28"/>
      <c r="Y59" s="28">
        <v>5</v>
      </c>
      <c r="Z59" s="28"/>
      <c r="AA59" s="28"/>
      <c r="AB59" s="28"/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20</v>
      </c>
      <c r="BQ59" s="1">
        <v>0</v>
      </c>
      <c r="BR59" s="17">
        <v>0</v>
      </c>
      <c r="BS59" s="17"/>
      <c r="BT59">
        <f>SUM(P59:AD59)</f>
        <v>15</v>
      </c>
      <c r="BU59" s="23">
        <f>AF59+AH59+AI59+AJ59+AO59+AP59</f>
        <v>0</v>
      </c>
    </row>
    <row r="60" spans="1:73">
      <c r="A60" s="1"/>
      <c r="B60" s="1" t="s">
        <v>260</v>
      </c>
      <c r="C60" s="1" t="s">
        <v>119</v>
      </c>
      <c r="D60" s="1" t="s">
        <v>257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>
        <v>10</v>
      </c>
      <c r="Q60" s="28"/>
      <c r="R60" s="28"/>
      <c r="S60" s="28">
        <v>10</v>
      </c>
      <c r="T60" s="28"/>
      <c r="U60" s="28"/>
      <c r="V60" s="28"/>
      <c r="W60" s="28">
        <v>5</v>
      </c>
      <c r="X60" s="28"/>
      <c r="Y60" s="28"/>
      <c r="Z60" s="28"/>
      <c r="AA60" s="28"/>
      <c r="AB60" s="28">
        <v>10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35</v>
      </c>
      <c r="BQ60" s="1">
        <v>0</v>
      </c>
      <c r="BR60" s="17">
        <v>0</v>
      </c>
      <c r="BS60" s="17"/>
      <c r="BT60">
        <f>SUM(P60:AD60)</f>
        <v>35</v>
      </c>
      <c r="BU60" s="23">
        <f>AF60+AH60+AI60+AJ60+AO60+AP60</f>
        <v>0</v>
      </c>
    </row>
    <row r="61" spans="1:73">
      <c r="A61" s="1"/>
      <c r="B61" s="1" t="s">
        <v>260</v>
      </c>
      <c r="C61" s="1" t="s">
        <v>119</v>
      </c>
      <c r="D61" s="1" t="s">
        <v>258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>
        <v>2</v>
      </c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0</v>
      </c>
      <c r="BR61" s="17">
        <v>0</v>
      </c>
      <c r="BS61" s="17"/>
      <c r="BT61">
        <f>SUM(P61:AD61)</f>
        <v>17</v>
      </c>
      <c r="BU61" s="23">
        <f>AF61+AH61+AI61+AJ61+AO61+AP61</f>
        <v>0</v>
      </c>
    </row>
    <row r="62" spans="1:73">
      <c r="A62" s="1"/>
      <c r="B62" s="1" t="s">
        <v>261</v>
      </c>
      <c r="C62" s="1" t="s">
        <v>119</v>
      </c>
      <c r="D62" s="1" t="s">
        <v>257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>
        <v>10</v>
      </c>
      <c r="Q62" s="28"/>
      <c r="R62" s="28"/>
      <c r="S62" s="28">
        <v>10</v>
      </c>
      <c r="T62" s="28"/>
      <c r="U62" s="28"/>
      <c r="V62" s="28">
        <v>10</v>
      </c>
      <c r="W62" s="28"/>
      <c r="X62" s="28"/>
      <c r="Y62" s="28">
        <v>10</v>
      </c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40</v>
      </c>
      <c r="BQ62" s="1">
        <v>0</v>
      </c>
      <c r="BR62" s="17">
        <v>0</v>
      </c>
      <c r="BS62" s="17"/>
      <c r="BT62">
        <f>SUM(P62:AD62)</f>
        <v>40</v>
      </c>
      <c r="BU62" s="23">
        <f>AF62+AH62+AI62+AJ62+AO62+AP62</f>
        <v>0</v>
      </c>
    </row>
    <row r="63" spans="1:73">
      <c r="A63" s="1"/>
      <c r="B63" s="1" t="s">
        <v>261</v>
      </c>
      <c r="C63" s="1" t="s">
        <v>119</v>
      </c>
      <c r="D63" s="1" t="s">
        <v>258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>
        <v>10</v>
      </c>
      <c r="W63" s="28"/>
      <c r="X63" s="28"/>
      <c r="Y63" s="28">
        <v>10</v>
      </c>
      <c r="Z63" s="28"/>
      <c r="AA63" s="28"/>
      <c r="AB63" s="28">
        <v>10</v>
      </c>
      <c r="AC63" s="28">
        <v>5</v>
      </c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35</v>
      </c>
      <c r="BQ63" s="1">
        <v>0</v>
      </c>
      <c r="BR63" s="17">
        <v>0</v>
      </c>
      <c r="BS63" s="17"/>
      <c r="BT63">
        <f>SUM(P63:AD63)</f>
        <v>35</v>
      </c>
      <c r="BU63" s="23">
        <f>AF63+AH63+AI63+AJ63+AO63+AP63</f>
        <v>0</v>
      </c>
    </row>
    <row r="64" spans="1:73">
      <c r="A64" s="1"/>
      <c r="B64" s="1" t="s">
        <v>262</v>
      </c>
      <c r="C64" s="1" t="s">
        <v>50</v>
      </c>
      <c r="D64" s="1" t="s">
        <v>257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/>
      <c r="AB64" s="28"/>
      <c r="AC64" s="28">
        <v>5</v>
      </c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20</v>
      </c>
      <c r="BQ64" s="1">
        <v>0</v>
      </c>
      <c r="BR64" s="17">
        <v>0</v>
      </c>
      <c r="BS64" s="17"/>
      <c r="BT64">
        <f>SUM(P64:AD64)</f>
        <v>20</v>
      </c>
      <c r="BU64" s="23">
        <f>AF64+AH64+AI64+AJ64+AO64+AP64</f>
        <v>0</v>
      </c>
    </row>
    <row r="65" spans="1:73">
      <c r="A65" s="1"/>
      <c r="B65" s="1" t="s">
        <v>263</v>
      </c>
      <c r="C65" s="1" t="s">
        <v>50</v>
      </c>
      <c r="D65" s="1" t="s">
        <v>257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>
        <v>10</v>
      </c>
      <c r="Q65" s="28"/>
      <c r="R65" s="28"/>
      <c r="S65" s="28">
        <v>10</v>
      </c>
      <c r="T65" s="28"/>
      <c r="U65" s="28"/>
      <c r="V65" s="28"/>
      <c r="W65" s="28">
        <v>5</v>
      </c>
      <c r="X65" s="28"/>
      <c r="Y65" s="28"/>
      <c r="Z65" s="28"/>
      <c r="AA65" s="28"/>
      <c r="AB65" s="28">
        <v>10</v>
      </c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35</v>
      </c>
      <c r="BQ65" s="1">
        <v>0</v>
      </c>
      <c r="BR65" s="17">
        <v>0</v>
      </c>
      <c r="BS65" s="17"/>
      <c r="BT65">
        <f>SUM(P65:AD65)</f>
        <v>35</v>
      </c>
      <c r="BU65" s="23">
        <f>AF65+AH65+AI65+AJ65+AO65+AP65</f>
        <v>0</v>
      </c>
    </row>
    <row r="66" spans="1:73">
      <c r="A66" s="1"/>
      <c r="B66" s="1" t="s">
        <v>263</v>
      </c>
      <c r="C66" s="1" t="s">
        <v>50</v>
      </c>
      <c r="D66" s="1" t="s">
        <v>258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>
        <v>2</v>
      </c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0</v>
      </c>
      <c r="BR66" s="17">
        <v>0</v>
      </c>
      <c r="BS66" s="17"/>
      <c r="BT66">
        <f>SUM(P66:AD66)</f>
        <v>17</v>
      </c>
      <c r="BU66" s="23">
        <f>AF66+AH66+AI66+AJ66+AO66+AP66</f>
        <v>0</v>
      </c>
    </row>
    <row r="67" spans="1:73">
      <c r="A67" s="1"/>
      <c r="B67" s="1" t="s">
        <v>264</v>
      </c>
      <c r="C67" s="1" t="s">
        <v>50</v>
      </c>
      <c r="D67" s="1" t="s">
        <v>257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>
        <v>10</v>
      </c>
      <c r="Q67" s="28"/>
      <c r="R67" s="28"/>
      <c r="S67" s="28">
        <v>10</v>
      </c>
      <c r="T67" s="28"/>
      <c r="U67" s="28"/>
      <c r="V67" s="28"/>
      <c r="W67" s="28">
        <v>5</v>
      </c>
      <c r="X67" s="28"/>
      <c r="Y67" s="28"/>
      <c r="Z67" s="28"/>
      <c r="AA67" s="28"/>
      <c r="AB67" s="28">
        <v>10</v>
      </c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35</v>
      </c>
      <c r="BQ67" s="1">
        <v>0</v>
      </c>
      <c r="BR67" s="17">
        <v>0</v>
      </c>
      <c r="BS67" s="17"/>
      <c r="BT67">
        <f>SUM(P67:AD67)</f>
        <v>35</v>
      </c>
      <c r="BU67" s="23">
        <f>AF67+AH67+AI67+AJ67+AO67+AP67</f>
        <v>0</v>
      </c>
    </row>
    <row r="68" spans="1:73">
      <c r="A68" s="1"/>
      <c r="B68" s="1" t="s">
        <v>265</v>
      </c>
      <c r="C68" s="1" t="s">
        <v>52</v>
      </c>
      <c r="D68" s="1" t="s">
        <v>257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>
        <v>5</v>
      </c>
      <c r="U68" s="28"/>
      <c r="V68" s="28"/>
      <c r="W68" s="28">
        <v>5</v>
      </c>
      <c r="X68" s="28"/>
      <c r="Y68" s="28"/>
      <c r="Z68" s="28">
        <v>5</v>
      </c>
      <c r="AA68" s="28"/>
      <c r="AB68" s="28"/>
      <c r="AC68" s="28">
        <v>5</v>
      </c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20</v>
      </c>
      <c r="BQ68" s="1">
        <v>0</v>
      </c>
      <c r="BR68" s="17">
        <v>0</v>
      </c>
      <c r="BS68" s="17"/>
      <c r="BT68">
        <f>SUM(P68:AD68)</f>
        <v>20</v>
      </c>
      <c r="BU68" s="23">
        <f>AF68+AH68+AI68+AJ68+AO68+AP68</f>
        <v>0</v>
      </c>
    </row>
    <row r="69" spans="1:73">
      <c r="A69" s="1"/>
      <c r="B69" s="1" t="s">
        <v>266</v>
      </c>
      <c r="C69" s="1" t="s">
        <v>52</v>
      </c>
      <c r="D69" s="1" t="s">
        <v>257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>
        <v>5</v>
      </c>
      <c r="X69" s="28"/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20</v>
      </c>
      <c r="BQ69" s="1">
        <v>0</v>
      </c>
      <c r="BR69" s="17">
        <v>0</v>
      </c>
      <c r="BS69" s="17"/>
      <c r="BT69">
        <f>SUM(P69:AD69)</f>
        <v>20</v>
      </c>
      <c r="BU69" s="23">
        <f>AF69+AH69+AI69+AJ69+AO69+AP69</f>
        <v>0</v>
      </c>
    </row>
    <row r="70" spans="1:73">
      <c r="A70" s="1"/>
      <c r="B70" s="1" t="s">
        <v>267</v>
      </c>
      <c r="C70" s="1" t="s">
        <v>52</v>
      </c>
      <c r="D70" s="1" t="s">
        <v>257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>
        <v>10</v>
      </c>
      <c r="Q70" s="28"/>
      <c r="R70" s="28"/>
      <c r="S70" s="28">
        <v>10</v>
      </c>
      <c r="T70" s="28"/>
      <c r="U70" s="28"/>
      <c r="V70" s="28">
        <v>10</v>
      </c>
      <c r="W70" s="28"/>
      <c r="X70" s="28"/>
      <c r="Y70" s="28">
        <v>10</v>
      </c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0</v>
      </c>
      <c r="BR70" s="17">
        <v>0</v>
      </c>
      <c r="BS70" s="17"/>
      <c r="BT70">
        <f>SUM(P70:AD70)</f>
        <v>40</v>
      </c>
      <c r="BU70" s="23">
        <f>AF70+AH70+AI70+AJ70+AO70+AP70</f>
        <v>0</v>
      </c>
    </row>
    <row r="71" spans="1:73">
      <c r="A71" s="1"/>
      <c r="B71" s="1" t="s">
        <v>267</v>
      </c>
      <c r="C71" s="1" t="s">
        <v>52</v>
      </c>
      <c r="D71" s="1" t="s">
        <v>258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>
        <v>10</v>
      </c>
      <c r="W71" s="28"/>
      <c r="X71" s="28"/>
      <c r="Y71" s="28">
        <v>10</v>
      </c>
      <c r="Z71" s="28"/>
      <c r="AA71" s="28"/>
      <c r="AB71" s="28">
        <v>10</v>
      </c>
      <c r="AC71" s="28">
        <v>5</v>
      </c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35</v>
      </c>
      <c r="BQ71" s="1">
        <v>0</v>
      </c>
      <c r="BR71" s="17">
        <v>0</v>
      </c>
      <c r="BS71" s="17"/>
      <c r="BT71">
        <f>SUM(P71:AD71)</f>
        <v>35</v>
      </c>
      <c r="BU71" s="23">
        <f>AF71+AH71+AI71+AJ71+AO71+AP71</f>
        <v>0</v>
      </c>
    </row>
    <row r="72" spans="1:73">
      <c r="A72" s="1"/>
      <c r="B72" s="1" t="s">
        <v>280</v>
      </c>
      <c r="C72" s="1" t="s">
        <v>52</v>
      </c>
      <c r="D72" s="1" t="s">
        <v>281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>
        <v>5</v>
      </c>
      <c r="X72" s="28"/>
      <c r="Y72" s="28"/>
      <c r="Z72" s="28">
        <v>5</v>
      </c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20</v>
      </c>
      <c r="BQ72" s="1">
        <v>0</v>
      </c>
      <c r="BR72" s="17">
        <v>0</v>
      </c>
      <c r="BS72" s="17"/>
      <c r="BT72">
        <f>SUM(P72:AD72)</f>
        <v>20</v>
      </c>
      <c r="BU72" s="23">
        <f>AF72+AH72+AI72+AJ72+AO72+AP72</f>
        <v>0</v>
      </c>
    </row>
    <row r="73" spans="1:73">
      <c r="A73" s="1"/>
      <c r="B73" s="1" t="s">
        <v>284</v>
      </c>
      <c r="C73" s="1" t="s">
        <v>36</v>
      </c>
      <c r="D73" s="1" t="s">
        <v>281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/>
      <c r="U73" s="28"/>
      <c r="V73" s="28"/>
      <c r="W73" s="28">
        <v>5</v>
      </c>
      <c r="X73" s="28"/>
      <c r="Y73" s="28"/>
      <c r="Z73" s="28">
        <v>5</v>
      </c>
      <c r="AA73" s="28"/>
      <c r="AB73" s="28"/>
      <c r="AC73" s="28">
        <v>5</v>
      </c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20</v>
      </c>
      <c r="BQ73" s="1">
        <v>0</v>
      </c>
      <c r="BR73" s="17">
        <v>0</v>
      </c>
      <c r="BS73" s="17"/>
      <c r="BT73">
        <f>SUM(P73:AD73)</f>
        <v>20</v>
      </c>
      <c r="BU73" s="23">
        <f>AF73+AH73+AI73+AJ73+AO73+AP73</f>
        <v>0</v>
      </c>
    </row>
    <row r="74" spans="1:73" s="66" customFormat="1">
      <c r="A74" s="59"/>
      <c r="B74" s="59" t="s">
        <v>138</v>
      </c>
      <c r="C74" s="59" t="s">
        <v>99</v>
      </c>
      <c r="D74" s="59" t="s">
        <v>84</v>
      </c>
      <c r="E74" s="60"/>
      <c r="F74" s="60"/>
      <c r="G74" s="60"/>
      <c r="H74" s="60"/>
      <c r="I74" s="60"/>
      <c r="J74" s="60"/>
      <c r="K74" s="60"/>
      <c r="L74" s="60">
        <v>20</v>
      </c>
      <c r="M74" s="60"/>
      <c r="N74" s="60"/>
      <c r="O74" s="60">
        <v>20</v>
      </c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62"/>
      <c r="AR74" s="62"/>
      <c r="AS74" s="62"/>
      <c r="AT74" s="62"/>
      <c r="AU74" s="62"/>
      <c r="AV74" s="62"/>
      <c r="AW74" s="63"/>
      <c r="AX74" s="63"/>
      <c r="AY74" s="63"/>
      <c r="AZ74" s="63"/>
      <c r="BA74" s="63">
        <v>20</v>
      </c>
      <c r="BB74" s="63">
        <v>20</v>
      </c>
      <c r="BC74" s="64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>
        <f>SUM(E74:BO74)</f>
        <v>80</v>
      </c>
      <c r="BQ74" s="59">
        <v>0</v>
      </c>
      <c r="BR74" s="65">
        <v>0</v>
      </c>
      <c r="BS74" s="65"/>
      <c r="BT74">
        <f>SUM(P74:AD74)</f>
        <v>0</v>
      </c>
      <c r="BU74" s="23">
        <f>AF74+AH74+AI74+AJ74+AO74+AP74</f>
        <v>0</v>
      </c>
    </row>
    <row r="75" spans="1:73">
      <c r="A75" s="59"/>
      <c r="B75" s="59" t="s">
        <v>199</v>
      </c>
      <c r="C75" s="59" t="s">
        <v>129</v>
      </c>
      <c r="D75" s="59" t="s">
        <v>102</v>
      </c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1"/>
      <c r="Q75" s="61"/>
      <c r="R75" s="61"/>
      <c r="S75" s="61"/>
      <c r="T75" s="61"/>
      <c r="U75" s="61">
        <v>2</v>
      </c>
      <c r="V75" s="61"/>
      <c r="W75" s="61"/>
      <c r="X75" s="61"/>
      <c r="Y75" s="61"/>
      <c r="Z75" s="61"/>
      <c r="AA75" s="61">
        <v>2</v>
      </c>
      <c r="AB75" s="61"/>
      <c r="AC75" s="61">
        <v>5</v>
      </c>
      <c r="AD75" s="61">
        <v>2</v>
      </c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62"/>
      <c r="AR75" s="62"/>
      <c r="AS75" s="62"/>
      <c r="AT75" s="62"/>
      <c r="AU75" s="62"/>
      <c r="AV75" s="62"/>
      <c r="AW75" s="63"/>
      <c r="AX75" s="63"/>
      <c r="AY75" s="63"/>
      <c r="AZ75" s="63"/>
      <c r="BA75" s="63"/>
      <c r="BB75" s="63"/>
      <c r="BC75" s="64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>
        <f>SUM(E75:BO75)</f>
        <v>11</v>
      </c>
      <c r="BQ75" s="59">
        <v>1</v>
      </c>
      <c r="BR75" s="65">
        <v>1</v>
      </c>
      <c r="BS75" s="65" t="s">
        <v>303</v>
      </c>
      <c r="BT75">
        <f>SUM(P75:AD75)</f>
        <v>11</v>
      </c>
      <c r="BU75" s="23">
        <f>AF75+AH75+AI75+AJ75+AO75+AP75</f>
        <v>0</v>
      </c>
    </row>
    <row r="76" spans="1:73">
      <c r="A76" s="1"/>
      <c r="B76" s="1" t="s">
        <v>112</v>
      </c>
      <c r="C76" s="1" t="s">
        <v>100</v>
      </c>
      <c r="D76" s="1" t="s">
        <v>102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>
        <v>2</v>
      </c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1</v>
      </c>
      <c r="BR76" s="17">
        <v>1</v>
      </c>
      <c r="BS76" s="17" t="s">
        <v>297</v>
      </c>
      <c r="BT76">
        <f>SUM(P76:AD76)</f>
        <v>17</v>
      </c>
      <c r="BU76" s="23">
        <f>AF76+AH76+AI76+AJ76+AO76+AP76</f>
        <v>0</v>
      </c>
    </row>
    <row r="77" spans="1:73">
      <c r="A77" s="1"/>
      <c r="B77" s="1" t="s">
        <v>117</v>
      </c>
      <c r="C77" s="1" t="s">
        <v>100</v>
      </c>
      <c r="D77" s="1" t="s">
        <v>102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>
        <v>2</v>
      </c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1</v>
      </c>
      <c r="BR77" s="17">
        <v>1</v>
      </c>
      <c r="BS77" s="17" t="s">
        <v>297</v>
      </c>
      <c r="BT77">
        <f>SUM(P77:AD77)</f>
        <v>17</v>
      </c>
      <c r="BU77" s="23">
        <f>AF77+AH77+AI77+AJ77+AO77+AP77</f>
        <v>0</v>
      </c>
    </row>
    <row r="78" spans="1:73">
      <c r="A78" s="1"/>
      <c r="B78" s="1" t="s">
        <v>125</v>
      </c>
      <c r="C78" s="1" t="s">
        <v>123</v>
      </c>
      <c r="D78" s="1" t="s">
        <v>102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>
        <v>2</v>
      </c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1</v>
      </c>
      <c r="BR78" s="17">
        <v>1</v>
      </c>
      <c r="BS78" s="17" t="s">
        <v>297</v>
      </c>
      <c r="BT78">
        <f>SUM(P78:AD78)</f>
        <v>17</v>
      </c>
      <c r="BU78" s="23">
        <f>AF78+AH78+AI78+AJ78+AO78+AP78</f>
        <v>0</v>
      </c>
    </row>
    <row r="79" spans="1:73">
      <c r="A79" s="1"/>
      <c r="B79" s="3" t="s">
        <v>215</v>
      </c>
      <c r="C79" s="3" t="s">
        <v>99</v>
      </c>
      <c r="D79" s="1" t="s"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>
        <v>2</v>
      </c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1</v>
      </c>
      <c r="BR79" s="17">
        <v>1</v>
      </c>
      <c r="BS79" s="17" t="s">
        <v>297</v>
      </c>
      <c r="BT79">
        <f>SUM(P79:AD79)</f>
        <v>17</v>
      </c>
      <c r="BU79" s="23">
        <f>AF79+AH79+AI79+AJ79+AO79+AP79</f>
        <v>0</v>
      </c>
    </row>
    <row r="80" spans="1:73">
      <c r="A80" s="1"/>
      <c r="B80" s="1" t="s">
        <v>262</v>
      </c>
      <c r="C80" s="1" t="s">
        <v>50</v>
      </c>
      <c r="D80" s="1" t="s">
        <v>258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>
        <v>2</v>
      </c>
      <c r="V80" s="28"/>
      <c r="W80" s="28">
        <v>5</v>
      </c>
      <c r="X80" s="28"/>
      <c r="Y80" s="28"/>
      <c r="Z80" s="28"/>
      <c r="AA80" s="28">
        <v>2</v>
      </c>
      <c r="AB80" s="28"/>
      <c r="AC80" s="28"/>
      <c r="AD80" s="28">
        <v>2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11</v>
      </c>
      <c r="BQ80" s="1">
        <v>1</v>
      </c>
      <c r="BR80" s="17">
        <v>1</v>
      </c>
      <c r="BS80" s="17" t="s">
        <v>303</v>
      </c>
      <c r="BT80">
        <f>SUM(P80:AD80)</f>
        <v>11</v>
      </c>
      <c r="BU80" s="23">
        <f>AF80+AH80+AI80+AJ80+AO80+AP80</f>
        <v>0</v>
      </c>
    </row>
    <row r="81" spans="1:73">
      <c r="A81" s="1"/>
      <c r="B81" s="1" t="s">
        <v>264</v>
      </c>
      <c r="C81" s="1" t="s">
        <v>50</v>
      </c>
      <c r="D81" s="1" t="s">
        <v>258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>
        <v>2</v>
      </c>
      <c r="S81" s="28"/>
      <c r="T81" s="28">
        <v>5</v>
      </c>
      <c r="U81" s="28"/>
      <c r="V81" s="28"/>
      <c r="W81" s="28"/>
      <c r="X81" s="28"/>
      <c r="Y81" s="28"/>
      <c r="Z81" s="28">
        <v>5</v>
      </c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17</v>
      </c>
      <c r="BQ81" s="1">
        <v>1</v>
      </c>
      <c r="BR81" s="17">
        <v>1</v>
      </c>
      <c r="BS81" s="17" t="s">
        <v>297</v>
      </c>
      <c r="BT81">
        <f>SUM(P81:AD81)</f>
        <v>17</v>
      </c>
      <c r="BU81" s="23">
        <f>AF81+AH81+AI81+AJ81+AO81+AP81</f>
        <v>0</v>
      </c>
    </row>
    <row r="82" spans="1:73">
      <c r="A82" s="18">
        <v>63</v>
      </c>
      <c r="B82" s="30" t="s">
        <v>48</v>
      </c>
      <c r="C82" s="18" t="s">
        <v>43</v>
      </c>
      <c r="D82" s="18" t="s">
        <v>18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/>
      <c r="AG82" s="18"/>
      <c r="AH82" s="18"/>
      <c r="AI82" s="18"/>
      <c r="AJ82" s="18"/>
      <c r="AK82" s="18"/>
      <c r="AL82" s="18"/>
      <c r="AM82" s="18"/>
      <c r="AN82" s="18">
        <v>5</v>
      </c>
      <c r="AO82" s="18"/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>
        <f>SUM(E82:BO82)</f>
        <v>5</v>
      </c>
      <c r="BQ82" s="18">
        <v>1</v>
      </c>
      <c r="BR82" s="22">
        <v>1</v>
      </c>
      <c r="BS82" s="22" t="s">
        <v>268</v>
      </c>
      <c r="BT82">
        <f>SUM(P82:AD82)</f>
        <v>0</v>
      </c>
      <c r="BU82" s="23">
        <f>AF82+AH82+AI82+AJ82+AO82+AP82</f>
        <v>0</v>
      </c>
    </row>
    <row r="83" spans="1:73">
      <c r="A83" s="18">
        <v>90</v>
      </c>
      <c r="B83" s="30" t="s">
        <v>64</v>
      </c>
      <c r="C83" s="30" t="s">
        <v>63</v>
      </c>
      <c r="D83" s="18" t="s">
        <v>18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/>
      <c r="AG83" s="18"/>
      <c r="AH83" s="18"/>
      <c r="AI83" s="18"/>
      <c r="AJ83" s="18"/>
      <c r="AK83" s="18"/>
      <c r="AL83" s="18"/>
      <c r="AM83" s="18"/>
      <c r="AN83" s="18">
        <v>5</v>
      </c>
      <c r="AO83" s="18"/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>SUM(E83:BO83)</f>
        <v>5</v>
      </c>
      <c r="BQ83" s="18">
        <v>1</v>
      </c>
      <c r="BR83" s="22">
        <v>1</v>
      </c>
      <c r="BS83" s="22" t="s">
        <v>268</v>
      </c>
      <c r="BT83">
        <f>SUM(P83:AD83)</f>
        <v>0</v>
      </c>
      <c r="BU83" s="23">
        <f>AF83+AH83+AI83+AJ83+AO83+AP83</f>
        <v>0</v>
      </c>
    </row>
    <row r="84" spans="1:73">
      <c r="A84" s="1"/>
      <c r="B84" s="3" t="s">
        <v>206</v>
      </c>
      <c r="C84" s="3" t="s">
        <v>207</v>
      </c>
      <c r="D84" s="1" t="s"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>
        <v>2</v>
      </c>
      <c r="Y84" s="28"/>
      <c r="Z84" s="28"/>
      <c r="AA84" s="28">
        <v>2</v>
      </c>
      <c r="AB84" s="28"/>
      <c r="AC84" s="28">
        <v>5</v>
      </c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11</v>
      </c>
      <c r="BQ84" s="1">
        <v>2</v>
      </c>
      <c r="BR84" s="17">
        <v>1</v>
      </c>
      <c r="BS84" s="17" t="s">
        <v>298</v>
      </c>
      <c r="BT84">
        <f>SUM(P84:AD84)</f>
        <v>11</v>
      </c>
      <c r="BU84" s="23">
        <f>AF84+AH84+AI84+AJ84+AO84+AP84</f>
        <v>0</v>
      </c>
    </row>
    <row r="85" spans="1:73">
      <c r="A85" s="1"/>
      <c r="B85" s="1" t="s">
        <v>302</v>
      </c>
      <c r="C85" s="1" t="s">
        <v>127</v>
      </c>
      <c r="D85" s="1" t="s">
        <v>102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>
        <v>5</v>
      </c>
      <c r="R85" s="28"/>
      <c r="S85" s="28"/>
      <c r="T85" s="28">
        <v>5</v>
      </c>
      <c r="U85" s="28"/>
      <c r="V85" s="28"/>
      <c r="W85" s="28"/>
      <c r="X85" s="28">
        <v>2</v>
      </c>
      <c r="Y85" s="28"/>
      <c r="Z85" s="28">
        <v>5</v>
      </c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17</v>
      </c>
      <c r="BQ85" s="1">
        <v>2</v>
      </c>
      <c r="BR85" s="17">
        <v>1</v>
      </c>
      <c r="BS85" s="17" t="s">
        <v>298</v>
      </c>
      <c r="BT85">
        <f>SUM(P85:AD85)</f>
        <v>17</v>
      </c>
      <c r="BU85" s="23">
        <f>AF85+AH85+AI85+AJ85+AO85+AP85</f>
        <v>0</v>
      </c>
    </row>
    <row r="86" spans="1:73">
      <c r="A86" s="1"/>
      <c r="B86" s="3" t="s">
        <v>205</v>
      </c>
      <c r="C86" s="3" t="s">
        <v>24</v>
      </c>
      <c r="D86" s="1" t="s"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>
        <v>5</v>
      </c>
      <c r="R86" s="28"/>
      <c r="S86" s="28"/>
      <c r="T86" s="28">
        <v>5</v>
      </c>
      <c r="U86" s="28"/>
      <c r="V86" s="28"/>
      <c r="W86" s="28"/>
      <c r="X86" s="28">
        <v>2</v>
      </c>
      <c r="Y86" s="28"/>
      <c r="Z86" s="28">
        <v>5</v>
      </c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17</v>
      </c>
      <c r="BQ86" s="1">
        <v>2</v>
      </c>
      <c r="BR86" s="17">
        <v>1</v>
      </c>
      <c r="BS86" s="17" t="s">
        <v>298</v>
      </c>
      <c r="BT86">
        <f>SUM(P86:AD86)</f>
        <v>17</v>
      </c>
      <c r="BU86" s="23">
        <f>AF86+AH86+AI86+AJ86+AO86+AP86</f>
        <v>0</v>
      </c>
    </row>
    <row r="87" spans="1:73">
      <c r="A87" s="1"/>
      <c r="B87" s="3" t="s">
        <v>210</v>
      </c>
      <c r="C87" s="3" t="s">
        <v>209</v>
      </c>
      <c r="D87" s="1" t="s">
        <v>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>
        <v>5</v>
      </c>
      <c r="R87" s="28"/>
      <c r="S87" s="28"/>
      <c r="T87" s="28">
        <v>5</v>
      </c>
      <c r="U87" s="28"/>
      <c r="V87" s="28"/>
      <c r="W87" s="28"/>
      <c r="X87" s="28">
        <v>2</v>
      </c>
      <c r="Y87" s="28"/>
      <c r="Z87" s="28">
        <v>5</v>
      </c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17</v>
      </c>
      <c r="BQ87" s="1">
        <v>2</v>
      </c>
      <c r="BR87" s="17">
        <v>1</v>
      </c>
      <c r="BS87" s="17" t="s">
        <v>298</v>
      </c>
      <c r="BT87">
        <f>SUM(P87:AD87)</f>
        <v>17</v>
      </c>
      <c r="BU87" s="23">
        <f>AF87+AH87+AI87+AJ87+AO87+AP87</f>
        <v>0</v>
      </c>
    </row>
    <row r="88" spans="1:73" s="58" customFormat="1">
      <c r="A88" s="1"/>
      <c r="B88" s="3" t="s">
        <v>212</v>
      </c>
      <c r="C88" s="3" t="s">
        <v>99</v>
      </c>
      <c r="D88" s="1" t="s"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>
        <v>5</v>
      </c>
      <c r="R88" s="28"/>
      <c r="S88" s="28"/>
      <c r="T88" s="28">
        <v>5</v>
      </c>
      <c r="U88" s="28"/>
      <c r="V88" s="28"/>
      <c r="W88" s="28"/>
      <c r="X88" s="28">
        <v>2</v>
      </c>
      <c r="Y88" s="28"/>
      <c r="Z88" s="28">
        <v>5</v>
      </c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17</v>
      </c>
      <c r="BQ88" s="1">
        <v>2</v>
      </c>
      <c r="BR88" s="17">
        <v>1</v>
      </c>
      <c r="BS88" s="17" t="s">
        <v>298</v>
      </c>
      <c r="BT88">
        <f>SUM(P88:AD88)</f>
        <v>17</v>
      </c>
      <c r="BU88" s="23">
        <f>AF88+AH88+AI88+AJ88+AO88+AP88</f>
        <v>0</v>
      </c>
    </row>
    <row r="89" spans="1:73">
      <c r="A89" s="1"/>
      <c r="B89" s="1" t="s">
        <v>265</v>
      </c>
      <c r="C89" s="1" t="s">
        <v>52</v>
      </c>
      <c r="D89" s="1" t="s">
        <v>258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>
        <v>5</v>
      </c>
      <c r="R89" s="28"/>
      <c r="S89" s="28"/>
      <c r="T89" s="28"/>
      <c r="U89" s="28"/>
      <c r="V89" s="28"/>
      <c r="W89" s="28"/>
      <c r="X89" s="28">
        <v>2</v>
      </c>
      <c r="Y89" s="28"/>
      <c r="Z89" s="28"/>
      <c r="AA89" s="28">
        <v>2</v>
      </c>
      <c r="AB89" s="28"/>
      <c r="AC89" s="28"/>
      <c r="AD89" s="28">
        <v>2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11</v>
      </c>
      <c r="BQ89" s="1">
        <v>2</v>
      </c>
      <c r="BR89" s="17">
        <v>1</v>
      </c>
      <c r="BS89" s="17" t="s">
        <v>298</v>
      </c>
      <c r="BT89">
        <f>SUM(P89:AD89)</f>
        <v>11</v>
      </c>
      <c r="BU89" s="23">
        <f>AF89+AH89+AI89+AJ89+AO89+AP89</f>
        <v>0</v>
      </c>
    </row>
    <row r="90" spans="1:73">
      <c r="A90" s="1"/>
      <c r="B90" s="1" t="s">
        <v>266</v>
      </c>
      <c r="C90" s="1" t="s">
        <v>52</v>
      </c>
      <c r="D90" s="1" t="s">
        <v>258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>
        <v>2</v>
      </c>
      <c r="Y90" s="28"/>
      <c r="Z90" s="28"/>
      <c r="AA90" s="28">
        <v>2</v>
      </c>
      <c r="AB90" s="28"/>
      <c r="AC90" s="28">
        <v>5</v>
      </c>
      <c r="AD90" s="28">
        <v>2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11</v>
      </c>
      <c r="BQ90" s="1">
        <v>2</v>
      </c>
      <c r="BR90" s="17">
        <v>1</v>
      </c>
      <c r="BS90" s="17" t="s">
        <v>298</v>
      </c>
      <c r="BT90">
        <f>SUM(P90:AD90)</f>
        <v>11</v>
      </c>
      <c r="BU90" s="23">
        <f>AF90+AH90+AI90+AJ90+AO90+AP90</f>
        <v>0</v>
      </c>
    </row>
    <row r="91" spans="1:73">
      <c r="A91" s="1"/>
      <c r="B91" s="1" t="s">
        <v>280</v>
      </c>
      <c r="C91" s="1" t="s">
        <v>52</v>
      </c>
      <c r="D91" s="1" t="s">
        <v>282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>
        <v>2</v>
      </c>
      <c r="Y91" s="28"/>
      <c r="Z91" s="28"/>
      <c r="AA91" s="28">
        <v>2</v>
      </c>
      <c r="AB91" s="28"/>
      <c r="AC91" s="28">
        <v>5</v>
      </c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11</v>
      </c>
      <c r="BQ91" s="1">
        <v>2</v>
      </c>
      <c r="BR91" s="17">
        <v>1</v>
      </c>
      <c r="BS91" s="17" t="s">
        <v>298</v>
      </c>
      <c r="BT91">
        <f>SUM(P91:AD91)</f>
        <v>11</v>
      </c>
      <c r="BU91" s="23">
        <f>AF91+AH91+AI91+AJ91+AO91+AP91</f>
        <v>0</v>
      </c>
    </row>
    <row r="92" spans="1:73">
      <c r="A92" s="18"/>
      <c r="B92" s="18" t="s">
        <v>94</v>
      </c>
      <c r="C92" s="18" t="s">
        <v>87</v>
      </c>
      <c r="D92" s="18" t="s">
        <v>91</v>
      </c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>
        <v>2</v>
      </c>
      <c r="AP92" s="18"/>
      <c r="AQ92" s="20"/>
      <c r="AR92" s="20"/>
      <c r="AS92" s="20"/>
      <c r="AT92" s="20"/>
      <c r="AU92" s="20"/>
      <c r="AV92" s="20"/>
      <c r="AW92" s="21"/>
      <c r="AX92" s="21"/>
      <c r="AY92" s="21"/>
      <c r="AZ92" s="21"/>
      <c r="BA92" s="21"/>
      <c r="BB92" s="21"/>
      <c r="BC92" s="26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">
        <f>SUM(E92:BO92)</f>
        <v>2</v>
      </c>
      <c r="BQ92" s="18">
        <v>2</v>
      </c>
      <c r="BR92" s="22">
        <v>1</v>
      </c>
      <c r="BS92" s="22" t="s">
        <v>304</v>
      </c>
      <c r="BT92">
        <f>SUM(P92:AD92)</f>
        <v>0</v>
      </c>
      <c r="BU92" s="23">
        <f>AF92+AH92+AI92+AJ92+AO92+AP92</f>
        <v>2</v>
      </c>
    </row>
    <row r="93" spans="1:73">
      <c r="A93" s="1">
        <v>18</v>
      </c>
      <c r="B93" s="1" t="s">
        <v>26</v>
      </c>
      <c r="C93" s="1" t="s">
        <v>24</v>
      </c>
      <c r="D93" s="1" t="s">
        <v>19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>
        <v>5</v>
      </c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5</v>
      </c>
      <c r="BQ93" s="1">
        <v>2</v>
      </c>
      <c r="BR93" s="17">
        <v>1</v>
      </c>
      <c r="BS93" s="17" t="s">
        <v>269</v>
      </c>
      <c r="BT93">
        <f>SUM(P93:AD93)</f>
        <v>0</v>
      </c>
      <c r="BU93" s="23">
        <f>AF93+AH93+AI93+AJ93+AO93+AP93</f>
        <v>0</v>
      </c>
    </row>
    <row r="94" spans="1:73">
      <c r="A94" s="18"/>
      <c r="B94" s="18" t="s">
        <v>175</v>
      </c>
      <c r="C94" s="18" t="s">
        <v>24</v>
      </c>
      <c r="D94" s="18" t="s">
        <v>176</v>
      </c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>
        <v>3</v>
      </c>
      <c r="AP94" s="18"/>
      <c r="AQ94" s="20"/>
      <c r="AR94" s="20"/>
      <c r="AS94" s="20"/>
      <c r="AT94" s="20"/>
      <c r="AU94" s="20"/>
      <c r="AV94" s="20"/>
      <c r="AW94" s="21"/>
      <c r="AX94" s="21"/>
      <c r="AY94" s="21"/>
      <c r="AZ94" s="21"/>
      <c r="BA94" s="21"/>
      <c r="BB94" s="21"/>
      <c r="BC94" s="26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>
        <f>SUM(E94:BO94)</f>
        <v>3</v>
      </c>
      <c r="BQ94" s="18">
        <v>3</v>
      </c>
      <c r="BR94" s="22">
        <v>1</v>
      </c>
      <c r="BS94" s="22" t="s">
        <v>247</v>
      </c>
      <c r="BT94">
        <f>SUM(P94:AD94)</f>
        <v>0</v>
      </c>
      <c r="BU94" s="23">
        <f>AF94+AH94+AI94+AJ94+AO94+AP94</f>
        <v>3</v>
      </c>
    </row>
    <row r="95" spans="1:73">
      <c r="A95" s="1"/>
      <c r="B95" s="1" t="s">
        <v>145</v>
      </c>
      <c r="C95" s="1" t="s">
        <v>95</v>
      </c>
      <c r="D95" s="1" t="s">
        <v>85</v>
      </c>
      <c r="E95" s="6">
        <v>10</v>
      </c>
      <c r="F95" s="6"/>
      <c r="G95" s="6">
        <v>10</v>
      </c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>
        <v>10</v>
      </c>
      <c r="AS95" s="4"/>
      <c r="AT95" s="4"/>
      <c r="AU95" s="4"/>
      <c r="AV95" s="4"/>
      <c r="AW95" s="2"/>
      <c r="AX95" s="2"/>
      <c r="AY95" s="2"/>
      <c r="AZ95" s="2"/>
      <c r="BA95" s="2"/>
      <c r="BB95" s="2">
        <v>10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4</v>
      </c>
      <c r="BR95" s="17">
        <v>1</v>
      </c>
      <c r="BS95" s="17" t="s">
        <v>248</v>
      </c>
      <c r="BT95">
        <f>SUM(P95:AD95)</f>
        <v>0</v>
      </c>
      <c r="BU95" s="23">
        <f>AF95+AH95+AI95+AJ95+AO95+AP95</f>
        <v>0</v>
      </c>
    </row>
    <row r="96" spans="1:73">
      <c r="A96" s="1"/>
      <c r="B96" s="1" t="s">
        <v>143</v>
      </c>
      <c r="C96" s="1" t="s">
        <v>128</v>
      </c>
      <c r="D96" s="1" t="s">
        <v>103</v>
      </c>
      <c r="E96" s="6">
        <v>10</v>
      </c>
      <c r="F96" s="6"/>
      <c r="G96" s="6">
        <v>10</v>
      </c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>
        <v>10</v>
      </c>
      <c r="AS96" s="4"/>
      <c r="AT96" s="4"/>
      <c r="AU96" s="4"/>
      <c r="AV96" s="4"/>
      <c r="AW96" s="2"/>
      <c r="AX96" s="2"/>
      <c r="AY96" s="2"/>
      <c r="AZ96" s="2"/>
      <c r="BA96" s="2"/>
      <c r="BB96" s="2">
        <v>10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40</v>
      </c>
      <c r="BQ96" s="1">
        <v>4</v>
      </c>
      <c r="BR96" s="17">
        <v>1</v>
      </c>
      <c r="BS96" s="17" t="s">
        <v>248</v>
      </c>
      <c r="BT96">
        <f>SUM(P96:AD96)</f>
        <v>0</v>
      </c>
      <c r="BU96" s="23">
        <f>AF96+AH96+AI96+AJ96+AO96+AP96</f>
        <v>0</v>
      </c>
    </row>
    <row r="97" spans="1:73">
      <c r="A97" s="18">
        <v>17</v>
      </c>
      <c r="B97" s="18" t="s">
        <v>26</v>
      </c>
      <c r="C97" s="18" t="s">
        <v>24</v>
      </c>
      <c r="D97" s="18" t="s">
        <v>18</v>
      </c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18"/>
      <c r="AF97" s="18">
        <v>5</v>
      </c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20"/>
      <c r="AR97" s="20"/>
      <c r="AS97" s="20"/>
      <c r="AT97" s="20"/>
      <c r="AU97" s="20"/>
      <c r="AV97" s="20"/>
      <c r="AW97" s="21"/>
      <c r="AX97" s="21"/>
      <c r="AY97" s="21"/>
      <c r="AZ97" s="21"/>
      <c r="BA97" s="21"/>
      <c r="BB97" s="21"/>
      <c r="BC97" s="26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>
        <f>SUM(E97:BO97)</f>
        <v>5</v>
      </c>
      <c r="BQ97" s="18">
        <v>5</v>
      </c>
      <c r="BR97" s="22">
        <v>1</v>
      </c>
      <c r="BS97" s="22" t="s">
        <v>243</v>
      </c>
      <c r="BT97">
        <f>SUM(P97:AD97)</f>
        <v>0</v>
      </c>
      <c r="BU97" s="23">
        <f>AF97+AH97+AI97+AJ97+AO97+AP97</f>
        <v>5</v>
      </c>
    </row>
    <row r="98" spans="1:73">
      <c r="A98" s="18">
        <v>32</v>
      </c>
      <c r="B98" s="18" t="s">
        <v>60</v>
      </c>
      <c r="C98" s="18" t="s">
        <v>24</v>
      </c>
      <c r="D98" s="18" t="s">
        <v>18</v>
      </c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18"/>
      <c r="AF98" s="18"/>
      <c r="AG98" s="18"/>
      <c r="AH98" s="18"/>
      <c r="AI98" s="18">
        <v>5</v>
      </c>
      <c r="AJ98" s="18"/>
      <c r="AK98" s="18"/>
      <c r="AL98" s="18"/>
      <c r="AM98" s="18"/>
      <c r="AN98" s="18"/>
      <c r="AO98" s="18"/>
      <c r="AP98" s="18"/>
      <c r="AQ98" s="20"/>
      <c r="AR98" s="20"/>
      <c r="AS98" s="20"/>
      <c r="AT98" s="20"/>
      <c r="AU98" s="20"/>
      <c r="AV98" s="20"/>
      <c r="AW98" s="21"/>
      <c r="AX98" s="21"/>
      <c r="AY98" s="21"/>
      <c r="AZ98" s="21"/>
      <c r="BA98" s="21"/>
      <c r="BB98" s="21"/>
      <c r="BC98" s="26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>
        <f>SUM(E98:BO98)</f>
        <v>5</v>
      </c>
      <c r="BQ98" s="18">
        <v>5</v>
      </c>
      <c r="BR98" s="22">
        <v>1</v>
      </c>
      <c r="BS98" s="22" t="s">
        <v>249</v>
      </c>
      <c r="BT98">
        <f>SUM(P98:AD98)</f>
        <v>0</v>
      </c>
      <c r="BU98" s="23">
        <f>AF98+AH98+AI98+AJ98+AO98+AP98</f>
        <v>5</v>
      </c>
    </row>
    <row r="99" spans="1:73">
      <c r="A99" s="18">
        <v>33</v>
      </c>
      <c r="B99" s="18" t="s">
        <v>60</v>
      </c>
      <c r="C99" s="18" t="s">
        <v>24</v>
      </c>
      <c r="D99" s="18" t="s">
        <v>0</v>
      </c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18"/>
      <c r="AF99" s="18"/>
      <c r="AG99" s="18"/>
      <c r="AH99" s="18">
        <v>5</v>
      </c>
      <c r="AI99" s="18"/>
      <c r="AJ99" s="18"/>
      <c r="AK99" s="18"/>
      <c r="AL99" s="18"/>
      <c r="AM99" s="18"/>
      <c r="AN99" s="18"/>
      <c r="AO99" s="18"/>
      <c r="AP99" s="18"/>
      <c r="AQ99" s="20"/>
      <c r="AR99" s="20"/>
      <c r="AS99" s="20"/>
      <c r="AT99" s="20"/>
      <c r="AU99" s="20"/>
      <c r="AV99" s="20"/>
      <c r="AW99" s="21"/>
      <c r="AX99" s="21"/>
      <c r="AY99" s="21"/>
      <c r="AZ99" s="21"/>
      <c r="BA99" s="21"/>
      <c r="BB99" s="21"/>
      <c r="BC99" s="26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>
        <f>SUM(E99:BO99)</f>
        <v>5</v>
      </c>
      <c r="BQ99" s="18">
        <v>5</v>
      </c>
      <c r="BR99" s="22">
        <v>1</v>
      </c>
      <c r="BS99" s="22" t="s">
        <v>240</v>
      </c>
      <c r="BT99">
        <f>SUM(P99:AD99)</f>
        <v>0</v>
      </c>
      <c r="BU99" s="23">
        <f>AF99+AH99+AI99+AJ99+AO99+AP99</f>
        <v>5</v>
      </c>
    </row>
    <row r="100" spans="1:73">
      <c r="A100" s="18"/>
      <c r="B100" s="18" t="s">
        <v>97</v>
      </c>
      <c r="C100" s="18" t="s">
        <v>95</v>
      </c>
      <c r="D100" s="18" t="s">
        <v>91</v>
      </c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18"/>
      <c r="AF100" s="18"/>
      <c r="AG100" s="18"/>
      <c r="AH100" s="18">
        <v>5</v>
      </c>
      <c r="AI100" s="18"/>
      <c r="AJ100" s="18"/>
      <c r="AK100" s="18"/>
      <c r="AL100" s="18"/>
      <c r="AM100" s="18"/>
      <c r="AN100" s="18"/>
      <c r="AO100" s="18"/>
      <c r="AP100" s="18"/>
      <c r="AQ100" s="20"/>
      <c r="AR100" s="20"/>
      <c r="AS100" s="20"/>
      <c r="AT100" s="20"/>
      <c r="AU100" s="20"/>
      <c r="AV100" s="20"/>
      <c r="AW100" s="21"/>
      <c r="AX100" s="21"/>
      <c r="AY100" s="21"/>
      <c r="AZ100" s="21"/>
      <c r="BA100" s="21"/>
      <c r="BB100" s="21"/>
      <c r="BC100" s="26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>
        <f>SUM(E100:BO100)</f>
        <v>5</v>
      </c>
      <c r="BQ100" s="18">
        <v>5</v>
      </c>
      <c r="BR100" s="22">
        <v>1</v>
      </c>
      <c r="BS100" s="22" t="s">
        <v>240</v>
      </c>
      <c r="BT100">
        <f>SUM(P100:AD100)</f>
        <v>0</v>
      </c>
      <c r="BU100" s="23">
        <f>AF100+AH100+AI100+AJ100+AO100+AP100</f>
        <v>5</v>
      </c>
    </row>
    <row r="101" spans="1:73">
      <c r="A101" s="18"/>
      <c r="B101" s="18" t="s">
        <v>97</v>
      </c>
      <c r="C101" s="18" t="s">
        <v>95</v>
      </c>
      <c r="D101" s="18" t="s">
        <v>85</v>
      </c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18"/>
      <c r="AF101" s="18"/>
      <c r="AG101" s="18"/>
      <c r="AH101" s="18"/>
      <c r="AI101" s="18">
        <v>5</v>
      </c>
      <c r="AJ101" s="18"/>
      <c r="AK101" s="18"/>
      <c r="AL101" s="18"/>
      <c r="AM101" s="18"/>
      <c r="AN101" s="18"/>
      <c r="AO101" s="18"/>
      <c r="AP101" s="18"/>
      <c r="AQ101" s="20"/>
      <c r="AR101" s="20"/>
      <c r="AS101" s="20"/>
      <c r="AT101" s="20"/>
      <c r="AU101" s="20"/>
      <c r="AV101" s="20"/>
      <c r="AW101" s="21"/>
      <c r="AX101" s="21"/>
      <c r="AY101" s="21"/>
      <c r="AZ101" s="21"/>
      <c r="BA101" s="21"/>
      <c r="BB101" s="21"/>
      <c r="BC101" s="26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>
        <f>SUM(E101:BO101)</f>
        <v>5</v>
      </c>
      <c r="BQ101" s="18">
        <v>5</v>
      </c>
      <c r="BR101" s="22">
        <v>1</v>
      </c>
      <c r="BS101" s="22" t="s">
        <v>249</v>
      </c>
      <c r="BT101">
        <f>SUM(P101:AD101)</f>
        <v>0</v>
      </c>
      <c r="BU101" s="23">
        <f>AF101+AH101+AI101+AJ101+AO101+AP101</f>
        <v>5</v>
      </c>
    </row>
    <row r="102" spans="1:73">
      <c r="A102" s="31">
        <v>84</v>
      </c>
      <c r="B102" s="32" t="s">
        <v>155</v>
      </c>
      <c r="C102" s="32" t="s">
        <v>50</v>
      </c>
      <c r="D102" s="31" t="s">
        <v>9</v>
      </c>
      <c r="E102" s="33"/>
      <c r="F102" s="33"/>
      <c r="G102" s="33">
        <v>5</v>
      </c>
      <c r="H102" s="33">
        <v>5</v>
      </c>
      <c r="I102" s="33"/>
      <c r="J102" s="33"/>
      <c r="K102" s="33"/>
      <c r="L102" s="33"/>
      <c r="M102" s="33"/>
      <c r="N102" s="33"/>
      <c r="O102" s="33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5"/>
      <c r="AR102" s="35"/>
      <c r="AS102" s="35"/>
      <c r="AT102" s="35"/>
      <c r="AU102" s="35"/>
      <c r="AV102" s="35"/>
      <c r="AW102" s="36"/>
      <c r="AX102" s="36"/>
      <c r="AY102" s="36"/>
      <c r="AZ102" s="36"/>
      <c r="BA102" s="36">
        <v>5</v>
      </c>
      <c r="BB102" s="36">
        <v>5</v>
      </c>
      <c r="BC102" s="37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>
        <f>SUM(E102:BO102)</f>
        <v>20</v>
      </c>
      <c r="BQ102" s="31">
        <v>5</v>
      </c>
      <c r="BR102" s="38">
        <v>1</v>
      </c>
      <c r="BS102" s="38" t="s">
        <v>250</v>
      </c>
      <c r="BT102">
        <f>SUM(P102:AD102)</f>
        <v>0</v>
      </c>
      <c r="BU102" s="23">
        <f>AF102+AH102+AI102+AJ102+AO102+AP102</f>
        <v>0</v>
      </c>
    </row>
    <row r="103" spans="1:73">
      <c r="A103" s="1"/>
      <c r="B103" s="1" t="s">
        <v>125</v>
      </c>
      <c r="C103" s="1" t="s">
        <v>123</v>
      </c>
      <c r="D103" s="1" t="s">
        <v>103</v>
      </c>
      <c r="E103" s="6"/>
      <c r="F103" s="6"/>
      <c r="G103" s="6"/>
      <c r="H103" s="6"/>
      <c r="I103" s="6">
        <v>7</v>
      </c>
      <c r="J103" s="6"/>
      <c r="K103" s="6"/>
      <c r="L103" s="6"/>
      <c r="M103" s="6"/>
      <c r="N103" s="6"/>
      <c r="O103" s="6"/>
      <c r="P103" s="28"/>
      <c r="Q103" s="28">
        <v>7</v>
      </c>
      <c r="R103" s="28">
        <v>7</v>
      </c>
      <c r="S103" s="28"/>
      <c r="T103" s="28">
        <v>7</v>
      </c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28</v>
      </c>
      <c r="BQ103" s="1">
        <v>6</v>
      </c>
      <c r="BR103" s="17">
        <v>1</v>
      </c>
      <c r="BS103" s="17" t="s">
        <v>305</v>
      </c>
      <c r="BT103">
        <f>SUM(P103:AD103)</f>
        <v>21</v>
      </c>
      <c r="BU103" s="23">
        <f>AF103+AH103+AI103+AJ103+AO103+AP103</f>
        <v>0</v>
      </c>
    </row>
    <row r="104" spans="1:73" s="66" customFormat="1">
      <c r="A104" s="1"/>
      <c r="B104" s="1" t="s">
        <v>150</v>
      </c>
      <c r="C104" s="1" t="s">
        <v>83</v>
      </c>
      <c r="D104" s="1" t="s">
        <v>85</v>
      </c>
      <c r="E104" s="6"/>
      <c r="F104" s="6"/>
      <c r="G104" s="6"/>
      <c r="H104" s="6">
        <v>6</v>
      </c>
      <c r="I104" s="6"/>
      <c r="J104" s="6"/>
      <c r="K104" s="6">
        <v>6</v>
      </c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>
        <v>10</v>
      </c>
      <c r="AR104" s="4"/>
      <c r="AS104" s="4"/>
      <c r="AT104" s="4"/>
      <c r="AU104" s="4"/>
      <c r="AV104" s="4"/>
      <c r="AW104" s="2">
        <v>10</v>
      </c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32</v>
      </c>
      <c r="BQ104" s="1">
        <v>6</v>
      </c>
      <c r="BR104" s="17">
        <v>1</v>
      </c>
      <c r="BS104" s="17" t="s">
        <v>251</v>
      </c>
      <c r="BT104">
        <f>SUM(P104:AD104)</f>
        <v>0</v>
      </c>
      <c r="BU104" s="23">
        <f>AF104+AH104+AI104+AJ104+AO104+AP104</f>
        <v>0</v>
      </c>
    </row>
    <row r="105" spans="1:73">
      <c r="A105" s="1">
        <v>8</v>
      </c>
      <c r="B105" s="1" t="s">
        <v>140</v>
      </c>
      <c r="C105" s="1" t="s">
        <v>1</v>
      </c>
      <c r="D105" s="1" t="s">
        <v>20</v>
      </c>
      <c r="E105" s="6">
        <v>6</v>
      </c>
      <c r="F105" s="6"/>
      <c r="G105" s="6"/>
      <c r="H105" s="6">
        <v>6</v>
      </c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>
        <v>10</v>
      </c>
      <c r="AS105" s="4"/>
      <c r="AT105" s="4"/>
      <c r="AU105" s="4"/>
      <c r="AV105" s="4"/>
      <c r="AW105" s="2"/>
      <c r="AX105" s="2"/>
      <c r="AY105" s="2"/>
      <c r="AZ105" s="2"/>
      <c r="BA105" s="2"/>
      <c r="BB105" s="2">
        <v>10</v>
      </c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32</v>
      </c>
      <c r="BQ105" s="1">
        <v>6</v>
      </c>
      <c r="BR105" s="17">
        <v>1</v>
      </c>
      <c r="BS105" s="17" t="s">
        <v>251</v>
      </c>
      <c r="BT105">
        <f>SUM(P105:AD105)</f>
        <v>0</v>
      </c>
      <c r="BU105" s="23">
        <f>AF105+AH105+AI105+AJ105+AO105+AP105</f>
        <v>0</v>
      </c>
    </row>
    <row r="106" spans="1:73">
      <c r="A106" s="1"/>
      <c r="B106" s="1" t="s">
        <v>302</v>
      </c>
      <c r="C106" s="1" t="s">
        <v>127</v>
      </c>
      <c r="D106" s="1" t="s">
        <v>103</v>
      </c>
      <c r="E106" s="6"/>
      <c r="F106" s="6"/>
      <c r="G106" s="6"/>
      <c r="H106" s="6"/>
      <c r="I106" s="6"/>
      <c r="J106" s="6"/>
      <c r="K106" s="6"/>
      <c r="L106" s="6">
        <v>7</v>
      </c>
      <c r="M106" s="6"/>
      <c r="N106" s="6"/>
      <c r="O106" s="6"/>
      <c r="P106" s="28"/>
      <c r="Q106" s="28">
        <v>7</v>
      </c>
      <c r="R106" s="28"/>
      <c r="S106" s="28"/>
      <c r="T106" s="28">
        <v>7</v>
      </c>
      <c r="U106" s="28"/>
      <c r="V106" s="28"/>
      <c r="W106" s="28"/>
      <c r="X106" s="28">
        <v>7</v>
      </c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28</v>
      </c>
      <c r="BQ106" s="1">
        <v>7</v>
      </c>
      <c r="BR106" s="17">
        <v>1</v>
      </c>
      <c r="BS106" s="17" t="s">
        <v>287</v>
      </c>
      <c r="BT106">
        <f>SUM(P106:AD106)</f>
        <v>21</v>
      </c>
      <c r="BU106" s="23">
        <f>AF106+AH106+AI106+AJ106+AO106+AP106</f>
        <v>0</v>
      </c>
    </row>
    <row r="107" spans="1:73">
      <c r="A107" s="1"/>
      <c r="B107" s="1" t="s">
        <v>121</v>
      </c>
      <c r="C107" s="1" t="s">
        <v>119</v>
      </c>
      <c r="D107" s="1" t="s">
        <v>103</v>
      </c>
      <c r="E107" s="6"/>
      <c r="F107" s="6"/>
      <c r="G107" s="6"/>
      <c r="H107" s="6">
        <v>7</v>
      </c>
      <c r="I107" s="6"/>
      <c r="J107" s="6"/>
      <c r="K107" s="6"/>
      <c r="L107" s="6"/>
      <c r="M107" s="6"/>
      <c r="N107" s="6"/>
      <c r="O107" s="6"/>
      <c r="P107" s="28"/>
      <c r="Q107" s="28">
        <v>7</v>
      </c>
      <c r="R107" s="28"/>
      <c r="S107" s="28"/>
      <c r="T107" s="28">
        <v>7</v>
      </c>
      <c r="U107" s="28"/>
      <c r="V107" s="28"/>
      <c r="W107" s="28"/>
      <c r="X107" s="28"/>
      <c r="Y107" s="28"/>
      <c r="Z107" s="28"/>
      <c r="AA107" s="28">
        <v>7</v>
      </c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28</v>
      </c>
      <c r="BQ107" s="1">
        <v>7</v>
      </c>
      <c r="BR107" s="17">
        <v>1</v>
      </c>
      <c r="BS107" s="17" t="s">
        <v>275</v>
      </c>
      <c r="BT107">
        <f>SUM(P107:AD107)</f>
        <v>21</v>
      </c>
      <c r="BU107" s="23">
        <f>AF107+AH107+AI107+AJ107+AO107+AP107</f>
        <v>0</v>
      </c>
    </row>
    <row r="108" spans="1:73">
      <c r="A108" s="1"/>
      <c r="B108" s="1" t="s">
        <v>241</v>
      </c>
      <c r="C108" s="1" t="s">
        <v>95</v>
      </c>
      <c r="D108" s="1" t="s">
        <v>242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>
        <v>40</v>
      </c>
      <c r="AV108" s="4"/>
      <c r="AW108" s="2"/>
      <c r="AX108" s="2"/>
      <c r="AY108" s="2">
        <v>40</v>
      </c>
      <c r="AZ108" s="2">
        <v>40</v>
      </c>
      <c r="BA108" s="2"/>
      <c r="BB108" s="2"/>
      <c r="BC108" s="14">
        <v>10</v>
      </c>
      <c r="BD108" s="1"/>
      <c r="BE108" s="1"/>
      <c r="BF108" s="1"/>
      <c r="BG108" s="1"/>
      <c r="BH108" s="1"/>
      <c r="BI108" s="1">
        <v>50</v>
      </c>
      <c r="BJ108" s="1"/>
      <c r="BK108" s="1"/>
      <c r="BL108" s="1"/>
      <c r="BM108" s="1"/>
      <c r="BN108" s="1"/>
      <c r="BO108" s="1"/>
      <c r="BP108" s="1">
        <f>SUM(E108:BO108)</f>
        <v>180</v>
      </c>
      <c r="BQ108" s="1">
        <v>7</v>
      </c>
      <c r="BR108" s="17">
        <v>1</v>
      </c>
      <c r="BS108" s="17" t="s">
        <v>285</v>
      </c>
      <c r="BT108">
        <f>SUM(P108:AD108)</f>
        <v>0</v>
      </c>
      <c r="BU108" s="23">
        <f>AF108+AH108+AI108+AJ108+AO108+AP108</f>
        <v>0</v>
      </c>
    </row>
    <row r="109" spans="1:73">
      <c r="A109" s="1"/>
      <c r="B109" s="3" t="s">
        <v>211</v>
      </c>
      <c r="C109" s="3" t="s">
        <v>209</v>
      </c>
      <c r="D109" s="1" t="s">
        <v>203</v>
      </c>
      <c r="E109" s="6"/>
      <c r="F109" s="6"/>
      <c r="G109" s="6"/>
      <c r="H109" s="6"/>
      <c r="I109" s="6"/>
      <c r="J109" s="6"/>
      <c r="K109" s="6">
        <v>10</v>
      </c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9</v>
      </c>
      <c r="BR109" s="17">
        <v>1</v>
      </c>
      <c r="BS109" s="17" t="s">
        <v>299</v>
      </c>
      <c r="BT109">
        <f>SUM(P109:AD109)</f>
        <v>20</v>
      </c>
      <c r="BU109" s="23">
        <f>AF109+AH109+AI109+AJ109+AO109+AP109</f>
        <v>0</v>
      </c>
    </row>
    <row r="110" spans="1:73">
      <c r="A110" s="1"/>
      <c r="B110" s="1" t="s">
        <v>126</v>
      </c>
      <c r="C110" s="1" t="s">
        <v>127</v>
      </c>
      <c r="D110" s="1" t="s">
        <v>103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9</v>
      </c>
      <c r="BR110" s="17">
        <v>1</v>
      </c>
      <c r="BS110" s="17" t="s">
        <v>299</v>
      </c>
      <c r="BT110">
        <f>SUM(P110:AD110)</f>
        <v>20</v>
      </c>
      <c r="BU110" s="23">
        <f>AF110+AH110+AI110+AJ110+AO110+AP110</f>
        <v>0</v>
      </c>
    </row>
    <row r="111" spans="1:73">
      <c r="A111" s="1"/>
      <c r="B111" s="1" t="s">
        <v>134</v>
      </c>
      <c r="C111" s="1" t="s">
        <v>129</v>
      </c>
      <c r="D111" s="1" t="s">
        <v>103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9</v>
      </c>
      <c r="BR111" s="17">
        <v>1</v>
      </c>
      <c r="BS111" s="17" t="s">
        <v>299</v>
      </c>
      <c r="BT111">
        <f>SUM(P111:AD111)</f>
        <v>20</v>
      </c>
      <c r="BU111" s="23">
        <f>AF111+AH111+AI111+AJ111+AO111+AP111</f>
        <v>0</v>
      </c>
    </row>
    <row r="112" spans="1:73">
      <c r="A112" s="1"/>
      <c r="B112" s="3" t="s">
        <v>204</v>
      </c>
      <c r="C112" s="3" t="s">
        <v>50</v>
      </c>
      <c r="D112" s="1" t="s">
        <v>203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9</v>
      </c>
      <c r="BR112" s="17">
        <v>1</v>
      </c>
      <c r="BS112" s="17" t="s">
        <v>299</v>
      </c>
      <c r="BT112">
        <f>SUM(P112:AD112)</f>
        <v>20</v>
      </c>
      <c r="BU112" s="23">
        <f>AF112+AH112+AI112+AJ112+AO112+AP112</f>
        <v>0</v>
      </c>
    </row>
    <row r="113" spans="1:73">
      <c r="A113" s="1"/>
      <c r="B113" s="1" t="s">
        <v>261</v>
      </c>
      <c r="C113" s="1" t="s">
        <v>119</v>
      </c>
      <c r="D113" s="1" t="s">
        <v>259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9</v>
      </c>
      <c r="BR113" s="17">
        <v>1</v>
      </c>
      <c r="BS113" s="17" t="s">
        <v>299</v>
      </c>
      <c r="BT113">
        <f>SUM(P113:AD113)</f>
        <v>20</v>
      </c>
      <c r="BU113" s="23">
        <f>AF113+AH113+AI113+AJ113+AO113+AP113</f>
        <v>0</v>
      </c>
    </row>
    <row r="114" spans="1:73">
      <c r="A114" s="1"/>
      <c r="B114" s="1" t="s">
        <v>284</v>
      </c>
      <c r="C114" s="1" t="s">
        <v>36</v>
      </c>
      <c r="D114" s="1" t="s">
        <v>283</v>
      </c>
      <c r="E114" s="6"/>
      <c r="F114" s="6"/>
      <c r="G114" s="6"/>
      <c r="H114" s="6"/>
      <c r="I114" s="6"/>
      <c r="J114" s="6">
        <v>10</v>
      </c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>
        <v>10</v>
      </c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9</v>
      </c>
      <c r="BR114" s="17">
        <v>1</v>
      </c>
      <c r="BS114" s="17" t="s">
        <v>299</v>
      </c>
      <c r="BT114">
        <f>SUM(P114:AD114)</f>
        <v>20</v>
      </c>
      <c r="BU114" s="23">
        <f>AF114+AH114+AI114+AJ114+AO114+AP114</f>
        <v>0</v>
      </c>
    </row>
    <row r="115" spans="1:73">
      <c r="A115" s="59"/>
      <c r="B115" s="59" t="s">
        <v>141</v>
      </c>
      <c r="C115" s="59" t="s">
        <v>95</v>
      </c>
      <c r="D115" s="59" t="s">
        <v>84</v>
      </c>
      <c r="E115" s="60">
        <v>15</v>
      </c>
      <c r="F115" s="60"/>
      <c r="G115" s="60">
        <v>15</v>
      </c>
      <c r="H115" s="60"/>
      <c r="I115" s="60"/>
      <c r="J115" s="60"/>
      <c r="K115" s="60"/>
      <c r="L115" s="60"/>
      <c r="M115" s="60"/>
      <c r="N115" s="60"/>
      <c r="O115" s="60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62"/>
      <c r="AR115" s="62">
        <v>15</v>
      </c>
      <c r="AS115" s="62"/>
      <c r="AT115" s="62"/>
      <c r="AU115" s="62"/>
      <c r="AV115" s="62"/>
      <c r="AW115" s="63"/>
      <c r="AX115" s="63"/>
      <c r="AY115" s="63"/>
      <c r="AZ115" s="63"/>
      <c r="BA115" s="63"/>
      <c r="BB115" s="63">
        <v>15</v>
      </c>
      <c r="BC115" s="64"/>
      <c r="BD115" s="59"/>
      <c r="BE115" s="59"/>
      <c r="BF115" s="59"/>
      <c r="BG115" s="59"/>
      <c r="BH115" s="59"/>
      <c r="BI115" s="59"/>
      <c r="BJ115" s="59"/>
      <c r="BK115" s="59"/>
      <c r="BL115" s="59"/>
      <c r="BM115" s="59"/>
      <c r="BN115" s="59"/>
      <c r="BO115" s="59"/>
      <c r="BP115" s="59">
        <f>SUM(E115:BO115)</f>
        <v>60</v>
      </c>
      <c r="BQ115" s="59">
        <v>9</v>
      </c>
      <c r="BR115" s="65">
        <v>1</v>
      </c>
      <c r="BS115" s="65" t="s">
        <v>272</v>
      </c>
      <c r="BT115">
        <f>SUM(P115:AD115)</f>
        <v>0</v>
      </c>
      <c r="BU115" s="23">
        <f>AF115+AH115+AI115+AJ115+AO115+AP115</f>
        <v>0</v>
      </c>
    </row>
    <row r="116" spans="1:73">
      <c r="A116" s="1"/>
      <c r="B116" s="3" t="s">
        <v>206</v>
      </c>
      <c r="C116" s="3" t="s">
        <v>207</v>
      </c>
      <c r="D116" s="1" t="s">
        <v>203</v>
      </c>
      <c r="E116" s="6"/>
      <c r="F116" s="6"/>
      <c r="G116" s="6"/>
      <c r="H116" s="6"/>
      <c r="I116" s="6"/>
      <c r="J116" s="6"/>
      <c r="K116" s="6"/>
      <c r="L116" s="6"/>
      <c r="M116" s="6"/>
      <c r="N116" s="6">
        <v>10</v>
      </c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>
        <v>10</v>
      </c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10</v>
      </c>
      <c r="BR116" s="17">
        <v>1</v>
      </c>
      <c r="BS116" s="17" t="s">
        <v>289</v>
      </c>
      <c r="BT116">
        <f>SUM(P116:AD116)</f>
        <v>30</v>
      </c>
      <c r="BU116" s="23">
        <f>AF116+AH116+AI116+AJ116+AO116+AP116</f>
        <v>0</v>
      </c>
    </row>
    <row r="117" spans="1:73">
      <c r="A117" s="1"/>
      <c r="B117" s="1" t="s">
        <v>263</v>
      </c>
      <c r="C117" s="1" t="s">
        <v>50</v>
      </c>
      <c r="D117" s="1" t="s">
        <v>259</v>
      </c>
      <c r="E117" s="6"/>
      <c r="F117" s="6"/>
      <c r="G117" s="6"/>
      <c r="H117" s="6"/>
      <c r="I117" s="6"/>
      <c r="J117" s="6"/>
      <c r="K117" s="6"/>
      <c r="L117" s="6">
        <v>10</v>
      </c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>
        <v>10</v>
      </c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10</v>
      </c>
      <c r="BR117" s="17">
        <v>1</v>
      </c>
      <c r="BS117" s="17" t="s">
        <v>289</v>
      </c>
      <c r="BT117">
        <f>SUM(P117:AD117)</f>
        <v>20</v>
      </c>
      <c r="BU117" s="23">
        <f>AF117+AH117+AI117+AJ117+AO117+AP117</f>
        <v>0</v>
      </c>
    </row>
    <row r="118" spans="1:73">
      <c r="A118" s="1"/>
      <c r="B118" s="1" t="s">
        <v>151</v>
      </c>
      <c r="C118" s="1" t="s">
        <v>98</v>
      </c>
      <c r="D118" s="1" t="s">
        <v>85</v>
      </c>
      <c r="E118" s="6"/>
      <c r="F118" s="6"/>
      <c r="G118" s="6"/>
      <c r="H118" s="6">
        <v>10</v>
      </c>
      <c r="I118" s="6"/>
      <c r="J118" s="6">
        <v>10</v>
      </c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>
        <v>10</v>
      </c>
      <c r="AU118" s="4"/>
      <c r="AV118" s="4"/>
      <c r="AW118" s="2"/>
      <c r="AX118" s="2"/>
      <c r="AY118" s="2">
        <v>10</v>
      </c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10</v>
      </c>
      <c r="BR118" s="17">
        <v>1</v>
      </c>
      <c r="BS118" s="17" t="s">
        <v>244</v>
      </c>
      <c r="BT118">
        <f>SUM(P118:AD118)</f>
        <v>0</v>
      </c>
      <c r="BU118" s="23">
        <f>AF118+AH118+AI118+AJ118+AO118+AP118</f>
        <v>0</v>
      </c>
    </row>
    <row r="119" spans="1:73">
      <c r="A119" s="18">
        <v>64</v>
      </c>
      <c r="B119" s="24" t="s">
        <v>48</v>
      </c>
      <c r="C119" s="18" t="s">
        <v>43</v>
      </c>
      <c r="D119" s="18" t="s">
        <v>0</v>
      </c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>
        <v>15</v>
      </c>
      <c r="AO119" s="18"/>
      <c r="AP119" s="18"/>
      <c r="AQ119" s="20"/>
      <c r="AR119" s="20"/>
      <c r="AS119" s="20"/>
      <c r="AT119" s="20"/>
      <c r="AU119" s="20"/>
      <c r="AV119" s="20"/>
      <c r="AW119" s="21"/>
      <c r="AX119" s="21"/>
      <c r="AY119" s="21"/>
      <c r="AZ119" s="21"/>
      <c r="BA119" s="21"/>
      <c r="BB119" s="21"/>
      <c r="BC119" s="26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>
        <f>SUM(E119:BO119)</f>
        <v>15</v>
      </c>
      <c r="BQ119" s="18">
        <v>11</v>
      </c>
      <c r="BR119" s="22">
        <v>1</v>
      </c>
      <c r="BS119" s="22" t="s">
        <v>270</v>
      </c>
      <c r="BT119">
        <f>SUM(P119:AD119)</f>
        <v>0</v>
      </c>
      <c r="BU119" s="23">
        <f>AF119+AH119+AI119+AJ119+AO119+AP119</f>
        <v>0</v>
      </c>
    </row>
    <row r="120" spans="1:73">
      <c r="A120" s="1">
        <v>54</v>
      </c>
      <c r="B120" s="1" t="s">
        <v>42</v>
      </c>
      <c r="C120" s="1" t="s">
        <v>43</v>
      </c>
      <c r="D120" s="1" t="s">
        <v>0</v>
      </c>
      <c r="E120" s="6"/>
      <c r="F120" s="6">
        <v>15</v>
      </c>
      <c r="G120" s="6"/>
      <c r="H120" s="6">
        <v>15</v>
      </c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>
        <v>15</v>
      </c>
      <c r="AW120" s="2"/>
      <c r="AX120" s="2"/>
      <c r="AY120" s="2"/>
      <c r="AZ120" s="2"/>
      <c r="BA120" s="2">
        <v>15</v>
      </c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60</v>
      </c>
      <c r="BQ120" s="1">
        <v>15</v>
      </c>
      <c r="BR120" s="17">
        <v>1</v>
      </c>
      <c r="BS120" s="17" t="s">
        <v>273</v>
      </c>
      <c r="BT120">
        <f>SUM(P120:AD120)</f>
        <v>0</v>
      </c>
      <c r="BU120" s="23">
        <f>AF120+AH120+AI120+AJ120+AO120+AP120</f>
        <v>0</v>
      </c>
    </row>
    <row r="121" spans="1:73">
      <c r="A121" s="1">
        <v>98</v>
      </c>
      <c r="B121" s="3" t="s">
        <v>139</v>
      </c>
      <c r="C121" s="3" t="s">
        <v>52</v>
      </c>
      <c r="D121" s="1" t="s">
        <v>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>
        <v>50</v>
      </c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50</v>
      </c>
      <c r="BQ121" s="1">
        <v>40</v>
      </c>
      <c r="BR121" s="17">
        <v>1</v>
      </c>
      <c r="BS121" s="17" t="s">
        <v>290</v>
      </c>
      <c r="BT121">
        <f>SUM(P121:AD121)</f>
        <v>0</v>
      </c>
      <c r="BU121" s="23">
        <f>AF121+AH121+AI121+AJ121+AO121+AP121</f>
        <v>0</v>
      </c>
    </row>
    <row r="122" spans="1:73">
      <c r="A122" s="1">
        <v>99</v>
      </c>
      <c r="B122" s="3" t="s">
        <v>139</v>
      </c>
      <c r="C122" s="3" t="s">
        <v>52</v>
      </c>
      <c r="D122" s="1" t="s">
        <v>9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>
        <v>200</v>
      </c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200</v>
      </c>
      <c r="BQ122" s="1">
        <v>190</v>
      </c>
      <c r="BR122" s="17">
        <v>1</v>
      </c>
      <c r="BS122" s="17" t="s">
        <v>306</v>
      </c>
      <c r="BT122">
        <f>SUM(P122:AD122)</f>
        <v>0</v>
      </c>
      <c r="BU122" s="23">
        <f>AF122+AH122+AI122+AJ122+AO122+AP122</f>
        <v>0</v>
      </c>
    </row>
    <row r="123" spans="1:73" ht="27">
      <c r="A123" s="1"/>
      <c r="B123" s="1" t="s">
        <v>284</v>
      </c>
      <c r="C123" s="1" t="s">
        <v>36</v>
      </c>
      <c r="D123" s="1" t="s">
        <v>282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>
        <v>2</v>
      </c>
      <c r="S123" s="28"/>
      <c r="T123" s="28">
        <v>5</v>
      </c>
      <c r="U123" s="28"/>
      <c r="V123" s="28"/>
      <c r="W123" s="28"/>
      <c r="X123" s="28">
        <v>2</v>
      </c>
      <c r="Y123" s="28"/>
      <c r="Z123" s="28"/>
      <c r="AA123" s="28"/>
      <c r="AB123" s="28"/>
      <c r="AC123" s="28"/>
      <c r="AD123" s="28">
        <v>2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11</v>
      </c>
      <c r="BQ123" s="1">
        <v>3</v>
      </c>
      <c r="BR123" s="17">
        <v>2</v>
      </c>
      <c r="BS123" s="17" t="s">
        <v>300</v>
      </c>
      <c r="BT123">
        <f>SUM(P123:AD123)</f>
        <v>11</v>
      </c>
      <c r="BU123" s="23">
        <f>AF123+AH123+AI123+AJ123+AO123+AP123</f>
        <v>0</v>
      </c>
    </row>
    <row r="124" spans="1:73" ht="27">
      <c r="A124" s="1"/>
      <c r="B124" s="1" t="s">
        <v>136</v>
      </c>
      <c r="C124" s="1" t="s">
        <v>83</v>
      </c>
      <c r="D124" s="1" t="s">
        <v>85</v>
      </c>
      <c r="E124" s="6">
        <v>10</v>
      </c>
      <c r="F124" s="6"/>
      <c r="G124" s="6">
        <v>10</v>
      </c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>
        <v>15</v>
      </c>
      <c r="AU124" s="4"/>
      <c r="AV124" s="4"/>
      <c r="AW124" s="2"/>
      <c r="AX124" s="2"/>
      <c r="AY124" s="2"/>
      <c r="AZ124" s="2">
        <v>15</v>
      </c>
      <c r="BA124" s="2">
        <v>15</v>
      </c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65</v>
      </c>
      <c r="BQ124" s="1">
        <v>5</v>
      </c>
      <c r="BR124" s="17">
        <v>2</v>
      </c>
      <c r="BS124" s="17" t="s">
        <v>291</v>
      </c>
      <c r="BT124">
        <f>SUM(P124:AD124)</f>
        <v>0</v>
      </c>
      <c r="BU124" s="23">
        <f>AF124+AH124+AI124+AJ124+AO124+AP124</f>
        <v>0</v>
      </c>
    </row>
    <row r="125" spans="1:73" ht="27">
      <c r="A125" s="1"/>
      <c r="B125" s="1" t="s">
        <v>94</v>
      </c>
      <c r="C125" s="1" t="s">
        <v>87</v>
      </c>
      <c r="D125" s="1" t="s">
        <v>84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>
        <v>5</v>
      </c>
      <c r="AP125" s="1">
        <v>1</v>
      </c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6</v>
      </c>
      <c r="BQ125" s="1">
        <v>6</v>
      </c>
      <c r="BR125" s="17">
        <v>2</v>
      </c>
      <c r="BS125" s="17" t="s">
        <v>252</v>
      </c>
      <c r="BT125">
        <f>SUM(P125:AD125)</f>
        <v>0</v>
      </c>
      <c r="BU125" s="23">
        <f>AF125+AH125+AI125+AJ125+AO125+AP125</f>
        <v>6</v>
      </c>
    </row>
    <row r="126" spans="1:73" ht="27">
      <c r="A126" s="1"/>
      <c r="B126" s="1" t="s">
        <v>175</v>
      </c>
      <c r="C126" s="1" t="s">
        <v>24</v>
      </c>
      <c r="D126" s="1" t="s">
        <v>19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>
        <v>5</v>
      </c>
      <c r="AP126" s="1">
        <v>1</v>
      </c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6</v>
      </c>
      <c r="BQ126" s="1">
        <v>6</v>
      </c>
      <c r="BR126" s="17">
        <v>2</v>
      </c>
      <c r="BS126" s="17" t="s">
        <v>252</v>
      </c>
      <c r="BT126">
        <f>SUM(P126:AD126)</f>
        <v>0</v>
      </c>
      <c r="BU126" s="23">
        <f>AF126+AH126+AI126+AJ126+AO126+AP126</f>
        <v>6</v>
      </c>
    </row>
    <row r="127" spans="1:73" ht="27">
      <c r="A127" s="1"/>
      <c r="B127" s="1" t="s">
        <v>90</v>
      </c>
      <c r="C127" s="1" t="s">
        <v>87</v>
      </c>
      <c r="D127" s="1" t="s">
        <v>91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>
        <v>3</v>
      </c>
      <c r="AP127" s="1">
        <v>5</v>
      </c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8</v>
      </c>
      <c r="BQ127" s="1">
        <v>8</v>
      </c>
      <c r="BR127" s="17">
        <v>2</v>
      </c>
      <c r="BS127" s="17" t="s">
        <v>271</v>
      </c>
      <c r="BT127">
        <f>SUM(P127:AD127)</f>
        <v>0</v>
      </c>
      <c r="BU127" s="23">
        <f>AF127+AH127+AI127+AJ127+AO127+AP127</f>
        <v>8</v>
      </c>
    </row>
    <row r="128" spans="1:73" ht="27">
      <c r="A128" s="1">
        <v>27</v>
      </c>
      <c r="B128" s="1" t="s">
        <v>57</v>
      </c>
      <c r="C128" s="1" t="s">
        <v>24</v>
      </c>
      <c r="D128" s="1" t="s">
        <v>18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>
        <v>5</v>
      </c>
      <c r="AI128" s="1">
        <v>5</v>
      </c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10</v>
      </c>
      <c r="BQ128" s="1">
        <v>10</v>
      </c>
      <c r="BR128" s="17">
        <v>2</v>
      </c>
      <c r="BS128" s="17" t="s">
        <v>253</v>
      </c>
      <c r="BT128">
        <f>SUM(P128:AD128)</f>
        <v>0</v>
      </c>
      <c r="BU128" s="23">
        <f>AF128+AH128+AI128+AJ128+AO128+AP128</f>
        <v>10</v>
      </c>
    </row>
    <row r="129" spans="1:73" ht="27">
      <c r="A129" s="1">
        <v>88</v>
      </c>
      <c r="B129" s="3" t="s">
        <v>62</v>
      </c>
      <c r="C129" s="3" t="s">
        <v>63</v>
      </c>
      <c r="D129" s="1" t="s">
        <v>18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>
        <v>5</v>
      </c>
      <c r="AI129" s="1">
        <v>5</v>
      </c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10</v>
      </c>
      <c r="BQ129" s="1">
        <v>10</v>
      </c>
      <c r="BR129" s="17">
        <v>2</v>
      </c>
      <c r="BS129" s="17" t="s">
        <v>253</v>
      </c>
      <c r="BT129">
        <f>SUM(P129:AD129)</f>
        <v>0</v>
      </c>
      <c r="BU129" s="23">
        <f>AF129+AH129+AI129+AJ129+AO129+AP129</f>
        <v>10</v>
      </c>
    </row>
    <row r="130" spans="1:73" ht="27">
      <c r="A130" s="1"/>
      <c r="B130" s="1" t="s">
        <v>130</v>
      </c>
      <c r="C130" s="1" t="s">
        <v>129</v>
      </c>
      <c r="D130" s="1" t="s">
        <v>103</v>
      </c>
      <c r="E130" s="6"/>
      <c r="F130" s="6"/>
      <c r="G130" s="6">
        <v>10</v>
      </c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>
        <v>10</v>
      </c>
      <c r="Y130" s="28"/>
      <c r="Z130" s="28"/>
      <c r="AA130" s="28"/>
      <c r="AB130" s="28"/>
      <c r="AC130" s="28"/>
      <c r="AD130" s="28">
        <v>10</v>
      </c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>
        <v>10</v>
      </c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14</v>
      </c>
      <c r="BR130" s="17">
        <v>2</v>
      </c>
      <c r="BS130" s="17" t="s">
        <v>292</v>
      </c>
      <c r="BT130">
        <f>SUM(P130:AD130)</f>
        <v>20</v>
      </c>
      <c r="BU130" s="23">
        <f>AF130+AH130+AI130+AJ130+AO130+AP130</f>
        <v>0</v>
      </c>
    </row>
    <row r="131" spans="1:73" ht="27">
      <c r="A131" s="1"/>
      <c r="B131" s="1" t="s">
        <v>296</v>
      </c>
      <c r="C131" s="1" t="s">
        <v>98</v>
      </c>
      <c r="D131" s="1" t="s">
        <v>135</v>
      </c>
      <c r="E131" s="6"/>
      <c r="F131" s="6"/>
      <c r="G131" s="6">
        <v>10</v>
      </c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>
        <v>10</v>
      </c>
      <c r="Y131" s="28"/>
      <c r="Z131" s="28"/>
      <c r="AA131" s="28"/>
      <c r="AB131" s="28"/>
      <c r="AC131" s="28"/>
      <c r="AD131" s="28">
        <v>10</v>
      </c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>
        <v>10</v>
      </c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14</v>
      </c>
      <c r="BR131" s="17">
        <v>2</v>
      </c>
      <c r="BS131" s="17" t="s">
        <v>292</v>
      </c>
      <c r="BT131">
        <f>SUM(P131:AD131)</f>
        <v>20</v>
      </c>
      <c r="BU131" s="23">
        <f>AF131+AH131+AI131+AJ131+AO131+AP131</f>
        <v>0</v>
      </c>
    </row>
    <row r="132" spans="1:73" ht="27">
      <c r="A132" s="1"/>
      <c r="B132" s="3" t="s">
        <v>208</v>
      </c>
      <c r="C132" s="3" t="s">
        <v>209</v>
      </c>
      <c r="D132" s="1" t="s">
        <v>203</v>
      </c>
      <c r="E132" s="6"/>
      <c r="F132" s="6"/>
      <c r="G132" s="6">
        <v>10</v>
      </c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>
        <v>10</v>
      </c>
      <c r="Y132" s="28"/>
      <c r="Z132" s="28"/>
      <c r="AA132" s="28"/>
      <c r="AB132" s="28"/>
      <c r="AC132" s="28"/>
      <c r="AD132" s="28">
        <v>10</v>
      </c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>
        <v>10</v>
      </c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14</v>
      </c>
      <c r="BR132" s="17">
        <v>2</v>
      </c>
      <c r="BS132" s="17" t="s">
        <v>292</v>
      </c>
      <c r="BT132">
        <f>SUM(P132:AD132)</f>
        <v>20</v>
      </c>
      <c r="BU132" s="23">
        <f>AF132+AH132+AI132+AJ132+AO132+AP132</f>
        <v>0</v>
      </c>
    </row>
    <row r="133" spans="1:73" ht="27">
      <c r="A133" s="1"/>
      <c r="B133" s="1" t="s">
        <v>260</v>
      </c>
      <c r="C133" s="1" t="s">
        <v>119</v>
      </c>
      <c r="D133" s="1" t="s">
        <v>259</v>
      </c>
      <c r="E133" s="6"/>
      <c r="F133" s="6"/>
      <c r="G133" s="6">
        <v>10</v>
      </c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>
        <v>10</v>
      </c>
      <c r="Y133" s="28"/>
      <c r="Z133" s="28"/>
      <c r="AA133" s="28"/>
      <c r="AB133" s="28"/>
      <c r="AC133" s="28"/>
      <c r="AD133" s="28">
        <v>10</v>
      </c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>
        <v>10</v>
      </c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14</v>
      </c>
      <c r="BR133" s="17">
        <v>2</v>
      </c>
      <c r="BS133" s="17" t="s">
        <v>292</v>
      </c>
      <c r="BT133">
        <f>SUM(P133:AD133)</f>
        <v>20</v>
      </c>
      <c r="BU133" s="23">
        <f>AF133+AH133+AI133+AJ133+AO133+AP133</f>
        <v>0</v>
      </c>
    </row>
    <row r="134" spans="1:73" ht="27">
      <c r="A134" s="1"/>
      <c r="B134" s="1" t="s">
        <v>90</v>
      </c>
      <c r="C134" s="1" t="s">
        <v>87</v>
      </c>
      <c r="D134" s="1" t="s">
        <v>84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>
        <v>5</v>
      </c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>
        <v>5</v>
      </c>
      <c r="AP134" s="1">
        <v>10</v>
      </c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20</v>
      </c>
      <c r="BQ134" s="1">
        <v>15</v>
      </c>
      <c r="BR134" s="17">
        <v>2</v>
      </c>
      <c r="BS134" s="17" t="s">
        <v>254</v>
      </c>
      <c r="BT134">
        <f>SUM(P134:AD134)</f>
        <v>0</v>
      </c>
      <c r="BU134" s="23">
        <f>AF134+AH134+AI134+AJ134+AO134+AP134</f>
        <v>15</v>
      </c>
    </row>
    <row r="135" spans="1:73" ht="27">
      <c r="A135" s="1"/>
      <c r="B135" s="1" t="s">
        <v>118</v>
      </c>
      <c r="C135" s="1" t="s">
        <v>119</v>
      </c>
      <c r="D135" s="1" t="s">
        <v>103</v>
      </c>
      <c r="E135" s="6">
        <v>10</v>
      </c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>
        <v>10</v>
      </c>
      <c r="S135" s="28"/>
      <c r="T135" s="28"/>
      <c r="U135" s="28">
        <v>10</v>
      </c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>
        <v>10</v>
      </c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40</v>
      </c>
      <c r="BQ135" s="1">
        <v>18</v>
      </c>
      <c r="BR135" s="17">
        <v>2</v>
      </c>
      <c r="BS135" s="17" t="s">
        <v>288</v>
      </c>
      <c r="BT135">
        <f>SUM(P135:AD135)</f>
        <v>20</v>
      </c>
      <c r="BU135" s="23">
        <f>AF135+AH135+AI135+AJ135+AO135+AP135</f>
        <v>0</v>
      </c>
    </row>
    <row r="136" spans="1:73" ht="27">
      <c r="A136" s="1"/>
      <c r="B136" s="1" t="s">
        <v>124</v>
      </c>
      <c r="C136" s="1" t="s">
        <v>123</v>
      </c>
      <c r="D136" s="1" t="s">
        <v>103</v>
      </c>
      <c r="E136" s="6">
        <v>10</v>
      </c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>
        <v>10</v>
      </c>
      <c r="S136" s="28"/>
      <c r="T136" s="28"/>
      <c r="U136" s="28">
        <v>10</v>
      </c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>
        <v>10</v>
      </c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40</v>
      </c>
      <c r="BQ136" s="1">
        <v>18</v>
      </c>
      <c r="BR136" s="17">
        <v>2</v>
      </c>
      <c r="BS136" s="17" t="s">
        <v>288</v>
      </c>
      <c r="BT136">
        <f>SUM(P136:AD136)</f>
        <v>20</v>
      </c>
      <c r="BU136" s="23">
        <f>AF136+AH136+AI136+AJ136+AO136+AP136</f>
        <v>0</v>
      </c>
    </row>
    <row r="137" spans="1:73" ht="27">
      <c r="A137" s="59"/>
      <c r="B137" s="59" t="s">
        <v>200</v>
      </c>
      <c r="C137" s="59" t="s">
        <v>129</v>
      </c>
      <c r="D137" s="59" t="s">
        <v>103</v>
      </c>
      <c r="E137" s="60">
        <v>10</v>
      </c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1"/>
      <c r="Q137" s="61"/>
      <c r="R137" s="61">
        <v>10</v>
      </c>
      <c r="S137" s="61"/>
      <c r="T137" s="61"/>
      <c r="U137" s="61">
        <v>10</v>
      </c>
      <c r="V137" s="61"/>
      <c r="W137" s="61"/>
      <c r="X137" s="61"/>
      <c r="Y137" s="61"/>
      <c r="Z137" s="61"/>
      <c r="AA137" s="61"/>
      <c r="AB137" s="61"/>
      <c r="AC137" s="61"/>
      <c r="AD137" s="61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62"/>
      <c r="AR137" s="62"/>
      <c r="AS137" s="62"/>
      <c r="AT137" s="62"/>
      <c r="AU137" s="62">
        <v>10</v>
      </c>
      <c r="AV137" s="62"/>
      <c r="AW137" s="63"/>
      <c r="AX137" s="63"/>
      <c r="AY137" s="63"/>
      <c r="AZ137" s="63"/>
      <c r="BA137" s="63"/>
      <c r="BB137" s="63"/>
      <c r="BC137" s="64"/>
      <c r="BD137" s="59"/>
      <c r="BE137" s="59"/>
      <c r="BF137" s="59"/>
      <c r="BG137" s="59"/>
      <c r="BH137" s="59"/>
      <c r="BI137" s="59"/>
      <c r="BJ137" s="59"/>
      <c r="BK137" s="59"/>
      <c r="BL137" s="59"/>
      <c r="BM137" s="59"/>
      <c r="BN137" s="59"/>
      <c r="BO137" s="59"/>
      <c r="BP137" s="59">
        <f>SUM(E137:BO137)</f>
        <v>40</v>
      </c>
      <c r="BQ137" s="59">
        <v>18</v>
      </c>
      <c r="BR137" s="65">
        <v>2</v>
      </c>
      <c r="BS137" s="65" t="s">
        <v>288</v>
      </c>
      <c r="BT137">
        <f>SUM(P137:AD137)</f>
        <v>20</v>
      </c>
      <c r="BU137" s="23">
        <f>AF137+AH137+AI137+AJ137+AO137+AP137</f>
        <v>0</v>
      </c>
    </row>
    <row r="138" spans="1:73" ht="27">
      <c r="A138" s="1"/>
      <c r="B138" s="3" t="s">
        <v>237</v>
      </c>
      <c r="C138" s="3" t="s">
        <v>50</v>
      </c>
      <c r="D138" s="1" t="s">
        <v>203</v>
      </c>
      <c r="E138" s="6">
        <v>10</v>
      </c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>
        <v>10</v>
      </c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>
        <v>10</v>
      </c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40</v>
      </c>
      <c r="BQ138" s="1">
        <v>18</v>
      </c>
      <c r="BR138" s="17">
        <v>2</v>
      </c>
      <c r="BS138" s="17" t="s">
        <v>288</v>
      </c>
      <c r="BT138">
        <f>SUM(P138:AD138)</f>
        <v>20</v>
      </c>
      <c r="BU138" s="23">
        <f>AF138+AH138+AI138+AJ138+AO138+AP138</f>
        <v>0</v>
      </c>
    </row>
    <row r="139" spans="1:73" ht="27">
      <c r="A139" s="1"/>
      <c r="B139" s="1" t="s">
        <v>265</v>
      </c>
      <c r="C139" s="1" t="s">
        <v>52</v>
      </c>
      <c r="D139" s="1" t="s">
        <v>259</v>
      </c>
      <c r="E139" s="6">
        <v>10</v>
      </c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>
        <v>10</v>
      </c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>
        <v>10</v>
      </c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18</v>
      </c>
      <c r="BR139" s="17">
        <v>2</v>
      </c>
      <c r="BS139" s="17" t="s">
        <v>288</v>
      </c>
      <c r="BT139">
        <f>SUM(P139:AD139)</f>
        <v>20</v>
      </c>
      <c r="BU139" s="23">
        <f>AF139+AH139+AI139+AJ139+AO139+AP139</f>
        <v>0</v>
      </c>
    </row>
    <row r="140" spans="1:73" ht="27">
      <c r="A140" s="1"/>
      <c r="B140" s="1" t="s">
        <v>266</v>
      </c>
      <c r="C140" s="1" t="s">
        <v>52</v>
      </c>
      <c r="D140" s="1" t="s">
        <v>259</v>
      </c>
      <c r="E140" s="6"/>
      <c r="F140" s="6"/>
      <c r="G140" s="6"/>
      <c r="H140" s="6"/>
      <c r="I140" s="6"/>
      <c r="J140" s="6"/>
      <c r="K140" s="6"/>
      <c r="L140" s="6">
        <v>10</v>
      </c>
      <c r="M140" s="6"/>
      <c r="N140" s="6"/>
      <c r="O140" s="6"/>
      <c r="P140" s="28"/>
      <c r="Q140" s="28"/>
      <c r="R140" s="28">
        <v>10</v>
      </c>
      <c r="S140" s="28"/>
      <c r="T140" s="28"/>
      <c r="U140" s="28">
        <v>10</v>
      </c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>
        <v>10</v>
      </c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18</v>
      </c>
      <c r="BR140" s="17">
        <v>2</v>
      </c>
      <c r="BS140" s="17" t="s">
        <v>288</v>
      </c>
      <c r="BT140">
        <f>SUM(P140:AD140)</f>
        <v>20</v>
      </c>
      <c r="BU140" s="23">
        <f>AF140+AH140+AI140+AJ140+AO140+AP140</f>
        <v>0</v>
      </c>
    </row>
    <row r="141" spans="1:73" ht="27">
      <c r="A141" s="1"/>
      <c r="B141" s="1" t="s">
        <v>280</v>
      </c>
      <c r="C141" s="1" t="s">
        <v>52</v>
      </c>
      <c r="D141" s="1" t="s">
        <v>283</v>
      </c>
      <c r="E141" s="6"/>
      <c r="F141" s="6"/>
      <c r="G141" s="6"/>
      <c r="H141" s="6"/>
      <c r="I141" s="6"/>
      <c r="J141" s="6"/>
      <c r="K141" s="6"/>
      <c r="L141" s="6">
        <v>10</v>
      </c>
      <c r="M141" s="6"/>
      <c r="N141" s="6"/>
      <c r="O141" s="6"/>
      <c r="P141" s="28"/>
      <c r="Q141" s="28"/>
      <c r="R141" s="28">
        <v>10</v>
      </c>
      <c r="S141" s="28"/>
      <c r="T141" s="28"/>
      <c r="U141" s="28">
        <v>10</v>
      </c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>
        <v>10</v>
      </c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40</v>
      </c>
      <c r="BQ141" s="1">
        <v>18</v>
      </c>
      <c r="BR141" s="17">
        <v>2</v>
      </c>
      <c r="BS141" s="17" t="s">
        <v>288</v>
      </c>
      <c r="BT141">
        <f>SUM(P141:AD141)</f>
        <v>20</v>
      </c>
      <c r="BU141" s="23">
        <f>AF141+AH141+AI141+AJ141+AO141+AP141</f>
        <v>0</v>
      </c>
    </row>
    <row r="142" spans="1:73" ht="27">
      <c r="A142" s="1"/>
      <c r="B142" s="1" t="s">
        <v>112</v>
      </c>
      <c r="C142" s="1" t="s">
        <v>100</v>
      </c>
      <c r="D142" s="1" t="s">
        <v>103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>
        <v>10</v>
      </c>
      <c r="P142" s="28"/>
      <c r="Q142" s="28"/>
      <c r="R142" s="28">
        <v>10</v>
      </c>
      <c r="S142" s="28"/>
      <c r="T142" s="28"/>
      <c r="U142" s="28"/>
      <c r="V142" s="28"/>
      <c r="W142" s="28"/>
      <c r="X142" s="28">
        <v>10</v>
      </c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>
        <v>10</v>
      </c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40</v>
      </c>
      <c r="BQ142" s="1">
        <v>19</v>
      </c>
      <c r="BR142" s="17">
        <v>2</v>
      </c>
      <c r="BS142" s="17" t="s">
        <v>293</v>
      </c>
      <c r="BT142">
        <f>SUM(P142:AD142)</f>
        <v>20</v>
      </c>
      <c r="BU142" s="23">
        <f>AF142+AH142+AI142+AJ142+AO142+AP142</f>
        <v>0</v>
      </c>
    </row>
    <row r="143" spans="1:73" ht="27">
      <c r="A143" s="1"/>
      <c r="B143" s="3" t="s">
        <v>213</v>
      </c>
      <c r="C143" s="3" t="s">
        <v>99</v>
      </c>
      <c r="D143" s="1" t="s">
        <v>203</v>
      </c>
      <c r="E143" s="6"/>
      <c r="F143" s="6"/>
      <c r="G143" s="6"/>
      <c r="H143" s="6"/>
      <c r="I143" s="6">
        <v>10</v>
      </c>
      <c r="J143" s="6"/>
      <c r="K143" s="6"/>
      <c r="L143" s="6"/>
      <c r="M143" s="6"/>
      <c r="N143" s="6"/>
      <c r="O143" s="6"/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>
        <v>10</v>
      </c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40</v>
      </c>
      <c r="BQ143" s="1">
        <v>19</v>
      </c>
      <c r="BR143" s="17">
        <v>2</v>
      </c>
      <c r="BS143" s="17" t="s">
        <v>293</v>
      </c>
      <c r="BT143">
        <f>SUM(P143:AD143)</f>
        <v>20</v>
      </c>
      <c r="BU143" s="23">
        <f>AF143+AH143+AI143+AJ143+AO143+AP143</f>
        <v>0</v>
      </c>
    </row>
    <row r="144" spans="1:73" ht="27">
      <c r="A144" s="1"/>
      <c r="B144" s="1" t="s">
        <v>262</v>
      </c>
      <c r="C144" s="1" t="s">
        <v>50</v>
      </c>
      <c r="D144" s="1" t="s">
        <v>259</v>
      </c>
      <c r="E144" s="6"/>
      <c r="F144" s="6"/>
      <c r="G144" s="6"/>
      <c r="H144" s="6"/>
      <c r="I144" s="6">
        <v>10</v>
      </c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>
        <v>10</v>
      </c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40</v>
      </c>
      <c r="BQ144" s="1">
        <v>19</v>
      </c>
      <c r="BR144" s="17">
        <v>2</v>
      </c>
      <c r="BS144" s="17" t="s">
        <v>293</v>
      </c>
      <c r="BT144">
        <f>SUM(P144:AD144)</f>
        <v>20</v>
      </c>
      <c r="BU144" s="23">
        <f>AF144+AH144+AI144+AJ144+AO144+AP144</f>
        <v>0</v>
      </c>
    </row>
    <row r="145" spans="1:73" ht="27">
      <c r="A145" s="1"/>
      <c r="B145" s="1" t="s">
        <v>267</v>
      </c>
      <c r="C145" s="1" t="s">
        <v>52</v>
      </c>
      <c r="D145" s="1" t="s">
        <v>259</v>
      </c>
      <c r="E145" s="6"/>
      <c r="F145" s="6"/>
      <c r="G145" s="6"/>
      <c r="H145" s="6"/>
      <c r="I145" s="6">
        <v>10</v>
      </c>
      <c r="J145" s="6"/>
      <c r="K145" s="6"/>
      <c r="L145" s="6"/>
      <c r="M145" s="6"/>
      <c r="N145" s="6"/>
      <c r="O145" s="6"/>
      <c r="P145" s="28"/>
      <c r="Q145" s="28"/>
      <c r="R145" s="28">
        <v>10</v>
      </c>
      <c r="S145" s="28"/>
      <c r="T145" s="28"/>
      <c r="U145" s="28"/>
      <c r="V145" s="28"/>
      <c r="W145" s="28"/>
      <c r="X145" s="28">
        <v>10</v>
      </c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>
        <v>10</v>
      </c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40</v>
      </c>
      <c r="BQ145" s="1">
        <v>19</v>
      </c>
      <c r="BR145" s="17">
        <v>2</v>
      </c>
      <c r="BS145" s="17" t="s">
        <v>293</v>
      </c>
      <c r="BT145">
        <f>SUM(P145:AD145)</f>
        <v>20</v>
      </c>
      <c r="BU145" s="23">
        <f>AF145+AH145+AI145+AJ145+AO145+AP145</f>
        <v>0</v>
      </c>
    </row>
    <row r="146" spans="1:73" ht="27">
      <c r="A146" s="1"/>
      <c r="B146" s="1" t="s">
        <v>90</v>
      </c>
      <c r="C146" s="1" t="s">
        <v>87</v>
      </c>
      <c r="D146" s="1" t="s">
        <v>85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>
        <v>10</v>
      </c>
      <c r="AP146" s="1">
        <v>10</v>
      </c>
      <c r="AQ146" s="4"/>
      <c r="AR146" s="4"/>
      <c r="AS146" s="4">
        <v>5</v>
      </c>
      <c r="AT146" s="4"/>
      <c r="AU146" s="4"/>
      <c r="AV146" s="4"/>
      <c r="AW146" s="2"/>
      <c r="AX146" s="2">
        <v>5</v>
      </c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>
        <f>SUM(E146:BO146)</f>
        <v>30</v>
      </c>
      <c r="BQ146" s="1">
        <v>20</v>
      </c>
      <c r="BR146" s="17">
        <v>2</v>
      </c>
      <c r="BS146" s="17" t="s">
        <v>246</v>
      </c>
      <c r="BT146">
        <f>SUM(P146:AD146)</f>
        <v>0</v>
      </c>
      <c r="BU146" s="23">
        <f>AF146+AH146+AI146+AJ146+AO146+AP146</f>
        <v>20</v>
      </c>
    </row>
    <row r="147" spans="1:73" ht="27">
      <c r="A147" s="1"/>
      <c r="B147" s="1" t="s">
        <v>86</v>
      </c>
      <c r="C147" s="1" t="s">
        <v>87</v>
      </c>
      <c r="D147" s="1" t="s">
        <v>84</v>
      </c>
      <c r="E147" s="6"/>
      <c r="F147" s="6"/>
      <c r="G147" s="6">
        <v>15</v>
      </c>
      <c r="H147" s="6">
        <v>15</v>
      </c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>
        <v>15</v>
      </c>
      <c r="AT147" s="4"/>
      <c r="AU147" s="4"/>
      <c r="AV147" s="4"/>
      <c r="AW147" s="2"/>
      <c r="AX147" s="2"/>
      <c r="AY147" s="2"/>
      <c r="AZ147" s="2"/>
      <c r="BA147" s="2"/>
      <c r="BB147" s="2">
        <v>15</v>
      </c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60</v>
      </c>
      <c r="BQ147" s="1">
        <v>24</v>
      </c>
      <c r="BR147" s="17">
        <v>2</v>
      </c>
      <c r="BS147" s="17" t="s">
        <v>278</v>
      </c>
      <c r="BT147">
        <f>SUM(P147:AD147)</f>
        <v>0</v>
      </c>
      <c r="BU147" s="23">
        <f>AF147+AH147+AI147+AJ147+AO147+AP147</f>
        <v>0</v>
      </c>
    </row>
    <row r="148" spans="1:73" ht="27">
      <c r="A148" s="18">
        <v>65</v>
      </c>
      <c r="B148" s="24" t="s">
        <v>48</v>
      </c>
      <c r="C148" s="18" t="s">
        <v>43</v>
      </c>
      <c r="D148" s="18" t="s">
        <v>9</v>
      </c>
      <c r="E148" s="19"/>
      <c r="F148" s="19"/>
      <c r="G148" s="19">
        <v>10</v>
      </c>
      <c r="H148" s="19"/>
      <c r="I148" s="19"/>
      <c r="J148" s="19"/>
      <c r="K148" s="19"/>
      <c r="L148" s="19"/>
      <c r="M148" s="19"/>
      <c r="N148" s="19"/>
      <c r="O148" s="1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>
        <v>25</v>
      </c>
      <c r="AO148" s="18"/>
      <c r="AP148" s="18"/>
      <c r="AQ148" s="20"/>
      <c r="AR148" s="20"/>
      <c r="AS148" s="20"/>
      <c r="AT148" s="20"/>
      <c r="AU148" s="20"/>
      <c r="AV148" s="20">
        <v>10</v>
      </c>
      <c r="AW148" s="21"/>
      <c r="AX148" s="21"/>
      <c r="AY148" s="21"/>
      <c r="AZ148" s="21">
        <v>10</v>
      </c>
      <c r="BA148" s="21"/>
      <c r="BB148" s="21"/>
      <c r="BC148" s="26"/>
      <c r="BD148" s="18"/>
      <c r="BE148" s="18"/>
      <c r="BF148" s="18"/>
      <c r="BG148" s="18"/>
      <c r="BH148" s="18"/>
      <c r="BI148" s="18"/>
      <c r="BJ148" s="18"/>
      <c r="BK148" s="18"/>
      <c r="BL148" s="18"/>
      <c r="BM148" s="18"/>
      <c r="BN148" s="18"/>
      <c r="BO148" s="18"/>
      <c r="BP148" s="18">
        <f>SUM(E148:BO148)</f>
        <v>55</v>
      </c>
      <c r="BQ148" s="18">
        <v>25</v>
      </c>
      <c r="BR148" s="22">
        <v>2</v>
      </c>
      <c r="BS148" s="22" t="s">
        <v>274</v>
      </c>
      <c r="BT148">
        <f>SUM(P148:AD148)</f>
        <v>0</v>
      </c>
      <c r="BU148" s="23">
        <f>AF148+AH148+AI148+AJ148+AO148+AP148</f>
        <v>0</v>
      </c>
    </row>
    <row r="149" spans="1:73" ht="27">
      <c r="A149" s="1"/>
      <c r="B149" s="1" t="s">
        <v>86</v>
      </c>
      <c r="C149" s="1" t="s">
        <v>87</v>
      </c>
      <c r="D149" s="1" t="s">
        <v>88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>
        <v>40</v>
      </c>
      <c r="AW149" s="2">
        <v>40</v>
      </c>
      <c r="AX149" s="2"/>
      <c r="AY149" s="2"/>
      <c r="AZ149" s="2"/>
      <c r="BA149" s="2"/>
      <c r="BB149" s="2">
        <v>40</v>
      </c>
      <c r="BC149" s="14">
        <v>10</v>
      </c>
      <c r="BD149" s="1">
        <v>50</v>
      </c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>
        <f>SUM(E149:BO149)</f>
        <v>180</v>
      </c>
      <c r="BQ149" s="1">
        <v>27</v>
      </c>
      <c r="BR149" s="17">
        <v>2</v>
      </c>
      <c r="BS149" s="17" t="s">
        <v>307</v>
      </c>
      <c r="BT149">
        <f>SUM(P149:AD149)</f>
        <v>0</v>
      </c>
      <c r="BU149" s="23">
        <f>AF149+AH149+AI149+AJ149+AO149+AP149</f>
        <v>0</v>
      </c>
    </row>
    <row r="150" spans="1:73" ht="27">
      <c r="A150" s="1"/>
      <c r="B150" s="1" t="s">
        <v>149</v>
      </c>
      <c r="C150" s="1" t="s">
        <v>98</v>
      </c>
      <c r="D150" s="1" t="s">
        <v>84</v>
      </c>
      <c r="E150" s="6"/>
      <c r="F150" s="6"/>
      <c r="G150" s="6">
        <v>20</v>
      </c>
      <c r="H150" s="6">
        <v>20</v>
      </c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>
        <v>20</v>
      </c>
      <c r="BB150" s="2">
        <v>20</v>
      </c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>SUM(E150:BO150)</f>
        <v>80</v>
      </c>
      <c r="BQ150" s="1">
        <v>34</v>
      </c>
      <c r="BR150" s="17">
        <v>2</v>
      </c>
      <c r="BS150" s="17" t="s">
        <v>286</v>
      </c>
      <c r="BT150">
        <f>SUM(P150:AD150)</f>
        <v>0</v>
      </c>
      <c r="BU150" s="23">
        <f>AF150+AH150+AI150+AJ150+AO150+AP150</f>
        <v>0</v>
      </c>
    </row>
    <row r="151" spans="1:73" ht="27">
      <c r="A151" s="1">
        <v>23</v>
      </c>
      <c r="B151" s="1" t="s">
        <v>81</v>
      </c>
      <c r="C151" s="1" t="s">
        <v>24</v>
      </c>
      <c r="D151" s="1" t="s">
        <v>29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>
        <v>50</v>
      </c>
      <c r="BK151" s="1">
        <v>50</v>
      </c>
      <c r="BL151" s="1"/>
      <c r="BM151" s="1"/>
      <c r="BN151" s="1">
        <v>50</v>
      </c>
      <c r="BO151" s="1">
        <v>50</v>
      </c>
      <c r="BP151" s="1">
        <f>SUM(E151:BO151)</f>
        <v>200</v>
      </c>
      <c r="BQ151" s="1">
        <v>90</v>
      </c>
      <c r="BR151" s="17">
        <v>2</v>
      </c>
      <c r="BS151" s="17" t="s">
        <v>245</v>
      </c>
      <c r="BT151">
        <f>SUM(P151:AD151)</f>
        <v>0</v>
      </c>
      <c r="BU151" s="23">
        <f>AF151+AH151+AI151+AJ151+AO151+AP151</f>
        <v>0</v>
      </c>
    </row>
    <row r="152" spans="1:73" ht="27">
      <c r="A152" s="1"/>
      <c r="B152" s="1" t="s">
        <v>144</v>
      </c>
      <c r="C152" s="1" t="s">
        <v>95</v>
      </c>
      <c r="D152" s="1" t="s">
        <v>96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>
        <v>50</v>
      </c>
      <c r="BK152" s="1">
        <v>50</v>
      </c>
      <c r="BL152" s="1"/>
      <c r="BM152" s="1"/>
      <c r="BN152" s="1">
        <v>50</v>
      </c>
      <c r="BO152" s="1">
        <v>50</v>
      </c>
      <c r="BP152" s="1">
        <f>SUM(E152:BO152)</f>
        <v>200</v>
      </c>
      <c r="BQ152" s="1">
        <v>90</v>
      </c>
      <c r="BR152" s="17">
        <v>2</v>
      </c>
      <c r="BS152" s="17" t="s">
        <v>245</v>
      </c>
      <c r="BT152">
        <f>SUM(P152:AD152)</f>
        <v>0</v>
      </c>
      <c r="BU152" s="23">
        <f>AF152+AH152+AI152+AJ152+AO152+AP152</f>
        <v>0</v>
      </c>
    </row>
    <row r="153" spans="1:73" ht="27">
      <c r="A153" s="1"/>
      <c r="B153" s="1" t="s">
        <v>142</v>
      </c>
      <c r="C153" s="1" t="s">
        <v>128</v>
      </c>
      <c r="D153" s="1" t="s">
        <v>29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>
        <v>50</v>
      </c>
      <c r="BK153" s="1">
        <v>50</v>
      </c>
      <c r="BL153" s="1"/>
      <c r="BM153" s="1"/>
      <c r="BN153" s="1">
        <v>50</v>
      </c>
      <c r="BO153" s="1">
        <v>50</v>
      </c>
      <c r="BP153" s="1">
        <f>SUM(E153:BO153)</f>
        <v>200</v>
      </c>
      <c r="BQ153" s="1">
        <v>90</v>
      </c>
      <c r="BR153" s="17">
        <v>2</v>
      </c>
      <c r="BS153" s="17" t="s">
        <v>245</v>
      </c>
      <c r="BT153">
        <f>SUM(P153:AD153)</f>
        <v>0</v>
      </c>
      <c r="BU153" s="23">
        <f>AF153+AH153+AI153+AJ153+AO153+AP153</f>
        <v>0</v>
      </c>
    </row>
    <row r="154" spans="1:73" ht="27">
      <c r="A154" s="1">
        <v>102</v>
      </c>
      <c r="B154" s="3" t="s">
        <v>174</v>
      </c>
      <c r="C154" s="3" t="s">
        <v>52</v>
      </c>
      <c r="D154" s="1" t="s">
        <v>29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>
        <v>50</v>
      </c>
      <c r="BK154" s="1">
        <v>50</v>
      </c>
      <c r="BL154" s="1"/>
      <c r="BM154" s="1"/>
      <c r="BN154" s="1">
        <v>50</v>
      </c>
      <c r="BO154" s="1">
        <v>50</v>
      </c>
      <c r="BP154" s="1">
        <f>SUM(E154:BO154)</f>
        <v>200</v>
      </c>
      <c r="BQ154" s="1">
        <v>90</v>
      </c>
      <c r="BR154" s="17">
        <v>2</v>
      </c>
      <c r="BS154" s="17" t="s">
        <v>245</v>
      </c>
      <c r="BT154">
        <f>SUM(P154:AD154)</f>
        <v>0</v>
      </c>
      <c r="BU154" s="23">
        <f>AF154+AH154+AI154+AJ154+AO154+AP154</f>
        <v>0</v>
      </c>
    </row>
    <row r="155" spans="1:73" ht="40.5">
      <c r="A155" s="1"/>
      <c r="B155" s="3" t="s">
        <v>201</v>
      </c>
      <c r="C155" s="3" t="s">
        <v>50</v>
      </c>
      <c r="D155" s="1" t="s">
        <v>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>
        <v>2</v>
      </c>
      <c r="S155" s="28"/>
      <c r="T155" s="28"/>
      <c r="U155" s="28">
        <v>2</v>
      </c>
      <c r="V155" s="28"/>
      <c r="W155" s="28"/>
      <c r="X155" s="28">
        <v>2</v>
      </c>
      <c r="Y155" s="28"/>
      <c r="Z155" s="28">
        <v>5</v>
      </c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>
        <f>SUM(E155:BO155)</f>
        <v>11</v>
      </c>
      <c r="BQ155" s="1">
        <v>4</v>
      </c>
      <c r="BR155" s="17">
        <v>3</v>
      </c>
      <c r="BS155" s="17" t="s">
        <v>308</v>
      </c>
      <c r="BT155">
        <f>SUM(P155:AD155)</f>
        <v>11</v>
      </c>
      <c r="BU155" s="23">
        <f>AF155+AH155+AI155+AJ155+AO155+AP155</f>
        <v>0</v>
      </c>
    </row>
    <row r="156" spans="1:73" ht="40.5">
      <c r="A156" s="1">
        <v>28</v>
      </c>
      <c r="B156" s="1" t="s">
        <v>57</v>
      </c>
      <c r="C156" s="1" t="s">
        <v>24</v>
      </c>
      <c r="D156" s="1" t="s">
        <v>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1"/>
      <c r="AF156" s="1"/>
      <c r="AG156" s="1"/>
      <c r="AH156" s="1">
        <v>5</v>
      </c>
      <c r="AI156" s="1">
        <v>5</v>
      </c>
      <c r="AJ156" s="1">
        <v>5</v>
      </c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>
        <f>SUM(E156:BO156)</f>
        <v>15</v>
      </c>
      <c r="BQ156" s="1">
        <v>15</v>
      </c>
      <c r="BR156" s="17">
        <v>3</v>
      </c>
      <c r="BS156" s="17" t="s">
        <v>276</v>
      </c>
      <c r="BT156">
        <f>SUM(P156:AD156)</f>
        <v>0</v>
      </c>
      <c r="BU156" s="23">
        <f>AF156+AH156+AI156+AJ156+AO156+AP156</f>
        <v>15</v>
      </c>
    </row>
    <row r="157" spans="1:73" ht="40.5">
      <c r="A157" s="1">
        <v>89</v>
      </c>
      <c r="B157" s="3" t="s">
        <v>62</v>
      </c>
      <c r="C157" s="3" t="s">
        <v>63</v>
      </c>
      <c r="D157" s="1" t="s">
        <v>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>
        <v>5</v>
      </c>
      <c r="AG157" s="1"/>
      <c r="AH157" s="1">
        <v>5</v>
      </c>
      <c r="AI157" s="1">
        <v>5</v>
      </c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>
        <f>SUM(E157:BO157)</f>
        <v>15</v>
      </c>
      <c r="BQ157" s="1">
        <v>15</v>
      </c>
      <c r="BR157" s="17">
        <v>3</v>
      </c>
      <c r="BS157" s="17" t="s">
        <v>277</v>
      </c>
      <c r="BT157">
        <f>SUM(P157:AD157)</f>
        <v>0</v>
      </c>
      <c r="BU157" s="23">
        <f>AF157+AH157+AI157+AJ157+AO157+AP157</f>
        <v>15</v>
      </c>
    </row>
    <row r="158" spans="1:73" ht="40.5">
      <c r="A158" s="1"/>
      <c r="B158" s="1" t="s">
        <v>131</v>
      </c>
      <c r="C158" s="1" t="s">
        <v>129</v>
      </c>
      <c r="D158" s="1" t="s">
        <v>103</v>
      </c>
      <c r="E158" s="6"/>
      <c r="F158" s="6"/>
      <c r="G158" s="6"/>
      <c r="H158" s="6">
        <v>10</v>
      </c>
      <c r="I158" s="6"/>
      <c r="J158" s="6"/>
      <c r="K158" s="6"/>
      <c r="L158" s="6"/>
      <c r="M158" s="6"/>
      <c r="N158" s="6"/>
      <c r="O158" s="6"/>
      <c r="P158" s="28"/>
      <c r="Q158" s="28"/>
      <c r="R158" s="28">
        <v>10</v>
      </c>
      <c r="S158" s="28"/>
      <c r="T158" s="28"/>
      <c r="U158" s="28">
        <v>10</v>
      </c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>
        <v>10</v>
      </c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>
        <f>SUM(E158:BO158)</f>
        <v>40</v>
      </c>
      <c r="BQ158" s="1">
        <v>28</v>
      </c>
      <c r="BR158" s="17">
        <v>3</v>
      </c>
      <c r="BS158" s="17" t="s">
        <v>294</v>
      </c>
      <c r="BT158">
        <f>SUM(P158:AD158)</f>
        <v>20</v>
      </c>
      <c r="BU158" s="23">
        <f>AF158+AH158+AI158+AJ158+AO158+AP158</f>
        <v>0</v>
      </c>
    </row>
    <row r="159" spans="1:73" ht="40.5">
      <c r="A159" s="1"/>
      <c r="B159" s="1" t="s">
        <v>117</v>
      </c>
      <c r="C159" s="1" t="s">
        <v>100</v>
      </c>
      <c r="D159" s="1" t="s">
        <v>103</v>
      </c>
      <c r="E159" s="6"/>
      <c r="F159" s="6"/>
      <c r="G159" s="6"/>
      <c r="H159" s="6">
        <v>10</v>
      </c>
      <c r="I159" s="6"/>
      <c r="J159" s="6"/>
      <c r="K159" s="6"/>
      <c r="L159" s="6"/>
      <c r="M159" s="6"/>
      <c r="N159" s="6"/>
      <c r="O159" s="6"/>
      <c r="P159" s="28"/>
      <c r="Q159" s="28"/>
      <c r="R159" s="28">
        <v>10</v>
      </c>
      <c r="S159" s="28"/>
      <c r="T159" s="28"/>
      <c r="U159" s="28"/>
      <c r="V159" s="28"/>
      <c r="W159" s="28"/>
      <c r="X159" s="28">
        <v>10</v>
      </c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>
        <v>10</v>
      </c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>
        <f>SUM(E159:BO159)</f>
        <v>40</v>
      </c>
      <c r="BQ159" s="1">
        <v>29</v>
      </c>
      <c r="BR159" s="17">
        <v>3</v>
      </c>
      <c r="BS159" s="17" t="s">
        <v>295</v>
      </c>
      <c r="BT159">
        <f>SUM(P159:AD159)</f>
        <v>20</v>
      </c>
      <c r="BU159" s="23">
        <f>AF159+AH159+AI159+AJ159+AO159+AP159</f>
        <v>0</v>
      </c>
    </row>
    <row r="160" spans="1:73" ht="40.5">
      <c r="A160" s="1"/>
      <c r="B160" s="3" t="s">
        <v>215</v>
      </c>
      <c r="C160" s="3" t="s">
        <v>99</v>
      </c>
      <c r="D160" s="1" t="s">
        <v>203</v>
      </c>
      <c r="E160" s="6"/>
      <c r="F160" s="6"/>
      <c r="G160" s="6"/>
      <c r="H160" s="6">
        <v>10</v>
      </c>
      <c r="I160" s="6"/>
      <c r="J160" s="6"/>
      <c r="K160" s="6"/>
      <c r="L160" s="6"/>
      <c r="M160" s="6"/>
      <c r="N160" s="6"/>
      <c r="O160" s="6"/>
      <c r="P160" s="28"/>
      <c r="Q160" s="28"/>
      <c r="R160" s="28">
        <v>10</v>
      </c>
      <c r="S160" s="28"/>
      <c r="T160" s="28"/>
      <c r="U160" s="28"/>
      <c r="V160" s="28"/>
      <c r="W160" s="28"/>
      <c r="X160" s="28">
        <v>10</v>
      </c>
      <c r="Y160" s="28"/>
      <c r="Z160" s="28"/>
      <c r="AA160" s="28"/>
      <c r="AB160" s="28"/>
      <c r="AC160" s="28"/>
      <c r="AD160" s="28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>
        <v>10</v>
      </c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>
        <f>SUM(E160:BO160)</f>
        <v>40</v>
      </c>
      <c r="BQ160" s="1">
        <v>29</v>
      </c>
      <c r="BR160" s="17">
        <v>3</v>
      </c>
      <c r="BS160" s="17" t="s">
        <v>295</v>
      </c>
      <c r="BT160">
        <f>SUM(P160:AD160)</f>
        <v>20</v>
      </c>
      <c r="BU160" s="23">
        <f>AF160+AH160+AI160+AJ160+AO160+AP160</f>
        <v>0</v>
      </c>
    </row>
    <row r="161" spans="1:73" ht="40.5">
      <c r="A161" s="1"/>
      <c r="B161" s="1" t="s">
        <v>264</v>
      </c>
      <c r="C161" s="1" t="s">
        <v>50</v>
      </c>
      <c r="D161" s="1" t="s">
        <v>259</v>
      </c>
      <c r="E161" s="6"/>
      <c r="F161" s="6"/>
      <c r="G161" s="6"/>
      <c r="H161" s="6">
        <v>10</v>
      </c>
      <c r="I161" s="6"/>
      <c r="J161" s="6"/>
      <c r="K161" s="6"/>
      <c r="L161" s="6"/>
      <c r="M161" s="6"/>
      <c r="N161" s="6"/>
      <c r="O161" s="6"/>
      <c r="P161" s="28"/>
      <c r="Q161" s="28"/>
      <c r="R161" s="28">
        <v>10</v>
      </c>
      <c r="S161" s="28"/>
      <c r="T161" s="28"/>
      <c r="U161" s="28"/>
      <c r="V161" s="28"/>
      <c r="W161" s="28"/>
      <c r="X161" s="28">
        <v>10</v>
      </c>
      <c r="Y161" s="28"/>
      <c r="Z161" s="28"/>
      <c r="AA161" s="28"/>
      <c r="AB161" s="28"/>
      <c r="AC161" s="28"/>
      <c r="AD161" s="28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>
        <v>10</v>
      </c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>
        <f>SUM(E161:BO161)</f>
        <v>40</v>
      </c>
      <c r="BQ161" s="1">
        <v>29</v>
      </c>
      <c r="BR161" s="17">
        <v>3</v>
      </c>
      <c r="BS161" s="17" t="s">
        <v>295</v>
      </c>
      <c r="BT161">
        <f>SUM(P161:AD161)</f>
        <v>20</v>
      </c>
      <c r="BU161" s="23">
        <f>AF161+AH161+AI161+AJ161+AO161+AP161</f>
        <v>0</v>
      </c>
    </row>
    <row r="162" spans="1:73" ht="40.5">
      <c r="A162" s="59">
        <v>4</v>
      </c>
      <c r="B162" s="59" t="s">
        <v>239</v>
      </c>
      <c r="C162" s="59" t="s">
        <v>1</v>
      </c>
      <c r="D162" s="59" t="s">
        <v>183</v>
      </c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62">
        <v>40</v>
      </c>
      <c r="AR162" s="62"/>
      <c r="AS162" s="62"/>
      <c r="AT162" s="62"/>
      <c r="AU162" s="62"/>
      <c r="AV162" s="62"/>
      <c r="AW162" s="63">
        <v>40</v>
      </c>
      <c r="AX162" s="63">
        <v>40</v>
      </c>
      <c r="AY162" s="63"/>
      <c r="AZ162" s="63"/>
      <c r="BA162" s="63"/>
      <c r="BB162" s="63"/>
      <c r="BC162" s="64">
        <v>10</v>
      </c>
      <c r="BD162" s="59"/>
      <c r="BE162" s="59">
        <v>50</v>
      </c>
      <c r="BF162" s="59"/>
      <c r="BG162" s="59"/>
      <c r="BH162" s="59"/>
      <c r="BI162" s="59"/>
      <c r="BJ162" s="59"/>
      <c r="BK162" s="59"/>
      <c r="BL162" s="59"/>
      <c r="BM162" s="59"/>
      <c r="BN162" s="59"/>
      <c r="BO162" s="59"/>
      <c r="BP162" s="59">
        <f>SUM(E162:BO162)</f>
        <v>180</v>
      </c>
      <c r="BQ162" s="59">
        <v>32</v>
      </c>
      <c r="BR162" s="65">
        <v>3</v>
      </c>
      <c r="BS162" s="65" t="s">
        <v>301</v>
      </c>
      <c r="BT162">
        <f>SUM(P162:AD162)</f>
        <v>0</v>
      </c>
      <c r="BU162" s="23">
        <f>AF162+AH162+AI162+AJ162+AO162+AP162</f>
        <v>0</v>
      </c>
    </row>
    <row r="163" spans="1:73" ht="40.5">
      <c r="A163" s="1">
        <v>85</v>
      </c>
      <c r="B163" s="3" t="s">
        <v>155</v>
      </c>
      <c r="C163" s="3" t="s">
        <v>50</v>
      </c>
      <c r="D163" s="1" t="s">
        <v>29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/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/>
      <c r="BK163" s="1"/>
      <c r="BL163" s="1">
        <v>50</v>
      </c>
      <c r="BM163" s="1">
        <v>50</v>
      </c>
      <c r="BN163" s="1">
        <v>50</v>
      </c>
      <c r="BO163" s="1">
        <v>50</v>
      </c>
      <c r="BP163" s="1">
        <f>SUM(E163:BO163)</f>
        <v>200</v>
      </c>
      <c r="BQ163" s="1">
        <v>103</v>
      </c>
      <c r="BR163" s="17">
        <v>3</v>
      </c>
      <c r="BS163" s="17" t="s">
        <v>309</v>
      </c>
      <c r="BT163">
        <f>SUM(P163:AD163)</f>
        <v>0</v>
      </c>
      <c r="BU163" s="23">
        <f>AF163+AH163+AI163+AJ163+AO163+AP163</f>
        <v>0</v>
      </c>
    </row>
    <row r="164" spans="1:73" ht="40.5">
      <c r="A164" s="1"/>
      <c r="B164" s="1" t="s">
        <v>152</v>
      </c>
      <c r="C164" s="1" t="s">
        <v>98</v>
      </c>
      <c r="D164" s="1" t="s">
        <v>96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4"/>
      <c r="AR164" s="4"/>
      <c r="AS164" s="4"/>
      <c r="AT164" s="4"/>
      <c r="AU164" s="4"/>
      <c r="AV164" s="4"/>
      <c r="AW164" s="2"/>
      <c r="AX164" s="2"/>
      <c r="AY164" s="2"/>
      <c r="AZ164" s="2"/>
      <c r="BA164" s="2"/>
      <c r="BB164" s="2"/>
      <c r="BC164" s="14"/>
      <c r="BD164" s="1"/>
      <c r="BE164" s="1"/>
      <c r="BF164" s="1"/>
      <c r="BG164" s="1"/>
      <c r="BH164" s="1"/>
      <c r="BI164" s="1"/>
      <c r="BJ164" s="1"/>
      <c r="BK164" s="1"/>
      <c r="BL164" s="1">
        <v>50</v>
      </c>
      <c r="BM164" s="1">
        <v>50</v>
      </c>
      <c r="BN164" s="1">
        <v>50</v>
      </c>
      <c r="BO164" s="1">
        <v>50</v>
      </c>
      <c r="BP164" s="1">
        <f>SUM(E164:BO164)</f>
        <v>200</v>
      </c>
      <c r="BQ164" s="1">
        <v>103</v>
      </c>
      <c r="BR164" s="17">
        <v>3</v>
      </c>
      <c r="BS164" s="17" t="s">
        <v>279</v>
      </c>
      <c r="BT164">
        <f>SUM(P164:AD164)</f>
        <v>0</v>
      </c>
      <c r="BU164" s="23">
        <f>AF164+AH164+AI164+AJ164+AO164+AP164</f>
        <v>0</v>
      </c>
    </row>
    <row r="165" spans="1:73" ht="40.5">
      <c r="A165" s="1"/>
      <c r="B165" s="1" t="s">
        <v>173</v>
      </c>
      <c r="C165" s="1" t="s">
        <v>98</v>
      </c>
      <c r="D165" s="1" t="s">
        <v>96</v>
      </c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4"/>
      <c r="AR165" s="4"/>
      <c r="AS165" s="4"/>
      <c r="AT165" s="4"/>
      <c r="AU165" s="4"/>
      <c r="AV165" s="4"/>
      <c r="AW165" s="2"/>
      <c r="AX165" s="2"/>
      <c r="AY165" s="2"/>
      <c r="AZ165" s="2"/>
      <c r="BA165" s="2"/>
      <c r="BB165" s="2"/>
      <c r="BC165" s="14"/>
      <c r="BD165" s="1"/>
      <c r="BE165" s="1"/>
      <c r="BF165" s="1"/>
      <c r="BG165" s="1"/>
      <c r="BH165" s="1"/>
      <c r="BI165" s="1"/>
      <c r="BJ165" s="1"/>
      <c r="BK165" s="1"/>
      <c r="BL165" s="1">
        <v>50</v>
      </c>
      <c r="BM165" s="1">
        <v>50</v>
      </c>
      <c r="BN165" s="1">
        <v>50</v>
      </c>
      <c r="BO165" s="1">
        <v>50</v>
      </c>
      <c r="BP165" s="1">
        <f>SUM(E165:BO165)</f>
        <v>200</v>
      </c>
      <c r="BQ165" s="1">
        <v>103</v>
      </c>
      <c r="BR165" s="17">
        <v>3</v>
      </c>
      <c r="BS165" s="17" t="s">
        <v>279</v>
      </c>
      <c r="BT165">
        <f>SUM(P165:AD165)</f>
        <v>0</v>
      </c>
      <c r="BU165" s="23">
        <f>AF165+AH165+AI165+AJ165+AO165+AP165</f>
        <v>0</v>
      </c>
    </row>
    <row r="166" spans="1:73">
      <c r="A166" s="1"/>
      <c r="B166" s="1" t="s">
        <v>54</v>
      </c>
      <c r="C166" s="1"/>
      <c r="D166" s="1"/>
      <c r="E166" s="6">
        <f>SUM(E2:E165)</f>
        <v>133</v>
      </c>
      <c r="F166" s="6">
        <f>SUM(F2:F165)</f>
        <v>27</v>
      </c>
      <c r="G166" s="6">
        <f>SUM(G2:G165)</f>
        <v>140</v>
      </c>
      <c r="H166" s="6">
        <f>SUM(H2:H165)</f>
        <v>124</v>
      </c>
      <c r="I166" s="6">
        <f>SUM(I2:I165)</f>
        <v>37</v>
      </c>
      <c r="J166" s="6">
        <f>SUM(J2:J165)</f>
        <v>65</v>
      </c>
      <c r="K166" s="6">
        <f>SUM(K2:K165)</f>
        <v>16</v>
      </c>
      <c r="L166" s="6">
        <f>SUM(L2:L165)</f>
        <v>72</v>
      </c>
      <c r="M166" s="6">
        <f>SUM(M2:M165)</f>
        <v>61</v>
      </c>
      <c r="N166" s="6">
        <f>SUM(N2:N165)</f>
        <v>10</v>
      </c>
      <c r="O166" s="6">
        <f>SUM(O2:O165)</f>
        <v>56</v>
      </c>
      <c r="P166" s="28">
        <f>SUM(P2:P165)</f>
        <v>260</v>
      </c>
      <c r="Q166" s="28">
        <f>SUM(Q2:Q165)</f>
        <v>156</v>
      </c>
      <c r="R166" s="28">
        <f>SUM(R2:R165)</f>
        <v>171</v>
      </c>
      <c r="S166" s="28">
        <f>SUM(S2:S165)</f>
        <v>260</v>
      </c>
      <c r="T166" s="28">
        <f>SUM(T2:T165)</f>
        <v>126</v>
      </c>
      <c r="U166" s="28">
        <f>SUM(U2:U165)</f>
        <v>146</v>
      </c>
      <c r="V166" s="28">
        <f>SUM(V2:V165)</f>
        <v>285</v>
      </c>
      <c r="W166" s="28">
        <f>SUM(W2:W165)</f>
        <v>100</v>
      </c>
      <c r="X166" s="28">
        <f>SUM(X2:X165)</f>
        <v>157</v>
      </c>
      <c r="Y166" s="28">
        <f>SUM(Y2:Y165)</f>
        <v>265</v>
      </c>
      <c r="Z166" s="28">
        <f>SUM(Z2:Z165)</f>
        <v>115</v>
      </c>
      <c r="AA166" s="28">
        <f>SUM(AA2:AA165)</f>
        <v>139</v>
      </c>
      <c r="AB166" s="28">
        <f>SUM(AB2:AB165)</f>
        <v>270</v>
      </c>
      <c r="AC166" s="28">
        <f>SUM(AC2:AC165)</f>
        <v>95</v>
      </c>
      <c r="AD166" s="28">
        <f>SUM(AD2:AD165)</f>
        <v>114</v>
      </c>
      <c r="AE166" s="1">
        <f>SUM(AE2:AE165)</f>
        <v>250</v>
      </c>
      <c r="AF166" s="1">
        <f>SUM(AF2:AF165)</f>
        <v>10</v>
      </c>
      <c r="AG166" s="1">
        <f>SUM(AG2:AG165)</f>
        <v>5</v>
      </c>
      <c r="AH166" s="1">
        <f>SUM(AH2:AH165)</f>
        <v>30</v>
      </c>
      <c r="AI166" s="1">
        <f>SUM(AI2:AI165)</f>
        <v>30</v>
      </c>
      <c r="AJ166" s="1">
        <f>SUM(AJ2:AJ165)</f>
        <v>5</v>
      </c>
      <c r="AK166" s="1">
        <f>SUM(AK2:AK165)</f>
        <v>0</v>
      </c>
      <c r="AL166" s="1">
        <f>SUM(AL2:AL165)</f>
        <v>0</v>
      </c>
      <c r="AM166" s="1">
        <f>SUM(AM2:AM165)</f>
        <v>5</v>
      </c>
      <c r="AN166" s="1">
        <f>SUM(AN2:AN165)</f>
        <v>50</v>
      </c>
      <c r="AO166" s="1">
        <f>SUM(AO2:AO165)</f>
        <v>33</v>
      </c>
      <c r="AP166" s="1">
        <f>SUM(AP2:AP165)</f>
        <v>27</v>
      </c>
      <c r="AQ166" s="4">
        <f>SUM(AQ2:AQ165)</f>
        <v>125</v>
      </c>
      <c r="AR166" s="4">
        <f>SUM(AR2:AR165)</f>
        <v>85</v>
      </c>
      <c r="AS166" s="4">
        <f>SUM(AS2:AS165)</f>
        <v>80</v>
      </c>
      <c r="AT166" s="4">
        <f>SUM(AT2:AT165)</f>
        <v>75</v>
      </c>
      <c r="AU166" s="4">
        <f>SUM(AU2:AU165)</f>
        <v>115</v>
      </c>
      <c r="AV166" s="4">
        <f>SUM(AV2:AV165)</f>
        <v>135</v>
      </c>
      <c r="AW166" s="2">
        <f>SUM(AW2:AW165)</f>
        <v>105</v>
      </c>
      <c r="AX166" s="2">
        <f>SUM(AX2:AX165)</f>
        <v>55</v>
      </c>
      <c r="AY166" s="2">
        <f>SUM(AY2:AY165)</f>
        <v>75</v>
      </c>
      <c r="AZ166" s="2">
        <f>SUM(AZ2:AZ165)</f>
        <v>85</v>
      </c>
      <c r="BA166" s="2">
        <f>SUM(BA2:BA165)</f>
        <v>125</v>
      </c>
      <c r="BB166" s="2">
        <f>SUM(BB2:BB165)</f>
        <v>185</v>
      </c>
      <c r="BC166" s="1">
        <f>SUM(BC2:BC165)</f>
        <v>30</v>
      </c>
      <c r="BD166" s="1">
        <f>SUM(BD2:BD165)</f>
        <v>110</v>
      </c>
      <c r="BE166" s="1">
        <f>SUM(BE2:BE165)</f>
        <v>110</v>
      </c>
      <c r="BF166" s="1">
        <f>SUM(BF2:BF165)</f>
        <v>40</v>
      </c>
      <c r="BG166" s="1">
        <f>SUM(BG2:BG165)</f>
        <v>40</v>
      </c>
      <c r="BH166" s="1">
        <f>SUM(BH2:BH165)</f>
        <v>35</v>
      </c>
      <c r="BI166" s="1">
        <f>SUM(BI2:BI165)</f>
        <v>85</v>
      </c>
      <c r="BJ166" s="1">
        <f>SUM(BJ2:BJ165)</f>
        <v>200</v>
      </c>
      <c r="BK166" s="1">
        <f>SUM(BK2:BK165)</f>
        <v>200</v>
      </c>
      <c r="BL166" s="1">
        <f>SUM(BL2:BL165)</f>
        <v>150</v>
      </c>
      <c r="BM166" s="1">
        <f>SUM(BM2:BM165)</f>
        <v>150</v>
      </c>
      <c r="BN166" s="1">
        <f>SUM(BN2:BN165)</f>
        <v>350</v>
      </c>
      <c r="BO166" s="1">
        <f>SUM(BO2:BO165)</f>
        <v>350</v>
      </c>
      <c r="BP166" s="1"/>
      <c r="BQ166" s="1"/>
      <c r="BR166" s="17"/>
      <c r="BS166" s="17"/>
    </row>
    <row r="167" spans="1:73">
      <c r="A167" s="1"/>
      <c r="B167" s="3" t="s">
        <v>73</v>
      </c>
      <c r="C167" s="1"/>
      <c r="D167" s="1"/>
      <c r="E167" s="1">
        <v>28</v>
      </c>
      <c r="F167" s="1">
        <v>25</v>
      </c>
      <c r="G167" s="1">
        <v>6</v>
      </c>
      <c r="H167" s="1">
        <v>0</v>
      </c>
      <c r="I167" s="1">
        <v>59</v>
      </c>
      <c r="J167" s="1">
        <v>64</v>
      </c>
      <c r="K167" s="1">
        <v>53</v>
      </c>
      <c r="L167" s="1">
        <v>58</v>
      </c>
      <c r="M167" s="1">
        <v>45</v>
      </c>
      <c r="N167" s="1">
        <v>65</v>
      </c>
      <c r="O167" s="1">
        <v>29</v>
      </c>
      <c r="P167" s="14">
        <v>72</v>
      </c>
      <c r="Q167" s="14">
        <v>44</v>
      </c>
      <c r="R167" s="14">
        <v>1</v>
      </c>
      <c r="S167" s="14">
        <v>102</v>
      </c>
      <c r="T167" s="14">
        <v>38</v>
      </c>
      <c r="U167" s="14">
        <v>1</v>
      </c>
      <c r="V167" s="14">
        <v>89</v>
      </c>
      <c r="W167" s="14">
        <v>19</v>
      </c>
      <c r="X167" s="14">
        <v>0</v>
      </c>
      <c r="Y167" s="14">
        <v>91</v>
      </c>
      <c r="Z167" s="14">
        <v>30</v>
      </c>
      <c r="AA167" s="14">
        <v>11</v>
      </c>
      <c r="AB167" s="14">
        <v>97</v>
      </c>
      <c r="AC167" s="14">
        <v>21</v>
      </c>
      <c r="AD167" s="14">
        <v>12</v>
      </c>
      <c r="AE167" s="1">
        <v>10</v>
      </c>
      <c r="AF167" s="1">
        <v>0</v>
      </c>
      <c r="AG167" s="1">
        <v>3</v>
      </c>
      <c r="AH167" s="1">
        <v>0</v>
      </c>
      <c r="AI167" s="1">
        <v>0</v>
      </c>
      <c r="AJ167" s="1">
        <v>0</v>
      </c>
      <c r="AK167" s="1">
        <v>33</v>
      </c>
      <c r="AL167" s="1">
        <v>43</v>
      </c>
      <c r="AM167" s="1">
        <v>5</v>
      </c>
      <c r="AN167" s="1">
        <v>4</v>
      </c>
      <c r="AO167" s="1">
        <v>0</v>
      </c>
      <c r="AP167" s="1">
        <v>0</v>
      </c>
      <c r="AQ167" s="14">
        <v>27</v>
      </c>
      <c r="AR167" s="14">
        <v>28</v>
      </c>
      <c r="AS167" s="14">
        <v>34</v>
      </c>
      <c r="AT167" s="14">
        <v>14</v>
      </c>
      <c r="AU167" s="14">
        <v>58</v>
      </c>
      <c r="AV167" s="14">
        <v>54</v>
      </c>
      <c r="AW167" s="14">
        <v>29</v>
      </c>
      <c r="AX167" s="14">
        <v>32</v>
      </c>
      <c r="AY167" s="14">
        <v>46</v>
      </c>
      <c r="AZ167" s="14">
        <v>33</v>
      </c>
      <c r="BA167" s="14">
        <v>22</v>
      </c>
      <c r="BB167" s="14">
        <v>24</v>
      </c>
      <c r="BC167" s="14">
        <v>12</v>
      </c>
      <c r="BD167" s="1">
        <v>255</v>
      </c>
      <c r="BE167" s="1">
        <v>396</v>
      </c>
      <c r="BF167" s="1">
        <v>312</v>
      </c>
      <c r="BG167" s="1">
        <v>330</v>
      </c>
      <c r="BH167" s="1">
        <v>162</v>
      </c>
      <c r="BI167" s="1">
        <v>195</v>
      </c>
      <c r="BJ167" s="1">
        <v>80</v>
      </c>
      <c r="BK167" s="1">
        <v>89</v>
      </c>
      <c r="BL167" s="1">
        <v>140</v>
      </c>
      <c r="BM167" s="1">
        <v>37</v>
      </c>
      <c r="BN167" s="1">
        <v>5</v>
      </c>
      <c r="BO167" s="1">
        <v>5</v>
      </c>
      <c r="BP167" s="1"/>
      <c r="BQ167" s="1"/>
      <c r="BR167" s="17"/>
      <c r="BS167" s="17"/>
    </row>
    <row r="168" spans="1:73">
      <c r="A168" s="1"/>
      <c r="B168" s="3" t="s">
        <v>80</v>
      </c>
      <c r="C168" s="1"/>
      <c r="D168" s="1"/>
      <c r="E168" s="1">
        <f>E167-E166</f>
        <v>-105</v>
      </c>
      <c r="F168" s="1">
        <f>F167-F166</f>
        <v>-2</v>
      </c>
      <c r="G168" s="1">
        <f>G167-G166</f>
        <v>-134</v>
      </c>
      <c r="H168" s="1">
        <f>H167-H166</f>
        <v>-124</v>
      </c>
      <c r="I168" s="1">
        <f>I167-I166</f>
        <v>22</v>
      </c>
      <c r="J168" s="1">
        <f>J167-J166</f>
        <v>-1</v>
      </c>
      <c r="K168" s="1">
        <f>K167-K166</f>
        <v>37</v>
      </c>
      <c r="L168" s="1">
        <f>L167-L166</f>
        <v>-14</v>
      </c>
      <c r="M168" s="1">
        <f>M167-M166</f>
        <v>-16</v>
      </c>
      <c r="N168" s="1">
        <f>N167-N166</f>
        <v>55</v>
      </c>
      <c r="O168" s="1">
        <f>O167-O166</f>
        <v>-27</v>
      </c>
      <c r="P168" s="1">
        <f>P167-P166</f>
        <v>-188</v>
      </c>
      <c r="Q168" s="1">
        <f>Q167-Q166</f>
        <v>-112</v>
      </c>
      <c r="R168" s="1">
        <f>R167-R166</f>
        <v>-170</v>
      </c>
      <c r="S168" s="1">
        <f>S167-S166</f>
        <v>-158</v>
      </c>
      <c r="T168" s="1">
        <f>T167-T166</f>
        <v>-88</v>
      </c>
      <c r="U168" s="1">
        <f>U167-U166</f>
        <v>-145</v>
      </c>
      <c r="V168" s="1">
        <f>V167-V166</f>
        <v>-196</v>
      </c>
      <c r="W168" s="1">
        <f>W167-W166</f>
        <v>-81</v>
      </c>
      <c r="X168" s="1">
        <f>X167-X166</f>
        <v>-157</v>
      </c>
      <c r="Y168" s="1">
        <f>Y167-Y166</f>
        <v>-174</v>
      </c>
      <c r="Z168" s="1">
        <f>Z167-Z166</f>
        <v>-85</v>
      </c>
      <c r="AA168" s="1">
        <f>AA167-AA166</f>
        <v>-128</v>
      </c>
      <c r="AB168" s="1">
        <f>AB167-AB166</f>
        <v>-173</v>
      </c>
      <c r="AC168" s="1">
        <f>AC167-AC166</f>
        <v>-74</v>
      </c>
      <c r="AD168" s="1">
        <f>AD167-AD166</f>
        <v>-102</v>
      </c>
      <c r="AE168" s="1">
        <f>AE167-AE166</f>
        <v>-240</v>
      </c>
      <c r="AF168" s="1">
        <f>AF167-AF166</f>
        <v>-10</v>
      </c>
      <c r="AG168" s="1">
        <f>AG167-AG166</f>
        <v>-2</v>
      </c>
      <c r="AH168" s="1">
        <f>AH167-AH166</f>
        <v>-30</v>
      </c>
      <c r="AI168" s="1">
        <f>AI167-AI166</f>
        <v>-30</v>
      </c>
      <c r="AJ168" s="1">
        <f>AJ167-AJ166</f>
        <v>-5</v>
      </c>
      <c r="AK168" s="1">
        <f>AK167-AK166</f>
        <v>33</v>
      </c>
      <c r="AL168" s="1">
        <f>AL167-AL166</f>
        <v>43</v>
      </c>
      <c r="AM168" s="1">
        <f>AM167-AM166</f>
        <v>0</v>
      </c>
      <c r="AN168" s="1">
        <f>AN167-AN166</f>
        <v>-46</v>
      </c>
      <c r="AO168" s="1">
        <f>AO167-AO166</f>
        <v>-33</v>
      </c>
      <c r="AP168" s="1">
        <f>AP167-AP166</f>
        <v>-27</v>
      </c>
      <c r="AQ168" s="1">
        <f>AQ167-AQ166</f>
        <v>-98</v>
      </c>
      <c r="AR168" s="1">
        <f>AR167-AR166</f>
        <v>-57</v>
      </c>
      <c r="AS168" s="1">
        <f>AS167-AS166</f>
        <v>-46</v>
      </c>
      <c r="AT168" s="1">
        <f>AT167-AT166</f>
        <v>-61</v>
      </c>
      <c r="AU168" s="1">
        <f>AU167-AU166</f>
        <v>-57</v>
      </c>
      <c r="AV168" s="1">
        <f>AV167-AV166</f>
        <v>-81</v>
      </c>
      <c r="AW168" s="1">
        <f>AW167-AW166</f>
        <v>-76</v>
      </c>
      <c r="AX168" s="1">
        <f>AX167-AX166</f>
        <v>-23</v>
      </c>
      <c r="AY168" s="1">
        <f>AY167-AY166</f>
        <v>-29</v>
      </c>
      <c r="AZ168" s="1">
        <f>AZ167-AZ166</f>
        <v>-52</v>
      </c>
      <c r="BA168" s="1">
        <f>BA167-BA166</f>
        <v>-103</v>
      </c>
      <c r="BB168" s="1">
        <f>BB167-BB166</f>
        <v>-161</v>
      </c>
      <c r="BC168" s="1">
        <f>BC167-BC166</f>
        <v>-18</v>
      </c>
      <c r="BD168" s="1">
        <f>BD167-BD166</f>
        <v>145</v>
      </c>
      <c r="BE168" s="1">
        <f>BE167-BE166</f>
        <v>286</v>
      </c>
      <c r="BF168" s="1">
        <f>BF167-BF166</f>
        <v>272</v>
      </c>
      <c r="BG168" s="1">
        <f>BG167-BG166</f>
        <v>290</v>
      </c>
      <c r="BH168" s="1">
        <f>BH167-BH166</f>
        <v>127</v>
      </c>
      <c r="BI168" s="1">
        <f>BI167-BI166</f>
        <v>110</v>
      </c>
      <c r="BJ168" s="1">
        <f>BJ167-BJ166</f>
        <v>-120</v>
      </c>
      <c r="BK168" s="1">
        <f>BK167-BK166</f>
        <v>-111</v>
      </c>
      <c r="BL168" s="1">
        <f>BL167-BL166</f>
        <v>-10</v>
      </c>
      <c r="BM168" s="1">
        <f>BM167-BM166</f>
        <v>-113</v>
      </c>
      <c r="BN168" s="1">
        <f>BN167-BN166</f>
        <v>-345</v>
      </c>
      <c r="BO168" s="1">
        <f>BO167-BO166</f>
        <v>-345</v>
      </c>
      <c r="BP168" s="1"/>
      <c r="BQ168" s="1"/>
      <c r="BR168" s="17"/>
      <c r="BS168" s="17"/>
    </row>
    <row r="169" spans="1:73">
      <c r="A169" s="1"/>
      <c r="B169" s="3" t="s">
        <v>156</v>
      </c>
      <c r="C169" s="1"/>
      <c r="D169" s="1"/>
      <c r="E169" s="1">
        <f>MAX(E2:E165)</f>
        <v>15</v>
      </c>
      <c r="F169" s="1">
        <f>MAX(F2:F165)</f>
        <v>15</v>
      </c>
      <c r="G169" s="1">
        <f>MAX(G2:G165)</f>
        <v>20</v>
      </c>
      <c r="H169" s="1">
        <f>MAX(H2:H165)</f>
        <v>20</v>
      </c>
      <c r="I169" s="1">
        <f>MAX(I2:I165)</f>
        <v>10</v>
      </c>
      <c r="J169" s="1">
        <f>MAX(J2:J165)</f>
        <v>10</v>
      </c>
      <c r="K169" s="1">
        <f>MAX(K2:K165)</f>
        <v>10</v>
      </c>
      <c r="L169" s="1">
        <f>MAX(L2:L165)</f>
        <v>20</v>
      </c>
      <c r="M169" s="1">
        <f>MAX(M2:M165)</f>
        <v>15</v>
      </c>
      <c r="N169" s="1">
        <f>MAX(N2:N165)</f>
        <v>10</v>
      </c>
      <c r="O169" s="1">
        <f>MAX(O2:O165)</f>
        <v>20</v>
      </c>
      <c r="P169" s="1">
        <f>MAX(P2:P165)</f>
        <v>10</v>
      </c>
      <c r="Q169" s="1">
        <f>MAX(Q2:Q165)</f>
        <v>7</v>
      </c>
      <c r="R169" s="1">
        <f>MAX(R2:R165)</f>
        <v>10</v>
      </c>
      <c r="S169" s="1">
        <f>MAX(S2:S165)</f>
        <v>10</v>
      </c>
      <c r="T169" s="1">
        <f>MAX(T2:T165)</f>
        <v>7</v>
      </c>
      <c r="U169" s="1">
        <f>MAX(U2:U165)</f>
        <v>10</v>
      </c>
      <c r="V169" s="1">
        <f>MAX(V2:V165)</f>
        <v>10</v>
      </c>
      <c r="W169" s="1">
        <f>MAX(W2:W165)</f>
        <v>5</v>
      </c>
      <c r="X169" s="1">
        <f>MAX(X2:X165)</f>
        <v>10</v>
      </c>
      <c r="Y169" s="1">
        <f>MAX(Y2:Y165)</f>
        <v>10</v>
      </c>
      <c r="Z169" s="1">
        <f>MAX(Z2:Z165)</f>
        <v>5</v>
      </c>
      <c r="AA169" s="1">
        <f>MAX(AA2:AA165)</f>
        <v>10</v>
      </c>
      <c r="AB169" s="1">
        <f>MAX(AB2:AB165)</f>
        <v>10</v>
      </c>
      <c r="AC169" s="1">
        <f>MAX(AC2:AC165)</f>
        <v>5</v>
      </c>
      <c r="AD169" s="1">
        <f>MAX(AD2:AD165)</f>
        <v>10</v>
      </c>
      <c r="AE169" s="1">
        <f>MAX(AE2:AE165)</f>
        <v>200</v>
      </c>
      <c r="AF169" s="1">
        <f>MAX(AF2:AF165)</f>
        <v>5</v>
      </c>
      <c r="AG169" s="1">
        <f>MAX(AG2:AG165)</f>
        <v>5</v>
      </c>
      <c r="AH169" s="1">
        <f>MAX(AH2:AH165)</f>
        <v>5</v>
      </c>
      <c r="AI169" s="1">
        <f>MAX(AI2:AI165)</f>
        <v>5</v>
      </c>
      <c r="AJ169" s="1">
        <f>MAX(AJ2:AJ165)</f>
        <v>5</v>
      </c>
      <c r="AK169" s="1">
        <f>MAX(AK2:AK165)</f>
        <v>0</v>
      </c>
      <c r="AL169" s="1">
        <f>MAX(AL2:AL165)</f>
        <v>0</v>
      </c>
      <c r="AM169" s="1">
        <f>MAX(AM2:AM165)</f>
        <v>5</v>
      </c>
      <c r="AN169" s="1">
        <f>MAX(AN2:AN165)</f>
        <v>25</v>
      </c>
      <c r="AO169" s="1">
        <f>MAX(AO2:AO165)</f>
        <v>10</v>
      </c>
      <c r="AP169" s="1">
        <f>MAX(AP2:AP165)</f>
        <v>10</v>
      </c>
      <c r="AQ169" s="1">
        <f>MAX(AQ2:AQ165)</f>
        <v>40</v>
      </c>
      <c r="AR169" s="1">
        <f>MAX(AR2:AR165)</f>
        <v>15</v>
      </c>
      <c r="AS169" s="1">
        <f>MAX(AS2:AS165)</f>
        <v>15</v>
      </c>
      <c r="AT169" s="1">
        <f>MAX(AT2:AT165)</f>
        <v>15</v>
      </c>
      <c r="AU169" s="1">
        <f>MAX(AU2:AU165)</f>
        <v>40</v>
      </c>
      <c r="AV169" s="1">
        <f>MAX(AV2:AV165)</f>
        <v>40</v>
      </c>
      <c r="AW169" s="1">
        <f>MAX(AW2:AW165)</f>
        <v>40</v>
      </c>
      <c r="AX169" s="1">
        <f>MAX(AX2:AX165)</f>
        <v>40</v>
      </c>
      <c r="AY169" s="1">
        <f>MAX(AY2:AY165)</f>
        <v>40</v>
      </c>
      <c r="AZ169" s="1">
        <f>MAX(AZ2:AZ165)</f>
        <v>40</v>
      </c>
      <c r="BA169" s="1">
        <f>MAX(BA2:BA165)</f>
        <v>20</v>
      </c>
      <c r="BB169" s="1">
        <f>MAX(BB2:BB165)</f>
        <v>40</v>
      </c>
      <c r="BC169" s="1">
        <f>MAX(BC2:BC165)</f>
        <v>10</v>
      </c>
      <c r="BD169" s="1">
        <f>MAX(BD2:BD165)</f>
        <v>50</v>
      </c>
      <c r="BE169" s="1">
        <f>MAX(BE2:BE165)</f>
        <v>50</v>
      </c>
      <c r="BF169" s="1">
        <f>MAX(BF2:BF165)</f>
        <v>20</v>
      </c>
      <c r="BG169" s="1">
        <f>MAX(BG2:BG165)</f>
        <v>20</v>
      </c>
      <c r="BH169" s="1">
        <f>MAX(BH2:BH165)</f>
        <v>20</v>
      </c>
      <c r="BI169" s="1">
        <f>MAX(BI2:BI165)</f>
        <v>50</v>
      </c>
      <c r="BJ169" s="1">
        <f>MAX(BJ2:BJ165)</f>
        <v>50</v>
      </c>
      <c r="BK169" s="1">
        <f>MAX(BK2:BK165)</f>
        <v>50</v>
      </c>
      <c r="BL169" s="1">
        <f>MAX(BL2:BL165)</f>
        <v>50</v>
      </c>
      <c r="BM169" s="1">
        <f>MAX(BM2:BM165)</f>
        <v>50</v>
      </c>
      <c r="BN169" s="1">
        <f>MAX(BN2:BN165)</f>
        <v>50</v>
      </c>
      <c r="BO169" s="1">
        <f>MAX(BO2:BO165)</f>
        <v>50</v>
      </c>
      <c r="BP169" s="1"/>
      <c r="BQ169" s="1"/>
      <c r="BR169" s="17"/>
      <c r="BS169" s="17"/>
    </row>
    <row r="170" spans="1:73">
      <c r="A170" s="1"/>
      <c r="B170" s="3" t="s">
        <v>157</v>
      </c>
      <c r="C170" s="1"/>
      <c r="D170" s="1"/>
      <c r="E170" s="1">
        <f>MIN(E2:E165)</f>
        <v>5</v>
      </c>
      <c r="F170" s="1">
        <f>MIN(F2:F165)</f>
        <v>6</v>
      </c>
      <c r="G170" s="1">
        <f>MIN(G2:G165)</f>
        <v>5</v>
      </c>
      <c r="H170" s="1">
        <f>MIN(H2:H165)</f>
        <v>5</v>
      </c>
      <c r="I170" s="1">
        <f>MIN(I2:I165)</f>
        <v>7</v>
      </c>
      <c r="J170" s="1">
        <f>MIN(J2:J165)</f>
        <v>5</v>
      </c>
      <c r="K170" s="1">
        <f>MIN(K2:K165)</f>
        <v>6</v>
      </c>
      <c r="L170" s="1">
        <f>MIN(L2:L165)</f>
        <v>7</v>
      </c>
      <c r="M170" s="1">
        <f>MIN(M2:M165)</f>
        <v>6</v>
      </c>
      <c r="N170" s="1">
        <f>MIN(N2:N165)</f>
        <v>10</v>
      </c>
      <c r="O170" s="1">
        <f>MIN(O2:O165)</f>
        <v>5</v>
      </c>
      <c r="P170" s="1">
        <f>MIN(P2:P165)</f>
        <v>10</v>
      </c>
      <c r="Q170" s="1">
        <f>MIN(Q2:Q165)</f>
        <v>5</v>
      </c>
      <c r="R170" s="1">
        <f>MIN(R2:R165)</f>
        <v>2</v>
      </c>
      <c r="S170" s="1">
        <f>MIN(S2:S165)</f>
        <v>10</v>
      </c>
      <c r="T170" s="1">
        <f>MIN(T2:T165)</f>
        <v>5</v>
      </c>
      <c r="U170" s="1">
        <f>MIN(U2:U165)</f>
        <v>2</v>
      </c>
      <c r="V170" s="1">
        <f>MIN(V2:V165)</f>
        <v>5</v>
      </c>
      <c r="W170" s="1">
        <f>MIN(W2:W165)</f>
        <v>5</v>
      </c>
      <c r="X170" s="1">
        <f>MIN(X2:X165)</f>
        <v>2</v>
      </c>
      <c r="Y170" s="1">
        <f>MIN(Y2:Y165)</f>
        <v>5</v>
      </c>
      <c r="Z170" s="1">
        <f>MIN(Z2:Z165)</f>
        <v>5</v>
      </c>
      <c r="AA170" s="1">
        <f>MIN(AA2:AA165)</f>
        <v>2</v>
      </c>
      <c r="AB170" s="1">
        <f>MIN(AB2:AB165)</f>
        <v>10</v>
      </c>
      <c r="AC170" s="1">
        <f>MIN(AC2:AC165)</f>
        <v>5</v>
      </c>
      <c r="AD170" s="1">
        <f>MIN(AD2:AD165)</f>
        <v>2</v>
      </c>
      <c r="AE170" s="1">
        <f>MIN(AE2:AE165)</f>
        <v>50</v>
      </c>
      <c r="AF170" s="1">
        <f>MIN(AF2:AF165)</f>
        <v>5</v>
      </c>
      <c r="AG170" s="1">
        <f>MIN(AG2:AG165)</f>
        <v>5</v>
      </c>
      <c r="AH170" s="1">
        <f>MIN(AH2:AH165)</f>
        <v>5</v>
      </c>
      <c r="AI170" s="1">
        <f>MIN(AI2:AI165)</f>
        <v>5</v>
      </c>
      <c r="AJ170" s="1">
        <f>MIN(AJ2:AJ165)</f>
        <v>5</v>
      </c>
      <c r="AK170" s="1">
        <f>MIN(AK2:AK165)</f>
        <v>0</v>
      </c>
      <c r="AL170" s="1">
        <f>MIN(AL2:AL165)</f>
        <v>0</v>
      </c>
      <c r="AM170" s="1">
        <f>MIN(AM2:AM165)</f>
        <v>5</v>
      </c>
      <c r="AN170" s="1">
        <f>MIN(AN2:AN165)</f>
        <v>5</v>
      </c>
      <c r="AO170" s="1">
        <f>MIN(AO2:AO165)</f>
        <v>2</v>
      </c>
      <c r="AP170" s="1">
        <f>MIN(AP2:AP165)</f>
        <v>1</v>
      </c>
      <c r="AQ170" s="1">
        <f>MIN(AQ2:AQ165)</f>
        <v>10</v>
      </c>
      <c r="AR170" s="1">
        <f>MIN(AR2:AR165)</f>
        <v>10</v>
      </c>
      <c r="AS170" s="1">
        <f>MIN(AS2:AS165)</f>
        <v>5</v>
      </c>
      <c r="AT170" s="1">
        <f>MIN(AT2:AT165)</f>
        <v>10</v>
      </c>
      <c r="AU170" s="1">
        <f>MIN(AU2:AU165)</f>
        <v>10</v>
      </c>
      <c r="AV170" s="1">
        <f>MIN(AV2:AV165)</f>
        <v>10</v>
      </c>
      <c r="AW170" s="1">
        <f>MIN(AW2:AW165)</f>
        <v>10</v>
      </c>
      <c r="AX170" s="1">
        <f>MIN(AX2:AX165)</f>
        <v>5</v>
      </c>
      <c r="AY170" s="1">
        <f>MIN(AY2:AY165)</f>
        <v>10</v>
      </c>
      <c r="AZ170" s="1">
        <f>MIN(AZ2:AZ165)</f>
        <v>10</v>
      </c>
      <c r="BA170" s="1">
        <f>MIN(BA2:BA165)</f>
        <v>5</v>
      </c>
      <c r="BB170" s="1">
        <f>MIN(BB2:BB165)</f>
        <v>5</v>
      </c>
      <c r="BC170" s="1">
        <f>MIN(BC2:BC165)</f>
        <v>10</v>
      </c>
      <c r="BD170" s="1">
        <f>MIN(BD2:BD165)</f>
        <v>20</v>
      </c>
      <c r="BE170" s="1">
        <f>MIN(BE2:BE165)</f>
        <v>20</v>
      </c>
      <c r="BF170" s="1">
        <f>MIN(BF2:BF165)</f>
        <v>20</v>
      </c>
      <c r="BG170" s="1">
        <f>MIN(BG2:BG165)</f>
        <v>20</v>
      </c>
      <c r="BH170" s="1">
        <f>MIN(BH2:BH165)</f>
        <v>15</v>
      </c>
      <c r="BI170" s="1">
        <f>MIN(BI2:BI165)</f>
        <v>15</v>
      </c>
      <c r="BJ170" s="1">
        <f>MIN(BJ2:BJ165)</f>
        <v>50</v>
      </c>
      <c r="BK170" s="1">
        <f>MIN(BK2:BK165)</f>
        <v>50</v>
      </c>
      <c r="BL170" s="1">
        <f>MIN(BL2:BL165)</f>
        <v>50</v>
      </c>
      <c r="BM170" s="1">
        <f>MIN(BM2:BM165)</f>
        <v>50</v>
      </c>
      <c r="BN170" s="1">
        <f>MIN(BN2:BN165)</f>
        <v>50</v>
      </c>
      <c r="BO170" s="1">
        <f>MIN(BO2:BO165)</f>
        <v>50</v>
      </c>
      <c r="BP170" s="1"/>
      <c r="BQ170" s="1"/>
      <c r="BR170" s="17"/>
      <c r="BS170" s="17"/>
    </row>
    <row r="171" spans="1:73">
      <c r="A171" s="1"/>
      <c r="B171" s="3" t="s">
        <v>158</v>
      </c>
      <c r="C171" s="1"/>
      <c r="D171" s="1"/>
      <c r="E171" s="1">
        <f>E167-E169</f>
        <v>13</v>
      </c>
      <c r="F171" s="1">
        <f>F167-F169</f>
        <v>10</v>
      </c>
      <c r="G171" s="1">
        <f>G167-G169</f>
        <v>-14</v>
      </c>
      <c r="H171" s="1">
        <f>H167-H169</f>
        <v>-20</v>
      </c>
      <c r="I171" s="1">
        <f>I167-I169</f>
        <v>49</v>
      </c>
      <c r="J171" s="1">
        <f>J167-J169</f>
        <v>54</v>
      </c>
      <c r="K171" s="1">
        <f>K167-K169</f>
        <v>43</v>
      </c>
      <c r="L171" s="1">
        <f>L167-L169</f>
        <v>38</v>
      </c>
      <c r="M171" s="1">
        <f>M167-M169</f>
        <v>30</v>
      </c>
      <c r="N171" s="1">
        <f>N167-N169</f>
        <v>55</v>
      </c>
      <c r="O171" s="1">
        <f>O167-O169</f>
        <v>9</v>
      </c>
      <c r="P171" s="1">
        <f>P167-P169</f>
        <v>62</v>
      </c>
      <c r="Q171" s="1">
        <f>Q167-Q169</f>
        <v>37</v>
      </c>
      <c r="R171" s="1">
        <f>R167-R169</f>
        <v>-9</v>
      </c>
      <c r="S171" s="1">
        <f>S167-S169</f>
        <v>92</v>
      </c>
      <c r="T171" s="1">
        <f>T167-T169</f>
        <v>31</v>
      </c>
      <c r="U171" s="1">
        <f>U167-U169</f>
        <v>-9</v>
      </c>
      <c r="V171" s="1">
        <f>V167-V169</f>
        <v>79</v>
      </c>
      <c r="W171" s="1">
        <f>W167-W169</f>
        <v>14</v>
      </c>
      <c r="X171" s="1">
        <f>X167-X169</f>
        <v>-10</v>
      </c>
      <c r="Y171" s="1">
        <f>Y167-Y169</f>
        <v>81</v>
      </c>
      <c r="Z171" s="1">
        <f>Z167-Z169</f>
        <v>25</v>
      </c>
      <c r="AA171" s="1">
        <f>AA167-AA169</f>
        <v>1</v>
      </c>
      <c r="AB171" s="1">
        <f>AB167-AB169</f>
        <v>87</v>
      </c>
      <c r="AC171" s="1">
        <f>AC167-AC169</f>
        <v>16</v>
      </c>
      <c r="AD171" s="1">
        <f>AD167-AD169</f>
        <v>2</v>
      </c>
      <c r="AE171" s="1">
        <f>AE167-AE169</f>
        <v>-190</v>
      </c>
      <c r="AF171" s="1">
        <f>AF167-AF169</f>
        <v>-5</v>
      </c>
      <c r="AG171" s="1">
        <f>AG167-AG169</f>
        <v>-2</v>
      </c>
      <c r="AH171" s="1">
        <f>AH167-AH169</f>
        <v>-5</v>
      </c>
      <c r="AI171" s="1">
        <f>AI167-AI169</f>
        <v>-5</v>
      </c>
      <c r="AJ171" s="1">
        <f>AJ167-AJ169</f>
        <v>-5</v>
      </c>
      <c r="AK171" s="1">
        <f>AK167-AK169</f>
        <v>33</v>
      </c>
      <c r="AL171" s="1">
        <f>AL167-AL169</f>
        <v>43</v>
      </c>
      <c r="AM171" s="1">
        <f>AM167-AM169</f>
        <v>0</v>
      </c>
      <c r="AN171" s="1">
        <f>AN167-AN169</f>
        <v>-21</v>
      </c>
      <c r="AO171" s="1">
        <f>AO167-AO169</f>
        <v>-10</v>
      </c>
      <c r="AP171" s="1">
        <f>AP167-AP169</f>
        <v>-10</v>
      </c>
      <c r="AQ171" s="1">
        <f>AQ167-AQ169</f>
        <v>-13</v>
      </c>
      <c r="AR171" s="1">
        <f>AR167-AR169</f>
        <v>13</v>
      </c>
      <c r="AS171" s="1">
        <f>AS167-AS169</f>
        <v>19</v>
      </c>
      <c r="AT171" s="1">
        <f>AT167-AT169</f>
        <v>-1</v>
      </c>
      <c r="AU171" s="1">
        <f>AU167-AU169</f>
        <v>18</v>
      </c>
      <c r="AV171" s="1">
        <f>AV167-AV169</f>
        <v>14</v>
      </c>
      <c r="AW171" s="1">
        <f>AW167-AW169</f>
        <v>-11</v>
      </c>
      <c r="AX171" s="1">
        <f>AX167-AX169</f>
        <v>-8</v>
      </c>
      <c r="AY171" s="1">
        <f>AY167-AY169</f>
        <v>6</v>
      </c>
      <c r="AZ171" s="1">
        <f>AZ167-AZ169</f>
        <v>-7</v>
      </c>
      <c r="BA171" s="1">
        <f>BA167-BA169</f>
        <v>2</v>
      </c>
      <c r="BB171" s="1">
        <f>BB167-BB169</f>
        <v>-16</v>
      </c>
      <c r="BC171" s="1">
        <f>BC167-BC169</f>
        <v>2</v>
      </c>
      <c r="BD171" s="1">
        <f>BD167-BD169</f>
        <v>205</v>
      </c>
      <c r="BE171" s="1">
        <f>BE167-BE169</f>
        <v>346</v>
      </c>
      <c r="BF171" s="1">
        <f>BF167-BF169</f>
        <v>292</v>
      </c>
      <c r="BG171" s="1">
        <f>BG167-BG169</f>
        <v>310</v>
      </c>
      <c r="BH171" s="1">
        <f>BH167-BH169</f>
        <v>142</v>
      </c>
      <c r="BI171" s="1">
        <f>BI167-BI169</f>
        <v>145</v>
      </c>
      <c r="BJ171" s="1">
        <f>BJ167-BJ169</f>
        <v>30</v>
      </c>
      <c r="BK171" s="1">
        <f>BK167-BK169</f>
        <v>39</v>
      </c>
      <c r="BL171" s="1">
        <f>BL167-BL169</f>
        <v>90</v>
      </c>
      <c r="BM171" s="1">
        <f>BM167-BM169</f>
        <v>-13</v>
      </c>
      <c r="BN171" s="1">
        <f>BN167-BN169</f>
        <v>-45</v>
      </c>
      <c r="BO171" s="1">
        <f>BO167-BO169</f>
        <v>-45</v>
      </c>
      <c r="BP171" s="1"/>
      <c r="BQ171" s="1"/>
      <c r="BR171" s="17"/>
      <c r="BS171" s="17"/>
    </row>
    <row r="172" spans="1:73" s="13" customFormat="1">
      <c r="A172" s="1"/>
      <c r="B172" s="3" t="s">
        <v>159</v>
      </c>
      <c r="C172" s="1"/>
      <c r="D172" s="1"/>
      <c r="E172" s="1">
        <f>E167-E170</f>
        <v>23</v>
      </c>
      <c r="F172" s="1">
        <f>F167-F170</f>
        <v>19</v>
      </c>
      <c r="G172" s="1">
        <f>G167-G170</f>
        <v>1</v>
      </c>
      <c r="H172" s="1">
        <f>H167-H170</f>
        <v>-5</v>
      </c>
      <c r="I172" s="1">
        <f>I167-I170</f>
        <v>52</v>
      </c>
      <c r="J172" s="1">
        <f>J167-J170</f>
        <v>59</v>
      </c>
      <c r="K172" s="1">
        <f>K167-K170</f>
        <v>47</v>
      </c>
      <c r="L172" s="1">
        <f>L167-L170</f>
        <v>51</v>
      </c>
      <c r="M172" s="1">
        <f>M167-M170</f>
        <v>39</v>
      </c>
      <c r="N172" s="1">
        <f>N167-N170</f>
        <v>55</v>
      </c>
      <c r="O172" s="1">
        <f>O167-O170</f>
        <v>24</v>
      </c>
      <c r="P172" s="1">
        <f>P167-P170</f>
        <v>62</v>
      </c>
      <c r="Q172" s="1">
        <f>Q167-Q170</f>
        <v>39</v>
      </c>
      <c r="R172" s="1">
        <f>R167-R170</f>
        <v>-1</v>
      </c>
      <c r="S172" s="1">
        <f>S167-S170</f>
        <v>92</v>
      </c>
      <c r="T172" s="1">
        <f>T167-T170</f>
        <v>33</v>
      </c>
      <c r="U172" s="1">
        <f>U167-U170</f>
        <v>-1</v>
      </c>
      <c r="V172" s="1">
        <f>V167-V170</f>
        <v>84</v>
      </c>
      <c r="W172" s="1">
        <f>W167-W170</f>
        <v>14</v>
      </c>
      <c r="X172" s="1">
        <f>X167-X170</f>
        <v>-2</v>
      </c>
      <c r="Y172" s="1">
        <f>Y167-Y170</f>
        <v>86</v>
      </c>
      <c r="Z172" s="1">
        <f>Z167-Z170</f>
        <v>25</v>
      </c>
      <c r="AA172" s="1">
        <f>AA167-AA170</f>
        <v>9</v>
      </c>
      <c r="AB172" s="1">
        <f>AB167-AB170</f>
        <v>87</v>
      </c>
      <c r="AC172" s="1">
        <f>AC167-AC170</f>
        <v>16</v>
      </c>
      <c r="AD172" s="1">
        <f>AD167-AD170</f>
        <v>10</v>
      </c>
      <c r="AE172" s="1">
        <f>AE167-AE170</f>
        <v>-40</v>
      </c>
      <c r="AF172" s="1">
        <f>AF167-AF170</f>
        <v>-5</v>
      </c>
      <c r="AG172" s="1">
        <f>AG167-AG170</f>
        <v>-2</v>
      </c>
      <c r="AH172" s="1">
        <f>AH167-AH170</f>
        <v>-5</v>
      </c>
      <c r="AI172" s="1">
        <f>AI167-AI170</f>
        <v>-5</v>
      </c>
      <c r="AJ172" s="1">
        <f>AJ167-AJ170</f>
        <v>-5</v>
      </c>
      <c r="AK172" s="1">
        <f>AK167-AK170</f>
        <v>33</v>
      </c>
      <c r="AL172" s="1">
        <f>AL167-AL170</f>
        <v>43</v>
      </c>
      <c r="AM172" s="1">
        <f>AM167-AM170</f>
        <v>0</v>
      </c>
      <c r="AN172" s="1">
        <f>AN167-AN170</f>
        <v>-1</v>
      </c>
      <c r="AO172" s="1">
        <f>AO167-AO170</f>
        <v>-2</v>
      </c>
      <c r="AP172" s="1">
        <f>AP167-AP170</f>
        <v>-1</v>
      </c>
      <c r="AQ172" s="1">
        <f>AQ167-AQ170</f>
        <v>17</v>
      </c>
      <c r="AR172" s="1">
        <f>AR167-AR170</f>
        <v>18</v>
      </c>
      <c r="AS172" s="1">
        <f>AS167-AS170</f>
        <v>29</v>
      </c>
      <c r="AT172" s="1">
        <f>AT167-AT170</f>
        <v>4</v>
      </c>
      <c r="AU172" s="1">
        <f>AU167-AU170</f>
        <v>48</v>
      </c>
      <c r="AV172" s="1">
        <f>AV167-AV170</f>
        <v>44</v>
      </c>
      <c r="AW172" s="1">
        <f>AW167-AW170</f>
        <v>19</v>
      </c>
      <c r="AX172" s="1">
        <f>AX167-AX170</f>
        <v>27</v>
      </c>
      <c r="AY172" s="1">
        <f>AY167-AY170</f>
        <v>36</v>
      </c>
      <c r="AZ172" s="1">
        <f>AZ167-AZ170</f>
        <v>23</v>
      </c>
      <c r="BA172" s="1">
        <f>BA167-BA170</f>
        <v>17</v>
      </c>
      <c r="BB172" s="1">
        <f>BB167-BB170</f>
        <v>19</v>
      </c>
      <c r="BC172" s="1">
        <f>BC167-BC170</f>
        <v>2</v>
      </c>
      <c r="BD172" s="1">
        <f>BD167-BD170</f>
        <v>235</v>
      </c>
      <c r="BE172" s="1">
        <f>BE167-BE170</f>
        <v>376</v>
      </c>
      <c r="BF172" s="1">
        <f>BF167-BF170</f>
        <v>292</v>
      </c>
      <c r="BG172" s="1">
        <f>BG167-BG170</f>
        <v>310</v>
      </c>
      <c r="BH172" s="1">
        <f>BH167-BH170</f>
        <v>147</v>
      </c>
      <c r="BI172" s="1">
        <f>BI167-BI170</f>
        <v>180</v>
      </c>
      <c r="BJ172" s="1">
        <f>BJ167-BJ170</f>
        <v>30</v>
      </c>
      <c r="BK172" s="1">
        <f>BK167-BK170</f>
        <v>39</v>
      </c>
      <c r="BL172" s="1">
        <f>BL167-BL170</f>
        <v>90</v>
      </c>
      <c r="BM172" s="1">
        <f>BM167-BM170</f>
        <v>-13</v>
      </c>
      <c r="BN172" s="1">
        <f>BN167-BN170</f>
        <v>-45</v>
      </c>
      <c r="BO172" s="1">
        <f>BO167-BO170</f>
        <v>-45</v>
      </c>
      <c r="BP172" s="1"/>
      <c r="BQ172" s="1"/>
      <c r="BR172" s="17"/>
      <c r="BS172" s="17"/>
    </row>
    <row r="173" spans="1:73">
      <c r="AQ173" s="7" t="s">
        <v>185</v>
      </c>
      <c r="AR173" s="7" t="s">
        <v>188</v>
      </c>
      <c r="AS173" s="7" t="s">
        <v>189</v>
      </c>
      <c r="AT173" s="7" t="s">
        <v>186</v>
      </c>
      <c r="AU173" s="7" t="s">
        <v>187</v>
      </c>
      <c r="AV173" s="7" t="s">
        <v>184</v>
      </c>
      <c r="AW173" s="7" t="s">
        <v>190</v>
      </c>
      <c r="AX173" s="7" t="s">
        <v>191</v>
      </c>
      <c r="AY173" s="7" t="s">
        <v>192</v>
      </c>
      <c r="AZ173" s="7" t="s">
        <v>193</v>
      </c>
      <c r="BA173" s="7" t="s">
        <v>194</v>
      </c>
      <c r="BB173" s="7" t="s">
        <v>195</v>
      </c>
    </row>
  </sheetData>
  <autoFilter ref="A1:BU173">
    <sortState ref="A2:BU173">
      <sortCondition ref="BR2:BR173"/>
      <sortCondition ref="BQ2:BQ173"/>
    </sortState>
  </autoFilter>
  <sortState ref="A2:CS148">
    <sortCondition ref="BR2:BR148"/>
    <sortCondition ref="BQ2:BQ148"/>
  </sortState>
  <phoneticPr fontId="1" type="noConversion"/>
  <conditionalFormatting sqref="E169:BO169">
    <cfRule type="expression" dxfId="5" priority="10">
      <formula>"&lt;=$E$135"</formula>
    </cfRule>
  </conditionalFormatting>
  <conditionalFormatting sqref="E171:BO172">
    <cfRule type="cellIs" dxfId="4" priority="1" operator="lessThan">
      <formula>0</formula>
    </cfRule>
  </conditionalFormatting>
  <conditionalFormatting sqref="E168:BO16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172</xdr:row>
                    <xdr:rowOff>28575</xdr:rowOff>
                  </from>
                  <to>
                    <xdr:col>1</xdr:col>
                    <xdr:colOff>428625</xdr:colOff>
                    <xdr:row>173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132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75</v>
      </c>
      <c r="BR1" s="16" t="s">
        <v>76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137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182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198</v>
      </c>
      <c r="C3" s="50" t="s">
        <v>87</v>
      </c>
      <c r="D3" s="50" t="s">
        <v>103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216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73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80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156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157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158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159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196</v>
      </c>
      <c r="AQ11" s="7" t="s">
        <v>185</v>
      </c>
      <c r="AR11" s="7" t="s">
        <v>188</v>
      </c>
      <c r="AS11" s="7" t="s">
        <v>189</v>
      </c>
      <c r="AT11" s="7" t="s">
        <v>186</v>
      </c>
      <c r="AU11" s="7" t="s">
        <v>187</v>
      </c>
      <c r="AV11" s="7" t="s">
        <v>184</v>
      </c>
      <c r="AW11" s="7" t="s">
        <v>190</v>
      </c>
      <c r="AX11" s="7" t="s">
        <v>191</v>
      </c>
      <c r="AY11" s="7" t="s">
        <v>192</v>
      </c>
      <c r="AZ11" s="7" t="s">
        <v>193</v>
      </c>
      <c r="BA11" s="7" t="s">
        <v>194</v>
      </c>
      <c r="BB11" s="7" t="s">
        <v>195</v>
      </c>
    </row>
    <row r="12" spans="1:97">
      <c r="R12" s="7" t="s">
        <v>197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71</v>
      </c>
      <c r="B1" s="5" t="s">
        <v>68</v>
      </c>
      <c r="C1" s="5" t="s">
        <v>72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160</v>
      </c>
      <c r="D27" t="s">
        <v>161</v>
      </c>
      <c r="E27" t="s">
        <v>162</v>
      </c>
      <c r="F27" t="s">
        <v>163</v>
      </c>
      <c r="G27" t="s">
        <v>164</v>
      </c>
      <c r="H27" t="s">
        <v>165</v>
      </c>
      <c r="I27" t="s">
        <v>166</v>
      </c>
      <c r="J27" t="s">
        <v>167</v>
      </c>
      <c r="K27" t="s">
        <v>168</v>
      </c>
      <c r="L27" t="s">
        <v>169</v>
      </c>
      <c r="M27" t="s">
        <v>170</v>
      </c>
      <c r="N27" t="s">
        <v>171</v>
      </c>
    </row>
    <row r="31" spans="3:18">
      <c r="C31">
        <v>-3</v>
      </c>
      <c r="D31" t="s">
        <v>160</v>
      </c>
    </row>
    <row r="32" spans="3:18">
      <c r="C32">
        <v>-8</v>
      </c>
      <c r="D32" t="s">
        <v>161</v>
      </c>
    </row>
    <row r="33" spans="3:4">
      <c r="C33">
        <v>-3</v>
      </c>
      <c r="D33" t="s">
        <v>162</v>
      </c>
    </row>
    <row r="34" spans="3:4">
      <c r="C34">
        <v>1</v>
      </c>
      <c r="D34" t="s">
        <v>163</v>
      </c>
    </row>
    <row r="35" spans="3:4">
      <c r="C35">
        <v>3</v>
      </c>
      <c r="D35" t="s">
        <v>164</v>
      </c>
    </row>
    <row r="36" spans="3:4">
      <c r="C36">
        <v>0</v>
      </c>
      <c r="D36" t="s">
        <v>165</v>
      </c>
    </row>
    <row r="37" spans="3:4">
      <c r="C37">
        <v>-3</v>
      </c>
      <c r="D37" t="s">
        <v>166</v>
      </c>
    </row>
    <row r="38" spans="3:4">
      <c r="C38">
        <v>30</v>
      </c>
      <c r="D38" t="s">
        <v>167</v>
      </c>
    </row>
    <row r="39" spans="3:4">
      <c r="C39">
        <v>5</v>
      </c>
      <c r="D39" t="s">
        <v>168</v>
      </c>
    </row>
    <row r="40" spans="3:4">
      <c r="C40">
        <v>-10</v>
      </c>
      <c r="D40" t="s">
        <v>169</v>
      </c>
    </row>
    <row r="41" spans="3:4">
      <c r="C41">
        <v>3</v>
      </c>
      <c r="D41" t="s">
        <v>170</v>
      </c>
    </row>
    <row r="42" spans="3:4">
      <c r="C42">
        <v>138</v>
      </c>
      <c r="D42" t="s">
        <v>171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77</v>
      </c>
      <c r="B1" s="8" t="s">
        <v>78</v>
      </c>
      <c r="C1" s="8" t="s">
        <v>79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</row>
    <row r="4" spans="3:10">
      <c r="C4" s="67" t="s">
        <v>223</v>
      </c>
      <c r="D4" t="s">
        <v>224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225</v>
      </c>
      <c r="D5" t="s">
        <v>226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227</v>
      </c>
      <c r="D6" t="s">
        <v>226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228</v>
      </c>
      <c r="D7" t="s">
        <v>226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229</v>
      </c>
      <c r="D8" t="s">
        <v>230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231</v>
      </c>
      <c r="D9" t="s">
        <v>230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232</v>
      </c>
      <c r="D10" t="s">
        <v>230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235</v>
      </c>
      <c r="D11" t="s">
        <v>226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233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233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233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233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234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230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230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230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2020-05-04T13:05:11Z</dcterms:modified>
</cp:coreProperties>
</file>