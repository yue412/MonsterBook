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Sheet1!$A$1:$BU$144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59" i="1" l="1"/>
  <c r="BU60" i="1"/>
  <c r="BU61" i="1"/>
  <c r="BT59" i="1"/>
  <c r="BP59" i="1"/>
  <c r="BU9" i="1" l="1"/>
  <c r="BU5" i="1"/>
  <c r="BU47" i="1"/>
  <c r="BU48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6" i="1"/>
  <c r="BU28" i="1"/>
  <c r="BU29" i="1"/>
  <c r="BU32" i="1"/>
  <c r="BU11" i="1"/>
  <c r="BU10" i="1"/>
  <c r="BU36" i="1"/>
  <c r="BU37" i="1"/>
  <c r="BU38" i="1"/>
  <c r="BU39" i="1"/>
  <c r="BU40" i="1"/>
  <c r="BU41" i="1"/>
  <c r="BU42" i="1"/>
  <c r="BU43" i="1"/>
  <c r="BU44" i="1"/>
  <c r="BU45" i="1"/>
  <c r="BU46" i="1"/>
  <c r="BU30" i="1"/>
  <c r="BU31" i="1"/>
  <c r="BU98" i="1"/>
  <c r="BU33" i="1"/>
  <c r="BU49" i="1"/>
  <c r="BU50" i="1"/>
  <c r="BU51" i="1"/>
  <c r="BU52" i="1"/>
  <c r="BU53" i="1"/>
  <c r="BU54" i="1"/>
  <c r="BU56" i="1"/>
  <c r="BU8" i="1"/>
  <c r="BU34" i="1"/>
  <c r="BU85" i="1"/>
  <c r="BU35" i="1"/>
  <c r="BU57" i="1"/>
  <c r="BU108" i="1"/>
  <c r="BU58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121" i="1"/>
  <c r="BU122" i="1"/>
  <c r="BU123" i="1"/>
  <c r="BU74" i="1"/>
  <c r="BU75" i="1"/>
  <c r="BU76" i="1"/>
  <c r="BU77" i="1"/>
  <c r="BU78" i="1"/>
  <c r="BU79" i="1"/>
  <c r="BU80" i="1"/>
  <c r="BU81" i="1"/>
  <c r="BU82" i="1"/>
  <c r="BU83" i="1"/>
  <c r="BU84" i="1"/>
  <c r="BU86" i="1"/>
  <c r="BU90" i="1"/>
  <c r="BU91" i="1"/>
  <c r="BU88" i="1"/>
  <c r="BU55" i="1"/>
  <c r="BU7" i="1"/>
  <c r="BU96" i="1"/>
  <c r="BU97" i="1"/>
  <c r="BU99" i="1"/>
  <c r="BU100" i="1"/>
  <c r="BU101" i="1"/>
  <c r="BU102" i="1"/>
  <c r="BU103" i="1"/>
  <c r="BU107" i="1"/>
  <c r="BU87" i="1"/>
  <c r="BU110" i="1"/>
  <c r="BU131" i="1"/>
  <c r="BU109" i="1"/>
  <c r="BU111" i="1"/>
  <c r="BU136" i="1"/>
  <c r="BU113" i="1"/>
  <c r="BU114" i="1"/>
  <c r="BU115" i="1"/>
  <c r="BU116" i="1"/>
  <c r="BU117" i="1"/>
  <c r="BU118" i="1"/>
  <c r="BU119" i="1"/>
  <c r="BU120" i="1"/>
  <c r="BU89" i="1"/>
  <c r="BU92" i="1"/>
  <c r="BU93" i="1"/>
  <c r="BU94" i="1"/>
  <c r="BU95" i="1"/>
  <c r="BU124" i="1"/>
  <c r="BU125" i="1"/>
  <c r="BU126" i="1"/>
  <c r="BU127" i="1"/>
  <c r="BU104" i="1"/>
  <c r="BU105" i="1"/>
  <c r="BU106" i="1"/>
  <c r="BU128" i="1"/>
  <c r="BU129" i="1"/>
  <c r="BU130" i="1"/>
  <c r="BU112" i="1"/>
  <c r="BU132" i="1"/>
  <c r="BU133" i="1"/>
  <c r="BU134" i="1"/>
  <c r="BU135" i="1"/>
  <c r="BU2" i="1"/>
  <c r="BU3" i="1"/>
  <c r="BU4" i="1"/>
  <c r="BT3" i="1" l="1"/>
  <c r="BT4" i="1"/>
  <c r="BT9" i="1"/>
  <c r="BT5" i="1"/>
  <c r="BT12" i="1"/>
  <c r="BT13" i="1"/>
  <c r="BT14" i="1"/>
  <c r="BT15" i="1"/>
  <c r="BT16" i="1"/>
  <c r="BT17" i="1"/>
  <c r="BT18" i="1"/>
  <c r="BT19" i="1"/>
  <c r="BT20" i="1"/>
  <c r="BT21" i="1"/>
  <c r="BT22" i="1"/>
  <c r="BT23" i="1"/>
  <c r="BT24" i="1"/>
  <c r="BT25" i="1"/>
  <c r="BT26" i="1"/>
  <c r="BT27" i="1"/>
  <c r="BT29" i="1"/>
  <c r="BT28" i="1"/>
  <c r="BT32" i="1"/>
  <c r="BT36" i="1"/>
  <c r="BT37" i="1"/>
  <c r="BT38" i="1"/>
  <c r="BT39" i="1"/>
  <c r="BT40" i="1"/>
  <c r="BT41" i="1"/>
  <c r="BT42" i="1"/>
  <c r="BT43" i="1"/>
  <c r="BT44" i="1"/>
  <c r="BT45" i="1"/>
  <c r="BT46" i="1"/>
  <c r="BT30" i="1"/>
  <c r="BT31" i="1"/>
  <c r="BT47" i="1"/>
  <c r="BT48" i="1"/>
  <c r="BT33" i="1"/>
  <c r="BT49" i="1"/>
  <c r="BT50" i="1"/>
  <c r="BT51" i="1"/>
  <c r="BT52" i="1"/>
  <c r="BT53" i="1"/>
  <c r="BT6" i="1"/>
  <c r="BT11" i="1"/>
  <c r="BT10" i="1"/>
  <c r="BT98" i="1"/>
  <c r="BT57" i="1"/>
  <c r="BT85" i="1"/>
  <c r="BT35" i="1"/>
  <c r="BT34" i="1"/>
  <c r="BT58" i="1"/>
  <c r="BT108" i="1"/>
  <c r="BT60" i="1"/>
  <c r="BT61" i="1"/>
  <c r="BT62" i="1"/>
  <c r="BT63" i="1"/>
  <c r="BT64" i="1"/>
  <c r="BT65" i="1"/>
  <c r="BT66" i="1"/>
  <c r="BT67" i="1"/>
  <c r="BT68" i="1"/>
  <c r="BT69" i="1"/>
  <c r="BT70" i="1"/>
  <c r="BT71" i="1"/>
  <c r="BT72" i="1"/>
  <c r="BT73" i="1"/>
  <c r="BT121" i="1"/>
  <c r="BT122" i="1"/>
  <c r="BT123" i="1"/>
  <c r="BT74" i="1"/>
  <c r="BT75" i="1"/>
  <c r="BT76" i="1"/>
  <c r="BT77" i="1"/>
  <c r="BT78" i="1"/>
  <c r="BT79" i="1"/>
  <c r="BT80" i="1"/>
  <c r="BT81" i="1"/>
  <c r="BT82" i="1"/>
  <c r="BT54" i="1"/>
  <c r="BT83" i="1"/>
  <c r="BT84" i="1"/>
  <c r="BT86" i="1"/>
  <c r="BT88" i="1"/>
  <c r="BT90" i="1"/>
  <c r="BT91" i="1"/>
  <c r="BT56" i="1"/>
  <c r="BT96" i="1"/>
  <c r="BT97" i="1"/>
  <c r="BT55" i="1"/>
  <c r="BT99" i="1"/>
  <c r="BT100" i="1"/>
  <c r="BT101" i="1"/>
  <c r="BT102" i="1"/>
  <c r="BT8" i="1"/>
  <c r="BT103" i="1"/>
  <c r="BT107" i="1"/>
  <c r="BT7" i="1"/>
  <c r="BT87" i="1"/>
  <c r="BT131" i="1"/>
  <c r="BT109" i="1"/>
  <c r="BT111" i="1"/>
  <c r="BT136" i="1"/>
  <c r="BT113" i="1"/>
  <c r="BT114" i="1"/>
  <c r="BT115" i="1"/>
  <c r="BT116" i="1"/>
  <c r="BT117" i="1"/>
  <c r="BT118" i="1"/>
  <c r="BT119" i="1"/>
  <c r="BT120" i="1"/>
  <c r="BT124" i="1"/>
  <c r="BT89" i="1"/>
  <c r="BT125" i="1"/>
  <c r="BT92" i="1"/>
  <c r="BT93" i="1"/>
  <c r="BT94" i="1"/>
  <c r="BT95" i="1"/>
  <c r="BT126" i="1"/>
  <c r="BT127" i="1"/>
  <c r="BT110" i="1"/>
  <c r="BT104" i="1"/>
  <c r="BT105" i="1"/>
  <c r="BT106" i="1"/>
  <c r="BT130" i="1"/>
  <c r="BT112" i="1"/>
  <c r="BT132" i="1"/>
  <c r="BT133" i="1"/>
  <c r="BT134" i="1"/>
  <c r="BT135" i="1"/>
  <c r="BT128" i="1"/>
  <c r="BT129" i="1"/>
  <c r="BT2" i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P129" i="1" l="1"/>
  <c r="BP118" i="1"/>
  <c r="BP124" i="1"/>
  <c r="BP102" i="1"/>
  <c r="BP104" i="1"/>
  <c r="BP105" i="1"/>
  <c r="BP106" i="1"/>
  <c r="BP103" i="1"/>
  <c r="BP107" i="1"/>
  <c r="BP110" i="1"/>
  <c r="BP91" i="1"/>
  <c r="BP92" i="1"/>
  <c r="BP93" i="1"/>
  <c r="BP94" i="1"/>
  <c r="BP95" i="1"/>
  <c r="BP117" i="1"/>
  <c r="BP121" i="1"/>
  <c r="BP122" i="1"/>
  <c r="BP35" i="1"/>
  <c r="BP87" i="1"/>
  <c r="BP123" i="1"/>
  <c r="BP29" i="1"/>
  <c r="BP81" i="1"/>
  <c r="BP69" i="1"/>
  <c r="BP70" i="1"/>
  <c r="BP71" i="1"/>
  <c r="BP72" i="1"/>
  <c r="BP82" i="1"/>
  <c r="BP28" i="1"/>
  <c r="BP73" i="1"/>
  <c r="BP77" i="1"/>
  <c r="BP22" i="1"/>
  <c r="BP23" i="1"/>
  <c r="BP24" i="1"/>
  <c r="BP25" i="1"/>
  <c r="BP119" i="1"/>
  <c r="BP26" i="1"/>
  <c r="BP78" i="1"/>
  <c r="BP27" i="1"/>
  <c r="BP41" i="1"/>
  <c r="BP13" i="1"/>
  <c r="BP42" i="1"/>
  <c r="BP43" i="1"/>
  <c r="BP44" i="1"/>
  <c r="BP45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BO141" i="1"/>
  <c r="E141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W140" i="1"/>
  <c r="AX140" i="1"/>
  <c r="AY140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E140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C137" i="1"/>
  <c r="AX137" i="1"/>
  <c r="AY137" i="1"/>
  <c r="AZ137" i="1"/>
  <c r="BA137" i="1"/>
  <c r="BB137" i="1"/>
  <c r="AW137" i="1"/>
  <c r="AR137" i="1"/>
  <c r="AS137" i="1"/>
  <c r="AT137" i="1"/>
  <c r="AU137" i="1"/>
  <c r="AV137" i="1"/>
  <c r="AQ137" i="1"/>
  <c r="AF137" i="1"/>
  <c r="AG137" i="1"/>
  <c r="AH137" i="1"/>
  <c r="AI137" i="1"/>
  <c r="AJ137" i="1"/>
  <c r="AK137" i="1"/>
  <c r="AL137" i="1"/>
  <c r="AM137" i="1"/>
  <c r="AN137" i="1"/>
  <c r="AO137" i="1"/>
  <c r="AP137" i="1"/>
  <c r="AE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P137" i="1"/>
  <c r="F137" i="1"/>
  <c r="G137" i="1"/>
  <c r="H137" i="1"/>
  <c r="I137" i="1"/>
  <c r="J137" i="1"/>
  <c r="K137" i="1"/>
  <c r="L137" i="1"/>
  <c r="M137" i="1"/>
  <c r="N137" i="1"/>
  <c r="O137" i="1"/>
  <c r="E137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P10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P84" i="1"/>
  <c r="BP8" i="1"/>
  <c r="BP32" i="1"/>
  <c r="CJ2" i="8" l="1"/>
  <c r="CK2" i="8"/>
  <c r="CR4" i="8"/>
  <c r="CN2" i="8"/>
  <c r="CM2" i="8"/>
  <c r="CG2" i="8"/>
  <c r="CH2" i="8"/>
  <c r="CL2" i="8"/>
  <c r="CQ2" i="8"/>
  <c r="CI2" i="8"/>
  <c r="CO2" i="8"/>
  <c r="CP2" i="8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BO142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BO143" i="1"/>
  <c r="BA142" i="1"/>
  <c r="BB142" i="1"/>
  <c r="BA143" i="1"/>
  <c r="BB143" i="1"/>
  <c r="AQ142" i="1"/>
  <c r="AR142" i="1"/>
  <c r="AS142" i="1"/>
  <c r="AT142" i="1"/>
  <c r="AU142" i="1"/>
  <c r="AV142" i="1"/>
  <c r="AW142" i="1"/>
  <c r="AX142" i="1"/>
  <c r="AY142" i="1"/>
  <c r="AZ142" i="1"/>
  <c r="AQ143" i="1"/>
  <c r="AR143" i="1"/>
  <c r="AS143" i="1"/>
  <c r="AT143" i="1"/>
  <c r="AU143" i="1"/>
  <c r="AV143" i="1"/>
  <c r="AW143" i="1"/>
  <c r="AX143" i="1"/>
  <c r="AY143" i="1"/>
  <c r="AZ143" i="1"/>
  <c r="AI142" i="1"/>
  <c r="AJ142" i="1"/>
  <c r="AK142" i="1"/>
  <c r="AL142" i="1"/>
  <c r="AM142" i="1"/>
  <c r="AN142" i="1"/>
  <c r="AO142" i="1"/>
  <c r="AP142" i="1"/>
  <c r="AI143" i="1"/>
  <c r="AJ143" i="1"/>
  <c r="AK143" i="1"/>
  <c r="AL143" i="1"/>
  <c r="AM143" i="1"/>
  <c r="AN143" i="1"/>
  <c r="AO143" i="1"/>
  <c r="AP143" i="1"/>
  <c r="AC142" i="1"/>
  <c r="AD142" i="1"/>
  <c r="AE142" i="1"/>
  <c r="AF142" i="1"/>
  <c r="AG142" i="1"/>
  <c r="AH142" i="1"/>
  <c r="AC143" i="1"/>
  <c r="AD143" i="1"/>
  <c r="AE143" i="1"/>
  <c r="AF143" i="1"/>
  <c r="AG143" i="1"/>
  <c r="AH143" i="1"/>
  <c r="W142" i="1"/>
  <c r="X142" i="1"/>
  <c r="Y142" i="1"/>
  <c r="Z142" i="1"/>
  <c r="AA142" i="1"/>
  <c r="AB142" i="1"/>
  <c r="W143" i="1"/>
  <c r="X143" i="1"/>
  <c r="Y143" i="1"/>
  <c r="Z143" i="1"/>
  <c r="AA143" i="1"/>
  <c r="AB143" i="1"/>
  <c r="P142" i="1"/>
  <c r="Q142" i="1"/>
  <c r="R142" i="1"/>
  <c r="S142" i="1"/>
  <c r="T142" i="1"/>
  <c r="U142" i="1"/>
  <c r="V142" i="1"/>
  <c r="P143" i="1"/>
  <c r="Q143" i="1"/>
  <c r="R143" i="1"/>
  <c r="S143" i="1"/>
  <c r="T143" i="1"/>
  <c r="U143" i="1"/>
  <c r="V143" i="1"/>
  <c r="G142" i="1"/>
  <c r="H142" i="1"/>
  <c r="I142" i="1"/>
  <c r="J142" i="1"/>
  <c r="K142" i="1"/>
  <c r="L142" i="1"/>
  <c r="M142" i="1"/>
  <c r="N142" i="1"/>
  <c r="O142" i="1"/>
  <c r="G143" i="1"/>
  <c r="H143" i="1"/>
  <c r="I143" i="1"/>
  <c r="J143" i="1"/>
  <c r="K143" i="1"/>
  <c r="L143" i="1"/>
  <c r="M143" i="1"/>
  <c r="N143" i="1"/>
  <c r="O143" i="1"/>
  <c r="F142" i="1"/>
  <c r="F143" i="1"/>
  <c r="E143" i="1"/>
  <c r="E142" i="1"/>
  <c r="CH4" i="8" l="1"/>
  <c r="CI4" i="8"/>
  <c r="CK4" i="8"/>
  <c r="CJ4" i="8"/>
  <c r="CL4" i="8"/>
  <c r="CM4" i="8"/>
  <c r="CQ4" i="8"/>
  <c r="CN4" i="8"/>
  <c r="CG4" i="8"/>
  <c r="CO4" i="8"/>
  <c r="CP4" i="8"/>
  <c r="BP2" i="1"/>
  <c r="BP3" i="1"/>
  <c r="BP4" i="1"/>
  <c r="BP5" i="1"/>
  <c r="BP49" i="1"/>
  <c r="BP33" i="1"/>
  <c r="BP50" i="1"/>
  <c r="BP51" i="1"/>
  <c r="BP30" i="1"/>
  <c r="BP31" i="1"/>
  <c r="BP52" i="1"/>
  <c r="BP53" i="1"/>
  <c r="BP34" i="1"/>
  <c r="BP6" i="1"/>
  <c r="BP11" i="1"/>
  <c r="BP58" i="1"/>
  <c r="BP60" i="1"/>
  <c r="BP61" i="1"/>
  <c r="BP83" i="1"/>
  <c r="BP55" i="1"/>
  <c r="BP9" i="1"/>
  <c r="BP88" i="1"/>
  <c r="BP62" i="1"/>
  <c r="BP63" i="1"/>
  <c r="BP64" i="1"/>
  <c r="BP65" i="1"/>
  <c r="BP56" i="1"/>
  <c r="BP96" i="1"/>
  <c r="BP97" i="1"/>
  <c r="BP57" i="1"/>
  <c r="BP47" i="1"/>
  <c r="BP48" i="1"/>
  <c r="BP85" i="1"/>
  <c r="BP108" i="1"/>
  <c r="BP20" i="1"/>
  <c r="BP46" i="1"/>
  <c r="BP66" i="1"/>
  <c r="BP67" i="1"/>
  <c r="BP68" i="1"/>
  <c r="BP86" i="1"/>
  <c r="BP54" i="1"/>
  <c r="BP90" i="1"/>
  <c r="BP126" i="1"/>
  <c r="BP127" i="1"/>
  <c r="BP7" i="1"/>
  <c r="BP99" i="1"/>
  <c r="BP100" i="1"/>
  <c r="BP101" i="1"/>
  <c r="BP98" i="1"/>
  <c r="BP131" i="1"/>
  <c r="BP136" i="1"/>
  <c r="BP112" i="1"/>
  <c r="BP21" i="1"/>
  <c r="BP120" i="1"/>
  <c r="BP125" i="1"/>
  <c r="BP14" i="1"/>
  <c r="BP15" i="1"/>
  <c r="BP16" i="1"/>
  <c r="BP17" i="1"/>
  <c r="BP18" i="1"/>
  <c r="BP19" i="1"/>
  <c r="BP74" i="1"/>
  <c r="BP75" i="1"/>
  <c r="BP76" i="1"/>
  <c r="BP12" i="1"/>
  <c r="BP79" i="1"/>
  <c r="BP80" i="1"/>
  <c r="BP128" i="1"/>
  <c r="BP89" i="1"/>
  <c r="BP130" i="1"/>
  <c r="BP36" i="1"/>
  <c r="BP37" i="1"/>
  <c r="BP38" i="1"/>
  <c r="BP39" i="1"/>
  <c r="BP40" i="1"/>
  <c r="BP109" i="1"/>
  <c r="BP111" i="1"/>
  <c r="BP113" i="1"/>
  <c r="BP114" i="1"/>
  <c r="BP115" i="1"/>
  <c r="BP116" i="1"/>
  <c r="BP133" i="1"/>
  <c r="BP134" i="1"/>
  <c r="BP135" i="1"/>
  <c r="BP132" i="1" l="1"/>
  <c r="BM139" i="1" l="1"/>
  <c r="AM139" i="1"/>
  <c r="L139" i="1"/>
  <c r="BK139" i="1"/>
  <c r="AJ139" i="1"/>
  <c r="BH139" i="1"/>
  <c r="AH139" i="1"/>
  <c r="AL139" i="1"/>
  <c r="BD139" i="1"/>
  <c r="BL139" i="1"/>
  <c r="J139" i="1"/>
  <c r="H139" i="1"/>
  <c r="G139" i="1"/>
  <c r="BG139" i="1"/>
  <c r="AE139" i="1"/>
  <c r="F139" i="1"/>
  <c r="BJ139" i="1"/>
  <c r="AI139" i="1"/>
  <c r="I139" i="1"/>
  <c r="AG139" i="1"/>
  <c r="BE139" i="1"/>
  <c r="AF139" i="1"/>
  <c r="BF139" i="1"/>
  <c r="O139" i="1"/>
  <c r="BO139" i="1"/>
  <c r="N139" i="1"/>
  <c r="K139" i="1"/>
  <c r="AK139" i="1"/>
  <c r="BI139" i="1"/>
  <c r="E139" i="1"/>
  <c r="BN139" i="1"/>
  <c r="AN139" i="1"/>
  <c r="M139" i="1"/>
  <c r="AP139" i="1"/>
  <c r="BC139" i="1"/>
  <c r="AO139" i="1"/>
  <c r="V139" i="1"/>
  <c r="Y139" i="1"/>
  <c r="W139" i="1"/>
  <c r="S139" i="1"/>
  <c r="X139" i="1"/>
  <c r="R139" i="1"/>
  <c r="Z139" i="1"/>
  <c r="U139" i="1"/>
  <c r="T139" i="1"/>
  <c r="AC139" i="1"/>
  <c r="Q139" i="1"/>
  <c r="AB139" i="1"/>
  <c r="P139" i="1"/>
  <c r="AA139" i="1"/>
  <c r="AD139" i="1"/>
  <c r="AR139" i="1" l="1"/>
  <c r="AU139" i="1"/>
  <c r="BB139" i="1"/>
  <c r="AS139" i="1"/>
  <c r="AW139" i="1"/>
  <c r="AT139" i="1"/>
  <c r="AY139" i="1"/>
  <c r="AZ139" i="1"/>
  <c r="AV139" i="1"/>
  <c r="AQ139" i="1"/>
  <c r="AX139" i="1"/>
  <c r="BA139" i="1"/>
</calcChain>
</file>

<file path=xl/sharedStrings.xml><?xml version="1.0" encoding="utf-8"?>
<sst xmlns="http://schemas.openxmlformats.org/spreadsheetml/2006/main" count="843" uniqueCount="321">
  <si>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</si>
  <si>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</si>
  <si>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</si>
  <si>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</si>
  <si>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</si>
  <si>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</si>
  <si>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</si>
  <si>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</si>
  <si>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</si>
  <si>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</si>
  <si>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</si>
  <si>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</si>
  <si>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</si>
  <si>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</si>
  <si>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</si>
  <si>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</si>
  <si>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</si>
  <si>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</si>
  <si>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</si>
  <si>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</si>
  <si>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</si>
  <si>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</si>
  <si>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</si>
  <si>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</si>
  <si>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</si>
  <si>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</si>
  <si>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</si>
  <si>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</si>
  <si>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</si>
  <si>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</si>
  <si>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</si>
  <si>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</si>
  <si>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</si>
  <si>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</si>
  <si>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</si>
  <si>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</si>
  <si>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</si>
  <si>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</si>
  <si>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</si>
  <si>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</si>
  <si>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</si>
  <si>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</si>
  <si>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</si>
  <si>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</si>
  <si>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</si>
  <si>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</si>
  <si>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</si>
  <si>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</si>
  <si>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</si>
  <si>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</si>
  <si>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</si>
  <si>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</si>
  <si>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</si>
  <si>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</si>
  <si>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</si>
  <si>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</si>
  <si>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</si>
  <si>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</si>
  <si>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</si>
  <si>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</si>
  <si>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</si>
  <si>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</si>
  <si>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</si>
  <si>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</si>
  <si>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</si>
  <si>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</si>
  <si>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</si>
  <si>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</si>
  <si>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</si>
  <si>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</si>
  <si>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</si>
  <si>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</si>
  <si>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</si>
  <si>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</si>
  <si>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</si>
  <si>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</si>
  <si>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</si>
  <si>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</si>
  <si>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</si>
  <si>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</si>
  <si>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</si>
  <si>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</si>
  <si>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</si>
  <si>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</si>
  <si>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</si>
  <si>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</si>
  <si>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</si>
  <si>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</si>
  <si>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</si>
  <si>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</si>
  <si>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</si>
  <si>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</si>
  <si>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</si>
  <si>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</si>
  <si>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</si>
  <si>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</si>
  <si>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</si>
  <si>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</si>
  <si>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</si>
  <si>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</si>
  <si>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</si>
  <si>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</si>
  <si>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</si>
  <si>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</si>
  <si>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</si>
  <si>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</si>
  <si>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</si>
  <si>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</si>
  <si>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</si>
  <si>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</si>
  <si>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</si>
  <si>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</si>
  <si>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</si>
  <si>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</si>
  <si>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</si>
  <si>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</si>
  <si>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</si>
  <si>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</si>
  <si>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</si>
  <si>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</si>
  <si>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</si>
  <si>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</si>
  <si>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</si>
  <si>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</si>
  <si>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</si>
  <si>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</si>
  <si>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</si>
  <si>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</si>
  <si>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</si>
  <si>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</si>
  <si>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</si>
  <si>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</si>
  <si>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</si>
  <si>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</si>
  <si>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</si>
  <si>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</si>
  <si>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</si>
  <si>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</si>
  <si>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</si>
  <si>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</si>
  <si>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</si>
  <si>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</si>
  <si>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</si>
  <si>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</si>
  <si>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</si>
  <si>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</si>
  <si>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</si>
  <si>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</si>
  <si>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</si>
  <si>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</si>
  <si>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</si>
  <si>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</si>
  <si>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</si>
  <si>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</si>
  <si>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</si>
  <si>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</si>
  <si>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</si>
  <si>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</si>
  <si>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</si>
  <si>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</si>
  <si>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</si>
  <si>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</si>
  <si>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</si>
  <si>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</si>
  <si>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</si>
  <si>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</si>
  <si>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</si>
  <si>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</si>
  <si>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</si>
  <si>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</si>
  <si>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</si>
  <si>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</si>
  <si>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</si>
  <si>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</si>
  <si>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</si>
  <si>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</si>
  <si>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</si>
  <si>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</si>
  <si>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</si>
  <si>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</si>
  <si>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</si>
  <si>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</si>
  <si>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</si>
  <si>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</si>
  <si>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</si>
  <si>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</si>
  <si>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</si>
  <si>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</si>
  <si>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</si>
  <si>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</si>
  <si>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</si>
  <si>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</si>
  <si>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</si>
  <si>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</si>
  <si>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</si>
  <si>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</si>
  <si>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</si>
  <si>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</si>
  <si>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</si>
  <si>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</si>
  <si>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</si>
  <si>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</si>
  <si>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</si>
  <si>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</si>
  <si>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</si>
  <si>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</si>
  <si>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</si>
  <si>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</si>
  <si>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</si>
  <si>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</si>
  <si>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七条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</si>
  <si>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</si>
  <si>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</si>
  <si>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</si>
  <si>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</si>
  <si>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</si>
  <si>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</si>
  <si>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</si>
  <si>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二条</t>
    <phoneticPr fontId="1" type="noConversion"/>
  </si>
  <si>
    <t>六万</t>
  </si>
  <si>
    <t>骰子中(1),</t>
    <phoneticPr fontId="1" type="noConversion"/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</si>
  <si>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</si>
  <si>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</si>
  <si>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</si>
  <si>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</si>
  <si>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</si>
  <si>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</si>
  <si>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</si>
  <si>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</si>
  <si>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</si>
  <si>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</si>
  <si>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</si>
  <si>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</si>
  <si>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</si>
  <si>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</si>
  <si>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</si>
  <si>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</si>
  <si>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</si>
  <si>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</si>
  <si>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</si>
  <si>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</si>
  <si>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</si>
  <si>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</si>
  <si>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</si>
  <si>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</si>
  <si>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骰子小(4),_x000D_
庄家令牌中(1),</t>
    <phoneticPr fontId="1" type="noConversion"/>
  </si>
  <si>
    <t>欠条中(2),_x000D_
骰子小(4),</t>
    <phoneticPr fontId="1" type="noConversion"/>
  </si>
  <si>
    <t>桂花(5),</t>
    <phoneticPr fontId="1" type="noConversion"/>
  </si>
  <si>
    <t>欠条中(2),_x000D_
筹码中(1),</t>
    <phoneticPr fontId="1" type="noConversion"/>
  </si>
  <si>
    <t>筹码大(7),_x000D_
庄家令牌大(2),</t>
    <phoneticPr fontId="1" type="noConversion"/>
  </si>
  <si>
    <t>钱袋大(7),_x000D_
筹码大(7),</t>
    <phoneticPr fontId="1" type="noConversion"/>
  </si>
  <si>
    <t>无双小狮妹</t>
    <phoneticPr fontId="1" type="noConversion"/>
  </si>
  <si>
    <t>幻</t>
    <phoneticPr fontId="1" type="noConversion"/>
  </si>
  <si>
    <t>庄家令牌中(1),</t>
    <phoneticPr fontId="1" type="noConversion"/>
  </si>
  <si>
    <t>骰子小(4),</t>
    <phoneticPr fontId="1" type="noConversion"/>
  </si>
  <si>
    <t>欠条中(4),</t>
    <phoneticPr fontId="1" type="noConversion"/>
  </si>
  <si>
    <t>仙丹(3),</t>
    <phoneticPr fontId="1" type="noConversion"/>
  </si>
  <si>
    <t>螃蟹(5),</t>
    <phoneticPr fontId="1" type="noConversion"/>
  </si>
  <si>
    <t>神农鼎(10),</t>
    <phoneticPr fontId="1" type="noConversion"/>
  </si>
  <si>
    <t>金甲虫(191),</t>
    <phoneticPr fontId="1" type="noConversion"/>
  </si>
  <si>
    <t>欠条大(6),_x000D_
骰子大(2),</t>
    <phoneticPr fontId="1" type="noConversion"/>
  </si>
  <si>
    <t>欠条大(6),_x000D_
钱袋大(7),</t>
    <phoneticPr fontId="1" type="noConversion"/>
  </si>
  <si>
    <t>力量符文叉大(20),_x000D_
技巧符文叉大(28),</t>
    <phoneticPr fontId="1" type="noConversion"/>
  </si>
  <si>
    <t>超进阶素材光(45),_x000D_
超进阶素材暗(45),</t>
    <phoneticPr fontId="1" type="noConversion"/>
  </si>
  <si>
    <t>欠条中(2),_x000D_
骰子小(4),_x000D_
筹码中(1),</t>
    <phoneticPr fontId="1" type="noConversion"/>
  </si>
  <si>
    <t>骰子大(2),_x000D_
筹码大(7),_x000D_
庄家令牌大(2),</t>
    <phoneticPr fontId="1" type="noConversion"/>
  </si>
  <si>
    <t>神农鼎(7),_x000D_
欠条中(4),_x000D_
筹码大(4),</t>
    <phoneticPr fontId="1" type="noConversion"/>
  </si>
  <si>
    <t>神农鼎(10),_x000D_
欠条大(6),_x000D_
骰子大(2),</t>
    <phoneticPr fontId="1" type="noConversion"/>
  </si>
  <si>
    <t>神农鼎(10),_x000D_
欠条大(6),_x000D_
钱袋大(7),</t>
    <phoneticPr fontId="1" type="noConversion"/>
  </si>
  <si>
    <t>筹码中(1),</t>
    <phoneticPr fontId="1" type="noConversion"/>
  </si>
  <si>
    <t>技巧符文叉大(3),</t>
    <phoneticPr fontId="1" type="noConversion"/>
  </si>
  <si>
    <t>糯米(10),_x000D_
粽叶(10),</t>
    <phoneticPr fontId="1" type="noConversion"/>
  </si>
  <si>
    <t>骰子小(4),_x000D_
筹码中(1),_x000D_
庄家令牌中(1),</t>
    <phoneticPr fontId="1" type="noConversion"/>
  </si>
  <si>
    <t>筹码中(1),</t>
    <phoneticPr fontId="1" type="noConversion"/>
  </si>
  <si>
    <t>骰子中(1),</t>
    <phoneticPr fontId="1" type="noConversion"/>
  </si>
  <si>
    <t>骰子中(1),</t>
    <phoneticPr fontId="1" type="noConversion"/>
  </si>
  <si>
    <t>庄家令牌中(1),</t>
    <phoneticPr fontId="1" type="noConversion"/>
  </si>
  <si>
    <t>欠条中(2),</t>
    <phoneticPr fontId="1" type="noConversion"/>
  </si>
  <si>
    <t>糯米(2),</t>
    <phoneticPr fontId="1" type="noConversion"/>
  </si>
  <si>
    <t>糯米(3),</t>
    <phoneticPr fontId="1" type="noConversion"/>
  </si>
  <si>
    <t>彗星(2),</t>
    <phoneticPr fontId="1" type="noConversion"/>
  </si>
  <si>
    <t>骰子小(4),</t>
    <phoneticPr fontId="1" type="noConversion"/>
  </si>
  <si>
    <t>女娲石(4),</t>
    <phoneticPr fontId="1" type="noConversion"/>
  </si>
  <si>
    <t>桂花酒(5),</t>
    <phoneticPr fontId="1" type="noConversion"/>
  </si>
  <si>
    <t>桂花(5),</t>
    <phoneticPr fontId="1" type="noConversion"/>
  </si>
  <si>
    <t>神农鼎(5),</t>
    <phoneticPr fontId="1" type="noConversion"/>
  </si>
  <si>
    <t>神农鼎(6),</t>
    <phoneticPr fontId="1" type="noConversion"/>
  </si>
  <si>
    <t>幸运符文叉大(3),</t>
    <phoneticPr fontId="1" type="noConversion"/>
  </si>
  <si>
    <t>彗星(12),</t>
    <phoneticPr fontId="1" type="noConversion"/>
  </si>
  <si>
    <t>金甲虫(41),</t>
    <phoneticPr fontId="1" type="noConversion"/>
  </si>
  <si>
    <t>欠条中(2),_x000D_
筹码中(1),</t>
    <phoneticPr fontId="1" type="noConversion"/>
  </si>
  <si>
    <t>骰子小(4),_x000D_
庄家令牌中(1),</t>
    <phoneticPr fontId="1" type="noConversion"/>
  </si>
  <si>
    <t>欠条中(2),_x000D_
骰子小(4),</t>
    <phoneticPr fontId="1" type="noConversion"/>
  </si>
  <si>
    <t>糯米(5),_x000D_
粽叶(1),</t>
    <phoneticPr fontId="1" type="noConversion"/>
  </si>
  <si>
    <t>糯米(5),_x000D_
粽叶(1),</t>
    <phoneticPr fontId="1" type="noConversion"/>
  </si>
  <si>
    <t>欠条中(4),_x000D_
欠条大(3),</t>
    <phoneticPr fontId="1" type="noConversion"/>
  </si>
  <si>
    <t>糯米(3),_x000D_
粽叶(5),</t>
    <phoneticPr fontId="1" type="noConversion"/>
  </si>
  <si>
    <t>欠条大(6),_x000D_
骰子大(2),</t>
    <phoneticPr fontId="1" type="noConversion"/>
  </si>
  <si>
    <t>筹码大(7),_x000D_
庄家令牌大(2),</t>
    <phoneticPr fontId="1" type="noConversion"/>
  </si>
  <si>
    <t>桂花(5),_x000D_
桂花酒(5),</t>
    <phoneticPr fontId="1" type="noConversion"/>
  </si>
  <si>
    <t>幸运符文叉大(3),_x000D_
技巧符文叉大(3),</t>
    <phoneticPr fontId="1" type="noConversion"/>
  </si>
  <si>
    <t>欠条大(6),_x000D_
钱袋大(7),</t>
    <phoneticPr fontId="1" type="noConversion"/>
  </si>
  <si>
    <t>钱袋大(7),_x000D_
筹码大(7),</t>
    <phoneticPr fontId="1" type="noConversion"/>
  </si>
  <si>
    <t>糯米(5),_x000D_
粽叶(10),</t>
    <phoneticPr fontId="1" type="noConversion"/>
  </si>
  <si>
    <t>神农鼎(15),_x000D_
幸运符文叉大(3),</t>
    <phoneticPr fontId="1" type="noConversion"/>
  </si>
  <si>
    <t>幸运符文叉大(8),_x000D_
技巧符文叉大(8),</t>
    <phoneticPr fontId="1" type="noConversion"/>
  </si>
  <si>
    <t>女娲石(4),_x000D_
彗星(22),</t>
    <phoneticPr fontId="1" type="noConversion"/>
  </si>
  <si>
    <t>欠条中(2),_x000D_
骰子中(1),_x000D_
筹码中(1),</t>
    <phoneticPr fontId="1" type="noConversion"/>
  </si>
  <si>
    <t>欠条中(2),_x000D_
骰子中(1),_x000D_
庄家令牌中(1),</t>
    <phoneticPr fontId="1" type="noConversion"/>
  </si>
  <si>
    <t>女娲石(4),_x000D_
骰子大(2),_x000D_
庄家令牌大(2),</t>
    <phoneticPr fontId="1" type="noConversion"/>
  </si>
  <si>
    <t>女娲石(4),_x000D_
幸运符文叉大(3),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</si>
  <si>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</si>
  <si>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</si>
  <si>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女娲石(9),_x000D_
技巧符文叉大(3),</t>
    <phoneticPr fontId="1" type="noConversion"/>
  </si>
  <si>
    <t>神农鼎(10),_x000D_
欠条大(6),_x000D_
骰子大(2),</t>
    <phoneticPr fontId="1" type="noConversion"/>
  </si>
  <si>
    <t>女娲石(9),_x000D_
神农鼎(15),_x000D_
技巧符文叉大(3),</t>
    <phoneticPr fontId="1" type="noConversion"/>
  </si>
  <si>
    <t>秘窟冰晶卵(12),_x000D_
力量符文叉大(20),_x000D_
速度符文叉大(14),</t>
    <phoneticPr fontId="1" type="noConversion"/>
  </si>
  <si>
    <t>超进阶素材火(13),_x000D_
超进阶素材光(45),_x000D_
超进阶素材暗(45),</t>
    <phoneticPr fontId="1" type="noConversion"/>
  </si>
  <si>
    <t>超进阶素材火(13),_x000D_
超进阶素材光(45),_x000D_
超进阶素材暗(45),</t>
    <phoneticPr fontId="1" type="noConversion"/>
  </si>
  <si>
    <t>魅力符文叉大(14),</t>
    <phoneticPr fontId="1" type="noConversion"/>
  </si>
  <si>
    <t>女娲石(14),_x000D_
神农鼎(20),_x000D_
幸运符文叉大(8),_x000D_
技巧符文叉大(8),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</si>
</sst>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143</xdr:row>
          <xdr:rowOff>28575</xdr:rowOff>
        </xdr:from>
        <xdr:to>
          <xdr:col>1</xdr:col>
          <xdr:colOff>428625</xdr:colOff>
          <xdr:row>144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U144"/>
  <sheetViews>
    <sheetView tabSelected="1" workbookViewId="0">
      <pane xSplit="2" ySplit="1" topLeftCell="BJ2" activePane="bottomRight" state="frozen"/>
      <selection pane="topRight" activeCell="C1" sqref="C1"/>
      <selection pane="bottomLeft" activeCell="A3" sqref="A3"/>
      <selection pane="bottomRight" activeCell="BJ109" sqref="BJ109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</cols>
  <sheetData>
    <row r="1" spans="1:73" s="13" customFormat="1">
      <c r="A1" s="8" t="s">
        <v>67</v>
      </c>
      <c r="B1" s="8" t="s">
        <v>68</v>
      </c>
      <c r="C1" s="8" t="s">
        <v>70</v>
      </c>
      <c r="D1" s="8" t="s">
        <v>69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65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104</v>
      </c>
      <c r="Q1" s="27" t="s">
        <v>116</v>
      </c>
      <c r="R1" s="27" t="s">
        <v>110</v>
      </c>
      <c r="S1" s="27" t="s">
        <v>105</v>
      </c>
      <c r="T1" s="27" t="s">
        <v>114</v>
      </c>
      <c r="U1" s="27" t="s">
        <v>120</v>
      </c>
      <c r="V1" s="27" t="s">
        <v>106</v>
      </c>
      <c r="W1" s="27" t="s">
        <v>113</v>
      </c>
      <c r="X1" s="27" t="s">
        <v>111</v>
      </c>
      <c r="Y1" s="27" t="s">
        <v>107</v>
      </c>
      <c r="Z1" s="27" t="s">
        <v>115</v>
      </c>
      <c r="AA1" s="27" t="s">
        <v>122</v>
      </c>
      <c r="AB1" s="27" t="s">
        <v>109</v>
      </c>
      <c r="AC1" s="27" t="s">
        <v>108</v>
      </c>
      <c r="AD1" s="27" t="s">
        <v>133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92</v>
      </c>
      <c r="AP1" s="8" t="s">
        <v>93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89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74</v>
      </c>
      <c r="BQ1" s="8" t="s">
        <v>75</v>
      </c>
      <c r="BR1" s="16" t="s">
        <v>76</v>
      </c>
      <c r="BS1" s="16"/>
      <c r="BT1" s="13" t="s">
        <v>243</v>
      </c>
    </row>
    <row r="2" spans="1:73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>
        <v>20</v>
      </c>
      <c r="BE2" s="1">
        <v>20</v>
      </c>
      <c r="BF2" s="1"/>
      <c r="BG2" s="1"/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>
        <f>SUM(P2:AD2)</f>
        <v>0</v>
      </c>
      <c r="BU2" s="23">
        <f>AF2+AH2+AI2+AJ2+AO2+AP2</f>
        <v>0</v>
      </c>
    </row>
    <row r="3" spans="1:73">
      <c r="A3" s="1"/>
      <c r="B3" s="1" t="s">
        <v>86</v>
      </c>
      <c r="C3" s="1" t="s">
        <v>87</v>
      </c>
      <c r="D3" s="1" t="s">
        <v>85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>
        <f>SUM(P3:AD3)</f>
        <v>0</v>
      </c>
      <c r="BU3" s="23">
        <f>AF3+AH3+AI3+AJ3+AO3+AP3</f>
        <v>0</v>
      </c>
    </row>
    <row r="4" spans="1:73" s="23" customFormat="1">
      <c r="A4" s="1"/>
      <c r="B4" s="1" t="s">
        <v>151</v>
      </c>
      <c r="C4" s="1" t="s">
        <v>83</v>
      </c>
      <c r="D4" s="1" t="s">
        <v>85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>
        <f>SUM(P4:AD4)</f>
        <v>0</v>
      </c>
      <c r="BU4" s="23">
        <f>AF4+AH4+AI4+AJ4+AO4+AP4</f>
        <v>0</v>
      </c>
    </row>
    <row r="5" spans="1:73">
      <c r="A5" s="1">
        <v>91</v>
      </c>
      <c r="B5" s="3" t="s">
        <v>64</v>
      </c>
      <c r="C5" s="3" t="s">
        <v>63</v>
      </c>
      <c r="D5" s="1" t="s">
        <v>0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>
        <v>5</v>
      </c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>
        <f>SUM(E5:BO5)</f>
        <v>5</v>
      </c>
      <c r="BQ5" s="1">
        <v>0</v>
      </c>
      <c r="BR5" s="17">
        <v>0</v>
      </c>
      <c r="BS5" s="17"/>
      <c r="BT5">
        <f>SUM(P5:AD5)</f>
        <v>0</v>
      </c>
      <c r="BU5" s="23">
        <f>AF5+AH5+AI5+AJ5+AO5+AP5</f>
        <v>0</v>
      </c>
    </row>
    <row r="6" spans="1:73" s="39" customFormat="1">
      <c r="A6" s="1"/>
      <c r="B6" s="1" t="s">
        <v>158</v>
      </c>
      <c r="C6" s="1" t="s">
        <v>87</v>
      </c>
      <c r="D6" s="1" t="s">
        <v>85</v>
      </c>
      <c r="E6" s="6">
        <v>6</v>
      </c>
      <c r="F6" s="6">
        <v>6</v>
      </c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>
        <v>10</v>
      </c>
      <c r="AT6" s="4"/>
      <c r="AU6" s="4"/>
      <c r="AV6" s="4"/>
      <c r="AW6" s="2"/>
      <c r="AX6" s="2">
        <v>10</v>
      </c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>SUM(E6:BO6)</f>
        <v>32</v>
      </c>
      <c r="BQ6" s="1">
        <v>0</v>
      </c>
      <c r="BR6" s="17">
        <v>0</v>
      </c>
      <c r="BS6" s="17"/>
      <c r="BT6">
        <f>SUM(P6:AD6)</f>
        <v>0</v>
      </c>
      <c r="BU6" s="23">
        <f>AF6+AH6+AI6+AJ6+AO6+AP6</f>
        <v>0</v>
      </c>
    </row>
    <row r="7" spans="1:73">
      <c r="A7" s="1">
        <v>45</v>
      </c>
      <c r="B7" s="1" t="s">
        <v>82</v>
      </c>
      <c r="C7" s="1" t="s">
        <v>36</v>
      </c>
      <c r="D7" s="1" t="s">
        <v>9</v>
      </c>
      <c r="E7" s="6">
        <v>6</v>
      </c>
      <c r="F7" s="6"/>
      <c r="G7" s="6"/>
      <c r="H7" s="6"/>
      <c r="I7" s="6"/>
      <c r="J7" s="6"/>
      <c r="K7" s="6"/>
      <c r="L7" s="6"/>
      <c r="M7" s="6">
        <v>6</v>
      </c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>
        <v>10</v>
      </c>
      <c r="AR7" s="4"/>
      <c r="AS7" s="4"/>
      <c r="AT7" s="4"/>
      <c r="AU7" s="4"/>
      <c r="AV7" s="4"/>
      <c r="AW7" s="2"/>
      <c r="AX7" s="2"/>
      <c r="AY7" s="2"/>
      <c r="AZ7" s="2">
        <v>10</v>
      </c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>SUM(E7:BO7)</f>
        <v>32</v>
      </c>
      <c r="BQ7" s="1">
        <v>0</v>
      </c>
      <c r="BR7" s="17">
        <v>0</v>
      </c>
      <c r="BS7" s="17"/>
      <c r="BT7">
        <f>SUM(P7:AD7)</f>
        <v>0</v>
      </c>
      <c r="BU7" s="23">
        <f>AF7+AH7+AI7+AJ7+AO7+AP7</f>
        <v>0</v>
      </c>
    </row>
    <row r="8" spans="1:73">
      <c r="A8" s="1"/>
      <c r="B8" s="1" t="s">
        <v>182</v>
      </c>
      <c r="C8" s="1" t="s">
        <v>1</v>
      </c>
      <c r="D8" s="1" t="s">
        <v>181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>
        <v>10</v>
      </c>
      <c r="AS8" s="4"/>
      <c r="AT8" s="4"/>
      <c r="AU8" s="4"/>
      <c r="AV8" s="4"/>
      <c r="AW8" s="2"/>
      <c r="AX8" s="2"/>
      <c r="AY8" s="2"/>
      <c r="AZ8" s="2">
        <v>10</v>
      </c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20</v>
      </c>
      <c r="BQ8" s="1">
        <v>0</v>
      </c>
      <c r="BR8" s="17">
        <v>0</v>
      </c>
      <c r="BS8" s="17"/>
      <c r="BT8">
        <f>SUM(P8:AD8)</f>
        <v>0</v>
      </c>
      <c r="BU8" s="23">
        <f>AF8+AH8+AI8+AJ8+AO8+AP8</f>
        <v>0</v>
      </c>
    </row>
    <row r="9" spans="1:73">
      <c r="A9" s="1"/>
      <c r="B9" s="1" t="s">
        <v>176</v>
      </c>
      <c r="C9" s="1" t="s">
        <v>98</v>
      </c>
      <c r="D9" s="1" t="s">
        <v>85</v>
      </c>
      <c r="E9" s="6"/>
      <c r="F9" s="6">
        <v>6</v>
      </c>
      <c r="G9" s="6"/>
      <c r="H9" s="6"/>
      <c r="I9" s="6"/>
      <c r="J9" s="6"/>
      <c r="K9" s="6"/>
      <c r="L9" s="6"/>
      <c r="M9" s="6"/>
      <c r="N9" s="6"/>
      <c r="O9" s="6">
        <v>6</v>
      </c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>
        <v>10</v>
      </c>
      <c r="AU9" s="4"/>
      <c r="AV9" s="4"/>
      <c r="AW9" s="2"/>
      <c r="AX9" s="2"/>
      <c r="AY9" s="2">
        <v>10</v>
      </c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32</v>
      </c>
      <c r="BQ9" s="1">
        <v>0</v>
      </c>
      <c r="BR9" s="17">
        <v>0</v>
      </c>
      <c r="BS9" s="17"/>
      <c r="BT9">
        <f>SUM(P9:AD9)</f>
        <v>0</v>
      </c>
      <c r="BU9" s="23">
        <f>AF9+AH9+AI9+AJ9+AO9+AP9</f>
        <v>0</v>
      </c>
    </row>
    <row r="10" spans="1:73">
      <c r="A10" s="1"/>
      <c r="B10" s="1" t="s">
        <v>183</v>
      </c>
      <c r="C10" s="1" t="s">
        <v>184</v>
      </c>
      <c r="D10" s="1" t="s">
        <v>185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>
        <v>15</v>
      </c>
      <c r="AV10" s="4"/>
      <c r="AW10" s="2"/>
      <c r="AX10" s="2"/>
      <c r="AY10" s="2">
        <v>15</v>
      </c>
      <c r="AZ10" s="2"/>
      <c r="BA10" s="2">
        <v>10</v>
      </c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40</v>
      </c>
      <c r="BQ10" s="1">
        <v>0</v>
      </c>
      <c r="BR10" s="17">
        <v>0</v>
      </c>
      <c r="BS10" s="17"/>
      <c r="BT10">
        <f>SUM(P10:AD10)</f>
        <v>0</v>
      </c>
      <c r="BU10" s="23">
        <f>AF10+AH10+AI10+AJ10+AO10+AP10</f>
        <v>0</v>
      </c>
    </row>
    <row r="11" spans="1:73" s="49" customFormat="1">
      <c r="A11" s="1"/>
      <c r="B11" s="1" t="s">
        <v>157</v>
      </c>
      <c r="C11" s="1" t="s">
        <v>98</v>
      </c>
      <c r="D11" s="1" t="s">
        <v>84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>
        <v>10</v>
      </c>
      <c r="BB11" s="2">
        <v>10</v>
      </c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20</v>
      </c>
      <c r="BQ11" s="1">
        <v>0</v>
      </c>
      <c r="BR11" s="17">
        <v>0</v>
      </c>
      <c r="BS11" s="17"/>
      <c r="BT11">
        <f>SUM(P11:AD11)</f>
        <v>0</v>
      </c>
      <c r="BU11" s="23">
        <f>AF11+AH11+AI11+AJ11+AO11+AP11</f>
        <v>0</v>
      </c>
    </row>
    <row r="12" spans="1:73" hidden="1">
      <c r="A12" s="1"/>
      <c r="B12" s="1" t="s">
        <v>127</v>
      </c>
      <c r="C12" s="1" t="s">
        <v>128</v>
      </c>
      <c r="D12" s="1" t="s">
        <v>101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>
        <v>10</v>
      </c>
      <c r="Q12" s="28"/>
      <c r="R12" s="28"/>
      <c r="S12" s="28">
        <v>10</v>
      </c>
      <c r="T12" s="28"/>
      <c r="U12" s="28"/>
      <c r="V12" s="28"/>
      <c r="W12" s="28"/>
      <c r="X12" s="28"/>
      <c r="Y12" s="28"/>
      <c r="Z12" s="28">
        <v>5</v>
      </c>
      <c r="AA12" s="28"/>
      <c r="AB12" s="28">
        <v>10</v>
      </c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35</v>
      </c>
      <c r="BQ12" s="1">
        <v>1</v>
      </c>
      <c r="BR12" s="17">
        <v>1</v>
      </c>
      <c r="BS12" s="17" t="s">
        <v>269</v>
      </c>
      <c r="BT12">
        <f>SUM(P12:AD12)</f>
        <v>35</v>
      </c>
      <c r="BU12" s="23">
        <f>AF12+AH12+AI12+AJ12+AO12+AP12</f>
        <v>0</v>
      </c>
    </row>
    <row r="13" spans="1:73" hidden="1">
      <c r="A13" s="1"/>
      <c r="B13" s="3" t="s">
        <v>205</v>
      </c>
      <c r="C13" s="3" t="s">
        <v>50</v>
      </c>
      <c r="D13" s="1" t="s">
        <v>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/>
      <c r="R13" s="28">
        <v>2</v>
      </c>
      <c r="S13" s="28"/>
      <c r="T13" s="28"/>
      <c r="U13" s="28">
        <v>2</v>
      </c>
      <c r="V13" s="28"/>
      <c r="W13" s="28"/>
      <c r="X13" s="28">
        <v>2</v>
      </c>
      <c r="Y13" s="28"/>
      <c r="Z13" s="28">
        <v>5</v>
      </c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11</v>
      </c>
      <c r="BQ13" s="1">
        <v>1</v>
      </c>
      <c r="BR13" s="17">
        <v>1</v>
      </c>
      <c r="BS13" s="17" t="s">
        <v>273</v>
      </c>
      <c r="BT13">
        <f>SUM(P13:AD13)</f>
        <v>11</v>
      </c>
      <c r="BU13" s="23">
        <f>AF13+AH13+AI13+AJ13+AO13+AP13</f>
        <v>0</v>
      </c>
    </row>
    <row r="14" spans="1:73" hidden="1">
      <c r="A14" s="1"/>
      <c r="B14" s="1" t="s">
        <v>112</v>
      </c>
      <c r="C14" s="1" t="s">
        <v>100</v>
      </c>
      <c r="D14" s="1" t="s">
        <v>101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>
        <v>10</v>
      </c>
      <c r="Q14" s="28"/>
      <c r="R14" s="28"/>
      <c r="S14" s="28">
        <v>10</v>
      </c>
      <c r="T14" s="28"/>
      <c r="U14" s="28"/>
      <c r="V14" s="28"/>
      <c r="W14" s="28">
        <v>5</v>
      </c>
      <c r="X14" s="28"/>
      <c r="Y14" s="28"/>
      <c r="Z14" s="28"/>
      <c r="AA14" s="28"/>
      <c r="AB14" s="28">
        <v>10</v>
      </c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35</v>
      </c>
      <c r="BQ14" s="1">
        <v>1</v>
      </c>
      <c r="BR14" s="17">
        <v>1</v>
      </c>
      <c r="BS14" s="17" t="s">
        <v>274</v>
      </c>
      <c r="BT14">
        <f>SUM(P14:AD14)</f>
        <v>35</v>
      </c>
      <c r="BU14" s="23">
        <f>AF14+AH14+AI14+AJ14+AO14+AP14</f>
        <v>0</v>
      </c>
    </row>
    <row r="15" spans="1:73" hidden="1">
      <c r="A15" s="1"/>
      <c r="B15" s="1" t="s">
        <v>117</v>
      </c>
      <c r="C15" s="1" t="s">
        <v>100</v>
      </c>
      <c r="D15" s="1" t="s">
        <v>101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>
        <v>10</v>
      </c>
      <c r="Q15" s="28"/>
      <c r="R15" s="28"/>
      <c r="S15" s="28">
        <v>10</v>
      </c>
      <c r="T15" s="28"/>
      <c r="U15" s="28"/>
      <c r="V15" s="28"/>
      <c r="W15" s="28">
        <v>5</v>
      </c>
      <c r="X15" s="28"/>
      <c r="Y15" s="28"/>
      <c r="Z15" s="28"/>
      <c r="AA15" s="28"/>
      <c r="AB15" s="28">
        <v>10</v>
      </c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35</v>
      </c>
      <c r="BQ15" s="1">
        <v>1</v>
      </c>
      <c r="BR15" s="17">
        <v>1</v>
      </c>
      <c r="BS15" s="17" t="s">
        <v>275</v>
      </c>
      <c r="BT15">
        <f>SUM(P15:AD15)</f>
        <v>35</v>
      </c>
      <c r="BU15" s="23">
        <f>AF15+AH15+AI15+AJ15+AO15+AP15</f>
        <v>0</v>
      </c>
    </row>
    <row r="16" spans="1:73" hidden="1">
      <c r="A16" s="1"/>
      <c r="B16" s="1" t="s">
        <v>121</v>
      </c>
      <c r="C16" s="1" t="s">
        <v>119</v>
      </c>
      <c r="D16" s="1" t="s">
        <v>101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>
        <v>10</v>
      </c>
      <c r="Q16" s="28"/>
      <c r="R16" s="28"/>
      <c r="S16" s="28">
        <v>10</v>
      </c>
      <c r="T16" s="28"/>
      <c r="U16" s="28"/>
      <c r="V16" s="28"/>
      <c r="W16" s="28">
        <v>5</v>
      </c>
      <c r="X16" s="28"/>
      <c r="Y16" s="28"/>
      <c r="Z16" s="28"/>
      <c r="AA16" s="28"/>
      <c r="AB16" s="28">
        <v>10</v>
      </c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35</v>
      </c>
      <c r="BQ16" s="1">
        <v>1</v>
      </c>
      <c r="BR16" s="17">
        <v>1</v>
      </c>
      <c r="BS16" s="17" t="s">
        <v>220</v>
      </c>
      <c r="BT16">
        <f>SUM(P16:AD16)</f>
        <v>35</v>
      </c>
      <c r="BU16" s="23">
        <f>AF16+AH16+AI16+AJ16+AO16+AP16</f>
        <v>0</v>
      </c>
    </row>
    <row r="17" spans="1:73" hidden="1">
      <c r="A17" s="1"/>
      <c r="B17" s="1" t="s">
        <v>125</v>
      </c>
      <c r="C17" s="1" t="s">
        <v>123</v>
      </c>
      <c r="D17" s="1" t="s">
        <v>101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>
        <v>10</v>
      </c>
      <c r="Q17" s="28"/>
      <c r="R17" s="28"/>
      <c r="S17" s="28">
        <v>10</v>
      </c>
      <c r="T17" s="28"/>
      <c r="U17" s="28"/>
      <c r="V17" s="28"/>
      <c r="W17" s="28">
        <v>5</v>
      </c>
      <c r="X17" s="28"/>
      <c r="Y17" s="28"/>
      <c r="Z17" s="28"/>
      <c r="AA17" s="28"/>
      <c r="AB17" s="28">
        <v>10</v>
      </c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35</v>
      </c>
      <c r="BQ17" s="1">
        <v>1</v>
      </c>
      <c r="BR17" s="17">
        <v>1</v>
      </c>
      <c r="BS17" s="17" t="s">
        <v>275</v>
      </c>
      <c r="BT17">
        <f>SUM(P17:AD17)</f>
        <v>35</v>
      </c>
      <c r="BU17" s="23">
        <f>AF17+AH17+AI17+AJ17+AO17+AP17</f>
        <v>0</v>
      </c>
    </row>
    <row r="18" spans="1:73" hidden="1">
      <c r="A18" s="1"/>
      <c r="B18" s="1" t="s">
        <v>131</v>
      </c>
      <c r="C18" s="1" t="s">
        <v>130</v>
      </c>
      <c r="D18" s="1" t="s">
        <v>101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>
        <v>10</v>
      </c>
      <c r="Q18" s="28"/>
      <c r="R18" s="28"/>
      <c r="S18" s="28">
        <v>10</v>
      </c>
      <c r="T18" s="28"/>
      <c r="U18" s="28"/>
      <c r="V18" s="28"/>
      <c r="W18" s="28">
        <v>5</v>
      </c>
      <c r="X18" s="28"/>
      <c r="Y18" s="28"/>
      <c r="Z18" s="28"/>
      <c r="AA18" s="28"/>
      <c r="AB18" s="28">
        <v>10</v>
      </c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35</v>
      </c>
      <c r="BQ18" s="1">
        <v>1</v>
      </c>
      <c r="BR18" s="17">
        <v>1</v>
      </c>
      <c r="BS18" s="17" t="s">
        <v>220</v>
      </c>
      <c r="BT18">
        <f>SUM(P18:AD18)</f>
        <v>35</v>
      </c>
      <c r="BU18" s="23">
        <f>AF18+AH18+AI18+AJ18+AO18+AP18</f>
        <v>0</v>
      </c>
    </row>
    <row r="19" spans="1:73" hidden="1">
      <c r="A19" s="1"/>
      <c r="B19" s="1" t="s">
        <v>136</v>
      </c>
      <c r="C19" s="1" t="s">
        <v>98</v>
      </c>
      <c r="D19" s="1" t="s">
        <v>137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>
        <v>10</v>
      </c>
      <c r="Q19" s="28"/>
      <c r="R19" s="28"/>
      <c r="S19" s="28">
        <v>10</v>
      </c>
      <c r="T19" s="28"/>
      <c r="U19" s="28"/>
      <c r="V19" s="28"/>
      <c r="W19" s="28">
        <v>5</v>
      </c>
      <c r="X19" s="28"/>
      <c r="Y19" s="28"/>
      <c r="Z19" s="28"/>
      <c r="AA19" s="28"/>
      <c r="AB19" s="28">
        <v>10</v>
      </c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35</v>
      </c>
      <c r="BQ19" s="1">
        <v>1</v>
      </c>
      <c r="BR19" s="17">
        <v>1</v>
      </c>
      <c r="BS19" s="17" t="s">
        <v>275</v>
      </c>
      <c r="BT19">
        <f>SUM(P19:AD19)</f>
        <v>35</v>
      </c>
      <c r="BU19" s="23">
        <f>AF19+AH19+AI19+AJ19+AO19+AP19</f>
        <v>0</v>
      </c>
    </row>
    <row r="20" spans="1:73" hidden="1">
      <c r="A20" s="59"/>
      <c r="B20" s="59" t="s">
        <v>203</v>
      </c>
      <c r="C20" s="59" t="s">
        <v>130</v>
      </c>
      <c r="D20" s="59" t="s">
        <v>102</v>
      </c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1"/>
      <c r="Q20" s="61"/>
      <c r="R20" s="61"/>
      <c r="S20" s="61"/>
      <c r="T20" s="61"/>
      <c r="U20" s="61">
        <v>2</v>
      </c>
      <c r="V20" s="61"/>
      <c r="W20" s="61"/>
      <c r="X20" s="61"/>
      <c r="Y20" s="61"/>
      <c r="Z20" s="61"/>
      <c r="AA20" s="61">
        <v>2</v>
      </c>
      <c r="AB20" s="61"/>
      <c r="AC20" s="61">
        <v>5</v>
      </c>
      <c r="AD20" s="61">
        <v>2</v>
      </c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62"/>
      <c r="AR20" s="62"/>
      <c r="AS20" s="62"/>
      <c r="AT20" s="62"/>
      <c r="AU20" s="62"/>
      <c r="AV20" s="62"/>
      <c r="AW20" s="63"/>
      <c r="AX20" s="63"/>
      <c r="AY20" s="63"/>
      <c r="AZ20" s="63"/>
      <c r="BA20" s="63"/>
      <c r="BB20" s="63"/>
      <c r="BC20" s="64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>
        <f>SUM(E20:BO20)</f>
        <v>11</v>
      </c>
      <c r="BQ20" s="59">
        <v>1</v>
      </c>
      <c r="BR20" s="65">
        <v>1</v>
      </c>
      <c r="BS20" s="65" t="s">
        <v>253</v>
      </c>
      <c r="BT20">
        <f>SUM(P20:AD20)</f>
        <v>11</v>
      </c>
      <c r="BU20" s="23">
        <f>AF20+AH20+AI20+AJ20+AO20+AP20</f>
        <v>0</v>
      </c>
    </row>
    <row r="21" spans="1:73" hidden="1">
      <c r="A21" s="1"/>
      <c r="B21" s="1" t="s">
        <v>134</v>
      </c>
      <c r="C21" s="1" t="s">
        <v>130</v>
      </c>
      <c r="D21" s="1" t="s">
        <v>103</v>
      </c>
      <c r="E21" s="6"/>
      <c r="F21" s="6"/>
      <c r="G21" s="6">
        <v>5</v>
      </c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>
        <v>5</v>
      </c>
      <c r="W21" s="28"/>
      <c r="X21" s="28"/>
      <c r="Y21" s="28">
        <v>5</v>
      </c>
      <c r="Z21" s="28"/>
      <c r="AA21" s="28"/>
      <c r="AB21" s="28"/>
      <c r="AC21" s="28">
        <v>5</v>
      </c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20</v>
      </c>
      <c r="BQ21" s="1">
        <v>1</v>
      </c>
      <c r="BR21" s="17">
        <v>1</v>
      </c>
      <c r="BS21" s="17" t="s">
        <v>276</v>
      </c>
      <c r="BT21">
        <f>SUM(P21:AD21)</f>
        <v>15</v>
      </c>
      <c r="BU21" s="23">
        <f>AF21+AH21+AI21+AJ21+AO21+AP21</f>
        <v>0</v>
      </c>
    </row>
    <row r="22" spans="1:73" s="23" customFormat="1" hidden="1">
      <c r="A22" s="1"/>
      <c r="B22" s="3" t="s">
        <v>209</v>
      </c>
      <c r="C22" s="3" t="s">
        <v>24</v>
      </c>
      <c r="D22" s="1" t="s">
        <v>206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>
        <v>10</v>
      </c>
      <c r="Q22" s="28"/>
      <c r="R22" s="28"/>
      <c r="S22" s="28">
        <v>10</v>
      </c>
      <c r="T22" s="28"/>
      <c r="U22" s="28"/>
      <c r="V22" s="28"/>
      <c r="W22" s="28">
        <v>5</v>
      </c>
      <c r="X22" s="28"/>
      <c r="Y22" s="28"/>
      <c r="Z22" s="28"/>
      <c r="AA22" s="28"/>
      <c r="AB22" s="28">
        <v>10</v>
      </c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35</v>
      </c>
      <c r="BQ22" s="1">
        <v>1</v>
      </c>
      <c r="BR22" s="17">
        <v>1</v>
      </c>
      <c r="BS22" s="17" t="s">
        <v>275</v>
      </c>
      <c r="BT22">
        <f>SUM(P22:AD22)</f>
        <v>35</v>
      </c>
      <c r="BU22" s="23">
        <f>AF22+AH22+AI22+AJ22+AO22+AP22</f>
        <v>0</v>
      </c>
    </row>
    <row r="23" spans="1:73" hidden="1">
      <c r="A23" s="1"/>
      <c r="B23" s="3" t="s">
        <v>210</v>
      </c>
      <c r="C23" s="3" t="s">
        <v>211</v>
      </c>
      <c r="D23" s="1" t="s">
        <v>0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/>
      <c r="R23" s="28"/>
      <c r="S23" s="28"/>
      <c r="T23" s="28"/>
      <c r="U23" s="28"/>
      <c r="V23" s="28"/>
      <c r="W23" s="28"/>
      <c r="X23" s="28">
        <v>2</v>
      </c>
      <c r="Y23" s="28"/>
      <c r="Z23" s="28"/>
      <c r="AA23" s="28">
        <v>2</v>
      </c>
      <c r="AB23" s="28"/>
      <c r="AC23" s="28">
        <v>5</v>
      </c>
      <c r="AD23" s="28">
        <v>2</v>
      </c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11</v>
      </c>
      <c r="BQ23" s="1">
        <v>1</v>
      </c>
      <c r="BR23" s="17">
        <v>1</v>
      </c>
      <c r="BS23" s="17" t="s">
        <v>276</v>
      </c>
      <c r="BT23">
        <f>SUM(P23:AD23)</f>
        <v>11</v>
      </c>
      <c r="BU23" s="23">
        <f>AF23+AH23+AI23+AJ23+AO23+AP23</f>
        <v>0</v>
      </c>
    </row>
    <row r="24" spans="1:73" hidden="1">
      <c r="A24" s="1"/>
      <c r="B24" s="3" t="s">
        <v>212</v>
      </c>
      <c r="C24" s="3" t="s">
        <v>213</v>
      </c>
      <c r="D24" s="1" t="s">
        <v>206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>
        <v>10</v>
      </c>
      <c r="Q24" s="28"/>
      <c r="R24" s="28"/>
      <c r="S24" s="28">
        <v>10</v>
      </c>
      <c r="T24" s="28"/>
      <c r="U24" s="28"/>
      <c r="V24" s="28"/>
      <c r="W24" s="28">
        <v>5</v>
      </c>
      <c r="X24" s="28"/>
      <c r="Y24" s="28"/>
      <c r="Z24" s="28"/>
      <c r="AA24" s="28"/>
      <c r="AB24" s="28">
        <v>10</v>
      </c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35</v>
      </c>
      <c r="BQ24" s="1">
        <v>1</v>
      </c>
      <c r="BR24" s="17">
        <v>1</v>
      </c>
      <c r="BS24" s="17" t="s">
        <v>274</v>
      </c>
      <c r="BT24">
        <f>SUM(P24:AD24)</f>
        <v>35</v>
      </c>
      <c r="BU24" s="23">
        <f>AF24+AH24+AI24+AJ24+AO24+AP24</f>
        <v>0</v>
      </c>
    </row>
    <row r="25" spans="1:73" hidden="1">
      <c r="A25" s="1"/>
      <c r="B25" s="3" t="s">
        <v>214</v>
      </c>
      <c r="C25" s="3" t="s">
        <v>213</v>
      </c>
      <c r="D25" s="1" t="s">
        <v>206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>
        <v>10</v>
      </c>
      <c r="Q25" s="28"/>
      <c r="R25" s="28"/>
      <c r="S25" s="28">
        <v>10</v>
      </c>
      <c r="T25" s="28"/>
      <c r="U25" s="28"/>
      <c r="V25" s="28"/>
      <c r="W25" s="28">
        <v>5</v>
      </c>
      <c r="X25" s="28"/>
      <c r="Y25" s="28"/>
      <c r="Z25" s="28"/>
      <c r="AA25" s="28"/>
      <c r="AB25" s="28">
        <v>10</v>
      </c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35</v>
      </c>
      <c r="BQ25" s="1">
        <v>1</v>
      </c>
      <c r="BR25" s="17">
        <v>1</v>
      </c>
      <c r="BS25" s="17" t="s">
        <v>220</v>
      </c>
      <c r="BT25">
        <f>SUM(P25:AD25)</f>
        <v>35</v>
      </c>
      <c r="BU25" s="23">
        <f>AF25+AH25+AI25+AJ25+AO25+AP25</f>
        <v>0</v>
      </c>
    </row>
    <row r="26" spans="1:73" hidden="1">
      <c r="A26" s="1"/>
      <c r="B26" s="3" t="s">
        <v>216</v>
      </c>
      <c r="C26" s="3" t="s">
        <v>99</v>
      </c>
      <c r="D26" s="1" t="s">
        <v>206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>
        <v>10</v>
      </c>
      <c r="Q26" s="28"/>
      <c r="R26" s="28"/>
      <c r="S26" s="28">
        <v>10</v>
      </c>
      <c r="T26" s="28"/>
      <c r="U26" s="28"/>
      <c r="V26" s="28"/>
      <c r="W26" s="28">
        <v>5</v>
      </c>
      <c r="X26" s="28"/>
      <c r="Y26" s="28"/>
      <c r="Z26" s="28"/>
      <c r="AA26" s="28"/>
      <c r="AB26" s="28">
        <v>10</v>
      </c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35</v>
      </c>
      <c r="BQ26" s="1">
        <v>1</v>
      </c>
      <c r="BR26" s="17">
        <v>1</v>
      </c>
      <c r="BS26" s="17" t="s">
        <v>275</v>
      </c>
      <c r="BT26">
        <f>SUM(P26:AD26)</f>
        <v>35</v>
      </c>
      <c r="BU26" s="23">
        <f>AF26+AH26+AI26+AJ26+AO26+AP26</f>
        <v>0</v>
      </c>
    </row>
    <row r="27" spans="1:73" s="48" customFormat="1" hidden="1">
      <c r="A27" s="1"/>
      <c r="B27" s="3" t="s">
        <v>219</v>
      </c>
      <c r="C27" s="3" t="s">
        <v>99</v>
      </c>
      <c r="D27" s="1" t="s">
        <v>206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>
        <v>10</v>
      </c>
      <c r="Q27" s="28"/>
      <c r="R27" s="28"/>
      <c r="S27" s="28">
        <v>10</v>
      </c>
      <c r="T27" s="28"/>
      <c r="U27" s="28"/>
      <c r="V27" s="28"/>
      <c r="W27" s="28">
        <v>5</v>
      </c>
      <c r="X27" s="28"/>
      <c r="Y27" s="28"/>
      <c r="Z27" s="28"/>
      <c r="AA27" s="28"/>
      <c r="AB27" s="28">
        <v>10</v>
      </c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35</v>
      </c>
      <c r="BQ27" s="1">
        <v>1</v>
      </c>
      <c r="BR27" s="17">
        <v>1</v>
      </c>
      <c r="BS27" s="17" t="s">
        <v>275</v>
      </c>
      <c r="BT27">
        <f>SUM(P27:AD27)</f>
        <v>35</v>
      </c>
      <c r="BU27" s="23">
        <f>AF27+AH27+AI27+AJ27+AO27+AP27</f>
        <v>0</v>
      </c>
    </row>
    <row r="28" spans="1:73" hidden="1">
      <c r="A28" s="1"/>
      <c r="B28" s="3" t="s">
        <v>218</v>
      </c>
      <c r="C28" s="3" t="s">
        <v>99</v>
      </c>
      <c r="D28" s="1" t="s">
        <v>207</v>
      </c>
      <c r="E28" s="6"/>
      <c r="F28" s="6"/>
      <c r="G28" s="6"/>
      <c r="H28" s="6"/>
      <c r="I28" s="6"/>
      <c r="J28" s="6">
        <v>5</v>
      </c>
      <c r="K28" s="6"/>
      <c r="L28" s="6"/>
      <c r="M28" s="6"/>
      <c r="N28" s="6"/>
      <c r="O28" s="6"/>
      <c r="P28" s="28"/>
      <c r="Q28" s="28">
        <v>5</v>
      </c>
      <c r="R28" s="28"/>
      <c r="S28" s="28"/>
      <c r="T28" s="28"/>
      <c r="U28" s="28"/>
      <c r="V28" s="28">
        <v>5</v>
      </c>
      <c r="W28" s="28"/>
      <c r="X28" s="28"/>
      <c r="Y28" s="28">
        <v>5</v>
      </c>
      <c r="Z28" s="28"/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20</v>
      </c>
      <c r="BQ28" s="1">
        <v>2</v>
      </c>
      <c r="BR28" s="17">
        <v>1</v>
      </c>
      <c r="BS28" s="17" t="s">
        <v>277</v>
      </c>
      <c r="BT28">
        <f>SUM(P28:AD28)</f>
        <v>15</v>
      </c>
      <c r="BU28" s="23">
        <f>AF28+AH28+AI28+AJ28+AO28+AP28</f>
        <v>0</v>
      </c>
    </row>
    <row r="29" spans="1:73" hidden="1">
      <c r="A29" s="18"/>
      <c r="B29" s="18" t="s">
        <v>94</v>
      </c>
      <c r="C29" s="18" t="s">
        <v>87</v>
      </c>
      <c r="D29" s="18" t="s">
        <v>91</v>
      </c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>
        <v>2</v>
      </c>
      <c r="AP29" s="18"/>
      <c r="AQ29" s="20"/>
      <c r="AR29" s="20"/>
      <c r="AS29" s="20"/>
      <c r="AT29" s="20"/>
      <c r="AU29" s="20"/>
      <c r="AV29" s="20"/>
      <c r="AW29" s="21"/>
      <c r="AX29" s="21"/>
      <c r="AY29" s="21"/>
      <c r="AZ29" s="21"/>
      <c r="BA29" s="21"/>
      <c r="BB29" s="21"/>
      <c r="BC29" s="26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">
        <f>SUM(E29:BO29)</f>
        <v>2</v>
      </c>
      <c r="BQ29" s="18">
        <v>2</v>
      </c>
      <c r="BR29" s="22">
        <v>1</v>
      </c>
      <c r="BS29" s="22" t="s">
        <v>278</v>
      </c>
      <c r="BT29">
        <f>SUM(P29:AD29)</f>
        <v>0</v>
      </c>
      <c r="BU29" s="23">
        <f>AF29+AH29+AI29+AJ29+AO29+AP29</f>
        <v>2</v>
      </c>
    </row>
    <row r="30" spans="1:73">
      <c r="A30" s="18">
        <v>63</v>
      </c>
      <c r="B30" s="30" t="s">
        <v>48</v>
      </c>
      <c r="C30" s="18" t="s">
        <v>43</v>
      </c>
      <c r="D30" s="18" t="s">
        <v>18</v>
      </c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18"/>
      <c r="AF30" s="18"/>
      <c r="AG30" s="18"/>
      <c r="AH30" s="18"/>
      <c r="AI30" s="18"/>
      <c r="AJ30" s="18"/>
      <c r="AK30" s="18"/>
      <c r="AL30" s="18"/>
      <c r="AM30" s="18"/>
      <c r="AN30" s="18">
        <v>5</v>
      </c>
      <c r="AO30" s="18"/>
      <c r="AP30" s="18"/>
      <c r="AQ30" s="20"/>
      <c r="AR30" s="20"/>
      <c r="AS30" s="20"/>
      <c r="AT30" s="20"/>
      <c r="AU30" s="20"/>
      <c r="AV30" s="20"/>
      <c r="AW30" s="21"/>
      <c r="AX30" s="21"/>
      <c r="AY30" s="21"/>
      <c r="AZ30" s="21"/>
      <c r="BA30" s="21"/>
      <c r="BB30" s="21"/>
      <c r="BC30" s="26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>
        <f>SUM(E30:BO30)</f>
        <v>5</v>
      </c>
      <c r="BQ30" s="18">
        <v>2</v>
      </c>
      <c r="BR30" s="22">
        <v>1</v>
      </c>
      <c r="BS30" s="22" t="s">
        <v>280</v>
      </c>
      <c r="BT30">
        <f>SUM(P30:AD30)</f>
        <v>0</v>
      </c>
      <c r="BU30" s="23">
        <f>AF30+AH30+AI30+AJ30+AO30+AP30</f>
        <v>0</v>
      </c>
    </row>
    <row r="31" spans="1:73" s="66" customFormat="1">
      <c r="A31" s="18">
        <v>90</v>
      </c>
      <c r="B31" s="30" t="s">
        <v>64</v>
      </c>
      <c r="C31" s="30" t="s">
        <v>63</v>
      </c>
      <c r="D31" s="18" t="s">
        <v>18</v>
      </c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18"/>
      <c r="AF31" s="18"/>
      <c r="AG31" s="18"/>
      <c r="AH31" s="18"/>
      <c r="AI31" s="18"/>
      <c r="AJ31" s="18"/>
      <c r="AK31" s="18"/>
      <c r="AL31" s="18"/>
      <c r="AM31" s="18"/>
      <c r="AN31" s="18">
        <v>5</v>
      </c>
      <c r="AO31" s="18"/>
      <c r="AP31" s="18"/>
      <c r="AQ31" s="20"/>
      <c r="AR31" s="20"/>
      <c r="AS31" s="20"/>
      <c r="AT31" s="20"/>
      <c r="AU31" s="20"/>
      <c r="AV31" s="20"/>
      <c r="AW31" s="21"/>
      <c r="AX31" s="21"/>
      <c r="AY31" s="21"/>
      <c r="AZ31" s="21"/>
      <c r="BA31" s="21"/>
      <c r="BB31" s="21"/>
      <c r="BC31" s="26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>
        <f>SUM(E31:BO31)</f>
        <v>5</v>
      </c>
      <c r="BQ31" s="18">
        <v>2</v>
      </c>
      <c r="BR31" s="22">
        <v>1</v>
      </c>
      <c r="BS31" s="22" t="s">
        <v>280</v>
      </c>
      <c r="BT31">
        <f>SUM(P31:AD31)</f>
        <v>0</v>
      </c>
      <c r="BU31" s="23">
        <f>AF31+AH31+AI31+AJ31+AO31+AP31</f>
        <v>0</v>
      </c>
    </row>
    <row r="32" spans="1:73" hidden="1">
      <c r="A32" s="18"/>
      <c r="B32" s="18" t="s">
        <v>179</v>
      </c>
      <c r="C32" s="18" t="s">
        <v>24</v>
      </c>
      <c r="D32" s="18" t="s">
        <v>180</v>
      </c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>
        <v>3</v>
      </c>
      <c r="AP32" s="18"/>
      <c r="AQ32" s="20"/>
      <c r="AR32" s="20"/>
      <c r="AS32" s="20"/>
      <c r="AT32" s="20"/>
      <c r="AU32" s="20"/>
      <c r="AV32" s="20"/>
      <c r="AW32" s="21"/>
      <c r="AX32" s="21"/>
      <c r="AY32" s="21"/>
      <c r="AZ32" s="21"/>
      <c r="BA32" s="21"/>
      <c r="BB32" s="21"/>
      <c r="BC32" s="26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>
        <f>SUM(E32:BO32)</f>
        <v>3</v>
      </c>
      <c r="BQ32" s="18">
        <v>3</v>
      </c>
      <c r="BR32" s="22">
        <v>1</v>
      </c>
      <c r="BS32" s="22" t="s">
        <v>279</v>
      </c>
      <c r="BT32">
        <f>SUM(P32:AD32)</f>
        <v>0</v>
      </c>
      <c r="BU32" s="23">
        <f>AF32+AH32+AI32+AJ32+AO32+AP32</f>
        <v>3</v>
      </c>
    </row>
    <row r="33" spans="1:73">
      <c r="A33" s="1">
        <v>18</v>
      </c>
      <c r="B33" s="1" t="s">
        <v>26</v>
      </c>
      <c r="C33" s="1" t="s">
        <v>24</v>
      </c>
      <c r="D33" s="1" t="s">
        <v>19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>
        <v>5</v>
      </c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5</v>
      </c>
      <c r="BQ33" s="1">
        <v>3</v>
      </c>
      <c r="BR33" s="17">
        <v>1</v>
      </c>
      <c r="BS33" s="17" t="s">
        <v>256</v>
      </c>
      <c r="BT33">
        <f>SUM(P33:AD33)</f>
        <v>0</v>
      </c>
      <c r="BU33" s="23">
        <f>AF33+AH33+AI33+AJ33+AO33+AP33</f>
        <v>0</v>
      </c>
    </row>
    <row r="34" spans="1:73">
      <c r="A34" s="1"/>
      <c r="B34" s="1" t="s">
        <v>152</v>
      </c>
      <c r="C34" s="1" t="s">
        <v>83</v>
      </c>
      <c r="D34" s="1" t="s">
        <v>84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>
        <v>15</v>
      </c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>
        <v>15</v>
      </c>
      <c r="BC34" s="14"/>
      <c r="BD34" s="1"/>
      <c r="BE34" s="1"/>
      <c r="BF34" s="1"/>
      <c r="BG34" s="1"/>
      <c r="BH34" s="1">
        <v>15</v>
      </c>
      <c r="BI34" s="1">
        <v>15</v>
      </c>
      <c r="BJ34" s="1"/>
      <c r="BK34" s="1"/>
      <c r="BL34" s="1"/>
      <c r="BM34" s="1"/>
      <c r="BN34" s="1"/>
      <c r="BO34" s="1"/>
      <c r="BP34" s="1">
        <f>SUM(E34:BO34)</f>
        <v>60</v>
      </c>
      <c r="BQ34" s="1">
        <v>3</v>
      </c>
      <c r="BR34" s="17">
        <v>1</v>
      </c>
      <c r="BS34" s="17" t="s">
        <v>270</v>
      </c>
      <c r="BT34">
        <f>SUM(P34:AD34)</f>
        <v>0</v>
      </c>
      <c r="BU34" s="23">
        <f>AF34+AH34+AI34+AJ34+AO34+AP34</f>
        <v>0</v>
      </c>
    </row>
    <row r="35" spans="1:73" s="58" customFormat="1">
      <c r="A35" s="1"/>
      <c r="B35" s="1" t="s">
        <v>150</v>
      </c>
      <c r="C35" s="1" t="s">
        <v>123</v>
      </c>
      <c r="D35" s="1" t="s">
        <v>102</v>
      </c>
      <c r="E35" s="6">
        <v>15</v>
      </c>
      <c r="F35" s="6"/>
      <c r="G35" s="6"/>
      <c r="H35" s="6"/>
      <c r="I35" s="6"/>
      <c r="J35" s="6"/>
      <c r="K35" s="6"/>
      <c r="L35" s="6"/>
      <c r="M35" s="6">
        <v>15</v>
      </c>
      <c r="N35" s="6"/>
      <c r="O35" s="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>
        <v>15</v>
      </c>
      <c r="AX35" s="2"/>
      <c r="AY35" s="2"/>
      <c r="AZ35" s="2"/>
      <c r="BA35" s="2">
        <v>15</v>
      </c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60</v>
      </c>
      <c r="BQ35" s="1">
        <v>3</v>
      </c>
      <c r="BR35" s="17">
        <v>1</v>
      </c>
      <c r="BS35" s="17" t="s">
        <v>287</v>
      </c>
      <c r="BT35">
        <f>SUM(P35:AD35)</f>
        <v>0</v>
      </c>
      <c r="BU35" s="23">
        <f>AF35+AH35+AI35+AJ35+AO35+AP35</f>
        <v>0</v>
      </c>
    </row>
    <row r="36" spans="1:73" hidden="1">
      <c r="A36" s="1"/>
      <c r="B36" s="1" t="s">
        <v>118</v>
      </c>
      <c r="C36" s="1" t="s">
        <v>119</v>
      </c>
      <c r="D36" s="1" t="s">
        <v>101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>
        <v>10</v>
      </c>
      <c r="Q36" s="28"/>
      <c r="R36" s="28"/>
      <c r="S36" s="28">
        <v>10</v>
      </c>
      <c r="T36" s="28"/>
      <c r="U36" s="28"/>
      <c r="V36" s="28">
        <v>10</v>
      </c>
      <c r="W36" s="28"/>
      <c r="X36" s="28"/>
      <c r="Y36" s="28">
        <v>10</v>
      </c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40</v>
      </c>
      <c r="BQ36" s="1">
        <v>4</v>
      </c>
      <c r="BR36" s="17">
        <v>1</v>
      </c>
      <c r="BS36" s="17" t="s">
        <v>281</v>
      </c>
      <c r="BT36">
        <f>SUM(P36:AD36)</f>
        <v>40</v>
      </c>
      <c r="BU36" s="23">
        <f>AF36+AH36+AI36+AJ36+AO36+AP36</f>
        <v>0</v>
      </c>
    </row>
    <row r="37" spans="1:73" hidden="1">
      <c r="A37" s="1"/>
      <c r="B37" s="1" t="s">
        <v>124</v>
      </c>
      <c r="C37" s="1" t="s">
        <v>123</v>
      </c>
      <c r="D37" s="1" t="s">
        <v>101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>
        <v>10</v>
      </c>
      <c r="Q37" s="28"/>
      <c r="R37" s="28"/>
      <c r="S37" s="28">
        <v>10</v>
      </c>
      <c r="T37" s="28"/>
      <c r="U37" s="28"/>
      <c r="V37" s="28">
        <v>10</v>
      </c>
      <c r="W37" s="28"/>
      <c r="X37" s="28"/>
      <c r="Y37" s="28">
        <v>10</v>
      </c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40</v>
      </c>
      <c r="BQ37" s="1">
        <v>4</v>
      </c>
      <c r="BR37" s="17">
        <v>1</v>
      </c>
      <c r="BS37" s="17" t="s">
        <v>281</v>
      </c>
      <c r="BT37">
        <f>SUM(P37:AD37)</f>
        <v>40</v>
      </c>
      <c r="BU37" s="23">
        <f>AF37+AH37+AI37+AJ37+AO37+AP37</f>
        <v>0</v>
      </c>
    </row>
    <row r="38" spans="1:73" hidden="1">
      <c r="A38" s="1"/>
      <c r="B38" s="1" t="s">
        <v>126</v>
      </c>
      <c r="C38" s="1" t="s">
        <v>128</v>
      </c>
      <c r="D38" s="1" t="s">
        <v>101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>
        <v>10</v>
      </c>
      <c r="Q38" s="28"/>
      <c r="R38" s="28"/>
      <c r="S38" s="28">
        <v>10</v>
      </c>
      <c r="T38" s="28"/>
      <c r="U38" s="28"/>
      <c r="V38" s="28">
        <v>10</v>
      </c>
      <c r="W38" s="28"/>
      <c r="X38" s="28"/>
      <c r="Y38" s="28">
        <v>10</v>
      </c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40</v>
      </c>
      <c r="BQ38" s="1">
        <v>4</v>
      </c>
      <c r="BR38" s="17">
        <v>1</v>
      </c>
      <c r="BS38" s="17" t="s">
        <v>254</v>
      </c>
      <c r="BT38">
        <f>SUM(P38:AD38)</f>
        <v>40</v>
      </c>
      <c r="BU38" s="23">
        <f>AF38+AH38+AI38+AJ38+AO38+AP38</f>
        <v>0</v>
      </c>
    </row>
    <row r="39" spans="1:73" hidden="1">
      <c r="A39" s="1"/>
      <c r="B39" s="1" t="s">
        <v>132</v>
      </c>
      <c r="C39" s="1" t="s">
        <v>130</v>
      </c>
      <c r="D39" s="1" t="s">
        <v>101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>
        <v>10</v>
      </c>
      <c r="Q39" s="28"/>
      <c r="R39" s="28"/>
      <c r="S39" s="28">
        <v>10</v>
      </c>
      <c r="T39" s="28"/>
      <c r="U39" s="28"/>
      <c r="V39" s="28">
        <v>10</v>
      </c>
      <c r="W39" s="28"/>
      <c r="X39" s="28"/>
      <c r="Y39" s="28">
        <v>10</v>
      </c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40</v>
      </c>
      <c r="BQ39" s="1">
        <v>4</v>
      </c>
      <c r="BR39" s="17">
        <v>1</v>
      </c>
      <c r="BS39" s="17" t="s">
        <v>281</v>
      </c>
      <c r="BT39">
        <f>SUM(P39:AD39)</f>
        <v>40</v>
      </c>
      <c r="BU39" s="23">
        <f>AF39+AH39+AI39+AJ39+AO39+AP39</f>
        <v>0</v>
      </c>
    </row>
    <row r="40" spans="1:73" s="48" customFormat="1" hidden="1">
      <c r="A40" s="1"/>
      <c r="B40" s="1" t="s">
        <v>134</v>
      </c>
      <c r="C40" s="1" t="s">
        <v>130</v>
      </c>
      <c r="D40" s="1" t="s">
        <v>101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>
        <v>10</v>
      </c>
      <c r="Q40" s="28"/>
      <c r="R40" s="28"/>
      <c r="S40" s="28">
        <v>10</v>
      </c>
      <c r="T40" s="28"/>
      <c r="U40" s="28"/>
      <c r="V40" s="28">
        <v>10</v>
      </c>
      <c r="W40" s="28"/>
      <c r="X40" s="28"/>
      <c r="Y40" s="28">
        <v>10</v>
      </c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40</v>
      </c>
      <c r="BQ40" s="1">
        <v>4</v>
      </c>
      <c r="BR40" s="17">
        <v>1</v>
      </c>
      <c r="BS40" s="17" t="s">
        <v>281</v>
      </c>
      <c r="BT40">
        <f>SUM(P40:AD40)</f>
        <v>40</v>
      </c>
      <c r="BU40" s="23">
        <f>AF40+AH40+AI40+AJ40+AO40+AP40</f>
        <v>0</v>
      </c>
    </row>
    <row r="41" spans="1:73" hidden="1">
      <c r="A41" s="1"/>
      <c r="B41" s="1" t="s">
        <v>135</v>
      </c>
      <c r="C41" s="1" t="s">
        <v>130</v>
      </c>
      <c r="D41" s="1" t="s">
        <v>101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>
        <v>10</v>
      </c>
      <c r="Q41" s="28"/>
      <c r="R41" s="28"/>
      <c r="S41" s="28">
        <v>10</v>
      </c>
      <c r="T41" s="28"/>
      <c r="U41" s="28"/>
      <c r="V41" s="28">
        <v>10</v>
      </c>
      <c r="W41" s="28"/>
      <c r="X41" s="28"/>
      <c r="Y41" s="28">
        <v>10</v>
      </c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40</v>
      </c>
      <c r="BQ41" s="1">
        <v>4</v>
      </c>
      <c r="BR41" s="17">
        <v>1</v>
      </c>
      <c r="BS41" s="17" t="s">
        <v>254</v>
      </c>
      <c r="BT41">
        <f>SUM(P41:AD41)</f>
        <v>40</v>
      </c>
      <c r="BU41" s="23">
        <f>AF41+AH41+AI41+AJ41+AO41+AP41</f>
        <v>0</v>
      </c>
    </row>
    <row r="42" spans="1:73" hidden="1">
      <c r="A42" s="1"/>
      <c r="B42" s="3" t="s">
        <v>208</v>
      </c>
      <c r="C42" s="3" t="s">
        <v>50</v>
      </c>
      <c r="D42" s="1" t="s">
        <v>206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>
        <v>10</v>
      </c>
      <c r="Q42" s="28"/>
      <c r="R42" s="28"/>
      <c r="S42" s="28">
        <v>10</v>
      </c>
      <c r="T42" s="28"/>
      <c r="U42" s="28"/>
      <c r="V42" s="28">
        <v>10</v>
      </c>
      <c r="W42" s="28"/>
      <c r="X42" s="28"/>
      <c r="Y42" s="28">
        <v>10</v>
      </c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40</v>
      </c>
      <c r="BQ42" s="1">
        <v>4</v>
      </c>
      <c r="BR42" s="17">
        <v>1</v>
      </c>
      <c r="BS42" s="17" t="s">
        <v>254</v>
      </c>
      <c r="BT42">
        <f>SUM(P42:AD42)</f>
        <v>40</v>
      </c>
      <c r="BU42" s="23">
        <f>AF42+AH42+AI42+AJ42+AO42+AP42</f>
        <v>0</v>
      </c>
    </row>
    <row r="43" spans="1:73" hidden="1">
      <c r="A43" s="1"/>
      <c r="B43" s="3" t="s">
        <v>215</v>
      </c>
      <c r="C43" s="3" t="s">
        <v>213</v>
      </c>
      <c r="D43" s="1" t="s">
        <v>206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>
        <v>10</v>
      </c>
      <c r="Q43" s="28"/>
      <c r="R43" s="28"/>
      <c r="S43" s="28">
        <v>10</v>
      </c>
      <c r="T43" s="28"/>
      <c r="U43" s="28"/>
      <c r="V43" s="28">
        <v>10</v>
      </c>
      <c r="W43" s="28"/>
      <c r="X43" s="28"/>
      <c r="Y43" s="28">
        <v>10</v>
      </c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40</v>
      </c>
      <c r="BQ43" s="1">
        <v>4</v>
      </c>
      <c r="BR43" s="17">
        <v>1</v>
      </c>
      <c r="BS43" s="17" t="s">
        <v>281</v>
      </c>
      <c r="BT43">
        <f>SUM(P43:AD43)</f>
        <v>40</v>
      </c>
      <c r="BU43" s="23">
        <f>AF43+AH43+AI43+AJ43+AO43+AP43</f>
        <v>0</v>
      </c>
    </row>
    <row r="44" spans="1:73" hidden="1">
      <c r="A44" s="1"/>
      <c r="B44" s="3" t="s">
        <v>217</v>
      </c>
      <c r="C44" s="3" t="s">
        <v>99</v>
      </c>
      <c r="D44" s="1" t="s">
        <v>206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>
        <v>10</v>
      </c>
      <c r="Q44" s="28"/>
      <c r="R44" s="28"/>
      <c r="S44" s="28">
        <v>10</v>
      </c>
      <c r="T44" s="28"/>
      <c r="U44" s="28"/>
      <c r="V44" s="28">
        <v>10</v>
      </c>
      <c r="W44" s="28"/>
      <c r="X44" s="28"/>
      <c r="Y44" s="28">
        <v>10</v>
      </c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40</v>
      </c>
      <c r="BQ44" s="1">
        <v>4</v>
      </c>
      <c r="BR44" s="17">
        <v>1</v>
      </c>
      <c r="BS44" s="17" t="s">
        <v>254</v>
      </c>
      <c r="BT44">
        <f>SUM(P44:AD44)</f>
        <v>40</v>
      </c>
      <c r="BU44" s="23">
        <f>AF44+AH44+AI44+AJ44+AO44+AP44</f>
        <v>0</v>
      </c>
    </row>
    <row r="45" spans="1:73" s="48" customFormat="1" hidden="1">
      <c r="A45" s="1"/>
      <c r="B45" s="3" t="s">
        <v>218</v>
      </c>
      <c r="C45" s="3" t="s">
        <v>99</v>
      </c>
      <c r="D45" s="1" t="s">
        <v>206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>
        <v>10</v>
      </c>
      <c r="Q45" s="28"/>
      <c r="R45" s="28"/>
      <c r="S45" s="28">
        <v>10</v>
      </c>
      <c r="T45" s="28"/>
      <c r="U45" s="28"/>
      <c r="V45" s="28">
        <v>10</v>
      </c>
      <c r="W45" s="28"/>
      <c r="X45" s="28"/>
      <c r="Y45" s="28">
        <v>10</v>
      </c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40</v>
      </c>
      <c r="BQ45" s="1">
        <v>4</v>
      </c>
      <c r="BR45" s="17">
        <v>1</v>
      </c>
      <c r="BS45" s="17" t="s">
        <v>281</v>
      </c>
      <c r="BT45">
        <f>SUM(P45:AD45)</f>
        <v>40</v>
      </c>
      <c r="BU45" s="23">
        <f>AF45+AH45+AI45+AJ45+AO45+AP45</f>
        <v>0</v>
      </c>
    </row>
    <row r="46" spans="1:73" hidden="1">
      <c r="A46" s="1"/>
      <c r="B46" s="1" t="s">
        <v>127</v>
      </c>
      <c r="C46" s="1" t="s">
        <v>128</v>
      </c>
      <c r="D46" s="1" t="s">
        <v>103</v>
      </c>
      <c r="E46" s="6"/>
      <c r="F46" s="6"/>
      <c r="G46" s="6"/>
      <c r="H46" s="6"/>
      <c r="I46" s="6"/>
      <c r="J46" s="6"/>
      <c r="K46" s="6"/>
      <c r="L46" s="6">
        <v>7</v>
      </c>
      <c r="M46" s="6"/>
      <c r="N46" s="6"/>
      <c r="O46" s="6"/>
      <c r="P46" s="28"/>
      <c r="Q46" s="28">
        <v>7</v>
      </c>
      <c r="R46" s="28"/>
      <c r="S46" s="28"/>
      <c r="T46" s="28">
        <v>7</v>
      </c>
      <c r="U46" s="28"/>
      <c r="V46" s="28"/>
      <c r="W46" s="28"/>
      <c r="X46" s="28">
        <v>7</v>
      </c>
      <c r="Y46" s="28"/>
      <c r="Z46" s="28"/>
      <c r="AA46" s="28"/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28</v>
      </c>
      <c r="BQ46" s="1">
        <v>4</v>
      </c>
      <c r="BR46" s="17">
        <v>1</v>
      </c>
      <c r="BS46" s="17" t="s">
        <v>255</v>
      </c>
      <c r="BT46">
        <f>SUM(P46:AD46)</f>
        <v>21</v>
      </c>
      <c r="BU46" s="23">
        <f>AF46+AH46+AI46+AJ46+AO46+AP46</f>
        <v>0</v>
      </c>
    </row>
    <row r="47" spans="1:73">
      <c r="A47" s="1"/>
      <c r="B47" s="1" t="s">
        <v>149</v>
      </c>
      <c r="C47" s="1" t="s">
        <v>95</v>
      </c>
      <c r="D47" s="1" t="s">
        <v>85</v>
      </c>
      <c r="E47" s="6">
        <v>10</v>
      </c>
      <c r="F47" s="6"/>
      <c r="G47" s="6">
        <v>10</v>
      </c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>
        <v>10</v>
      </c>
      <c r="AS47" s="4"/>
      <c r="AT47" s="4"/>
      <c r="AU47" s="4"/>
      <c r="AV47" s="4"/>
      <c r="AW47" s="2"/>
      <c r="AX47" s="2"/>
      <c r="AY47" s="2"/>
      <c r="AZ47" s="2"/>
      <c r="BA47" s="2"/>
      <c r="BB47" s="2">
        <v>10</v>
      </c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40</v>
      </c>
      <c r="BQ47" s="1">
        <v>4</v>
      </c>
      <c r="BR47" s="17">
        <v>1</v>
      </c>
      <c r="BS47" s="17" t="s">
        <v>282</v>
      </c>
      <c r="BT47">
        <f>SUM(P47:AD47)</f>
        <v>0</v>
      </c>
      <c r="BU47" s="23">
        <f>AF47+AH47+AI47+AJ47+AO47+AP47</f>
        <v>0</v>
      </c>
    </row>
    <row r="48" spans="1:73">
      <c r="A48" s="1"/>
      <c r="B48" s="1" t="s">
        <v>147</v>
      </c>
      <c r="C48" s="1" t="s">
        <v>129</v>
      </c>
      <c r="D48" s="1" t="s">
        <v>103</v>
      </c>
      <c r="E48" s="6">
        <v>10</v>
      </c>
      <c r="F48" s="6"/>
      <c r="G48" s="6">
        <v>10</v>
      </c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>
        <v>10</v>
      </c>
      <c r="AS48" s="4"/>
      <c r="AT48" s="4"/>
      <c r="AU48" s="4"/>
      <c r="AV48" s="4"/>
      <c r="AW48" s="2"/>
      <c r="AX48" s="2"/>
      <c r="AY48" s="2"/>
      <c r="AZ48" s="2"/>
      <c r="BA48" s="2"/>
      <c r="BB48" s="2">
        <v>10</v>
      </c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40</v>
      </c>
      <c r="BQ48" s="1">
        <v>4</v>
      </c>
      <c r="BR48" s="17">
        <v>1</v>
      </c>
      <c r="BS48" s="17" t="s">
        <v>282</v>
      </c>
      <c r="BT48">
        <f>SUM(P48:AD48)</f>
        <v>0</v>
      </c>
      <c r="BU48" s="23">
        <f>AF48+AH48+AI48+AJ48+AO48+AP48</f>
        <v>0</v>
      </c>
    </row>
    <row r="49" spans="1:73" hidden="1">
      <c r="A49" s="18">
        <v>17</v>
      </c>
      <c r="B49" s="18" t="s">
        <v>26</v>
      </c>
      <c r="C49" s="18" t="s">
        <v>24</v>
      </c>
      <c r="D49" s="18" t="s">
        <v>18</v>
      </c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18"/>
      <c r="AF49" s="18">
        <v>5</v>
      </c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20"/>
      <c r="AR49" s="20"/>
      <c r="AS49" s="20"/>
      <c r="AT49" s="20"/>
      <c r="AU49" s="20"/>
      <c r="AV49" s="20"/>
      <c r="AW49" s="21"/>
      <c r="AX49" s="21"/>
      <c r="AY49" s="21"/>
      <c r="AZ49" s="21"/>
      <c r="BA49" s="21"/>
      <c r="BB49" s="21"/>
      <c r="BC49" s="26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>
        <f>SUM(E49:BO49)</f>
        <v>5</v>
      </c>
      <c r="BQ49" s="18">
        <v>5</v>
      </c>
      <c r="BR49" s="22">
        <v>1</v>
      </c>
      <c r="BS49" s="22" t="s">
        <v>257</v>
      </c>
      <c r="BT49">
        <f>SUM(P49:AD49)</f>
        <v>0</v>
      </c>
      <c r="BU49" s="23">
        <f>AF49+AH49+AI49+AJ49+AO49+AP49</f>
        <v>5</v>
      </c>
    </row>
    <row r="50" spans="1:73" hidden="1">
      <c r="A50" s="18">
        <v>32</v>
      </c>
      <c r="B50" s="18" t="s">
        <v>60</v>
      </c>
      <c r="C50" s="18" t="s">
        <v>24</v>
      </c>
      <c r="D50" s="18" t="s">
        <v>18</v>
      </c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18"/>
      <c r="AF50" s="18"/>
      <c r="AG50" s="18"/>
      <c r="AH50" s="18"/>
      <c r="AI50" s="18">
        <v>5</v>
      </c>
      <c r="AJ50" s="18"/>
      <c r="AK50" s="18"/>
      <c r="AL50" s="18"/>
      <c r="AM50" s="18"/>
      <c r="AN50" s="18"/>
      <c r="AO50" s="18"/>
      <c r="AP50" s="18"/>
      <c r="AQ50" s="20"/>
      <c r="AR50" s="20"/>
      <c r="AS50" s="20"/>
      <c r="AT50" s="20"/>
      <c r="AU50" s="20"/>
      <c r="AV50" s="20"/>
      <c r="AW50" s="21"/>
      <c r="AX50" s="21"/>
      <c r="AY50" s="21"/>
      <c r="AZ50" s="21"/>
      <c r="BA50" s="21"/>
      <c r="BB50" s="21"/>
      <c r="BC50" s="26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>
        <f>SUM(E50:BO50)</f>
        <v>5</v>
      </c>
      <c r="BQ50" s="18">
        <v>5</v>
      </c>
      <c r="BR50" s="22">
        <v>1</v>
      </c>
      <c r="BS50" s="22" t="s">
        <v>283</v>
      </c>
      <c r="BT50">
        <f>SUM(P50:AD50)</f>
        <v>0</v>
      </c>
      <c r="BU50" s="23">
        <f>AF50+AH50+AI50+AJ50+AO50+AP50</f>
        <v>5</v>
      </c>
    </row>
    <row r="51" spans="1:73" hidden="1">
      <c r="A51" s="18">
        <v>33</v>
      </c>
      <c r="B51" s="18" t="s">
        <v>60</v>
      </c>
      <c r="C51" s="18" t="s">
        <v>24</v>
      </c>
      <c r="D51" s="18" t="s">
        <v>0</v>
      </c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18"/>
      <c r="AF51" s="18"/>
      <c r="AG51" s="18"/>
      <c r="AH51" s="18">
        <v>5</v>
      </c>
      <c r="AI51" s="18"/>
      <c r="AJ51" s="18"/>
      <c r="AK51" s="18"/>
      <c r="AL51" s="18"/>
      <c r="AM51" s="18"/>
      <c r="AN51" s="18"/>
      <c r="AO51" s="18"/>
      <c r="AP51" s="18"/>
      <c r="AQ51" s="20"/>
      <c r="AR51" s="20"/>
      <c r="AS51" s="20"/>
      <c r="AT51" s="20"/>
      <c r="AU51" s="20"/>
      <c r="AV51" s="20"/>
      <c r="AW51" s="21"/>
      <c r="AX51" s="21"/>
      <c r="AY51" s="21"/>
      <c r="AZ51" s="21"/>
      <c r="BA51" s="21"/>
      <c r="BB51" s="21"/>
      <c r="BC51" s="26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>
        <f>SUM(E51:BO51)</f>
        <v>5</v>
      </c>
      <c r="BQ51" s="18">
        <v>5</v>
      </c>
      <c r="BR51" s="22">
        <v>1</v>
      </c>
      <c r="BS51" s="22" t="s">
        <v>284</v>
      </c>
      <c r="BT51">
        <f>SUM(P51:AD51)</f>
        <v>0</v>
      </c>
      <c r="BU51" s="23">
        <f>AF51+AH51+AI51+AJ51+AO51+AP51</f>
        <v>5</v>
      </c>
    </row>
    <row r="52" spans="1:73" hidden="1">
      <c r="A52" s="18"/>
      <c r="B52" s="18" t="s">
        <v>97</v>
      </c>
      <c r="C52" s="18" t="s">
        <v>95</v>
      </c>
      <c r="D52" s="18" t="s">
        <v>91</v>
      </c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18"/>
      <c r="AF52" s="18"/>
      <c r="AG52" s="18"/>
      <c r="AH52" s="18">
        <v>5</v>
      </c>
      <c r="AI52" s="18"/>
      <c r="AJ52" s="18"/>
      <c r="AK52" s="18"/>
      <c r="AL52" s="18"/>
      <c r="AM52" s="18"/>
      <c r="AN52" s="18"/>
      <c r="AO52" s="18"/>
      <c r="AP52" s="18"/>
      <c r="AQ52" s="20"/>
      <c r="AR52" s="20"/>
      <c r="AS52" s="20"/>
      <c r="AT52" s="20"/>
      <c r="AU52" s="20"/>
      <c r="AV52" s="20"/>
      <c r="AW52" s="21"/>
      <c r="AX52" s="21"/>
      <c r="AY52" s="21"/>
      <c r="AZ52" s="21"/>
      <c r="BA52" s="21"/>
      <c r="BB52" s="21"/>
      <c r="BC52" s="26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>
        <f>SUM(E52:BO52)</f>
        <v>5</v>
      </c>
      <c r="BQ52" s="18">
        <v>5</v>
      </c>
      <c r="BR52" s="22">
        <v>1</v>
      </c>
      <c r="BS52" s="22" t="s">
        <v>247</v>
      </c>
      <c r="BT52">
        <f>SUM(P52:AD52)</f>
        <v>0</v>
      </c>
      <c r="BU52" s="23">
        <f>AF52+AH52+AI52+AJ52+AO52+AP52</f>
        <v>5</v>
      </c>
    </row>
    <row r="53" spans="1:73" hidden="1">
      <c r="A53" s="18"/>
      <c r="B53" s="18" t="s">
        <v>97</v>
      </c>
      <c r="C53" s="18" t="s">
        <v>95</v>
      </c>
      <c r="D53" s="18" t="s">
        <v>85</v>
      </c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18"/>
      <c r="AF53" s="18"/>
      <c r="AG53" s="18"/>
      <c r="AH53" s="18"/>
      <c r="AI53" s="18">
        <v>5</v>
      </c>
      <c r="AJ53" s="18"/>
      <c r="AK53" s="18"/>
      <c r="AL53" s="18"/>
      <c r="AM53" s="18"/>
      <c r="AN53" s="18"/>
      <c r="AO53" s="18"/>
      <c r="AP53" s="18"/>
      <c r="AQ53" s="20"/>
      <c r="AR53" s="20"/>
      <c r="AS53" s="20"/>
      <c r="AT53" s="20"/>
      <c r="AU53" s="20"/>
      <c r="AV53" s="20"/>
      <c r="AW53" s="21"/>
      <c r="AX53" s="21"/>
      <c r="AY53" s="21"/>
      <c r="AZ53" s="21"/>
      <c r="BA53" s="21"/>
      <c r="BB53" s="21"/>
      <c r="BC53" s="26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>
        <f>SUM(E53:BO53)</f>
        <v>5</v>
      </c>
      <c r="BQ53" s="18">
        <v>5</v>
      </c>
      <c r="BR53" s="22">
        <v>1</v>
      </c>
      <c r="BS53" s="22" t="s">
        <v>283</v>
      </c>
      <c r="BT53">
        <f>SUM(P53:AD53)</f>
        <v>0</v>
      </c>
      <c r="BU53" s="23">
        <f>AF53+AH53+AI53+AJ53+AO53+AP53</f>
        <v>5</v>
      </c>
    </row>
    <row r="54" spans="1:73">
      <c r="A54" s="31">
        <v>84</v>
      </c>
      <c r="B54" s="32" t="s">
        <v>159</v>
      </c>
      <c r="C54" s="32" t="s">
        <v>50</v>
      </c>
      <c r="D54" s="31" t="s">
        <v>9</v>
      </c>
      <c r="E54" s="33"/>
      <c r="F54" s="33"/>
      <c r="G54" s="33">
        <v>5</v>
      </c>
      <c r="H54" s="33">
        <v>5</v>
      </c>
      <c r="I54" s="33"/>
      <c r="J54" s="33"/>
      <c r="K54" s="33"/>
      <c r="L54" s="33"/>
      <c r="M54" s="33"/>
      <c r="N54" s="33"/>
      <c r="O54" s="33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5"/>
      <c r="AR54" s="35"/>
      <c r="AS54" s="35"/>
      <c r="AT54" s="35"/>
      <c r="AU54" s="35"/>
      <c r="AV54" s="35"/>
      <c r="AW54" s="36"/>
      <c r="AX54" s="36"/>
      <c r="AY54" s="36"/>
      <c r="AZ54" s="36"/>
      <c r="BA54" s="36">
        <v>5</v>
      </c>
      <c r="BB54" s="36">
        <v>5</v>
      </c>
      <c r="BC54" s="37"/>
      <c r="BD54" s="31"/>
      <c r="BE54" s="31"/>
      <c r="BF54" s="31"/>
      <c r="BG54" s="31"/>
      <c r="BH54" s="31"/>
      <c r="BI54" s="31"/>
      <c r="BJ54" s="31"/>
      <c r="BK54" s="31"/>
      <c r="BL54" s="31"/>
      <c r="BM54" s="31"/>
      <c r="BN54" s="31"/>
      <c r="BO54" s="31"/>
      <c r="BP54" s="31">
        <f>SUM(E54:BO54)</f>
        <v>20</v>
      </c>
      <c r="BQ54" s="31">
        <v>5</v>
      </c>
      <c r="BR54" s="38">
        <v>1</v>
      </c>
      <c r="BS54" s="38" t="s">
        <v>285</v>
      </c>
      <c r="BT54">
        <f>SUM(P54:AD54)</f>
        <v>0</v>
      </c>
      <c r="BU54" s="23">
        <f>AF54+AH54+AI54+AJ54+AO54+AP54</f>
        <v>0</v>
      </c>
    </row>
    <row r="55" spans="1:73">
      <c r="A55" s="1"/>
      <c r="B55" s="1" t="s">
        <v>154</v>
      </c>
      <c r="C55" s="1" t="s">
        <v>83</v>
      </c>
      <c r="D55" s="1" t="s">
        <v>85</v>
      </c>
      <c r="E55" s="6"/>
      <c r="F55" s="6"/>
      <c r="G55" s="6"/>
      <c r="H55" s="6">
        <v>6</v>
      </c>
      <c r="I55" s="6"/>
      <c r="J55" s="6"/>
      <c r="K55" s="6">
        <v>6</v>
      </c>
      <c r="L55" s="6"/>
      <c r="M55" s="6"/>
      <c r="N55" s="6"/>
      <c r="O55" s="6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>
        <v>10</v>
      </c>
      <c r="AR55" s="4"/>
      <c r="AS55" s="4"/>
      <c r="AT55" s="4"/>
      <c r="AU55" s="4"/>
      <c r="AV55" s="4"/>
      <c r="AW55" s="2">
        <v>10</v>
      </c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32</v>
      </c>
      <c r="BQ55" s="1">
        <v>6</v>
      </c>
      <c r="BR55" s="17">
        <v>1</v>
      </c>
      <c r="BS55" s="17" t="s">
        <v>286</v>
      </c>
      <c r="BT55">
        <f>SUM(P55:AD55)</f>
        <v>0</v>
      </c>
      <c r="BU55" s="23">
        <f>AF55+AH55+AI55+AJ55+AO55+AP55</f>
        <v>0</v>
      </c>
    </row>
    <row r="56" spans="1:73" s="58" customFormat="1">
      <c r="A56" s="1">
        <v>8</v>
      </c>
      <c r="B56" s="1" t="s">
        <v>144</v>
      </c>
      <c r="C56" s="1" t="s">
        <v>1</v>
      </c>
      <c r="D56" s="1" t="s">
        <v>20</v>
      </c>
      <c r="E56" s="6">
        <v>6</v>
      </c>
      <c r="F56" s="6"/>
      <c r="G56" s="6"/>
      <c r="H56" s="6">
        <v>6</v>
      </c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>
        <v>10</v>
      </c>
      <c r="AS56" s="4"/>
      <c r="AT56" s="4"/>
      <c r="AU56" s="4"/>
      <c r="AV56" s="4"/>
      <c r="AW56" s="2"/>
      <c r="AX56" s="2"/>
      <c r="AY56" s="2"/>
      <c r="AZ56" s="2"/>
      <c r="BA56" s="2"/>
      <c r="BB56" s="2">
        <v>10</v>
      </c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32</v>
      </c>
      <c r="BQ56" s="1">
        <v>6</v>
      </c>
      <c r="BR56" s="17">
        <v>1</v>
      </c>
      <c r="BS56" s="17" t="s">
        <v>286</v>
      </c>
      <c r="BT56">
        <f>SUM(P56:AD56)</f>
        <v>0</v>
      </c>
      <c r="BU56" s="23">
        <f>AF56+AH56+AI56+AJ56+AO56+AP56</f>
        <v>0</v>
      </c>
    </row>
    <row r="57" spans="1:73">
      <c r="A57" s="1"/>
      <c r="B57" s="1" t="s">
        <v>155</v>
      </c>
      <c r="C57" s="1" t="s">
        <v>98</v>
      </c>
      <c r="D57" s="1" t="s">
        <v>85</v>
      </c>
      <c r="E57" s="6"/>
      <c r="F57" s="6"/>
      <c r="G57" s="6"/>
      <c r="H57" s="6">
        <v>10</v>
      </c>
      <c r="I57" s="6"/>
      <c r="J57" s="6">
        <v>10</v>
      </c>
      <c r="K57" s="6"/>
      <c r="L57" s="6"/>
      <c r="M57" s="6"/>
      <c r="N57" s="6"/>
      <c r="O57" s="6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>
        <v>10</v>
      </c>
      <c r="AU57" s="4"/>
      <c r="AV57" s="4"/>
      <c r="AW57" s="2"/>
      <c r="AX57" s="2"/>
      <c r="AY57" s="2">
        <v>10</v>
      </c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40</v>
      </c>
      <c r="BQ57" s="1">
        <v>10</v>
      </c>
      <c r="BR57" s="17">
        <v>1</v>
      </c>
      <c r="BS57" s="17" t="s">
        <v>258</v>
      </c>
      <c r="BT57">
        <f>SUM(P57:AD57)</f>
        <v>0</v>
      </c>
      <c r="BU57" s="23">
        <f>AF57+AH57+AI57+AJ57+AO57+AP57</f>
        <v>0</v>
      </c>
    </row>
    <row r="58" spans="1:73">
      <c r="A58" s="18">
        <v>64</v>
      </c>
      <c r="B58" s="24" t="s">
        <v>48</v>
      </c>
      <c r="C58" s="18" t="s">
        <v>43</v>
      </c>
      <c r="D58" s="18" t="s">
        <v>0</v>
      </c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18"/>
      <c r="AF58" s="18"/>
      <c r="AG58" s="18"/>
      <c r="AH58" s="18"/>
      <c r="AI58" s="18"/>
      <c r="AJ58" s="18"/>
      <c r="AK58" s="18"/>
      <c r="AL58" s="18"/>
      <c r="AM58" s="18"/>
      <c r="AN58" s="18">
        <v>15</v>
      </c>
      <c r="AO58" s="18"/>
      <c r="AP58" s="18"/>
      <c r="AQ58" s="20"/>
      <c r="AR58" s="20"/>
      <c r="AS58" s="20"/>
      <c r="AT58" s="20"/>
      <c r="AU58" s="20"/>
      <c r="AV58" s="20"/>
      <c r="AW58" s="21"/>
      <c r="AX58" s="21"/>
      <c r="AY58" s="21"/>
      <c r="AZ58" s="21"/>
      <c r="BA58" s="21"/>
      <c r="BB58" s="21"/>
      <c r="BC58" s="26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>
        <f>SUM(E58:BO58)</f>
        <v>15</v>
      </c>
      <c r="BQ58" s="18">
        <v>12</v>
      </c>
      <c r="BR58" s="22">
        <v>1</v>
      </c>
      <c r="BS58" s="22" t="s">
        <v>288</v>
      </c>
      <c r="BT58">
        <f>SUM(P58:AD58)</f>
        <v>0</v>
      </c>
      <c r="BU58" s="23">
        <f>AF58+AH58+AI58+AJ58+AO58+AP58</f>
        <v>0</v>
      </c>
    </row>
    <row r="59" spans="1:73">
      <c r="A59" s="1"/>
      <c r="B59" s="1" t="s">
        <v>251</v>
      </c>
      <c r="C59" s="1" t="s">
        <v>95</v>
      </c>
      <c r="D59" s="1" t="s">
        <v>252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>
        <v>40</v>
      </c>
      <c r="AV59" s="4"/>
      <c r="AW59" s="2"/>
      <c r="AX59" s="2"/>
      <c r="AY59" s="2">
        <v>40</v>
      </c>
      <c r="AZ59" s="2">
        <v>40</v>
      </c>
      <c r="BA59" s="2"/>
      <c r="BB59" s="2"/>
      <c r="BC59" s="14">
        <v>10</v>
      </c>
      <c r="BD59" s="1"/>
      <c r="BE59" s="1"/>
      <c r="BF59" s="1"/>
      <c r="BG59" s="1"/>
      <c r="BH59" s="1"/>
      <c r="BI59" s="1">
        <v>50</v>
      </c>
      <c r="BJ59" s="1"/>
      <c r="BK59" s="1"/>
      <c r="BL59" s="1"/>
      <c r="BM59" s="1"/>
      <c r="BN59" s="1"/>
      <c r="BO59" s="1"/>
      <c r="BP59" s="1">
        <f>SUM(E59:BO59)</f>
        <v>180</v>
      </c>
      <c r="BQ59" s="1">
        <v>14</v>
      </c>
      <c r="BR59" s="17">
        <v>1</v>
      </c>
      <c r="BS59" s="17" t="s">
        <v>319</v>
      </c>
      <c r="BT59">
        <f>SUM(P59:AD59)</f>
        <v>0</v>
      </c>
      <c r="BU59" s="23">
        <f t="shared" ref="BU59:BU61" si="0">AF59+AH59+AI59+AJ59+AO59+AP59</f>
        <v>0</v>
      </c>
    </row>
    <row r="60" spans="1:73">
      <c r="A60" s="1">
        <v>98</v>
      </c>
      <c r="B60" s="3" t="s">
        <v>143</v>
      </c>
      <c r="C60" s="3" t="s">
        <v>52</v>
      </c>
      <c r="D60" s="1" t="s">
        <v>0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1">
        <v>50</v>
      </c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50</v>
      </c>
      <c r="BQ60" s="1">
        <v>41</v>
      </c>
      <c r="BR60" s="17">
        <v>1</v>
      </c>
      <c r="BS60" s="17" t="s">
        <v>289</v>
      </c>
      <c r="BT60">
        <f>SUM(P60:AD60)</f>
        <v>0</v>
      </c>
      <c r="BU60" s="23">
        <f t="shared" si="0"/>
        <v>0</v>
      </c>
    </row>
    <row r="61" spans="1:73">
      <c r="A61" s="1">
        <v>99</v>
      </c>
      <c r="B61" s="3" t="s">
        <v>143</v>
      </c>
      <c r="C61" s="3" t="s">
        <v>52</v>
      </c>
      <c r="D61" s="1" t="s">
        <v>9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1">
        <v>200</v>
      </c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200</v>
      </c>
      <c r="BQ61" s="1">
        <v>191</v>
      </c>
      <c r="BR61" s="17">
        <v>1</v>
      </c>
      <c r="BS61" s="17" t="s">
        <v>259</v>
      </c>
      <c r="BT61">
        <f>SUM(P61:AD61)</f>
        <v>0</v>
      </c>
      <c r="BU61" s="23">
        <f t="shared" si="0"/>
        <v>0</v>
      </c>
    </row>
    <row r="62" spans="1:73" ht="27" hidden="1">
      <c r="A62" s="1"/>
      <c r="B62" s="1" t="s">
        <v>112</v>
      </c>
      <c r="C62" s="1" t="s">
        <v>100</v>
      </c>
      <c r="D62" s="1" t="s">
        <v>102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>
        <v>2</v>
      </c>
      <c r="S62" s="28"/>
      <c r="T62" s="28">
        <v>5</v>
      </c>
      <c r="U62" s="28"/>
      <c r="V62" s="28"/>
      <c r="W62" s="28"/>
      <c r="X62" s="28"/>
      <c r="Y62" s="28"/>
      <c r="Z62" s="28">
        <v>5</v>
      </c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17</v>
      </c>
      <c r="BQ62" s="1">
        <v>3</v>
      </c>
      <c r="BR62" s="17">
        <v>2</v>
      </c>
      <c r="BS62" s="17" t="s">
        <v>290</v>
      </c>
      <c r="BT62">
        <f>SUM(P62:AD62)</f>
        <v>17</v>
      </c>
      <c r="BU62" s="23">
        <f>AF62+AH62+AI62+AJ62+AO62+AP62</f>
        <v>0</v>
      </c>
    </row>
    <row r="63" spans="1:73" ht="27" hidden="1">
      <c r="A63" s="1"/>
      <c r="B63" s="1" t="s">
        <v>117</v>
      </c>
      <c r="C63" s="1" t="s">
        <v>100</v>
      </c>
      <c r="D63" s="1" t="s">
        <v>102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>
        <v>2</v>
      </c>
      <c r="S63" s="28"/>
      <c r="T63" s="28">
        <v>5</v>
      </c>
      <c r="U63" s="28"/>
      <c r="V63" s="28"/>
      <c r="W63" s="28"/>
      <c r="X63" s="28"/>
      <c r="Y63" s="28"/>
      <c r="Z63" s="28">
        <v>5</v>
      </c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17</v>
      </c>
      <c r="BQ63" s="1">
        <v>3</v>
      </c>
      <c r="BR63" s="17">
        <v>2</v>
      </c>
      <c r="BS63" s="17" t="s">
        <v>248</v>
      </c>
      <c r="BT63">
        <f>SUM(P63:AD63)</f>
        <v>17</v>
      </c>
      <c r="BU63" s="23">
        <f>AF63+AH63+AI63+AJ63+AO63+AP63</f>
        <v>0</v>
      </c>
    </row>
    <row r="64" spans="1:73" ht="27" hidden="1">
      <c r="A64" s="1"/>
      <c r="B64" s="1" t="s">
        <v>125</v>
      </c>
      <c r="C64" s="1" t="s">
        <v>123</v>
      </c>
      <c r="D64" s="1" t="s">
        <v>102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>
        <v>5</v>
      </c>
      <c r="R64" s="28">
        <v>2</v>
      </c>
      <c r="S64" s="28"/>
      <c r="T64" s="28">
        <v>5</v>
      </c>
      <c r="U64" s="28"/>
      <c r="V64" s="28"/>
      <c r="W64" s="28"/>
      <c r="X64" s="28"/>
      <c r="Y64" s="28"/>
      <c r="Z64" s="28">
        <v>5</v>
      </c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17</v>
      </c>
      <c r="BQ64" s="1">
        <v>3</v>
      </c>
      <c r="BR64" s="17">
        <v>2</v>
      </c>
      <c r="BS64" s="17" t="s">
        <v>248</v>
      </c>
      <c r="BT64">
        <f>SUM(P64:AD64)</f>
        <v>17</v>
      </c>
      <c r="BU64" s="23">
        <f>AF64+AH64+AI64+AJ64+AO64+AP64</f>
        <v>0</v>
      </c>
    </row>
    <row r="65" spans="1:73" ht="27" hidden="1">
      <c r="A65" s="1"/>
      <c r="B65" s="1" t="s">
        <v>127</v>
      </c>
      <c r="C65" s="1" t="s">
        <v>128</v>
      </c>
      <c r="D65" s="1" t="s">
        <v>102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/>
      <c r="S65" s="28"/>
      <c r="T65" s="28">
        <v>5</v>
      </c>
      <c r="U65" s="28"/>
      <c r="V65" s="28"/>
      <c r="W65" s="28"/>
      <c r="X65" s="28">
        <v>2</v>
      </c>
      <c r="Y65" s="28"/>
      <c r="Z65" s="28">
        <v>5</v>
      </c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17</v>
      </c>
      <c r="BQ65" s="1">
        <v>3</v>
      </c>
      <c r="BR65" s="17">
        <v>2</v>
      </c>
      <c r="BS65" s="17" t="s">
        <v>248</v>
      </c>
      <c r="BT65">
        <f>SUM(P65:AD65)</f>
        <v>17</v>
      </c>
      <c r="BU65" s="23">
        <f>AF65+AH65+AI65+AJ65+AO65+AP65</f>
        <v>0</v>
      </c>
    </row>
    <row r="66" spans="1:73" ht="27" hidden="1">
      <c r="A66" s="1"/>
      <c r="B66" s="1" t="s">
        <v>121</v>
      </c>
      <c r="C66" s="1" t="s">
        <v>119</v>
      </c>
      <c r="D66" s="1" t="s">
        <v>102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>
        <v>5</v>
      </c>
      <c r="R66" s="28"/>
      <c r="S66" s="28"/>
      <c r="T66" s="28">
        <v>5</v>
      </c>
      <c r="U66" s="28"/>
      <c r="V66" s="28"/>
      <c r="W66" s="28"/>
      <c r="X66" s="28"/>
      <c r="Y66" s="28"/>
      <c r="Z66" s="28">
        <v>5</v>
      </c>
      <c r="AA66" s="28">
        <v>2</v>
      </c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17</v>
      </c>
      <c r="BQ66" s="1">
        <v>3</v>
      </c>
      <c r="BR66" s="17">
        <v>2</v>
      </c>
      <c r="BS66" s="17" t="s">
        <v>290</v>
      </c>
      <c r="BT66">
        <f>SUM(P66:AD66)</f>
        <v>17</v>
      </c>
      <c r="BU66" s="23">
        <f>AF66+AH66+AI66+AJ66+AO66+AP66</f>
        <v>0</v>
      </c>
    </row>
    <row r="67" spans="1:73" ht="27" hidden="1">
      <c r="A67" s="1"/>
      <c r="B67" s="1" t="s">
        <v>131</v>
      </c>
      <c r="C67" s="1" t="s">
        <v>130</v>
      </c>
      <c r="D67" s="1" t="s">
        <v>102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>
        <v>5</v>
      </c>
      <c r="R67" s="28"/>
      <c r="S67" s="28"/>
      <c r="T67" s="28">
        <v>5</v>
      </c>
      <c r="U67" s="28"/>
      <c r="V67" s="28"/>
      <c r="W67" s="28"/>
      <c r="X67" s="28"/>
      <c r="Y67" s="28"/>
      <c r="Z67" s="28">
        <v>5</v>
      </c>
      <c r="AA67" s="28">
        <v>2</v>
      </c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17</v>
      </c>
      <c r="BQ67" s="1">
        <v>3</v>
      </c>
      <c r="BR67" s="17">
        <v>2</v>
      </c>
      <c r="BS67" s="17" t="s">
        <v>290</v>
      </c>
      <c r="BT67">
        <f>SUM(P67:AD67)</f>
        <v>17</v>
      </c>
      <c r="BU67" s="23">
        <f>AF67+AH67+AI67+AJ67+AO67+AP67</f>
        <v>0</v>
      </c>
    </row>
    <row r="68" spans="1:73" ht="27" hidden="1">
      <c r="A68" s="1"/>
      <c r="B68" s="1" t="s">
        <v>136</v>
      </c>
      <c r="C68" s="1" t="s">
        <v>98</v>
      </c>
      <c r="D68" s="1" t="s">
        <v>138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>
        <v>5</v>
      </c>
      <c r="R68" s="28"/>
      <c r="S68" s="28"/>
      <c r="T68" s="28">
        <v>5</v>
      </c>
      <c r="U68" s="28"/>
      <c r="V68" s="28"/>
      <c r="W68" s="28"/>
      <c r="X68" s="28"/>
      <c r="Y68" s="28"/>
      <c r="Z68" s="28">
        <v>5</v>
      </c>
      <c r="AA68" s="28">
        <v>2</v>
      </c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17</v>
      </c>
      <c r="BQ68" s="1">
        <v>3</v>
      </c>
      <c r="BR68" s="17">
        <v>2</v>
      </c>
      <c r="BS68" s="17" t="s">
        <v>248</v>
      </c>
      <c r="BT68">
        <f>SUM(P68:AD68)</f>
        <v>17</v>
      </c>
      <c r="BU68" s="23">
        <f>AF68+AH68+AI68+AJ68+AO68+AP68</f>
        <v>0</v>
      </c>
    </row>
    <row r="69" spans="1:73" ht="27" hidden="1">
      <c r="A69" s="1"/>
      <c r="B69" s="3" t="s">
        <v>209</v>
      </c>
      <c r="C69" s="3" t="s">
        <v>24</v>
      </c>
      <c r="D69" s="1" t="s">
        <v>0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>
        <v>5</v>
      </c>
      <c r="R69" s="28"/>
      <c r="S69" s="28"/>
      <c r="T69" s="28">
        <v>5</v>
      </c>
      <c r="U69" s="28"/>
      <c r="V69" s="28"/>
      <c r="W69" s="28"/>
      <c r="X69" s="28">
        <v>2</v>
      </c>
      <c r="Y69" s="28"/>
      <c r="Z69" s="28">
        <v>5</v>
      </c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17</v>
      </c>
      <c r="BQ69" s="1">
        <v>3</v>
      </c>
      <c r="BR69" s="17">
        <v>2</v>
      </c>
      <c r="BS69" s="17" t="s">
        <v>290</v>
      </c>
      <c r="BT69">
        <f>SUM(P69:AD69)</f>
        <v>17</v>
      </c>
      <c r="BU69" s="23">
        <f>AF69+AH69+AI69+AJ69+AO69+AP69</f>
        <v>0</v>
      </c>
    </row>
    <row r="70" spans="1:73" ht="27" hidden="1">
      <c r="A70" s="1"/>
      <c r="B70" s="3" t="s">
        <v>212</v>
      </c>
      <c r="C70" s="3" t="s">
        <v>213</v>
      </c>
      <c r="D70" s="1" t="s">
        <v>0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>
        <v>5</v>
      </c>
      <c r="R70" s="28"/>
      <c r="S70" s="28"/>
      <c r="T70" s="28">
        <v>5</v>
      </c>
      <c r="U70" s="28"/>
      <c r="V70" s="28"/>
      <c r="W70" s="28"/>
      <c r="X70" s="28"/>
      <c r="Y70" s="28"/>
      <c r="Z70" s="28">
        <v>5</v>
      </c>
      <c r="AA70" s="28">
        <v>2</v>
      </c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17</v>
      </c>
      <c r="BQ70" s="1">
        <v>3</v>
      </c>
      <c r="BR70" s="17">
        <v>2</v>
      </c>
      <c r="BS70" s="17" t="s">
        <v>290</v>
      </c>
      <c r="BT70">
        <f>SUM(P70:AD70)</f>
        <v>17</v>
      </c>
      <c r="BU70" s="23">
        <f>AF70+AH70+AI70+AJ70+AO70+AP70</f>
        <v>0</v>
      </c>
    </row>
    <row r="71" spans="1:73" ht="27" hidden="1">
      <c r="A71" s="1"/>
      <c r="B71" s="3" t="s">
        <v>214</v>
      </c>
      <c r="C71" s="3" t="s">
        <v>213</v>
      </c>
      <c r="D71" s="1" t="s">
        <v>0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>
        <v>5</v>
      </c>
      <c r="R71" s="28"/>
      <c r="S71" s="28"/>
      <c r="T71" s="28">
        <v>5</v>
      </c>
      <c r="U71" s="28"/>
      <c r="V71" s="28"/>
      <c r="W71" s="28"/>
      <c r="X71" s="28">
        <v>2</v>
      </c>
      <c r="Y71" s="28"/>
      <c r="Z71" s="28">
        <v>5</v>
      </c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17</v>
      </c>
      <c r="BQ71" s="1">
        <v>3</v>
      </c>
      <c r="BR71" s="17">
        <v>2</v>
      </c>
      <c r="BS71" s="17" t="s">
        <v>290</v>
      </c>
      <c r="BT71">
        <f>SUM(P71:AD71)</f>
        <v>17</v>
      </c>
      <c r="BU71" s="23">
        <f>AF71+AH71+AI71+AJ71+AO71+AP71</f>
        <v>0</v>
      </c>
    </row>
    <row r="72" spans="1:73" ht="27" hidden="1">
      <c r="A72" s="1"/>
      <c r="B72" s="3" t="s">
        <v>216</v>
      </c>
      <c r="C72" s="3" t="s">
        <v>99</v>
      </c>
      <c r="D72" s="1" t="s">
        <v>0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>
        <v>5</v>
      </c>
      <c r="R72" s="28"/>
      <c r="S72" s="28"/>
      <c r="T72" s="28">
        <v>5</v>
      </c>
      <c r="U72" s="28"/>
      <c r="V72" s="28"/>
      <c r="W72" s="28"/>
      <c r="X72" s="28">
        <v>2</v>
      </c>
      <c r="Y72" s="28"/>
      <c r="Z72" s="28">
        <v>5</v>
      </c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17</v>
      </c>
      <c r="BQ72" s="1">
        <v>3</v>
      </c>
      <c r="BR72" s="17">
        <v>2</v>
      </c>
      <c r="BS72" s="17" t="s">
        <v>290</v>
      </c>
      <c r="BT72">
        <f>SUM(P72:AD72)</f>
        <v>17</v>
      </c>
      <c r="BU72" s="23">
        <f>AF72+AH72+AI72+AJ72+AO72+AP72</f>
        <v>0</v>
      </c>
    </row>
    <row r="73" spans="1:73" ht="27" hidden="1">
      <c r="A73" s="1"/>
      <c r="B73" s="3" t="s">
        <v>219</v>
      </c>
      <c r="C73" s="3" t="s">
        <v>99</v>
      </c>
      <c r="D73" s="1" t="s">
        <v>0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>
        <v>5</v>
      </c>
      <c r="R73" s="28">
        <v>2</v>
      </c>
      <c r="S73" s="28"/>
      <c r="T73" s="28">
        <v>5</v>
      </c>
      <c r="U73" s="28"/>
      <c r="V73" s="28"/>
      <c r="W73" s="28"/>
      <c r="X73" s="28"/>
      <c r="Y73" s="28"/>
      <c r="Z73" s="28">
        <v>5</v>
      </c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17</v>
      </c>
      <c r="BQ73" s="1">
        <v>3</v>
      </c>
      <c r="BR73" s="17">
        <v>2</v>
      </c>
      <c r="BS73" s="17" t="s">
        <v>290</v>
      </c>
      <c r="BT73">
        <f>SUM(P73:AD73)</f>
        <v>17</v>
      </c>
      <c r="BU73" s="23">
        <f>AF73+AH73+AI73+AJ73+AO73+AP73</f>
        <v>0</v>
      </c>
    </row>
    <row r="74" spans="1:73" ht="27" hidden="1">
      <c r="A74" s="1"/>
      <c r="B74" s="1" t="s">
        <v>126</v>
      </c>
      <c r="C74" s="1" t="s">
        <v>128</v>
      </c>
      <c r="D74" s="1" t="s">
        <v>102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/>
      <c r="V74" s="28">
        <v>10</v>
      </c>
      <c r="W74" s="28"/>
      <c r="X74" s="28"/>
      <c r="Y74" s="28">
        <v>10</v>
      </c>
      <c r="Z74" s="28"/>
      <c r="AA74" s="28"/>
      <c r="AB74" s="28">
        <v>10</v>
      </c>
      <c r="AC74" s="28">
        <v>5</v>
      </c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35</v>
      </c>
      <c r="BQ74" s="1">
        <v>5</v>
      </c>
      <c r="BR74" s="17">
        <v>2</v>
      </c>
      <c r="BS74" s="17" t="s">
        <v>291</v>
      </c>
      <c r="BT74">
        <f>SUM(P74:AD74)</f>
        <v>35</v>
      </c>
      <c r="BU74" s="23">
        <f>AF74+AH74+AI74+AJ74+AO74+AP74</f>
        <v>0</v>
      </c>
    </row>
    <row r="75" spans="1:73" ht="27" hidden="1">
      <c r="A75" s="1"/>
      <c r="B75" s="1" t="s">
        <v>134</v>
      </c>
      <c r="C75" s="1" t="s">
        <v>130</v>
      </c>
      <c r="D75" s="1" t="s">
        <v>102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/>
      <c r="R75" s="28"/>
      <c r="S75" s="28"/>
      <c r="T75" s="28"/>
      <c r="U75" s="28"/>
      <c r="V75" s="28">
        <v>10</v>
      </c>
      <c r="W75" s="28"/>
      <c r="X75" s="28"/>
      <c r="Y75" s="28">
        <v>10</v>
      </c>
      <c r="Z75" s="28"/>
      <c r="AA75" s="28"/>
      <c r="AB75" s="28">
        <v>10</v>
      </c>
      <c r="AC75" s="28">
        <v>5</v>
      </c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35</v>
      </c>
      <c r="BQ75" s="1">
        <v>5</v>
      </c>
      <c r="BR75" s="17">
        <v>2</v>
      </c>
      <c r="BS75" s="17" t="s">
        <v>245</v>
      </c>
      <c r="BT75">
        <f>SUM(P75:AD75)</f>
        <v>35</v>
      </c>
      <c r="BU75" s="23">
        <f>AF75+AH75+AI75+AJ75+AO75+AP75</f>
        <v>0</v>
      </c>
    </row>
    <row r="76" spans="1:73" ht="27" hidden="1">
      <c r="A76" s="1"/>
      <c r="B76" s="1" t="s">
        <v>135</v>
      </c>
      <c r="C76" s="1" t="s">
        <v>130</v>
      </c>
      <c r="D76" s="1" t="s">
        <v>102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/>
      <c r="R76" s="28"/>
      <c r="S76" s="28"/>
      <c r="T76" s="28"/>
      <c r="U76" s="28"/>
      <c r="V76" s="28">
        <v>10</v>
      </c>
      <c r="W76" s="28"/>
      <c r="X76" s="28"/>
      <c r="Y76" s="28">
        <v>10</v>
      </c>
      <c r="Z76" s="28"/>
      <c r="AA76" s="28"/>
      <c r="AB76" s="28">
        <v>10</v>
      </c>
      <c r="AC76" s="28">
        <v>5</v>
      </c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35</v>
      </c>
      <c r="BQ76" s="1">
        <v>5</v>
      </c>
      <c r="BR76" s="17">
        <v>2</v>
      </c>
      <c r="BS76" s="17" t="s">
        <v>245</v>
      </c>
      <c r="BT76">
        <f>SUM(P76:AD76)</f>
        <v>35</v>
      </c>
      <c r="BU76" s="23">
        <f>AF76+AH76+AI76+AJ76+AO76+AP76</f>
        <v>0</v>
      </c>
    </row>
    <row r="77" spans="1:73" ht="27" hidden="1">
      <c r="A77" s="1"/>
      <c r="B77" s="3" t="s">
        <v>208</v>
      </c>
      <c r="C77" s="3" t="s">
        <v>50</v>
      </c>
      <c r="D77" s="1" t="s">
        <v>0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>
        <v>10</v>
      </c>
      <c r="W77" s="28"/>
      <c r="X77" s="28"/>
      <c r="Y77" s="28">
        <v>10</v>
      </c>
      <c r="Z77" s="28"/>
      <c r="AA77" s="28"/>
      <c r="AB77" s="28">
        <v>10</v>
      </c>
      <c r="AC77" s="28">
        <v>5</v>
      </c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35</v>
      </c>
      <c r="BQ77" s="1">
        <v>5</v>
      </c>
      <c r="BR77" s="17">
        <v>2</v>
      </c>
      <c r="BS77" s="17" t="s">
        <v>245</v>
      </c>
      <c r="BT77">
        <f>SUM(P77:AD77)</f>
        <v>35</v>
      </c>
      <c r="BU77" s="23">
        <f>AF77+AH77+AI77+AJ77+AO77+AP77</f>
        <v>0</v>
      </c>
    </row>
    <row r="78" spans="1:73" s="66" customFormat="1" ht="27" hidden="1">
      <c r="A78" s="1"/>
      <c r="B78" s="3" t="s">
        <v>217</v>
      </c>
      <c r="C78" s="3" t="s">
        <v>99</v>
      </c>
      <c r="D78" s="1" t="s">
        <v>0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/>
      <c r="V78" s="28">
        <v>10</v>
      </c>
      <c r="W78" s="28"/>
      <c r="X78" s="28"/>
      <c r="Y78" s="28">
        <v>10</v>
      </c>
      <c r="Z78" s="28"/>
      <c r="AA78" s="28"/>
      <c r="AB78" s="28">
        <v>10</v>
      </c>
      <c r="AC78" s="28">
        <v>5</v>
      </c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35</v>
      </c>
      <c r="BQ78" s="1">
        <v>5</v>
      </c>
      <c r="BR78" s="17">
        <v>2</v>
      </c>
      <c r="BS78" s="17" t="s">
        <v>245</v>
      </c>
      <c r="BT78">
        <f>SUM(P78:AD78)</f>
        <v>35</v>
      </c>
      <c r="BU78" s="23">
        <f>AF78+AH78+AI78+AJ78+AO78+AP78</f>
        <v>0</v>
      </c>
    </row>
    <row r="79" spans="1:73" ht="27" hidden="1">
      <c r="A79" s="1"/>
      <c r="B79" s="1" t="s">
        <v>118</v>
      </c>
      <c r="C79" s="1" t="s">
        <v>119</v>
      </c>
      <c r="D79" s="1" t="s">
        <v>102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>
        <v>5</v>
      </c>
      <c r="R79" s="28"/>
      <c r="S79" s="28"/>
      <c r="T79" s="28"/>
      <c r="U79" s="28"/>
      <c r="V79" s="28">
        <v>10</v>
      </c>
      <c r="W79" s="28"/>
      <c r="X79" s="28"/>
      <c r="Y79" s="28">
        <v>10</v>
      </c>
      <c r="Z79" s="28"/>
      <c r="AA79" s="28"/>
      <c r="AB79" s="28">
        <v>10</v>
      </c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35</v>
      </c>
      <c r="BQ79" s="1">
        <v>6</v>
      </c>
      <c r="BR79" s="17">
        <v>2</v>
      </c>
      <c r="BS79" s="17" t="s">
        <v>292</v>
      </c>
      <c r="BT79">
        <f>SUM(P79:AD79)</f>
        <v>35</v>
      </c>
      <c r="BU79" s="23">
        <f>AF79+AH79+AI79+AJ79+AO79+AP79</f>
        <v>0</v>
      </c>
    </row>
    <row r="80" spans="1:73" ht="27" hidden="1">
      <c r="A80" s="1"/>
      <c r="B80" s="1" t="s">
        <v>124</v>
      </c>
      <c r="C80" s="1" t="s">
        <v>123</v>
      </c>
      <c r="D80" s="1" t="s">
        <v>102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>
        <v>5</v>
      </c>
      <c r="R80" s="28"/>
      <c r="S80" s="28"/>
      <c r="T80" s="28"/>
      <c r="U80" s="28"/>
      <c r="V80" s="28">
        <v>10</v>
      </c>
      <c r="W80" s="28"/>
      <c r="X80" s="28"/>
      <c r="Y80" s="28">
        <v>10</v>
      </c>
      <c r="Z80" s="28"/>
      <c r="AA80" s="28"/>
      <c r="AB80" s="28">
        <v>10</v>
      </c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35</v>
      </c>
      <c r="BQ80" s="1">
        <v>6</v>
      </c>
      <c r="BR80" s="17">
        <v>2</v>
      </c>
      <c r="BS80" s="17" t="s">
        <v>246</v>
      </c>
      <c r="BT80">
        <f>SUM(P80:AD80)</f>
        <v>35</v>
      </c>
      <c r="BU80" s="23">
        <f>AF80+AH80+AI80+AJ80+AO80+AP80</f>
        <v>0</v>
      </c>
    </row>
    <row r="81" spans="1:73" ht="27" hidden="1">
      <c r="A81" s="1"/>
      <c r="B81" s="3" t="s">
        <v>241</v>
      </c>
      <c r="C81" s="3" t="s">
        <v>50</v>
      </c>
      <c r="D81" s="1" t="s">
        <v>0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>
        <v>5</v>
      </c>
      <c r="R81" s="28"/>
      <c r="S81" s="28"/>
      <c r="T81" s="28"/>
      <c r="U81" s="28"/>
      <c r="V81" s="28">
        <v>10</v>
      </c>
      <c r="W81" s="28"/>
      <c r="X81" s="28"/>
      <c r="Y81" s="28">
        <v>10</v>
      </c>
      <c r="Z81" s="28"/>
      <c r="AA81" s="28"/>
      <c r="AB81" s="28">
        <v>10</v>
      </c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35</v>
      </c>
      <c r="BQ81" s="1">
        <v>6</v>
      </c>
      <c r="BR81" s="17">
        <v>2</v>
      </c>
      <c r="BS81" s="17" t="s">
        <v>246</v>
      </c>
      <c r="BT81">
        <f>SUM(P81:AD81)</f>
        <v>35</v>
      </c>
      <c r="BU81" s="23">
        <f>AF81+AH81+AI81+AJ81+AO81+AP81</f>
        <v>0</v>
      </c>
    </row>
    <row r="82" spans="1:73" ht="27" hidden="1">
      <c r="A82" s="1"/>
      <c r="B82" s="3" t="s">
        <v>218</v>
      </c>
      <c r="C82" s="3" t="s">
        <v>99</v>
      </c>
      <c r="D82" s="1" t="s">
        <v>0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28"/>
      <c r="Q82" s="28">
        <v>5</v>
      </c>
      <c r="R82" s="28"/>
      <c r="S82" s="28"/>
      <c r="T82" s="28"/>
      <c r="U82" s="28"/>
      <c r="V82" s="28">
        <v>10</v>
      </c>
      <c r="W82" s="28"/>
      <c r="X82" s="28"/>
      <c r="Y82" s="28">
        <v>10</v>
      </c>
      <c r="Z82" s="28"/>
      <c r="AA82" s="28"/>
      <c r="AB82" s="28">
        <v>10</v>
      </c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35</v>
      </c>
      <c r="BQ82" s="1">
        <v>6</v>
      </c>
      <c r="BR82" s="17">
        <v>2</v>
      </c>
      <c r="BS82" s="17" t="s">
        <v>246</v>
      </c>
      <c r="BT82">
        <f>SUM(P82:AD82)</f>
        <v>35</v>
      </c>
      <c r="BU82" s="23">
        <f>AF82+AH82+AI82+AJ82+AO82+AP82</f>
        <v>0</v>
      </c>
    </row>
    <row r="83" spans="1:73" ht="27" hidden="1">
      <c r="A83" s="1"/>
      <c r="B83" s="1" t="s">
        <v>94</v>
      </c>
      <c r="C83" s="1" t="s">
        <v>87</v>
      </c>
      <c r="D83" s="1" t="s">
        <v>84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>
        <v>5</v>
      </c>
      <c r="AP83" s="1">
        <v>1</v>
      </c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6</v>
      </c>
      <c r="BQ83" s="1">
        <v>6</v>
      </c>
      <c r="BR83" s="17">
        <v>2</v>
      </c>
      <c r="BS83" s="17" t="s">
        <v>293</v>
      </c>
      <c r="BT83">
        <f>SUM(P83:AD83)</f>
        <v>0</v>
      </c>
      <c r="BU83" s="23">
        <f>AF83+AH83+AI83+AJ83+AO83+AP83</f>
        <v>6</v>
      </c>
    </row>
    <row r="84" spans="1:73" ht="27" hidden="1">
      <c r="A84" s="1"/>
      <c r="B84" s="1" t="s">
        <v>179</v>
      </c>
      <c r="C84" s="1" t="s">
        <v>24</v>
      </c>
      <c r="D84" s="1" t="s">
        <v>19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>
        <v>5</v>
      </c>
      <c r="AP84" s="1">
        <v>1</v>
      </c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6</v>
      </c>
      <c r="BQ84" s="1">
        <v>6</v>
      </c>
      <c r="BR84" s="17">
        <v>2</v>
      </c>
      <c r="BS84" s="17" t="s">
        <v>294</v>
      </c>
      <c r="BT84">
        <f>SUM(P84:AD84)</f>
        <v>0</v>
      </c>
      <c r="BU84" s="23">
        <f>AF84+AH84+AI84+AJ84+AO84+AP84</f>
        <v>6</v>
      </c>
    </row>
    <row r="85" spans="1:73" ht="27">
      <c r="A85" s="1">
        <v>95</v>
      </c>
      <c r="B85" s="3" t="s">
        <v>66</v>
      </c>
      <c r="C85" s="3" t="s">
        <v>52</v>
      </c>
      <c r="D85" s="1" t="s">
        <v>0</v>
      </c>
      <c r="E85" s="6"/>
      <c r="F85" s="6"/>
      <c r="G85" s="6"/>
      <c r="H85" s="6"/>
      <c r="I85" s="6"/>
      <c r="J85" s="6"/>
      <c r="K85" s="6"/>
      <c r="L85" s="6">
        <v>15</v>
      </c>
      <c r="M85" s="6"/>
      <c r="N85" s="6"/>
      <c r="O85" s="6">
        <v>15</v>
      </c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>
        <v>15</v>
      </c>
      <c r="BB85" s="2">
        <v>15</v>
      </c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60</v>
      </c>
      <c r="BQ85" s="1">
        <v>6</v>
      </c>
      <c r="BR85" s="17">
        <v>2</v>
      </c>
      <c r="BS85" s="17" t="s">
        <v>300</v>
      </c>
      <c r="BT85">
        <f>SUM(P85:AD85)</f>
        <v>0</v>
      </c>
      <c r="BU85" s="23">
        <f>AF85+AH85+AI85+AJ85+AO85+AP85</f>
        <v>0</v>
      </c>
    </row>
    <row r="86" spans="1:73" ht="27" hidden="1">
      <c r="A86" s="1"/>
      <c r="B86" s="1" t="s">
        <v>125</v>
      </c>
      <c r="C86" s="1" t="s">
        <v>123</v>
      </c>
      <c r="D86" s="1" t="s">
        <v>103</v>
      </c>
      <c r="E86" s="6"/>
      <c r="F86" s="6"/>
      <c r="G86" s="6"/>
      <c r="H86" s="6"/>
      <c r="I86" s="6">
        <v>7</v>
      </c>
      <c r="J86" s="6"/>
      <c r="K86" s="6"/>
      <c r="L86" s="6"/>
      <c r="M86" s="6"/>
      <c r="N86" s="6"/>
      <c r="O86" s="6"/>
      <c r="P86" s="28"/>
      <c r="Q86" s="28">
        <v>7</v>
      </c>
      <c r="R86" s="28">
        <v>7</v>
      </c>
      <c r="S86" s="28"/>
      <c r="T86" s="28">
        <v>7</v>
      </c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28</v>
      </c>
      <c r="BQ86" s="1">
        <v>7</v>
      </c>
      <c r="BR86" s="17">
        <v>2</v>
      </c>
      <c r="BS86" s="17" t="s">
        <v>295</v>
      </c>
      <c r="BT86">
        <f>SUM(P86:AD86)</f>
        <v>21</v>
      </c>
      <c r="BU86" s="23">
        <f>AF86+AH86+AI86+AJ86+AO86+AP86</f>
        <v>0</v>
      </c>
    </row>
    <row r="87" spans="1:73" ht="27">
      <c r="A87" s="1"/>
      <c r="B87" s="1" t="s">
        <v>140</v>
      </c>
      <c r="C87" s="1" t="s">
        <v>83</v>
      </c>
      <c r="D87" s="1" t="s">
        <v>85</v>
      </c>
      <c r="E87" s="6">
        <v>10</v>
      </c>
      <c r="F87" s="6"/>
      <c r="G87" s="6">
        <v>10</v>
      </c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>
        <v>15</v>
      </c>
      <c r="AU87" s="4"/>
      <c r="AV87" s="4"/>
      <c r="AW87" s="2"/>
      <c r="AX87" s="2"/>
      <c r="AY87" s="2"/>
      <c r="AZ87" s="2">
        <v>15</v>
      </c>
      <c r="BA87" s="2">
        <v>15</v>
      </c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65</v>
      </c>
      <c r="BQ87" s="1">
        <v>7</v>
      </c>
      <c r="BR87" s="17">
        <v>2</v>
      </c>
      <c r="BS87" s="17" t="s">
        <v>310</v>
      </c>
      <c r="BT87">
        <f>SUM(P87:AD87)</f>
        <v>0</v>
      </c>
      <c r="BU87" s="23">
        <f>AF87+AH87+AI87+AJ87+AO87+AP87</f>
        <v>0</v>
      </c>
    </row>
    <row r="88" spans="1:73" ht="27" hidden="1">
      <c r="A88" s="1"/>
      <c r="B88" s="1" t="s">
        <v>90</v>
      </c>
      <c r="C88" s="1" t="s">
        <v>87</v>
      </c>
      <c r="D88" s="1" t="s">
        <v>91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>
        <v>3</v>
      </c>
      <c r="AP88" s="1">
        <v>5</v>
      </c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8</v>
      </c>
      <c r="BQ88" s="1">
        <v>8</v>
      </c>
      <c r="BR88" s="17">
        <v>2</v>
      </c>
      <c r="BS88" s="17" t="s">
        <v>296</v>
      </c>
      <c r="BT88">
        <f>SUM(P88:AD88)</f>
        <v>0</v>
      </c>
      <c r="BU88" s="23">
        <f>AF88+AH88+AI88+AJ88+AO88+AP88</f>
        <v>8</v>
      </c>
    </row>
    <row r="89" spans="1:73" ht="27" hidden="1">
      <c r="A89" s="1"/>
      <c r="B89" s="1" t="s">
        <v>112</v>
      </c>
      <c r="C89" s="1" t="s">
        <v>100</v>
      </c>
      <c r="D89" s="1" t="s">
        <v>103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>
        <v>10</v>
      </c>
      <c r="P89" s="28"/>
      <c r="Q89" s="28"/>
      <c r="R89" s="28">
        <v>10</v>
      </c>
      <c r="S89" s="28"/>
      <c r="T89" s="28"/>
      <c r="U89" s="28"/>
      <c r="V89" s="28"/>
      <c r="W89" s="28"/>
      <c r="X89" s="28">
        <v>10</v>
      </c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>
        <v>10</v>
      </c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40</v>
      </c>
      <c r="BQ89" s="1">
        <v>8</v>
      </c>
      <c r="BR89" s="17">
        <v>2</v>
      </c>
      <c r="BS89" s="17" t="s">
        <v>260</v>
      </c>
      <c r="BT89">
        <f>SUM(P89:AD89)</f>
        <v>20</v>
      </c>
      <c r="BU89" s="23">
        <f>AF89+AH89+AI89+AJ89+AO89+AP89</f>
        <v>0</v>
      </c>
    </row>
    <row r="90" spans="1:73" ht="27" hidden="1">
      <c r="A90" s="50"/>
      <c r="B90" s="50" t="s">
        <v>202</v>
      </c>
      <c r="C90" s="50" t="s">
        <v>100</v>
      </c>
      <c r="D90" s="50" t="s">
        <v>103</v>
      </c>
      <c r="E90" s="51"/>
      <c r="F90" s="51"/>
      <c r="G90" s="51"/>
      <c r="H90" s="51"/>
      <c r="I90" s="51">
        <v>10</v>
      </c>
      <c r="J90" s="51"/>
      <c r="K90" s="51"/>
      <c r="L90" s="51"/>
      <c r="M90" s="51"/>
      <c r="N90" s="51"/>
      <c r="O90" s="51"/>
      <c r="P90" s="52"/>
      <c r="Q90" s="52"/>
      <c r="R90" s="52">
        <v>10</v>
      </c>
      <c r="S90" s="52"/>
      <c r="T90" s="52"/>
      <c r="U90" s="52"/>
      <c r="V90" s="52"/>
      <c r="W90" s="52"/>
      <c r="X90" s="52">
        <v>10</v>
      </c>
      <c r="Y90" s="52"/>
      <c r="Z90" s="52"/>
      <c r="AA90" s="52"/>
      <c r="AB90" s="52"/>
      <c r="AC90" s="52"/>
      <c r="AD90" s="52"/>
      <c r="AE90" s="50"/>
      <c r="AF90" s="50"/>
      <c r="AG90" s="50"/>
      <c r="AH90" s="50"/>
      <c r="AI90" s="50"/>
      <c r="AJ90" s="50"/>
      <c r="AK90" s="50"/>
      <c r="AL90" s="50"/>
      <c r="AM90" s="50"/>
      <c r="AN90" s="50"/>
      <c r="AO90" s="50"/>
      <c r="AP90" s="50"/>
      <c r="AQ90" s="53"/>
      <c r="AR90" s="53"/>
      <c r="AS90" s="53"/>
      <c r="AT90" s="53">
        <v>10</v>
      </c>
      <c r="AU90" s="53"/>
      <c r="AV90" s="53"/>
      <c r="AW90" s="54"/>
      <c r="AX90" s="54"/>
      <c r="AY90" s="54"/>
      <c r="AZ90" s="54"/>
      <c r="BA90" s="54"/>
      <c r="BB90" s="54"/>
      <c r="BC90" s="55"/>
      <c r="BD90" s="50"/>
      <c r="BE90" s="50"/>
      <c r="BF90" s="50"/>
      <c r="BG90" s="50"/>
      <c r="BH90" s="50"/>
      <c r="BI90" s="50"/>
      <c r="BJ90" s="50"/>
      <c r="BK90" s="50"/>
      <c r="BL90" s="50"/>
      <c r="BM90" s="50"/>
      <c r="BN90" s="50"/>
      <c r="BO90" s="50"/>
      <c r="BP90" s="50">
        <f>SUM(E90:BO90)</f>
        <v>40</v>
      </c>
      <c r="BQ90" s="50">
        <v>8</v>
      </c>
      <c r="BR90" s="56">
        <v>2</v>
      </c>
      <c r="BS90" s="56" t="s">
        <v>297</v>
      </c>
      <c r="BT90">
        <f>SUM(P90:AD90)</f>
        <v>20</v>
      </c>
      <c r="BU90" s="23">
        <f>AF90+AH90+AI90+AJ90+AO90+AP90</f>
        <v>0</v>
      </c>
    </row>
    <row r="91" spans="1:73" ht="27" hidden="1">
      <c r="A91" s="1"/>
      <c r="B91" s="3" t="s">
        <v>217</v>
      </c>
      <c r="C91" s="3" t="s">
        <v>99</v>
      </c>
      <c r="D91" s="1" t="s">
        <v>207</v>
      </c>
      <c r="E91" s="6"/>
      <c r="F91" s="6"/>
      <c r="G91" s="6"/>
      <c r="H91" s="6"/>
      <c r="I91" s="6">
        <v>10</v>
      </c>
      <c r="J91" s="6"/>
      <c r="K91" s="6"/>
      <c r="L91" s="6"/>
      <c r="M91" s="6"/>
      <c r="N91" s="6"/>
      <c r="O91" s="6"/>
      <c r="P91" s="28"/>
      <c r="Q91" s="28"/>
      <c r="R91" s="28">
        <v>10</v>
      </c>
      <c r="S91" s="28"/>
      <c r="T91" s="28"/>
      <c r="U91" s="28"/>
      <c r="V91" s="28"/>
      <c r="W91" s="28"/>
      <c r="X91" s="28">
        <v>10</v>
      </c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>
        <v>10</v>
      </c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40</v>
      </c>
      <c r="BQ91" s="1">
        <v>8</v>
      </c>
      <c r="BR91" s="17">
        <v>2</v>
      </c>
      <c r="BS91" s="17" t="s">
        <v>297</v>
      </c>
      <c r="BT91">
        <f>SUM(P91:AD91)</f>
        <v>20</v>
      </c>
      <c r="BU91" s="23">
        <f>AF91+AH91+AI91+AJ91+AO91+AP91</f>
        <v>0</v>
      </c>
    </row>
    <row r="92" spans="1:73" ht="27" hidden="1">
      <c r="A92" s="1"/>
      <c r="B92" s="3" t="s">
        <v>205</v>
      </c>
      <c r="C92" s="3" t="s">
        <v>50</v>
      </c>
      <c r="D92" s="1" t="s">
        <v>207</v>
      </c>
      <c r="E92" s="6"/>
      <c r="F92" s="6"/>
      <c r="G92" s="6"/>
      <c r="H92" s="6"/>
      <c r="I92" s="6"/>
      <c r="J92" s="6"/>
      <c r="K92" s="6"/>
      <c r="L92" s="6"/>
      <c r="M92" s="6">
        <v>10</v>
      </c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>
        <v>10</v>
      </c>
      <c r="AB92" s="28"/>
      <c r="AC92" s="28"/>
      <c r="AD92" s="28">
        <v>10</v>
      </c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>
        <v>10</v>
      </c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40</v>
      </c>
      <c r="BQ92" s="1">
        <v>9</v>
      </c>
      <c r="BR92" s="17">
        <v>2</v>
      </c>
      <c r="BS92" s="17" t="s">
        <v>249</v>
      </c>
      <c r="BT92">
        <f>SUM(P92:AD92)</f>
        <v>20</v>
      </c>
      <c r="BU92" s="23">
        <f>AF92+AH92+AI92+AJ92+AO92+AP92</f>
        <v>0</v>
      </c>
    </row>
    <row r="93" spans="1:73" ht="27" hidden="1">
      <c r="A93" s="1"/>
      <c r="B93" s="3" t="s">
        <v>209</v>
      </c>
      <c r="C93" s="3" t="s">
        <v>24</v>
      </c>
      <c r="D93" s="1" t="s">
        <v>207</v>
      </c>
      <c r="E93" s="6"/>
      <c r="F93" s="6"/>
      <c r="G93" s="6"/>
      <c r="H93" s="6"/>
      <c r="I93" s="6"/>
      <c r="J93" s="6"/>
      <c r="K93" s="6"/>
      <c r="L93" s="6"/>
      <c r="M93" s="6">
        <v>10</v>
      </c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>
        <v>10</v>
      </c>
      <c r="AB93" s="28"/>
      <c r="AC93" s="28"/>
      <c r="AD93" s="28">
        <v>10</v>
      </c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>
        <v>10</v>
      </c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40</v>
      </c>
      <c r="BQ93" s="1">
        <v>9</v>
      </c>
      <c r="BR93" s="17">
        <v>2</v>
      </c>
      <c r="BS93" s="17" t="s">
        <v>249</v>
      </c>
      <c r="BT93">
        <f>SUM(P93:AD93)</f>
        <v>20</v>
      </c>
      <c r="BU93" s="23">
        <f>AF93+AH93+AI93+AJ93+AO93+AP93</f>
        <v>0</v>
      </c>
    </row>
    <row r="94" spans="1:73" ht="27" hidden="1">
      <c r="A94" s="1"/>
      <c r="B94" s="3" t="s">
        <v>214</v>
      </c>
      <c r="C94" s="3" t="s">
        <v>213</v>
      </c>
      <c r="D94" s="1" t="s">
        <v>207</v>
      </c>
      <c r="E94" s="6"/>
      <c r="F94" s="6"/>
      <c r="G94" s="6"/>
      <c r="H94" s="6"/>
      <c r="I94" s="6"/>
      <c r="J94" s="6"/>
      <c r="K94" s="6"/>
      <c r="L94" s="6"/>
      <c r="M94" s="6">
        <v>10</v>
      </c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>
        <v>10</v>
      </c>
      <c r="AB94" s="28"/>
      <c r="AC94" s="28"/>
      <c r="AD94" s="28">
        <v>10</v>
      </c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>
        <v>10</v>
      </c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40</v>
      </c>
      <c r="BQ94" s="1">
        <v>9</v>
      </c>
      <c r="BR94" s="17">
        <v>2</v>
      </c>
      <c r="BS94" s="17" t="s">
        <v>298</v>
      </c>
      <c r="BT94">
        <f>SUM(P94:AD94)</f>
        <v>20</v>
      </c>
      <c r="BU94" s="23">
        <f>AF94+AH94+AI94+AJ94+AO94+AP94</f>
        <v>0</v>
      </c>
    </row>
    <row r="95" spans="1:73" s="58" customFormat="1" ht="27" hidden="1">
      <c r="A95" s="1"/>
      <c r="B95" s="3" t="s">
        <v>216</v>
      </c>
      <c r="C95" s="3" t="s">
        <v>99</v>
      </c>
      <c r="D95" s="1" t="s">
        <v>207</v>
      </c>
      <c r="E95" s="6"/>
      <c r="F95" s="6"/>
      <c r="G95" s="6"/>
      <c r="H95" s="6"/>
      <c r="I95" s="6"/>
      <c r="J95" s="6"/>
      <c r="K95" s="6"/>
      <c r="L95" s="6"/>
      <c r="M95" s="6">
        <v>10</v>
      </c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>
        <v>10</v>
      </c>
      <c r="AB95" s="28"/>
      <c r="AC95" s="28"/>
      <c r="AD95" s="28">
        <v>10</v>
      </c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>
        <v>10</v>
      </c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40</v>
      </c>
      <c r="BQ95" s="1">
        <v>9</v>
      </c>
      <c r="BR95" s="17">
        <v>2</v>
      </c>
      <c r="BS95" s="17" t="s">
        <v>298</v>
      </c>
      <c r="BT95">
        <f>SUM(P95:AD95)</f>
        <v>20</v>
      </c>
      <c r="BU95" s="23">
        <f>AF95+AH95+AI95+AJ95+AO95+AP95</f>
        <v>0</v>
      </c>
    </row>
    <row r="96" spans="1:73" ht="27" hidden="1">
      <c r="A96" s="1">
        <v>27</v>
      </c>
      <c r="B96" s="1" t="s">
        <v>57</v>
      </c>
      <c r="C96" s="1" t="s">
        <v>24</v>
      </c>
      <c r="D96" s="1" t="s">
        <v>18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>
        <v>5</v>
      </c>
      <c r="AI96" s="1">
        <v>5</v>
      </c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10</v>
      </c>
      <c r="BQ96" s="1">
        <v>10</v>
      </c>
      <c r="BR96" s="17">
        <v>2</v>
      </c>
      <c r="BS96" s="17" t="s">
        <v>299</v>
      </c>
      <c r="BT96">
        <f>SUM(P96:AD96)</f>
        <v>0</v>
      </c>
      <c r="BU96" s="23">
        <f>AF96+AH96+AI96+AJ96+AO96+AP96</f>
        <v>10</v>
      </c>
    </row>
    <row r="97" spans="1:73" ht="27" hidden="1">
      <c r="A97" s="1">
        <v>88</v>
      </c>
      <c r="B97" s="3" t="s">
        <v>62</v>
      </c>
      <c r="C97" s="3" t="s">
        <v>63</v>
      </c>
      <c r="D97" s="1" t="s">
        <v>18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>
        <v>5</v>
      </c>
      <c r="AI97" s="1">
        <v>5</v>
      </c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10</v>
      </c>
      <c r="BQ97" s="1">
        <v>10</v>
      </c>
      <c r="BR97" s="17">
        <v>2</v>
      </c>
      <c r="BS97" s="17" t="s">
        <v>299</v>
      </c>
      <c r="BT97">
        <f>SUM(P97:AD97)</f>
        <v>0</v>
      </c>
      <c r="BU97" s="23">
        <f>AF97+AH97+AI97+AJ97+AO97+AP97</f>
        <v>10</v>
      </c>
    </row>
    <row r="98" spans="1:73" ht="27">
      <c r="A98" s="59"/>
      <c r="B98" s="59" t="s">
        <v>145</v>
      </c>
      <c r="C98" s="59" t="s">
        <v>95</v>
      </c>
      <c r="D98" s="59" t="s">
        <v>84</v>
      </c>
      <c r="E98" s="60">
        <v>15</v>
      </c>
      <c r="F98" s="60"/>
      <c r="G98" s="60">
        <v>15</v>
      </c>
      <c r="H98" s="60"/>
      <c r="I98" s="60"/>
      <c r="J98" s="60"/>
      <c r="K98" s="60"/>
      <c r="L98" s="60"/>
      <c r="M98" s="60"/>
      <c r="N98" s="60"/>
      <c r="O98" s="60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59"/>
      <c r="AF98" s="59"/>
      <c r="AG98" s="59"/>
      <c r="AH98" s="59"/>
      <c r="AI98" s="59"/>
      <c r="AJ98" s="59"/>
      <c r="AK98" s="59"/>
      <c r="AL98" s="59"/>
      <c r="AM98" s="59"/>
      <c r="AN98" s="59"/>
      <c r="AO98" s="59"/>
      <c r="AP98" s="59"/>
      <c r="AQ98" s="62"/>
      <c r="AR98" s="62">
        <v>15</v>
      </c>
      <c r="AS98" s="62"/>
      <c r="AT98" s="62"/>
      <c r="AU98" s="62"/>
      <c r="AV98" s="62"/>
      <c r="AW98" s="63"/>
      <c r="AX98" s="63"/>
      <c r="AY98" s="63"/>
      <c r="AZ98" s="63"/>
      <c r="BA98" s="63"/>
      <c r="BB98" s="63">
        <v>15</v>
      </c>
      <c r="BC98" s="64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>
        <f>SUM(E98:BO98)</f>
        <v>60</v>
      </c>
      <c r="BQ98" s="59">
        <v>12</v>
      </c>
      <c r="BR98" s="65">
        <v>2</v>
      </c>
      <c r="BS98" s="65" t="s">
        <v>313</v>
      </c>
      <c r="BT98">
        <f>SUM(P98:AD98)</f>
        <v>0</v>
      </c>
      <c r="BU98" s="23">
        <f>AF98+AH98+AI98+AJ98+AO98+AP98</f>
        <v>0</v>
      </c>
    </row>
    <row r="99" spans="1:73" ht="27" hidden="1">
      <c r="A99" s="1"/>
      <c r="B99" s="1" t="s">
        <v>118</v>
      </c>
      <c r="C99" s="1" t="s">
        <v>119</v>
      </c>
      <c r="D99" s="1" t="s">
        <v>103</v>
      </c>
      <c r="E99" s="6">
        <v>10</v>
      </c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/>
      <c r="R99" s="28">
        <v>10</v>
      </c>
      <c r="S99" s="28"/>
      <c r="T99" s="28"/>
      <c r="U99" s="28">
        <v>10</v>
      </c>
      <c r="V99" s="28"/>
      <c r="W99" s="28"/>
      <c r="X99" s="28"/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>
        <v>10</v>
      </c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40</v>
      </c>
      <c r="BQ99" s="1">
        <v>13</v>
      </c>
      <c r="BR99" s="17">
        <v>2</v>
      </c>
      <c r="BS99" s="17" t="s">
        <v>261</v>
      </c>
      <c r="BT99">
        <f>SUM(P99:AD99)</f>
        <v>20</v>
      </c>
      <c r="BU99" s="23">
        <f>AF99+AH99+AI99+AJ99+AO99+AP99</f>
        <v>0</v>
      </c>
    </row>
    <row r="100" spans="1:73" ht="27" hidden="1">
      <c r="A100" s="1"/>
      <c r="B100" s="1" t="s">
        <v>124</v>
      </c>
      <c r="C100" s="1" t="s">
        <v>123</v>
      </c>
      <c r="D100" s="1" t="s">
        <v>103</v>
      </c>
      <c r="E100" s="6">
        <v>10</v>
      </c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/>
      <c r="R100" s="28">
        <v>10</v>
      </c>
      <c r="S100" s="28"/>
      <c r="T100" s="28"/>
      <c r="U100" s="28">
        <v>10</v>
      </c>
      <c r="V100" s="28"/>
      <c r="W100" s="28"/>
      <c r="X100" s="28"/>
      <c r="Y100" s="28"/>
      <c r="Z100" s="28"/>
      <c r="AA100" s="28"/>
      <c r="AB100" s="28"/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>
        <v>10</v>
      </c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40</v>
      </c>
      <c r="BQ100" s="1">
        <v>13</v>
      </c>
      <c r="BR100" s="17">
        <v>2</v>
      </c>
      <c r="BS100" s="17" t="s">
        <v>301</v>
      </c>
      <c r="BT100">
        <f>SUM(P100:AD100)</f>
        <v>20</v>
      </c>
      <c r="BU100" s="23">
        <f>AF100+AH100+AI100+AJ100+AO100+AP100</f>
        <v>0</v>
      </c>
    </row>
    <row r="101" spans="1:73" ht="27" hidden="1">
      <c r="A101" s="59"/>
      <c r="B101" s="59" t="s">
        <v>204</v>
      </c>
      <c r="C101" s="59" t="s">
        <v>130</v>
      </c>
      <c r="D101" s="59" t="s">
        <v>103</v>
      </c>
      <c r="E101" s="60">
        <v>10</v>
      </c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1"/>
      <c r="Q101" s="61"/>
      <c r="R101" s="61">
        <v>10</v>
      </c>
      <c r="S101" s="61"/>
      <c r="T101" s="61"/>
      <c r="U101" s="61">
        <v>10</v>
      </c>
      <c r="V101" s="61"/>
      <c r="W101" s="61"/>
      <c r="X101" s="61"/>
      <c r="Y101" s="61"/>
      <c r="Z101" s="61"/>
      <c r="AA101" s="61"/>
      <c r="AB101" s="61"/>
      <c r="AC101" s="61"/>
      <c r="AD101" s="61"/>
      <c r="AE101" s="59"/>
      <c r="AF101" s="59"/>
      <c r="AG101" s="59"/>
      <c r="AH101" s="59"/>
      <c r="AI101" s="59"/>
      <c r="AJ101" s="59"/>
      <c r="AK101" s="59"/>
      <c r="AL101" s="59"/>
      <c r="AM101" s="59"/>
      <c r="AN101" s="59"/>
      <c r="AO101" s="59"/>
      <c r="AP101" s="59"/>
      <c r="AQ101" s="62"/>
      <c r="AR101" s="62"/>
      <c r="AS101" s="62"/>
      <c r="AT101" s="62"/>
      <c r="AU101" s="62">
        <v>10</v>
      </c>
      <c r="AV101" s="62"/>
      <c r="AW101" s="63"/>
      <c r="AX101" s="63"/>
      <c r="AY101" s="63"/>
      <c r="AZ101" s="63"/>
      <c r="BA101" s="63"/>
      <c r="BB101" s="63"/>
      <c r="BC101" s="64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>
        <f>SUM(E101:BO101)</f>
        <v>40</v>
      </c>
      <c r="BQ101" s="59">
        <v>13</v>
      </c>
      <c r="BR101" s="65">
        <v>2</v>
      </c>
      <c r="BS101" s="65" t="s">
        <v>301</v>
      </c>
      <c r="BT101">
        <f>SUM(P101:AD101)</f>
        <v>20</v>
      </c>
      <c r="BU101" s="23">
        <f>AF101+AH101+AI101+AJ101+AO101+AP101</f>
        <v>0</v>
      </c>
    </row>
    <row r="102" spans="1:73" ht="27" hidden="1">
      <c r="A102" s="1"/>
      <c r="B102" s="3" t="s">
        <v>242</v>
      </c>
      <c r="C102" s="3" t="s">
        <v>50</v>
      </c>
      <c r="D102" s="1" t="s">
        <v>207</v>
      </c>
      <c r="E102" s="6">
        <v>10</v>
      </c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>
        <v>10</v>
      </c>
      <c r="S102" s="28"/>
      <c r="T102" s="28"/>
      <c r="U102" s="28">
        <v>10</v>
      </c>
      <c r="V102" s="28"/>
      <c r="W102" s="28"/>
      <c r="X102" s="28"/>
      <c r="Y102" s="28"/>
      <c r="Z102" s="28"/>
      <c r="AA102" s="28"/>
      <c r="AB102" s="28"/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>
        <v>10</v>
      </c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40</v>
      </c>
      <c r="BQ102" s="1">
        <v>13</v>
      </c>
      <c r="BR102" s="17">
        <v>2</v>
      </c>
      <c r="BS102" s="17" t="s">
        <v>301</v>
      </c>
      <c r="BT102">
        <f>SUM(P102:AD102)</f>
        <v>20</v>
      </c>
      <c r="BU102" s="23">
        <f>AF102+AH102+AI102+AJ102+AO102+AP102</f>
        <v>0</v>
      </c>
    </row>
    <row r="103" spans="1:73" ht="27" hidden="1">
      <c r="A103" s="1"/>
      <c r="B103" s="3" t="s">
        <v>215</v>
      </c>
      <c r="C103" s="3" t="s">
        <v>213</v>
      </c>
      <c r="D103" s="1" t="s">
        <v>207</v>
      </c>
      <c r="E103" s="6"/>
      <c r="F103" s="6"/>
      <c r="G103" s="6"/>
      <c r="H103" s="6"/>
      <c r="I103" s="6"/>
      <c r="J103" s="6"/>
      <c r="K103" s="6">
        <v>10</v>
      </c>
      <c r="L103" s="6"/>
      <c r="M103" s="6"/>
      <c r="N103" s="6"/>
      <c r="O103" s="6"/>
      <c r="P103" s="28"/>
      <c r="Q103" s="28"/>
      <c r="R103" s="28"/>
      <c r="S103" s="28"/>
      <c r="T103" s="28"/>
      <c r="U103" s="28">
        <v>10</v>
      </c>
      <c r="V103" s="28"/>
      <c r="W103" s="28"/>
      <c r="X103" s="28"/>
      <c r="Y103" s="28"/>
      <c r="Z103" s="28"/>
      <c r="AA103" s="28">
        <v>10</v>
      </c>
      <c r="AB103" s="28"/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>
        <v>10</v>
      </c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40</v>
      </c>
      <c r="BQ103" s="1">
        <v>14</v>
      </c>
      <c r="BR103" s="17">
        <v>2</v>
      </c>
      <c r="BS103" s="17" t="s">
        <v>302</v>
      </c>
      <c r="BT103">
        <f>SUM(P103:AD103)</f>
        <v>20</v>
      </c>
      <c r="BU103" s="23">
        <f>AF103+AH103+AI103+AJ103+AO103+AP103</f>
        <v>0</v>
      </c>
    </row>
    <row r="104" spans="1:73" ht="27" hidden="1">
      <c r="A104" s="1"/>
      <c r="B104" s="1" t="s">
        <v>126</v>
      </c>
      <c r="C104" s="1" t="s">
        <v>128</v>
      </c>
      <c r="D104" s="1" t="s">
        <v>103</v>
      </c>
      <c r="E104" s="6"/>
      <c r="F104" s="6"/>
      <c r="G104" s="6"/>
      <c r="H104" s="6"/>
      <c r="I104" s="6"/>
      <c r="J104" s="6">
        <v>10</v>
      </c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>
        <v>10</v>
      </c>
      <c r="V104" s="28"/>
      <c r="W104" s="28"/>
      <c r="X104" s="28"/>
      <c r="Y104" s="28"/>
      <c r="Z104" s="28"/>
      <c r="AA104" s="28">
        <v>10</v>
      </c>
      <c r="AB104" s="28"/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>
        <v>10</v>
      </c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40</v>
      </c>
      <c r="BQ104" s="1">
        <v>14</v>
      </c>
      <c r="BR104" s="17">
        <v>2</v>
      </c>
      <c r="BS104" s="17" t="s">
        <v>302</v>
      </c>
      <c r="BT104">
        <f>SUM(P104:AD104)</f>
        <v>20</v>
      </c>
      <c r="BU104" s="23">
        <f>AF104+AH104+AI104+AJ104+AO104+AP104</f>
        <v>0</v>
      </c>
    </row>
    <row r="105" spans="1:73" ht="27" hidden="1">
      <c r="A105" s="1"/>
      <c r="B105" s="1" t="s">
        <v>135</v>
      </c>
      <c r="C105" s="1" t="s">
        <v>130</v>
      </c>
      <c r="D105" s="1" t="s">
        <v>103</v>
      </c>
      <c r="E105" s="6"/>
      <c r="F105" s="6"/>
      <c r="G105" s="6"/>
      <c r="H105" s="6"/>
      <c r="I105" s="6"/>
      <c r="J105" s="6">
        <v>10</v>
      </c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>
        <v>10</v>
      </c>
      <c r="V105" s="28"/>
      <c r="W105" s="28"/>
      <c r="X105" s="28"/>
      <c r="Y105" s="28"/>
      <c r="Z105" s="28"/>
      <c r="AA105" s="28">
        <v>10</v>
      </c>
      <c r="AB105" s="28"/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>
        <v>10</v>
      </c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40</v>
      </c>
      <c r="BQ105" s="1">
        <v>14</v>
      </c>
      <c r="BR105" s="17">
        <v>2</v>
      </c>
      <c r="BS105" s="17" t="s">
        <v>250</v>
      </c>
      <c r="BT105">
        <f>SUM(P105:AD105)</f>
        <v>20</v>
      </c>
      <c r="BU105" s="23">
        <f>AF105+AH105+AI105+AJ105+AO105+AP105</f>
        <v>0</v>
      </c>
    </row>
    <row r="106" spans="1:73" ht="27" hidden="1">
      <c r="A106" s="1"/>
      <c r="B106" s="3" t="s">
        <v>208</v>
      </c>
      <c r="C106" s="3" t="s">
        <v>50</v>
      </c>
      <c r="D106" s="1" t="s">
        <v>207</v>
      </c>
      <c r="E106" s="6"/>
      <c r="F106" s="6"/>
      <c r="G106" s="6"/>
      <c r="H106" s="6"/>
      <c r="I106" s="6"/>
      <c r="J106" s="6">
        <v>10</v>
      </c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>
        <v>10</v>
      </c>
      <c r="V106" s="28"/>
      <c r="W106" s="28"/>
      <c r="X106" s="28"/>
      <c r="Y106" s="28"/>
      <c r="Z106" s="28"/>
      <c r="AA106" s="28">
        <v>10</v>
      </c>
      <c r="AB106" s="28"/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>
        <v>10</v>
      </c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40</v>
      </c>
      <c r="BQ106" s="1">
        <v>14</v>
      </c>
      <c r="BR106" s="17">
        <v>2</v>
      </c>
      <c r="BS106" s="17" t="s">
        <v>250</v>
      </c>
      <c r="BT106">
        <f>SUM(P106:AD106)</f>
        <v>20</v>
      </c>
      <c r="BU106" s="23">
        <f>AF106+AH106+AI106+AJ106+AO106+AP106</f>
        <v>0</v>
      </c>
    </row>
    <row r="107" spans="1:73" ht="27" hidden="1">
      <c r="A107" s="1"/>
      <c r="B107" s="1" t="s">
        <v>90</v>
      </c>
      <c r="C107" s="1" t="s">
        <v>87</v>
      </c>
      <c r="D107" s="1" t="s">
        <v>84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>
        <v>5</v>
      </c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>
        <v>5</v>
      </c>
      <c r="AP107" s="1">
        <v>10</v>
      </c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20</v>
      </c>
      <c r="BQ107" s="1">
        <v>15</v>
      </c>
      <c r="BR107" s="17">
        <v>2</v>
      </c>
      <c r="BS107" s="17" t="s">
        <v>303</v>
      </c>
      <c r="BT107">
        <f>SUM(P107:AD107)</f>
        <v>0</v>
      </c>
      <c r="BU107" s="23">
        <f>AF107+AH107+AI107+AJ107+AO107+AP107</f>
        <v>15</v>
      </c>
    </row>
    <row r="108" spans="1:73" ht="27">
      <c r="A108" s="59"/>
      <c r="B108" s="59" t="s">
        <v>142</v>
      </c>
      <c r="C108" s="59" t="s">
        <v>99</v>
      </c>
      <c r="D108" s="59" t="s">
        <v>84</v>
      </c>
      <c r="E108" s="60"/>
      <c r="F108" s="60"/>
      <c r="G108" s="60"/>
      <c r="H108" s="60"/>
      <c r="I108" s="60"/>
      <c r="J108" s="60"/>
      <c r="K108" s="60"/>
      <c r="L108" s="60">
        <v>20</v>
      </c>
      <c r="M108" s="60"/>
      <c r="N108" s="60"/>
      <c r="O108" s="60">
        <v>20</v>
      </c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59"/>
      <c r="AF108" s="59"/>
      <c r="AG108" s="59"/>
      <c r="AH108" s="59"/>
      <c r="AI108" s="59"/>
      <c r="AJ108" s="59"/>
      <c r="AK108" s="59"/>
      <c r="AL108" s="59"/>
      <c r="AM108" s="59"/>
      <c r="AN108" s="59"/>
      <c r="AO108" s="59"/>
      <c r="AP108" s="59"/>
      <c r="AQ108" s="62"/>
      <c r="AR108" s="62"/>
      <c r="AS108" s="62"/>
      <c r="AT108" s="62"/>
      <c r="AU108" s="62"/>
      <c r="AV108" s="62"/>
      <c r="AW108" s="63"/>
      <c r="AX108" s="63"/>
      <c r="AY108" s="63"/>
      <c r="AZ108" s="63"/>
      <c r="BA108" s="63">
        <v>20</v>
      </c>
      <c r="BB108" s="63">
        <v>20</v>
      </c>
      <c r="BC108" s="64"/>
      <c r="BD108" s="59"/>
      <c r="BE108" s="59"/>
      <c r="BF108" s="59"/>
      <c r="BG108" s="59"/>
      <c r="BH108" s="59"/>
      <c r="BI108" s="59"/>
      <c r="BJ108" s="59"/>
      <c r="BK108" s="59"/>
      <c r="BL108" s="59"/>
      <c r="BM108" s="59"/>
      <c r="BN108" s="59"/>
      <c r="BO108" s="59"/>
      <c r="BP108" s="59">
        <f>SUM(E108:BO108)</f>
        <v>80</v>
      </c>
      <c r="BQ108" s="59">
        <v>16</v>
      </c>
      <c r="BR108" s="65">
        <v>2</v>
      </c>
      <c r="BS108" s="65" t="s">
        <v>305</v>
      </c>
      <c r="BT108">
        <f>SUM(P108:AD108)</f>
        <v>0</v>
      </c>
      <c r="BU108" s="23">
        <f>AF108+AH108+AI108+AJ108+AO108+AP108</f>
        <v>0</v>
      </c>
    </row>
    <row r="109" spans="1:73" ht="27">
      <c r="A109" s="1">
        <v>54</v>
      </c>
      <c r="B109" s="1" t="s">
        <v>42</v>
      </c>
      <c r="C109" s="1" t="s">
        <v>43</v>
      </c>
      <c r="D109" s="1" t="s">
        <v>0</v>
      </c>
      <c r="E109" s="6"/>
      <c r="F109" s="6">
        <v>15</v>
      </c>
      <c r="G109" s="6"/>
      <c r="H109" s="6">
        <v>15</v>
      </c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>
        <v>15</v>
      </c>
      <c r="AW109" s="2"/>
      <c r="AX109" s="2"/>
      <c r="AY109" s="2"/>
      <c r="AZ109" s="2"/>
      <c r="BA109" s="2">
        <v>15</v>
      </c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60</v>
      </c>
      <c r="BQ109" s="1">
        <v>18</v>
      </c>
      <c r="BR109" s="17">
        <v>2</v>
      </c>
      <c r="BS109" s="17" t="s">
        <v>304</v>
      </c>
      <c r="BT109">
        <f>SUM(P109:AD109)</f>
        <v>0</v>
      </c>
      <c r="BU109" s="23">
        <f>AF109+AH109+AI109+AJ109+AO109+AP109</f>
        <v>0</v>
      </c>
    </row>
    <row r="110" spans="1:73" ht="27" hidden="1">
      <c r="A110" s="1"/>
      <c r="B110" s="1" t="s">
        <v>90</v>
      </c>
      <c r="C110" s="1" t="s">
        <v>87</v>
      </c>
      <c r="D110" s="1" t="s">
        <v>85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>
        <v>10</v>
      </c>
      <c r="AP110" s="1">
        <v>10</v>
      </c>
      <c r="AQ110" s="4"/>
      <c r="AR110" s="4"/>
      <c r="AS110" s="4">
        <v>5</v>
      </c>
      <c r="AT110" s="4"/>
      <c r="AU110" s="4"/>
      <c r="AV110" s="4"/>
      <c r="AW110" s="2"/>
      <c r="AX110" s="2">
        <v>5</v>
      </c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30</v>
      </c>
      <c r="BQ110" s="1">
        <v>20</v>
      </c>
      <c r="BR110" s="17">
        <v>2</v>
      </c>
      <c r="BS110" s="17" t="s">
        <v>271</v>
      </c>
      <c r="BT110">
        <f>SUM(P110:AD110)</f>
        <v>0</v>
      </c>
      <c r="BU110" s="23">
        <f>AF110+AH110+AI110+AJ110+AO110+AP110</f>
        <v>20</v>
      </c>
    </row>
    <row r="111" spans="1:73" s="66" customFormat="1" ht="27">
      <c r="A111" s="18">
        <v>65</v>
      </c>
      <c r="B111" s="24" t="s">
        <v>48</v>
      </c>
      <c r="C111" s="18" t="s">
        <v>43</v>
      </c>
      <c r="D111" s="18" t="s">
        <v>9</v>
      </c>
      <c r="E111" s="19"/>
      <c r="F111" s="19"/>
      <c r="G111" s="19">
        <v>10</v>
      </c>
      <c r="H111" s="19"/>
      <c r="I111" s="19"/>
      <c r="J111" s="19"/>
      <c r="K111" s="19"/>
      <c r="L111" s="19"/>
      <c r="M111" s="19"/>
      <c r="N111" s="19"/>
      <c r="O111" s="1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>
        <v>25</v>
      </c>
      <c r="AO111" s="18"/>
      <c r="AP111" s="18"/>
      <c r="AQ111" s="20"/>
      <c r="AR111" s="20"/>
      <c r="AS111" s="20"/>
      <c r="AT111" s="20"/>
      <c r="AU111" s="20"/>
      <c r="AV111" s="20">
        <v>10</v>
      </c>
      <c r="AW111" s="21"/>
      <c r="AX111" s="21"/>
      <c r="AY111" s="21"/>
      <c r="AZ111" s="21">
        <v>10</v>
      </c>
      <c r="BA111" s="21"/>
      <c r="BB111" s="21"/>
      <c r="BC111" s="26"/>
      <c r="BD111" s="18"/>
      <c r="BE111" s="18"/>
      <c r="BF111" s="18"/>
      <c r="BG111" s="18"/>
      <c r="BH111" s="18"/>
      <c r="BI111" s="18"/>
      <c r="BJ111" s="18"/>
      <c r="BK111" s="18"/>
      <c r="BL111" s="18"/>
      <c r="BM111" s="18"/>
      <c r="BN111" s="18"/>
      <c r="BO111" s="18"/>
      <c r="BP111" s="18">
        <f>SUM(E111:BO111)</f>
        <v>55</v>
      </c>
      <c r="BQ111" s="18">
        <v>26</v>
      </c>
      <c r="BR111" s="22">
        <v>2</v>
      </c>
      <c r="BS111" s="22" t="s">
        <v>306</v>
      </c>
      <c r="BT111">
        <f>SUM(P111:AD111)</f>
        <v>0</v>
      </c>
      <c r="BU111" s="23">
        <f>AF111+AH111+AI111+AJ111+AO111+AP111</f>
        <v>0</v>
      </c>
    </row>
    <row r="112" spans="1:73" ht="27">
      <c r="A112" s="1"/>
      <c r="B112" s="1" t="s">
        <v>86</v>
      </c>
      <c r="C112" s="1" t="s">
        <v>87</v>
      </c>
      <c r="D112" s="1" t="s">
        <v>88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>
        <v>40</v>
      </c>
      <c r="AW112" s="2">
        <v>40</v>
      </c>
      <c r="AX112" s="2"/>
      <c r="AY112" s="2"/>
      <c r="AZ112" s="2"/>
      <c r="BA112" s="2"/>
      <c r="BB112" s="2">
        <v>40</v>
      </c>
      <c r="BC112" s="14">
        <v>10</v>
      </c>
      <c r="BD112" s="1">
        <v>50</v>
      </c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180</v>
      </c>
      <c r="BQ112" s="1">
        <v>48</v>
      </c>
      <c r="BR112" s="17">
        <v>2</v>
      </c>
      <c r="BS112" s="17" t="s">
        <v>262</v>
      </c>
      <c r="BT112">
        <f>SUM(P112:AD112)</f>
        <v>0</v>
      </c>
      <c r="BU112" s="23">
        <f>AF112+AH112+AI112+AJ112+AO112+AP112</f>
        <v>0</v>
      </c>
    </row>
    <row r="113" spans="1:73" ht="27">
      <c r="A113" s="1">
        <v>23</v>
      </c>
      <c r="B113" s="1" t="s">
        <v>81</v>
      </c>
      <c r="C113" s="1" t="s">
        <v>24</v>
      </c>
      <c r="D113" s="1" t="s">
        <v>29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>
        <v>50</v>
      </c>
      <c r="BK113" s="1">
        <v>50</v>
      </c>
      <c r="BL113" s="1"/>
      <c r="BM113" s="1"/>
      <c r="BN113" s="1">
        <v>50</v>
      </c>
      <c r="BO113" s="1">
        <v>50</v>
      </c>
      <c r="BP113" s="1">
        <f>SUM(E113:BO113)</f>
        <v>200</v>
      </c>
      <c r="BQ113" s="1">
        <v>90</v>
      </c>
      <c r="BR113" s="17">
        <v>2</v>
      </c>
      <c r="BS113" s="17" t="s">
        <v>263</v>
      </c>
      <c r="BT113">
        <f>SUM(P113:AD113)</f>
        <v>0</v>
      </c>
      <c r="BU113" s="23">
        <f>AF113+AH113+AI113+AJ113+AO113+AP113</f>
        <v>0</v>
      </c>
    </row>
    <row r="114" spans="1:73" ht="27">
      <c r="A114" s="1"/>
      <c r="B114" s="1" t="s">
        <v>148</v>
      </c>
      <c r="C114" s="1" t="s">
        <v>95</v>
      </c>
      <c r="D114" s="1" t="s">
        <v>96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>
        <v>50</v>
      </c>
      <c r="BK114" s="1">
        <v>50</v>
      </c>
      <c r="BL114" s="1"/>
      <c r="BM114" s="1"/>
      <c r="BN114" s="1">
        <v>50</v>
      </c>
      <c r="BO114" s="1">
        <v>50</v>
      </c>
      <c r="BP114" s="1">
        <f>SUM(E114:BO114)</f>
        <v>200</v>
      </c>
      <c r="BQ114" s="1">
        <v>90</v>
      </c>
      <c r="BR114" s="17">
        <v>2</v>
      </c>
      <c r="BS114" s="17" t="s">
        <v>263</v>
      </c>
      <c r="BT114">
        <f>SUM(P114:AD114)</f>
        <v>0</v>
      </c>
      <c r="BU114" s="23">
        <f>AF114+AH114+AI114+AJ114+AO114+AP114</f>
        <v>0</v>
      </c>
    </row>
    <row r="115" spans="1:73" ht="27">
      <c r="A115" s="1"/>
      <c r="B115" s="1" t="s">
        <v>146</v>
      </c>
      <c r="C115" s="1" t="s">
        <v>129</v>
      </c>
      <c r="D115" s="1" t="s">
        <v>29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>
        <v>50</v>
      </c>
      <c r="BK115" s="1">
        <v>50</v>
      </c>
      <c r="BL115" s="1"/>
      <c r="BM115" s="1"/>
      <c r="BN115" s="1">
        <v>50</v>
      </c>
      <c r="BO115" s="1">
        <v>50</v>
      </c>
      <c r="BP115" s="1">
        <f>SUM(E115:BO115)</f>
        <v>200</v>
      </c>
      <c r="BQ115" s="1">
        <v>90</v>
      </c>
      <c r="BR115" s="17">
        <v>2</v>
      </c>
      <c r="BS115" s="17" t="s">
        <v>263</v>
      </c>
      <c r="BT115">
        <f>SUM(P115:AD115)</f>
        <v>0</v>
      </c>
      <c r="BU115" s="23">
        <f>AF115+AH115+AI115+AJ115+AO115+AP115</f>
        <v>0</v>
      </c>
    </row>
    <row r="116" spans="1:73" ht="27">
      <c r="A116" s="1">
        <v>102</v>
      </c>
      <c r="B116" s="3" t="s">
        <v>178</v>
      </c>
      <c r="C116" s="3" t="s">
        <v>52</v>
      </c>
      <c r="D116" s="1" t="s">
        <v>29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>
        <v>50</v>
      </c>
      <c r="BK116" s="1">
        <v>50</v>
      </c>
      <c r="BL116" s="1"/>
      <c r="BM116" s="1"/>
      <c r="BN116" s="1">
        <v>50</v>
      </c>
      <c r="BO116" s="1">
        <v>50</v>
      </c>
      <c r="BP116" s="1">
        <f>SUM(E116:BO116)</f>
        <v>200</v>
      </c>
      <c r="BQ116" s="1">
        <v>90</v>
      </c>
      <c r="BR116" s="17">
        <v>2</v>
      </c>
      <c r="BS116" s="17" t="s">
        <v>263</v>
      </c>
      <c r="BT116">
        <f>SUM(P116:AD116)</f>
        <v>0</v>
      </c>
      <c r="BU116" s="23">
        <f>AF116+AH116+AI116+AJ116+AO116+AP116</f>
        <v>0</v>
      </c>
    </row>
    <row r="117" spans="1:73" ht="40.5" hidden="1">
      <c r="A117" s="1"/>
      <c r="B117" s="3" t="s">
        <v>210</v>
      </c>
      <c r="C117" s="3" t="s">
        <v>211</v>
      </c>
      <c r="D117" s="1" t="s">
        <v>206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/>
      <c r="Q117" s="28">
        <v>5</v>
      </c>
      <c r="R117" s="28"/>
      <c r="S117" s="28"/>
      <c r="T117" s="28">
        <v>5</v>
      </c>
      <c r="U117" s="28"/>
      <c r="V117" s="28"/>
      <c r="W117" s="28">
        <v>5</v>
      </c>
      <c r="X117" s="28"/>
      <c r="Y117" s="28"/>
      <c r="Z117" s="28">
        <v>5</v>
      </c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20</v>
      </c>
      <c r="BQ117" s="1">
        <v>4</v>
      </c>
      <c r="BR117" s="17">
        <v>3</v>
      </c>
      <c r="BS117" s="17" t="s">
        <v>307</v>
      </c>
      <c r="BT117">
        <f>SUM(P117:AD117)</f>
        <v>20</v>
      </c>
      <c r="BU117" s="23">
        <f>AF117+AH117+AI117+AJ117+AO117+AP117</f>
        <v>0</v>
      </c>
    </row>
    <row r="118" spans="1:73" ht="40.5" hidden="1">
      <c r="A118" s="1"/>
      <c r="B118" s="3" t="s">
        <v>205</v>
      </c>
      <c r="C118" s="3" t="s">
        <v>50</v>
      </c>
      <c r="D118" s="1" t="s">
        <v>206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/>
      <c r="Q118" s="28">
        <v>5</v>
      </c>
      <c r="R118" s="28"/>
      <c r="S118" s="28"/>
      <c r="T118" s="28">
        <v>5</v>
      </c>
      <c r="U118" s="28"/>
      <c r="V118" s="28"/>
      <c r="W118" s="28">
        <v>5</v>
      </c>
      <c r="X118" s="28"/>
      <c r="Y118" s="28"/>
      <c r="Z118" s="28"/>
      <c r="AA118" s="28"/>
      <c r="AB118" s="28"/>
      <c r="AC118" s="28">
        <v>5</v>
      </c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20</v>
      </c>
      <c r="BQ118" s="1">
        <v>4</v>
      </c>
      <c r="BR118" s="17">
        <v>3</v>
      </c>
      <c r="BS118" s="17" t="s">
        <v>308</v>
      </c>
      <c r="BT118">
        <f>SUM(P118:AD118)</f>
        <v>20</v>
      </c>
      <c r="BU118" s="23">
        <f>AF118+AH118+AI118+AJ118+AO118+AP118</f>
        <v>0</v>
      </c>
    </row>
    <row r="119" spans="1:73" ht="40.5" hidden="1">
      <c r="A119" s="1"/>
      <c r="B119" s="3" t="s">
        <v>215</v>
      </c>
      <c r="C119" s="3" t="s">
        <v>213</v>
      </c>
      <c r="D119" s="1" t="s">
        <v>0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>
        <v>10</v>
      </c>
      <c r="W119" s="28"/>
      <c r="X119" s="28"/>
      <c r="Y119" s="28"/>
      <c r="Z119" s="28">
        <v>5</v>
      </c>
      <c r="AA119" s="28"/>
      <c r="AB119" s="28">
        <v>10</v>
      </c>
      <c r="AC119" s="28">
        <v>5</v>
      </c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30</v>
      </c>
      <c r="BQ119" s="1">
        <v>6</v>
      </c>
      <c r="BR119" s="17">
        <v>3</v>
      </c>
      <c r="BS119" s="17" t="s">
        <v>272</v>
      </c>
      <c r="BT119">
        <f>SUM(P119:AD119)</f>
        <v>30</v>
      </c>
      <c r="BU119" s="23">
        <f>AF119+AH119+AI119+AJ119+AO119+AP119</f>
        <v>0</v>
      </c>
    </row>
    <row r="120" spans="1:73" ht="40.5" hidden="1">
      <c r="A120" s="1"/>
      <c r="B120" s="1" t="s">
        <v>132</v>
      </c>
      <c r="C120" s="1" t="s">
        <v>130</v>
      </c>
      <c r="D120" s="1" t="s">
        <v>102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>
        <v>5</v>
      </c>
      <c r="R120" s="28"/>
      <c r="S120" s="28"/>
      <c r="T120" s="28"/>
      <c r="U120" s="28"/>
      <c r="V120" s="28">
        <v>10</v>
      </c>
      <c r="W120" s="28"/>
      <c r="X120" s="28"/>
      <c r="Y120" s="28"/>
      <c r="Z120" s="28">
        <v>5</v>
      </c>
      <c r="AA120" s="28"/>
      <c r="AB120" s="28">
        <v>10</v>
      </c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30</v>
      </c>
      <c r="BQ120" s="1">
        <v>7</v>
      </c>
      <c r="BR120" s="17">
        <v>3</v>
      </c>
      <c r="BS120" s="17" t="s">
        <v>264</v>
      </c>
      <c r="BT120">
        <f>SUM(P120:AD120)</f>
        <v>30</v>
      </c>
      <c r="BU120" s="23">
        <f>AF120+AH120+AI120+AJ120+AO120+AP120</f>
        <v>0</v>
      </c>
    </row>
    <row r="121" spans="1:73" ht="40.5" hidden="1">
      <c r="A121" s="1"/>
      <c r="B121" s="1" t="s">
        <v>131</v>
      </c>
      <c r="C121" s="1" t="s">
        <v>130</v>
      </c>
      <c r="D121" s="1" t="s">
        <v>103</v>
      </c>
      <c r="E121" s="6"/>
      <c r="F121" s="6"/>
      <c r="G121" s="6">
        <v>10</v>
      </c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/>
      <c r="S121" s="28"/>
      <c r="T121" s="28"/>
      <c r="U121" s="28"/>
      <c r="V121" s="28"/>
      <c r="W121" s="28"/>
      <c r="X121" s="28">
        <v>10</v>
      </c>
      <c r="Y121" s="28"/>
      <c r="Z121" s="28"/>
      <c r="AA121" s="28"/>
      <c r="AB121" s="28"/>
      <c r="AC121" s="28"/>
      <c r="AD121" s="28">
        <v>10</v>
      </c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>
        <v>10</v>
      </c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40</v>
      </c>
      <c r="BQ121" s="1">
        <v>8</v>
      </c>
      <c r="BR121" s="17">
        <v>3</v>
      </c>
      <c r="BS121" s="17" t="s">
        <v>309</v>
      </c>
      <c r="BT121">
        <f>SUM(P121:AD121)</f>
        <v>20</v>
      </c>
      <c r="BU121" s="23">
        <f>AF121+AH121+AI121+AJ121+AO121+AP121</f>
        <v>0</v>
      </c>
    </row>
    <row r="122" spans="1:73" ht="40.5" hidden="1">
      <c r="A122" s="1"/>
      <c r="B122" s="1" t="s">
        <v>136</v>
      </c>
      <c r="C122" s="1" t="s">
        <v>98</v>
      </c>
      <c r="D122" s="1" t="s">
        <v>139</v>
      </c>
      <c r="E122" s="6"/>
      <c r="F122" s="6"/>
      <c r="G122" s="6">
        <v>10</v>
      </c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>
        <v>10</v>
      </c>
      <c r="Y122" s="28"/>
      <c r="Z122" s="28"/>
      <c r="AA122" s="28"/>
      <c r="AB122" s="28"/>
      <c r="AC122" s="28"/>
      <c r="AD122" s="28">
        <v>10</v>
      </c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>
        <v>10</v>
      </c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40</v>
      </c>
      <c r="BQ122" s="1">
        <v>8</v>
      </c>
      <c r="BR122" s="17">
        <v>3</v>
      </c>
      <c r="BS122" s="17" t="s">
        <v>309</v>
      </c>
      <c r="BT122">
        <f>SUM(P122:AD122)</f>
        <v>20</v>
      </c>
      <c r="BU122" s="23">
        <f>AF122+AH122+AI122+AJ122+AO122+AP122</f>
        <v>0</v>
      </c>
    </row>
    <row r="123" spans="1:73" ht="40.5" hidden="1">
      <c r="A123" s="1"/>
      <c r="B123" s="3" t="s">
        <v>212</v>
      </c>
      <c r="C123" s="3" t="s">
        <v>213</v>
      </c>
      <c r="D123" s="1" t="s">
        <v>207</v>
      </c>
      <c r="E123" s="6"/>
      <c r="F123" s="6"/>
      <c r="G123" s="6">
        <v>10</v>
      </c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>
        <v>10</v>
      </c>
      <c r="Y123" s="28"/>
      <c r="Z123" s="28"/>
      <c r="AA123" s="28"/>
      <c r="AB123" s="28"/>
      <c r="AC123" s="28"/>
      <c r="AD123" s="28">
        <v>10</v>
      </c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>
        <v>10</v>
      </c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40</v>
      </c>
      <c r="BQ123" s="1">
        <v>8</v>
      </c>
      <c r="BR123" s="17">
        <v>3</v>
      </c>
      <c r="BS123" s="17" t="s">
        <v>309</v>
      </c>
      <c r="BT123">
        <f>SUM(P123:AD123)</f>
        <v>20</v>
      </c>
      <c r="BU123" s="23">
        <f>AF123+AH123+AI123+AJ123+AO123+AP123</f>
        <v>0</v>
      </c>
    </row>
    <row r="124" spans="1:73" ht="40.5" hidden="1">
      <c r="A124" s="1"/>
      <c r="B124" s="3" t="s">
        <v>210</v>
      </c>
      <c r="C124" s="3" t="s">
        <v>211</v>
      </c>
      <c r="D124" s="1" t="s">
        <v>207</v>
      </c>
      <c r="E124" s="6"/>
      <c r="F124" s="6"/>
      <c r="G124" s="6"/>
      <c r="H124" s="6"/>
      <c r="I124" s="6"/>
      <c r="J124" s="6"/>
      <c r="K124" s="6"/>
      <c r="L124" s="6"/>
      <c r="M124" s="6"/>
      <c r="N124" s="6">
        <v>10</v>
      </c>
      <c r="O124" s="6"/>
      <c r="P124" s="28"/>
      <c r="Q124" s="28"/>
      <c r="R124" s="28"/>
      <c r="S124" s="28"/>
      <c r="T124" s="28"/>
      <c r="U124" s="28"/>
      <c r="V124" s="28"/>
      <c r="W124" s="28"/>
      <c r="X124" s="28">
        <v>10</v>
      </c>
      <c r="Y124" s="28"/>
      <c r="Z124" s="28"/>
      <c r="AA124" s="28">
        <v>10</v>
      </c>
      <c r="AB124" s="28"/>
      <c r="AC124" s="28"/>
      <c r="AD124" s="28">
        <v>10</v>
      </c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40</v>
      </c>
      <c r="BQ124" s="1">
        <v>11</v>
      </c>
      <c r="BR124" s="17">
        <v>3</v>
      </c>
      <c r="BS124" s="17" t="s">
        <v>265</v>
      </c>
      <c r="BT124">
        <f>SUM(P124:AD124)</f>
        <v>30</v>
      </c>
      <c r="BU124" s="23">
        <f>AF124+AH124+AI124+AJ124+AO124+AP124</f>
        <v>0</v>
      </c>
    </row>
    <row r="125" spans="1:73" ht="40.5" hidden="1">
      <c r="A125" s="1"/>
      <c r="B125" s="1" t="s">
        <v>121</v>
      </c>
      <c r="C125" s="1" t="s">
        <v>119</v>
      </c>
      <c r="D125" s="1" t="s">
        <v>103</v>
      </c>
      <c r="E125" s="6"/>
      <c r="F125" s="6"/>
      <c r="G125" s="6"/>
      <c r="H125" s="6">
        <v>7</v>
      </c>
      <c r="I125" s="6"/>
      <c r="J125" s="6"/>
      <c r="K125" s="6"/>
      <c r="L125" s="6"/>
      <c r="M125" s="6"/>
      <c r="N125" s="6"/>
      <c r="O125" s="6"/>
      <c r="P125" s="28"/>
      <c r="Q125" s="28">
        <v>7</v>
      </c>
      <c r="R125" s="28"/>
      <c r="S125" s="28"/>
      <c r="T125" s="28">
        <v>7</v>
      </c>
      <c r="U125" s="28"/>
      <c r="V125" s="28"/>
      <c r="W125" s="28"/>
      <c r="X125" s="28"/>
      <c r="Y125" s="28"/>
      <c r="Z125" s="28"/>
      <c r="AA125" s="28">
        <v>7</v>
      </c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>SUM(E125:BO125)</f>
        <v>28</v>
      </c>
      <c r="BQ125" s="1">
        <v>15</v>
      </c>
      <c r="BR125" s="17">
        <v>3</v>
      </c>
      <c r="BS125" s="17" t="s">
        <v>266</v>
      </c>
      <c r="BT125">
        <f>SUM(P125:AD125)</f>
        <v>21</v>
      </c>
      <c r="BU125" s="23">
        <f>AF125+AH125+AI125+AJ125+AO125+AP125</f>
        <v>0</v>
      </c>
    </row>
    <row r="126" spans="1:73" ht="40.5" hidden="1">
      <c r="A126" s="1">
        <v>28</v>
      </c>
      <c r="B126" s="1" t="s">
        <v>57</v>
      </c>
      <c r="C126" s="1" t="s">
        <v>24</v>
      </c>
      <c r="D126" s="1" t="s">
        <v>0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1"/>
      <c r="AF126" s="1"/>
      <c r="AG126" s="1"/>
      <c r="AH126" s="1">
        <v>5</v>
      </c>
      <c r="AI126" s="1">
        <v>5</v>
      </c>
      <c r="AJ126" s="1">
        <v>5</v>
      </c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>SUM(E126:BO126)</f>
        <v>15</v>
      </c>
      <c r="BQ126" s="1">
        <v>15</v>
      </c>
      <c r="BR126" s="17">
        <v>3</v>
      </c>
      <c r="BS126" s="17" t="s">
        <v>311</v>
      </c>
      <c r="BT126">
        <f>SUM(P126:AD126)</f>
        <v>0</v>
      </c>
      <c r="BU126" s="23">
        <f>AF126+AH126+AI126+AJ126+AO126+AP126</f>
        <v>15</v>
      </c>
    </row>
    <row r="127" spans="1:73" ht="40.5" hidden="1">
      <c r="A127" s="1">
        <v>89</v>
      </c>
      <c r="B127" s="3" t="s">
        <v>62</v>
      </c>
      <c r="C127" s="3" t="s">
        <v>63</v>
      </c>
      <c r="D127" s="1" t="s">
        <v>0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1"/>
      <c r="AF127" s="1">
        <v>5</v>
      </c>
      <c r="AG127" s="1"/>
      <c r="AH127" s="1">
        <v>5</v>
      </c>
      <c r="AI127" s="1">
        <v>5</v>
      </c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>SUM(E127:BO127)</f>
        <v>15</v>
      </c>
      <c r="BQ127" s="1">
        <v>15</v>
      </c>
      <c r="BR127" s="17">
        <v>3</v>
      </c>
      <c r="BS127" s="17" t="s">
        <v>312</v>
      </c>
      <c r="BT127">
        <f>SUM(P127:AD127)</f>
        <v>0</v>
      </c>
      <c r="BU127" s="23">
        <f>AF127+AH127+AI127+AJ127+AO127+AP127</f>
        <v>15</v>
      </c>
    </row>
    <row r="128" spans="1:73" ht="40.5" hidden="1">
      <c r="A128" s="1"/>
      <c r="B128" s="1" t="s">
        <v>117</v>
      </c>
      <c r="C128" s="1" t="s">
        <v>100</v>
      </c>
      <c r="D128" s="1" t="s">
        <v>103</v>
      </c>
      <c r="E128" s="6"/>
      <c r="F128" s="6"/>
      <c r="G128" s="6"/>
      <c r="H128" s="6">
        <v>10</v>
      </c>
      <c r="I128" s="6"/>
      <c r="J128" s="6"/>
      <c r="K128" s="6"/>
      <c r="L128" s="6"/>
      <c r="M128" s="6"/>
      <c r="N128" s="6"/>
      <c r="O128" s="6"/>
      <c r="P128" s="28"/>
      <c r="Q128" s="28"/>
      <c r="R128" s="28">
        <v>10</v>
      </c>
      <c r="S128" s="28"/>
      <c r="T128" s="28"/>
      <c r="U128" s="28"/>
      <c r="V128" s="28"/>
      <c r="W128" s="28"/>
      <c r="X128" s="28">
        <v>10</v>
      </c>
      <c r="Y128" s="28"/>
      <c r="Z128" s="28"/>
      <c r="AA128" s="28"/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>
        <v>10</v>
      </c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>
        <f>SUM(E128:BO128)</f>
        <v>40</v>
      </c>
      <c r="BQ128" s="1">
        <v>18</v>
      </c>
      <c r="BR128" s="17">
        <v>3</v>
      </c>
      <c r="BS128" s="17" t="s">
        <v>314</v>
      </c>
      <c r="BT128">
        <f>SUM(P128:AD128)</f>
        <v>20</v>
      </c>
      <c r="BU128" s="23">
        <f>AF128+AH128+AI128+AJ128+AO128+AP128</f>
        <v>0</v>
      </c>
    </row>
    <row r="129" spans="1:73" ht="40.5" hidden="1">
      <c r="A129" s="1"/>
      <c r="B129" s="3" t="s">
        <v>219</v>
      </c>
      <c r="C129" s="3" t="s">
        <v>99</v>
      </c>
      <c r="D129" s="1" t="s">
        <v>207</v>
      </c>
      <c r="E129" s="6"/>
      <c r="F129" s="6"/>
      <c r="G129" s="6"/>
      <c r="H129" s="6">
        <v>10</v>
      </c>
      <c r="I129" s="6"/>
      <c r="J129" s="6"/>
      <c r="K129" s="6"/>
      <c r="L129" s="6"/>
      <c r="M129" s="6"/>
      <c r="N129" s="6"/>
      <c r="O129" s="6"/>
      <c r="P129" s="28"/>
      <c r="Q129" s="28"/>
      <c r="R129" s="28">
        <v>10</v>
      </c>
      <c r="S129" s="28"/>
      <c r="T129" s="28"/>
      <c r="U129" s="28"/>
      <c r="V129" s="28"/>
      <c r="W129" s="28"/>
      <c r="X129" s="28">
        <v>10</v>
      </c>
      <c r="Y129" s="28"/>
      <c r="Z129" s="28"/>
      <c r="AA129" s="28"/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>
        <v>10</v>
      </c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>
        <f>SUM(E129:BO129)</f>
        <v>40</v>
      </c>
      <c r="BQ129" s="1">
        <v>18</v>
      </c>
      <c r="BR129" s="17">
        <v>3</v>
      </c>
      <c r="BS129" s="17" t="s">
        <v>267</v>
      </c>
      <c r="BT129">
        <f>SUM(P129:AD129)</f>
        <v>20</v>
      </c>
      <c r="BU129" s="23">
        <f>AF129+AH129+AI129+AJ129+AO129+AP129</f>
        <v>0</v>
      </c>
    </row>
    <row r="130" spans="1:73" ht="40.5" hidden="1">
      <c r="A130" s="1"/>
      <c r="B130" s="1" t="s">
        <v>132</v>
      </c>
      <c r="C130" s="1" t="s">
        <v>130</v>
      </c>
      <c r="D130" s="1" t="s">
        <v>103</v>
      </c>
      <c r="E130" s="6"/>
      <c r="F130" s="6"/>
      <c r="G130" s="6"/>
      <c r="H130" s="6">
        <v>10</v>
      </c>
      <c r="I130" s="6"/>
      <c r="J130" s="6"/>
      <c r="K130" s="6"/>
      <c r="L130" s="6"/>
      <c r="M130" s="6"/>
      <c r="N130" s="6"/>
      <c r="O130" s="6"/>
      <c r="P130" s="28"/>
      <c r="Q130" s="28"/>
      <c r="R130" s="28">
        <v>10</v>
      </c>
      <c r="S130" s="28"/>
      <c r="T130" s="28"/>
      <c r="U130" s="28">
        <v>10</v>
      </c>
      <c r="V130" s="28"/>
      <c r="W130" s="28"/>
      <c r="X130" s="28"/>
      <c r="Y130" s="28"/>
      <c r="Z130" s="28"/>
      <c r="AA130" s="28"/>
      <c r="AB130" s="28"/>
      <c r="AC130" s="28"/>
      <c r="AD130" s="28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>
        <v>10</v>
      </c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>
        <f>SUM(E130:BO130)</f>
        <v>40</v>
      </c>
      <c r="BQ130" s="1">
        <v>23</v>
      </c>
      <c r="BR130" s="17">
        <v>3</v>
      </c>
      <c r="BS130" s="17" t="s">
        <v>268</v>
      </c>
      <c r="BT130">
        <f>SUM(P130:AD130)</f>
        <v>20</v>
      </c>
      <c r="BU130" s="23">
        <f>AF130+AH130+AI130+AJ130+AO130+AP130</f>
        <v>0</v>
      </c>
    </row>
    <row r="131" spans="1:73" ht="40.5">
      <c r="A131" s="1"/>
      <c r="B131" s="1" t="s">
        <v>86</v>
      </c>
      <c r="C131" s="1" t="s">
        <v>87</v>
      </c>
      <c r="D131" s="1" t="s">
        <v>84</v>
      </c>
      <c r="E131" s="6"/>
      <c r="F131" s="6"/>
      <c r="G131" s="6">
        <v>15</v>
      </c>
      <c r="H131" s="6">
        <v>15</v>
      </c>
      <c r="I131" s="6"/>
      <c r="J131" s="6"/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>
        <v>15</v>
      </c>
      <c r="AT131" s="4"/>
      <c r="AU131" s="4"/>
      <c r="AV131" s="4"/>
      <c r="AW131" s="2"/>
      <c r="AX131" s="2"/>
      <c r="AY131" s="2"/>
      <c r="AZ131" s="2"/>
      <c r="BA131" s="2"/>
      <c r="BB131" s="2">
        <v>15</v>
      </c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>
        <f>SUM(E131:BO131)</f>
        <v>60</v>
      </c>
      <c r="BQ131" s="1">
        <v>27</v>
      </c>
      <c r="BR131" s="17">
        <v>3</v>
      </c>
      <c r="BS131" s="17" t="s">
        <v>315</v>
      </c>
      <c r="BT131">
        <f>SUM(P131:AD131)</f>
        <v>0</v>
      </c>
      <c r="BU131" s="23">
        <f>AF131+AH131+AI131+AJ131+AO131+AP131</f>
        <v>0</v>
      </c>
    </row>
    <row r="132" spans="1:73" ht="40.5">
      <c r="A132" s="59">
        <v>4</v>
      </c>
      <c r="B132" s="59" t="s">
        <v>244</v>
      </c>
      <c r="C132" s="59" t="s">
        <v>1</v>
      </c>
      <c r="D132" s="59" t="s">
        <v>187</v>
      </c>
      <c r="E132" s="60"/>
      <c r="F132" s="60"/>
      <c r="G132" s="60"/>
      <c r="H132" s="60"/>
      <c r="I132" s="60"/>
      <c r="J132" s="60"/>
      <c r="K132" s="60"/>
      <c r="L132" s="60"/>
      <c r="M132" s="60"/>
      <c r="N132" s="60"/>
      <c r="O132" s="60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59"/>
      <c r="AF132" s="59"/>
      <c r="AG132" s="59"/>
      <c r="AH132" s="59"/>
      <c r="AI132" s="59"/>
      <c r="AJ132" s="59"/>
      <c r="AK132" s="59"/>
      <c r="AL132" s="59"/>
      <c r="AM132" s="59"/>
      <c r="AN132" s="59"/>
      <c r="AO132" s="59"/>
      <c r="AP132" s="59"/>
      <c r="AQ132" s="62">
        <v>40</v>
      </c>
      <c r="AR132" s="62"/>
      <c r="AS132" s="62"/>
      <c r="AT132" s="62"/>
      <c r="AU132" s="62"/>
      <c r="AV132" s="62"/>
      <c r="AW132" s="63">
        <v>40</v>
      </c>
      <c r="AX132" s="63">
        <v>40</v>
      </c>
      <c r="AY132" s="63"/>
      <c r="AZ132" s="63"/>
      <c r="BA132" s="63"/>
      <c r="BB132" s="63"/>
      <c r="BC132" s="64">
        <v>10</v>
      </c>
      <c r="BD132" s="59"/>
      <c r="BE132" s="59">
        <v>50</v>
      </c>
      <c r="BF132" s="59"/>
      <c r="BG132" s="59"/>
      <c r="BH132" s="59"/>
      <c r="BI132" s="59"/>
      <c r="BJ132" s="59"/>
      <c r="BK132" s="59"/>
      <c r="BL132" s="59"/>
      <c r="BM132" s="59"/>
      <c r="BN132" s="59"/>
      <c r="BO132" s="59"/>
      <c r="BP132" s="59">
        <f>SUM(E132:BO132)</f>
        <v>180</v>
      </c>
      <c r="BQ132" s="59">
        <v>46</v>
      </c>
      <c r="BR132" s="65">
        <v>3</v>
      </c>
      <c r="BS132" s="65" t="s">
        <v>316</v>
      </c>
      <c r="BT132">
        <f>SUM(P132:AD132)</f>
        <v>0</v>
      </c>
      <c r="BU132" s="23">
        <f>AF132+AH132+AI132+AJ132+AO132+AP132</f>
        <v>0</v>
      </c>
    </row>
    <row r="133" spans="1:73" ht="40.5">
      <c r="A133" s="1">
        <v>85</v>
      </c>
      <c r="B133" s="3" t="s">
        <v>159</v>
      </c>
      <c r="C133" s="3" t="s">
        <v>50</v>
      </c>
      <c r="D133" s="1" t="s">
        <v>29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>
        <v>50</v>
      </c>
      <c r="BM133" s="1">
        <v>50</v>
      </c>
      <c r="BN133" s="1">
        <v>50</v>
      </c>
      <c r="BO133" s="1">
        <v>50</v>
      </c>
      <c r="BP133" s="1">
        <f>SUM(E133:BO133)</f>
        <v>200</v>
      </c>
      <c r="BQ133" s="1">
        <v>103</v>
      </c>
      <c r="BR133" s="17">
        <v>3</v>
      </c>
      <c r="BS133" s="17" t="s">
        <v>317</v>
      </c>
      <c r="BT133">
        <f>SUM(P133:AD133)</f>
        <v>0</v>
      </c>
      <c r="BU133" s="23">
        <f>AF133+AH133+AI133+AJ133+AO133+AP133</f>
        <v>0</v>
      </c>
    </row>
    <row r="134" spans="1:73" ht="40.5">
      <c r="A134" s="1"/>
      <c r="B134" s="1" t="s">
        <v>156</v>
      </c>
      <c r="C134" s="1" t="s">
        <v>98</v>
      </c>
      <c r="D134" s="1" t="s">
        <v>96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>
        <v>50</v>
      </c>
      <c r="BM134" s="1">
        <v>50</v>
      </c>
      <c r="BN134" s="1">
        <v>50</v>
      </c>
      <c r="BO134" s="1">
        <v>50</v>
      </c>
      <c r="BP134" s="1">
        <f>SUM(E134:BO134)</f>
        <v>200</v>
      </c>
      <c r="BQ134" s="1">
        <v>103</v>
      </c>
      <c r="BR134" s="17">
        <v>3</v>
      </c>
      <c r="BS134" s="17" t="s">
        <v>318</v>
      </c>
      <c r="BT134">
        <f>SUM(P134:AD134)</f>
        <v>0</v>
      </c>
      <c r="BU134" s="23">
        <f>AF134+AH134+AI134+AJ134+AO134+AP134</f>
        <v>0</v>
      </c>
    </row>
    <row r="135" spans="1:73" ht="40.5">
      <c r="A135" s="1"/>
      <c r="B135" s="1" t="s">
        <v>177</v>
      </c>
      <c r="C135" s="1" t="s">
        <v>98</v>
      </c>
      <c r="D135" s="1" t="s">
        <v>96</v>
      </c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>
        <v>50</v>
      </c>
      <c r="BM135" s="1">
        <v>50</v>
      </c>
      <c r="BN135" s="1">
        <v>50</v>
      </c>
      <c r="BO135" s="1">
        <v>50</v>
      </c>
      <c r="BP135" s="1">
        <f>SUM(E135:BO135)</f>
        <v>200</v>
      </c>
      <c r="BQ135" s="1">
        <v>103</v>
      </c>
      <c r="BR135" s="17">
        <v>3</v>
      </c>
      <c r="BS135" s="17" t="s">
        <v>317</v>
      </c>
      <c r="BT135">
        <f>SUM(P135:AD135)</f>
        <v>0</v>
      </c>
      <c r="BU135" s="23">
        <f>AF135+AH135+AI135+AJ135+AO135+AP135</f>
        <v>0</v>
      </c>
    </row>
    <row r="136" spans="1:73" ht="54">
      <c r="A136" s="1"/>
      <c r="B136" s="1" t="s">
        <v>153</v>
      </c>
      <c r="C136" s="1" t="s">
        <v>98</v>
      </c>
      <c r="D136" s="1" t="s">
        <v>84</v>
      </c>
      <c r="E136" s="6"/>
      <c r="F136" s="6"/>
      <c r="G136" s="6">
        <v>20</v>
      </c>
      <c r="H136" s="6">
        <v>20</v>
      </c>
      <c r="I136" s="6"/>
      <c r="J136" s="6"/>
      <c r="K136" s="6"/>
      <c r="L136" s="6"/>
      <c r="M136" s="6"/>
      <c r="N136" s="6"/>
      <c r="O136" s="6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/>
      <c r="AV136" s="4"/>
      <c r="AW136" s="2"/>
      <c r="AX136" s="2"/>
      <c r="AY136" s="2"/>
      <c r="AZ136" s="2"/>
      <c r="BA136" s="2">
        <v>20</v>
      </c>
      <c r="BB136" s="2">
        <v>20</v>
      </c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>
        <f>SUM(E136:BO136)</f>
        <v>80</v>
      </c>
      <c r="BQ136" s="1">
        <v>50</v>
      </c>
      <c r="BR136" s="17">
        <v>4</v>
      </c>
      <c r="BS136" s="17" t="s">
        <v>320</v>
      </c>
      <c r="BT136">
        <f>SUM(P136:AD136)</f>
        <v>0</v>
      </c>
      <c r="BU136" s="23">
        <f>AF136+AH136+AI136+AJ136+AO136+AP136</f>
        <v>0</v>
      </c>
    </row>
    <row r="137" spans="1:73">
      <c r="A137" s="1"/>
      <c r="B137" s="1" t="s">
        <v>54</v>
      </c>
      <c r="C137" s="1"/>
      <c r="D137" s="1"/>
      <c r="E137" s="6">
        <f>SUM(E2:E136)</f>
        <v>118</v>
      </c>
      <c r="F137" s="6">
        <f>SUM(F2:F136)</f>
        <v>27</v>
      </c>
      <c r="G137" s="6">
        <f>SUM(G2:G136)</f>
        <v>130</v>
      </c>
      <c r="H137" s="6">
        <f>SUM(H2:H136)</f>
        <v>114</v>
      </c>
      <c r="I137" s="6">
        <f>SUM(I2:I136)</f>
        <v>27</v>
      </c>
      <c r="J137" s="6">
        <f>SUM(J2:J136)</f>
        <v>45</v>
      </c>
      <c r="K137" s="6">
        <f>SUM(K2:K136)</f>
        <v>16</v>
      </c>
      <c r="L137" s="6">
        <f>SUM(L2:L136)</f>
        <v>42</v>
      </c>
      <c r="M137" s="6">
        <f>SUM(M2:M136)</f>
        <v>61</v>
      </c>
      <c r="N137" s="6">
        <f>SUM(N2:N136)</f>
        <v>10</v>
      </c>
      <c r="O137" s="6">
        <f>SUM(O2:O136)</f>
        <v>56</v>
      </c>
      <c r="P137" s="28">
        <f>SUM(P2:P136)</f>
        <v>220</v>
      </c>
      <c r="Q137" s="28">
        <f>SUM(Q2:Q136)</f>
        <v>121</v>
      </c>
      <c r="R137" s="28">
        <f>SUM(R2:R136)</f>
        <v>117</v>
      </c>
      <c r="S137" s="28">
        <f>SUM(S2:S136)</f>
        <v>220</v>
      </c>
      <c r="T137" s="28">
        <f>SUM(T2:T136)</f>
        <v>91</v>
      </c>
      <c r="U137" s="28">
        <f>SUM(U2:U136)</f>
        <v>94</v>
      </c>
      <c r="V137" s="28">
        <f>SUM(V2:V136)</f>
        <v>220</v>
      </c>
      <c r="W137" s="28">
        <f>SUM(W2:W136)</f>
        <v>65</v>
      </c>
      <c r="X137" s="28">
        <f>SUM(X2:X136)</f>
        <v>109</v>
      </c>
      <c r="Y137" s="28">
        <f>SUM(Y2:Y136)</f>
        <v>200</v>
      </c>
      <c r="Z137" s="28">
        <f>SUM(Z2:Z136)</f>
        <v>85</v>
      </c>
      <c r="AA137" s="28">
        <f>SUM(AA2:AA136)</f>
        <v>109</v>
      </c>
      <c r="AB137" s="28">
        <f>SUM(AB2:AB136)</f>
        <v>230</v>
      </c>
      <c r="AC137" s="28">
        <f>SUM(AC2:AC136)</f>
        <v>50</v>
      </c>
      <c r="AD137" s="28">
        <f>SUM(AD2:AD136)</f>
        <v>84</v>
      </c>
      <c r="AE137" s="1">
        <f>SUM(AE2:AE136)</f>
        <v>250</v>
      </c>
      <c r="AF137" s="1">
        <f>SUM(AF2:AF136)</f>
        <v>10</v>
      </c>
      <c r="AG137" s="1">
        <f>SUM(AG2:AG136)</f>
        <v>5</v>
      </c>
      <c r="AH137" s="1">
        <f>SUM(AH2:AH136)</f>
        <v>30</v>
      </c>
      <c r="AI137" s="1">
        <f>SUM(AI2:AI136)</f>
        <v>30</v>
      </c>
      <c r="AJ137" s="1">
        <f>SUM(AJ2:AJ136)</f>
        <v>5</v>
      </c>
      <c r="AK137" s="1">
        <f>SUM(AK2:AK136)</f>
        <v>0</v>
      </c>
      <c r="AL137" s="1">
        <f>SUM(AL2:AL136)</f>
        <v>0</v>
      </c>
      <c r="AM137" s="1">
        <f>SUM(AM2:AM136)</f>
        <v>5</v>
      </c>
      <c r="AN137" s="1">
        <f>SUM(AN2:AN136)</f>
        <v>50</v>
      </c>
      <c r="AO137" s="1">
        <f>SUM(AO2:AO136)</f>
        <v>33</v>
      </c>
      <c r="AP137" s="1">
        <f>SUM(AP2:AP136)</f>
        <v>27</v>
      </c>
      <c r="AQ137" s="4">
        <f>SUM(AQ2:AQ136)</f>
        <v>105</v>
      </c>
      <c r="AR137" s="4">
        <f>SUM(AR2:AR136)</f>
        <v>75</v>
      </c>
      <c r="AS137" s="4">
        <f>SUM(AS2:AS136)</f>
        <v>80</v>
      </c>
      <c r="AT137" s="4">
        <f>SUM(AT2:AT136)</f>
        <v>55</v>
      </c>
      <c r="AU137" s="4">
        <f>SUM(AU2:AU136)</f>
        <v>105</v>
      </c>
      <c r="AV137" s="4">
        <f>SUM(AV2:AV136)</f>
        <v>105</v>
      </c>
      <c r="AW137" s="2">
        <f>SUM(AW2:AW136)</f>
        <v>105</v>
      </c>
      <c r="AX137" s="2">
        <f>SUM(AX2:AX136)</f>
        <v>55</v>
      </c>
      <c r="AY137" s="2">
        <f>SUM(AY2:AY136)</f>
        <v>75</v>
      </c>
      <c r="AZ137" s="2">
        <f>SUM(AZ2:AZ136)</f>
        <v>85</v>
      </c>
      <c r="BA137" s="2">
        <f>SUM(BA2:BA136)</f>
        <v>125</v>
      </c>
      <c r="BB137" s="2">
        <f>SUM(BB2:BB136)</f>
        <v>185</v>
      </c>
      <c r="BC137" s="1">
        <f>SUM(BC2:BC136)</f>
        <v>30</v>
      </c>
      <c r="BD137" s="1">
        <f>SUM(BD2:BD136)</f>
        <v>110</v>
      </c>
      <c r="BE137" s="1">
        <f>SUM(BE2:BE136)</f>
        <v>110</v>
      </c>
      <c r="BF137" s="1">
        <f>SUM(BF2:BF136)</f>
        <v>40</v>
      </c>
      <c r="BG137" s="1">
        <f>SUM(BG2:BG136)</f>
        <v>40</v>
      </c>
      <c r="BH137" s="1">
        <f>SUM(BH2:BH136)</f>
        <v>35</v>
      </c>
      <c r="BI137" s="1">
        <f>SUM(BI2:BI136)</f>
        <v>85</v>
      </c>
      <c r="BJ137" s="1">
        <f>SUM(BJ2:BJ136)</f>
        <v>200</v>
      </c>
      <c r="BK137" s="1">
        <f>SUM(BK2:BK136)</f>
        <v>200</v>
      </c>
      <c r="BL137" s="1">
        <f>SUM(BL2:BL136)</f>
        <v>150</v>
      </c>
      <c r="BM137" s="1">
        <f>SUM(BM2:BM136)</f>
        <v>150</v>
      </c>
      <c r="BN137" s="1">
        <f>SUM(BN2:BN136)</f>
        <v>350</v>
      </c>
      <c r="BO137" s="1">
        <f>SUM(BO2:BO136)</f>
        <v>350</v>
      </c>
      <c r="BP137" s="1"/>
      <c r="BQ137" s="1"/>
      <c r="BR137" s="17"/>
      <c r="BS137" s="17"/>
    </row>
    <row r="138" spans="1:73">
      <c r="A138" s="1"/>
      <c r="B138" s="3" t="s">
        <v>73</v>
      </c>
      <c r="C138" s="1"/>
      <c r="D138" s="1"/>
      <c r="E138" s="1">
        <v>28</v>
      </c>
      <c r="F138" s="1">
        <v>24</v>
      </c>
      <c r="G138" s="1">
        <v>6</v>
      </c>
      <c r="H138" s="1">
        <v>0</v>
      </c>
      <c r="I138" s="1">
        <v>69</v>
      </c>
      <c r="J138" s="1">
        <v>74</v>
      </c>
      <c r="K138" s="1">
        <v>53</v>
      </c>
      <c r="L138" s="1">
        <v>58</v>
      </c>
      <c r="M138" s="1">
        <v>45</v>
      </c>
      <c r="N138" s="1">
        <v>65</v>
      </c>
      <c r="O138" s="1">
        <v>29</v>
      </c>
      <c r="P138" s="14">
        <v>24</v>
      </c>
      <c r="Q138" s="14">
        <v>3</v>
      </c>
      <c r="R138" s="14">
        <v>4</v>
      </c>
      <c r="S138" s="14">
        <v>14</v>
      </c>
      <c r="T138" s="14">
        <v>15</v>
      </c>
      <c r="U138" s="14">
        <v>3</v>
      </c>
      <c r="V138" s="14">
        <v>6</v>
      </c>
      <c r="W138" s="14">
        <v>4</v>
      </c>
      <c r="X138" s="14">
        <v>8</v>
      </c>
      <c r="Y138" s="14">
        <v>10</v>
      </c>
      <c r="Z138" s="14">
        <v>4</v>
      </c>
      <c r="AA138" s="14">
        <v>3</v>
      </c>
      <c r="AB138" s="14">
        <v>23</v>
      </c>
      <c r="AC138" s="14">
        <v>4</v>
      </c>
      <c r="AD138" s="14">
        <v>8</v>
      </c>
      <c r="AE138" s="1">
        <v>9</v>
      </c>
      <c r="AF138" s="1">
        <v>0</v>
      </c>
      <c r="AG138" s="1">
        <v>2</v>
      </c>
      <c r="AH138" s="1">
        <v>0</v>
      </c>
      <c r="AI138" s="1">
        <v>0</v>
      </c>
      <c r="AJ138" s="1">
        <v>0</v>
      </c>
      <c r="AK138" s="1">
        <v>33</v>
      </c>
      <c r="AL138" s="1">
        <v>43</v>
      </c>
      <c r="AM138" s="1">
        <v>5</v>
      </c>
      <c r="AN138" s="1">
        <v>3</v>
      </c>
      <c r="AO138" s="1">
        <v>0</v>
      </c>
      <c r="AP138" s="1">
        <v>0</v>
      </c>
      <c r="AQ138" s="14">
        <v>28</v>
      </c>
      <c r="AR138" s="14">
        <v>18</v>
      </c>
      <c r="AS138" s="14">
        <v>25</v>
      </c>
      <c r="AT138" s="14">
        <v>15</v>
      </c>
      <c r="AU138" s="14">
        <v>48</v>
      </c>
      <c r="AV138" s="14">
        <v>44</v>
      </c>
      <c r="AW138" s="14">
        <v>20</v>
      </c>
      <c r="AX138" s="14">
        <v>26</v>
      </c>
      <c r="AY138" s="14">
        <v>40</v>
      </c>
      <c r="AZ138" s="14">
        <v>26</v>
      </c>
      <c r="BA138" s="14">
        <v>12</v>
      </c>
      <c r="BB138" s="14">
        <v>12</v>
      </c>
      <c r="BC138" s="14">
        <v>12</v>
      </c>
      <c r="BD138" s="1">
        <v>255</v>
      </c>
      <c r="BE138" s="1">
        <v>396</v>
      </c>
      <c r="BF138" s="1">
        <v>312</v>
      </c>
      <c r="BG138" s="1">
        <v>330</v>
      </c>
      <c r="BH138" s="1">
        <v>162</v>
      </c>
      <c r="BI138" s="1">
        <v>195</v>
      </c>
      <c r="BJ138" s="1">
        <v>80</v>
      </c>
      <c r="BK138" s="1">
        <v>89</v>
      </c>
      <c r="BL138" s="1">
        <v>140</v>
      </c>
      <c r="BM138" s="1">
        <v>37</v>
      </c>
      <c r="BN138" s="1">
        <v>5</v>
      </c>
      <c r="BO138" s="1">
        <v>5</v>
      </c>
      <c r="BP138" s="1"/>
      <c r="BQ138" s="1"/>
      <c r="BR138" s="17"/>
      <c r="BS138" s="17"/>
    </row>
    <row r="139" spans="1:73">
      <c r="A139" s="1"/>
      <c r="B139" s="3" t="s">
        <v>80</v>
      </c>
      <c r="C139" s="1"/>
      <c r="D139" s="1"/>
      <c r="E139" s="1">
        <f>E138-E137</f>
        <v>-90</v>
      </c>
      <c r="F139" s="1">
        <f>F138-F137</f>
        <v>-3</v>
      </c>
      <c r="G139" s="1">
        <f>G138-G137</f>
        <v>-124</v>
      </c>
      <c r="H139" s="1">
        <f>H138-H137</f>
        <v>-114</v>
      </c>
      <c r="I139" s="1">
        <f>I138-I137</f>
        <v>42</v>
      </c>
      <c r="J139" s="1">
        <f>J138-J137</f>
        <v>29</v>
      </c>
      <c r="K139" s="1">
        <f>K138-K137</f>
        <v>37</v>
      </c>
      <c r="L139" s="1">
        <f>L138-L137</f>
        <v>16</v>
      </c>
      <c r="M139" s="1">
        <f>M138-M137</f>
        <v>-16</v>
      </c>
      <c r="N139" s="1">
        <f>N138-N137</f>
        <v>55</v>
      </c>
      <c r="O139" s="1">
        <f>O138-O137</f>
        <v>-27</v>
      </c>
      <c r="P139" s="1">
        <f>P138-P137</f>
        <v>-196</v>
      </c>
      <c r="Q139" s="1">
        <f>Q138-Q137</f>
        <v>-118</v>
      </c>
      <c r="R139" s="1">
        <f>R138-R137</f>
        <v>-113</v>
      </c>
      <c r="S139" s="1">
        <f>S138-S137</f>
        <v>-206</v>
      </c>
      <c r="T139" s="1">
        <f>T138-T137</f>
        <v>-76</v>
      </c>
      <c r="U139" s="1">
        <f>U138-U137</f>
        <v>-91</v>
      </c>
      <c r="V139" s="1">
        <f>V138-V137</f>
        <v>-214</v>
      </c>
      <c r="W139" s="1">
        <f>W138-W137</f>
        <v>-61</v>
      </c>
      <c r="X139" s="1">
        <f>X138-X137</f>
        <v>-101</v>
      </c>
      <c r="Y139" s="1">
        <f>Y138-Y137</f>
        <v>-190</v>
      </c>
      <c r="Z139" s="1">
        <f>Z138-Z137</f>
        <v>-81</v>
      </c>
      <c r="AA139" s="1">
        <f>AA138-AA137</f>
        <v>-106</v>
      </c>
      <c r="AB139" s="1">
        <f>AB138-AB137</f>
        <v>-207</v>
      </c>
      <c r="AC139" s="1">
        <f>AC138-AC137</f>
        <v>-46</v>
      </c>
      <c r="AD139" s="1">
        <f>AD138-AD137</f>
        <v>-76</v>
      </c>
      <c r="AE139" s="1">
        <f>AE138-AE137</f>
        <v>-241</v>
      </c>
      <c r="AF139" s="1">
        <f>AF138-AF137</f>
        <v>-10</v>
      </c>
      <c r="AG139" s="1">
        <f>AG138-AG137</f>
        <v>-3</v>
      </c>
      <c r="AH139" s="1">
        <f>AH138-AH137</f>
        <v>-30</v>
      </c>
      <c r="AI139" s="1">
        <f>AI138-AI137</f>
        <v>-30</v>
      </c>
      <c r="AJ139" s="1">
        <f>AJ138-AJ137</f>
        <v>-5</v>
      </c>
      <c r="AK139" s="1">
        <f>AK138-AK137</f>
        <v>33</v>
      </c>
      <c r="AL139" s="1">
        <f>AL138-AL137</f>
        <v>43</v>
      </c>
      <c r="AM139" s="1">
        <f>AM138-AM137</f>
        <v>0</v>
      </c>
      <c r="AN139" s="1">
        <f>AN138-AN137</f>
        <v>-47</v>
      </c>
      <c r="AO139" s="1">
        <f>AO138-AO137</f>
        <v>-33</v>
      </c>
      <c r="AP139" s="1">
        <f>AP138-AP137</f>
        <v>-27</v>
      </c>
      <c r="AQ139" s="1">
        <f>AQ138-AQ137</f>
        <v>-77</v>
      </c>
      <c r="AR139" s="1">
        <f>AR138-AR137</f>
        <v>-57</v>
      </c>
      <c r="AS139" s="1">
        <f>AS138-AS137</f>
        <v>-55</v>
      </c>
      <c r="AT139" s="1">
        <f>AT138-AT137</f>
        <v>-40</v>
      </c>
      <c r="AU139" s="1">
        <f>AU138-AU137</f>
        <v>-57</v>
      </c>
      <c r="AV139" s="1">
        <f>AV138-AV137</f>
        <v>-61</v>
      </c>
      <c r="AW139" s="1">
        <f>AW138-AW137</f>
        <v>-85</v>
      </c>
      <c r="AX139" s="1">
        <f>AX138-AX137</f>
        <v>-29</v>
      </c>
      <c r="AY139" s="1">
        <f>AY138-AY137</f>
        <v>-35</v>
      </c>
      <c r="AZ139" s="1">
        <f>AZ138-AZ137</f>
        <v>-59</v>
      </c>
      <c r="BA139" s="1">
        <f>BA138-BA137</f>
        <v>-113</v>
      </c>
      <c r="BB139" s="1">
        <f>BB138-BB137</f>
        <v>-173</v>
      </c>
      <c r="BC139" s="1">
        <f>BC138-BC137</f>
        <v>-18</v>
      </c>
      <c r="BD139" s="1">
        <f>BD138-BD137</f>
        <v>145</v>
      </c>
      <c r="BE139" s="1">
        <f>BE138-BE137</f>
        <v>286</v>
      </c>
      <c r="BF139" s="1">
        <f>BF138-BF137</f>
        <v>272</v>
      </c>
      <c r="BG139" s="1">
        <f>BG138-BG137</f>
        <v>290</v>
      </c>
      <c r="BH139" s="1">
        <f>BH138-BH137</f>
        <v>127</v>
      </c>
      <c r="BI139" s="1">
        <f>BI138-BI137</f>
        <v>110</v>
      </c>
      <c r="BJ139" s="1">
        <f>BJ138-BJ137</f>
        <v>-120</v>
      </c>
      <c r="BK139" s="1">
        <f>BK138-BK137</f>
        <v>-111</v>
      </c>
      <c r="BL139" s="1">
        <f>BL138-BL137</f>
        <v>-10</v>
      </c>
      <c r="BM139" s="1">
        <f>BM138-BM137</f>
        <v>-113</v>
      </c>
      <c r="BN139" s="1">
        <f>BN138-BN137</f>
        <v>-345</v>
      </c>
      <c r="BO139" s="1">
        <f>BO138-BO137</f>
        <v>-345</v>
      </c>
      <c r="BP139" s="1"/>
      <c r="BQ139" s="1"/>
      <c r="BR139" s="17"/>
      <c r="BS139" s="17"/>
    </row>
    <row r="140" spans="1:73">
      <c r="A140" s="1"/>
      <c r="B140" s="3" t="s">
        <v>160</v>
      </c>
      <c r="C140" s="1"/>
      <c r="D140" s="1"/>
      <c r="E140" s="1">
        <f>MAX(E2:E136)</f>
        <v>15</v>
      </c>
      <c r="F140" s="1">
        <f>MAX(F2:F136)</f>
        <v>15</v>
      </c>
      <c r="G140" s="1">
        <f>MAX(G2:G136)</f>
        <v>20</v>
      </c>
      <c r="H140" s="1">
        <f>MAX(H2:H136)</f>
        <v>20</v>
      </c>
      <c r="I140" s="1">
        <f>MAX(I2:I136)</f>
        <v>10</v>
      </c>
      <c r="J140" s="1">
        <f>MAX(J2:J136)</f>
        <v>10</v>
      </c>
      <c r="K140" s="1">
        <f>MAX(K2:K136)</f>
        <v>10</v>
      </c>
      <c r="L140" s="1">
        <f>MAX(L2:L136)</f>
        <v>20</v>
      </c>
      <c r="M140" s="1">
        <f>MAX(M2:M136)</f>
        <v>15</v>
      </c>
      <c r="N140" s="1">
        <f>MAX(N2:N136)</f>
        <v>10</v>
      </c>
      <c r="O140" s="1">
        <f>MAX(O2:O136)</f>
        <v>20</v>
      </c>
      <c r="P140" s="1">
        <f>MAX(P2:P136)</f>
        <v>10</v>
      </c>
      <c r="Q140" s="1">
        <f>MAX(Q2:Q136)</f>
        <v>7</v>
      </c>
      <c r="R140" s="1">
        <f>MAX(R2:R136)</f>
        <v>10</v>
      </c>
      <c r="S140" s="1">
        <f>MAX(S2:S136)</f>
        <v>10</v>
      </c>
      <c r="T140" s="1">
        <f>MAX(T2:T136)</f>
        <v>7</v>
      </c>
      <c r="U140" s="1">
        <f>MAX(U2:U136)</f>
        <v>10</v>
      </c>
      <c r="V140" s="1">
        <f>MAX(V2:V136)</f>
        <v>10</v>
      </c>
      <c r="W140" s="1">
        <f>MAX(W2:W136)</f>
        <v>5</v>
      </c>
      <c r="X140" s="1">
        <f>MAX(X2:X136)</f>
        <v>10</v>
      </c>
      <c r="Y140" s="1">
        <f>MAX(Y2:Y136)</f>
        <v>10</v>
      </c>
      <c r="Z140" s="1">
        <f>MAX(Z2:Z136)</f>
        <v>5</v>
      </c>
      <c r="AA140" s="1">
        <f>MAX(AA2:AA136)</f>
        <v>10</v>
      </c>
      <c r="AB140" s="1">
        <f>MAX(AB2:AB136)</f>
        <v>10</v>
      </c>
      <c r="AC140" s="1">
        <f>MAX(AC2:AC136)</f>
        <v>5</v>
      </c>
      <c r="AD140" s="1">
        <f>MAX(AD2:AD136)</f>
        <v>10</v>
      </c>
      <c r="AE140" s="1">
        <f>MAX(AE2:AE136)</f>
        <v>200</v>
      </c>
      <c r="AF140" s="1">
        <f>MAX(AF2:AF136)</f>
        <v>5</v>
      </c>
      <c r="AG140" s="1">
        <f>MAX(AG2:AG136)</f>
        <v>5</v>
      </c>
      <c r="AH140" s="1">
        <f>MAX(AH2:AH136)</f>
        <v>5</v>
      </c>
      <c r="AI140" s="1">
        <f>MAX(AI2:AI136)</f>
        <v>5</v>
      </c>
      <c r="AJ140" s="1">
        <f>MAX(AJ2:AJ136)</f>
        <v>5</v>
      </c>
      <c r="AK140" s="1">
        <f>MAX(AK2:AK136)</f>
        <v>0</v>
      </c>
      <c r="AL140" s="1">
        <f>MAX(AL2:AL136)</f>
        <v>0</v>
      </c>
      <c r="AM140" s="1">
        <f>MAX(AM2:AM136)</f>
        <v>5</v>
      </c>
      <c r="AN140" s="1">
        <f>MAX(AN2:AN136)</f>
        <v>25</v>
      </c>
      <c r="AO140" s="1">
        <f>MAX(AO2:AO136)</f>
        <v>10</v>
      </c>
      <c r="AP140" s="1">
        <f>MAX(AP2:AP136)</f>
        <v>10</v>
      </c>
      <c r="AQ140" s="1">
        <f>MAX(AQ2:AQ136)</f>
        <v>40</v>
      </c>
      <c r="AR140" s="1">
        <f>MAX(AR2:AR136)</f>
        <v>15</v>
      </c>
      <c r="AS140" s="1">
        <f>MAX(AS2:AS136)</f>
        <v>15</v>
      </c>
      <c r="AT140" s="1">
        <f>MAX(AT2:AT136)</f>
        <v>15</v>
      </c>
      <c r="AU140" s="1">
        <f>MAX(AU2:AU136)</f>
        <v>40</v>
      </c>
      <c r="AV140" s="1">
        <f>MAX(AV2:AV136)</f>
        <v>40</v>
      </c>
      <c r="AW140" s="1">
        <f>MAX(AW2:AW136)</f>
        <v>40</v>
      </c>
      <c r="AX140" s="1">
        <f>MAX(AX2:AX136)</f>
        <v>40</v>
      </c>
      <c r="AY140" s="1">
        <f>MAX(AY2:AY136)</f>
        <v>40</v>
      </c>
      <c r="AZ140" s="1">
        <f>MAX(AZ2:AZ136)</f>
        <v>40</v>
      </c>
      <c r="BA140" s="1">
        <f>MAX(BA2:BA136)</f>
        <v>20</v>
      </c>
      <c r="BB140" s="1">
        <f>MAX(BB2:BB136)</f>
        <v>40</v>
      </c>
      <c r="BC140" s="1">
        <f>MAX(BC2:BC136)</f>
        <v>10</v>
      </c>
      <c r="BD140" s="1">
        <f>MAX(BD2:BD136)</f>
        <v>50</v>
      </c>
      <c r="BE140" s="1">
        <f>MAX(BE2:BE136)</f>
        <v>50</v>
      </c>
      <c r="BF140" s="1">
        <f>MAX(BF2:BF136)</f>
        <v>20</v>
      </c>
      <c r="BG140" s="1">
        <f>MAX(BG2:BG136)</f>
        <v>20</v>
      </c>
      <c r="BH140" s="1">
        <f>MAX(BH2:BH136)</f>
        <v>20</v>
      </c>
      <c r="BI140" s="1">
        <f>MAX(BI2:BI136)</f>
        <v>50</v>
      </c>
      <c r="BJ140" s="1">
        <f>MAX(BJ2:BJ136)</f>
        <v>50</v>
      </c>
      <c r="BK140" s="1">
        <f>MAX(BK2:BK136)</f>
        <v>50</v>
      </c>
      <c r="BL140" s="1">
        <f>MAX(BL2:BL136)</f>
        <v>50</v>
      </c>
      <c r="BM140" s="1">
        <f>MAX(BM2:BM136)</f>
        <v>50</v>
      </c>
      <c r="BN140" s="1">
        <f>MAX(BN2:BN136)</f>
        <v>50</v>
      </c>
      <c r="BO140" s="1">
        <f>MAX(BO2:BO136)</f>
        <v>50</v>
      </c>
      <c r="BP140" s="1"/>
      <c r="BQ140" s="1"/>
      <c r="BR140" s="17"/>
      <c r="BS140" s="17"/>
    </row>
    <row r="141" spans="1:73">
      <c r="A141" s="1"/>
      <c r="B141" s="3" t="s">
        <v>161</v>
      </c>
      <c r="C141" s="1"/>
      <c r="D141" s="1"/>
      <c r="E141" s="1">
        <f>MIN(E2:E136)</f>
        <v>6</v>
      </c>
      <c r="F141" s="1">
        <f>MIN(F2:F136)</f>
        <v>6</v>
      </c>
      <c r="G141" s="1">
        <f>MIN(G2:G136)</f>
        <v>5</v>
      </c>
      <c r="H141" s="1">
        <f>MIN(H2:H136)</f>
        <v>5</v>
      </c>
      <c r="I141" s="1">
        <f>MIN(I2:I136)</f>
        <v>7</v>
      </c>
      <c r="J141" s="1">
        <f>MIN(J2:J136)</f>
        <v>5</v>
      </c>
      <c r="K141" s="1">
        <f>MIN(K2:K136)</f>
        <v>6</v>
      </c>
      <c r="L141" s="1">
        <f>MIN(L2:L136)</f>
        <v>7</v>
      </c>
      <c r="M141" s="1">
        <f>MIN(M2:M136)</f>
        <v>6</v>
      </c>
      <c r="N141" s="1">
        <f>MIN(N2:N136)</f>
        <v>10</v>
      </c>
      <c r="O141" s="1">
        <f>MIN(O2:O136)</f>
        <v>5</v>
      </c>
      <c r="P141" s="1">
        <f>MIN(P2:P136)</f>
        <v>10</v>
      </c>
      <c r="Q141" s="1">
        <f>MIN(Q2:Q136)</f>
        <v>5</v>
      </c>
      <c r="R141" s="1">
        <f>MIN(R2:R136)</f>
        <v>2</v>
      </c>
      <c r="S141" s="1">
        <f>MIN(S2:S136)</f>
        <v>10</v>
      </c>
      <c r="T141" s="1">
        <f>MIN(T2:T136)</f>
        <v>5</v>
      </c>
      <c r="U141" s="1">
        <f>MIN(U2:U136)</f>
        <v>2</v>
      </c>
      <c r="V141" s="1">
        <f>MIN(V2:V136)</f>
        <v>5</v>
      </c>
      <c r="W141" s="1">
        <f>MIN(W2:W136)</f>
        <v>5</v>
      </c>
      <c r="X141" s="1">
        <f>MIN(X2:X136)</f>
        <v>2</v>
      </c>
      <c r="Y141" s="1">
        <f>MIN(Y2:Y136)</f>
        <v>5</v>
      </c>
      <c r="Z141" s="1">
        <f>MIN(Z2:Z136)</f>
        <v>5</v>
      </c>
      <c r="AA141" s="1">
        <f>MIN(AA2:AA136)</f>
        <v>2</v>
      </c>
      <c r="AB141" s="1">
        <f>MIN(AB2:AB136)</f>
        <v>10</v>
      </c>
      <c r="AC141" s="1">
        <f>MIN(AC2:AC136)</f>
        <v>5</v>
      </c>
      <c r="AD141" s="1">
        <f>MIN(AD2:AD136)</f>
        <v>2</v>
      </c>
      <c r="AE141" s="1">
        <f>MIN(AE2:AE136)</f>
        <v>50</v>
      </c>
      <c r="AF141" s="1">
        <f>MIN(AF2:AF136)</f>
        <v>5</v>
      </c>
      <c r="AG141" s="1">
        <f>MIN(AG2:AG136)</f>
        <v>5</v>
      </c>
      <c r="AH141" s="1">
        <f>MIN(AH2:AH136)</f>
        <v>5</v>
      </c>
      <c r="AI141" s="1">
        <f>MIN(AI2:AI136)</f>
        <v>5</v>
      </c>
      <c r="AJ141" s="1">
        <f>MIN(AJ2:AJ136)</f>
        <v>5</v>
      </c>
      <c r="AK141" s="1">
        <f>MIN(AK2:AK136)</f>
        <v>0</v>
      </c>
      <c r="AL141" s="1">
        <f>MIN(AL2:AL136)</f>
        <v>0</v>
      </c>
      <c r="AM141" s="1">
        <f>MIN(AM2:AM136)</f>
        <v>5</v>
      </c>
      <c r="AN141" s="1">
        <f>MIN(AN2:AN136)</f>
        <v>5</v>
      </c>
      <c r="AO141" s="1">
        <f>MIN(AO2:AO136)</f>
        <v>2</v>
      </c>
      <c r="AP141" s="1">
        <f>MIN(AP2:AP136)</f>
        <v>1</v>
      </c>
      <c r="AQ141" s="1">
        <f>MIN(AQ2:AQ136)</f>
        <v>10</v>
      </c>
      <c r="AR141" s="1">
        <f>MIN(AR2:AR136)</f>
        <v>10</v>
      </c>
      <c r="AS141" s="1">
        <f>MIN(AS2:AS136)</f>
        <v>5</v>
      </c>
      <c r="AT141" s="1">
        <f>MIN(AT2:AT136)</f>
        <v>10</v>
      </c>
      <c r="AU141" s="1">
        <f>MIN(AU2:AU136)</f>
        <v>10</v>
      </c>
      <c r="AV141" s="1">
        <f>MIN(AV2:AV136)</f>
        <v>10</v>
      </c>
      <c r="AW141" s="1">
        <f>MIN(AW2:AW136)</f>
        <v>10</v>
      </c>
      <c r="AX141" s="1">
        <f>MIN(AX2:AX136)</f>
        <v>5</v>
      </c>
      <c r="AY141" s="1">
        <f>MIN(AY2:AY136)</f>
        <v>10</v>
      </c>
      <c r="AZ141" s="1">
        <f>MIN(AZ2:AZ136)</f>
        <v>10</v>
      </c>
      <c r="BA141" s="1">
        <f>MIN(BA2:BA136)</f>
        <v>5</v>
      </c>
      <c r="BB141" s="1">
        <f>MIN(BB2:BB136)</f>
        <v>5</v>
      </c>
      <c r="BC141" s="1">
        <f>MIN(BC2:BC136)</f>
        <v>10</v>
      </c>
      <c r="BD141" s="1">
        <f>MIN(BD2:BD136)</f>
        <v>20</v>
      </c>
      <c r="BE141" s="1">
        <f>MIN(BE2:BE136)</f>
        <v>20</v>
      </c>
      <c r="BF141" s="1">
        <f>MIN(BF2:BF136)</f>
        <v>20</v>
      </c>
      <c r="BG141" s="1">
        <f>MIN(BG2:BG136)</f>
        <v>20</v>
      </c>
      <c r="BH141" s="1">
        <f>MIN(BH2:BH136)</f>
        <v>15</v>
      </c>
      <c r="BI141" s="1">
        <f>MIN(BI2:BI136)</f>
        <v>15</v>
      </c>
      <c r="BJ141" s="1">
        <f>MIN(BJ2:BJ136)</f>
        <v>50</v>
      </c>
      <c r="BK141" s="1">
        <f>MIN(BK2:BK136)</f>
        <v>50</v>
      </c>
      <c r="BL141" s="1">
        <f>MIN(BL2:BL136)</f>
        <v>50</v>
      </c>
      <c r="BM141" s="1">
        <f>MIN(BM2:BM136)</f>
        <v>50</v>
      </c>
      <c r="BN141" s="1">
        <f>MIN(BN2:BN136)</f>
        <v>50</v>
      </c>
      <c r="BO141" s="1">
        <f>MIN(BO2:BO136)</f>
        <v>50</v>
      </c>
      <c r="BP141" s="1"/>
      <c r="BQ141" s="1"/>
      <c r="BR141" s="17"/>
      <c r="BS141" s="17"/>
    </row>
    <row r="142" spans="1:73">
      <c r="A142" s="1"/>
      <c r="B142" s="3" t="s">
        <v>162</v>
      </c>
      <c r="C142" s="1"/>
      <c r="D142" s="1"/>
      <c r="E142" s="1">
        <f>E138-E140</f>
        <v>13</v>
      </c>
      <c r="F142" s="1">
        <f>F138-F140</f>
        <v>9</v>
      </c>
      <c r="G142" s="1">
        <f>G138-G140</f>
        <v>-14</v>
      </c>
      <c r="H142" s="1">
        <f>H138-H140</f>
        <v>-20</v>
      </c>
      <c r="I142" s="1">
        <f>I138-I140</f>
        <v>59</v>
      </c>
      <c r="J142" s="1">
        <f>J138-J140</f>
        <v>64</v>
      </c>
      <c r="K142" s="1">
        <f>K138-K140</f>
        <v>43</v>
      </c>
      <c r="L142" s="1">
        <f>L138-L140</f>
        <v>38</v>
      </c>
      <c r="M142" s="1">
        <f>M138-M140</f>
        <v>30</v>
      </c>
      <c r="N142" s="1">
        <f>N138-N140</f>
        <v>55</v>
      </c>
      <c r="O142" s="1">
        <f>O138-O140</f>
        <v>9</v>
      </c>
      <c r="P142" s="1">
        <f>P138-P140</f>
        <v>14</v>
      </c>
      <c r="Q142" s="1">
        <f>Q138-Q140</f>
        <v>-4</v>
      </c>
      <c r="R142" s="1">
        <f>R138-R140</f>
        <v>-6</v>
      </c>
      <c r="S142" s="1">
        <f>S138-S140</f>
        <v>4</v>
      </c>
      <c r="T142" s="1">
        <f>T138-T140</f>
        <v>8</v>
      </c>
      <c r="U142" s="1">
        <f>U138-U140</f>
        <v>-7</v>
      </c>
      <c r="V142" s="1">
        <f>V138-V140</f>
        <v>-4</v>
      </c>
      <c r="W142" s="1">
        <f>W138-W140</f>
        <v>-1</v>
      </c>
      <c r="X142" s="1">
        <f>X138-X140</f>
        <v>-2</v>
      </c>
      <c r="Y142" s="1">
        <f>Y138-Y140</f>
        <v>0</v>
      </c>
      <c r="Z142" s="1">
        <f>Z138-Z140</f>
        <v>-1</v>
      </c>
      <c r="AA142" s="1">
        <f>AA138-AA140</f>
        <v>-7</v>
      </c>
      <c r="AB142" s="1">
        <f>AB138-AB140</f>
        <v>13</v>
      </c>
      <c r="AC142" s="1">
        <f>AC138-AC140</f>
        <v>-1</v>
      </c>
      <c r="AD142" s="1">
        <f>AD138-AD140</f>
        <v>-2</v>
      </c>
      <c r="AE142" s="1">
        <f>AE138-AE140</f>
        <v>-191</v>
      </c>
      <c r="AF142" s="1">
        <f>AF138-AF140</f>
        <v>-5</v>
      </c>
      <c r="AG142" s="1">
        <f>AG138-AG140</f>
        <v>-3</v>
      </c>
      <c r="AH142" s="1">
        <f>AH138-AH140</f>
        <v>-5</v>
      </c>
      <c r="AI142" s="1">
        <f>AI138-AI140</f>
        <v>-5</v>
      </c>
      <c r="AJ142" s="1">
        <f>AJ138-AJ140</f>
        <v>-5</v>
      </c>
      <c r="AK142" s="1">
        <f>AK138-AK140</f>
        <v>33</v>
      </c>
      <c r="AL142" s="1">
        <f>AL138-AL140</f>
        <v>43</v>
      </c>
      <c r="AM142" s="1">
        <f>AM138-AM140</f>
        <v>0</v>
      </c>
      <c r="AN142" s="1">
        <f>AN138-AN140</f>
        <v>-22</v>
      </c>
      <c r="AO142" s="1">
        <f>AO138-AO140</f>
        <v>-10</v>
      </c>
      <c r="AP142" s="1">
        <f>AP138-AP140</f>
        <v>-10</v>
      </c>
      <c r="AQ142" s="1">
        <f>AQ138-AQ140</f>
        <v>-12</v>
      </c>
      <c r="AR142" s="1">
        <f>AR138-AR140</f>
        <v>3</v>
      </c>
      <c r="AS142" s="1">
        <f>AS138-AS140</f>
        <v>10</v>
      </c>
      <c r="AT142" s="1">
        <f>AT138-AT140</f>
        <v>0</v>
      </c>
      <c r="AU142" s="1">
        <f>AU138-AU140</f>
        <v>8</v>
      </c>
      <c r="AV142" s="1">
        <f>AV138-AV140</f>
        <v>4</v>
      </c>
      <c r="AW142" s="1">
        <f>AW138-AW140</f>
        <v>-20</v>
      </c>
      <c r="AX142" s="1">
        <f>AX138-AX140</f>
        <v>-14</v>
      </c>
      <c r="AY142" s="1">
        <f>AY138-AY140</f>
        <v>0</v>
      </c>
      <c r="AZ142" s="1">
        <f>AZ138-AZ140</f>
        <v>-14</v>
      </c>
      <c r="BA142" s="1">
        <f>BA138-BA140</f>
        <v>-8</v>
      </c>
      <c r="BB142" s="1">
        <f>BB138-BB140</f>
        <v>-28</v>
      </c>
      <c r="BC142" s="1">
        <f>BC138-BC140</f>
        <v>2</v>
      </c>
      <c r="BD142" s="1">
        <f>BD138-BD140</f>
        <v>205</v>
      </c>
      <c r="BE142" s="1">
        <f>BE138-BE140</f>
        <v>346</v>
      </c>
      <c r="BF142" s="1">
        <f>BF138-BF140</f>
        <v>292</v>
      </c>
      <c r="BG142" s="1">
        <f>BG138-BG140</f>
        <v>310</v>
      </c>
      <c r="BH142" s="1">
        <f>BH138-BH140</f>
        <v>142</v>
      </c>
      <c r="BI142" s="1">
        <f>BI138-BI140</f>
        <v>145</v>
      </c>
      <c r="BJ142" s="1">
        <f>BJ138-BJ140</f>
        <v>30</v>
      </c>
      <c r="BK142" s="1">
        <f>BK138-BK140</f>
        <v>39</v>
      </c>
      <c r="BL142" s="1">
        <f>BL138-BL140</f>
        <v>90</v>
      </c>
      <c r="BM142" s="1">
        <f>BM138-BM140</f>
        <v>-13</v>
      </c>
      <c r="BN142" s="1">
        <f>BN138-BN140</f>
        <v>-45</v>
      </c>
      <c r="BO142" s="1">
        <f>BO138-BO140</f>
        <v>-45</v>
      </c>
      <c r="BP142" s="1"/>
      <c r="BQ142" s="1"/>
      <c r="BR142" s="17"/>
      <c r="BS142" s="17"/>
    </row>
    <row r="143" spans="1:73" s="13" customFormat="1">
      <c r="A143" s="1"/>
      <c r="B143" s="3" t="s">
        <v>163</v>
      </c>
      <c r="C143" s="1"/>
      <c r="D143" s="1"/>
      <c r="E143" s="1">
        <f>E138-E141</f>
        <v>22</v>
      </c>
      <c r="F143" s="1">
        <f>F138-F141</f>
        <v>18</v>
      </c>
      <c r="G143" s="1">
        <f>G138-G141</f>
        <v>1</v>
      </c>
      <c r="H143" s="1">
        <f>H138-H141</f>
        <v>-5</v>
      </c>
      <c r="I143" s="1">
        <f>I138-I141</f>
        <v>62</v>
      </c>
      <c r="J143" s="1">
        <f>J138-J141</f>
        <v>69</v>
      </c>
      <c r="K143" s="1">
        <f>K138-K141</f>
        <v>47</v>
      </c>
      <c r="L143" s="1">
        <f>L138-L141</f>
        <v>51</v>
      </c>
      <c r="M143" s="1">
        <f>M138-M141</f>
        <v>39</v>
      </c>
      <c r="N143" s="1">
        <f>N138-N141</f>
        <v>55</v>
      </c>
      <c r="O143" s="1">
        <f>O138-O141</f>
        <v>24</v>
      </c>
      <c r="P143" s="1">
        <f>P138-P141</f>
        <v>14</v>
      </c>
      <c r="Q143" s="1">
        <f>Q138-Q141</f>
        <v>-2</v>
      </c>
      <c r="R143" s="1">
        <f>R138-R141</f>
        <v>2</v>
      </c>
      <c r="S143" s="1">
        <f>S138-S141</f>
        <v>4</v>
      </c>
      <c r="T143" s="1">
        <f>T138-T141</f>
        <v>10</v>
      </c>
      <c r="U143" s="1">
        <f>U138-U141</f>
        <v>1</v>
      </c>
      <c r="V143" s="1">
        <f>V138-V141</f>
        <v>1</v>
      </c>
      <c r="W143" s="1">
        <f>W138-W141</f>
        <v>-1</v>
      </c>
      <c r="X143" s="1">
        <f>X138-X141</f>
        <v>6</v>
      </c>
      <c r="Y143" s="1">
        <f>Y138-Y141</f>
        <v>5</v>
      </c>
      <c r="Z143" s="1">
        <f>Z138-Z141</f>
        <v>-1</v>
      </c>
      <c r="AA143" s="1">
        <f>AA138-AA141</f>
        <v>1</v>
      </c>
      <c r="AB143" s="1">
        <f>AB138-AB141</f>
        <v>13</v>
      </c>
      <c r="AC143" s="1">
        <f>AC138-AC141</f>
        <v>-1</v>
      </c>
      <c r="AD143" s="1">
        <f>AD138-AD141</f>
        <v>6</v>
      </c>
      <c r="AE143" s="1">
        <f>AE138-AE141</f>
        <v>-41</v>
      </c>
      <c r="AF143" s="1">
        <f>AF138-AF141</f>
        <v>-5</v>
      </c>
      <c r="AG143" s="1">
        <f>AG138-AG141</f>
        <v>-3</v>
      </c>
      <c r="AH143" s="1">
        <f>AH138-AH141</f>
        <v>-5</v>
      </c>
      <c r="AI143" s="1">
        <f>AI138-AI141</f>
        <v>-5</v>
      </c>
      <c r="AJ143" s="1">
        <f>AJ138-AJ141</f>
        <v>-5</v>
      </c>
      <c r="AK143" s="1">
        <f>AK138-AK141</f>
        <v>33</v>
      </c>
      <c r="AL143" s="1">
        <f>AL138-AL141</f>
        <v>43</v>
      </c>
      <c r="AM143" s="1">
        <f>AM138-AM141</f>
        <v>0</v>
      </c>
      <c r="AN143" s="1">
        <f>AN138-AN141</f>
        <v>-2</v>
      </c>
      <c r="AO143" s="1">
        <f>AO138-AO141</f>
        <v>-2</v>
      </c>
      <c r="AP143" s="1">
        <f>AP138-AP141</f>
        <v>-1</v>
      </c>
      <c r="AQ143" s="1">
        <f>AQ138-AQ141</f>
        <v>18</v>
      </c>
      <c r="AR143" s="1">
        <f>AR138-AR141</f>
        <v>8</v>
      </c>
      <c r="AS143" s="1">
        <f>AS138-AS141</f>
        <v>20</v>
      </c>
      <c r="AT143" s="1">
        <f>AT138-AT141</f>
        <v>5</v>
      </c>
      <c r="AU143" s="1">
        <f>AU138-AU141</f>
        <v>38</v>
      </c>
      <c r="AV143" s="1">
        <f>AV138-AV141</f>
        <v>34</v>
      </c>
      <c r="AW143" s="1">
        <f>AW138-AW141</f>
        <v>10</v>
      </c>
      <c r="AX143" s="1">
        <f>AX138-AX141</f>
        <v>21</v>
      </c>
      <c r="AY143" s="1">
        <f>AY138-AY141</f>
        <v>30</v>
      </c>
      <c r="AZ143" s="1">
        <f>AZ138-AZ141</f>
        <v>16</v>
      </c>
      <c r="BA143" s="1">
        <f>BA138-BA141</f>
        <v>7</v>
      </c>
      <c r="BB143" s="1">
        <f>BB138-BB141</f>
        <v>7</v>
      </c>
      <c r="BC143" s="1">
        <f>BC138-BC141</f>
        <v>2</v>
      </c>
      <c r="BD143" s="1">
        <f>BD138-BD141</f>
        <v>235</v>
      </c>
      <c r="BE143" s="1">
        <f>BE138-BE141</f>
        <v>376</v>
      </c>
      <c r="BF143" s="1">
        <f>BF138-BF141</f>
        <v>292</v>
      </c>
      <c r="BG143" s="1">
        <f>BG138-BG141</f>
        <v>310</v>
      </c>
      <c r="BH143" s="1">
        <f>BH138-BH141</f>
        <v>147</v>
      </c>
      <c r="BI143" s="1">
        <f>BI138-BI141</f>
        <v>180</v>
      </c>
      <c r="BJ143" s="1">
        <f>BJ138-BJ141</f>
        <v>30</v>
      </c>
      <c r="BK143" s="1">
        <f>BK138-BK141</f>
        <v>39</v>
      </c>
      <c r="BL143" s="1">
        <f>BL138-BL141</f>
        <v>90</v>
      </c>
      <c r="BM143" s="1">
        <f>BM138-BM141</f>
        <v>-13</v>
      </c>
      <c r="BN143" s="1">
        <f>BN138-BN141</f>
        <v>-45</v>
      </c>
      <c r="BO143" s="1">
        <f>BO138-BO141</f>
        <v>-45</v>
      </c>
      <c r="BP143" s="1"/>
      <c r="BQ143" s="1"/>
      <c r="BR143" s="17"/>
      <c r="BS143" s="17"/>
    </row>
    <row r="144" spans="1:73">
      <c r="AQ144" s="7" t="s">
        <v>189</v>
      </c>
      <c r="AR144" s="7" t="s">
        <v>192</v>
      </c>
      <c r="AS144" s="7" t="s">
        <v>193</v>
      </c>
      <c r="AT144" s="7" t="s">
        <v>190</v>
      </c>
      <c r="AU144" s="7" t="s">
        <v>191</v>
      </c>
      <c r="AV144" s="7" t="s">
        <v>188</v>
      </c>
      <c r="AW144" s="7" t="s">
        <v>194</v>
      </c>
      <c r="AX144" s="7" t="s">
        <v>195</v>
      </c>
      <c r="AY144" s="7" t="s">
        <v>196</v>
      </c>
      <c r="AZ144" s="7" t="s">
        <v>197</v>
      </c>
      <c r="BA144" s="7" t="s">
        <v>198</v>
      </c>
      <c r="BB144" s="7" t="s">
        <v>199</v>
      </c>
    </row>
  </sheetData>
  <autoFilter ref="A1:BU144">
    <filterColumn colId="71">
      <filters blank="1">
        <filter val="0"/>
      </filters>
    </filterColumn>
    <filterColumn colId="72">
      <filters blank="1">
        <filter val="0"/>
      </filters>
    </filterColumn>
    <sortState ref="A2:BU144">
      <sortCondition ref="BR2:BR144"/>
      <sortCondition ref="BQ2:BQ144"/>
    </sortState>
  </autoFilter>
  <sortState ref="A2:CS148">
    <sortCondition ref="BR2:BR148"/>
    <sortCondition ref="BQ2:BQ148"/>
  </sortState>
  <phoneticPr fontId="1" type="noConversion"/>
  <conditionalFormatting sqref="E140:BO140">
    <cfRule type="expression" dxfId="5" priority="10">
      <formula>"&lt;=$E$135"</formula>
    </cfRule>
  </conditionalFormatting>
  <conditionalFormatting sqref="E142:BO143">
    <cfRule type="cellIs" dxfId="4" priority="1" operator="lessThan">
      <formula>0</formula>
    </cfRule>
  </conditionalFormatting>
  <conditionalFormatting sqref="E139:BO139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143</xdr:row>
                    <xdr:rowOff>28575</xdr:rowOff>
                  </from>
                  <to>
                    <xdr:col>1</xdr:col>
                    <xdr:colOff>428625</xdr:colOff>
                    <xdr:row>144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67</v>
      </c>
      <c r="B1" s="8" t="s">
        <v>68</v>
      </c>
      <c r="C1" s="8" t="s">
        <v>70</v>
      </c>
      <c r="D1" s="8" t="s">
        <v>69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65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104</v>
      </c>
      <c r="Q1" s="27" t="s">
        <v>116</v>
      </c>
      <c r="R1" s="27" t="s">
        <v>110</v>
      </c>
      <c r="S1" s="27" t="s">
        <v>105</v>
      </c>
      <c r="T1" s="27" t="s">
        <v>114</v>
      </c>
      <c r="U1" s="27" t="s">
        <v>120</v>
      </c>
      <c r="V1" s="27" t="s">
        <v>106</v>
      </c>
      <c r="W1" s="27" t="s">
        <v>113</v>
      </c>
      <c r="X1" s="27" t="s">
        <v>111</v>
      </c>
      <c r="Y1" s="27" t="s">
        <v>107</v>
      </c>
      <c r="Z1" s="27" t="s">
        <v>115</v>
      </c>
      <c r="AA1" s="27" t="s">
        <v>122</v>
      </c>
      <c r="AB1" s="27" t="s">
        <v>109</v>
      </c>
      <c r="AC1" s="27" t="s">
        <v>108</v>
      </c>
      <c r="AD1" s="27" t="s">
        <v>133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92</v>
      </c>
      <c r="AP1" s="8" t="s">
        <v>93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89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54</v>
      </c>
      <c r="BQ1" s="8" t="s">
        <v>75</v>
      </c>
      <c r="BR1" s="16" t="s">
        <v>76</v>
      </c>
      <c r="BS1" s="16"/>
      <c r="BT1" s="10" t="s">
        <v>37</v>
      </c>
      <c r="BU1" s="10" t="s">
        <v>4</v>
      </c>
      <c r="BV1" s="10" t="s">
        <v>25</v>
      </c>
      <c r="BW1" s="10" t="s">
        <v>51</v>
      </c>
      <c r="BX1" s="10" t="s">
        <v>53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51</v>
      </c>
      <c r="CK1" s="10" t="s">
        <v>53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40">
        <v>77</v>
      </c>
      <c r="B2" s="47" t="s">
        <v>141</v>
      </c>
      <c r="C2" s="47" t="s">
        <v>50</v>
      </c>
      <c r="D2" s="40" t="s">
        <v>9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>
        <v>20</v>
      </c>
      <c r="AU2" s="43"/>
      <c r="AV2" s="43"/>
      <c r="AW2" s="44">
        <v>20</v>
      </c>
      <c r="AX2" s="44">
        <v>20</v>
      </c>
      <c r="AY2" s="44"/>
      <c r="AZ2" s="44"/>
      <c r="BA2" s="44"/>
      <c r="BB2" s="44">
        <v>10</v>
      </c>
      <c r="BC2" s="45"/>
      <c r="BD2" s="40"/>
      <c r="BE2" s="40"/>
      <c r="BF2" s="40"/>
      <c r="BG2" s="40"/>
      <c r="BH2" s="40">
        <v>20</v>
      </c>
      <c r="BI2" s="40"/>
      <c r="BJ2" s="40"/>
      <c r="BK2" s="40"/>
      <c r="BL2" s="40"/>
      <c r="BM2" s="40"/>
      <c r="BN2" s="40"/>
      <c r="BO2" s="40"/>
      <c r="BP2" s="40">
        <f>SUM(E2:BO2)</f>
        <v>90</v>
      </c>
      <c r="BQ2" s="40">
        <v>9</v>
      </c>
      <c r="BR2" s="46">
        <v>1</v>
      </c>
      <c r="BS2" s="46" t="s">
        <v>186</v>
      </c>
      <c r="BT2" s="40" t="str">
        <f t="shared" ref="BT2:CE2" si="0">IF(AQ2&gt;AQ$4, AQ2-AQ$4,"")</f>
        <v/>
      </c>
      <c r="BU2" s="40" t="str">
        <f t="shared" si="0"/>
        <v/>
      </c>
      <c r="BV2" s="40" t="str">
        <f t="shared" si="0"/>
        <v/>
      </c>
      <c r="BW2" s="40" t="str">
        <f t="shared" si="0"/>
        <v/>
      </c>
      <c r="BX2" s="40" t="str">
        <f t="shared" si="0"/>
        <v/>
      </c>
      <c r="BY2" s="40" t="str">
        <f t="shared" si="0"/>
        <v/>
      </c>
      <c r="BZ2" s="40" t="str">
        <f t="shared" si="0"/>
        <v/>
      </c>
      <c r="CA2" s="40" t="str">
        <f t="shared" si="0"/>
        <v/>
      </c>
      <c r="CB2" s="40" t="str">
        <f t="shared" si="0"/>
        <v/>
      </c>
      <c r="CC2" s="40" t="str">
        <f t="shared" si="0"/>
        <v/>
      </c>
      <c r="CD2" s="40" t="str">
        <f t="shared" si="0"/>
        <v/>
      </c>
      <c r="CE2" s="40" t="str">
        <f t="shared" si="0"/>
        <v/>
      </c>
      <c r="CF2" s="40">
        <f>COUNTIF(BT2:CE2, "&gt;0")</f>
        <v>0</v>
      </c>
      <c r="CG2" s="40" t="str">
        <f t="shared" ref="CG2:CR2" si="1">IF($CF2=1,BT2,"")</f>
        <v/>
      </c>
      <c r="CH2" s="40" t="str">
        <f t="shared" si="1"/>
        <v/>
      </c>
      <c r="CI2" s="40" t="str">
        <f t="shared" si="1"/>
        <v/>
      </c>
      <c r="CJ2" s="40" t="str">
        <f t="shared" si="1"/>
        <v/>
      </c>
      <c r="CK2" s="40" t="str">
        <f t="shared" si="1"/>
        <v/>
      </c>
      <c r="CL2" s="40" t="str">
        <f t="shared" si="1"/>
        <v/>
      </c>
      <c r="CM2" s="40" t="str">
        <f t="shared" si="1"/>
        <v/>
      </c>
      <c r="CN2" s="40" t="str">
        <f t="shared" si="1"/>
        <v/>
      </c>
      <c r="CO2" s="40" t="str">
        <f t="shared" si="1"/>
        <v/>
      </c>
      <c r="CP2" s="40" t="str">
        <f t="shared" si="1"/>
        <v/>
      </c>
      <c r="CQ2" s="40" t="str">
        <f t="shared" si="1"/>
        <v/>
      </c>
      <c r="CR2" s="40" t="str">
        <f t="shared" si="1"/>
        <v/>
      </c>
      <c r="CS2" s="47">
        <f>SUM(AE2:BO2)</f>
        <v>90</v>
      </c>
    </row>
    <row r="3" spans="1:97" s="58" customFormat="1" ht="27">
      <c r="A3" s="50"/>
      <c r="B3" s="50" t="s">
        <v>202</v>
      </c>
      <c r="C3" s="50" t="s">
        <v>87</v>
      </c>
      <c r="D3" s="50" t="s">
        <v>103</v>
      </c>
      <c r="E3" s="51"/>
      <c r="F3" s="51"/>
      <c r="G3" s="51"/>
      <c r="H3" s="51"/>
      <c r="I3" s="51">
        <v>10</v>
      </c>
      <c r="J3" s="51"/>
      <c r="K3" s="51"/>
      <c r="L3" s="51"/>
      <c r="M3" s="51"/>
      <c r="N3" s="51"/>
      <c r="O3" s="51"/>
      <c r="P3" s="52"/>
      <c r="Q3" s="52"/>
      <c r="R3" s="52">
        <v>10</v>
      </c>
      <c r="S3" s="52"/>
      <c r="T3" s="52"/>
      <c r="U3" s="52"/>
      <c r="V3" s="52"/>
      <c r="W3" s="52"/>
      <c r="X3" s="52">
        <v>10</v>
      </c>
      <c r="Y3" s="52"/>
      <c r="Z3" s="52"/>
      <c r="AA3" s="52"/>
      <c r="AB3" s="52"/>
      <c r="AC3" s="52"/>
      <c r="AD3" s="52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3"/>
      <c r="AR3" s="53"/>
      <c r="AS3" s="53"/>
      <c r="AT3" s="53">
        <v>10</v>
      </c>
      <c r="AU3" s="53"/>
      <c r="AV3" s="53"/>
      <c r="AW3" s="54"/>
      <c r="AX3" s="54"/>
      <c r="AY3" s="54"/>
      <c r="AZ3" s="54"/>
      <c r="BA3" s="54"/>
      <c r="BB3" s="54"/>
      <c r="BC3" s="55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>
        <f>SUM(E3:BO3)</f>
        <v>40</v>
      </c>
      <c r="BQ3" s="50">
        <v>8</v>
      </c>
      <c r="BR3" s="56">
        <v>2</v>
      </c>
      <c r="BS3" s="56" t="s">
        <v>221</v>
      </c>
      <c r="BT3" s="50" t="str">
        <f t="shared" ref="BT3:CE3" si="2">IF(AQ3&gt;AQ$141, AQ3-AQ$141,"")</f>
        <v/>
      </c>
      <c r="BU3" s="50" t="str">
        <f t="shared" si="2"/>
        <v/>
      </c>
      <c r="BV3" s="50" t="str">
        <f t="shared" si="2"/>
        <v/>
      </c>
      <c r="BW3" s="50">
        <f t="shared" si="2"/>
        <v>10</v>
      </c>
      <c r="BX3" s="50" t="str">
        <f t="shared" si="2"/>
        <v/>
      </c>
      <c r="BY3" s="50" t="str">
        <f t="shared" si="2"/>
        <v/>
      </c>
      <c r="BZ3" s="50" t="str">
        <f t="shared" si="2"/>
        <v/>
      </c>
      <c r="CA3" s="50" t="str">
        <f t="shared" si="2"/>
        <v/>
      </c>
      <c r="CB3" s="50" t="str">
        <f t="shared" si="2"/>
        <v/>
      </c>
      <c r="CC3" s="50" t="str">
        <f t="shared" si="2"/>
        <v/>
      </c>
      <c r="CD3" s="50" t="str">
        <f t="shared" si="2"/>
        <v/>
      </c>
      <c r="CE3" s="50" t="str">
        <f t="shared" si="2"/>
        <v/>
      </c>
      <c r="CF3" s="50"/>
      <c r="CG3" s="50"/>
      <c r="CH3" s="50"/>
      <c r="CI3" s="50"/>
      <c r="CJ3" s="50"/>
      <c r="CK3" s="50"/>
      <c r="CL3" s="50"/>
      <c r="CM3" s="50"/>
      <c r="CN3" s="50"/>
      <c r="CO3" s="50"/>
      <c r="CP3" s="50"/>
      <c r="CQ3" s="50"/>
      <c r="CR3" s="50"/>
      <c r="CS3" s="57"/>
    </row>
    <row r="4" spans="1:97">
      <c r="A4" s="1"/>
      <c r="B4" s="1" t="s">
        <v>54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73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80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160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161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162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163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200</v>
      </c>
      <c r="AQ11" s="7" t="s">
        <v>189</v>
      </c>
      <c r="AR11" s="7" t="s">
        <v>192</v>
      </c>
      <c r="AS11" s="7" t="s">
        <v>193</v>
      </c>
      <c r="AT11" s="7" t="s">
        <v>190</v>
      </c>
      <c r="AU11" s="7" t="s">
        <v>191</v>
      </c>
      <c r="AV11" s="7" t="s">
        <v>188</v>
      </c>
      <c r="AW11" s="7" t="s">
        <v>194</v>
      </c>
      <c r="AX11" s="7" t="s">
        <v>195</v>
      </c>
      <c r="AY11" s="7" t="s">
        <v>196</v>
      </c>
      <c r="AZ11" s="7" t="s">
        <v>197</v>
      </c>
      <c r="BA11" s="7" t="s">
        <v>198</v>
      </c>
      <c r="BB11" s="7" t="s">
        <v>199</v>
      </c>
    </row>
    <row r="12" spans="1:97">
      <c r="R12" s="7" t="s">
        <v>201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71</v>
      </c>
      <c r="B1" s="5" t="s">
        <v>68</v>
      </c>
      <c r="C1" s="5" t="s">
        <v>72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51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53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51</v>
      </c>
      <c r="K19" s="10" t="s">
        <v>53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164</v>
      </c>
      <c r="D27" t="s">
        <v>165</v>
      </c>
      <c r="E27" t="s">
        <v>166</v>
      </c>
      <c r="F27" t="s">
        <v>167</v>
      </c>
      <c r="G27" t="s">
        <v>168</v>
      </c>
      <c r="H27" t="s">
        <v>169</v>
      </c>
      <c r="I27" t="s">
        <v>170</v>
      </c>
      <c r="J27" t="s">
        <v>171</v>
      </c>
      <c r="K27" t="s">
        <v>172</v>
      </c>
      <c r="L27" t="s">
        <v>173</v>
      </c>
      <c r="M27" t="s">
        <v>174</v>
      </c>
      <c r="N27" t="s">
        <v>175</v>
      </c>
    </row>
    <row r="31" spans="3:18">
      <c r="C31">
        <v>-3</v>
      </c>
      <c r="D31" t="s">
        <v>164</v>
      </c>
    </row>
    <row r="32" spans="3:18">
      <c r="C32">
        <v>-8</v>
      </c>
      <c r="D32" t="s">
        <v>165</v>
      </c>
    </row>
    <row r="33" spans="3:4">
      <c r="C33">
        <v>-3</v>
      </c>
      <c r="D33" t="s">
        <v>166</v>
      </c>
    </row>
    <row r="34" spans="3:4">
      <c r="C34">
        <v>1</v>
      </c>
      <c r="D34" t="s">
        <v>167</v>
      </c>
    </row>
    <row r="35" spans="3:4">
      <c r="C35">
        <v>3</v>
      </c>
      <c r="D35" t="s">
        <v>168</v>
      </c>
    </row>
    <row r="36" spans="3:4">
      <c r="C36">
        <v>0</v>
      </c>
      <c r="D36" t="s">
        <v>169</v>
      </c>
    </row>
    <row r="37" spans="3:4">
      <c r="C37">
        <v>-3</v>
      </c>
      <c r="D37" t="s">
        <v>170</v>
      </c>
    </row>
    <row r="38" spans="3:4">
      <c r="C38">
        <v>30</v>
      </c>
      <c r="D38" t="s">
        <v>171</v>
      </c>
    </row>
    <row r="39" spans="3:4">
      <c r="C39">
        <v>5</v>
      </c>
      <c r="D39" t="s">
        <v>172</v>
      </c>
    </row>
    <row r="40" spans="3:4">
      <c r="C40">
        <v>-10</v>
      </c>
      <c r="D40" t="s">
        <v>173</v>
      </c>
    </row>
    <row r="41" spans="3:4">
      <c r="C41">
        <v>3</v>
      </c>
      <c r="D41" t="s">
        <v>174</v>
      </c>
    </row>
    <row r="42" spans="3:4">
      <c r="C42">
        <v>138</v>
      </c>
      <c r="D42" t="s">
        <v>175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77</v>
      </c>
      <c r="B1" s="8" t="s">
        <v>78</v>
      </c>
      <c r="C1" s="8" t="s">
        <v>79</v>
      </c>
    </row>
    <row r="2" spans="1:3">
      <c r="A2" s="1">
        <v>5</v>
      </c>
      <c r="B2" s="10" t="s">
        <v>53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51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222</v>
      </c>
      <c r="F3" t="s">
        <v>223</v>
      </c>
      <c r="G3" t="s">
        <v>224</v>
      </c>
      <c r="H3" t="s">
        <v>225</v>
      </c>
      <c r="I3" t="s">
        <v>226</v>
      </c>
      <c r="J3" t="s">
        <v>227</v>
      </c>
    </row>
    <row r="4" spans="3:10">
      <c r="C4" s="67" t="s">
        <v>228</v>
      </c>
      <c r="D4" t="s">
        <v>229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67" t="s">
        <v>230</v>
      </c>
      <c r="D5" t="s">
        <v>231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67" t="s">
        <v>232</v>
      </c>
      <c r="D6" t="s">
        <v>231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67" t="s">
        <v>233</v>
      </c>
      <c r="D7" t="s">
        <v>231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234</v>
      </c>
      <c r="D8" t="s">
        <v>235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67" t="s">
        <v>236</v>
      </c>
      <c r="D9" t="s">
        <v>235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67" t="s">
        <v>237</v>
      </c>
      <c r="D10" t="s">
        <v>235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67" t="s">
        <v>240</v>
      </c>
      <c r="D11" t="s">
        <v>231</v>
      </c>
      <c r="E11" s="68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238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238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238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238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239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235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235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235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2020-04-30T09:25:45Z</dcterms:modified>
</cp:coreProperties>
</file>