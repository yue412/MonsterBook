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/>
  </bookViews>
  <sheets>
    <sheet name="Sheet1" sheetId="1" r:id="rId1"/>
    <sheet name="Sheet1 (2)" sheetId="6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Sheet1!$A$1:$BP$116</definedName>
    <definedName name="_xlnm._FilterDatabase" localSheetId="1" hidden="1">'Sheet1 (2)'!$A$1:$BP$8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O13" i="6" l="1"/>
  <c r="BO15" i="6" s="1"/>
  <c r="BN13" i="6"/>
  <c r="BN15" i="6" s="1"/>
  <c r="BM13" i="6"/>
  <c r="BM15" i="6" s="1"/>
  <c r="BL13" i="6"/>
  <c r="BL15" i="6" s="1"/>
  <c r="BK13" i="6"/>
  <c r="BK15" i="6" s="1"/>
  <c r="BJ13" i="6"/>
  <c r="BJ15" i="6" s="1"/>
  <c r="BI13" i="6"/>
  <c r="BI15" i="6" s="1"/>
  <c r="BH13" i="6"/>
  <c r="BH15" i="6" s="1"/>
  <c r="BG13" i="6"/>
  <c r="BG15" i="6" s="1"/>
  <c r="BF13" i="6"/>
  <c r="BF15" i="6" s="1"/>
  <c r="BE13" i="6"/>
  <c r="BE15" i="6" s="1"/>
  <c r="BD13" i="6"/>
  <c r="BD15" i="6" s="1"/>
  <c r="BC13" i="6"/>
  <c r="BC15" i="6" s="1"/>
  <c r="BB13" i="6"/>
  <c r="BB15" i="6" s="1"/>
  <c r="BA13" i="6"/>
  <c r="BA15" i="6" s="1"/>
  <c r="AZ13" i="6"/>
  <c r="AZ15" i="6" s="1"/>
  <c r="AY13" i="6"/>
  <c r="AY15" i="6" s="1"/>
  <c r="AX13" i="6"/>
  <c r="AX15" i="6" s="1"/>
  <c r="AW13" i="6"/>
  <c r="AW15" i="6" s="1"/>
  <c r="AV13" i="6"/>
  <c r="AV15" i="6" s="1"/>
  <c r="AU13" i="6"/>
  <c r="AU15" i="6" s="1"/>
  <c r="AT13" i="6"/>
  <c r="AT15" i="6" s="1"/>
  <c r="AS13" i="6"/>
  <c r="AS15" i="6" s="1"/>
  <c r="AR13" i="6"/>
  <c r="AR15" i="6" s="1"/>
  <c r="AQ13" i="6"/>
  <c r="AQ15" i="6" s="1"/>
  <c r="AP13" i="6"/>
  <c r="AP15" i="6" s="1"/>
  <c r="AO13" i="6"/>
  <c r="AO15" i="6" s="1"/>
  <c r="AN13" i="6"/>
  <c r="AN15" i="6" s="1"/>
  <c r="AM13" i="6"/>
  <c r="AM15" i="6" s="1"/>
  <c r="AL13" i="6"/>
  <c r="AL15" i="6" s="1"/>
  <c r="AK13" i="6"/>
  <c r="AK15" i="6" s="1"/>
  <c r="AJ13" i="6"/>
  <c r="AJ15" i="6" s="1"/>
  <c r="AI13" i="6"/>
  <c r="AI15" i="6" s="1"/>
  <c r="AH13" i="6"/>
  <c r="AH15" i="6" s="1"/>
  <c r="AG13" i="6"/>
  <c r="AG15" i="6" s="1"/>
  <c r="AF13" i="6"/>
  <c r="AF15" i="6" s="1"/>
  <c r="AE13" i="6"/>
  <c r="AE15" i="6" s="1"/>
  <c r="AD13" i="6"/>
  <c r="AD15" i="6" s="1"/>
  <c r="AC13" i="6"/>
  <c r="AC15" i="6" s="1"/>
  <c r="AB13" i="6"/>
  <c r="AB15" i="6" s="1"/>
  <c r="AA13" i="6"/>
  <c r="AA15" i="6" s="1"/>
  <c r="Z13" i="6"/>
  <c r="Z15" i="6" s="1"/>
  <c r="Y13" i="6"/>
  <c r="Y15" i="6" s="1"/>
  <c r="X13" i="6"/>
  <c r="X15" i="6" s="1"/>
  <c r="W13" i="6"/>
  <c r="W15" i="6" s="1"/>
  <c r="V13" i="6"/>
  <c r="V15" i="6" s="1"/>
  <c r="U13" i="6"/>
  <c r="U15" i="6" s="1"/>
  <c r="T13" i="6"/>
  <c r="T15" i="6" s="1"/>
  <c r="S13" i="6"/>
  <c r="S15" i="6" s="1"/>
  <c r="R13" i="6"/>
  <c r="R15" i="6" s="1"/>
  <c r="Q13" i="6"/>
  <c r="Q15" i="6" s="1"/>
  <c r="P13" i="6"/>
  <c r="P15" i="6" s="1"/>
  <c r="O13" i="6"/>
  <c r="O15" i="6" s="1"/>
  <c r="N13" i="6"/>
  <c r="N15" i="6" s="1"/>
  <c r="M13" i="6"/>
  <c r="M15" i="6" s="1"/>
  <c r="L13" i="6"/>
  <c r="L15" i="6" s="1"/>
  <c r="K13" i="6"/>
  <c r="K15" i="6" s="1"/>
  <c r="J13" i="6"/>
  <c r="J15" i="6" s="1"/>
  <c r="I13" i="6"/>
  <c r="I15" i="6" s="1"/>
  <c r="H13" i="6"/>
  <c r="H15" i="6" s="1"/>
  <c r="G13" i="6"/>
  <c r="G15" i="6" s="1"/>
  <c r="F13" i="6"/>
  <c r="F15" i="6" s="1"/>
  <c r="E13" i="6"/>
  <c r="E15" i="6" s="1"/>
  <c r="BO12" i="6"/>
  <c r="BO14" i="6" s="1"/>
  <c r="BN12" i="6"/>
  <c r="BN14" i="6" s="1"/>
  <c r="BM12" i="6"/>
  <c r="BM14" i="6" s="1"/>
  <c r="BL12" i="6"/>
  <c r="BL14" i="6" s="1"/>
  <c r="BK12" i="6"/>
  <c r="BK14" i="6" s="1"/>
  <c r="BJ12" i="6"/>
  <c r="BJ14" i="6" s="1"/>
  <c r="BI12" i="6"/>
  <c r="BI14" i="6" s="1"/>
  <c r="BH12" i="6"/>
  <c r="BH14" i="6" s="1"/>
  <c r="BG12" i="6"/>
  <c r="BG14" i="6" s="1"/>
  <c r="BF12" i="6"/>
  <c r="BF14" i="6" s="1"/>
  <c r="BE12" i="6"/>
  <c r="BE14" i="6" s="1"/>
  <c r="BD12" i="6"/>
  <c r="BD14" i="6" s="1"/>
  <c r="BC12" i="6"/>
  <c r="BC14" i="6" s="1"/>
  <c r="BB12" i="6"/>
  <c r="BB14" i="6" s="1"/>
  <c r="BA12" i="6"/>
  <c r="BA14" i="6" s="1"/>
  <c r="AZ12" i="6"/>
  <c r="AZ14" i="6" s="1"/>
  <c r="AY12" i="6"/>
  <c r="AY14" i="6" s="1"/>
  <c r="AX12" i="6"/>
  <c r="AX14" i="6" s="1"/>
  <c r="AW12" i="6"/>
  <c r="AW14" i="6" s="1"/>
  <c r="AV12" i="6"/>
  <c r="AV14" i="6" s="1"/>
  <c r="AU12" i="6"/>
  <c r="AU14" i="6" s="1"/>
  <c r="AT12" i="6"/>
  <c r="AT14" i="6" s="1"/>
  <c r="AS12" i="6"/>
  <c r="AS14" i="6" s="1"/>
  <c r="AR12" i="6"/>
  <c r="AR14" i="6" s="1"/>
  <c r="AQ12" i="6"/>
  <c r="AQ14" i="6" s="1"/>
  <c r="AP12" i="6"/>
  <c r="AP14" i="6" s="1"/>
  <c r="AO12" i="6"/>
  <c r="AO14" i="6" s="1"/>
  <c r="AN12" i="6"/>
  <c r="AN14" i="6" s="1"/>
  <c r="AM12" i="6"/>
  <c r="AM14" i="6" s="1"/>
  <c r="AL12" i="6"/>
  <c r="AL14" i="6" s="1"/>
  <c r="AK12" i="6"/>
  <c r="AK14" i="6" s="1"/>
  <c r="AJ12" i="6"/>
  <c r="AJ14" i="6" s="1"/>
  <c r="AI12" i="6"/>
  <c r="AI14" i="6" s="1"/>
  <c r="AH12" i="6"/>
  <c r="AH14" i="6" s="1"/>
  <c r="AG12" i="6"/>
  <c r="AG14" i="6" s="1"/>
  <c r="AF12" i="6"/>
  <c r="AF14" i="6" s="1"/>
  <c r="AE12" i="6"/>
  <c r="AE14" i="6" s="1"/>
  <c r="AD12" i="6"/>
  <c r="AD14" i="6" s="1"/>
  <c r="AC12" i="6"/>
  <c r="AC14" i="6" s="1"/>
  <c r="AB12" i="6"/>
  <c r="AB14" i="6" s="1"/>
  <c r="AA12" i="6"/>
  <c r="AA14" i="6" s="1"/>
  <c r="Z12" i="6"/>
  <c r="Z14" i="6" s="1"/>
  <c r="Y12" i="6"/>
  <c r="Y14" i="6" s="1"/>
  <c r="X12" i="6"/>
  <c r="X14" i="6" s="1"/>
  <c r="W12" i="6"/>
  <c r="W14" i="6" s="1"/>
  <c r="V12" i="6"/>
  <c r="V14" i="6" s="1"/>
  <c r="U12" i="6"/>
  <c r="U14" i="6" s="1"/>
  <c r="T12" i="6"/>
  <c r="T14" i="6" s="1"/>
  <c r="S12" i="6"/>
  <c r="S14" i="6" s="1"/>
  <c r="R12" i="6"/>
  <c r="R14" i="6" s="1"/>
  <c r="Q12" i="6"/>
  <c r="Q14" i="6" s="1"/>
  <c r="P12" i="6"/>
  <c r="P14" i="6" s="1"/>
  <c r="O12" i="6"/>
  <c r="O14" i="6" s="1"/>
  <c r="N12" i="6"/>
  <c r="N14" i="6" s="1"/>
  <c r="M12" i="6"/>
  <c r="M14" i="6" s="1"/>
  <c r="L12" i="6"/>
  <c r="L14" i="6" s="1"/>
  <c r="K12" i="6"/>
  <c r="K14" i="6" s="1"/>
  <c r="J12" i="6"/>
  <c r="J14" i="6" s="1"/>
  <c r="I12" i="6"/>
  <c r="I14" i="6" s="1"/>
  <c r="H12" i="6"/>
  <c r="H14" i="6" s="1"/>
  <c r="G12" i="6"/>
  <c r="G14" i="6" s="1"/>
  <c r="F12" i="6"/>
  <c r="F14" i="6" s="1"/>
  <c r="E12" i="6"/>
  <c r="E14" i="6" s="1"/>
  <c r="BO9" i="6"/>
  <c r="BO11" i="6" s="1"/>
  <c r="BN9" i="6"/>
  <c r="BN11" i="6" s="1"/>
  <c r="BM9" i="6"/>
  <c r="BM11" i="6" s="1"/>
  <c r="BL9" i="6"/>
  <c r="BL11" i="6" s="1"/>
  <c r="BK9" i="6"/>
  <c r="BK11" i="6" s="1"/>
  <c r="BJ9" i="6"/>
  <c r="BJ11" i="6" s="1"/>
  <c r="BI9" i="6"/>
  <c r="BI11" i="6" s="1"/>
  <c r="BH9" i="6"/>
  <c r="BH11" i="6" s="1"/>
  <c r="BG9" i="6"/>
  <c r="BG11" i="6" s="1"/>
  <c r="BF9" i="6"/>
  <c r="BF11" i="6" s="1"/>
  <c r="BE9" i="6"/>
  <c r="BE11" i="6" s="1"/>
  <c r="BD9" i="6"/>
  <c r="BD11" i="6" s="1"/>
  <c r="BC9" i="6"/>
  <c r="BC11" i="6" s="1"/>
  <c r="BB9" i="6"/>
  <c r="BA9" i="6"/>
  <c r="BA11" i="6" s="1"/>
  <c r="AZ9" i="6"/>
  <c r="AZ11" i="6" s="1"/>
  <c r="AY9" i="6"/>
  <c r="CB8" i="6" s="1"/>
  <c r="AX9" i="6"/>
  <c r="AW9" i="6"/>
  <c r="AV9" i="6"/>
  <c r="BY8" i="6" s="1"/>
  <c r="AU9" i="6"/>
  <c r="AT9" i="6"/>
  <c r="BW7" i="6" s="1"/>
  <c r="AS9" i="6"/>
  <c r="BV8" i="6" s="1"/>
  <c r="AR9" i="6"/>
  <c r="AQ9" i="6"/>
  <c r="BT7" i="6" s="1"/>
  <c r="AP9" i="6"/>
  <c r="AP11" i="6" s="1"/>
  <c r="AO9" i="6"/>
  <c r="AO11" i="6" s="1"/>
  <c r="AN9" i="6"/>
  <c r="AN11" i="6" s="1"/>
  <c r="AM9" i="6"/>
  <c r="AM11" i="6" s="1"/>
  <c r="AL9" i="6"/>
  <c r="AL11" i="6" s="1"/>
  <c r="AK9" i="6"/>
  <c r="AK11" i="6" s="1"/>
  <c r="AJ9" i="6"/>
  <c r="AJ11" i="6" s="1"/>
  <c r="AI9" i="6"/>
  <c r="AI11" i="6" s="1"/>
  <c r="AH9" i="6"/>
  <c r="AH11" i="6" s="1"/>
  <c r="AG9" i="6"/>
  <c r="AG11" i="6" s="1"/>
  <c r="AF9" i="6"/>
  <c r="AF11" i="6" s="1"/>
  <c r="AE9" i="6"/>
  <c r="AE11" i="6" s="1"/>
  <c r="AD9" i="6"/>
  <c r="AD11" i="6" s="1"/>
  <c r="AC9" i="6"/>
  <c r="AC11" i="6" s="1"/>
  <c r="AB9" i="6"/>
  <c r="AB11" i="6" s="1"/>
  <c r="AA9" i="6"/>
  <c r="AA11" i="6" s="1"/>
  <c r="Z9" i="6"/>
  <c r="Z11" i="6" s="1"/>
  <c r="Y9" i="6"/>
  <c r="Y11" i="6" s="1"/>
  <c r="X9" i="6"/>
  <c r="X11" i="6" s="1"/>
  <c r="W9" i="6"/>
  <c r="W11" i="6" s="1"/>
  <c r="V9" i="6"/>
  <c r="V11" i="6" s="1"/>
  <c r="U9" i="6"/>
  <c r="U11" i="6" s="1"/>
  <c r="T9" i="6"/>
  <c r="T11" i="6" s="1"/>
  <c r="S9" i="6"/>
  <c r="S11" i="6" s="1"/>
  <c r="R9" i="6"/>
  <c r="R11" i="6" s="1"/>
  <c r="Q9" i="6"/>
  <c r="Q11" i="6" s="1"/>
  <c r="P9" i="6"/>
  <c r="P11" i="6" s="1"/>
  <c r="O9" i="6"/>
  <c r="O11" i="6" s="1"/>
  <c r="N9" i="6"/>
  <c r="N11" i="6" s="1"/>
  <c r="M9" i="6"/>
  <c r="M11" i="6" s="1"/>
  <c r="L9" i="6"/>
  <c r="L11" i="6" s="1"/>
  <c r="K9" i="6"/>
  <c r="K11" i="6" s="1"/>
  <c r="J9" i="6"/>
  <c r="J11" i="6" s="1"/>
  <c r="I9" i="6"/>
  <c r="I11" i="6" s="1"/>
  <c r="H9" i="6"/>
  <c r="H11" i="6" s="1"/>
  <c r="G9" i="6"/>
  <c r="G11" i="6" s="1"/>
  <c r="F9" i="6"/>
  <c r="F11" i="6" s="1"/>
  <c r="E9" i="6"/>
  <c r="E11" i="6" s="1"/>
  <c r="BT8" i="6"/>
  <c r="BP8" i="6"/>
  <c r="CS7" i="6"/>
  <c r="BP7" i="6"/>
  <c r="BW6" i="6"/>
  <c r="BP6" i="6"/>
  <c r="CS5" i="6"/>
  <c r="BP5" i="6"/>
  <c r="CS4" i="6"/>
  <c r="CB4" i="6"/>
  <c r="BP4" i="6"/>
  <c r="CS3" i="6"/>
  <c r="BV3" i="6"/>
  <c r="BT3" i="6"/>
  <c r="BP3" i="6"/>
  <c r="CS2" i="6"/>
  <c r="BW2" i="6"/>
  <c r="BT2" i="6"/>
  <c r="BP2" i="6"/>
  <c r="BT5" i="6" l="1"/>
  <c r="BW5" i="6"/>
  <c r="BW3" i="6"/>
  <c r="BT6" i="6"/>
  <c r="CC6" i="6"/>
  <c r="BT4" i="6"/>
  <c r="BW4" i="6"/>
  <c r="BZ4" i="6"/>
  <c r="BZ8" i="6"/>
  <c r="CC2" i="6"/>
  <c r="CC4" i="6"/>
  <c r="BU3" i="6"/>
  <c r="CA4" i="6"/>
  <c r="CD3" i="6"/>
  <c r="CA7" i="6"/>
  <c r="CD4" i="6"/>
  <c r="BY3" i="6"/>
  <c r="CD8" i="6"/>
  <c r="BY2" i="6"/>
  <c r="BY7" i="6"/>
  <c r="BZ2" i="6"/>
  <c r="BY5" i="6"/>
  <c r="CD2" i="6"/>
  <c r="CD5" i="6"/>
  <c r="BY6" i="6"/>
  <c r="CB7" i="6"/>
  <c r="BY4" i="6"/>
  <c r="CD6" i="6"/>
  <c r="CE6" i="6"/>
  <c r="BU5" i="6"/>
  <c r="BU8" i="6"/>
  <c r="BU7" i="6"/>
  <c r="CA3" i="6"/>
  <c r="CE4" i="6"/>
  <c r="BW8" i="6"/>
  <c r="CA2" i="6"/>
  <c r="BU6" i="6"/>
  <c r="CE5" i="6"/>
  <c r="CE2" i="6"/>
  <c r="CA6" i="6"/>
  <c r="CE7" i="6"/>
  <c r="CE8" i="6"/>
  <c r="AW11" i="6"/>
  <c r="CC7" i="6"/>
  <c r="CC8" i="6"/>
  <c r="BZ3" i="6"/>
  <c r="CB2" i="6"/>
  <c r="BV6" i="6"/>
  <c r="CB3" i="6"/>
  <c r="BX6" i="6"/>
  <c r="BZ6" i="6"/>
  <c r="BZ5" i="6"/>
  <c r="BZ7" i="6"/>
  <c r="CC5" i="6"/>
  <c r="CB6" i="6"/>
  <c r="AQ11" i="6"/>
  <c r="CC3" i="6"/>
  <c r="CD7" i="6"/>
  <c r="AR11" i="6"/>
  <c r="BU2" i="6"/>
  <c r="CE3" i="6"/>
  <c r="BU4" i="6"/>
  <c r="CA5" i="6"/>
  <c r="CA8" i="6"/>
  <c r="BB11" i="6"/>
  <c r="BV2" i="6"/>
  <c r="BV4" i="6"/>
  <c r="CB5" i="6"/>
  <c r="BV7" i="6"/>
  <c r="BV5" i="6"/>
  <c r="BX8" i="6"/>
  <c r="BX7" i="6"/>
  <c r="BX5" i="6"/>
  <c r="AU11" i="6"/>
  <c r="BX4" i="6"/>
  <c r="BX3" i="6"/>
  <c r="BX2" i="6"/>
  <c r="CS9" i="6"/>
  <c r="AS11" i="6"/>
  <c r="AT11" i="6"/>
  <c r="AV11" i="6"/>
  <c r="AX11" i="6"/>
  <c r="AY11" i="6"/>
  <c r="BP17" i="1"/>
  <c r="BY9" i="6" l="1"/>
  <c r="BW9" i="6"/>
  <c r="BT9" i="6"/>
  <c r="BU9" i="6"/>
  <c r="BV9" i="6"/>
  <c r="CA9" i="6"/>
  <c r="CB9" i="6"/>
  <c r="CF5" i="6"/>
  <c r="CQ5" i="6" s="1"/>
  <c r="CF2" i="6"/>
  <c r="CN2" i="6" s="1"/>
  <c r="CF7" i="6"/>
  <c r="CG7" i="6" s="1"/>
  <c r="CC9" i="6"/>
  <c r="BZ9" i="6"/>
  <c r="CF4" i="6"/>
  <c r="CL4" i="6" s="1"/>
  <c r="CD9" i="6"/>
  <c r="CF3" i="6"/>
  <c r="CR3" i="6" s="1"/>
  <c r="CE9" i="6"/>
  <c r="BX9" i="6"/>
  <c r="BP49" i="1"/>
  <c r="BP37" i="1"/>
  <c r="BP15" i="1"/>
  <c r="CO3" i="6" l="1"/>
  <c r="CQ4" i="6"/>
  <c r="CR5" i="6"/>
  <c r="CG5" i="6"/>
  <c r="CI5" i="6"/>
  <c r="CM4" i="6"/>
  <c r="CO4" i="6"/>
  <c r="CH4" i="6"/>
  <c r="CK4" i="6"/>
  <c r="CI4" i="6"/>
  <c r="CN4" i="6"/>
  <c r="CP4" i="6"/>
  <c r="CQ7" i="6"/>
  <c r="CH7" i="6"/>
  <c r="CI7" i="6"/>
  <c r="CP7" i="6"/>
  <c r="CJ7" i="6"/>
  <c r="CK7" i="6"/>
  <c r="CL7" i="6"/>
  <c r="CQ2" i="6"/>
  <c r="CN7" i="6"/>
  <c r="CM7" i="6"/>
  <c r="CO7" i="6"/>
  <c r="CR7" i="6"/>
  <c r="CJ4" i="6"/>
  <c r="CQ3" i="6"/>
  <c r="CR2" i="6"/>
  <c r="CG3" i="6"/>
  <c r="CJ5" i="6"/>
  <c r="CM2" i="6"/>
  <c r="CH3" i="6"/>
  <c r="CK5" i="6"/>
  <c r="CP2" i="6"/>
  <c r="CI3" i="6"/>
  <c r="CL5" i="6"/>
  <c r="CG2" i="6"/>
  <c r="CM5" i="6"/>
  <c r="CJ2" i="6"/>
  <c r="CO5" i="6"/>
  <c r="CL2" i="6"/>
  <c r="CK2" i="6"/>
  <c r="CM3" i="6"/>
  <c r="CH2" i="6"/>
  <c r="CH5" i="6"/>
  <c r="CI2" i="6"/>
  <c r="CN5" i="6"/>
  <c r="CP5" i="6"/>
  <c r="CO2" i="6"/>
  <c r="CK3" i="6"/>
  <c r="CR4" i="6"/>
  <c r="CG4" i="6"/>
  <c r="CL3" i="6"/>
  <c r="CL9" i="6" s="1"/>
  <c r="CN3" i="6"/>
  <c r="CJ3" i="6"/>
  <c r="CP3" i="6"/>
  <c r="BC120" i="1"/>
  <c r="BC122" i="1" s="1"/>
  <c r="BD120" i="1"/>
  <c r="BD122" i="1" s="1"/>
  <c r="BE120" i="1"/>
  <c r="BE122" i="1" s="1"/>
  <c r="BF120" i="1"/>
  <c r="BF122" i="1" s="1"/>
  <c r="BG120" i="1"/>
  <c r="BG122" i="1" s="1"/>
  <c r="BH120" i="1"/>
  <c r="BH122" i="1" s="1"/>
  <c r="BI120" i="1"/>
  <c r="BI122" i="1" s="1"/>
  <c r="BJ120" i="1"/>
  <c r="BJ122" i="1" s="1"/>
  <c r="BK120" i="1"/>
  <c r="BK122" i="1" s="1"/>
  <c r="BL120" i="1"/>
  <c r="BL122" i="1" s="1"/>
  <c r="BM120" i="1"/>
  <c r="BM122" i="1" s="1"/>
  <c r="BN120" i="1"/>
  <c r="BN122" i="1" s="1"/>
  <c r="BO120" i="1"/>
  <c r="BO122" i="1" s="1"/>
  <c r="BC121" i="1"/>
  <c r="BC123" i="1" s="1"/>
  <c r="BD121" i="1"/>
  <c r="BD123" i="1" s="1"/>
  <c r="BE121" i="1"/>
  <c r="BE123" i="1" s="1"/>
  <c r="BF121" i="1"/>
  <c r="BF123" i="1" s="1"/>
  <c r="BG121" i="1"/>
  <c r="BG123" i="1" s="1"/>
  <c r="BH121" i="1"/>
  <c r="BH123" i="1" s="1"/>
  <c r="BI121" i="1"/>
  <c r="BI123" i="1" s="1"/>
  <c r="BJ121" i="1"/>
  <c r="BJ123" i="1" s="1"/>
  <c r="BK121" i="1"/>
  <c r="BK123" i="1" s="1"/>
  <c r="BL121" i="1"/>
  <c r="BL123" i="1" s="1"/>
  <c r="BM121" i="1"/>
  <c r="BM123" i="1" s="1"/>
  <c r="BN121" i="1"/>
  <c r="BN123" i="1" s="1"/>
  <c r="BO121" i="1"/>
  <c r="BO123" i="1" s="1"/>
  <c r="BA120" i="1"/>
  <c r="BA122" i="1" s="1"/>
  <c r="BB120" i="1"/>
  <c r="BB122" i="1" s="1"/>
  <c r="BA121" i="1"/>
  <c r="BA123" i="1" s="1"/>
  <c r="BB121" i="1"/>
  <c r="BB123" i="1" s="1"/>
  <c r="AQ120" i="1"/>
  <c r="AQ122" i="1" s="1"/>
  <c r="AR120" i="1"/>
  <c r="AR122" i="1" s="1"/>
  <c r="AS120" i="1"/>
  <c r="AS122" i="1" s="1"/>
  <c r="AT120" i="1"/>
  <c r="AT122" i="1" s="1"/>
  <c r="AU120" i="1"/>
  <c r="AU122" i="1" s="1"/>
  <c r="AV120" i="1"/>
  <c r="AV122" i="1" s="1"/>
  <c r="AW120" i="1"/>
  <c r="AW122" i="1" s="1"/>
  <c r="AX120" i="1"/>
  <c r="AX122" i="1" s="1"/>
  <c r="AY120" i="1"/>
  <c r="AY122" i="1" s="1"/>
  <c r="AZ120" i="1"/>
  <c r="AZ122" i="1" s="1"/>
  <c r="AQ121" i="1"/>
  <c r="AQ123" i="1" s="1"/>
  <c r="AR121" i="1"/>
  <c r="AR123" i="1" s="1"/>
  <c r="AS121" i="1"/>
  <c r="AS123" i="1" s="1"/>
  <c r="AT121" i="1"/>
  <c r="AT123" i="1" s="1"/>
  <c r="AU121" i="1"/>
  <c r="AU123" i="1" s="1"/>
  <c r="AV121" i="1"/>
  <c r="AV123" i="1" s="1"/>
  <c r="AW121" i="1"/>
  <c r="AW123" i="1" s="1"/>
  <c r="AX121" i="1"/>
  <c r="AX123" i="1" s="1"/>
  <c r="AY121" i="1"/>
  <c r="AY123" i="1" s="1"/>
  <c r="AZ121" i="1"/>
  <c r="AZ123" i="1" s="1"/>
  <c r="AI120" i="1"/>
  <c r="AI122" i="1" s="1"/>
  <c r="AJ120" i="1"/>
  <c r="AJ122" i="1" s="1"/>
  <c r="AK120" i="1"/>
  <c r="AK122" i="1" s="1"/>
  <c r="AL120" i="1"/>
  <c r="AL122" i="1" s="1"/>
  <c r="AM120" i="1"/>
  <c r="AM122" i="1" s="1"/>
  <c r="AN120" i="1"/>
  <c r="AN122" i="1" s="1"/>
  <c r="AO120" i="1"/>
  <c r="AO122" i="1" s="1"/>
  <c r="AP120" i="1"/>
  <c r="AP122" i="1" s="1"/>
  <c r="AI121" i="1"/>
  <c r="AI123" i="1" s="1"/>
  <c r="AJ121" i="1"/>
  <c r="AJ123" i="1" s="1"/>
  <c r="AK121" i="1"/>
  <c r="AK123" i="1" s="1"/>
  <c r="AL121" i="1"/>
  <c r="AL123" i="1" s="1"/>
  <c r="AM121" i="1"/>
  <c r="AM123" i="1" s="1"/>
  <c r="AN121" i="1"/>
  <c r="AN123" i="1" s="1"/>
  <c r="AO121" i="1"/>
  <c r="AO123" i="1" s="1"/>
  <c r="AP121" i="1"/>
  <c r="AP123" i="1" s="1"/>
  <c r="AC120" i="1"/>
  <c r="AC122" i="1" s="1"/>
  <c r="AD120" i="1"/>
  <c r="AD122" i="1" s="1"/>
  <c r="AE120" i="1"/>
  <c r="AE122" i="1" s="1"/>
  <c r="AF120" i="1"/>
  <c r="AF122" i="1" s="1"/>
  <c r="AG120" i="1"/>
  <c r="AG122" i="1" s="1"/>
  <c r="AH120" i="1"/>
  <c r="AH122" i="1" s="1"/>
  <c r="AC121" i="1"/>
  <c r="AC123" i="1" s="1"/>
  <c r="AD121" i="1"/>
  <c r="AD123" i="1" s="1"/>
  <c r="AE121" i="1"/>
  <c r="AE123" i="1" s="1"/>
  <c r="AF121" i="1"/>
  <c r="AF123" i="1" s="1"/>
  <c r="AG121" i="1"/>
  <c r="AG123" i="1" s="1"/>
  <c r="AH121" i="1"/>
  <c r="AH123" i="1" s="1"/>
  <c r="W120" i="1"/>
  <c r="W122" i="1" s="1"/>
  <c r="X120" i="1"/>
  <c r="X122" i="1" s="1"/>
  <c r="Y120" i="1"/>
  <c r="Y122" i="1" s="1"/>
  <c r="Z120" i="1"/>
  <c r="Z122" i="1" s="1"/>
  <c r="AA120" i="1"/>
  <c r="AA122" i="1" s="1"/>
  <c r="AB120" i="1"/>
  <c r="AB122" i="1" s="1"/>
  <c r="W121" i="1"/>
  <c r="W123" i="1" s="1"/>
  <c r="X121" i="1"/>
  <c r="X123" i="1" s="1"/>
  <c r="Y121" i="1"/>
  <c r="Y123" i="1" s="1"/>
  <c r="Z121" i="1"/>
  <c r="Z123" i="1" s="1"/>
  <c r="AA121" i="1"/>
  <c r="AA123" i="1" s="1"/>
  <c r="AB121" i="1"/>
  <c r="AB123" i="1" s="1"/>
  <c r="P120" i="1"/>
  <c r="P122" i="1" s="1"/>
  <c r="Q120" i="1"/>
  <c r="Q122" i="1" s="1"/>
  <c r="R120" i="1"/>
  <c r="R122" i="1" s="1"/>
  <c r="S120" i="1"/>
  <c r="S122" i="1" s="1"/>
  <c r="T120" i="1"/>
  <c r="T122" i="1" s="1"/>
  <c r="U120" i="1"/>
  <c r="U122" i="1" s="1"/>
  <c r="V120" i="1"/>
  <c r="V122" i="1" s="1"/>
  <c r="P121" i="1"/>
  <c r="P123" i="1" s="1"/>
  <c r="Q121" i="1"/>
  <c r="Q123" i="1" s="1"/>
  <c r="R121" i="1"/>
  <c r="R123" i="1" s="1"/>
  <c r="S121" i="1"/>
  <c r="S123" i="1" s="1"/>
  <c r="T121" i="1"/>
  <c r="T123" i="1" s="1"/>
  <c r="U121" i="1"/>
  <c r="U123" i="1" s="1"/>
  <c r="V121" i="1"/>
  <c r="V123" i="1" s="1"/>
  <c r="G120" i="1"/>
  <c r="G122" i="1" s="1"/>
  <c r="H120" i="1"/>
  <c r="H122" i="1" s="1"/>
  <c r="I120" i="1"/>
  <c r="I122" i="1" s="1"/>
  <c r="J120" i="1"/>
  <c r="J122" i="1" s="1"/>
  <c r="K120" i="1"/>
  <c r="K122" i="1" s="1"/>
  <c r="L120" i="1"/>
  <c r="L122" i="1" s="1"/>
  <c r="M120" i="1"/>
  <c r="M122" i="1" s="1"/>
  <c r="N120" i="1"/>
  <c r="N122" i="1" s="1"/>
  <c r="O120" i="1"/>
  <c r="O122" i="1" s="1"/>
  <c r="G121" i="1"/>
  <c r="G123" i="1" s="1"/>
  <c r="H121" i="1"/>
  <c r="H123" i="1" s="1"/>
  <c r="I121" i="1"/>
  <c r="I123" i="1" s="1"/>
  <c r="J121" i="1"/>
  <c r="J123" i="1" s="1"/>
  <c r="K121" i="1"/>
  <c r="K123" i="1" s="1"/>
  <c r="L121" i="1"/>
  <c r="L123" i="1" s="1"/>
  <c r="M121" i="1"/>
  <c r="M123" i="1" s="1"/>
  <c r="N121" i="1"/>
  <c r="N123" i="1" s="1"/>
  <c r="O121" i="1"/>
  <c r="O123" i="1" s="1"/>
  <c r="F120" i="1"/>
  <c r="F122" i="1" s="1"/>
  <c r="F121" i="1"/>
  <c r="F123" i="1" s="1"/>
  <c r="E121" i="1"/>
  <c r="E123" i="1" s="1"/>
  <c r="E120" i="1"/>
  <c r="E122" i="1" s="1"/>
  <c r="CN9" i="6" l="1"/>
  <c r="CI9" i="6"/>
  <c r="CK9" i="6"/>
  <c r="CP9" i="6"/>
  <c r="CO9" i="6"/>
  <c r="CR9" i="6"/>
  <c r="CJ9" i="6"/>
  <c r="CM9" i="6"/>
  <c r="CQ9" i="6"/>
  <c r="CG9" i="6"/>
  <c r="CH9" i="6"/>
  <c r="BP3" i="1"/>
  <c r="BP4" i="1"/>
  <c r="BP5" i="1"/>
  <c r="BP6" i="1"/>
  <c r="BP7" i="1"/>
  <c r="BP10" i="1"/>
  <c r="BP31" i="1"/>
  <c r="BP13" i="1"/>
  <c r="BP23" i="1"/>
  <c r="BP21" i="1"/>
  <c r="BP24" i="1"/>
  <c r="BP25" i="1"/>
  <c r="BP26" i="1"/>
  <c r="BP27" i="1"/>
  <c r="BP28" i="1"/>
  <c r="BP29" i="1"/>
  <c r="BP22" i="1"/>
  <c r="BP39" i="1"/>
  <c r="BP14" i="1"/>
  <c r="BP16" i="1"/>
  <c r="BP44" i="1"/>
  <c r="BP46" i="1"/>
  <c r="BP47" i="1"/>
  <c r="BP48" i="1"/>
  <c r="BP63" i="1"/>
  <c r="BP9" i="1"/>
  <c r="BP50" i="1"/>
  <c r="BP51" i="1"/>
  <c r="BP52" i="1"/>
  <c r="BP53" i="1"/>
  <c r="BP54" i="1"/>
  <c r="BP36" i="1"/>
  <c r="BP59" i="1"/>
  <c r="BP60" i="1"/>
  <c r="BP12" i="1"/>
  <c r="BP8" i="1"/>
  <c r="BP34" i="1"/>
  <c r="BP35" i="1"/>
  <c r="BP38" i="1"/>
  <c r="BP18" i="1"/>
  <c r="BP32" i="1"/>
  <c r="BP40" i="1"/>
  <c r="BP75" i="1"/>
  <c r="BP76" i="1"/>
  <c r="BP77" i="1"/>
  <c r="BP78" i="1"/>
  <c r="BP79" i="1"/>
  <c r="BP80" i="1"/>
  <c r="BP82" i="1"/>
  <c r="BP11" i="1"/>
  <c r="BP64" i="1"/>
  <c r="BP85" i="1"/>
  <c r="BP86" i="1"/>
  <c r="BP33" i="1"/>
  <c r="BP19" i="1"/>
  <c r="BP20" i="1"/>
  <c r="BP66" i="1"/>
  <c r="BP88" i="1"/>
  <c r="BP89" i="1"/>
  <c r="BP73" i="1"/>
  <c r="BP68" i="1"/>
  <c r="BP69" i="1"/>
  <c r="BP70" i="1"/>
  <c r="BP30" i="1"/>
  <c r="BP41" i="1"/>
  <c r="BP42" i="1"/>
  <c r="BP43" i="1"/>
  <c r="BP67" i="1"/>
  <c r="BP55" i="1"/>
  <c r="BP56" i="1"/>
  <c r="BP57" i="1"/>
  <c r="BP72" i="1"/>
  <c r="BP74" i="1"/>
  <c r="BP81" i="1"/>
  <c r="BP93" i="1"/>
  <c r="BP83" i="1"/>
  <c r="BP94" i="1"/>
  <c r="BP95" i="1"/>
  <c r="BP96" i="1"/>
  <c r="BP97" i="1"/>
  <c r="BP98" i="1"/>
  <c r="BP99" i="1"/>
  <c r="BP100" i="1"/>
  <c r="BP101" i="1"/>
  <c r="BP102" i="1"/>
  <c r="BP103" i="1"/>
  <c r="BP104" i="1"/>
  <c r="BP61" i="1"/>
  <c r="BP62" i="1"/>
  <c r="BP105" i="1"/>
  <c r="BP106" i="1"/>
  <c r="BP87" i="1"/>
  <c r="BP84" i="1"/>
  <c r="BP71" i="1"/>
  <c r="BP107" i="1"/>
  <c r="BP108" i="1"/>
  <c r="BP109" i="1"/>
  <c r="BP110" i="1"/>
  <c r="BP111" i="1"/>
  <c r="BP112" i="1"/>
  <c r="BP58" i="1"/>
  <c r="BP45" i="1"/>
  <c r="BP65" i="1"/>
  <c r="BP113" i="1"/>
  <c r="BP114" i="1"/>
  <c r="BP115" i="1"/>
  <c r="BP116" i="1"/>
  <c r="BP90" i="1"/>
  <c r="BP91" i="1"/>
  <c r="BP92" i="1"/>
  <c r="CS116" i="1" l="1"/>
  <c r="CS3" i="1" l="1"/>
  <c r="CS4" i="1"/>
  <c r="CS33" i="1"/>
  <c r="CS10" i="1"/>
  <c r="CS23" i="1"/>
  <c r="CS21" i="1"/>
  <c r="CS24" i="1"/>
  <c r="CS25" i="1"/>
  <c r="CS26" i="1"/>
  <c r="CS27" i="1"/>
  <c r="CS31" i="1"/>
  <c r="CS12" i="1"/>
  <c r="CS36" i="1"/>
  <c r="CS44" i="1"/>
  <c r="CS46" i="1"/>
  <c r="CS47" i="1"/>
  <c r="CS11" i="1"/>
  <c r="CS19" i="1"/>
  <c r="CS22" i="1"/>
  <c r="CS59" i="1"/>
  <c r="CS60" i="1"/>
  <c r="CS20" i="1"/>
  <c r="CS85" i="1"/>
  <c r="CS86" i="1"/>
  <c r="CS38" i="1"/>
  <c r="CS32" i="1"/>
  <c r="CS45" i="1"/>
  <c r="CS41" i="1"/>
  <c r="CS58" i="1"/>
  <c r="CS55" i="1"/>
  <c r="CS90" i="1"/>
  <c r="CS113" i="1"/>
  <c r="CS2" i="1"/>
  <c r="CS117" i="1" l="1"/>
  <c r="BP2" i="1" l="1"/>
  <c r="BM117" i="1" l="1"/>
  <c r="BM119" i="1" s="1"/>
  <c r="AM117" i="1"/>
  <c r="AM119" i="1" s="1"/>
  <c r="L117" i="1"/>
  <c r="L119" i="1" s="1"/>
  <c r="AY117" i="1"/>
  <c r="BK117" i="1"/>
  <c r="BK119" i="1" s="1"/>
  <c r="AJ117" i="1"/>
  <c r="AJ119" i="1" s="1"/>
  <c r="AW117" i="1"/>
  <c r="BH117" i="1"/>
  <c r="BH119" i="1" s="1"/>
  <c r="AU117" i="1"/>
  <c r="AH117" i="1"/>
  <c r="AH119" i="1" s="1"/>
  <c r="AL117" i="1"/>
  <c r="AL119" i="1" s="1"/>
  <c r="BD117" i="1"/>
  <c r="BD119" i="1" s="1"/>
  <c r="BA117" i="1"/>
  <c r="BL117" i="1"/>
  <c r="BL119" i="1" s="1"/>
  <c r="AZ117" i="1"/>
  <c r="J117" i="1"/>
  <c r="J119" i="1" s="1"/>
  <c r="H117" i="1"/>
  <c r="H119" i="1" s="1"/>
  <c r="G117" i="1"/>
  <c r="G119" i="1" s="1"/>
  <c r="BG117" i="1"/>
  <c r="BG119" i="1" s="1"/>
  <c r="AQ117" i="1"/>
  <c r="AE117" i="1"/>
  <c r="AE119" i="1" s="1"/>
  <c r="F117" i="1"/>
  <c r="F119" i="1" s="1"/>
  <c r="BB117" i="1"/>
  <c r="BJ117" i="1"/>
  <c r="BJ119" i="1" s="1"/>
  <c r="AX117" i="1"/>
  <c r="AI117" i="1"/>
  <c r="AI119" i="1" s="1"/>
  <c r="I117" i="1"/>
  <c r="I119" i="1" s="1"/>
  <c r="AG117" i="1"/>
  <c r="AG119" i="1" s="1"/>
  <c r="BE117" i="1"/>
  <c r="BE119" i="1" s="1"/>
  <c r="AF117" i="1"/>
  <c r="AF119" i="1" s="1"/>
  <c r="BF117" i="1"/>
  <c r="BF119" i="1" s="1"/>
  <c r="AS117" i="1"/>
  <c r="O117" i="1"/>
  <c r="O119" i="1" s="1"/>
  <c r="BO117" i="1"/>
  <c r="BO119" i="1" s="1"/>
  <c r="AR117" i="1"/>
  <c r="N117" i="1"/>
  <c r="N119" i="1" s="1"/>
  <c r="K117" i="1"/>
  <c r="K119" i="1" s="1"/>
  <c r="AK117" i="1"/>
  <c r="AK119" i="1" s="1"/>
  <c r="BI117" i="1"/>
  <c r="BI119" i="1" s="1"/>
  <c r="AT117" i="1"/>
  <c r="AV117" i="1"/>
  <c r="E117" i="1"/>
  <c r="E119" i="1" s="1"/>
  <c r="BN117" i="1"/>
  <c r="BN119" i="1" s="1"/>
  <c r="AN117" i="1"/>
  <c r="AN119" i="1" s="1"/>
  <c r="M117" i="1"/>
  <c r="M119" i="1" s="1"/>
  <c r="AP117" i="1"/>
  <c r="AP119" i="1" s="1"/>
  <c r="BC117" i="1"/>
  <c r="BC119" i="1" s="1"/>
  <c r="AO117" i="1"/>
  <c r="AO119" i="1" s="1"/>
  <c r="V117" i="1"/>
  <c r="V119" i="1" s="1"/>
  <c r="Y117" i="1"/>
  <c r="Y119" i="1" s="1"/>
  <c r="W117" i="1"/>
  <c r="W119" i="1" s="1"/>
  <c r="S117" i="1"/>
  <c r="S119" i="1" s="1"/>
  <c r="X117" i="1"/>
  <c r="X119" i="1" s="1"/>
  <c r="R117" i="1"/>
  <c r="R119" i="1" s="1"/>
  <c r="Z117" i="1"/>
  <c r="Z119" i="1" s="1"/>
  <c r="U117" i="1"/>
  <c r="U119" i="1" s="1"/>
  <c r="T117" i="1"/>
  <c r="T119" i="1" s="1"/>
  <c r="AC117" i="1"/>
  <c r="AC119" i="1" s="1"/>
  <c r="Q117" i="1"/>
  <c r="Q119" i="1" s="1"/>
  <c r="AB117" i="1"/>
  <c r="AB119" i="1" s="1"/>
  <c r="P117" i="1"/>
  <c r="P119" i="1" s="1"/>
  <c r="AA117" i="1"/>
  <c r="AA119" i="1" s="1"/>
  <c r="AD117" i="1"/>
  <c r="AD119" i="1" s="1"/>
  <c r="AR119" i="1" l="1"/>
  <c r="BU31" i="1"/>
  <c r="BU28" i="1"/>
  <c r="BU46" i="1"/>
  <c r="BU85" i="1"/>
  <c r="BU4" i="1"/>
  <c r="BU14" i="1"/>
  <c r="BU50" i="1"/>
  <c r="BU8" i="1"/>
  <c r="BU79" i="1"/>
  <c r="BU69" i="1"/>
  <c r="BU67" i="1"/>
  <c r="BU55" i="1"/>
  <c r="BU56" i="1"/>
  <c r="BU57" i="1"/>
  <c r="BU72" i="1"/>
  <c r="BU74" i="1"/>
  <c r="BU81" i="1"/>
  <c r="BU93" i="1"/>
  <c r="BU83" i="1"/>
  <c r="BU94" i="1"/>
  <c r="BU95" i="1"/>
  <c r="BU96" i="1"/>
  <c r="BU97" i="1"/>
  <c r="BU98" i="1"/>
  <c r="BU99" i="1"/>
  <c r="BU100" i="1"/>
  <c r="BU101" i="1"/>
  <c r="BU102" i="1"/>
  <c r="BU103" i="1"/>
  <c r="BU104" i="1"/>
  <c r="BU61" i="1"/>
  <c r="BU62" i="1"/>
  <c r="BU105" i="1"/>
  <c r="BU106" i="1"/>
  <c r="BU87" i="1"/>
  <c r="BU84" i="1"/>
  <c r="BU71" i="1"/>
  <c r="BU107" i="1"/>
  <c r="BU108" i="1"/>
  <c r="BU109" i="1"/>
  <c r="BU110" i="1"/>
  <c r="BU22" i="1"/>
  <c r="BU36" i="1"/>
  <c r="BU40" i="1"/>
  <c r="BU33" i="1"/>
  <c r="BU10" i="1"/>
  <c r="BU27" i="1"/>
  <c r="BU44" i="1"/>
  <c r="BU54" i="1"/>
  <c r="BU18" i="1"/>
  <c r="BU64" i="1"/>
  <c r="BU73" i="1"/>
  <c r="BU42" i="1"/>
  <c r="BU21" i="1"/>
  <c r="BU9" i="1"/>
  <c r="BU12" i="1"/>
  <c r="BU78" i="1"/>
  <c r="BU13" i="1"/>
  <c r="BU29" i="1"/>
  <c r="BU47" i="1"/>
  <c r="BU32" i="1"/>
  <c r="BU86" i="1"/>
  <c r="BU41" i="1"/>
  <c r="BU5" i="1"/>
  <c r="BU24" i="1"/>
  <c r="BU51" i="1"/>
  <c r="BU34" i="1"/>
  <c r="BU80" i="1"/>
  <c r="BU6" i="1"/>
  <c r="BU23" i="1"/>
  <c r="BU53" i="1"/>
  <c r="BU19" i="1"/>
  <c r="BU3" i="1"/>
  <c r="BU26" i="1"/>
  <c r="BU76" i="1"/>
  <c r="BU45" i="1"/>
  <c r="BU113" i="1"/>
  <c r="BU115" i="1"/>
  <c r="BU92" i="1"/>
  <c r="BU7" i="1"/>
  <c r="BU48" i="1"/>
  <c r="BU43" i="1"/>
  <c r="BU112" i="1"/>
  <c r="BU65" i="1"/>
  <c r="BU114" i="1"/>
  <c r="BU91" i="1"/>
  <c r="BU20" i="1"/>
  <c r="BU68" i="1"/>
  <c r="BU30" i="1"/>
  <c r="BU90" i="1"/>
  <c r="BU89" i="1"/>
  <c r="BU58" i="1"/>
  <c r="BU116" i="1"/>
  <c r="BU59" i="1"/>
  <c r="BU111" i="1"/>
  <c r="BU82" i="1"/>
  <c r="BU66" i="1"/>
  <c r="BU39" i="1"/>
  <c r="BU35" i="1"/>
  <c r="BU77" i="1"/>
  <c r="BU52" i="1"/>
  <c r="BU60" i="1"/>
  <c r="BU63" i="1"/>
  <c r="BU11" i="1"/>
  <c r="BU25" i="1"/>
  <c r="BU38" i="1"/>
  <c r="BU88" i="1"/>
  <c r="BU70" i="1"/>
  <c r="BU16" i="1"/>
  <c r="BU75" i="1"/>
  <c r="BU2" i="1"/>
  <c r="AU119" i="1"/>
  <c r="BX3" i="1"/>
  <c r="BX4" i="1"/>
  <c r="BX5" i="1"/>
  <c r="BX6" i="1"/>
  <c r="BX7" i="1"/>
  <c r="BX10" i="1"/>
  <c r="BX31" i="1"/>
  <c r="BX13" i="1"/>
  <c r="BX23" i="1"/>
  <c r="BX21" i="1"/>
  <c r="BX24" i="1"/>
  <c r="BX25" i="1"/>
  <c r="BX26" i="1"/>
  <c r="BX27" i="1"/>
  <c r="BX28" i="1"/>
  <c r="BX29" i="1"/>
  <c r="BX22" i="1"/>
  <c r="BX39" i="1"/>
  <c r="BX14" i="1"/>
  <c r="BX16" i="1"/>
  <c r="BX44" i="1"/>
  <c r="BX46" i="1"/>
  <c r="BX47" i="1"/>
  <c r="BX48" i="1"/>
  <c r="BX63" i="1"/>
  <c r="BX9" i="1"/>
  <c r="BX50" i="1"/>
  <c r="BX51" i="1"/>
  <c r="BX52" i="1"/>
  <c r="BX53" i="1"/>
  <c r="BX54" i="1"/>
  <c r="BX36" i="1"/>
  <c r="BX59" i="1"/>
  <c r="BX60" i="1"/>
  <c r="BX12" i="1"/>
  <c r="BX8" i="1"/>
  <c r="BX34" i="1"/>
  <c r="BX35" i="1"/>
  <c r="BX38" i="1"/>
  <c r="BX18" i="1"/>
  <c r="BX32" i="1"/>
  <c r="BX40" i="1"/>
  <c r="BX75" i="1"/>
  <c r="BX76" i="1"/>
  <c r="BX77" i="1"/>
  <c r="BX78" i="1"/>
  <c r="BX79" i="1"/>
  <c r="BX80" i="1"/>
  <c r="BX82" i="1"/>
  <c r="BX11" i="1"/>
  <c r="BX64" i="1"/>
  <c r="BX85" i="1"/>
  <c r="BX86" i="1"/>
  <c r="BX33" i="1"/>
  <c r="BX19" i="1"/>
  <c r="BX20" i="1"/>
  <c r="BX66" i="1"/>
  <c r="BX89" i="1"/>
  <c r="BX70" i="1"/>
  <c r="BX88" i="1"/>
  <c r="BX68" i="1"/>
  <c r="BX43" i="1"/>
  <c r="BX73" i="1"/>
  <c r="BX42" i="1"/>
  <c r="BX72" i="1"/>
  <c r="BX101" i="1"/>
  <c r="BX103" i="1"/>
  <c r="BX99" i="1"/>
  <c r="BX61" i="1"/>
  <c r="BX106" i="1"/>
  <c r="BX109" i="1"/>
  <c r="BX93" i="1"/>
  <c r="BX71" i="1"/>
  <c r="BX74" i="1"/>
  <c r="BX102" i="1"/>
  <c r="BX55" i="1"/>
  <c r="BX97" i="1"/>
  <c r="BX30" i="1"/>
  <c r="BX95" i="1"/>
  <c r="BX57" i="1"/>
  <c r="BX100" i="1"/>
  <c r="BX104" i="1"/>
  <c r="BX105" i="1"/>
  <c r="BX83" i="1"/>
  <c r="BX112" i="1"/>
  <c r="BX58" i="1"/>
  <c r="BX45" i="1"/>
  <c r="BX65" i="1"/>
  <c r="BX113" i="1"/>
  <c r="BX114" i="1"/>
  <c r="BX115" i="1"/>
  <c r="BX116" i="1"/>
  <c r="BX90" i="1"/>
  <c r="BX91" i="1"/>
  <c r="BX92" i="1"/>
  <c r="BX107" i="1"/>
  <c r="BX69" i="1"/>
  <c r="BX41" i="1"/>
  <c r="BX56" i="1"/>
  <c r="BX98" i="1"/>
  <c r="BX111" i="1"/>
  <c r="BX96" i="1"/>
  <c r="BX62" i="1"/>
  <c r="BX110" i="1"/>
  <c r="BX81" i="1"/>
  <c r="BX67" i="1"/>
  <c r="BX87" i="1"/>
  <c r="BX94" i="1"/>
  <c r="BX84" i="1"/>
  <c r="BX108" i="1"/>
  <c r="BX2" i="1"/>
  <c r="BB119" i="1"/>
  <c r="CE13" i="1"/>
  <c r="CE29" i="1"/>
  <c r="CE47" i="1"/>
  <c r="CE32" i="1"/>
  <c r="CE86" i="1"/>
  <c r="CE5" i="1"/>
  <c r="CE24" i="1"/>
  <c r="CE51" i="1"/>
  <c r="CE34" i="1"/>
  <c r="CE80" i="1"/>
  <c r="CE73" i="1"/>
  <c r="CE42" i="1"/>
  <c r="CE48" i="1"/>
  <c r="CE75" i="1"/>
  <c r="CE19" i="1"/>
  <c r="CE31" i="1"/>
  <c r="CE28" i="1"/>
  <c r="CE46" i="1"/>
  <c r="CE85" i="1"/>
  <c r="CE66" i="1"/>
  <c r="CE89" i="1"/>
  <c r="CE30" i="1"/>
  <c r="CE4" i="1"/>
  <c r="CE14" i="1"/>
  <c r="CE50" i="1"/>
  <c r="CE8" i="1"/>
  <c r="CE79" i="1"/>
  <c r="CE22" i="1"/>
  <c r="CE36" i="1"/>
  <c r="CE40" i="1"/>
  <c r="CE33" i="1"/>
  <c r="CE70" i="1"/>
  <c r="CE6" i="1"/>
  <c r="CE25" i="1"/>
  <c r="CE52" i="1"/>
  <c r="CE35" i="1"/>
  <c r="CE82" i="1"/>
  <c r="CE63" i="1"/>
  <c r="CE11" i="1"/>
  <c r="CE41" i="1"/>
  <c r="CE56" i="1"/>
  <c r="CE104" i="1"/>
  <c r="CE105" i="1"/>
  <c r="CE23" i="1"/>
  <c r="CE53" i="1"/>
  <c r="CE12" i="1"/>
  <c r="CE67" i="1"/>
  <c r="CE96" i="1"/>
  <c r="CE101" i="1"/>
  <c r="CE111" i="1"/>
  <c r="CE112" i="1"/>
  <c r="CE58" i="1"/>
  <c r="CE65" i="1"/>
  <c r="CE113" i="1"/>
  <c r="CE115" i="1"/>
  <c r="CE116" i="1"/>
  <c r="CE91" i="1"/>
  <c r="CE92" i="1"/>
  <c r="CE20" i="1"/>
  <c r="CE99" i="1"/>
  <c r="CE103" i="1"/>
  <c r="CE110" i="1"/>
  <c r="CE3" i="1"/>
  <c r="CE16" i="1"/>
  <c r="CE9" i="1"/>
  <c r="CE64" i="1"/>
  <c r="CE88" i="1"/>
  <c r="CE72" i="1"/>
  <c r="CE45" i="1"/>
  <c r="CE114" i="1"/>
  <c r="CE90" i="1"/>
  <c r="CE21" i="1"/>
  <c r="CE26" i="1"/>
  <c r="CE18" i="1"/>
  <c r="CE94" i="1"/>
  <c r="CE62" i="1"/>
  <c r="CE87" i="1"/>
  <c r="CE107" i="1"/>
  <c r="CE7" i="1"/>
  <c r="CE54" i="1"/>
  <c r="CE44" i="1"/>
  <c r="CE76" i="1"/>
  <c r="CE93" i="1"/>
  <c r="CE27" i="1"/>
  <c r="CE59" i="1"/>
  <c r="CE10" i="1"/>
  <c r="CE68" i="1"/>
  <c r="CE74" i="1"/>
  <c r="CE61" i="1"/>
  <c r="CE106" i="1"/>
  <c r="CE71" i="1"/>
  <c r="CE109" i="1"/>
  <c r="CE69" i="1"/>
  <c r="CE83" i="1"/>
  <c r="CE84" i="1"/>
  <c r="CE39" i="1"/>
  <c r="CE43" i="1"/>
  <c r="CE95" i="1"/>
  <c r="CE98" i="1"/>
  <c r="CE77" i="1"/>
  <c r="CE57" i="1"/>
  <c r="CE100" i="1"/>
  <c r="CE102" i="1"/>
  <c r="CE60" i="1"/>
  <c r="CE108" i="1"/>
  <c r="CE78" i="1"/>
  <c r="CE97" i="1"/>
  <c r="CE81" i="1"/>
  <c r="CE55" i="1"/>
  <c r="CE38" i="1"/>
  <c r="CE2" i="1"/>
  <c r="AS119" i="1"/>
  <c r="BV3" i="1"/>
  <c r="BV23" i="1"/>
  <c r="BV63" i="1"/>
  <c r="BV60" i="1"/>
  <c r="BV77" i="1"/>
  <c r="BV66" i="1"/>
  <c r="BV89" i="1"/>
  <c r="BV70" i="1"/>
  <c r="BV31" i="1"/>
  <c r="BV28" i="1"/>
  <c r="BV46" i="1"/>
  <c r="BV85" i="1"/>
  <c r="BV4" i="1"/>
  <c r="BV14" i="1"/>
  <c r="BV50" i="1"/>
  <c r="BV8" i="1"/>
  <c r="BV79" i="1"/>
  <c r="BV69" i="1"/>
  <c r="BV67" i="1"/>
  <c r="BV55" i="1"/>
  <c r="BV56" i="1"/>
  <c r="BV57" i="1"/>
  <c r="BV72" i="1"/>
  <c r="BV74" i="1"/>
  <c r="BV81" i="1"/>
  <c r="BV93" i="1"/>
  <c r="BV83" i="1"/>
  <c r="BV94" i="1"/>
  <c r="BV95" i="1"/>
  <c r="BV96" i="1"/>
  <c r="BV97" i="1"/>
  <c r="BV98" i="1"/>
  <c r="BV99" i="1"/>
  <c r="BV100" i="1"/>
  <c r="BV101" i="1"/>
  <c r="BV102" i="1"/>
  <c r="BV103" i="1"/>
  <c r="BV104" i="1"/>
  <c r="BV39" i="1"/>
  <c r="BV59" i="1"/>
  <c r="BV76" i="1"/>
  <c r="BV20" i="1"/>
  <c r="BV10" i="1"/>
  <c r="BV27" i="1"/>
  <c r="BV44" i="1"/>
  <c r="BV54" i="1"/>
  <c r="BV18" i="1"/>
  <c r="BV64" i="1"/>
  <c r="BV73" i="1"/>
  <c r="BV42" i="1"/>
  <c r="BV21" i="1"/>
  <c r="BV9" i="1"/>
  <c r="BV12" i="1"/>
  <c r="BV78" i="1"/>
  <c r="BV13" i="1"/>
  <c r="BV29" i="1"/>
  <c r="BV47" i="1"/>
  <c r="BV32" i="1"/>
  <c r="BV86" i="1"/>
  <c r="BV41" i="1"/>
  <c r="BV25" i="1"/>
  <c r="BV36" i="1"/>
  <c r="BV38" i="1"/>
  <c r="BV22" i="1"/>
  <c r="BV16" i="1"/>
  <c r="BV75" i="1"/>
  <c r="BV88" i="1"/>
  <c r="BV68" i="1"/>
  <c r="BV30" i="1"/>
  <c r="BV105" i="1"/>
  <c r="BV108" i="1"/>
  <c r="BV26" i="1"/>
  <c r="BV84" i="1"/>
  <c r="BV7" i="1"/>
  <c r="BV48" i="1"/>
  <c r="BV80" i="1"/>
  <c r="BV34" i="1"/>
  <c r="BV51" i="1"/>
  <c r="BV43" i="1"/>
  <c r="BV112" i="1"/>
  <c r="BV58" i="1"/>
  <c r="BV45" i="1"/>
  <c r="BV65" i="1"/>
  <c r="BV113" i="1"/>
  <c r="BV114" i="1"/>
  <c r="BV115" i="1"/>
  <c r="BV116" i="1"/>
  <c r="BV90" i="1"/>
  <c r="BV91" i="1"/>
  <c r="BV92" i="1"/>
  <c r="BV24" i="1"/>
  <c r="BV82" i="1"/>
  <c r="BV40" i="1"/>
  <c r="BV5" i="1"/>
  <c r="BV35" i="1"/>
  <c r="BV62" i="1"/>
  <c r="BV87" i="1"/>
  <c r="BV107" i="1"/>
  <c r="BV110" i="1"/>
  <c r="BV52" i="1"/>
  <c r="BV33" i="1"/>
  <c r="BV11" i="1"/>
  <c r="BV6" i="1"/>
  <c r="BV53" i="1"/>
  <c r="BV19" i="1"/>
  <c r="BV71" i="1"/>
  <c r="BV109" i="1"/>
  <c r="BV61" i="1"/>
  <c r="BV111" i="1"/>
  <c r="BV106" i="1"/>
  <c r="BV2" i="1"/>
  <c r="AW119" i="1"/>
  <c r="BZ48" i="1"/>
  <c r="BZ75" i="1"/>
  <c r="BZ19" i="1"/>
  <c r="BZ7" i="1"/>
  <c r="BZ26" i="1"/>
  <c r="BZ16" i="1"/>
  <c r="BZ53" i="1"/>
  <c r="BZ38" i="1"/>
  <c r="BZ11" i="1"/>
  <c r="BZ30" i="1"/>
  <c r="BZ3" i="1"/>
  <c r="BZ23" i="1"/>
  <c r="BZ63" i="1"/>
  <c r="BZ60" i="1"/>
  <c r="BZ77" i="1"/>
  <c r="BZ22" i="1"/>
  <c r="BZ36" i="1"/>
  <c r="BZ40" i="1"/>
  <c r="BZ33" i="1"/>
  <c r="BZ69" i="1"/>
  <c r="BZ6" i="1"/>
  <c r="BZ25" i="1"/>
  <c r="BZ52" i="1"/>
  <c r="BZ35" i="1"/>
  <c r="BZ82" i="1"/>
  <c r="BZ67" i="1"/>
  <c r="BZ55" i="1"/>
  <c r="BZ56" i="1"/>
  <c r="BZ57" i="1"/>
  <c r="BZ72" i="1"/>
  <c r="BZ74" i="1"/>
  <c r="BZ81" i="1"/>
  <c r="BZ93" i="1"/>
  <c r="BZ83" i="1"/>
  <c r="BZ94" i="1"/>
  <c r="BZ95" i="1"/>
  <c r="BZ96" i="1"/>
  <c r="BZ97" i="1"/>
  <c r="BZ98" i="1"/>
  <c r="BZ99" i="1"/>
  <c r="BZ100" i="1"/>
  <c r="BZ101" i="1"/>
  <c r="BZ102" i="1"/>
  <c r="BZ103" i="1"/>
  <c r="BZ104" i="1"/>
  <c r="BZ61" i="1"/>
  <c r="BZ62" i="1"/>
  <c r="BZ105" i="1"/>
  <c r="BZ106" i="1"/>
  <c r="BZ87" i="1"/>
  <c r="BZ84" i="1"/>
  <c r="BZ71" i="1"/>
  <c r="BZ107" i="1"/>
  <c r="BZ108" i="1"/>
  <c r="BZ109" i="1"/>
  <c r="BZ39" i="1"/>
  <c r="BZ59" i="1"/>
  <c r="BZ76" i="1"/>
  <c r="BZ20" i="1"/>
  <c r="BZ88" i="1"/>
  <c r="BZ68" i="1"/>
  <c r="BZ43" i="1"/>
  <c r="BZ10" i="1"/>
  <c r="BZ27" i="1"/>
  <c r="BZ44" i="1"/>
  <c r="BZ54" i="1"/>
  <c r="BZ18" i="1"/>
  <c r="BZ64" i="1"/>
  <c r="BZ29" i="1"/>
  <c r="BZ12" i="1"/>
  <c r="BZ70" i="1"/>
  <c r="BZ42" i="1"/>
  <c r="BZ21" i="1"/>
  <c r="BZ79" i="1"/>
  <c r="BZ85" i="1"/>
  <c r="BZ8" i="1"/>
  <c r="BZ50" i="1"/>
  <c r="BZ14" i="1"/>
  <c r="BZ80" i="1"/>
  <c r="BZ89" i="1"/>
  <c r="BZ34" i="1"/>
  <c r="BZ4" i="1"/>
  <c r="BZ46" i="1"/>
  <c r="BZ51" i="1"/>
  <c r="BZ86" i="1"/>
  <c r="BZ66" i="1"/>
  <c r="BZ28" i="1"/>
  <c r="BZ32" i="1"/>
  <c r="BZ78" i="1"/>
  <c r="BZ41" i="1"/>
  <c r="BZ110" i="1"/>
  <c r="BZ31" i="1"/>
  <c r="BZ24" i="1"/>
  <c r="BZ111" i="1"/>
  <c r="BZ112" i="1"/>
  <c r="BZ58" i="1"/>
  <c r="BZ45" i="1"/>
  <c r="BZ65" i="1"/>
  <c r="BZ113" i="1"/>
  <c r="BZ114" i="1"/>
  <c r="BZ115" i="1"/>
  <c r="BZ116" i="1"/>
  <c r="BZ90" i="1"/>
  <c r="BZ91" i="1"/>
  <c r="BZ92" i="1"/>
  <c r="BZ5" i="1"/>
  <c r="BZ47" i="1"/>
  <c r="BZ13" i="1"/>
  <c r="BZ73" i="1"/>
  <c r="BZ9" i="1"/>
  <c r="BZ2" i="1"/>
  <c r="AT119" i="1"/>
  <c r="BW3" i="1"/>
  <c r="BW4" i="1"/>
  <c r="BW5" i="1"/>
  <c r="BW6" i="1"/>
  <c r="BW7" i="1"/>
  <c r="BW10" i="1"/>
  <c r="BW31" i="1"/>
  <c r="BW13" i="1"/>
  <c r="BW23" i="1"/>
  <c r="BW21" i="1"/>
  <c r="BW24" i="1"/>
  <c r="BW25" i="1"/>
  <c r="BW26" i="1"/>
  <c r="BW27" i="1"/>
  <c r="BW28" i="1"/>
  <c r="BW29" i="1"/>
  <c r="BW22" i="1"/>
  <c r="BW39" i="1"/>
  <c r="BW14" i="1"/>
  <c r="BW16" i="1"/>
  <c r="BW44" i="1"/>
  <c r="BW46" i="1"/>
  <c r="BW47" i="1"/>
  <c r="BW48" i="1"/>
  <c r="BW63" i="1"/>
  <c r="BW9" i="1"/>
  <c r="BW50" i="1"/>
  <c r="BW51" i="1"/>
  <c r="BW52" i="1"/>
  <c r="BW53" i="1"/>
  <c r="BW54" i="1"/>
  <c r="BW36" i="1"/>
  <c r="BW59" i="1"/>
  <c r="BW60" i="1"/>
  <c r="BW12" i="1"/>
  <c r="BW8" i="1"/>
  <c r="BW34" i="1"/>
  <c r="BW35" i="1"/>
  <c r="BW38" i="1"/>
  <c r="BW18" i="1"/>
  <c r="BW32" i="1"/>
  <c r="BW40" i="1"/>
  <c r="BW75" i="1"/>
  <c r="BW76" i="1"/>
  <c r="BW77" i="1"/>
  <c r="BW78" i="1"/>
  <c r="BW79" i="1"/>
  <c r="BW80" i="1"/>
  <c r="BW82" i="1"/>
  <c r="BW11" i="1"/>
  <c r="BW64" i="1"/>
  <c r="BW85" i="1"/>
  <c r="BW86" i="1"/>
  <c r="BW33" i="1"/>
  <c r="BW19" i="1"/>
  <c r="BW20" i="1"/>
  <c r="BW66" i="1"/>
  <c r="BW88" i="1"/>
  <c r="BW89" i="1"/>
  <c r="BW73" i="1"/>
  <c r="BW68" i="1"/>
  <c r="BW69" i="1"/>
  <c r="BW70" i="1"/>
  <c r="BW30" i="1"/>
  <c r="BW41" i="1"/>
  <c r="BW42" i="1"/>
  <c r="BW43" i="1"/>
  <c r="BW94" i="1"/>
  <c r="BW93" i="1"/>
  <c r="BW61" i="1"/>
  <c r="BW106" i="1"/>
  <c r="BW71" i="1"/>
  <c r="BW109" i="1"/>
  <c r="BW97" i="1"/>
  <c r="BW55" i="1"/>
  <c r="BW95" i="1"/>
  <c r="BW74" i="1"/>
  <c r="BW102" i="1"/>
  <c r="BW57" i="1"/>
  <c r="BW100" i="1"/>
  <c r="BW104" i="1"/>
  <c r="BW105" i="1"/>
  <c r="BW84" i="1"/>
  <c r="BW108" i="1"/>
  <c r="BW83" i="1"/>
  <c r="BW56" i="1"/>
  <c r="BW98" i="1"/>
  <c r="BW111" i="1"/>
  <c r="BW81" i="1"/>
  <c r="BW72" i="1"/>
  <c r="BW101" i="1"/>
  <c r="BW67" i="1"/>
  <c r="BW96" i="1"/>
  <c r="BW62" i="1"/>
  <c r="BW87" i="1"/>
  <c r="BW107" i="1"/>
  <c r="BW110" i="1"/>
  <c r="BW103" i="1"/>
  <c r="BW92" i="1"/>
  <c r="BW112" i="1"/>
  <c r="BW58" i="1"/>
  <c r="BW116" i="1"/>
  <c r="BW113" i="1"/>
  <c r="BW45" i="1"/>
  <c r="BW90" i="1"/>
  <c r="BW99" i="1"/>
  <c r="BW65" i="1"/>
  <c r="BW91" i="1"/>
  <c r="BW114" i="1"/>
  <c r="BW115" i="1"/>
  <c r="BW2" i="1"/>
  <c r="AY119" i="1"/>
  <c r="CB3" i="1"/>
  <c r="CB4" i="1"/>
  <c r="CB5" i="1"/>
  <c r="CB6" i="1"/>
  <c r="CB7" i="1"/>
  <c r="CB10" i="1"/>
  <c r="CB31" i="1"/>
  <c r="CB13" i="1"/>
  <c r="CB23" i="1"/>
  <c r="CB21" i="1"/>
  <c r="CB24" i="1"/>
  <c r="CB25" i="1"/>
  <c r="CB26" i="1"/>
  <c r="CB27" i="1"/>
  <c r="CB28" i="1"/>
  <c r="CB29" i="1"/>
  <c r="CB22" i="1"/>
  <c r="CB39" i="1"/>
  <c r="CB14" i="1"/>
  <c r="CB16" i="1"/>
  <c r="CB44" i="1"/>
  <c r="CB46" i="1"/>
  <c r="CB47" i="1"/>
  <c r="CB48" i="1"/>
  <c r="CB63" i="1"/>
  <c r="CB9" i="1"/>
  <c r="CB50" i="1"/>
  <c r="CB51" i="1"/>
  <c r="CB52" i="1"/>
  <c r="CB53" i="1"/>
  <c r="CB54" i="1"/>
  <c r="CB36" i="1"/>
  <c r="CB59" i="1"/>
  <c r="CB60" i="1"/>
  <c r="CB12" i="1"/>
  <c r="CB8" i="1"/>
  <c r="CB34" i="1"/>
  <c r="CB35" i="1"/>
  <c r="CB38" i="1"/>
  <c r="CB18" i="1"/>
  <c r="CB32" i="1"/>
  <c r="CB40" i="1"/>
  <c r="CB75" i="1"/>
  <c r="CB76" i="1"/>
  <c r="CB77" i="1"/>
  <c r="CB78" i="1"/>
  <c r="CB79" i="1"/>
  <c r="CB80" i="1"/>
  <c r="CB82" i="1"/>
  <c r="CB11" i="1"/>
  <c r="CB64" i="1"/>
  <c r="CB85" i="1"/>
  <c r="CB86" i="1"/>
  <c r="CB33" i="1"/>
  <c r="CB19" i="1"/>
  <c r="CB20" i="1"/>
  <c r="CB66" i="1"/>
  <c r="CB88" i="1"/>
  <c r="CB89" i="1"/>
  <c r="CB73" i="1"/>
  <c r="CB68" i="1"/>
  <c r="CB69" i="1"/>
  <c r="CB70" i="1"/>
  <c r="CB30" i="1"/>
  <c r="CB41" i="1"/>
  <c r="CB42" i="1"/>
  <c r="CB43" i="1"/>
  <c r="CB67" i="1"/>
  <c r="CB55" i="1"/>
  <c r="CB56" i="1"/>
  <c r="CB57" i="1"/>
  <c r="CB72" i="1"/>
  <c r="CB74" i="1"/>
  <c r="CB81" i="1"/>
  <c r="CB93" i="1"/>
  <c r="CB83" i="1"/>
  <c r="CB94" i="1"/>
  <c r="CB95" i="1"/>
  <c r="CB96" i="1"/>
  <c r="CB97" i="1"/>
  <c r="CB98" i="1"/>
  <c r="CB99" i="1"/>
  <c r="CB100" i="1"/>
  <c r="CB101" i="1"/>
  <c r="CB111" i="1"/>
  <c r="CB113" i="1"/>
  <c r="CB90" i="1"/>
  <c r="CB103" i="1"/>
  <c r="CB110" i="1"/>
  <c r="CB61" i="1"/>
  <c r="CB109" i="1"/>
  <c r="CB106" i="1"/>
  <c r="CB71" i="1"/>
  <c r="CB112" i="1"/>
  <c r="CB45" i="1"/>
  <c r="CB114" i="1"/>
  <c r="CB91" i="1"/>
  <c r="CB104" i="1"/>
  <c r="CB105" i="1"/>
  <c r="CB84" i="1"/>
  <c r="CB108" i="1"/>
  <c r="CB58" i="1"/>
  <c r="CB115" i="1"/>
  <c r="CB92" i="1"/>
  <c r="CB65" i="1"/>
  <c r="CB116" i="1"/>
  <c r="CB87" i="1"/>
  <c r="CB107" i="1"/>
  <c r="CB102" i="1"/>
  <c r="CB62" i="1"/>
  <c r="CB2" i="1"/>
  <c r="AZ119" i="1"/>
  <c r="CC3" i="1"/>
  <c r="CC4" i="1"/>
  <c r="CC5" i="1"/>
  <c r="CC6" i="1"/>
  <c r="CC7" i="1"/>
  <c r="CC10" i="1"/>
  <c r="CC31" i="1"/>
  <c r="CC13" i="1"/>
  <c r="CC23" i="1"/>
  <c r="CC21" i="1"/>
  <c r="CC24" i="1"/>
  <c r="CC25" i="1"/>
  <c r="CC26" i="1"/>
  <c r="CC27" i="1"/>
  <c r="CC28" i="1"/>
  <c r="CC29" i="1"/>
  <c r="CC22" i="1"/>
  <c r="CC39" i="1"/>
  <c r="CC14" i="1"/>
  <c r="CC16" i="1"/>
  <c r="CC44" i="1"/>
  <c r="CC46" i="1"/>
  <c r="CC47" i="1"/>
  <c r="CC48" i="1"/>
  <c r="CC63" i="1"/>
  <c r="CC9" i="1"/>
  <c r="CC50" i="1"/>
  <c r="CC51" i="1"/>
  <c r="CC52" i="1"/>
  <c r="CC53" i="1"/>
  <c r="CC54" i="1"/>
  <c r="CC36" i="1"/>
  <c r="CC59" i="1"/>
  <c r="CC60" i="1"/>
  <c r="CC12" i="1"/>
  <c r="CC8" i="1"/>
  <c r="CC34" i="1"/>
  <c r="CC35" i="1"/>
  <c r="CC38" i="1"/>
  <c r="CC18" i="1"/>
  <c r="CC32" i="1"/>
  <c r="CC40" i="1"/>
  <c r="CC75" i="1"/>
  <c r="CC76" i="1"/>
  <c r="CC77" i="1"/>
  <c r="CC78" i="1"/>
  <c r="CC79" i="1"/>
  <c r="CC80" i="1"/>
  <c r="CC82" i="1"/>
  <c r="CC11" i="1"/>
  <c r="CC64" i="1"/>
  <c r="CC85" i="1"/>
  <c r="CC86" i="1"/>
  <c r="CC33" i="1"/>
  <c r="CC19" i="1"/>
  <c r="CC20" i="1"/>
  <c r="CC66" i="1"/>
  <c r="CC88" i="1"/>
  <c r="CC89" i="1"/>
  <c r="CC41" i="1"/>
  <c r="CC70" i="1"/>
  <c r="CC69" i="1"/>
  <c r="CC67" i="1"/>
  <c r="CC94" i="1"/>
  <c r="CC62" i="1"/>
  <c r="CC87" i="1"/>
  <c r="CC107" i="1"/>
  <c r="CC73" i="1"/>
  <c r="CC99" i="1"/>
  <c r="CC103" i="1"/>
  <c r="CC110" i="1"/>
  <c r="CC42" i="1"/>
  <c r="CC93" i="1"/>
  <c r="CC55" i="1"/>
  <c r="CC97" i="1"/>
  <c r="CC68" i="1"/>
  <c r="CC74" i="1"/>
  <c r="CC61" i="1"/>
  <c r="CC106" i="1"/>
  <c r="CC71" i="1"/>
  <c r="CC109" i="1"/>
  <c r="CC30" i="1"/>
  <c r="CC43" i="1"/>
  <c r="CC57" i="1"/>
  <c r="CC100" i="1"/>
  <c r="CC102" i="1"/>
  <c r="CC83" i="1"/>
  <c r="CC56" i="1"/>
  <c r="CC98" i="1"/>
  <c r="CC104" i="1"/>
  <c r="CC105" i="1"/>
  <c r="CC84" i="1"/>
  <c r="CC108" i="1"/>
  <c r="CC81" i="1"/>
  <c r="CC96" i="1"/>
  <c r="CC112" i="1"/>
  <c r="CC115" i="1"/>
  <c r="CC95" i="1"/>
  <c r="CC58" i="1"/>
  <c r="CC116" i="1"/>
  <c r="CC45" i="1"/>
  <c r="CC101" i="1"/>
  <c r="CC65" i="1"/>
  <c r="CC90" i="1"/>
  <c r="CC91" i="1"/>
  <c r="CC113" i="1"/>
  <c r="CC92" i="1"/>
  <c r="CC72" i="1"/>
  <c r="CC111" i="1"/>
  <c r="CC114" i="1"/>
  <c r="CC2" i="1"/>
  <c r="AV119" i="1"/>
  <c r="BY7" i="1"/>
  <c r="BY26" i="1"/>
  <c r="BY16" i="1"/>
  <c r="BY53" i="1"/>
  <c r="BY38" i="1"/>
  <c r="BY11" i="1"/>
  <c r="BY30" i="1"/>
  <c r="BY3" i="1"/>
  <c r="BY23" i="1"/>
  <c r="BY63" i="1"/>
  <c r="BY60" i="1"/>
  <c r="BY77" i="1"/>
  <c r="BY31" i="1"/>
  <c r="BY28" i="1"/>
  <c r="BY46" i="1"/>
  <c r="BY85" i="1"/>
  <c r="BY66" i="1"/>
  <c r="BY89" i="1"/>
  <c r="BY70" i="1"/>
  <c r="BY6" i="1"/>
  <c r="BY25" i="1"/>
  <c r="BY52" i="1"/>
  <c r="BY35" i="1"/>
  <c r="BY82" i="1"/>
  <c r="BY67" i="1"/>
  <c r="BY55" i="1"/>
  <c r="BY56" i="1"/>
  <c r="BY57" i="1"/>
  <c r="BY72" i="1"/>
  <c r="BY74" i="1"/>
  <c r="BY81" i="1"/>
  <c r="BY93" i="1"/>
  <c r="BY83" i="1"/>
  <c r="BY94" i="1"/>
  <c r="BY95" i="1"/>
  <c r="BY96" i="1"/>
  <c r="BY97" i="1"/>
  <c r="BY98" i="1"/>
  <c r="BY99" i="1"/>
  <c r="BY100" i="1"/>
  <c r="BY101" i="1"/>
  <c r="BY102" i="1"/>
  <c r="BY103" i="1"/>
  <c r="BY104" i="1"/>
  <c r="BY61" i="1"/>
  <c r="BY62" i="1"/>
  <c r="BY105" i="1"/>
  <c r="BY106" i="1"/>
  <c r="BY87" i="1"/>
  <c r="BY84" i="1"/>
  <c r="BY71" i="1"/>
  <c r="BY107" i="1"/>
  <c r="BY108" i="1"/>
  <c r="BY109" i="1"/>
  <c r="BY110" i="1"/>
  <c r="BY111" i="1"/>
  <c r="BY39" i="1"/>
  <c r="BY59" i="1"/>
  <c r="BY76" i="1"/>
  <c r="BY20" i="1"/>
  <c r="BY88" i="1"/>
  <c r="BY68" i="1"/>
  <c r="BY43" i="1"/>
  <c r="BY10" i="1"/>
  <c r="BY27" i="1"/>
  <c r="BY44" i="1"/>
  <c r="BY54" i="1"/>
  <c r="BY18" i="1"/>
  <c r="BY64" i="1"/>
  <c r="BY21" i="1"/>
  <c r="BY9" i="1"/>
  <c r="BY12" i="1"/>
  <c r="BY78" i="1"/>
  <c r="BY73" i="1"/>
  <c r="BY42" i="1"/>
  <c r="BY13" i="1"/>
  <c r="BY40" i="1"/>
  <c r="BY79" i="1"/>
  <c r="BY19" i="1"/>
  <c r="BY22" i="1"/>
  <c r="BY8" i="1"/>
  <c r="BY75" i="1"/>
  <c r="BY50" i="1"/>
  <c r="BY14" i="1"/>
  <c r="BY48" i="1"/>
  <c r="BY80" i="1"/>
  <c r="BY34" i="1"/>
  <c r="BY4" i="1"/>
  <c r="BY51" i="1"/>
  <c r="BY86" i="1"/>
  <c r="BY32" i="1"/>
  <c r="BY33" i="1"/>
  <c r="BY24" i="1"/>
  <c r="BY112" i="1"/>
  <c r="BY58" i="1"/>
  <c r="BY45" i="1"/>
  <c r="BY65" i="1"/>
  <c r="BY113" i="1"/>
  <c r="BY114" i="1"/>
  <c r="BY115" i="1"/>
  <c r="BY116" i="1"/>
  <c r="BY90" i="1"/>
  <c r="BY91" i="1"/>
  <c r="BY92" i="1"/>
  <c r="BY5" i="1"/>
  <c r="BY47" i="1"/>
  <c r="BY69" i="1"/>
  <c r="BY41" i="1"/>
  <c r="BY29" i="1"/>
  <c r="BY36" i="1"/>
  <c r="BY2" i="1"/>
  <c r="AQ119" i="1"/>
  <c r="BT4" i="1"/>
  <c r="BT14" i="1"/>
  <c r="BT50" i="1"/>
  <c r="BT8" i="1"/>
  <c r="BT79" i="1"/>
  <c r="BT69" i="1"/>
  <c r="BT67" i="1"/>
  <c r="BT55" i="1"/>
  <c r="BT56" i="1"/>
  <c r="BT57" i="1"/>
  <c r="BT72" i="1"/>
  <c r="BT74" i="1"/>
  <c r="BT81" i="1"/>
  <c r="BT93" i="1"/>
  <c r="BT83" i="1"/>
  <c r="BT94" i="1"/>
  <c r="BT95" i="1"/>
  <c r="BT96" i="1"/>
  <c r="BT97" i="1"/>
  <c r="BT98" i="1"/>
  <c r="BT99" i="1"/>
  <c r="BT100" i="1"/>
  <c r="BT101" i="1"/>
  <c r="BT102" i="1"/>
  <c r="BT103" i="1"/>
  <c r="BT104" i="1"/>
  <c r="BT61" i="1"/>
  <c r="BT62" i="1"/>
  <c r="BT105" i="1"/>
  <c r="BT106" i="1"/>
  <c r="BT87" i="1"/>
  <c r="BT84" i="1"/>
  <c r="BT71" i="1"/>
  <c r="BT107" i="1"/>
  <c r="BT108" i="1"/>
  <c r="BT109" i="1"/>
  <c r="BT110" i="1"/>
  <c r="BT111" i="1"/>
  <c r="BT22" i="1"/>
  <c r="BT36" i="1"/>
  <c r="BT40" i="1"/>
  <c r="BT33" i="1"/>
  <c r="BT6" i="1"/>
  <c r="BT25" i="1"/>
  <c r="BT52" i="1"/>
  <c r="BT35" i="1"/>
  <c r="BT82" i="1"/>
  <c r="BT88" i="1"/>
  <c r="BT68" i="1"/>
  <c r="BT43" i="1"/>
  <c r="BT21" i="1"/>
  <c r="BT9" i="1"/>
  <c r="BT12" i="1"/>
  <c r="BT78" i="1"/>
  <c r="BT13" i="1"/>
  <c r="BT29" i="1"/>
  <c r="BT47" i="1"/>
  <c r="BT32" i="1"/>
  <c r="BT86" i="1"/>
  <c r="BT41" i="1"/>
  <c r="BT5" i="1"/>
  <c r="BT24" i="1"/>
  <c r="BT51" i="1"/>
  <c r="BT34" i="1"/>
  <c r="BT80" i="1"/>
  <c r="BT48" i="1"/>
  <c r="BT75" i="1"/>
  <c r="BT19" i="1"/>
  <c r="BT30" i="1"/>
  <c r="BT3" i="1"/>
  <c r="BT16" i="1"/>
  <c r="BT73" i="1"/>
  <c r="BT70" i="1"/>
  <c r="BT7" i="1"/>
  <c r="BT18" i="1"/>
  <c r="BT27" i="1"/>
  <c r="BT54" i="1"/>
  <c r="BT20" i="1"/>
  <c r="BT44" i="1"/>
  <c r="BT76" i="1"/>
  <c r="BT85" i="1"/>
  <c r="BT89" i="1"/>
  <c r="BT112" i="1"/>
  <c r="BT58" i="1"/>
  <c r="BT45" i="1"/>
  <c r="BT65" i="1"/>
  <c r="BT113" i="1"/>
  <c r="BT114" i="1"/>
  <c r="BT115" i="1"/>
  <c r="BT116" i="1"/>
  <c r="BT90" i="1"/>
  <c r="BT91" i="1"/>
  <c r="BT92" i="1"/>
  <c r="BT59" i="1"/>
  <c r="BT10" i="1"/>
  <c r="BT66" i="1"/>
  <c r="BT39" i="1"/>
  <c r="BT46" i="1"/>
  <c r="BT77" i="1"/>
  <c r="BT28" i="1"/>
  <c r="BT60" i="1"/>
  <c r="BT23" i="1"/>
  <c r="BT31" i="1"/>
  <c r="BT63" i="1"/>
  <c r="BT11" i="1"/>
  <c r="BT53" i="1"/>
  <c r="BT38" i="1"/>
  <c r="BT64" i="1"/>
  <c r="BT26" i="1"/>
  <c r="BT42" i="1"/>
  <c r="BT2" i="1"/>
  <c r="AX119" i="1"/>
  <c r="CA5" i="1"/>
  <c r="CA24" i="1"/>
  <c r="CA51" i="1"/>
  <c r="CA34" i="1"/>
  <c r="CA80" i="1"/>
  <c r="CA41" i="1"/>
  <c r="CA48" i="1"/>
  <c r="CA75" i="1"/>
  <c r="CA19" i="1"/>
  <c r="CA7" i="1"/>
  <c r="CA26" i="1"/>
  <c r="CA16" i="1"/>
  <c r="CA53" i="1"/>
  <c r="CA38" i="1"/>
  <c r="CA11" i="1"/>
  <c r="CA30" i="1"/>
  <c r="CA4" i="1"/>
  <c r="CA14" i="1"/>
  <c r="CA50" i="1"/>
  <c r="CA8" i="1"/>
  <c r="CA79" i="1"/>
  <c r="CA22" i="1"/>
  <c r="CA36" i="1"/>
  <c r="CA40" i="1"/>
  <c r="CA33" i="1"/>
  <c r="CA69" i="1"/>
  <c r="CA6" i="1"/>
  <c r="CA25" i="1"/>
  <c r="CA52" i="1"/>
  <c r="CA35" i="1"/>
  <c r="CA82" i="1"/>
  <c r="CA67" i="1"/>
  <c r="CA55" i="1"/>
  <c r="CA56" i="1"/>
  <c r="CA57" i="1"/>
  <c r="CA72" i="1"/>
  <c r="CA74" i="1"/>
  <c r="CA81" i="1"/>
  <c r="CA93" i="1"/>
  <c r="CA83" i="1"/>
  <c r="CA94" i="1"/>
  <c r="CA95" i="1"/>
  <c r="CA96" i="1"/>
  <c r="CA97" i="1"/>
  <c r="CA98" i="1"/>
  <c r="CA99" i="1"/>
  <c r="CA100" i="1"/>
  <c r="CA101" i="1"/>
  <c r="CA39" i="1"/>
  <c r="CA59" i="1"/>
  <c r="CA76" i="1"/>
  <c r="CA20" i="1"/>
  <c r="CA88" i="1"/>
  <c r="CA68" i="1"/>
  <c r="CA43" i="1"/>
  <c r="CA47" i="1"/>
  <c r="CA78" i="1"/>
  <c r="CA62" i="1"/>
  <c r="CA107" i="1"/>
  <c r="CA29" i="1"/>
  <c r="CA3" i="1"/>
  <c r="CA13" i="1"/>
  <c r="CA9" i="1"/>
  <c r="CA64" i="1"/>
  <c r="CA73" i="1"/>
  <c r="CA18" i="1"/>
  <c r="CA70" i="1"/>
  <c r="CA42" i="1"/>
  <c r="CA21" i="1"/>
  <c r="CA54" i="1"/>
  <c r="CA61" i="1"/>
  <c r="CA106" i="1"/>
  <c r="CA71" i="1"/>
  <c r="CA109" i="1"/>
  <c r="CA44" i="1"/>
  <c r="CA27" i="1"/>
  <c r="CA85" i="1"/>
  <c r="CA102" i="1"/>
  <c r="CA10" i="1"/>
  <c r="CA89" i="1"/>
  <c r="CA104" i="1"/>
  <c r="CA105" i="1"/>
  <c r="CA84" i="1"/>
  <c r="CA108" i="1"/>
  <c r="CA111" i="1"/>
  <c r="CA45" i="1"/>
  <c r="CA113" i="1"/>
  <c r="CA116" i="1"/>
  <c r="CA92" i="1"/>
  <c r="CA46" i="1"/>
  <c r="CA77" i="1"/>
  <c r="CA86" i="1"/>
  <c r="CA66" i="1"/>
  <c r="CA31" i="1"/>
  <c r="CA58" i="1"/>
  <c r="CA114" i="1"/>
  <c r="CA90" i="1"/>
  <c r="CA87" i="1"/>
  <c r="CA28" i="1"/>
  <c r="CA60" i="1"/>
  <c r="CA32" i="1"/>
  <c r="CA63" i="1"/>
  <c r="CA112" i="1"/>
  <c r="CA65" i="1"/>
  <c r="CA115" i="1"/>
  <c r="CA91" i="1"/>
  <c r="CA23" i="1"/>
  <c r="CA103" i="1"/>
  <c r="CA110" i="1"/>
  <c r="CA12" i="1"/>
  <c r="CA2" i="1"/>
  <c r="BA119" i="1"/>
  <c r="CD3" i="1"/>
  <c r="CD4" i="1"/>
  <c r="CD5" i="1"/>
  <c r="CD6" i="1"/>
  <c r="CD7" i="1"/>
  <c r="CD10" i="1"/>
  <c r="CD31" i="1"/>
  <c r="CD13" i="1"/>
  <c r="CD23" i="1"/>
  <c r="CD21" i="1"/>
  <c r="CD24" i="1"/>
  <c r="CD25" i="1"/>
  <c r="CD26" i="1"/>
  <c r="CD27" i="1"/>
  <c r="CD28" i="1"/>
  <c r="CD29" i="1"/>
  <c r="CD22" i="1"/>
  <c r="CD39" i="1"/>
  <c r="CD14" i="1"/>
  <c r="CD16" i="1"/>
  <c r="CD44" i="1"/>
  <c r="CD46" i="1"/>
  <c r="CD47" i="1"/>
  <c r="CD48" i="1"/>
  <c r="CD63" i="1"/>
  <c r="CD9" i="1"/>
  <c r="CD50" i="1"/>
  <c r="CD51" i="1"/>
  <c r="CD52" i="1"/>
  <c r="CD53" i="1"/>
  <c r="CD54" i="1"/>
  <c r="CD36" i="1"/>
  <c r="CD59" i="1"/>
  <c r="CD60" i="1"/>
  <c r="CD12" i="1"/>
  <c r="CD8" i="1"/>
  <c r="CD34" i="1"/>
  <c r="CD35" i="1"/>
  <c r="CD38" i="1"/>
  <c r="CD18" i="1"/>
  <c r="CD32" i="1"/>
  <c r="CD40" i="1"/>
  <c r="CD75" i="1"/>
  <c r="CD76" i="1"/>
  <c r="CD77" i="1"/>
  <c r="CD78" i="1"/>
  <c r="CD79" i="1"/>
  <c r="CD80" i="1"/>
  <c r="CD82" i="1"/>
  <c r="CD11" i="1"/>
  <c r="CD64" i="1"/>
  <c r="CD85" i="1"/>
  <c r="CD86" i="1"/>
  <c r="CD33" i="1"/>
  <c r="CD19" i="1"/>
  <c r="CD20" i="1"/>
  <c r="CD66" i="1"/>
  <c r="CD88" i="1"/>
  <c r="CD89" i="1"/>
  <c r="CD73" i="1"/>
  <c r="CD42" i="1"/>
  <c r="CD41" i="1"/>
  <c r="CD70" i="1"/>
  <c r="CD69" i="1"/>
  <c r="CD72" i="1"/>
  <c r="CD101" i="1"/>
  <c r="CD111" i="1"/>
  <c r="CD112" i="1"/>
  <c r="CD58" i="1"/>
  <c r="CD45" i="1"/>
  <c r="CD65" i="1"/>
  <c r="CD113" i="1"/>
  <c r="CD114" i="1"/>
  <c r="CD115" i="1"/>
  <c r="CD116" i="1"/>
  <c r="CD90" i="1"/>
  <c r="CD91" i="1"/>
  <c r="CD92" i="1"/>
  <c r="CD87" i="1"/>
  <c r="CD107" i="1"/>
  <c r="CD93" i="1"/>
  <c r="CD74" i="1"/>
  <c r="CD94" i="1"/>
  <c r="CD62" i="1"/>
  <c r="CD99" i="1"/>
  <c r="CD103" i="1"/>
  <c r="CD110" i="1"/>
  <c r="CD55" i="1"/>
  <c r="CD97" i="1"/>
  <c r="CD68" i="1"/>
  <c r="CD61" i="1"/>
  <c r="CD30" i="1"/>
  <c r="CD43" i="1"/>
  <c r="CD95" i="1"/>
  <c r="CD56" i="1"/>
  <c r="CD98" i="1"/>
  <c r="CD104" i="1"/>
  <c r="CD105" i="1"/>
  <c r="CD81" i="1"/>
  <c r="CD57" i="1"/>
  <c r="CD100" i="1"/>
  <c r="CD102" i="1"/>
  <c r="CD84" i="1"/>
  <c r="CD83" i="1"/>
  <c r="CD108" i="1"/>
  <c r="CD96" i="1"/>
  <c r="CD71" i="1"/>
  <c r="CD67" i="1"/>
  <c r="CD109" i="1"/>
  <c r="CD106" i="1"/>
  <c r="CD2" i="1"/>
  <c r="CF26" i="1" l="1"/>
  <c r="CH26" i="1" s="1"/>
  <c r="CF116" i="1"/>
  <c r="CF20" i="1"/>
  <c r="CF36" i="1"/>
  <c r="CF46" i="1"/>
  <c r="CF86" i="1"/>
  <c r="BZ117" i="1"/>
  <c r="BV117" i="1"/>
  <c r="CF38" i="1"/>
  <c r="CF27" i="1"/>
  <c r="CF32" i="1"/>
  <c r="CF22" i="1"/>
  <c r="CF113" i="1"/>
  <c r="BW117" i="1"/>
  <c r="CF47" i="1"/>
  <c r="CB117" i="1"/>
  <c r="CF11" i="1"/>
  <c r="CF45" i="1"/>
  <c r="CC117" i="1"/>
  <c r="CA117" i="1"/>
  <c r="CF10" i="1"/>
  <c r="CF58" i="1"/>
  <c r="CF31" i="1"/>
  <c r="CF4" i="1"/>
  <c r="CF23" i="1"/>
  <c r="CF59" i="1"/>
  <c r="CF3" i="1"/>
  <c r="BT117" i="1"/>
  <c r="CF24" i="1"/>
  <c r="CF12" i="1"/>
  <c r="CF25" i="1"/>
  <c r="CE117" i="1"/>
  <c r="CD117" i="1"/>
  <c r="CF60" i="1"/>
  <c r="CF85" i="1"/>
  <c r="CF2" i="1"/>
  <c r="CF19" i="1"/>
  <c r="CF41" i="1"/>
  <c r="CF33" i="1"/>
  <c r="BU117" i="1"/>
  <c r="CF90" i="1"/>
  <c r="CF44" i="1"/>
  <c r="CF21" i="1"/>
  <c r="CF55" i="1"/>
  <c r="BY117" i="1"/>
  <c r="BX117" i="1"/>
  <c r="CL26" i="1" l="1"/>
  <c r="CG26" i="1"/>
  <c r="CQ26" i="1"/>
  <c r="CP26" i="1"/>
  <c r="CM26" i="1"/>
  <c r="CI26" i="1"/>
  <c r="CR26" i="1"/>
  <c r="CJ26" i="1"/>
  <c r="CO26" i="1"/>
  <c r="CK26" i="1"/>
  <c r="CN26" i="1"/>
  <c r="CN4" i="1"/>
  <c r="CM4" i="1"/>
  <c r="CR4" i="1"/>
  <c r="CI4" i="1"/>
  <c r="CK4" i="1"/>
  <c r="CJ4" i="1"/>
  <c r="CL4" i="1"/>
  <c r="CP4" i="1"/>
  <c r="CQ4" i="1"/>
  <c r="CG4" i="1"/>
  <c r="CH4" i="1"/>
  <c r="CO4" i="1"/>
  <c r="CK38" i="1"/>
  <c r="CQ38" i="1"/>
  <c r="CM38" i="1"/>
  <c r="CL38" i="1"/>
  <c r="CG38" i="1"/>
  <c r="CP38" i="1"/>
  <c r="CJ38" i="1"/>
  <c r="CI38" i="1"/>
  <c r="CN38" i="1"/>
  <c r="CO38" i="1"/>
  <c r="CR38" i="1"/>
  <c r="CH38" i="1"/>
  <c r="CO55" i="1"/>
  <c r="CJ55" i="1"/>
  <c r="CI55" i="1"/>
  <c r="CH55" i="1"/>
  <c r="CR55" i="1"/>
  <c r="CQ55" i="1"/>
  <c r="CM55" i="1"/>
  <c r="CP55" i="1"/>
  <c r="CG55" i="1"/>
  <c r="CK55" i="1"/>
  <c r="CN55" i="1"/>
  <c r="CL55" i="1"/>
  <c r="CR85" i="1"/>
  <c r="CG85" i="1"/>
  <c r="CI85" i="1"/>
  <c r="CN85" i="1"/>
  <c r="CL85" i="1"/>
  <c r="CJ85" i="1"/>
  <c r="CM85" i="1"/>
  <c r="CH85" i="1"/>
  <c r="CO85" i="1"/>
  <c r="CQ85" i="1"/>
  <c r="CK85" i="1"/>
  <c r="CP85" i="1"/>
  <c r="CO47" i="1"/>
  <c r="CR47" i="1"/>
  <c r="CN47" i="1"/>
  <c r="CQ47" i="1"/>
  <c r="CK47" i="1"/>
  <c r="CP47" i="1"/>
  <c r="CH47" i="1"/>
  <c r="CJ47" i="1"/>
  <c r="CM47" i="1"/>
  <c r="CL47" i="1"/>
  <c r="CG47" i="1"/>
  <c r="CI47" i="1"/>
  <c r="CR21" i="1"/>
  <c r="CK21" i="1"/>
  <c r="CM21" i="1"/>
  <c r="CL21" i="1"/>
  <c r="CN21" i="1"/>
  <c r="CG21" i="1"/>
  <c r="CP21" i="1"/>
  <c r="CI21" i="1"/>
  <c r="CH21" i="1"/>
  <c r="CJ21" i="1"/>
  <c r="CO21" i="1"/>
  <c r="CQ21" i="1"/>
  <c r="CN60" i="1"/>
  <c r="CH60" i="1"/>
  <c r="CR60" i="1"/>
  <c r="CJ60" i="1"/>
  <c r="CL60" i="1"/>
  <c r="CM60" i="1"/>
  <c r="CP60" i="1"/>
  <c r="CG60" i="1"/>
  <c r="CO60" i="1"/>
  <c r="CK60" i="1"/>
  <c r="CI60" i="1"/>
  <c r="CQ60" i="1"/>
  <c r="CL44" i="1"/>
  <c r="CG44" i="1"/>
  <c r="CI44" i="1"/>
  <c r="CK44" i="1"/>
  <c r="CN44" i="1"/>
  <c r="CO44" i="1"/>
  <c r="CJ44" i="1"/>
  <c r="CM44" i="1"/>
  <c r="CQ44" i="1"/>
  <c r="CR44" i="1"/>
  <c r="CH44" i="1"/>
  <c r="CP44" i="1"/>
  <c r="CM31" i="1"/>
  <c r="CN31" i="1"/>
  <c r="CL31" i="1"/>
  <c r="CI31" i="1"/>
  <c r="CO31" i="1"/>
  <c r="CQ31" i="1"/>
  <c r="CJ31" i="1"/>
  <c r="CH31" i="1"/>
  <c r="CP31" i="1"/>
  <c r="CG31" i="1"/>
  <c r="CR31" i="1"/>
  <c r="CK31" i="1"/>
  <c r="CJ86" i="1"/>
  <c r="CQ86" i="1"/>
  <c r="CP86" i="1"/>
  <c r="CM86" i="1"/>
  <c r="CK86" i="1"/>
  <c r="CO86" i="1"/>
  <c r="CI86" i="1"/>
  <c r="CR86" i="1"/>
  <c r="CH86" i="1"/>
  <c r="CL86" i="1"/>
  <c r="CN86" i="1"/>
  <c r="CG86" i="1"/>
  <c r="CR90" i="1"/>
  <c r="CL90" i="1"/>
  <c r="CJ90" i="1"/>
  <c r="CI90" i="1"/>
  <c r="CG90" i="1"/>
  <c r="CN90" i="1"/>
  <c r="CH90" i="1"/>
  <c r="CM90" i="1"/>
  <c r="CP90" i="1"/>
  <c r="CK90" i="1"/>
  <c r="CQ90" i="1"/>
  <c r="CO90" i="1"/>
  <c r="CP25" i="1"/>
  <c r="CR25" i="1"/>
  <c r="CM25" i="1"/>
  <c r="CK25" i="1"/>
  <c r="CL25" i="1"/>
  <c r="CQ25" i="1"/>
  <c r="CO25" i="1"/>
  <c r="CN25" i="1"/>
  <c r="CH25" i="1"/>
  <c r="CG25" i="1"/>
  <c r="CI25" i="1"/>
  <c r="CJ25" i="1"/>
  <c r="CI46" i="1"/>
  <c r="CN46" i="1"/>
  <c r="CM46" i="1"/>
  <c r="CJ46" i="1"/>
  <c r="CO46" i="1"/>
  <c r="CQ46" i="1"/>
  <c r="CR46" i="1"/>
  <c r="CK46" i="1"/>
  <c r="CH46" i="1"/>
  <c r="CL46" i="1"/>
  <c r="CP46" i="1"/>
  <c r="CG46" i="1"/>
  <c r="CQ12" i="1"/>
  <c r="CH12" i="1"/>
  <c r="CP12" i="1"/>
  <c r="CK12" i="1"/>
  <c r="CJ12" i="1"/>
  <c r="CG12" i="1"/>
  <c r="CI12" i="1"/>
  <c r="CN12" i="1"/>
  <c r="CO12" i="1"/>
  <c r="CR12" i="1"/>
  <c r="CM12" i="1"/>
  <c r="CL12" i="1"/>
  <c r="CK58" i="1"/>
  <c r="CJ58" i="1"/>
  <c r="CO58" i="1"/>
  <c r="CM58" i="1"/>
  <c r="CR58" i="1"/>
  <c r="CI58" i="1"/>
  <c r="CP58" i="1"/>
  <c r="CN58" i="1"/>
  <c r="CL58" i="1"/>
  <c r="CG58" i="1"/>
  <c r="CH58" i="1"/>
  <c r="CQ58" i="1"/>
  <c r="CR36" i="1"/>
  <c r="CP36" i="1"/>
  <c r="CN36" i="1"/>
  <c r="CJ36" i="1"/>
  <c r="CL36" i="1"/>
  <c r="CH36" i="1"/>
  <c r="CO36" i="1"/>
  <c r="CI36" i="1"/>
  <c r="CG36" i="1"/>
  <c r="CM36" i="1"/>
  <c r="CK36" i="1"/>
  <c r="CQ36" i="1"/>
  <c r="CN24" i="1"/>
  <c r="CK24" i="1"/>
  <c r="CR24" i="1"/>
  <c r="CH24" i="1"/>
  <c r="CG24" i="1"/>
  <c r="CL24" i="1"/>
  <c r="CJ24" i="1"/>
  <c r="CO24" i="1"/>
  <c r="CQ24" i="1"/>
  <c r="CP24" i="1"/>
  <c r="CI24" i="1"/>
  <c r="CM24" i="1"/>
  <c r="CO10" i="1"/>
  <c r="CR10" i="1"/>
  <c r="CI10" i="1"/>
  <c r="CJ10" i="1"/>
  <c r="CG10" i="1"/>
  <c r="CQ10" i="1"/>
  <c r="CM10" i="1"/>
  <c r="CH10" i="1"/>
  <c r="CP10" i="1"/>
  <c r="CN10" i="1"/>
  <c r="CK10" i="1"/>
  <c r="CL10" i="1"/>
  <c r="CG113" i="1"/>
  <c r="CI113" i="1"/>
  <c r="CM113" i="1"/>
  <c r="CK113" i="1"/>
  <c r="CR113" i="1"/>
  <c r="CL113" i="1"/>
  <c r="CQ113" i="1"/>
  <c r="CO113" i="1"/>
  <c r="CP113" i="1"/>
  <c r="CN113" i="1"/>
  <c r="CH113" i="1"/>
  <c r="CJ113" i="1"/>
  <c r="CQ33" i="1"/>
  <c r="CR33" i="1"/>
  <c r="CG33" i="1"/>
  <c r="CJ33" i="1"/>
  <c r="CK33" i="1"/>
  <c r="CP33" i="1"/>
  <c r="CI33" i="1"/>
  <c r="CH33" i="1"/>
  <c r="CL33" i="1"/>
  <c r="CN33" i="1"/>
  <c r="CO33" i="1"/>
  <c r="CM33" i="1"/>
  <c r="CI22" i="1"/>
  <c r="CH22" i="1"/>
  <c r="CR22" i="1"/>
  <c r="CK22" i="1"/>
  <c r="CJ22" i="1"/>
  <c r="CP22" i="1"/>
  <c r="CN22" i="1"/>
  <c r="CM22" i="1"/>
  <c r="CL22" i="1"/>
  <c r="CG22" i="1"/>
  <c r="CO22" i="1"/>
  <c r="CQ22" i="1"/>
  <c r="CK41" i="1"/>
  <c r="CP41" i="1"/>
  <c r="CL41" i="1"/>
  <c r="CI41" i="1"/>
  <c r="CR41" i="1"/>
  <c r="CQ41" i="1"/>
  <c r="CO41" i="1"/>
  <c r="CH41" i="1"/>
  <c r="CJ41" i="1"/>
  <c r="CM41" i="1"/>
  <c r="CG41" i="1"/>
  <c r="CN41" i="1"/>
  <c r="CN3" i="1"/>
  <c r="CR3" i="1"/>
  <c r="CI3" i="1"/>
  <c r="CO3" i="1"/>
  <c r="CK3" i="1"/>
  <c r="CJ3" i="1"/>
  <c r="CM3" i="1"/>
  <c r="CP3" i="1"/>
  <c r="CG3" i="1"/>
  <c r="CL3" i="1"/>
  <c r="CH3" i="1"/>
  <c r="CQ3" i="1"/>
  <c r="CG32" i="1"/>
  <c r="CM32" i="1"/>
  <c r="CJ32" i="1"/>
  <c r="CO32" i="1"/>
  <c r="CH32" i="1"/>
  <c r="CK32" i="1"/>
  <c r="CR32" i="1"/>
  <c r="CI32" i="1"/>
  <c r="CL32" i="1"/>
  <c r="CQ32" i="1"/>
  <c r="CP32" i="1"/>
  <c r="CN32" i="1"/>
  <c r="CN19" i="1"/>
  <c r="CM19" i="1"/>
  <c r="CI19" i="1"/>
  <c r="CG19" i="1"/>
  <c r="CL19" i="1"/>
  <c r="CP19" i="1"/>
  <c r="CO19" i="1"/>
  <c r="CQ19" i="1"/>
  <c r="CJ19" i="1"/>
  <c r="CK19" i="1"/>
  <c r="CH19" i="1"/>
  <c r="CR19" i="1"/>
  <c r="CL59" i="1"/>
  <c r="CO59" i="1"/>
  <c r="CM59" i="1"/>
  <c r="CP59" i="1"/>
  <c r="CQ59" i="1"/>
  <c r="CK59" i="1"/>
  <c r="CG59" i="1"/>
  <c r="CJ59" i="1"/>
  <c r="CH59" i="1"/>
  <c r="CR59" i="1"/>
  <c r="CN59" i="1"/>
  <c r="CI59" i="1"/>
  <c r="CN45" i="1"/>
  <c r="CP45" i="1"/>
  <c r="CR45" i="1"/>
  <c r="CI45" i="1"/>
  <c r="CO45" i="1"/>
  <c r="CL45" i="1"/>
  <c r="CJ45" i="1"/>
  <c r="CG45" i="1"/>
  <c r="CK45" i="1"/>
  <c r="CM45" i="1"/>
  <c r="CQ45" i="1"/>
  <c r="CH45" i="1"/>
  <c r="CR20" i="1"/>
  <c r="CI20" i="1"/>
  <c r="CN20" i="1"/>
  <c r="CP20" i="1"/>
  <c r="CM20" i="1"/>
  <c r="CK20" i="1"/>
  <c r="CO20" i="1"/>
  <c r="CQ20" i="1"/>
  <c r="CH20" i="1"/>
  <c r="CG20" i="1"/>
  <c r="CL20" i="1"/>
  <c r="CJ20" i="1"/>
  <c r="CH2" i="1"/>
  <c r="CO2" i="1"/>
  <c r="CR2" i="1"/>
  <c r="CL2" i="1"/>
  <c r="CK2" i="1"/>
  <c r="CI2" i="1"/>
  <c r="CQ2" i="1"/>
  <c r="CP2" i="1"/>
  <c r="CM2" i="1"/>
  <c r="CJ2" i="1"/>
  <c r="CN2" i="1"/>
  <c r="CG2" i="1"/>
  <c r="CN23" i="1"/>
  <c r="CH23" i="1"/>
  <c r="CJ23" i="1"/>
  <c r="CK23" i="1"/>
  <c r="CP23" i="1"/>
  <c r="CI23" i="1"/>
  <c r="CG23" i="1"/>
  <c r="CO23" i="1"/>
  <c r="CL23" i="1"/>
  <c r="CR23" i="1"/>
  <c r="CQ23" i="1"/>
  <c r="CM23" i="1"/>
  <c r="CG11" i="1"/>
  <c r="CM11" i="1"/>
  <c r="CO11" i="1"/>
  <c r="CQ11" i="1"/>
  <c r="CJ11" i="1"/>
  <c r="CL11" i="1"/>
  <c r="CI11" i="1"/>
  <c r="CK11" i="1"/>
  <c r="CH11" i="1"/>
  <c r="CP11" i="1"/>
  <c r="CN11" i="1"/>
  <c r="CR11" i="1"/>
  <c r="CM27" i="1"/>
  <c r="CL27" i="1"/>
  <c r="CH27" i="1"/>
  <c r="CI27" i="1"/>
  <c r="CR27" i="1"/>
  <c r="CQ27" i="1"/>
  <c r="CO27" i="1"/>
  <c r="CK27" i="1"/>
  <c r="CN27" i="1"/>
  <c r="CJ27" i="1"/>
  <c r="CP27" i="1"/>
  <c r="CG27" i="1"/>
  <c r="CM116" i="1"/>
  <c r="CN116" i="1"/>
  <c r="CP116" i="1"/>
  <c r="CL116" i="1"/>
  <c r="CG116" i="1"/>
  <c r="CR116" i="1"/>
  <c r="CK116" i="1"/>
  <c r="CJ116" i="1"/>
  <c r="CQ116" i="1"/>
  <c r="CH116" i="1"/>
  <c r="CO116" i="1"/>
  <c r="CI116" i="1"/>
  <c r="CQ117" i="1" l="1"/>
  <c r="CH117" i="1"/>
  <c r="CL117" i="1"/>
  <c r="CG117" i="1"/>
  <c r="CP117" i="1"/>
  <c r="CM117" i="1"/>
  <c r="CJ117" i="1"/>
  <c r="CK117" i="1"/>
  <c r="CO117" i="1"/>
  <c r="CI117" i="1"/>
  <c r="CR117" i="1"/>
  <c r="CN117" i="1"/>
</calcChain>
</file>

<file path=xl/sharedStrings.xml><?xml version="1.0" encoding="utf-8"?>
<sst xmlns="http://schemas.openxmlformats.org/spreadsheetml/2006/main" count="756" uniqueCount="282">
  <si>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</si>
  <si>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</si>
  <si>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</si>
  <si>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</si>
  <si>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</si>
  <si>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</si>
  <si>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</si>
  <si>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</si>
  <si>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</si>
  <si>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</si>
  <si>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</si>
  <si>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</si>
  <si>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</si>
  <si>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</si>
  <si>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</si>
  <si>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</si>
  <si>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</si>
  <si>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</si>
  <si>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</si>
  <si>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</si>
  <si>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</si>
  <si>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</si>
  <si>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</si>
  <si>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</si>
  <si>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</si>
  <si>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</si>
  <si>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</si>
  <si>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</si>
  <si>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</si>
  <si>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</si>
  <si>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</si>
  <si>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</si>
  <si>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</si>
  <si>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</si>
  <si>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</si>
  <si>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</si>
  <si>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</si>
  <si>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</si>
  <si>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</si>
  <si>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</si>
  <si>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</si>
  <si>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</si>
  <si>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</si>
  <si>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</si>
  <si>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敖广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</si>
  <si>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</si>
  <si>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</si>
  <si>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</si>
  <si>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</si>
  <si>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</si>
  <si>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</si>
  <si>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</si>
  <si>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</si>
  <si>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</si>
  <si>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</si>
  <si>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</si>
  <si>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</si>
  <si>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</si>
  <si>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九色鹿</t>
    <phoneticPr fontId="1" type="noConversion"/>
  </si>
  <si>
    <t>妲己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</si>
  <si>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</si>
  <si>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</si>
  <si>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</si>
  <si>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</si>
  <si>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</si>
  <si>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</si>
  <si>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</si>
  <si>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</si>
  <si>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</si>
  <si>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</si>
  <si>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</si>
  <si>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</si>
  <si>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</si>
  <si>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昊天塔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</si>
  <si>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</si>
  <si>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</si>
  <si>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</si>
  <si>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</si>
  <si>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</si>
  <si>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</si>
  <si>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</si>
  <si>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</si>
  <si>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</si>
  <si>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</si>
  <si>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</si>
  <si>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</si>
  <si>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</si>
  <si>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</si>
  <si>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</si>
  <si>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</si>
  <si>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</si>
  <si>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</si>
  <si>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</si>
  <si>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</si>
  <si>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</si>
  <si>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</si>
  <si>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</si>
  <si>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</si>
  <si>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</si>
  <si>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</si>
  <si>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</si>
  <si>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</si>
  <si>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</si>
  <si>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</si>
  <si>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</si>
  <si>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</si>
  <si>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</si>
  <si>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</si>
  <si>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</si>
  <si>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</si>
  <si>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</si>
  <si>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</si>
  <si>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</si>
  <si>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</si>
  <si>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</si>
  <si>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</si>
  <si>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</si>
  <si>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</si>
  <si>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</si>
  <si>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</si>
  <si>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</si>
  <si>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</si>
  <si>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</si>
  <si>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</si>
  <si>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</si>
  <si>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</si>
  <si>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</si>
  <si>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</si>
  <si>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</si>
  <si>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</si>
  <si>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</si>
  <si>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</si>
  <si>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</si>
  <si>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</si>
  <si>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</si>
  <si>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</si>
  <si>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</si>
  <si>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</si>
  <si>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</si>
  <si>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</si>
  <si>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</si>
  <si>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</si>
  <si>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</si>
  <si>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九万</t>
    <phoneticPr fontId="1" type="noConversion"/>
  </si>
  <si>
    <t>三条</t>
    <phoneticPr fontId="1" type="noConversion"/>
  </si>
  <si>
    <t>暗卒</t>
    <phoneticPr fontId="1" type="noConversion"/>
  </si>
  <si>
    <t>光车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</si>
  <si>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</si>
  <si>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</si>
  <si>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</si>
  <si>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猪刚鬣</t>
    <phoneticPr fontId="1" type="noConversion"/>
  </si>
  <si>
    <t>眼符</t>
    <phoneticPr fontId="1" type="noConversion"/>
  </si>
  <si>
    <t>眼符</t>
    <phoneticPr fontId="1" type="noConversion"/>
  </si>
  <si>
    <t>樱灵</t>
    <phoneticPr fontId="1" type="noConversion"/>
  </si>
  <si>
    <t>煤西</t>
    <phoneticPr fontId="1" type="noConversion"/>
  </si>
  <si>
    <t>八哥</t>
    <phoneticPr fontId="1" type="noConversion"/>
  </si>
  <si>
    <t>鬼金羊</t>
    <phoneticPr fontId="1" type="noConversion"/>
  </si>
  <si>
    <t>张果老</t>
    <phoneticPr fontId="1" type="noConversion"/>
  </si>
  <si>
    <t>蛋黄喵</t>
    <phoneticPr fontId="1" type="noConversion"/>
  </si>
  <si>
    <t>蛋黄喵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</si>
  <si>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</si>
  <si>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</si>
  <si>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</si>
  <si>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</si>
  <si>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</si>
  <si>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蛟女</t>
    <phoneticPr fontId="1" type="noConversion"/>
  </si>
  <si>
    <t>豪猿</t>
    <phoneticPr fontId="1" type="noConversion"/>
  </si>
  <si>
    <t>秤仔</t>
    <phoneticPr fontId="1" type="noConversion"/>
  </si>
  <si>
    <t>秤仔</t>
    <phoneticPr fontId="1" type="noConversion"/>
  </si>
  <si>
    <t>赛亚罗</t>
    <phoneticPr fontId="1" type="noConversion"/>
  </si>
  <si>
    <t>牛金宝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</si>
  <si>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</si>
  <si>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</si>
  <si>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</si>
  <si>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</si>
  <si>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铁拐李</t>
    <phoneticPr fontId="1" type="noConversion"/>
  </si>
  <si>
    <t>莲藕大佛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</si>
  <si>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</si>
  <si>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</si>
  <si>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</si>
  <si>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</si>
  <si>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</si>
  <si>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</si>
  <si>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</si>
  <si>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</si>
  <si>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</si>
  <si>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</si>
  <si>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</si>
  <si>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</si>
  <si>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</si>
  <si>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</si>
  <si>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</si>
  <si>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</si>
  <si>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敖顺</t>
    <phoneticPr fontId="1" type="noConversion"/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</si>
  <si>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</si>
  <si>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</si>
  <si>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</si>
  <si>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</si>
  <si>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成年</t>
    <phoneticPr fontId="1" type="noConversion"/>
  </si>
  <si>
    <t>轮滑小子</t>
    <phoneticPr fontId="1" type="noConversion"/>
  </si>
  <si>
    <t>愚山乾坤石(13),</t>
    <phoneticPr fontId="1" type="noConversion"/>
  </si>
  <si>
    <t>欠条中(4),_x000D_
筹码中(4),</t>
    <phoneticPr fontId="1" type="noConversion"/>
  </si>
  <si>
    <t>特急海盗</t>
    <phoneticPr fontId="1" type="noConversion"/>
  </si>
  <si>
    <t>暗</t>
    <phoneticPr fontId="1" type="noConversion"/>
  </si>
  <si>
    <t>成年</t>
    <phoneticPr fontId="1" type="noConversion"/>
  </si>
  <si>
    <t>超进阶素材土(9),_x000D_
超进阶素材木(1),_x000D_
超进阶素材光(45),_x000D_
超进阶素材暗(45),</t>
    <phoneticPr fontId="1" type="noConversion"/>
  </si>
  <si>
    <t>骰子小(8),_x000D_
筹码小(10),_x000D_
庄家令牌小(2),_x000D_
庄家令牌中(3),</t>
    <phoneticPr fontId="1" type="noConversion"/>
  </si>
  <si>
    <t>皇天</t>
    <phoneticPr fontId="1" type="noConversion"/>
  </si>
  <si>
    <t>仙丹(5),</t>
    <phoneticPr fontId="1" type="noConversion"/>
  </si>
  <si>
    <t>神农鼎(5),_x000D_
幸运符文叉大(15),</t>
    <phoneticPr fontId="1" type="noConversion"/>
  </si>
  <si>
    <t>愚山乾坤石(13),</t>
    <phoneticPr fontId="1" type="noConversion"/>
  </si>
  <si>
    <t>力量符文叉大(6),</t>
    <phoneticPr fontId="1" type="noConversion"/>
  </si>
  <si>
    <t>愚山乾坤石(8),_x000D_
力量符文叉大(1),</t>
    <phoneticPr fontId="1" type="noConversion"/>
  </si>
  <si>
    <t>彗星(5),</t>
    <phoneticPr fontId="1" type="noConversion"/>
  </si>
  <si>
    <t>仙丹(4),</t>
    <phoneticPr fontId="1" type="noConversion"/>
  </si>
  <si>
    <t>桂花(5),_x000D_
桂花酒(5),</t>
    <phoneticPr fontId="1" type="noConversion"/>
  </si>
  <si>
    <t>欠条中(4),_x000D_
筹码中(4),_x000D_
筹码大(1),</t>
    <phoneticPr fontId="1" type="noConversion"/>
  </si>
  <si>
    <t>欠条小(8),_x000D_
钱袋小(9),_x000D_
骰子小(8),_x000D_
筹码小(10),</t>
    <phoneticPr fontId="1" type="noConversion"/>
  </si>
  <si>
    <t>桂花酒(5),</t>
    <phoneticPr fontId="1" type="noConversion"/>
  </si>
  <si>
    <t>桂花(5),</t>
    <phoneticPr fontId="1" type="noConversion"/>
  </si>
  <si>
    <t>幸运符文叉大(3),</t>
    <phoneticPr fontId="1" type="noConversion"/>
  </si>
  <si>
    <t>秘窟冰晶卵(8),</t>
    <phoneticPr fontId="1" type="noConversion"/>
  </si>
  <si>
    <t>秘窟冰晶卵(13),</t>
    <phoneticPr fontId="1" type="noConversion"/>
  </si>
  <si>
    <t>幸运符文叉大(13),</t>
    <phoneticPr fontId="1" type="noConversion"/>
  </si>
  <si>
    <t>金甲虫(197),</t>
    <phoneticPr fontId="1" type="noConversion"/>
  </si>
  <si>
    <t>糯米(5),_x000D_
粽叶(1),</t>
    <phoneticPr fontId="1" type="noConversion"/>
  </si>
  <si>
    <t>神农鼎(1),_x000D_
幸运符文叉大(8),</t>
    <phoneticPr fontId="1" type="noConversion"/>
  </si>
  <si>
    <t>糯米(5),_x000D_
粽叶(10),</t>
    <phoneticPr fontId="1" type="noConversion"/>
  </si>
  <si>
    <t>神农鼎(6),_x000D_
幸运符文叉大(13),</t>
    <phoneticPr fontId="1" type="noConversion"/>
  </si>
  <si>
    <t>桂花(5),_x000D_
桂花酒(5),_x000D_
灯笼(5),</t>
    <phoneticPr fontId="1" type="noConversion"/>
  </si>
  <si>
    <t>钱袋大(10),_x000D_
筹码大(9),_x000D_
秘窟冰晶卵(8),</t>
    <phoneticPr fontId="1" type="noConversion"/>
  </si>
  <si>
    <t>欠条中(4),_x000D_
骰子小(8),_x000D_
筹码中(4),_x000D_
庄家令牌小(2),</t>
    <phoneticPr fontId="1" type="noConversion"/>
  </si>
  <si>
    <t>欠条小(8),_x000D_
钱袋小(9),_x000D_
骰子中(3),_x000D_
庄家令牌小(2),</t>
    <phoneticPr fontId="1" type="noConversion"/>
  </si>
  <si>
    <t>力量符文叉大(13),</t>
  </si>
  <si>
    <t>愚山乾坤石(10),</t>
    <phoneticPr fontId="1" type="noConversion"/>
  </si>
  <si>
    <t>愚山乾坤石(10),</t>
    <phoneticPr fontId="1" type="noConversion"/>
  </si>
  <si>
    <t>糯米(2),</t>
    <phoneticPr fontId="1" type="noConversion"/>
  </si>
  <si>
    <t>糯米(3),</t>
    <phoneticPr fontId="1" type="noConversion"/>
  </si>
  <si>
    <t>幸运符文叉大(3),</t>
    <phoneticPr fontId="1" type="noConversion"/>
  </si>
  <si>
    <t>仙丹(4),</t>
    <phoneticPr fontId="1" type="noConversion"/>
  </si>
  <si>
    <t>龙灵不朽藤(2),</t>
    <phoneticPr fontId="1" type="noConversion"/>
  </si>
  <si>
    <t>螃蟹(5),</t>
    <phoneticPr fontId="1" type="noConversion"/>
  </si>
  <si>
    <t>桂花(5),</t>
    <phoneticPr fontId="1" type="noConversion"/>
  </si>
  <si>
    <t>彗星(5),</t>
    <phoneticPr fontId="1" type="noConversion"/>
  </si>
  <si>
    <t>桂花酒(5),</t>
    <phoneticPr fontId="1" type="noConversion"/>
  </si>
  <si>
    <t>魅力符文叉大(5),</t>
    <phoneticPr fontId="1" type="noConversion"/>
  </si>
  <si>
    <t>愚山乾坤石(15),</t>
    <phoneticPr fontId="1" type="noConversion"/>
  </si>
  <si>
    <t>愚山乾坤石(15),</t>
    <phoneticPr fontId="1" type="noConversion"/>
  </si>
  <si>
    <t>秘窟冰晶卵(8),_x000D_
力量符文叉大(3),</t>
    <phoneticPr fontId="1" type="noConversion"/>
  </si>
  <si>
    <t>秘窟冰晶卵(8),</t>
    <phoneticPr fontId="1" type="noConversion"/>
  </si>
  <si>
    <t>幸运符文叉大(8),</t>
    <phoneticPr fontId="1" type="noConversion"/>
  </si>
  <si>
    <t>力量符文叉大(8),_x000D_
幸运符文叉大(8),</t>
    <phoneticPr fontId="1" type="noConversion"/>
  </si>
  <si>
    <t>彗星(15),</t>
    <phoneticPr fontId="1" type="noConversion"/>
  </si>
  <si>
    <t>彗星(25),</t>
    <phoneticPr fontId="1" type="noConversion"/>
  </si>
  <si>
    <t>金甲虫(47),</t>
    <phoneticPr fontId="1" type="noConversion"/>
  </si>
  <si>
    <t>糯米(3),_x000D_
粽叶(5),</t>
    <phoneticPr fontId="1" type="noConversion"/>
  </si>
  <si>
    <t>欠条中(4),_x000D_
筹码中(4),</t>
    <phoneticPr fontId="1" type="noConversion"/>
  </si>
  <si>
    <t>骰子大(4),_x000D_
庄家令牌大(6),</t>
    <phoneticPr fontId="1" type="noConversion"/>
  </si>
  <si>
    <t>神农鼎(1),_x000D_
龙灵不朽藤(7),</t>
    <phoneticPr fontId="1" type="noConversion"/>
  </si>
  <si>
    <t>欠条大(8),_x000D_
骰子大(4),</t>
    <phoneticPr fontId="1" type="noConversion"/>
  </si>
  <si>
    <t>魅力符文叉大(5),_x000D_
幸运符文叉大(8),</t>
    <phoneticPr fontId="1" type="noConversion"/>
  </si>
  <si>
    <t>欠条大(8),_x000D_
钱袋大(10),</t>
    <phoneticPr fontId="1" type="noConversion"/>
  </si>
  <si>
    <t>糯米(10),_x000D_
粽叶(10),</t>
    <phoneticPr fontId="1" type="noConversion"/>
  </si>
  <si>
    <t>赤焰十字星(23),_x000D_
力量符文叉大(33),</t>
    <phoneticPr fontId="1" type="noConversion"/>
  </si>
  <si>
    <t>钱袋大(2),_x000D_
筹码大(1),_x000D_
庄家令牌中(3),</t>
    <phoneticPr fontId="1" type="noConversion"/>
  </si>
  <si>
    <t>欠条中(6),_x000D_
钱袋中(2),_x000D_
骰子大(1),</t>
    <phoneticPr fontId="1" type="noConversion"/>
  </si>
  <si>
    <t>欠条中(4),_x000D_
筹码中(4),_x000D_
筹码大(1),</t>
    <phoneticPr fontId="1" type="noConversion"/>
  </si>
  <si>
    <t>欠条中(4),_x000D_
骰子中(3),_x000D_
筹码中(4),</t>
    <phoneticPr fontId="1" type="noConversion"/>
  </si>
  <si>
    <t>骰子小(3),_x000D_
筹码小(5),_x000D_
庄家令牌中(3),</t>
    <phoneticPr fontId="1" type="noConversion"/>
  </si>
  <si>
    <t>欠条中(6),_x000D_
欠条大(5),_x000D_
钱袋中(2),</t>
    <phoneticPr fontId="1" type="noConversion"/>
  </si>
  <si>
    <t>欠条大(8),_x000D_
骰子大(4),_x000D_
愚山乾坤石(10),</t>
    <phoneticPr fontId="1" type="noConversion"/>
  </si>
  <si>
    <t>欠条中(6),_x000D_
钱袋中(2),_x000D_
筹码大(6),</t>
    <phoneticPr fontId="1" type="noConversion"/>
  </si>
  <si>
    <t>螃蟹(5),_x000D_
桂花(5),_x000D_
桂花酒(5),</t>
    <phoneticPr fontId="1" type="noConversion"/>
  </si>
  <si>
    <t>欠条大(8),_x000D_
骰子大(4),_x000D_
龙灵不朽藤(2),</t>
    <phoneticPr fontId="1" type="noConversion"/>
  </si>
  <si>
    <t>超进阶素材火(50),_x000D_
超进阶素材光(45),_x000D_
超进阶素材暗(45),</t>
    <phoneticPr fontId="1" type="noConversion"/>
  </si>
  <si>
    <t>欠条小(8),_x000D_
钱袋小(9),_x000D_
骰子中(3),_x000D_
庄家令牌小(2),</t>
    <phoneticPr fontId="1" type="noConversion"/>
  </si>
  <si>
    <t>欠条小(8),_x000D_
钱袋小(9),_x000D_
筹码中(4),_x000D_
庄家令牌小(2),</t>
    <phoneticPr fontId="1" type="noConversion"/>
  </si>
  <si>
    <t>欠条中(4),_x000D_
骰子小(8),_x000D_
筹码小(10),_x000D_
庄家令牌小(2),</t>
    <phoneticPr fontId="1" type="noConversion"/>
  </si>
  <si>
    <t>欠条中(4),_x000D_
骰子小(8),_x000D_
筹码小(10),_x000D_
庄家令牌小(2),</t>
    <phoneticPr fontId="1" type="noConversion"/>
  </si>
  <si>
    <t>欠条小(8),_x000D_
钱袋小(9),_x000D_
骰子小(8),_x000D_
筹码小(10),</t>
    <phoneticPr fontId="1" type="noConversion"/>
  </si>
  <si>
    <t>欠条小(8),_x000D_
钱袋小(9),_x000D_
骰子小(8),_x000D_
筹码小(10),</t>
    <phoneticPr fontId="1" type="noConversion"/>
  </si>
  <si>
    <t>超进阶素材土(9),_x000D_
超进阶素材木(1),_x000D_
超进阶素材光(45),_x000D_
超进阶素材暗(45),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</si>
</sst>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9"/>
      <name val="宋体"/>
      <family val="2"/>
      <charset val="134"/>
      <scheme val="minor"/>
    </font>
    <font>
      <sz val="11"/>
      <color theme="9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4" borderId="1" xfId="0" applyFont="1" applyFill="1" applyBorder="1">
      <alignment vertical="center"/>
    </xf>
    <xf numFmtId="0" fontId="8" fillId="6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1" xfId="0" applyFont="1" applyFill="1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</cellXfs>
  <cellStyles count="1">
    <cellStyle name="常规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123</xdr:row>
          <xdr:rowOff>28575</xdr:rowOff>
        </xdr:from>
        <xdr:to>
          <xdr:col>1</xdr:col>
          <xdr:colOff>428625</xdr:colOff>
          <xdr:row>124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15</xdr:row>
          <xdr:rowOff>28575</xdr:rowOff>
        </xdr:from>
        <xdr:to>
          <xdr:col>1</xdr:col>
          <xdr:colOff>428625</xdr:colOff>
          <xdr:row>16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S123"/>
  <sheetViews>
    <sheetView tabSelected="1" workbookViewId="0">
      <pane xSplit="2" ySplit="1" topLeftCell="BK12" activePane="bottomRight" state="frozen"/>
      <selection pane="topRight" activeCell="C1" sqref="C1"/>
      <selection pane="bottomLeft" activeCell="A3" sqref="A3"/>
      <selection pane="bottomRight" activeCell="BS22" sqref="BS22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75</v>
      </c>
      <c r="B1" s="8" t="s">
        <v>76</v>
      </c>
      <c r="C1" s="8" t="s">
        <v>78</v>
      </c>
      <c r="D1" s="8" t="s">
        <v>77</v>
      </c>
      <c r="E1" s="9" t="s">
        <v>3</v>
      </c>
      <c r="F1" s="9" t="s">
        <v>4</v>
      </c>
      <c r="G1" s="9" t="s">
        <v>14</v>
      </c>
      <c r="H1" s="9" t="s">
        <v>24</v>
      </c>
      <c r="I1" s="9" t="s">
        <v>25</v>
      </c>
      <c r="J1" s="9" t="s">
        <v>73</v>
      </c>
      <c r="K1" s="9" t="s">
        <v>26</v>
      </c>
      <c r="L1" s="9" t="s">
        <v>45</v>
      </c>
      <c r="M1" s="9" t="s">
        <v>47</v>
      </c>
      <c r="N1" s="9" t="s">
        <v>52</v>
      </c>
      <c r="O1" s="9" t="s">
        <v>46</v>
      </c>
      <c r="P1" s="27" t="s">
        <v>113</v>
      </c>
      <c r="Q1" s="27" t="s">
        <v>125</v>
      </c>
      <c r="R1" s="27" t="s">
        <v>119</v>
      </c>
      <c r="S1" s="27" t="s">
        <v>114</v>
      </c>
      <c r="T1" s="27" t="s">
        <v>123</v>
      </c>
      <c r="U1" s="27" t="s">
        <v>129</v>
      </c>
      <c r="V1" s="27" t="s">
        <v>115</v>
      </c>
      <c r="W1" s="27" t="s">
        <v>122</v>
      </c>
      <c r="X1" s="27" t="s">
        <v>120</v>
      </c>
      <c r="Y1" s="27" t="s">
        <v>116</v>
      </c>
      <c r="Z1" s="27" t="s">
        <v>124</v>
      </c>
      <c r="AA1" s="27" t="s">
        <v>131</v>
      </c>
      <c r="AB1" s="27" t="s">
        <v>118</v>
      </c>
      <c r="AC1" s="27" t="s">
        <v>117</v>
      </c>
      <c r="AD1" s="27" t="s">
        <v>142</v>
      </c>
      <c r="AE1" s="8" t="s">
        <v>9</v>
      </c>
      <c r="AF1" s="8" t="s">
        <v>32</v>
      </c>
      <c r="AG1" s="8" t="s">
        <v>33</v>
      </c>
      <c r="AH1" s="8" t="s">
        <v>63</v>
      </c>
      <c r="AI1" s="8" t="s">
        <v>64</v>
      </c>
      <c r="AJ1" s="8" t="s">
        <v>66</v>
      </c>
      <c r="AK1" s="8" t="s">
        <v>67</v>
      </c>
      <c r="AL1" s="8" t="s">
        <v>69</v>
      </c>
      <c r="AM1" s="8" t="s">
        <v>53</v>
      </c>
      <c r="AN1" s="8" t="s">
        <v>55</v>
      </c>
      <c r="AO1" s="8" t="s">
        <v>101</v>
      </c>
      <c r="AP1" s="8" t="s">
        <v>102</v>
      </c>
      <c r="AQ1" s="10" t="s">
        <v>42</v>
      </c>
      <c r="AR1" s="10" t="s">
        <v>5</v>
      </c>
      <c r="AS1" s="10" t="s">
        <v>30</v>
      </c>
      <c r="AT1" s="10" t="s">
        <v>57</v>
      </c>
      <c r="AU1" s="10" t="s">
        <v>61</v>
      </c>
      <c r="AV1" s="10" t="s">
        <v>51</v>
      </c>
      <c r="AW1" s="11" t="s">
        <v>6</v>
      </c>
      <c r="AX1" s="11" t="s">
        <v>7</v>
      </c>
      <c r="AY1" s="11" t="s">
        <v>43</v>
      </c>
      <c r="AZ1" s="11" t="s">
        <v>8</v>
      </c>
      <c r="BA1" s="11" t="s">
        <v>50</v>
      </c>
      <c r="BB1" s="11" t="s">
        <v>13</v>
      </c>
      <c r="BC1" s="25" t="s">
        <v>98</v>
      </c>
      <c r="BD1" s="8" t="s">
        <v>18</v>
      </c>
      <c r="BE1" s="8" t="s">
        <v>17</v>
      </c>
      <c r="BF1" s="8" t="s">
        <v>15</v>
      </c>
      <c r="BG1" s="8" t="s">
        <v>16</v>
      </c>
      <c r="BH1" s="8" t="s">
        <v>19</v>
      </c>
      <c r="BI1" s="8" t="s">
        <v>20</v>
      </c>
      <c r="BJ1" s="8" t="s">
        <v>35</v>
      </c>
      <c r="BK1" s="8" t="s">
        <v>36</v>
      </c>
      <c r="BL1" s="8" t="s">
        <v>37</v>
      </c>
      <c r="BM1" s="8" t="s">
        <v>38</v>
      </c>
      <c r="BN1" s="8" t="s">
        <v>39</v>
      </c>
      <c r="BO1" s="8" t="s">
        <v>40</v>
      </c>
      <c r="BP1" s="12" t="s">
        <v>83</v>
      </c>
      <c r="BQ1" s="8" t="s">
        <v>84</v>
      </c>
      <c r="BR1" s="16" t="s">
        <v>85</v>
      </c>
      <c r="BS1" s="16"/>
      <c r="BT1" s="10" t="s">
        <v>42</v>
      </c>
      <c r="BU1" s="10" t="s">
        <v>5</v>
      </c>
      <c r="BV1" s="10" t="s">
        <v>30</v>
      </c>
      <c r="BW1" s="10" t="s">
        <v>57</v>
      </c>
      <c r="BX1" s="10" t="s">
        <v>61</v>
      </c>
      <c r="BY1" s="10" t="s">
        <v>51</v>
      </c>
      <c r="BZ1" s="11" t="s">
        <v>6</v>
      </c>
      <c r="CA1" s="11" t="s">
        <v>7</v>
      </c>
      <c r="CB1" s="11" t="s">
        <v>43</v>
      </c>
      <c r="CC1" s="11" t="s">
        <v>8</v>
      </c>
      <c r="CD1" s="11" t="s">
        <v>50</v>
      </c>
      <c r="CE1" s="11" t="s">
        <v>13</v>
      </c>
      <c r="CF1" s="8"/>
      <c r="CG1" s="10" t="s">
        <v>42</v>
      </c>
      <c r="CH1" s="10" t="s">
        <v>5</v>
      </c>
      <c r="CI1" s="10" t="s">
        <v>30</v>
      </c>
      <c r="CJ1" s="10" t="s">
        <v>57</v>
      </c>
      <c r="CK1" s="10" t="s">
        <v>61</v>
      </c>
      <c r="CL1" s="10" t="s">
        <v>51</v>
      </c>
      <c r="CM1" s="11" t="s">
        <v>6</v>
      </c>
      <c r="CN1" s="11" t="s">
        <v>7</v>
      </c>
      <c r="CO1" s="11" t="s">
        <v>43</v>
      </c>
      <c r="CP1" s="11" t="s">
        <v>8</v>
      </c>
      <c r="CQ1" s="11" t="s">
        <v>50</v>
      </c>
      <c r="CR1" s="11" t="s">
        <v>13</v>
      </c>
      <c r="CS1" s="8"/>
    </row>
    <row r="2" spans="1:97" s="48" customFormat="1" x14ac:dyDescent="0.15">
      <c r="A2" s="40">
        <v>4</v>
      </c>
      <c r="B2" s="40" t="s">
        <v>10</v>
      </c>
      <c r="C2" s="40" t="s">
        <v>2</v>
      </c>
      <c r="D2" s="40" t="s">
        <v>12</v>
      </c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3"/>
      <c r="AR2" s="43"/>
      <c r="AS2" s="43"/>
      <c r="AT2" s="43"/>
      <c r="AU2" s="43"/>
      <c r="AV2" s="43"/>
      <c r="AW2" s="44"/>
      <c r="AX2" s="44"/>
      <c r="AY2" s="44"/>
      <c r="AZ2" s="44"/>
      <c r="BA2" s="44"/>
      <c r="BB2" s="44"/>
      <c r="BC2" s="45"/>
      <c r="BD2" s="40"/>
      <c r="BE2" s="40"/>
      <c r="BF2" s="40">
        <v>20</v>
      </c>
      <c r="BG2" s="40">
        <v>20</v>
      </c>
      <c r="BH2" s="40">
        <v>20</v>
      </c>
      <c r="BI2" s="40">
        <v>20</v>
      </c>
      <c r="BJ2" s="40"/>
      <c r="BK2" s="40"/>
      <c r="BL2" s="40"/>
      <c r="BM2" s="40"/>
      <c r="BN2" s="40"/>
      <c r="BO2" s="40"/>
      <c r="BP2" s="40">
        <f>SUM(E2:BO2)</f>
        <v>80</v>
      </c>
      <c r="BQ2" s="40">
        <v>0</v>
      </c>
      <c r="BR2" s="46">
        <v>0</v>
      </c>
      <c r="BS2" s="46"/>
      <c r="BT2" s="40" t="str">
        <f>IF(AQ2&gt;AQ$117, AQ2-AQ$117,"")</f>
        <v/>
      </c>
      <c r="BU2" s="40" t="str">
        <f>IF(AR2&gt;AR$117, AR2-AR$117,"")</f>
        <v/>
      </c>
      <c r="BV2" s="40" t="str">
        <f>IF(AS2&gt;AS$117, AS2-AS$117,"")</f>
        <v/>
      </c>
      <c r="BW2" s="40" t="str">
        <f>IF(AT2&gt;AT$117, AT2-AT$117,"")</f>
        <v/>
      </c>
      <c r="BX2" s="40" t="str">
        <f>IF(AU2&gt;AU$117, AU2-AU$117,"")</f>
        <v/>
      </c>
      <c r="BY2" s="40" t="str">
        <f>IF(AV2&gt;AV$117, AV2-AV$117,"")</f>
        <v/>
      </c>
      <c r="BZ2" s="40" t="str">
        <f>IF(AW2&gt;AW$117, AW2-AW$117,"")</f>
        <v/>
      </c>
      <c r="CA2" s="40" t="str">
        <f>IF(AX2&gt;AX$117, AX2-AX$117,"")</f>
        <v/>
      </c>
      <c r="CB2" s="40" t="str">
        <f>IF(AY2&gt;AY$117, AY2-AY$117,"")</f>
        <v/>
      </c>
      <c r="CC2" s="40" t="str">
        <f>IF(AZ2&gt;AZ$117, AZ2-AZ$117,"")</f>
        <v/>
      </c>
      <c r="CD2" s="40" t="str">
        <f>IF(BA2&gt;BA$117, BA2-BA$117,"")</f>
        <v/>
      </c>
      <c r="CE2" s="40" t="str">
        <f>IF(BB2&gt;BB$117, BB2-BB$117,"")</f>
        <v/>
      </c>
      <c r="CF2" s="40">
        <f>12-COUNTA(BT2:CE2)</f>
        <v>0</v>
      </c>
      <c r="CG2" s="40" t="str">
        <f>IF($CF2=1,BT2,"")</f>
        <v/>
      </c>
      <c r="CH2" s="40" t="str">
        <f>IF($CF2=1,BU2,"")</f>
        <v/>
      </c>
      <c r="CI2" s="40" t="str">
        <f>IF($CF2=1,BV2,"")</f>
        <v/>
      </c>
      <c r="CJ2" s="40" t="str">
        <f>IF($CF2=1,BW2,"")</f>
        <v/>
      </c>
      <c r="CK2" s="40" t="str">
        <f>IF($CF2=1,BX2,"")</f>
        <v/>
      </c>
      <c r="CL2" s="40" t="str">
        <f>IF($CF2=1,BY2,"")</f>
        <v/>
      </c>
      <c r="CM2" s="40" t="str">
        <f>IF($CF2=1,BZ2,"")</f>
        <v/>
      </c>
      <c r="CN2" s="40" t="str">
        <f>IF($CF2=1,CA2,"")</f>
        <v/>
      </c>
      <c r="CO2" s="40" t="str">
        <f>IF($CF2=1,CB2,"")</f>
        <v/>
      </c>
      <c r="CP2" s="40" t="str">
        <f>IF($CF2=1,CC2,"")</f>
        <v/>
      </c>
      <c r="CQ2" s="40" t="str">
        <f>IF($CF2=1,CD2,"")</f>
        <v/>
      </c>
      <c r="CR2" s="40" t="str">
        <f>IF($CF2=1,CE2,"")</f>
        <v/>
      </c>
      <c r="CS2" s="47">
        <f>SUM(AE2:BO2)</f>
        <v>80</v>
      </c>
    </row>
    <row r="3" spans="1:97" x14ac:dyDescent="0.15">
      <c r="A3" s="1">
        <v>15</v>
      </c>
      <c r="B3" s="1" t="s">
        <v>27</v>
      </c>
      <c r="C3" s="1" t="s">
        <v>28</v>
      </c>
      <c r="D3" s="1" t="s">
        <v>23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>SUM(E3:BO3)</f>
        <v>80</v>
      </c>
      <c r="BQ3" s="1">
        <v>0</v>
      </c>
      <c r="BR3" s="17">
        <v>0</v>
      </c>
      <c r="BS3" s="17"/>
      <c r="BT3" s="1" t="str">
        <f>IF(AQ3&gt;AQ$117, AQ3-AQ$117,"")</f>
        <v/>
      </c>
      <c r="BU3" s="1" t="str">
        <f>IF(AR3&gt;AR$117, AR3-AR$117,"")</f>
        <v/>
      </c>
      <c r="BV3" s="1" t="str">
        <f>IF(AS3&gt;AS$117, AS3-AS$117,"")</f>
        <v/>
      </c>
      <c r="BW3" s="1" t="str">
        <f>IF(AT3&gt;AT$117, AT3-AT$117,"")</f>
        <v/>
      </c>
      <c r="BX3" s="1" t="str">
        <f>IF(AU3&gt;AU$117, AU3-AU$117,"")</f>
        <v/>
      </c>
      <c r="BY3" s="1" t="str">
        <f>IF(AV3&gt;AV$117, AV3-AV$117,"")</f>
        <v/>
      </c>
      <c r="BZ3" s="1" t="str">
        <f>IF(AW3&gt;AW$117, AW3-AW$117,"")</f>
        <v/>
      </c>
      <c r="CA3" s="1" t="str">
        <f>IF(AX3&gt;AX$117, AX3-AX$117,"")</f>
        <v/>
      </c>
      <c r="CB3" s="1" t="str">
        <f>IF(AY3&gt;AY$117, AY3-AY$117,"")</f>
        <v/>
      </c>
      <c r="CC3" s="1" t="str">
        <f>IF(AZ3&gt;AZ$117, AZ3-AZ$117,"")</f>
        <v/>
      </c>
      <c r="CD3" s="1" t="str">
        <f>IF(BA3&gt;BA$117, BA3-BA$117,"")</f>
        <v/>
      </c>
      <c r="CE3" s="1" t="str">
        <f>IF(BB3&gt;BB$117, BB3-BB$117,"")</f>
        <v/>
      </c>
      <c r="CF3" s="1">
        <f>12-COUNTA(BT3:CE3)</f>
        <v>0</v>
      </c>
      <c r="CG3" s="1" t="str">
        <f>IF($CF3=1,BT3,"")</f>
        <v/>
      </c>
      <c r="CH3" s="1" t="str">
        <f>IF($CF3=1,BU3,"")</f>
        <v/>
      </c>
      <c r="CI3" s="1" t="str">
        <f>IF($CF3=1,BV3,"")</f>
        <v/>
      </c>
      <c r="CJ3" s="1" t="str">
        <f>IF($CF3=1,BW3,"")</f>
        <v/>
      </c>
      <c r="CK3" s="1" t="str">
        <f>IF($CF3=1,BX3,"")</f>
        <v/>
      </c>
      <c r="CL3" s="1" t="str">
        <f>IF($CF3=1,BY3,"")</f>
        <v/>
      </c>
      <c r="CM3" s="1" t="str">
        <f>IF($CF3=1,BZ3,"")</f>
        <v/>
      </c>
      <c r="CN3" s="1" t="str">
        <f>IF($CF3=1,CA3,"")</f>
        <v/>
      </c>
      <c r="CO3" s="1" t="str">
        <f>IF($CF3=1,CB3,"")</f>
        <v/>
      </c>
      <c r="CP3" s="1" t="str">
        <f>IF($CF3=1,CC3,"")</f>
        <v/>
      </c>
      <c r="CQ3" s="1" t="str">
        <f>IF($CF3=1,CD3,"")</f>
        <v/>
      </c>
      <c r="CR3" s="1" t="str">
        <f>IF($CF3=1,CE3,"")</f>
        <v/>
      </c>
      <c r="CS3" s="3">
        <f>SUM(AE3:BO3)</f>
        <v>80</v>
      </c>
    </row>
    <row r="4" spans="1:97" x14ac:dyDescent="0.15">
      <c r="A4" s="1">
        <v>55</v>
      </c>
      <c r="B4" s="1" t="s">
        <v>48</v>
      </c>
      <c r="C4" s="1" t="s">
        <v>49</v>
      </c>
      <c r="D4" s="1" t="s">
        <v>12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/>
      <c r="BG4" s="1"/>
      <c r="BH4" s="1">
        <v>20</v>
      </c>
      <c r="BI4" s="1">
        <v>20</v>
      </c>
      <c r="BJ4" s="1"/>
      <c r="BK4" s="1"/>
      <c r="BL4" s="1"/>
      <c r="BM4" s="1"/>
      <c r="BN4" s="1"/>
      <c r="BO4" s="1"/>
      <c r="BP4" s="1">
        <f>SUM(E4:BO4)</f>
        <v>80</v>
      </c>
      <c r="BQ4" s="1">
        <v>0</v>
      </c>
      <c r="BR4" s="17">
        <v>0</v>
      </c>
      <c r="BS4" s="17"/>
      <c r="BT4" s="1" t="str">
        <f>IF(AQ4&gt;AQ$117, AQ4-AQ$117,"")</f>
        <v/>
      </c>
      <c r="BU4" s="1" t="str">
        <f>IF(AR4&gt;AR$117, AR4-AR$117,"")</f>
        <v/>
      </c>
      <c r="BV4" s="1" t="str">
        <f>IF(AS4&gt;AS$117, AS4-AS$117,"")</f>
        <v/>
      </c>
      <c r="BW4" s="1" t="str">
        <f>IF(AT4&gt;AT$117, AT4-AT$117,"")</f>
        <v/>
      </c>
      <c r="BX4" s="1" t="str">
        <f>IF(AU4&gt;AU$117, AU4-AU$117,"")</f>
        <v/>
      </c>
      <c r="BY4" s="1" t="str">
        <f>IF(AV4&gt;AV$117, AV4-AV$117,"")</f>
        <v/>
      </c>
      <c r="BZ4" s="1" t="str">
        <f>IF(AW4&gt;AW$117, AW4-AW$117,"")</f>
        <v/>
      </c>
      <c r="CA4" s="1" t="str">
        <f>IF(AX4&gt;AX$117, AX4-AX$117,"")</f>
        <v/>
      </c>
      <c r="CB4" s="1" t="str">
        <f>IF(AY4&gt;AY$117, AY4-AY$117,"")</f>
        <v/>
      </c>
      <c r="CC4" s="1" t="str">
        <f>IF(AZ4&gt;AZ$117, AZ4-AZ$117,"")</f>
        <v/>
      </c>
      <c r="CD4" s="1" t="str">
        <f>IF(BA4&gt;BA$117, BA4-BA$117,"")</f>
        <v/>
      </c>
      <c r="CE4" s="1" t="str">
        <f>IF(BB4&gt;BB$117, BB4-BB$117,"")</f>
        <v/>
      </c>
      <c r="CF4" s="1">
        <f>12-COUNTA(BT4:CE4)</f>
        <v>0</v>
      </c>
      <c r="CG4" s="1" t="str">
        <f>IF($CF4=1,BT4,"")</f>
        <v/>
      </c>
      <c r="CH4" s="1" t="str">
        <f>IF($CF4=1,BU4,"")</f>
        <v/>
      </c>
      <c r="CI4" s="1" t="str">
        <f>IF($CF4=1,BV4,"")</f>
        <v/>
      </c>
      <c r="CJ4" s="1" t="str">
        <f>IF($CF4=1,BW4,"")</f>
        <v/>
      </c>
      <c r="CK4" s="1" t="str">
        <f>IF($CF4=1,BX4,"")</f>
        <v/>
      </c>
      <c r="CL4" s="1" t="str">
        <f>IF($CF4=1,BY4,"")</f>
        <v/>
      </c>
      <c r="CM4" s="1" t="str">
        <f>IF($CF4=1,BZ4,"")</f>
        <v/>
      </c>
      <c r="CN4" s="1" t="str">
        <f>IF($CF4=1,CA4,"")</f>
        <v/>
      </c>
      <c r="CO4" s="1" t="str">
        <f>IF($CF4=1,CB4,"")</f>
        <v/>
      </c>
      <c r="CP4" s="1" t="str">
        <f>IF($CF4=1,CC4,"")</f>
        <v/>
      </c>
      <c r="CQ4" s="1" t="str">
        <f>IF($CF4=1,CD4,"")</f>
        <v/>
      </c>
      <c r="CR4" s="1" t="str">
        <f>IF($CF4=1,CE4,"")</f>
        <v/>
      </c>
      <c r="CS4" s="3">
        <f>SUM(AE4:BO4)</f>
        <v>80</v>
      </c>
    </row>
    <row r="5" spans="1:97" s="23" customFormat="1" x14ac:dyDescent="0.15">
      <c r="A5" s="1"/>
      <c r="B5" s="1" t="s">
        <v>95</v>
      </c>
      <c r="C5" s="1" t="s">
        <v>96</v>
      </c>
      <c r="D5" s="1" t="s">
        <v>94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>
        <v>20</v>
      </c>
      <c r="BE5" s="1">
        <v>20</v>
      </c>
      <c r="BF5" s="1">
        <v>20</v>
      </c>
      <c r="BG5" s="1">
        <v>20</v>
      </c>
      <c r="BH5" s="1"/>
      <c r="BI5" s="1"/>
      <c r="BJ5" s="1"/>
      <c r="BK5" s="1"/>
      <c r="BL5" s="1"/>
      <c r="BM5" s="1"/>
      <c r="BN5" s="1"/>
      <c r="BO5" s="1"/>
      <c r="BP5" s="1">
        <f>SUM(E5:BO5)</f>
        <v>80</v>
      </c>
      <c r="BQ5" s="1">
        <v>0</v>
      </c>
      <c r="BR5" s="17">
        <v>0</v>
      </c>
      <c r="BS5" s="17"/>
      <c r="BT5" s="1" t="str">
        <f>IF(AQ5&gt;AQ$117, AQ5-AQ$117,"")</f>
        <v/>
      </c>
      <c r="BU5" s="1" t="str">
        <f>IF(AR5&gt;AR$117, AR5-AR$117,"")</f>
        <v/>
      </c>
      <c r="BV5" s="1" t="str">
        <f>IF(AS5&gt;AS$117, AS5-AS$117,"")</f>
        <v/>
      </c>
      <c r="BW5" s="1" t="str">
        <f>IF(AT5&gt;AT$117, AT5-AT$117,"")</f>
        <v/>
      </c>
      <c r="BX5" s="1" t="str">
        <f>IF(AU5&gt;AU$117, AU5-AU$117,"")</f>
        <v/>
      </c>
      <c r="BY5" s="1" t="str">
        <f>IF(AV5&gt;AV$117, AV5-AV$117,"")</f>
        <v/>
      </c>
      <c r="BZ5" s="1" t="str">
        <f>IF(AW5&gt;AW$117, AW5-AW$117,"")</f>
        <v/>
      </c>
      <c r="CA5" s="1" t="str">
        <f>IF(AX5&gt;AX$117, AX5-AX$117,"")</f>
        <v/>
      </c>
      <c r="CB5" s="1" t="str">
        <f>IF(AY5&gt;AY$117, AY5-AY$117,"")</f>
        <v/>
      </c>
      <c r="CC5" s="1" t="str">
        <f>IF(AZ5&gt;AZ$117, AZ5-AZ$117,"")</f>
        <v/>
      </c>
      <c r="CD5" s="1" t="str">
        <f>IF(BA5&gt;BA$117, BA5-BA$117,"")</f>
        <v/>
      </c>
      <c r="CE5" s="1" t="str">
        <f>IF(BB5&gt;BB$117, BB5-BB$117,"")</f>
        <v/>
      </c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3"/>
    </row>
    <row r="6" spans="1:97" s="23" customFormat="1" x14ac:dyDescent="0.15">
      <c r="A6" s="1"/>
      <c r="B6" s="1" t="s">
        <v>159</v>
      </c>
      <c r="C6" s="1" t="s">
        <v>104</v>
      </c>
      <c r="D6" s="1" t="s">
        <v>94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>
        <v>20</v>
      </c>
      <c r="BG6" s="1">
        <v>20</v>
      </c>
      <c r="BH6" s="1">
        <v>20</v>
      </c>
      <c r="BI6" s="1">
        <v>20</v>
      </c>
      <c r="BJ6" s="1"/>
      <c r="BK6" s="1"/>
      <c r="BL6" s="1"/>
      <c r="BM6" s="1"/>
      <c r="BN6" s="1"/>
      <c r="BO6" s="1"/>
      <c r="BP6" s="1">
        <f>SUM(E6:BO6)</f>
        <v>80</v>
      </c>
      <c r="BQ6" s="1">
        <v>0</v>
      </c>
      <c r="BR6" s="17">
        <v>0</v>
      </c>
      <c r="BS6" s="17"/>
      <c r="BT6" s="1" t="str">
        <f>IF(AQ6&gt;AQ$117, AQ6-AQ$117,"")</f>
        <v/>
      </c>
      <c r="BU6" s="1" t="str">
        <f>IF(AR6&gt;AR$117, AR6-AR$117,"")</f>
        <v/>
      </c>
      <c r="BV6" s="1" t="str">
        <f>IF(AS6&gt;AS$117, AS6-AS$117,"")</f>
        <v/>
      </c>
      <c r="BW6" s="1" t="str">
        <f>IF(AT6&gt;AT$117, AT6-AT$117,"")</f>
        <v/>
      </c>
      <c r="BX6" s="1" t="str">
        <f>IF(AU6&gt;AU$117, AU6-AU$117,"")</f>
        <v/>
      </c>
      <c r="BY6" s="1" t="str">
        <f>IF(AV6&gt;AV$117, AV6-AV$117,"")</f>
        <v/>
      </c>
      <c r="BZ6" s="1" t="str">
        <f>IF(AW6&gt;AW$117, AW6-AW$117,"")</f>
        <v/>
      </c>
      <c r="CA6" s="1" t="str">
        <f>IF(AX6&gt;AX$117, AX6-AX$117,"")</f>
        <v/>
      </c>
      <c r="CB6" s="1" t="str">
        <f>IF(AY6&gt;AY$117, AY6-AY$117,"")</f>
        <v/>
      </c>
      <c r="CC6" s="1" t="str">
        <f>IF(AZ6&gt;AZ$117, AZ6-AZ$117,"")</f>
        <v/>
      </c>
      <c r="CD6" s="1" t="str">
        <f>IF(BA6&gt;BA$117, BA6-BA$117,"")</f>
        <v/>
      </c>
      <c r="CE6" s="1" t="str">
        <f>IF(BB6&gt;BB$117, BB6-BB$117,"")</f>
        <v/>
      </c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3"/>
    </row>
    <row r="7" spans="1:97" x14ac:dyDescent="0.15">
      <c r="A7" s="1"/>
      <c r="B7" s="1" t="s">
        <v>167</v>
      </c>
      <c r="C7" s="1" t="s">
        <v>92</v>
      </c>
      <c r="D7" s="1" t="s">
        <v>94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>
        <v>20</v>
      </c>
      <c r="BE7" s="1">
        <v>20</v>
      </c>
      <c r="BF7" s="1">
        <v>20</v>
      </c>
      <c r="BG7" s="1">
        <v>20</v>
      </c>
      <c r="BH7" s="1"/>
      <c r="BI7" s="1"/>
      <c r="BJ7" s="1"/>
      <c r="BK7" s="1"/>
      <c r="BL7" s="1"/>
      <c r="BM7" s="1"/>
      <c r="BN7" s="1"/>
      <c r="BO7" s="1"/>
      <c r="BP7" s="1">
        <f>SUM(E7:BO7)</f>
        <v>80</v>
      </c>
      <c r="BQ7" s="1">
        <v>0</v>
      </c>
      <c r="BR7" s="17">
        <v>0</v>
      </c>
      <c r="BS7" s="17"/>
      <c r="BT7" s="1" t="str">
        <f>IF(AQ7&gt;AQ$117, AQ7-AQ$117,"")</f>
        <v/>
      </c>
      <c r="BU7" s="1" t="str">
        <f>IF(AR7&gt;AR$117, AR7-AR$117,"")</f>
        <v/>
      </c>
      <c r="BV7" s="1" t="str">
        <f>IF(AS7&gt;AS$117, AS7-AS$117,"")</f>
        <v/>
      </c>
      <c r="BW7" s="1" t="str">
        <f>IF(AT7&gt;AT$117, AT7-AT$117,"")</f>
        <v/>
      </c>
      <c r="BX7" s="1" t="str">
        <f>IF(AU7&gt;AU$117, AU7-AU$117,"")</f>
        <v/>
      </c>
      <c r="BY7" s="1" t="str">
        <f>IF(AV7&gt;AV$117, AV7-AV$117,"")</f>
        <v/>
      </c>
      <c r="BZ7" s="1" t="str">
        <f>IF(AW7&gt;AW$117, AW7-AW$117,"")</f>
        <v/>
      </c>
      <c r="CA7" s="1" t="str">
        <f>IF(AX7&gt;AX$117, AX7-AX$117,"")</f>
        <v/>
      </c>
      <c r="CB7" s="1" t="str">
        <f>IF(AY7&gt;AY$117, AY7-AY$117,"")</f>
        <v/>
      </c>
      <c r="CC7" s="1" t="str">
        <f>IF(AZ7&gt;AZ$117, AZ7-AZ$117,"")</f>
        <v/>
      </c>
      <c r="CD7" s="1" t="str">
        <f>IF(BA7&gt;BA$117, BA7-BA$117,"")</f>
        <v/>
      </c>
      <c r="CE7" s="1" t="str">
        <f>IF(BB7&gt;BB$117, BB7-BB$117,"")</f>
        <v/>
      </c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3"/>
    </row>
    <row r="8" spans="1:97" s="39" customFormat="1" x14ac:dyDescent="0.15">
      <c r="A8" s="1"/>
      <c r="B8" s="1" t="s">
        <v>172</v>
      </c>
      <c r="C8" s="1" t="s">
        <v>107</v>
      </c>
      <c r="D8" s="1" t="s">
        <v>94</v>
      </c>
      <c r="E8" s="6"/>
      <c r="F8" s="6"/>
      <c r="G8" s="6"/>
      <c r="H8" s="6">
        <v>10</v>
      </c>
      <c r="I8" s="6"/>
      <c r="J8" s="6">
        <v>10</v>
      </c>
      <c r="K8" s="6"/>
      <c r="L8" s="6"/>
      <c r="M8" s="6"/>
      <c r="N8" s="6"/>
      <c r="O8" s="6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>
        <v>10</v>
      </c>
      <c r="AU8" s="4"/>
      <c r="AV8" s="4"/>
      <c r="AW8" s="2"/>
      <c r="AX8" s="2"/>
      <c r="AY8" s="2">
        <v>10</v>
      </c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>
        <f>SUM(E8:BO8)</f>
        <v>40</v>
      </c>
      <c r="BQ8" s="1">
        <v>0</v>
      </c>
      <c r="BR8" s="17">
        <v>0</v>
      </c>
      <c r="BS8" s="17"/>
      <c r="BT8" s="1" t="str">
        <f>IF(AQ8&gt;AQ$117, AQ8-AQ$117,"")</f>
        <v/>
      </c>
      <c r="BU8" s="1" t="str">
        <f>IF(AR8&gt;AR$117, AR8-AR$117,"")</f>
        <v/>
      </c>
      <c r="BV8" s="1" t="str">
        <f>IF(AS8&gt;AS$117, AS8-AS$117,"")</f>
        <v/>
      </c>
      <c r="BW8" s="1" t="str">
        <f>IF(AT8&gt;AT$117, AT8-AT$117,"")</f>
        <v/>
      </c>
      <c r="BX8" s="1" t="str">
        <f>IF(AU8&gt;AU$117, AU8-AU$117,"")</f>
        <v/>
      </c>
      <c r="BY8" s="1" t="str">
        <f>IF(AV8&gt;AV$117, AV8-AV$117,"")</f>
        <v/>
      </c>
      <c r="BZ8" s="1" t="str">
        <f>IF(AW8&gt;AW$117, AW8-AW$117,"")</f>
        <v/>
      </c>
      <c r="CA8" s="1" t="str">
        <f>IF(AX8&gt;AX$117, AX8-AX$117,"")</f>
        <v/>
      </c>
      <c r="CB8" s="1" t="str">
        <f>IF(AY8&gt;AY$117, AY8-AY$117,"")</f>
        <v/>
      </c>
      <c r="CC8" s="1" t="str">
        <f>IF(AZ8&gt;AZ$117, AZ8-AZ$117,"")</f>
        <v/>
      </c>
      <c r="CD8" s="1" t="str">
        <f>IF(BA8&gt;BA$117, BA8-BA$117,"")</f>
        <v/>
      </c>
      <c r="CE8" s="1" t="str">
        <f>IF(BB8&gt;BB$117, BB8-BB$117,"")</f>
        <v/>
      </c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3"/>
    </row>
    <row r="9" spans="1:97" x14ac:dyDescent="0.15">
      <c r="A9" s="1"/>
      <c r="B9" s="1" t="s">
        <v>193</v>
      </c>
      <c r="C9" s="1" t="s">
        <v>107</v>
      </c>
      <c r="D9" s="1" t="s">
        <v>94</v>
      </c>
      <c r="E9" s="6"/>
      <c r="F9" s="6">
        <v>6</v>
      </c>
      <c r="G9" s="6"/>
      <c r="H9" s="6"/>
      <c r="I9" s="6"/>
      <c r="J9" s="6"/>
      <c r="K9" s="6"/>
      <c r="L9" s="6"/>
      <c r="M9" s="6"/>
      <c r="N9" s="6"/>
      <c r="O9" s="6">
        <v>6</v>
      </c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>
        <v>10</v>
      </c>
      <c r="AU9" s="4"/>
      <c r="AV9" s="4"/>
      <c r="AW9" s="2"/>
      <c r="AX9" s="2"/>
      <c r="AY9" s="2">
        <v>10</v>
      </c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>SUM(E9:BO9)</f>
        <v>32</v>
      </c>
      <c r="BQ9" s="1">
        <v>0</v>
      </c>
      <c r="BR9" s="17">
        <v>0</v>
      </c>
      <c r="BS9" s="17"/>
      <c r="BT9" s="1" t="str">
        <f>IF(AQ9&gt;AQ$117, AQ9-AQ$117,"")</f>
        <v/>
      </c>
      <c r="BU9" s="1" t="str">
        <f>IF(AR9&gt;AR$117, AR9-AR$117,"")</f>
        <v/>
      </c>
      <c r="BV9" s="1" t="str">
        <f>IF(AS9&gt;AS$117, AS9-AS$117,"")</f>
        <v/>
      </c>
      <c r="BW9" s="1" t="str">
        <f>IF(AT9&gt;AT$117, AT9-AT$117,"")</f>
        <v/>
      </c>
      <c r="BX9" s="1" t="str">
        <f>IF(AU9&gt;AU$117, AU9-AU$117,"")</f>
        <v/>
      </c>
      <c r="BY9" s="1" t="str">
        <f>IF(AV9&gt;AV$117, AV9-AV$117,"")</f>
        <v/>
      </c>
      <c r="BZ9" s="1" t="str">
        <f>IF(AW9&gt;AW$117, AW9-AW$117,"")</f>
        <v/>
      </c>
      <c r="CA9" s="1" t="str">
        <f>IF(AX9&gt;AX$117, AX9-AX$117,"")</f>
        <v/>
      </c>
      <c r="CB9" s="1" t="str">
        <f>IF(AY9&gt;AY$117, AY9-AY$117,"")</f>
        <v/>
      </c>
      <c r="CC9" s="1" t="str">
        <f>IF(AZ9&gt;AZ$117, AZ9-AZ$117,"")</f>
        <v/>
      </c>
      <c r="CD9" s="1" t="str">
        <f>IF(BA9&gt;BA$117, BA9-BA$117,"")</f>
        <v/>
      </c>
      <c r="CE9" s="1" t="str">
        <f>IF(BB9&gt;BB$117, BB9-BB$117,"")</f>
        <v/>
      </c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3"/>
    </row>
    <row r="10" spans="1:97" x14ac:dyDescent="0.15">
      <c r="A10" s="1">
        <v>91</v>
      </c>
      <c r="B10" s="3" t="s">
        <v>72</v>
      </c>
      <c r="C10" s="3" t="s">
        <v>71</v>
      </c>
      <c r="D10" s="1" t="s">
        <v>1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>
        <v>5</v>
      </c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5</v>
      </c>
      <c r="BQ10" s="1">
        <v>0</v>
      </c>
      <c r="BR10" s="17">
        <v>0</v>
      </c>
      <c r="BS10" s="17"/>
      <c r="BT10" s="1" t="str">
        <f>IF(AQ10&gt;AQ$117, AQ10-AQ$117,"")</f>
        <v/>
      </c>
      <c r="BU10" s="1" t="str">
        <f>IF(AR10&gt;AR$117, AR10-AR$117,"")</f>
        <v/>
      </c>
      <c r="BV10" s="1" t="str">
        <f>IF(AS10&gt;AS$117, AS10-AS$117,"")</f>
        <v/>
      </c>
      <c r="BW10" s="1" t="str">
        <f>IF(AT10&gt;AT$117, AT10-AT$117,"")</f>
        <v/>
      </c>
      <c r="BX10" s="1" t="str">
        <f>IF(AU10&gt;AU$117, AU10-AU$117,"")</f>
        <v/>
      </c>
      <c r="BY10" s="1" t="str">
        <f>IF(AV10&gt;AV$117, AV10-AV$117,"")</f>
        <v/>
      </c>
      <c r="BZ10" s="1" t="str">
        <f>IF(AW10&gt;AW$117, AW10-AW$117,"")</f>
        <v/>
      </c>
      <c r="CA10" s="1" t="str">
        <f>IF(AX10&gt;AX$117, AX10-AX$117,"")</f>
        <v/>
      </c>
      <c r="CB10" s="1" t="str">
        <f>IF(AY10&gt;AY$117, AY10-AY$117,"")</f>
        <v/>
      </c>
      <c r="CC10" s="1" t="str">
        <f>IF(AZ10&gt;AZ$117, AZ10-AZ$117,"")</f>
        <v/>
      </c>
      <c r="CD10" s="1" t="str">
        <f>IF(BA10&gt;BA$117, BA10-BA$117,"")</f>
        <v/>
      </c>
      <c r="CE10" s="1" t="str">
        <f>IF(BB10&gt;BB$117, BB10-BB$117,"")</f>
        <v/>
      </c>
      <c r="CF10" s="1">
        <f>COUNTIF(BT10:CE10, "&gt;0")</f>
        <v>0</v>
      </c>
      <c r="CG10" s="1" t="str">
        <f>IF($CF10=1,BT10,"")</f>
        <v/>
      </c>
      <c r="CH10" s="1" t="str">
        <f>IF($CF10=1,BU10,"")</f>
        <v/>
      </c>
      <c r="CI10" s="1" t="str">
        <f>IF($CF10=1,BV10,"")</f>
        <v/>
      </c>
      <c r="CJ10" s="1" t="str">
        <f>IF($CF10=1,BW10,"")</f>
        <v/>
      </c>
      <c r="CK10" s="1" t="str">
        <f>IF($CF10=1,BX10,"")</f>
        <v/>
      </c>
      <c r="CL10" s="1" t="str">
        <f>IF($CF10=1,BY10,"")</f>
        <v/>
      </c>
      <c r="CM10" s="1" t="str">
        <f>IF($CF10=1,BZ10,"")</f>
        <v/>
      </c>
      <c r="CN10" s="1" t="str">
        <f>IF($CF10=1,CA10,"")</f>
        <v/>
      </c>
      <c r="CO10" s="1" t="str">
        <f>IF($CF10=1,CB10,"")</f>
        <v/>
      </c>
      <c r="CP10" s="1" t="str">
        <f>IF($CF10=1,CC10,"")</f>
        <v/>
      </c>
      <c r="CQ10" s="1" t="str">
        <f>IF($CF10=1,CD10,"")</f>
        <v/>
      </c>
      <c r="CR10" s="1" t="str">
        <f>IF($CF10=1,CE10,"")</f>
        <v/>
      </c>
      <c r="CS10" s="3">
        <f>SUM(AE10:BO10)</f>
        <v>5</v>
      </c>
    </row>
    <row r="11" spans="1:97" s="23" customFormat="1" x14ac:dyDescent="0.15">
      <c r="A11" s="31">
        <v>84</v>
      </c>
      <c r="B11" s="32" t="s">
        <v>176</v>
      </c>
      <c r="C11" s="32" t="s">
        <v>56</v>
      </c>
      <c r="D11" s="31" t="s">
        <v>12</v>
      </c>
      <c r="E11" s="33"/>
      <c r="F11" s="33"/>
      <c r="G11" s="33">
        <v>5</v>
      </c>
      <c r="H11" s="33">
        <v>5</v>
      </c>
      <c r="I11" s="33"/>
      <c r="J11" s="33"/>
      <c r="K11" s="33"/>
      <c r="L11" s="33"/>
      <c r="M11" s="33"/>
      <c r="N11" s="33"/>
      <c r="O11" s="33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5"/>
      <c r="AR11" s="35"/>
      <c r="AS11" s="35"/>
      <c r="AT11" s="35"/>
      <c r="AU11" s="35"/>
      <c r="AV11" s="35"/>
      <c r="AW11" s="36"/>
      <c r="AX11" s="36"/>
      <c r="AY11" s="36"/>
      <c r="AZ11" s="36"/>
      <c r="BA11" s="36">
        <v>5</v>
      </c>
      <c r="BB11" s="36">
        <v>5</v>
      </c>
      <c r="BC11" s="37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>
        <f>SUM(E11:BO11)</f>
        <v>20</v>
      </c>
      <c r="BQ11" s="31">
        <v>0</v>
      </c>
      <c r="BR11" s="38">
        <v>0</v>
      </c>
      <c r="BS11" s="38"/>
      <c r="BT11" s="31" t="str">
        <f>IF(AQ11&gt;AQ$117, AQ11-AQ$117,"")</f>
        <v/>
      </c>
      <c r="BU11" s="31" t="str">
        <f>IF(AR11&gt;AR$117, AR11-AR$117,"")</f>
        <v/>
      </c>
      <c r="BV11" s="31" t="str">
        <f>IF(AS11&gt;AS$117, AS11-AS$117,"")</f>
        <v/>
      </c>
      <c r="BW11" s="31" t="str">
        <f>IF(AT11&gt;AT$117, AT11-AT$117,"")</f>
        <v/>
      </c>
      <c r="BX11" s="31" t="str">
        <f>IF(AU11&gt;AU$117, AU11-AU$117,"")</f>
        <v/>
      </c>
      <c r="BY11" s="31" t="str">
        <f>IF(AV11&gt;AV$117, AV11-AV$117,"")</f>
        <v/>
      </c>
      <c r="BZ11" s="31" t="str">
        <f>IF(AW11&gt;AW$117, AW11-AW$117,"")</f>
        <v/>
      </c>
      <c r="CA11" s="31" t="str">
        <f>IF(AX11&gt;AX$117, AX11-AX$117,"")</f>
        <v/>
      </c>
      <c r="CB11" s="31" t="str">
        <f>IF(AY11&gt;AY$117, AY11-AY$117,"")</f>
        <v/>
      </c>
      <c r="CC11" s="31" t="str">
        <f>IF(AZ11&gt;AZ$117, AZ11-AZ$117,"")</f>
        <v/>
      </c>
      <c r="CD11" s="31" t="str">
        <f>IF(BA11&gt;BA$117, BA11-BA$117,"")</f>
        <v/>
      </c>
      <c r="CE11" s="31" t="str">
        <f>IF(BB11&gt;BB$117, BB11-BB$117,"")</f>
        <v/>
      </c>
      <c r="CF11" s="31">
        <f>COUNTIF(BT11:CE11, "&gt;0")</f>
        <v>0</v>
      </c>
      <c r="CG11" s="31" t="str">
        <f>IF($CF11=1,BT11,"")</f>
        <v/>
      </c>
      <c r="CH11" s="31" t="str">
        <f>IF($CF11=1,BU11,"")</f>
        <v/>
      </c>
      <c r="CI11" s="31" t="str">
        <f>IF($CF11=1,BV11,"")</f>
        <v/>
      </c>
      <c r="CJ11" s="31" t="str">
        <f>IF($CF11=1,BW11,"")</f>
        <v/>
      </c>
      <c r="CK11" s="31" t="str">
        <f>IF($CF11=1,BX11,"")</f>
        <v/>
      </c>
      <c r="CL11" s="31" t="str">
        <f>IF($CF11=1,BY11,"")</f>
        <v/>
      </c>
      <c r="CM11" s="31" t="str">
        <f>IF($CF11=1,BZ11,"")</f>
        <v/>
      </c>
      <c r="CN11" s="31" t="str">
        <f>IF($CF11=1,CA11,"")</f>
        <v/>
      </c>
      <c r="CO11" s="31" t="str">
        <f>IF($CF11=1,CB11,"")</f>
        <v/>
      </c>
      <c r="CP11" s="31" t="str">
        <f>IF($CF11=1,CC11,"")</f>
        <v/>
      </c>
      <c r="CQ11" s="31" t="str">
        <f>IF($CF11=1,CD11,"")</f>
        <v/>
      </c>
      <c r="CR11" s="31" t="str">
        <f>IF($CF11=1,CE11,"")</f>
        <v/>
      </c>
      <c r="CS11" s="32">
        <f>SUM(AE11:BO11)</f>
        <v>10</v>
      </c>
    </row>
    <row r="12" spans="1:97" s="23" customFormat="1" x14ac:dyDescent="0.15">
      <c r="A12" s="1">
        <v>82</v>
      </c>
      <c r="B12" s="3" t="s">
        <v>59</v>
      </c>
      <c r="C12" s="3" t="s">
        <v>56</v>
      </c>
      <c r="D12" s="1" t="s">
        <v>12</v>
      </c>
      <c r="E12" s="6"/>
      <c r="F12" s="6"/>
      <c r="G12" s="6"/>
      <c r="H12" s="6"/>
      <c r="I12" s="6"/>
      <c r="J12" s="6"/>
      <c r="K12" s="6"/>
      <c r="L12" s="6">
        <v>6</v>
      </c>
      <c r="M12" s="6"/>
      <c r="N12" s="6">
        <v>6</v>
      </c>
      <c r="O12" s="6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>
        <v>10</v>
      </c>
      <c r="AU12" s="4"/>
      <c r="AV12" s="4"/>
      <c r="AW12" s="2"/>
      <c r="AX12" s="2"/>
      <c r="AY12" s="2"/>
      <c r="AZ12" s="2">
        <v>10</v>
      </c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>SUM(E12:BO12)</f>
        <v>32</v>
      </c>
      <c r="BQ12" s="1">
        <v>0</v>
      </c>
      <c r="BR12" s="17">
        <v>0</v>
      </c>
      <c r="BS12" s="17"/>
      <c r="BT12" s="1" t="str">
        <f>IF(AQ12&gt;AQ$117, AQ12-AQ$117,"")</f>
        <v/>
      </c>
      <c r="BU12" s="1" t="str">
        <f>IF(AR12&gt;AR$117, AR12-AR$117,"")</f>
        <v/>
      </c>
      <c r="BV12" s="1" t="str">
        <f>IF(AS12&gt;AS$117, AS12-AS$117,"")</f>
        <v/>
      </c>
      <c r="BW12" s="1" t="str">
        <f>IF(AT12&gt;AT$117, AT12-AT$117,"")</f>
        <v/>
      </c>
      <c r="BX12" s="1" t="str">
        <f>IF(AU12&gt;AU$117, AU12-AU$117,"")</f>
        <v/>
      </c>
      <c r="BY12" s="1" t="str">
        <f>IF(AV12&gt;AV$117, AV12-AV$117,"")</f>
        <v/>
      </c>
      <c r="BZ12" s="1" t="str">
        <f>IF(AW12&gt;AW$117, AW12-AW$117,"")</f>
        <v/>
      </c>
      <c r="CA12" s="1" t="str">
        <f>IF(AX12&gt;AX$117, AX12-AX$117,"")</f>
        <v/>
      </c>
      <c r="CB12" s="1" t="str">
        <f>IF(AY12&gt;AY$117, AY12-AY$117,"")</f>
        <v/>
      </c>
      <c r="CC12" s="1" t="str">
        <f>IF(AZ12&gt;AZ$117, AZ12-AZ$117,"")</f>
        <v/>
      </c>
      <c r="CD12" s="1" t="str">
        <f>IF(BA12&gt;BA$117, BA12-BA$117,"")</f>
        <v/>
      </c>
      <c r="CE12" s="1" t="str">
        <f>IF(BB12&gt;BB$117, BB12-BB$117,"")</f>
        <v/>
      </c>
      <c r="CF12" s="1">
        <f>COUNTIF(BT12:CE12, "&gt;0")</f>
        <v>0</v>
      </c>
      <c r="CG12" s="1" t="str">
        <f>IF($CF12=1,BT12,"")</f>
        <v/>
      </c>
      <c r="CH12" s="1" t="str">
        <f>IF($CF12=1,BU12,"")</f>
        <v/>
      </c>
      <c r="CI12" s="1" t="str">
        <f>IF($CF12=1,BV12,"")</f>
        <v/>
      </c>
      <c r="CJ12" s="1" t="str">
        <f>IF($CF12=1,BW12,"")</f>
        <v/>
      </c>
      <c r="CK12" s="1" t="str">
        <f>IF($CF12=1,BX12,"")</f>
        <v/>
      </c>
      <c r="CL12" s="1" t="str">
        <f>IF($CF12=1,BY12,"")</f>
        <v/>
      </c>
      <c r="CM12" s="1" t="str">
        <f>IF($CF12=1,BZ12,"")</f>
        <v/>
      </c>
      <c r="CN12" s="1" t="str">
        <f>IF($CF12=1,CA12,"")</f>
        <v/>
      </c>
      <c r="CO12" s="1" t="str">
        <f>IF($CF12=1,CB12,"")</f>
        <v/>
      </c>
      <c r="CP12" s="1" t="str">
        <f>IF($CF12=1,CC12,"")</f>
        <v/>
      </c>
      <c r="CQ12" s="1" t="str">
        <f>IF($CF12=1,CD12,"")</f>
        <v/>
      </c>
      <c r="CR12" s="1" t="str">
        <f>IF($CF12=1,CE12,"")</f>
        <v/>
      </c>
      <c r="CS12" s="3">
        <f>SUM(AE12:BO12)</f>
        <v>20</v>
      </c>
    </row>
    <row r="13" spans="1:97" x14ac:dyDescent="0.15">
      <c r="A13" s="18"/>
      <c r="B13" s="18" t="s">
        <v>103</v>
      </c>
      <c r="C13" s="18" t="s">
        <v>96</v>
      </c>
      <c r="D13" s="18" t="s">
        <v>100</v>
      </c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>
        <v>2</v>
      </c>
      <c r="AP13" s="18"/>
      <c r="AQ13" s="20"/>
      <c r="AR13" s="20"/>
      <c r="AS13" s="20"/>
      <c r="AT13" s="20"/>
      <c r="AU13" s="20"/>
      <c r="AV13" s="20"/>
      <c r="AW13" s="21"/>
      <c r="AX13" s="21"/>
      <c r="AY13" s="21"/>
      <c r="AZ13" s="21"/>
      <c r="BA13" s="21"/>
      <c r="BB13" s="21"/>
      <c r="BC13" s="26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>
        <f>SUM(E13:BO13)</f>
        <v>2</v>
      </c>
      <c r="BQ13" s="18">
        <v>2</v>
      </c>
      <c r="BR13" s="22">
        <v>1</v>
      </c>
      <c r="BS13" s="22" t="s">
        <v>236</v>
      </c>
      <c r="BT13" s="18" t="str">
        <f>IF(AQ13&gt;AQ$117, AQ13-AQ$117,"")</f>
        <v/>
      </c>
      <c r="BU13" s="18" t="str">
        <f>IF(AR13&gt;AR$117, AR13-AR$117,"")</f>
        <v/>
      </c>
      <c r="BV13" s="18" t="str">
        <f>IF(AS13&gt;AS$117, AS13-AS$117,"")</f>
        <v/>
      </c>
      <c r="BW13" s="18" t="str">
        <f>IF(AT13&gt;AT$117, AT13-AT$117,"")</f>
        <v/>
      </c>
      <c r="BX13" s="18" t="str">
        <f>IF(AU13&gt;AU$117, AU13-AU$117,"")</f>
        <v/>
      </c>
      <c r="BY13" s="18" t="str">
        <f>IF(AV13&gt;AV$117, AV13-AV$117,"")</f>
        <v/>
      </c>
      <c r="BZ13" s="18" t="str">
        <f>IF(AW13&gt;AW$117, AW13-AW$117,"")</f>
        <v/>
      </c>
      <c r="CA13" s="18" t="str">
        <f>IF(AX13&gt;AX$117, AX13-AX$117,"")</f>
        <v/>
      </c>
      <c r="CB13" s="18" t="str">
        <f>IF(AY13&gt;AY$117, AY13-AY$117,"")</f>
        <v/>
      </c>
      <c r="CC13" s="18" t="str">
        <f>IF(AZ13&gt;AZ$117, AZ13-AZ$117,"")</f>
        <v/>
      </c>
      <c r="CD13" s="18" t="str">
        <f>IF(BA13&gt;BA$117, BA13-BA$117,"")</f>
        <v/>
      </c>
      <c r="CE13" s="18" t="str">
        <f>IF(BB13&gt;BB$117, BB13-BB$117,"")</f>
        <v/>
      </c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30"/>
    </row>
    <row r="14" spans="1:97" x14ac:dyDescent="0.15">
      <c r="A14" s="1"/>
      <c r="B14" s="1" t="s">
        <v>175</v>
      </c>
      <c r="C14" s="1" t="s">
        <v>96</v>
      </c>
      <c r="D14" s="1" t="s">
        <v>94</v>
      </c>
      <c r="E14" s="6">
        <v>6</v>
      </c>
      <c r="F14" s="6">
        <v>6</v>
      </c>
      <c r="G14" s="6"/>
      <c r="H14" s="6"/>
      <c r="I14" s="6"/>
      <c r="J14" s="6"/>
      <c r="K14" s="6"/>
      <c r="L14" s="6"/>
      <c r="M14" s="6"/>
      <c r="N14" s="6"/>
      <c r="O14" s="6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>
        <v>10</v>
      </c>
      <c r="AT14" s="4"/>
      <c r="AU14" s="4"/>
      <c r="AV14" s="4"/>
      <c r="AW14" s="2"/>
      <c r="AX14" s="2">
        <v>10</v>
      </c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>SUM(E14:BO14)</f>
        <v>32</v>
      </c>
      <c r="BQ14" s="1">
        <v>2</v>
      </c>
      <c r="BR14" s="17">
        <v>1</v>
      </c>
      <c r="BS14" s="17" t="s">
        <v>240</v>
      </c>
      <c r="BT14" s="1" t="str">
        <f>IF(AQ14&gt;AQ$117, AQ14-AQ$117,"")</f>
        <v/>
      </c>
      <c r="BU14" s="1" t="str">
        <f>IF(AR14&gt;AR$117, AR14-AR$117,"")</f>
        <v/>
      </c>
      <c r="BV14" s="1" t="str">
        <f>IF(AS14&gt;AS$117, AS14-AS$117,"")</f>
        <v/>
      </c>
      <c r="BW14" s="1" t="str">
        <f>IF(AT14&gt;AT$117, AT14-AT$117,"")</f>
        <v/>
      </c>
      <c r="BX14" s="1" t="str">
        <f>IF(AU14&gt;AU$117, AU14-AU$117,"")</f>
        <v/>
      </c>
      <c r="BY14" s="1" t="str">
        <f>IF(AV14&gt;AV$117, AV14-AV$117,"")</f>
        <v/>
      </c>
      <c r="BZ14" s="1" t="str">
        <f>IF(AW14&gt;AW$117, AW14-AW$117,"")</f>
        <v/>
      </c>
      <c r="CA14" s="1" t="str">
        <f>IF(AX14&gt;AX$117, AX14-AX$117,"")</f>
        <v/>
      </c>
      <c r="CB14" s="1" t="str">
        <f>IF(AY14&gt;AY$117, AY14-AY$117,"")</f>
        <v/>
      </c>
      <c r="CC14" s="1" t="str">
        <f>IF(AZ14&gt;AZ$117, AZ14-AZ$117,"")</f>
        <v/>
      </c>
      <c r="CD14" s="1" t="str">
        <f>IF(BA14&gt;BA$117, BA14-BA$117,"")</f>
        <v/>
      </c>
      <c r="CE14" s="1" t="str">
        <f>IF(BB14&gt;BB$117, BB14-BB$117,"")</f>
        <v/>
      </c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3"/>
    </row>
    <row r="15" spans="1:97" x14ac:dyDescent="0.15">
      <c r="A15" s="18"/>
      <c r="B15" s="18" t="s">
        <v>196</v>
      </c>
      <c r="C15" s="18" t="s">
        <v>28</v>
      </c>
      <c r="D15" s="18" t="s">
        <v>197</v>
      </c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>
        <v>3</v>
      </c>
      <c r="AP15" s="18"/>
      <c r="AQ15" s="20"/>
      <c r="AR15" s="20"/>
      <c r="AS15" s="20"/>
      <c r="AT15" s="20"/>
      <c r="AU15" s="20"/>
      <c r="AV15" s="20"/>
      <c r="AW15" s="21"/>
      <c r="AX15" s="21"/>
      <c r="AY15" s="21"/>
      <c r="AZ15" s="21"/>
      <c r="BA15" s="21"/>
      <c r="BB15" s="21"/>
      <c r="BC15" s="26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>
        <f>SUM(E15:BO15)</f>
        <v>3</v>
      </c>
      <c r="BQ15" s="18">
        <v>3</v>
      </c>
      <c r="BR15" s="22">
        <v>1</v>
      </c>
      <c r="BS15" s="22" t="s">
        <v>237</v>
      </c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30"/>
    </row>
    <row r="16" spans="1:97" s="23" customFormat="1" x14ac:dyDescent="0.15">
      <c r="A16" s="1"/>
      <c r="B16" s="1" t="s">
        <v>174</v>
      </c>
      <c r="C16" s="1" t="s">
        <v>107</v>
      </c>
      <c r="D16" s="1" t="s">
        <v>93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>
        <v>10</v>
      </c>
      <c r="BB16" s="2">
        <v>10</v>
      </c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>SUM(E16:BO16)</f>
        <v>20</v>
      </c>
      <c r="BQ16" s="1">
        <v>3</v>
      </c>
      <c r="BR16" s="17">
        <v>1</v>
      </c>
      <c r="BS16" s="17" t="s">
        <v>220</v>
      </c>
      <c r="BT16" s="1" t="str">
        <f>IF(AQ16&gt;AQ$117, AQ16-AQ$117,"")</f>
        <v/>
      </c>
      <c r="BU16" s="1" t="str">
        <f>IF(AR16&gt;AR$117, AR16-AR$117,"")</f>
        <v/>
      </c>
      <c r="BV16" s="1" t="str">
        <f>IF(AS16&gt;AS$117, AS16-AS$117,"")</f>
        <v/>
      </c>
      <c r="BW16" s="1" t="str">
        <f>IF(AT16&gt;AT$117, AT16-AT$117,"")</f>
        <v/>
      </c>
      <c r="BX16" s="1" t="str">
        <f>IF(AU16&gt;AU$117, AU16-AU$117,"")</f>
        <v/>
      </c>
      <c r="BY16" s="1" t="str">
        <f>IF(AV16&gt;AV$117, AV16-AV$117,"")</f>
        <v/>
      </c>
      <c r="BZ16" s="1" t="str">
        <f>IF(AW16&gt;AW$117, AW16-AW$117,"")</f>
        <v/>
      </c>
      <c r="CA16" s="1" t="str">
        <f>IF(AX16&gt;AX$117, AX16-AX$117,"")</f>
        <v/>
      </c>
      <c r="CB16" s="1" t="str">
        <f>IF(AY16&gt;AY$117, AY16-AY$117,"")</f>
        <v/>
      </c>
      <c r="CC16" s="1" t="str">
        <f>IF(AZ16&gt;AZ$117, AZ16-AZ$117,"")</f>
        <v/>
      </c>
      <c r="CD16" s="1" t="str">
        <f>IF(BA16&gt;BA$117, BA16-BA$117,"")</f>
        <v/>
      </c>
      <c r="CE16" s="1" t="str">
        <f>IF(BB16&gt;BB$117, BB16-BB$117,"")</f>
        <v/>
      </c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3"/>
    </row>
    <row r="17" spans="1:97" s="49" customFormat="1" x14ac:dyDescent="0.15">
      <c r="A17" s="1"/>
      <c r="B17" s="1" t="s">
        <v>202</v>
      </c>
      <c r="C17" s="1" t="s">
        <v>203</v>
      </c>
      <c r="D17" s="1" t="s">
        <v>204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>
        <v>15</v>
      </c>
      <c r="AV17" s="4"/>
      <c r="AW17" s="2"/>
      <c r="AX17" s="2"/>
      <c r="AY17" s="2">
        <v>15</v>
      </c>
      <c r="AZ17" s="2"/>
      <c r="BA17" s="2">
        <v>10</v>
      </c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>SUM(E17:BO17)</f>
        <v>40</v>
      </c>
      <c r="BQ17" s="1">
        <v>3</v>
      </c>
      <c r="BR17" s="17">
        <v>1</v>
      </c>
      <c r="BS17" s="17" t="s">
        <v>220</v>
      </c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3"/>
    </row>
    <row r="18" spans="1:97" x14ac:dyDescent="0.15">
      <c r="A18" s="1"/>
      <c r="B18" s="1" t="s">
        <v>156</v>
      </c>
      <c r="C18" s="1" t="s">
        <v>139</v>
      </c>
      <c r="D18" s="1" t="s">
        <v>112</v>
      </c>
      <c r="E18" s="6"/>
      <c r="F18" s="6"/>
      <c r="G18" s="6"/>
      <c r="H18" s="6"/>
      <c r="I18" s="6"/>
      <c r="J18" s="6"/>
      <c r="K18" s="6"/>
      <c r="L18" s="6">
        <v>6</v>
      </c>
      <c r="M18" s="6"/>
      <c r="N18" s="6"/>
      <c r="O18" s="6">
        <v>6</v>
      </c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>
        <v>10</v>
      </c>
      <c r="BB18" s="2">
        <v>10</v>
      </c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>SUM(E18:BO18)</f>
        <v>32</v>
      </c>
      <c r="BQ18" s="1">
        <v>3</v>
      </c>
      <c r="BR18" s="17">
        <v>1</v>
      </c>
      <c r="BS18" s="17" t="s">
        <v>238</v>
      </c>
      <c r="BT18" s="1" t="str">
        <f>IF(AQ18&gt;AQ$117, AQ18-AQ$117,"")</f>
        <v/>
      </c>
      <c r="BU18" s="1" t="str">
        <f>IF(AR18&gt;AR$117, AR18-AR$117,"")</f>
        <v/>
      </c>
      <c r="BV18" s="1" t="str">
        <f>IF(AS18&gt;AS$117, AS18-AS$117,"")</f>
        <v/>
      </c>
      <c r="BW18" s="1" t="str">
        <f>IF(AT18&gt;AT$117, AT18-AT$117,"")</f>
        <v/>
      </c>
      <c r="BX18" s="1" t="str">
        <f>IF(AU18&gt;AU$117, AU18-AU$117,"")</f>
        <v/>
      </c>
      <c r="BY18" s="1" t="str">
        <f>IF(AV18&gt;AV$117, AV18-AV$117,"")</f>
        <v/>
      </c>
      <c r="BZ18" s="1" t="str">
        <f>IF(AW18&gt;AW$117, AW18-AW$117,"")</f>
        <v/>
      </c>
      <c r="CA18" s="1" t="str">
        <f>IF(AX18&gt;AX$117, AX18-AX$117,"")</f>
        <v/>
      </c>
      <c r="CB18" s="1" t="str">
        <f>IF(AY18&gt;AY$117, AY18-AY$117,"")</f>
        <v/>
      </c>
      <c r="CC18" s="1" t="str">
        <f>IF(AZ18&gt;AZ$117, AZ18-AZ$117,"")</f>
        <v/>
      </c>
      <c r="CD18" s="1" t="str">
        <f>IF(BA18&gt;BA$117, BA18-BA$117,"")</f>
        <v/>
      </c>
      <c r="CE18" s="1" t="str">
        <f>IF(BB18&gt;BB$117, BB18-BB$117,"")</f>
        <v/>
      </c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3"/>
    </row>
    <row r="19" spans="1:97" x14ac:dyDescent="0.15">
      <c r="A19" s="1">
        <v>81</v>
      </c>
      <c r="B19" s="3" t="s">
        <v>58</v>
      </c>
      <c r="C19" s="3" t="s">
        <v>56</v>
      </c>
      <c r="D19" s="1" t="s">
        <v>12</v>
      </c>
      <c r="E19" s="6"/>
      <c r="F19" s="6"/>
      <c r="G19" s="6"/>
      <c r="H19" s="6"/>
      <c r="I19" s="6"/>
      <c r="J19" s="6"/>
      <c r="K19" s="6"/>
      <c r="L19" s="6">
        <v>6</v>
      </c>
      <c r="M19" s="6"/>
      <c r="N19" s="6"/>
      <c r="O19" s="6">
        <v>6</v>
      </c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>
        <v>10</v>
      </c>
      <c r="AU19" s="4"/>
      <c r="AV19" s="4"/>
      <c r="AW19" s="2"/>
      <c r="AX19" s="2"/>
      <c r="AY19" s="2"/>
      <c r="AZ19" s="2"/>
      <c r="BA19" s="2">
        <v>10</v>
      </c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>SUM(E19:BO19)</f>
        <v>32</v>
      </c>
      <c r="BQ19" s="1">
        <v>3</v>
      </c>
      <c r="BR19" s="17">
        <v>1</v>
      </c>
      <c r="BS19" s="17" t="s">
        <v>238</v>
      </c>
      <c r="BT19" s="1" t="str">
        <f>IF(AQ19&gt;AQ$117, AQ19-AQ$117,"")</f>
        <v/>
      </c>
      <c r="BU19" s="1" t="str">
        <f>IF(AR19&gt;AR$117, AR19-AR$117,"")</f>
        <v/>
      </c>
      <c r="BV19" s="1" t="str">
        <f>IF(AS19&gt;AS$117, AS19-AS$117,"")</f>
        <v/>
      </c>
      <c r="BW19" s="1" t="str">
        <f>IF(AT19&gt;AT$117, AT19-AT$117,"")</f>
        <v/>
      </c>
      <c r="BX19" s="1" t="str">
        <f>IF(AU19&gt;AU$117, AU19-AU$117,"")</f>
        <v/>
      </c>
      <c r="BY19" s="1" t="str">
        <f>IF(AV19&gt;AV$117, AV19-AV$117,"")</f>
        <v/>
      </c>
      <c r="BZ19" s="1" t="str">
        <f>IF(AW19&gt;AW$117, AW19-AW$117,"")</f>
        <v/>
      </c>
      <c r="CA19" s="1" t="str">
        <f>IF(AX19&gt;AX$117, AX19-AX$117,"")</f>
        <v/>
      </c>
      <c r="CB19" s="1" t="str">
        <f>IF(AY19&gt;AY$117, AY19-AY$117,"")</f>
        <v/>
      </c>
      <c r="CC19" s="1" t="str">
        <f>IF(AZ19&gt;AZ$117, AZ19-AZ$117,"")</f>
        <v/>
      </c>
      <c r="CD19" s="1" t="str">
        <f>IF(BA19&gt;BA$117, BA19-BA$117,"")</f>
        <v/>
      </c>
      <c r="CE19" s="1" t="str">
        <f>IF(BB19&gt;BB$117, BB19-BB$117,"")</f>
        <v/>
      </c>
      <c r="CF19" s="1">
        <f>COUNTIF(BT19:CE19, "&gt;0")</f>
        <v>0</v>
      </c>
      <c r="CG19" s="1" t="str">
        <f>IF($CF19=1,BT19,"")</f>
        <v/>
      </c>
      <c r="CH19" s="1" t="str">
        <f>IF($CF19=1,BU19,"")</f>
        <v/>
      </c>
      <c r="CI19" s="1" t="str">
        <f>IF($CF19=1,BV19,"")</f>
        <v/>
      </c>
      <c r="CJ19" s="1" t="str">
        <f>IF($CF19=1,BW19,"")</f>
        <v/>
      </c>
      <c r="CK19" s="1" t="str">
        <f>IF($CF19=1,BX19,"")</f>
        <v/>
      </c>
      <c r="CL19" s="1" t="str">
        <f>IF($CF19=1,BY19,"")</f>
        <v/>
      </c>
      <c r="CM19" s="1" t="str">
        <f>IF($CF19=1,BZ19,"")</f>
        <v/>
      </c>
      <c r="CN19" s="1" t="str">
        <f>IF($CF19=1,CA19,"")</f>
        <v/>
      </c>
      <c r="CO19" s="1" t="str">
        <f>IF($CF19=1,CB19,"")</f>
        <v/>
      </c>
      <c r="CP19" s="1" t="str">
        <f>IF($CF19=1,CC19,"")</f>
        <v/>
      </c>
      <c r="CQ19" s="1" t="str">
        <f>IF($CF19=1,CD19,"")</f>
        <v/>
      </c>
      <c r="CR19" s="1" t="str">
        <f>IF($CF19=1,CE19,"")</f>
        <v/>
      </c>
      <c r="CS19" s="3">
        <f>SUM(AE19:BO19)</f>
        <v>20</v>
      </c>
    </row>
    <row r="20" spans="1:97" x14ac:dyDescent="0.15">
      <c r="A20" s="1">
        <v>72</v>
      </c>
      <c r="B20" s="3" t="s">
        <v>81</v>
      </c>
      <c r="C20" s="1" t="s">
        <v>49</v>
      </c>
      <c r="D20" s="1" t="s">
        <v>12</v>
      </c>
      <c r="E20" s="6"/>
      <c r="F20" s="6"/>
      <c r="G20" s="6"/>
      <c r="H20" s="6"/>
      <c r="I20" s="6"/>
      <c r="J20" s="6"/>
      <c r="K20" s="6"/>
      <c r="L20" s="6">
        <v>6</v>
      </c>
      <c r="M20" s="6">
        <v>6</v>
      </c>
      <c r="N20" s="6"/>
      <c r="O20" s="6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>
        <v>10</v>
      </c>
      <c r="AW20" s="2"/>
      <c r="AX20" s="2"/>
      <c r="AY20" s="2"/>
      <c r="AZ20" s="2"/>
      <c r="BA20" s="2">
        <v>10</v>
      </c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>SUM(E20:BO20)</f>
        <v>32</v>
      </c>
      <c r="BQ20" s="1">
        <v>3</v>
      </c>
      <c r="BR20" s="17">
        <v>1</v>
      </c>
      <c r="BS20" s="17" t="s">
        <v>238</v>
      </c>
      <c r="BT20" s="1" t="str">
        <f>IF(AQ20&gt;AQ$117, AQ20-AQ$117,"")</f>
        <v/>
      </c>
      <c r="BU20" s="1" t="str">
        <f>IF(AR20&gt;AR$117, AR20-AR$117,"")</f>
        <v/>
      </c>
      <c r="BV20" s="1" t="str">
        <f>IF(AS20&gt;AS$117, AS20-AS$117,"")</f>
        <v/>
      </c>
      <c r="BW20" s="1" t="str">
        <f>IF(AT20&gt;AT$117, AT20-AT$117,"")</f>
        <v/>
      </c>
      <c r="BX20" s="1" t="str">
        <f>IF(AU20&gt;AU$117, AU20-AU$117,"")</f>
        <v/>
      </c>
      <c r="BY20" s="1" t="str">
        <f>IF(AV20&gt;AV$117, AV20-AV$117,"")</f>
        <v/>
      </c>
      <c r="BZ20" s="1" t="str">
        <f>IF(AW20&gt;AW$117, AW20-AW$117,"")</f>
        <v/>
      </c>
      <c r="CA20" s="1" t="str">
        <f>IF(AX20&gt;AX$117, AX20-AX$117,"")</f>
        <v/>
      </c>
      <c r="CB20" s="1" t="str">
        <f>IF(AY20&gt;AY$117, AY20-AY$117,"")</f>
        <v/>
      </c>
      <c r="CC20" s="1" t="str">
        <f>IF(AZ20&gt;AZ$117, AZ20-AZ$117,"")</f>
        <v/>
      </c>
      <c r="CD20" s="1" t="str">
        <f>IF(BA20&gt;BA$117, BA20-BA$117,"")</f>
        <v/>
      </c>
      <c r="CE20" s="1" t="str">
        <f>IF(BB20&gt;BB$117, BB20-BB$117,"")</f>
        <v/>
      </c>
      <c r="CF20" s="1">
        <f>COUNTIF(BT20:CE20, "&gt;0")</f>
        <v>0</v>
      </c>
      <c r="CG20" s="1" t="str">
        <f>IF($CF20=1,BT20,"")</f>
        <v/>
      </c>
      <c r="CH20" s="1" t="str">
        <f>IF($CF20=1,BU20,"")</f>
        <v/>
      </c>
      <c r="CI20" s="1" t="str">
        <f>IF($CF20=1,BV20,"")</f>
        <v/>
      </c>
      <c r="CJ20" s="1" t="str">
        <f>IF($CF20=1,BW20,"")</f>
        <v/>
      </c>
      <c r="CK20" s="1" t="str">
        <f>IF($CF20=1,BX20,"")</f>
        <v/>
      </c>
      <c r="CL20" s="1" t="str">
        <f>IF($CF20=1,BY20,"")</f>
        <v/>
      </c>
      <c r="CM20" s="1" t="str">
        <f>IF($CF20=1,BZ20,"")</f>
        <v/>
      </c>
      <c r="CN20" s="1" t="str">
        <f>IF($CF20=1,CA20,"")</f>
        <v/>
      </c>
      <c r="CO20" s="1" t="str">
        <f>IF($CF20=1,CB20,"")</f>
        <v/>
      </c>
      <c r="CP20" s="1" t="str">
        <f>IF($CF20=1,CC20,"")</f>
        <v/>
      </c>
      <c r="CQ20" s="1" t="str">
        <f>IF($CF20=1,CD20,"")</f>
        <v/>
      </c>
      <c r="CR20" s="1" t="str">
        <f>IF($CF20=1,CE20,"")</f>
        <v/>
      </c>
      <c r="CS20" s="3">
        <f>SUM(AE20:BO20)</f>
        <v>20</v>
      </c>
    </row>
    <row r="21" spans="1:97" x14ac:dyDescent="0.15">
      <c r="A21" s="1">
        <v>18</v>
      </c>
      <c r="B21" s="1" t="s">
        <v>31</v>
      </c>
      <c r="C21" s="1" t="s">
        <v>28</v>
      </c>
      <c r="D21" s="1" t="s">
        <v>22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1"/>
      <c r="AF21" s="1"/>
      <c r="AG21" s="1">
        <v>5</v>
      </c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>SUM(E21:BO21)</f>
        <v>5</v>
      </c>
      <c r="BQ21" s="1">
        <v>4</v>
      </c>
      <c r="BR21" s="17">
        <v>1</v>
      </c>
      <c r="BS21" s="17" t="s">
        <v>214</v>
      </c>
      <c r="BT21" s="1" t="str">
        <f>IF(AQ21&gt;AQ$117, AQ21-AQ$117,"")</f>
        <v/>
      </c>
      <c r="BU21" s="1" t="str">
        <f>IF(AR21&gt;AR$117, AR21-AR$117,"")</f>
        <v/>
      </c>
      <c r="BV21" s="1" t="str">
        <f>IF(AS21&gt;AS$117, AS21-AS$117,"")</f>
        <v/>
      </c>
      <c r="BW21" s="1" t="str">
        <f>IF(AT21&gt;AT$117, AT21-AT$117,"")</f>
        <v/>
      </c>
      <c r="BX21" s="1" t="str">
        <f>IF(AU21&gt;AU$117, AU21-AU$117,"")</f>
        <v/>
      </c>
      <c r="BY21" s="1" t="str">
        <f>IF(AV21&gt;AV$117, AV21-AV$117,"")</f>
        <v/>
      </c>
      <c r="BZ21" s="1" t="str">
        <f>IF(AW21&gt;AW$117, AW21-AW$117,"")</f>
        <v/>
      </c>
      <c r="CA21" s="1" t="str">
        <f>IF(AX21&gt;AX$117, AX21-AX$117,"")</f>
        <v/>
      </c>
      <c r="CB21" s="1" t="str">
        <f>IF(AY21&gt;AY$117, AY21-AY$117,"")</f>
        <v/>
      </c>
      <c r="CC21" s="1" t="str">
        <f>IF(AZ21&gt;AZ$117, AZ21-AZ$117,"")</f>
        <v/>
      </c>
      <c r="CD21" s="1" t="str">
        <f>IF(BA21&gt;BA$117, BA21-BA$117,"")</f>
        <v/>
      </c>
      <c r="CE21" s="1" t="str">
        <f>IF(BB21&gt;BB$117, BB21-BB$117,"")</f>
        <v/>
      </c>
      <c r="CF21" s="1">
        <f>COUNTIF(BT21:CE21, "&gt;0")</f>
        <v>0</v>
      </c>
      <c r="CG21" s="1" t="str">
        <f>IF($CF21=1,BT21,"")</f>
        <v/>
      </c>
      <c r="CH21" s="1" t="str">
        <f>IF($CF21=1,BU21,"")</f>
        <v/>
      </c>
      <c r="CI21" s="1" t="str">
        <f>IF($CF21=1,BV21,"")</f>
        <v/>
      </c>
      <c r="CJ21" s="1" t="str">
        <f>IF($CF21=1,BW21,"")</f>
        <v/>
      </c>
      <c r="CK21" s="1" t="str">
        <f>IF($CF21=1,BX21,"")</f>
        <v/>
      </c>
      <c r="CL21" s="1" t="str">
        <f>IF($CF21=1,BY21,"")</f>
        <v/>
      </c>
      <c r="CM21" s="1" t="str">
        <f>IF($CF21=1,BZ21,"")</f>
        <v/>
      </c>
      <c r="CN21" s="1" t="str">
        <f>IF($CF21=1,CA21,"")</f>
        <v/>
      </c>
      <c r="CO21" s="1" t="str">
        <f>IF($CF21=1,CB21,"")</f>
        <v/>
      </c>
      <c r="CP21" s="1" t="str">
        <f>IF($CF21=1,CC21,"")</f>
        <v/>
      </c>
      <c r="CQ21" s="1" t="str">
        <f>IF($CF21=1,CD21,"")</f>
        <v/>
      </c>
      <c r="CR21" s="1" t="str">
        <f>IF($CF21=1,CE21,"")</f>
        <v/>
      </c>
      <c r="CS21" s="3">
        <f>SUM(AE21:BO21)</f>
        <v>5</v>
      </c>
    </row>
    <row r="22" spans="1:97" x14ac:dyDescent="0.15">
      <c r="A22" s="40">
        <v>20</v>
      </c>
      <c r="B22" s="40" t="s">
        <v>207</v>
      </c>
      <c r="C22" s="40" t="s">
        <v>28</v>
      </c>
      <c r="D22" s="40" t="s">
        <v>22</v>
      </c>
      <c r="E22" s="41"/>
      <c r="F22" s="41">
        <v>5</v>
      </c>
      <c r="G22" s="41"/>
      <c r="H22" s="41"/>
      <c r="I22" s="41"/>
      <c r="J22" s="41"/>
      <c r="K22" s="41"/>
      <c r="L22" s="41"/>
      <c r="M22" s="41"/>
      <c r="N22" s="41"/>
      <c r="O22" s="41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0"/>
      <c r="AF22" s="40"/>
      <c r="AG22" s="40">
        <v>5</v>
      </c>
      <c r="AH22" s="40"/>
      <c r="AI22" s="40"/>
      <c r="AJ22" s="40"/>
      <c r="AK22" s="40"/>
      <c r="AL22" s="40"/>
      <c r="AM22" s="40"/>
      <c r="AN22" s="40"/>
      <c r="AO22" s="40"/>
      <c r="AP22" s="40"/>
      <c r="AQ22" s="43"/>
      <c r="AR22" s="43"/>
      <c r="AS22" s="43"/>
      <c r="AT22" s="43"/>
      <c r="AU22" s="43"/>
      <c r="AV22" s="43"/>
      <c r="AW22" s="44"/>
      <c r="AX22" s="44"/>
      <c r="AY22" s="44"/>
      <c r="AZ22" s="44"/>
      <c r="BA22" s="44"/>
      <c r="BB22" s="44"/>
      <c r="BC22" s="45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0"/>
      <c r="BO22" s="40"/>
      <c r="BP22" s="40">
        <f>SUM(E22:BO22)</f>
        <v>10</v>
      </c>
      <c r="BQ22" s="40">
        <v>4</v>
      </c>
      <c r="BR22" s="46">
        <v>1</v>
      </c>
      <c r="BS22" s="46" t="s">
        <v>239</v>
      </c>
      <c r="BT22" s="40" t="str">
        <f>IF(AQ22&gt;AQ$117, AQ22-AQ$117,"")</f>
        <v/>
      </c>
      <c r="BU22" s="40" t="str">
        <f>IF(AR22&gt;AR$117, AR22-AR$117,"")</f>
        <v/>
      </c>
      <c r="BV22" s="40" t="str">
        <f>IF(AS22&gt;AS$117, AS22-AS$117,"")</f>
        <v/>
      </c>
      <c r="BW22" s="40" t="str">
        <f>IF(AT22&gt;AT$117, AT22-AT$117,"")</f>
        <v/>
      </c>
      <c r="BX22" s="40" t="str">
        <f>IF(AU22&gt;AU$117, AU22-AU$117,"")</f>
        <v/>
      </c>
      <c r="BY22" s="40" t="str">
        <f>IF(AV22&gt;AV$117, AV22-AV$117,"")</f>
        <v/>
      </c>
      <c r="BZ22" s="40" t="str">
        <f>IF(AW22&gt;AW$117, AW22-AW$117,"")</f>
        <v/>
      </c>
      <c r="CA22" s="40" t="str">
        <f>IF(AX22&gt;AX$117, AX22-AX$117,"")</f>
        <v/>
      </c>
      <c r="CB22" s="40" t="str">
        <f>IF(AY22&gt;AY$117, AY22-AY$117,"")</f>
        <v/>
      </c>
      <c r="CC22" s="40" t="str">
        <f>IF(AZ22&gt;AZ$117, AZ22-AZ$117,"")</f>
        <v/>
      </c>
      <c r="CD22" s="40" t="str">
        <f>IF(BA22&gt;BA$117, BA22-BA$117,"")</f>
        <v/>
      </c>
      <c r="CE22" s="40" t="str">
        <f>IF(BB22&gt;BB$117, BB22-BB$117,"")</f>
        <v/>
      </c>
      <c r="CF22" s="40">
        <f>COUNTIF(BT22:CE22, "&gt;0")</f>
        <v>0</v>
      </c>
      <c r="CG22" s="40" t="str">
        <f>IF($CF22=1,BT22,"")</f>
        <v/>
      </c>
      <c r="CH22" s="40" t="str">
        <f>IF($CF22=1,BU22,"")</f>
        <v/>
      </c>
      <c r="CI22" s="40" t="str">
        <f>IF($CF22=1,BV22,"")</f>
        <v/>
      </c>
      <c r="CJ22" s="40" t="str">
        <f>IF($CF22=1,BW22,"")</f>
        <v/>
      </c>
      <c r="CK22" s="40" t="str">
        <f>IF($CF22=1,BX22,"")</f>
        <v/>
      </c>
      <c r="CL22" s="40" t="str">
        <f>IF($CF22=1,BY22,"")</f>
        <v/>
      </c>
      <c r="CM22" s="40" t="str">
        <f>IF($CF22=1,BZ22,"")</f>
        <v/>
      </c>
      <c r="CN22" s="40" t="str">
        <f>IF($CF22=1,CA22,"")</f>
        <v/>
      </c>
      <c r="CO22" s="40" t="str">
        <f>IF($CF22=1,CB22,"")</f>
        <v/>
      </c>
      <c r="CP22" s="40" t="str">
        <f>IF($CF22=1,CC22,"")</f>
        <v/>
      </c>
      <c r="CQ22" s="40" t="str">
        <f>IF($CF22=1,CD22,"")</f>
        <v/>
      </c>
      <c r="CR22" s="40" t="str">
        <f>IF($CF22=1,CE22,"")</f>
        <v/>
      </c>
      <c r="CS22" s="47">
        <f>SUM(AE22:BO22)</f>
        <v>5</v>
      </c>
    </row>
    <row r="23" spans="1:97" x14ac:dyDescent="0.15">
      <c r="A23" s="18">
        <v>17</v>
      </c>
      <c r="B23" s="18" t="s">
        <v>31</v>
      </c>
      <c r="C23" s="18" t="s">
        <v>28</v>
      </c>
      <c r="D23" s="18" t="s">
        <v>21</v>
      </c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18"/>
      <c r="AF23" s="18">
        <v>5</v>
      </c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20"/>
      <c r="AR23" s="20"/>
      <c r="AS23" s="20"/>
      <c r="AT23" s="20"/>
      <c r="AU23" s="20"/>
      <c r="AV23" s="20"/>
      <c r="AW23" s="21"/>
      <c r="AX23" s="21"/>
      <c r="AY23" s="21"/>
      <c r="AZ23" s="21"/>
      <c r="BA23" s="21"/>
      <c r="BB23" s="21"/>
      <c r="BC23" s="26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>
        <f>SUM(E23:BO23)</f>
        <v>5</v>
      </c>
      <c r="BQ23" s="18">
        <v>5</v>
      </c>
      <c r="BR23" s="22">
        <v>1</v>
      </c>
      <c r="BS23" s="22" t="s">
        <v>241</v>
      </c>
      <c r="BT23" s="18" t="str">
        <f>IF(AQ23&gt;AQ$117, AQ23-AQ$117,"")</f>
        <v/>
      </c>
      <c r="BU23" s="18" t="str">
        <f>IF(AR23&gt;AR$117, AR23-AR$117,"")</f>
        <v/>
      </c>
      <c r="BV23" s="18" t="str">
        <f>IF(AS23&gt;AS$117, AS23-AS$117,"")</f>
        <v/>
      </c>
      <c r="BW23" s="18" t="str">
        <f>IF(AT23&gt;AT$117, AT23-AT$117,"")</f>
        <v/>
      </c>
      <c r="BX23" s="18" t="str">
        <f>IF(AU23&gt;AU$117, AU23-AU$117,"")</f>
        <v/>
      </c>
      <c r="BY23" s="18" t="str">
        <f>IF(AV23&gt;AV$117, AV23-AV$117,"")</f>
        <v/>
      </c>
      <c r="BZ23" s="18" t="str">
        <f>IF(AW23&gt;AW$117, AW23-AW$117,"")</f>
        <v/>
      </c>
      <c r="CA23" s="18" t="str">
        <f>IF(AX23&gt;AX$117, AX23-AX$117,"")</f>
        <v/>
      </c>
      <c r="CB23" s="18" t="str">
        <f>IF(AY23&gt;AY$117, AY23-AY$117,"")</f>
        <v/>
      </c>
      <c r="CC23" s="18" t="str">
        <f>IF(AZ23&gt;AZ$117, AZ23-AZ$117,"")</f>
        <v/>
      </c>
      <c r="CD23" s="18" t="str">
        <f>IF(BA23&gt;BA$117, BA23-BA$117,"")</f>
        <v/>
      </c>
      <c r="CE23" s="18" t="str">
        <f>IF(BB23&gt;BB$117, BB23-BB$117,"")</f>
        <v/>
      </c>
      <c r="CF23" s="18">
        <f>COUNTIF(BT23:CE23, "&gt;0")</f>
        <v>0</v>
      </c>
      <c r="CG23" s="18" t="str">
        <f>IF($CF23=1,BT23,"")</f>
        <v/>
      </c>
      <c r="CH23" s="18" t="str">
        <f>IF($CF23=1,BU23,"")</f>
        <v/>
      </c>
      <c r="CI23" s="18" t="str">
        <f>IF($CF23=1,BV23,"")</f>
        <v/>
      </c>
      <c r="CJ23" s="18" t="str">
        <f>IF($CF23=1,BW23,"")</f>
        <v/>
      </c>
      <c r="CK23" s="18" t="str">
        <f>IF($CF23=1,BX23,"")</f>
        <v/>
      </c>
      <c r="CL23" s="18" t="str">
        <f>IF($CF23=1,BY23,"")</f>
        <v/>
      </c>
      <c r="CM23" s="18" t="str">
        <f>IF($CF23=1,BZ23,"")</f>
        <v/>
      </c>
      <c r="CN23" s="18" t="str">
        <f>IF($CF23=1,CA23,"")</f>
        <v/>
      </c>
      <c r="CO23" s="18" t="str">
        <f>IF($CF23=1,CB23,"")</f>
        <v/>
      </c>
      <c r="CP23" s="18" t="str">
        <f>IF($CF23=1,CC23,"")</f>
        <v/>
      </c>
      <c r="CQ23" s="18" t="str">
        <f>IF($CF23=1,CD23,"")</f>
        <v/>
      </c>
      <c r="CR23" s="18" t="str">
        <f>IF($CF23=1,CE23,"")</f>
        <v/>
      </c>
      <c r="CS23" s="30">
        <f>SUM(AE23:BO23)</f>
        <v>5</v>
      </c>
    </row>
    <row r="24" spans="1:97" x14ac:dyDescent="0.15">
      <c r="A24" s="18">
        <v>32</v>
      </c>
      <c r="B24" s="18" t="s">
        <v>68</v>
      </c>
      <c r="C24" s="18" t="s">
        <v>28</v>
      </c>
      <c r="D24" s="18" t="s">
        <v>21</v>
      </c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18"/>
      <c r="AF24" s="18"/>
      <c r="AG24" s="18"/>
      <c r="AH24" s="18"/>
      <c r="AI24" s="18">
        <v>5</v>
      </c>
      <c r="AJ24" s="18"/>
      <c r="AK24" s="18"/>
      <c r="AL24" s="18"/>
      <c r="AM24" s="18"/>
      <c r="AN24" s="18"/>
      <c r="AO24" s="18"/>
      <c r="AP24" s="18"/>
      <c r="AQ24" s="20"/>
      <c r="AR24" s="20"/>
      <c r="AS24" s="20"/>
      <c r="AT24" s="20"/>
      <c r="AU24" s="20"/>
      <c r="AV24" s="20"/>
      <c r="AW24" s="21"/>
      <c r="AX24" s="21"/>
      <c r="AY24" s="21"/>
      <c r="AZ24" s="21"/>
      <c r="BA24" s="21"/>
      <c r="BB24" s="21"/>
      <c r="BC24" s="26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>
        <f>SUM(E24:BO24)</f>
        <v>5</v>
      </c>
      <c r="BQ24" s="18">
        <v>5</v>
      </c>
      <c r="BR24" s="22">
        <v>1</v>
      </c>
      <c r="BS24" s="22" t="s">
        <v>218</v>
      </c>
      <c r="BT24" s="18" t="str">
        <f>IF(AQ24&gt;AQ$117, AQ24-AQ$117,"")</f>
        <v/>
      </c>
      <c r="BU24" s="18" t="str">
        <f>IF(AR24&gt;AR$117, AR24-AR$117,"")</f>
        <v/>
      </c>
      <c r="BV24" s="18" t="str">
        <f>IF(AS24&gt;AS$117, AS24-AS$117,"")</f>
        <v/>
      </c>
      <c r="BW24" s="18" t="str">
        <f>IF(AT24&gt;AT$117, AT24-AT$117,"")</f>
        <v/>
      </c>
      <c r="BX24" s="18" t="str">
        <f>IF(AU24&gt;AU$117, AU24-AU$117,"")</f>
        <v/>
      </c>
      <c r="BY24" s="18" t="str">
        <f>IF(AV24&gt;AV$117, AV24-AV$117,"")</f>
        <v/>
      </c>
      <c r="BZ24" s="18" t="str">
        <f>IF(AW24&gt;AW$117, AW24-AW$117,"")</f>
        <v/>
      </c>
      <c r="CA24" s="18" t="str">
        <f>IF(AX24&gt;AX$117, AX24-AX$117,"")</f>
        <v/>
      </c>
      <c r="CB24" s="18" t="str">
        <f>IF(AY24&gt;AY$117, AY24-AY$117,"")</f>
        <v/>
      </c>
      <c r="CC24" s="18" t="str">
        <f>IF(AZ24&gt;AZ$117, AZ24-AZ$117,"")</f>
        <v/>
      </c>
      <c r="CD24" s="18" t="str">
        <f>IF(BA24&gt;BA$117, BA24-BA$117,"")</f>
        <v/>
      </c>
      <c r="CE24" s="18" t="str">
        <f>IF(BB24&gt;BB$117, BB24-BB$117,"")</f>
        <v/>
      </c>
      <c r="CF24" s="18">
        <f>COUNTIF(BT24:CE24, "&gt;0")</f>
        <v>0</v>
      </c>
      <c r="CG24" s="18" t="str">
        <f>IF($CF24=1,BT24,"")</f>
        <v/>
      </c>
      <c r="CH24" s="18" t="str">
        <f>IF($CF24=1,BU24,"")</f>
        <v/>
      </c>
      <c r="CI24" s="18" t="str">
        <f>IF($CF24=1,BV24,"")</f>
        <v/>
      </c>
      <c r="CJ24" s="18" t="str">
        <f>IF($CF24=1,BW24,"")</f>
        <v/>
      </c>
      <c r="CK24" s="18" t="str">
        <f>IF($CF24=1,BX24,"")</f>
        <v/>
      </c>
      <c r="CL24" s="18" t="str">
        <f>IF($CF24=1,BY24,"")</f>
        <v/>
      </c>
      <c r="CM24" s="18" t="str">
        <f>IF($CF24=1,BZ24,"")</f>
        <v/>
      </c>
      <c r="CN24" s="18" t="str">
        <f>IF($CF24=1,CA24,"")</f>
        <v/>
      </c>
      <c r="CO24" s="18" t="str">
        <f>IF($CF24=1,CB24,"")</f>
        <v/>
      </c>
      <c r="CP24" s="18" t="str">
        <f>IF($CF24=1,CC24,"")</f>
        <v/>
      </c>
      <c r="CQ24" s="18" t="str">
        <f>IF($CF24=1,CD24,"")</f>
        <v/>
      </c>
      <c r="CR24" s="18" t="str">
        <f>IF($CF24=1,CE24,"")</f>
        <v/>
      </c>
      <c r="CS24" s="30">
        <f>SUM(AE24:BO24)</f>
        <v>5</v>
      </c>
    </row>
    <row r="25" spans="1:97" x14ac:dyDescent="0.15">
      <c r="A25" s="18">
        <v>33</v>
      </c>
      <c r="B25" s="18" t="s">
        <v>68</v>
      </c>
      <c r="C25" s="18" t="s">
        <v>28</v>
      </c>
      <c r="D25" s="18" t="s">
        <v>1</v>
      </c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18"/>
      <c r="AF25" s="18"/>
      <c r="AG25" s="18"/>
      <c r="AH25" s="18">
        <v>5</v>
      </c>
      <c r="AI25" s="18"/>
      <c r="AJ25" s="18"/>
      <c r="AK25" s="18"/>
      <c r="AL25" s="18"/>
      <c r="AM25" s="18"/>
      <c r="AN25" s="18"/>
      <c r="AO25" s="18"/>
      <c r="AP25" s="18"/>
      <c r="AQ25" s="20"/>
      <c r="AR25" s="20"/>
      <c r="AS25" s="20"/>
      <c r="AT25" s="20"/>
      <c r="AU25" s="20"/>
      <c r="AV25" s="20"/>
      <c r="AW25" s="21"/>
      <c r="AX25" s="21"/>
      <c r="AY25" s="21"/>
      <c r="AZ25" s="21"/>
      <c r="BA25" s="21"/>
      <c r="BB25" s="21"/>
      <c r="BC25" s="26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>
        <f>SUM(E25:BO25)</f>
        <v>5</v>
      </c>
      <c r="BQ25" s="18">
        <v>5</v>
      </c>
      <c r="BR25" s="22">
        <v>1</v>
      </c>
      <c r="BS25" s="22" t="s">
        <v>242</v>
      </c>
      <c r="BT25" s="18" t="str">
        <f>IF(AQ25&gt;AQ$117, AQ25-AQ$117,"")</f>
        <v/>
      </c>
      <c r="BU25" s="18" t="str">
        <f>IF(AR25&gt;AR$117, AR25-AR$117,"")</f>
        <v/>
      </c>
      <c r="BV25" s="18" t="str">
        <f>IF(AS25&gt;AS$117, AS25-AS$117,"")</f>
        <v/>
      </c>
      <c r="BW25" s="18" t="str">
        <f>IF(AT25&gt;AT$117, AT25-AT$117,"")</f>
        <v/>
      </c>
      <c r="BX25" s="18" t="str">
        <f>IF(AU25&gt;AU$117, AU25-AU$117,"")</f>
        <v/>
      </c>
      <c r="BY25" s="18" t="str">
        <f>IF(AV25&gt;AV$117, AV25-AV$117,"")</f>
        <v/>
      </c>
      <c r="BZ25" s="18" t="str">
        <f>IF(AW25&gt;AW$117, AW25-AW$117,"")</f>
        <v/>
      </c>
      <c r="CA25" s="18" t="str">
        <f>IF(AX25&gt;AX$117, AX25-AX$117,"")</f>
        <v/>
      </c>
      <c r="CB25" s="18" t="str">
        <f>IF(AY25&gt;AY$117, AY25-AY$117,"")</f>
        <v/>
      </c>
      <c r="CC25" s="18" t="str">
        <f>IF(AZ25&gt;AZ$117, AZ25-AZ$117,"")</f>
        <v/>
      </c>
      <c r="CD25" s="18" t="str">
        <f>IF(BA25&gt;BA$117, BA25-BA$117,"")</f>
        <v/>
      </c>
      <c r="CE25" s="18" t="str">
        <f>IF(BB25&gt;BB$117, BB25-BB$117,"")</f>
        <v/>
      </c>
      <c r="CF25" s="18">
        <f>COUNTIF(BT25:CE25, "&gt;0")</f>
        <v>0</v>
      </c>
      <c r="CG25" s="18" t="str">
        <f>IF($CF25=1,BT25,"")</f>
        <v/>
      </c>
      <c r="CH25" s="18" t="str">
        <f>IF($CF25=1,BU25,"")</f>
        <v/>
      </c>
      <c r="CI25" s="18" t="str">
        <f>IF($CF25=1,BV25,"")</f>
        <v/>
      </c>
      <c r="CJ25" s="18" t="str">
        <f>IF($CF25=1,BW25,"")</f>
        <v/>
      </c>
      <c r="CK25" s="18" t="str">
        <f>IF($CF25=1,BX25,"")</f>
        <v/>
      </c>
      <c r="CL25" s="18" t="str">
        <f>IF($CF25=1,BY25,"")</f>
        <v/>
      </c>
      <c r="CM25" s="18" t="str">
        <f>IF($CF25=1,BZ25,"")</f>
        <v/>
      </c>
      <c r="CN25" s="18" t="str">
        <f>IF($CF25=1,CA25,"")</f>
        <v/>
      </c>
      <c r="CO25" s="18" t="str">
        <f>IF($CF25=1,CB25,"")</f>
        <v/>
      </c>
      <c r="CP25" s="18" t="str">
        <f>IF($CF25=1,CC25,"")</f>
        <v/>
      </c>
      <c r="CQ25" s="18" t="str">
        <f>IF($CF25=1,CD25,"")</f>
        <v/>
      </c>
      <c r="CR25" s="18" t="str">
        <f>IF($CF25=1,CE25,"")</f>
        <v/>
      </c>
      <c r="CS25" s="30">
        <f>SUM(AE25:BO25)</f>
        <v>5</v>
      </c>
    </row>
    <row r="26" spans="1:97" x14ac:dyDescent="0.15">
      <c r="A26" s="18">
        <v>63</v>
      </c>
      <c r="B26" s="30" t="s">
        <v>54</v>
      </c>
      <c r="C26" s="18" t="s">
        <v>49</v>
      </c>
      <c r="D26" s="18" t="s">
        <v>21</v>
      </c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18"/>
      <c r="AF26" s="18"/>
      <c r="AG26" s="18"/>
      <c r="AH26" s="18"/>
      <c r="AI26" s="18"/>
      <c r="AJ26" s="18"/>
      <c r="AK26" s="18"/>
      <c r="AL26" s="18"/>
      <c r="AM26" s="18"/>
      <c r="AN26" s="18">
        <v>5</v>
      </c>
      <c r="AO26" s="18"/>
      <c r="AP26" s="18"/>
      <c r="AQ26" s="20"/>
      <c r="AR26" s="20"/>
      <c r="AS26" s="20"/>
      <c r="AT26" s="20"/>
      <c r="AU26" s="20"/>
      <c r="AV26" s="20"/>
      <c r="AW26" s="21"/>
      <c r="AX26" s="21"/>
      <c r="AY26" s="21"/>
      <c r="AZ26" s="21"/>
      <c r="BA26" s="21"/>
      <c r="BB26" s="21"/>
      <c r="BC26" s="26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>
        <f>SUM(E26:BO26)</f>
        <v>5</v>
      </c>
      <c r="BQ26" s="18">
        <v>5</v>
      </c>
      <c r="BR26" s="22">
        <v>1</v>
      </c>
      <c r="BS26" s="22" t="s">
        <v>243</v>
      </c>
      <c r="BT26" s="18" t="str">
        <f>IF(AQ26&gt;AQ$117, AQ26-AQ$117,"")</f>
        <v/>
      </c>
      <c r="BU26" s="18" t="str">
        <f>IF(AR26&gt;AR$117, AR26-AR$117,"")</f>
        <v/>
      </c>
      <c r="BV26" s="18" t="str">
        <f>IF(AS26&gt;AS$117, AS26-AS$117,"")</f>
        <v/>
      </c>
      <c r="BW26" s="18" t="str">
        <f>IF(AT26&gt;AT$117, AT26-AT$117,"")</f>
        <v/>
      </c>
      <c r="BX26" s="18" t="str">
        <f>IF(AU26&gt;AU$117, AU26-AU$117,"")</f>
        <v/>
      </c>
      <c r="BY26" s="18" t="str">
        <f>IF(AV26&gt;AV$117, AV26-AV$117,"")</f>
        <v/>
      </c>
      <c r="BZ26" s="18" t="str">
        <f>IF(AW26&gt;AW$117, AW26-AW$117,"")</f>
        <v/>
      </c>
      <c r="CA26" s="18" t="str">
        <f>IF(AX26&gt;AX$117, AX26-AX$117,"")</f>
        <v/>
      </c>
      <c r="CB26" s="18" t="str">
        <f>IF(AY26&gt;AY$117, AY26-AY$117,"")</f>
        <v/>
      </c>
      <c r="CC26" s="18" t="str">
        <f>IF(AZ26&gt;AZ$117, AZ26-AZ$117,"")</f>
        <v/>
      </c>
      <c r="CD26" s="18" t="str">
        <f>IF(BA26&gt;BA$117, BA26-BA$117,"")</f>
        <v/>
      </c>
      <c r="CE26" s="18" t="str">
        <f>IF(BB26&gt;BB$117, BB26-BB$117,"")</f>
        <v/>
      </c>
      <c r="CF26" s="18">
        <f>COUNTIF(BT26:CE26, "&gt;0")</f>
        <v>0</v>
      </c>
      <c r="CG26" s="18" t="str">
        <f>IF($CF26=1,BT26,"")</f>
        <v/>
      </c>
      <c r="CH26" s="18" t="str">
        <f>IF($CF26=1,BU26,"")</f>
        <v/>
      </c>
      <c r="CI26" s="18" t="str">
        <f>IF($CF26=1,BV26,"")</f>
        <v/>
      </c>
      <c r="CJ26" s="18" t="str">
        <f>IF($CF26=1,BW26,"")</f>
        <v/>
      </c>
      <c r="CK26" s="18" t="str">
        <f>IF($CF26=1,BX26,"")</f>
        <v/>
      </c>
      <c r="CL26" s="18" t="str">
        <f>IF($CF26=1,BY26,"")</f>
        <v/>
      </c>
      <c r="CM26" s="18" t="str">
        <f>IF($CF26=1,BZ26,"")</f>
        <v/>
      </c>
      <c r="CN26" s="18" t="str">
        <f>IF($CF26=1,CA26,"")</f>
        <v/>
      </c>
      <c r="CO26" s="18" t="str">
        <f>IF($CF26=1,CB26,"")</f>
        <v/>
      </c>
      <c r="CP26" s="18" t="str">
        <f>IF($CF26=1,CC26,"")</f>
        <v/>
      </c>
      <c r="CQ26" s="18" t="str">
        <f>IF($CF26=1,CD26,"")</f>
        <v/>
      </c>
      <c r="CR26" s="18" t="str">
        <f>IF($CF26=1,CE26,"")</f>
        <v/>
      </c>
      <c r="CS26" s="30">
        <f>SUM(AE26:BO26)</f>
        <v>5</v>
      </c>
    </row>
    <row r="27" spans="1:97" x14ac:dyDescent="0.15">
      <c r="A27" s="18">
        <v>90</v>
      </c>
      <c r="B27" s="30" t="s">
        <v>72</v>
      </c>
      <c r="C27" s="30" t="s">
        <v>71</v>
      </c>
      <c r="D27" s="18" t="s">
        <v>21</v>
      </c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18"/>
      <c r="AF27" s="18"/>
      <c r="AG27" s="18"/>
      <c r="AH27" s="18"/>
      <c r="AI27" s="18"/>
      <c r="AJ27" s="18"/>
      <c r="AK27" s="18"/>
      <c r="AL27" s="18"/>
      <c r="AM27" s="18"/>
      <c r="AN27" s="18">
        <v>5</v>
      </c>
      <c r="AO27" s="18"/>
      <c r="AP27" s="18"/>
      <c r="AQ27" s="20"/>
      <c r="AR27" s="20"/>
      <c r="AS27" s="20"/>
      <c r="AT27" s="20"/>
      <c r="AU27" s="20"/>
      <c r="AV27" s="20"/>
      <c r="AW27" s="21"/>
      <c r="AX27" s="21"/>
      <c r="AY27" s="21"/>
      <c r="AZ27" s="21"/>
      <c r="BA27" s="21"/>
      <c r="BB27" s="21"/>
      <c r="BC27" s="26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>
        <f>SUM(E27:BO27)</f>
        <v>5</v>
      </c>
      <c r="BQ27" s="18">
        <v>5</v>
      </c>
      <c r="BR27" s="22">
        <v>1</v>
      </c>
      <c r="BS27" s="22" t="s">
        <v>213</v>
      </c>
      <c r="BT27" s="18" t="str">
        <f>IF(AQ27&gt;AQ$117, AQ27-AQ$117,"")</f>
        <v/>
      </c>
      <c r="BU27" s="18" t="str">
        <f>IF(AR27&gt;AR$117, AR27-AR$117,"")</f>
        <v/>
      </c>
      <c r="BV27" s="18" t="str">
        <f>IF(AS27&gt;AS$117, AS27-AS$117,"")</f>
        <v/>
      </c>
      <c r="BW27" s="18" t="str">
        <f>IF(AT27&gt;AT$117, AT27-AT$117,"")</f>
        <v/>
      </c>
      <c r="BX27" s="18" t="str">
        <f>IF(AU27&gt;AU$117, AU27-AU$117,"")</f>
        <v/>
      </c>
      <c r="BY27" s="18" t="str">
        <f>IF(AV27&gt;AV$117, AV27-AV$117,"")</f>
        <v/>
      </c>
      <c r="BZ27" s="18" t="str">
        <f>IF(AW27&gt;AW$117, AW27-AW$117,"")</f>
        <v/>
      </c>
      <c r="CA27" s="18" t="str">
        <f>IF(AX27&gt;AX$117, AX27-AX$117,"")</f>
        <v/>
      </c>
      <c r="CB27" s="18" t="str">
        <f>IF(AY27&gt;AY$117, AY27-AY$117,"")</f>
        <v/>
      </c>
      <c r="CC27" s="18" t="str">
        <f>IF(AZ27&gt;AZ$117, AZ27-AZ$117,"")</f>
        <v/>
      </c>
      <c r="CD27" s="18" t="str">
        <f>IF(BA27&gt;BA$117, BA27-BA$117,"")</f>
        <v/>
      </c>
      <c r="CE27" s="18" t="str">
        <f>IF(BB27&gt;BB$117, BB27-BB$117,"")</f>
        <v/>
      </c>
      <c r="CF27" s="18">
        <f>COUNTIF(BT27:CE27, "&gt;0")</f>
        <v>0</v>
      </c>
      <c r="CG27" s="18" t="str">
        <f>IF($CF27=1,BT27,"")</f>
        <v/>
      </c>
      <c r="CH27" s="18" t="str">
        <f>IF($CF27=1,BU27,"")</f>
        <v/>
      </c>
      <c r="CI27" s="18" t="str">
        <f>IF($CF27=1,BV27,"")</f>
        <v/>
      </c>
      <c r="CJ27" s="18" t="str">
        <f>IF($CF27=1,BW27,"")</f>
        <v/>
      </c>
      <c r="CK27" s="18" t="str">
        <f>IF($CF27=1,BX27,"")</f>
        <v/>
      </c>
      <c r="CL27" s="18" t="str">
        <f>IF($CF27=1,BY27,"")</f>
        <v/>
      </c>
      <c r="CM27" s="18" t="str">
        <f>IF($CF27=1,BZ27,"")</f>
        <v/>
      </c>
      <c r="CN27" s="18" t="str">
        <f>IF($CF27=1,CA27,"")</f>
        <v/>
      </c>
      <c r="CO27" s="18" t="str">
        <f>IF($CF27=1,CB27,"")</f>
        <v/>
      </c>
      <c r="CP27" s="18" t="str">
        <f>IF($CF27=1,CC27,"")</f>
        <v/>
      </c>
      <c r="CQ27" s="18" t="str">
        <f>IF($CF27=1,CD27,"")</f>
        <v/>
      </c>
      <c r="CR27" s="18" t="str">
        <f>IF($CF27=1,CE27,"")</f>
        <v/>
      </c>
      <c r="CS27" s="30">
        <f>SUM(AE27:BO27)</f>
        <v>5</v>
      </c>
    </row>
    <row r="28" spans="1:97" x14ac:dyDescent="0.15">
      <c r="A28" s="18"/>
      <c r="B28" s="18" t="s">
        <v>106</v>
      </c>
      <c r="C28" s="18" t="s">
        <v>104</v>
      </c>
      <c r="D28" s="18" t="s">
        <v>100</v>
      </c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18"/>
      <c r="AF28" s="18"/>
      <c r="AG28" s="18"/>
      <c r="AH28" s="18">
        <v>5</v>
      </c>
      <c r="AI28" s="18"/>
      <c r="AJ28" s="18"/>
      <c r="AK28" s="18"/>
      <c r="AL28" s="18"/>
      <c r="AM28" s="18"/>
      <c r="AN28" s="18"/>
      <c r="AO28" s="18"/>
      <c r="AP28" s="18"/>
      <c r="AQ28" s="20"/>
      <c r="AR28" s="20"/>
      <c r="AS28" s="20"/>
      <c r="AT28" s="20"/>
      <c r="AU28" s="20"/>
      <c r="AV28" s="20"/>
      <c r="AW28" s="21"/>
      <c r="AX28" s="21"/>
      <c r="AY28" s="21"/>
      <c r="AZ28" s="21"/>
      <c r="BA28" s="21"/>
      <c r="BB28" s="21"/>
      <c r="BC28" s="26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>
        <f>SUM(E28:BO28)</f>
        <v>5</v>
      </c>
      <c r="BQ28" s="18">
        <v>5</v>
      </c>
      <c r="BR28" s="22">
        <v>1</v>
      </c>
      <c r="BS28" s="22" t="s">
        <v>219</v>
      </c>
      <c r="BT28" s="18" t="str">
        <f>IF(AQ28&gt;AQ$117, AQ28-AQ$117,"")</f>
        <v/>
      </c>
      <c r="BU28" s="18" t="str">
        <f>IF(AR28&gt;AR$117, AR28-AR$117,"")</f>
        <v/>
      </c>
      <c r="BV28" s="18" t="str">
        <f>IF(AS28&gt;AS$117, AS28-AS$117,"")</f>
        <v/>
      </c>
      <c r="BW28" s="18" t="str">
        <f>IF(AT28&gt;AT$117, AT28-AT$117,"")</f>
        <v/>
      </c>
      <c r="BX28" s="18" t="str">
        <f>IF(AU28&gt;AU$117, AU28-AU$117,"")</f>
        <v/>
      </c>
      <c r="BY28" s="18" t="str">
        <f>IF(AV28&gt;AV$117, AV28-AV$117,"")</f>
        <v/>
      </c>
      <c r="BZ28" s="18" t="str">
        <f>IF(AW28&gt;AW$117, AW28-AW$117,"")</f>
        <v/>
      </c>
      <c r="CA28" s="18" t="str">
        <f>IF(AX28&gt;AX$117, AX28-AX$117,"")</f>
        <v/>
      </c>
      <c r="CB28" s="18" t="str">
        <f>IF(AY28&gt;AY$117, AY28-AY$117,"")</f>
        <v/>
      </c>
      <c r="CC28" s="18" t="str">
        <f>IF(AZ28&gt;AZ$117, AZ28-AZ$117,"")</f>
        <v/>
      </c>
      <c r="CD28" s="18" t="str">
        <f>IF(BA28&gt;BA$117, BA28-BA$117,"")</f>
        <v/>
      </c>
      <c r="CE28" s="18" t="str">
        <f>IF(BB28&gt;BB$117, BB28-BB$117,"")</f>
        <v/>
      </c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30"/>
    </row>
    <row r="29" spans="1:97" x14ac:dyDescent="0.15">
      <c r="A29" s="18"/>
      <c r="B29" s="18" t="s">
        <v>106</v>
      </c>
      <c r="C29" s="18" t="s">
        <v>104</v>
      </c>
      <c r="D29" s="18" t="s">
        <v>94</v>
      </c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18"/>
      <c r="AF29" s="18"/>
      <c r="AG29" s="18"/>
      <c r="AH29" s="18"/>
      <c r="AI29" s="18">
        <v>5</v>
      </c>
      <c r="AJ29" s="18"/>
      <c r="AK29" s="18"/>
      <c r="AL29" s="18"/>
      <c r="AM29" s="18"/>
      <c r="AN29" s="18"/>
      <c r="AO29" s="18"/>
      <c r="AP29" s="18"/>
      <c r="AQ29" s="20"/>
      <c r="AR29" s="20"/>
      <c r="AS29" s="20"/>
      <c r="AT29" s="20"/>
      <c r="AU29" s="20"/>
      <c r="AV29" s="20"/>
      <c r="AW29" s="21"/>
      <c r="AX29" s="21"/>
      <c r="AY29" s="21"/>
      <c r="AZ29" s="21"/>
      <c r="BA29" s="21"/>
      <c r="BB29" s="21"/>
      <c r="BC29" s="26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>
        <f>SUM(E29:BO29)</f>
        <v>5</v>
      </c>
      <c r="BQ29" s="18">
        <v>5</v>
      </c>
      <c r="BR29" s="22">
        <v>1</v>
      </c>
      <c r="BS29" s="22" t="s">
        <v>244</v>
      </c>
      <c r="BT29" s="18" t="str">
        <f>IF(AQ29&gt;AQ$117, AQ29-AQ$117,"")</f>
        <v/>
      </c>
      <c r="BU29" s="18" t="str">
        <f>IF(AR29&gt;AR$117, AR29-AR$117,"")</f>
        <v/>
      </c>
      <c r="BV29" s="18" t="str">
        <f>IF(AS29&gt;AS$117, AS29-AS$117,"")</f>
        <v/>
      </c>
      <c r="BW29" s="18" t="str">
        <f>IF(AT29&gt;AT$117, AT29-AT$117,"")</f>
        <v/>
      </c>
      <c r="BX29" s="18" t="str">
        <f>IF(AU29&gt;AU$117, AU29-AU$117,"")</f>
        <v/>
      </c>
      <c r="BY29" s="18" t="str">
        <f>IF(AV29&gt;AV$117, AV29-AV$117,"")</f>
        <v/>
      </c>
      <c r="BZ29" s="18" t="str">
        <f>IF(AW29&gt;AW$117, AW29-AW$117,"")</f>
        <v/>
      </c>
      <c r="CA29" s="18" t="str">
        <f>IF(AX29&gt;AX$117, AX29-AX$117,"")</f>
        <v/>
      </c>
      <c r="CB29" s="18" t="str">
        <f>IF(AY29&gt;AY$117, AY29-AY$117,"")</f>
        <v/>
      </c>
      <c r="CC29" s="18" t="str">
        <f>IF(AZ29&gt;AZ$117, AZ29-AZ$117,"")</f>
        <v/>
      </c>
      <c r="CD29" s="18" t="str">
        <f>IF(BA29&gt;BA$117, BA29-BA$117,"")</f>
        <v/>
      </c>
      <c r="CE29" s="18" t="str">
        <f>IF(BB29&gt;BB$117, BB29-BB$117,"")</f>
        <v/>
      </c>
      <c r="CF29" s="18"/>
      <c r="CG29" s="18"/>
      <c r="CH29" s="18"/>
      <c r="CI29" s="18"/>
      <c r="CJ29" s="18"/>
      <c r="CK29" s="18"/>
      <c r="CL29" s="18"/>
      <c r="CM29" s="18"/>
      <c r="CN29" s="18"/>
      <c r="CO29" s="18"/>
      <c r="CP29" s="18"/>
      <c r="CQ29" s="18"/>
      <c r="CR29" s="18"/>
      <c r="CS29" s="30"/>
    </row>
    <row r="30" spans="1:97" x14ac:dyDescent="0.15">
      <c r="A30" s="1"/>
      <c r="B30" s="1" t="s">
        <v>165</v>
      </c>
      <c r="C30" s="1" t="s">
        <v>132</v>
      </c>
      <c r="D30" s="1" t="s">
        <v>111</v>
      </c>
      <c r="E30" s="6"/>
      <c r="F30" s="6"/>
      <c r="G30" s="6"/>
      <c r="H30" s="6"/>
      <c r="I30" s="6"/>
      <c r="J30" s="6">
        <v>10</v>
      </c>
      <c r="K30" s="6"/>
      <c r="L30" s="6">
        <v>10</v>
      </c>
      <c r="M30" s="6">
        <v>10</v>
      </c>
      <c r="N30" s="6"/>
      <c r="O30" s="6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>
        <v>15</v>
      </c>
      <c r="AZ30" s="2">
        <v>15</v>
      </c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>
        <f>SUM(E30:BO30)</f>
        <v>60</v>
      </c>
      <c r="BQ30" s="1">
        <v>5</v>
      </c>
      <c r="BR30" s="17">
        <v>1</v>
      </c>
      <c r="BS30" s="17" t="s">
        <v>245</v>
      </c>
      <c r="BT30" s="1" t="str">
        <f>IF(AQ30&gt;AQ$117, AQ30-AQ$117,"")</f>
        <v/>
      </c>
      <c r="BU30" s="1" t="str">
        <f>IF(AR30&gt;AR$117, AR30-AR$117,"")</f>
        <v/>
      </c>
      <c r="BV30" s="1" t="str">
        <f>IF(AS30&gt;AS$117, AS30-AS$117,"")</f>
        <v/>
      </c>
      <c r="BW30" s="1" t="str">
        <f>IF(AT30&gt;AT$117, AT30-AT$117,"")</f>
        <v/>
      </c>
      <c r="BX30" s="1" t="str">
        <f>IF(AU30&gt;AU$117, AU30-AU$117,"")</f>
        <v/>
      </c>
      <c r="BY30" s="1" t="str">
        <f>IF(AV30&gt;AV$117, AV30-AV$117,"")</f>
        <v/>
      </c>
      <c r="BZ30" s="1" t="str">
        <f>IF(AW30&gt;AW$117, AW30-AW$117,"")</f>
        <v/>
      </c>
      <c r="CA30" s="1" t="str">
        <f>IF(AX30&gt;AX$117, AX30-AX$117,"")</f>
        <v/>
      </c>
      <c r="CB30" s="1" t="str">
        <f>IF(AY30&gt;AY$117, AY30-AY$117,"")</f>
        <v/>
      </c>
      <c r="CC30" s="1" t="str">
        <f>IF(AZ30&gt;AZ$117, AZ30-AZ$117,"")</f>
        <v/>
      </c>
      <c r="CD30" s="1" t="str">
        <f>IF(BA30&gt;BA$117, BA30-BA$117,"")</f>
        <v/>
      </c>
      <c r="CE30" s="1" t="str">
        <f>IF(BB30&gt;BB$117, BB30-BB$117,"")</f>
        <v/>
      </c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3"/>
    </row>
    <row r="31" spans="1:97" x14ac:dyDescent="0.15">
      <c r="A31" s="1">
        <v>39</v>
      </c>
      <c r="B31" s="1" t="s">
        <v>44</v>
      </c>
      <c r="C31" s="1" t="s">
        <v>41</v>
      </c>
      <c r="D31" s="1" t="s">
        <v>23</v>
      </c>
      <c r="E31" s="6"/>
      <c r="F31" s="6">
        <v>6</v>
      </c>
      <c r="G31" s="6"/>
      <c r="H31" s="6"/>
      <c r="I31" s="6"/>
      <c r="J31" s="6"/>
      <c r="K31" s="6"/>
      <c r="L31" s="6">
        <v>6</v>
      </c>
      <c r="M31" s="6"/>
      <c r="N31" s="6"/>
      <c r="O31" s="6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>
        <v>10</v>
      </c>
      <c r="AR31" s="4"/>
      <c r="AS31" s="4"/>
      <c r="AT31" s="4"/>
      <c r="AU31" s="4"/>
      <c r="AV31" s="4"/>
      <c r="AW31" s="2"/>
      <c r="AX31" s="2">
        <v>10</v>
      </c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>
        <f>SUM(E31:BO31)</f>
        <v>32</v>
      </c>
      <c r="BQ31" s="1">
        <v>8</v>
      </c>
      <c r="BR31" s="17">
        <v>1</v>
      </c>
      <c r="BS31" s="17" t="s">
        <v>249</v>
      </c>
      <c r="BT31" s="1" t="str">
        <f>IF(AQ31&gt;AQ$117, AQ31-AQ$117,"")</f>
        <v/>
      </c>
      <c r="BU31" s="1" t="str">
        <f>IF(AR31&gt;AR$117, AR31-AR$117,"")</f>
        <v/>
      </c>
      <c r="BV31" s="1" t="str">
        <f>IF(AS31&gt;AS$117, AS31-AS$117,"")</f>
        <v/>
      </c>
      <c r="BW31" s="1" t="str">
        <f>IF(AT31&gt;AT$117, AT31-AT$117,"")</f>
        <v/>
      </c>
      <c r="BX31" s="1" t="str">
        <f>IF(AU31&gt;AU$117, AU31-AU$117,"")</f>
        <v/>
      </c>
      <c r="BY31" s="1" t="str">
        <f>IF(AV31&gt;AV$117, AV31-AV$117,"")</f>
        <v/>
      </c>
      <c r="BZ31" s="1" t="str">
        <f>IF(AW31&gt;AW$117, AW31-AW$117,"")</f>
        <v/>
      </c>
      <c r="CA31" s="1" t="str">
        <f>IF(AX31&gt;AX$117, AX31-AX$117,"")</f>
        <v/>
      </c>
      <c r="CB31" s="1" t="str">
        <f>IF(AY31&gt;AY$117, AY31-AY$117,"")</f>
        <v/>
      </c>
      <c r="CC31" s="1" t="str">
        <f>IF(AZ31&gt;AZ$117, AZ31-AZ$117,"")</f>
        <v/>
      </c>
      <c r="CD31" s="1" t="str">
        <f>IF(BA31&gt;BA$117, BA31-BA$117,"")</f>
        <v/>
      </c>
      <c r="CE31" s="1" t="str">
        <f>IF(BB31&gt;BB$117, BB31-BB$117,"")</f>
        <v/>
      </c>
      <c r="CF31" s="1">
        <f>COUNTIF(BT31:CE31, "&gt;0")</f>
        <v>0</v>
      </c>
      <c r="CG31" s="1" t="str">
        <f>IF($CF31=1,BT31,"")</f>
        <v/>
      </c>
      <c r="CH31" s="1" t="str">
        <f>IF($CF31=1,BU31,"")</f>
        <v/>
      </c>
      <c r="CI31" s="1" t="str">
        <f>IF($CF31=1,BV31,"")</f>
        <v/>
      </c>
      <c r="CJ31" s="1" t="str">
        <f>IF($CF31=1,BW31,"")</f>
        <v/>
      </c>
      <c r="CK31" s="1" t="str">
        <f>IF($CF31=1,BX31,"")</f>
        <v/>
      </c>
      <c r="CL31" s="1" t="str">
        <f>IF($CF31=1,BY31,"")</f>
        <v/>
      </c>
      <c r="CM31" s="1" t="str">
        <f>IF($CF31=1,BZ31,"")</f>
        <v/>
      </c>
      <c r="CN31" s="1" t="str">
        <f>IF($CF31=1,CA31,"")</f>
        <v/>
      </c>
      <c r="CO31" s="1" t="str">
        <f>IF($CF31=1,CB31,"")</f>
        <v/>
      </c>
      <c r="CP31" s="1" t="str">
        <f>IF($CF31=1,CC31,"")</f>
        <v/>
      </c>
      <c r="CQ31" s="1" t="str">
        <f>IF($CF31=1,CD31,"")</f>
        <v/>
      </c>
      <c r="CR31" s="1" t="str">
        <f>IF($CF31=1,CE31,"")</f>
        <v/>
      </c>
      <c r="CS31" s="3">
        <f>SUM(AE31:BO31)</f>
        <v>20</v>
      </c>
    </row>
    <row r="32" spans="1:97" x14ac:dyDescent="0.15">
      <c r="A32" s="1">
        <v>95</v>
      </c>
      <c r="B32" s="3" t="s">
        <v>74</v>
      </c>
      <c r="C32" s="3" t="s">
        <v>60</v>
      </c>
      <c r="D32" s="1" t="s">
        <v>1</v>
      </c>
      <c r="E32" s="6"/>
      <c r="F32" s="6"/>
      <c r="G32" s="6"/>
      <c r="H32" s="6"/>
      <c r="I32" s="6"/>
      <c r="J32" s="6"/>
      <c r="K32" s="6"/>
      <c r="L32" s="6">
        <v>15</v>
      </c>
      <c r="M32" s="6"/>
      <c r="N32" s="6"/>
      <c r="O32" s="6">
        <v>15</v>
      </c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>
        <v>15</v>
      </c>
      <c r="BB32" s="2">
        <v>15</v>
      </c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>
        <f>SUM(E32:BO32)</f>
        <v>60</v>
      </c>
      <c r="BQ32" s="1">
        <v>8</v>
      </c>
      <c r="BR32" s="17">
        <v>1</v>
      </c>
      <c r="BS32" s="17" t="s">
        <v>250</v>
      </c>
      <c r="BT32" s="1" t="str">
        <f>IF(AQ32&gt;AQ$117, AQ32-AQ$117,"")</f>
        <v/>
      </c>
      <c r="BU32" s="1" t="str">
        <f>IF(AR32&gt;AR$117, AR32-AR$117,"")</f>
        <v/>
      </c>
      <c r="BV32" s="1" t="str">
        <f>IF(AS32&gt;AS$117, AS32-AS$117,"")</f>
        <v/>
      </c>
      <c r="BW32" s="1" t="str">
        <f>IF(AT32&gt;AT$117, AT32-AT$117,"")</f>
        <v/>
      </c>
      <c r="BX32" s="1" t="str">
        <f>IF(AU32&gt;AU$117, AU32-AU$117,"")</f>
        <v/>
      </c>
      <c r="BY32" s="1" t="str">
        <f>IF(AV32&gt;AV$117, AV32-AV$117,"")</f>
        <v/>
      </c>
      <c r="BZ32" s="1" t="str">
        <f>IF(AW32&gt;AW$117, AW32-AW$117,"")</f>
        <v/>
      </c>
      <c r="CA32" s="1" t="str">
        <f>IF(AX32&gt;AX$117, AX32-AX$117,"")</f>
        <v/>
      </c>
      <c r="CB32" s="1" t="str">
        <f>IF(AY32&gt;AY$117, AY32-AY$117,"")</f>
        <v/>
      </c>
      <c r="CC32" s="1" t="str">
        <f>IF(AZ32&gt;AZ$117, AZ32-AZ$117,"")</f>
        <v/>
      </c>
      <c r="CD32" s="1" t="str">
        <f>IF(BA32&gt;BA$117, BA32-BA$117,"")</f>
        <v/>
      </c>
      <c r="CE32" s="1" t="str">
        <f>IF(BB32&gt;BB$117, BB32-BB$117,"")</f>
        <v/>
      </c>
      <c r="CF32" s="1">
        <f>COUNTIF(BT32:CE32, "&gt;0")</f>
        <v>0</v>
      </c>
      <c r="CG32" s="1" t="str">
        <f>IF($CF32=1,BT32,"")</f>
        <v/>
      </c>
      <c r="CH32" s="1" t="str">
        <f>IF($CF32=1,BU32,"")</f>
        <v/>
      </c>
      <c r="CI32" s="1" t="str">
        <f>IF($CF32=1,BV32,"")</f>
        <v/>
      </c>
      <c r="CJ32" s="1" t="str">
        <f>IF($CF32=1,BW32,"")</f>
        <v/>
      </c>
      <c r="CK32" s="1" t="str">
        <f>IF($CF32=1,BX32,"")</f>
        <v/>
      </c>
      <c r="CL32" s="1" t="str">
        <f>IF($CF32=1,BY32,"")</f>
        <v/>
      </c>
      <c r="CM32" s="1" t="str">
        <f>IF($CF32=1,BZ32,"")</f>
        <v/>
      </c>
      <c r="CN32" s="1" t="str">
        <f>IF($CF32=1,CA32,"")</f>
        <v/>
      </c>
      <c r="CO32" s="1" t="str">
        <f>IF($CF32=1,CB32,"")</f>
        <v/>
      </c>
      <c r="CP32" s="1" t="str">
        <f>IF($CF32=1,CC32,"")</f>
        <v/>
      </c>
      <c r="CQ32" s="1" t="str">
        <f>IF($CF32=1,CD32,"")</f>
        <v/>
      </c>
      <c r="CR32" s="1" t="str">
        <f>IF($CF32=1,CE32,"")</f>
        <v/>
      </c>
      <c r="CS32" s="3">
        <f>SUM(AE32:BO32)</f>
        <v>30</v>
      </c>
    </row>
    <row r="33" spans="1:97" x14ac:dyDescent="0.15">
      <c r="A33" s="1">
        <v>45</v>
      </c>
      <c r="B33" s="1" t="s">
        <v>91</v>
      </c>
      <c r="C33" s="1" t="s">
        <v>41</v>
      </c>
      <c r="D33" s="1" t="s">
        <v>12</v>
      </c>
      <c r="E33" s="6">
        <v>6</v>
      </c>
      <c r="F33" s="6"/>
      <c r="G33" s="6"/>
      <c r="H33" s="6"/>
      <c r="I33" s="6"/>
      <c r="J33" s="6"/>
      <c r="K33" s="6"/>
      <c r="L33" s="6"/>
      <c r="M33" s="6">
        <v>6</v>
      </c>
      <c r="N33" s="6"/>
      <c r="O33" s="6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>
        <v>10</v>
      </c>
      <c r="AR33" s="4"/>
      <c r="AS33" s="4"/>
      <c r="AT33" s="4"/>
      <c r="AU33" s="4"/>
      <c r="AV33" s="4"/>
      <c r="AW33" s="2"/>
      <c r="AX33" s="2"/>
      <c r="AY33" s="2"/>
      <c r="AZ33" s="2">
        <v>10</v>
      </c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>
        <f>SUM(E33:BO33)</f>
        <v>32</v>
      </c>
      <c r="BQ33" s="1">
        <v>8</v>
      </c>
      <c r="BR33" s="17">
        <v>1</v>
      </c>
      <c r="BS33" s="17" t="s">
        <v>221</v>
      </c>
      <c r="BT33" s="1" t="str">
        <f>IF(AQ33&gt;AQ$117, AQ33-AQ$117,"")</f>
        <v/>
      </c>
      <c r="BU33" s="1" t="str">
        <f>IF(AR33&gt;AR$117, AR33-AR$117,"")</f>
        <v/>
      </c>
      <c r="BV33" s="1" t="str">
        <f>IF(AS33&gt;AS$117, AS33-AS$117,"")</f>
        <v/>
      </c>
      <c r="BW33" s="1" t="str">
        <f>IF(AT33&gt;AT$117, AT33-AT$117,"")</f>
        <v/>
      </c>
      <c r="BX33" s="1" t="str">
        <f>IF(AU33&gt;AU$117, AU33-AU$117,"")</f>
        <v/>
      </c>
      <c r="BY33" s="1" t="str">
        <f>IF(AV33&gt;AV$117, AV33-AV$117,"")</f>
        <v/>
      </c>
      <c r="BZ33" s="1" t="str">
        <f>IF(AW33&gt;AW$117, AW33-AW$117,"")</f>
        <v/>
      </c>
      <c r="CA33" s="1" t="str">
        <f>IF(AX33&gt;AX$117, AX33-AX$117,"")</f>
        <v/>
      </c>
      <c r="CB33" s="1" t="str">
        <f>IF(AY33&gt;AY$117, AY33-AY$117,"")</f>
        <v/>
      </c>
      <c r="CC33" s="1" t="str">
        <f>IF(AZ33&gt;AZ$117, AZ33-AZ$117,"")</f>
        <v/>
      </c>
      <c r="CD33" s="1" t="str">
        <f>IF(BA33&gt;BA$117, BA33-BA$117,"")</f>
        <v/>
      </c>
      <c r="CE33" s="1" t="str">
        <f>IF(BB33&gt;BB$117, BB33-BB$117,"")</f>
        <v/>
      </c>
      <c r="CF33" s="1">
        <f>COUNTIF(BT33:CE33, "&gt;0")</f>
        <v>0</v>
      </c>
      <c r="CG33" s="1" t="str">
        <f>IF($CF33=1,BT33,"")</f>
        <v/>
      </c>
      <c r="CH33" s="1" t="str">
        <f>IF($CF33=1,BU33,"")</f>
        <v/>
      </c>
      <c r="CI33" s="1" t="str">
        <f>IF($CF33=1,BV33,"")</f>
        <v/>
      </c>
      <c r="CJ33" s="1" t="str">
        <f>IF($CF33=1,BW33,"")</f>
        <v/>
      </c>
      <c r="CK33" s="1" t="str">
        <f>IF($CF33=1,BX33,"")</f>
        <v/>
      </c>
      <c r="CL33" s="1" t="str">
        <f>IF($CF33=1,BY33,"")</f>
        <v/>
      </c>
      <c r="CM33" s="1" t="str">
        <f>IF($CF33=1,BZ33,"")</f>
        <v/>
      </c>
      <c r="CN33" s="1" t="str">
        <f>IF($CF33=1,CA33,"")</f>
        <v/>
      </c>
      <c r="CO33" s="1" t="str">
        <f>IF($CF33=1,CB33,"")</f>
        <v/>
      </c>
      <c r="CP33" s="1" t="str">
        <f>IF($CF33=1,CC33,"")</f>
        <v/>
      </c>
      <c r="CQ33" s="1" t="str">
        <f>IF($CF33=1,CD33,"")</f>
        <v/>
      </c>
      <c r="CR33" s="1" t="str">
        <f>IF($CF33=1,CE33,"")</f>
        <v/>
      </c>
      <c r="CS33" s="3">
        <f>SUM(AE33:BO33)</f>
        <v>20</v>
      </c>
    </row>
    <row r="34" spans="1:97" x14ac:dyDescent="0.15">
      <c r="A34" s="1"/>
      <c r="B34" s="1" t="s">
        <v>164</v>
      </c>
      <c r="C34" s="1" t="s">
        <v>104</v>
      </c>
      <c r="D34" s="1" t="s">
        <v>94</v>
      </c>
      <c r="E34" s="6">
        <v>10</v>
      </c>
      <c r="F34" s="6"/>
      <c r="G34" s="6">
        <v>10</v>
      </c>
      <c r="H34" s="6"/>
      <c r="I34" s="6"/>
      <c r="J34" s="6"/>
      <c r="K34" s="6"/>
      <c r="L34" s="6"/>
      <c r="M34" s="6"/>
      <c r="N34" s="6"/>
      <c r="O34" s="6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>
        <v>10</v>
      </c>
      <c r="AS34" s="4"/>
      <c r="AT34" s="4"/>
      <c r="AU34" s="4"/>
      <c r="AV34" s="4"/>
      <c r="AW34" s="2"/>
      <c r="AX34" s="2"/>
      <c r="AY34" s="2"/>
      <c r="AZ34" s="2"/>
      <c r="BA34" s="2"/>
      <c r="BB34" s="2">
        <v>10</v>
      </c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>
        <f>SUM(E34:BO34)</f>
        <v>40</v>
      </c>
      <c r="BQ34" s="1">
        <v>10</v>
      </c>
      <c r="BR34" s="17">
        <v>1</v>
      </c>
      <c r="BS34" s="17" t="s">
        <v>234</v>
      </c>
      <c r="BT34" s="1" t="str">
        <f>IF(AQ34&gt;AQ$117, AQ34-AQ$117,"")</f>
        <v/>
      </c>
      <c r="BU34" s="1" t="str">
        <f>IF(AR34&gt;AR$117, AR34-AR$117,"")</f>
        <v/>
      </c>
      <c r="BV34" s="1" t="str">
        <f>IF(AS34&gt;AS$117, AS34-AS$117,"")</f>
        <v/>
      </c>
      <c r="BW34" s="1" t="str">
        <f>IF(AT34&gt;AT$117, AT34-AT$117,"")</f>
        <v/>
      </c>
      <c r="BX34" s="1" t="str">
        <f>IF(AU34&gt;AU$117, AU34-AU$117,"")</f>
        <v/>
      </c>
      <c r="BY34" s="1" t="str">
        <f>IF(AV34&gt;AV$117, AV34-AV$117,"")</f>
        <v/>
      </c>
      <c r="BZ34" s="1" t="str">
        <f>IF(AW34&gt;AW$117, AW34-AW$117,"")</f>
        <v/>
      </c>
      <c r="CA34" s="1" t="str">
        <f>IF(AX34&gt;AX$117, AX34-AX$117,"")</f>
        <v/>
      </c>
      <c r="CB34" s="1" t="str">
        <f>IF(AY34&gt;AY$117, AY34-AY$117,"")</f>
        <v/>
      </c>
      <c r="CC34" s="1" t="str">
        <f>IF(AZ34&gt;AZ$117, AZ34-AZ$117,"")</f>
        <v/>
      </c>
      <c r="CD34" s="1" t="str">
        <f>IF(BA34&gt;BA$117, BA34-BA$117,"")</f>
        <v/>
      </c>
      <c r="CE34" s="1" t="str">
        <f>IF(BB34&gt;BB$117, BB34-BB$117,"")</f>
        <v/>
      </c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3"/>
    </row>
    <row r="35" spans="1:97" x14ac:dyDescent="0.15">
      <c r="A35" s="1"/>
      <c r="B35" s="1" t="s">
        <v>162</v>
      </c>
      <c r="C35" s="1" t="s">
        <v>138</v>
      </c>
      <c r="D35" s="1" t="s">
        <v>112</v>
      </c>
      <c r="E35" s="6">
        <v>10</v>
      </c>
      <c r="F35" s="6"/>
      <c r="G35" s="6">
        <v>10</v>
      </c>
      <c r="H35" s="6"/>
      <c r="I35" s="6"/>
      <c r="J35" s="6"/>
      <c r="K35" s="6"/>
      <c r="L35" s="6"/>
      <c r="M35" s="6"/>
      <c r="N35" s="6"/>
      <c r="O35" s="6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>
        <v>10</v>
      </c>
      <c r="AS35" s="4"/>
      <c r="AT35" s="4"/>
      <c r="AU35" s="4"/>
      <c r="AV35" s="4"/>
      <c r="AW35" s="2"/>
      <c r="AX35" s="2"/>
      <c r="AY35" s="2"/>
      <c r="AZ35" s="2"/>
      <c r="BA35" s="2"/>
      <c r="BB35" s="2">
        <v>10</v>
      </c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>
        <f>SUM(E35:BO35)</f>
        <v>40</v>
      </c>
      <c r="BQ35" s="1">
        <v>10</v>
      </c>
      <c r="BR35" s="17">
        <v>1</v>
      </c>
      <c r="BS35" s="17" t="s">
        <v>235</v>
      </c>
      <c r="BT35" s="1" t="str">
        <f>IF(AQ35&gt;AQ$117, AQ35-AQ$117,"")</f>
        <v/>
      </c>
      <c r="BU35" s="1" t="str">
        <f>IF(AR35&gt;AR$117, AR35-AR$117,"")</f>
        <v/>
      </c>
      <c r="BV35" s="1" t="str">
        <f>IF(AS35&gt;AS$117, AS35-AS$117,"")</f>
        <v/>
      </c>
      <c r="BW35" s="1" t="str">
        <f>IF(AT35&gt;AT$117, AT35-AT$117,"")</f>
        <v/>
      </c>
      <c r="BX35" s="1" t="str">
        <f>IF(AU35&gt;AU$117, AU35-AU$117,"")</f>
        <v/>
      </c>
      <c r="BY35" s="1" t="str">
        <f>IF(AV35&gt;AV$117, AV35-AV$117,"")</f>
        <v/>
      </c>
      <c r="BZ35" s="1" t="str">
        <f>IF(AW35&gt;AW$117, AW35-AW$117,"")</f>
        <v/>
      </c>
      <c r="CA35" s="1" t="str">
        <f>IF(AX35&gt;AX$117, AX35-AX$117,"")</f>
        <v/>
      </c>
      <c r="CB35" s="1" t="str">
        <f>IF(AY35&gt;AY$117, AY35-AY$117,"")</f>
        <v/>
      </c>
      <c r="CC35" s="1" t="str">
        <f>IF(AZ35&gt;AZ$117, AZ35-AZ$117,"")</f>
        <v/>
      </c>
      <c r="CD35" s="1" t="str">
        <f>IF(BA35&gt;BA$117, BA35-BA$117,"")</f>
        <v/>
      </c>
      <c r="CE35" s="1" t="str">
        <f>IF(BB35&gt;BB$117, BB35-BB$117,"")</f>
        <v/>
      </c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3"/>
    </row>
    <row r="36" spans="1:97" s="23" customFormat="1" x14ac:dyDescent="0.15">
      <c r="A36" s="1">
        <v>8</v>
      </c>
      <c r="B36" s="1" t="s">
        <v>157</v>
      </c>
      <c r="C36" s="1" t="s">
        <v>2</v>
      </c>
      <c r="D36" s="1" t="s">
        <v>23</v>
      </c>
      <c r="E36" s="6">
        <v>6</v>
      </c>
      <c r="F36" s="6"/>
      <c r="G36" s="6"/>
      <c r="H36" s="6">
        <v>6</v>
      </c>
      <c r="I36" s="6"/>
      <c r="J36" s="6"/>
      <c r="K36" s="6"/>
      <c r="L36" s="6"/>
      <c r="M36" s="6"/>
      <c r="N36" s="6"/>
      <c r="O36" s="6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>
        <v>10</v>
      </c>
      <c r="AS36" s="4"/>
      <c r="AT36" s="4"/>
      <c r="AU36" s="4"/>
      <c r="AV36" s="4"/>
      <c r="AW36" s="2"/>
      <c r="AX36" s="2"/>
      <c r="AY36" s="2"/>
      <c r="AZ36" s="2"/>
      <c r="BA36" s="2"/>
      <c r="BB36" s="2">
        <v>10</v>
      </c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>
        <f>SUM(E36:BO36)</f>
        <v>32</v>
      </c>
      <c r="BQ36" s="1">
        <v>10</v>
      </c>
      <c r="BR36" s="17">
        <v>1</v>
      </c>
      <c r="BS36" s="17" t="s">
        <v>234</v>
      </c>
      <c r="BT36" s="1" t="str">
        <f>IF(AQ36&gt;AQ$117, AQ36-AQ$117,"")</f>
        <v/>
      </c>
      <c r="BU36" s="1" t="str">
        <f>IF(AR36&gt;AR$117, AR36-AR$117,"")</f>
        <v/>
      </c>
      <c r="BV36" s="1" t="str">
        <f>IF(AS36&gt;AS$117, AS36-AS$117,"")</f>
        <v/>
      </c>
      <c r="BW36" s="1" t="str">
        <f>IF(AT36&gt;AT$117, AT36-AT$117,"")</f>
        <v/>
      </c>
      <c r="BX36" s="1" t="str">
        <f>IF(AU36&gt;AU$117, AU36-AU$117,"")</f>
        <v/>
      </c>
      <c r="BY36" s="1" t="str">
        <f>IF(AV36&gt;AV$117, AV36-AV$117,"")</f>
        <v/>
      </c>
      <c r="BZ36" s="1" t="str">
        <f>IF(AW36&gt;AW$117, AW36-AW$117,"")</f>
        <v/>
      </c>
      <c r="CA36" s="1" t="str">
        <f>IF(AX36&gt;AX$117, AX36-AX$117,"")</f>
        <v/>
      </c>
      <c r="CB36" s="1" t="str">
        <f>IF(AY36&gt;AY$117, AY36-AY$117,"")</f>
        <v/>
      </c>
      <c r="CC36" s="1" t="str">
        <f>IF(AZ36&gt;AZ$117, AZ36-AZ$117,"")</f>
        <v/>
      </c>
      <c r="CD36" s="1" t="str">
        <f>IF(BA36&gt;BA$117, BA36-BA$117,"")</f>
        <v/>
      </c>
      <c r="CE36" s="1" t="str">
        <f>IF(BB36&gt;BB$117, BB36-BB$117,"")</f>
        <v/>
      </c>
      <c r="CF36" s="1">
        <f>COUNTIF(BT36:CE36, "&gt;0")</f>
        <v>0</v>
      </c>
      <c r="CG36" s="1" t="str">
        <f>IF($CF36=1,BT36,"")</f>
        <v/>
      </c>
      <c r="CH36" s="1" t="str">
        <f>IF($CF36=1,BU36,"")</f>
        <v/>
      </c>
      <c r="CI36" s="1" t="str">
        <f>IF($CF36=1,BV36,"")</f>
        <v/>
      </c>
      <c r="CJ36" s="1" t="str">
        <f>IF($CF36=1,BW36,"")</f>
        <v/>
      </c>
      <c r="CK36" s="1" t="str">
        <f>IF($CF36=1,BX36,"")</f>
        <v/>
      </c>
      <c r="CL36" s="1" t="str">
        <f>IF($CF36=1,BY36,"")</f>
        <v/>
      </c>
      <c r="CM36" s="1" t="str">
        <f>IF($CF36=1,BZ36,"")</f>
        <v/>
      </c>
      <c r="CN36" s="1" t="str">
        <f>IF($CF36=1,CA36,"")</f>
        <v/>
      </c>
      <c r="CO36" s="1" t="str">
        <f>IF($CF36=1,CB36,"")</f>
        <v/>
      </c>
      <c r="CP36" s="1" t="str">
        <f>IF($CF36=1,CC36,"")</f>
        <v/>
      </c>
      <c r="CQ36" s="1" t="str">
        <f>IF($CF36=1,CD36,"")</f>
        <v/>
      </c>
      <c r="CR36" s="1" t="str">
        <f>IF($CF36=1,CE36,"")</f>
        <v/>
      </c>
      <c r="CS36" s="3">
        <f>SUM(AE36:BO36)</f>
        <v>20</v>
      </c>
    </row>
    <row r="37" spans="1:97" x14ac:dyDescent="0.15">
      <c r="A37" s="1"/>
      <c r="B37" s="1" t="s">
        <v>199</v>
      </c>
      <c r="C37" s="1" t="s">
        <v>2</v>
      </c>
      <c r="D37" s="1" t="s">
        <v>198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>
        <v>10</v>
      </c>
      <c r="AS37" s="4"/>
      <c r="AT37" s="4"/>
      <c r="AU37" s="4"/>
      <c r="AV37" s="4"/>
      <c r="AW37" s="2"/>
      <c r="AX37" s="2"/>
      <c r="AY37" s="2"/>
      <c r="AZ37" s="2">
        <v>10</v>
      </c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>SUM(E37:BO37)</f>
        <v>20</v>
      </c>
      <c r="BQ37" s="1">
        <v>10</v>
      </c>
      <c r="BR37" s="17">
        <v>1</v>
      </c>
      <c r="BS37" s="17" t="s">
        <v>235</v>
      </c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3"/>
    </row>
    <row r="38" spans="1:97" x14ac:dyDescent="0.15">
      <c r="A38" s="40">
        <v>77</v>
      </c>
      <c r="B38" s="47" t="s">
        <v>153</v>
      </c>
      <c r="C38" s="47" t="s">
        <v>56</v>
      </c>
      <c r="D38" s="40" t="s">
        <v>12</v>
      </c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3"/>
      <c r="AR38" s="43"/>
      <c r="AS38" s="43"/>
      <c r="AT38" s="43">
        <v>20</v>
      </c>
      <c r="AU38" s="43"/>
      <c r="AV38" s="43"/>
      <c r="AW38" s="44">
        <v>20</v>
      </c>
      <c r="AX38" s="44">
        <v>20</v>
      </c>
      <c r="AY38" s="44"/>
      <c r="AZ38" s="44"/>
      <c r="BA38" s="44"/>
      <c r="BB38" s="44">
        <v>10</v>
      </c>
      <c r="BC38" s="45"/>
      <c r="BD38" s="40"/>
      <c r="BE38" s="40"/>
      <c r="BF38" s="40"/>
      <c r="BG38" s="40"/>
      <c r="BH38" s="40">
        <v>20</v>
      </c>
      <c r="BI38" s="40"/>
      <c r="BJ38" s="40"/>
      <c r="BK38" s="40"/>
      <c r="BL38" s="40"/>
      <c r="BM38" s="40"/>
      <c r="BN38" s="40"/>
      <c r="BO38" s="40"/>
      <c r="BP38" s="40">
        <f>SUM(E38:BO38)</f>
        <v>90</v>
      </c>
      <c r="BQ38" s="40">
        <v>13</v>
      </c>
      <c r="BR38" s="46">
        <v>1</v>
      </c>
      <c r="BS38" s="46" t="s">
        <v>233</v>
      </c>
      <c r="BT38" s="40" t="str">
        <f>IF(AQ38&gt;AQ$117, AQ38-AQ$117,"")</f>
        <v/>
      </c>
      <c r="BU38" s="40" t="str">
        <f>IF(AR38&gt;AR$117, AR38-AR$117,"")</f>
        <v/>
      </c>
      <c r="BV38" s="40" t="str">
        <f>IF(AS38&gt;AS$117, AS38-AS$117,"")</f>
        <v/>
      </c>
      <c r="BW38" s="40" t="str">
        <f>IF(AT38&gt;AT$117, AT38-AT$117,"")</f>
        <v/>
      </c>
      <c r="BX38" s="40" t="str">
        <f>IF(AU38&gt;AU$117, AU38-AU$117,"")</f>
        <v/>
      </c>
      <c r="BY38" s="40" t="str">
        <f>IF(AV38&gt;AV$117, AV38-AV$117,"")</f>
        <v/>
      </c>
      <c r="BZ38" s="40" t="str">
        <f>IF(AW38&gt;AW$117, AW38-AW$117,"")</f>
        <v/>
      </c>
      <c r="CA38" s="40" t="str">
        <f>IF(AX38&gt;AX$117, AX38-AX$117,"")</f>
        <v/>
      </c>
      <c r="CB38" s="40" t="str">
        <f>IF(AY38&gt;AY$117, AY38-AY$117,"")</f>
        <v/>
      </c>
      <c r="CC38" s="40" t="str">
        <f>IF(AZ38&gt;AZ$117, AZ38-AZ$117,"")</f>
        <v/>
      </c>
      <c r="CD38" s="40" t="str">
        <f>IF(BA38&gt;BA$117, BA38-BA$117,"")</f>
        <v/>
      </c>
      <c r="CE38" s="40" t="str">
        <f>IF(BB38&gt;BB$117, BB38-BB$117,"")</f>
        <v/>
      </c>
      <c r="CF38" s="40">
        <f>COUNTIF(BT38:CE38, "&gt;0")</f>
        <v>0</v>
      </c>
      <c r="CG38" s="40" t="str">
        <f>IF($CF38=1,BT38,"")</f>
        <v/>
      </c>
      <c r="CH38" s="40" t="str">
        <f>IF($CF38=1,BU38,"")</f>
        <v/>
      </c>
      <c r="CI38" s="40" t="str">
        <f>IF($CF38=1,BV38,"")</f>
        <v/>
      </c>
      <c r="CJ38" s="40" t="str">
        <f>IF($CF38=1,BW38,"")</f>
        <v/>
      </c>
      <c r="CK38" s="40" t="str">
        <f>IF($CF38=1,BX38,"")</f>
        <v/>
      </c>
      <c r="CL38" s="40" t="str">
        <f>IF($CF38=1,BY38,"")</f>
        <v/>
      </c>
      <c r="CM38" s="40" t="str">
        <f>IF($CF38=1,BZ38,"")</f>
        <v/>
      </c>
      <c r="CN38" s="40" t="str">
        <f>IF($CF38=1,CA38,"")</f>
        <v/>
      </c>
      <c r="CO38" s="40" t="str">
        <f>IF($CF38=1,CB38,"")</f>
        <v/>
      </c>
      <c r="CP38" s="40" t="str">
        <f>IF($CF38=1,CC38,"")</f>
        <v/>
      </c>
      <c r="CQ38" s="40" t="str">
        <f>IF($CF38=1,CD38,"")</f>
        <v/>
      </c>
      <c r="CR38" s="40" t="str">
        <f>IF($CF38=1,CE38,"")</f>
        <v/>
      </c>
      <c r="CS38" s="47">
        <f>SUM(AE38:BO38)</f>
        <v>90</v>
      </c>
    </row>
    <row r="39" spans="1:97" x14ac:dyDescent="0.15">
      <c r="A39" s="1"/>
      <c r="B39" s="1" t="s">
        <v>168</v>
      </c>
      <c r="C39" s="1" t="s">
        <v>92</v>
      </c>
      <c r="D39" s="1" t="s">
        <v>93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>
        <v>15</v>
      </c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>
        <v>15</v>
      </c>
      <c r="BC39" s="14"/>
      <c r="BD39" s="1"/>
      <c r="BE39" s="1"/>
      <c r="BF39" s="1"/>
      <c r="BG39" s="1"/>
      <c r="BH39" s="1">
        <v>15</v>
      </c>
      <c r="BI39" s="1">
        <v>15</v>
      </c>
      <c r="BJ39" s="1"/>
      <c r="BK39" s="1"/>
      <c r="BL39" s="1"/>
      <c r="BM39" s="1"/>
      <c r="BN39" s="1"/>
      <c r="BO39" s="1"/>
      <c r="BP39" s="1">
        <f>SUM(E39:BO39)</f>
        <v>60</v>
      </c>
      <c r="BQ39" s="1">
        <v>13</v>
      </c>
      <c r="BR39" s="17">
        <v>1</v>
      </c>
      <c r="BS39" s="17" t="s">
        <v>222</v>
      </c>
      <c r="BT39" s="1" t="str">
        <f>IF(AQ39&gt;AQ$117, AQ39-AQ$117,"")</f>
        <v/>
      </c>
      <c r="BU39" s="1" t="str">
        <f>IF(AR39&gt;AR$117, AR39-AR$117,"")</f>
        <v/>
      </c>
      <c r="BV39" s="1" t="str">
        <f>IF(AS39&gt;AS$117, AS39-AS$117,"")</f>
        <v/>
      </c>
      <c r="BW39" s="1" t="str">
        <f>IF(AT39&gt;AT$117, AT39-AT$117,"")</f>
        <v/>
      </c>
      <c r="BX39" s="1" t="str">
        <f>IF(AU39&gt;AU$117, AU39-AU$117,"")</f>
        <v/>
      </c>
      <c r="BY39" s="1" t="str">
        <f>IF(AV39&gt;AV$117, AV39-AV$117,"")</f>
        <v/>
      </c>
      <c r="BZ39" s="1" t="str">
        <f>IF(AW39&gt;AW$117, AW39-AW$117,"")</f>
        <v/>
      </c>
      <c r="CA39" s="1" t="str">
        <f>IF(AX39&gt;AX$117, AX39-AX$117,"")</f>
        <v/>
      </c>
      <c r="CB39" s="1" t="str">
        <f>IF(AY39&gt;AY$117, AY39-AY$117,"")</f>
        <v/>
      </c>
      <c r="CC39" s="1" t="str">
        <f>IF(AZ39&gt;AZ$117, AZ39-AZ$117,"")</f>
        <v/>
      </c>
      <c r="CD39" s="1" t="str">
        <f>IF(BA39&gt;BA$117, BA39-BA$117,"")</f>
        <v/>
      </c>
      <c r="CE39" s="1" t="str">
        <f>IF(BB39&gt;BB$117, BB39-BB$117,"")</f>
        <v/>
      </c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3"/>
    </row>
    <row r="40" spans="1:97" x14ac:dyDescent="0.15">
      <c r="A40" s="1"/>
      <c r="B40" s="1" t="s">
        <v>154</v>
      </c>
      <c r="C40" s="1" t="s">
        <v>108</v>
      </c>
      <c r="D40" s="1" t="s">
        <v>93</v>
      </c>
      <c r="E40" s="6"/>
      <c r="F40" s="6"/>
      <c r="G40" s="6"/>
      <c r="H40" s="6"/>
      <c r="I40" s="6"/>
      <c r="J40" s="6"/>
      <c r="K40" s="6"/>
      <c r="L40" s="6">
        <v>20</v>
      </c>
      <c r="M40" s="6"/>
      <c r="N40" s="6"/>
      <c r="O40" s="6">
        <v>20</v>
      </c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>
        <v>20</v>
      </c>
      <c r="BB40" s="2">
        <v>20</v>
      </c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>SUM(E40:BO40)</f>
        <v>80</v>
      </c>
      <c r="BQ40" s="1">
        <v>13</v>
      </c>
      <c r="BR40" s="17">
        <v>1</v>
      </c>
      <c r="BS40" s="17" t="s">
        <v>223</v>
      </c>
      <c r="BT40" s="1" t="str">
        <f>IF(AQ40&gt;AQ$117, AQ40-AQ$117,"")</f>
        <v/>
      </c>
      <c r="BU40" s="1" t="str">
        <f>IF(AR40&gt;AR$117, AR40-AR$117,"")</f>
        <v/>
      </c>
      <c r="BV40" s="1" t="str">
        <f>IF(AS40&gt;AS$117, AS40-AS$117,"")</f>
        <v/>
      </c>
      <c r="BW40" s="1" t="str">
        <f>IF(AT40&gt;AT$117, AT40-AT$117,"")</f>
        <v/>
      </c>
      <c r="BX40" s="1" t="str">
        <f>IF(AU40&gt;AU$117, AU40-AU$117,"")</f>
        <v/>
      </c>
      <c r="BY40" s="1" t="str">
        <f>IF(AV40&gt;AV$117, AV40-AV$117,"")</f>
        <v/>
      </c>
      <c r="BZ40" s="1" t="str">
        <f>IF(AW40&gt;AW$117, AW40-AW$117,"")</f>
        <v/>
      </c>
      <c r="CA40" s="1" t="str">
        <f>IF(AX40&gt;AX$117, AX40-AX$117,"")</f>
        <v/>
      </c>
      <c r="CB40" s="1" t="str">
        <f>IF(AY40&gt;AY$117, AY40-AY$117,"")</f>
        <v/>
      </c>
      <c r="CC40" s="1" t="str">
        <f>IF(AZ40&gt;AZ$117, AZ40-AZ$117,"")</f>
        <v/>
      </c>
      <c r="CD40" s="1" t="str">
        <f>IF(BA40&gt;BA$117, BA40-BA$117,"")</f>
        <v/>
      </c>
      <c r="CE40" s="1" t="str">
        <f>IF(BB40&gt;BB$117, BB40-BB$117,"")</f>
        <v/>
      </c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3"/>
    </row>
    <row r="41" spans="1:97" s="48" customFormat="1" x14ac:dyDescent="0.15">
      <c r="A41" s="40">
        <v>3</v>
      </c>
      <c r="B41" s="40" t="s">
        <v>10</v>
      </c>
      <c r="C41" s="40" t="s">
        <v>2</v>
      </c>
      <c r="D41" s="40" t="s">
        <v>11</v>
      </c>
      <c r="E41" s="41">
        <v>15</v>
      </c>
      <c r="F41" s="41"/>
      <c r="G41" s="41">
        <v>15</v>
      </c>
      <c r="H41" s="41"/>
      <c r="I41" s="41"/>
      <c r="J41" s="41"/>
      <c r="K41" s="41"/>
      <c r="L41" s="41"/>
      <c r="M41" s="41"/>
      <c r="N41" s="41"/>
      <c r="O41" s="41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3"/>
      <c r="AR41" s="43">
        <v>15</v>
      </c>
      <c r="AS41" s="43"/>
      <c r="AT41" s="43"/>
      <c r="AU41" s="43"/>
      <c r="AV41" s="43"/>
      <c r="AW41" s="44"/>
      <c r="AX41" s="44"/>
      <c r="AY41" s="44"/>
      <c r="AZ41" s="44"/>
      <c r="BA41" s="44"/>
      <c r="BB41" s="44">
        <v>15</v>
      </c>
      <c r="BC41" s="45"/>
      <c r="BD41" s="40"/>
      <c r="BE41" s="40"/>
      <c r="BF41" s="40"/>
      <c r="BG41" s="40"/>
      <c r="BH41" s="40"/>
      <c r="BI41" s="40"/>
      <c r="BJ41" s="40"/>
      <c r="BK41" s="40"/>
      <c r="BL41" s="40"/>
      <c r="BM41" s="40"/>
      <c r="BN41" s="40"/>
      <c r="BO41" s="40"/>
      <c r="BP41" s="40">
        <f>SUM(E41:BO41)</f>
        <v>60</v>
      </c>
      <c r="BQ41" s="40">
        <v>15</v>
      </c>
      <c r="BR41" s="46">
        <v>1</v>
      </c>
      <c r="BS41" s="46" t="s">
        <v>246</v>
      </c>
      <c r="BT41" s="40" t="str">
        <f>IF(AQ41&gt;AQ$117, AQ41-AQ$117,"")</f>
        <v/>
      </c>
      <c r="BU41" s="40" t="str">
        <f>IF(AR41&gt;AR$117, AR41-AR$117,"")</f>
        <v/>
      </c>
      <c r="BV41" s="40" t="str">
        <f>IF(AS41&gt;AS$117, AS41-AS$117,"")</f>
        <v/>
      </c>
      <c r="BW41" s="40" t="str">
        <f>IF(AT41&gt;AT$117, AT41-AT$117,"")</f>
        <v/>
      </c>
      <c r="BX41" s="40" t="str">
        <f>IF(AU41&gt;AU$117, AU41-AU$117,"")</f>
        <v/>
      </c>
      <c r="BY41" s="40" t="str">
        <f>IF(AV41&gt;AV$117, AV41-AV$117,"")</f>
        <v/>
      </c>
      <c r="BZ41" s="40" t="str">
        <f>IF(AW41&gt;AW$117, AW41-AW$117,"")</f>
        <v/>
      </c>
      <c r="CA41" s="40" t="str">
        <f>IF(AX41&gt;AX$117, AX41-AX$117,"")</f>
        <v/>
      </c>
      <c r="CB41" s="40" t="str">
        <f>IF(AY41&gt;AY$117, AY41-AY$117,"")</f>
        <v/>
      </c>
      <c r="CC41" s="40" t="str">
        <f>IF(AZ41&gt;AZ$117, AZ41-AZ$117,"")</f>
        <v/>
      </c>
      <c r="CD41" s="40" t="str">
        <f>IF(BA41&gt;BA$117, BA41-BA$117,"")</f>
        <v/>
      </c>
      <c r="CE41" s="40" t="str">
        <f>IF(BB41&gt;BB$117, BB41-BB$117,"")</f>
        <v/>
      </c>
      <c r="CF41" s="40">
        <f>COUNTIF(BT41:CE41, "&gt;0")</f>
        <v>0</v>
      </c>
      <c r="CG41" s="40" t="str">
        <f>IF($CF41=1,BT41,"")</f>
        <v/>
      </c>
      <c r="CH41" s="40" t="str">
        <f>IF($CF41=1,BU41,"")</f>
        <v/>
      </c>
      <c r="CI41" s="40" t="str">
        <f>IF($CF41=1,BV41,"")</f>
        <v/>
      </c>
      <c r="CJ41" s="40" t="str">
        <f>IF($CF41=1,BW41,"")</f>
        <v/>
      </c>
      <c r="CK41" s="40" t="str">
        <f>IF($CF41=1,BX41,"")</f>
        <v/>
      </c>
      <c r="CL41" s="40" t="str">
        <f>IF($CF41=1,BY41,"")</f>
        <v/>
      </c>
      <c r="CM41" s="40" t="str">
        <f>IF($CF41=1,BZ41,"")</f>
        <v/>
      </c>
      <c r="CN41" s="40" t="str">
        <f>IF($CF41=1,CA41,"")</f>
        <v/>
      </c>
      <c r="CO41" s="40" t="str">
        <f>IF($CF41=1,CB41,"")</f>
        <v/>
      </c>
      <c r="CP41" s="40" t="str">
        <f>IF($CF41=1,CC41,"")</f>
        <v/>
      </c>
      <c r="CQ41" s="40" t="str">
        <f>IF($CF41=1,CD41,"")</f>
        <v/>
      </c>
      <c r="CR41" s="40" t="str">
        <f>IF($CF41=1,CE41,"")</f>
        <v/>
      </c>
      <c r="CS41" s="47">
        <f>SUM(AE41:BO41)</f>
        <v>30</v>
      </c>
    </row>
    <row r="42" spans="1:97" x14ac:dyDescent="0.15">
      <c r="A42" s="1"/>
      <c r="B42" s="1" t="s">
        <v>158</v>
      </c>
      <c r="C42" s="1" t="s">
        <v>104</v>
      </c>
      <c r="D42" s="1" t="s">
        <v>93</v>
      </c>
      <c r="E42" s="6">
        <v>15</v>
      </c>
      <c r="F42" s="6"/>
      <c r="G42" s="6">
        <v>15</v>
      </c>
      <c r="H42" s="6"/>
      <c r="I42" s="6"/>
      <c r="J42" s="6"/>
      <c r="K42" s="6"/>
      <c r="L42" s="6"/>
      <c r="M42" s="6"/>
      <c r="N42" s="6"/>
      <c r="O42" s="6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>
        <v>15</v>
      </c>
      <c r="AS42" s="4"/>
      <c r="AT42" s="4"/>
      <c r="AU42" s="4"/>
      <c r="AV42" s="4"/>
      <c r="AW42" s="2"/>
      <c r="AX42" s="2"/>
      <c r="AY42" s="2"/>
      <c r="AZ42" s="2"/>
      <c r="BA42" s="2"/>
      <c r="BB42" s="2">
        <v>15</v>
      </c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>SUM(E42:BO42)</f>
        <v>60</v>
      </c>
      <c r="BQ42" s="1">
        <v>15</v>
      </c>
      <c r="BR42" s="17">
        <v>1</v>
      </c>
      <c r="BS42" s="17" t="s">
        <v>247</v>
      </c>
      <c r="BT42" s="1" t="str">
        <f>IF(AQ42&gt;AQ$117, AQ42-AQ$117,"")</f>
        <v/>
      </c>
      <c r="BU42" s="1" t="str">
        <f>IF(AR42&gt;AR$117, AR42-AR$117,"")</f>
        <v/>
      </c>
      <c r="BV42" s="1" t="str">
        <f>IF(AS42&gt;AS$117, AS42-AS$117,"")</f>
        <v/>
      </c>
      <c r="BW42" s="1" t="str">
        <f>IF(AT42&gt;AT$117, AT42-AT$117,"")</f>
        <v/>
      </c>
      <c r="BX42" s="1" t="str">
        <f>IF(AU42&gt;AU$117, AU42-AU$117,"")</f>
        <v/>
      </c>
      <c r="BY42" s="1" t="str">
        <f>IF(AV42&gt;AV$117, AV42-AV$117,"")</f>
        <v/>
      </c>
      <c r="BZ42" s="1" t="str">
        <f>IF(AW42&gt;AW$117, AW42-AW$117,"")</f>
        <v/>
      </c>
      <c r="CA42" s="1" t="str">
        <f>IF(AX42&gt;AX$117, AX42-AX$117,"")</f>
        <v/>
      </c>
      <c r="CB42" s="1" t="str">
        <f>IF(AY42&gt;AY$117, AY42-AY$117,"")</f>
        <v/>
      </c>
      <c r="CC42" s="1" t="str">
        <f>IF(AZ42&gt;AZ$117, AZ42-AZ$117,"")</f>
        <v/>
      </c>
      <c r="CD42" s="1" t="str">
        <f>IF(BA42&gt;BA$117, BA42-BA$117,"")</f>
        <v/>
      </c>
      <c r="CE42" s="1" t="str">
        <f>IF(BB42&gt;BB$117, BB42-BB$117,"")</f>
        <v/>
      </c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3"/>
    </row>
    <row r="43" spans="1:97" s="48" customFormat="1" x14ac:dyDescent="0.15">
      <c r="A43" s="40"/>
      <c r="B43" s="40" t="s">
        <v>160</v>
      </c>
      <c r="C43" s="40" t="s">
        <v>104</v>
      </c>
      <c r="D43" s="40" t="s">
        <v>93</v>
      </c>
      <c r="E43" s="41">
        <v>15</v>
      </c>
      <c r="F43" s="41"/>
      <c r="G43" s="41">
        <v>15</v>
      </c>
      <c r="H43" s="41"/>
      <c r="I43" s="41"/>
      <c r="J43" s="41"/>
      <c r="K43" s="41"/>
      <c r="L43" s="41"/>
      <c r="M43" s="41"/>
      <c r="N43" s="41"/>
      <c r="O43" s="41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3"/>
      <c r="AR43" s="43">
        <v>15</v>
      </c>
      <c r="AS43" s="43"/>
      <c r="AT43" s="43"/>
      <c r="AU43" s="43"/>
      <c r="AV43" s="43"/>
      <c r="AW43" s="44"/>
      <c r="AX43" s="44"/>
      <c r="AY43" s="44"/>
      <c r="AZ43" s="44"/>
      <c r="BA43" s="44"/>
      <c r="BB43" s="44">
        <v>15</v>
      </c>
      <c r="BC43" s="45"/>
      <c r="BD43" s="40"/>
      <c r="BE43" s="40"/>
      <c r="BF43" s="40"/>
      <c r="BG43" s="40"/>
      <c r="BH43" s="40"/>
      <c r="BI43" s="40"/>
      <c r="BJ43" s="40"/>
      <c r="BK43" s="40"/>
      <c r="BL43" s="40"/>
      <c r="BM43" s="40"/>
      <c r="BN43" s="40"/>
      <c r="BO43" s="40"/>
      <c r="BP43" s="40">
        <f>SUM(E43:BO43)</f>
        <v>60</v>
      </c>
      <c r="BQ43" s="40">
        <v>15</v>
      </c>
      <c r="BR43" s="46">
        <v>1</v>
      </c>
      <c r="BS43" s="46" t="s">
        <v>247</v>
      </c>
      <c r="BT43" s="40" t="str">
        <f>IF(AQ43&gt;AQ$117, AQ43-AQ$117,"")</f>
        <v/>
      </c>
      <c r="BU43" s="40" t="str">
        <f>IF(AR43&gt;AR$117, AR43-AR$117,"")</f>
        <v/>
      </c>
      <c r="BV43" s="40" t="str">
        <f>IF(AS43&gt;AS$117, AS43-AS$117,"")</f>
        <v/>
      </c>
      <c r="BW43" s="40" t="str">
        <f>IF(AT43&gt;AT$117, AT43-AT$117,"")</f>
        <v/>
      </c>
      <c r="BX43" s="40" t="str">
        <f>IF(AU43&gt;AU$117, AU43-AU$117,"")</f>
        <v/>
      </c>
      <c r="BY43" s="40" t="str">
        <f>IF(AV43&gt;AV$117, AV43-AV$117,"")</f>
        <v/>
      </c>
      <c r="BZ43" s="40" t="str">
        <f>IF(AW43&gt;AW$117, AW43-AW$117,"")</f>
        <v/>
      </c>
      <c r="CA43" s="40" t="str">
        <f>IF(AX43&gt;AX$117, AX43-AX$117,"")</f>
        <v/>
      </c>
      <c r="CB43" s="40" t="str">
        <f>IF(AY43&gt;AY$117, AY43-AY$117,"")</f>
        <v/>
      </c>
      <c r="CC43" s="40" t="str">
        <f>IF(AZ43&gt;AZ$117, AZ43-AZ$117,"")</f>
        <v/>
      </c>
      <c r="CD43" s="40" t="str">
        <f>IF(BA43&gt;BA$117, BA43-BA$117,"")</f>
        <v/>
      </c>
      <c r="CE43" s="40" t="str">
        <f>IF(BB43&gt;BB$117, BB43-BB$117,"")</f>
        <v/>
      </c>
      <c r="CF43" s="40"/>
      <c r="CG43" s="40"/>
      <c r="CH43" s="40"/>
      <c r="CI43" s="40"/>
      <c r="CJ43" s="40"/>
      <c r="CK43" s="40"/>
      <c r="CL43" s="40"/>
      <c r="CM43" s="40"/>
      <c r="CN43" s="40"/>
      <c r="CO43" s="40"/>
      <c r="CP43" s="40"/>
      <c r="CQ43" s="40"/>
      <c r="CR43" s="40"/>
      <c r="CS43" s="47"/>
    </row>
    <row r="44" spans="1:97" x14ac:dyDescent="0.15">
      <c r="A44" s="18">
        <v>64</v>
      </c>
      <c r="B44" s="24" t="s">
        <v>54</v>
      </c>
      <c r="C44" s="18" t="s">
        <v>49</v>
      </c>
      <c r="D44" s="18" t="s">
        <v>1</v>
      </c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18"/>
      <c r="AF44" s="18"/>
      <c r="AG44" s="18"/>
      <c r="AH44" s="18"/>
      <c r="AI44" s="18"/>
      <c r="AJ44" s="18"/>
      <c r="AK44" s="18"/>
      <c r="AL44" s="18"/>
      <c r="AM44" s="18"/>
      <c r="AN44" s="18">
        <v>15</v>
      </c>
      <c r="AO44" s="18"/>
      <c r="AP44" s="18"/>
      <c r="AQ44" s="20"/>
      <c r="AR44" s="20"/>
      <c r="AS44" s="20"/>
      <c r="AT44" s="20"/>
      <c r="AU44" s="20"/>
      <c r="AV44" s="20"/>
      <c r="AW44" s="21"/>
      <c r="AX44" s="21"/>
      <c r="AY44" s="21"/>
      <c r="AZ44" s="21"/>
      <c r="BA44" s="21"/>
      <c r="BB44" s="21"/>
      <c r="BC44" s="26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/>
      <c r="BP44" s="18">
        <f>SUM(E44:BO44)</f>
        <v>15</v>
      </c>
      <c r="BQ44" s="18">
        <v>15</v>
      </c>
      <c r="BR44" s="22">
        <v>1</v>
      </c>
      <c r="BS44" s="22" t="s">
        <v>252</v>
      </c>
      <c r="BT44" s="18" t="str">
        <f>IF(AQ44&gt;AQ$117, AQ44-AQ$117,"")</f>
        <v/>
      </c>
      <c r="BU44" s="18" t="str">
        <f>IF(AR44&gt;AR$117, AR44-AR$117,"")</f>
        <v/>
      </c>
      <c r="BV44" s="18" t="str">
        <f>IF(AS44&gt;AS$117, AS44-AS$117,"")</f>
        <v/>
      </c>
      <c r="BW44" s="18" t="str">
        <f>IF(AT44&gt;AT$117, AT44-AT$117,"")</f>
        <v/>
      </c>
      <c r="BX44" s="18" t="str">
        <f>IF(AU44&gt;AU$117, AU44-AU$117,"")</f>
        <v/>
      </c>
      <c r="BY44" s="18" t="str">
        <f>IF(AV44&gt;AV$117, AV44-AV$117,"")</f>
        <v/>
      </c>
      <c r="BZ44" s="18" t="str">
        <f>IF(AW44&gt;AW$117, AW44-AW$117,"")</f>
        <v/>
      </c>
      <c r="CA44" s="18" t="str">
        <f>IF(AX44&gt;AX$117, AX44-AX$117,"")</f>
        <v/>
      </c>
      <c r="CB44" s="18" t="str">
        <f>IF(AY44&gt;AY$117, AY44-AY$117,"")</f>
        <v/>
      </c>
      <c r="CC44" s="18" t="str">
        <f>IF(AZ44&gt;AZ$117, AZ44-AZ$117,"")</f>
        <v/>
      </c>
      <c r="CD44" s="18" t="str">
        <f>IF(BA44&gt;BA$117, BA44-BA$117,"")</f>
        <v/>
      </c>
      <c r="CE44" s="18" t="str">
        <f>IF(BB44&gt;BB$117, BB44-BB$117,"")</f>
        <v/>
      </c>
      <c r="CF44" s="18">
        <f>COUNTIF(BT44:CE44, "&gt;0")</f>
        <v>0</v>
      </c>
      <c r="CG44" s="18" t="str">
        <f>IF($CF44=1,BT44,"")</f>
        <v/>
      </c>
      <c r="CH44" s="18" t="str">
        <f>IF($CF44=1,BU44,"")</f>
        <v/>
      </c>
      <c r="CI44" s="18" t="str">
        <f>IF($CF44=1,BV44,"")</f>
        <v/>
      </c>
      <c r="CJ44" s="18" t="str">
        <f>IF($CF44=1,BW44,"")</f>
        <v/>
      </c>
      <c r="CK44" s="18" t="str">
        <f>IF($CF44=1,BX44,"")</f>
        <v/>
      </c>
      <c r="CL44" s="18" t="str">
        <f>IF($CF44=1,BY44,"")</f>
        <v/>
      </c>
      <c r="CM44" s="18" t="str">
        <f>IF($CF44=1,BZ44,"")</f>
        <v/>
      </c>
      <c r="CN44" s="18" t="str">
        <f>IF($CF44=1,CA44,"")</f>
        <v/>
      </c>
      <c r="CO44" s="18" t="str">
        <f>IF($CF44=1,CB44,"")</f>
        <v/>
      </c>
      <c r="CP44" s="18" t="str">
        <f>IF($CF44=1,CC44,"")</f>
        <v/>
      </c>
      <c r="CQ44" s="18" t="str">
        <f>IF($CF44=1,CD44,"")</f>
        <v/>
      </c>
      <c r="CR44" s="18" t="str">
        <f>IF($CF44=1,CE44,"")</f>
        <v/>
      </c>
      <c r="CS44" s="24">
        <f>SUM(AE44:BO44)</f>
        <v>15</v>
      </c>
    </row>
    <row r="45" spans="1:97" x14ac:dyDescent="0.15">
      <c r="A45" s="18">
        <v>65</v>
      </c>
      <c r="B45" s="24" t="s">
        <v>54</v>
      </c>
      <c r="C45" s="18" t="s">
        <v>49</v>
      </c>
      <c r="D45" s="18" t="s">
        <v>12</v>
      </c>
      <c r="E45" s="19"/>
      <c r="F45" s="19"/>
      <c r="G45" s="19">
        <v>10</v>
      </c>
      <c r="H45" s="19"/>
      <c r="I45" s="19"/>
      <c r="J45" s="19"/>
      <c r="K45" s="19"/>
      <c r="L45" s="19"/>
      <c r="M45" s="19"/>
      <c r="N45" s="19"/>
      <c r="O45" s="1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18"/>
      <c r="AF45" s="18"/>
      <c r="AG45" s="18"/>
      <c r="AH45" s="18"/>
      <c r="AI45" s="18"/>
      <c r="AJ45" s="18"/>
      <c r="AK45" s="18"/>
      <c r="AL45" s="18"/>
      <c r="AM45" s="18"/>
      <c r="AN45" s="18">
        <v>25</v>
      </c>
      <c r="AO45" s="18"/>
      <c r="AP45" s="18"/>
      <c r="AQ45" s="20"/>
      <c r="AR45" s="20"/>
      <c r="AS45" s="20"/>
      <c r="AT45" s="20"/>
      <c r="AU45" s="20"/>
      <c r="AV45" s="20">
        <v>10</v>
      </c>
      <c r="AW45" s="21"/>
      <c r="AX45" s="21"/>
      <c r="AY45" s="21"/>
      <c r="AZ45" s="21">
        <v>10</v>
      </c>
      <c r="BA45" s="21"/>
      <c r="BB45" s="21"/>
      <c r="BC45" s="26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>
        <f>SUM(E45:BO45)</f>
        <v>55</v>
      </c>
      <c r="BQ45" s="18">
        <v>25</v>
      </c>
      <c r="BR45" s="22">
        <v>1</v>
      </c>
      <c r="BS45" s="22" t="s">
        <v>253</v>
      </c>
      <c r="BT45" s="18" t="str">
        <f>IF(AQ45&gt;AQ$117, AQ45-AQ$117,"")</f>
        <v/>
      </c>
      <c r="BU45" s="18" t="str">
        <f>IF(AR45&gt;AR$117, AR45-AR$117,"")</f>
        <v/>
      </c>
      <c r="BV45" s="18" t="str">
        <f>IF(AS45&gt;AS$117, AS45-AS$117,"")</f>
        <v/>
      </c>
      <c r="BW45" s="18" t="str">
        <f>IF(AT45&gt;AT$117, AT45-AT$117,"")</f>
        <v/>
      </c>
      <c r="BX45" s="18" t="str">
        <f>IF(AU45&gt;AU$117, AU45-AU$117,"")</f>
        <v/>
      </c>
      <c r="BY45" s="18" t="str">
        <f>IF(AV45&gt;AV$117, AV45-AV$117,"")</f>
        <v/>
      </c>
      <c r="BZ45" s="18" t="str">
        <f>IF(AW45&gt;AW$117, AW45-AW$117,"")</f>
        <v/>
      </c>
      <c r="CA45" s="18" t="str">
        <f>IF(AX45&gt;AX$117, AX45-AX$117,"")</f>
        <v/>
      </c>
      <c r="CB45" s="18" t="str">
        <f>IF(AY45&gt;AY$117, AY45-AY$117,"")</f>
        <v/>
      </c>
      <c r="CC45" s="18" t="str">
        <f>IF(AZ45&gt;AZ$117, AZ45-AZ$117,"")</f>
        <v/>
      </c>
      <c r="CD45" s="18" t="str">
        <f>IF(BA45&gt;BA$117, BA45-BA$117,"")</f>
        <v/>
      </c>
      <c r="CE45" s="18" t="str">
        <f>IF(BB45&gt;BB$117, BB45-BB$117,"")</f>
        <v/>
      </c>
      <c r="CF45" s="18">
        <f>COUNTIF(BT45:CE45, "&gt;0")</f>
        <v>0</v>
      </c>
      <c r="CG45" s="18" t="str">
        <f>IF($CF45=1,BT45,"")</f>
        <v/>
      </c>
      <c r="CH45" s="18" t="str">
        <f>IF($CF45=1,BU45,"")</f>
        <v/>
      </c>
      <c r="CI45" s="18" t="str">
        <f>IF($CF45=1,BV45,"")</f>
        <v/>
      </c>
      <c r="CJ45" s="18" t="str">
        <f>IF($CF45=1,BW45,"")</f>
        <v/>
      </c>
      <c r="CK45" s="18" t="str">
        <f>IF($CF45=1,BX45,"")</f>
        <v/>
      </c>
      <c r="CL45" s="18" t="str">
        <f>IF($CF45=1,BY45,"")</f>
        <v/>
      </c>
      <c r="CM45" s="18" t="str">
        <f>IF($CF45=1,BZ45,"")</f>
        <v/>
      </c>
      <c r="CN45" s="18" t="str">
        <f>IF($CF45=1,CA45,"")</f>
        <v/>
      </c>
      <c r="CO45" s="18" t="str">
        <f>IF($CF45=1,CB45,"")</f>
        <v/>
      </c>
      <c r="CP45" s="18" t="str">
        <f>IF($CF45=1,CC45,"")</f>
        <v/>
      </c>
      <c r="CQ45" s="18" t="str">
        <f>IF($CF45=1,CD45,"")</f>
        <v/>
      </c>
      <c r="CR45" s="18" t="str">
        <f>IF($CF45=1,CE45,"")</f>
        <v/>
      </c>
      <c r="CS45" s="24">
        <f>SUM(AE45:BO45)</f>
        <v>45</v>
      </c>
    </row>
    <row r="46" spans="1:97" x14ac:dyDescent="0.15">
      <c r="A46" s="1">
        <v>98</v>
      </c>
      <c r="B46" s="3" t="s">
        <v>155</v>
      </c>
      <c r="C46" s="3" t="s">
        <v>60</v>
      </c>
      <c r="D46" s="1" t="s">
        <v>1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1">
        <v>50</v>
      </c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>
        <f>SUM(E46:BO46)</f>
        <v>50</v>
      </c>
      <c r="BQ46" s="1">
        <v>47</v>
      </c>
      <c r="BR46" s="17">
        <v>1</v>
      </c>
      <c r="BS46" s="17" t="s">
        <v>254</v>
      </c>
      <c r="BT46" s="1" t="str">
        <f>IF(AQ46&gt;AQ$117, AQ46-AQ$117,"")</f>
        <v/>
      </c>
      <c r="BU46" s="1" t="str">
        <f>IF(AR46&gt;AR$117, AR46-AR$117,"")</f>
        <v/>
      </c>
      <c r="BV46" s="1" t="str">
        <f>IF(AS46&gt;AS$117, AS46-AS$117,"")</f>
        <v/>
      </c>
      <c r="BW46" s="1" t="str">
        <f>IF(AT46&gt;AT$117, AT46-AT$117,"")</f>
        <v/>
      </c>
      <c r="BX46" s="1" t="str">
        <f>IF(AU46&gt;AU$117, AU46-AU$117,"")</f>
        <v/>
      </c>
      <c r="BY46" s="1" t="str">
        <f>IF(AV46&gt;AV$117, AV46-AV$117,"")</f>
        <v/>
      </c>
      <c r="BZ46" s="1" t="str">
        <f>IF(AW46&gt;AW$117, AW46-AW$117,"")</f>
        <v/>
      </c>
      <c r="CA46" s="1" t="str">
        <f>IF(AX46&gt;AX$117, AX46-AX$117,"")</f>
        <v/>
      </c>
      <c r="CB46" s="1" t="str">
        <f>IF(AY46&gt;AY$117, AY46-AY$117,"")</f>
        <v/>
      </c>
      <c r="CC46" s="1" t="str">
        <f>IF(AZ46&gt;AZ$117, AZ46-AZ$117,"")</f>
        <v/>
      </c>
      <c r="CD46" s="1" t="str">
        <f>IF(BA46&gt;BA$117, BA46-BA$117,"")</f>
        <v/>
      </c>
      <c r="CE46" s="1" t="str">
        <f>IF(BB46&gt;BB$117, BB46-BB$117,"")</f>
        <v/>
      </c>
      <c r="CF46" s="1">
        <f>COUNTIF(BT46:CE46, "&gt;0")</f>
        <v>0</v>
      </c>
      <c r="CG46" s="1" t="str">
        <f>IF($CF46=1,BT46,"")</f>
        <v/>
      </c>
      <c r="CH46" s="1" t="str">
        <f>IF($CF46=1,BU46,"")</f>
        <v/>
      </c>
      <c r="CI46" s="1" t="str">
        <f>IF($CF46=1,BV46,"")</f>
        <v/>
      </c>
      <c r="CJ46" s="1" t="str">
        <f>IF($CF46=1,BW46,"")</f>
        <v/>
      </c>
      <c r="CK46" s="1" t="str">
        <f>IF($CF46=1,BX46,"")</f>
        <v/>
      </c>
      <c r="CL46" s="1" t="str">
        <f>IF($CF46=1,BY46,"")</f>
        <v/>
      </c>
      <c r="CM46" s="1" t="str">
        <f>IF($CF46=1,BZ46,"")</f>
        <v/>
      </c>
      <c r="CN46" s="1" t="str">
        <f>IF($CF46=1,CA46,"")</f>
        <v/>
      </c>
      <c r="CO46" s="1" t="str">
        <f>IF($CF46=1,CB46,"")</f>
        <v/>
      </c>
      <c r="CP46" s="1" t="str">
        <f>IF($CF46=1,CC46,"")</f>
        <v/>
      </c>
      <c r="CQ46" s="1" t="str">
        <f>IF($CF46=1,CD46,"")</f>
        <v/>
      </c>
      <c r="CR46" s="1" t="str">
        <f>IF($CF46=1,CE46,"")</f>
        <v/>
      </c>
      <c r="CS46" s="3">
        <f>SUM(AE46:BO46)</f>
        <v>50</v>
      </c>
    </row>
    <row r="47" spans="1:97" x14ac:dyDescent="0.15">
      <c r="A47" s="1">
        <v>99</v>
      </c>
      <c r="B47" s="3" t="s">
        <v>155</v>
      </c>
      <c r="C47" s="3" t="s">
        <v>60</v>
      </c>
      <c r="D47" s="1" t="s">
        <v>12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1">
        <v>200</v>
      </c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>SUM(E47:BO47)</f>
        <v>200</v>
      </c>
      <c r="BQ47" s="1">
        <v>197</v>
      </c>
      <c r="BR47" s="17">
        <v>1</v>
      </c>
      <c r="BS47" s="17" t="s">
        <v>224</v>
      </c>
      <c r="BT47" s="1" t="str">
        <f>IF(AQ47&gt;AQ$117, AQ47-AQ$117,"")</f>
        <v/>
      </c>
      <c r="BU47" s="1" t="str">
        <f>IF(AR47&gt;AR$117, AR47-AR$117,"")</f>
        <v/>
      </c>
      <c r="BV47" s="1" t="str">
        <f>IF(AS47&gt;AS$117, AS47-AS$117,"")</f>
        <v/>
      </c>
      <c r="BW47" s="1" t="str">
        <f>IF(AT47&gt;AT$117, AT47-AT$117,"")</f>
        <v/>
      </c>
      <c r="BX47" s="1" t="str">
        <f>IF(AU47&gt;AU$117, AU47-AU$117,"")</f>
        <v/>
      </c>
      <c r="BY47" s="1" t="str">
        <f>IF(AV47&gt;AV$117, AV47-AV$117,"")</f>
        <v/>
      </c>
      <c r="BZ47" s="1" t="str">
        <f>IF(AW47&gt;AW$117, AW47-AW$117,"")</f>
        <v/>
      </c>
      <c r="CA47" s="1" t="str">
        <f>IF(AX47&gt;AX$117, AX47-AX$117,"")</f>
        <v/>
      </c>
      <c r="CB47" s="1" t="str">
        <f>IF(AY47&gt;AY$117, AY47-AY$117,"")</f>
        <v/>
      </c>
      <c r="CC47" s="1" t="str">
        <f>IF(AZ47&gt;AZ$117, AZ47-AZ$117,"")</f>
        <v/>
      </c>
      <c r="CD47" s="1" t="str">
        <f>IF(BA47&gt;BA$117, BA47-BA$117,"")</f>
        <v/>
      </c>
      <c r="CE47" s="1" t="str">
        <f>IF(BB47&gt;BB$117, BB47-BB$117,"")</f>
        <v/>
      </c>
      <c r="CF47" s="1">
        <f>COUNTIF(BT47:CE47, "&gt;0")</f>
        <v>0</v>
      </c>
      <c r="CG47" s="1" t="str">
        <f>IF($CF47=1,BT47,"")</f>
        <v/>
      </c>
      <c r="CH47" s="1" t="str">
        <f>IF($CF47=1,BU47,"")</f>
        <v/>
      </c>
      <c r="CI47" s="1" t="str">
        <f>IF($CF47=1,BV47,"")</f>
        <v/>
      </c>
      <c r="CJ47" s="1" t="str">
        <f>IF($CF47=1,BW47,"")</f>
        <v/>
      </c>
      <c r="CK47" s="1" t="str">
        <f>IF($CF47=1,BX47,"")</f>
        <v/>
      </c>
      <c r="CL47" s="1" t="str">
        <f>IF($CF47=1,BY47,"")</f>
        <v/>
      </c>
      <c r="CM47" s="1" t="str">
        <f>IF($CF47=1,BZ47,"")</f>
        <v/>
      </c>
      <c r="CN47" s="1" t="str">
        <f>IF($CF47=1,CA47,"")</f>
        <v/>
      </c>
      <c r="CO47" s="1" t="str">
        <f>IF($CF47=1,CB47,"")</f>
        <v/>
      </c>
      <c r="CP47" s="1" t="str">
        <f>IF($CF47=1,CC47,"")</f>
        <v/>
      </c>
      <c r="CQ47" s="1" t="str">
        <f>IF($CF47=1,CD47,"")</f>
        <v/>
      </c>
      <c r="CR47" s="1" t="str">
        <f>IF($CF47=1,CE47,"")</f>
        <v/>
      </c>
      <c r="CS47" s="3">
        <f>SUM(AE47:BO47)</f>
        <v>200</v>
      </c>
    </row>
    <row r="48" spans="1:97" ht="27" x14ac:dyDescent="0.15">
      <c r="A48" s="1"/>
      <c r="B48" s="1" t="s">
        <v>103</v>
      </c>
      <c r="C48" s="1" t="s">
        <v>96</v>
      </c>
      <c r="D48" s="1" t="s">
        <v>93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>
        <v>5</v>
      </c>
      <c r="AP48" s="1">
        <v>1</v>
      </c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>SUM(E48:BO48)</f>
        <v>6</v>
      </c>
      <c r="BQ48" s="1">
        <v>6</v>
      </c>
      <c r="BR48" s="17">
        <v>2</v>
      </c>
      <c r="BS48" s="17" t="s">
        <v>225</v>
      </c>
      <c r="BT48" s="1" t="str">
        <f>IF(AQ48&gt;AQ$117, AQ48-AQ$117,"")</f>
        <v/>
      </c>
      <c r="BU48" s="1" t="str">
        <f>IF(AR48&gt;AR$117, AR48-AR$117,"")</f>
        <v/>
      </c>
      <c r="BV48" s="1" t="str">
        <f>IF(AS48&gt;AS$117, AS48-AS$117,"")</f>
        <v/>
      </c>
      <c r="BW48" s="1" t="str">
        <f>IF(AT48&gt;AT$117, AT48-AT$117,"")</f>
        <v/>
      </c>
      <c r="BX48" s="1" t="str">
        <f>IF(AU48&gt;AU$117, AU48-AU$117,"")</f>
        <v/>
      </c>
      <c r="BY48" s="1" t="str">
        <f>IF(AV48&gt;AV$117, AV48-AV$117,"")</f>
        <v/>
      </c>
      <c r="BZ48" s="1" t="str">
        <f>IF(AW48&gt;AW$117, AW48-AW$117,"")</f>
        <v/>
      </c>
      <c r="CA48" s="1" t="str">
        <f>IF(AX48&gt;AX$117, AX48-AX$117,"")</f>
        <v/>
      </c>
      <c r="CB48" s="1" t="str">
        <f>IF(AY48&gt;AY$117, AY48-AY$117,"")</f>
        <v/>
      </c>
      <c r="CC48" s="1" t="str">
        <f>IF(AZ48&gt;AZ$117, AZ48-AZ$117,"")</f>
        <v/>
      </c>
      <c r="CD48" s="1" t="str">
        <f>IF(BA48&gt;BA$117, BA48-BA$117,"")</f>
        <v/>
      </c>
      <c r="CE48" s="1" t="str">
        <f>IF(BB48&gt;BB$117, BB48-BB$117,"")</f>
        <v/>
      </c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3"/>
    </row>
    <row r="49" spans="1:97" ht="27" x14ac:dyDescent="0.15">
      <c r="A49" s="1"/>
      <c r="B49" s="1" t="s">
        <v>196</v>
      </c>
      <c r="C49" s="1" t="s">
        <v>28</v>
      </c>
      <c r="D49" s="1" t="s">
        <v>22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>
        <v>5</v>
      </c>
      <c r="AP49" s="1">
        <v>1</v>
      </c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>SUM(E49:BO49)</f>
        <v>6</v>
      </c>
      <c r="BQ49" s="1">
        <v>6</v>
      </c>
      <c r="BR49" s="17">
        <v>2</v>
      </c>
      <c r="BS49" s="17" t="s">
        <v>225</v>
      </c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3"/>
    </row>
    <row r="50" spans="1:97" ht="27" x14ac:dyDescent="0.15">
      <c r="A50" s="1"/>
      <c r="B50" s="1" t="s">
        <v>99</v>
      </c>
      <c r="C50" s="1" t="s">
        <v>96</v>
      </c>
      <c r="D50" s="1" t="s">
        <v>100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>
        <v>3</v>
      </c>
      <c r="AP50" s="1">
        <v>5</v>
      </c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>SUM(E50:BO50)</f>
        <v>8</v>
      </c>
      <c r="BQ50" s="1">
        <v>8</v>
      </c>
      <c r="BR50" s="17">
        <v>2</v>
      </c>
      <c r="BS50" s="17" t="s">
        <v>255</v>
      </c>
      <c r="BT50" s="1" t="str">
        <f>IF(AQ50&gt;AQ$117, AQ50-AQ$117,"")</f>
        <v/>
      </c>
      <c r="BU50" s="1" t="str">
        <f>IF(AR50&gt;AR$117, AR50-AR$117,"")</f>
        <v/>
      </c>
      <c r="BV50" s="1" t="str">
        <f>IF(AS50&gt;AS$117, AS50-AS$117,"")</f>
        <v/>
      </c>
      <c r="BW50" s="1" t="str">
        <f>IF(AT50&gt;AT$117, AT50-AT$117,"")</f>
        <v/>
      </c>
      <c r="BX50" s="1" t="str">
        <f>IF(AU50&gt;AU$117, AU50-AU$117,"")</f>
        <v/>
      </c>
      <c r="BY50" s="1" t="str">
        <f>IF(AV50&gt;AV$117, AV50-AV$117,"")</f>
        <v/>
      </c>
      <c r="BZ50" s="1" t="str">
        <f>IF(AW50&gt;AW$117, AW50-AW$117,"")</f>
        <v/>
      </c>
      <c r="CA50" s="1" t="str">
        <f>IF(AX50&gt;AX$117, AX50-AX$117,"")</f>
        <v/>
      </c>
      <c r="CB50" s="1" t="str">
        <f>IF(AY50&gt;AY$117, AY50-AY$117,"")</f>
        <v/>
      </c>
      <c r="CC50" s="1" t="str">
        <f>IF(AZ50&gt;AZ$117, AZ50-AZ$117,"")</f>
        <v/>
      </c>
      <c r="CD50" s="1" t="str">
        <f>IF(BA50&gt;BA$117, BA50-BA$117,"")</f>
        <v/>
      </c>
      <c r="CE50" s="1" t="str">
        <f>IF(BB50&gt;BB$117, BB50-BB$117,"")</f>
        <v/>
      </c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3"/>
    </row>
    <row r="51" spans="1:97" ht="27" x14ac:dyDescent="0.15">
      <c r="A51" s="1"/>
      <c r="B51" s="1" t="s">
        <v>121</v>
      </c>
      <c r="C51" s="1" t="s">
        <v>109</v>
      </c>
      <c r="D51" s="1" t="s">
        <v>111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28"/>
      <c r="Q51" s="28">
        <v>5</v>
      </c>
      <c r="R51" s="28">
        <v>2</v>
      </c>
      <c r="S51" s="28"/>
      <c r="T51" s="28">
        <v>5</v>
      </c>
      <c r="U51" s="28"/>
      <c r="V51" s="28"/>
      <c r="W51" s="28"/>
      <c r="X51" s="28"/>
      <c r="Y51" s="28"/>
      <c r="Z51" s="28">
        <v>5</v>
      </c>
      <c r="AA51" s="28"/>
      <c r="AB51" s="28"/>
      <c r="AC51" s="28"/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>SUM(E51:BO51)</f>
        <v>17</v>
      </c>
      <c r="BQ51" s="1">
        <v>8</v>
      </c>
      <c r="BR51" s="17">
        <v>2</v>
      </c>
      <c r="BS51" s="17" t="s">
        <v>201</v>
      </c>
      <c r="BT51" s="1" t="str">
        <f>IF(AQ51&gt;AQ$117, AQ51-AQ$117,"")</f>
        <v/>
      </c>
      <c r="BU51" s="1" t="str">
        <f>IF(AR51&gt;AR$117, AR51-AR$117,"")</f>
        <v/>
      </c>
      <c r="BV51" s="1" t="str">
        <f>IF(AS51&gt;AS$117, AS51-AS$117,"")</f>
        <v/>
      </c>
      <c r="BW51" s="1" t="str">
        <f>IF(AT51&gt;AT$117, AT51-AT$117,"")</f>
        <v/>
      </c>
      <c r="BX51" s="1" t="str">
        <f>IF(AU51&gt;AU$117, AU51-AU$117,"")</f>
        <v/>
      </c>
      <c r="BY51" s="1" t="str">
        <f>IF(AV51&gt;AV$117, AV51-AV$117,"")</f>
        <v/>
      </c>
      <c r="BZ51" s="1" t="str">
        <f>IF(AW51&gt;AW$117, AW51-AW$117,"")</f>
        <v/>
      </c>
      <c r="CA51" s="1" t="str">
        <f>IF(AX51&gt;AX$117, AX51-AX$117,"")</f>
        <v/>
      </c>
      <c r="CB51" s="1" t="str">
        <f>IF(AY51&gt;AY$117, AY51-AY$117,"")</f>
        <v/>
      </c>
      <c r="CC51" s="1" t="str">
        <f>IF(AZ51&gt;AZ$117, AZ51-AZ$117,"")</f>
        <v/>
      </c>
      <c r="CD51" s="1" t="str">
        <f>IF(BA51&gt;BA$117, BA51-BA$117,"")</f>
        <v/>
      </c>
      <c r="CE51" s="1" t="str">
        <f>IF(BB51&gt;BB$117, BB51-BB$117,"")</f>
        <v/>
      </c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3"/>
    </row>
    <row r="52" spans="1:97" ht="27" x14ac:dyDescent="0.15">
      <c r="A52" s="1"/>
      <c r="B52" s="1" t="s">
        <v>126</v>
      </c>
      <c r="C52" s="1" t="s">
        <v>109</v>
      </c>
      <c r="D52" s="1" t="s">
        <v>111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/>
      <c r="Q52" s="28">
        <v>5</v>
      </c>
      <c r="R52" s="28">
        <v>2</v>
      </c>
      <c r="S52" s="28"/>
      <c r="T52" s="28">
        <v>5</v>
      </c>
      <c r="U52" s="28"/>
      <c r="V52" s="28"/>
      <c r="W52" s="28"/>
      <c r="X52" s="28"/>
      <c r="Y52" s="28"/>
      <c r="Z52" s="28">
        <v>5</v>
      </c>
      <c r="AA52" s="28"/>
      <c r="AB52" s="28"/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>SUM(E52:BO52)</f>
        <v>17</v>
      </c>
      <c r="BQ52" s="1">
        <v>8</v>
      </c>
      <c r="BR52" s="17">
        <v>2</v>
      </c>
      <c r="BS52" s="17" t="s">
        <v>256</v>
      </c>
      <c r="BT52" s="1" t="str">
        <f>IF(AQ52&gt;AQ$117, AQ52-AQ$117,"")</f>
        <v/>
      </c>
      <c r="BU52" s="1" t="str">
        <f>IF(AR52&gt;AR$117, AR52-AR$117,"")</f>
        <v/>
      </c>
      <c r="BV52" s="1" t="str">
        <f>IF(AS52&gt;AS$117, AS52-AS$117,"")</f>
        <v/>
      </c>
      <c r="BW52" s="1" t="str">
        <f>IF(AT52&gt;AT$117, AT52-AT$117,"")</f>
        <v/>
      </c>
      <c r="BX52" s="1" t="str">
        <f>IF(AU52&gt;AU$117, AU52-AU$117,"")</f>
        <v/>
      </c>
      <c r="BY52" s="1" t="str">
        <f>IF(AV52&gt;AV$117, AV52-AV$117,"")</f>
        <v/>
      </c>
      <c r="BZ52" s="1" t="str">
        <f>IF(AW52&gt;AW$117, AW52-AW$117,"")</f>
        <v/>
      </c>
      <c r="CA52" s="1" t="str">
        <f>IF(AX52&gt;AX$117, AX52-AX$117,"")</f>
        <v/>
      </c>
      <c r="CB52" s="1" t="str">
        <f>IF(AY52&gt;AY$117, AY52-AY$117,"")</f>
        <v/>
      </c>
      <c r="CC52" s="1" t="str">
        <f>IF(AZ52&gt;AZ$117, AZ52-AZ$117,"")</f>
        <v/>
      </c>
      <c r="CD52" s="1" t="str">
        <f>IF(BA52&gt;BA$117, BA52-BA$117,"")</f>
        <v/>
      </c>
      <c r="CE52" s="1" t="str">
        <f>IF(BB52&gt;BB$117, BB52-BB$117,"")</f>
        <v/>
      </c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3"/>
    </row>
    <row r="53" spans="1:97" ht="27" x14ac:dyDescent="0.15">
      <c r="A53" s="1"/>
      <c r="B53" s="1" t="s">
        <v>134</v>
      </c>
      <c r="C53" s="1" t="s">
        <v>132</v>
      </c>
      <c r="D53" s="1" t="s">
        <v>111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/>
      <c r="Q53" s="28">
        <v>5</v>
      </c>
      <c r="R53" s="28">
        <v>2</v>
      </c>
      <c r="S53" s="28"/>
      <c r="T53" s="28">
        <v>5</v>
      </c>
      <c r="U53" s="28"/>
      <c r="V53" s="28"/>
      <c r="W53" s="28"/>
      <c r="X53" s="28"/>
      <c r="Y53" s="28"/>
      <c r="Z53" s="28">
        <v>5</v>
      </c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>SUM(E53:BO53)</f>
        <v>17</v>
      </c>
      <c r="BQ53" s="1">
        <v>8</v>
      </c>
      <c r="BR53" s="17">
        <v>2</v>
      </c>
      <c r="BS53" s="17" t="s">
        <v>256</v>
      </c>
      <c r="BT53" s="1" t="str">
        <f>IF(AQ53&gt;AQ$117, AQ53-AQ$117,"")</f>
        <v/>
      </c>
      <c r="BU53" s="1" t="str">
        <f>IF(AR53&gt;AR$117, AR53-AR$117,"")</f>
        <v/>
      </c>
      <c r="BV53" s="1" t="str">
        <f>IF(AS53&gt;AS$117, AS53-AS$117,"")</f>
        <v/>
      </c>
      <c r="BW53" s="1" t="str">
        <f>IF(AT53&gt;AT$117, AT53-AT$117,"")</f>
        <v/>
      </c>
      <c r="BX53" s="1" t="str">
        <f>IF(AU53&gt;AU$117, AU53-AU$117,"")</f>
        <v/>
      </c>
      <c r="BY53" s="1" t="str">
        <f>IF(AV53&gt;AV$117, AV53-AV$117,"")</f>
        <v/>
      </c>
      <c r="BZ53" s="1" t="str">
        <f>IF(AW53&gt;AW$117, AW53-AW$117,"")</f>
        <v/>
      </c>
      <c r="CA53" s="1" t="str">
        <f>IF(AX53&gt;AX$117, AX53-AX$117,"")</f>
        <v/>
      </c>
      <c r="CB53" s="1" t="str">
        <f>IF(AY53&gt;AY$117, AY53-AY$117,"")</f>
        <v/>
      </c>
      <c r="CC53" s="1" t="str">
        <f>IF(AZ53&gt;AZ$117, AZ53-AZ$117,"")</f>
        <v/>
      </c>
      <c r="CD53" s="1" t="str">
        <f>IF(BA53&gt;BA$117, BA53-BA$117,"")</f>
        <v/>
      </c>
      <c r="CE53" s="1" t="str">
        <f>IF(BB53&gt;BB$117, BB53-BB$117,"")</f>
        <v/>
      </c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3"/>
    </row>
    <row r="54" spans="1:97" ht="27" x14ac:dyDescent="0.15">
      <c r="A54" s="1"/>
      <c r="B54" s="1" t="s">
        <v>136</v>
      </c>
      <c r="C54" s="1" t="s">
        <v>137</v>
      </c>
      <c r="D54" s="1" t="s">
        <v>111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/>
      <c r="Q54" s="28">
        <v>5</v>
      </c>
      <c r="R54" s="28"/>
      <c r="S54" s="28"/>
      <c r="T54" s="28">
        <v>5</v>
      </c>
      <c r="U54" s="28"/>
      <c r="V54" s="28"/>
      <c r="W54" s="28"/>
      <c r="X54" s="28">
        <v>2</v>
      </c>
      <c r="Y54" s="28"/>
      <c r="Z54" s="28">
        <v>5</v>
      </c>
      <c r="AA54" s="28"/>
      <c r="AB54" s="28"/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>SUM(E54:BO54)</f>
        <v>17</v>
      </c>
      <c r="BQ54" s="1">
        <v>8</v>
      </c>
      <c r="BR54" s="17">
        <v>2</v>
      </c>
      <c r="BS54" s="17" t="s">
        <v>201</v>
      </c>
      <c r="BT54" s="1" t="str">
        <f>IF(AQ54&gt;AQ$117, AQ54-AQ$117,"")</f>
        <v/>
      </c>
      <c r="BU54" s="1" t="str">
        <f>IF(AR54&gt;AR$117, AR54-AR$117,"")</f>
        <v/>
      </c>
      <c r="BV54" s="1" t="str">
        <f>IF(AS54&gt;AS$117, AS54-AS$117,"")</f>
        <v/>
      </c>
      <c r="BW54" s="1" t="str">
        <f>IF(AT54&gt;AT$117, AT54-AT$117,"")</f>
        <v/>
      </c>
      <c r="BX54" s="1" t="str">
        <f>IF(AU54&gt;AU$117, AU54-AU$117,"")</f>
        <v/>
      </c>
      <c r="BY54" s="1" t="str">
        <f>IF(AV54&gt;AV$117, AV54-AV$117,"")</f>
        <v/>
      </c>
      <c r="BZ54" s="1" t="str">
        <f>IF(AW54&gt;AW$117, AW54-AW$117,"")</f>
        <v/>
      </c>
      <c r="CA54" s="1" t="str">
        <f>IF(AX54&gt;AX$117, AX54-AX$117,"")</f>
        <v/>
      </c>
      <c r="CB54" s="1" t="str">
        <f>IF(AY54&gt;AY$117, AY54-AY$117,"")</f>
        <v/>
      </c>
      <c r="CC54" s="1" t="str">
        <f>IF(AZ54&gt;AZ$117, AZ54-AZ$117,"")</f>
        <v/>
      </c>
      <c r="CD54" s="1" t="str">
        <f>IF(BA54&gt;BA$117, BA54-BA$117,"")</f>
        <v/>
      </c>
      <c r="CE54" s="1" t="str">
        <f>IF(BB54&gt;BB$117, BB54-BB$117,"")</f>
        <v/>
      </c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3"/>
    </row>
    <row r="55" spans="1:97" ht="27" x14ac:dyDescent="0.15">
      <c r="A55" s="1">
        <v>14</v>
      </c>
      <c r="B55" s="1" t="s">
        <v>27</v>
      </c>
      <c r="C55" s="1" t="s">
        <v>28</v>
      </c>
      <c r="D55" s="1" t="s">
        <v>29</v>
      </c>
      <c r="E55" s="6"/>
      <c r="F55" s="6"/>
      <c r="G55" s="6">
        <v>15</v>
      </c>
      <c r="H55" s="6">
        <v>15</v>
      </c>
      <c r="I55" s="6"/>
      <c r="J55" s="6"/>
      <c r="K55" s="6"/>
      <c r="L55" s="6"/>
      <c r="M55" s="6"/>
      <c r="N55" s="6"/>
      <c r="O55" s="6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>
        <v>15</v>
      </c>
      <c r="AT55" s="4"/>
      <c r="AU55" s="4"/>
      <c r="AV55" s="4"/>
      <c r="AW55" s="2"/>
      <c r="AX55" s="2"/>
      <c r="AY55" s="2"/>
      <c r="AZ55" s="2"/>
      <c r="BA55" s="2"/>
      <c r="BB55" s="2">
        <v>15</v>
      </c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>SUM(E55:BO55)</f>
        <v>60</v>
      </c>
      <c r="BQ55" s="1">
        <v>8</v>
      </c>
      <c r="BR55" s="17">
        <v>2</v>
      </c>
      <c r="BS55" s="17" t="s">
        <v>258</v>
      </c>
      <c r="BT55" s="1" t="str">
        <f>IF(AQ55&gt;AQ$117, AQ55-AQ$117,"")</f>
        <v/>
      </c>
      <c r="BU55" s="1" t="str">
        <f>IF(AR55&gt;AR$117, AR55-AR$117,"")</f>
        <v/>
      </c>
      <c r="BV55" s="1" t="str">
        <f>IF(AS55&gt;AS$117, AS55-AS$117,"")</f>
        <v/>
      </c>
      <c r="BW55" s="1" t="str">
        <f>IF(AT55&gt;AT$117, AT55-AT$117,"")</f>
        <v/>
      </c>
      <c r="BX55" s="1" t="str">
        <f>IF(AU55&gt;AU$117, AU55-AU$117,"")</f>
        <v/>
      </c>
      <c r="BY55" s="1" t="str">
        <f>IF(AV55&gt;AV$117, AV55-AV$117,"")</f>
        <v/>
      </c>
      <c r="BZ55" s="1" t="str">
        <f>IF(AW55&gt;AW$117, AW55-AW$117,"")</f>
        <v/>
      </c>
      <c r="CA55" s="1" t="str">
        <f>IF(AX55&gt;AX$117, AX55-AX$117,"")</f>
        <v/>
      </c>
      <c r="CB55" s="1" t="str">
        <f>IF(AY55&gt;AY$117, AY55-AY$117,"")</f>
        <v/>
      </c>
      <c r="CC55" s="1" t="str">
        <f>IF(AZ55&gt;AZ$117, AZ55-AZ$117,"")</f>
        <v/>
      </c>
      <c r="CD55" s="1" t="str">
        <f>IF(BA55&gt;BA$117, BA55-BA$117,"")</f>
        <v/>
      </c>
      <c r="CE55" s="1" t="str">
        <f>IF(BB55&gt;BB$117, BB55-BB$117,"")</f>
        <v/>
      </c>
      <c r="CF55" s="1">
        <f>COUNTIF(BT55:CE55, "&gt;0")</f>
        <v>0</v>
      </c>
      <c r="CG55" s="1" t="str">
        <f>IF($CF55=1,BT55,"")</f>
        <v/>
      </c>
      <c r="CH55" s="1" t="str">
        <f>IF($CF55=1,BU55,"")</f>
        <v/>
      </c>
      <c r="CI55" s="1" t="str">
        <f>IF($CF55=1,BV55,"")</f>
        <v/>
      </c>
      <c r="CJ55" s="1" t="str">
        <f>IF($CF55=1,BW55,"")</f>
        <v/>
      </c>
      <c r="CK55" s="1" t="str">
        <f>IF($CF55=1,BX55,"")</f>
        <v/>
      </c>
      <c r="CL55" s="1" t="str">
        <f>IF($CF55=1,BY55,"")</f>
        <v/>
      </c>
      <c r="CM55" s="1" t="str">
        <f>IF($CF55=1,BZ55,"")</f>
        <v/>
      </c>
      <c r="CN55" s="1" t="str">
        <f>IF($CF55=1,CA55,"")</f>
        <v/>
      </c>
      <c r="CO55" s="1" t="str">
        <f>IF($CF55=1,CB55,"")</f>
        <v/>
      </c>
      <c r="CP55" s="1" t="str">
        <f>IF($CF55=1,CC55,"")</f>
        <v/>
      </c>
      <c r="CQ55" s="1" t="str">
        <f>IF($CF55=1,CD55,"")</f>
        <v/>
      </c>
      <c r="CR55" s="1" t="str">
        <f>IF($CF55=1,CE55,"")</f>
        <v/>
      </c>
      <c r="CS55" s="3">
        <f>SUM(AE55:BO55)</f>
        <v>30</v>
      </c>
    </row>
    <row r="56" spans="1:97" s="48" customFormat="1" ht="27" x14ac:dyDescent="0.15">
      <c r="A56" s="1"/>
      <c r="B56" s="1" t="s">
        <v>95</v>
      </c>
      <c r="C56" s="1" t="s">
        <v>96</v>
      </c>
      <c r="D56" s="1" t="s">
        <v>93</v>
      </c>
      <c r="E56" s="6"/>
      <c r="F56" s="6"/>
      <c r="G56" s="6">
        <v>15</v>
      </c>
      <c r="H56" s="6">
        <v>15</v>
      </c>
      <c r="I56" s="6"/>
      <c r="J56" s="6"/>
      <c r="K56" s="6"/>
      <c r="L56" s="6"/>
      <c r="M56" s="6"/>
      <c r="N56" s="6"/>
      <c r="O56" s="6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>
        <v>15</v>
      </c>
      <c r="AT56" s="4"/>
      <c r="AU56" s="4"/>
      <c r="AV56" s="4"/>
      <c r="AW56" s="2"/>
      <c r="AX56" s="2"/>
      <c r="AY56" s="2"/>
      <c r="AZ56" s="2"/>
      <c r="BA56" s="2"/>
      <c r="BB56" s="2">
        <v>15</v>
      </c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60</v>
      </c>
      <c r="BQ56" s="1">
        <v>8</v>
      </c>
      <c r="BR56" s="17">
        <v>2</v>
      </c>
      <c r="BS56" s="17" t="s">
        <v>258</v>
      </c>
      <c r="BT56" s="1" t="str">
        <f>IF(AQ56&gt;AQ$117, AQ56-AQ$117,"")</f>
        <v/>
      </c>
      <c r="BU56" s="1" t="str">
        <f>IF(AR56&gt;AR$117, AR56-AR$117,"")</f>
        <v/>
      </c>
      <c r="BV56" s="1" t="str">
        <f>IF(AS56&gt;AS$117, AS56-AS$117,"")</f>
        <v/>
      </c>
      <c r="BW56" s="1" t="str">
        <f>IF(AT56&gt;AT$117, AT56-AT$117,"")</f>
        <v/>
      </c>
      <c r="BX56" s="1" t="str">
        <f>IF(AU56&gt;AU$117, AU56-AU$117,"")</f>
        <v/>
      </c>
      <c r="BY56" s="1" t="str">
        <f>IF(AV56&gt;AV$117, AV56-AV$117,"")</f>
        <v/>
      </c>
      <c r="BZ56" s="1" t="str">
        <f>IF(AW56&gt;AW$117, AW56-AW$117,"")</f>
        <v/>
      </c>
      <c r="CA56" s="1" t="str">
        <f>IF(AX56&gt;AX$117, AX56-AX$117,"")</f>
        <v/>
      </c>
      <c r="CB56" s="1" t="str">
        <f>IF(AY56&gt;AY$117, AY56-AY$117,"")</f>
        <v/>
      </c>
      <c r="CC56" s="1" t="str">
        <f>IF(AZ56&gt;AZ$117, AZ56-AZ$117,"")</f>
        <v/>
      </c>
      <c r="CD56" s="1" t="str">
        <f>IF(BA56&gt;BA$117, BA56-BA$117,"")</f>
        <v/>
      </c>
      <c r="CE56" s="1" t="str">
        <f>IF(BB56&gt;BB$117, BB56-BB$117,"")</f>
        <v/>
      </c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3"/>
    </row>
    <row r="57" spans="1:97" ht="27" x14ac:dyDescent="0.15">
      <c r="A57" s="40"/>
      <c r="B57" s="40" t="s">
        <v>170</v>
      </c>
      <c r="C57" s="40" t="s">
        <v>107</v>
      </c>
      <c r="D57" s="40" t="s">
        <v>93</v>
      </c>
      <c r="E57" s="41"/>
      <c r="F57" s="41"/>
      <c r="G57" s="41">
        <v>15</v>
      </c>
      <c r="H57" s="41">
        <v>15</v>
      </c>
      <c r="I57" s="41"/>
      <c r="J57" s="41"/>
      <c r="K57" s="41"/>
      <c r="L57" s="41"/>
      <c r="M57" s="41"/>
      <c r="N57" s="41"/>
      <c r="O57" s="41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0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3"/>
      <c r="AR57" s="43"/>
      <c r="AS57" s="43"/>
      <c r="AT57" s="43"/>
      <c r="AU57" s="43"/>
      <c r="AV57" s="43"/>
      <c r="AW57" s="44"/>
      <c r="AX57" s="44"/>
      <c r="AY57" s="44"/>
      <c r="AZ57" s="44"/>
      <c r="BA57" s="44">
        <v>15</v>
      </c>
      <c r="BB57" s="44">
        <v>15</v>
      </c>
      <c r="BC57" s="45"/>
      <c r="BD57" s="40"/>
      <c r="BE57" s="40"/>
      <c r="BF57" s="40"/>
      <c r="BG57" s="40"/>
      <c r="BH57" s="40"/>
      <c r="BI57" s="40"/>
      <c r="BJ57" s="40"/>
      <c r="BK57" s="40"/>
      <c r="BL57" s="40"/>
      <c r="BM57" s="40"/>
      <c r="BN57" s="40"/>
      <c r="BO57" s="40"/>
      <c r="BP57" s="40">
        <f>SUM(E57:BO57)</f>
        <v>60</v>
      </c>
      <c r="BQ57" s="40">
        <v>9</v>
      </c>
      <c r="BR57" s="46">
        <v>2</v>
      </c>
      <c r="BS57" s="46" t="s">
        <v>226</v>
      </c>
      <c r="BT57" s="40" t="str">
        <f>IF(AQ57&gt;AQ$117, AQ57-AQ$117,"")</f>
        <v/>
      </c>
      <c r="BU57" s="40" t="str">
        <f>IF(AR57&gt;AR$117, AR57-AR$117,"")</f>
        <v/>
      </c>
      <c r="BV57" s="40" t="str">
        <f>IF(AS57&gt;AS$117, AS57-AS$117,"")</f>
        <v/>
      </c>
      <c r="BW57" s="40" t="str">
        <f>IF(AT57&gt;AT$117, AT57-AT$117,"")</f>
        <v/>
      </c>
      <c r="BX57" s="40" t="str">
        <f>IF(AU57&gt;AU$117, AU57-AU$117,"")</f>
        <v/>
      </c>
      <c r="BY57" s="40" t="str">
        <f>IF(AV57&gt;AV$117, AV57-AV$117,"")</f>
        <v/>
      </c>
      <c r="BZ57" s="40" t="str">
        <f>IF(AW57&gt;AW$117, AW57-AW$117,"")</f>
        <v/>
      </c>
      <c r="CA57" s="40" t="str">
        <f>IF(AX57&gt;AX$117, AX57-AX$117,"")</f>
        <v/>
      </c>
      <c r="CB57" s="40" t="str">
        <f>IF(AY57&gt;AY$117, AY57-AY$117,"")</f>
        <v/>
      </c>
      <c r="CC57" s="40" t="str">
        <f>IF(AZ57&gt;AZ$117, AZ57-AZ$117,"")</f>
        <v/>
      </c>
      <c r="CD57" s="40" t="str">
        <f>IF(BA57&gt;BA$117, BA57-BA$117,"")</f>
        <v/>
      </c>
      <c r="CE57" s="40" t="str">
        <f>IF(BB57&gt;BB$117, BB57-BB$117,"")</f>
        <v/>
      </c>
      <c r="CF57" s="40"/>
      <c r="CG57" s="40"/>
      <c r="CH57" s="40"/>
      <c r="CI57" s="40"/>
      <c r="CJ57" s="40"/>
      <c r="CK57" s="40"/>
      <c r="CL57" s="40"/>
      <c r="CM57" s="40"/>
      <c r="CN57" s="40"/>
      <c r="CO57" s="40"/>
      <c r="CP57" s="40"/>
      <c r="CQ57" s="40"/>
      <c r="CR57" s="40"/>
      <c r="CS57" s="47"/>
    </row>
    <row r="58" spans="1:97" ht="27" x14ac:dyDescent="0.15">
      <c r="A58" s="1">
        <v>54</v>
      </c>
      <c r="B58" s="1" t="s">
        <v>48</v>
      </c>
      <c r="C58" s="1" t="s">
        <v>49</v>
      </c>
      <c r="D58" s="1" t="s">
        <v>1</v>
      </c>
      <c r="E58" s="6"/>
      <c r="F58" s="6">
        <v>15</v>
      </c>
      <c r="G58" s="6"/>
      <c r="H58" s="6">
        <v>15</v>
      </c>
      <c r="I58" s="6"/>
      <c r="J58" s="6"/>
      <c r="K58" s="6"/>
      <c r="L58" s="6"/>
      <c r="M58" s="6"/>
      <c r="N58" s="6"/>
      <c r="O58" s="6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>
        <v>15</v>
      </c>
      <c r="AW58" s="2"/>
      <c r="AX58" s="2"/>
      <c r="AY58" s="2"/>
      <c r="AZ58" s="2"/>
      <c r="BA58" s="2">
        <v>15</v>
      </c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60</v>
      </c>
      <c r="BQ58" s="1">
        <v>9</v>
      </c>
      <c r="BR58" s="17">
        <v>2</v>
      </c>
      <c r="BS58" s="17" t="s">
        <v>226</v>
      </c>
      <c r="BT58" s="1" t="str">
        <f>IF(AQ58&gt;AQ$117, AQ58-AQ$117,"")</f>
        <v/>
      </c>
      <c r="BU58" s="1" t="str">
        <f>IF(AR58&gt;AR$117, AR58-AR$117,"")</f>
        <v/>
      </c>
      <c r="BV58" s="1" t="str">
        <f>IF(AS58&gt;AS$117, AS58-AS$117,"")</f>
        <v/>
      </c>
      <c r="BW58" s="1" t="str">
        <f>IF(AT58&gt;AT$117, AT58-AT$117,"")</f>
        <v/>
      </c>
      <c r="BX58" s="1" t="str">
        <f>IF(AU58&gt;AU$117, AU58-AU$117,"")</f>
        <v/>
      </c>
      <c r="BY58" s="1" t="str">
        <f>IF(AV58&gt;AV$117, AV58-AV$117,"")</f>
        <v/>
      </c>
      <c r="BZ58" s="1" t="str">
        <f>IF(AW58&gt;AW$117, AW58-AW$117,"")</f>
        <v/>
      </c>
      <c r="CA58" s="1" t="str">
        <f>IF(AX58&gt;AX$117, AX58-AX$117,"")</f>
        <v/>
      </c>
      <c r="CB58" s="1" t="str">
        <f>IF(AY58&gt;AY$117, AY58-AY$117,"")</f>
        <v/>
      </c>
      <c r="CC58" s="1" t="str">
        <f>IF(AZ58&gt;AZ$117, AZ58-AZ$117,"")</f>
        <v/>
      </c>
      <c r="CD58" s="1" t="str">
        <f>IF(BA58&gt;BA$117, BA58-BA$117,"")</f>
        <v/>
      </c>
      <c r="CE58" s="1" t="str">
        <f>IF(BB58&gt;BB$117, BB58-BB$117,"")</f>
        <v/>
      </c>
      <c r="CF58" s="1">
        <f>COUNTIF(BT58:CE58, "&gt;0")</f>
        <v>0</v>
      </c>
      <c r="CG58" s="1" t="str">
        <f>IF($CF58=1,BT58,"")</f>
        <v/>
      </c>
      <c r="CH58" s="1" t="str">
        <f>IF($CF58=1,BU58,"")</f>
        <v/>
      </c>
      <c r="CI58" s="1" t="str">
        <f>IF($CF58=1,BV58,"")</f>
        <v/>
      </c>
      <c r="CJ58" s="1" t="str">
        <f>IF($CF58=1,BW58,"")</f>
        <v/>
      </c>
      <c r="CK58" s="1" t="str">
        <f>IF($CF58=1,BX58,"")</f>
        <v/>
      </c>
      <c r="CL58" s="1" t="str">
        <f>IF($CF58=1,BY58,"")</f>
        <v/>
      </c>
      <c r="CM58" s="1" t="str">
        <f>IF($CF58=1,BZ58,"")</f>
        <v/>
      </c>
      <c r="CN58" s="1" t="str">
        <f>IF($CF58=1,CA58,"")</f>
        <v/>
      </c>
      <c r="CO58" s="1" t="str">
        <f>IF($CF58=1,CB58,"")</f>
        <v/>
      </c>
      <c r="CP58" s="1" t="str">
        <f>IF($CF58=1,CC58,"")</f>
        <v/>
      </c>
      <c r="CQ58" s="1" t="str">
        <f>IF($CF58=1,CD58,"")</f>
        <v/>
      </c>
      <c r="CR58" s="1" t="str">
        <f>IF($CF58=1,CE58,"")</f>
        <v/>
      </c>
      <c r="CS58" s="3">
        <f>SUM(AE58:BO58)</f>
        <v>30</v>
      </c>
    </row>
    <row r="59" spans="1:97" ht="27" x14ac:dyDescent="0.15">
      <c r="A59" s="1">
        <v>27</v>
      </c>
      <c r="B59" s="1" t="s">
        <v>65</v>
      </c>
      <c r="C59" s="1" t="s">
        <v>28</v>
      </c>
      <c r="D59" s="1" t="s">
        <v>21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1"/>
      <c r="AF59" s="1"/>
      <c r="AG59" s="1"/>
      <c r="AH59" s="1">
        <v>5</v>
      </c>
      <c r="AI59" s="1">
        <v>5</v>
      </c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10</v>
      </c>
      <c r="BQ59" s="1">
        <v>10</v>
      </c>
      <c r="BR59" s="17">
        <v>2</v>
      </c>
      <c r="BS59" s="17" t="s">
        <v>215</v>
      </c>
      <c r="BT59" s="1" t="str">
        <f>IF(AQ59&gt;AQ$117, AQ59-AQ$117,"")</f>
        <v/>
      </c>
      <c r="BU59" s="1" t="str">
        <f>IF(AR59&gt;AR$117, AR59-AR$117,"")</f>
        <v/>
      </c>
      <c r="BV59" s="1" t="str">
        <f>IF(AS59&gt;AS$117, AS59-AS$117,"")</f>
        <v/>
      </c>
      <c r="BW59" s="1" t="str">
        <f>IF(AT59&gt;AT$117, AT59-AT$117,"")</f>
        <v/>
      </c>
      <c r="BX59" s="1" t="str">
        <f>IF(AU59&gt;AU$117, AU59-AU$117,"")</f>
        <v/>
      </c>
      <c r="BY59" s="1" t="str">
        <f>IF(AV59&gt;AV$117, AV59-AV$117,"")</f>
        <v/>
      </c>
      <c r="BZ59" s="1" t="str">
        <f>IF(AW59&gt;AW$117, AW59-AW$117,"")</f>
        <v/>
      </c>
      <c r="CA59" s="1" t="str">
        <f>IF(AX59&gt;AX$117, AX59-AX$117,"")</f>
        <v/>
      </c>
      <c r="CB59" s="1" t="str">
        <f>IF(AY59&gt;AY$117, AY59-AY$117,"")</f>
        <v/>
      </c>
      <c r="CC59" s="1" t="str">
        <f>IF(AZ59&gt;AZ$117, AZ59-AZ$117,"")</f>
        <v/>
      </c>
      <c r="CD59" s="1" t="str">
        <f>IF(BA59&gt;BA$117, BA59-BA$117,"")</f>
        <v/>
      </c>
      <c r="CE59" s="1" t="str">
        <f>IF(BB59&gt;BB$117, BB59-BB$117,"")</f>
        <v/>
      </c>
      <c r="CF59" s="1">
        <f>COUNTIF(BT59:CE59, "&gt;0")</f>
        <v>0</v>
      </c>
      <c r="CG59" s="1" t="str">
        <f>IF($CF59=1,BT59,"")</f>
        <v/>
      </c>
      <c r="CH59" s="1" t="str">
        <f>IF($CF59=1,BU59,"")</f>
        <v/>
      </c>
      <c r="CI59" s="1" t="str">
        <f>IF($CF59=1,BV59,"")</f>
        <v/>
      </c>
      <c r="CJ59" s="1" t="str">
        <f>IF($CF59=1,BW59,"")</f>
        <v/>
      </c>
      <c r="CK59" s="1" t="str">
        <f>IF($CF59=1,BX59,"")</f>
        <v/>
      </c>
      <c r="CL59" s="1" t="str">
        <f>IF($CF59=1,BY59,"")</f>
        <v/>
      </c>
      <c r="CM59" s="1" t="str">
        <f>IF($CF59=1,BZ59,"")</f>
        <v/>
      </c>
      <c r="CN59" s="1" t="str">
        <f>IF($CF59=1,CA59,"")</f>
        <v/>
      </c>
      <c r="CO59" s="1" t="str">
        <f>IF($CF59=1,CB59,"")</f>
        <v/>
      </c>
      <c r="CP59" s="1" t="str">
        <f>IF($CF59=1,CC59,"")</f>
        <v/>
      </c>
      <c r="CQ59" s="1" t="str">
        <f>IF($CF59=1,CD59,"")</f>
        <v/>
      </c>
      <c r="CR59" s="1" t="str">
        <f>IF($CF59=1,CE59,"")</f>
        <v/>
      </c>
      <c r="CS59" s="3">
        <f>SUM(AE59:BO59)</f>
        <v>10</v>
      </c>
    </row>
    <row r="60" spans="1:97" ht="27" x14ac:dyDescent="0.15">
      <c r="A60" s="1">
        <v>88</v>
      </c>
      <c r="B60" s="3" t="s">
        <v>70</v>
      </c>
      <c r="C60" s="3" t="s">
        <v>71</v>
      </c>
      <c r="D60" s="1" t="s">
        <v>21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1"/>
      <c r="AF60" s="1"/>
      <c r="AG60" s="1"/>
      <c r="AH60" s="1">
        <v>5</v>
      </c>
      <c r="AI60" s="1">
        <v>5</v>
      </c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10</v>
      </c>
      <c r="BQ60" s="1">
        <v>10</v>
      </c>
      <c r="BR60" s="17">
        <v>2</v>
      </c>
      <c r="BS60" s="17" t="s">
        <v>215</v>
      </c>
      <c r="BT60" s="1" t="str">
        <f>IF(AQ60&gt;AQ$117, AQ60-AQ$117,"")</f>
        <v/>
      </c>
      <c r="BU60" s="1" t="str">
        <f>IF(AR60&gt;AR$117, AR60-AR$117,"")</f>
        <v/>
      </c>
      <c r="BV60" s="1" t="str">
        <f>IF(AS60&gt;AS$117, AS60-AS$117,"")</f>
        <v/>
      </c>
      <c r="BW60" s="1" t="str">
        <f>IF(AT60&gt;AT$117, AT60-AT$117,"")</f>
        <v/>
      </c>
      <c r="BX60" s="1" t="str">
        <f>IF(AU60&gt;AU$117, AU60-AU$117,"")</f>
        <v/>
      </c>
      <c r="BY60" s="1" t="str">
        <f>IF(AV60&gt;AV$117, AV60-AV$117,"")</f>
        <v/>
      </c>
      <c r="BZ60" s="1" t="str">
        <f>IF(AW60&gt;AW$117, AW60-AW$117,"")</f>
        <v/>
      </c>
      <c r="CA60" s="1" t="str">
        <f>IF(AX60&gt;AX$117, AX60-AX$117,"")</f>
        <v/>
      </c>
      <c r="CB60" s="1" t="str">
        <f>IF(AY60&gt;AY$117, AY60-AY$117,"")</f>
        <v/>
      </c>
      <c r="CC60" s="1" t="str">
        <f>IF(AZ60&gt;AZ$117, AZ60-AZ$117,"")</f>
        <v/>
      </c>
      <c r="CD60" s="1" t="str">
        <f>IF(BA60&gt;BA$117, BA60-BA$117,"")</f>
        <v/>
      </c>
      <c r="CE60" s="1" t="str">
        <f>IF(BB60&gt;BB$117, BB60-BB$117,"")</f>
        <v/>
      </c>
      <c r="CF60" s="1">
        <f>COUNTIF(BT60:CE60, "&gt;0")</f>
        <v>0</v>
      </c>
      <c r="CG60" s="1" t="str">
        <f>IF($CF60=1,BT60,"")</f>
        <v/>
      </c>
      <c r="CH60" s="1" t="str">
        <f>IF($CF60=1,BU60,"")</f>
        <v/>
      </c>
      <c r="CI60" s="1" t="str">
        <f>IF($CF60=1,BV60,"")</f>
        <v/>
      </c>
      <c r="CJ60" s="1" t="str">
        <f>IF($CF60=1,BW60,"")</f>
        <v/>
      </c>
      <c r="CK60" s="1" t="str">
        <f>IF($CF60=1,BX60,"")</f>
        <v/>
      </c>
      <c r="CL60" s="1" t="str">
        <f>IF($CF60=1,BY60,"")</f>
        <v/>
      </c>
      <c r="CM60" s="1" t="str">
        <f>IF($CF60=1,BZ60,"")</f>
        <v/>
      </c>
      <c r="CN60" s="1" t="str">
        <f>IF($CF60=1,CA60,"")</f>
        <v/>
      </c>
      <c r="CO60" s="1" t="str">
        <f>IF($CF60=1,CB60,"")</f>
        <v/>
      </c>
      <c r="CP60" s="1" t="str">
        <f>IF($CF60=1,CC60,"")</f>
        <v/>
      </c>
      <c r="CQ60" s="1" t="str">
        <f>IF($CF60=1,CD60,"")</f>
        <v/>
      </c>
      <c r="CR60" s="1" t="str">
        <f>IF($CF60=1,CE60,"")</f>
        <v/>
      </c>
      <c r="CS60" s="3">
        <f>SUM(AE60:BO60)</f>
        <v>10</v>
      </c>
    </row>
    <row r="61" spans="1:97" s="48" customFormat="1" ht="27" x14ac:dyDescent="0.15">
      <c r="A61" s="1"/>
      <c r="B61" s="1" t="s">
        <v>140</v>
      </c>
      <c r="C61" s="1" t="s">
        <v>139</v>
      </c>
      <c r="D61" s="1" t="s">
        <v>112</v>
      </c>
      <c r="E61" s="6"/>
      <c r="F61" s="6"/>
      <c r="G61" s="6">
        <v>10</v>
      </c>
      <c r="H61" s="6"/>
      <c r="I61" s="6"/>
      <c r="J61" s="6"/>
      <c r="K61" s="6"/>
      <c r="L61" s="6"/>
      <c r="M61" s="6"/>
      <c r="N61" s="6"/>
      <c r="O61" s="6"/>
      <c r="P61" s="28"/>
      <c r="Q61" s="28"/>
      <c r="R61" s="28"/>
      <c r="S61" s="28"/>
      <c r="T61" s="28"/>
      <c r="U61" s="28"/>
      <c r="V61" s="28"/>
      <c r="W61" s="28"/>
      <c r="X61" s="28">
        <v>10</v>
      </c>
      <c r="Y61" s="28"/>
      <c r="Z61" s="28"/>
      <c r="AA61" s="28"/>
      <c r="AB61" s="28"/>
      <c r="AC61" s="28"/>
      <c r="AD61" s="28">
        <v>10</v>
      </c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>
        <v>10</v>
      </c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>SUM(E61:BO61)</f>
        <v>40</v>
      </c>
      <c r="BQ61" s="1">
        <v>10</v>
      </c>
      <c r="BR61" s="17">
        <v>2</v>
      </c>
      <c r="BS61" s="17" t="s">
        <v>257</v>
      </c>
      <c r="BT61" s="1" t="str">
        <f>IF(AQ61&gt;AQ$117, AQ61-AQ$117,"")</f>
        <v/>
      </c>
      <c r="BU61" s="1" t="str">
        <f>IF(AR61&gt;AR$117, AR61-AR$117,"")</f>
        <v/>
      </c>
      <c r="BV61" s="1" t="str">
        <f>IF(AS61&gt;AS$117, AS61-AS$117,"")</f>
        <v/>
      </c>
      <c r="BW61" s="1" t="str">
        <f>IF(AT61&gt;AT$117, AT61-AT$117,"")</f>
        <v/>
      </c>
      <c r="BX61" s="1" t="str">
        <f>IF(AU61&gt;AU$117, AU61-AU$117,"")</f>
        <v/>
      </c>
      <c r="BY61" s="1" t="str">
        <f>IF(AV61&gt;AV$117, AV61-AV$117,"")</f>
        <v/>
      </c>
      <c r="BZ61" s="1" t="str">
        <f>IF(AW61&gt;AW$117, AW61-AW$117,"")</f>
        <v/>
      </c>
      <c r="CA61" s="1" t="str">
        <f>IF(AX61&gt;AX$117, AX61-AX$117,"")</f>
        <v/>
      </c>
      <c r="CB61" s="1" t="str">
        <f>IF(AY61&gt;AY$117, AY61-AY$117,"")</f>
        <v/>
      </c>
      <c r="CC61" s="1" t="str">
        <f>IF(AZ61&gt;AZ$117, AZ61-AZ$117,"")</f>
        <v/>
      </c>
      <c r="CD61" s="1" t="str">
        <f>IF(BA61&gt;BA$117, BA61-BA$117,"")</f>
        <v/>
      </c>
      <c r="CE61" s="1" t="str">
        <f>IF(BB61&gt;BB$117, BB61-BB$117,"")</f>
        <v/>
      </c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3"/>
    </row>
    <row r="62" spans="1:97" ht="27" x14ac:dyDescent="0.15">
      <c r="A62" s="1"/>
      <c r="B62" s="1" t="s">
        <v>146</v>
      </c>
      <c r="C62" s="1" t="s">
        <v>107</v>
      </c>
      <c r="D62" s="1" t="s">
        <v>149</v>
      </c>
      <c r="E62" s="6"/>
      <c r="F62" s="6"/>
      <c r="G62" s="6">
        <v>10</v>
      </c>
      <c r="H62" s="6"/>
      <c r="I62" s="6"/>
      <c r="J62" s="6"/>
      <c r="K62" s="6"/>
      <c r="L62" s="6"/>
      <c r="M62" s="6"/>
      <c r="N62" s="6"/>
      <c r="O62" s="6"/>
      <c r="P62" s="28"/>
      <c r="Q62" s="28"/>
      <c r="R62" s="28"/>
      <c r="S62" s="28"/>
      <c r="T62" s="28"/>
      <c r="U62" s="28"/>
      <c r="V62" s="28"/>
      <c r="W62" s="28"/>
      <c r="X62" s="28">
        <v>10</v>
      </c>
      <c r="Y62" s="28"/>
      <c r="Z62" s="28"/>
      <c r="AA62" s="28"/>
      <c r="AB62" s="28"/>
      <c r="AC62" s="28"/>
      <c r="AD62" s="28">
        <v>10</v>
      </c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>
        <v>10</v>
      </c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40</v>
      </c>
      <c r="BQ62" s="1">
        <v>10</v>
      </c>
      <c r="BR62" s="17">
        <v>2</v>
      </c>
      <c r="BS62" s="17" t="s">
        <v>257</v>
      </c>
      <c r="BT62" s="1" t="str">
        <f>IF(AQ62&gt;AQ$117, AQ62-AQ$117,"")</f>
        <v/>
      </c>
      <c r="BU62" s="1" t="str">
        <f>IF(AR62&gt;AR$117, AR62-AR$117,"")</f>
        <v/>
      </c>
      <c r="BV62" s="1" t="str">
        <f>IF(AS62&gt;AS$117, AS62-AS$117,"")</f>
        <v/>
      </c>
      <c r="BW62" s="1" t="str">
        <f>IF(AT62&gt;AT$117, AT62-AT$117,"")</f>
        <v/>
      </c>
      <c r="BX62" s="1" t="str">
        <f>IF(AU62&gt;AU$117, AU62-AU$117,"")</f>
        <v/>
      </c>
      <c r="BY62" s="1" t="str">
        <f>IF(AV62&gt;AV$117, AV62-AV$117,"")</f>
        <v/>
      </c>
      <c r="BZ62" s="1" t="str">
        <f>IF(AW62&gt;AW$117, AW62-AW$117,"")</f>
        <v/>
      </c>
      <c r="CA62" s="1" t="str">
        <f>IF(AX62&gt;AX$117, AX62-AX$117,"")</f>
        <v/>
      </c>
      <c r="CB62" s="1" t="str">
        <f>IF(AY62&gt;AY$117, AY62-AY$117,"")</f>
        <v/>
      </c>
      <c r="CC62" s="1" t="str">
        <f>IF(AZ62&gt;AZ$117, AZ62-AZ$117,"")</f>
        <v/>
      </c>
      <c r="CD62" s="1" t="str">
        <f>IF(BA62&gt;BA$117, BA62-BA$117,"")</f>
        <v/>
      </c>
      <c r="CE62" s="1" t="str">
        <f>IF(BB62&gt;BB$117, BB62-BB$117,"")</f>
        <v/>
      </c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3"/>
    </row>
    <row r="63" spans="1:97" ht="27" x14ac:dyDescent="0.15">
      <c r="A63" s="1"/>
      <c r="B63" s="1" t="s">
        <v>171</v>
      </c>
      <c r="C63" s="1" t="s">
        <v>92</v>
      </c>
      <c r="D63" s="1" t="s">
        <v>94</v>
      </c>
      <c r="E63" s="6"/>
      <c r="F63" s="6"/>
      <c r="G63" s="6"/>
      <c r="H63" s="6">
        <v>6</v>
      </c>
      <c r="I63" s="6"/>
      <c r="J63" s="6"/>
      <c r="K63" s="6">
        <v>6</v>
      </c>
      <c r="L63" s="6"/>
      <c r="M63" s="6"/>
      <c r="N63" s="6"/>
      <c r="O63" s="6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>
        <v>10</v>
      </c>
      <c r="AR63" s="4"/>
      <c r="AS63" s="4"/>
      <c r="AT63" s="4"/>
      <c r="AU63" s="4"/>
      <c r="AV63" s="4"/>
      <c r="AW63" s="2">
        <v>10</v>
      </c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32</v>
      </c>
      <c r="BQ63" s="1">
        <v>11</v>
      </c>
      <c r="BR63" s="17">
        <v>2</v>
      </c>
      <c r="BS63" s="17" t="s">
        <v>248</v>
      </c>
      <c r="BT63" s="1" t="str">
        <f>IF(AQ63&gt;AQ$117, AQ63-AQ$117,"")</f>
        <v/>
      </c>
      <c r="BU63" s="1" t="str">
        <f>IF(AR63&gt;AR$117, AR63-AR$117,"")</f>
        <v/>
      </c>
      <c r="BV63" s="1" t="str">
        <f>IF(AS63&gt;AS$117, AS63-AS$117,"")</f>
        <v/>
      </c>
      <c r="BW63" s="1" t="str">
        <f>IF(AT63&gt;AT$117, AT63-AT$117,"")</f>
        <v/>
      </c>
      <c r="BX63" s="1" t="str">
        <f>IF(AU63&gt;AU$117, AU63-AU$117,"")</f>
        <v/>
      </c>
      <c r="BY63" s="1" t="str">
        <f>IF(AV63&gt;AV$117, AV63-AV$117,"")</f>
        <v/>
      </c>
      <c r="BZ63" s="1" t="str">
        <f>IF(AW63&gt;AW$117, AW63-AW$117,"")</f>
        <v/>
      </c>
      <c r="CA63" s="1" t="str">
        <f>IF(AX63&gt;AX$117, AX63-AX$117,"")</f>
        <v/>
      </c>
      <c r="CB63" s="1" t="str">
        <f>IF(AY63&gt;AY$117, AY63-AY$117,"")</f>
        <v/>
      </c>
      <c r="CC63" s="1" t="str">
        <f>IF(AZ63&gt;AZ$117, AZ63-AZ$117,"")</f>
        <v/>
      </c>
      <c r="CD63" s="1" t="str">
        <f>IF(BA63&gt;BA$117, BA63-BA$117,"")</f>
        <v/>
      </c>
      <c r="CE63" s="1" t="str">
        <f>IF(BB63&gt;BB$117, BB63-BB$117,"")</f>
        <v/>
      </c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3"/>
    </row>
    <row r="64" spans="1:97" ht="27" x14ac:dyDescent="0.15">
      <c r="A64" s="1"/>
      <c r="B64" s="1" t="s">
        <v>152</v>
      </c>
      <c r="C64" s="1" t="s">
        <v>109</v>
      </c>
      <c r="D64" s="1" t="s">
        <v>112</v>
      </c>
      <c r="E64" s="6"/>
      <c r="F64" s="6"/>
      <c r="G64" s="6"/>
      <c r="H64" s="6"/>
      <c r="I64" s="6">
        <v>10</v>
      </c>
      <c r="J64" s="6"/>
      <c r="K64" s="6"/>
      <c r="L64" s="6"/>
      <c r="M64" s="6"/>
      <c r="N64" s="6"/>
      <c r="O64" s="6"/>
      <c r="P64" s="28"/>
      <c r="Q64" s="28"/>
      <c r="R64" s="28">
        <v>10</v>
      </c>
      <c r="S64" s="28"/>
      <c r="T64" s="28"/>
      <c r="U64" s="28"/>
      <c r="V64" s="28"/>
      <c r="W64" s="28"/>
      <c r="X64" s="28">
        <v>10</v>
      </c>
      <c r="Y64" s="28"/>
      <c r="Z64" s="28"/>
      <c r="AA64" s="28"/>
      <c r="AB64" s="28"/>
      <c r="AC64" s="28"/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>
        <v>10</v>
      </c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>SUM(E64:BO64)</f>
        <v>40</v>
      </c>
      <c r="BQ64" s="1">
        <v>12</v>
      </c>
      <c r="BR64" s="17">
        <v>2</v>
      </c>
      <c r="BS64" s="17" t="s">
        <v>259</v>
      </c>
      <c r="BT64" s="1" t="str">
        <f>IF(AQ64&gt;AQ$117, AQ64-AQ$117,"")</f>
        <v/>
      </c>
      <c r="BU64" s="1" t="str">
        <f>IF(AR64&gt;AR$117, AR64-AR$117,"")</f>
        <v/>
      </c>
      <c r="BV64" s="1" t="str">
        <f>IF(AS64&gt;AS$117, AS64-AS$117,"")</f>
        <v/>
      </c>
      <c r="BW64" s="1" t="str">
        <f>IF(AT64&gt;AT$117, AT64-AT$117,"")</f>
        <v/>
      </c>
      <c r="BX64" s="1" t="str">
        <f>IF(AU64&gt;AU$117, AU64-AU$117,"")</f>
        <v/>
      </c>
      <c r="BY64" s="1" t="str">
        <f>IF(AV64&gt;AV$117, AV64-AV$117,"")</f>
        <v/>
      </c>
      <c r="BZ64" s="1" t="str">
        <f>IF(AW64&gt;AW$117, AW64-AW$117,"")</f>
        <v/>
      </c>
      <c r="CA64" s="1" t="str">
        <f>IF(AX64&gt;AX$117, AX64-AX$117,"")</f>
        <v/>
      </c>
      <c r="CB64" s="1" t="str">
        <f>IF(AY64&gt;AY$117, AY64-AY$117,"")</f>
        <v/>
      </c>
      <c r="CC64" s="1" t="str">
        <f>IF(AZ64&gt;AZ$117, AZ64-AZ$117,"")</f>
        <v/>
      </c>
      <c r="CD64" s="1" t="str">
        <f>IF(BA64&gt;BA$117, BA64-BA$117,"")</f>
        <v/>
      </c>
      <c r="CE64" s="1" t="str">
        <f>IF(BB64&gt;BB$117, BB64-BB$117,"")</f>
        <v/>
      </c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3"/>
    </row>
    <row r="65" spans="1:97" ht="27" x14ac:dyDescent="0.15">
      <c r="A65" s="1"/>
      <c r="B65" s="1" t="s">
        <v>150</v>
      </c>
      <c r="C65" s="1" t="s">
        <v>92</v>
      </c>
      <c r="D65" s="1" t="s">
        <v>94</v>
      </c>
      <c r="E65" s="6">
        <v>10</v>
      </c>
      <c r="F65" s="6"/>
      <c r="G65" s="6">
        <v>10</v>
      </c>
      <c r="H65" s="6"/>
      <c r="I65" s="6"/>
      <c r="J65" s="6"/>
      <c r="K65" s="6"/>
      <c r="L65" s="6"/>
      <c r="M65" s="6"/>
      <c r="N65" s="6"/>
      <c r="O65" s="6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>
        <v>15</v>
      </c>
      <c r="AU65" s="4"/>
      <c r="AV65" s="4"/>
      <c r="AW65" s="2"/>
      <c r="AX65" s="2"/>
      <c r="AY65" s="2"/>
      <c r="AZ65" s="2">
        <v>15</v>
      </c>
      <c r="BA65" s="2">
        <v>15</v>
      </c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65</v>
      </c>
      <c r="BQ65" s="1">
        <v>13</v>
      </c>
      <c r="BR65" s="17">
        <v>2</v>
      </c>
      <c r="BS65" s="17" t="s">
        <v>260</v>
      </c>
      <c r="BT65" s="1" t="str">
        <f>IF(AQ65&gt;AQ$117, AQ65-AQ$117,"")</f>
        <v/>
      </c>
      <c r="BU65" s="1" t="str">
        <f>IF(AR65&gt;AR$117, AR65-AR$117,"")</f>
        <v/>
      </c>
      <c r="BV65" s="1" t="str">
        <f>IF(AS65&gt;AS$117, AS65-AS$117,"")</f>
        <v/>
      </c>
      <c r="BW65" s="1" t="str">
        <f>IF(AT65&gt;AT$117, AT65-AT$117,"")</f>
        <v/>
      </c>
      <c r="BX65" s="1" t="str">
        <f>IF(AU65&gt;AU$117, AU65-AU$117,"")</f>
        <v/>
      </c>
      <c r="BY65" s="1" t="str">
        <f>IF(AV65&gt;AV$117, AV65-AV$117,"")</f>
        <v/>
      </c>
      <c r="BZ65" s="1" t="str">
        <f>IF(AW65&gt;AW$117, AW65-AW$117,"")</f>
        <v/>
      </c>
      <c r="CA65" s="1" t="str">
        <f>IF(AX65&gt;AX$117, AX65-AX$117,"")</f>
        <v/>
      </c>
      <c r="CB65" s="1" t="str">
        <f>IF(AY65&gt;AY$117, AY65-AY$117,"")</f>
        <v/>
      </c>
      <c r="CC65" s="1" t="str">
        <f>IF(AZ65&gt;AZ$117, AZ65-AZ$117,"")</f>
        <v/>
      </c>
      <c r="CD65" s="1" t="str">
        <f>IF(BA65&gt;BA$117, BA65-BA$117,"")</f>
        <v/>
      </c>
      <c r="CE65" s="1" t="str">
        <f>IF(BB65&gt;BB$117, BB65-BB$117,"")</f>
        <v/>
      </c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3"/>
    </row>
    <row r="66" spans="1:97" ht="27" x14ac:dyDescent="0.15">
      <c r="A66" s="1"/>
      <c r="B66" s="1" t="s">
        <v>99</v>
      </c>
      <c r="C66" s="1" t="s">
        <v>96</v>
      </c>
      <c r="D66" s="1" t="s">
        <v>93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>
        <v>5</v>
      </c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>
        <v>5</v>
      </c>
      <c r="AP66" s="1">
        <v>10</v>
      </c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>SUM(E66:BO66)</f>
        <v>20</v>
      </c>
      <c r="BQ66" s="1">
        <v>15</v>
      </c>
      <c r="BR66" s="17">
        <v>2</v>
      </c>
      <c r="BS66" s="17" t="s">
        <v>227</v>
      </c>
      <c r="BT66" s="1" t="str">
        <f>IF(AQ66&gt;AQ$117, AQ66-AQ$117,"")</f>
        <v/>
      </c>
      <c r="BU66" s="1" t="str">
        <f>IF(AR66&gt;AR$117, AR66-AR$117,"")</f>
        <v/>
      </c>
      <c r="BV66" s="1" t="str">
        <f>IF(AS66&gt;AS$117, AS66-AS$117,"")</f>
        <v/>
      </c>
      <c r="BW66" s="1" t="str">
        <f>IF(AT66&gt;AT$117, AT66-AT$117,"")</f>
        <v/>
      </c>
      <c r="BX66" s="1" t="str">
        <f>IF(AU66&gt;AU$117, AU66-AU$117,"")</f>
        <v/>
      </c>
      <c r="BY66" s="1" t="str">
        <f>IF(AV66&gt;AV$117, AV66-AV$117,"")</f>
        <v/>
      </c>
      <c r="BZ66" s="1" t="str">
        <f>IF(AW66&gt;AW$117, AW66-AW$117,"")</f>
        <v/>
      </c>
      <c r="CA66" s="1" t="str">
        <f>IF(AX66&gt;AX$117, AX66-AX$117,"")</f>
        <v/>
      </c>
      <c r="CB66" s="1" t="str">
        <f>IF(AY66&gt;AY$117, AY66-AY$117,"")</f>
        <v/>
      </c>
      <c r="CC66" s="1" t="str">
        <f>IF(AZ66&gt;AZ$117, AZ66-AZ$117,"")</f>
        <v/>
      </c>
      <c r="CD66" s="1" t="str">
        <f>IF(BA66&gt;BA$117, BA66-BA$117,"")</f>
        <v/>
      </c>
      <c r="CE66" s="1" t="str">
        <f>IF(BB66&gt;BB$117, BB66-BB$117,"")</f>
        <v/>
      </c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3"/>
    </row>
    <row r="67" spans="1:97" ht="27" x14ac:dyDescent="0.15">
      <c r="A67" s="1"/>
      <c r="B67" s="1" t="s">
        <v>166</v>
      </c>
      <c r="C67" s="1" t="s">
        <v>132</v>
      </c>
      <c r="D67" s="1" t="s">
        <v>111</v>
      </c>
      <c r="E67" s="6">
        <v>15</v>
      </c>
      <c r="F67" s="6"/>
      <c r="G67" s="6"/>
      <c r="H67" s="6"/>
      <c r="I67" s="6"/>
      <c r="J67" s="6"/>
      <c r="K67" s="6"/>
      <c r="L67" s="6"/>
      <c r="M67" s="6">
        <v>15</v>
      </c>
      <c r="N67" s="6"/>
      <c r="O67" s="6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>
        <v>15</v>
      </c>
      <c r="AX67" s="2"/>
      <c r="AY67" s="2"/>
      <c r="AZ67" s="2"/>
      <c r="BA67" s="2">
        <v>15</v>
      </c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>SUM(E67:BO67)</f>
        <v>60</v>
      </c>
      <c r="BQ67" s="1">
        <v>16</v>
      </c>
      <c r="BR67" s="17">
        <v>2</v>
      </c>
      <c r="BS67" s="17" t="s">
        <v>251</v>
      </c>
      <c r="BT67" s="1" t="str">
        <f>IF(AQ67&gt;AQ$117, AQ67-AQ$117,"")</f>
        <v/>
      </c>
      <c r="BU67" s="1" t="str">
        <f>IF(AR67&gt;AR$117, AR67-AR$117,"")</f>
        <v/>
      </c>
      <c r="BV67" s="1" t="str">
        <f>IF(AS67&gt;AS$117, AS67-AS$117,"")</f>
        <v/>
      </c>
      <c r="BW67" s="1" t="str">
        <f>IF(AT67&gt;AT$117, AT67-AT$117,"")</f>
        <v/>
      </c>
      <c r="BX67" s="1" t="str">
        <f>IF(AU67&gt;AU$117, AU67-AU$117,"")</f>
        <v/>
      </c>
      <c r="BY67" s="1" t="str">
        <f>IF(AV67&gt;AV$117, AV67-AV$117,"")</f>
        <v/>
      </c>
      <c r="BZ67" s="1" t="str">
        <f>IF(AW67&gt;AW$117, AW67-AW$117,"")</f>
        <v/>
      </c>
      <c r="CA67" s="1" t="str">
        <f>IF(AX67&gt;AX$117, AX67-AX$117,"")</f>
        <v/>
      </c>
      <c r="CB67" s="1" t="str">
        <f>IF(AY67&gt;AY$117, AY67-AY$117,"")</f>
        <v/>
      </c>
      <c r="CC67" s="1" t="str">
        <f>IF(AZ67&gt;AZ$117, AZ67-AZ$117,"")</f>
        <v/>
      </c>
      <c r="CD67" s="1" t="str">
        <f>IF(BA67&gt;BA$117, BA67-BA$117,"")</f>
        <v/>
      </c>
      <c r="CE67" s="1" t="str">
        <f>IF(BB67&gt;BB$117, BB67-BB$117,"")</f>
        <v/>
      </c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3"/>
    </row>
    <row r="68" spans="1:97" ht="27" x14ac:dyDescent="0.15">
      <c r="A68" s="1"/>
      <c r="B68" s="1" t="s">
        <v>127</v>
      </c>
      <c r="C68" s="1" t="s">
        <v>128</v>
      </c>
      <c r="D68" s="1" t="s">
        <v>112</v>
      </c>
      <c r="E68" s="6">
        <v>10</v>
      </c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/>
      <c r="R68" s="28">
        <v>10</v>
      </c>
      <c r="S68" s="28"/>
      <c r="T68" s="28"/>
      <c r="U68" s="28">
        <v>10</v>
      </c>
      <c r="V68" s="28"/>
      <c r="W68" s="28"/>
      <c r="X68" s="28"/>
      <c r="Y68" s="28"/>
      <c r="Z68" s="28"/>
      <c r="AA68" s="28"/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>
        <v>10</v>
      </c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>SUM(E68:BO68)</f>
        <v>40</v>
      </c>
      <c r="BQ68" s="1">
        <v>18</v>
      </c>
      <c r="BR68" s="17">
        <v>2</v>
      </c>
      <c r="BS68" s="17" t="s">
        <v>261</v>
      </c>
      <c r="BT68" s="1" t="str">
        <f>IF(AQ68&gt;AQ$117, AQ68-AQ$117,"")</f>
        <v/>
      </c>
      <c r="BU68" s="1" t="str">
        <f>IF(AR68&gt;AR$117, AR68-AR$117,"")</f>
        <v/>
      </c>
      <c r="BV68" s="1" t="str">
        <f>IF(AS68&gt;AS$117, AS68-AS$117,"")</f>
        <v/>
      </c>
      <c r="BW68" s="1" t="str">
        <f>IF(AT68&gt;AT$117, AT68-AT$117,"")</f>
        <v/>
      </c>
      <c r="BX68" s="1" t="str">
        <f>IF(AU68&gt;AU$117, AU68-AU$117,"")</f>
        <v/>
      </c>
      <c r="BY68" s="1" t="str">
        <f>IF(AV68&gt;AV$117, AV68-AV$117,"")</f>
        <v/>
      </c>
      <c r="BZ68" s="1" t="str">
        <f>IF(AW68&gt;AW$117, AW68-AW$117,"")</f>
        <v/>
      </c>
      <c r="CA68" s="1" t="str">
        <f>IF(AX68&gt;AX$117, AX68-AX$117,"")</f>
        <v/>
      </c>
      <c r="CB68" s="1" t="str">
        <f>IF(AY68&gt;AY$117, AY68-AY$117,"")</f>
        <v/>
      </c>
      <c r="CC68" s="1" t="str">
        <f>IF(AZ68&gt;AZ$117, AZ68-AZ$117,"")</f>
        <v/>
      </c>
      <c r="CD68" s="1" t="str">
        <f>IF(BA68&gt;BA$117, BA68-BA$117,"")</f>
        <v/>
      </c>
      <c r="CE68" s="1" t="str">
        <f>IF(BB68&gt;BB$117, BB68-BB$117,"")</f>
        <v/>
      </c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3"/>
    </row>
    <row r="69" spans="1:97" ht="27" x14ac:dyDescent="0.15">
      <c r="A69" s="1"/>
      <c r="B69" s="1" t="s">
        <v>133</v>
      </c>
      <c r="C69" s="1" t="s">
        <v>132</v>
      </c>
      <c r="D69" s="1" t="s">
        <v>112</v>
      </c>
      <c r="E69" s="6">
        <v>10</v>
      </c>
      <c r="F69" s="6"/>
      <c r="G69" s="6"/>
      <c r="H69" s="6"/>
      <c r="I69" s="6"/>
      <c r="J69" s="6"/>
      <c r="K69" s="6"/>
      <c r="L69" s="6"/>
      <c r="M69" s="6"/>
      <c r="N69" s="6"/>
      <c r="O69" s="6"/>
      <c r="P69" s="28"/>
      <c r="Q69" s="28"/>
      <c r="R69" s="28">
        <v>10</v>
      </c>
      <c r="S69" s="28"/>
      <c r="T69" s="28"/>
      <c r="U69" s="28">
        <v>10</v>
      </c>
      <c r="V69" s="28"/>
      <c r="W69" s="28"/>
      <c r="X69" s="28"/>
      <c r="Y69" s="28"/>
      <c r="Z69" s="28"/>
      <c r="AA69" s="28"/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>
        <v>10</v>
      </c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>SUM(E69:BO69)</f>
        <v>40</v>
      </c>
      <c r="BQ69" s="1">
        <v>18</v>
      </c>
      <c r="BR69" s="17">
        <v>2</v>
      </c>
      <c r="BS69" s="17" t="s">
        <v>261</v>
      </c>
      <c r="BT69" s="1" t="str">
        <f>IF(AQ69&gt;AQ$117, AQ69-AQ$117,"")</f>
        <v/>
      </c>
      <c r="BU69" s="1" t="str">
        <f>IF(AR69&gt;AR$117, AR69-AR$117,"")</f>
        <v/>
      </c>
      <c r="BV69" s="1" t="str">
        <f>IF(AS69&gt;AS$117, AS69-AS$117,"")</f>
        <v/>
      </c>
      <c r="BW69" s="1" t="str">
        <f>IF(AT69&gt;AT$117, AT69-AT$117,"")</f>
        <v/>
      </c>
      <c r="BX69" s="1" t="str">
        <f>IF(AU69&gt;AU$117, AU69-AU$117,"")</f>
        <v/>
      </c>
      <c r="BY69" s="1" t="str">
        <f>IF(AV69&gt;AV$117, AV69-AV$117,"")</f>
        <v/>
      </c>
      <c r="BZ69" s="1" t="str">
        <f>IF(AW69&gt;AW$117, AW69-AW$117,"")</f>
        <v/>
      </c>
      <c r="CA69" s="1" t="str">
        <f>IF(AX69&gt;AX$117, AX69-AX$117,"")</f>
        <v/>
      </c>
      <c r="CB69" s="1" t="str">
        <f>IF(AY69&gt;AY$117, AY69-AY$117,"")</f>
        <v/>
      </c>
      <c r="CC69" s="1" t="str">
        <f>IF(AZ69&gt;AZ$117, AZ69-AZ$117,"")</f>
        <v/>
      </c>
      <c r="CD69" s="1" t="str">
        <f>IF(BA69&gt;BA$117, BA69-BA$117,"")</f>
        <v/>
      </c>
      <c r="CE69" s="1" t="str">
        <f>IF(BB69&gt;BB$117, BB69-BB$117,"")</f>
        <v/>
      </c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3"/>
    </row>
    <row r="70" spans="1:97" ht="27" x14ac:dyDescent="0.15">
      <c r="A70" s="1"/>
      <c r="B70" s="1" t="s">
        <v>143</v>
      </c>
      <c r="C70" s="1" t="s">
        <v>139</v>
      </c>
      <c r="D70" s="1" t="s">
        <v>112</v>
      </c>
      <c r="E70" s="6">
        <v>10</v>
      </c>
      <c r="F70" s="6"/>
      <c r="G70" s="6"/>
      <c r="H70" s="6"/>
      <c r="I70" s="6"/>
      <c r="J70" s="6"/>
      <c r="K70" s="6"/>
      <c r="L70" s="6"/>
      <c r="M70" s="6"/>
      <c r="N70" s="6"/>
      <c r="O70" s="6"/>
      <c r="P70" s="28"/>
      <c r="Q70" s="28"/>
      <c r="R70" s="28">
        <v>10</v>
      </c>
      <c r="S70" s="28"/>
      <c r="T70" s="28"/>
      <c r="U70" s="28">
        <v>10</v>
      </c>
      <c r="V70" s="28"/>
      <c r="W70" s="28"/>
      <c r="X70" s="28"/>
      <c r="Y70" s="28"/>
      <c r="Z70" s="28"/>
      <c r="AA70" s="28"/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>
        <v>10</v>
      </c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>SUM(E70:BO70)</f>
        <v>40</v>
      </c>
      <c r="BQ70" s="1">
        <v>18</v>
      </c>
      <c r="BR70" s="17">
        <v>2</v>
      </c>
      <c r="BS70" s="17" t="s">
        <v>261</v>
      </c>
      <c r="BT70" s="1" t="str">
        <f>IF(AQ70&gt;AQ$117, AQ70-AQ$117,"")</f>
        <v/>
      </c>
      <c r="BU70" s="1" t="str">
        <f>IF(AR70&gt;AR$117, AR70-AR$117,"")</f>
        <v/>
      </c>
      <c r="BV70" s="1" t="str">
        <f>IF(AS70&gt;AS$117, AS70-AS$117,"")</f>
        <v/>
      </c>
      <c r="BW70" s="1" t="str">
        <f>IF(AT70&gt;AT$117, AT70-AT$117,"")</f>
        <v/>
      </c>
      <c r="BX70" s="1" t="str">
        <f>IF(AU70&gt;AU$117, AU70-AU$117,"")</f>
        <v/>
      </c>
      <c r="BY70" s="1" t="str">
        <f>IF(AV70&gt;AV$117, AV70-AV$117,"")</f>
        <v/>
      </c>
      <c r="BZ70" s="1" t="str">
        <f>IF(AW70&gt;AW$117, AW70-AW$117,"")</f>
        <v/>
      </c>
      <c r="CA70" s="1" t="str">
        <f>IF(AX70&gt;AX$117, AX70-AX$117,"")</f>
        <v/>
      </c>
      <c r="CB70" s="1" t="str">
        <f>IF(AY70&gt;AY$117, AY70-AY$117,"")</f>
        <v/>
      </c>
      <c r="CC70" s="1" t="str">
        <f>IF(AZ70&gt;AZ$117, AZ70-AZ$117,"")</f>
        <v/>
      </c>
      <c r="CD70" s="1" t="str">
        <f>IF(BA70&gt;BA$117, BA70-BA$117,"")</f>
        <v/>
      </c>
      <c r="CE70" s="1" t="str">
        <f>IF(BB70&gt;BB$117, BB70-BB$117,"")</f>
        <v/>
      </c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3"/>
    </row>
    <row r="71" spans="1:97" ht="27" x14ac:dyDescent="0.15">
      <c r="A71" s="1"/>
      <c r="B71" s="1" t="s">
        <v>141</v>
      </c>
      <c r="C71" s="1" t="s">
        <v>139</v>
      </c>
      <c r="D71" s="1" t="s">
        <v>112</v>
      </c>
      <c r="E71" s="6"/>
      <c r="F71" s="6"/>
      <c r="G71" s="6"/>
      <c r="H71" s="6">
        <v>10</v>
      </c>
      <c r="I71" s="6"/>
      <c r="J71" s="6"/>
      <c r="K71" s="6"/>
      <c r="L71" s="6"/>
      <c r="M71" s="6"/>
      <c r="N71" s="6"/>
      <c r="O71" s="6"/>
      <c r="P71" s="28"/>
      <c r="Q71" s="28"/>
      <c r="R71" s="28">
        <v>10</v>
      </c>
      <c r="S71" s="28"/>
      <c r="T71" s="28"/>
      <c r="U71" s="28">
        <v>10</v>
      </c>
      <c r="V71" s="28"/>
      <c r="W71" s="28"/>
      <c r="X71" s="28"/>
      <c r="Y71" s="28"/>
      <c r="Z71" s="28"/>
      <c r="AA71" s="28"/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>
        <v>10</v>
      </c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>SUM(E71:BO71)</f>
        <v>40</v>
      </c>
      <c r="BQ71" s="1">
        <v>18</v>
      </c>
      <c r="BR71" s="17">
        <v>2</v>
      </c>
      <c r="BS71" s="17" t="s">
        <v>261</v>
      </c>
      <c r="BT71" s="1" t="str">
        <f>IF(AQ71&gt;AQ$117, AQ71-AQ$117,"")</f>
        <v/>
      </c>
      <c r="BU71" s="1" t="str">
        <f>IF(AR71&gt;AR$117, AR71-AR$117,"")</f>
        <v/>
      </c>
      <c r="BV71" s="1" t="str">
        <f>IF(AS71&gt;AS$117, AS71-AS$117,"")</f>
        <v/>
      </c>
      <c r="BW71" s="1" t="str">
        <f>IF(AT71&gt;AT$117, AT71-AT$117,"")</f>
        <v/>
      </c>
      <c r="BX71" s="1" t="str">
        <f>IF(AU71&gt;AU$117, AU71-AU$117,"")</f>
        <v/>
      </c>
      <c r="BY71" s="1" t="str">
        <f>IF(AV71&gt;AV$117, AV71-AV$117,"")</f>
        <v/>
      </c>
      <c r="BZ71" s="1" t="str">
        <f>IF(AW71&gt;AW$117, AW71-AW$117,"")</f>
        <v/>
      </c>
      <c r="CA71" s="1" t="str">
        <f>IF(AX71&gt;AX$117, AX71-AX$117,"")</f>
        <v/>
      </c>
      <c r="CB71" s="1" t="str">
        <f>IF(AY71&gt;AY$117, AY71-AY$117,"")</f>
        <v/>
      </c>
      <c r="CC71" s="1" t="str">
        <f>IF(AZ71&gt;AZ$117, AZ71-AZ$117,"")</f>
        <v/>
      </c>
      <c r="CD71" s="1" t="str">
        <f>IF(BA71&gt;BA$117, BA71-BA$117,"")</f>
        <v/>
      </c>
      <c r="CE71" s="1" t="str">
        <f>IF(BB71&gt;BB$117, BB71-BB$117,"")</f>
        <v/>
      </c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3"/>
    </row>
    <row r="72" spans="1:97" ht="27" x14ac:dyDescent="0.15">
      <c r="A72" s="1"/>
      <c r="B72" s="1" t="s">
        <v>169</v>
      </c>
      <c r="C72" s="1" t="s">
        <v>107</v>
      </c>
      <c r="D72" s="1" t="s">
        <v>93</v>
      </c>
      <c r="E72" s="6"/>
      <c r="F72" s="6"/>
      <c r="G72" s="6">
        <v>20</v>
      </c>
      <c r="H72" s="6">
        <v>20</v>
      </c>
      <c r="I72" s="6"/>
      <c r="J72" s="6"/>
      <c r="K72" s="6"/>
      <c r="L72" s="6"/>
      <c r="M72" s="6"/>
      <c r="N72" s="6"/>
      <c r="O72" s="6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>
        <v>20</v>
      </c>
      <c r="BB72" s="2">
        <v>20</v>
      </c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>
        <f>SUM(E72:BO72)</f>
        <v>80</v>
      </c>
      <c r="BQ72" s="1">
        <v>19</v>
      </c>
      <c r="BR72" s="17">
        <v>2</v>
      </c>
      <c r="BS72" s="17" t="s">
        <v>228</v>
      </c>
      <c r="BT72" s="1" t="str">
        <f>IF(AQ72&gt;AQ$117, AQ72-AQ$117,"")</f>
        <v/>
      </c>
      <c r="BU72" s="1" t="str">
        <f>IF(AR72&gt;AR$117, AR72-AR$117,"")</f>
        <v/>
      </c>
      <c r="BV72" s="1" t="str">
        <f>IF(AS72&gt;AS$117, AS72-AS$117,"")</f>
        <v/>
      </c>
      <c r="BW72" s="1" t="str">
        <f>IF(AT72&gt;AT$117, AT72-AT$117,"")</f>
        <v/>
      </c>
      <c r="BX72" s="1" t="str">
        <f>IF(AU72&gt;AU$117, AU72-AU$117,"")</f>
        <v/>
      </c>
      <c r="BY72" s="1" t="str">
        <f>IF(AV72&gt;AV$117, AV72-AV$117,"")</f>
        <v/>
      </c>
      <c r="BZ72" s="1" t="str">
        <f>IF(AW72&gt;AW$117, AW72-AW$117,"")</f>
        <v/>
      </c>
      <c r="CA72" s="1" t="str">
        <f>IF(AX72&gt;AX$117, AX72-AX$117,"")</f>
        <v/>
      </c>
      <c r="CB72" s="1" t="str">
        <f>IF(AY72&gt;AY$117, AY72-AY$117,"")</f>
        <v/>
      </c>
      <c r="CC72" s="1" t="str">
        <f>IF(AZ72&gt;AZ$117, AZ72-AZ$117,"")</f>
        <v/>
      </c>
      <c r="CD72" s="1" t="str">
        <f>IF(BA72&gt;BA$117, BA72-BA$117,"")</f>
        <v/>
      </c>
      <c r="CE72" s="1" t="str">
        <f>IF(BB72&gt;BB$117, BB72-BB$117,"")</f>
        <v/>
      </c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3"/>
    </row>
    <row r="73" spans="1:97" ht="27" x14ac:dyDescent="0.15">
      <c r="A73" s="1"/>
      <c r="B73" s="1" t="s">
        <v>99</v>
      </c>
      <c r="C73" s="1" t="s">
        <v>96</v>
      </c>
      <c r="D73" s="1" t="s">
        <v>94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>
        <v>10</v>
      </c>
      <c r="AP73" s="1">
        <v>10</v>
      </c>
      <c r="AQ73" s="4"/>
      <c r="AR73" s="4"/>
      <c r="AS73" s="4">
        <v>5</v>
      </c>
      <c r="AT73" s="4"/>
      <c r="AU73" s="4"/>
      <c r="AV73" s="4"/>
      <c r="AW73" s="2"/>
      <c r="AX73" s="2">
        <v>5</v>
      </c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f>SUM(E73:BO73)</f>
        <v>30</v>
      </c>
      <c r="BQ73" s="1">
        <v>20</v>
      </c>
      <c r="BR73" s="17">
        <v>2</v>
      </c>
      <c r="BS73" s="17" t="s">
        <v>262</v>
      </c>
      <c r="BT73" s="1" t="str">
        <f>IF(AQ73&gt;AQ$117, AQ73-AQ$117,"")</f>
        <v/>
      </c>
      <c r="BU73" s="1" t="str">
        <f>IF(AR73&gt;AR$117, AR73-AR$117,"")</f>
        <v/>
      </c>
      <c r="BV73" s="1" t="str">
        <f>IF(AS73&gt;AS$117, AS73-AS$117,"")</f>
        <v/>
      </c>
      <c r="BW73" s="1" t="str">
        <f>IF(AT73&gt;AT$117, AT73-AT$117,"")</f>
        <v/>
      </c>
      <c r="BX73" s="1" t="str">
        <f>IF(AU73&gt;AU$117, AU73-AU$117,"")</f>
        <v/>
      </c>
      <c r="BY73" s="1" t="str">
        <f>IF(AV73&gt;AV$117, AV73-AV$117,"")</f>
        <v/>
      </c>
      <c r="BZ73" s="1" t="str">
        <f>IF(AW73&gt;AW$117, AW73-AW$117,"")</f>
        <v/>
      </c>
      <c r="CA73" s="1" t="str">
        <f>IF(AX73&gt;AX$117, AX73-AX$117,"")</f>
        <v/>
      </c>
      <c r="CB73" s="1" t="str">
        <f>IF(AY73&gt;AY$117, AY73-AY$117,"")</f>
        <v/>
      </c>
      <c r="CC73" s="1" t="str">
        <f>IF(AZ73&gt;AZ$117, AZ73-AZ$117,"")</f>
        <v/>
      </c>
      <c r="CD73" s="1" t="str">
        <f>IF(BA73&gt;BA$117, BA73-BA$117,"")</f>
        <v/>
      </c>
      <c r="CE73" s="1" t="str">
        <f>IF(BB73&gt;BB$117, BB73-BB$117,"")</f>
        <v/>
      </c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3"/>
    </row>
    <row r="74" spans="1:97" ht="27" x14ac:dyDescent="0.15">
      <c r="A74" s="1"/>
      <c r="B74" s="1" t="s">
        <v>95</v>
      </c>
      <c r="C74" s="1" t="s">
        <v>96</v>
      </c>
      <c r="D74" s="1" t="s">
        <v>97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>
        <v>40</v>
      </c>
      <c r="AW74" s="2">
        <v>40</v>
      </c>
      <c r="AX74" s="2"/>
      <c r="AY74" s="2"/>
      <c r="AZ74" s="2"/>
      <c r="BA74" s="2"/>
      <c r="BB74" s="2">
        <v>40</v>
      </c>
      <c r="BC74" s="14">
        <v>10</v>
      </c>
      <c r="BD74" s="1">
        <v>50</v>
      </c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>
        <f>SUM(E74:BO74)</f>
        <v>180</v>
      </c>
      <c r="BQ74" s="1">
        <v>56</v>
      </c>
      <c r="BR74" s="17">
        <v>2</v>
      </c>
      <c r="BS74" s="17" t="s">
        <v>263</v>
      </c>
      <c r="BT74" s="1" t="str">
        <f>IF(AQ74&gt;AQ$117, AQ74-AQ$117,"")</f>
        <v/>
      </c>
      <c r="BU74" s="1" t="str">
        <f>IF(AR74&gt;AR$117, AR74-AR$117,"")</f>
        <v/>
      </c>
      <c r="BV74" s="1" t="str">
        <f>IF(AS74&gt;AS$117, AS74-AS$117,"")</f>
        <v/>
      </c>
      <c r="BW74" s="1" t="str">
        <f>IF(AT74&gt;AT$117, AT74-AT$117,"")</f>
        <v/>
      </c>
      <c r="BX74" s="1" t="str">
        <f>IF(AU74&gt;AU$117, AU74-AU$117,"")</f>
        <v/>
      </c>
      <c r="BY74" s="1" t="str">
        <f>IF(AV74&gt;AV$117, AV74-AV$117,"")</f>
        <v/>
      </c>
      <c r="BZ74" s="1" t="str">
        <f>IF(AW74&gt;AW$117, AW74-AW$117,"")</f>
        <v/>
      </c>
      <c r="CA74" s="1" t="str">
        <f>IF(AX74&gt;AX$117, AX74-AX$117,"")</f>
        <v/>
      </c>
      <c r="CB74" s="1" t="str">
        <f>IF(AY74&gt;AY$117, AY74-AY$117,"")</f>
        <v/>
      </c>
      <c r="CC74" s="1" t="str">
        <f>IF(AZ74&gt;AZ$117, AZ74-AZ$117,"")</f>
        <v/>
      </c>
      <c r="CD74" s="1" t="str">
        <f>IF(BA74&gt;BA$117, BA74-BA$117,"")</f>
        <v/>
      </c>
      <c r="CE74" s="1" t="str">
        <f>IF(BB74&gt;BB$117, BB74-BB$117,"")</f>
        <v/>
      </c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3"/>
    </row>
    <row r="75" spans="1:97" ht="40.5" x14ac:dyDescent="0.15">
      <c r="A75" s="1"/>
      <c r="B75" s="1" t="s">
        <v>143</v>
      </c>
      <c r="C75" s="1" t="s">
        <v>139</v>
      </c>
      <c r="D75" s="1" t="s">
        <v>111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28"/>
      <c r="Q75" s="28"/>
      <c r="R75" s="28"/>
      <c r="S75" s="28"/>
      <c r="T75" s="28"/>
      <c r="U75" s="28">
        <v>2</v>
      </c>
      <c r="V75" s="28"/>
      <c r="W75" s="28"/>
      <c r="X75" s="28"/>
      <c r="Y75" s="28"/>
      <c r="Z75" s="28"/>
      <c r="AA75" s="28">
        <v>2</v>
      </c>
      <c r="AB75" s="28"/>
      <c r="AC75" s="28">
        <v>5</v>
      </c>
      <c r="AD75" s="28">
        <v>2</v>
      </c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>
        <f>SUM(E75:BO75)</f>
        <v>11</v>
      </c>
      <c r="BQ75" s="1">
        <v>6</v>
      </c>
      <c r="BR75" s="17">
        <v>3</v>
      </c>
      <c r="BS75" s="17" t="s">
        <v>264</v>
      </c>
      <c r="BT75" s="1" t="str">
        <f>IF(AQ75&gt;AQ$117, AQ75-AQ$117,"")</f>
        <v/>
      </c>
      <c r="BU75" s="1" t="str">
        <f>IF(AR75&gt;AR$117, AR75-AR$117,"")</f>
        <v/>
      </c>
      <c r="BV75" s="1" t="str">
        <f>IF(AS75&gt;AS$117, AS75-AS$117,"")</f>
        <v/>
      </c>
      <c r="BW75" s="1" t="str">
        <f>IF(AT75&gt;AT$117, AT75-AT$117,"")</f>
        <v/>
      </c>
      <c r="BX75" s="1" t="str">
        <f>IF(AU75&gt;AU$117, AU75-AU$117,"")</f>
        <v/>
      </c>
      <c r="BY75" s="1" t="str">
        <f>IF(AV75&gt;AV$117, AV75-AV$117,"")</f>
        <v/>
      </c>
      <c r="BZ75" s="1" t="str">
        <f>IF(AW75&gt;AW$117, AW75-AW$117,"")</f>
        <v/>
      </c>
      <c r="CA75" s="1" t="str">
        <f>IF(AX75&gt;AX$117, AX75-AX$117,"")</f>
        <v/>
      </c>
      <c r="CB75" s="1" t="str">
        <f>IF(AY75&gt;AY$117, AY75-AY$117,"")</f>
        <v/>
      </c>
      <c r="CC75" s="1" t="str">
        <f>IF(AZ75&gt;AZ$117, AZ75-AZ$117,"")</f>
        <v/>
      </c>
      <c r="CD75" s="1" t="str">
        <f>IF(BA75&gt;BA$117, BA75-BA$117,"")</f>
        <v/>
      </c>
      <c r="CE75" s="1" t="str">
        <f>IF(BB75&gt;BB$117, BB75-BB$117,"")</f>
        <v/>
      </c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3"/>
    </row>
    <row r="76" spans="1:97" ht="40.5" x14ac:dyDescent="0.15">
      <c r="A76" s="1"/>
      <c r="B76" s="1" t="s">
        <v>136</v>
      </c>
      <c r="C76" s="1" t="s">
        <v>137</v>
      </c>
      <c r="D76" s="1" t="s">
        <v>112</v>
      </c>
      <c r="E76" s="6"/>
      <c r="F76" s="6"/>
      <c r="G76" s="6"/>
      <c r="H76" s="6"/>
      <c r="I76" s="6"/>
      <c r="J76" s="6"/>
      <c r="K76" s="6"/>
      <c r="L76" s="6">
        <v>7</v>
      </c>
      <c r="M76" s="6"/>
      <c r="N76" s="6"/>
      <c r="O76" s="6"/>
      <c r="P76" s="28"/>
      <c r="Q76" s="28">
        <v>7</v>
      </c>
      <c r="R76" s="28"/>
      <c r="S76" s="28"/>
      <c r="T76" s="28">
        <v>7</v>
      </c>
      <c r="U76" s="28"/>
      <c r="V76" s="28"/>
      <c r="W76" s="28"/>
      <c r="X76" s="28">
        <v>7</v>
      </c>
      <c r="Y76" s="28"/>
      <c r="Z76" s="28"/>
      <c r="AA76" s="28"/>
      <c r="AB76" s="28"/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>
        <f>SUM(E76:BO76)</f>
        <v>28</v>
      </c>
      <c r="BQ76" s="1">
        <v>9</v>
      </c>
      <c r="BR76" s="17">
        <v>3</v>
      </c>
      <c r="BS76" s="17" t="s">
        <v>265</v>
      </c>
      <c r="BT76" s="1" t="str">
        <f>IF(AQ76&gt;AQ$117, AQ76-AQ$117,"")</f>
        <v/>
      </c>
      <c r="BU76" s="1" t="str">
        <f>IF(AR76&gt;AR$117, AR76-AR$117,"")</f>
        <v/>
      </c>
      <c r="BV76" s="1" t="str">
        <f>IF(AS76&gt;AS$117, AS76-AS$117,"")</f>
        <v/>
      </c>
      <c r="BW76" s="1" t="str">
        <f>IF(AT76&gt;AT$117, AT76-AT$117,"")</f>
        <v/>
      </c>
      <c r="BX76" s="1" t="str">
        <f>IF(AU76&gt;AU$117, AU76-AU$117,"")</f>
        <v/>
      </c>
      <c r="BY76" s="1" t="str">
        <f>IF(AV76&gt;AV$117, AV76-AV$117,"")</f>
        <v/>
      </c>
      <c r="BZ76" s="1" t="str">
        <f>IF(AW76&gt;AW$117, AW76-AW$117,"")</f>
        <v/>
      </c>
      <c r="CA76" s="1" t="str">
        <f>IF(AX76&gt;AX$117, AX76-AX$117,"")</f>
        <v/>
      </c>
      <c r="CB76" s="1" t="str">
        <f>IF(AY76&gt;AY$117, AY76-AY$117,"")</f>
        <v/>
      </c>
      <c r="CC76" s="1" t="str">
        <f>IF(AZ76&gt;AZ$117, AZ76-AZ$117,"")</f>
        <v/>
      </c>
      <c r="CD76" s="1" t="str">
        <f>IF(BA76&gt;BA$117, BA76-BA$117,"")</f>
        <v/>
      </c>
      <c r="CE76" s="1" t="str">
        <f>IF(BB76&gt;BB$117, BB76-BB$117,"")</f>
        <v/>
      </c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3"/>
    </row>
    <row r="77" spans="1:97" ht="40.5" x14ac:dyDescent="0.15">
      <c r="A77" s="1"/>
      <c r="B77" s="1" t="s">
        <v>130</v>
      </c>
      <c r="C77" s="1" t="s">
        <v>128</v>
      </c>
      <c r="D77" s="1" t="s">
        <v>111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28"/>
      <c r="Q77" s="28">
        <v>5</v>
      </c>
      <c r="R77" s="28"/>
      <c r="S77" s="28"/>
      <c r="T77" s="28">
        <v>5</v>
      </c>
      <c r="U77" s="28"/>
      <c r="V77" s="28"/>
      <c r="W77" s="28"/>
      <c r="X77" s="28"/>
      <c r="Y77" s="28"/>
      <c r="Z77" s="28">
        <v>5</v>
      </c>
      <c r="AA77" s="28">
        <v>2</v>
      </c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>SUM(E77:BO77)</f>
        <v>17</v>
      </c>
      <c r="BQ77" s="1">
        <v>9</v>
      </c>
      <c r="BR77" s="17">
        <v>3</v>
      </c>
      <c r="BS77" s="17" t="s">
        <v>216</v>
      </c>
      <c r="BT77" s="1" t="str">
        <f>IF(AQ77&gt;AQ$117, AQ77-AQ$117,"")</f>
        <v/>
      </c>
      <c r="BU77" s="1" t="str">
        <f>IF(AR77&gt;AR$117, AR77-AR$117,"")</f>
        <v/>
      </c>
      <c r="BV77" s="1" t="str">
        <f>IF(AS77&gt;AS$117, AS77-AS$117,"")</f>
        <v/>
      </c>
      <c r="BW77" s="1" t="str">
        <f>IF(AT77&gt;AT$117, AT77-AT$117,"")</f>
        <v/>
      </c>
      <c r="BX77" s="1" t="str">
        <f>IF(AU77&gt;AU$117, AU77-AU$117,"")</f>
        <v/>
      </c>
      <c r="BY77" s="1" t="str">
        <f>IF(AV77&gt;AV$117, AV77-AV$117,"")</f>
        <v/>
      </c>
      <c r="BZ77" s="1" t="str">
        <f>IF(AW77&gt;AW$117, AW77-AW$117,"")</f>
        <v/>
      </c>
      <c r="CA77" s="1" t="str">
        <f>IF(AX77&gt;AX$117, AX77-AX$117,"")</f>
        <v/>
      </c>
      <c r="CB77" s="1" t="str">
        <f>IF(AY77&gt;AY$117, AY77-AY$117,"")</f>
        <v/>
      </c>
      <c r="CC77" s="1" t="str">
        <f>IF(AZ77&gt;AZ$117, AZ77-AZ$117,"")</f>
        <v/>
      </c>
      <c r="CD77" s="1" t="str">
        <f>IF(BA77&gt;BA$117, BA77-BA$117,"")</f>
        <v/>
      </c>
      <c r="CE77" s="1" t="str">
        <f>IF(BB77&gt;BB$117, BB77-BB$117,"")</f>
        <v/>
      </c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3"/>
    </row>
    <row r="78" spans="1:97" ht="40.5" x14ac:dyDescent="0.15">
      <c r="A78" s="1"/>
      <c r="B78" s="1" t="s">
        <v>140</v>
      </c>
      <c r="C78" s="1" t="s">
        <v>139</v>
      </c>
      <c r="D78" s="1" t="s">
        <v>111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28"/>
      <c r="Q78" s="28">
        <v>5</v>
      </c>
      <c r="R78" s="28"/>
      <c r="S78" s="28"/>
      <c r="T78" s="28">
        <v>5</v>
      </c>
      <c r="U78" s="28"/>
      <c r="V78" s="28"/>
      <c r="W78" s="28"/>
      <c r="X78" s="28"/>
      <c r="Y78" s="28"/>
      <c r="Z78" s="28">
        <v>5</v>
      </c>
      <c r="AA78" s="28">
        <v>2</v>
      </c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>SUM(E78:BO78)</f>
        <v>17</v>
      </c>
      <c r="BQ78" s="1">
        <v>9</v>
      </c>
      <c r="BR78" s="17">
        <v>3</v>
      </c>
      <c r="BS78" s="17" t="s">
        <v>266</v>
      </c>
      <c r="BT78" s="1" t="str">
        <f>IF(AQ78&gt;AQ$117, AQ78-AQ$117,"")</f>
        <v/>
      </c>
      <c r="BU78" s="1" t="str">
        <f>IF(AR78&gt;AR$117, AR78-AR$117,"")</f>
        <v/>
      </c>
      <c r="BV78" s="1" t="str">
        <f>IF(AS78&gt;AS$117, AS78-AS$117,"")</f>
        <v/>
      </c>
      <c r="BW78" s="1" t="str">
        <f>IF(AT78&gt;AT$117, AT78-AT$117,"")</f>
        <v/>
      </c>
      <c r="BX78" s="1" t="str">
        <f>IF(AU78&gt;AU$117, AU78-AU$117,"")</f>
        <v/>
      </c>
      <c r="BY78" s="1" t="str">
        <f>IF(AV78&gt;AV$117, AV78-AV$117,"")</f>
        <v/>
      </c>
      <c r="BZ78" s="1" t="str">
        <f>IF(AW78&gt;AW$117, AW78-AW$117,"")</f>
        <v/>
      </c>
      <c r="CA78" s="1" t="str">
        <f>IF(AX78&gt;AX$117, AX78-AX$117,"")</f>
        <v/>
      </c>
      <c r="CB78" s="1" t="str">
        <f>IF(AY78&gt;AY$117, AY78-AY$117,"")</f>
        <v/>
      </c>
      <c r="CC78" s="1" t="str">
        <f>IF(AZ78&gt;AZ$117, AZ78-AZ$117,"")</f>
        <v/>
      </c>
      <c r="CD78" s="1" t="str">
        <f>IF(BA78&gt;BA$117, BA78-BA$117,"")</f>
        <v/>
      </c>
      <c r="CE78" s="1" t="str">
        <f>IF(BB78&gt;BB$117, BB78-BB$117,"")</f>
        <v/>
      </c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3"/>
    </row>
    <row r="79" spans="1:97" ht="40.5" x14ac:dyDescent="0.15">
      <c r="A79" s="1"/>
      <c r="B79" s="1" t="s">
        <v>146</v>
      </c>
      <c r="C79" s="1" t="s">
        <v>107</v>
      </c>
      <c r="D79" s="1" t="s">
        <v>148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28"/>
      <c r="Q79" s="28">
        <v>5</v>
      </c>
      <c r="R79" s="28"/>
      <c r="S79" s="28"/>
      <c r="T79" s="28">
        <v>5</v>
      </c>
      <c r="U79" s="28"/>
      <c r="V79" s="28"/>
      <c r="W79" s="28"/>
      <c r="X79" s="28"/>
      <c r="Y79" s="28"/>
      <c r="Z79" s="28">
        <v>5</v>
      </c>
      <c r="AA79" s="28">
        <v>2</v>
      </c>
      <c r="AB79" s="28"/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>SUM(E79:BO79)</f>
        <v>17</v>
      </c>
      <c r="BQ79" s="1">
        <v>9</v>
      </c>
      <c r="BR79" s="17">
        <v>3</v>
      </c>
      <c r="BS79" s="17" t="s">
        <v>216</v>
      </c>
      <c r="BT79" s="1" t="str">
        <f>IF(AQ79&gt;AQ$117, AQ79-AQ$117,"")</f>
        <v/>
      </c>
      <c r="BU79" s="1" t="str">
        <f>IF(AR79&gt;AR$117, AR79-AR$117,"")</f>
        <v/>
      </c>
      <c r="BV79" s="1" t="str">
        <f>IF(AS79&gt;AS$117, AS79-AS$117,"")</f>
        <v/>
      </c>
      <c r="BW79" s="1" t="str">
        <f>IF(AT79&gt;AT$117, AT79-AT$117,"")</f>
        <v/>
      </c>
      <c r="BX79" s="1" t="str">
        <f>IF(AU79&gt;AU$117, AU79-AU$117,"")</f>
        <v/>
      </c>
      <c r="BY79" s="1" t="str">
        <f>IF(AV79&gt;AV$117, AV79-AV$117,"")</f>
        <v/>
      </c>
      <c r="BZ79" s="1" t="str">
        <f>IF(AW79&gt;AW$117, AW79-AW$117,"")</f>
        <v/>
      </c>
      <c r="CA79" s="1" t="str">
        <f>IF(AX79&gt;AX$117, AX79-AX$117,"")</f>
        <v/>
      </c>
      <c r="CB79" s="1" t="str">
        <f>IF(AY79&gt;AY$117, AY79-AY$117,"")</f>
        <v/>
      </c>
      <c r="CC79" s="1" t="str">
        <f>IF(AZ79&gt;AZ$117, AZ79-AZ$117,"")</f>
        <v/>
      </c>
      <c r="CD79" s="1" t="str">
        <f>IF(BA79&gt;BA$117, BA79-BA$117,"")</f>
        <v/>
      </c>
      <c r="CE79" s="1" t="str">
        <f>IF(BB79&gt;BB$117, BB79-BB$117,"")</f>
        <v/>
      </c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3"/>
    </row>
    <row r="80" spans="1:97" ht="40.5" x14ac:dyDescent="0.15">
      <c r="A80" s="1"/>
      <c r="B80" s="1" t="s">
        <v>143</v>
      </c>
      <c r="C80" s="1" t="s">
        <v>139</v>
      </c>
      <c r="D80" s="1" t="s">
        <v>110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28"/>
      <c r="Q80" s="28">
        <v>5</v>
      </c>
      <c r="R80" s="28"/>
      <c r="S80" s="28"/>
      <c r="T80" s="28">
        <v>5</v>
      </c>
      <c r="U80" s="28"/>
      <c r="V80" s="28"/>
      <c r="W80" s="28">
        <v>5</v>
      </c>
      <c r="X80" s="28"/>
      <c r="Y80" s="28"/>
      <c r="Z80" s="28">
        <v>5</v>
      </c>
      <c r="AA80" s="28"/>
      <c r="AB80" s="28"/>
      <c r="AC80" s="28"/>
      <c r="AD80" s="28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20</v>
      </c>
      <c r="BQ80" s="1">
        <v>11</v>
      </c>
      <c r="BR80" s="17">
        <v>3</v>
      </c>
      <c r="BS80" s="17" t="s">
        <v>267</v>
      </c>
      <c r="BT80" s="1" t="str">
        <f>IF(AQ80&gt;AQ$117, AQ80-AQ$117,"")</f>
        <v/>
      </c>
      <c r="BU80" s="1" t="str">
        <f>IF(AR80&gt;AR$117, AR80-AR$117,"")</f>
        <v/>
      </c>
      <c r="BV80" s="1" t="str">
        <f>IF(AS80&gt;AS$117, AS80-AS$117,"")</f>
        <v/>
      </c>
      <c r="BW80" s="1" t="str">
        <f>IF(AT80&gt;AT$117, AT80-AT$117,"")</f>
        <v/>
      </c>
      <c r="BX80" s="1" t="str">
        <f>IF(AU80&gt;AU$117, AU80-AU$117,"")</f>
        <v/>
      </c>
      <c r="BY80" s="1" t="str">
        <f>IF(AV80&gt;AV$117, AV80-AV$117,"")</f>
        <v/>
      </c>
      <c r="BZ80" s="1" t="str">
        <f>IF(AW80&gt;AW$117, AW80-AW$117,"")</f>
        <v/>
      </c>
      <c r="CA80" s="1" t="str">
        <f>IF(AX80&gt;AX$117, AX80-AX$117,"")</f>
        <v/>
      </c>
      <c r="CB80" s="1" t="str">
        <f>IF(AY80&gt;AY$117, AY80-AY$117,"")</f>
        <v/>
      </c>
      <c r="CC80" s="1" t="str">
        <f>IF(AZ80&gt;AZ$117, AZ80-AZ$117,"")</f>
        <v/>
      </c>
      <c r="CD80" s="1" t="str">
        <f>IF(BA80&gt;BA$117, BA80-BA$117,"")</f>
        <v/>
      </c>
      <c r="CE80" s="1" t="str">
        <f>IF(BB80&gt;BB$117, BB80-BB$117,"")</f>
        <v/>
      </c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3"/>
    </row>
    <row r="81" spans="1:97" ht="40.5" x14ac:dyDescent="0.15">
      <c r="A81" s="1"/>
      <c r="B81" s="1" t="s">
        <v>144</v>
      </c>
      <c r="C81" s="1" t="s">
        <v>139</v>
      </c>
      <c r="D81" s="1" t="s">
        <v>112</v>
      </c>
      <c r="E81" s="6"/>
      <c r="F81" s="6"/>
      <c r="G81" s="6">
        <v>5</v>
      </c>
      <c r="H81" s="6"/>
      <c r="I81" s="6"/>
      <c r="J81" s="6"/>
      <c r="K81" s="6"/>
      <c r="L81" s="6"/>
      <c r="M81" s="6"/>
      <c r="N81" s="6"/>
      <c r="O81" s="6"/>
      <c r="P81" s="28"/>
      <c r="Q81" s="28"/>
      <c r="R81" s="28"/>
      <c r="S81" s="28"/>
      <c r="T81" s="28"/>
      <c r="U81" s="28"/>
      <c r="V81" s="28">
        <v>5</v>
      </c>
      <c r="W81" s="28"/>
      <c r="X81" s="28"/>
      <c r="Y81" s="28">
        <v>5</v>
      </c>
      <c r="Z81" s="28"/>
      <c r="AA81" s="28"/>
      <c r="AB81" s="28"/>
      <c r="AC81" s="28">
        <v>5</v>
      </c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20</v>
      </c>
      <c r="BQ81" s="1">
        <v>11</v>
      </c>
      <c r="BR81" s="17">
        <v>3</v>
      </c>
      <c r="BS81" s="17" t="s">
        <v>268</v>
      </c>
      <c r="BT81" s="1" t="str">
        <f>IF(AQ81&gt;AQ$117, AQ81-AQ$117,"")</f>
        <v/>
      </c>
      <c r="BU81" s="1" t="str">
        <f>IF(AR81&gt;AR$117, AR81-AR$117,"")</f>
        <v/>
      </c>
      <c r="BV81" s="1" t="str">
        <f>IF(AS81&gt;AS$117, AS81-AS$117,"")</f>
        <v/>
      </c>
      <c r="BW81" s="1" t="str">
        <f>IF(AT81&gt;AT$117, AT81-AT$117,"")</f>
        <v/>
      </c>
      <c r="BX81" s="1" t="str">
        <f>IF(AU81&gt;AU$117, AU81-AU$117,"")</f>
        <v/>
      </c>
      <c r="BY81" s="1" t="str">
        <f>IF(AV81&gt;AV$117, AV81-AV$117,"")</f>
        <v/>
      </c>
      <c r="BZ81" s="1" t="str">
        <f>IF(AW81&gt;AW$117, AW81-AW$117,"")</f>
        <v/>
      </c>
      <c r="CA81" s="1" t="str">
        <f>IF(AX81&gt;AX$117, AX81-AX$117,"")</f>
        <v/>
      </c>
      <c r="CB81" s="1" t="str">
        <f>IF(AY81&gt;AY$117, AY81-AY$117,"")</f>
        <v/>
      </c>
      <c r="CC81" s="1" t="str">
        <f>IF(AZ81&gt;AZ$117, AZ81-AZ$117,"")</f>
        <v/>
      </c>
      <c r="CD81" s="1" t="str">
        <f>IF(BA81&gt;BA$117, BA81-BA$117,"")</f>
        <v/>
      </c>
      <c r="CE81" s="1" t="str">
        <f>IF(BB81&gt;BB$117, BB81-BB$117,"")</f>
        <v/>
      </c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3"/>
    </row>
    <row r="82" spans="1:97" ht="40.5" x14ac:dyDescent="0.15">
      <c r="A82" s="1"/>
      <c r="B82" s="1" t="s">
        <v>134</v>
      </c>
      <c r="C82" s="1" t="s">
        <v>132</v>
      </c>
      <c r="D82" s="1" t="s">
        <v>112</v>
      </c>
      <c r="E82" s="6"/>
      <c r="F82" s="6"/>
      <c r="G82" s="6"/>
      <c r="H82" s="6"/>
      <c r="I82" s="6">
        <v>7</v>
      </c>
      <c r="J82" s="6"/>
      <c r="K82" s="6"/>
      <c r="L82" s="6"/>
      <c r="M82" s="6"/>
      <c r="N82" s="6"/>
      <c r="O82" s="6"/>
      <c r="P82" s="28"/>
      <c r="Q82" s="28">
        <v>7</v>
      </c>
      <c r="R82" s="28">
        <v>7</v>
      </c>
      <c r="S82" s="28"/>
      <c r="T82" s="28">
        <v>7</v>
      </c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>SUM(E82:BO82)</f>
        <v>28</v>
      </c>
      <c r="BQ82" s="1">
        <v>13</v>
      </c>
      <c r="BR82" s="17">
        <v>3</v>
      </c>
      <c r="BS82" s="17" t="s">
        <v>269</v>
      </c>
      <c r="BT82" s="1" t="str">
        <f>IF(AQ82&gt;AQ$117, AQ82-AQ$117,"")</f>
        <v/>
      </c>
      <c r="BU82" s="1" t="str">
        <f>IF(AR82&gt;AR$117, AR82-AR$117,"")</f>
        <v/>
      </c>
      <c r="BV82" s="1" t="str">
        <f>IF(AS82&gt;AS$117, AS82-AS$117,"")</f>
        <v/>
      </c>
      <c r="BW82" s="1" t="str">
        <f>IF(AT82&gt;AT$117, AT82-AT$117,"")</f>
        <v/>
      </c>
      <c r="BX82" s="1" t="str">
        <f>IF(AU82&gt;AU$117, AU82-AU$117,"")</f>
        <v/>
      </c>
      <c r="BY82" s="1" t="str">
        <f>IF(AV82&gt;AV$117, AV82-AV$117,"")</f>
        <v/>
      </c>
      <c r="BZ82" s="1" t="str">
        <f>IF(AW82&gt;AW$117, AW82-AW$117,"")</f>
        <v/>
      </c>
      <c r="CA82" s="1" t="str">
        <f>IF(AX82&gt;AX$117, AX82-AX$117,"")</f>
        <v/>
      </c>
      <c r="CB82" s="1" t="str">
        <f>IF(AY82&gt;AY$117, AY82-AY$117,"")</f>
        <v/>
      </c>
      <c r="CC82" s="1" t="str">
        <f>IF(AZ82&gt;AZ$117, AZ82-AZ$117,"")</f>
        <v/>
      </c>
      <c r="CD82" s="1" t="str">
        <f>IF(BA82&gt;BA$117, BA82-BA$117,"")</f>
        <v/>
      </c>
      <c r="CE82" s="1" t="str">
        <f>IF(BB82&gt;BB$117, BB82-BB$117,"")</f>
        <v/>
      </c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3"/>
    </row>
    <row r="83" spans="1:97" ht="40.5" x14ac:dyDescent="0.15">
      <c r="A83" s="1"/>
      <c r="B83" s="1" t="s">
        <v>130</v>
      </c>
      <c r="C83" s="1" t="s">
        <v>128</v>
      </c>
      <c r="D83" s="1" t="s">
        <v>112</v>
      </c>
      <c r="E83" s="6"/>
      <c r="F83" s="6"/>
      <c r="G83" s="6"/>
      <c r="H83" s="6">
        <v>7</v>
      </c>
      <c r="I83" s="6"/>
      <c r="J83" s="6"/>
      <c r="K83" s="6"/>
      <c r="L83" s="6"/>
      <c r="M83" s="6"/>
      <c r="N83" s="6"/>
      <c r="O83" s="6"/>
      <c r="P83" s="28"/>
      <c r="Q83" s="28">
        <v>7</v>
      </c>
      <c r="R83" s="28"/>
      <c r="S83" s="28"/>
      <c r="T83" s="28">
        <v>7</v>
      </c>
      <c r="U83" s="28"/>
      <c r="V83" s="28"/>
      <c r="W83" s="28"/>
      <c r="X83" s="28"/>
      <c r="Y83" s="28"/>
      <c r="Z83" s="28"/>
      <c r="AA83" s="28">
        <v>7</v>
      </c>
      <c r="AB83" s="28"/>
      <c r="AC83" s="28"/>
      <c r="AD83" s="28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>SUM(E83:BO83)</f>
        <v>28</v>
      </c>
      <c r="BQ83" s="1">
        <v>14</v>
      </c>
      <c r="BR83" s="17">
        <v>3</v>
      </c>
      <c r="BS83" s="17" t="s">
        <v>271</v>
      </c>
      <c r="BT83" s="1" t="str">
        <f>IF(AQ83&gt;AQ$117, AQ83-AQ$117,"")</f>
        <v/>
      </c>
      <c r="BU83" s="1" t="str">
        <f>IF(AR83&gt;AR$117, AR83-AR$117,"")</f>
        <v/>
      </c>
      <c r="BV83" s="1" t="str">
        <f>IF(AS83&gt;AS$117, AS83-AS$117,"")</f>
        <v/>
      </c>
      <c r="BW83" s="1" t="str">
        <f>IF(AT83&gt;AT$117, AT83-AT$117,"")</f>
        <v/>
      </c>
      <c r="BX83" s="1" t="str">
        <f>IF(AU83&gt;AU$117, AU83-AU$117,"")</f>
        <v/>
      </c>
      <c r="BY83" s="1" t="str">
        <f>IF(AV83&gt;AV$117, AV83-AV$117,"")</f>
        <v/>
      </c>
      <c r="BZ83" s="1" t="str">
        <f>IF(AW83&gt;AW$117, AW83-AW$117,"")</f>
        <v/>
      </c>
      <c r="CA83" s="1" t="str">
        <f>IF(AX83&gt;AX$117, AX83-AX$117,"")</f>
        <v/>
      </c>
      <c r="CB83" s="1" t="str">
        <f>IF(AY83&gt;AY$117, AY83-AY$117,"")</f>
        <v/>
      </c>
      <c r="CC83" s="1" t="str">
        <f>IF(AZ83&gt;AZ$117, AZ83-AZ$117,"")</f>
        <v/>
      </c>
      <c r="CD83" s="1" t="str">
        <f>IF(BA83&gt;BA$117, BA83-BA$117,"")</f>
        <v/>
      </c>
      <c r="CE83" s="1" t="str">
        <f>IF(BB83&gt;BB$117, BB83-BB$117,"")</f>
        <v/>
      </c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3"/>
    </row>
    <row r="84" spans="1:97" ht="40.5" x14ac:dyDescent="0.15">
      <c r="A84" s="1"/>
      <c r="B84" s="1" t="s">
        <v>121</v>
      </c>
      <c r="C84" s="1" t="s">
        <v>109</v>
      </c>
      <c r="D84" s="1" t="s">
        <v>112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>
        <v>10</v>
      </c>
      <c r="P84" s="28"/>
      <c r="Q84" s="28"/>
      <c r="R84" s="28">
        <v>10</v>
      </c>
      <c r="S84" s="28"/>
      <c r="T84" s="28"/>
      <c r="U84" s="28"/>
      <c r="V84" s="28"/>
      <c r="W84" s="28"/>
      <c r="X84" s="28">
        <v>10</v>
      </c>
      <c r="Y84" s="28"/>
      <c r="Z84" s="28"/>
      <c r="AA84" s="28"/>
      <c r="AB84" s="28"/>
      <c r="AC84" s="28"/>
      <c r="AD84" s="28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>
        <v>10</v>
      </c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>SUM(E84:BO84)</f>
        <v>40</v>
      </c>
      <c r="BQ84" s="1">
        <v>14</v>
      </c>
      <c r="BR84" s="17">
        <v>3</v>
      </c>
      <c r="BS84" s="17" t="s">
        <v>273</v>
      </c>
      <c r="BT84" s="1" t="str">
        <f>IF(AQ84&gt;AQ$117, AQ84-AQ$117,"")</f>
        <v/>
      </c>
      <c r="BU84" s="1" t="str">
        <f>IF(AR84&gt;AR$117, AR84-AR$117,"")</f>
        <v/>
      </c>
      <c r="BV84" s="1" t="str">
        <f>IF(AS84&gt;AS$117, AS84-AS$117,"")</f>
        <v/>
      </c>
      <c r="BW84" s="1" t="str">
        <f>IF(AT84&gt;AT$117, AT84-AT$117,"")</f>
        <v/>
      </c>
      <c r="BX84" s="1" t="str">
        <f>IF(AU84&gt;AU$117, AU84-AU$117,"")</f>
        <v/>
      </c>
      <c r="BY84" s="1" t="str">
        <f>IF(AV84&gt;AV$117, AV84-AV$117,"")</f>
        <v/>
      </c>
      <c r="BZ84" s="1" t="str">
        <f>IF(AW84&gt;AW$117, AW84-AW$117,"")</f>
        <v/>
      </c>
      <c r="CA84" s="1" t="str">
        <f>IF(AX84&gt;AX$117, AX84-AX$117,"")</f>
        <v/>
      </c>
      <c r="CB84" s="1" t="str">
        <f>IF(AY84&gt;AY$117, AY84-AY$117,"")</f>
        <v/>
      </c>
      <c r="CC84" s="1" t="str">
        <f>IF(AZ84&gt;AZ$117, AZ84-AZ$117,"")</f>
        <v/>
      </c>
      <c r="CD84" s="1" t="str">
        <f>IF(BA84&gt;BA$117, BA84-BA$117,"")</f>
        <v/>
      </c>
      <c r="CE84" s="1" t="str">
        <f>IF(BB84&gt;BB$117, BB84-BB$117,"")</f>
        <v/>
      </c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3"/>
    </row>
    <row r="85" spans="1:97" ht="40.5" x14ac:dyDescent="0.15">
      <c r="A85" s="1">
        <v>28</v>
      </c>
      <c r="B85" s="1" t="s">
        <v>65</v>
      </c>
      <c r="C85" s="1" t="s">
        <v>28</v>
      </c>
      <c r="D85" s="1" t="s">
        <v>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1"/>
      <c r="AF85" s="1"/>
      <c r="AG85" s="1"/>
      <c r="AH85" s="1">
        <v>5</v>
      </c>
      <c r="AI85" s="1">
        <v>5</v>
      </c>
      <c r="AJ85" s="1">
        <v>5</v>
      </c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15</v>
      </c>
      <c r="BQ85" s="1">
        <v>15</v>
      </c>
      <c r="BR85" s="17">
        <v>3</v>
      </c>
      <c r="BS85" s="17" t="s">
        <v>229</v>
      </c>
      <c r="BT85" s="1" t="str">
        <f>IF(AQ85&gt;AQ$117, AQ85-AQ$117,"")</f>
        <v/>
      </c>
      <c r="BU85" s="1" t="str">
        <f>IF(AR85&gt;AR$117, AR85-AR$117,"")</f>
        <v/>
      </c>
      <c r="BV85" s="1" t="str">
        <f>IF(AS85&gt;AS$117, AS85-AS$117,"")</f>
        <v/>
      </c>
      <c r="BW85" s="1" t="str">
        <f>IF(AT85&gt;AT$117, AT85-AT$117,"")</f>
        <v/>
      </c>
      <c r="BX85" s="1" t="str">
        <f>IF(AU85&gt;AU$117, AU85-AU$117,"")</f>
        <v/>
      </c>
      <c r="BY85" s="1" t="str">
        <f>IF(AV85&gt;AV$117, AV85-AV$117,"")</f>
        <v/>
      </c>
      <c r="BZ85" s="1" t="str">
        <f>IF(AW85&gt;AW$117, AW85-AW$117,"")</f>
        <v/>
      </c>
      <c r="CA85" s="1" t="str">
        <f>IF(AX85&gt;AX$117, AX85-AX$117,"")</f>
        <v/>
      </c>
      <c r="CB85" s="1" t="str">
        <f>IF(AY85&gt;AY$117, AY85-AY$117,"")</f>
        <v/>
      </c>
      <c r="CC85" s="1" t="str">
        <f>IF(AZ85&gt;AZ$117, AZ85-AZ$117,"")</f>
        <v/>
      </c>
      <c r="CD85" s="1" t="str">
        <f>IF(BA85&gt;BA$117, BA85-BA$117,"")</f>
        <v/>
      </c>
      <c r="CE85" s="1" t="str">
        <f>IF(BB85&gt;BB$117, BB85-BB$117,"")</f>
        <v/>
      </c>
      <c r="CF85" s="1">
        <f>COUNTIF(BT85:CE85, "&gt;0")</f>
        <v>0</v>
      </c>
      <c r="CG85" s="1" t="str">
        <f>IF($CF85=1,BT85,"")</f>
        <v/>
      </c>
      <c r="CH85" s="1" t="str">
        <f>IF($CF85=1,BU85,"")</f>
        <v/>
      </c>
      <c r="CI85" s="1" t="str">
        <f>IF($CF85=1,BV85,"")</f>
        <v/>
      </c>
      <c r="CJ85" s="1" t="str">
        <f>IF($CF85=1,BW85,"")</f>
        <v/>
      </c>
      <c r="CK85" s="1" t="str">
        <f>IF($CF85=1,BX85,"")</f>
        <v/>
      </c>
      <c r="CL85" s="1" t="str">
        <f>IF($CF85=1,BY85,"")</f>
        <v/>
      </c>
      <c r="CM85" s="1" t="str">
        <f>IF($CF85=1,BZ85,"")</f>
        <v/>
      </c>
      <c r="CN85" s="1" t="str">
        <f>IF($CF85=1,CA85,"")</f>
        <v/>
      </c>
      <c r="CO85" s="1" t="str">
        <f>IF($CF85=1,CB85,"")</f>
        <v/>
      </c>
      <c r="CP85" s="1" t="str">
        <f>IF($CF85=1,CC85,"")</f>
        <v/>
      </c>
      <c r="CQ85" s="1" t="str">
        <f>IF($CF85=1,CD85,"")</f>
        <v/>
      </c>
      <c r="CR85" s="1" t="str">
        <f>IF($CF85=1,CE85,"")</f>
        <v/>
      </c>
      <c r="CS85" s="3">
        <f>SUM(AE85:BO85)</f>
        <v>15</v>
      </c>
    </row>
    <row r="86" spans="1:97" ht="40.5" x14ac:dyDescent="0.15">
      <c r="A86" s="1">
        <v>89</v>
      </c>
      <c r="B86" s="3" t="s">
        <v>70</v>
      </c>
      <c r="C86" s="3" t="s">
        <v>71</v>
      </c>
      <c r="D86" s="1" t="s">
        <v>1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1"/>
      <c r="AF86" s="1">
        <v>5</v>
      </c>
      <c r="AG86" s="1"/>
      <c r="AH86" s="1">
        <v>5</v>
      </c>
      <c r="AI86" s="1">
        <v>5</v>
      </c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15</v>
      </c>
      <c r="BQ86" s="1">
        <v>15</v>
      </c>
      <c r="BR86" s="17">
        <v>3</v>
      </c>
      <c r="BS86" s="17" t="s">
        <v>272</v>
      </c>
      <c r="BT86" s="1" t="str">
        <f>IF(AQ86&gt;AQ$117, AQ86-AQ$117,"")</f>
        <v/>
      </c>
      <c r="BU86" s="1" t="str">
        <f>IF(AR86&gt;AR$117, AR86-AR$117,"")</f>
        <v/>
      </c>
      <c r="BV86" s="1" t="str">
        <f>IF(AS86&gt;AS$117, AS86-AS$117,"")</f>
        <v/>
      </c>
      <c r="BW86" s="1" t="str">
        <f>IF(AT86&gt;AT$117, AT86-AT$117,"")</f>
        <v/>
      </c>
      <c r="BX86" s="1" t="str">
        <f>IF(AU86&gt;AU$117, AU86-AU$117,"")</f>
        <v/>
      </c>
      <c r="BY86" s="1" t="str">
        <f>IF(AV86&gt;AV$117, AV86-AV$117,"")</f>
        <v/>
      </c>
      <c r="BZ86" s="1" t="str">
        <f>IF(AW86&gt;AW$117, AW86-AW$117,"")</f>
        <v/>
      </c>
      <c r="CA86" s="1" t="str">
        <f>IF(AX86&gt;AX$117, AX86-AX$117,"")</f>
        <v/>
      </c>
      <c r="CB86" s="1" t="str">
        <f>IF(AY86&gt;AY$117, AY86-AY$117,"")</f>
        <v/>
      </c>
      <c r="CC86" s="1" t="str">
        <f>IF(AZ86&gt;AZ$117, AZ86-AZ$117,"")</f>
        <v/>
      </c>
      <c r="CD86" s="1" t="str">
        <f>IF(BA86&gt;BA$117, BA86-BA$117,"")</f>
        <v/>
      </c>
      <c r="CE86" s="1" t="str">
        <f>IF(BB86&gt;BB$117, BB86-BB$117,"")</f>
        <v/>
      </c>
      <c r="CF86" s="1">
        <f>COUNTIF(BT86:CE86, "&gt;0")</f>
        <v>0</v>
      </c>
      <c r="CG86" s="1" t="str">
        <f>IF($CF86=1,BT86,"")</f>
        <v/>
      </c>
      <c r="CH86" s="1" t="str">
        <f>IF($CF86=1,BU86,"")</f>
        <v/>
      </c>
      <c r="CI86" s="1" t="str">
        <f>IF($CF86=1,BV86,"")</f>
        <v/>
      </c>
      <c r="CJ86" s="1" t="str">
        <f>IF($CF86=1,BW86,"")</f>
        <v/>
      </c>
      <c r="CK86" s="1" t="str">
        <f>IF($CF86=1,BX86,"")</f>
        <v/>
      </c>
      <c r="CL86" s="1" t="str">
        <f>IF($CF86=1,BY86,"")</f>
        <v/>
      </c>
      <c r="CM86" s="1" t="str">
        <f>IF($CF86=1,BZ86,"")</f>
        <v/>
      </c>
      <c r="CN86" s="1" t="str">
        <f>IF($CF86=1,CA86,"")</f>
        <v/>
      </c>
      <c r="CO86" s="1" t="str">
        <f>IF($CF86=1,CB86,"")</f>
        <v/>
      </c>
      <c r="CP86" s="1" t="str">
        <f>IF($CF86=1,CC86,"")</f>
        <v/>
      </c>
      <c r="CQ86" s="1" t="str">
        <f>IF($CF86=1,CD86,"")</f>
        <v/>
      </c>
      <c r="CR86" s="1" t="str">
        <f>IF($CF86=1,CE86,"")</f>
        <v/>
      </c>
      <c r="CS86" s="3">
        <f>SUM(AE86:BO86)</f>
        <v>15</v>
      </c>
    </row>
    <row r="87" spans="1:97" ht="40.5" x14ac:dyDescent="0.15">
      <c r="A87" s="1"/>
      <c r="B87" s="1" t="s">
        <v>126</v>
      </c>
      <c r="C87" s="1" t="s">
        <v>109</v>
      </c>
      <c r="D87" s="1" t="s">
        <v>112</v>
      </c>
      <c r="E87" s="6"/>
      <c r="F87" s="6"/>
      <c r="G87" s="6"/>
      <c r="H87" s="6">
        <v>10</v>
      </c>
      <c r="I87" s="6"/>
      <c r="J87" s="6"/>
      <c r="K87" s="6"/>
      <c r="L87" s="6"/>
      <c r="M87" s="6"/>
      <c r="N87" s="6"/>
      <c r="O87" s="6"/>
      <c r="P87" s="28"/>
      <c r="Q87" s="28"/>
      <c r="R87" s="28">
        <v>10</v>
      </c>
      <c r="S87" s="28"/>
      <c r="T87" s="28"/>
      <c r="U87" s="28"/>
      <c r="V87" s="28"/>
      <c r="W87" s="28"/>
      <c r="X87" s="28">
        <v>10</v>
      </c>
      <c r="Y87" s="28"/>
      <c r="Z87" s="28"/>
      <c r="AA87" s="28"/>
      <c r="AB87" s="28"/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>
        <v>10</v>
      </c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>SUM(E87:BO87)</f>
        <v>40</v>
      </c>
      <c r="BQ87" s="1">
        <v>22</v>
      </c>
      <c r="BR87" s="17">
        <v>3</v>
      </c>
      <c r="BS87" s="17" t="s">
        <v>270</v>
      </c>
      <c r="BT87" s="1" t="str">
        <f>IF(AQ87&gt;AQ$117, AQ87-AQ$117,"")</f>
        <v/>
      </c>
      <c r="BU87" s="1" t="str">
        <f>IF(AR87&gt;AR$117, AR87-AR$117,"")</f>
        <v/>
      </c>
      <c r="BV87" s="1" t="str">
        <f>IF(AS87&gt;AS$117, AS87-AS$117,"")</f>
        <v/>
      </c>
      <c r="BW87" s="1" t="str">
        <f>IF(AT87&gt;AT$117, AT87-AT$117,"")</f>
        <v/>
      </c>
      <c r="BX87" s="1" t="str">
        <f>IF(AU87&gt;AU$117, AU87-AU$117,"")</f>
        <v/>
      </c>
      <c r="BY87" s="1" t="str">
        <f>IF(AV87&gt;AV$117, AV87-AV$117,"")</f>
        <v/>
      </c>
      <c r="BZ87" s="1" t="str">
        <f>IF(AW87&gt;AW$117, AW87-AW$117,"")</f>
        <v/>
      </c>
      <c r="CA87" s="1" t="str">
        <f>IF(AX87&gt;AX$117, AX87-AX$117,"")</f>
        <v/>
      </c>
      <c r="CB87" s="1" t="str">
        <f>IF(AY87&gt;AY$117, AY87-AY$117,"")</f>
        <v/>
      </c>
      <c r="CC87" s="1" t="str">
        <f>IF(AZ87&gt;AZ$117, AZ87-AZ$117,"")</f>
        <v/>
      </c>
      <c r="CD87" s="1" t="str">
        <f>IF(BA87&gt;BA$117, BA87-BA$117,"")</f>
        <v/>
      </c>
      <c r="CE87" s="1" t="str">
        <f>IF(BB87&gt;BB$117, BB87-BB$117,"")</f>
        <v/>
      </c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3"/>
    </row>
    <row r="88" spans="1:97" ht="40.5" x14ac:dyDescent="0.15">
      <c r="A88" s="1"/>
      <c r="B88" s="1" t="s">
        <v>135</v>
      </c>
      <c r="C88" s="1" t="s">
        <v>137</v>
      </c>
      <c r="D88" s="1" t="s">
        <v>112</v>
      </c>
      <c r="E88" s="6"/>
      <c r="F88" s="6"/>
      <c r="G88" s="6"/>
      <c r="H88" s="6"/>
      <c r="I88" s="6"/>
      <c r="J88" s="6">
        <v>10</v>
      </c>
      <c r="K88" s="6"/>
      <c r="L88" s="6"/>
      <c r="M88" s="6"/>
      <c r="N88" s="6"/>
      <c r="O88" s="6"/>
      <c r="P88" s="28"/>
      <c r="Q88" s="28"/>
      <c r="R88" s="28"/>
      <c r="S88" s="28"/>
      <c r="T88" s="28"/>
      <c r="U88" s="28">
        <v>10</v>
      </c>
      <c r="V88" s="28"/>
      <c r="W88" s="28"/>
      <c r="X88" s="28"/>
      <c r="Y88" s="28"/>
      <c r="Z88" s="28"/>
      <c r="AA88" s="28">
        <v>10</v>
      </c>
      <c r="AB88" s="28"/>
      <c r="AC88" s="28"/>
      <c r="AD88" s="28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>
        <v>10</v>
      </c>
      <c r="AR88" s="4"/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>SUM(E88:BO88)</f>
        <v>40</v>
      </c>
      <c r="BQ88" s="1">
        <v>27</v>
      </c>
      <c r="BR88" s="17">
        <v>3</v>
      </c>
      <c r="BS88" s="17" t="s">
        <v>230</v>
      </c>
      <c r="BT88" s="1" t="str">
        <f>IF(AQ88&gt;AQ$117, AQ88-AQ$117,"")</f>
        <v/>
      </c>
      <c r="BU88" s="1" t="str">
        <f>IF(AR88&gt;AR$117, AR88-AR$117,"")</f>
        <v/>
      </c>
      <c r="BV88" s="1" t="str">
        <f>IF(AS88&gt;AS$117, AS88-AS$117,"")</f>
        <v/>
      </c>
      <c r="BW88" s="1" t="str">
        <f>IF(AT88&gt;AT$117, AT88-AT$117,"")</f>
        <v/>
      </c>
      <c r="BX88" s="1" t="str">
        <f>IF(AU88&gt;AU$117, AU88-AU$117,"")</f>
        <v/>
      </c>
      <c r="BY88" s="1" t="str">
        <f>IF(AV88&gt;AV$117, AV88-AV$117,"")</f>
        <v/>
      </c>
      <c r="BZ88" s="1" t="str">
        <f>IF(AW88&gt;AW$117, AW88-AW$117,"")</f>
        <v/>
      </c>
      <c r="CA88" s="1" t="str">
        <f>IF(AX88&gt;AX$117, AX88-AX$117,"")</f>
        <v/>
      </c>
      <c r="CB88" s="1" t="str">
        <f>IF(AY88&gt;AY$117, AY88-AY$117,"")</f>
        <v/>
      </c>
      <c r="CC88" s="1" t="str">
        <f>IF(AZ88&gt;AZ$117, AZ88-AZ$117,"")</f>
        <v/>
      </c>
      <c r="CD88" s="1" t="str">
        <f>IF(BA88&gt;BA$117, BA88-BA$117,"")</f>
        <v/>
      </c>
      <c r="CE88" s="1" t="str">
        <f>IF(BB88&gt;BB$117, BB88-BB$117,"")</f>
        <v/>
      </c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3"/>
    </row>
    <row r="89" spans="1:97" ht="40.5" x14ac:dyDescent="0.15">
      <c r="A89" s="1"/>
      <c r="B89" s="1" t="s">
        <v>145</v>
      </c>
      <c r="C89" s="1" t="s">
        <v>139</v>
      </c>
      <c r="D89" s="1" t="s">
        <v>112</v>
      </c>
      <c r="E89" s="6"/>
      <c r="F89" s="6"/>
      <c r="G89" s="6"/>
      <c r="H89" s="6"/>
      <c r="I89" s="6"/>
      <c r="J89" s="6">
        <v>10</v>
      </c>
      <c r="K89" s="6"/>
      <c r="L89" s="6"/>
      <c r="M89" s="6"/>
      <c r="N89" s="6"/>
      <c r="O89" s="6"/>
      <c r="P89" s="28"/>
      <c r="Q89" s="28"/>
      <c r="R89" s="28"/>
      <c r="S89" s="28"/>
      <c r="T89" s="28"/>
      <c r="U89" s="28">
        <v>10</v>
      </c>
      <c r="V89" s="28"/>
      <c r="W89" s="28"/>
      <c r="X89" s="28"/>
      <c r="Y89" s="28"/>
      <c r="Z89" s="28"/>
      <c r="AA89" s="28">
        <v>10</v>
      </c>
      <c r="AB89" s="28"/>
      <c r="AC89" s="28"/>
      <c r="AD89" s="28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>
        <v>10</v>
      </c>
      <c r="AR89" s="4"/>
      <c r="AS89" s="4"/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>SUM(E89:BO89)</f>
        <v>40</v>
      </c>
      <c r="BQ89" s="1">
        <v>27</v>
      </c>
      <c r="BR89" s="17">
        <v>3</v>
      </c>
      <c r="BS89" s="17" t="s">
        <v>230</v>
      </c>
      <c r="BT89" s="1" t="str">
        <f>IF(AQ89&gt;AQ$117, AQ89-AQ$117,"")</f>
        <v/>
      </c>
      <c r="BU89" s="1" t="str">
        <f>IF(AR89&gt;AR$117, AR89-AR$117,"")</f>
        <v/>
      </c>
      <c r="BV89" s="1" t="str">
        <f>IF(AS89&gt;AS$117, AS89-AS$117,"")</f>
        <v/>
      </c>
      <c r="BW89" s="1" t="str">
        <f>IF(AT89&gt;AT$117, AT89-AT$117,"")</f>
        <v/>
      </c>
      <c r="BX89" s="1" t="str">
        <f>IF(AU89&gt;AU$117, AU89-AU$117,"")</f>
        <v/>
      </c>
      <c r="BY89" s="1" t="str">
        <f>IF(AV89&gt;AV$117, AV89-AV$117,"")</f>
        <v/>
      </c>
      <c r="BZ89" s="1" t="str">
        <f>IF(AW89&gt;AW$117, AW89-AW$117,"")</f>
        <v/>
      </c>
      <c r="CA89" s="1" t="str">
        <f>IF(AX89&gt;AX$117, AX89-AX$117,"")</f>
        <v/>
      </c>
      <c r="CB89" s="1" t="str">
        <f>IF(AY89&gt;AY$117, AY89-AY$117,"")</f>
        <v/>
      </c>
      <c r="CC89" s="1" t="str">
        <f>IF(AZ89&gt;AZ$117, AZ89-AZ$117,"")</f>
        <v/>
      </c>
      <c r="CD89" s="1" t="str">
        <f>IF(BA89&gt;BA$117, BA89-BA$117,"")</f>
        <v/>
      </c>
      <c r="CE89" s="1" t="str">
        <f>IF(BB89&gt;BB$117, BB89-BB$117,"")</f>
        <v/>
      </c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3"/>
    </row>
    <row r="90" spans="1:97" ht="40.5" x14ac:dyDescent="0.15">
      <c r="A90" s="1">
        <v>85</v>
      </c>
      <c r="B90" s="3" t="s">
        <v>176</v>
      </c>
      <c r="C90" s="3" t="s">
        <v>56</v>
      </c>
      <c r="D90" s="1" t="s">
        <v>34</v>
      </c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>
        <v>50</v>
      </c>
      <c r="BM90" s="1">
        <v>50</v>
      </c>
      <c r="BN90" s="1">
        <v>50</v>
      </c>
      <c r="BO90" s="1">
        <v>50</v>
      </c>
      <c r="BP90" s="1">
        <f>SUM(E90:BO90)</f>
        <v>200</v>
      </c>
      <c r="BQ90" s="1">
        <v>140</v>
      </c>
      <c r="BR90" s="17">
        <v>3</v>
      </c>
      <c r="BS90" s="17" t="s">
        <v>274</v>
      </c>
      <c r="BT90" s="1" t="str">
        <f>IF(AQ90&gt;AQ$117, AQ90-AQ$117,"")</f>
        <v/>
      </c>
      <c r="BU90" s="1" t="str">
        <f>IF(AR90&gt;AR$117, AR90-AR$117,"")</f>
        <v/>
      </c>
      <c r="BV90" s="1" t="str">
        <f>IF(AS90&gt;AS$117, AS90-AS$117,"")</f>
        <v/>
      </c>
      <c r="BW90" s="1" t="str">
        <f>IF(AT90&gt;AT$117, AT90-AT$117,"")</f>
        <v/>
      </c>
      <c r="BX90" s="1" t="str">
        <f>IF(AU90&gt;AU$117, AU90-AU$117,"")</f>
        <v/>
      </c>
      <c r="BY90" s="1" t="str">
        <f>IF(AV90&gt;AV$117, AV90-AV$117,"")</f>
        <v/>
      </c>
      <c r="BZ90" s="1" t="str">
        <f>IF(AW90&gt;AW$117, AW90-AW$117,"")</f>
        <v/>
      </c>
      <c r="CA90" s="1" t="str">
        <f>IF(AX90&gt;AX$117, AX90-AX$117,"")</f>
        <v/>
      </c>
      <c r="CB90" s="1" t="str">
        <f>IF(AY90&gt;AY$117, AY90-AY$117,"")</f>
        <v/>
      </c>
      <c r="CC90" s="1" t="str">
        <f>IF(AZ90&gt;AZ$117, AZ90-AZ$117,"")</f>
        <v/>
      </c>
      <c r="CD90" s="1" t="str">
        <f>IF(BA90&gt;BA$117, BA90-BA$117,"")</f>
        <v/>
      </c>
      <c r="CE90" s="1" t="str">
        <f>IF(BB90&gt;BB$117, BB90-BB$117,"")</f>
        <v/>
      </c>
      <c r="CF90" s="1">
        <f>COUNTIF(BT90:CE90, "&gt;0")</f>
        <v>0</v>
      </c>
      <c r="CG90" s="1" t="str">
        <f>IF($CF90=1,BT90,"")</f>
        <v/>
      </c>
      <c r="CH90" s="1" t="str">
        <f>IF($CF90=1,BU90,"")</f>
        <v/>
      </c>
      <c r="CI90" s="1" t="str">
        <f>IF($CF90=1,BV90,"")</f>
        <v/>
      </c>
      <c r="CJ90" s="1" t="str">
        <f>IF($CF90=1,BW90,"")</f>
        <v/>
      </c>
      <c r="CK90" s="1" t="str">
        <f>IF($CF90=1,BX90,"")</f>
        <v/>
      </c>
      <c r="CL90" s="1" t="str">
        <f>IF($CF90=1,BY90,"")</f>
        <v/>
      </c>
      <c r="CM90" s="1" t="str">
        <f>IF($CF90=1,BZ90,"")</f>
        <v/>
      </c>
      <c r="CN90" s="1" t="str">
        <f>IF($CF90=1,CA90,"")</f>
        <v/>
      </c>
      <c r="CO90" s="1" t="str">
        <f>IF($CF90=1,CB90,"")</f>
        <v/>
      </c>
      <c r="CP90" s="1" t="str">
        <f>IF($CF90=1,CC90,"")</f>
        <v/>
      </c>
      <c r="CQ90" s="1" t="str">
        <f>IF($CF90=1,CD90,"")</f>
        <v/>
      </c>
      <c r="CR90" s="1" t="str">
        <f>IF($CF90=1,CE90,"")</f>
        <v/>
      </c>
      <c r="CS90" s="3">
        <f>SUM(AE90:BO90)</f>
        <v>200</v>
      </c>
    </row>
    <row r="91" spans="1:97" ht="40.5" x14ac:dyDescent="0.15">
      <c r="A91" s="1"/>
      <c r="B91" s="1" t="s">
        <v>173</v>
      </c>
      <c r="C91" s="1" t="s">
        <v>107</v>
      </c>
      <c r="D91" s="1" t="s">
        <v>105</v>
      </c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>
        <v>50</v>
      </c>
      <c r="BM91" s="1">
        <v>50</v>
      </c>
      <c r="BN91" s="1">
        <v>50</v>
      </c>
      <c r="BO91" s="1">
        <v>50</v>
      </c>
      <c r="BP91" s="1">
        <f>SUM(E91:BO91)</f>
        <v>200</v>
      </c>
      <c r="BQ91" s="1">
        <v>140</v>
      </c>
      <c r="BR91" s="17">
        <v>3</v>
      </c>
      <c r="BS91" s="17" t="s">
        <v>274</v>
      </c>
      <c r="BT91" s="1" t="str">
        <f>IF(AQ91&gt;AQ$117, AQ91-AQ$117,"")</f>
        <v/>
      </c>
      <c r="BU91" s="1" t="str">
        <f>IF(AR91&gt;AR$117, AR91-AR$117,"")</f>
        <v/>
      </c>
      <c r="BV91" s="1" t="str">
        <f>IF(AS91&gt;AS$117, AS91-AS$117,"")</f>
        <v/>
      </c>
      <c r="BW91" s="1" t="str">
        <f>IF(AT91&gt;AT$117, AT91-AT$117,"")</f>
        <v/>
      </c>
      <c r="BX91" s="1" t="str">
        <f>IF(AU91&gt;AU$117, AU91-AU$117,"")</f>
        <v/>
      </c>
      <c r="BY91" s="1" t="str">
        <f>IF(AV91&gt;AV$117, AV91-AV$117,"")</f>
        <v/>
      </c>
      <c r="BZ91" s="1" t="str">
        <f>IF(AW91&gt;AW$117, AW91-AW$117,"")</f>
        <v/>
      </c>
      <c r="CA91" s="1" t="str">
        <f>IF(AX91&gt;AX$117, AX91-AX$117,"")</f>
        <v/>
      </c>
      <c r="CB91" s="1" t="str">
        <f>IF(AY91&gt;AY$117, AY91-AY$117,"")</f>
        <v/>
      </c>
      <c r="CC91" s="1" t="str">
        <f>IF(AZ91&gt;AZ$117, AZ91-AZ$117,"")</f>
        <v/>
      </c>
      <c r="CD91" s="1" t="str">
        <f>IF(BA91&gt;BA$117, BA91-BA$117,"")</f>
        <v/>
      </c>
      <c r="CE91" s="1" t="str">
        <f>IF(BB91&gt;BB$117, BB91-BB$117,"")</f>
        <v/>
      </c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3"/>
    </row>
    <row r="92" spans="1:97" ht="40.5" x14ac:dyDescent="0.15">
      <c r="A92" s="1"/>
      <c r="B92" s="1" t="s">
        <v>194</v>
      </c>
      <c r="C92" s="1" t="s">
        <v>107</v>
      </c>
      <c r="D92" s="1" t="s">
        <v>105</v>
      </c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>
        <v>50</v>
      </c>
      <c r="BM92" s="1">
        <v>50</v>
      </c>
      <c r="BN92" s="1">
        <v>50</v>
      </c>
      <c r="BO92" s="1">
        <v>50</v>
      </c>
      <c r="BP92" s="1">
        <f>SUM(E92:BO92)</f>
        <v>200</v>
      </c>
      <c r="BQ92" s="1">
        <v>140</v>
      </c>
      <c r="BR92" s="17">
        <v>3</v>
      </c>
      <c r="BS92" s="17" t="s">
        <v>274</v>
      </c>
      <c r="BT92" s="1" t="str">
        <f>IF(AQ92&gt;AQ$117, AQ92-AQ$117,"")</f>
        <v/>
      </c>
      <c r="BU92" s="1" t="str">
        <f>IF(AR92&gt;AR$117, AR92-AR$117,"")</f>
        <v/>
      </c>
      <c r="BV92" s="1" t="str">
        <f>IF(AS92&gt;AS$117, AS92-AS$117,"")</f>
        <v/>
      </c>
      <c r="BW92" s="1" t="str">
        <f>IF(AT92&gt;AT$117, AT92-AT$117,"")</f>
        <v/>
      </c>
      <c r="BX92" s="1" t="str">
        <f>IF(AU92&gt;AU$117, AU92-AU$117,"")</f>
        <v/>
      </c>
      <c r="BY92" s="1" t="str">
        <f>IF(AV92&gt;AV$117, AV92-AV$117,"")</f>
        <v/>
      </c>
      <c r="BZ92" s="1" t="str">
        <f>IF(AW92&gt;AW$117, AW92-AW$117,"")</f>
        <v/>
      </c>
      <c r="CA92" s="1" t="str">
        <f>IF(AX92&gt;AX$117, AX92-AX$117,"")</f>
        <v/>
      </c>
      <c r="CB92" s="1" t="str">
        <f>IF(AY92&gt;AY$117, AY92-AY$117,"")</f>
        <v/>
      </c>
      <c r="CC92" s="1" t="str">
        <f>IF(AZ92&gt;AZ$117, AZ92-AZ$117,"")</f>
        <v/>
      </c>
      <c r="CD92" s="1" t="str">
        <f>IF(BA92&gt;BA$117, BA92-BA$117,"")</f>
        <v/>
      </c>
      <c r="CE92" s="1" t="str">
        <f>IF(BB92&gt;BB$117, BB92-BB$117,"")</f>
        <v/>
      </c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3"/>
    </row>
    <row r="93" spans="1:97" ht="54" x14ac:dyDescent="0.15">
      <c r="A93" s="1"/>
      <c r="B93" s="1" t="s">
        <v>141</v>
      </c>
      <c r="C93" s="1" t="s">
        <v>139</v>
      </c>
      <c r="D93" s="1" t="s">
        <v>111</v>
      </c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28"/>
      <c r="Q93" s="28">
        <v>5</v>
      </c>
      <c r="R93" s="28"/>
      <c r="S93" s="28"/>
      <c r="T93" s="28"/>
      <c r="U93" s="28"/>
      <c r="V93" s="28">
        <v>10</v>
      </c>
      <c r="W93" s="28"/>
      <c r="X93" s="28"/>
      <c r="Y93" s="28"/>
      <c r="Z93" s="28">
        <v>5</v>
      </c>
      <c r="AA93" s="28"/>
      <c r="AB93" s="28">
        <v>10</v>
      </c>
      <c r="AC93" s="28"/>
      <c r="AD93" s="28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>
        <f>SUM(E93:BO93)</f>
        <v>30</v>
      </c>
      <c r="BQ93" s="1">
        <v>18</v>
      </c>
      <c r="BR93" s="17">
        <v>4</v>
      </c>
      <c r="BS93" s="17" t="s">
        <v>231</v>
      </c>
      <c r="BT93" s="1" t="str">
        <f>IF(AQ93&gt;AQ$117, AQ93-AQ$117,"")</f>
        <v/>
      </c>
      <c r="BU93" s="1" t="str">
        <f>IF(AR93&gt;AR$117, AR93-AR$117,"")</f>
        <v/>
      </c>
      <c r="BV93" s="1" t="str">
        <f>IF(AS93&gt;AS$117, AS93-AS$117,"")</f>
        <v/>
      </c>
      <c r="BW93" s="1" t="str">
        <f>IF(AT93&gt;AT$117, AT93-AT$117,"")</f>
        <v/>
      </c>
      <c r="BX93" s="1" t="str">
        <f>IF(AU93&gt;AU$117, AU93-AU$117,"")</f>
        <v/>
      </c>
      <c r="BY93" s="1" t="str">
        <f>IF(AV93&gt;AV$117, AV93-AV$117,"")</f>
        <v/>
      </c>
      <c r="BZ93" s="1" t="str">
        <f>IF(AW93&gt;AW$117, AW93-AW$117,"")</f>
        <v/>
      </c>
      <c r="CA93" s="1" t="str">
        <f>IF(AX93&gt;AX$117, AX93-AX$117,"")</f>
        <v/>
      </c>
      <c r="CB93" s="1" t="str">
        <f>IF(AY93&gt;AY$117, AY93-AY$117,"")</f>
        <v/>
      </c>
      <c r="CC93" s="1" t="str">
        <f>IF(AZ93&gt;AZ$117, AZ93-AZ$117,"")</f>
        <v/>
      </c>
      <c r="CD93" s="1" t="str">
        <f>IF(BA93&gt;BA$117, BA93-BA$117,"")</f>
        <v/>
      </c>
      <c r="CE93" s="1" t="str">
        <f>IF(BB93&gt;BB$117, BB93-BB$117,"")</f>
        <v/>
      </c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3"/>
    </row>
    <row r="94" spans="1:97" ht="54" x14ac:dyDescent="0.15">
      <c r="A94" s="1"/>
      <c r="B94" s="1" t="s">
        <v>121</v>
      </c>
      <c r="C94" s="1" t="s">
        <v>109</v>
      </c>
      <c r="D94" s="1" t="s">
        <v>110</v>
      </c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28">
        <v>10</v>
      </c>
      <c r="Q94" s="28"/>
      <c r="R94" s="28"/>
      <c r="S94" s="28">
        <v>10</v>
      </c>
      <c r="T94" s="28"/>
      <c r="U94" s="28"/>
      <c r="V94" s="28"/>
      <c r="W94" s="28">
        <v>5</v>
      </c>
      <c r="X94" s="28"/>
      <c r="Y94" s="28"/>
      <c r="Z94" s="28"/>
      <c r="AA94" s="28"/>
      <c r="AB94" s="28">
        <v>10</v>
      </c>
      <c r="AC94" s="28"/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>
        <f>SUM(E94:BO94)</f>
        <v>35</v>
      </c>
      <c r="BQ94" s="1">
        <v>22</v>
      </c>
      <c r="BR94" s="17">
        <v>4</v>
      </c>
      <c r="BS94" s="17" t="s">
        <v>275</v>
      </c>
      <c r="BT94" s="1" t="str">
        <f>IF(AQ94&gt;AQ$117, AQ94-AQ$117,"")</f>
        <v/>
      </c>
      <c r="BU94" s="1" t="str">
        <f>IF(AR94&gt;AR$117, AR94-AR$117,"")</f>
        <v/>
      </c>
      <c r="BV94" s="1" t="str">
        <f>IF(AS94&gt;AS$117, AS94-AS$117,"")</f>
        <v/>
      </c>
      <c r="BW94" s="1" t="str">
        <f>IF(AT94&gt;AT$117, AT94-AT$117,"")</f>
        <v/>
      </c>
      <c r="BX94" s="1" t="str">
        <f>IF(AU94&gt;AU$117, AU94-AU$117,"")</f>
        <v/>
      </c>
      <c r="BY94" s="1" t="str">
        <f>IF(AV94&gt;AV$117, AV94-AV$117,"")</f>
        <v/>
      </c>
      <c r="BZ94" s="1" t="str">
        <f>IF(AW94&gt;AW$117, AW94-AW$117,"")</f>
        <v/>
      </c>
      <c r="CA94" s="1" t="str">
        <f>IF(AX94&gt;AX$117, AX94-AX$117,"")</f>
        <v/>
      </c>
      <c r="CB94" s="1" t="str">
        <f>IF(AY94&gt;AY$117, AY94-AY$117,"")</f>
        <v/>
      </c>
      <c r="CC94" s="1" t="str">
        <f>IF(AZ94&gt;AZ$117, AZ94-AZ$117,"")</f>
        <v/>
      </c>
      <c r="CD94" s="1" t="str">
        <f>IF(BA94&gt;BA$117, BA94-BA$117,"")</f>
        <v/>
      </c>
      <c r="CE94" s="1" t="str">
        <f>IF(BB94&gt;BB$117, BB94-BB$117,"")</f>
        <v/>
      </c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3"/>
    </row>
    <row r="95" spans="1:97" ht="54" x14ac:dyDescent="0.15">
      <c r="A95" s="1"/>
      <c r="B95" s="1" t="s">
        <v>126</v>
      </c>
      <c r="C95" s="1" t="s">
        <v>109</v>
      </c>
      <c r="D95" s="1" t="s">
        <v>110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28">
        <v>10</v>
      </c>
      <c r="Q95" s="28"/>
      <c r="R95" s="28"/>
      <c r="S95" s="28">
        <v>10</v>
      </c>
      <c r="T95" s="28"/>
      <c r="U95" s="28"/>
      <c r="V95" s="28"/>
      <c r="W95" s="28">
        <v>5</v>
      </c>
      <c r="X95" s="28"/>
      <c r="Y95" s="28"/>
      <c r="Z95" s="28"/>
      <c r="AA95" s="28"/>
      <c r="AB95" s="28">
        <v>10</v>
      </c>
      <c r="AC95" s="28"/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>
        <f>SUM(E95:BO95)</f>
        <v>35</v>
      </c>
      <c r="BQ95" s="1">
        <v>22</v>
      </c>
      <c r="BR95" s="17">
        <v>4</v>
      </c>
      <c r="BS95" s="17" t="s">
        <v>275</v>
      </c>
      <c r="BT95" s="1" t="str">
        <f>IF(AQ95&gt;AQ$117, AQ95-AQ$117,"")</f>
        <v/>
      </c>
      <c r="BU95" s="1" t="str">
        <f>IF(AR95&gt;AR$117, AR95-AR$117,"")</f>
        <v/>
      </c>
      <c r="BV95" s="1" t="str">
        <f>IF(AS95&gt;AS$117, AS95-AS$117,"")</f>
        <v/>
      </c>
      <c r="BW95" s="1" t="str">
        <f>IF(AT95&gt;AT$117, AT95-AT$117,"")</f>
        <v/>
      </c>
      <c r="BX95" s="1" t="str">
        <f>IF(AU95&gt;AU$117, AU95-AU$117,"")</f>
        <v/>
      </c>
      <c r="BY95" s="1" t="str">
        <f>IF(AV95&gt;AV$117, AV95-AV$117,"")</f>
        <v/>
      </c>
      <c r="BZ95" s="1" t="str">
        <f>IF(AW95&gt;AW$117, AW95-AW$117,"")</f>
        <v/>
      </c>
      <c r="CA95" s="1" t="str">
        <f>IF(AX95&gt;AX$117, AX95-AX$117,"")</f>
        <v/>
      </c>
      <c r="CB95" s="1" t="str">
        <f>IF(AY95&gt;AY$117, AY95-AY$117,"")</f>
        <v/>
      </c>
      <c r="CC95" s="1" t="str">
        <f>IF(AZ95&gt;AZ$117, AZ95-AZ$117,"")</f>
        <v/>
      </c>
      <c r="CD95" s="1" t="str">
        <f>IF(BA95&gt;BA$117, BA95-BA$117,"")</f>
        <v/>
      </c>
      <c r="CE95" s="1" t="str">
        <f>IF(BB95&gt;BB$117, BB95-BB$117,"")</f>
        <v/>
      </c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3"/>
    </row>
    <row r="96" spans="1:97" ht="54" x14ac:dyDescent="0.15">
      <c r="A96" s="1"/>
      <c r="B96" s="1" t="s">
        <v>130</v>
      </c>
      <c r="C96" s="1" t="s">
        <v>128</v>
      </c>
      <c r="D96" s="1" t="s">
        <v>110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28">
        <v>10</v>
      </c>
      <c r="Q96" s="28"/>
      <c r="R96" s="28"/>
      <c r="S96" s="28">
        <v>10</v>
      </c>
      <c r="T96" s="28"/>
      <c r="U96" s="28"/>
      <c r="V96" s="28"/>
      <c r="W96" s="28">
        <v>5</v>
      </c>
      <c r="X96" s="28"/>
      <c r="Y96" s="28"/>
      <c r="Z96" s="28"/>
      <c r="AA96" s="28"/>
      <c r="AB96" s="28">
        <v>10</v>
      </c>
      <c r="AC96" s="28"/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>
        <f>SUM(E96:BO96)</f>
        <v>35</v>
      </c>
      <c r="BQ96" s="1">
        <v>22</v>
      </c>
      <c r="BR96" s="17">
        <v>4</v>
      </c>
      <c r="BS96" s="17" t="s">
        <v>275</v>
      </c>
      <c r="BT96" s="1" t="str">
        <f>IF(AQ96&gt;AQ$117, AQ96-AQ$117,"")</f>
        <v/>
      </c>
      <c r="BU96" s="1" t="str">
        <f>IF(AR96&gt;AR$117, AR96-AR$117,"")</f>
        <v/>
      </c>
      <c r="BV96" s="1" t="str">
        <f>IF(AS96&gt;AS$117, AS96-AS$117,"")</f>
        <v/>
      </c>
      <c r="BW96" s="1" t="str">
        <f>IF(AT96&gt;AT$117, AT96-AT$117,"")</f>
        <v/>
      </c>
      <c r="BX96" s="1" t="str">
        <f>IF(AU96&gt;AU$117, AU96-AU$117,"")</f>
        <v/>
      </c>
      <c r="BY96" s="1" t="str">
        <f>IF(AV96&gt;AV$117, AV96-AV$117,"")</f>
        <v/>
      </c>
      <c r="BZ96" s="1" t="str">
        <f>IF(AW96&gt;AW$117, AW96-AW$117,"")</f>
        <v/>
      </c>
      <c r="CA96" s="1" t="str">
        <f>IF(AX96&gt;AX$117, AX96-AX$117,"")</f>
        <v/>
      </c>
      <c r="CB96" s="1" t="str">
        <f>IF(AY96&gt;AY$117, AY96-AY$117,"")</f>
        <v/>
      </c>
      <c r="CC96" s="1" t="str">
        <f>IF(AZ96&gt;AZ$117, AZ96-AZ$117,"")</f>
        <v/>
      </c>
      <c r="CD96" s="1" t="str">
        <f>IF(BA96&gt;BA$117, BA96-BA$117,"")</f>
        <v/>
      </c>
      <c r="CE96" s="1" t="str">
        <f>IF(BB96&gt;BB$117, BB96-BB$117,"")</f>
        <v/>
      </c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3"/>
    </row>
    <row r="97" spans="1:97" ht="54" x14ac:dyDescent="0.15">
      <c r="A97" s="1"/>
      <c r="B97" s="1" t="s">
        <v>134</v>
      </c>
      <c r="C97" s="1" t="s">
        <v>132</v>
      </c>
      <c r="D97" s="1" t="s">
        <v>110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28">
        <v>10</v>
      </c>
      <c r="Q97" s="28"/>
      <c r="R97" s="28"/>
      <c r="S97" s="28">
        <v>10</v>
      </c>
      <c r="T97" s="28"/>
      <c r="U97" s="28"/>
      <c r="V97" s="28"/>
      <c r="W97" s="28">
        <v>5</v>
      </c>
      <c r="X97" s="28"/>
      <c r="Y97" s="28"/>
      <c r="Z97" s="28"/>
      <c r="AA97" s="28"/>
      <c r="AB97" s="28">
        <v>10</v>
      </c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>
        <f>SUM(E97:BO97)</f>
        <v>35</v>
      </c>
      <c r="BQ97" s="1">
        <v>22</v>
      </c>
      <c r="BR97" s="17">
        <v>4</v>
      </c>
      <c r="BS97" s="17" t="s">
        <v>232</v>
      </c>
      <c r="BT97" s="1" t="str">
        <f>IF(AQ97&gt;AQ$117, AQ97-AQ$117,"")</f>
        <v/>
      </c>
      <c r="BU97" s="1" t="str">
        <f>IF(AR97&gt;AR$117, AR97-AR$117,"")</f>
        <v/>
      </c>
      <c r="BV97" s="1" t="str">
        <f>IF(AS97&gt;AS$117, AS97-AS$117,"")</f>
        <v/>
      </c>
      <c r="BW97" s="1" t="str">
        <f>IF(AT97&gt;AT$117, AT97-AT$117,"")</f>
        <v/>
      </c>
      <c r="BX97" s="1" t="str">
        <f>IF(AU97&gt;AU$117, AU97-AU$117,"")</f>
        <v/>
      </c>
      <c r="BY97" s="1" t="str">
        <f>IF(AV97&gt;AV$117, AV97-AV$117,"")</f>
        <v/>
      </c>
      <c r="BZ97" s="1" t="str">
        <f>IF(AW97&gt;AW$117, AW97-AW$117,"")</f>
        <v/>
      </c>
      <c r="CA97" s="1" t="str">
        <f>IF(AX97&gt;AX$117, AX97-AX$117,"")</f>
        <v/>
      </c>
      <c r="CB97" s="1" t="str">
        <f>IF(AY97&gt;AY$117, AY97-AY$117,"")</f>
        <v/>
      </c>
      <c r="CC97" s="1" t="str">
        <f>IF(AZ97&gt;AZ$117, AZ97-AZ$117,"")</f>
        <v/>
      </c>
      <c r="CD97" s="1" t="str">
        <f>IF(BA97&gt;BA$117, BA97-BA$117,"")</f>
        <v/>
      </c>
      <c r="CE97" s="1" t="str">
        <f>IF(BB97&gt;BB$117, BB97-BB$117,"")</f>
        <v/>
      </c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3"/>
    </row>
    <row r="98" spans="1:97" ht="54" x14ac:dyDescent="0.15">
      <c r="A98" s="1"/>
      <c r="B98" s="1" t="s">
        <v>140</v>
      </c>
      <c r="C98" s="1" t="s">
        <v>139</v>
      </c>
      <c r="D98" s="1" t="s">
        <v>110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28">
        <v>10</v>
      </c>
      <c r="Q98" s="28"/>
      <c r="R98" s="28"/>
      <c r="S98" s="28">
        <v>10</v>
      </c>
      <c r="T98" s="28"/>
      <c r="U98" s="28"/>
      <c r="V98" s="28"/>
      <c r="W98" s="28">
        <v>5</v>
      </c>
      <c r="X98" s="28"/>
      <c r="Y98" s="28"/>
      <c r="Z98" s="28"/>
      <c r="AA98" s="28"/>
      <c r="AB98" s="28">
        <v>10</v>
      </c>
      <c r="AC98" s="28"/>
      <c r="AD98" s="28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>
        <f>SUM(E98:BO98)</f>
        <v>35</v>
      </c>
      <c r="BQ98" s="1">
        <v>22</v>
      </c>
      <c r="BR98" s="17">
        <v>4</v>
      </c>
      <c r="BS98" s="17" t="s">
        <v>232</v>
      </c>
      <c r="BT98" s="1" t="str">
        <f>IF(AQ98&gt;AQ$117, AQ98-AQ$117,"")</f>
        <v/>
      </c>
      <c r="BU98" s="1" t="str">
        <f>IF(AR98&gt;AR$117, AR98-AR$117,"")</f>
        <v/>
      </c>
      <c r="BV98" s="1" t="str">
        <f>IF(AS98&gt;AS$117, AS98-AS$117,"")</f>
        <v/>
      </c>
      <c r="BW98" s="1" t="str">
        <f>IF(AT98&gt;AT$117, AT98-AT$117,"")</f>
        <v/>
      </c>
      <c r="BX98" s="1" t="str">
        <f>IF(AU98&gt;AU$117, AU98-AU$117,"")</f>
        <v/>
      </c>
      <c r="BY98" s="1" t="str">
        <f>IF(AV98&gt;AV$117, AV98-AV$117,"")</f>
        <v/>
      </c>
      <c r="BZ98" s="1" t="str">
        <f>IF(AW98&gt;AW$117, AW98-AW$117,"")</f>
        <v/>
      </c>
      <c r="CA98" s="1" t="str">
        <f>IF(AX98&gt;AX$117, AX98-AX$117,"")</f>
        <v/>
      </c>
      <c r="CB98" s="1" t="str">
        <f>IF(AY98&gt;AY$117, AY98-AY$117,"")</f>
        <v/>
      </c>
      <c r="CC98" s="1" t="str">
        <f>IF(AZ98&gt;AZ$117, AZ98-AZ$117,"")</f>
        <v/>
      </c>
      <c r="CD98" s="1" t="str">
        <f>IF(BA98&gt;BA$117, BA98-BA$117,"")</f>
        <v/>
      </c>
      <c r="CE98" s="1" t="str">
        <f>IF(BB98&gt;BB$117, BB98-BB$117,"")</f>
        <v/>
      </c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3"/>
    </row>
    <row r="99" spans="1:97" ht="54" x14ac:dyDescent="0.15">
      <c r="A99" s="1"/>
      <c r="B99" s="1" t="s">
        <v>146</v>
      </c>
      <c r="C99" s="1" t="s">
        <v>107</v>
      </c>
      <c r="D99" s="1" t="s">
        <v>147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28">
        <v>10</v>
      </c>
      <c r="Q99" s="28"/>
      <c r="R99" s="28"/>
      <c r="S99" s="28">
        <v>10</v>
      </c>
      <c r="T99" s="28"/>
      <c r="U99" s="28"/>
      <c r="V99" s="28"/>
      <c r="W99" s="28">
        <v>5</v>
      </c>
      <c r="X99" s="28"/>
      <c r="Y99" s="28"/>
      <c r="Z99" s="28"/>
      <c r="AA99" s="28"/>
      <c r="AB99" s="28">
        <v>10</v>
      </c>
      <c r="AC99" s="28"/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>SUM(E99:BO99)</f>
        <v>35</v>
      </c>
      <c r="BQ99" s="1">
        <v>22</v>
      </c>
      <c r="BR99" s="17">
        <v>4</v>
      </c>
      <c r="BS99" s="17" t="s">
        <v>275</v>
      </c>
      <c r="BT99" s="1" t="str">
        <f>IF(AQ99&gt;AQ$117, AQ99-AQ$117,"")</f>
        <v/>
      </c>
      <c r="BU99" s="1" t="str">
        <f>IF(AR99&gt;AR$117, AR99-AR$117,"")</f>
        <v/>
      </c>
      <c r="BV99" s="1" t="str">
        <f>IF(AS99&gt;AS$117, AS99-AS$117,"")</f>
        <v/>
      </c>
      <c r="BW99" s="1" t="str">
        <f>IF(AT99&gt;AT$117, AT99-AT$117,"")</f>
        <v/>
      </c>
      <c r="BX99" s="1" t="str">
        <f>IF(AU99&gt;AU$117, AU99-AU$117,"")</f>
        <v/>
      </c>
      <c r="BY99" s="1" t="str">
        <f>IF(AV99&gt;AV$117, AV99-AV$117,"")</f>
        <v/>
      </c>
      <c r="BZ99" s="1" t="str">
        <f>IF(AW99&gt;AW$117, AW99-AW$117,"")</f>
        <v/>
      </c>
      <c r="CA99" s="1" t="str">
        <f>IF(AX99&gt;AX$117, AX99-AX$117,"")</f>
        <v/>
      </c>
      <c r="CB99" s="1" t="str">
        <f>IF(AY99&gt;AY$117, AY99-AY$117,"")</f>
        <v/>
      </c>
      <c r="CC99" s="1" t="str">
        <f>IF(AZ99&gt;AZ$117, AZ99-AZ$117,"")</f>
        <v/>
      </c>
      <c r="CD99" s="1" t="str">
        <f>IF(BA99&gt;BA$117, BA99-BA$117,"")</f>
        <v/>
      </c>
      <c r="CE99" s="1" t="str">
        <f>IF(BB99&gt;BB$117, BB99-BB$117,"")</f>
        <v/>
      </c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3"/>
    </row>
    <row r="100" spans="1:97" ht="54" x14ac:dyDescent="0.15">
      <c r="A100" s="1"/>
      <c r="B100" s="1" t="s">
        <v>151</v>
      </c>
      <c r="C100" s="1" t="s">
        <v>109</v>
      </c>
      <c r="D100" s="1" t="s">
        <v>111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28"/>
      <c r="Q100" s="28"/>
      <c r="R100" s="28"/>
      <c r="S100" s="28"/>
      <c r="T100" s="28"/>
      <c r="U100" s="28"/>
      <c r="V100" s="28">
        <v>10</v>
      </c>
      <c r="W100" s="28"/>
      <c r="X100" s="28"/>
      <c r="Y100" s="28">
        <v>10</v>
      </c>
      <c r="Z100" s="28"/>
      <c r="AA100" s="28"/>
      <c r="AB100" s="28">
        <v>10</v>
      </c>
      <c r="AC100" s="28">
        <v>5</v>
      </c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>SUM(E100:BO100)</f>
        <v>35</v>
      </c>
      <c r="BQ100" s="1">
        <v>23</v>
      </c>
      <c r="BR100" s="17">
        <v>4</v>
      </c>
      <c r="BS100" s="17" t="s">
        <v>206</v>
      </c>
      <c r="BT100" s="1" t="str">
        <f>IF(AQ100&gt;AQ$117, AQ100-AQ$117,"")</f>
        <v/>
      </c>
      <c r="BU100" s="1" t="str">
        <f>IF(AR100&gt;AR$117, AR100-AR$117,"")</f>
        <v/>
      </c>
      <c r="BV100" s="1" t="str">
        <f>IF(AS100&gt;AS$117, AS100-AS$117,"")</f>
        <v/>
      </c>
      <c r="BW100" s="1" t="str">
        <f>IF(AT100&gt;AT$117, AT100-AT$117,"")</f>
        <v/>
      </c>
      <c r="BX100" s="1" t="str">
        <f>IF(AU100&gt;AU$117, AU100-AU$117,"")</f>
        <v/>
      </c>
      <c r="BY100" s="1" t="str">
        <f>IF(AV100&gt;AV$117, AV100-AV$117,"")</f>
        <v/>
      </c>
      <c r="BZ100" s="1" t="str">
        <f>IF(AW100&gt;AW$117, AW100-AW$117,"")</f>
        <v/>
      </c>
      <c r="CA100" s="1" t="str">
        <f>IF(AX100&gt;AX$117, AX100-AX$117,"")</f>
        <v/>
      </c>
      <c r="CB100" s="1" t="str">
        <f>IF(AY100&gt;AY$117, AY100-AY$117,"")</f>
        <v/>
      </c>
      <c r="CC100" s="1" t="str">
        <f>IF(AZ100&gt;AZ$117, AZ100-AZ$117,"")</f>
        <v/>
      </c>
      <c r="CD100" s="1" t="str">
        <f>IF(BA100&gt;BA$117, BA100-BA$117,"")</f>
        <v/>
      </c>
      <c r="CE100" s="1" t="str">
        <f>IF(BB100&gt;BB$117, BB100-BB$117,"")</f>
        <v/>
      </c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3"/>
    </row>
    <row r="101" spans="1:97" ht="54" x14ac:dyDescent="0.15">
      <c r="A101" s="1"/>
      <c r="B101" s="1" t="s">
        <v>135</v>
      </c>
      <c r="C101" s="1" t="s">
        <v>137</v>
      </c>
      <c r="D101" s="1" t="s">
        <v>111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28"/>
      <c r="Q101" s="28"/>
      <c r="R101" s="28"/>
      <c r="S101" s="28"/>
      <c r="T101" s="28"/>
      <c r="U101" s="28"/>
      <c r="V101" s="28">
        <v>10</v>
      </c>
      <c r="W101" s="28"/>
      <c r="X101" s="28"/>
      <c r="Y101" s="28">
        <v>10</v>
      </c>
      <c r="Z101" s="28"/>
      <c r="AA101" s="28"/>
      <c r="AB101" s="28">
        <v>10</v>
      </c>
      <c r="AC101" s="28">
        <v>5</v>
      </c>
      <c r="AD101" s="28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>SUM(E101:BO101)</f>
        <v>35</v>
      </c>
      <c r="BQ101" s="1">
        <v>23</v>
      </c>
      <c r="BR101" s="17">
        <v>4</v>
      </c>
      <c r="BS101" s="17" t="s">
        <v>206</v>
      </c>
      <c r="BT101" s="1" t="str">
        <f>IF(AQ101&gt;AQ$117, AQ101-AQ$117,"")</f>
        <v/>
      </c>
      <c r="BU101" s="1" t="str">
        <f>IF(AR101&gt;AR$117, AR101-AR$117,"")</f>
        <v/>
      </c>
      <c r="BV101" s="1" t="str">
        <f>IF(AS101&gt;AS$117, AS101-AS$117,"")</f>
        <v/>
      </c>
      <c r="BW101" s="1" t="str">
        <f>IF(AT101&gt;AT$117, AT101-AT$117,"")</f>
        <v/>
      </c>
      <c r="BX101" s="1" t="str">
        <f>IF(AU101&gt;AU$117, AU101-AU$117,"")</f>
        <v/>
      </c>
      <c r="BY101" s="1" t="str">
        <f>IF(AV101&gt;AV$117, AV101-AV$117,"")</f>
        <v/>
      </c>
      <c r="BZ101" s="1" t="str">
        <f>IF(AW101&gt;AW$117, AW101-AW$117,"")</f>
        <v/>
      </c>
      <c r="CA101" s="1" t="str">
        <f>IF(AX101&gt;AX$117, AX101-AX$117,"")</f>
        <v/>
      </c>
      <c r="CB101" s="1" t="str">
        <f>IF(AY101&gt;AY$117, AY101-AY$117,"")</f>
        <v/>
      </c>
      <c r="CC101" s="1" t="str">
        <f>IF(AZ101&gt;AZ$117, AZ101-AZ$117,"")</f>
        <v/>
      </c>
      <c r="CD101" s="1" t="str">
        <f>IF(BA101&gt;BA$117, BA101-BA$117,"")</f>
        <v/>
      </c>
      <c r="CE101" s="1" t="str">
        <f>IF(BB101&gt;BB$117, BB101-BB$117,"")</f>
        <v/>
      </c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3"/>
    </row>
    <row r="102" spans="1:97" ht="54" x14ac:dyDescent="0.15">
      <c r="A102" s="1"/>
      <c r="B102" s="1" t="s">
        <v>144</v>
      </c>
      <c r="C102" s="1" t="s">
        <v>139</v>
      </c>
      <c r="D102" s="1" t="s">
        <v>111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28"/>
      <c r="Q102" s="28"/>
      <c r="R102" s="28"/>
      <c r="S102" s="28"/>
      <c r="T102" s="28"/>
      <c r="U102" s="28"/>
      <c r="V102" s="28">
        <v>10</v>
      </c>
      <c r="W102" s="28"/>
      <c r="X102" s="28"/>
      <c r="Y102" s="28">
        <v>10</v>
      </c>
      <c r="Z102" s="28"/>
      <c r="AA102" s="28"/>
      <c r="AB102" s="28">
        <v>10</v>
      </c>
      <c r="AC102" s="28">
        <v>5</v>
      </c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>SUM(E102:BO102)</f>
        <v>35</v>
      </c>
      <c r="BQ102" s="1">
        <v>23</v>
      </c>
      <c r="BR102" s="17">
        <v>4</v>
      </c>
      <c r="BS102" s="17" t="s">
        <v>206</v>
      </c>
      <c r="BT102" s="1" t="str">
        <f>IF(AQ102&gt;AQ$117, AQ102-AQ$117,"")</f>
        <v/>
      </c>
      <c r="BU102" s="1" t="str">
        <f>IF(AR102&gt;AR$117, AR102-AR$117,"")</f>
        <v/>
      </c>
      <c r="BV102" s="1" t="str">
        <f>IF(AS102&gt;AS$117, AS102-AS$117,"")</f>
        <v/>
      </c>
      <c r="BW102" s="1" t="str">
        <f>IF(AT102&gt;AT$117, AT102-AT$117,"")</f>
        <v/>
      </c>
      <c r="BX102" s="1" t="str">
        <f>IF(AU102&gt;AU$117, AU102-AU$117,"")</f>
        <v/>
      </c>
      <c r="BY102" s="1" t="str">
        <f>IF(AV102&gt;AV$117, AV102-AV$117,"")</f>
        <v/>
      </c>
      <c r="BZ102" s="1" t="str">
        <f>IF(AW102&gt;AW$117, AW102-AW$117,"")</f>
        <v/>
      </c>
      <c r="CA102" s="1" t="str">
        <f>IF(AX102&gt;AX$117, AX102-AX$117,"")</f>
        <v/>
      </c>
      <c r="CB102" s="1" t="str">
        <f>IF(AY102&gt;AY$117, AY102-AY$117,"")</f>
        <v/>
      </c>
      <c r="CC102" s="1" t="str">
        <f>IF(AZ102&gt;AZ$117, AZ102-AZ$117,"")</f>
        <v/>
      </c>
      <c r="CD102" s="1" t="str">
        <f>IF(BA102&gt;BA$117, BA102-BA$117,"")</f>
        <v/>
      </c>
      <c r="CE102" s="1" t="str">
        <f>IF(BB102&gt;BB$117, BB102-BB$117,"")</f>
        <v/>
      </c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3"/>
    </row>
    <row r="103" spans="1:97" ht="54" x14ac:dyDescent="0.15">
      <c r="A103" s="1"/>
      <c r="B103" s="1" t="s">
        <v>145</v>
      </c>
      <c r="C103" s="1" t="s">
        <v>139</v>
      </c>
      <c r="D103" s="1" t="s">
        <v>111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28"/>
      <c r="Q103" s="28"/>
      <c r="R103" s="28"/>
      <c r="S103" s="28"/>
      <c r="T103" s="28"/>
      <c r="U103" s="28"/>
      <c r="V103" s="28">
        <v>10</v>
      </c>
      <c r="W103" s="28"/>
      <c r="X103" s="28"/>
      <c r="Y103" s="28">
        <v>10</v>
      </c>
      <c r="Z103" s="28"/>
      <c r="AA103" s="28"/>
      <c r="AB103" s="28">
        <v>10</v>
      </c>
      <c r="AC103" s="28">
        <v>5</v>
      </c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>SUM(E103:BO103)</f>
        <v>35</v>
      </c>
      <c r="BQ103" s="1">
        <v>23</v>
      </c>
      <c r="BR103" s="17">
        <v>4</v>
      </c>
      <c r="BS103" s="17" t="s">
        <v>206</v>
      </c>
      <c r="BT103" s="1" t="str">
        <f>IF(AQ103&gt;AQ$117, AQ103-AQ$117,"")</f>
        <v/>
      </c>
      <c r="BU103" s="1" t="str">
        <f>IF(AR103&gt;AR$117, AR103-AR$117,"")</f>
        <v/>
      </c>
      <c r="BV103" s="1" t="str">
        <f>IF(AS103&gt;AS$117, AS103-AS$117,"")</f>
        <v/>
      </c>
      <c r="BW103" s="1" t="str">
        <f>IF(AT103&gt;AT$117, AT103-AT$117,"")</f>
        <v/>
      </c>
      <c r="BX103" s="1" t="str">
        <f>IF(AU103&gt;AU$117, AU103-AU$117,"")</f>
        <v/>
      </c>
      <c r="BY103" s="1" t="str">
        <f>IF(AV103&gt;AV$117, AV103-AV$117,"")</f>
        <v/>
      </c>
      <c r="BZ103" s="1" t="str">
        <f>IF(AW103&gt;AW$117, AW103-AW$117,"")</f>
        <v/>
      </c>
      <c r="CA103" s="1" t="str">
        <f>IF(AX103&gt;AX$117, AX103-AX$117,"")</f>
        <v/>
      </c>
      <c r="CB103" s="1" t="str">
        <f>IF(AY103&gt;AY$117, AY103-AY$117,"")</f>
        <v/>
      </c>
      <c r="CC103" s="1" t="str">
        <f>IF(AZ103&gt;AZ$117, AZ103-AZ$117,"")</f>
        <v/>
      </c>
      <c r="CD103" s="1" t="str">
        <f>IF(BA103&gt;BA$117, BA103-BA$117,"")</f>
        <v/>
      </c>
      <c r="CE103" s="1" t="str">
        <f>IF(BB103&gt;BB$117, BB103-BB$117,"")</f>
        <v/>
      </c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3"/>
    </row>
    <row r="104" spans="1:97" ht="54" x14ac:dyDescent="0.15">
      <c r="A104" s="1"/>
      <c r="B104" s="1" t="s">
        <v>136</v>
      </c>
      <c r="C104" s="1" t="s">
        <v>137</v>
      </c>
      <c r="D104" s="1" t="s">
        <v>110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28">
        <v>10</v>
      </c>
      <c r="Q104" s="28"/>
      <c r="R104" s="28"/>
      <c r="S104" s="28">
        <v>10</v>
      </c>
      <c r="T104" s="28"/>
      <c r="U104" s="28"/>
      <c r="V104" s="28"/>
      <c r="W104" s="28"/>
      <c r="X104" s="28"/>
      <c r="Y104" s="28"/>
      <c r="Z104" s="28">
        <v>5</v>
      </c>
      <c r="AA104" s="28"/>
      <c r="AB104" s="28">
        <v>10</v>
      </c>
      <c r="AC104" s="28"/>
      <c r="AD104" s="28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>SUM(E104:BO104)</f>
        <v>35</v>
      </c>
      <c r="BQ104" s="1">
        <v>23</v>
      </c>
      <c r="BR104" s="17">
        <v>4</v>
      </c>
      <c r="BS104" s="17" t="s">
        <v>276</v>
      </c>
      <c r="BT104" s="1" t="str">
        <f>IF(AQ104&gt;AQ$117, AQ104-AQ$117,"")</f>
        <v/>
      </c>
      <c r="BU104" s="1" t="str">
        <f>IF(AR104&gt;AR$117, AR104-AR$117,"")</f>
        <v/>
      </c>
      <c r="BV104" s="1" t="str">
        <f>IF(AS104&gt;AS$117, AS104-AS$117,"")</f>
        <v/>
      </c>
      <c r="BW104" s="1" t="str">
        <f>IF(AT104&gt;AT$117, AT104-AT$117,"")</f>
        <v/>
      </c>
      <c r="BX104" s="1" t="str">
        <f>IF(AU104&gt;AU$117, AU104-AU$117,"")</f>
        <v/>
      </c>
      <c r="BY104" s="1" t="str">
        <f>IF(AV104&gt;AV$117, AV104-AV$117,"")</f>
        <v/>
      </c>
      <c r="BZ104" s="1" t="str">
        <f>IF(AW104&gt;AW$117, AW104-AW$117,"")</f>
        <v/>
      </c>
      <c r="CA104" s="1" t="str">
        <f>IF(AX104&gt;AX$117, AX104-AX$117,"")</f>
        <v/>
      </c>
      <c r="CB104" s="1" t="str">
        <f>IF(AY104&gt;AY$117, AY104-AY$117,"")</f>
        <v/>
      </c>
      <c r="CC104" s="1" t="str">
        <f>IF(AZ104&gt;AZ$117, AZ104-AZ$117,"")</f>
        <v/>
      </c>
      <c r="CD104" s="1" t="str">
        <f>IF(BA104&gt;BA$117, BA104-BA$117,"")</f>
        <v/>
      </c>
      <c r="CE104" s="1" t="str">
        <f>IF(BB104&gt;BB$117, BB104-BB$117,"")</f>
        <v/>
      </c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3"/>
    </row>
    <row r="105" spans="1:97" ht="54" x14ac:dyDescent="0.15">
      <c r="A105" s="1"/>
      <c r="B105" s="1" t="s">
        <v>127</v>
      </c>
      <c r="C105" s="1" t="s">
        <v>128</v>
      </c>
      <c r="D105" s="1" t="s">
        <v>111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28"/>
      <c r="Q105" s="28">
        <v>5</v>
      </c>
      <c r="R105" s="28"/>
      <c r="S105" s="28"/>
      <c r="T105" s="28"/>
      <c r="U105" s="28"/>
      <c r="V105" s="28">
        <v>10</v>
      </c>
      <c r="W105" s="28"/>
      <c r="X105" s="28"/>
      <c r="Y105" s="28">
        <v>10</v>
      </c>
      <c r="Z105" s="28"/>
      <c r="AA105" s="28"/>
      <c r="AB105" s="28">
        <v>10</v>
      </c>
      <c r="AC105" s="28"/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>SUM(E105:BO105)</f>
        <v>35</v>
      </c>
      <c r="BQ105" s="1">
        <v>24</v>
      </c>
      <c r="BR105" s="17">
        <v>4</v>
      </c>
      <c r="BS105" s="17" t="s">
        <v>277</v>
      </c>
      <c r="BT105" s="1" t="str">
        <f>IF(AQ105&gt;AQ$117, AQ105-AQ$117,"")</f>
        <v/>
      </c>
      <c r="BU105" s="1" t="str">
        <f>IF(AR105&gt;AR$117, AR105-AR$117,"")</f>
        <v/>
      </c>
      <c r="BV105" s="1" t="str">
        <f>IF(AS105&gt;AS$117, AS105-AS$117,"")</f>
        <v/>
      </c>
      <c r="BW105" s="1" t="str">
        <f>IF(AT105&gt;AT$117, AT105-AT$117,"")</f>
        <v/>
      </c>
      <c r="BX105" s="1" t="str">
        <f>IF(AU105&gt;AU$117, AU105-AU$117,"")</f>
        <v/>
      </c>
      <c r="BY105" s="1" t="str">
        <f>IF(AV105&gt;AV$117, AV105-AV$117,"")</f>
        <v/>
      </c>
      <c r="BZ105" s="1" t="str">
        <f>IF(AW105&gt;AW$117, AW105-AW$117,"")</f>
        <v/>
      </c>
      <c r="CA105" s="1" t="str">
        <f>IF(AX105&gt;AX$117, AX105-AX$117,"")</f>
        <v/>
      </c>
      <c r="CB105" s="1" t="str">
        <f>IF(AY105&gt;AY$117, AY105-AY$117,"")</f>
        <v/>
      </c>
      <c r="CC105" s="1" t="str">
        <f>IF(AZ105&gt;AZ$117, AZ105-AZ$117,"")</f>
        <v/>
      </c>
      <c r="CD105" s="1" t="str">
        <f>IF(BA105&gt;BA$117, BA105-BA$117,"")</f>
        <v/>
      </c>
      <c r="CE105" s="1" t="str">
        <f>IF(BB105&gt;BB$117, BB105-BB$117,"")</f>
        <v/>
      </c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3"/>
    </row>
    <row r="106" spans="1:97" ht="54" x14ac:dyDescent="0.15">
      <c r="A106" s="1"/>
      <c r="B106" s="1" t="s">
        <v>133</v>
      </c>
      <c r="C106" s="1" t="s">
        <v>132</v>
      </c>
      <c r="D106" s="1" t="s">
        <v>111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28"/>
      <c r="Q106" s="28">
        <v>5</v>
      </c>
      <c r="R106" s="28"/>
      <c r="S106" s="28"/>
      <c r="T106" s="28"/>
      <c r="U106" s="28"/>
      <c r="V106" s="28">
        <v>10</v>
      </c>
      <c r="W106" s="28"/>
      <c r="X106" s="28"/>
      <c r="Y106" s="28">
        <v>10</v>
      </c>
      <c r="Z106" s="28"/>
      <c r="AA106" s="28"/>
      <c r="AB106" s="28">
        <v>10</v>
      </c>
      <c r="AC106" s="28"/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35</v>
      </c>
      <c r="BQ106" s="1">
        <v>24</v>
      </c>
      <c r="BR106" s="17">
        <v>4</v>
      </c>
      <c r="BS106" s="17" t="s">
        <v>278</v>
      </c>
      <c r="BT106" s="1" t="str">
        <f>IF(AQ106&gt;AQ$117, AQ106-AQ$117,"")</f>
        <v/>
      </c>
      <c r="BU106" s="1" t="str">
        <f>IF(AR106&gt;AR$117, AR106-AR$117,"")</f>
        <v/>
      </c>
      <c r="BV106" s="1" t="str">
        <f>IF(AS106&gt;AS$117, AS106-AS$117,"")</f>
        <v/>
      </c>
      <c r="BW106" s="1" t="str">
        <f>IF(AT106&gt;AT$117, AT106-AT$117,"")</f>
        <v/>
      </c>
      <c r="BX106" s="1" t="str">
        <f>IF(AU106&gt;AU$117, AU106-AU$117,"")</f>
        <v/>
      </c>
      <c r="BY106" s="1" t="str">
        <f>IF(AV106&gt;AV$117, AV106-AV$117,"")</f>
        <v/>
      </c>
      <c r="BZ106" s="1" t="str">
        <f>IF(AW106&gt;AW$117, AW106-AW$117,"")</f>
        <v/>
      </c>
      <c r="CA106" s="1" t="str">
        <f>IF(AX106&gt;AX$117, AX106-AX$117,"")</f>
        <v/>
      </c>
      <c r="CB106" s="1" t="str">
        <f>IF(AY106&gt;AY$117, AY106-AY$117,"")</f>
        <v/>
      </c>
      <c r="CC106" s="1" t="str">
        <f>IF(AZ106&gt;AZ$117, AZ106-AZ$117,"")</f>
        <v/>
      </c>
      <c r="CD106" s="1" t="str">
        <f>IF(BA106&gt;BA$117, BA106-BA$117,"")</f>
        <v/>
      </c>
      <c r="CE106" s="1" t="str">
        <f>IF(BB106&gt;BB$117, BB106-BB$117,"")</f>
        <v/>
      </c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3"/>
    </row>
    <row r="107" spans="1:97" ht="54" x14ac:dyDescent="0.15">
      <c r="A107" s="1"/>
      <c r="B107" s="1" t="s">
        <v>127</v>
      </c>
      <c r="C107" s="1" t="s">
        <v>128</v>
      </c>
      <c r="D107" s="1" t="s">
        <v>110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28">
        <v>10</v>
      </c>
      <c r="Q107" s="28"/>
      <c r="R107" s="28"/>
      <c r="S107" s="28">
        <v>10</v>
      </c>
      <c r="T107" s="28"/>
      <c r="U107" s="28"/>
      <c r="V107" s="28">
        <v>10</v>
      </c>
      <c r="W107" s="28"/>
      <c r="X107" s="28"/>
      <c r="Y107" s="28">
        <v>10</v>
      </c>
      <c r="Z107" s="28"/>
      <c r="AA107" s="28"/>
      <c r="AB107" s="28"/>
      <c r="AC107" s="28"/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40</v>
      </c>
      <c r="BQ107" s="1">
        <v>35</v>
      </c>
      <c r="BR107" s="17">
        <v>4</v>
      </c>
      <c r="BS107" s="17" t="s">
        <v>279</v>
      </c>
      <c r="BT107" s="1" t="str">
        <f>IF(AQ107&gt;AQ$117, AQ107-AQ$117,"")</f>
        <v/>
      </c>
      <c r="BU107" s="1" t="str">
        <f>IF(AR107&gt;AR$117, AR107-AR$117,"")</f>
        <v/>
      </c>
      <c r="BV107" s="1" t="str">
        <f>IF(AS107&gt;AS$117, AS107-AS$117,"")</f>
        <v/>
      </c>
      <c r="BW107" s="1" t="str">
        <f>IF(AT107&gt;AT$117, AT107-AT$117,"")</f>
        <v/>
      </c>
      <c r="BX107" s="1" t="str">
        <f>IF(AU107&gt;AU$117, AU107-AU$117,"")</f>
        <v/>
      </c>
      <c r="BY107" s="1" t="str">
        <f>IF(AV107&gt;AV$117, AV107-AV$117,"")</f>
        <v/>
      </c>
      <c r="BZ107" s="1" t="str">
        <f>IF(AW107&gt;AW$117, AW107-AW$117,"")</f>
        <v/>
      </c>
      <c r="CA107" s="1" t="str">
        <f>IF(AX107&gt;AX$117, AX107-AX$117,"")</f>
        <v/>
      </c>
      <c r="CB107" s="1" t="str">
        <f>IF(AY107&gt;AY$117, AY107-AY$117,"")</f>
        <v/>
      </c>
      <c r="CC107" s="1" t="str">
        <f>IF(AZ107&gt;AZ$117, AZ107-AZ$117,"")</f>
        <v/>
      </c>
      <c r="CD107" s="1" t="str">
        <f>IF(BA107&gt;BA$117, BA107-BA$117,"")</f>
        <v/>
      </c>
      <c r="CE107" s="1" t="str">
        <f>IF(BB107&gt;BB$117, BB107-BB$117,"")</f>
        <v/>
      </c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3"/>
    </row>
    <row r="108" spans="1:97" ht="54" x14ac:dyDescent="0.15">
      <c r="A108" s="1"/>
      <c r="B108" s="1" t="s">
        <v>133</v>
      </c>
      <c r="C108" s="1" t="s">
        <v>132</v>
      </c>
      <c r="D108" s="1" t="s">
        <v>110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28">
        <v>10</v>
      </c>
      <c r="Q108" s="28"/>
      <c r="R108" s="28"/>
      <c r="S108" s="28">
        <v>10</v>
      </c>
      <c r="T108" s="28"/>
      <c r="U108" s="28"/>
      <c r="V108" s="28">
        <v>10</v>
      </c>
      <c r="W108" s="28"/>
      <c r="X108" s="28"/>
      <c r="Y108" s="28">
        <v>10</v>
      </c>
      <c r="Z108" s="28"/>
      <c r="AA108" s="28"/>
      <c r="AB108" s="28"/>
      <c r="AC108" s="28"/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>SUM(E108:BO108)</f>
        <v>40</v>
      </c>
      <c r="BQ108" s="1">
        <v>35</v>
      </c>
      <c r="BR108" s="17">
        <v>4</v>
      </c>
      <c r="BS108" s="17" t="s">
        <v>217</v>
      </c>
      <c r="BT108" s="1" t="str">
        <f>IF(AQ108&gt;AQ$117, AQ108-AQ$117,"")</f>
        <v/>
      </c>
      <c r="BU108" s="1" t="str">
        <f>IF(AR108&gt;AR$117, AR108-AR$117,"")</f>
        <v/>
      </c>
      <c r="BV108" s="1" t="str">
        <f>IF(AS108&gt;AS$117, AS108-AS$117,"")</f>
        <v/>
      </c>
      <c r="BW108" s="1" t="str">
        <f>IF(AT108&gt;AT$117, AT108-AT$117,"")</f>
        <v/>
      </c>
      <c r="BX108" s="1" t="str">
        <f>IF(AU108&gt;AU$117, AU108-AU$117,"")</f>
        <v/>
      </c>
      <c r="BY108" s="1" t="str">
        <f>IF(AV108&gt;AV$117, AV108-AV$117,"")</f>
        <v/>
      </c>
      <c r="BZ108" s="1" t="str">
        <f>IF(AW108&gt;AW$117, AW108-AW$117,"")</f>
        <v/>
      </c>
      <c r="CA108" s="1" t="str">
        <f>IF(AX108&gt;AX$117, AX108-AX$117,"")</f>
        <v/>
      </c>
      <c r="CB108" s="1" t="str">
        <f>IF(AY108&gt;AY$117, AY108-AY$117,"")</f>
        <v/>
      </c>
      <c r="CC108" s="1" t="str">
        <f>IF(AZ108&gt;AZ$117, AZ108-AZ$117,"")</f>
        <v/>
      </c>
      <c r="CD108" s="1" t="str">
        <f>IF(BA108&gt;BA$117, BA108-BA$117,"")</f>
        <v/>
      </c>
      <c r="CE108" s="1" t="str">
        <f>IF(BB108&gt;BB$117, BB108-BB$117,"")</f>
        <v/>
      </c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3"/>
    </row>
    <row r="109" spans="1:97" ht="54" x14ac:dyDescent="0.15">
      <c r="A109" s="1"/>
      <c r="B109" s="1" t="s">
        <v>135</v>
      </c>
      <c r="C109" s="1" t="s">
        <v>137</v>
      </c>
      <c r="D109" s="1" t="s">
        <v>110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28">
        <v>10</v>
      </c>
      <c r="Q109" s="28"/>
      <c r="R109" s="28"/>
      <c r="S109" s="28">
        <v>10</v>
      </c>
      <c r="T109" s="28"/>
      <c r="U109" s="28"/>
      <c r="V109" s="28">
        <v>10</v>
      </c>
      <c r="W109" s="28"/>
      <c r="X109" s="28"/>
      <c r="Y109" s="28">
        <v>10</v>
      </c>
      <c r="Z109" s="28"/>
      <c r="AA109" s="28"/>
      <c r="AB109" s="28"/>
      <c r="AC109" s="28"/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40</v>
      </c>
      <c r="BQ109" s="1">
        <v>35</v>
      </c>
      <c r="BR109" s="17">
        <v>4</v>
      </c>
      <c r="BS109" s="17" t="s">
        <v>279</v>
      </c>
      <c r="BT109" s="1" t="str">
        <f>IF(AQ109&gt;AQ$117, AQ109-AQ$117,"")</f>
        <v/>
      </c>
      <c r="BU109" s="1" t="str">
        <f>IF(AR109&gt;AR$117, AR109-AR$117,"")</f>
        <v/>
      </c>
      <c r="BV109" s="1" t="str">
        <f>IF(AS109&gt;AS$117, AS109-AS$117,"")</f>
        <v/>
      </c>
      <c r="BW109" s="1" t="str">
        <f>IF(AT109&gt;AT$117, AT109-AT$117,"")</f>
        <v/>
      </c>
      <c r="BX109" s="1" t="str">
        <f>IF(AU109&gt;AU$117, AU109-AU$117,"")</f>
        <v/>
      </c>
      <c r="BY109" s="1" t="str">
        <f>IF(AV109&gt;AV$117, AV109-AV$117,"")</f>
        <v/>
      </c>
      <c r="BZ109" s="1" t="str">
        <f>IF(AW109&gt;AW$117, AW109-AW$117,"")</f>
        <v/>
      </c>
      <c r="CA109" s="1" t="str">
        <f>IF(AX109&gt;AX$117, AX109-AX$117,"")</f>
        <v/>
      </c>
      <c r="CB109" s="1" t="str">
        <f>IF(AY109&gt;AY$117, AY109-AY$117,"")</f>
        <v/>
      </c>
      <c r="CC109" s="1" t="str">
        <f>IF(AZ109&gt;AZ$117, AZ109-AZ$117,"")</f>
        <v/>
      </c>
      <c r="CD109" s="1" t="str">
        <f>IF(BA109&gt;BA$117, BA109-BA$117,"")</f>
        <v/>
      </c>
      <c r="CE109" s="1" t="str">
        <f>IF(BB109&gt;BB$117, BB109-BB$117,"")</f>
        <v/>
      </c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3"/>
    </row>
    <row r="110" spans="1:97" ht="54" x14ac:dyDescent="0.15">
      <c r="A110" s="1"/>
      <c r="B110" s="1" t="s">
        <v>141</v>
      </c>
      <c r="C110" s="1" t="s">
        <v>139</v>
      </c>
      <c r="D110" s="1" t="s">
        <v>110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28">
        <v>10</v>
      </c>
      <c r="Q110" s="28"/>
      <c r="R110" s="28"/>
      <c r="S110" s="28">
        <v>10</v>
      </c>
      <c r="T110" s="28"/>
      <c r="U110" s="28"/>
      <c r="V110" s="28">
        <v>10</v>
      </c>
      <c r="W110" s="28"/>
      <c r="X110" s="28"/>
      <c r="Y110" s="28">
        <v>10</v>
      </c>
      <c r="Z110" s="28"/>
      <c r="AA110" s="28"/>
      <c r="AB110" s="28"/>
      <c r="AC110" s="28"/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>SUM(E110:BO110)</f>
        <v>40</v>
      </c>
      <c r="BQ110" s="1">
        <v>35</v>
      </c>
      <c r="BR110" s="17">
        <v>4</v>
      </c>
      <c r="BS110" s="17" t="s">
        <v>217</v>
      </c>
      <c r="BT110" s="1" t="str">
        <f>IF(AQ110&gt;AQ$117, AQ110-AQ$117,"")</f>
        <v/>
      </c>
      <c r="BU110" s="1" t="str">
        <f>IF(AR110&gt;AR$117, AR110-AR$117,"")</f>
        <v/>
      </c>
      <c r="BV110" s="1" t="str">
        <f>IF(AS110&gt;AS$117, AS110-AS$117,"")</f>
        <v/>
      </c>
      <c r="BW110" s="1" t="str">
        <f>IF(AT110&gt;AT$117, AT110-AT$117,"")</f>
        <v/>
      </c>
      <c r="BX110" s="1" t="str">
        <f>IF(AU110&gt;AU$117, AU110-AU$117,"")</f>
        <v/>
      </c>
      <c r="BY110" s="1" t="str">
        <f>IF(AV110&gt;AV$117, AV110-AV$117,"")</f>
        <v/>
      </c>
      <c r="BZ110" s="1" t="str">
        <f>IF(AW110&gt;AW$117, AW110-AW$117,"")</f>
        <v/>
      </c>
      <c r="CA110" s="1" t="str">
        <f>IF(AX110&gt;AX$117, AX110-AX$117,"")</f>
        <v/>
      </c>
      <c r="CB110" s="1" t="str">
        <f>IF(AY110&gt;AY$117, AY110-AY$117,"")</f>
        <v/>
      </c>
      <c r="CC110" s="1" t="str">
        <f>IF(AZ110&gt;AZ$117, AZ110-AZ$117,"")</f>
        <v/>
      </c>
      <c r="CD110" s="1" t="str">
        <f>IF(BA110&gt;BA$117, BA110-BA$117,"")</f>
        <v/>
      </c>
      <c r="CE110" s="1" t="str">
        <f>IF(BB110&gt;BB$117, BB110-BB$117,"")</f>
        <v/>
      </c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3"/>
    </row>
    <row r="111" spans="1:97" ht="54" x14ac:dyDescent="0.15">
      <c r="A111" s="1"/>
      <c r="B111" s="1" t="s">
        <v>144</v>
      </c>
      <c r="C111" s="1" t="s">
        <v>139</v>
      </c>
      <c r="D111" s="1" t="s">
        <v>110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28">
        <v>10</v>
      </c>
      <c r="Q111" s="28"/>
      <c r="R111" s="28"/>
      <c r="S111" s="28">
        <v>10</v>
      </c>
      <c r="T111" s="28"/>
      <c r="U111" s="28"/>
      <c r="V111" s="28">
        <v>10</v>
      </c>
      <c r="W111" s="28"/>
      <c r="X111" s="28"/>
      <c r="Y111" s="28">
        <v>10</v>
      </c>
      <c r="Z111" s="28"/>
      <c r="AA111" s="28"/>
      <c r="AB111" s="28"/>
      <c r="AC111" s="28"/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40</v>
      </c>
      <c r="BQ111" s="1">
        <v>35</v>
      </c>
      <c r="BR111" s="17">
        <v>4</v>
      </c>
      <c r="BS111" s="17" t="s">
        <v>280</v>
      </c>
      <c r="BT111" s="1" t="str">
        <f>IF(AQ111&gt;AQ$117, AQ111-AQ$117,"")</f>
        <v/>
      </c>
      <c r="BU111" s="1" t="str">
        <f>IF(AR111&gt;AR$117, AR111-AR$117,"")</f>
        <v/>
      </c>
      <c r="BV111" s="1" t="str">
        <f>IF(AS111&gt;AS$117, AS111-AS$117,"")</f>
        <v/>
      </c>
      <c r="BW111" s="1" t="str">
        <f>IF(AT111&gt;AT$117, AT111-AT$117,"")</f>
        <v/>
      </c>
      <c r="BX111" s="1" t="str">
        <f>IF(AU111&gt;AU$117, AU111-AU$117,"")</f>
        <v/>
      </c>
      <c r="BY111" s="1" t="str">
        <f>IF(AV111&gt;AV$117, AV111-AV$117,"")</f>
        <v/>
      </c>
      <c r="BZ111" s="1" t="str">
        <f>IF(AW111&gt;AW$117, AW111-AW$117,"")</f>
        <v/>
      </c>
      <c r="CA111" s="1" t="str">
        <f>IF(AX111&gt;AX$117, AX111-AX$117,"")</f>
        <v/>
      </c>
      <c r="CB111" s="1" t="str">
        <f>IF(AY111&gt;AY$117, AY111-AY$117,"")</f>
        <v/>
      </c>
      <c r="CC111" s="1" t="str">
        <f>IF(AZ111&gt;AZ$117, AZ111-AZ$117,"")</f>
        <v/>
      </c>
      <c r="CD111" s="1" t="str">
        <f>IF(BA111&gt;BA$117, BA111-BA$117,"")</f>
        <v/>
      </c>
      <c r="CE111" s="1" t="str">
        <f>IF(BB111&gt;BB$117, BB111-BB$117,"")</f>
        <v/>
      </c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3"/>
    </row>
    <row r="112" spans="1:97" ht="54" x14ac:dyDescent="0.15">
      <c r="A112" s="1"/>
      <c r="B112" s="1" t="s">
        <v>145</v>
      </c>
      <c r="C112" s="1" t="s">
        <v>139</v>
      </c>
      <c r="D112" s="1" t="s">
        <v>110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28">
        <v>10</v>
      </c>
      <c r="Q112" s="28"/>
      <c r="R112" s="28"/>
      <c r="S112" s="28">
        <v>10</v>
      </c>
      <c r="T112" s="28"/>
      <c r="U112" s="28"/>
      <c r="V112" s="28">
        <v>10</v>
      </c>
      <c r="W112" s="28"/>
      <c r="X112" s="28"/>
      <c r="Y112" s="28">
        <v>10</v>
      </c>
      <c r="Z112" s="28"/>
      <c r="AA112" s="28"/>
      <c r="AB112" s="28"/>
      <c r="AC112" s="28"/>
      <c r="AD112" s="28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>SUM(E112:BO112)</f>
        <v>40</v>
      </c>
      <c r="BQ112" s="1">
        <v>35</v>
      </c>
      <c r="BR112" s="17">
        <v>4</v>
      </c>
      <c r="BS112" s="17" t="s">
        <v>280</v>
      </c>
      <c r="BT112" s="1" t="str">
        <f>IF(AQ112&gt;AQ$117, AQ112-AQ$117,"")</f>
        <v/>
      </c>
      <c r="BU112" s="1" t="str">
        <f>IF(AR112&gt;AR$117, AR112-AR$117,"")</f>
        <v/>
      </c>
      <c r="BV112" s="1" t="str">
        <f>IF(AS112&gt;AS$117, AS112-AS$117,"")</f>
        <v/>
      </c>
      <c r="BW112" s="1" t="str">
        <f>IF(AT112&gt;AT$117, AT112-AT$117,"")</f>
        <v/>
      </c>
      <c r="BX112" s="1" t="str">
        <f>IF(AU112&gt;AU$117, AU112-AU$117,"")</f>
        <v/>
      </c>
      <c r="BY112" s="1" t="str">
        <f>IF(AV112&gt;AV$117, AV112-AV$117,"")</f>
        <v/>
      </c>
      <c r="BZ112" s="1" t="str">
        <f>IF(AW112&gt;AW$117, AW112-AW$117,"")</f>
        <v/>
      </c>
      <c r="CA112" s="1" t="str">
        <f>IF(AX112&gt;AX$117, AX112-AX$117,"")</f>
        <v/>
      </c>
      <c r="CB112" s="1" t="str">
        <f>IF(AY112&gt;AY$117, AY112-AY$117,"")</f>
        <v/>
      </c>
      <c r="CC112" s="1" t="str">
        <f>IF(AZ112&gt;AZ$117, AZ112-AZ$117,"")</f>
        <v/>
      </c>
      <c r="CD112" s="1" t="str">
        <f>IF(BA112&gt;BA$117, BA112-BA$117,"")</f>
        <v/>
      </c>
      <c r="CE112" s="1" t="str">
        <f>IF(BB112&gt;BB$117, BB112-BB$117,"")</f>
        <v/>
      </c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3"/>
    </row>
    <row r="113" spans="1:97" ht="54" x14ac:dyDescent="0.15">
      <c r="A113" s="1">
        <v>23</v>
      </c>
      <c r="B113" s="1" t="s">
        <v>90</v>
      </c>
      <c r="C113" s="1" t="s">
        <v>28</v>
      </c>
      <c r="D113" s="1" t="s">
        <v>34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>
        <v>50</v>
      </c>
      <c r="BK113" s="1">
        <v>50</v>
      </c>
      <c r="BL113" s="1"/>
      <c r="BM113" s="1"/>
      <c r="BN113" s="1">
        <v>50</v>
      </c>
      <c r="BO113" s="1">
        <v>50</v>
      </c>
      <c r="BP113" s="1">
        <f>SUM(E113:BO113)</f>
        <v>200</v>
      </c>
      <c r="BQ113" s="1">
        <v>100</v>
      </c>
      <c r="BR113" s="17">
        <v>4</v>
      </c>
      <c r="BS113" s="17" t="s">
        <v>205</v>
      </c>
      <c r="BT113" s="1" t="str">
        <f>IF(AQ113&gt;AQ$117, AQ113-AQ$117,"")</f>
        <v/>
      </c>
      <c r="BU113" s="1" t="str">
        <f>IF(AR113&gt;AR$117, AR113-AR$117,"")</f>
        <v/>
      </c>
      <c r="BV113" s="1" t="str">
        <f>IF(AS113&gt;AS$117, AS113-AS$117,"")</f>
        <v/>
      </c>
      <c r="BW113" s="1" t="str">
        <f>IF(AT113&gt;AT$117, AT113-AT$117,"")</f>
        <v/>
      </c>
      <c r="BX113" s="1" t="str">
        <f>IF(AU113&gt;AU$117, AU113-AU$117,"")</f>
        <v/>
      </c>
      <c r="BY113" s="1" t="str">
        <f>IF(AV113&gt;AV$117, AV113-AV$117,"")</f>
        <v/>
      </c>
      <c r="BZ113" s="1" t="str">
        <f>IF(AW113&gt;AW$117, AW113-AW$117,"")</f>
        <v/>
      </c>
      <c r="CA113" s="1" t="str">
        <f>IF(AX113&gt;AX$117, AX113-AX$117,"")</f>
        <v/>
      </c>
      <c r="CB113" s="1" t="str">
        <f>IF(AY113&gt;AY$117, AY113-AY$117,"")</f>
        <v/>
      </c>
      <c r="CC113" s="1" t="str">
        <f>IF(AZ113&gt;AZ$117, AZ113-AZ$117,"")</f>
        <v/>
      </c>
      <c r="CD113" s="1" t="str">
        <f>IF(BA113&gt;BA$117, BA113-BA$117,"")</f>
        <v/>
      </c>
      <c r="CE113" s="1" t="str">
        <f>IF(BB113&gt;BB$117, BB113-BB$117,"")</f>
        <v/>
      </c>
      <c r="CF113" s="1">
        <f>COUNTIF(BT113:CE113, "&gt;0")</f>
        <v>0</v>
      </c>
      <c r="CG113" s="1" t="str">
        <f>IF($CF113=1,BT113,"")</f>
        <v/>
      </c>
      <c r="CH113" s="1" t="str">
        <f>IF($CF113=1,BU113,"")</f>
        <v/>
      </c>
      <c r="CI113" s="1" t="str">
        <f>IF($CF113=1,BV113,"")</f>
        <v/>
      </c>
      <c r="CJ113" s="1" t="str">
        <f>IF($CF113=1,BW113,"")</f>
        <v/>
      </c>
      <c r="CK113" s="1" t="str">
        <f>IF($CF113=1,BX113,"")</f>
        <v/>
      </c>
      <c r="CL113" s="1" t="str">
        <f>IF($CF113=1,BY113,"")</f>
        <v/>
      </c>
      <c r="CM113" s="1" t="str">
        <f>IF($CF113=1,BZ113,"")</f>
        <v/>
      </c>
      <c r="CN113" s="1" t="str">
        <f>IF($CF113=1,CA113,"")</f>
        <v/>
      </c>
      <c r="CO113" s="1" t="str">
        <f>IF($CF113=1,CB113,"")</f>
        <v/>
      </c>
      <c r="CP113" s="1" t="str">
        <f>IF($CF113=1,CC113,"")</f>
        <v/>
      </c>
      <c r="CQ113" s="1" t="str">
        <f>IF($CF113=1,CD113,"")</f>
        <v/>
      </c>
      <c r="CR113" s="1" t="str">
        <f>IF($CF113=1,CE113,"")</f>
        <v/>
      </c>
      <c r="CS113" s="3">
        <f>SUM(AE113:BO113)</f>
        <v>200</v>
      </c>
    </row>
    <row r="114" spans="1:97" ht="54" x14ac:dyDescent="0.15">
      <c r="A114" s="1"/>
      <c r="B114" s="1" t="s">
        <v>163</v>
      </c>
      <c r="C114" s="1" t="s">
        <v>104</v>
      </c>
      <c r="D114" s="1" t="s">
        <v>105</v>
      </c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>
        <v>50</v>
      </c>
      <c r="BK114" s="1">
        <v>50</v>
      </c>
      <c r="BL114" s="1"/>
      <c r="BM114" s="1"/>
      <c r="BN114" s="1">
        <v>50</v>
      </c>
      <c r="BO114" s="1">
        <v>50</v>
      </c>
      <c r="BP114" s="1">
        <f>SUM(E114:BO114)</f>
        <v>200</v>
      </c>
      <c r="BQ114" s="1">
        <v>100</v>
      </c>
      <c r="BR114" s="17">
        <v>4</v>
      </c>
      <c r="BS114" s="17" t="s">
        <v>205</v>
      </c>
      <c r="BT114" s="1" t="str">
        <f>IF(AQ114&gt;AQ$117, AQ114-AQ$117,"")</f>
        <v/>
      </c>
      <c r="BU114" s="1" t="str">
        <f>IF(AR114&gt;AR$117, AR114-AR$117,"")</f>
        <v/>
      </c>
      <c r="BV114" s="1" t="str">
        <f>IF(AS114&gt;AS$117, AS114-AS$117,"")</f>
        <v/>
      </c>
      <c r="BW114" s="1" t="str">
        <f>IF(AT114&gt;AT$117, AT114-AT$117,"")</f>
        <v/>
      </c>
      <c r="BX114" s="1" t="str">
        <f>IF(AU114&gt;AU$117, AU114-AU$117,"")</f>
        <v/>
      </c>
      <c r="BY114" s="1" t="str">
        <f>IF(AV114&gt;AV$117, AV114-AV$117,"")</f>
        <v/>
      </c>
      <c r="BZ114" s="1" t="str">
        <f>IF(AW114&gt;AW$117, AW114-AW$117,"")</f>
        <v/>
      </c>
      <c r="CA114" s="1" t="str">
        <f>IF(AX114&gt;AX$117, AX114-AX$117,"")</f>
        <v/>
      </c>
      <c r="CB114" s="1" t="str">
        <f>IF(AY114&gt;AY$117, AY114-AY$117,"")</f>
        <v/>
      </c>
      <c r="CC114" s="1" t="str">
        <f>IF(AZ114&gt;AZ$117, AZ114-AZ$117,"")</f>
        <v/>
      </c>
      <c r="CD114" s="1" t="str">
        <f>IF(BA114&gt;BA$117, BA114-BA$117,"")</f>
        <v/>
      </c>
      <c r="CE114" s="1" t="str">
        <f>IF(BB114&gt;BB$117, BB114-BB$117,"")</f>
        <v/>
      </c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3"/>
    </row>
    <row r="115" spans="1:97" ht="54" x14ac:dyDescent="0.15">
      <c r="A115" s="1"/>
      <c r="B115" s="1" t="s">
        <v>161</v>
      </c>
      <c r="C115" s="1" t="s">
        <v>138</v>
      </c>
      <c r="D115" s="1" t="s">
        <v>34</v>
      </c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>
        <v>50</v>
      </c>
      <c r="BK115" s="1">
        <v>50</v>
      </c>
      <c r="BL115" s="1"/>
      <c r="BM115" s="1"/>
      <c r="BN115" s="1">
        <v>50</v>
      </c>
      <c r="BO115" s="1">
        <v>50</v>
      </c>
      <c r="BP115" s="1">
        <f>SUM(E115:BO115)</f>
        <v>200</v>
      </c>
      <c r="BQ115" s="1">
        <v>100</v>
      </c>
      <c r="BR115" s="17">
        <v>4</v>
      </c>
      <c r="BS115" s="17" t="s">
        <v>281</v>
      </c>
      <c r="BT115" s="1" t="str">
        <f>IF(AQ115&gt;AQ$117, AQ115-AQ$117,"")</f>
        <v/>
      </c>
      <c r="BU115" s="1" t="str">
        <f>IF(AR115&gt;AR$117, AR115-AR$117,"")</f>
        <v/>
      </c>
      <c r="BV115" s="1" t="str">
        <f>IF(AS115&gt;AS$117, AS115-AS$117,"")</f>
        <v/>
      </c>
      <c r="BW115" s="1" t="str">
        <f>IF(AT115&gt;AT$117, AT115-AT$117,"")</f>
        <v/>
      </c>
      <c r="BX115" s="1" t="str">
        <f>IF(AU115&gt;AU$117, AU115-AU$117,"")</f>
        <v/>
      </c>
      <c r="BY115" s="1" t="str">
        <f>IF(AV115&gt;AV$117, AV115-AV$117,"")</f>
        <v/>
      </c>
      <c r="BZ115" s="1" t="str">
        <f>IF(AW115&gt;AW$117, AW115-AW$117,"")</f>
        <v/>
      </c>
      <c r="CA115" s="1" t="str">
        <f>IF(AX115&gt;AX$117, AX115-AX$117,"")</f>
        <v/>
      </c>
      <c r="CB115" s="1" t="str">
        <f>IF(AY115&gt;AY$117, AY115-AY$117,"")</f>
        <v/>
      </c>
      <c r="CC115" s="1" t="str">
        <f>IF(AZ115&gt;AZ$117, AZ115-AZ$117,"")</f>
        <v/>
      </c>
      <c r="CD115" s="1" t="str">
        <f>IF(BA115&gt;BA$117, BA115-BA$117,"")</f>
        <v/>
      </c>
      <c r="CE115" s="1" t="str">
        <f>IF(BB115&gt;BB$117, BB115-BB$117,"")</f>
        <v/>
      </c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3"/>
    </row>
    <row r="116" spans="1:97" ht="54" x14ac:dyDescent="0.15">
      <c r="A116" s="1">
        <v>102</v>
      </c>
      <c r="B116" s="3" t="s">
        <v>195</v>
      </c>
      <c r="C116" s="3" t="s">
        <v>60</v>
      </c>
      <c r="D116" s="1" t="s">
        <v>34</v>
      </c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>
        <v>50</v>
      </c>
      <c r="BK116" s="1">
        <v>50</v>
      </c>
      <c r="BL116" s="1"/>
      <c r="BM116" s="1"/>
      <c r="BN116" s="1">
        <v>50</v>
      </c>
      <c r="BO116" s="1">
        <v>50</v>
      </c>
      <c r="BP116" s="1">
        <f>SUM(E116:BO116)</f>
        <v>200</v>
      </c>
      <c r="BQ116" s="1">
        <v>100</v>
      </c>
      <c r="BR116" s="17">
        <v>4</v>
      </c>
      <c r="BS116" s="17" t="s">
        <v>281</v>
      </c>
      <c r="BT116" s="1" t="str">
        <f>IF(AQ116&gt;AQ$117, AQ116-AQ$117,"")</f>
        <v/>
      </c>
      <c r="BU116" s="1" t="str">
        <f>IF(AR116&gt;AR$117, AR116-AR$117,"")</f>
        <v/>
      </c>
      <c r="BV116" s="1" t="str">
        <f>IF(AS116&gt;AS$117, AS116-AS$117,"")</f>
        <v/>
      </c>
      <c r="BW116" s="1" t="str">
        <f>IF(AT116&gt;AT$117, AT116-AT$117,"")</f>
        <v/>
      </c>
      <c r="BX116" s="1" t="str">
        <f>IF(AU116&gt;AU$117, AU116-AU$117,"")</f>
        <v/>
      </c>
      <c r="BY116" s="1" t="str">
        <f>IF(AV116&gt;AV$117, AV116-AV$117,"")</f>
        <v/>
      </c>
      <c r="BZ116" s="1" t="str">
        <f>IF(AW116&gt;AW$117, AW116-AW$117,"")</f>
        <v/>
      </c>
      <c r="CA116" s="1" t="str">
        <f>IF(AX116&gt;AX$117, AX116-AX$117,"")</f>
        <v/>
      </c>
      <c r="CB116" s="1" t="str">
        <f>IF(AY116&gt;AY$117, AY116-AY$117,"")</f>
        <v/>
      </c>
      <c r="CC116" s="1" t="str">
        <f>IF(AZ116&gt;AZ$117, AZ116-AZ$117,"")</f>
        <v/>
      </c>
      <c r="CD116" s="1" t="str">
        <f>IF(BA116&gt;BA$117, BA116-BA$117,"")</f>
        <v/>
      </c>
      <c r="CE116" s="1" t="str">
        <f>IF(BB116&gt;BB$117, BB116-BB$117,"")</f>
        <v/>
      </c>
      <c r="CF116" s="1">
        <f>COUNTIF(BT116:CE116, "&gt;0")</f>
        <v>0</v>
      </c>
      <c r="CG116" s="1" t="str">
        <f>IF($CF116=1,BT116,"")</f>
        <v/>
      </c>
      <c r="CH116" s="1" t="str">
        <f>IF($CF116=1,BU116,"")</f>
        <v/>
      </c>
      <c r="CI116" s="1" t="str">
        <f>IF($CF116=1,BV116,"")</f>
        <v/>
      </c>
      <c r="CJ116" s="1" t="str">
        <f>IF($CF116=1,BW116,"")</f>
        <v/>
      </c>
      <c r="CK116" s="1" t="str">
        <f>IF($CF116=1,BX116,"")</f>
        <v/>
      </c>
      <c r="CL116" s="1" t="str">
        <f>IF($CF116=1,BY116,"")</f>
        <v/>
      </c>
      <c r="CM116" s="1" t="str">
        <f>IF($CF116=1,BZ116,"")</f>
        <v/>
      </c>
      <c r="CN116" s="1" t="str">
        <f>IF($CF116=1,CA116,"")</f>
        <v/>
      </c>
      <c r="CO116" s="1" t="str">
        <f>IF($CF116=1,CB116,"")</f>
        <v/>
      </c>
      <c r="CP116" s="1" t="str">
        <f>IF($CF116=1,CC116,"")</f>
        <v/>
      </c>
      <c r="CQ116" s="1" t="str">
        <f>IF($CF116=1,CD116,"")</f>
        <v/>
      </c>
      <c r="CR116" s="1" t="str">
        <f>IF($CF116=1,CE116,"")</f>
        <v/>
      </c>
      <c r="CS116" s="3">
        <f>SUM(AE116:BO116)</f>
        <v>200</v>
      </c>
    </row>
    <row r="117" spans="1:97" x14ac:dyDescent="0.15">
      <c r="A117" s="1"/>
      <c r="B117" s="1" t="s">
        <v>62</v>
      </c>
      <c r="C117" s="1"/>
      <c r="D117" s="1"/>
      <c r="E117" s="6">
        <f>SUM(E3:E116)</f>
        <v>138</v>
      </c>
      <c r="F117" s="6">
        <f>SUM(F3:F116)</f>
        <v>38</v>
      </c>
      <c r="G117" s="6">
        <f>SUM(G3:G116)</f>
        <v>180</v>
      </c>
      <c r="H117" s="6">
        <f>SUM(H3:H116)</f>
        <v>134</v>
      </c>
      <c r="I117" s="6">
        <f>SUM(I3:I116)</f>
        <v>17</v>
      </c>
      <c r="J117" s="6">
        <f>SUM(J3:J116)</f>
        <v>40</v>
      </c>
      <c r="K117" s="6">
        <f>SUM(K3:K116)</f>
        <v>6</v>
      </c>
      <c r="L117" s="6">
        <f>SUM(L3:L116)</f>
        <v>82</v>
      </c>
      <c r="M117" s="6">
        <f>SUM(M3:M116)</f>
        <v>37</v>
      </c>
      <c r="N117" s="6">
        <f>SUM(N3:N116)</f>
        <v>6</v>
      </c>
      <c r="O117" s="6">
        <f>SUM(O3:O116)</f>
        <v>68</v>
      </c>
      <c r="P117" s="28">
        <f>SUM(P3:P116)</f>
        <v>130</v>
      </c>
      <c r="Q117" s="28">
        <f>SUM(Q3:Q116)</f>
        <v>76</v>
      </c>
      <c r="R117" s="28">
        <f>SUM(R3:R116)</f>
        <v>83</v>
      </c>
      <c r="S117" s="28">
        <f>SUM(S3:S116)</f>
        <v>130</v>
      </c>
      <c r="T117" s="28">
        <f>SUM(T3:T116)</f>
        <v>61</v>
      </c>
      <c r="U117" s="28">
        <f>SUM(U3:U116)</f>
        <v>62</v>
      </c>
      <c r="V117" s="28">
        <f>SUM(V3:V116)</f>
        <v>135</v>
      </c>
      <c r="W117" s="28">
        <f>SUM(W3:W116)</f>
        <v>35</v>
      </c>
      <c r="X117" s="28">
        <f>SUM(X3:X116)</f>
        <v>59</v>
      </c>
      <c r="Y117" s="28">
        <f>SUM(Y3:Y116)</f>
        <v>125</v>
      </c>
      <c r="Z117" s="28">
        <f>SUM(Z3:Z116)</f>
        <v>50</v>
      </c>
      <c r="AA117" s="28">
        <f>SUM(AA3:AA116)</f>
        <v>35</v>
      </c>
      <c r="AB117" s="28">
        <f>SUM(AB3:AB116)</f>
        <v>140</v>
      </c>
      <c r="AC117" s="28">
        <f>SUM(AC3:AC116)</f>
        <v>30</v>
      </c>
      <c r="AD117" s="28">
        <f>SUM(AD3:AD116)</f>
        <v>22</v>
      </c>
      <c r="AE117" s="1">
        <f>SUM(AE3:AE116)</f>
        <v>250</v>
      </c>
      <c r="AF117" s="1">
        <f>SUM(AF3:AF116)</f>
        <v>10</v>
      </c>
      <c r="AG117" s="1">
        <f>SUM(AG3:AG116)</f>
        <v>10</v>
      </c>
      <c r="AH117" s="1">
        <f>SUM(AH3:AH116)</f>
        <v>30</v>
      </c>
      <c r="AI117" s="1">
        <f>SUM(AI3:AI116)</f>
        <v>30</v>
      </c>
      <c r="AJ117" s="1">
        <f>SUM(AJ3:AJ116)</f>
        <v>5</v>
      </c>
      <c r="AK117" s="1">
        <f>SUM(AK3:AK116)</f>
        <v>0</v>
      </c>
      <c r="AL117" s="1">
        <f>SUM(AL3:AL116)</f>
        <v>0</v>
      </c>
      <c r="AM117" s="1">
        <f>SUM(AM3:AM116)</f>
        <v>5</v>
      </c>
      <c r="AN117" s="1">
        <f>SUM(AN3:AN116)</f>
        <v>50</v>
      </c>
      <c r="AO117" s="1">
        <f>SUM(AO3:AO116)</f>
        <v>33</v>
      </c>
      <c r="AP117" s="1">
        <f>SUM(AP3:AP116)</f>
        <v>27</v>
      </c>
      <c r="AQ117" s="4">
        <f>SUM(AQ3:AQ116)</f>
        <v>65</v>
      </c>
      <c r="AR117" s="4">
        <f>SUM(AR3:AR116)</f>
        <v>95</v>
      </c>
      <c r="AS117" s="4">
        <f>SUM(AS3:AS116)</f>
        <v>55</v>
      </c>
      <c r="AT117" s="4">
        <f>SUM(AT3:AT116)</f>
        <v>85</v>
      </c>
      <c r="AU117" s="4">
        <f>SUM(AU3:AU116)</f>
        <v>55</v>
      </c>
      <c r="AV117" s="4">
        <f>SUM(AV3:AV116)</f>
        <v>95</v>
      </c>
      <c r="AW117" s="2">
        <f>SUM(AW3:AW116)</f>
        <v>85</v>
      </c>
      <c r="AX117" s="2">
        <f>SUM(AX3:AX116)</f>
        <v>45</v>
      </c>
      <c r="AY117" s="2">
        <f>SUM(AY3:AY116)</f>
        <v>50</v>
      </c>
      <c r="AZ117" s="2">
        <f>SUM(AZ3:AZ116)</f>
        <v>70</v>
      </c>
      <c r="BA117" s="2">
        <f>SUM(BA3:BA116)</f>
        <v>170</v>
      </c>
      <c r="BB117" s="2">
        <f>SUM(BB3:BB116)</f>
        <v>265</v>
      </c>
      <c r="BC117" s="1">
        <f>SUM(BC3:BC116)</f>
        <v>10</v>
      </c>
      <c r="BD117" s="1">
        <f>SUM(BD3:BD116)</f>
        <v>130</v>
      </c>
      <c r="BE117" s="1">
        <f>SUM(BE3:BE116)</f>
        <v>80</v>
      </c>
      <c r="BF117" s="1">
        <f>SUM(BF3:BF116)</f>
        <v>80</v>
      </c>
      <c r="BG117" s="1">
        <f>SUM(BG3:BG116)</f>
        <v>80</v>
      </c>
      <c r="BH117" s="1">
        <f>SUM(BH3:BH116)</f>
        <v>75</v>
      </c>
      <c r="BI117" s="1">
        <f>SUM(BI3:BI116)</f>
        <v>55</v>
      </c>
      <c r="BJ117" s="1">
        <f>SUM(BJ3:BJ116)</f>
        <v>200</v>
      </c>
      <c r="BK117" s="1">
        <f>SUM(BK3:BK116)</f>
        <v>200</v>
      </c>
      <c r="BL117" s="1">
        <f>SUM(BL3:BL116)</f>
        <v>150</v>
      </c>
      <c r="BM117" s="1">
        <f>SUM(BM3:BM116)</f>
        <v>150</v>
      </c>
      <c r="BN117" s="1">
        <f>SUM(BN3:BN116)</f>
        <v>350</v>
      </c>
      <c r="BO117" s="1">
        <f>SUM(BO3:BO116)</f>
        <v>350</v>
      </c>
      <c r="BP117" s="1"/>
      <c r="BQ117" s="1"/>
      <c r="BR117" s="17"/>
      <c r="BS117" s="17"/>
      <c r="BT117" s="1">
        <f>MIN(BT3:BT116)</f>
        <v>0</v>
      </c>
      <c r="BU117" s="1">
        <f>MIN(BU3:BU116)</f>
        <v>0</v>
      </c>
      <c r="BV117" s="1">
        <f>MIN(BV3:BV116)</f>
        <v>0</v>
      </c>
      <c r="BW117" s="1">
        <f>MIN(BW3:BW116)</f>
        <v>0</v>
      </c>
      <c r="BX117" s="1">
        <f>MIN(BX3:BX116)</f>
        <v>0</v>
      </c>
      <c r="BY117" s="1">
        <f>MIN(BY3:BY116)</f>
        <v>0</v>
      </c>
      <c r="BZ117" s="1">
        <f>MIN(BZ3:BZ116)</f>
        <v>0</v>
      </c>
      <c r="CA117" s="1">
        <f>MIN(CA3:CA116)</f>
        <v>0</v>
      </c>
      <c r="CB117" s="1">
        <f>MIN(CB3:CB116)</f>
        <v>0</v>
      </c>
      <c r="CC117" s="1">
        <f>MIN(CC3:CC116)</f>
        <v>0</v>
      </c>
      <c r="CD117" s="1">
        <f>MIN(CD3:CD116)</f>
        <v>0</v>
      </c>
      <c r="CE117" s="1">
        <f>MIN(CE3:CE116)</f>
        <v>0</v>
      </c>
      <c r="CF117" s="1"/>
      <c r="CG117" s="1">
        <f>MIN(CG3:CG116)</f>
        <v>0</v>
      </c>
      <c r="CH117" s="1">
        <f>MIN(CH3:CH116)</f>
        <v>0</v>
      </c>
      <c r="CI117" s="1">
        <f>MIN(CI3:CI116)</f>
        <v>0</v>
      </c>
      <c r="CJ117" s="1">
        <f>MIN(CJ3:CJ116)</f>
        <v>0</v>
      </c>
      <c r="CK117" s="1">
        <f>MIN(CK3:CK116)</f>
        <v>0</v>
      </c>
      <c r="CL117" s="1">
        <f>MIN(CL3:CL116)</f>
        <v>0</v>
      </c>
      <c r="CM117" s="1">
        <f>MIN(CM3:CM116)</f>
        <v>0</v>
      </c>
      <c r="CN117" s="1">
        <f>MIN(CN3:CN116)</f>
        <v>0</v>
      </c>
      <c r="CO117" s="1">
        <f>MIN(CO3:CO116)</f>
        <v>0</v>
      </c>
      <c r="CP117" s="1">
        <f>MIN(CP3:CP116)</f>
        <v>0</v>
      </c>
      <c r="CQ117" s="1">
        <f>MIN(CQ3:CQ116)</f>
        <v>0</v>
      </c>
      <c r="CR117" s="1">
        <f>MIN(CR3:CR116)</f>
        <v>0</v>
      </c>
      <c r="CS117" s="3">
        <f>COUNTIF(CS3:CS116,"=0")</f>
        <v>0</v>
      </c>
    </row>
    <row r="118" spans="1:97" x14ac:dyDescent="0.15">
      <c r="A118" s="1"/>
      <c r="B118" s="3" t="s">
        <v>82</v>
      </c>
      <c r="C118" s="1"/>
      <c r="D118" s="1"/>
      <c r="E118" s="1">
        <v>38</v>
      </c>
      <c r="F118" s="1">
        <v>15</v>
      </c>
      <c r="G118" s="1">
        <v>39</v>
      </c>
      <c r="H118" s="1">
        <v>14</v>
      </c>
      <c r="I118" s="1">
        <v>45</v>
      </c>
      <c r="J118" s="1">
        <v>57</v>
      </c>
      <c r="K118" s="1">
        <v>31</v>
      </c>
      <c r="L118" s="1">
        <v>77</v>
      </c>
      <c r="M118" s="1">
        <v>41</v>
      </c>
      <c r="N118" s="1">
        <v>48</v>
      </c>
      <c r="O118" s="1">
        <v>22</v>
      </c>
      <c r="P118" s="14">
        <v>2</v>
      </c>
      <c r="Q118" s="14">
        <v>1</v>
      </c>
      <c r="R118" s="14">
        <v>2</v>
      </c>
      <c r="S118" s="14">
        <v>1</v>
      </c>
      <c r="T118" s="14">
        <v>5</v>
      </c>
      <c r="U118" s="14">
        <v>0</v>
      </c>
      <c r="V118" s="14">
        <v>2</v>
      </c>
      <c r="W118" s="14">
        <v>2</v>
      </c>
      <c r="X118" s="14">
        <v>6</v>
      </c>
      <c r="Y118" s="14">
        <v>0</v>
      </c>
      <c r="Z118" s="14">
        <v>1</v>
      </c>
      <c r="AA118" s="14">
        <v>1</v>
      </c>
      <c r="AB118" s="14">
        <v>8</v>
      </c>
      <c r="AC118" s="14">
        <v>2</v>
      </c>
      <c r="AD118" s="14">
        <v>4</v>
      </c>
      <c r="AE118" s="1">
        <v>3</v>
      </c>
      <c r="AF118" s="1">
        <v>0</v>
      </c>
      <c r="AG118" s="1">
        <v>1</v>
      </c>
      <c r="AH118" s="1">
        <v>0</v>
      </c>
      <c r="AI118" s="1">
        <v>0</v>
      </c>
      <c r="AJ118" s="1">
        <v>0</v>
      </c>
      <c r="AK118" s="1">
        <v>33</v>
      </c>
      <c r="AL118" s="1">
        <v>43</v>
      </c>
      <c r="AM118" s="1">
        <v>5</v>
      </c>
      <c r="AN118" s="1">
        <v>0</v>
      </c>
      <c r="AO118" s="1">
        <v>0</v>
      </c>
      <c r="AP118" s="1">
        <v>0</v>
      </c>
      <c r="AQ118" s="14">
        <v>2</v>
      </c>
      <c r="AR118" s="14">
        <v>0</v>
      </c>
      <c r="AS118" s="14">
        <v>8</v>
      </c>
      <c r="AT118" s="14">
        <v>22</v>
      </c>
      <c r="AU118" s="14">
        <v>19</v>
      </c>
      <c r="AV118" s="14">
        <v>17</v>
      </c>
      <c r="AW118" s="14">
        <v>7</v>
      </c>
      <c r="AX118" s="14">
        <v>22</v>
      </c>
      <c r="AY118" s="14">
        <v>22</v>
      </c>
      <c r="AZ118" s="14">
        <v>10</v>
      </c>
      <c r="BA118" s="14">
        <v>7</v>
      </c>
      <c r="BB118" s="14">
        <v>56</v>
      </c>
      <c r="BC118" s="14">
        <v>10</v>
      </c>
      <c r="BD118" s="1">
        <v>162</v>
      </c>
      <c r="BE118" s="1">
        <v>244</v>
      </c>
      <c r="BF118" s="1">
        <v>233</v>
      </c>
      <c r="BG118" s="1">
        <v>242</v>
      </c>
      <c r="BH118" s="1">
        <v>141</v>
      </c>
      <c r="BI118" s="1">
        <v>154</v>
      </c>
      <c r="BJ118" s="1">
        <v>41</v>
      </c>
      <c r="BK118" s="1">
        <v>49</v>
      </c>
      <c r="BL118" s="1">
        <v>81</v>
      </c>
      <c r="BM118" s="1"/>
      <c r="BN118" s="1">
        <v>5</v>
      </c>
      <c r="BO118" s="1">
        <v>5</v>
      </c>
      <c r="BP118" s="1"/>
      <c r="BQ118" s="1"/>
      <c r="BR118" s="17"/>
      <c r="BS118" s="17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</row>
    <row r="119" spans="1:97" x14ac:dyDescent="0.15">
      <c r="A119" s="1"/>
      <c r="B119" s="3" t="s">
        <v>89</v>
      </c>
      <c r="C119" s="1"/>
      <c r="D119" s="1"/>
      <c r="E119" s="1">
        <f>E118-E117</f>
        <v>-100</v>
      </c>
      <c r="F119" s="1">
        <f>F118-F117</f>
        <v>-23</v>
      </c>
      <c r="G119" s="1">
        <f>G118-G117</f>
        <v>-141</v>
      </c>
      <c r="H119" s="1">
        <f>H118-H117</f>
        <v>-120</v>
      </c>
      <c r="I119" s="1">
        <f>I118-I117</f>
        <v>28</v>
      </c>
      <c r="J119" s="1">
        <f>J118-J117</f>
        <v>17</v>
      </c>
      <c r="K119" s="1">
        <f>K118-K117</f>
        <v>25</v>
      </c>
      <c r="L119" s="1">
        <f>L118-L117</f>
        <v>-5</v>
      </c>
      <c r="M119" s="1">
        <f>M118-M117</f>
        <v>4</v>
      </c>
      <c r="N119" s="1">
        <f>N118-N117</f>
        <v>42</v>
      </c>
      <c r="O119" s="1">
        <f>O118-O117</f>
        <v>-46</v>
      </c>
      <c r="P119" s="1">
        <f>P118-P117</f>
        <v>-128</v>
      </c>
      <c r="Q119" s="1">
        <f>Q118-Q117</f>
        <v>-75</v>
      </c>
      <c r="R119" s="1">
        <f>R118-R117</f>
        <v>-81</v>
      </c>
      <c r="S119" s="1">
        <f>S118-S117</f>
        <v>-129</v>
      </c>
      <c r="T119" s="1">
        <f>T118-T117</f>
        <v>-56</v>
      </c>
      <c r="U119" s="1">
        <f>U118-U117</f>
        <v>-62</v>
      </c>
      <c r="V119" s="1">
        <f>V118-V117</f>
        <v>-133</v>
      </c>
      <c r="W119" s="1">
        <f>W118-W117</f>
        <v>-33</v>
      </c>
      <c r="X119" s="1">
        <f>X118-X117</f>
        <v>-53</v>
      </c>
      <c r="Y119" s="1">
        <f>Y118-Y117</f>
        <v>-125</v>
      </c>
      <c r="Z119" s="1">
        <f>Z118-Z117</f>
        <v>-49</v>
      </c>
      <c r="AA119" s="1">
        <f>AA118-AA117</f>
        <v>-34</v>
      </c>
      <c r="AB119" s="1">
        <f>AB118-AB117</f>
        <v>-132</v>
      </c>
      <c r="AC119" s="1">
        <f>AC118-AC117</f>
        <v>-28</v>
      </c>
      <c r="AD119" s="1">
        <f>AD118-AD117</f>
        <v>-18</v>
      </c>
      <c r="AE119" s="1">
        <f>AE118-AE117</f>
        <v>-247</v>
      </c>
      <c r="AF119" s="1">
        <f>AF118-AF117</f>
        <v>-10</v>
      </c>
      <c r="AG119" s="1">
        <f>AG118-AG117</f>
        <v>-9</v>
      </c>
      <c r="AH119" s="1">
        <f>AH118-AH117</f>
        <v>-30</v>
      </c>
      <c r="AI119" s="1">
        <f>AI118-AI117</f>
        <v>-30</v>
      </c>
      <c r="AJ119" s="1">
        <f>AJ118-AJ117</f>
        <v>-5</v>
      </c>
      <c r="AK119" s="1">
        <f>AK118-AK117</f>
        <v>33</v>
      </c>
      <c r="AL119" s="1">
        <f>AL118-AL117</f>
        <v>43</v>
      </c>
      <c r="AM119" s="1">
        <f>AM118-AM117</f>
        <v>0</v>
      </c>
      <c r="AN119" s="1">
        <f>AN118-AN117</f>
        <v>-50</v>
      </c>
      <c r="AO119" s="1">
        <f>AO118-AO117</f>
        <v>-33</v>
      </c>
      <c r="AP119" s="1">
        <f>AP118-AP117</f>
        <v>-27</v>
      </c>
      <c r="AQ119" s="1">
        <f>AQ118-AQ117</f>
        <v>-63</v>
      </c>
      <c r="AR119" s="1">
        <f>AR118-AR117</f>
        <v>-95</v>
      </c>
      <c r="AS119" s="1">
        <f>AS118-AS117</f>
        <v>-47</v>
      </c>
      <c r="AT119" s="1">
        <f>AT118-AT117</f>
        <v>-63</v>
      </c>
      <c r="AU119" s="1">
        <f>AU118-AU117</f>
        <v>-36</v>
      </c>
      <c r="AV119" s="1">
        <f>AV118-AV117</f>
        <v>-78</v>
      </c>
      <c r="AW119" s="1">
        <f>AW118-AW117</f>
        <v>-78</v>
      </c>
      <c r="AX119" s="1">
        <f>AX118-AX117</f>
        <v>-23</v>
      </c>
      <c r="AY119" s="1">
        <f>AY118-AY117</f>
        <v>-28</v>
      </c>
      <c r="AZ119" s="1">
        <f>AZ118-AZ117</f>
        <v>-60</v>
      </c>
      <c r="BA119" s="1">
        <f>BA118-BA117</f>
        <v>-163</v>
      </c>
      <c r="BB119" s="1">
        <f>BB118-BB117</f>
        <v>-209</v>
      </c>
      <c r="BC119" s="1">
        <f>BC118-BC117</f>
        <v>0</v>
      </c>
      <c r="BD119" s="1">
        <f>BD118-BD117</f>
        <v>32</v>
      </c>
      <c r="BE119" s="1">
        <f>BE118-BE117</f>
        <v>164</v>
      </c>
      <c r="BF119" s="1">
        <f>BF118-BF117</f>
        <v>153</v>
      </c>
      <c r="BG119" s="1">
        <f>BG118-BG117</f>
        <v>162</v>
      </c>
      <c r="BH119" s="1">
        <f>BH118-BH117</f>
        <v>66</v>
      </c>
      <c r="BI119" s="1">
        <f>BI118-BI117</f>
        <v>99</v>
      </c>
      <c r="BJ119" s="1">
        <f>BJ118-BJ117</f>
        <v>-159</v>
      </c>
      <c r="BK119" s="1">
        <f>BK118-BK117</f>
        <v>-151</v>
      </c>
      <c r="BL119" s="1">
        <f>BL118-BL117</f>
        <v>-69</v>
      </c>
      <c r="BM119" s="1">
        <f>BM118-BM117</f>
        <v>-150</v>
      </c>
      <c r="BN119" s="1">
        <f>BN118-BN117</f>
        <v>-345</v>
      </c>
      <c r="BO119" s="1">
        <f>BO118-BO117</f>
        <v>-345</v>
      </c>
      <c r="BP119" s="1"/>
      <c r="BQ119" s="1"/>
      <c r="BR119" s="17"/>
      <c r="BS119" s="17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</row>
    <row r="120" spans="1:97" x14ac:dyDescent="0.15">
      <c r="A120" s="1"/>
      <c r="B120" s="3" t="s">
        <v>177</v>
      </c>
      <c r="C120" s="1"/>
      <c r="D120" s="1"/>
      <c r="E120" s="1">
        <f>MAX(E3:E116)</f>
        <v>15</v>
      </c>
      <c r="F120" s="1">
        <f>MAX(F3:F116)</f>
        <v>15</v>
      </c>
      <c r="G120" s="1">
        <f>MAX(G3:G116)</f>
        <v>20</v>
      </c>
      <c r="H120" s="1">
        <f>MAX(H3:H116)</f>
        <v>20</v>
      </c>
      <c r="I120" s="1">
        <f>MAX(I3:I116)</f>
        <v>10</v>
      </c>
      <c r="J120" s="1">
        <f>MAX(J3:J116)</f>
        <v>10</v>
      </c>
      <c r="K120" s="1">
        <f>MAX(K3:K116)</f>
        <v>6</v>
      </c>
      <c r="L120" s="1">
        <f>MAX(L3:L116)</f>
        <v>20</v>
      </c>
      <c r="M120" s="1">
        <f>MAX(M3:M116)</f>
        <v>15</v>
      </c>
      <c r="N120" s="1">
        <f>MAX(N3:N116)</f>
        <v>6</v>
      </c>
      <c r="O120" s="1">
        <f>MAX(O3:O116)</f>
        <v>20</v>
      </c>
      <c r="P120" s="1">
        <f>MAX(P3:P116)</f>
        <v>10</v>
      </c>
      <c r="Q120" s="1">
        <f>MAX(Q3:Q116)</f>
        <v>7</v>
      </c>
      <c r="R120" s="1">
        <f>MAX(R3:R116)</f>
        <v>10</v>
      </c>
      <c r="S120" s="1">
        <f>MAX(S3:S116)</f>
        <v>10</v>
      </c>
      <c r="T120" s="1">
        <f>MAX(T3:T116)</f>
        <v>7</v>
      </c>
      <c r="U120" s="1">
        <f>MAX(U3:U116)</f>
        <v>10</v>
      </c>
      <c r="V120" s="1">
        <f>MAX(V3:V116)</f>
        <v>10</v>
      </c>
      <c r="W120" s="1">
        <f>MAX(W3:W116)</f>
        <v>5</v>
      </c>
      <c r="X120" s="1">
        <f>MAX(X3:X116)</f>
        <v>10</v>
      </c>
      <c r="Y120" s="1">
        <f>MAX(Y3:Y116)</f>
        <v>10</v>
      </c>
      <c r="Z120" s="1">
        <f>MAX(Z3:Z116)</f>
        <v>5</v>
      </c>
      <c r="AA120" s="1">
        <f>MAX(AA3:AA116)</f>
        <v>10</v>
      </c>
      <c r="AB120" s="1">
        <f>MAX(AB3:AB116)</f>
        <v>10</v>
      </c>
      <c r="AC120" s="1">
        <f>MAX(AC3:AC116)</f>
        <v>5</v>
      </c>
      <c r="AD120" s="1">
        <f>MAX(AD3:AD116)</f>
        <v>10</v>
      </c>
      <c r="AE120" s="1">
        <f>MAX(AE3:AE116)</f>
        <v>200</v>
      </c>
      <c r="AF120" s="1">
        <f>MAX(AF3:AF116)</f>
        <v>5</v>
      </c>
      <c r="AG120" s="1">
        <f>MAX(AG3:AG116)</f>
        <v>5</v>
      </c>
      <c r="AH120" s="1">
        <f>MAX(AH3:AH116)</f>
        <v>5</v>
      </c>
      <c r="AI120" s="1">
        <f>MAX(AI3:AI116)</f>
        <v>5</v>
      </c>
      <c r="AJ120" s="1">
        <f>MAX(AJ3:AJ116)</f>
        <v>5</v>
      </c>
      <c r="AK120" s="1">
        <f>MAX(AK3:AK116)</f>
        <v>0</v>
      </c>
      <c r="AL120" s="1">
        <f>MAX(AL3:AL116)</f>
        <v>0</v>
      </c>
      <c r="AM120" s="1">
        <f>MAX(AM3:AM116)</f>
        <v>5</v>
      </c>
      <c r="AN120" s="1">
        <f>MAX(AN3:AN116)</f>
        <v>25</v>
      </c>
      <c r="AO120" s="1">
        <f>MAX(AO3:AO116)</f>
        <v>10</v>
      </c>
      <c r="AP120" s="1">
        <f>MAX(AP3:AP116)</f>
        <v>10</v>
      </c>
      <c r="AQ120" s="1">
        <f>MAX(AQ3:AQ116)</f>
        <v>15</v>
      </c>
      <c r="AR120" s="1">
        <f>MAX(AR3:AR116)</f>
        <v>15</v>
      </c>
      <c r="AS120" s="1">
        <f>MAX(AS3:AS116)</f>
        <v>15</v>
      </c>
      <c r="AT120" s="1">
        <f>MAX(AT3:AT116)</f>
        <v>20</v>
      </c>
      <c r="AU120" s="1">
        <f>MAX(AU3:AU116)</f>
        <v>15</v>
      </c>
      <c r="AV120" s="1">
        <f>MAX(AV3:AV116)</f>
        <v>40</v>
      </c>
      <c r="AW120" s="1">
        <f>MAX(AW3:AW116)</f>
        <v>40</v>
      </c>
      <c r="AX120" s="1">
        <f>MAX(AX3:AX116)</f>
        <v>20</v>
      </c>
      <c r="AY120" s="1">
        <f>MAX(AY3:AY116)</f>
        <v>15</v>
      </c>
      <c r="AZ120" s="1">
        <f>MAX(AZ3:AZ116)</f>
        <v>15</v>
      </c>
      <c r="BA120" s="1">
        <f>MAX(BA3:BA116)</f>
        <v>20</v>
      </c>
      <c r="BB120" s="1">
        <f>MAX(BB3:BB116)</f>
        <v>40</v>
      </c>
      <c r="BC120" s="1">
        <f>MAX(BC3:BC116)</f>
        <v>10</v>
      </c>
      <c r="BD120" s="1">
        <f>MAX(BD3:BD116)</f>
        <v>50</v>
      </c>
      <c r="BE120" s="1">
        <f>MAX(BE3:BE116)</f>
        <v>20</v>
      </c>
      <c r="BF120" s="1">
        <f>MAX(BF3:BF116)</f>
        <v>20</v>
      </c>
      <c r="BG120" s="1">
        <f>MAX(BG3:BG116)</f>
        <v>20</v>
      </c>
      <c r="BH120" s="1">
        <f>MAX(BH3:BH116)</f>
        <v>20</v>
      </c>
      <c r="BI120" s="1">
        <f>MAX(BI3:BI116)</f>
        <v>20</v>
      </c>
      <c r="BJ120" s="1">
        <f>MAX(BJ3:BJ116)</f>
        <v>50</v>
      </c>
      <c r="BK120" s="1">
        <f>MAX(BK3:BK116)</f>
        <v>50</v>
      </c>
      <c r="BL120" s="1">
        <f>MAX(BL3:BL116)</f>
        <v>50</v>
      </c>
      <c r="BM120" s="1">
        <f>MAX(BM3:BM116)</f>
        <v>50</v>
      </c>
      <c r="BN120" s="1">
        <f>MAX(BN3:BN116)</f>
        <v>50</v>
      </c>
      <c r="BO120" s="1">
        <f>MAX(BO3:BO116)</f>
        <v>50</v>
      </c>
      <c r="BP120" s="1"/>
      <c r="BQ120" s="1"/>
      <c r="BR120" s="17"/>
      <c r="BS120" s="17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</row>
    <row r="121" spans="1:97" x14ac:dyDescent="0.15">
      <c r="A121" s="1"/>
      <c r="B121" s="3" t="s">
        <v>178</v>
      </c>
      <c r="C121" s="1"/>
      <c r="D121" s="1"/>
      <c r="E121" s="1">
        <f>MIN(E3:E116)</f>
        <v>6</v>
      </c>
      <c r="F121" s="1">
        <f>MIN(F3:F116)</f>
        <v>5</v>
      </c>
      <c r="G121" s="1">
        <f>MIN(G3:G116)</f>
        <v>5</v>
      </c>
      <c r="H121" s="1">
        <f>MIN(H3:H116)</f>
        <v>5</v>
      </c>
      <c r="I121" s="1">
        <f>MIN(I3:I116)</f>
        <v>7</v>
      </c>
      <c r="J121" s="1">
        <f>MIN(J3:J116)</f>
        <v>10</v>
      </c>
      <c r="K121" s="1">
        <f>MIN(K3:K116)</f>
        <v>6</v>
      </c>
      <c r="L121" s="1">
        <f>MIN(L3:L116)</f>
        <v>6</v>
      </c>
      <c r="M121" s="1">
        <f>MIN(M3:M116)</f>
        <v>6</v>
      </c>
      <c r="N121" s="1">
        <f>MIN(N3:N116)</f>
        <v>6</v>
      </c>
      <c r="O121" s="1">
        <f>MIN(O3:O116)</f>
        <v>5</v>
      </c>
      <c r="P121" s="1">
        <f>MIN(P3:P116)</f>
        <v>10</v>
      </c>
      <c r="Q121" s="1">
        <f>MIN(Q3:Q116)</f>
        <v>5</v>
      </c>
      <c r="R121" s="1">
        <f>MIN(R3:R116)</f>
        <v>2</v>
      </c>
      <c r="S121" s="1">
        <f>MIN(S3:S116)</f>
        <v>10</v>
      </c>
      <c r="T121" s="1">
        <f>MIN(T3:T116)</f>
        <v>5</v>
      </c>
      <c r="U121" s="1">
        <f>MIN(U3:U116)</f>
        <v>2</v>
      </c>
      <c r="V121" s="1">
        <f>MIN(V3:V116)</f>
        <v>5</v>
      </c>
      <c r="W121" s="1">
        <f>MIN(W3:W116)</f>
        <v>5</v>
      </c>
      <c r="X121" s="1">
        <f>MIN(X3:X116)</f>
        <v>2</v>
      </c>
      <c r="Y121" s="1">
        <f>MIN(Y3:Y116)</f>
        <v>5</v>
      </c>
      <c r="Z121" s="1">
        <f>MIN(Z3:Z116)</f>
        <v>5</v>
      </c>
      <c r="AA121" s="1">
        <f>MIN(AA3:AA116)</f>
        <v>2</v>
      </c>
      <c r="AB121" s="1">
        <f>MIN(AB3:AB116)</f>
        <v>10</v>
      </c>
      <c r="AC121" s="1">
        <f>MIN(AC3:AC116)</f>
        <v>5</v>
      </c>
      <c r="AD121" s="1">
        <f>MIN(AD3:AD116)</f>
        <v>2</v>
      </c>
      <c r="AE121" s="1">
        <f>MIN(AE3:AE116)</f>
        <v>50</v>
      </c>
      <c r="AF121" s="1">
        <f>MIN(AF3:AF116)</f>
        <v>5</v>
      </c>
      <c r="AG121" s="1">
        <f>MIN(AG3:AG116)</f>
        <v>5</v>
      </c>
      <c r="AH121" s="1">
        <f>MIN(AH3:AH116)</f>
        <v>5</v>
      </c>
      <c r="AI121" s="1">
        <f>MIN(AI3:AI116)</f>
        <v>5</v>
      </c>
      <c r="AJ121" s="1">
        <f>MIN(AJ3:AJ116)</f>
        <v>5</v>
      </c>
      <c r="AK121" s="1">
        <f>MIN(AK3:AK116)</f>
        <v>0</v>
      </c>
      <c r="AL121" s="1">
        <f>MIN(AL3:AL116)</f>
        <v>0</v>
      </c>
      <c r="AM121" s="1">
        <f>MIN(AM3:AM116)</f>
        <v>5</v>
      </c>
      <c r="AN121" s="1">
        <f>MIN(AN3:AN116)</f>
        <v>5</v>
      </c>
      <c r="AO121" s="1">
        <f>MIN(AO3:AO116)</f>
        <v>2</v>
      </c>
      <c r="AP121" s="1">
        <f>MIN(AP3:AP116)</f>
        <v>1</v>
      </c>
      <c r="AQ121" s="1">
        <f>MIN(AQ3:AQ116)</f>
        <v>10</v>
      </c>
      <c r="AR121" s="1">
        <f>MIN(AR3:AR116)</f>
        <v>10</v>
      </c>
      <c r="AS121" s="1">
        <f>MIN(AS3:AS116)</f>
        <v>5</v>
      </c>
      <c r="AT121" s="1">
        <f>MIN(AT3:AT116)</f>
        <v>10</v>
      </c>
      <c r="AU121" s="1">
        <f>MIN(AU3:AU116)</f>
        <v>10</v>
      </c>
      <c r="AV121" s="1">
        <f>MIN(AV3:AV116)</f>
        <v>10</v>
      </c>
      <c r="AW121" s="1">
        <f>MIN(AW3:AW116)</f>
        <v>10</v>
      </c>
      <c r="AX121" s="1">
        <f>MIN(AX3:AX116)</f>
        <v>5</v>
      </c>
      <c r="AY121" s="1">
        <f>MIN(AY3:AY116)</f>
        <v>10</v>
      </c>
      <c r="AZ121" s="1">
        <f>MIN(AZ3:AZ116)</f>
        <v>10</v>
      </c>
      <c r="BA121" s="1">
        <f>MIN(BA3:BA116)</f>
        <v>5</v>
      </c>
      <c r="BB121" s="1">
        <f>MIN(BB3:BB116)</f>
        <v>5</v>
      </c>
      <c r="BC121" s="1">
        <f>MIN(BC3:BC116)</f>
        <v>10</v>
      </c>
      <c r="BD121" s="1">
        <f>MIN(BD3:BD116)</f>
        <v>20</v>
      </c>
      <c r="BE121" s="1">
        <f>MIN(BE3:BE116)</f>
        <v>20</v>
      </c>
      <c r="BF121" s="1">
        <f>MIN(BF3:BF116)</f>
        <v>20</v>
      </c>
      <c r="BG121" s="1">
        <f>MIN(BG3:BG116)</f>
        <v>20</v>
      </c>
      <c r="BH121" s="1">
        <f>MIN(BH3:BH116)</f>
        <v>15</v>
      </c>
      <c r="BI121" s="1">
        <f>MIN(BI3:BI116)</f>
        <v>15</v>
      </c>
      <c r="BJ121" s="1">
        <f>MIN(BJ3:BJ116)</f>
        <v>50</v>
      </c>
      <c r="BK121" s="1">
        <f>MIN(BK3:BK116)</f>
        <v>50</v>
      </c>
      <c r="BL121" s="1">
        <f>MIN(BL3:BL116)</f>
        <v>50</v>
      </c>
      <c r="BM121" s="1">
        <f>MIN(BM3:BM116)</f>
        <v>50</v>
      </c>
      <c r="BN121" s="1">
        <f>MIN(BN3:BN116)</f>
        <v>50</v>
      </c>
      <c r="BO121" s="1">
        <f>MIN(BO3:BO116)</f>
        <v>50</v>
      </c>
      <c r="BP121" s="1"/>
      <c r="BQ121" s="1"/>
      <c r="BR121" s="17"/>
      <c r="BS121" s="17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</row>
    <row r="122" spans="1:97" x14ac:dyDescent="0.15">
      <c r="A122" s="1"/>
      <c r="B122" s="3" t="s">
        <v>179</v>
      </c>
      <c r="C122" s="1"/>
      <c r="D122" s="1"/>
      <c r="E122" s="1">
        <f>E118-E120</f>
        <v>23</v>
      </c>
      <c r="F122" s="1">
        <f>F118-F120</f>
        <v>0</v>
      </c>
      <c r="G122" s="1">
        <f>G118-G120</f>
        <v>19</v>
      </c>
      <c r="H122" s="1">
        <f>H118-H120</f>
        <v>-6</v>
      </c>
      <c r="I122" s="1">
        <f>I118-I120</f>
        <v>35</v>
      </c>
      <c r="J122" s="1">
        <f>J118-J120</f>
        <v>47</v>
      </c>
      <c r="K122" s="1">
        <f>K118-K120</f>
        <v>25</v>
      </c>
      <c r="L122" s="1">
        <f>L118-L120</f>
        <v>57</v>
      </c>
      <c r="M122" s="1">
        <f>M118-M120</f>
        <v>26</v>
      </c>
      <c r="N122" s="1">
        <f>N118-N120</f>
        <v>42</v>
      </c>
      <c r="O122" s="1">
        <f>O118-O120</f>
        <v>2</v>
      </c>
      <c r="P122" s="1">
        <f>P118-P120</f>
        <v>-8</v>
      </c>
      <c r="Q122" s="1">
        <f>Q118-Q120</f>
        <v>-6</v>
      </c>
      <c r="R122" s="1">
        <f>R118-R120</f>
        <v>-8</v>
      </c>
      <c r="S122" s="1">
        <f>S118-S120</f>
        <v>-9</v>
      </c>
      <c r="T122" s="1">
        <f>T118-T120</f>
        <v>-2</v>
      </c>
      <c r="U122" s="1">
        <f>U118-U120</f>
        <v>-10</v>
      </c>
      <c r="V122" s="1">
        <f>V118-V120</f>
        <v>-8</v>
      </c>
      <c r="W122" s="1">
        <f>W118-W120</f>
        <v>-3</v>
      </c>
      <c r="X122" s="1">
        <f>X118-X120</f>
        <v>-4</v>
      </c>
      <c r="Y122" s="1">
        <f>Y118-Y120</f>
        <v>-10</v>
      </c>
      <c r="Z122" s="1">
        <f>Z118-Z120</f>
        <v>-4</v>
      </c>
      <c r="AA122" s="1">
        <f>AA118-AA120</f>
        <v>-9</v>
      </c>
      <c r="AB122" s="1">
        <f>AB118-AB120</f>
        <v>-2</v>
      </c>
      <c r="AC122" s="1">
        <f>AC118-AC120</f>
        <v>-3</v>
      </c>
      <c r="AD122" s="1">
        <f>AD118-AD120</f>
        <v>-6</v>
      </c>
      <c r="AE122" s="1">
        <f>AE118-AE120</f>
        <v>-197</v>
      </c>
      <c r="AF122" s="1">
        <f>AF118-AF120</f>
        <v>-5</v>
      </c>
      <c r="AG122" s="1">
        <f>AG118-AG120</f>
        <v>-4</v>
      </c>
      <c r="AH122" s="1">
        <f>AH118-AH120</f>
        <v>-5</v>
      </c>
      <c r="AI122" s="1">
        <f>AI118-AI120</f>
        <v>-5</v>
      </c>
      <c r="AJ122" s="1">
        <f>AJ118-AJ120</f>
        <v>-5</v>
      </c>
      <c r="AK122" s="1">
        <f>AK118-AK120</f>
        <v>33</v>
      </c>
      <c r="AL122" s="1">
        <f>AL118-AL120</f>
        <v>43</v>
      </c>
      <c r="AM122" s="1">
        <f>AM118-AM120</f>
        <v>0</v>
      </c>
      <c r="AN122" s="1">
        <f>AN118-AN120</f>
        <v>-25</v>
      </c>
      <c r="AO122" s="1">
        <f>AO118-AO120</f>
        <v>-10</v>
      </c>
      <c r="AP122" s="1">
        <f>AP118-AP120</f>
        <v>-10</v>
      </c>
      <c r="AQ122" s="1">
        <f>AQ118-AQ120</f>
        <v>-13</v>
      </c>
      <c r="AR122" s="1">
        <f>AR118-AR120</f>
        <v>-15</v>
      </c>
      <c r="AS122" s="1">
        <f>AS118-AS120</f>
        <v>-7</v>
      </c>
      <c r="AT122" s="1">
        <f>AT118-AT120</f>
        <v>2</v>
      </c>
      <c r="AU122" s="1">
        <f>AU118-AU120</f>
        <v>4</v>
      </c>
      <c r="AV122" s="1">
        <f>AV118-AV120</f>
        <v>-23</v>
      </c>
      <c r="AW122" s="1">
        <f>AW118-AW120</f>
        <v>-33</v>
      </c>
      <c r="AX122" s="1">
        <f>AX118-AX120</f>
        <v>2</v>
      </c>
      <c r="AY122" s="1">
        <f>AY118-AY120</f>
        <v>7</v>
      </c>
      <c r="AZ122" s="1">
        <f>AZ118-AZ120</f>
        <v>-5</v>
      </c>
      <c r="BA122" s="1">
        <f>BA118-BA120</f>
        <v>-13</v>
      </c>
      <c r="BB122" s="1">
        <f>BB118-BB120</f>
        <v>16</v>
      </c>
      <c r="BC122" s="1">
        <f>BC118-BC120</f>
        <v>0</v>
      </c>
      <c r="BD122" s="1">
        <f>BD118-BD120</f>
        <v>112</v>
      </c>
      <c r="BE122" s="1">
        <f>BE118-BE120</f>
        <v>224</v>
      </c>
      <c r="BF122" s="1">
        <f>BF118-BF120</f>
        <v>213</v>
      </c>
      <c r="BG122" s="1">
        <f>BG118-BG120</f>
        <v>222</v>
      </c>
      <c r="BH122" s="1">
        <f>BH118-BH120</f>
        <v>121</v>
      </c>
      <c r="BI122" s="1">
        <f>BI118-BI120</f>
        <v>134</v>
      </c>
      <c r="BJ122" s="1">
        <f>BJ118-BJ120</f>
        <v>-9</v>
      </c>
      <c r="BK122" s="1">
        <f>BK118-BK120</f>
        <v>-1</v>
      </c>
      <c r="BL122" s="1">
        <f>BL118-BL120</f>
        <v>31</v>
      </c>
      <c r="BM122" s="1">
        <f>BM118-BM120</f>
        <v>-50</v>
      </c>
      <c r="BN122" s="1">
        <f>BN118-BN120</f>
        <v>-45</v>
      </c>
      <c r="BO122" s="1">
        <f>BO118-BO120</f>
        <v>-45</v>
      </c>
      <c r="BP122" s="1"/>
      <c r="BQ122" s="1"/>
      <c r="BR122" s="17"/>
      <c r="BS122" s="17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</row>
    <row r="123" spans="1:97" s="13" customFormat="1" x14ac:dyDescent="0.15">
      <c r="A123" s="1"/>
      <c r="B123" s="3" t="s">
        <v>180</v>
      </c>
      <c r="C123" s="1"/>
      <c r="D123" s="1"/>
      <c r="E123" s="1">
        <f>E118-E121</f>
        <v>32</v>
      </c>
      <c r="F123" s="1">
        <f>F118-F121</f>
        <v>10</v>
      </c>
      <c r="G123" s="1">
        <f>G118-G121</f>
        <v>34</v>
      </c>
      <c r="H123" s="1">
        <f>H118-H121</f>
        <v>9</v>
      </c>
      <c r="I123" s="1">
        <f>I118-I121</f>
        <v>38</v>
      </c>
      <c r="J123" s="1">
        <f>J118-J121</f>
        <v>47</v>
      </c>
      <c r="K123" s="1">
        <f>K118-K121</f>
        <v>25</v>
      </c>
      <c r="L123" s="1">
        <f>L118-L121</f>
        <v>71</v>
      </c>
      <c r="M123" s="1">
        <f>M118-M121</f>
        <v>35</v>
      </c>
      <c r="N123" s="1">
        <f>N118-N121</f>
        <v>42</v>
      </c>
      <c r="O123" s="1">
        <f>O118-O121</f>
        <v>17</v>
      </c>
      <c r="P123" s="1">
        <f>P118-P121</f>
        <v>-8</v>
      </c>
      <c r="Q123" s="1">
        <f>Q118-Q121</f>
        <v>-4</v>
      </c>
      <c r="R123" s="1">
        <f>R118-R121</f>
        <v>0</v>
      </c>
      <c r="S123" s="1">
        <f>S118-S121</f>
        <v>-9</v>
      </c>
      <c r="T123" s="1">
        <f>T118-T121</f>
        <v>0</v>
      </c>
      <c r="U123" s="1">
        <f>U118-U121</f>
        <v>-2</v>
      </c>
      <c r="V123" s="1">
        <f>V118-V121</f>
        <v>-3</v>
      </c>
      <c r="W123" s="1">
        <f>W118-W121</f>
        <v>-3</v>
      </c>
      <c r="X123" s="1">
        <f>X118-X121</f>
        <v>4</v>
      </c>
      <c r="Y123" s="1">
        <f>Y118-Y121</f>
        <v>-5</v>
      </c>
      <c r="Z123" s="1">
        <f>Z118-Z121</f>
        <v>-4</v>
      </c>
      <c r="AA123" s="1">
        <f>AA118-AA121</f>
        <v>-1</v>
      </c>
      <c r="AB123" s="1">
        <f>AB118-AB121</f>
        <v>-2</v>
      </c>
      <c r="AC123" s="1">
        <f>AC118-AC121</f>
        <v>-3</v>
      </c>
      <c r="AD123" s="1">
        <f>AD118-AD121</f>
        <v>2</v>
      </c>
      <c r="AE123" s="1">
        <f>AE118-AE121</f>
        <v>-47</v>
      </c>
      <c r="AF123" s="1">
        <f>AF118-AF121</f>
        <v>-5</v>
      </c>
      <c r="AG123" s="1">
        <f>AG118-AG121</f>
        <v>-4</v>
      </c>
      <c r="AH123" s="1">
        <f>AH118-AH121</f>
        <v>-5</v>
      </c>
      <c r="AI123" s="1">
        <f>AI118-AI121</f>
        <v>-5</v>
      </c>
      <c r="AJ123" s="1">
        <f>AJ118-AJ121</f>
        <v>-5</v>
      </c>
      <c r="AK123" s="1">
        <f>AK118-AK121</f>
        <v>33</v>
      </c>
      <c r="AL123" s="1">
        <f>AL118-AL121</f>
        <v>43</v>
      </c>
      <c r="AM123" s="1">
        <f>AM118-AM121</f>
        <v>0</v>
      </c>
      <c r="AN123" s="1">
        <f>AN118-AN121</f>
        <v>-5</v>
      </c>
      <c r="AO123" s="1">
        <f>AO118-AO121</f>
        <v>-2</v>
      </c>
      <c r="AP123" s="1">
        <f>AP118-AP121</f>
        <v>-1</v>
      </c>
      <c r="AQ123" s="1">
        <f>AQ118-AQ121</f>
        <v>-8</v>
      </c>
      <c r="AR123" s="1">
        <f>AR118-AR121</f>
        <v>-10</v>
      </c>
      <c r="AS123" s="1">
        <f>AS118-AS121</f>
        <v>3</v>
      </c>
      <c r="AT123" s="1">
        <f>AT118-AT121</f>
        <v>12</v>
      </c>
      <c r="AU123" s="1">
        <f>AU118-AU121</f>
        <v>9</v>
      </c>
      <c r="AV123" s="1">
        <f>AV118-AV121</f>
        <v>7</v>
      </c>
      <c r="AW123" s="1">
        <f>AW118-AW121</f>
        <v>-3</v>
      </c>
      <c r="AX123" s="1">
        <f>AX118-AX121</f>
        <v>17</v>
      </c>
      <c r="AY123" s="1">
        <f>AY118-AY121</f>
        <v>12</v>
      </c>
      <c r="AZ123" s="1">
        <f>AZ118-AZ121</f>
        <v>0</v>
      </c>
      <c r="BA123" s="1">
        <f>BA118-BA121</f>
        <v>2</v>
      </c>
      <c r="BB123" s="1">
        <f>BB118-BB121</f>
        <v>51</v>
      </c>
      <c r="BC123" s="1">
        <f>BC118-BC121</f>
        <v>0</v>
      </c>
      <c r="BD123" s="1">
        <f>BD118-BD121</f>
        <v>142</v>
      </c>
      <c r="BE123" s="1">
        <f>BE118-BE121</f>
        <v>224</v>
      </c>
      <c r="BF123" s="1">
        <f>BF118-BF121</f>
        <v>213</v>
      </c>
      <c r="BG123" s="1">
        <f>BG118-BG121</f>
        <v>222</v>
      </c>
      <c r="BH123" s="1">
        <f>BH118-BH121</f>
        <v>126</v>
      </c>
      <c r="BI123" s="1">
        <f>BI118-BI121</f>
        <v>139</v>
      </c>
      <c r="BJ123" s="1">
        <f>BJ118-BJ121</f>
        <v>-9</v>
      </c>
      <c r="BK123" s="1">
        <f>BK118-BK121</f>
        <v>-1</v>
      </c>
      <c r="BL123" s="1">
        <f>BL118-BL121</f>
        <v>31</v>
      </c>
      <c r="BM123" s="1">
        <f>BM118-BM121</f>
        <v>-50</v>
      </c>
      <c r="BN123" s="1">
        <f>BN118-BN121</f>
        <v>-45</v>
      </c>
      <c r="BO123" s="1">
        <f>BO118-BO121</f>
        <v>-45</v>
      </c>
      <c r="BP123" s="1"/>
      <c r="BQ123" s="1"/>
      <c r="BR123" s="17"/>
      <c r="BS123" s="17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</row>
  </sheetData>
  <autoFilter ref="A1:BP116"/>
  <sortState ref="A2:CS123">
    <sortCondition ref="BR2:BR123"/>
    <sortCondition ref="BQ2:BQ123"/>
  </sortState>
  <phoneticPr fontId="1" type="noConversion"/>
  <conditionalFormatting sqref="E12">
    <cfRule type="cellIs" dxfId="6" priority="14" operator="greaterThan">
      <formula>$E$117</formula>
    </cfRule>
  </conditionalFormatting>
  <conditionalFormatting sqref="E120">
    <cfRule type="expression" dxfId="5" priority="10">
      <formula>"&lt;=$E$135"</formula>
    </cfRule>
  </conditionalFormatting>
  <conditionalFormatting sqref="E122:BO123">
    <cfRule type="cellIs" dxfId="4" priority="1" operator="lessThan">
      <formula>0</formula>
    </cfRule>
  </conditionalFormatting>
  <conditionalFormatting sqref="E119:BO119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123</xdr:row>
                    <xdr:rowOff>28575</xdr:rowOff>
                  </from>
                  <to>
                    <xdr:col>1</xdr:col>
                    <xdr:colOff>428625</xdr:colOff>
                    <xdr:row>124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5"/>
  <sheetViews>
    <sheetView workbookViewId="0">
      <pane xSplit="2" ySplit="1" topLeftCell="AS2" activePane="bottomRight" state="frozen"/>
      <selection pane="topRight" activeCell="C1" sqref="C1"/>
      <selection pane="bottomLeft" activeCell="A3" sqref="A3"/>
      <selection pane="bottomRight" activeCell="H11" sqref="H11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8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75</v>
      </c>
      <c r="B1" s="8" t="s">
        <v>76</v>
      </c>
      <c r="C1" s="8" t="s">
        <v>78</v>
      </c>
      <c r="D1" s="8" t="s">
        <v>77</v>
      </c>
      <c r="E1" s="9" t="s">
        <v>3</v>
      </c>
      <c r="F1" s="9" t="s">
        <v>4</v>
      </c>
      <c r="G1" s="9" t="s">
        <v>14</v>
      </c>
      <c r="H1" s="9" t="s">
        <v>24</v>
      </c>
      <c r="I1" s="9" t="s">
        <v>25</v>
      </c>
      <c r="J1" s="9" t="s">
        <v>73</v>
      </c>
      <c r="K1" s="9" t="s">
        <v>26</v>
      </c>
      <c r="L1" s="9" t="s">
        <v>45</v>
      </c>
      <c r="M1" s="9" t="s">
        <v>47</v>
      </c>
      <c r="N1" s="9" t="s">
        <v>52</v>
      </c>
      <c r="O1" s="9" t="s">
        <v>46</v>
      </c>
      <c r="P1" s="27" t="s">
        <v>113</v>
      </c>
      <c r="Q1" s="27" t="s">
        <v>125</v>
      </c>
      <c r="R1" s="27" t="s">
        <v>119</v>
      </c>
      <c r="S1" s="27" t="s">
        <v>114</v>
      </c>
      <c r="T1" s="27" t="s">
        <v>123</v>
      </c>
      <c r="U1" s="27" t="s">
        <v>129</v>
      </c>
      <c r="V1" s="27" t="s">
        <v>115</v>
      </c>
      <c r="W1" s="27" t="s">
        <v>122</v>
      </c>
      <c r="X1" s="27" t="s">
        <v>120</v>
      </c>
      <c r="Y1" s="27" t="s">
        <v>116</v>
      </c>
      <c r="Z1" s="27" t="s">
        <v>124</v>
      </c>
      <c r="AA1" s="27" t="s">
        <v>131</v>
      </c>
      <c r="AB1" s="27" t="s">
        <v>118</v>
      </c>
      <c r="AC1" s="27" t="s">
        <v>117</v>
      </c>
      <c r="AD1" s="27" t="s">
        <v>142</v>
      </c>
      <c r="AE1" s="8" t="s">
        <v>9</v>
      </c>
      <c r="AF1" s="8" t="s">
        <v>32</v>
      </c>
      <c r="AG1" s="8" t="s">
        <v>33</v>
      </c>
      <c r="AH1" s="8" t="s">
        <v>63</v>
      </c>
      <c r="AI1" s="8" t="s">
        <v>64</v>
      </c>
      <c r="AJ1" s="8" t="s">
        <v>66</v>
      </c>
      <c r="AK1" s="8" t="s">
        <v>67</v>
      </c>
      <c r="AL1" s="8" t="s">
        <v>69</v>
      </c>
      <c r="AM1" s="8" t="s">
        <v>53</v>
      </c>
      <c r="AN1" s="8" t="s">
        <v>55</v>
      </c>
      <c r="AO1" s="8" t="s">
        <v>101</v>
      </c>
      <c r="AP1" s="8" t="s">
        <v>102</v>
      </c>
      <c r="AQ1" s="10" t="s">
        <v>42</v>
      </c>
      <c r="AR1" s="10" t="s">
        <v>5</v>
      </c>
      <c r="AS1" s="10" t="s">
        <v>30</v>
      </c>
      <c r="AT1" s="10" t="s">
        <v>57</v>
      </c>
      <c r="AU1" s="10" t="s">
        <v>61</v>
      </c>
      <c r="AV1" s="10" t="s">
        <v>51</v>
      </c>
      <c r="AW1" s="11" t="s">
        <v>6</v>
      </c>
      <c r="AX1" s="11" t="s">
        <v>7</v>
      </c>
      <c r="AY1" s="11" t="s">
        <v>43</v>
      </c>
      <c r="AZ1" s="11" t="s">
        <v>8</v>
      </c>
      <c r="BA1" s="11" t="s">
        <v>50</v>
      </c>
      <c r="BB1" s="11" t="s">
        <v>13</v>
      </c>
      <c r="BC1" s="25" t="s">
        <v>98</v>
      </c>
      <c r="BD1" s="8" t="s">
        <v>18</v>
      </c>
      <c r="BE1" s="8" t="s">
        <v>17</v>
      </c>
      <c r="BF1" s="8" t="s">
        <v>15</v>
      </c>
      <c r="BG1" s="8" t="s">
        <v>16</v>
      </c>
      <c r="BH1" s="8" t="s">
        <v>19</v>
      </c>
      <c r="BI1" s="8" t="s">
        <v>20</v>
      </c>
      <c r="BJ1" s="8" t="s">
        <v>35</v>
      </c>
      <c r="BK1" s="8" t="s">
        <v>36</v>
      </c>
      <c r="BL1" s="8" t="s">
        <v>37</v>
      </c>
      <c r="BM1" s="8" t="s">
        <v>38</v>
      </c>
      <c r="BN1" s="8" t="s">
        <v>39</v>
      </c>
      <c r="BO1" s="8" t="s">
        <v>40</v>
      </c>
      <c r="BP1" s="12" t="s">
        <v>62</v>
      </c>
      <c r="BQ1" s="8" t="s">
        <v>84</v>
      </c>
      <c r="BR1" s="16" t="s">
        <v>85</v>
      </c>
      <c r="BS1" s="16"/>
      <c r="BT1" s="10" t="s">
        <v>42</v>
      </c>
      <c r="BU1" s="10" t="s">
        <v>5</v>
      </c>
      <c r="BV1" s="10" t="s">
        <v>30</v>
      </c>
      <c r="BW1" s="10" t="s">
        <v>57</v>
      </c>
      <c r="BX1" s="10" t="s">
        <v>61</v>
      </c>
      <c r="BY1" s="10" t="s">
        <v>51</v>
      </c>
      <c r="BZ1" s="11" t="s">
        <v>6</v>
      </c>
      <c r="CA1" s="11" t="s">
        <v>7</v>
      </c>
      <c r="CB1" s="11" t="s">
        <v>43</v>
      </c>
      <c r="CC1" s="11" t="s">
        <v>8</v>
      </c>
      <c r="CD1" s="11" t="s">
        <v>50</v>
      </c>
      <c r="CE1" s="11" t="s">
        <v>13</v>
      </c>
      <c r="CF1" s="8"/>
      <c r="CG1" s="10" t="s">
        <v>42</v>
      </c>
      <c r="CH1" s="10" t="s">
        <v>5</v>
      </c>
      <c r="CI1" s="10" t="s">
        <v>30</v>
      </c>
      <c r="CJ1" s="10" t="s">
        <v>57</v>
      </c>
      <c r="CK1" s="10" t="s">
        <v>61</v>
      </c>
      <c r="CL1" s="10" t="s">
        <v>51</v>
      </c>
      <c r="CM1" s="11" t="s">
        <v>6</v>
      </c>
      <c r="CN1" s="11" t="s">
        <v>7</v>
      </c>
      <c r="CO1" s="11" t="s">
        <v>43</v>
      </c>
      <c r="CP1" s="11" t="s">
        <v>8</v>
      </c>
      <c r="CQ1" s="11" t="s">
        <v>50</v>
      </c>
      <c r="CR1" s="11" t="s">
        <v>13</v>
      </c>
      <c r="CS1" s="8"/>
    </row>
    <row r="2" spans="1:97" s="48" customFormat="1" x14ac:dyDescent="0.15">
      <c r="A2" s="40">
        <v>4</v>
      </c>
      <c r="B2" s="40" t="s">
        <v>10</v>
      </c>
      <c r="C2" s="40" t="s">
        <v>2</v>
      </c>
      <c r="D2" s="40" t="s">
        <v>12</v>
      </c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3"/>
      <c r="AR2" s="43"/>
      <c r="AS2" s="43"/>
      <c r="AT2" s="43"/>
      <c r="AU2" s="43"/>
      <c r="AV2" s="43"/>
      <c r="AW2" s="44"/>
      <c r="AX2" s="44"/>
      <c r="AY2" s="44"/>
      <c r="AZ2" s="44"/>
      <c r="BA2" s="44"/>
      <c r="BB2" s="44"/>
      <c r="BC2" s="45"/>
      <c r="BD2" s="40"/>
      <c r="BE2" s="40"/>
      <c r="BF2" s="40">
        <v>20</v>
      </c>
      <c r="BG2" s="40">
        <v>20</v>
      </c>
      <c r="BH2" s="40">
        <v>20</v>
      </c>
      <c r="BI2" s="40">
        <v>20</v>
      </c>
      <c r="BJ2" s="40"/>
      <c r="BK2" s="40"/>
      <c r="BL2" s="40"/>
      <c r="BM2" s="40"/>
      <c r="BN2" s="40"/>
      <c r="BO2" s="40"/>
      <c r="BP2" s="40">
        <f t="shared" ref="BP2:BP8" si="0">SUM(E2:BO2)</f>
        <v>80</v>
      </c>
      <c r="BQ2" s="40">
        <v>0</v>
      </c>
      <c r="BR2" s="46">
        <v>0</v>
      </c>
      <c r="BS2" s="46"/>
      <c r="BT2" s="40" t="str">
        <f t="shared" ref="BT2:CE8" si="1">IF(AQ2&gt;AQ$9, AQ2-AQ$9,"")</f>
        <v/>
      </c>
      <c r="BU2" s="40" t="str">
        <f t="shared" si="1"/>
        <v/>
      </c>
      <c r="BV2" s="40" t="str">
        <f t="shared" si="1"/>
        <v/>
      </c>
      <c r="BW2" s="40" t="str">
        <f t="shared" si="1"/>
        <v/>
      </c>
      <c r="BX2" s="40" t="str">
        <f t="shared" si="1"/>
        <v/>
      </c>
      <c r="BY2" s="40" t="str">
        <f t="shared" si="1"/>
        <v/>
      </c>
      <c r="BZ2" s="40" t="str">
        <f t="shared" si="1"/>
        <v/>
      </c>
      <c r="CA2" s="40" t="str">
        <f t="shared" si="1"/>
        <v/>
      </c>
      <c r="CB2" s="40" t="str">
        <f t="shared" si="1"/>
        <v/>
      </c>
      <c r="CC2" s="40" t="str">
        <f t="shared" si="1"/>
        <v/>
      </c>
      <c r="CD2" s="40" t="str">
        <f t="shared" si="1"/>
        <v/>
      </c>
      <c r="CE2" s="40" t="str">
        <f t="shared" si="1"/>
        <v/>
      </c>
      <c r="CF2" s="40">
        <f>12-COUNTA(BT2:CE2)</f>
        <v>0</v>
      </c>
      <c r="CG2" s="40" t="str">
        <f t="shared" ref="CG2:CR5" si="2">IF($CF2=1,BT2,"")</f>
        <v/>
      </c>
      <c r="CH2" s="40" t="str">
        <f t="shared" si="2"/>
        <v/>
      </c>
      <c r="CI2" s="40" t="str">
        <f t="shared" si="2"/>
        <v/>
      </c>
      <c r="CJ2" s="40" t="str">
        <f t="shared" si="2"/>
        <v/>
      </c>
      <c r="CK2" s="40" t="str">
        <f t="shared" si="2"/>
        <v/>
      </c>
      <c r="CL2" s="40" t="str">
        <f t="shared" si="2"/>
        <v/>
      </c>
      <c r="CM2" s="40" t="str">
        <f t="shared" si="2"/>
        <v/>
      </c>
      <c r="CN2" s="40" t="str">
        <f t="shared" si="2"/>
        <v/>
      </c>
      <c r="CO2" s="40" t="str">
        <f t="shared" si="2"/>
        <v/>
      </c>
      <c r="CP2" s="40" t="str">
        <f t="shared" si="2"/>
        <v/>
      </c>
      <c r="CQ2" s="40" t="str">
        <f t="shared" si="2"/>
        <v/>
      </c>
      <c r="CR2" s="40" t="str">
        <f t="shared" si="2"/>
        <v/>
      </c>
      <c r="CS2" s="47">
        <f>SUM(AE2:BO2)</f>
        <v>80</v>
      </c>
    </row>
    <row r="3" spans="1:97" s="49" customFormat="1" x14ac:dyDescent="0.15">
      <c r="A3" s="40">
        <v>20</v>
      </c>
      <c r="B3" s="40" t="s">
        <v>207</v>
      </c>
      <c r="C3" s="40" t="s">
        <v>28</v>
      </c>
      <c r="D3" s="40" t="s">
        <v>11</v>
      </c>
      <c r="E3" s="41"/>
      <c r="F3" s="41">
        <v>5</v>
      </c>
      <c r="G3" s="41"/>
      <c r="H3" s="41"/>
      <c r="I3" s="41"/>
      <c r="J3" s="41"/>
      <c r="K3" s="41"/>
      <c r="L3" s="41"/>
      <c r="M3" s="41"/>
      <c r="N3" s="41"/>
      <c r="O3" s="41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0"/>
      <c r="AF3" s="40"/>
      <c r="AG3" s="40">
        <v>5</v>
      </c>
      <c r="AH3" s="40"/>
      <c r="AI3" s="40"/>
      <c r="AJ3" s="40"/>
      <c r="AK3" s="40"/>
      <c r="AL3" s="40"/>
      <c r="AM3" s="40"/>
      <c r="AN3" s="40"/>
      <c r="AO3" s="40"/>
      <c r="AP3" s="40"/>
      <c r="AQ3" s="43"/>
      <c r="AR3" s="43"/>
      <c r="AS3" s="43"/>
      <c r="AT3" s="43"/>
      <c r="AU3" s="43"/>
      <c r="AV3" s="43"/>
      <c r="AW3" s="44"/>
      <c r="AX3" s="44"/>
      <c r="AY3" s="44"/>
      <c r="AZ3" s="44"/>
      <c r="BA3" s="44"/>
      <c r="BB3" s="44"/>
      <c r="BC3" s="45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0">
        <f t="shared" si="0"/>
        <v>10</v>
      </c>
      <c r="BQ3" s="40">
        <v>5</v>
      </c>
      <c r="BR3" s="46">
        <v>1</v>
      </c>
      <c r="BS3" s="46" t="s">
        <v>208</v>
      </c>
      <c r="BT3" s="40" t="str">
        <f t="shared" si="1"/>
        <v/>
      </c>
      <c r="BU3" s="40" t="str">
        <f t="shared" si="1"/>
        <v/>
      </c>
      <c r="BV3" s="40" t="str">
        <f t="shared" si="1"/>
        <v/>
      </c>
      <c r="BW3" s="40" t="str">
        <f t="shared" si="1"/>
        <v/>
      </c>
      <c r="BX3" s="40" t="str">
        <f t="shared" si="1"/>
        <v/>
      </c>
      <c r="BY3" s="40" t="str">
        <f t="shared" si="1"/>
        <v/>
      </c>
      <c r="BZ3" s="40" t="str">
        <f t="shared" si="1"/>
        <v/>
      </c>
      <c r="CA3" s="40" t="str">
        <f t="shared" si="1"/>
        <v/>
      </c>
      <c r="CB3" s="40" t="str">
        <f t="shared" si="1"/>
        <v/>
      </c>
      <c r="CC3" s="40" t="str">
        <f t="shared" si="1"/>
        <v/>
      </c>
      <c r="CD3" s="40" t="str">
        <f t="shared" si="1"/>
        <v/>
      </c>
      <c r="CE3" s="40" t="str">
        <f t="shared" si="1"/>
        <v/>
      </c>
      <c r="CF3" s="40">
        <f>COUNTIF(BT3:CE3, "&gt;0")</f>
        <v>0</v>
      </c>
      <c r="CG3" s="40" t="str">
        <f t="shared" si="2"/>
        <v/>
      </c>
      <c r="CH3" s="40" t="str">
        <f t="shared" si="2"/>
        <v/>
      </c>
      <c r="CI3" s="40" t="str">
        <f t="shared" si="2"/>
        <v/>
      </c>
      <c r="CJ3" s="40" t="str">
        <f t="shared" si="2"/>
        <v/>
      </c>
      <c r="CK3" s="40" t="str">
        <f t="shared" si="2"/>
        <v/>
      </c>
      <c r="CL3" s="40" t="str">
        <f t="shared" si="2"/>
        <v/>
      </c>
      <c r="CM3" s="40" t="str">
        <f t="shared" si="2"/>
        <v/>
      </c>
      <c r="CN3" s="40" t="str">
        <f t="shared" si="2"/>
        <v/>
      </c>
      <c r="CO3" s="40" t="str">
        <f t="shared" si="2"/>
        <v/>
      </c>
      <c r="CP3" s="40" t="str">
        <f t="shared" si="2"/>
        <v/>
      </c>
      <c r="CQ3" s="40" t="str">
        <f t="shared" si="2"/>
        <v/>
      </c>
      <c r="CR3" s="40" t="str">
        <f t="shared" si="2"/>
        <v/>
      </c>
      <c r="CS3" s="47">
        <f>SUM(AE3:BO3)</f>
        <v>5</v>
      </c>
    </row>
    <row r="4" spans="1:97" x14ac:dyDescent="0.15">
      <c r="A4" s="40">
        <v>77</v>
      </c>
      <c r="B4" s="47" t="s">
        <v>153</v>
      </c>
      <c r="C4" s="47" t="s">
        <v>56</v>
      </c>
      <c r="D4" s="40" t="s">
        <v>12</v>
      </c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3"/>
      <c r="AR4" s="43"/>
      <c r="AS4" s="43"/>
      <c r="AT4" s="43">
        <v>20</v>
      </c>
      <c r="AU4" s="43"/>
      <c r="AV4" s="43"/>
      <c r="AW4" s="44">
        <v>20</v>
      </c>
      <c r="AX4" s="44">
        <v>20</v>
      </c>
      <c r="AY4" s="44"/>
      <c r="AZ4" s="44"/>
      <c r="BA4" s="44"/>
      <c r="BB4" s="44">
        <v>10</v>
      </c>
      <c r="BC4" s="45"/>
      <c r="BD4" s="40"/>
      <c r="BE4" s="40"/>
      <c r="BF4" s="40"/>
      <c r="BG4" s="40"/>
      <c r="BH4" s="40">
        <v>20</v>
      </c>
      <c r="BI4" s="40"/>
      <c r="BJ4" s="40"/>
      <c r="BK4" s="40"/>
      <c r="BL4" s="40"/>
      <c r="BM4" s="40"/>
      <c r="BN4" s="40"/>
      <c r="BO4" s="40"/>
      <c r="BP4" s="40">
        <f t="shared" si="0"/>
        <v>90</v>
      </c>
      <c r="BQ4" s="40">
        <v>6</v>
      </c>
      <c r="BR4" s="46">
        <v>1</v>
      </c>
      <c r="BS4" s="46" t="s">
        <v>211</v>
      </c>
      <c r="BT4" s="40" t="str">
        <f t="shared" si="1"/>
        <v/>
      </c>
      <c r="BU4" s="40" t="str">
        <f t="shared" si="1"/>
        <v/>
      </c>
      <c r="BV4" s="40" t="str">
        <f t="shared" si="1"/>
        <v/>
      </c>
      <c r="BW4" s="40" t="str">
        <f t="shared" si="1"/>
        <v/>
      </c>
      <c r="BX4" s="40" t="str">
        <f t="shared" si="1"/>
        <v/>
      </c>
      <c r="BY4" s="40" t="str">
        <f t="shared" si="1"/>
        <v/>
      </c>
      <c r="BZ4" s="40" t="str">
        <f t="shared" si="1"/>
        <v/>
      </c>
      <c r="CA4" s="40" t="str">
        <f t="shared" si="1"/>
        <v/>
      </c>
      <c r="CB4" s="40" t="str">
        <f t="shared" si="1"/>
        <v/>
      </c>
      <c r="CC4" s="40" t="str">
        <f t="shared" si="1"/>
        <v/>
      </c>
      <c r="CD4" s="40" t="str">
        <f t="shared" si="1"/>
        <v/>
      </c>
      <c r="CE4" s="40" t="str">
        <f t="shared" si="1"/>
        <v/>
      </c>
      <c r="CF4" s="40">
        <f>COUNTIF(BT4:CE4, "&gt;0")</f>
        <v>0</v>
      </c>
      <c r="CG4" s="40" t="str">
        <f t="shared" si="2"/>
        <v/>
      </c>
      <c r="CH4" s="40" t="str">
        <f t="shared" si="2"/>
        <v/>
      </c>
      <c r="CI4" s="40" t="str">
        <f t="shared" si="2"/>
        <v/>
      </c>
      <c r="CJ4" s="40" t="str">
        <f t="shared" si="2"/>
        <v/>
      </c>
      <c r="CK4" s="40" t="str">
        <f t="shared" si="2"/>
        <v/>
      </c>
      <c r="CL4" s="40" t="str">
        <f t="shared" si="2"/>
        <v/>
      </c>
      <c r="CM4" s="40" t="str">
        <f t="shared" si="2"/>
        <v/>
      </c>
      <c r="CN4" s="40" t="str">
        <f t="shared" si="2"/>
        <v/>
      </c>
      <c r="CO4" s="40" t="str">
        <f t="shared" si="2"/>
        <v/>
      </c>
      <c r="CP4" s="40" t="str">
        <f t="shared" si="2"/>
        <v/>
      </c>
      <c r="CQ4" s="40" t="str">
        <f t="shared" si="2"/>
        <v/>
      </c>
      <c r="CR4" s="40" t="str">
        <f t="shared" si="2"/>
        <v/>
      </c>
      <c r="CS4" s="47">
        <f>SUM(AE4:BO4)</f>
        <v>90</v>
      </c>
    </row>
    <row r="5" spans="1:97" x14ac:dyDescent="0.15">
      <c r="A5" s="40">
        <v>3</v>
      </c>
      <c r="B5" s="40" t="s">
        <v>10</v>
      </c>
      <c r="C5" s="40" t="s">
        <v>2</v>
      </c>
      <c r="D5" s="40" t="s">
        <v>11</v>
      </c>
      <c r="E5" s="41">
        <v>15</v>
      </c>
      <c r="F5" s="41"/>
      <c r="G5" s="41">
        <v>15</v>
      </c>
      <c r="H5" s="41"/>
      <c r="I5" s="41"/>
      <c r="J5" s="41"/>
      <c r="K5" s="41"/>
      <c r="L5" s="41"/>
      <c r="M5" s="41"/>
      <c r="N5" s="41"/>
      <c r="O5" s="41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3"/>
      <c r="AR5" s="43">
        <v>15</v>
      </c>
      <c r="AS5" s="43"/>
      <c r="AT5" s="43"/>
      <c r="AU5" s="43"/>
      <c r="AV5" s="43"/>
      <c r="AW5" s="44"/>
      <c r="AX5" s="44"/>
      <c r="AY5" s="44"/>
      <c r="AZ5" s="44"/>
      <c r="BA5" s="44"/>
      <c r="BB5" s="44">
        <v>15</v>
      </c>
      <c r="BC5" s="45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0"/>
      <c r="BO5" s="40"/>
      <c r="BP5" s="40">
        <f t="shared" si="0"/>
        <v>60</v>
      </c>
      <c r="BQ5" s="40">
        <v>13</v>
      </c>
      <c r="BR5" s="46">
        <v>1</v>
      </c>
      <c r="BS5" s="46" t="s">
        <v>210</v>
      </c>
      <c r="BT5" s="40" t="str">
        <f t="shared" si="1"/>
        <v/>
      </c>
      <c r="BU5" s="40" t="str">
        <f t="shared" si="1"/>
        <v/>
      </c>
      <c r="BV5" s="40" t="str">
        <f t="shared" si="1"/>
        <v/>
      </c>
      <c r="BW5" s="40" t="str">
        <f t="shared" si="1"/>
        <v/>
      </c>
      <c r="BX5" s="40" t="str">
        <f t="shared" si="1"/>
        <v/>
      </c>
      <c r="BY5" s="40" t="str">
        <f t="shared" si="1"/>
        <v/>
      </c>
      <c r="BZ5" s="40" t="str">
        <f t="shared" si="1"/>
        <v/>
      </c>
      <c r="CA5" s="40" t="str">
        <f t="shared" si="1"/>
        <v/>
      </c>
      <c r="CB5" s="40" t="str">
        <f t="shared" si="1"/>
        <v/>
      </c>
      <c r="CC5" s="40" t="str">
        <f t="shared" si="1"/>
        <v/>
      </c>
      <c r="CD5" s="40" t="str">
        <f t="shared" si="1"/>
        <v/>
      </c>
      <c r="CE5" s="40" t="str">
        <f t="shared" si="1"/>
        <v/>
      </c>
      <c r="CF5" s="40">
        <f>COUNTIF(BT5:CE5, "&gt;0")</f>
        <v>0</v>
      </c>
      <c r="CG5" s="40" t="str">
        <f t="shared" si="2"/>
        <v/>
      </c>
      <c r="CH5" s="40" t="str">
        <f t="shared" si="2"/>
        <v/>
      </c>
      <c r="CI5" s="40" t="str">
        <f t="shared" si="2"/>
        <v/>
      </c>
      <c r="CJ5" s="40" t="str">
        <f t="shared" si="2"/>
        <v/>
      </c>
      <c r="CK5" s="40" t="str">
        <f t="shared" si="2"/>
        <v/>
      </c>
      <c r="CL5" s="40" t="str">
        <f t="shared" si="2"/>
        <v/>
      </c>
      <c r="CM5" s="40" t="str">
        <f t="shared" si="2"/>
        <v/>
      </c>
      <c r="CN5" s="40" t="str">
        <f t="shared" si="2"/>
        <v/>
      </c>
      <c r="CO5" s="40" t="str">
        <f t="shared" si="2"/>
        <v/>
      </c>
      <c r="CP5" s="40" t="str">
        <f t="shared" si="2"/>
        <v/>
      </c>
      <c r="CQ5" s="40" t="str">
        <f t="shared" si="2"/>
        <v/>
      </c>
      <c r="CR5" s="40" t="str">
        <f t="shared" si="2"/>
        <v/>
      </c>
      <c r="CS5" s="47">
        <f>SUM(AE5:BO5)</f>
        <v>30</v>
      </c>
    </row>
    <row r="6" spans="1:97" x14ac:dyDescent="0.15">
      <c r="A6" s="40"/>
      <c r="B6" s="40" t="s">
        <v>160</v>
      </c>
      <c r="C6" s="40" t="s">
        <v>104</v>
      </c>
      <c r="D6" s="40" t="s">
        <v>11</v>
      </c>
      <c r="E6" s="41">
        <v>15</v>
      </c>
      <c r="F6" s="41"/>
      <c r="G6" s="41">
        <v>15</v>
      </c>
      <c r="H6" s="41"/>
      <c r="I6" s="41"/>
      <c r="J6" s="41"/>
      <c r="K6" s="41"/>
      <c r="L6" s="41"/>
      <c r="M6" s="41"/>
      <c r="N6" s="41"/>
      <c r="O6" s="41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3"/>
      <c r="AR6" s="43">
        <v>15</v>
      </c>
      <c r="AS6" s="43"/>
      <c r="AT6" s="43"/>
      <c r="AU6" s="43"/>
      <c r="AV6" s="43"/>
      <c r="AW6" s="44"/>
      <c r="AX6" s="44"/>
      <c r="AY6" s="44"/>
      <c r="AZ6" s="44"/>
      <c r="BA6" s="44"/>
      <c r="BB6" s="44">
        <v>15</v>
      </c>
      <c r="BC6" s="45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0"/>
      <c r="BO6" s="40"/>
      <c r="BP6" s="40">
        <f t="shared" si="0"/>
        <v>60</v>
      </c>
      <c r="BQ6" s="40">
        <v>13</v>
      </c>
      <c r="BR6" s="46">
        <v>1</v>
      </c>
      <c r="BS6" s="46" t="s">
        <v>200</v>
      </c>
      <c r="BT6" s="40" t="str">
        <f t="shared" si="1"/>
        <v/>
      </c>
      <c r="BU6" s="40" t="str">
        <f t="shared" si="1"/>
        <v/>
      </c>
      <c r="BV6" s="40" t="str">
        <f t="shared" si="1"/>
        <v/>
      </c>
      <c r="BW6" s="40" t="str">
        <f t="shared" si="1"/>
        <v/>
      </c>
      <c r="BX6" s="40" t="str">
        <f t="shared" si="1"/>
        <v/>
      </c>
      <c r="BY6" s="40" t="str">
        <f t="shared" si="1"/>
        <v/>
      </c>
      <c r="BZ6" s="40" t="str">
        <f t="shared" si="1"/>
        <v/>
      </c>
      <c r="CA6" s="40" t="str">
        <f t="shared" si="1"/>
        <v/>
      </c>
      <c r="CB6" s="40" t="str">
        <f t="shared" si="1"/>
        <v/>
      </c>
      <c r="CC6" s="40" t="str">
        <f t="shared" si="1"/>
        <v/>
      </c>
      <c r="CD6" s="40" t="str">
        <f t="shared" si="1"/>
        <v/>
      </c>
      <c r="CE6" s="40" t="str">
        <f t="shared" si="1"/>
        <v/>
      </c>
      <c r="CF6" s="40"/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7"/>
    </row>
    <row r="7" spans="1:97" ht="27" x14ac:dyDescent="0.15">
      <c r="A7" s="40">
        <v>1</v>
      </c>
      <c r="B7" s="40" t="s">
        <v>0</v>
      </c>
      <c r="C7" s="40" t="s">
        <v>2</v>
      </c>
      <c r="D7" s="40" t="s">
        <v>1</v>
      </c>
      <c r="E7" s="41">
        <v>10</v>
      </c>
      <c r="F7" s="41">
        <v>10</v>
      </c>
      <c r="G7" s="41"/>
      <c r="H7" s="41"/>
      <c r="I7" s="41"/>
      <c r="J7" s="41"/>
      <c r="K7" s="41"/>
      <c r="L7" s="41"/>
      <c r="M7" s="41"/>
      <c r="N7" s="41"/>
      <c r="O7" s="41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3"/>
      <c r="AR7" s="43">
        <v>10</v>
      </c>
      <c r="AS7" s="43"/>
      <c r="AT7" s="43"/>
      <c r="AU7" s="43"/>
      <c r="AV7" s="43"/>
      <c r="AW7" s="44">
        <v>15</v>
      </c>
      <c r="AX7" s="44">
        <v>15</v>
      </c>
      <c r="AY7" s="44"/>
      <c r="AZ7" s="44"/>
      <c r="BA7" s="44"/>
      <c r="BB7" s="44"/>
      <c r="BC7" s="45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0"/>
      <c r="BO7" s="40"/>
      <c r="BP7" s="40">
        <f t="shared" si="0"/>
        <v>60</v>
      </c>
      <c r="BQ7" s="40">
        <v>9</v>
      </c>
      <c r="BR7" s="46">
        <v>2</v>
      </c>
      <c r="BS7" s="46" t="s">
        <v>212</v>
      </c>
      <c r="BT7" s="40" t="str">
        <f t="shared" si="1"/>
        <v/>
      </c>
      <c r="BU7" s="40" t="str">
        <f t="shared" si="1"/>
        <v/>
      </c>
      <c r="BV7" s="40" t="str">
        <f t="shared" si="1"/>
        <v/>
      </c>
      <c r="BW7" s="40" t="str">
        <f t="shared" si="1"/>
        <v/>
      </c>
      <c r="BX7" s="40" t="str">
        <f t="shared" si="1"/>
        <v/>
      </c>
      <c r="BY7" s="40" t="str">
        <f t="shared" si="1"/>
        <v/>
      </c>
      <c r="BZ7" s="40" t="str">
        <f t="shared" si="1"/>
        <v/>
      </c>
      <c r="CA7" s="40" t="str">
        <f t="shared" si="1"/>
        <v/>
      </c>
      <c r="CB7" s="40" t="str">
        <f t="shared" si="1"/>
        <v/>
      </c>
      <c r="CC7" s="40" t="str">
        <f t="shared" si="1"/>
        <v/>
      </c>
      <c r="CD7" s="40" t="str">
        <f t="shared" si="1"/>
        <v/>
      </c>
      <c r="CE7" s="40" t="str">
        <f t="shared" si="1"/>
        <v/>
      </c>
      <c r="CF7" s="40">
        <f>COUNTIF(BT7:CE7, "&gt;0")</f>
        <v>0</v>
      </c>
      <c r="CG7" s="40" t="str">
        <f t="shared" ref="CG7:CR7" si="3">IF($CF7=1,BT7,"")</f>
        <v/>
      </c>
      <c r="CH7" s="40" t="str">
        <f t="shared" si="3"/>
        <v/>
      </c>
      <c r="CI7" s="40" t="str">
        <f t="shared" si="3"/>
        <v/>
      </c>
      <c r="CJ7" s="40" t="str">
        <f t="shared" si="3"/>
        <v/>
      </c>
      <c r="CK7" s="40" t="str">
        <f t="shared" si="3"/>
        <v/>
      </c>
      <c r="CL7" s="40" t="str">
        <f t="shared" si="3"/>
        <v/>
      </c>
      <c r="CM7" s="40" t="str">
        <f t="shared" si="3"/>
        <v/>
      </c>
      <c r="CN7" s="40" t="str">
        <f t="shared" si="3"/>
        <v/>
      </c>
      <c r="CO7" s="40" t="str">
        <f t="shared" si="3"/>
        <v/>
      </c>
      <c r="CP7" s="40" t="str">
        <f t="shared" si="3"/>
        <v/>
      </c>
      <c r="CQ7" s="40" t="str">
        <f t="shared" si="3"/>
        <v/>
      </c>
      <c r="CR7" s="40" t="str">
        <f t="shared" si="3"/>
        <v/>
      </c>
      <c r="CS7" s="47">
        <f>SUM(AE7:BO7)</f>
        <v>40</v>
      </c>
    </row>
    <row r="8" spans="1:97" ht="40.5" x14ac:dyDescent="0.15">
      <c r="A8" s="40"/>
      <c r="B8" s="40" t="s">
        <v>170</v>
      </c>
      <c r="C8" s="40" t="s">
        <v>71</v>
      </c>
      <c r="D8" s="40" t="s">
        <v>11</v>
      </c>
      <c r="E8" s="41"/>
      <c r="F8" s="41"/>
      <c r="G8" s="41">
        <v>15</v>
      </c>
      <c r="H8" s="41">
        <v>15</v>
      </c>
      <c r="I8" s="41"/>
      <c r="J8" s="41"/>
      <c r="K8" s="41"/>
      <c r="L8" s="41"/>
      <c r="M8" s="41"/>
      <c r="N8" s="41"/>
      <c r="O8" s="41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3"/>
      <c r="AR8" s="43"/>
      <c r="AS8" s="43"/>
      <c r="AT8" s="43"/>
      <c r="AU8" s="43"/>
      <c r="AV8" s="43"/>
      <c r="AW8" s="44"/>
      <c r="AX8" s="44"/>
      <c r="AY8" s="44"/>
      <c r="AZ8" s="44"/>
      <c r="BA8" s="44">
        <v>15</v>
      </c>
      <c r="BB8" s="44">
        <v>15</v>
      </c>
      <c r="BC8" s="45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0"/>
      <c r="BO8" s="40"/>
      <c r="BP8" s="40">
        <f t="shared" si="0"/>
        <v>60</v>
      </c>
      <c r="BQ8" s="40">
        <v>20</v>
      </c>
      <c r="BR8" s="46">
        <v>2</v>
      </c>
      <c r="BS8" s="46" t="s">
        <v>209</v>
      </c>
      <c r="BT8" s="40" t="str">
        <f t="shared" si="1"/>
        <v/>
      </c>
      <c r="BU8" s="40" t="str">
        <f t="shared" si="1"/>
        <v/>
      </c>
      <c r="BV8" s="40" t="str">
        <f t="shared" si="1"/>
        <v/>
      </c>
      <c r="BW8" s="40" t="str">
        <f t="shared" si="1"/>
        <v/>
      </c>
      <c r="BX8" s="40" t="str">
        <f t="shared" si="1"/>
        <v/>
      </c>
      <c r="BY8" s="40" t="str">
        <f t="shared" si="1"/>
        <v/>
      </c>
      <c r="BZ8" s="40" t="str">
        <f t="shared" si="1"/>
        <v/>
      </c>
      <c r="CA8" s="40" t="str">
        <f t="shared" si="1"/>
        <v/>
      </c>
      <c r="CB8" s="40" t="str">
        <f t="shared" si="1"/>
        <v/>
      </c>
      <c r="CC8" s="40" t="str">
        <f t="shared" si="1"/>
        <v/>
      </c>
      <c r="CD8" s="40" t="str">
        <f t="shared" si="1"/>
        <v/>
      </c>
      <c r="CE8" s="40" t="str">
        <f t="shared" si="1"/>
        <v/>
      </c>
      <c r="CF8" s="40"/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7"/>
    </row>
    <row r="9" spans="1:97" x14ac:dyDescent="0.15">
      <c r="A9" s="1"/>
      <c r="B9" s="1" t="s">
        <v>62</v>
      </c>
      <c r="C9" s="1"/>
      <c r="D9" s="1"/>
      <c r="E9" s="6">
        <f t="shared" ref="E9:AJ9" si="4">SUM(E3:E8)</f>
        <v>40</v>
      </c>
      <c r="F9" s="6">
        <f t="shared" si="4"/>
        <v>15</v>
      </c>
      <c r="G9" s="6">
        <f t="shared" si="4"/>
        <v>45</v>
      </c>
      <c r="H9" s="6">
        <f t="shared" si="4"/>
        <v>15</v>
      </c>
      <c r="I9" s="6">
        <f t="shared" si="4"/>
        <v>0</v>
      </c>
      <c r="J9" s="6">
        <f t="shared" si="4"/>
        <v>0</v>
      </c>
      <c r="K9" s="6">
        <f t="shared" si="4"/>
        <v>0</v>
      </c>
      <c r="L9" s="6">
        <f t="shared" si="4"/>
        <v>0</v>
      </c>
      <c r="M9" s="6">
        <f t="shared" si="4"/>
        <v>0</v>
      </c>
      <c r="N9" s="6">
        <f t="shared" si="4"/>
        <v>0</v>
      </c>
      <c r="O9" s="6">
        <f t="shared" si="4"/>
        <v>0</v>
      </c>
      <c r="P9" s="28">
        <f t="shared" si="4"/>
        <v>0</v>
      </c>
      <c r="Q9" s="28">
        <f t="shared" si="4"/>
        <v>0</v>
      </c>
      <c r="R9" s="28">
        <f t="shared" si="4"/>
        <v>0</v>
      </c>
      <c r="S9" s="28">
        <f t="shared" si="4"/>
        <v>0</v>
      </c>
      <c r="T9" s="28">
        <f t="shared" si="4"/>
        <v>0</v>
      </c>
      <c r="U9" s="28">
        <f t="shared" si="4"/>
        <v>0</v>
      </c>
      <c r="V9" s="28">
        <f t="shared" si="4"/>
        <v>0</v>
      </c>
      <c r="W9" s="28">
        <f t="shared" si="4"/>
        <v>0</v>
      </c>
      <c r="X9" s="28">
        <f t="shared" si="4"/>
        <v>0</v>
      </c>
      <c r="Y9" s="28">
        <f t="shared" si="4"/>
        <v>0</v>
      </c>
      <c r="Z9" s="28">
        <f t="shared" si="4"/>
        <v>0</v>
      </c>
      <c r="AA9" s="28">
        <f t="shared" si="4"/>
        <v>0</v>
      </c>
      <c r="AB9" s="28">
        <f t="shared" si="4"/>
        <v>0</v>
      </c>
      <c r="AC9" s="28">
        <f t="shared" si="4"/>
        <v>0</v>
      </c>
      <c r="AD9" s="28">
        <f t="shared" si="4"/>
        <v>0</v>
      </c>
      <c r="AE9" s="1">
        <f t="shared" si="4"/>
        <v>0</v>
      </c>
      <c r="AF9" s="1">
        <f t="shared" si="4"/>
        <v>0</v>
      </c>
      <c r="AG9" s="1">
        <f t="shared" si="4"/>
        <v>5</v>
      </c>
      <c r="AH9" s="1">
        <f t="shared" si="4"/>
        <v>0</v>
      </c>
      <c r="AI9" s="1">
        <f t="shared" si="4"/>
        <v>0</v>
      </c>
      <c r="AJ9" s="1">
        <f t="shared" si="4"/>
        <v>0</v>
      </c>
      <c r="AK9" s="1">
        <f t="shared" ref="AK9:BO9" si="5">SUM(AK3:AK8)</f>
        <v>0</v>
      </c>
      <c r="AL9" s="1">
        <f t="shared" si="5"/>
        <v>0</v>
      </c>
      <c r="AM9" s="1">
        <f t="shared" si="5"/>
        <v>0</v>
      </c>
      <c r="AN9" s="1">
        <f t="shared" si="5"/>
        <v>0</v>
      </c>
      <c r="AO9" s="1">
        <f t="shared" si="5"/>
        <v>0</v>
      </c>
      <c r="AP9" s="1">
        <f t="shared" si="5"/>
        <v>0</v>
      </c>
      <c r="AQ9" s="4">
        <f t="shared" si="5"/>
        <v>0</v>
      </c>
      <c r="AR9" s="4">
        <f t="shared" si="5"/>
        <v>40</v>
      </c>
      <c r="AS9" s="4">
        <f t="shared" si="5"/>
        <v>0</v>
      </c>
      <c r="AT9" s="4">
        <f t="shared" si="5"/>
        <v>20</v>
      </c>
      <c r="AU9" s="4">
        <f t="shared" si="5"/>
        <v>0</v>
      </c>
      <c r="AV9" s="4">
        <f t="shared" si="5"/>
        <v>0</v>
      </c>
      <c r="AW9" s="2">
        <f t="shared" si="5"/>
        <v>35</v>
      </c>
      <c r="AX9" s="2">
        <f t="shared" si="5"/>
        <v>35</v>
      </c>
      <c r="AY9" s="2">
        <f t="shared" si="5"/>
        <v>0</v>
      </c>
      <c r="AZ9" s="2">
        <f t="shared" si="5"/>
        <v>0</v>
      </c>
      <c r="BA9" s="2">
        <f t="shared" si="5"/>
        <v>15</v>
      </c>
      <c r="BB9" s="2">
        <f t="shared" si="5"/>
        <v>55</v>
      </c>
      <c r="BC9" s="1">
        <f t="shared" si="5"/>
        <v>0</v>
      </c>
      <c r="BD9" s="1">
        <f t="shared" si="5"/>
        <v>0</v>
      </c>
      <c r="BE9" s="1">
        <f t="shared" si="5"/>
        <v>0</v>
      </c>
      <c r="BF9" s="1">
        <f t="shared" si="5"/>
        <v>0</v>
      </c>
      <c r="BG9" s="1">
        <f t="shared" si="5"/>
        <v>0</v>
      </c>
      <c r="BH9" s="1">
        <f t="shared" si="5"/>
        <v>20</v>
      </c>
      <c r="BI9" s="1">
        <f t="shared" si="5"/>
        <v>0</v>
      </c>
      <c r="BJ9" s="1">
        <f t="shared" si="5"/>
        <v>0</v>
      </c>
      <c r="BK9" s="1">
        <f t="shared" si="5"/>
        <v>0</v>
      </c>
      <c r="BL9" s="1">
        <f t="shared" si="5"/>
        <v>0</v>
      </c>
      <c r="BM9" s="1">
        <f t="shared" si="5"/>
        <v>0</v>
      </c>
      <c r="BN9" s="1">
        <f t="shared" si="5"/>
        <v>0</v>
      </c>
      <c r="BO9" s="1">
        <f t="shared" si="5"/>
        <v>0</v>
      </c>
      <c r="BP9" s="1"/>
      <c r="BQ9" s="1"/>
      <c r="BR9" s="17"/>
      <c r="BS9" s="17"/>
      <c r="BT9" s="1">
        <f t="shared" ref="BT9:CE9" si="6">MIN(BT3:BT8)</f>
        <v>0</v>
      </c>
      <c r="BU9" s="1">
        <f t="shared" si="6"/>
        <v>0</v>
      </c>
      <c r="BV9" s="1">
        <f t="shared" si="6"/>
        <v>0</v>
      </c>
      <c r="BW9" s="1">
        <f t="shared" si="6"/>
        <v>0</v>
      </c>
      <c r="BX9" s="1">
        <f t="shared" si="6"/>
        <v>0</v>
      </c>
      <c r="BY9" s="1">
        <f t="shared" si="6"/>
        <v>0</v>
      </c>
      <c r="BZ9" s="1">
        <f t="shared" si="6"/>
        <v>0</v>
      </c>
      <c r="CA9" s="1">
        <f t="shared" si="6"/>
        <v>0</v>
      </c>
      <c r="CB9" s="1">
        <f t="shared" si="6"/>
        <v>0</v>
      </c>
      <c r="CC9" s="1">
        <f t="shared" si="6"/>
        <v>0</v>
      </c>
      <c r="CD9" s="1">
        <f t="shared" si="6"/>
        <v>0</v>
      </c>
      <c r="CE9" s="1">
        <f t="shared" si="6"/>
        <v>0</v>
      </c>
      <c r="CF9" s="1"/>
      <c r="CG9" s="1">
        <f t="shared" ref="CG9:CR9" si="7">MIN(CG3:CG8)</f>
        <v>0</v>
      </c>
      <c r="CH9" s="1">
        <f t="shared" si="7"/>
        <v>0</v>
      </c>
      <c r="CI9" s="1">
        <f t="shared" si="7"/>
        <v>0</v>
      </c>
      <c r="CJ9" s="1">
        <f t="shared" si="7"/>
        <v>0</v>
      </c>
      <c r="CK9" s="1">
        <f t="shared" si="7"/>
        <v>0</v>
      </c>
      <c r="CL9" s="1">
        <f t="shared" si="7"/>
        <v>0</v>
      </c>
      <c r="CM9" s="1">
        <f t="shared" si="7"/>
        <v>0</v>
      </c>
      <c r="CN9" s="1">
        <f t="shared" si="7"/>
        <v>0</v>
      </c>
      <c r="CO9" s="1">
        <f t="shared" si="7"/>
        <v>0</v>
      </c>
      <c r="CP9" s="1">
        <f t="shared" si="7"/>
        <v>0</v>
      </c>
      <c r="CQ9" s="1">
        <f t="shared" si="7"/>
        <v>0</v>
      </c>
      <c r="CR9" s="1">
        <f t="shared" si="7"/>
        <v>0</v>
      </c>
      <c r="CS9" s="3">
        <f>COUNTIF(CS3:CS8,"=0")</f>
        <v>0</v>
      </c>
    </row>
    <row r="10" spans="1:97" x14ac:dyDescent="0.15">
      <c r="A10" s="1"/>
      <c r="B10" s="3" t="s">
        <v>82</v>
      </c>
      <c r="C10" s="1"/>
      <c r="D10" s="1"/>
      <c r="E10" s="1">
        <v>45</v>
      </c>
      <c r="F10" s="1">
        <v>20</v>
      </c>
      <c r="G10" s="1">
        <v>34</v>
      </c>
      <c r="H10" s="1">
        <v>10</v>
      </c>
      <c r="I10" s="1">
        <v>38</v>
      </c>
      <c r="J10" s="1">
        <v>52</v>
      </c>
      <c r="K10" s="1">
        <v>25</v>
      </c>
      <c r="L10" s="1">
        <v>78</v>
      </c>
      <c r="M10" s="1">
        <v>37</v>
      </c>
      <c r="N10" s="1">
        <v>43</v>
      </c>
      <c r="O10" s="1">
        <v>17</v>
      </c>
      <c r="P10" s="14">
        <v>2</v>
      </c>
      <c r="Q10" s="14">
        <v>1</v>
      </c>
      <c r="R10" s="14">
        <v>2</v>
      </c>
      <c r="S10" s="14">
        <v>1</v>
      </c>
      <c r="T10" s="14">
        <v>5</v>
      </c>
      <c r="U10" s="14">
        <v>0</v>
      </c>
      <c r="V10" s="14">
        <v>2</v>
      </c>
      <c r="W10" s="14">
        <v>2</v>
      </c>
      <c r="X10" s="14">
        <v>6</v>
      </c>
      <c r="Y10" s="14">
        <v>0</v>
      </c>
      <c r="Z10" s="14">
        <v>1</v>
      </c>
      <c r="AA10" s="14">
        <v>1</v>
      </c>
      <c r="AB10" s="14">
        <v>8</v>
      </c>
      <c r="AC10" s="14">
        <v>2</v>
      </c>
      <c r="AD10" s="14">
        <v>4</v>
      </c>
      <c r="AE10" s="1">
        <v>1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33</v>
      </c>
      <c r="AL10" s="1">
        <v>43</v>
      </c>
      <c r="AM10" s="1">
        <v>3</v>
      </c>
      <c r="AN10" s="1">
        <v>0</v>
      </c>
      <c r="AO10" s="1">
        <v>0</v>
      </c>
      <c r="AP10" s="1">
        <v>0</v>
      </c>
      <c r="AQ10" s="14">
        <v>11</v>
      </c>
      <c r="AR10" s="14">
        <v>2</v>
      </c>
      <c r="AS10" s="14">
        <v>2</v>
      </c>
      <c r="AT10" s="14">
        <v>21</v>
      </c>
      <c r="AU10" s="14">
        <v>17</v>
      </c>
      <c r="AV10" s="14">
        <v>10</v>
      </c>
      <c r="AW10" s="14">
        <v>14</v>
      </c>
      <c r="AX10" s="14">
        <v>35</v>
      </c>
      <c r="AY10" s="14">
        <v>20</v>
      </c>
      <c r="AZ10" s="14">
        <v>4</v>
      </c>
      <c r="BA10" s="14">
        <v>0</v>
      </c>
      <c r="BB10" s="14">
        <v>69</v>
      </c>
      <c r="BC10" s="14">
        <v>10</v>
      </c>
      <c r="BD10" s="1">
        <v>162</v>
      </c>
      <c r="BE10" s="1">
        <v>244</v>
      </c>
      <c r="BF10" s="1">
        <v>233</v>
      </c>
      <c r="BG10" s="1">
        <v>242</v>
      </c>
      <c r="BH10" s="1">
        <v>141</v>
      </c>
      <c r="BI10" s="1">
        <v>154</v>
      </c>
      <c r="BJ10" s="1">
        <v>41</v>
      </c>
      <c r="BK10" s="1">
        <v>49</v>
      </c>
      <c r="BL10" s="1">
        <v>81</v>
      </c>
      <c r="BM10" s="1"/>
      <c r="BN10" s="1">
        <v>5</v>
      </c>
      <c r="BO10" s="1"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 x14ac:dyDescent="0.15">
      <c r="A11" s="1"/>
      <c r="B11" s="3" t="s">
        <v>89</v>
      </c>
      <c r="C11" s="1"/>
      <c r="D11" s="1"/>
      <c r="E11" s="1">
        <f t="shared" ref="E11:AJ11" si="8">E10-E9</f>
        <v>5</v>
      </c>
      <c r="F11" s="1">
        <f t="shared" si="8"/>
        <v>5</v>
      </c>
      <c r="G11" s="1">
        <f t="shared" si="8"/>
        <v>-11</v>
      </c>
      <c r="H11" s="1">
        <f t="shared" si="8"/>
        <v>-5</v>
      </c>
      <c r="I11" s="1">
        <f t="shared" si="8"/>
        <v>38</v>
      </c>
      <c r="J11" s="1">
        <f t="shared" si="8"/>
        <v>52</v>
      </c>
      <c r="K11" s="1">
        <f t="shared" si="8"/>
        <v>25</v>
      </c>
      <c r="L11" s="1">
        <f t="shared" si="8"/>
        <v>78</v>
      </c>
      <c r="M11" s="1">
        <f t="shared" si="8"/>
        <v>37</v>
      </c>
      <c r="N11" s="1">
        <f t="shared" si="8"/>
        <v>43</v>
      </c>
      <c r="O11" s="1">
        <f t="shared" si="8"/>
        <v>17</v>
      </c>
      <c r="P11" s="1">
        <f t="shared" si="8"/>
        <v>2</v>
      </c>
      <c r="Q11" s="1">
        <f t="shared" si="8"/>
        <v>1</v>
      </c>
      <c r="R11" s="1">
        <f t="shared" si="8"/>
        <v>2</v>
      </c>
      <c r="S11" s="1">
        <f t="shared" si="8"/>
        <v>1</v>
      </c>
      <c r="T11" s="1">
        <f t="shared" si="8"/>
        <v>5</v>
      </c>
      <c r="U11" s="1">
        <f t="shared" si="8"/>
        <v>0</v>
      </c>
      <c r="V11" s="1">
        <f t="shared" si="8"/>
        <v>2</v>
      </c>
      <c r="W11" s="1">
        <f t="shared" si="8"/>
        <v>2</v>
      </c>
      <c r="X11" s="1">
        <f t="shared" si="8"/>
        <v>6</v>
      </c>
      <c r="Y11" s="1">
        <f t="shared" si="8"/>
        <v>0</v>
      </c>
      <c r="Z11" s="1">
        <f t="shared" si="8"/>
        <v>1</v>
      </c>
      <c r="AA11" s="1">
        <f t="shared" si="8"/>
        <v>1</v>
      </c>
      <c r="AB11" s="1">
        <f t="shared" si="8"/>
        <v>8</v>
      </c>
      <c r="AC11" s="1">
        <f t="shared" si="8"/>
        <v>2</v>
      </c>
      <c r="AD11" s="1">
        <f t="shared" si="8"/>
        <v>4</v>
      </c>
      <c r="AE11" s="1">
        <f t="shared" si="8"/>
        <v>1</v>
      </c>
      <c r="AF11" s="1">
        <f t="shared" si="8"/>
        <v>0</v>
      </c>
      <c r="AG11" s="1">
        <f t="shared" si="8"/>
        <v>-5</v>
      </c>
      <c r="AH11" s="1">
        <f t="shared" si="8"/>
        <v>0</v>
      </c>
      <c r="AI11" s="1">
        <f t="shared" si="8"/>
        <v>0</v>
      </c>
      <c r="AJ11" s="1">
        <f t="shared" si="8"/>
        <v>0</v>
      </c>
      <c r="AK11" s="1">
        <f t="shared" ref="AK11:BO11" si="9">AK10-AK9</f>
        <v>33</v>
      </c>
      <c r="AL11" s="1">
        <f t="shared" si="9"/>
        <v>43</v>
      </c>
      <c r="AM11" s="1">
        <f t="shared" si="9"/>
        <v>3</v>
      </c>
      <c r="AN11" s="1">
        <f t="shared" si="9"/>
        <v>0</v>
      </c>
      <c r="AO11" s="1">
        <f t="shared" si="9"/>
        <v>0</v>
      </c>
      <c r="AP11" s="1">
        <f t="shared" si="9"/>
        <v>0</v>
      </c>
      <c r="AQ11" s="1">
        <f t="shared" si="9"/>
        <v>11</v>
      </c>
      <c r="AR11" s="1">
        <f t="shared" si="9"/>
        <v>-38</v>
      </c>
      <c r="AS11" s="1">
        <f t="shared" si="9"/>
        <v>2</v>
      </c>
      <c r="AT11" s="1">
        <f t="shared" si="9"/>
        <v>1</v>
      </c>
      <c r="AU11" s="1">
        <f t="shared" si="9"/>
        <v>17</v>
      </c>
      <c r="AV11" s="1">
        <f t="shared" si="9"/>
        <v>10</v>
      </c>
      <c r="AW11" s="1">
        <f t="shared" si="9"/>
        <v>-21</v>
      </c>
      <c r="AX11" s="1">
        <f t="shared" si="9"/>
        <v>0</v>
      </c>
      <c r="AY11" s="1">
        <f t="shared" si="9"/>
        <v>20</v>
      </c>
      <c r="AZ11" s="1">
        <f t="shared" si="9"/>
        <v>4</v>
      </c>
      <c r="BA11" s="1">
        <f t="shared" si="9"/>
        <v>-15</v>
      </c>
      <c r="BB11" s="1">
        <f t="shared" si="9"/>
        <v>14</v>
      </c>
      <c r="BC11" s="1">
        <f t="shared" si="9"/>
        <v>10</v>
      </c>
      <c r="BD11" s="1">
        <f t="shared" si="9"/>
        <v>162</v>
      </c>
      <c r="BE11" s="1">
        <f t="shared" si="9"/>
        <v>244</v>
      </c>
      <c r="BF11" s="1">
        <f t="shared" si="9"/>
        <v>233</v>
      </c>
      <c r="BG11" s="1">
        <f t="shared" si="9"/>
        <v>242</v>
      </c>
      <c r="BH11" s="1">
        <f t="shared" si="9"/>
        <v>121</v>
      </c>
      <c r="BI11" s="1">
        <f t="shared" si="9"/>
        <v>154</v>
      </c>
      <c r="BJ11" s="1">
        <f t="shared" si="9"/>
        <v>41</v>
      </c>
      <c r="BK11" s="1">
        <f t="shared" si="9"/>
        <v>49</v>
      </c>
      <c r="BL11" s="1">
        <f t="shared" si="9"/>
        <v>81</v>
      </c>
      <c r="BM11" s="1">
        <f t="shared" si="9"/>
        <v>0</v>
      </c>
      <c r="BN11" s="1">
        <f t="shared" si="9"/>
        <v>5</v>
      </c>
      <c r="BO11" s="1">
        <f t="shared" si="9"/>
        <v>5</v>
      </c>
      <c r="BP11" s="1"/>
      <c r="BQ11" s="1"/>
      <c r="BR11" s="17"/>
      <c r="BS11" s="17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</row>
    <row r="12" spans="1:97" x14ac:dyDescent="0.15">
      <c r="A12" s="1"/>
      <c r="B12" s="3" t="s">
        <v>177</v>
      </c>
      <c r="C12" s="1"/>
      <c r="D12" s="1"/>
      <c r="E12" s="1">
        <f t="shared" ref="E12:AJ12" si="10">MAX(E3:E8)</f>
        <v>15</v>
      </c>
      <c r="F12" s="1">
        <f t="shared" si="10"/>
        <v>10</v>
      </c>
      <c r="G12" s="1">
        <f t="shared" si="10"/>
        <v>15</v>
      </c>
      <c r="H12" s="1">
        <f t="shared" si="10"/>
        <v>15</v>
      </c>
      <c r="I12" s="1">
        <f t="shared" si="10"/>
        <v>0</v>
      </c>
      <c r="J12" s="1">
        <f t="shared" si="10"/>
        <v>0</v>
      </c>
      <c r="K12" s="1">
        <f t="shared" si="10"/>
        <v>0</v>
      </c>
      <c r="L12" s="1">
        <f t="shared" si="10"/>
        <v>0</v>
      </c>
      <c r="M12" s="1">
        <f t="shared" si="10"/>
        <v>0</v>
      </c>
      <c r="N12" s="1">
        <f t="shared" si="10"/>
        <v>0</v>
      </c>
      <c r="O12" s="1">
        <f t="shared" si="10"/>
        <v>0</v>
      </c>
      <c r="P12" s="1">
        <f t="shared" si="10"/>
        <v>0</v>
      </c>
      <c r="Q12" s="1">
        <f t="shared" si="10"/>
        <v>0</v>
      </c>
      <c r="R12" s="1">
        <f t="shared" si="10"/>
        <v>0</v>
      </c>
      <c r="S12" s="1">
        <f t="shared" si="10"/>
        <v>0</v>
      </c>
      <c r="T12" s="1">
        <f t="shared" si="10"/>
        <v>0</v>
      </c>
      <c r="U12" s="1">
        <f t="shared" si="10"/>
        <v>0</v>
      </c>
      <c r="V12" s="1">
        <f t="shared" si="10"/>
        <v>0</v>
      </c>
      <c r="W12" s="1">
        <f t="shared" si="10"/>
        <v>0</v>
      </c>
      <c r="X12" s="1">
        <f t="shared" si="10"/>
        <v>0</v>
      </c>
      <c r="Y12" s="1">
        <f t="shared" si="10"/>
        <v>0</v>
      </c>
      <c r="Z12" s="1">
        <f t="shared" si="10"/>
        <v>0</v>
      </c>
      <c r="AA12" s="1">
        <f t="shared" si="10"/>
        <v>0</v>
      </c>
      <c r="AB12" s="1">
        <f t="shared" si="10"/>
        <v>0</v>
      </c>
      <c r="AC12" s="1">
        <f t="shared" si="10"/>
        <v>0</v>
      </c>
      <c r="AD12" s="1">
        <f t="shared" si="10"/>
        <v>0</v>
      </c>
      <c r="AE12" s="1">
        <f t="shared" si="10"/>
        <v>0</v>
      </c>
      <c r="AF12" s="1">
        <f t="shared" si="10"/>
        <v>0</v>
      </c>
      <c r="AG12" s="1">
        <f t="shared" si="10"/>
        <v>5</v>
      </c>
      <c r="AH12" s="1">
        <f t="shared" si="10"/>
        <v>0</v>
      </c>
      <c r="AI12" s="1">
        <f t="shared" si="10"/>
        <v>0</v>
      </c>
      <c r="AJ12" s="1">
        <f t="shared" si="10"/>
        <v>0</v>
      </c>
      <c r="AK12" s="1">
        <f t="shared" ref="AK12:BO12" si="11">MAX(AK3:AK8)</f>
        <v>0</v>
      </c>
      <c r="AL12" s="1">
        <f t="shared" si="11"/>
        <v>0</v>
      </c>
      <c r="AM12" s="1">
        <f t="shared" si="11"/>
        <v>0</v>
      </c>
      <c r="AN12" s="1">
        <f t="shared" si="11"/>
        <v>0</v>
      </c>
      <c r="AO12" s="1">
        <f t="shared" si="11"/>
        <v>0</v>
      </c>
      <c r="AP12" s="1">
        <f t="shared" si="11"/>
        <v>0</v>
      </c>
      <c r="AQ12" s="1">
        <f t="shared" si="11"/>
        <v>0</v>
      </c>
      <c r="AR12" s="1">
        <f t="shared" si="11"/>
        <v>15</v>
      </c>
      <c r="AS12" s="1">
        <f t="shared" si="11"/>
        <v>0</v>
      </c>
      <c r="AT12" s="1">
        <f t="shared" si="11"/>
        <v>20</v>
      </c>
      <c r="AU12" s="1">
        <f t="shared" si="11"/>
        <v>0</v>
      </c>
      <c r="AV12" s="1">
        <f t="shared" si="11"/>
        <v>0</v>
      </c>
      <c r="AW12" s="1">
        <f t="shared" si="11"/>
        <v>20</v>
      </c>
      <c r="AX12" s="1">
        <f t="shared" si="11"/>
        <v>20</v>
      </c>
      <c r="AY12" s="1">
        <f t="shared" si="11"/>
        <v>0</v>
      </c>
      <c r="AZ12" s="1">
        <f t="shared" si="11"/>
        <v>0</v>
      </c>
      <c r="BA12" s="1">
        <f t="shared" si="11"/>
        <v>15</v>
      </c>
      <c r="BB12" s="1">
        <f t="shared" si="11"/>
        <v>15</v>
      </c>
      <c r="BC12" s="1">
        <f t="shared" si="11"/>
        <v>0</v>
      </c>
      <c r="BD12" s="1">
        <f t="shared" si="11"/>
        <v>0</v>
      </c>
      <c r="BE12" s="1">
        <f t="shared" si="11"/>
        <v>0</v>
      </c>
      <c r="BF12" s="1">
        <f t="shared" si="11"/>
        <v>0</v>
      </c>
      <c r="BG12" s="1">
        <f t="shared" si="11"/>
        <v>0</v>
      </c>
      <c r="BH12" s="1">
        <f t="shared" si="11"/>
        <v>20</v>
      </c>
      <c r="BI12" s="1">
        <f t="shared" si="11"/>
        <v>0</v>
      </c>
      <c r="BJ12" s="1">
        <f t="shared" si="11"/>
        <v>0</v>
      </c>
      <c r="BK12" s="1">
        <f t="shared" si="11"/>
        <v>0</v>
      </c>
      <c r="BL12" s="1">
        <f t="shared" si="11"/>
        <v>0</v>
      </c>
      <c r="BM12" s="1">
        <f t="shared" si="11"/>
        <v>0</v>
      </c>
      <c r="BN12" s="1">
        <f t="shared" si="11"/>
        <v>0</v>
      </c>
      <c r="BO12" s="1">
        <f t="shared" si="11"/>
        <v>0</v>
      </c>
      <c r="BP12" s="1"/>
      <c r="BQ12" s="1"/>
      <c r="BR12" s="17"/>
      <c r="BS12" s="17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</row>
    <row r="13" spans="1:97" x14ac:dyDescent="0.15">
      <c r="A13" s="1"/>
      <c r="B13" s="3" t="s">
        <v>178</v>
      </c>
      <c r="C13" s="1"/>
      <c r="D13" s="1"/>
      <c r="E13" s="1">
        <f t="shared" ref="E13:AJ13" si="12">MIN(E3:E8)</f>
        <v>10</v>
      </c>
      <c r="F13" s="1">
        <f t="shared" si="12"/>
        <v>5</v>
      </c>
      <c r="G13" s="1">
        <f t="shared" si="12"/>
        <v>15</v>
      </c>
      <c r="H13" s="1">
        <f t="shared" si="12"/>
        <v>15</v>
      </c>
      <c r="I13" s="1">
        <f t="shared" si="12"/>
        <v>0</v>
      </c>
      <c r="J13" s="1">
        <f t="shared" si="12"/>
        <v>0</v>
      </c>
      <c r="K13" s="1">
        <f t="shared" si="12"/>
        <v>0</v>
      </c>
      <c r="L13" s="1">
        <f t="shared" si="12"/>
        <v>0</v>
      </c>
      <c r="M13" s="1">
        <f t="shared" si="12"/>
        <v>0</v>
      </c>
      <c r="N13" s="1">
        <f t="shared" si="12"/>
        <v>0</v>
      </c>
      <c r="O13" s="1">
        <f t="shared" si="12"/>
        <v>0</v>
      </c>
      <c r="P13" s="1">
        <f t="shared" si="12"/>
        <v>0</v>
      </c>
      <c r="Q13" s="1">
        <f t="shared" si="12"/>
        <v>0</v>
      </c>
      <c r="R13" s="1">
        <f t="shared" si="12"/>
        <v>0</v>
      </c>
      <c r="S13" s="1">
        <f t="shared" si="12"/>
        <v>0</v>
      </c>
      <c r="T13" s="1">
        <f t="shared" si="12"/>
        <v>0</v>
      </c>
      <c r="U13" s="1">
        <f t="shared" si="12"/>
        <v>0</v>
      </c>
      <c r="V13" s="1">
        <f t="shared" si="12"/>
        <v>0</v>
      </c>
      <c r="W13" s="1">
        <f t="shared" si="12"/>
        <v>0</v>
      </c>
      <c r="X13" s="1">
        <f t="shared" si="12"/>
        <v>0</v>
      </c>
      <c r="Y13" s="1">
        <f t="shared" si="12"/>
        <v>0</v>
      </c>
      <c r="Z13" s="1">
        <f t="shared" si="12"/>
        <v>0</v>
      </c>
      <c r="AA13" s="1">
        <f t="shared" si="12"/>
        <v>0</v>
      </c>
      <c r="AB13" s="1">
        <f t="shared" si="12"/>
        <v>0</v>
      </c>
      <c r="AC13" s="1">
        <f t="shared" si="12"/>
        <v>0</v>
      </c>
      <c r="AD13" s="1">
        <f t="shared" si="12"/>
        <v>0</v>
      </c>
      <c r="AE13" s="1">
        <f t="shared" si="12"/>
        <v>0</v>
      </c>
      <c r="AF13" s="1">
        <f t="shared" si="12"/>
        <v>0</v>
      </c>
      <c r="AG13" s="1">
        <f t="shared" si="12"/>
        <v>5</v>
      </c>
      <c r="AH13" s="1">
        <f t="shared" si="12"/>
        <v>0</v>
      </c>
      <c r="AI13" s="1">
        <f t="shared" si="12"/>
        <v>0</v>
      </c>
      <c r="AJ13" s="1">
        <f t="shared" si="12"/>
        <v>0</v>
      </c>
      <c r="AK13" s="1">
        <f t="shared" ref="AK13:BO13" si="13">MIN(AK3:AK8)</f>
        <v>0</v>
      </c>
      <c r="AL13" s="1">
        <f t="shared" si="13"/>
        <v>0</v>
      </c>
      <c r="AM13" s="1">
        <f t="shared" si="13"/>
        <v>0</v>
      </c>
      <c r="AN13" s="1">
        <f t="shared" si="13"/>
        <v>0</v>
      </c>
      <c r="AO13" s="1">
        <f t="shared" si="13"/>
        <v>0</v>
      </c>
      <c r="AP13" s="1">
        <f t="shared" si="13"/>
        <v>0</v>
      </c>
      <c r="AQ13" s="1">
        <f t="shared" si="13"/>
        <v>0</v>
      </c>
      <c r="AR13" s="1">
        <f t="shared" si="13"/>
        <v>10</v>
      </c>
      <c r="AS13" s="1">
        <f t="shared" si="13"/>
        <v>0</v>
      </c>
      <c r="AT13" s="1">
        <f t="shared" si="13"/>
        <v>20</v>
      </c>
      <c r="AU13" s="1">
        <f t="shared" si="13"/>
        <v>0</v>
      </c>
      <c r="AV13" s="1">
        <f t="shared" si="13"/>
        <v>0</v>
      </c>
      <c r="AW13" s="1">
        <f t="shared" si="13"/>
        <v>15</v>
      </c>
      <c r="AX13" s="1">
        <f t="shared" si="13"/>
        <v>15</v>
      </c>
      <c r="AY13" s="1">
        <f t="shared" si="13"/>
        <v>0</v>
      </c>
      <c r="AZ13" s="1">
        <f t="shared" si="13"/>
        <v>0</v>
      </c>
      <c r="BA13" s="1">
        <f t="shared" si="13"/>
        <v>15</v>
      </c>
      <c r="BB13" s="1">
        <f t="shared" si="13"/>
        <v>10</v>
      </c>
      <c r="BC13" s="1">
        <f t="shared" si="13"/>
        <v>0</v>
      </c>
      <c r="BD13" s="1">
        <f t="shared" si="13"/>
        <v>0</v>
      </c>
      <c r="BE13" s="1">
        <f t="shared" si="13"/>
        <v>0</v>
      </c>
      <c r="BF13" s="1">
        <f t="shared" si="13"/>
        <v>0</v>
      </c>
      <c r="BG13" s="1">
        <f t="shared" si="13"/>
        <v>0</v>
      </c>
      <c r="BH13" s="1">
        <f t="shared" si="13"/>
        <v>20</v>
      </c>
      <c r="BI13" s="1">
        <f t="shared" si="13"/>
        <v>0</v>
      </c>
      <c r="BJ13" s="1">
        <f t="shared" si="13"/>
        <v>0</v>
      </c>
      <c r="BK13" s="1">
        <f t="shared" si="13"/>
        <v>0</v>
      </c>
      <c r="BL13" s="1">
        <f t="shared" si="13"/>
        <v>0</v>
      </c>
      <c r="BM13" s="1">
        <f t="shared" si="13"/>
        <v>0</v>
      </c>
      <c r="BN13" s="1">
        <f t="shared" si="13"/>
        <v>0</v>
      </c>
      <c r="BO13" s="1">
        <f t="shared" si="13"/>
        <v>0</v>
      </c>
      <c r="BP13" s="1"/>
      <c r="BQ13" s="1"/>
      <c r="BR13" s="17"/>
      <c r="BS13" s="17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</row>
    <row r="14" spans="1:97" x14ac:dyDescent="0.15">
      <c r="A14" s="1"/>
      <c r="B14" s="3" t="s">
        <v>179</v>
      </c>
      <c r="C14" s="1"/>
      <c r="D14" s="1"/>
      <c r="E14" s="1">
        <f t="shared" ref="E14:AJ14" si="14">E10-E12</f>
        <v>30</v>
      </c>
      <c r="F14" s="1">
        <f t="shared" si="14"/>
        <v>10</v>
      </c>
      <c r="G14" s="1">
        <f t="shared" si="14"/>
        <v>19</v>
      </c>
      <c r="H14" s="1">
        <f t="shared" si="14"/>
        <v>-5</v>
      </c>
      <c r="I14" s="1">
        <f t="shared" si="14"/>
        <v>38</v>
      </c>
      <c r="J14" s="1">
        <f t="shared" si="14"/>
        <v>52</v>
      </c>
      <c r="K14" s="1">
        <f t="shared" si="14"/>
        <v>25</v>
      </c>
      <c r="L14" s="1">
        <f t="shared" si="14"/>
        <v>78</v>
      </c>
      <c r="M14" s="1">
        <f t="shared" si="14"/>
        <v>37</v>
      </c>
      <c r="N14" s="1">
        <f t="shared" si="14"/>
        <v>43</v>
      </c>
      <c r="O14" s="1">
        <f t="shared" si="14"/>
        <v>17</v>
      </c>
      <c r="P14" s="1">
        <f t="shared" si="14"/>
        <v>2</v>
      </c>
      <c r="Q14" s="1">
        <f t="shared" si="14"/>
        <v>1</v>
      </c>
      <c r="R14" s="1">
        <f t="shared" si="14"/>
        <v>2</v>
      </c>
      <c r="S14" s="1">
        <f t="shared" si="14"/>
        <v>1</v>
      </c>
      <c r="T14" s="1">
        <f t="shared" si="14"/>
        <v>5</v>
      </c>
      <c r="U14" s="1">
        <f t="shared" si="14"/>
        <v>0</v>
      </c>
      <c r="V14" s="1">
        <f t="shared" si="14"/>
        <v>2</v>
      </c>
      <c r="W14" s="1">
        <f t="shared" si="14"/>
        <v>2</v>
      </c>
      <c r="X14" s="1">
        <f t="shared" si="14"/>
        <v>6</v>
      </c>
      <c r="Y14" s="1">
        <f t="shared" si="14"/>
        <v>0</v>
      </c>
      <c r="Z14" s="1">
        <f t="shared" si="14"/>
        <v>1</v>
      </c>
      <c r="AA14" s="1">
        <f t="shared" si="14"/>
        <v>1</v>
      </c>
      <c r="AB14" s="1">
        <f t="shared" si="14"/>
        <v>8</v>
      </c>
      <c r="AC14" s="1">
        <f t="shared" si="14"/>
        <v>2</v>
      </c>
      <c r="AD14" s="1">
        <f t="shared" si="14"/>
        <v>4</v>
      </c>
      <c r="AE14" s="1">
        <f t="shared" si="14"/>
        <v>1</v>
      </c>
      <c r="AF14" s="1">
        <f t="shared" si="14"/>
        <v>0</v>
      </c>
      <c r="AG14" s="1">
        <f t="shared" si="14"/>
        <v>-5</v>
      </c>
      <c r="AH14" s="1">
        <f t="shared" si="14"/>
        <v>0</v>
      </c>
      <c r="AI14" s="1">
        <f t="shared" si="14"/>
        <v>0</v>
      </c>
      <c r="AJ14" s="1">
        <f t="shared" si="14"/>
        <v>0</v>
      </c>
      <c r="AK14" s="1">
        <f t="shared" ref="AK14:BO14" si="15">AK10-AK12</f>
        <v>33</v>
      </c>
      <c r="AL14" s="1">
        <f t="shared" si="15"/>
        <v>43</v>
      </c>
      <c r="AM14" s="1">
        <f t="shared" si="15"/>
        <v>3</v>
      </c>
      <c r="AN14" s="1">
        <f t="shared" si="15"/>
        <v>0</v>
      </c>
      <c r="AO14" s="1">
        <f t="shared" si="15"/>
        <v>0</v>
      </c>
      <c r="AP14" s="1">
        <f t="shared" si="15"/>
        <v>0</v>
      </c>
      <c r="AQ14" s="1">
        <f t="shared" si="15"/>
        <v>11</v>
      </c>
      <c r="AR14" s="1">
        <f t="shared" si="15"/>
        <v>-13</v>
      </c>
      <c r="AS14" s="1">
        <f t="shared" si="15"/>
        <v>2</v>
      </c>
      <c r="AT14" s="1">
        <f t="shared" si="15"/>
        <v>1</v>
      </c>
      <c r="AU14" s="1">
        <f t="shared" si="15"/>
        <v>17</v>
      </c>
      <c r="AV14" s="1">
        <f t="shared" si="15"/>
        <v>10</v>
      </c>
      <c r="AW14" s="1">
        <f t="shared" si="15"/>
        <v>-6</v>
      </c>
      <c r="AX14" s="1">
        <f t="shared" si="15"/>
        <v>15</v>
      </c>
      <c r="AY14" s="1">
        <f t="shared" si="15"/>
        <v>20</v>
      </c>
      <c r="AZ14" s="1">
        <f t="shared" si="15"/>
        <v>4</v>
      </c>
      <c r="BA14" s="1">
        <f t="shared" si="15"/>
        <v>-15</v>
      </c>
      <c r="BB14" s="1">
        <f t="shared" si="15"/>
        <v>54</v>
      </c>
      <c r="BC14" s="1">
        <f t="shared" si="15"/>
        <v>10</v>
      </c>
      <c r="BD14" s="1">
        <f t="shared" si="15"/>
        <v>162</v>
      </c>
      <c r="BE14" s="1">
        <f t="shared" si="15"/>
        <v>244</v>
      </c>
      <c r="BF14" s="1">
        <f t="shared" si="15"/>
        <v>233</v>
      </c>
      <c r="BG14" s="1">
        <f t="shared" si="15"/>
        <v>242</v>
      </c>
      <c r="BH14" s="1">
        <f t="shared" si="15"/>
        <v>121</v>
      </c>
      <c r="BI14" s="1">
        <f t="shared" si="15"/>
        <v>154</v>
      </c>
      <c r="BJ14" s="1">
        <f t="shared" si="15"/>
        <v>41</v>
      </c>
      <c r="BK14" s="1">
        <f t="shared" si="15"/>
        <v>49</v>
      </c>
      <c r="BL14" s="1">
        <f t="shared" si="15"/>
        <v>81</v>
      </c>
      <c r="BM14" s="1">
        <f t="shared" si="15"/>
        <v>0</v>
      </c>
      <c r="BN14" s="1">
        <f t="shared" si="15"/>
        <v>5</v>
      </c>
      <c r="BO14" s="1">
        <f t="shared" si="15"/>
        <v>5</v>
      </c>
      <c r="BP14" s="1"/>
      <c r="BQ14" s="1"/>
      <c r="BR14" s="17"/>
      <c r="BS14" s="17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</row>
    <row r="15" spans="1:97" s="13" customFormat="1" x14ac:dyDescent="0.15">
      <c r="A15" s="1"/>
      <c r="B15" s="3" t="s">
        <v>180</v>
      </c>
      <c r="C15" s="1"/>
      <c r="D15" s="1"/>
      <c r="E15" s="1">
        <f t="shared" ref="E15:AJ15" si="16">E10-E13</f>
        <v>35</v>
      </c>
      <c r="F15" s="1">
        <f t="shared" si="16"/>
        <v>15</v>
      </c>
      <c r="G15" s="1">
        <f t="shared" si="16"/>
        <v>19</v>
      </c>
      <c r="H15" s="1">
        <f t="shared" si="16"/>
        <v>-5</v>
      </c>
      <c r="I15" s="1">
        <f t="shared" si="16"/>
        <v>38</v>
      </c>
      <c r="J15" s="1">
        <f t="shared" si="16"/>
        <v>52</v>
      </c>
      <c r="K15" s="1">
        <f t="shared" si="16"/>
        <v>25</v>
      </c>
      <c r="L15" s="1">
        <f t="shared" si="16"/>
        <v>78</v>
      </c>
      <c r="M15" s="1">
        <f t="shared" si="16"/>
        <v>37</v>
      </c>
      <c r="N15" s="1">
        <f t="shared" si="16"/>
        <v>43</v>
      </c>
      <c r="O15" s="1">
        <f t="shared" si="16"/>
        <v>17</v>
      </c>
      <c r="P15" s="1">
        <f t="shared" si="16"/>
        <v>2</v>
      </c>
      <c r="Q15" s="1">
        <f t="shared" si="16"/>
        <v>1</v>
      </c>
      <c r="R15" s="1">
        <f t="shared" si="16"/>
        <v>2</v>
      </c>
      <c r="S15" s="1">
        <f t="shared" si="16"/>
        <v>1</v>
      </c>
      <c r="T15" s="1">
        <f t="shared" si="16"/>
        <v>5</v>
      </c>
      <c r="U15" s="1">
        <f t="shared" si="16"/>
        <v>0</v>
      </c>
      <c r="V15" s="1">
        <f t="shared" si="16"/>
        <v>2</v>
      </c>
      <c r="W15" s="1">
        <f t="shared" si="16"/>
        <v>2</v>
      </c>
      <c r="X15" s="1">
        <f t="shared" si="16"/>
        <v>6</v>
      </c>
      <c r="Y15" s="1">
        <f t="shared" si="16"/>
        <v>0</v>
      </c>
      <c r="Z15" s="1">
        <f t="shared" si="16"/>
        <v>1</v>
      </c>
      <c r="AA15" s="1">
        <f t="shared" si="16"/>
        <v>1</v>
      </c>
      <c r="AB15" s="1">
        <f t="shared" si="16"/>
        <v>8</v>
      </c>
      <c r="AC15" s="1">
        <f t="shared" si="16"/>
        <v>2</v>
      </c>
      <c r="AD15" s="1">
        <f t="shared" si="16"/>
        <v>4</v>
      </c>
      <c r="AE15" s="1">
        <f t="shared" si="16"/>
        <v>1</v>
      </c>
      <c r="AF15" s="1">
        <f t="shared" si="16"/>
        <v>0</v>
      </c>
      <c r="AG15" s="1">
        <f t="shared" si="16"/>
        <v>-5</v>
      </c>
      <c r="AH15" s="1">
        <f t="shared" si="16"/>
        <v>0</v>
      </c>
      <c r="AI15" s="1">
        <f t="shared" si="16"/>
        <v>0</v>
      </c>
      <c r="AJ15" s="1">
        <f t="shared" si="16"/>
        <v>0</v>
      </c>
      <c r="AK15" s="1">
        <f t="shared" ref="AK15:BO15" si="17">AK10-AK13</f>
        <v>33</v>
      </c>
      <c r="AL15" s="1">
        <f t="shared" si="17"/>
        <v>43</v>
      </c>
      <c r="AM15" s="1">
        <f t="shared" si="17"/>
        <v>3</v>
      </c>
      <c r="AN15" s="1">
        <f t="shared" si="17"/>
        <v>0</v>
      </c>
      <c r="AO15" s="1">
        <f t="shared" si="17"/>
        <v>0</v>
      </c>
      <c r="AP15" s="1">
        <f t="shared" si="17"/>
        <v>0</v>
      </c>
      <c r="AQ15" s="1">
        <f t="shared" si="17"/>
        <v>11</v>
      </c>
      <c r="AR15" s="1">
        <f t="shared" si="17"/>
        <v>-8</v>
      </c>
      <c r="AS15" s="1">
        <f t="shared" si="17"/>
        <v>2</v>
      </c>
      <c r="AT15" s="1">
        <f t="shared" si="17"/>
        <v>1</v>
      </c>
      <c r="AU15" s="1">
        <f t="shared" si="17"/>
        <v>17</v>
      </c>
      <c r="AV15" s="1">
        <f t="shared" si="17"/>
        <v>10</v>
      </c>
      <c r="AW15" s="1">
        <f t="shared" si="17"/>
        <v>-1</v>
      </c>
      <c r="AX15" s="1">
        <f t="shared" si="17"/>
        <v>20</v>
      </c>
      <c r="AY15" s="1">
        <f t="shared" si="17"/>
        <v>20</v>
      </c>
      <c r="AZ15" s="1">
        <f t="shared" si="17"/>
        <v>4</v>
      </c>
      <c r="BA15" s="1">
        <f t="shared" si="17"/>
        <v>-15</v>
      </c>
      <c r="BB15" s="1">
        <f t="shared" si="17"/>
        <v>59</v>
      </c>
      <c r="BC15" s="1">
        <f t="shared" si="17"/>
        <v>10</v>
      </c>
      <c r="BD15" s="1">
        <f t="shared" si="17"/>
        <v>162</v>
      </c>
      <c r="BE15" s="1">
        <f t="shared" si="17"/>
        <v>244</v>
      </c>
      <c r="BF15" s="1">
        <f t="shared" si="17"/>
        <v>233</v>
      </c>
      <c r="BG15" s="1">
        <f t="shared" si="17"/>
        <v>242</v>
      </c>
      <c r="BH15" s="1">
        <f t="shared" si="17"/>
        <v>121</v>
      </c>
      <c r="BI15" s="1">
        <f t="shared" si="17"/>
        <v>154</v>
      </c>
      <c r="BJ15" s="1">
        <f t="shared" si="17"/>
        <v>41</v>
      </c>
      <c r="BK15" s="1">
        <f t="shared" si="17"/>
        <v>49</v>
      </c>
      <c r="BL15" s="1">
        <f t="shared" si="17"/>
        <v>81</v>
      </c>
      <c r="BM15" s="1">
        <f t="shared" si="17"/>
        <v>0</v>
      </c>
      <c r="BN15" s="1">
        <f t="shared" si="17"/>
        <v>5</v>
      </c>
      <c r="BO15" s="1">
        <f t="shared" si="17"/>
        <v>5</v>
      </c>
      <c r="BP15" s="1"/>
      <c r="BQ15" s="1"/>
      <c r="BR15" s="17"/>
      <c r="BS15" s="17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</row>
  </sheetData>
  <autoFilter ref="A1:BP8"/>
  <phoneticPr fontId="1" type="noConversion"/>
  <conditionalFormatting sqref="E12">
    <cfRule type="expression" dxfId="2" priority="3">
      <formula>"&lt;=$E$135"</formula>
    </cfRule>
  </conditionalFormatting>
  <conditionalFormatting sqref="E14:BO15">
    <cfRule type="cellIs" dxfId="1" priority="1" operator="lessThan">
      <formula>0</formula>
    </cfRule>
  </conditionalFormatting>
  <conditionalFormatting sqref="E11:BO11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15</xdr:row>
                    <xdr:rowOff>28575</xdr:rowOff>
                  </from>
                  <to>
                    <xdr:col>1</xdr:col>
                    <xdr:colOff>428625</xdr:colOff>
                    <xdr:row>16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79</v>
      </c>
      <c r="B1" s="5" t="s">
        <v>76</v>
      </c>
      <c r="C1" s="5" t="s">
        <v>80</v>
      </c>
    </row>
    <row r="2" spans="1:3" x14ac:dyDescent="0.15">
      <c r="A2" s="1">
        <v>10</v>
      </c>
      <c r="B2" s="2" t="s">
        <v>13</v>
      </c>
      <c r="C2" s="1">
        <v>190</v>
      </c>
    </row>
    <row r="3" spans="1:3" x14ac:dyDescent="0.15">
      <c r="A3" s="1">
        <v>12</v>
      </c>
      <c r="B3" s="2" t="s">
        <v>50</v>
      </c>
      <c r="C3" s="1">
        <v>120</v>
      </c>
    </row>
    <row r="4" spans="1:3" x14ac:dyDescent="0.15">
      <c r="A4" s="1">
        <v>4</v>
      </c>
      <c r="B4" s="4" t="s">
        <v>51</v>
      </c>
      <c r="C4" s="1">
        <v>85</v>
      </c>
    </row>
    <row r="5" spans="1:3" x14ac:dyDescent="0.15">
      <c r="A5" s="1">
        <v>3</v>
      </c>
      <c r="B5" s="4" t="s">
        <v>42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8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30</v>
      </c>
      <c r="C10" s="1">
        <v>45</v>
      </c>
    </row>
    <row r="11" spans="1:3" x14ac:dyDescent="0.15">
      <c r="A11" s="1">
        <v>5</v>
      </c>
      <c r="B11" s="4" t="s">
        <v>57</v>
      </c>
      <c r="C11" s="1">
        <v>45</v>
      </c>
    </row>
    <row r="12" spans="1:3" x14ac:dyDescent="0.15">
      <c r="A12" s="1">
        <v>11</v>
      </c>
      <c r="B12" s="2" t="s">
        <v>43</v>
      </c>
      <c r="C12" s="1">
        <v>10</v>
      </c>
    </row>
    <row r="13" spans="1:3" x14ac:dyDescent="0.15">
      <c r="A13" s="1">
        <v>6</v>
      </c>
      <c r="B13" s="4" t="s">
        <v>61</v>
      </c>
      <c r="C13" s="1">
        <v>8</v>
      </c>
    </row>
    <row r="19" spans="3:18" x14ac:dyDescent="0.15">
      <c r="G19" s="10" t="s">
        <v>42</v>
      </c>
      <c r="H19" s="10" t="s">
        <v>5</v>
      </c>
      <c r="I19" s="10" t="s">
        <v>30</v>
      </c>
      <c r="J19" s="10" t="s">
        <v>57</v>
      </c>
      <c r="K19" s="10" t="s">
        <v>61</v>
      </c>
      <c r="L19" s="10" t="s">
        <v>51</v>
      </c>
      <c r="M19" s="11" t="s">
        <v>6</v>
      </c>
      <c r="N19" s="11" t="s">
        <v>7</v>
      </c>
      <c r="O19" s="11" t="s">
        <v>43</v>
      </c>
      <c r="P19" s="11" t="s">
        <v>8</v>
      </c>
      <c r="Q19" s="11" t="s">
        <v>50</v>
      </c>
      <c r="R19" s="11" t="s">
        <v>13</v>
      </c>
    </row>
    <row r="20" spans="3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 x14ac:dyDescent="0.15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 x14ac:dyDescent="0.15">
      <c r="C27" t="s">
        <v>181</v>
      </c>
      <c r="D27" t="s">
        <v>182</v>
      </c>
      <c r="E27" t="s">
        <v>183</v>
      </c>
      <c r="F27" t="s">
        <v>184</v>
      </c>
      <c r="G27" t="s">
        <v>185</v>
      </c>
      <c r="H27" t="s">
        <v>186</v>
      </c>
      <c r="I27" t="s">
        <v>187</v>
      </c>
      <c r="J27" t="s">
        <v>188</v>
      </c>
      <c r="K27" t="s">
        <v>189</v>
      </c>
      <c r="L27" t="s">
        <v>190</v>
      </c>
      <c r="M27" t="s">
        <v>191</v>
      </c>
      <c r="N27" t="s">
        <v>192</v>
      </c>
    </row>
    <row r="31" spans="3:18" x14ac:dyDescent="0.15">
      <c r="C31">
        <v>-3</v>
      </c>
      <c r="D31" t="s">
        <v>181</v>
      </c>
    </row>
    <row r="32" spans="3:18" x14ac:dyDescent="0.15">
      <c r="C32">
        <v>-8</v>
      </c>
      <c r="D32" t="s">
        <v>182</v>
      </c>
    </row>
    <row r="33" spans="3:4" x14ac:dyDescent="0.15">
      <c r="C33">
        <v>-3</v>
      </c>
      <c r="D33" t="s">
        <v>183</v>
      </c>
    </row>
    <row r="34" spans="3:4" x14ac:dyDescent="0.15">
      <c r="C34">
        <v>1</v>
      </c>
      <c r="D34" t="s">
        <v>184</v>
      </c>
    </row>
    <row r="35" spans="3:4" x14ac:dyDescent="0.15">
      <c r="C35">
        <v>3</v>
      </c>
      <c r="D35" t="s">
        <v>185</v>
      </c>
    </row>
    <row r="36" spans="3:4" x14ac:dyDescent="0.15">
      <c r="C36">
        <v>0</v>
      </c>
      <c r="D36" t="s">
        <v>186</v>
      </c>
    </row>
    <row r="37" spans="3:4" x14ac:dyDescent="0.15">
      <c r="C37">
        <v>-3</v>
      </c>
      <c r="D37" t="s">
        <v>187</v>
      </c>
    </row>
    <row r="38" spans="3:4" x14ac:dyDescent="0.15">
      <c r="C38">
        <v>30</v>
      </c>
      <c r="D38" t="s">
        <v>188</v>
      </c>
    </row>
    <row r="39" spans="3:4" x14ac:dyDescent="0.15">
      <c r="C39">
        <v>5</v>
      </c>
      <c r="D39" t="s">
        <v>189</v>
      </c>
    </row>
    <row r="40" spans="3:4" x14ac:dyDescent="0.15">
      <c r="C40">
        <v>-10</v>
      </c>
      <c r="D40" t="s">
        <v>190</v>
      </c>
    </row>
    <row r="41" spans="3:4" x14ac:dyDescent="0.15">
      <c r="C41">
        <v>3</v>
      </c>
      <c r="D41" t="s">
        <v>191</v>
      </c>
    </row>
    <row r="42" spans="3:4" x14ac:dyDescent="0.15">
      <c r="C42">
        <v>138</v>
      </c>
      <c r="D42" t="s">
        <v>192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86</v>
      </c>
      <c r="B1" s="8" t="s">
        <v>87</v>
      </c>
      <c r="C1" s="8" t="s">
        <v>88</v>
      </c>
    </row>
    <row r="2" spans="1:3" x14ac:dyDescent="0.15">
      <c r="A2" s="1">
        <v>5</v>
      </c>
      <c r="B2" s="10" t="s">
        <v>61</v>
      </c>
      <c r="C2" s="1">
        <v>0</v>
      </c>
    </row>
    <row r="3" spans="1:3" x14ac:dyDescent="0.15">
      <c r="A3" s="1">
        <v>9</v>
      </c>
      <c r="B3" s="11" t="s">
        <v>43</v>
      </c>
      <c r="C3" s="1">
        <v>0</v>
      </c>
    </row>
    <row r="4" spans="1:3" x14ac:dyDescent="0.15">
      <c r="A4" s="1">
        <v>10</v>
      </c>
      <c r="B4" s="11" t="s">
        <v>8</v>
      </c>
      <c r="C4" s="1">
        <v>0</v>
      </c>
    </row>
    <row r="5" spans="1:3" x14ac:dyDescent="0.15">
      <c r="A5" s="1">
        <v>4</v>
      </c>
      <c r="B5" s="10" t="s">
        <v>57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13</v>
      </c>
      <c r="C7" s="1">
        <v>3</v>
      </c>
    </row>
    <row r="8" spans="1:3" x14ac:dyDescent="0.15">
      <c r="A8" s="1">
        <v>1</v>
      </c>
      <c r="B8" s="10" t="s">
        <v>42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30</v>
      </c>
      <c r="C11" s="1">
        <v>5</v>
      </c>
    </row>
    <row r="12" spans="1:3" x14ac:dyDescent="0.15">
      <c r="A12" s="1">
        <v>11</v>
      </c>
      <c r="B12" s="11" t="s">
        <v>50</v>
      </c>
      <c r="C12" s="1">
        <v>5</v>
      </c>
    </row>
    <row r="13" spans="1:3" x14ac:dyDescent="0.15">
      <c r="A13" s="1">
        <v>6</v>
      </c>
      <c r="B13" s="10" t="s">
        <v>51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42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30</v>
      </c>
      <c r="C4">
        <v>0</v>
      </c>
    </row>
    <row r="5" spans="2:3" x14ac:dyDescent="0.15">
      <c r="B5" s="10" t="s">
        <v>61</v>
      </c>
      <c r="C5">
        <v>0</v>
      </c>
    </row>
    <row r="6" spans="2:3" x14ac:dyDescent="0.15">
      <c r="B6" s="11" t="s">
        <v>43</v>
      </c>
      <c r="C6">
        <v>0</v>
      </c>
    </row>
    <row r="7" spans="2:3" x14ac:dyDescent="0.15">
      <c r="B7" s="11" t="s">
        <v>8</v>
      </c>
      <c r="C7">
        <v>0</v>
      </c>
    </row>
    <row r="8" spans="2:3" x14ac:dyDescent="0.15">
      <c r="B8" s="11" t="s">
        <v>50</v>
      </c>
      <c r="C8">
        <v>0</v>
      </c>
    </row>
    <row r="9" spans="2:3" x14ac:dyDescent="0.15">
      <c r="B9" s="10" t="s">
        <v>57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13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51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2020-04-05T11:49:39Z</dcterms:modified>
</cp:coreProperties>
</file>