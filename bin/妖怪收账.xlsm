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Sheet1!$A$1:$BU$143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42" i="1" l="1"/>
  <c r="BU5" i="1"/>
  <c r="BU121" i="1"/>
  <c r="BU122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6" i="1"/>
  <c r="BU24" i="1"/>
  <c r="BU25" i="1"/>
  <c r="BU26" i="1"/>
  <c r="BU96" i="1"/>
  <c r="BU49" i="1"/>
  <c r="BU29" i="1"/>
  <c r="BU30" i="1"/>
  <c r="BU31" i="1"/>
  <c r="BU32" i="1"/>
  <c r="BU33" i="1"/>
  <c r="BU34" i="1"/>
  <c r="BU35" i="1"/>
  <c r="BU36" i="1"/>
  <c r="BU37" i="1"/>
  <c r="BU38" i="1"/>
  <c r="BU39" i="1"/>
  <c r="BU27" i="1"/>
  <c r="BU28" i="1"/>
  <c r="BU126" i="1"/>
  <c r="BU40" i="1"/>
  <c r="BU43" i="1"/>
  <c r="BU44" i="1"/>
  <c r="BU45" i="1"/>
  <c r="BU46" i="1"/>
  <c r="BU47" i="1"/>
  <c r="BU115" i="1"/>
  <c r="BU123" i="1"/>
  <c r="BU41" i="1"/>
  <c r="BU50" i="1"/>
  <c r="BU99" i="1"/>
  <c r="BU97" i="1"/>
  <c r="BU94" i="1"/>
  <c r="BU102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111" i="1"/>
  <c r="BU112" i="1"/>
  <c r="BU113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116" i="1"/>
  <c r="BU117" i="1"/>
  <c r="BU78" i="1"/>
  <c r="BU48" i="1"/>
  <c r="BU7" i="1"/>
  <c r="BU84" i="1"/>
  <c r="BU85" i="1"/>
  <c r="BU86" i="1"/>
  <c r="BU87" i="1"/>
  <c r="BU88" i="1"/>
  <c r="BU89" i="1"/>
  <c r="BU90" i="1"/>
  <c r="BU95" i="1"/>
  <c r="BU125" i="1"/>
  <c r="BU98" i="1"/>
  <c r="BU127" i="1"/>
  <c r="BU101" i="1"/>
  <c r="BU100" i="1"/>
  <c r="BU135" i="1"/>
  <c r="BU103" i="1"/>
  <c r="BU104" i="1"/>
  <c r="BU105" i="1"/>
  <c r="BU106" i="1"/>
  <c r="BU107" i="1"/>
  <c r="BU108" i="1"/>
  <c r="BU109" i="1"/>
  <c r="BU110" i="1"/>
  <c r="BU79" i="1"/>
  <c r="BU80" i="1"/>
  <c r="BU81" i="1"/>
  <c r="BU82" i="1"/>
  <c r="BU83" i="1"/>
  <c r="BU114" i="1"/>
  <c r="BU118" i="1"/>
  <c r="BU119" i="1"/>
  <c r="BU120" i="1"/>
  <c r="BU91" i="1"/>
  <c r="BU92" i="1"/>
  <c r="BU93" i="1"/>
  <c r="BU133" i="1"/>
  <c r="BU134" i="1"/>
  <c r="BU124" i="1"/>
  <c r="BU128" i="1"/>
  <c r="BU129" i="1"/>
  <c r="BU130" i="1"/>
  <c r="BU131" i="1"/>
  <c r="BU132" i="1"/>
  <c r="BU2" i="1"/>
  <c r="BU3" i="1"/>
  <c r="BU4" i="1"/>
  <c r="BT3" i="1" l="1"/>
  <c r="BT4" i="1"/>
  <c r="BT42" i="1"/>
  <c r="BT5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5" i="1"/>
  <c r="BT24" i="1"/>
  <c r="BT26" i="1"/>
  <c r="BT29" i="1"/>
  <c r="BT30" i="1"/>
  <c r="BT31" i="1"/>
  <c r="BT32" i="1"/>
  <c r="BT33" i="1"/>
  <c r="BT34" i="1"/>
  <c r="BT35" i="1"/>
  <c r="BT36" i="1"/>
  <c r="BT37" i="1"/>
  <c r="BT38" i="1"/>
  <c r="BT39" i="1"/>
  <c r="BT27" i="1"/>
  <c r="BT28" i="1"/>
  <c r="BT121" i="1"/>
  <c r="BT122" i="1"/>
  <c r="BT40" i="1"/>
  <c r="BT43" i="1"/>
  <c r="BT44" i="1"/>
  <c r="BT45" i="1"/>
  <c r="BT46" i="1"/>
  <c r="BT47" i="1"/>
  <c r="BT6" i="1"/>
  <c r="BT96" i="1"/>
  <c r="BT49" i="1"/>
  <c r="BT126" i="1"/>
  <c r="BT94" i="1"/>
  <c r="BT99" i="1"/>
  <c r="BT97" i="1"/>
  <c r="BT50" i="1"/>
  <c r="BT51" i="1"/>
  <c r="BT102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111" i="1"/>
  <c r="BT112" i="1"/>
  <c r="BT113" i="1"/>
  <c r="BT66" i="1"/>
  <c r="BT67" i="1"/>
  <c r="BT68" i="1"/>
  <c r="BT69" i="1"/>
  <c r="BT70" i="1"/>
  <c r="BT71" i="1"/>
  <c r="BT72" i="1"/>
  <c r="BT73" i="1"/>
  <c r="BT74" i="1"/>
  <c r="BT115" i="1"/>
  <c r="BT75" i="1"/>
  <c r="BT76" i="1"/>
  <c r="BT77" i="1"/>
  <c r="BT78" i="1"/>
  <c r="BT116" i="1"/>
  <c r="BT117" i="1"/>
  <c r="BT123" i="1"/>
  <c r="BT84" i="1"/>
  <c r="BT85" i="1"/>
  <c r="BT48" i="1"/>
  <c r="BT86" i="1"/>
  <c r="BT87" i="1"/>
  <c r="BT88" i="1"/>
  <c r="BT89" i="1"/>
  <c r="BT41" i="1"/>
  <c r="BT90" i="1"/>
  <c r="BT95" i="1"/>
  <c r="BT7" i="1"/>
  <c r="BT125" i="1"/>
  <c r="BT127" i="1"/>
  <c r="BT101" i="1"/>
  <c r="BT100" i="1"/>
  <c r="BT135" i="1"/>
  <c r="BT103" i="1"/>
  <c r="BT104" i="1"/>
  <c r="BT105" i="1"/>
  <c r="BT106" i="1"/>
  <c r="BT107" i="1"/>
  <c r="BT108" i="1"/>
  <c r="BT109" i="1"/>
  <c r="BT110" i="1"/>
  <c r="BT114" i="1"/>
  <c r="BT79" i="1"/>
  <c r="BT118" i="1"/>
  <c r="BT80" i="1"/>
  <c r="BT81" i="1"/>
  <c r="BT82" i="1"/>
  <c r="BT83" i="1"/>
  <c r="BT119" i="1"/>
  <c r="BT120" i="1"/>
  <c r="BT98" i="1"/>
  <c r="BT91" i="1"/>
  <c r="BT92" i="1"/>
  <c r="BT93" i="1"/>
  <c r="BT124" i="1"/>
  <c r="BT128" i="1"/>
  <c r="BT129" i="1"/>
  <c r="BT130" i="1"/>
  <c r="BT131" i="1"/>
  <c r="BT132" i="1"/>
  <c r="BT133" i="1"/>
  <c r="BT134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4" i="1" l="1"/>
  <c r="BP108" i="1"/>
  <c r="BP114" i="1"/>
  <c r="BP89" i="1"/>
  <c r="BP91" i="1"/>
  <c r="BP92" i="1"/>
  <c r="BP93" i="1"/>
  <c r="BP90" i="1"/>
  <c r="BP95" i="1"/>
  <c r="BP98" i="1"/>
  <c r="BP117" i="1"/>
  <c r="BP80" i="1"/>
  <c r="BP81" i="1"/>
  <c r="BP82" i="1"/>
  <c r="BP83" i="1"/>
  <c r="BP107" i="1"/>
  <c r="BP111" i="1"/>
  <c r="BP112" i="1"/>
  <c r="BP97" i="1"/>
  <c r="BP125" i="1"/>
  <c r="BP113" i="1"/>
  <c r="BP25" i="1"/>
  <c r="BP73" i="1"/>
  <c r="BP61" i="1"/>
  <c r="BP62" i="1"/>
  <c r="BP63" i="1"/>
  <c r="BP64" i="1"/>
  <c r="BP74" i="1"/>
  <c r="BP24" i="1"/>
  <c r="BP65" i="1"/>
  <c r="BP69" i="1"/>
  <c r="BP18" i="1"/>
  <c r="BP19" i="1"/>
  <c r="BP20" i="1"/>
  <c r="BP21" i="1"/>
  <c r="BP109" i="1"/>
  <c r="BP22" i="1"/>
  <c r="BP70" i="1"/>
  <c r="BP23" i="1"/>
  <c r="BP34" i="1"/>
  <c r="BP9" i="1"/>
  <c r="BP35" i="1"/>
  <c r="BP36" i="1"/>
  <c r="BP37" i="1"/>
  <c r="BP38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E140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E139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C136" i="1"/>
  <c r="AX136" i="1"/>
  <c r="AY136" i="1"/>
  <c r="AZ136" i="1"/>
  <c r="BA136" i="1"/>
  <c r="BB136" i="1"/>
  <c r="AW136" i="1"/>
  <c r="AR136" i="1"/>
  <c r="AS136" i="1"/>
  <c r="AT136" i="1"/>
  <c r="AU136" i="1"/>
  <c r="AV136" i="1"/>
  <c r="AQ136" i="1"/>
  <c r="AF136" i="1"/>
  <c r="AG136" i="1"/>
  <c r="AH136" i="1"/>
  <c r="AI136" i="1"/>
  <c r="AJ136" i="1"/>
  <c r="AK136" i="1"/>
  <c r="AL136" i="1"/>
  <c r="AM136" i="1"/>
  <c r="AN136" i="1"/>
  <c r="AO136" i="1"/>
  <c r="AP136" i="1"/>
  <c r="AE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P136" i="1"/>
  <c r="F136" i="1"/>
  <c r="G136" i="1"/>
  <c r="H136" i="1"/>
  <c r="I136" i="1"/>
  <c r="J136" i="1"/>
  <c r="K136" i="1"/>
  <c r="L136" i="1"/>
  <c r="M136" i="1"/>
  <c r="N136" i="1"/>
  <c r="O136" i="1"/>
  <c r="E13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49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76" i="1"/>
  <c r="BP41" i="1"/>
  <c r="BP2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A141" i="1"/>
  <c r="BB141" i="1"/>
  <c r="BA142" i="1"/>
  <c r="BB142" i="1"/>
  <c r="AQ141" i="1"/>
  <c r="AR141" i="1"/>
  <c r="AS141" i="1"/>
  <c r="AT141" i="1"/>
  <c r="AU141" i="1"/>
  <c r="AV141" i="1"/>
  <c r="AW141" i="1"/>
  <c r="AX141" i="1"/>
  <c r="AY141" i="1"/>
  <c r="AZ141" i="1"/>
  <c r="AQ142" i="1"/>
  <c r="AR142" i="1"/>
  <c r="AS142" i="1"/>
  <c r="AT142" i="1"/>
  <c r="AU142" i="1"/>
  <c r="AV142" i="1"/>
  <c r="AW142" i="1"/>
  <c r="AX142" i="1"/>
  <c r="AY142" i="1"/>
  <c r="AZ142" i="1"/>
  <c r="AI141" i="1"/>
  <c r="AJ141" i="1"/>
  <c r="AK141" i="1"/>
  <c r="AL141" i="1"/>
  <c r="AM141" i="1"/>
  <c r="AN141" i="1"/>
  <c r="AO141" i="1"/>
  <c r="AP141" i="1"/>
  <c r="AI142" i="1"/>
  <c r="AJ142" i="1"/>
  <c r="AK142" i="1"/>
  <c r="AL142" i="1"/>
  <c r="AM142" i="1"/>
  <c r="AN142" i="1"/>
  <c r="AO142" i="1"/>
  <c r="AP142" i="1"/>
  <c r="AC141" i="1"/>
  <c r="AD141" i="1"/>
  <c r="AE141" i="1"/>
  <c r="AF141" i="1"/>
  <c r="AG141" i="1"/>
  <c r="AH141" i="1"/>
  <c r="AC142" i="1"/>
  <c r="AD142" i="1"/>
  <c r="AE142" i="1"/>
  <c r="AF142" i="1"/>
  <c r="AG142" i="1"/>
  <c r="AH142" i="1"/>
  <c r="W141" i="1"/>
  <c r="X141" i="1"/>
  <c r="Y141" i="1"/>
  <c r="Z141" i="1"/>
  <c r="AA141" i="1"/>
  <c r="AB141" i="1"/>
  <c r="W142" i="1"/>
  <c r="X142" i="1"/>
  <c r="Y142" i="1"/>
  <c r="Z142" i="1"/>
  <c r="AA142" i="1"/>
  <c r="AB142" i="1"/>
  <c r="P141" i="1"/>
  <c r="Q141" i="1"/>
  <c r="R141" i="1"/>
  <c r="S141" i="1"/>
  <c r="T141" i="1"/>
  <c r="U141" i="1"/>
  <c r="V141" i="1"/>
  <c r="P142" i="1"/>
  <c r="Q142" i="1"/>
  <c r="R142" i="1"/>
  <c r="S142" i="1"/>
  <c r="T142" i="1"/>
  <c r="U142" i="1"/>
  <c r="V142" i="1"/>
  <c r="G141" i="1"/>
  <c r="H141" i="1"/>
  <c r="I141" i="1"/>
  <c r="J141" i="1"/>
  <c r="K141" i="1"/>
  <c r="L141" i="1"/>
  <c r="M141" i="1"/>
  <c r="N141" i="1"/>
  <c r="O141" i="1"/>
  <c r="G142" i="1"/>
  <c r="H142" i="1"/>
  <c r="I142" i="1"/>
  <c r="J142" i="1"/>
  <c r="K142" i="1"/>
  <c r="L142" i="1"/>
  <c r="M142" i="1"/>
  <c r="N142" i="1"/>
  <c r="O142" i="1"/>
  <c r="F141" i="1"/>
  <c r="F142" i="1"/>
  <c r="E142" i="1"/>
  <c r="E141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43" i="1"/>
  <c r="BP40" i="1"/>
  <c r="BP44" i="1"/>
  <c r="BP45" i="1"/>
  <c r="BP27" i="1"/>
  <c r="BP28" i="1"/>
  <c r="BP46" i="1"/>
  <c r="BP47" i="1"/>
  <c r="BP50" i="1"/>
  <c r="BP6" i="1"/>
  <c r="BP96" i="1"/>
  <c r="BP51" i="1"/>
  <c r="BP52" i="1"/>
  <c r="BP53" i="1"/>
  <c r="BP75" i="1"/>
  <c r="BP48" i="1"/>
  <c r="BP42" i="1"/>
  <c r="BP78" i="1"/>
  <c r="BP54" i="1"/>
  <c r="BP55" i="1"/>
  <c r="BP56" i="1"/>
  <c r="BP57" i="1"/>
  <c r="BP123" i="1"/>
  <c r="BP84" i="1"/>
  <c r="BP85" i="1"/>
  <c r="BP94" i="1"/>
  <c r="BP121" i="1"/>
  <c r="BP122" i="1"/>
  <c r="BP99" i="1"/>
  <c r="BP102" i="1"/>
  <c r="BP16" i="1"/>
  <c r="BP39" i="1"/>
  <c r="BP58" i="1"/>
  <c r="BP59" i="1"/>
  <c r="BP60" i="1"/>
  <c r="BP77" i="1"/>
  <c r="BP115" i="1"/>
  <c r="BP116" i="1"/>
  <c r="BP119" i="1"/>
  <c r="BP120" i="1"/>
  <c r="BP7" i="1"/>
  <c r="BP86" i="1"/>
  <c r="BP87" i="1"/>
  <c r="BP88" i="1"/>
  <c r="BP126" i="1"/>
  <c r="BP127" i="1"/>
  <c r="BP135" i="1"/>
  <c r="BP128" i="1"/>
  <c r="BP17" i="1"/>
  <c r="BP110" i="1"/>
  <c r="BP118" i="1"/>
  <c r="BP10" i="1"/>
  <c r="BP11" i="1"/>
  <c r="BP12" i="1"/>
  <c r="BP13" i="1"/>
  <c r="BP14" i="1"/>
  <c r="BP15" i="1"/>
  <c r="BP66" i="1"/>
  <c r="BP67" i="1"/>
  <c r="BP68" i="1"/>
  <c r="BP8" i="1"/>
  <c r="BP71" i="1"/>
  <c r="BP72" i="1"/>
  <c r="BP133" i="1"/>
  <c r="BP79" i="1"/>
  <c r="BP124" i="1"/>
  <c r="BP29" i="1"/>
  <c r="BP30" i="1"/>
  <c r="BP31" i="1"/>
  <c r="BP32" i="1"/>
  <c r="BP33" i="1"/>
  <c r="BP101" i="1"/>
  <c r="BP100" i="1"/>
  <c r="BP103" i="1"/>
  <c r="BP104" i="1"/>
  <c r="BP105" i="1"/>
  <c r="BP106" i="1"/>
  <c r="BP130" i="1"/>
  <c r="BP131" i="1"/>
  <c r="BP132" i="1"/>
  <c r="BP129" i="1" l="1"/>
  <c r="BM138" i="1" l="1"/>
  <c r="AM138" i="1"/>
  <c r="L138" i="1"/>
  <c r="BK138" i="1"/>
  <c r="AJ138" i="1"/>
  <c r="BH138" i="1"/>
  <c r="AH138" i="1"/>
  <c r="AL138" i="1"/>
  <c r="BD138" i="1"/>
  <c r="BL138" i="1"/>
  <c r="J138" i="1"/>
  <c r="H138" i="1"/>
  <c r="G138" i="1"/>
  <c r="BG138" i="1"/>
  <c r="AE138" i="1"/>
  <c r="F138" i="1"/>
  <c r="BJ138" i="1"/>
  <c r="AI138" i="1"/>
  <c r="I138" i="1"/>
  <c r="AG138" i="1"/>
  <c r="BE138" i="1"/>
  <c r="AF138" i="1"/>
  <c r="BF138" i="1"/>
  <c r="O138" i="1"/>
  <c r="BO138" i="1"/>
  <c r="N138" i="1"/>
  <c r="K138" i="1"/>
  <c r="AK138" i="1"/>
  <c r="BI138" i="1"/>
  <c r="E138" i="1"/>
  <c r="BN138" i="1"/>
  <c r="AN138" i="1"/>
  <c r="M138" i="1"/>
  <c r="AP138" i="1"/>
  <c r="BC138" i="1"/>
  <c r="AO138" i="1"/>
  <c r="V138" i="1"/>
  <c r="Y138" i="1"/>
  <c r="W138" i="1"/>
  <c r="S138" i="1"/>
  <c r="X138" i="1"/>
  <c r="R138" i="1"/>
  <c r="Z138" i="1"/>
  <c r="U138" i="1"/>
  <c r="T138" i="1"/>
  <c r="AC138" i="1"/>
  <c r="Q138" i="1"/>
  <c r="AB138" i="1"/>
  <c r="P138" i="1"/>
  <c r="AA138" i="1"/>
  <c r="AD138" i="1"/>
  <c r="AR138" i="1" l="1"/>
  <c r="AU138" i="1"/>
  <c r="BB138" i="1"/>
  <c r="AS138" i="1"/>
  <c r="AW138" i="1"/>
  <c r="AT138" i="1"/>
  <c r="AY138" i="1"/>
  <c r="AZ138" i="1"/>
  <c r="AV138" i="1"/>
  <c r="AQ138" i="1"/>
  <c r="AX138" i="1"/>
  <c r="BA138" i="1"/>
</calcChain>
</file>

<file path=xl/sharedStrings.xml><?xml version="1.0" encoding="utf-8"?>
<sst xmlns="http://schemas.openxmlformats.org/spreadsheetml/2006/main" count="839" uniqueCount="320">
  <si>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</si>
  <si>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</si>
  <si>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</si>
  <si>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</si>
  <si>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</si>
  <si>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</si>
  <si>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</si>
  <si>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</si>
  <si>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</si>
  <si>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</si>
  <si>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</si>
  <si>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</si>
  <si>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</si>
  <si>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</si>
  <si>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</si>
  <si>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</si>
  <si>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</si>
  <si>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</si>
  <si>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</si>
  <si>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</si>
  <si>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</si>
  <si>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</si>
  <si>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</si>
  <si>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</si>
  <si>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</si>
  <si>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</si>
  <si>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</si>
  <si>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</si>
  <si>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</si>
  <si>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</si>
  <si>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</si>
  <si>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</si>
  <si>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</si>
  <si>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</si>
  <si>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</si>
  <si>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</si>
  <si>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</si>
  <si>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</si>
  <si>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</si>
  <si>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</si>
  <si>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</si>
  <si>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</si>
  <si>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</si>
  <si>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</si>
  <si>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</si>
  <si>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</si>
  <si>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</si>
  <si>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</si>
  <si>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</si>
  <si>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</si>
  <si>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</si>
  <si>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</si>
  <si>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</si>
  <si>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</si>
  <si>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</si>
  <si>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</si>
  <si>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</si>
  <si>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</si>
  <si>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</si>
  <si>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</si>
  <si>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</si>
  <si>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</si>
  <si>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</si>
  <si>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</si>
  <si>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</si>
  <si>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</si>
  <si>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</si>
  <si>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</si>
  <si>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</si>
  <si>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</si>
  <si>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</si>
  <si>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</si>
  <si>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</si>
  <si>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</si>
  <si>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</si>
  <si>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</si>
  <si>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</si>
  <si>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</si>
  <si>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</si>
  <si>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</si>
  <si>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</si>
  <si>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</si>
  <si>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</si>
  <si>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</si>
  <si>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</si>
  <si>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</si>
  <si>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</si>
  <si>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</si>
  <si>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</si>
  <si>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</si>
  <si>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</si>
  <si>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</si>
  <si>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</si>
  <si>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</si>
  <si>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</si>
  <si>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</si>
  <si>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</si>
  <si>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</si>
  <si>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</si>
  <si>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</si>
  <si>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</si>
  <si>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</si>
  <si>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</si>
  <si>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</si>
  <si>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</si>
  <si>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</si>
  <si>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</si>
  <si>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</si>
  <si>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</si>
  <si>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</si>
  <si>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</si>
  <si>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</si>
  <si>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</si>
  <si>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</si>
  <si>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</si>
  <si>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</si>
  <si>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</si>
  <si>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</si>
  <si>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</si>
  <si>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</si>
  <si>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</si>
  <si>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</si>
  <si>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</si>
  <si>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</si>
  <si>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</si>
  <si>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</si>
  <si>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</si>
  <si>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</si>
  <si>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</si>
  <si>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</si>
  <si>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</si>
  <si>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</si>
  <si>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</si>
  <si>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</si>
  <si>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</si>
  <si>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</si>
  <si>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</si>
  <si>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</si>
  <si>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</si>
  <si>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</si>
  <si>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</si>
  <si>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</si>
  <si>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</si>
  <si>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</si>
  <si>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</si>
  <si>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</si>
  <si>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</si>
  <si>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</si>
  <si>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</si>
  <si>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</si>
  <si>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</si>
  <si>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</si>
  <si>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</si>
  <si>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</si>
  <si>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</si>
  <si>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</si>
  <si>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</si>
  <si>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</si>
  <si>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</si>
  <si>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</si>
  <si>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</si>
  <si>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</si>
  <si>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</si>
  <si>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</si>
  <si>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</si>
  <si>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</si>
  <si>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</si>
  <si>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</si>
  <si>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</si>
  <si>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</si>
  <si>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</si>
  <si>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</si>
  <si>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</si>
  <si>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</si>
  <si>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</si>
  <si>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</si>
  <si>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</si>
  <si>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</si>
  <si>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</si>
  <si>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</si>
  <si>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</si>
  <si>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</si>
  <si>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</si>
  <si>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</si>
  <si>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</si>
  <si>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</si>
  <si>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</si>
  <si>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</si>
  <si>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</si>
  <si>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</si>
  <si>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</si>
  <si>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</si>
  <si>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</si>
  <si>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</si>
  <si>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</si>
  <si>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</si>
  <si>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</si>
  <si>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</si>
  <si>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</si>
  <si>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</si>
  <si>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</si>
  <si>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</si>
  <si>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</si>
  <si>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</si>
  <si>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</si>
  <si>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</si>
  <si>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</si>
  <si>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</si>
  <si>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</si>
  <si>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</si>
  <si>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</si>
  <si>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</si>
  <si>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</si>
  <si>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</si>
  <si>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</si>
  <si>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</si>
  <si>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</si>
  <si>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</si>
  <si>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</si>
  <si>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</si>
  <si>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超进阶素材光(45),_x000D_
超进阶素材暗(45),</t>
    <phoneticPr fontId="1" type="noConversion"/>
  </si>
  <si>
    <t>骰子中(1),</t>
    <phoneticPr fontId="1" type="noConversion"/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</si>
  <si>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</si>
  <si>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</si>
  <si>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</si>
  <si>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</si>
  <si>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</si>
  <si>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</si>
  <si>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</si>
  <si>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</si>
  <si>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</si>
  <si>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</si>
  <si>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</si>
  <si>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</si>
  <si>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</si>
  <si>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</si>
  <si>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</si>
  <si>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</si>
  <si>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</si>
  <si>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</si>
  <si>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</si>
  <si>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</si>
  <si>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</si>
  <si>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</si>
  <si>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</si>
  <si>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欠条中(2),_x000D_
筹码中(1),</t>
    <phoneticPr fontId="1" type="noConversion"/>
  </si>
  <si>
    <t>骰子小(4),</t>
    <phoneticPr fontId="1" type="noConversion"/>
  </si>
  <si>
    <t>糯米(5),_x000D_
粽叶(1),</t>
    <phoneticPr fontId="1" type="noConversion"/>
  </si>
  <si>
    <t>欠条中(4),_x000D_
欠条大(3),</t>
    <phoneticPr fontId="1" type="noConversion"/>
  </si>
  <si>
    <t>筹码大(7),_x000D_
庄家令牌大(2),</t>
    <phoneticPr fontId="1" type="noConversion"/>
  </si>
  <si>
    <t>欠条大(6),_x000D_
钱袋大(7),</t>
    <phoneticPr fontId="1" type="noConversion"/>
  </si>
  <si>
    <t>糯米(10),_x000D_
粽叶(10),</t>
    <phoneticPr fontId="1" type="noConversion"/>
  </si>
  <si>
    <t>女娲石(4),_x000D_
彗星(23),</t>
    <phoneticPr fontId="1" type="noConversion"/>
  </si>
  <si>
    <t>欠条中(2),_x000D_
骰子小(4),_x000D_
筹码中(1),</t>
    <phoneticPr fontId="1" type="noConversion"/>
  </si>
  <si>
    <t>女娲石(4),_x000D_
骰子大(2),_x000D_
庄家令牌大(2),</t>
    <phoneticPr fontId="1" type="noConversion"/>
  </si>
  <si>
    <t>厚皮老牛</t>
    <phoneticPr fontId="1" type="noConversion"/>
  </si>
  <si>
    <t>幸运符文叉大(9),</t>
    <phoneticPr fontId="1" type="noConversion"/>
  </si>
  <si>
    <t>筹码中(1),</t>
    <phoneticPr fontId="1" type="noConversion"/>
  </si>
  <si>
    <t>骰子中(1),</t>
    <phoneticPr fontId="1" type="noConversion"/>
  </si>
  <si>
    <t>庄家令牌中(1),</t>
    <phoneticPr fontId="1" type="noConversion"/>
  </si>
  <si>
    <t>庄家令牌中(1),</t>
    <phoneticPr fontId="1" type="noConversion"/>
  </si>
  <si>
    <t>幸运符文叉大(9),_x000D_
技巧符文叉大(8),</t>
    <phoneticPr fontId="1" type="noConversion"/>
  </si>
  <si>
    <t>欠条中(2),</t>
    <phoneticPr fontId="1" type="noConversion"/>
  </si>
  <si>
    <t>糯米(2),</t>
    <phoneticPr fontId="1" type="noConversion"/>
  </si>
  <si>
    <t>糯米(3),</t>
    <phoneticPr fontId="1" type="noConversion"/>
  </si>
  <si>
    <t>彗星(3),</t>
    <phoneticPr fontId="1" type="noConversion"/>
  </si>
  <si>
    <t>骰子小(4),</t>
    <phoneticPr fontId="1" type="noConversion"/>
  </si>
  <si>
    <t>欠条中(4),</t>
    <phoneticPr fontId="1" type="noConversion"/>
  </si>
  <si>
    <t>仙丹(4),</t>
    <phoneticPr fontId="1" type="noConversion"/>
  </si>
  <si>
    <t>技巧符文叉大(13),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</si>
  <si>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</si>
  <si>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</si>
  <si>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</si>
  <si>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</si>
  <si>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神农鼎(5),_x000D_
幸运符文叉大(4),_x000D_
技巧符文叉大(3),</t>
    <phoneticPr fontId="1" type="noConversion"/>
  </si>
  <si>
    <t>愚山乾坤石(4),</t>
    <phoneticPr fontId="1" type="noConversion"/>
  </si>
  <si>
    <t>六方天运骰(4),</t>
    <phoneticPr fontId="1" type="noConversion"/>
  </si>
  <si>
    <t>神农鼎(6),</t>
    <phoneticPr fontId="1" type="noConversion"/>
  </si>
  <si>
    <t>彗星(13),</t>
    <phoneticPr fontId="1" type="noConversion"/>
  </si>
  <si>
    <t>金甲虫(42),</t>
    <phoneticPr fontId="1" type="noConversion"/>
  </si>
  <si>
    <t>金甲虫(192),</t>
    <phoneticPr fontId="1" type="noConversion"/>
  </si>
  <si>
    <t>欠条中(2),_x000D_
筹码中(1),</t>
    <phoneticPr fontId="1" type="noConversion"/>
  </si>
  <si>
    <t>骰子小(4),_x000D_
庄家令牌中(1),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</si>
  <si>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</si>
  <si>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</si>
  <si>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欠条中(2),_x000D_
骰子小(4),</t>
    <phoneticPr fontId="1" type="noConversion"/>
  </si>
  <si>
    <t>糯米(3),_x000D_
粽叶(5),</t>
    <phoneticPr fontId="1" type="noConversion"/>
  </si>
  <si>
    <t>欠条大(6),_x000D_
骰子大(2),</t>
    <phoneticPr fontId="1" type="noConversion"/>
  </si>
  <si>
    <t>筹码大(7),_x000D_
庄家令牌大(2),</t>
    <phoneticPr fontId="1" type="noConversion"/>
  </si>
  <si>
    <t>女娲石(4),_x000D_
愚山乾坤石(4),_x000D_
技巧符文叉大(8),</t>
    <phoneticPr fontId="1" type="noConversion"/>
  </si>
  <si>
    <t>幸运符文叉大(14),_x000D_
技巧符文叉大(13),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</si>
  <si>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</si>
  <si>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</si>
  <si>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力量符文叉大(5),_x000D_
幸运符文叉大(14),</t>
    <phoneticPr fontId="1" type="noConversion"/>
  </si>
  <si>
    <t>神农鼎(6),_x000D_
愚山乾坤石(4),_x000D_
技巧符文叉大(8),</t>
    <phoneticPr fontId="1" type="noConversion"/>
  </si>
  <si>
    <t>欠条大(6),_x000D_
钱袋大(7),</t>
    <phoneticPr fontId="1" type="noConversion"/>
  </si>
  <si>
    <t>钱袋大(7),_x000D_
筹码大(7),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</si>
  <si>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</si>
  <si>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</si>
  <si>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神农鼎(10),_x000D_
六方天运骰(4),</t>
    <phoneticPr fontId="1" type="noConversion"/>
  </si>
  <si>
    <t>幸运符文叉大(19),_x000D_
技巧符文叉大(18),</t>
    <phoneticPr fontId="1" type="noConversion"/>
  </si>
  <si>
    <t>神农鼎(15),_x000D_
幸运符文叉大(14),</t>
    <phoneticPr fontId="1" type="noConversion"/>
  </si>
  <si>
    <t>超进阶素材光(45),_x000D_
超进阶素材暗(45),</t>
    <phoneticPr fontId="1" type="noConversion"/>
  </si>
  <si>
    <t>欠条中(2),_x000D_
骰子中(1),_x000D_
筹码中(1),</t>
    <phoneticPr fontId="1" type="noConversion"/>
  </si>
  <si>
    <t>欠条中(2),_x000D_
骰子中(1),_x000D_
庄家令牌中(1),</t>
    <phoneticPr fontId="1" type="noConversion"/>
  </si>
  <si>
    <t>骰子小(4),_x000D_
筹码中(1),_x000D_
庄家令牌中(1),</t>
    <phoneticPr fontId="1" type="noConversion"/>
  </si>
  <si>
    <t>骰子大(2),_x000D_
筹码大(7),_x000D_
庄家令牌大(2),</t>
    <phoneticPr fontId="1" type="noConversion"/>
  </si>
  <si>
    <t>欠条大(6),_x000D_
骰子大(2),_x000D_
六方天运骰(4),</t>
    <phoneticPr fontId="1" type="noConversion"/>
  </si>
  <si>
    <t>神农鼎(7),_x000D_
欠条中(4),_x000D_
筹码大(4),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</si>
  <si>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</si>
  <si>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</si>
  <si>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女娲石(4),_x000D_
六方天运骰(9),_x000D_
幸运符文叉大(14),</t>
    <phoneticPr fontId="1" type="noConversion"/>
  </si>
  <si>
    <t>神农鼎(10),_x000D_
欠条大(6),_x000D_
钱袋大(7),</t>
    <phoneticPr fontId="1" type="noConversion"/>
  </si>
  <si>
    <t>女娲石(9),_x000D_
愚山乾坤石(9),_x000D_
技巧符文叉大(13),</t>
    <phoneticPr fontId="1" type="noConversion"/>
  </si>
  <si>
    <t>女娲石(9),_x000D_
神农鼎(15),_x000D_
技巧符文叉大(13),</t>
    <phoneticPr fontId="1" type="noConversion"/>
  </si>
  <si>
    <t>赤焰十字星(4),_x000D_
力量符文叉大(30),_x000D_
技巧符文叉大(38),</t>
    <phoneticPr fontId="1" type="noConversion"/>
  </si>
  <si>
    <t>秘窟冰晶卵(20),_x000D_
力量符文叉大(30),_x000D_
速度符文叉大(23),</t>
    <phoneticPr fontId="1" type="noConversion"/>
  </si>
  <si>
    <t>超进阶素材火(42),_x000D_
超进阶素材光(45),_x000D_
超进阶素材暗(45),</t>
    <phoneticPr fontId="1" type="noConversion"/>
  </si>
  <si>
    <t>神农鼎(10),_x000D_
欠条大(6),_x000D_
骰子大(2),_x000D_
愚山乾坤石(4),</t>
    <phoneticPr fontId="1" type="noConversion"/>
  </si>
  <si>
    <t>女娲石(14),_x000D_
神农鼎(20),_x000D_
幸运符文叉大(19),_x000D_
技巧符文叉大(18),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</si>
</sst>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142</xdr:row>
          <xdr:rowOff>28575</xdr:rowOff>
        </xdr:from>
        <xdr:to>
          <xdr:col>1</xdr:col>
          <xdr:colOff>428625</xdr:colOff>
          <xdr:row>143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43"/>
  <sheetViews>
    <sheetView tabSelected="1" workbookViewId="0">
      <pane xSplit="2" ySplit="1" topLeftCell="BM103" activePane="bottomRight" state="frozen"/>
      <selection pane="topRight" activeCell="C1" sqref="C1"/>
      <selection pane="bottomLeft" activeCell="A3" sqref="A3"/>
      <selection pane="bottomRight" activeCell="BS127" sqref="BS12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244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151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158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 hidden="1">
      <c r="A8" s="1"/>
      <c r="B8" s="1" t="s">
        <v>127</v>
      </c>
      <c r="C8" s="1" t="s">
        <v>128</v>
      </c>
      <c r="D8" s="1" t="s">
        <v>101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/>
      <c r="X8" s="28"/>
      <c r="Y8" s="28"/>
      <c r="Z8" s="28">
        <v>5</v>
      </c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35</v>
      </c>
      <c r="BQ8" s="1">
        <v>1</v>
      </c>
      <c r="BR8" s="17">
        <v>1</v>
      </c>
      <c r="BS8" s="17" t="s">
        <v>257</v>
      </c>
      <c r="BT8">
        <f>SUM(P8:AD8)</f>
        <v>35</v>
      </c>
      <c r="BU8" s="23">
        <f>AF8+AH8+AI8+AJ8+AO8+AP8</f>
        <v>0</v>
      </c>
    </row>
    <row r="9" spans="1:73" hidden="1">
      <c r="A9" s="1"/>
      <c r="B9" s="3" t="s">
        <v>205</v>
      </c>
      <c r="C9" s="3" t="s">
        <v>50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11</v>
      </c>
      <c r="BQ9" s="1">
        <v>1</v>
      </c>
      <c r="BR9" s="17">
        <v>1</v>
      </c>
      <c r="BS9" s="17" t="s">
        <v>257</v>
      </c>
      <c r="BT9">
        <f>SUM(P9:AD9)</f>
        <v>11</v>
      </c>
      <c r="BU9" s="23">
        <f>AF9+AH9+AI9+AJ9+AO9+AP9</f>
        <v>0</v>
      </c>
    </row>
    <row r="10" spans="1:73" hidden="1">
      <c r="A10" s="1"/>
      <c r="B10" s="1" t="s">
        <v>112</v>
      </c>
      <c r="C10" s="1" t="s">
        <v>100</v>
      </c>
      <c r="D10" s="1" t="s">
        <v>101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35</v>
      </c>
      <c r="BQ10" s="1">
        <v>1</v>
      </c>
      <c r="BR10" s="17">
        <v>1</v>
      </c>
      <c r="BS10" s="17" t="s">
        <v>258</v>
      </c>
      <c r="BT10">
        <f>SUM(P10:AD10)</f>
        <v>35</v>
      </c>
      <c r="BU10" s="23">
        <f>AF10+AH10+AI10+AJ10+AO10+AP10</f>
        <v>0</v>
      </c>
    </row>
    <row r="11" spans="1:73" s="49" customFormat="1" hidden="1">
      <c r="A11" s="1"/>
      <c r="B11" s="1" t="s">
        <v>117</v>
      </c>
      <c r="C11" s="1" t="s">
        <v>100</v>
      </c>
      <c r="D11" s="1" t="s">
        <v>101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35</v>
      </c>
      <c r="BQ11" s="1">
        <v>1</v>
      </c>
      <c r="BR11" s="17">
        <v>1</v>
      </c>
      <c r="BS11" s="17" t="s">
        <v>258</v>
      </c>
      <c r="BT11">
        <f>SUM(P11:AD11)</f>
        <v>35</v>
      </c>
      <c r="BU11" s="23">
        <f>AF11+AH11+AI11+AJ11+AO11+AP11</f>
        <v>0</v>
      </c>
    </row>
    <row r="12" spans="1:73" hidden="1">
      <c r="A12" s="1"/>
      <c r="B12" s="1" t="s">
        <v>121</v>
      </c>
      <c r="C12" s="1" t="s">
        <v>119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1</v>
      </c>
      <c r="BR12" s="17">
        <v>1</v>
      </c>
      <c r="BS12" s="17" t="s">
        <v>221</v>
      </c>
      <c r="BT12">
        <f>SUM(P12:AD12)</f>
        <v>35</v>
      </c>
      <c r="BU12" s="23">
        <f>AF12+AH12+AI12+AJ12+AO12+AP12</f>
        <v>0</v>
      </c>
    </row>
    <row r="13" spans="1:73" hidden="1">
      <c r="A13" s="1"/>
      <c r="B13" s="1" t="s">
        <v>125</v>
      </c>
      <c r="C13" s="1" t="s">
        <v>123</v>
      </c>
      <c r="D13" s="1" t="s">
        <v>101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1</v>
      </c>
      <c r="BR13" s="17">
        <v>1</v>
      </c>
      <c r="BS13" s="17" t="s">
        <v>258</v>
      </c>
      <c r="BT13">
        <f>SUM(P13:AD13)</f>
        <v>35</v>
      </c>
      <c r="BU13" s="23">
        <f>AF13+AH13+AI13+AJ13+AO13+AP13</f>
        <v>0</v>
      </c>
    </row>
    <row r="14" spans="1:73" hidden="1">
      <c r="A14" s="1"/>
      <c r="B14" s="1" t="s">
        <v>131</v>
      </c>
      <c r="C14" s="1" t="s">
        <v>130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1</v>
      </c>
      <c r="BR14" s="17">
        <v>1</v>
      </c>
      <c r="BS14" s="17" t="s">
        <v>221</v>
      </c>
      <c r="BT14">
        <f>SUM(P14:AD14)</f>
        <v>35</v>
      </c>
      <c r="BU14" s="23">
        <f>AF14+AH14+AI14+AJ14+AO14+AP14</f>
        <v>0</v>
      </c>
    </row>
    <row r="15" spans="1:73" hidden="1">
      <c r="A15" s="1"/>
      <c r="B15" s="1" t="s">
        <v>136</v>
      </c>
      <c r="C15" s="1" t="s">
        <v>98</v>
      </c>
      <c r="D15" s="1" t="s">
        <v>137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1</v>
      </c>
      <c r="BR15" s="17">
        <v>1</v>
      </c>
      <c r="BS15" s="17" t="s">
        <v>221</v>
      </c>
      <c r="BT15">
        <f>SUM(P15:AD15)</f>
        <v>35</v>
      </c>
      <c r="BU15" s="23">
        <f>AF15+AH15+AI15+AJ15+AO15+AP15</f>
        <v>0</v>
      </c>
    </row>
    <row r="16" spans="1:73" hidden="1">
      <c r="A16" s="59"/>
      <c r="B16" s="59" t="s">
        <v>203</v>
      </c>
      <c r="C16" s="59" t="s">
        <v>130</v>
      </c>
      <c r="D16" s="59" t="s">
        <v>102</v>
      </c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1"/>
      <c r="Q16" s="61"/>
      <c r="R16" s="61"/>
      <c r="S16" s="61"/>
      <c r="T16" s="61"/>
      <c r="U16" s="61">
        <v>2</v>
      </c>
      <c r="V16" s="61"/>
      <c r="W16" s="61"/>
      <c r="X16" s="61"/>
      <c r="Y16" s="61"/>
      <c r="Z16" s="61"/>
      <c r="AA16" s="61">
        <v>2</v>
      </c>
      <c r="AB16" s="61"/>
      <c r="AC16" s="61">
        <v>5</v>
      </c>
      <c r="AD16" s="61">
        <v>2</v>
      </c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62"/>
      <c r="AR16" s="62"/>
      <c r="AS16" s="62"/>
      <c r="AT16" s="62"/>
      <c r="AU16" s="62"/>
      <c r="AV16" s="62"/>
      <c r="AW16" s="63"/>
      <c r="AX16" s="63"/>
      <c r="AY16" s="63"/>
      <c r="AZ16" s="63"/>
      <c r="BA16" s="63"/>
      <c r="BB16" s="63"/>
      <c r="BC16" s="64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>
        <f>SUM(E16:BO16)</f>
        <v>11</v>
      </c>
      <c r="BQ16" s="59">
        <v>1</v>
      </c>
      <c r="BR16" s="65">
        <v>1</v>
      </c>
      <c r="BS16" s="65" t="s">
        <v>259</v>
      </c>
      <c r="BT16">
        <f>SUM(P16:AD16)</f>
        <v>11</v>
      </c>
      <c r="BU16" s="23">
        <f>AF16+AH16+AI16+AJ16+AO16+AP16</f>
        <v>0</v>
      </c>
    </row>
    <row r="17" spans="1:73" hidden="1">
      <c r="A17" s="1"/>
      <c r="B17" s="1" t="s">
        <v>134</v>
      </c>
      <c r="C17" s="1" t="s">
        <v>130</v>
      </c>
      <c r="D17" s="1" t="s">
        <v>103</v>
      </c>
      <c r="E17" s="6"/>
      <c r="F17" s="6"/>
      <c r="G17" s="6">
        <v>5</v>
      </c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5</v>
      </c>
      <c r="W17" s="28"/>
      <c r="X17" s="28"/>
      <c r="Y17" s="28">
        <v>5</v>
      </c>
      <c r="Z17" s="28"/>
      <c r="AA17" s="28"/>
      <c r="AB17" s="28"/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1</v>
      </c>
      <c r="BR17" s="17">
        <v>1</v>
      </c>
      <c r="BS17" s="17" t="s">
        <v>260</v>
      </c>
      <c r="BT17">
        <f>SUM(P17:AD17)</f>
        <v>15</v>
      </c>
      <c r="BU17" s="23">
        <f>AF17+AH17+AI17+AJ17+AO17+AP17</f>
        <v>0</v>
      </c>
    </row>
    <row r="18" spans="1:73" hidden="1">
      <c r="A18" s="1"/>
      <c r="B18" s="3" t="s">
        <v>209</v>
      </c>
      <c r="C18" s="3" t="s">
        <v>24</v>
      </c>
      <c r="D18" s="1" t="s">
        <v>206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1</v>
      </c>
      <c r="BR18" s="17">
        <v>1</v>
      </c>
      <c r="BS18" s="17" t="s">
        <v>258</v>
      </c>
      <c r="BT18">
        <f>SUM(P18:AD18)</f>
        <v>35</v>
      </c>
      <c r="BU18" s="23">
        <f>AF18+AH18+AI18+AJ18+AO18+AP18</f>
        <v>0</v>
      </c>
    </row>
    <row r="19" spans="1:73" hidden="1">
      <c r="A19" s="1"/>
      <c r="B19" s="3" t="s">
        <v>210</v>
      </c>
      <c r="C19" s="3" t="s">
        <v>211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>
        <v>2</v>
      </c>
      <c r="Y19" s="28"/>
      <c r="Z19" s="28"/>
      <c r="AA19" s="28">
        <v>2</v>
      </c>
      <c r="AB19" s="28"/>
      <c r="AC19" s="28">
        <v>5</v>
      </c>
      <c r="AD19" s="28">
        <v>2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11</v>
      </c>
      <c r="BQ19" s="1">
        <v>1</v>
      </c>
      <c r="BR19" s="17">
        <v>1</v>
      </c>
      <c r="BS19" s="17" t="s">
        <v>259</v>
      </c>
      <c r="BT19">
        <f>SUM(P19:AD19)</f>
        <v>11</v>
      </c>
      <c r="BU19" s="23">
        <f>AF19+AH19+AI19+AJ19+AO19+AP19</f>
        <v>0</v>
      </c>
    </row>
    <row r="20" spans="1:73" hidden="1">
      <c r="A20" s="1"/>
      <c r="B20" s="3" t="s">
        <v>212</v>
      </c>
      <c r="C20" s="3" t="s">
        <v>213</v>
      </c>
      <c r="D20" s="1" t="s">
        <v>206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/>
      <c r="W20" s="28">
        <v>5</v>
      </c>
      <c r="X20" s="28"/>
      <c r="Y20" s="28"/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1</v>
      </c>
      <c r="BR20" s="17">
        <v>1</v>
      </c>
      <c r="BS20" s="17" t="s">
        <v>221</v>
      </c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214</v>
      </c>
      <c r="C21" s="3" t="s">
        <v>213</v>
      </c>
      <c r="D21" s="1" t="s">
        <v>206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1</v>
      </c>
      <c r="BR21" s="17">
        <v>1</v>
      </c>
      <c r="BS21" s="17" t="s">
        <v>258</v>
      </c>
      <c r="BT21">
        <f>SUM(P21:AD21)</f>
        <v>35</v>
      </c>
      <c r="BU21" s="23">
        <f>AF21+AH21+AI21+AJ21+AO21+AP21</f>
        <v>0</v>
      </c>
    </row>
    <row r="22" spans="1:73" s="23" customFormat="1" hidden="1">
      <c r="A22" s="1"/>
      <c r="B22" s="3" t="s">
        <v>216</v>
      </c>
      <c r="C22" s="3" t="s">
        <v>99</v>
      </c>
      <c r="D22" s="1" t="s">
        <v>206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258</v>
      </c>
      <c r="BT22">
        <f>SUM(P22:AD22)</f>
        <v>35</v>
      </c>
      <c r="BU22" s="23">
        <f>AF22+AH22+AI22+AJ22+AO22+AP22</f>
        <v>0</v>
      </c>
    </row>
    <row r="23" spans="1:73" hidden="1">
      <c r="A23" s="1"/>
      <c r="B23" s="3" t="s">
        <v>219</v>
      </c>
      <c r="C23" s="3" t="s">
        <v>99</v>
      </c>
      <c r="D23" s="1" t="s">
        <v>206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1</v>
      </c>
      <c r="BR23" s="17">
        <v>1</v>
      </c>
      <c r="BS23" s="17" t="s">
        <v>221</v>
      </c>
      <c r="BT23">
        <f>SUM(P23:AD23)</f>
        <v>35</v>
      </c>
      <c r="BU23" s="23">
        <f>AF23+AH23+AI23+AJ23+AO23+AP23</f>
        <v>0</v>
      </c>
    </row>
    <row r="24" spans="1:73" hidden="1">
      <c r="A24" s="1"/>
      <c r="B24" s="3" t="s">
        <v>218</v>
      </c>
      <c r="C24" s="3" t="s">
        <v>99</v>
      </c>
      <c r="D24" s="1" t="s">
        <v>207</v>
      </c>
      <c r="E24" s="6"/>
      <c r="F24" s="6"/>
      <c r="G24" s="6"/>
      <c r="H24" s="6"/>
      <c r="I24" s="6"/>
      <c r="J24" s="6">
        <v>5</v>
      </c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5</v>
      </c>
      <c r="W24" s="28"/>
      <c r="X24" s="28"/>
      <c r="Y24" s="28">
        <v>5</v>
      </c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2</v>
      </c>
      <c r="BR24" s="17">
        <v>1</v>
      </c>
      <c r="BS24" s="17" t="s">
        <v>262</v>
      </c>
      <c r="BT24">
        <f>SUM(P24:AD24)</f>
        <v>15</v>
      </c>
      <c r="BU24" s="23">
        <f>AF24+AH24+AI24+AJ24+AO24+AP24</f>
        <v>0</v>
      </c>
    </row>
    <row r="25" spans="1:73" hidden="1">
      <c r="A25" s="18"/>
      <c r="B25" s="18" t="s">
        <v>94</v>
      </c>
      <c r="C25" s="18" t="s">
        <v>87</v>
      </c>
      <c r="D25" s="18" t="s">
        <v>91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>
        <v>2</v>
      </c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">
        <f>SUM(E25:BO25)</f>
        <v>2</v>
      </c>
      <c r="BQ25" s="18">
        <v>2</v>
      </c>
      <c r="BR25" s="22">
        <v>1</v>
      </c>
      <c r="BS25" s="22" t="s">
        <v>263</v>
      </c>
      <c r="BT25">
        <f>SUM(P25:AD25)</f>
        <v>0</v>
      </c>
      <c r="BU25" s="23">
        <f>AF25+AH25+AI25+AJ25+AO25+AP25</f>
        <v>2</v>
      </c>
    </row>
    <row r="26" spans="1:73" hidden="1">
      <c r="A26" s="18"/>
      <c r="B26" s="18" t="s">
        <v>179</v>
      </c>
      <c r="C26" s="18" t="s">
        <v>24</v>
      </c>
      <c r="D26" s="18" t="s">
        <v>180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>
        <v>3</v>
      </c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3</v>
      </c>
      <c r="BQ26" s="18">
        <v>3</v>
      </c>
      <c r="BR26" s="22">
        <v>1</v>
      </c>
      <c r="BS26" s="22" t="s">
        <v>264</v>
      </c>
      <c r="BT26">
        <f>SUM(P26:AD26)</f>
        <v>0</v>
      </c>
      <c r="BU26" s="23">
        <f>AF26+AH26+AI26+AJ26+AO26+AP26</f>
        <v>3</v>
      </c>
    </row>
    <row r="27" spans="1:73" s="48" customFormat="1">
      <c r="A27" s="18">
        <v>63</v>
      </c>
      <c r="B27" s="30" t="s">
        <v>48</v>
      </c>
      <c r="C27" s="18" t="s">
        <v>43</v>
      </c>
      <c r="D27" s="18" t="s">
        <v>18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/>
      <c r="AI27" s="18"/>
      <c r="AJ27" s="18"/>
      <c r="AK27" s="18"/>
      <c r="AL27" s="18"/>
      <c r="AM27" s="18"/>
      <c r="AN27" s="18">
        <v>5</v>
      </c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3</v>
      </c>
      <c r="BR27" s="22">
        <v>1</v>
      </c>
      <c r="BS27" s="22" t="s">
        <v>265</v>
      </c>
      <c r="BT27">
        <f>SUM(P27:AD27)</f>
        <v>0</v>
      </c>
      <c r="BU27" s="23">
        <f>AF27+AH27+AI27+AJ27+AO27+AP27</f>
        <v>0</v>
      </c>
    </row>
    <row r="28" spans="1:73">
      <c r="A28" s="18">
        <v>90</v>
      </c>
      <c r="B28" s="30" t="s">
        <v>64</v>
      </c>
      <c r="C28" s="30" t="s">
        <v>63</v>
      </c>
      <c r="D28" s="18" t="s">
        <v>18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/>
      <c r="AJ28" s="18"/>
      <c r="AK28" s="18"/>
      <c r="AL28" s="18"/>
      <c r="AM28" s="18"/>
      <c r="AN28" s="18">
        <v>5</v>
      </c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3</v>
      </c>
      <c r="BR28" s="22">
        <v>1</v>
      </c>
      <c r="BS28" s="22" t="s">
        <v>265</v>
      </c>
      <c r="BT28">
        <f>SUM(P28:AD28)</f>
        <v>0</v>
      </c>
      <c r="BU28" s="23">
        <f>AF28+AH28+AI28+AJ28+AO28+AP28</f>
        <v>0</v>
      </c>
    </row>
    <row r="29" spans="1:73" hidden="1">
      <c r="A29" s="1"/>
      <c r="B29" s="1" t="s">
        <v>118</v>
      </c>
      <c r="C29" s="1" t="s">
        <v>119</v>
      </c>
      <c r="D29" s="1" t="s">
        <v>101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4</v>
      </c>
      <c r="BR29" s="17">
        <v>1</v>
      </c>
      <c r="BS29" s="17" t="s">
        <v>246</v>
      </c>
      <c r="BT29">
        <f>SUM(P29:AD29)</f>
        <v>40</v>
      </c>
      <c r="BU29" s="23">
        <f>AF29+AH29+AI29+AJ29+AO29+AP29</f>
        <v>0</v>
      </c>
    </row>
    <row r="30" spans="1:73" hidden="1">
      <c r="A30" s="1"/>
      <c r="B30" s="1" t="s">
        <v>124</v>
      </c>
      <c r="C30" s="1" t="s">
        <v>123</v>
      </c>
      <c r="D30" s="1" t="s">
        <v>101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4</v>
      </c>
      <c r="BR30" s="17">
        <v>1</v>
      </c>
      <c r="BS30" s="17" t="s">
        <v>266</v>
      </c>
      <c r="BT30">
        <f>SUM(P30:AD30)</f>
        <v>40</v>
      </c>
      <c r="BU30" s="23">
        <f>AF30+AH30+AI30+AJ30+AO30+AP30</f>
        <v>0</v>
      </c>
    </row>
    <row r="31" spans="1:73" s="66" customFormat="1" hidden="1">
      <c r="A31" s="1"/>
      <c r="B31" s="1" t="s">
        <v>126</v>
      </c>
      <c r="C31" s="1" t="s">
        <v>128</v>
      </c>
      <c r="D31" s="1" t="s">
        <v>101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4</v>
      </c>
      <c r="BR31" s="17">
        <v>1</v>
      </c>
      <c r="BS31" s="17" t="s">
        <v>266</v>
      </c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132</v>
      </c>
      <c r="C32" s="1" t="s">
        <v>130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4</v>
      </c>
      <c r="BR32" s="17">
        <v>1</v>
      </c>
      <c r="BS32" s="17" t="s">
        <v>266</v>
      </c>
      <c r="BT32">
        <f>SUM(P32:AD32)</f>
        <v>40</v>
      </c>
      <c r="BU32" s="23">
        <f>AF32+AH32+AI32+AJ32+AO32+AP32</f>
        <v>0</v>
      </c>
    </row>
    <row r="33" spans="1:73" hidden="1">
      <c r="A33" s="1"/>
      <c r="B33" s="1" t="s">
        <v>134</v>
      </c>
      <c r="C33" s="1" t="s">
        <v>130</v>
      </c>
      <c r="D33" s="1" t="s">
        <v>101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4</v>
      </c>
      <c r="BR33" s="17">
        <v>1</v>
      </c>
      <c r="BS33" s="17" t="s">
        <v>246</v>
      </c>
      <c r="BT33">
        <f>SUM(P33:AD33)</f>
        <v>40</v>
      </c>
      <c r="BU33" s="23">
        <f>AF33+AH33+AI33+AJ33+AO33+AP33</f>
        <v>0</v>
      </c>
    </row>
    <row r="34" spans="1:73" hidden="1">
      <c r="A34" s="1"/>
      <c r="B34" s="1" t="s">
        <v>135</v>
      </c>
      <c r="C34" s="1" t="s">
        <v>130</v>
      </c>
      <c r="D34" s="1" t="s">
        <v>101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4</v>
      </c>
      <c r="BR34" s="17">
        <v>1</v>
      </c>
      <c r="BS34" s="17" t="s">
        <v>266</v>
      </c>
      <c r="BT34">
        <f>SUM(P34:AD34)</f>
        <v>40</v>
      </c>
      <c r="BU34" s="23">
        <f>AF34+AH34+AI34+AJ34+AO34+AP34</f>
        <v>0</v>
      </c>
    </row>
    <row r="35" spans="1:73" s="58" customFormat="1" hidden="1">
      <c r="A35" s="1"/>
      <c r="B35" s="3" t="s">
        <v>208</v>
      </c>
      <c r="C35" s="3" t="s">
        <v>50</v>
      </c>
      <c r="D35" s="1" t="s">
        <v>206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4</v>
      </c>
      <c r="BR35" s="17">
        <v>1</v>
      </c>
      <c r="BS35" s="17" t="s">
        <v>266</v>
      </c>
      <c r="BT35">
        <f>SUM(P35:AD35)</f>
        <v>40</v>
      </c>
      <c r="BU35" s="23">
        <f>AF35+AH35+AI35+AJ35+AO35+AP35</f>
        <v>0</v>
      </c>
    </row>
    <row r="36" spans="1:73" hidden="1">
      <c r="A36" s="1"/>
      <c r="B36" s="3" t="s">
        <v>215</v>
      </c>
      <c r="C36" s="3" t="s">
        <v>213</v>
      </c>
      <c r="D36" s="1" t="s">
        <v>206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4</v>
      </c>
      <c r="BR36" s="17">
        <v>1</v>
      </c>
      <c r="BS36" s="17" t="s">
        <v>246</v>
      </c>
      <c r="BT36">
        <f>SUM(P36:AD36)</f>
        <v>40</v>
      </c>
      <c r="BU36" s="23">
        <f>AF36+AH36+AI36+AJ36+AO36+AP36</f>
        <v>0</v>
      </c>
    </row>
    <row r="37" spans="1:73" hidden="1">
      <c r="A37" s="1"/>
      <c r="B37" s="3" t="s">
        <v>217</v>
      </c>
      <c r="C37" s="3" t="s">
        <v>99</v>
      </c>
      <c r="D37" s="1" t="s">
        <v>206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4</v>
      </c>
      <c r="BR37" s="17">
        <v>1</v>
      </c>
      <c r="BS37" s="17" t="s">
        <v>266</v>
      </c>
      <c r="BT37">
        <f>SUM(P37:AD37)</f>
        <v>40</v>
      </c>
      <c r="BU37" s="23">
        <f>AF37+AH37+AI37+AJ37+AO37+AP37</f>
        <v>0</v>
      </c>
    </row>
    <row r="38" spans="1:73" hidden="1">
      <c r="A38" s="1"/>
      <c r="B38" s="3" t="s">
        <v>218</v>
      </c>
      <c r="C38" s="3" t="s">
        <v>99</v>
      </c>
      <c r="D38" s="1" t="s">
        <v>206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4</v>
      </c>
      <c r="BR38" s="17">
        <v>1</v>
      </c>
      <c r="BS38" s="17" t="s">
        <v>266</v>
      </c>
      <c r="BT38">
        <f>SUM(P38:AD38)</f>
        <v>40</v>
      </c>
      <c r="BU38" s="23">
        <f>AF38+AH38+AI38+AJ38+AO38+AP38</f>
        <v>0</v>
      </c>
    </row>
    <row r="39" spans="1:73" hidden="1">
      <c r="A39" s="1"/>
      <c r="B39" s="1" t="s">
        <v>127</v>
      </c>
      <c r="C39" s="1" t="s">
        <v>128</v>
      </c>
      <c r="D39" s="1" t="s">
        <v>103</v>
      </c>
      <c r="E39" s="6"/>
      <c r="F39" s="6"/>
      <c r="G39" s="6"/>
      <c r="H39" s="6"/>
      <c r="I39" s="6"/>
      <c r="J39" s="6"/>
      <c r="K39" s="6"/>
      <c r="L39" s="6">
        <v>7</v>
      </c>
      <c r="M39" s="6"/>
      <c r="N39" s="6"/>
      <c r="O39" s="6"/>
      <c r="P39" s="28"/>
      <c r="Q39" s="28">
        <v>7</v>
      </c>
      <c r="R39" s="28"/>
      <c r="S39" s="28"/>
      <c r="T39" s="28">
        <v>7</v>
      </c>
      <c r="U39" s="28"/>
      <c r="V39" s="28"/>
      <c r="W39" s="28"/>
      <c r="X39" s="28">
        <v>7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28</v>
      </c>
      <c r="BQ39" s="1">
        <v>4</v>
      </c>
      <c r="BR39" s="17">
        <v>1</v>
      </c>
      <c r="BS39" s="17" t="s">
        <v>267</v>
      </c>
      <c r="BT39">
        <f>SUM(P39:AD39)</f>
        <v>21</v>
      </c>
      <c r="BU39" s="23">
        <f>AF39+AH39+AI39+AJ39+AO39+AP39</f>
        <v>0</v>
      </c>
    </row>
    <row r="40" spans="1:73" s="48" customFormat="1">
      <c r="A40" s="1">
        <v>18</v>
      </c>
      <c r="B40" s="1" t="s">
        <v>26</v>
      </c>
      <c r="C40" s="1" t="s">
        <v>24</v>
      </c>
      <c r="D40" s="1" t="s">
        <v>19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>
        <v>5</v>
      </c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5</v>
      </c>
      <c r="BQ40" s="1">
        <v>4</v>
      </c>
      <c r="BR40" s="17">
        <v>1</v>
      </c>
      <c r="BS40" s="17" t="s">
        <v>268</v>
      </c>
      <c r="BT40">
        <f>SUM(P40:AD40)</f>
        <v>0</v>
      </c>
      <c r="BU40" s="23">
        <f>AF40+AH40+AI40+AJ40+AO40+AP40</f>
        <v>0</v>
      </c>
    </row>
    <row r="41" spans="1:73">
      <c r="A41" s="1"/>
      <c r="B41" s="1" t="s">
        <v>182</v>
      </c>
      <c r="C41" s="1" t="s">
        <v>1</v>
      </c>
      <c r="D41" s="1" t="s">
        <v>181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10</v>
      </c>
      <c r="AS41" s="4"/>
      <c r="AT41" s="4"/>
      <c r="AU41" s="4"/>
      <c r="AV41" s="4"/>
      <c r="AW41" s="2"/>
      <c r="AX41" s="2"/>
      <c r="AY41" s="2"/>
      <c r="AZ41" s="2">
        <v>10</v>
      </c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20</v>
      </c>
      <c r="BQ41" s="1">
        <v>4</v>
      </c>
      <c r="BR41" s="17">
        <v>1</v>
      </c>
      <c r="BS41" s="17" t="s">
        <v>275</v>
      </c>
      <c r="BT41">
        <f>SUM(P41:AD41)</f>
        <v>0</v>
      </c>
      <c r="BU41" s="23">
        <f>AF41+AH41+AI41+AJ41+AO41+AP41</f>
        <v>0</v>
      </c>
    </row>
    <row r="42" spans="1:73">
      <c r="A42" s="1"/>
      <c r="B42" s="1" t="s">
        <v>176</v>
      </c>
      <c r="C42" s="1" t="s">
        <v>98</v>
      </c>
      <c r="D42" s="1" t="s">
        <v>85</v>
      </c>
      <c r="E42" s="6"/>
      <c r="F42" s="6">
        <v>6</v>
      </c>
      <c r="G42" s="6"/>
      <c r="H42" s="6"/>
      <c r="I42" s="6"/>
      <c r="J42" s="6"/>
      <c r="K42" s="6"/>
      <c r="L42" s="6"/>
      <c r="M42" s="6"/>
      <c r="N42" s="6"/>
      <c r="O42" s="6">
        <v>6</v>
      </c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>
        <v>10</v>
      </c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32</v>
      </c>
      <c r="BQ42" s="1">
        <v>4</v>
      </c>
      <c r="BR42" s="17">
        <v>1</v>
      </c>
      <c r="BS42" s="17" t="s">
        <v>276</v>
      </c>
      <c r="BT42">
        <f>SUM(P42:AD42)</f>
        <v>0</v>
      </c>
      <c r="BU42" s="23">
        <f>AF42+AH42+AI42+AJ42+AO42+AP42</f>
        <v>0</v>
      </c>
    </row>
    <row r="43" spans="1:73" hidden="1">
      <c r="A43" s="18">
        <v>17</v>
      </c>
      <c r="B43" s="18" t="s">
        <v>26</v>
      </c>
      <c r="C43" s="18" t="s">
        <v>24</v>
      </c>
      <c r="D43" s="18" t="s">
        <v>18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18"/>
      <c r="AF43" s="18">
        <v>5</v>
      </c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20"/>
      <c r="AR43" s="20"/>
      <c r="AS43" s="20"/>
      <c r="AT43" s="20"/>
      <c r="AU43" s="20"/>
      <c r="AV43" s="20"/>
      <c r="AW43" s="21"/>
      <c r="AX43" s="21"/>
      <c r="AY43" s="21"/>
      <c r="AZ43" s="21"/>
      <c r="BA43" s="21"/>
      <c r="BB43" s="21"/>
      <c r="BC43" s="26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>
        <f>SUM(E43:BO43)</f>
        <v>5</v>
      </c>
      <c r="BQ43" s="18">
        <v>5</v>
      </c>
      <c r="BR43" s="22">
        <v>1</v>
      </c>
      <c r="BS43" s="22" t="s">
        <v>270</v>
      </c>
      <c r="BT43">
        <f>SUM(P43:AD43)</f>
        <v>0</v>
      </c>
      <c r="BU43" s="23">
        <f>AF43+AH43+AI43+AJ43+AO43+AP43</f>
        <v>5</v>
      </c>
    </row>
    <row r="44" spans="1:73" hidden="1">
      <c r="A44" s="18">
        <v>32</v>
      </c>
      <c r="B44" s="18" t="s">
        <v>60</v>
      </c>
      <c r="C44" s="18" t="s">
        <v>24</v>
      </c>
      <c r="D44" s="18" t="s">
        <v>18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>
        <v>5</v>
      </c>
      <c r="AJ44" s="18"/>
      <c r="AK44" s="18"/>
      <c r="AL44" s="18"/>
      <c r="AM44" s="18"/>
      <c r="AN44" s="18"/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5</v>
      </c>
      <c r="BQ44" s="18">
        <v>5</v>
      </c>
      <c r="BR44" s="22">
        <v>1</v>
      </c>
      <c r="BS44" s="22" t="s">
        <v>271</v>
      </c>
      <c r="BT44">
        <f>SUM(P44:AD44)</f>
        <v>0</v>
      </c>
      <c r="BU44" s="23">
        <f>AF44+AH44+AI44+AJ44+AO44+AP44</f>
        <v>5</v>
      </c>
    </row>
    <row r="45" spans="1:73" s="48" customFormat="1" hidden="1">
      <c r="A45" s="18">
        <v>33</v>
      </c>
      <c r="B45" s="18" t="s">
        <v>60</v>
      </c>
      <c r="C45" s="18" t="s">
        <v>24</v>
      </c>
      <c r="D45" s="18" t="s">
        <v>0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>
        <v>5</v>
      </c>
      <c r="AI45" s="18"/>
      <c r="AJ45" s="18"/>
      <c r="AK45" s="18"/>
      <c r="AL45" s="18"/>
      <c r="AM45" s="18"/>
      <c r="AN45" s="18"/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5</v>
      </c>
      <c r="BQ45" s="18">
        <v>5</v>
      </c>
      <c r="BR45" s="22">
        <v>1</v>
      </c>
      <c r="BS45" s="22" t="s">
        <v>272</v>
      </c>
      <c r="BT45">
        <f>SUM(P45:AD45)</f>
        <v>0</v>
      </c>
      <c r="BU45" s="23">
        <f>AF45+AH45+AI45+AJ45+AO45+AP45</f>
        <v>5</v>
      </c>
    </row>
    <row r="46" spans="1:73" hidden="1">
      <c r="A46" s="18"/>
      <c r="B46" s="18" t="s">
        <v>97</v>
      </c>
      <c r="C46" s="18" t="s">
        <v>95</v>
      </c>
      <c r="D46" s="18" t="s">
        <v>91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>
        <v>5</v>
      </c>
      <c r="AI46" s="18"/>
      <c r="AJ46" s="18"/>
      <c r="AK46" s="18"/>
      <c r="AL46" s="18"/>
      <c r="AM46" s="18"/>
      <c r="AN46" s="18"/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</v>
      </c>
      <c r="BQ46" s="18">
        <v>5</v>
      </c>
      <c r="BR46" s="22">
        <v>1</v>
      </c>
      <c r="BS46" s="22" t="s">
        <v>273</v>
      </c>
      <c r="BT46">
        <f>SUM(P46:AD46)</f>
        <v>0</v>
      </c>
      <c r="BU46" s="23">
        <f>AF46+AH46+AI46+AJ46+AO46+AP46</f>
        <v>5</v>
      </c>
    </row>
    <row r="47" spans="1:73" hidden="1">
      <c r="A47" s="18"/>
      <c r="B47" s="18" t="s">
        <v>97</v>
      </c>
      <c r="C47" s="18" t="s">
        <v>95</v>
      </c>
      <c r="D47" s="18" t="s">
        <v>85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18"/>
      <c r="AF47" s="18"/>
      <c r="AG47" s="18"/>
      <c r="AH47" s="18"/>
      <c r="AI47" s="18">
        <v>5</v>
      </c>
      <c r="AJ47" s="18"/>
      <c r="AK47" s="18"/>
      <c r="AL47" s="18"/>
      <c r="AM47" s="18"/>
      <c r="AN47" s="18"/>
      <c r="AO47" s="18"/>
      <c r="AP47" s="18"/>
      <c r="AQ47" s="20"/>
      <c r="AR47" s="20"/>
      <c r="AS47" s="20"/>
      <c r="AT47" s="20"/>
      <c r="AU47" s="20"/>
      <c r="AV47" s="20"/>
      <c r="AW47" s="21"/>
      <c r="AX47" s="21"/>
      <c r="AY47" s="21"/>
      <c r="AZ47" s="21"/>
      <c r="BA47" s="21"/>
      <c r="BB47" s="21"/>
      <c r="BC47" s="26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>
        <f>SUM(E47:BO47)</f>
        <v>5</v>
      </c>
      <c r="BQ47" s="18">
        <v>5</v>
      </c>
      <c r="BR47" s="22">
        <v>1</v>
      </c>
      <c r="BS47" s="22" t="s">
        <v>271</v>
      </c>
      <c r="BT47">
        <f>SUM(P47:AD47)</f>
        <v>0</v>
      </c>
      <c r="BU47" s="23">
        <f>AF47+AH47+AI47+AJ47+AO47+AP47</f>
        <v>5</v>
      </c>
    </row>
    <row r="48" spans="1:73">
      <c r="A48" s="1"/>
      <c r="B48" s="1" t="s">
        <v>154</v>
      </c>
      <c r="C48" s="1" t="s">
        <v>83</v>
      </c>
      <c r="D48" s="1" t="s">
        <v>85</v>
      </c>
      <c r="E48" s="6"/>
      <c r="F48" s="6"/>
      <c r="G48" s="6"/>
      <c r="H48" s="6">
        <v>6</v>
      </c>
      <c r="I48" s="6"/>
      <c r="J48" s="6"/>
      <c r="K48" s="6">
        <v>6</v>
      </c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>
        <v>10</v>
      </c>
      <c r="AR48" s="4"/>
      <c r="AS48" s="4"/>
      <c r="AT48" s="4"/>
      <c r="AU48" s="4"/>
      <c r="AV48" s="4"/>
      <c r="AW48" s="2">
        <v>10</v>
      </c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6</v>
      </c>
      <c r="BR48" s="17">
        <v>1</v>
      </c>
      <c r="BS48" s="17" t="s">
        <v>277</v>
      </c>
      <c r="BT48">
        <f>SUM(P48:AD48)</f>
        <v>0</v>
      </c>
      <c r="BU48" s="23">
        <f>AF48+AH48+AI48+AJ48+AO48+AP48</f>
        <v>0</v>
      </c>
    </row>
    <row r="49" spans="1:73">
      <c r="A49" s="1"/>
      <c r="B49" s="1" t="s">
        <v>183</v>
      </c>
      <c r="C49" s="1" t="s">
        <v>184</v>
      </c>
      <c r="D49" s="1" t="s">
        <v>185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>
        <v>15</v>
      </c>
      <c r="AV49" s="4"/>
      <c r="AW49" s="2"/>
      <c r="AX49" s="2"/>
      <c r="AY49" s="2">
        <v>15</v>
      </c>
      <c r="AZ49" s="2"/>
      <c r="BA49" s="2">
        <v>10</v>
      </c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9</v>
      </c>
      <c r="BR49" s="17">
        <v>1</v>
      </c>
      <c r="BS49" s="17" t="s">
        <v>256</v>
      </c>
      <c r="BT49">
        <f>SUM(P49:AD49)</f>
        <v>0</v>
      </c>
      <c r="BU49" s="23">
        <f>AF49+AH49+AI49+AJ49+AO49+AP49</f>
        <v>0</v>
      </c>
    </row>
    <row r="50" spans="1:73">
      <c r="A50" s="1"/>
      <c r="B50" s="1" t="s">
        <v>152</v>
      </c>
      <c r="C50" s="1" t="s">
        <v>83</v>
      </c>
      <c r="D50" s="1" t="s">
        <v>84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>
        <v>15</v>
      </c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>
        <v>15</v>
      </c>
      <c r="BC50" s="14"/>
      <c r="BD50" s="1"/>
      <c r="BE50" s="1"/>
      <c r="BF50" s="1"/>
      <c r="BG50" s="1"/>
      <c r="BH50" s="1">
        <v>15</v>
      </c>
      <c r="BI50" s="1">
        <v>15</v>
      </c>
      <c r="BJ50" s="1"/>
      <c r="BK50" s="1"/>
      <c r="BL50" s="1"/>
      <c r="BM50" s="1"/>
      <c r="BN50" s="1"/>
      <c r="BO50" s="1"/>
      <c r="BP50" s="1">
        <f>SUM(E50:BO50)</f>
        <v>60</v>
      </c>
      <c r="BQ50" s="1">
        <v>13</v>
      </c>
      <c r="BR50" s="17">
        <v>1</v>
      </c>
      <c r="BS50" s="17" t="s">
        <v>269</v>
      </c>
      <c r="BT50">
        <f>SUM(P50:AD50)</f>
        <v>0</v>
      </c>
      <c r="BU50" s="23">
        <f>AF50+AH50+AI50+AJ50+AO50+AP50</f>
        <v>0</v>
      </c>
    </row>
    <row r="51" spans="1:73">
      <c r="A51" s="18">
        <v>64</v>
      </c>
      <c r="B51" s="24" t="s">
        <v>48</v>
      </c>
      <c r="C51" s="18" t="s">
        <v>43</v>
      </c>
      <c r="D51" s="18" t="s">
        <v>0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/>
      <c r="AJ51" s="18"/>
      <c r="AK51" s="18"/>
      <c r="AL51" s="18"/>
      <c r="AM51" s="18"/>
      <c r="AN51" s="18">
        <v>15</v>
      </c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>
        <f>SUM(E51:BO51)</f>
        <v>15</v>
      </c>
      <c r="BQ51" s="18">
        <v>13</v>
      </c>
      <c r="BR51" s="22">
        <v>1</v>
      </c>
      <c r="BS51" s="22" t="s">
        <v>278</v>
      </c>
      <c r="BT51">
        <f>SUM(P51:AD51)</f>
        <v>0</v>
      </c>
      <c r="BU51" s="23">
        <f>AF51+AH51+AI51+AJ51+AO51+AP51</f>
        <v>0</v>
      </c>
    </row>
    <row r="52" spans="1:73">
      <c r="A52" s="1">
        <v>98</v>
      </c>
      <c r="B52" s="3" t="s">
        <v>143</v>
      </c>
      <c r="C52" s="3" t="s">
        <v>52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>
        <v>50</v>
      </c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50</v>
      </c>
      <c r="BQ52" s="1">
        <v>42</v>
      </c>
      <c r="BR52" s="17">
        <v>1</v>
      </c>
      <c r="BS52" s="17" t="s">
        <v>279</v>
      </c>
      <c r="BT52">
        <f>SUM(P52:AD52)</f>
        <v>0</v>
      </c>
      <c r="BU52" s="23">
        <f>AF52+AH52+AI52+AJ52+AO52+AP52</f>
        <v>0</v>
      </c>
    </row>
    <row r="53" spans="1:73">
      <c r="A53" s="1">
        <v>99</v>
      </c>
      <c r="B53" s="3" t="s">
        <v>143</v>
      </c>
      <c r="C53" s="3" t="s">
        <v>52</v>
      </c>
      <c r="D53" s="1" t="s">
        <v>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>
        <v>200</v>
      </c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200</v>
      </c>
      <c r="BQ53" s="1">
        <v>192</v>
      </c>
      <c r="BR53" s="17">
        <v>1</v>
      </c>
      <c r="BS53" s="17" t="s">
        <v>280</v>
      </c>
      <c r="BT53">
        <f>SUM(P53:AD53)</f>
        <v>0</v>
      </c>
      <c r="BU53" s="23">
        <f>AF53+AH53+AI53+AJ53+AO53+AP53</f>
        <v>0</v>
      </c>
    </row>
    <row r="54" spans="1:73" ht="27" hidden="1">
      <c r="A54" s="1"/>
      <c r="B54" s="1" t="s">
        <v>112</v>
      </c>
      <c r="C54" s="1" t="s">
        <v>100</v>
      </c>
      <c r="D54" s="1" t="s">
        <v>102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3</v>
      </c>
      <c r="BR54" s="17">
        <v>2</v>
      </c>
      <c r="BS54" s="17" t="s">
        <v>245</v>
      </c>
      <c r="BT54">
        <f>SUM(P54:AD54)</f>
        <v>17</v>
      </c>
      <c r="BU54" s="23">
        <f>AF54+AH54+AI54+AJ54+AO54+AP54</f>
        <v>0</v>
      </c>
    </row>
    <row r="55" spans="1:73" ht="27" hidden="1">
      <c r="A55" s="1"/>
      <c r="B55" s="1" t="s">
        <v>117</v>
      </c>
      <c r="C55" s="1" t="s">
        <v>100</v>
      </c>
      <c r="D55" s="1" t="s">
        <v>102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3</v>
      </c>
      <c r="BR55" s="17">
        <v>2</v>
      </c>
      <c r="BS55" s="17" t="s">
        <v>245</v>
      </c>
      <c r="BT55">
        <f>SUM(P55:AD55)</f>
        <v>17</v>
      </c>
      <c r="BU55" s="23">
        <f>AF55+AH55+AI55+AJ55+AO55+AP55</f>
        <v>0</v>
      </c>
    </row>
    <row r="56" spans="1:73" s="58" customFormat="1" ht="27" hidden="1">
      <c r="A56" s="1"/>
      <c r="B56" s="1" t="s">
        <v>125</v>
      </c>
      <c r="C56" s="1" t="s">
        <v>123</v>
      </c>
      <c r="D56" s="1" t="s">
        <v>102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3</v>
      </c>
      <c r="BR56" s="17">
        <v>2</v>
      </c>
      <c r="BS56" s="17" t="s">
        <v>245</v>
      </c>
      <c r="BT56">
        <f>SUM(P56:AD56)</f>
        <v>17</v>
      </c>
      <c r="BU56" s="23">
        <f>AF56+AH56+AI56+AJ56+AO56+AP56</f>
        <v>0</v>
      </c>
    </row>
    <row r="57" spans="1:73" ht="27" hidden="1">
      <c r="A57" s="1"/>
      <c r="B57" s="1" t="s">
        <v>127</v>
      </c>
      <c r="C57" s="1" t="s">
        <v>128</v>
      </c>
      <c r="D57" s="1" t="s">
        <v>102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>
        <v>2</v>
      </c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3</v>
      </c>
      <c r="BR57" s="17">
        <v>2</v>
      </c>
      <c r="BS57" s="17" t="s">
        <v>281</v>
      </c>
      <c r="BT57">
        <f>SUM(P57:AD57)</f>
        <v>17</v>
      </c>
      <c r="BU57" s="23">
        <f>AF57+AH57+AI57+AJ57+AO57+AP57</f>
        <v>0</v>
      </c>
    </row>
    <row r="58" spans="1:73" ht="27" hidden="1">
      <c r="A58" s="1"/>
      <c r="B58" s="1" t="s">
        <v>121</v>
      </c>
      <c r="C58" s="1" t="s">
        <v>119</v>
      </c>
      <c r="D58" s="1" t="s">
        <v>102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>
        <v>2</v>
      </c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3</v>
      </c>
      <c r="BR58" s="17">
        <v>2</v>
      </c>
      <c r="BS58" s="17" t="s">
        <v>245</v>
      </c>
      <c r="BT58">
        <f>SUM(P58:AD58)</f>
        <v>17</v>
      </c>
      <c r="BU58" s="23">
        <f>AF58+AH58+AI58+AJ58+AO58+AP58</f>
        <v>0</v>
      </c>
    </row>
    <row r="59" spans="1:73" ht="27" hidden="1">
      <c r="A59" s="1"/>
      <c r="B59" s="1" t="s">
        <v>131</v>
      </c>
      <c r="C59" s="1" t="s">
        <v>130</v>
      </c>
      <c r="D59" s="1" t="s">
        <v>102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>
        <v>2</v>
      </c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3</v>
      </c>
      <c r="BR59" s="17">
        <v>2</v>
      </c>
      <c r="BS59" s="17" t="s">
        <v>281</v>
      </c>
      <c r="BT59">
        <f>SUM(P59:AD59)</f>
        <v>17</v>
      </c>
      <c r="BU59" s="23">
        <f>AF59+AH59+AI59+AJ59+AO59+AP59</f>
        <v>0</v>
      </c>
    </row>
    <row r="60" spans="1:73" ht="27" hidden="1">
      <c r="A60" s="1"/>
      <c r="B60" s="1" t="s">
        <v>136</v>
      </c>
      <c r="C60" s="1" t="s">
        <v>98</v>
      </c>
      <c r="D60" s="1" t="s">
        <v>138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3</v>
      </c>
      <c r="BR60" s="17">
        <v>2</v>
      </c>
      <c r="BS60" s="17" t="s">
        <v>281</v>
      </c>
      <c r="BT60">
        <f>SUM(P60:AD60)</f>
        <v>17</v>
      </c>
      <c r="BU60" s="23">
        <f>AF60+AH60+AI60+AJ60+AO60+AP60</f>
        <v>0</v>
      </c>
    </row>
    <row r="61" spans="1:73" ht="27" hidden="1">
      <c r="A61" s="1"/>
      <c r="B61" s="3" t="s">
        <v>209</v>
      </c>
      <c r="C61" s="3" t="s">
        <v>24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3</v>
      </c>
      <c r="BR61" s="17">
        <v>2</v>
      </c>
      <c r="BS61" s="17" t="s">
        <v>281</v>
      </c>
      <c r="BT61">
        <f>SUM(P61:AD61)</f>
        <v>17</v>
      </c>
      <c r="BU61" s="23">
        <f>AF61+AH61+AI61+AJ61+AO61+AP61</f>
        <v>0</v>
      </c>
    </row>
    <row r="62" spans="1:73" ht="27" hidden="1">
      <c r="A62" s="1"/>
      <c r="B62" s="3" t="s">
        <v>212</v>
      </c>
      <c r="C62" s="3" t="s">
        <v>213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3</v>
      </c>
      <c r="BR62" s="17">
        <v>2</v>
      </c>
      <c r="BS62" s="17" t="s">
        <v>281</v>
      </c>
      <c r="BT62">
        <f>SUM(P62:AD62)</f>
        <v>17</v>
      </c>
      <c r="BU62" s="23">
        <f>AF62+AH62+AI62+AJ62+AO62+AP62</f>
        <v>0</v>
      </c>
    </row>
    <row r="63" spans="1:73" ht="27" hidden="1">
      <c r="A63" s="1"/>
      <c r="B63" s="3" t="s">
        <v>214</v>
      </c>
      <c r="C63" s="3" t="s">
        <v>213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3</v>
      </c>
      <c r="BR63" s="17">
        <v>2</v>
      </c>
      <c r="BS63" s="17" t="s">
        <v>281</v>
      </c>
      <c r="BT63">
        <f>SUM(P63:AD63)</f>
        <v>17</v>
      </c>
      <c r="BU63" s="23">
        <f>AF63+AH63+AI63+AJ63+AO63+AP63</f>
        <v>0</v>
      </c>
    </row>
    <row r="64" spans="1:73" ht="27" hidden="1">
      <c r="A64" s="1"/>
      <c r="B64" s="3" t="s">
        <v>216</v>
      </c>
      <c r="C64" s="3" t="s">
        <v>99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3</v>
      </c>
      <c r="BR64" s="17">
        <v>2</v>
      </c>
      <c r="BS64" s="17" t="s">
        <v>281</v>
      </c>
      <c r="BT64">
        <f>SUM(P64:AD64)</f>
        <v>17</v>
      </c>
      <c r="BU64" s="23">
        <f>AF64+AH64+AI64+AJ64+AO64+AP64</f>
        <v>0</v>
      </c>
    </row>
    <row r="65" spans="1:73" ht="27" hidden="1">
      <c r="A65" s="1"/>
      <c r="B65" s="3" t="s">
        <v>219</v>
      </c>
      <c r="C65" s="3" t="s">
        <v>99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3</v>
      </c>
      <c r="BR65" s="17">
        <v>2</v>
      </c>
      <c r="BS65" s="17" t="s">
        <v>245</v>
      </c>
      <c r="BT65">
        <f>SUM(P65:AD65)</f>
        <v>17</v>
      </c>
      <c r="BU65" s="23">
        <f>AF65+AH65+AI65+AJ65+AO65+AP65</f>
        <v>0</v>
      </c>
    </row>
    <row r="66" spans="1:73" ht="27" hidden="1">
      <c r="A66" s="1"/>
      <c r="B66" s="1" t="s">
        <v>126</v>
      </c>
      <c r="C66" s="1" t="s">
        <v>128</v>
      </c>
      <c r="D66" s="1" t="s">
        <v>102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>
        <v>10</v>
      </c>
      <c r="W66" s="28"/>
      <c r="X66" s="28"/>
      <c r="Y66" s="28">
        <v>10</v>
      </c>
      <c r="Z66" s="28"/>
      <c r="AA66" s="28"/>
      <c r="AB66" s="28">
        <v>10</v>
      </c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35</v>
      </c>
      <c r="BQ66" s="1">
        <v>5</v>
      </c>
      <c r="BR66" s="17">
        <v>2</v>
      </c>
      <c r="BS66" s="17" t="s">
        <v>282</v>
      </c>
      <c r="BT66">
        <f>SUM(P66:AD66)</f>
        <v>35</v>
      </c>
      <c r="BU66" s="23">
        <f>AF66+AH66+AI66+AJ66+AO66+AP66</f>
        <v>0</v>
      </c>
    </row>
    <row r="67" spans="1:73" ht="27" hidden="1">
      <c r="A67" s="1"/>
      <c r="B67" s="1" t="s">
        <v>134</v>
      </c>
      <c r="C67" s="1" t="s">
        <v>130</v>
      </c>
      <c r="D67" s="1" t="s">
        <v>102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>
        <v>5</v>
      </c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35</v>
      </c>
      <c r="BQ67" s="1">
        <v>5</v>
      </c>
      <c r="BR67" s="17">
        <v>2</v>
      </c>
      <c r="BS67" s="17" t="s">
        <v>283</v>
      </c>
      <c r="BT67">
        <f>SUM(P67:AD67)</f>
        <v>35</v>
      </c>
      <c r="BU67" s="23">
        <f>AF67+AH67+AI67+AJ67+AO67+AP67</f>
        <v>0</v>
      </c>
    </row>
    <row r="68" spans="1:73" ht="27" hidden="1">
      <c r="A68" s="1"/>
      <c r="B68" s="1" t="s">
        <v>135</v>
      </c>
      <c r="C68" s="1" t="s">
        <v>130</v>
      </c>
      <c r="D68" s="1" t="s">
        <v>102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>
        <v>5</v>
      </c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35</v>
      </c>
      <c r="BQ68" s="1">
        <v>5</v>
      </c>
      <c r="BR68" s="17">
        <v>2</v>
      </c>
      <c r="BS68" s="17" t="s">
        <v>282</v>
      </c>
      <c r="BT68">
        <f>SUM(P68:AD68)</f>
        <v>35</v>
      </c>
      <c r="BU68" s="23">
        <f>AF68+AH68+AI68+AJ68+AO68+AP68</f>
        <v>0</v>
      </c>
    </row>
    <row r="69" spans="1:73" ht="27" hidden="1">
      <c r="A69" s="1"/>
      <c r="B69" s="3" t="s">
        <v>208</v>
      </c>
      <c r="C69" s="3" t="s">
        <v>50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35</v>
      </c>
      <c r="BQ69" s="1">
        <v>5</v>
      </c>
      <c r="BR69" s="17">
        <v>2</v>
      </c>
      <c r="BS69" s="17" t="s">
        <v>283</v>
      </c>
      <c r="BT69">
        <f>SUM(P69:AD69)</f>
        <v>35</v>
      </c>
      <c r="BU69" s="23">
        <f>AF69+AH69+AI69+AJ69+AO69+AP69</f>
        <v>0</v>
      </c>
    </row>
    <row r="70" spans="1:73" ht="27" hidden="1">
      <c r="A70" s="1"/>
      <c r="B70" s="3" t="s">
        <v>217</v>
      </c>
      <c r="C70" s="3" t="s">
        <v>99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35</v>
      </c>
      <c r="BQ70" s="1">
        <v>5</v>
      </c>
      <c r="BR70" s="17">
        <v>2</v>
      </c>
      <c r="BS70" s="17" t="s">
        <v>282</v>
      </c>
      <c r="BT70">
        <f>SUM(P70:AD70)</f>
        <v>35</v>
      </c>
      <c r="BU70" s="23">
        <f>AF70+AH70+AI70+AJ70+AO70+AP70</f>
        <v>0</v>
      </c>
    </row>
    <row r="71" spans="1:73" ht="27" hidden="1">
      <c r="A71" s="1"/>
      <c r="B71" s="1" t="s">
        <v>118</v>
      </c>
      <c r="C71" s="1" t="s">
        <v>119</v>
      </c>
      <c r="D71" s="1" t="s">
        <v>102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35</v>
      </c>
      <c r="BQ71" s="1">
        <v>6</v>
      </c>
      <c r="BR71" s="17">
        <v>2</v>
      </c>
      <c r="BS71" s="17" t="s">
        <v>284</v>
      </c>
      <c r="BT71">
        <f>SUM(P71:AD71)</f>
        <v>35</v>
      </c>
      <c r="BU71" s="23">
        <f>AF71+AH71+AI71+AJ71+AO71+AP71</f>
        <v>0</v>
      </c>
    </row>
    <row r="72" spans="1:73" ht="27" hidden="1">
      <c r="A72" s="1"/>
      <c r="B72" s="1" t="s">
        <v>124</v>
      </c>
      <c r="C72" s="1" t="s">
        <v>123</v>
      </c>
      <c r="D72" s="1" t="s">
        <v>102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35</v>
      </c>
      <c r="BQ72" s="1">
        <v>6</v>
      </c>
      <c r="BR72" s="17">
        <v>2</v>
      </c>
      <c r="BS72" s="17" t="s">
        <v>284</v>
      </c>
      <c r="BT72">
        <f>SUM(P72:AD72)</f>
        <v>35</v>
      </c>
      <c r="BU72" s="23">
        <f>AF72+AH72+AI72+AJ72+AO72+AP72</f>
        <v>0</v>
      </c>
    </row>
    <row r="73" spans="1:73" ht="27" hidden="1">
      <c r="A73" s="1"/>
      <c r="B73" s="3" t="s">
        <v>242</v>
      </c>
      <c r="C73" s="3" t="s">
        <v>50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>
        <v>10</v>
      </c>
      <c r="W73" s="28"/>
      <c r="X73" s="28"/>
      <c r="Y73" s="28">
        <v>10</v>
      </c>
      <c r="Z73" s="28"/>
      <c r="AA73" s="28"/>
      <c r="AB73" s="28">
        <v>10</v>
      </c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35</v>
      </c>
      <c r="BQ73" s="1">
        <v>6</v>
      </c>
      <c r="BR73" s="17">
        <v>2</v>
      </c>
      <c r="BS73" s="17" t="s">
        <v>285</v>
      </c>
      <c r="BT73">
        <f>SUM(P73:AD73)</f>
        <v>35</v>
      </c>
      <c r="BU73" s="23">
        <f>AF73+AH73+AI73+AJ73+AO73+AP73</f>
        <v>0</v>
      </c>
    </row>
    <row r="74" spans="1:73" ht="27" hidden="1">
      <c r="A74" s="1"/>
      <c r="B74" s="3" t="s">
        <v>218</v>
      </c>
      <c r="C74" s="3" t="s">
        <v>99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>
        <v>10</v>
      </c>
      <c r="W74" s="28"/>
      <c r="X74" s="28"/>
      <c r="Y74" s="28">
        <v>10</v>
      </c>
      <c r="Z74" s="28"/>
      <c r="AA74" s="28"/>
      <c r="AB74" s="28">
        <v>10</v>
      </c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35</v>
      </c>
      <c r="BQ74" s="1">
        <v>6</v>
      </c>
      <c r="BR74" s="17">
        <v>2</v>
      </c>
      <c r="BS74" s="17" t="s">
        <v>284</v>
      </c>
      <c r="BT74">
        <f>SUM(P74:AD74)</f>
        <v>35</v>
      </c>
      <c r="BU74" s="23">
        <f>AF74+AH74+AI74+AJ74+AO74+AP74</f>
        <v>0</v>
      </c>
    </row>
    <row r="75" spans="1:73" ht="27" hidden="1">
      <c r="A75" s="1"/>
      <c r="B75" s="1" t="s">
        <v>94</v>
      </c>
      <c r="C75" s="1" t="s">
        <v>87</v>
      </c>
      <c r="D75" s="1" t="s">
        <v>84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>
        <v>5</v>
      </c>
      <c r="AP75" s="1">
        <v>1</v>
      </c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6</v>
      </c>
      <c r="BQ75" s="1">
        <v>6</v>
      </c>
      <c r="BR75" s="17">
        <v>2</v>
      </c>
      <c r="BS75" s="17" t="s">
        <v>247</v>
      </c>
      <c r="BT75">
        <f>SUM(P75:AD75)</f>
        <v>0</v>
      </c>
      <c r="BU75" s="23">
        <f>AF75+AH75+AI75+AJ75+AO75+AP75</f>
        <v>6</v>
      </c>
    </row>
    <row r="76" spans="1:73" ht="27" hidden="1">
      <c r="A76" s="1"/>
      <c r="B76" s="1" t="s">
        <v>179</v>
      </c>
      <c r="C76" s="1" t="s">
        <v>24</v>
      </c>
      <c r="D76" s="1" t="s">
        <v>19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>
        <v>5</v>
      </c>
      <c r="AP76" s="1">
        <v>1</v>
      </c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6</v>
      </c>
      <c r="BQ76" s="1">
        <v>6</v>
      </c>
      <c r="BR76" s="17">
        <v>2</v>
      </c>
      <c r="BS76" s="17" t="s">
        <v>247</v>
      </c>
      <c r="BT76">
        <f>SUM(P76:AD76)</f>
        <v>0</v>
      </c>
      <c r="BU76" s="23">
        <f>AF76+AH76+AI76+AJ76+AO76+AP76</f>
        <v>6</v>
      </c>
    </row>
    <row r="77" spans="1:73" ht="27" hidden="1">
      <c r="A77" s="1"/>
      <c r="B77" s="1" t="s">
        <v>125</v>
      </c>
      <c r="C77" s="1" t="s">
        <v>123</v>
      </c>
      <c r="D77" s="1" t="s">
        <v>103</v>
      </c>
      <c r="E77" s="6"/>
      <c r="F77" s="6"/>
      <c r="G77" s="6"/>
      <c r="H77" s="6"/>
      <c r="I77" s="6">
        <v>7</v>
      </c>
      <c r="J77" s="6"/>
      <c r="K77" s="6"/>
      <c r="L77" s="6"/>
      <c r="M77" s="6"/>
      <c r="N77" s="6"/>
      <c r="O77" s="6"/>
      <c r="P77" s="28"/>
      <c r="Q77" s="28">
        <v>7</v>
      </c>
      <c r="R77" s="28">
        <v>7</v>
      </c>
      <c r="S77" s="28"/>
      <c r="T77" s="28">
        <v>7</v>
      </c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28</v>
      </c>
      <c r="BQ77" s="1">
        <v>7</v>
      </c>
      <c r="BR77" s="17">
        <v>2</v>
      </c>
      <c r="BS77" s="17" t="s">
        <v>248</v>
      </c>
      <c r="BT77">
        <f>SUM(P77:AD77)</f>
        <v>21</v>
      </c>
      <c r="BU77" s="23">
        <f>AF77+AH77+AI77+AJ77+AO77+AP77</f>
        <v>0</v>
      </c>
    </row>
    <row r="78" spans="1:73" s="66" customFormat="1" ht="27" hidden="1">
      <c r="A78" s="1"/>
      <c r="B78" s="1" t="s">
        <v>90</v>
      </c>
      <c r="C78" s="1" t="s">
        <v>87</v>
      </c>
      <c r="D78" s="1" t="s">
        <v>91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>
        <v>3</v>
      </c>
      <c r="AP78" s="1">
        <v>5</v>
      </c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8</v>
      </c>
      <c r="BQ78" s="1">
        <v>8</v>
      </c>
      <c r="BR78" s="17">
        <v>2</v>
      </c>
      <c r="BS78" s="17" t="s">
        <v>286</v>
      </c>
      <c r="BT78">
        <f>SUM(P78:AD78)</f>
        <v>0</v>
      </c>
      <c r="BU78" s="23">
        <f>AF78+AH78+AI78+AJ78+AO78+AP78</f>
        <v>8</v>
      </c>
    </row>
    <row r="79" spans="1:73" ht="27" hidden="1">
      <c r="A79" s="1"/>
      <c r="B79" s="1" t="s">
        <v>112</v>
      </c>
      <c r="C79" s="1" t="s">
        <v>100</v>
      </c>
      <c r="D79" s="1" t="s">
        <v>103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>
        <v>10</v>
      </c>
      <c r="P79" s="28"/>
      <c r="Q79" s="28"/>
      <c r="R79" s="28">
        <v>10</v>
      </c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>
        <v>10</v>
      </c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8</v>
      </c>
      <c r="BR79" s="17">
        <v>2</v>
      </c>
      <c r="BS79" s="17" t="s">
        <v>287</v>
      </c>
      <c r="BT79">
        <f>SUM(P79:AD79)</f>
        <v>20</v>
      </c>
      <c r="BU79" s="23">
        <f>AF79+AH79+AI79+AJ79+AO79+AP79</f>
        <v>0</v>
      </c>
    </row>
    <row r="80" spans="1:73" ht="27" hidden="1">
      <c r="A80" s="1"/>
      <c r="B80" s="3" t="s">
        <v>205</v>
      </c>
      <c r="C80" s="3" t="s">
        <v>50</v>
      </c>
      <c r="D80" s="1" t="s">
        <v>207</v>
      </c>
      <c r="E80" s="6"/>
      <c r="F80" s="6"/>
      <c r="G80" s="6"/>
      <c r="H80" s="6"/>
      <c r="I80" s="6"/>
      <c r="J80" s="6"/>
      <c r="K80" s="6"/>
      <c r="L80" s="6"/>
      <c r="M80" s="6">
        <v>10</v>
      </c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>
        <v>10</v>
      </c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9</v>
      </c>
      <c r="BR80" s="17">
        <v>2</v>
      </c>
      <c r="BS80" s="17" t="s">
        <v>249</v>
      </c>
      <c r="BT80">
        <f>SUM(P80:AD80)</f>
        <v>20</v>
      </c>
      <c r="BU80" s="23">
        <f>AF80+AH80+AI80+AJ80+AO80+AP80</f>
        <v>0</v>
      </c>
    </row>
    <row r="81" spans="1:73" ht="27" hidden="1">
      <c r="A81" s="1"/>
      <c r="B81" s="3" t="s">
        <v>209</v>
      </c>
      <c r="C81" s="3" t="s">
        <v>24</v>
      </c>
      <c r="D81" s="1" t="s">
        <v>207</v>
      </c>
      <c r="E81" s="6"/>
      <c r="F81" s="6"/>
      <c r="G81" s="6"/>
      <c r="H81" s="6"/>
      <c r="I81" s="6"/>
      <c r="J81" s="6"/>
      <c r="K81" s="6"/>
      <c r="L81" s="6"/>
      <c r="M81" s="6">
        <v>10</v>
      </c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>
        <v>10</v>
      </c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>
        <v>10</v>
      </c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9</v>
      </c>
      <c r="BR81" s="17">
        <v>2</v>
      </c>
      <c r="BS81" s="17" t="s">
        <v>288</v>
      </c>
      <c r="BT81">
        <f>SUM(P81:AD81)</f>
        <v>20</v>
      </c>
      <c r="BU81" s="23">
        <f>AF81+AH81+AI81+AJ81+AO81+AP81</f>
        <v>0</v>
      </c>
    </row>
    <row r="82" spans="1:73" ht="27" hidden="1">
      <c r="A82" s="1"/>
      <c r="B82" s="3" t="s">
        <v>214</v>
      </c>
      <c r="C82" s="3" t="s">
        <v>213</v>
      </c>
      <c r="D82" s="1" t="s">
        <v>207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9</v>
      </c>
      <c r="BR82" s="17">
        <v>2</v>
      </c>
      <c r="BS82" s="17" t="s">
        <v>249</v>
      </c>
      <c r="BT82">
        <f>SUM(P82:AD82)</f>
        <v>20</v>
      </c>
      <c r="BU82" s="23">
        <f>AF82+AH82+AI82+AJ82+AO82+AP82</f>
        <v>0</v>
      </c>
    </row>
    <row r="83" spans="1:73" ht="27" hidden="1">
      <c r="A83" s="1"/>
      <c r="B83" s="3" t="s">
        <v>216</v>
      </c>
      <c r="C83" s="3" t="s">
        <v>99</v>
      </c>
      <c r="D83" s="1" t="s">
        <v>207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9</v>
      </c>
      <c r="BR83" s="17">
        <v>2</v>
      </c>
      <c r="BS83" s="17" t="s">
        <v>288</v>
      </c>
      <c r="BT83">
        <f>SUM(P83:AD83)</f>
        <v>20</v>
      </c>
      <c r="BU83" s="23">
        <f>AF83+AH83+AI83+AJ83+AO83+AP83</f>
        <v>0</v>
      </c>
    </row>
    <row r="84" spans="1:73" ht="27" hidden="1">
      <c r="A84" s="1">
        <v>27</v>
      </c>
      <c r="B84" s="1" t="s">
        <v>57</v>
      </c>
      <c r="C84" s="1" t="s">
        <v>24</v>
      </c>
      <c r="D84" s="1" t="s">
        <v>18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>
        <v>5</v>
      </c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10</v>
      </c>
      <c r="BQ84" s="1">
        <v>10</v>
      </c>
      <c r="BR84" s="17">
        <v>2</v>
      </c>
      <c r="BS84" s="17" t="s">
        <v>291</v>
      </c>
      <c r="BT84">
        <f>SUM(P84:AD84)</f>
        <v>0</v>
      </c>
      <c r="BU84" s="23">
        <f>AF84+AH84+AI84+AJ84+AO84+AP84</f>
        <v>10</v>
      </c>
    </row>
    <row r="85" spans="1:73" ht="27" hidden="1">
      <c r="A85" s="1">
        <v>88</v>
      </c>
      <c r="B85" s="3" t="s">
        <v>62</v>
      </c>
      <c r="C85" s="3" t="s">
        <v>63</v>
      </c>
      <c r="D85" s="1" t="s">
        <v>18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>
        <v>5</v>
      </c>
      <c r="AI85" s="1">
        <v>5</v>
      </c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10</v>
      </c>
      <c r="BQ85" s="1">
        <v>10</v>
      </c>
      <c r="BR85" s="17">
        <v>2</v>
      </c>
      <c r="BS85" s="17" t="s">
        <v>292</v>
      </c>
      <c r="BT85">
        <f>SUM(P85:AD85)</f>
        <v>0</v>
      </c>
      <c r="BU85" s="23">
        <f>AF85+AH85+AI85+AJ85+AO85+AP85</f>
        <v>10</v>
      </c>
    </row>
    <row r="86" spans="1:73" ht="27" hidden="1">
      <c r="A86" s="1"/>
      <c r="B86" s="1" t="s">
        <v>118</v>
      </c>
      <c r="C86" s="1" t="s">
        <v>119</v>
      </c>
      <c r="D86" s="1" t="s">
        <v>103</v>
      </c>
      <c r="E86" s="6">
        <v>10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>
        <v>10</v>
      </c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13</v>
      </c>
      <c r="BR86" s="17">
        <v>2</v>
      </c>
      <c r="BS86" s="17" t="s">
        <v>295</v>
      </c>
      <c r="BT86">
        <f>SUM(P86:AD86)</f>
        <v>20</v>
      </c>
      <c r="BU86" s="23">
        <f>AF86+AH86+AI86+AJ86+AO86+AP86</f>
        <v>0</v>
      </c>
    </row>
    <row r="87" spans="1:73" ht="27" hidden="1">
      <c r="A87" s="1"/>
      <c r="B87" s="1" t="s">
        <v>124</v>
      </c>
      <c r="C87" s="1" t="s">
        <v>123</v>
      </c>
      <c r="D87" s="1" t="s">
        <v>103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13</v>
      </c>
      <c r="BR87" s="17">
        <v>2</v>
      </c>
      <c r="BS87" s="17" t="s">
        <v>295</v>
      </c>
      <c r="BT87">
        <f>SUM(P87:AD87)</f>
        <v>20</v>
      </c>
      <c r="BU87" s="23">
        <f>AF87+AH87+AI87+AJ87+AO87+AP87</f>
        <v>0</v>
      </c>
    </row>
    <row r="88" spans="1:73" ht="27" hidden="1">
      <c r="A88" s="59"/>
      <c r="B88" s="59" t="s">
        <v>204</v>
      </c>
      <c r="C88" s="59" t="s">
        <v>130</v>
      </c>
      <c r="D88" s="59" t="s">
        <v>103</v>
      </c>
      <c r="E88" s="60">
        <v>10</v>
      </c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1"/>
      <c r="Q88" s="61"/>
      <c r="R88" s="61">
        <v>10</v>
      </c>
      <c r="S88" s="61"/>
      <c r="T88" s="61"/>
      <c r="U88" s="61">
        <v>10</v>
      </c>
      <c r="V88" s="61"/>
      <c r="W88" s="61"/>
      <c r="X88" s="61"/>
      <c r="Y88" s="61"/>
      <c r="Z88" s="61"/>
      <c r="AA88" s="61"/>
      <c r="AB88" s="61"/>
      <c r="AC88" s="61"/>
      <c r="AD88" s="61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62"/>
      <c r="AR88" s="62"/>
      <c r="AS88" s="62"/>
      <c r="AT88" s="62"/>
      <c r="AU88" s="62">
        <v>10</v>
      </c>
      <c r="AV88" s="62"/>
      <c r="AW88" s="63"/>
      <c r="AX88" s="63"/>
      <c r="AY88" s="63"/>
      <c r="AZ88" s="63"/>
      <c r="BA88" s="63"/>
      <c r="BB88" s="63"/>
      <c r="BC88" s="64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>
        <f>SUM(E88:BO88)</f>
        <v>40</v>
      </c>
      <c r="BQ88" s="59">
        <v>13</v>
      </c>
      <c r="BR88" s="65">
        <v>2</v>
      </c>
      <c r="BS88" s="65" t="s">
        <v>295</v>
      </c>
      <c r="BT88">
        <f>SUM(P88:AD88)</f>
        <v>20</v>
      </c>
      <c r="BU88" s="23">
        <f>AF88+AH88+AI88+AJ88+AO88+AP88</f>
        <v>0</v>
      </c>
    </row>
    <row r="89" spans="1:73" ht="27" hidden="1">
      <c r="A89" s="1"/>
      <c r="B89" s="3" t="s">
        <v>243</v>
      </c>
      <c r="C89" s="3" t="s">
        <v>50</v>
      </c>
      <c r="D89" s="1" t="s">
        <v>207</v>
      </c>
      <c r="E89" s="6">
        <v>10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>
        <v>10</v>
      </c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>
        <v>10</v>
      </c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13</v>
      </c>
      <c r="BR89" s="17">
        <v>2</v>
      </c>
      <c r="BS89" s="17" t="s">
        <v>250</v>
      </c>
      <c r="BT89">
        <f>SUM(P89:AD89)</f>
        <v>20</v>
      </c>
      <c r="BU89" s="23">
        <f>AF89+AH89+AI89+AJ89+AO89+AP89</f>
        <v>0</v>
      </c>
    </row>
    <row r="90" spans="1:73" ht="27" hidden="1">
      <c r="A90" s="1"/>
      <c r="B90" s="3" t="s">
        <v>215</v>
      </c>
      <c r="C90" s="3" t="s">
        <v>213</v>
      </c>
      <c r="D90" s="1" t="s">
        <v>207</v>
      </c>
      <c r="E90" s="6"/>
      <c r="F90" s="6"/>
      <c r="G90" s="6"/>
      <c r="H90" s="6"/>
      <c r="I90" s="6"/>
      <c r="J90" s="6"/>
      <c r="K90" s="6">
        <v>10</v>
      </c>
      <c r="L90" s="6"/>
      <c r="M90" s="6"/>
      <c r="N90" s="6"/>
      <c r="O90" s="6"/>
      <c r="P90" s="28"/>
      <c r="Q90" s="28"/>
      <c r="R90" s="28"/>
      <c r="S90" s="28"/>
      <c r="T90" s="28"/>
      <c r="U90" s="28">
        <v>10</v>
      </c>
      <c r="V90" s="28"/>
      <c r="W90" s="28"/>
      <c r="X90" s="28"/>
      <c r="Y90" s="28"/>
      <c r="Z90" s="28"/>
      <c r="AA90" s="28">
        <v>10</v>
      </c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>
        <v>10</v>
      </c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14</v>
      </c>
      <c r="BR90" s="17">
        <v>2</v>
      </c>
      <c r="BS90" s="17" t="s">
        <v>296</v>
      </c>
      <c r="BT90">
        <f>SUM(P90:AD90)</f>
        <v>20</v>
      </c>
      <c r="BU90" s="23">
        <f>AF90+AH90+AI90+AJ90+AO90+AP90</f>
        <v>0</v>
      </c>
    </row>
    <row r="91" spans="1:73" ht="27" hidden="1">
      <c r="A91" s="1"/>
      <c r="B91" s="1" t="s">
        <v>126</v>
      </c>
      <c r="C91" s="1" t="s">
        <v>128</v>
      </c>
      <c r="D91" s="1" t="s">
        <v>103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14</v>
      </c>
      <c r="BR91" s="17">
        <v>2</v>
      </c>
      <c r="BS91" s="17" t="s">
        <v>296</v>
      </c>
      <c r="BT91">
        <f>SUM(P91:AD91)</f>
        <v>20</v>
      </c>
      <c r="BU91" s="23">
        <f>AF91+AH91+AI91+AJ91+AO91+AP91</f>
        <v>0</v>
      </c>
    </row>
    <row r="92" spans="1:73" ht="27" hidden="1">
      <c r="A92" s="1"/>
      <c r="B92" s="1" t="s">
        <v>135</v>
      </c>
      <c r="C92" s="1" t="s">
        <v>130</v>
      </c>
      <c r="D92" s="1" t="s">
        <v>103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14</v>
      </c>
      <c r="BR92" s="17">
        <v>2</v>
      </c>
      <c r="BS92" s="17" t="s">
        <v>297</v>
      </c>
      <c r="BT92">
        <f>SUM(P92:AD92)</f>
        <v>20</v>
      </c>
      <c r="BU92" s="23">
        <f>AF92+AH92+AI92+AJ92+AO92+AP92</f>
        <v>0</v>
      </c>
    </row>
    <row r="93" spans="1:73" ht="27" hidden="1">
      <c r="A93" s="1"/>
      <c r="B93" s="3" t="s">
        <v>208</v>
      </c>
      <c r="C93" s="3" t="s">
        <v>50</v>
      </c>
      <c r="D93" s="1" t="s">
        <v>207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14</v>
      </c>
      <c r="BR93" s="17">
        <v>2</v>
      </c>
      <c r="BS93" s="17" t="s">
        <v>297</v>
      </c>
      <c r="BT93">
        <f>SUM(P93:AD93)</f>
        <v>20</v>
      </c>
      <c r="BU93" s="23">
        <f>AF93+AH93+AI93+AJ93+AO93+AP93</f>
        <v>0</v>
      </c>
    </row>
    <row r="94" spans="1:73" ht="27">
      <c r="A94" s="1"/>
      <c r="B94" s="1" t="s">
        <v>155</v>
      </c>
      <c r="C94" s="1" t="s">
        <v>98</v>
      </c>
      <c r="D94" s="1" t="s">
        <v>85</v>
      </c>
      <c r="E94" s="6"/>
      <c r="F94" s="6"/>
      <c r="G94" s="6"/>
      <c r="H94" s="6">
        <v>10</v>
      </c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>
        <v>10</v>
      </c>
      <c r="AU94" s="4"/>
      <c r="AV94" s="4"/>
      <c r="AW94" s="2"/>
      <c r="AX94" s="2"/>
      <c r="AY94" s="2">
        <v>10</v>
      </c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14</v>
      </c>
      <c r="BR94" s="17">
        <v>2</v>
      </c>
      <c r="BS94" s="17" t="s">
        <v>299</v>
      </c>
      <c r="BT94">
        <f>SUM(P94:AD94)</f>
        <v>0</v>
      </c>
      <c r="BU94" s="23">
        <f>AF94+AH94+AI94+AJ94+AO94+AP94</f>
        <v>0</v>
      </c>
    </row>
    <row r="95" spans="1:73" s="58" customFormat="1" ht="27" hidden="1">
      <c r="A95" s="1"/>
      <c r="B95" s="1" t="s">
        <v>90</v>
      </c>
      <c r="C95" s="1" t="s">
        <v>87</v>
      </c>
      <c r="D95" s="1" t="s">
        <v>84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>
        <v>5</v>
      </c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>
        <v>5</v>
      </c>
      <c r="AP95" s="1">
        <v>10</v>
      </c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20</v>
      </c>
      <c r="BQ95" s="1">
        <v>15</v>
      </c>
      <c r="BR95" s="17">
        <v>2</v>
      </c>
      <c r="BS95" s="17" t="s">
        <v>298</v>
      </c>
      <c r="BT95">
        <f>SUM(P95:AD95)</f>
        <v>0</v>
      </c>
      <c r="BU95" s="23">
        <f>AF95+AH95+AI95+AJ95+AO95+AP95</f>
        <v>15</v>
      </c>
    </row>
    <row r="96" spans="1:73" ht="27">
      <c r="A96" s="1"/>
      <c r="B96" s="1" t="s">
        <v>157</v>
      </c>
      <c r="C96" s="1" t="s">
        <v>98</v>
      </c>
      <c r="D96" s="1" t="s">
        <v>84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10</v>
      </c>
      <c r="BB96" s="2">
        <v>10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20</v>
      </c>
      <c r="BQ96" s="1">
        <v>17</v>
      </c>
      <c r="BR96" s="17">
        <v>2</v>
      </c>
      <c r="BS96" s="17" t="s">
        <v>261</v>
      </c>
      <c r="BT96">
        <f>SUM(P96:AD96)</f>
        <v>0</v>
      </c>
      <c r="BU96" s="23">
        <f>AF96+AH96+AI96+AJ96+AO96+AP96</f>
        <v>0</v>
      </c>
    </row>
    <row r="97" spans="1:73" ht="27">
      <c r="A97" s="1"/>
      <c r="B97" s="1" t="s">
        <v>150</v>
      </c>
      <c r="C97" s="1" t="s">
        <v>123</v>
      </c>
      <c r="D97" s="1" t="s">
        <v>102</v>
      </c>
      <c r="E97" s="6">
        <v>15</v>
      </c>
      <c r="F97" s="6"/>
      <c r="G97" s="6"/>
      <c r="H97" s="6"/>
      <c r="I97" s="6"/>
      <c r="J97" s="6"/>
      <c r="K97" s="6"/>
      <c r="L97" s="6"/>
      <c r="M97" s="6">
        <v>15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>
        <v>15</v>
      </c>
      <c r="AX97" s="2"/>
      <c r="AY97" s="2"/>
      <c r="AZ97" s="2"/>
      <c r="BA97" s="2">
        <v>15</v>
      </c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19</v>
      </c>
      <c r="BR97" s="17">
        <v>2</v>
      </c>
      <c r="BS97" s="17" t="s">
        <v>293</v>
      </c>
      <c r="BT97">
        <f>SUM(P97:AD97)</f>
        <v>0</v>
      </c>
      <c r="BU97" s="23">
        <f>AF97+AH97+AI97+AJ97+AO97+AP97</f>
        <v>0</v>
      </c>
    </row>
    <row r="98" spans="1:73" ht="27" hidden="1">
      <c r="A98" s="1"/>
      <c r="B98" s="1" t="s">
        <v>90</v>
      </c>
      <c r="C98" s="1" t="s">
        <v>87</v>
      </c>
      <c r="D98" s="1" t="s">
        <v>85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10</v>
      </c>
      <c r="AP98" s="1">
        <v>10</v>
      </c>
      <c r="AQ98" s="4"/>
      <c r="AR98" s="4"/>
      <c r="AS98" s="4">
        <v>5</v>
      </c>
      <c r="AT98" s="4"/>
      <c r="AU98" s="4"/>
      <c r="AV98" s="4"/>
      <c r="AW98" s="2"/>
      <c r="AX98" s="2">
        <v>5</v>
      </c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30</v>
      </c>
      <c r="BQ98" s="1">
        <v>20</v>
      </c>
      <c r="BR98" s="17">
        <v>2</v>
      </c>
      <c r="BS98" s="17" t="s">
        <v>251</v>
      </c>
      <c r="BT98">
        <f>SUM(P98:AD98)</f>
        <v>0</v>
      </c>
      <c r="BU98" s="23">
        <f>AF98+AH98+AI98+AJ98+AO98+AP98</f>
        <v>20</v>
      </c>
    </row>
    <row r="99" spans="1:73" ht="27">
      <c r="A99" s="1">
        <v>95</v>
      </c>
      <c r="B99" s="3" t="s">
        <v>66</v>
      </c>
      <c r="C99" s="3" t="s">
        <v>52</v>
      </c>
      <c r="D99" s="1" t="s">
        <v>0</v>
      </c>
      <c r="E99" s="6"/>
      <c r="F99" s="6"/>
      <c r="G99" s="6"/>
      <c r="H99" s="6"/>
      <c r="I99" s="6"/>
      <c r="J99" s="6"/>
      <c r="K99" s="6"/>
      <c r="L99" s="6">
        <v>15</v>
      </c>
      <c r="M99" s="6"/>
      <c r="N99" s="6"/>
      <c r="O99" s="6">
        <v>15</v>
      </c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>
        <v>15</v>
      </c>
      <c r="BB99" s="2">
        <v>15</v>
      </c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60</v>
      </c>
      <c r="BQ99" s="1">
        <v>27</v>
      </c>
      <c r="BR99" s="17">
        <v>2</v>
      </c>
      <c r="BS99" s="17" t="s">
        <v>290</v>
      </c>
      <c r="BT99">
        <f>SUM(P99:AD99)</f>
        <v>0</v>
      </c>
      <c r="BU99" s="23">
        <f>AF99+AH99+AI99+AJ99+AO99+AP99</f>
        <v>0</v>
      </c>
    </row>
    <row r="100" spans="1:73" ht="27">
      <c r="A100" s="18">
        <v>65</v>
      </c>
      <c r="B100" s="24" t="s">
        <v>48</v>
      </c>
      <c r="C100" s="18" t="s">
        <v>43</v>
      </c>
      <c r="D100" s="18" t="s">
        <v>9</v>
      </c>
      <c r="E100" s="19"/>
      <c r="F100" s="19"/>
      <c r="G100" s="19">
        <v>10</v>
      </c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>
        <v>25</v>
      </c>
      <c r="AO100" s="18"/>
      <c r="AP100" s="18"/>
      <c r="AQ100" s="20"/>
      <c r="AR100" s="20"/>
      <c r="AS100" s="20"/>
      <c r="AT100" s="20"/>
      <c r="AU100" s="20"/>
      <c r="AV100" s="20">
        <v>10</v>
      </c>
      <c r="AW100" s="21"/>
      <c r="AX100" s="21"/>
      <c r="AY100" s="21"/>
      <c r="AZ100" s="21">
        <v>10</v>
      </c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>
        <f>SUM(E100:BO100)</f>
        <v>55</v>
      </c>
      <c r="BQ100" s="18">
        <v>27</v>
      </c>
      <c r="BR100" s="22">
        <v>2</v>
      </c>
      <c r="BS100" s="22" t="s">
        <v>252</v>
      </c>
      <c r="BT100">
        <f>SUM(P100:AD100)</f>
        <v>0</v>
      </c>
      <c r="BU100" s="23">
        <f>AF100+AH100+AI100+AJ100+AO100+AP100</f>
        <v>0</v>
      </c>
    </row>
    <row r="101" spans="1:73" ht="27">
      <c r="A101" s="1">
        <v>54</v>
      </c>
      <c r="B101" s="1" t="s">
        <v>42</v>
      </c>
      <c r="C101" s="1" t="s">
        <v>43</v>
      </c>
      <c r="D101" s="1" t="s">
        <v>0</v>
      </c>
      <c r="E101" s="6"/>
      <c r="F101" s="6">
        <v>15</v>
      </c>
      <c r="G101" s="6"/>
      <c r="H101" s="6">
        <v>15</v>
      </c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15</v>
      </c>
      <c r="AW101" s="2"/>
      <c r="AX101" s="2"/>
      <c r="AY101" s="2"/>
      <c r="AZ101" s="2"/>
      <c r="BA101" s="2">
        <v>15</v>
      </c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60</v>
      </c>
      <c r="BQ101" s="1">
        <v>29</v>
      </c>
      <c r="BR101" s="17">
        <v>2</v>
      </c>
      <c r="BS101" s="17" t="s">
        <v>301</v>
      </c>
      <c r="BT101">
        <f>SUM(P101:AD101)</f>
        <v>0</v>
      </c>
      <c r="BU101" s="23">
        <f>AF101+AH101+AI101+AJ101+AO101+AP101</f>
        <v>0</v>
      </c>
    </row>
    <row r="102" spans="1:73" ht="27">
      <c r="A102" s="59"/>
      <c r="B102" s="59" t="s">
        <v>142</v>
      </c>
      <c r="C102" s="59" t="s">
        <v>99</v>
      </c>
      <c r="D102" s="59" t="s">
        <v>84</v>
      </c>
      <c r="E102" s="60"/>
      <c r="F102" s="60"/>
      <c r="G102" s="60"/>
      <c r="H102" s="60"/>
      <c r="I102" s="60"/>
      <c r="J102" s="60"/>
      <c r="K102" s="60"/>
      <c r="L102" s="60">
        <v>20</v>
      </c>
      <c r="M102" s="60"/>
      <c r="N102" s="60"/>
      <c r="O102" s="60">
        <v>20</v>
      </c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62"/>
      <c r="AR102" s="62"/>
      <c r="AS102" s="62"/>
      <c r="AT102" s="62"/>
      <c r="AU102" s="62"/>
      <c r="AV102" s="62"/>
      <c r="AW102" s="63"/>
      <c r="AX102" s="63"/>
      <c r="AY102" s="63"/>
      <c r="AZ102" s="63"/>
      <c r="BA102" s="63">
        <v>20</v>
      </c>
      <c r="BB102" s="63">
        <v>20</v>
      </c>
      <c r="BC102" s="64"/>
      <c r="BD102" s="59"/>
      <c r="BE102" s="59"/>
      <c r="BF102" s="59"/>
      <c r="BG102" s="59"/>
      <c r="BH102" s="59"/>
      <c r="BI102" s="59"/>
      <c r="BJ102" s="59"/>
      <c r="BK102" s="59"/>
      <c r="BL102" s="59"/>
      <c r="BM102" s="59"/>
      <c r="BN102" s="59"/>
      <c r="BO102" s="59"/>
      <c r="BP102" s="59">
        <f>SUM(E102:BO102)</f>
        <v>80</v>
      </c>
      <c r="BQ102" s="59">
        <v>37</v>
      </c>
      <c r="BR102" s="65">
        <v>2</v>
      </c>
      <c r="BS102" s="65" t="s">
        <v>300</v>
      </c>
      <c r="BT102">
        <f>SUM(P102:AD102)</f>
        <v>0</v>
      </c>
      <c r="BU102" s="23">
        <f>AF102+AH102+AI102+AJ102+AO102+AP102</f>
        <v>0</v>
      </c>
    </row>
    <row r="103" spans="1:73" ht="27">
      <c r="A103" s="1">
        <v>23</v>
      </c>
      <c r="B103" s="1" t="s">
        <v>81</v>
      </c>
      <c r="C103" s="1" t="s">
        <v>24</v>
      </c>
      <c r="D103" s="1" t="s">
        <v>29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>
        <v>50</v>
      </c>
      <c r="BK103" s="1">
        <v>50</v>
      </c>
      <c r="BL103" s="1"/>
      <c r="BM103" s="1"/>
      <c r="BN103" s="1">
        <v>50</v>
      </c>
      <c r="BO103" s="1">
        <v>50</v>
      </c>
      <c r="BP103" s="1">
        <f>SUM(E103:BO103)</f>
        <v>200</v>
      </c>
      <c r="BQ103" s="1">
        <v>90</v>
      </c>
      <c r="BR103" s="17">
        <v>2</v>
      </c>
      <c r="BS103" s="17" t="s">
        <v>302</v>
      </c>
      <c r="BT103">
        <f>SUM(P103:AD103)</f>
        <v>0</v>
      </c>
      <c r="BU103" s="23">
        <f>AF103+AH103+AI103+AJ103+AO103+AP103</f>
        <v>0</v>
      </c>
    </row>
    <row r="104" spans="1:73" ht="27">
      <c r="A104" s="1"/>
      <c r="B104" s="1" t="s">
        <v>148</v>
      </c>
      <c r="C104" s="1" t="s">
        <v>95</v>
      </c>
      <c r="D104" s="1" t="s">
        <v>96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>
        <v>50</v>
      </c>
      <c r="BK104" s="1">
        <v>50</v>
      </c>
      <c r="BL104" s="1"/>
      <c r="BM104" s="1"/>
      <c r="BN104" s="1">
        <v>50</v>
      </c>
      <c r="BO104" s="1">
        <v>50</v>
      </c>
      <c r="BP104" s="1">
        <f>SUM(E104:BO104)</f>
        <v>200</v>
      </c>
      <c r="BQ104" s="1">
        <v>90</v>
      </c>
      <c r="BR104" s="17">
        <v>2</v>
      </c>
      <c r="BS104" s="17" t="s">
        <v>220</v>
      </c>
      <c r="BT104">
        <f>SUM(P104:AD104)</f>
        <v>0</v>
      </c>
      <c r="BU104" s="23">
        <f>AF104+AH104+AI104+AJ104+AO104+AP104</f>
        <v>0</v>
      </c>
    </row>
    <row r="105" spans="1:73" ht="27">
      <c r="A105" s="1"/>
      <c r="B105" s="1" t="s">
        <v>146</v>
      </c>
      <c r="C105" s="1" t="s">
        <v>129</v>
      </c>
      <c r="D105" s="1" t="s">
        <v>29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>
        <v>50</v>
      </c>
      <c r="BK105" s="1">
        <v>50</v>
      </c>
      <c r="BL105" s="1"/>
      <c r="BM105" s="1"/>
      <c r="BN105" s="1">
        <v>50</v>
      </c>
      <c r="BO105" s="1">
        <v>50</v>
      </c>
      <c r="BP105" s="1">
        <f>SUM(E105:BO105)</f>
        <v>200</v>
      </c>
      <c r="BQ105" s="1">
        <v>90</v>
      </c>
      <c r="BR105" s="17">
        <v>2</v>
      </c>
      <c r="BS105" s="17" t="s">
        <v>302</v>
      </c>
      <c r="BT105">
        <f>SUM(P105:AD105)</f>
        <v>0</v>
      </c>
      <c r="BU105" s="23">
        <f>AF105+AH105+AI105+AJ105+AO105+AP105</f>
        <v>0</v>
      </c>
    </row>
    <row r="106" spans="1:73" ht="27">
      <c r="A106" s="1">
        <v>102</v>
      </c>
      <c r="B106" s="3" t="s">
        <v>178</v>
      </c>
      <c r="C106" s="3" t="s">
        <v>52</v>
      </c>
      <c r="D106" s="1" t="s">
        <v>29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>
        <v>50</v>
      </c>
      <c r="BK106" s="1">
        <v>50</v>
      </c>
      <c r="BL106" s="1"/>
      <c r="BM106" s="1"/>
      <c r="BN106" s="1">
        <v>50</v>
      </c>
      <c r="BO106" s="1">
        <v>50</v>
      </c>
      <c r="BP106" s="1">
        <f>SUM(E106:BO106)</f>
        <v>200</v>
      </c>
      <c r="BQ106" s="1">
        <v>90</v>
      </c>
      <c r="BR106" s="17">
        <v>2</v>
      </c>
      <c r="BS106" s="17" t="s">
        <v>302</v>
      </c>
      <c r="BT106">
        <f>SUM(P106:AD106)</f>
        <v>0</v>
      </c>
      <c r="BU106" s="23">
        <f>AF106+AH106+AI106+AJ106+AO106+AP106</f>
        <v>0</v>
      </c>
    </row>
    <row r="107" spans="1:73" ht="40.5" hidden="1">
      <c r="A107" s="1"/>
      <c r="B107" s="3" t="s">
        <v>210</v>
      </c>
      <c r="C107" s="3" t="s">
        <v>211</v>
      </c>
      <c r="D107" s="1" t="s">
        <v>206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>
        <v>5</v>
      </c>
      <c r="U107" s="28"/>
      <c r="V107" s="28"/>
      <c r="W107" s="28">
        <v>5</v>
      </c>
      <c r="X107" s="28"/>
      <c r="Y107" s="28"/>
      <c r="Z107" s="28">
        <v>5</v>
      </c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20</v>
      </c>
      <c r="BQ107" s="1">
        <v>4</v>
      </c>
      <c r="BR107" s="17">
        <v>3</v>
      </c>
      <c r="BS107" s="17" t="s">
        <v>303</v>
      </c>
      <c r="BT107">
        <f>SUM(P107:AD107)</f>
        <v>20</v>
      </c>
      <c r="BU107" s="23">
        <f>AF107+AH107+AI107+AJ107+AO107+AP107</f>
        <v>0</v>
      </c>
    </row>
    <row r="108" spans="1:73" ht="40.5" hidden="1">
      <c r="A108" s="1"/>
      <c r="B108" s="3" t="s">
        <v>205</v>
      </c>
      <c r="C108" s="3" t="s">
        <v>50</v>
      </c>
      <c r="D108" s="1" t="s">
        <v>206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>
        <v>5</v>
      </c>
      <c r="U108" s="28"/>
      <c r="V108" s="28"/>
      <c r="W108" s="28">
        <v>5</v>
      </c>
      <c r="X108" s="28"/>
      <c r="Y108" s="28"/>
      <c r="Z108" s="28"/>
      <c r="AA108" s="28"/>
      <c r="AB108" s="28"/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20</v>
      </c>
      <c r="BQ108" s="1">
        <v>4</v>
      </c>
      <c r="BR108" s="17">
        <v>3</v>
      </c>
      <c r="BS108" s="17" t="s">
        <v>304</v>
      </c>
      <c r="BT108">
        <f>SUM(P108:AD108)</f>
        <v>20</v>
      </c>
      <c r="BU108" s="23">
        <f>AF108+AH108+AI108+AJ108+AO108+AP108</f>
        <v>0</v>
      </c>
    </row>
    <row r="109" spans="1:73" ht="40.5" hidden="1">
      <c r="A109" s="1"/>
      <c r="B109" s="3" t="s">
        <v>215</v>
      </c>
      <c r="C109" s="3" t="s">
        <v>213</v>
      </c>
      <c r="D109" s="1" t="s"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/>
      <c r="Z109" s="28">
        <v>5</v>
      </c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30</v>
      </c>
      <c r="BQ109" s="1">
        <v>6</v>
      </c>
      <c r="BR109" s="17">
        <v>3</v>
      </c>
      <c r="BS109" s="17" t="s">
        <v>305</v>
      </c>
      <c r="BT109">
        <f>SUM(P109:AD109)</f>
        <v>30</v>
      </c>
      <c r="BU109" s="23">
        <f>AF109+AH109+AI109+AJ109+AO109+AP109</f>
        <v>0</v>
      </c>
    </row>
    <row r="110" spans="1:73" ht="40.5" hidden="1">
      <c r="A110" s="1"/>
      <c r="B110" s="1" t="s">
        <v>132</v>
      </c>
      <c r="C110" s="1" t="s">
        <v>130</v>
      </c>
      <c r="D110" s="1" t="s">
        <v>102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>
        <v>10</v>
      </c>
      <c r="W110" s="28"/>
      <c r="X110" s="28"/>
      <c r="Y110" s="28"/>
      <c r="Z110" s="28">
        <v>5</v>
      </c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30</v>
      </c>
      <c r="BQ110" s="1">
        <v>7</v>
      </c>
      <c r="BR110" s="17">
        <v>3</v>
      </c>
      <c r="BS110" s="17" t="s">
        <v>253</v>
      </c>
      <c r="BT110">
        <f>SUM(P110:AD110)</f>
        <v>30</v>
      </c>
      <c r="BU110" s="23">
        <f>AF110+AH110+AI110+AJ110+AO110+AP110</f>
        <v>0</v>
      </c>
    </row>
    <row r="111" spans="1:73" s="66" customFormat="1" ht="40.5" hidden="1">
      <c r="A111" s="1"/>
      <c r="B111" s="1" t="s">
        <v>131</v>
      </c>
      <c r="C111" s="1" t="s">
        <v>130</v>
      </c>
      <c r="D111" s="1" t="s">
        <v>103</v>
      </c>
      <c r="E111" s="6"/>
      <c r="F111" s="6"/>
      <c r="G111" s="6">
        <v>10</v>
      </c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8</v>
      </c>
      <c r="BR111" s="17">
        <v>3</v>
      </c>
      <c r="BS111" s="17" t="s">
        <v>254</v>
      </c>
      <c r="BT111">
        <f>SUM(P111:AD111)</f>
        <v>20</v>
      </c>
      <c r="BU111" s="23">
        <f>AF111+AH111+AI111+AJ111+AO111+AP111</f>
        <v>0</v>
      </c>
    </row>
    <row r="112" spans="1:73" ht="40.5" hidden="1">
      <c r="A112" s="1"/>
      <c r="B112" s="1" t="s">
        <v>136</v>
      </c>
      <c r="C112" s="1" t="s">
        <v>98</v>
      </c>
      <c r="D112" s="1" t="s">
        <v>139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8</v>
      </c>
      <c r="BR112" s="17">
        <v>3</v>
      </c>
      <c r="BS112" s="17" t="s">
        <v>254</v>
      </c>
      <c r="BT112">
        <f>SUM(P112:AD112)</f>
        <v>20</v>
      </c>
      <c r="BU112" s="23">
        <f>AF112+AH112+AI112+AJ112+AO112+AP112</f>
        <v>0</v>
      </c>
    </row>
    <row r="113" spans="1:73" ht="40.5" hidden="1">
      <c r="A113" s="1"/>
      <c r="B113" s="3" t="s">
        <v>212</v>
      </c>
      <c r="C113" s="3" t="s">
        <v>213</v>
      </c>
      <c r="D113" s="1" t="s">
        <v>207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8</v>
      </c>
      <c r="BR113" s="17">
        <v>3</v>
      </c>
      <c r="BS113" s="17" t="s">
        <v>254</v>
      </c>
      <c r="BT113">
        <f>SUM(P113:AD113)</f>
        <v>20</v>
      </c>
      <c r="BU113" s="23">
        <f>AF113+AH113+AI113+AJ113+AO113+AP113</f>
        <v>0</v>
      </c>
    </row>
    <row r="114" spans="1:73" ht="40.5" hidden="1">
      <c r="A114" s="1"/>
      <c r="B114" s="3" t="s">
        <v>210</v>
      </c>
      <c r="C114" s="3" t="s">
        <v>211</v>
      </c>
      <c r="D114" s="1" t="s">
        <v>207</v>
      </c>
      <c r="E114" s="6"/>
      <c r="F114" s="6"/>
      <c r="G114" s="6"/>
      <c r="H114" s="6"/>
      <c r="I114" s="6"/>
      <c r="J114" s="6"/>
      <c r="K114" s="6"/>
      <c r="L114" s="6"/>
      <c r="M114" s="6"/>
      <c r="N114" s="6">
        <v>10</v>
      </c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>
        <v>10</v>
      </c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11</v>
      </c>
      <c r="BR114" s="17">
        <v>3</v>
      </c>
      <c r="BS114" s="17" t="s">
        <v>306</v>
      </c>
      <c r="BT114">
        <f>SUM(P114:AD114)</f>
        <v>30</v>
      </c>
      <c r="BU114" s="23">
        <f>AF114+AH114+AI114+AJ114+AO114+AP114</f>
        <v>0</v>
      </c>
    </row>
    <row r="115" spans="1:73" ht="40.5">
      <c r="A115" s="31">
        <v>84</v>
      </c>
      <c r="B115" s="32" t="s">
        <v>159</v>
      </c>
      <c r="C115" s="32" t="s">
        <v>50</v>
      </c>
      <c r="D115" s="31" t="s">
        <v>9</v>
      </c>
      <c r="E115" s="33"/>
      <c r="F115" s="33"/>
      <c r="G115" s="33">
        <v>5</v>
      </c>
      <c r="H115" s="33">
        <v>5</v>
      </c>
      <c r="I115" s="33"/>
      <c r="J115" s="33"/>
      <c r="K115" s="33"/>
      <c r="L115" s="33"/>
      <c r="M115" s="33"/>
      <c r="N115" s="33"/>
      <c r="O115" s="33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5"/>
      <c r="AR115" s="35"/>
      <c r="AS115" s="35"/>
      <c r="AT115" s="35"/>
      <c r="AU115" s="35"/>
      <c r="AV115" s="35"/>
      <c r="AW115" s="36"/>
      <c r="AX115" s="36"/>
      <c r="AY115" s="36"/>
      <c r="AZ115" s="36"/>
      <c r="BA115" s="36">
        <v>5</v>
      </c>
      <c r="BB115" s="36">
        <v>5</v>
      </c>
      <c r="BC115" s="37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>
        <f>SUM(E115:BO115)</f>
        <v>20</v>
      </c>
      <c r="BQ115" s="31">
        <v>12</v>
      </c>
      <c r="BR115" s="38">
        <v>3</v>
      </c>
      <c r="BS115" s="38" t="s">
        <v>274</v>
      </c>
      <c r="BT115">
        <f>SUM(P115:AD115)</f>
        <v>0</v>
      </c>
      <c r="BU115" s="23">
        <f>AF115+AH115+AI115+AJ115+AO115+AP115</f>
        <v>0</v>
      </c>
    </row>
    <row r="116" spans="1:73" ht="40.5" hidden="1">
      <c r="A116" s="50"/>
      <c r="B116" s="50" t="s">
        <v>202</v>
      </c>
      <c r="C116" s="50" t="s">
        <v>100</v>
      </c>
      <c r="D116" s="50" t="s">
        <v>103</v>
      </c>
      <c r="E116" s="51"/>
      <c r="F116" s="51"/>
      <c r="G116" s="51"/>
      <c r="H116" s="51"/>
      <c r="I116" s="51">
        <v>10</v>
      </c>
      <c r="J116" s="51"/>
      <c r="K116" s="51"/>
      <c r="L116" s="51"/>
      <c r="M116" s="51"/>
      <c r="N116" s="51"/>
      <c r="O116" s="51"/>
      <c r="P116" s="52"/>
      <c r="Q116" s="52"/>
      <c r="R116" s="52">
        <v>10</v>
      </c>
      <c r="S116" s="52"/>
      <c r="T116" s="52"/>
      <c r="U116" s="52"/>
      <c r="V116" s="52"/>
      <c r="W116" s="52"/>
      <c r="X116" s="52">
        <v>10</v>
      </c>
      <c r="Y116" s="52"/>
      <c r="Z116" s="52"/>
      <c r="AA116" s="52"/>
      <c r="AB116" s="52"/>
      <c r="AC116" s="52"/>
      <c r="AD116" s="52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3"/>
      <c r="AR116" s="53"/>
      <c r="AS116" s="53"/>
      <c r="AT116" s="53">
        <v>10</v>
      </c>
      <c r="AU116" s="53"/>
      <c r="AV116" s="53"/>
      <c r="AW116" s="54"/>
      <c r="AX116" s="54"/>
      <c r="AY116" s="54"/>
      <c r="AZ116" s="54"/>
      <c r="BA116" s="54"/>
      <c r="BB116" s="54"/>
      <c r="BC116" s="55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>
        <f>SUM(E116:BO116)</f>
        <v>40</v>
      </c>
      <c r="BQ116" s="50">
        <v>12</v>
      </c>
      <c r="BR116" s="56">
        <v>3</v>
      </c>
      <c r="BS116" s="56" t="s">
        <v>307</v>
      </c>
      <c r="BT116">
        <f>SUM(P116:AD116)</f>
        <v>20</v>
      </c>
      <c r="BU116" s="23">
        <f>AF116+AH116+AI116+AJ116+AO116+AP116</f>
        <v>0</v>
      </c>
    </row>
    <row r="117" spans="1:73" ht="40.5" hidden="1">
      <c r="A117" s="1"/>
      <c r="B117" s="3" t="s">
        <v>217</v>
      </c>
      <c r="C117" s="3" t="s">
        <v>99</v>
      </c>
      <c r="D117" s="1" t="s">
        <v>207</v>
      </c>
      <c r="E117" s="6"/>
      <c r="F117" s="6"/>
      <c r="G117" s="6"/>
      <c r="H117" s="6"/>
      <c r="I117" s="6">
        <v>10</v>
      </c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>
        <v>10</v>
      </c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12</v>
      </c>
      <c r="BR117" s="17">
        <v>3</v>
      </c>
      <c r="BS117" s="17" t="s">
        <v>307</v>
      </c>
      <c r="BT117">
        <f>SUM(P117:AD117)</f>
        <v>20</v>
      </c>
      <c r="BU117" s="23">
        <f>AF117+AH117+AI117+AJ117+AO117+AP117</f>
        <v>0</v>
      </c>
    </row>
    <row r="118" spans="1:73" ht="40.5" hidden="1">
      <c r="A118" s="1"/>
      <c r="B118" s="1" t="s">
        <v>121</v>
      </c>
      <c r="C118" s="1" t="s">
        <v>119</v>
      </c>
      <c r="D118" s="1" t="s">
        <v>103</v>
      </c>
      <c r="E118" s="6"/>
      <c r="F118" s="6"/>
      <c r="G118" s="6"/>
      <c r="H118" s="6">
        <v>7</v>
      </c>
      <c r="I118" s="6"/>
      <c r="J118" s="6"/>
      <c r="K118" s="6"/>
      <c r="L118" s="6"/>
      <c r="M118" s="6"/>
      <c r="N118" s="6"/>
      <c r="O118" s="6"/>
      <c r="P118" s="28"/>
      <c r="Q118" s="28">
        <v>7</v>
      </c>
      <c r="R118" s="28"/>
      <c r="S118" s="28"/>
      <c r="T118" s="28">
        <v>7</v>
      </c>
      <c r="U118" s="28"/>
      <c r="V118" s="28"/>
      <c r="W118" s="28"/>
      <c r="X118" s="28"/>
      <c r="Y118" s="28"/>
      <c r="Z118" s="28"/>
      <c r="AA118" s="28">
        <v>7</v>
      </c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28</v>
      </c>
      <c r="BQ118" s="1">
        <v>15</v>
      </c>
      <c r="BR118" s="17">
        <v>3</v>
      </c>
      <c r="BS118" s="17" t="s">
        <v>308</v>
      </c>
      <c r="BT118">
        <f>SUM(P118:AD118)</f>
        <v>21</v>
      </c>
      <c r="BU118" s="23">
        <f>AF118+AH118+AI118+AJ118+AO118+AP118</f>
        <v>0</v>
      </c>
    </row>
    <row r="119" spans="1:73" ht="40.5" hidden="1">
      <c r="A119" s="1">
        <v>28</v>
      </c>
      <c r="B119" s="1" t="s">
        <v>57</v>
      </c>
      <c r="C119" s="1" t="s">
        <v>24</v>
      </c>
      <c r="D119" s="1" t="s"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>
        <v>5</v>
      </c>
      <c r="AI119" s="1">
        <v>5</v>
      </c>
      <c r="AJ119" s="1">
        <v>5</v>
      </c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15</v>
      </c>
      <c r="BQ119" s="1">
        <v>15</v>
      </c>
      <c r="BR119" s="17">
        <v>3</v>
      </c>
      <c r="BS119" s="17" t="s">
        <v>309</v>
      </c>
      <c r="BT119">
        <f>SUM(P119:AD119)</f>
        <v>0</v>
      </c>
      <c r="BU119" s="23">
        <f>AF119+AH119+AI119+AJ119+AO119+AP119</f>
        <v>15</v>
      </c>
    </row>
    <row r="120" spans="1:73" ht="40.5" hidden="1">
      <c r="A120" s="1">
        <v>89</v>
      </c>
      <c r="B120" s="3" t="s">
        <v>62</v>
      </c>
      <c r="C120" s="3" t="s">
        <v>63</v>
      </c>
      <c r="D120" s="1" t="s">
        <v>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>
        <v>5</v>
      </c>
      <c r="AG120" s="1"/>
      <c r="AH120" s="1">
        <v>5</v>
      </c>
      <c r="AI120" s="1">
        <v>5</v>
      </c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15</v>
      </c>
      <c r="BQ120" s="1">
        <v>15</v>
      </c>
      <c r="BR120" s="17">
        <v>3</v>
      </c>
      <c r="BS120" s="17" t="s">
        <v>310</v>
      </c>
      <c r="BT120">
        <f>SUM(P120:AD120)</f>
        <v>0</v>
      </c>
      <c r="BU120" s="23">
        <f>AF120+AH120+AI120+AJ120+AO120+AP120</f>
        <v>15</v>
      </c>
    </row>
    <row r="121" spans="1:73" ht="40.5">
      <c r="A121" s="1"/>
      <c r="B121" s="1" t="s">
        <v>149</v>
      </c>
      <c r="C121" s="1" t="s">
        <v>95</v>
      </c>
      <c r="D121" s="1" t="s">
        <v>85</v>
      </c>
      <c r="E121" s="6">
        <v>10</v>
      </c>
      <c r="F121" s="6"/>
      <c r="G121" s="6">
        <v>10</v>
      </c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>
        <v>10</v>
      </c>
      <c r="AS121" s="4"/>
      <c r="AT121" s="4"/>
      <c r="AU121" s="4"/>
      <c r="AV121" s="4"/>
      <c r="AW121" s="2"/>
      <c r="AX121" s="2"/>
      <c r="AY121" s="2"/>
      <c r="AZ121" s="2"/>
      <c r="BA121" s="2"/>
      <c r="BB121" s="2">
        <v>10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16</v>
      </c>
      <c r="BR121" s="17">
        <v>3</v>
      </c>
      <c r="BS121" s="17" t="s">
        <v>289</v>
      </c>
      <c r="BT121">
        <f>SUM(P121:AD121)</f>
        <v>0</v>
      </c>
      <c r="BU121" s="23">
        <f>AF121+AH121+AI121+AJ121+AO121+AP121</f>
        <v>0</v>
      </c>
    </row>
    <row r="122" spans="1:73" ht="40.5">
      <c r="A122" s="1"/>
      <c r="B122" s="1" t="s">
        <v>147</v>
      </c>
      <c r="C122" s="1" t="s">
        <v>129</v>
      </c>
      <c r="D122" s="1" t="s">
        <v>103</v>
      </c>
      <c r="E122" s="6">
        <v>10</v>
      </c>
      <c r="F122" s="6"/>
      <c r="G122" s="6">
        <v>10</v>
      </c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>
        <v>10</v>
      </c>
      <c r="AS122" s="4"/>
      <c r="AT122" s="4"/>
      <c r="AU122" s="4"/>
      <c r="AV122" s="4"/>
      <c r="AW122" s="2"/>
      <c r="AX122" s="2"/>
      <c r="AY122" s="2"/>
      <c r="AZ122" s="2"/>
      <c r="BA122" s="2"/>
      <c r="BB122" s="2">
        <v>10</v>
      </c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16</v>
      </c>
      <c r="BR122" s="17">
        <v>3</v>
      </c>
      <c r="BS122" s="17" t="s">
        <v>289</v>
      </c>
      <c r="BT122">
        <f>SUM(P122:AD122)</f>
        <v>0</v>
      </c>
      <c r="BU122" s="23">
        <f>AF122+AH122+AI122+AJ122+AO122+AP122</f>
        <v>0</v>
      </c>
    </row>
    <row r="123" spans="1:73" ht="40.5">
      <c r="A123" s="1">
        <v>8</v>
      </c>
      <c r="B123" s="1" t="s">
        <v>144</v>
      </c>
      <c r="C123" s="1" t="s">
        <v>1</v>
      </c>
      <c r="D123" s="1" t="s">
        <v>20</v>
      </c>
      <c r="E123" s="6">
        <v>6</v>
      </c>
      <c r="F123" s="6"/>
      <c r="G123" s="6"/>
      <c r="H123" s="6">
        <v>6</v>
      </c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>
        <v>10</v>
      </c>
      <c r="AS123" s="4"/>
      <c r="AT123" s="4"/>
      <c r="AU123" s="4"/>
      <c r="AV123" s="4"/>
      <c r="AW123" s="2"/>
      <c r="AX123" s="2"/>
      <c r="AY123" s="2"/>
      <c r="AZ123" s="2"/>
      <c r="BA123" s="2"/>
      <c r="BB123" s="2">
        <v>10</v>
      </c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32</v>
      </c>
      <c r="BQ123" s="1">
        <v>18</v>
      </c>
      <c r="BR123" s="17">
        <v>3</v>
      </c>
      <c r="BS123" s="17" t="s">
        <v>294</v>
      </c>
      <c r="BT123">
        <f>SUM(P123:AD123)</f>
        <v>0</v>
      </c>
      <c r="BU123" s="23">
        <f>AF123+AH123+AI123+AJ123+AO123+AP123</f>
        <v>0</v>
      </c>
    </row>
    <row r="124" spans="1:73" ht="40.5" hidden="1">
      <c r="A124" s="1"/>
      <c r="B124" s="1" t="s">
        <v>132</v>
      </c>
      <c r="C124" s="1" t="s">
        <v>130</v>
      </c>
      <c r="D124" s="1" t="s">
        <v>103</v>
      </c>
      <c r="E124" s="6"/>
      <c r="F124" s="6"/>
      <c r="G124" s="6"/>
      <c r="H124" s="6">
        <v>10</v>
      </c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23</v>
      </c>
      <c r="BR124" s="17">
        <v>3</v>
      </c>
      <c r="BS124" s="17" t="s">
        <v>312</v>
      </c>
      <c r="BT124">
        <f>SUM(P124:AD124)</f>
        <v>20</v>
      </c>
      <c r="BU124" s="23">
        <f>AF124+AH124+AI124+AJ124+AO124+AP124</f>
        <v>0</v>
      </c>
    </row>
    <row r="125" spans="1:73" ht="40.5">
      <c r="A125" s="1"/>
      <c r="B125" s="1" t="s">
        <v>140</v>
      </c>
      <c r="C125" s="1" t="s">
        <v>83</v>
      </c>
      <c r="D125" s="1" t="s">
        <v>85</v>
      </c>
      <c r="E125" s="6">
        <v>10</v>
      </c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15</v>
      </c>
      <c r="AU125" s="4"/>
      <c r="AV125" s="4"/>
      <c r="AW125" s="2"/>
      <c r="AX125" s="2"/>
      <c r="AY125" s="2"/>
      <c r="AZ125" s="2">
        <v>15</v>
      </c>
      <c r="BA125" s="2">
        <v>15</v>
      </c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65</v>
      </c>
      <c r="BQ125" s="1">
        <v>27</v>
      </c>
      <c r="BR125" s="17">
        <v>3</v>
      </c>
      <c r="BS125" s="17" t="s">
        <v>311</v>
      </c>
      <c r="BT125">
        <f>SUM(P125:AD125)</f>
        <v>0</v>
      </c>
      <c r="BU125" s="23">
        <f>AF125+AH125+AI125+AJ125+AO125+AP125</f>
        <v>0</v>
      </c>
    </row>
    <row r="126" spans="1:73" ht="40.5">
      <c r="A126" s="59"/>
      <c r="B126" s="59" t="s">
        <v>145</v>
      </c>
      <c r="C126" s="59" t="s">
        <v>95</v>
      </c>
      <c r="D126" s="59" t="s">
        <v>84</v>
      </c>
      <c r="E126" s="60">
        <v>15</v>
      </c>
      <c r="F126" s="60"/>
      <c r="G126" s="60">
        <v>15</v>
      </c>
      <c r="H126" s="60"/>
      <c r="I126" s="60"/>
      <c r="J126" s="60"/>
      <c r="K126" s="60"/>
      <c r="L126" s="60"/>
      <c r="M126" s="60"/>
      <c r="N126" s="60"/>
      <c r="O126" s="60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62"/>
      <c r="AR126" s="62">
        <v>15</v>
      </c>
      <c r="AS126" s="62"/>
      <c r="AT126" s="62"/>
      <c r="AU126" s="62"/>
      <c r="AV126" s="62"/>
      <c r="AW126" s="63"/>
      <c r="AX126" s="63"/>
      <c r="AY126" s="63"/>
      <c r="AZ126" s="63"/>
      <c r="BA126" s="63"/>
      <c r="BB126" s="63">
        <v>15</v>
      </c>
      <c r="BC126" s="64"/>
      <c r="BD126" s="59"/>
      <c r="BE126" s="59"/>
      <c r="BF126" s="59"/>
      <c r="BG126" s="59"/>
      <c r="BH126" s="59"/>
      <c r="BI126" s="59"/>
      <c r="BJ126" s="59"/>
      <c r="BK126" s="59"/>
      <c r="BL126" s="59"/>
      <c r="BM126" s="59"/>
      <c r="BN126" s="59"/>
      <c r="BO126" s="59"/>
      <c r="BP126" s="59">
        <f>SUM(E126:BO126)</f>
        <v>60</v>
      </c>
      <c r="BQ126" s="59">
        <v>31</v>
      </c>
      <c r="BR126" s="65">
        <v>3</v>
      </c>
      <c r="BS126" s="65" t="s">
        <v>313</v>
      </c>
      <c r="BT126">
        <f>SUM(P126:AD126)</f>
        <v>0</v>
      </c>
      <c r="BU126" s="23">
        <f>AF126+AH126+AI126+AJ126+AO126+AP126</f>
        <v>0</v>
      </c>
    </row>
    <row r="127" spans="1:73" ht="40.5">
      <c r="A127" s="1"/>
      <c r="B127" s="1" t="s">
        <v>86</v>
      </c>
      <c r="C127" s="1" t="s">
        <v>87</v>
      </c>
      <c r="D127" s="1" t="s">
        <v>84</v>
      </c>
      <c r="E127" s="6"/>
      <c r="F127" s="6"/>
      <c r="G127" s="6">
        <v>15</v>
      </c>
      <c r="H127" s="6">
        <v>15</v>
      </c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>
        <v>15</v>
      </c>
      <c r="AT127" s="4"/>
      <c r="AU127" s="4"/>
      <c r="AV127" s="4"/>
      <c r="AW127" s="2"/>
      <c r="AX127" s="2"/>
      <c r="AY127" s="2"/>
      <c r="AZ127" s="2"/>
      <c r="BA127" s="2"/>
      <c r="BB127" s="2">
        <v>15</v>
      </c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60</v>
      </c>
      <c r="BQ127" s="1">
        <v>37</v>
      </c>
      <c r="BR127" s="17">
        <v>3</v>
      </c>
      <c r="BS127" s="17" t="s">
        <v>314</v>
      </c>
      <c r="BT127">
        <f>SUM(P127:AD127)</f>
        <v>0</v>
      </c>
      <c r="BU127" s="23">
        <f>AF127+AH127+AI127+AJ127+AO127+AP127</f>
        <v>0</v>
      </c>
    </row>
    <row r="128" spans="1:73" ht="40.5">
      <c r="A128" s="1"/>
      <c r="B128" s="1" t="s">
        <v>86</v>
      </c>
      <c r="C128" s="1" t="s">
        <v>87</v>
      </c>
      <c r="D128" s="1" t="s">
        <v>88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40</v>
      </c>
      <c r="AW128" s="2">
        <v>40</v>
      </c>
      <c r="AX128" s="2"/>
      <c r="AY128" s="2"/>
      <c r="AZ128" s="2"/>
      <c r="BA128" s="2"/>
      <c r="BB128" s="2">
        <v>40</v>
      </c>
      <c r="BC128" s="14">
        <v>10</v>
      </c>
      <c r="BD128" s="1">
        <v>50</v>
      </c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180</v>
      </c>
      <c r="BQ128" s="1">
        <v>72</v>
      </c>
      <c r="BR128" s="17">
        <v>3</v>
      </c>
      <c r="BS128" s="17" t="s">
        <v>315</v>
      </c>
      <c r="BT128">
        <f>SUM(P128:AD128)</f>
        <v>0</v>
      </c>
      <c r="BU128" s="23">
        <f>AF128+AH128+AI128+AJ128+AO128+AP128</f>
        <v>0</v>
      </c>
    </row>
    <row r="129" spans="1:73" ht="40.5">
      <c r="A129" s="59">
        <v>4</v>
      </c>
      <c r="B129" s="59" t="s">
        <v>255</v>
      </c>
      <c r="C129" s="59" t="s">
        <v>1</v>
      </c>
      <c r="D129" s="59" t="s">
        <v>187</v>
      </c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62">
        <v>40</v>
      </c>
      <c r="AR129" s="62"/>
      <c r="AS129" s="62"/>
      <c r="AT129" s="62"/>
      <c r="AU129" s="62"/>
      <c r="AV129" s="62"/>
      <c r="AW129" s="63">
        <v>40</v>
      </c>
      <c r="AX129" s="63">
        <v>40</v>
      </c>
      <c r="AY129" s="63"/>
      <c r="AZ129" s="63"/>
      <c r="BA129" s="63"/>
      <c r="BB129" s="63"/>
      <c r="BC129" s="64">
        <v>10</v>
      </c>
      <c r="BD129" s="59"/>
      <c r="BE129" s="59">
        <v>50</v>
      </c>
      <c r="BF129" s="59"/>
      <c r="BG129" s="59"/>
      <c r="BH129" s="59"/>
      <c r="BI129" s="59"/>
      <c r="BJ129" s="59"/>
      <c r="BK129" s="59"/>
      <c r="BL129" s="59"/>
      <c r="BM129" s="59"/>
      <c r="BN129" s="59"/>
      <c r="BO129" s="59"/>
      <c r="BP129" s="59">
        <f>SUM(E129:BO129)</f>
        <v>180</v>
      </c>
      <c r="BQ129" s="59">
        <v>73</v>
      </c>
      <c r="BR129" s="65">
        <v>3</v>
      </c>
      <c r="BS129" s="65" t="s">
        <v>316</v>
      </c>
      <c r="BT129">
        <f>SUM(P129:AD129)</f>
        <v>0</v>
      </c>
      <c r="BU129" s="23">
        <f>AF129+AH129+AI129+AJ129+AO129+AP129</f>
        <v>0</v>
      </c>
    </row>
    <row r="130" spans="1:73" ht="40.5">
      <c r="A130" s="1">
        <v>85</v>
      </c>
      <c r="B130" s="3" t="s">
        <v>159</v>
      </c>
      <c r="C130" s="3" t="s">
        <v>50</v>
      </c>
      <c r="D130" s="1" t="s">
        <v>29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>
        <v>50</v>
      </c>
      <c r="BM130" s="1">
        <v>50</v>
      </c>
      <c r="BN130" s="1">
        <v>50</v>
      </c>
      <c r="BO130" s="1">
        <v>50</v>
      </c>
      <c r="BP130" s="1">
        <f>SUM(E130:BO130)</f>
        <v>200</v>
      </c>
      <c r="BQ130" s="1">
        <v>132</v>
      </c>
      <c r="BR130" s="17">
        <v>3</v>
      </c>
      <c r="BS130" s="17" t="s">
        <v>317</v>
      </c>
      <c r="BT130">
        <f>SUM(P130:AD130)</f>
        <v>0</v>
      </c>
      <c r="BU130" s="23">
        <f>AF130+AH130+AI130+AJ130+AO130+AP130</f>
        <v>0</v>
      </c>
    </row>
    <row r="131" spans="1:73" ht="40.5">
      <c r="A131" s="1"/>
      <c r="B131" s="1" t="s">
        <v>156</v>
      </c>
      <c r="C131" s="1" t="s">
        <v>98</v>
      </c>
      <c r="D131" s="1" t="s">
        <v>96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>
        <v>50</v>
      </c>
      <c r="BM131" s="1">
        <v>50</v>
      </c>
      <c r="BN131" s="1">
        <v>50</v>
      </c>
      <c r="BO131" s="1">
        <v>50</v>
      </c>
      <c r="BP131" s="1">
        <f>SUM(E131:BO131)</f>
        <v>200</v>
      </c>
      <c r="BQ131" s="1">
        <v>132</v>
      </c>
      <c r="BR131" s="17">
        <v>3</v>
      </c>
      <c r="BS131" s="17" t="s">
        <v>317</v>
      </c>
      <c r="BT131">
        <f>SUM(P131:AD131)</f>
        <v>0</v>
      </c>
      <c r="BU131" s="23">
        <f>AF131+AH131+AI131+AJ131+AO131+AP131</f>
        <v>0</v>
      </c>
    </row>
    <row r="132" spans="1:73" ht="40.5">
      <c r="A132" s="1"/>
      <c r="B132" s="1" t="s">
        <v>177</v>
      </c>
      <c r="C132" s="1" t="s">
        <v>98</v>
      </c>
      <c r="D132" s="1" t="s">
        <v>96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>
        <v>50</v>
      </c>
      <c r="BM132" s="1">
        <v>50</v>
      </c>
      <c r="BN132" s="1">
        <v>50</v>
      </c>
      <c r="BO132" s="1">
        <v>50</v>
      </c>
      <c r="BP132" s="1">
        <f>SUM(E132:BO132)</f>
        <v>200</v>
      </c>
      <c r="BQ132" s="1">
        <v>132</v>
      </c>
      <c r="BR132" s="17">
        <v>3</v>
      </c>
      <c r="BS132" s="17" t="s">
        <v>317</v>
      </c>
      <c r="BT132">
        <f>SUM(P132:AD132)</f>
        <v>0</v>
      </c>
      <c r="BU132" s="23">
        <f>AF132+AH132+AI132+AJ132+AO132+AP132</f>
        <v>0</v>
      </c>
    </row>
    <row r="133" spans="1:73" ht="54" hidden="1">
      <c r="A133" s="1"/>
      <c r="B133" s="1" t="s">
        <v>117</v>
      </c>
      <c r="C133" s="1" t="s">
        <v>100</v>
      </c>
      <c r="D133" s="1" t="s">
        <v>103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>
        <v>10</v>
      </c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22</v>
      </c>
      <c r="BR133" s="17">
        <v>4</v>
      </c>
      <c r="BS133" s="17" t="s">
        <v>318</v>
      </c>
      <c r="BT133">
        <f>SUM(P133:AD133)</f>
        <v>20</v>
      </c>
      <c r="BU133" s="23">
        <f>AF133+AH133+AI133+AJ133+AO133+AP133</f>
        <v>0</v>
      </c>
    </row>
    <row r="134" spans="1:73" ht="54" hidden="1">
      <c r="A134" s="1"/>
      <c r="B134" s="3" t="s">
        <v>219</v>
      </c>
      <c r="C134" s="3" t="s">
        <v>99</v>
      </c>
      <c r="D134" s="1" t="s">
        <v>207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/>
      <c r="V134" s="28"/>
      <c r="W134" s="28"/>
      <c r="X134" s="28">
        <v>10</v>
      </c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>
        <v>10</v>
      </c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22</v>
      </c>
      <c r="BR134" s="17">
        <v>4</v>
      </c>
      <c r="BS134" s="17" t="s">
        <v>318</v>
      </c>
      <c r="BT134">
        <f>SUM(P134:AD134)</f>
        <v>20</v>
      </c>
      <c r="BU134" s="23">
        <f>AF134+AH134+AI134+AJ134+AO134+AP134</f>
        <v>0</v>
      </c>
    </row>
    <row r="135" spans="1:73" ht="54">
      <c r="A135" s="1"/>
      <c r="B135" s="1" t="s">
        <v>153</v>
      </c>
      <c r="C135" s="1" t="s">
        <v>98</v>
      </c>
      <c r="D135" s="1" t="s">
        <v>84</v>
      </c>
      <c r="E135" s="6"/>
      <c r="F135" s="6"/>
      <c r="G135" s="6">
        <v>20</v>
      </c>
      <c r="H135" s="6">
        <v>20</v>
      </c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>
        <v>20</v>
      </c>
      <c r="BB135" s="2">
        <v>20</v>
      </c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80</v>
      </c>
      <c r="BQ135" s="1">
        <v>71</v>
      </c>
      <c r="BR135" s="17">
        <v>4</v>
      </c>
      <c r="BS135" s="17" t="s">
        <v>319</v>
      </c>
      <c r="BT135">
        <f>SUM(P135:AD135)</f>
        <v>0</v>
      </c>
      <c r="BU135" s="23">
        <f>AF135+AH135+AI135+AJ135+AO135+AP135</f>
        <v>0</v>
      </c>
    </row>
    <row r="136" spans="1:73">
      <c r="A136" s="1"/>
      <c r="B136" s="1" t="s">
        <v>54</v>
      </c>
      <c r="C136" s="1"/>
      <c r="D136" s="1"/>
      <c r="E136" s="6">
        <f>SUM(E2:E135)</f>
        <v>118</v>
      </c>
      <c r="F136" s="6">
        <f>SUM(F2:F135)</f>
        <v>27</v>
      </c>
      <c r="G136" s="6">
        <f>SUM(G2:G135)</f>
        <v>130</v>
      </c>
      <c r="H136" s="6">
        <f>SUM(H2:H135)</f>
        <v>114</v>
      </c>
      <c r="I136" s="6">
        <f>SUM(I2:I135)</f>
        <v>27</v>
      </c>
      <c r="J136" s="6">
        <f>SUM(J2:J135)</f>
        <v>45</v>
      </c>
      <c r="K136" s="6">
        <f>SUM(K2:K135)</f>
        <v>16</v>
      </c>
      <c r="L136" s="6">
        <f>SUM(L2:L135)</f>
        <v>42</v>
      </c>
      <c r="M136" s="6">
        <f>SUM(M2:M135)</f>
        <v>61</v>
      </c>
      <c r="N136" s="6">
        <f>SUM(N2:N135)</f>
        <v>10</v>
      </c>
      <c r="O136" s="6">
        <f>SUM(O2:O135)</f>
        <v>56</v>
      </c>
      <c r="P136" s="28">
        <f>SUM(P2:P135)</f>
        <v>220</v>
      </c>
      <c r="Q136" s="28">
        <f>SUM(Q2:Q135)</f>
        <v>121</v>
      </c>
      <c r="R136" s="28">
        <f>SUM(R2:R135)</f>
        <v>117</v>
      </c>
      <c r="S136" s="28">
        <f>SUM(S2:S135)</f>
        <v>220</v>
      </c>
      <c r="T136" s="28">
        <f>SUM(T2:T135)</f>
        <v>91</v>
      </c>
      <c r="U136" s="28">
        <f>SUM(U2:U135)</f>
        <v>94</v>
      </c>
      <c r="V136" s="28">
        <f>SUM(V2:V135)</f>
        <v>220</v>
      </c>
      <c r="W136" s="28">
        <f>SUM(W2:W135)</f>
        <v>65</v>
      </c>
      <c r="X136" s="28">
        <f>SUM(X2:X135)</f>
        <v>109</v>
      </c>
      <c r="Y136" s="28">
        <f>SUM(Y2:Y135)</f>
        <v>200</v>
      </c>
      <c r="Z136" s="28">
        <f>SUM(Z2:Z135)</f>
        <v>85</v>
      </c>
      <c r="AA136" s="28">
        <f>SUM(AA2:AA135)</f>
        <v>109</v>
      </c>
      <c r="AB136" s="28">
        <f>SUM(AB2:AB135)</f>
        <v>230</v>
      </c>
      <c r="AC136" s="28">
        <f>SUM(AC2:AC135)</f>
        <v>50</v>
      </c>
      <c r="AD136" s="28">
        <f>SUM(AD2:AD135)</f>
        <v>84</v>
      </c>
      <c r="AE136" s="1">
        <f>SUM(AE2:AE135)</f>
        <v>250</v>
      </c>
      <c r="AF136" s="1">
        <f>SUM(AF2:AF135)</f>
        <v>10</v>
      </c>
      <c r="AG136" s="1">
        <f>SUM(AG2:AG135)</f>
        <v>5</v>
      </c>
      <c r="AH136" s="1">
        <f>SUM(AH2:AH135)</f>
        <v>30</v>
      </c>
      <c r="AI136" s="1">
        <f>SUM(AI2:AI135)</f>
        <v>30</v>
      </c>
      <c r="AJ136" s="1">
        <f>SUM(AJ2:AJ135)</f>
        <v>5</v>
      </c>
      <c r="AK136" s="1">
        <f>SUM(AK2:AK135)</f>
        <v>0</v>
      </c>
      <c r="AL136" s="1">
        <f>SUM(AL2:AL135)</f>
        <v>0</v>
      </c>
      <c r="AM136" s="1">
        <f>SUM(AM2:AM135)</f>
        <v>5</v>
      </c>
      <c r="AN136" s="1">
        <f>SUM(AN2:AN135)</f>
        <v>50</v>
      </c>
      <c r="AO136" s="1">
        <f>SUM(AO2:AO135)</f>
        <v>33</v>
      </c>
      <c r="AP136" s="1">
        <f>SUM(AP2:AP135)</f>
        <v>27</v>
      </c>
      <c r="AQ136" s="4">
        <f>SUM(AQ2:AQ135)</f>
        <v>105</v>
      </c>
      <c r="AR136" s="4">
        <f>SUM(AR2:AR135)</f>
        <v>75</v>
      </c>
      <c r="AS136" s="4">
        <f>SUM(AS2:AS135)</f>
        <v>80</v>
      </c>
      <c r="AT136" s="4">
        <f>SUM(AT2:AT135)</f>
        <v>55</v>
      </c>
      <c r="AU136" s="4">
        <f>SUM(AU2:AU135)</f>
        <v>65</v>
      </c>
      <c r="AV136" s="4">
        <f>SUM(AV2:AV135)</f>
        <v>105</v>
      </c>
      <c r="AW136" s="2">
        <f>SUM(AW2:AW135)</f>
        <v>105</v>
      </c>
      <c r="AX136" s="2">
        <f>SUM(AX2:AX135)</f>
        <v>55</v>
      </c>
      <c r="AY136" s="2">
        <f>SUM(AY2:AY135)</f>
        <v>35</v>
      </c>
      <c r="AZ136" s="2">
        <f>SUM(AZ2:AZ135)</f>
        <v>45</v>
      </c>
      <c r="BA136" s="2">
        <f>SUM(BA2:BA135)</f>
        <v>125</v>
      </c>
      <c r="BB136" s="2">
        <f>SUM(BB2:BB135)</f>
        <v>185</v>
      </c>
      <c r="BC136" s="1">
        <f>SUM(BC2:BC135)</f>
        <v>20</v>
      </c>
      <c r="BD136" s="1">
        <f>SUM(BD2:BD135)</f>
        <v>110</v>
      </c>
      <c r="BE136" s="1">
        <f>SUM(BE2:BE135)</f>
        <v>110</v>
      </c>
      <c r="BF136" s="1">
        <f>SUM(BF2:BF135)</f>
        <v>40</v>
      </c>
      <c r="BG136" s="1">
        <f>SUM(BG2:BG135)</f>
        <v>40</v>
      </c>
      <c r="BH136" s="1">
        <f>SUM(BH2:BH135)</f>
        <v>35</v>
      </c>
      <c r="BI136" s="1">
        <f>SUM(BI2:BI135)</f>
        <v>35</v>
      </c>
      <c r="BJ136" s="1">
        <f>SUM(BJ2:BJ135)</f>
        <v>200</v>
      </c>
      <c r="BK136" s="1">
        <f>SUM(BK2:BK135)</f>
        <v>200</v>
      </c>
      <c r="BL136" s="1">
        <f>SUM(BL2:BL135)</f>
        <v>150</v>
      </c>
      <c r="BM136" s="1">
        <f>SUM(BM2:BM135)</f>
        <v>150</v>
      </c>
      <c r="BN136" s="1">
        <f>SUM(BN2:BN135)</f>
        <v>350</v>
      </c>
      <c r="BO136" s="1">
        <f>SUM(BO2:BO135)</f>
        <v>350</v>
      </c>
      <c r="BP136" s="1"/>
      <c r="BQ136" s="1"/>
      <c r="BR136" s="17"/>
      <c r="BS136" s="17"/>
    </row>
    <row r="137" spans="1:73">
      <c r="A137" s="1"/>
      <c r="B137" s="3" t="s">
        <v>73</v>
      </c>
      <c r="C137" s="1"/>
      <c r="D137" s="1"/>
      <c r="E137" s="1">
        <v>28</v>
      </c>
      <c r="F137" s="1">
        <v>24</v>
      </c>
      <c r="G137" s="1">
        <v>6</v>
      </c>
      <c r="H137" s="1">
        <v>0</v>
      </c>
      <c r="I137" s="1">
        <v>69</v>
      </c>
      <c r="J137" s="1">
        <v>73</v>
      </c>
      <c r="K137" s="1">
        <v>53</v>
      </c>
      <c r="L137" s="1">
        <v>58</v>
      </c>
      <c r="M137" s="1">
        <v>44</v>
      </c>
      <c r="N137" s="1">
        <v>65</v>
      </c>
      <c r="O137" s="1">
        <v>29</v>
      </c>
      <c r="P137" s="14">
        <v>24</v>
      </c>
      <c r="Q137" s="14">
        <v>3</v>
      </c>
      <c r="R137" s="14">
        <v>4</v>
      </c>
      <c r="S137" s="14">
        <v>14</v>
      </c>
      <c r="T137" s="14">
        <v>15</v>
      </c>
      <c r="U137" s="14">
        <v>3</v>
      </c>
      <c r="V137" s="14">
        <v>6</v>
      </c>
      <c r="W137" s="14">
        <v>4</v>
      </c>
      <c r="X137" s="14">
        <v>8</v>
      </c>
      <c r="Y137" s="14">
        <v>10</v>
      </c>
      <c r="Z137" s="14">
        <v>4</v>
      </c>
      <c r="AA137" s="14">
        <v>3</v>
      </c>
      <c r="AB137" s="14">
        <v>23</v>
      </c>
      <c r="AC137" s="14">
        <v>4</v>
      </c>
      <c r="AD137" s="14">
        <v>8</v>
      </c>
      <c r="AE137" s="1">
        <v>8</v>
      </c>
      <c r="AF137" s="1">
        <v>0</v>
      </c>
      <c r="AG137" s="1">
        <v>1</v>
      </c>
      <c r="AH137" s="1">
        <v>0</v>
      </c>
      <c r="AI137" s="1">
        <v>0</v>
      </c>
      <c r="AJ137" s="1">
        <v>0</v>
      </c>
      <c r="AK137" s="1">
        <v>33</v>
      </c>
      <c r="AL137" s="1">
        <v>43</v>
      </c>
      <c r="AM137" s="1">
        <v>5</v>
      </c>
      <c r="AN137" s="1">
        <v>2</v>
      </c>
      <c r="AO137" s="1">
        <v>0</v>
      </c>
      <c r="AP137" s="1">
        <v>0</v>
      </c>
      <c r="AQ137" s="14">
        <v>20</v>
      </c>
      <c r="AR137" s="14">
        <v>6</v>
      </c>
      <c r="AS137" s="14">
        <v>16</v>
      </c>
      <c r="AT137" s="14">
        <v>6</v>
      </c>
      <c r="AU137" s="14">
        <v>39</v>
      </c>
      <c r="AV137" s="14">
        <v>36</v>
      </c>
      <c r="AW137" s="14">
        <v>10</v>
      </c>
      <c r="AX137" s="14">
        <v>17</v>
      </c>
      <c r="AY137" s="14">
        <v>31</v>
      </c>
      <c r="AZ137" s="14">
        <v>18</v>
      </c>
      <c r="BA137" s="14">
        <v>1</v>
      </c>
      <c r="BB137" s="14">
        <v>2</v>
      </c>
      <c r="BC137" s="14">
        <v>12</v>
      </c>
      <c r="BD137" s="1">
        <v>162</v>
      </c>
      <c r="BE137" s="1">
        <v>244</v>
      </c>
      <c r="BF137" s="1">
        <v>233</v>
      </c>
      <c r="BG137" s="1">
        <v>242</v>
      </c>
      <c r="BH137" s="1">
        <v>141</v>
      </c>
      <c r="BI137" s="1">
        <v>154</v>
      </c>
      <c r="BJ137" s="1">
        <v>56</v>
      </c>
      <c r="BK137" s="1">
        <v>65</v>
      </c>
      <c r="BL137" s="1">
        <v>93</v>
      </c>
      <c r="BM137" s="1">
        <v>8</v>
      </c>
      <c r="BN137" s="1">
        <v>5</v>
      </c>
      <c r="BO137" s="1">
        <v>5</v>
      </c>
      <c r="BP137" s="1"/>
      <c r="BQ137" s="1"/>
      <c r="BR137" s="17"/>
      <c r="BS137" s="17"/>
    </row>
    <row r="138" spans="1:73">
      <c r="A138" s="1"/>
      <c r="B138" s="3" t="s">
        <v>80</v>
      </c>
      <c r="C138" s="1"/>
      <c r="D138" s="1"/>
      <c r="E138" s="1">
        <f>E137-E136</f>
        <v>-90</v>
      </c>
      <c r="F138" s="1">
        <f>F137-F136</f>
        <v>-3</v>
      </c>
      <c r="G138" s="1">
        <f>G137-G136</f>
        <v>-124</v>
      </c>
      <c r="H138" s="1">
        <f>H137-H136</f>
        <v>-114</v>
      </c>
      <c r="I138" s="1">
        <f>I137-I136</f>
        <v>42</v>
      </c>
      <c r="J138" s="1">
        <f>J137-J136</f>
        <v>28</v>
      </c>
      <c r="K138" s="1">
        <f>K137-K136</f>
        <v>37</v>
      </c>
      <c r="L138" s="1">
        <f>L137-L136</f>
        <v>16</v>
      </c>
      <c r="M138" s="1">
        <f>M137-M136</f>
        <v>-17</v>
      </c>
      <c r="N138" s="1">
        <f>N137-N136</f>
        <v>55</v>
      </c>
      <c r="O138" s="1">
        <f>O137-O136</f>
        <v>-27</v>
      </c>
      <c r="P138" s="1">
        <f>P137-P136</f>
        <v>-196</v>
      </c>
      <c r="Q138" s="1">
        <f>Q137-Q136</f>
        <v>-118</v>
      </c>
      <c r="R138" s="1">
        <f>R137-R136</f>
        <v>-113</v>
      </c>
      <c r="S138" s="1">
        <f>S137-S136</f>
        <v>-206</v>
      </c>
      <c r="T138" s="1">
        <f>T137-T136</f>
        <v>-76</v>
      </c>
      <c r="U138" s="1">
        <f>U137-U136</f>
        <v>-91</v>
      </c>
      <c r="V138" s="1">
        <f>V137-V136</f>
        <v>-214</v>
      </c>
      <c r="W138" s="1">
        <f>W137-W136</f>
        <v>-61</v>
      </c>
      <c r="X138" s="1">
        <f>X137-X136</f>
        <v>-101</v>
      </c>
      <c r="Y138" s="1">
        <f>Y137-Y136</f>
        <v>-190</v>
      </c>
      <c r="Z138" s="1">
        <f>Z137-Z136</f>
        <v>-81</v>
      </c>
      <c r="AA138" s="1">
        <f>AA137-AA136</f>
        <v>-106</v>
      </c>
      <c r="AB138" s="1">
        <f>AB137-AB136</f>
        <v>-207</v>
      </c>
      <c r="AC138" s="1">
        <f>AC137-AC136</f>
        <v>-46</v>
      </c>
      <c r="AD138" s="1">
        <f>AD137-AD136</f>
        <v>-76</v>
      </c>
      <c r="AE138" s="1">
        <f>AE137-AE136</f>
        <v>-242</v>
      </c>
      <c r="AF138" s="1">
        <f>AF137-AF136</f>
        <v>-10</v>
      </c>
      <c r="AG138" s="1">
        <f>AG137-AG136</f>
        <v>-4</v>
      </c>
      <c r="AH138" s="1">
        <f>AH137-AH136</f>
        <v>-30</v>
      </c>
      <c r="AI138" s="1">
        <f>AI137-AI136</f>
        <v>-30</v>
      </c>
      <c r="AJ138" s="1">
        <f>AJ137-AJ136</f>
        <v>-5</v>
      </c>
      <c r="AK138" s="1">
        <f>AK137-AK136</f>
        <v>33</v>
      </c>
      <c r="AL138" s="1">
        <f>AL137-AL136</f>
        <v>43</v>
      </c>
      <c r="AM138" s="1">
        <f>AM137-AM136</f>
        <v>0</v>
      </c>
      <c r="AN138" s="1">
        <f>AN137-AN136</f>
        <v>-48</v>
      </c>
      <c r="AO138" s="1">
        <f>AO137-AO136</f>
        <v>-33</v>
      </c>
      <c r="AP138" s="1">
        <f>AP137-AP136</f>
        <v>-27</v>
      </c>
      <c r="AQ138" s="1">
        <f>AQ137-AQ136</f>
        <v>-85</v>
      </c>
      <c r="AR138" s="1">
        <f>AR137-AR136</f>
        <v>-69</v>
      </c>
      <c r="AS138" s="1">
        <f>AS137-AS136</f>
        <v>-64</v>
      </c>
      <c r="AT138" s="1">
        <f>AT137-AT136</f>
        <v>-49</v>
      </c>
      <c r="AU138" s="1">
        <f>AU137-AU136</f>
        <v>-26</v>
      </c>
      <c r="AV138" s="1">
        <f>AV137-AV136</f>
        <v>-69</v>
      </c>
      <c r="AW138" s="1">
        <f>AW137-AW136</f>
        <v>-95</v>
      </c>
      <c r="AX138" s="1">
        <f>AX137-AX136</f>
        <v>-38</v>
      </c>
      <c r="AY138" s="1">
        <f>AY137-AY136</f>
        <v>-4</v>
      </c>
      <c r="AZ138" s="1">
        <f>AZ137-AZ136</f>
        <v>-27</v>
      </c>
      <c r="BA138" s="1">
        <f>BA137-BA136</f>
        <v>-124</v>
      </c>
      <c r="BB138" s="1">
        <f>BB137-BB136</f>
        <v>-183</v>
      </c>
      <c r="BC138" s="1">
        <f>BC137-BC136</f>
        <v>-8</v>
      </c>
      <c r="BD138" s="1">
        <f>BD137-BD136</f>
        <v>52</v>
      </c>
      <c r="BE138" s="1">
        <f>BE137-BE136</f>
        <v>134</v>
      </c>
      <c r="BF138" s="1">
        <f>BF137-BF136</f>
        <v>193</v>
      </c>
      <c r="BG138" s="1">
        <f>BG137-BG136</f>
        <v>202</v>
      </c>
      <c r="BH138" s="1">
        <f>BH137-BH136</f>
        <v>106</v>
      </c>
      <c r="BI138" s="1">
        <f>BI137-BI136</f>
        <v>119</v>
      </c>
      <c r="BJ138" s="1">
        <f>BJ137-BJ136</f>
        <v>-144</v>
      </c>
      <c r="BK138" s="1">
        <f>BK137-BK136</f>
        <v>-135</v>
      </c>
      <c r="BL138" s="1">
        <f>BL137-BL136</f>
        <v>-57</v>
      </c>
      <c r="BM138" s="1">
        <f>BM137-BM136</f>
        <v>-142</v>
      </c>
      <c r="BN138" s="1">
        <f>BN137-BN136</f>
        <v>-345</v>
      </c>
      <c r="BO138" s="1">
        <f>BO137-BO136</f>
        <v>-345</v>
      </c>
      <c r="BP138" s="1"/>
      <c r="BQ138" s="1"/>
      <c r="BR138" s="17"/>
      <c r="BS138" s="17"/>
    </row>
    <row r="139" spans="1:73">
      <c r="A139" s="1"/>
      <c r="B139" s="3" t="s">
        <v>160</v>
      </c>
      <c r="C139" s="1"/>
      <c r="D139" s="1"/>
      <c r="E139" s="1">
        <f>MAX(E2:E135)</f>
        <v>15</v>
      </c>
      <c r="F139" s="1">
        <f>MAX(F2:F135)</f>
        <v>15</v>
      </c>
      <c r="G139" s="1">
        <f>MAX(G2:G135)</f>
        <v>20</v>
      </c>
      <c r="H139" s="1">
        <f>MAX(H2:H135)</f>
        <v>20</v>
      </c>
      <c r="I139" s="1">
        <f>MAX(I2:I135)</f>
        <v>10</v>
      </c>
      <c r="J139" s="1">
        <f>MAX(J2:J135)</f>
        <v>10</v>
      </c>
      <c r="K139" s="1">
        <f>MAX(K2:K135)</f>
        <v>10</v>
      </c>
      <c r="L139" s="1">
        <f>MAX(L2:L135)</f>
        <v>20</v>
      </c>
      <c r="M139" s="1">
        <f>MAX(M2:M135)</f>
        <v>15</v>
      </c>
      <c r="N139" s="1">
        <f>MAX(N2:N135)</f>
        <v>10</v>
      </c>
      <c r="O139" s="1">
        <f>MAX(O2:O135)</f>
        <v>20</v>
      </c>
      <c r="P139" s="1">
        <f>MAX(P2:P135)</f>
        <v>10</v>
      </c>
      <c r="Q139" s="1">
        <f>MAX(Q2:Q135)</f>
        <v>7</v>
      </c>
      <c r="R139" s="1">
        <f>MAX(R2:R135)</f>
        <v>10</v>
      </c>
      <c r="S139" s="1">
        <f>MAX(S2:S135)</f>
        <v>10</v>
      </c>
      <c r="T139" s="1">
        <f>MAX(T2:T135)</f>
        <v>7</v>
      </c>
      <c r="U139" s="1">
        <f>MAX(U2:U135)</f>
        <v>10</v>
      </c>
      <c r="V139" s="1">
        <f>MAX(V2:V135)</f>
        <v>10</v>
      </c>
      <c r="W139" s="1">
        <f>MAX(W2:W135)</f>
        <v>5</v>
      </c>
      <c r="X139" s="1">
        <f>MAX(X2:X135)</f>
        <v>10</v>
      </c>
      <c r="Y139" s="1">
        <f>MAX(Y2:Y135)</f>
        <v>10</v>
      </c>
      <c r="Z139" s="1">
        <f>MAX(Z2:Z135)</f>
        <v>5</v>
      </c>
      <c r="AA139" s="1">
        <f>MAX(AA2:AA135)</f>
        <v>10</v>
      </c>
      <c r="AB139" s="1">
        <f>MAX(AB2:AB135)</f>
        <v>10</v>
      </c>
      <c r="AC139" s="1">
        <f>MAX(AC2:AC135)</f>
        <v>5</v>
      </c>
      <c r="AD139" s="1">
        <f>MAX(AD2:AD135)</f>
        <v>10</v>
      </c>
      <c r="AE139" s="1">
        <f>MAX(AE2:AE135)</f>
        <v>200</v>
      </c>
      <c r="AF139" s="1">
        <f>MAX(AF2:AF135)</f>
        <v>5</v>
      </c>
      <c r="AG139" s="1">
        <f>MAX(AG2:AG135)</f>
        <v>5</v>
      </c>
      <c r="AH139" s="1">
        <f>MAX(AH2:AH135)</f>
        <v>5</v>
      </c>
      <c r="AI139" s="1">
        <f>MAX(AI2:AI135)</f>
        <v>5</v>
      </c>
      <c r="AJ139" s="1">
        <f>MAX(AJ2:AJ135)</f>
        <v>5</v>
      </c>
      <c r="AK139" s="1">
        <f>MAX(AK2:AK135)</f>
        <v>0</v>
      </c>
      <c r="AL139" s="1">
        <f>MAX(AL2:AL135)</f>
        <v>0</v>
      </c>
      <c r="AM139" s="1">
        <f>MAX(AM2:AM135)</f>
        <v>5</v>
      </c>
      <c r="AN139" s="1">
        <f>MAX(AN2:AN135)</f>
        <v>25</v>
      </c>
      <c r="AO139" s="1">
        <f>MAX(AO2:AO135)</f>
        <v>10</v>
      </c>
      <c r="AP139" s="1">
        <f>MAX(AP2:AP135)</f>
        <v>10</v>
      </c>
      <c r="AQ139" s="1">
        <f>MAX(AQ2:AQ135)</f>
        <v>40</v>
      </c>
      <c r="AR139" s="1">
        <f>MAX(AR2:AR135)</f>
        <v>15</v>
      </c>
      <c r="AS139" s="1">
        <f>MAX(AS2:AS135)</f>
        <v>15</v>
      </c>
      <c r="AT139" s="1">
        <f>MAX(AT2:AT135)</f>
        <v>15</v>
      </c>
      <c r="AU139" s="1">
        <f>MAX(AU2:AU135)</f>
        <v>15</v>
      </c>
      <c r="AV139" s="1">
        <f>MAX(AV2:AV135)</f>
        <v>40</v>
      </c>
      <c r="AW139" s="1">
        <f>MAX(AW2:AW135)</f>
        <v>40</v>
      </c>
      <c r="AX139" s="1">
        <f>MAX(AX2:AX135)</f>
        <v>40</v>
      </c>
      <c r="AY139" s="1">
        <f>MAX(AY2:AY135)</f>
        <v>15</v>
      </c>
      <c r="AZ139" s="1">
        <f>MAX(AZ2:AZ135)</f>
        <v>15</v>
      </c>
      <c r="BA139" s="1">
        <f>MAX(BA2:BA135)</f>
        <v>20</v>
      </c>
      <c r="BB139" s="1">
        <f>MAX(BB2:BB135)</f>
        <v>40</v>
      </c>
      <c r="BC139" s="1">
        <f>MAX(BC2:BC135)</f>
        <v>10</v>
      </c>
      <c r="BD139" s="1">
        <f>MAX(BD2:BD135)</f>
        <v>50</v>
      </c>
      <c r="BE139" s="1">
        <f>MAX(BE2:BE135)</f>
        <v>50</v>
      </c>
      <c r="BF139" s="1">
        <f>MAX(BF2:BF135)</f>
        <v>20</v>
      </c>
      <c r="BG139" s="1">
        <f>MAX(BG2:BG135)</f>
        <v>20</v>
      </c>
      <c r="BH139" s="1">
        <f>MAX(BH2:BH135)</f>
        <v>20</v>
      </c>
      <c r="BI139" s="1">
        <f>MAX(BI2:BI135)</f>
        <v>20</v>
      </c>
      <c r="BJ139" s="1">
        <f>MAX(BJ2:BJ135)</f>
        <v>50</v>
      </c>
      <c r="BK139" s="1">
        <f>MAX(BK2:BK135)</f>
        <v>50</v>
      </c>
      <c r="BL139" s="1">
        <f>MAX(BL2:BL135)</f>
        <v>50</v>
      </c>
      <c r="BM139" s="1">
        <f>MAX(BM2:BM135)</f>
        <v>50</v>
      </c>
      <c r="BN139" s="1">
        <f>MAX(BN2:BN135)</f>
        <v>50</v>
      </c>
      <c r="BO139" s="1">
        <f>MAX(BO2:BO135)</f>
        <v>50</v>
      </c>
      <c r="BP139" s="1"/>
      <c r="BQ139" s="1"/>
      <c r="BR139" s="17"/>
      <c r="BS139" s="17"/>
    </row>
    <row r="140" spans="1:73">
      <c r="A140" s="1"/>
      <c r="B140" s="3" t="s">
        <v>161</v>
      </c>
      <c r="C140" s="1"/>
      <c r="D140" s="1"/>
      <c r="E140" s="1">
        <f>MIN(E2:E135)</f>
        <v>6</v>
      </c>
      <c r="F140" s="1">
        <f>MIN(F2:F135)</f>
        <v>6</v>
      </c>
      <c r="G140" s="1">
        <f>MIN(G2:G135)</f>
        <v>5</v>
      </c>
      <c r="H140" s="1">
        <f>MIN(H2:H135)</f>
        <v>5</v>
      </c>
      <c r="I140" s="1">
        <f>MIN(I2:I135)</f>
        <v>7</v>
      </c>
      <c r="J140" s="1">
        <f>MIN(J2:J135)</f>
        <v>5</v>
      </c>
      <c r="K140" s="1">
        <f>MIN(K2:K135)</f>
        <v>6</v>
      </c>
      <c r="L140" s="1">
        <f>MIN(L2:L135)</f>
        <v>7</v>
      </c>
      <c r="M140" s="1">
        <f>MIN(M2:M135)</f>
        <v>6</v>
      </c>
      <c r="N140" s="1">
        <f>MIN(N2:N135)</f>
        <v>10</v>
      </c>
      <c r="O140" s="1">
        <f>MIN(O2:O135)</f>
        <v>5</v>
      </c>
      <c r="P140" s="1">
        <f>MIN(P2:P135)</f>
        <v>10</v>
      </c>
      <c r="Q140" s="1">
        <f>MIN(Q2:Q135)</f>
        <v>5</v>
      </c>
      <c r="R140" s="1">
        <f>MIN(R2:R135)</f>
        <v>2</v>
      </c>
      <c r="S140" s="1">
        <f>MIN(S2:S135)</f>
        <v>10</v>
      </c>
      <c r="T140" s="1">
        <f>MIN(T2:T135)</f>
        <v>5</v>
      </c>
      <c r="U140" s="1">
        <f>MIN(U2:U135)</f>
        <v>2</v>
      </c>
      <c r="V140" s="1">
        <f>MIN(V2:V135)</f>
        <v>5</v>
      </c>
      <c r="W140" s="1">
        <f>MIN(W2:W135)</f>
        <v>5</v>
      </c>
      <c r="X140" s="1">
        <f>MIN(X2:X135)</f>
        <v>2</v>
      </c>
      <c r="Y140" s="1">
        <f>MIN(Y2:Y135)</f>
        <v>5</v>
      </c>
      <c r="Z140" s="1">
        <f>MIN(Z2:Z135)</f>
        <v>5</v>
      </c>
      <c r="AA140" s="1">
        <f>MIN(AA2:AA135)</f>
        <v>2</v>
      </c>
      <c r="AB140" s="1">
        <f>MIN(AB2:AB135)</f>
        <v>10</v>
      </c>
      <c r="AC140" s="1">
        <f>MIN(AC2:AC135)</f>
        <v>5</v>
      </c>
      <c r="AD140" s="1">
        <f>MIN(AD2:AD135)</f>
        <v>2</v>
      </c>
      <c r="AE140" s="1">
        <f>MIN(AE2:AE135)</f>
        <v>50</v>
      </c>
      <c r="AF140" s="1">
        <f>MIN(AF2:AF135)</f>
        <v>5</v>
      </c>
      <c r="AG140" s="1">
        <f>MIN(AG2:AG135)</f>
        <v>5</v>
      </c>
      <c r="AH140" s="1">
        <f>MIN(AH2:AH135)</f>
        <v>5</v>
      </c>
      <c r="AI140" s="1">
        <f>MIN(AI2:AI135)</f>
        <v>5</v>
      </c>
      <c r="AJ140" s="1">
        <f>MIN(AJ2:AJ135)</f>
        <v>5</v>
      </c>
      <c r="AK140" s="1">
        <f>MIN(AK2:AK135)</f>
        <v>0</v>
      </c>
      <c r="AL140" s="1">
        <f>MIN(AL2:AL135)</f>
        <v>0</v>
      </c>
      <c r="AM140" s="1">
        <f>MIN(AM2:AM135)</f>
        <v>5</v>
      </c>
      <c r="AN140" s="1">
        <f>MIN(AN2:AN135)</f>
        <v>5</v>
      </c>
      <c r="AO140" s="1">
        <f>MIN(AO2:AO135)</f>
        <v>2</v>
      </c>
      <c r="AP140" s="1">
        <f>MIN(AP2:AP135)</f>
        <v>1</v>
      </c>
      <c r="AQ140" s="1">
        <f>MIN(AQ2:AQ135)</f>
        <v>10</v>
      </c>
      <c r="AR140" s="1">
        <f>MIN(AR2:AR135)</f>
        <v>10</v>
      </c>
      <c r="AS140" s="1">
        <f>MIN(AS2:AS135)</f>
        <v>5</v>
      </c>
      <c r="AT140" s="1">
        <f>MIN(AT2:AT135)</f>
        <v>10</v>
      </c>
      <c r="AU140" s="1">
        <f>MIN(AU2:AU135)</f>
        <v>10</v>
      </c>
      <c r="AV140" s="1">
        <f>MIN(AV2:AV135)</f>
        <v>10</v>
      </c>
      <c r="AW140" s="1">
        <f>MIN(AW2:AW135)</f>
        <v>10</v>
      </c>
      <c r="AX140" s="1">
        <f>MIN(AX2:AX135)</f>
        <v>5</v>
      </c>
      <c r="AY140" s="1">
        <f>MIN(AY2:AY135)</f>
        <v>10</v>
      </c>
      <c r="AZ140" s="1">
        <f>MIN(AZ2:AZ135)</f>
        <v>10</v>
      </c>
      <c r="BA140" s="1">
        <f>MIN(BA2:BA135)</f>
        <v>5</v>
      </c>
      <c r="BB140" s="1">
        <f>MIN(BB2:BB135)</f>
        <v>5</v>
      </c>
      <c r="BC140" s="1">
        <f>MIN(BC2:BC135)</f>
        <v>10</v>
      </c>
      <c r="BD140" s="1">
        <f>MIN(BD2:BD135)</f>
        <v>20</v>
      </c>
      <c r="BE140" s="1">
        <f>MIN(BE2:BE135)</f>
        <v>20</v>
      </c>
      <c r="BF140" s="1">
        <f>MIN(BF2:BF135)</f>
        <v>20</v>
      </c>
      <c r="BG140" s="1">
        <f>MIN(BG2:BG135)</f>
        <v>20</v>
      </c>
      <c r="BH140" s="1">
        <f>MIN(BH2:BH135)</f>
        <v>15</v>
      </c>
      <c r="BI140" s="1">
        <f>MIN(BI2:BI135)</f>
        <v>15</v>
      </c>
      <c r="BJ140" s="1">
        <f>MIN(BJ2:BJ135)</f>
        <v>50</v>
      </c>
      <c r="BK140" s="1">
        <f>MIN(BK2:BK135)</f>
        <v>50</v>
      </c>
      <c r="BL140" s="1">
        <f>MIN(BL2:BL135)</f>
        <v>50</v>
      </c>
      <c r="BM140" s="1">
        <f>MIN(BM2:BM135)</f>
        <v>50</v>
      </c>
      <c r="BN140" s="1">
        <f>MIN(BN2:BN135)</f>
        <v>50</v>
      </c>
      <c r="BO140" s="1">
        <f>MIN(BO2:BO135)</f>
        <v>50</v>
      </c>
      <c r="BP140" s="1"/>
      <c r="BQ140" s="1"/>
      <c r="BR140" s="17"/>
      <c r="BS140" s="17"/>
    </row>
    <row r="141" spans="1:73">
      <c r="A141" s="1"/>
      <c r="B141" s="3" t="s">
        <v>162</v>
      </c>
      <c r="C141" s="1"/>
      <c r="D141" s="1"/>
      <c r="E141" s="1">
        <f>E137-E139</f>
        <v>13</v>
      </c>
      <c r="F141" s="1">
        <f>F137-F139</f>
        <v>9</v>
      </c>
      <c r="G141" s="1">
        <f>G137-G139</f>
        <v>-14</v>
      </c>
      <c r="H141" s="1">
        <f>H137-H139</f>
        <v>-20</v>
      </c>
      <c r="I141" s="1">
        <f>I137-I139</f>
        <v>59</v>
      </c>
      <c r="J141" s="1">
        <f>J137-J139</f>
        <v>63</v>
      </c>
      <c r="K141" s="1">
        <f>K137-K139</f>
        <v>43</v>
      </c>
      <c r="L141" s="1">
        <f>L137-L139</f>
        <v>38</v>
      </c>
      <c r="M141" s="1">
        <f>M137-M139</f>
        <v>29</v>
      </c>
      <c r="N141" s="1">
        <f>N137-N139</f>
        <v>55</v>
      </c>
      <c r="O141" s="1">
        <f>O137-O139</f>
        <v>9</v>
      </c>
      <c r="P141" s="1">
        <f>P137-P139</f>
        <v>14</v>
      </c>
      <c r="Q141" s="1">
        <f>Q137-Q139</f>
        <v>-4</v>
      </c>
      <c r="R141" s="1">
        <f>R137-R139</f>
        <v>-6</v>
      </c>
      <c r="S141" s="1">
        <f>S137-S139</f>
        <v>4</v>
      </c>
      <c r="T141" s="1">
        <f>T137-T139</f>
        <v>8</v>
      </c>
      <c r="U141" s="1">
        <f>U137-U139</f>
        <v>-7</v>
      </c>
      <c r="V141" s="1">
        <f>V137-V139</f>
        <v>-4</v>
      </c>
      <c r="W141" s="1">
        <f>W137-W139</f>
        <v>-1</v>
      </c>
      <c r="X141" s="1">
        <f>X137-X139</f>
        <v>-2</v>
      </c>
      <c r="Y141" s="1">
        <f>Y137-Y139</f>
        <v>0</v>
      </c>
      <c r="Z141" s="1">
        <f>Z137-Z139</f>
        <v>-1</v>
      </c>
      <c r="AA141" s="1">
        <f>AA137-AA139</f>
        <v>-7</v>
      </c>
      <c r="AB141" s="1">
        <f>AB137-AB139</f>
        <v>13</v>
      </c>
      <c r="AC141" s="1">
        <f>AC137-AC139</f>
        <v>-1</v>
      </c>
      <c r="AD141" s="1">
        <f>AD137-AD139</f>
        <v>-2</v>
      </c>
      <c r="AE141" s="1">
        <f>AE137-AE139</f>
        <v>-192</v>
      </c>
      <c r="AF141" s="1">
        <f>AF137-AF139</f>
        <v>-5</v>
      </c>
      <c r="AG141" s="1">
        <f>AG137-AG139</f>
        <v>-4</v>
      </c>
      <c r="AH141" s="1">
        <f>AH137-AH139</f>
        <v>-5</v>
      </c>
      <c r="AI141" s="1">
        <f>AI137-AI139</f>
        <v>-5</v>
      </c>
      <c r="AJ141" s="1">
        <f>AJ137-AJ139</f>
        <v>-5</v>
      </c>
      <c r="AK141" s="1">
        <f>AK137-AK139</f>
        <v>33</v>
      </c>
      <c r="AL141" s="1">
        <f>AL137-AL139</f>
        <v>43</v>
      </c>
      <c r="AM141" s="1">
        <f>AM137-AM139</f>
        <v>0</v>
      </c>
      <c r="AN141" s="1">
        <f>AN137-AN139</f>
        <v>-23</v>
      </c>
      <c r="AO141" s="1">
        <f>AO137-AO139</f>
        <v>-10</v>
      </c>
      <c r="AP141" s="1">
        <f>AP137-AP139</f>
        <v>-10</v>
      </c>
      <c r="AQ141" s="1">
        <f>AQ137-AQ139</f>
        <v>-20</v>
      </c>
      <c r="AR141" s="1">
        <f>AR137-AR139</f>
        <v>-9</v>
      </c>
      <c r="AS141" s="1">
        <f>AS137-AS139</f>
        <v>1</v>
      </c>
      <c r="AT141" s="1">
        <f>AT137-AT139</f>
        <v>-9</v>
      </c>
      <c r="AU141" s="1">
        <f>AU137-AU139</f>
        <v>24</v>
      </c>
      <c r="AV141" s="1">
        <f>AV137-AV139</f>
        <v>-4</v>
      </c>
      <c r="AW141" s="1">
        <f>AW137-AW139</f>
        <v>-30</v>
      </c>
      <c r="AX141" s="1">
        <f>AX137-AX139</f>
        <v>-23</v>
      </c>
      <c r="AY141" s="1">
        <f>AY137-AY139</f>
        <v>16</v>
      </c>
      <c r="AZ141" s="1">
        <f>AZ137-AZ139</f>
        <v>3</v>
      </c>
      <c r="BA141" s="1">
        <f>BA137-BA139</f>
        <v>-19</v>
      </c>
      <c r="BB141" s="1">
        <f>BB137-BB139</f>
        <v>-38</v>
      </c>
      <c r="BC141" s="1">
        <f>BC137-BC139</f>
        <v>2</v>
      </c>
      <c r="BD141" s="1">
        <f>BD137-BD139</f>
        <v>112</v>
      </c>
      <c r="BE141" s="1">
        <f>BE137-BE139</f>
        <v>194</v>
      </c>
      <c r="BF141" s="1">
        <f>BF137-BF139</f>
        <v>213</v>
      </c>
      <c r="BG141" s="1">
        <f>BG137-BG139</f>
        <v>222</v>
      </c>
      <c r="BH141" s="1">
        <f>BH137-BH139</f>
        <v>121</v>
      </c>
      <c r="BI141" s="1">
        <f>BI137-BI139</f>
        <v>134</v>
      </c>
      <c r="BJ141" s="1">
        <f>BJ137-BJ139</f>
        <v>6</v>
      </c>
      <c r="BK141" s="1">
        <f>BK137-BK139</f>
        <v>15</v>
      </c>
      <c r="BL141" s="1">
        <f>BL137-BL139</f>
        <v>43</v>
      </c>
      <c r="BM141" s="1">
        <f>BM137-BM139</f>
        <v>-42</v>
      </c>
      <c r="BN141" s="1">
        <f>BN137-BN139</f>
        <v>-45</v>
      </c>
      <c r="BO141" s="1">
        <f>BO137-BO139</f>
        <v>-45</v>
      </c>
      <c r="BP141" s="1"/>
      <c r="BQ141" s="1"/>
      <c r="BR141" s="17"/>
      <c r="BS141" s="17"/>
    </row>
    <row r="142" spans="1:73" s="13" customFormat="1">
      <c r="A142" s="1"/>
      <c r="B142" s="3" t="s">
        <v>163</v>
      </c>
      <c r="C142" s="1"/>
      <c r="D142" s="1"/>
      <c r="E142" s="1">
        <f>E137-E140</f>
        <v>22</v>
      </c>
      <c r="F142" s="1">
        <f>F137-F140</f>
        <v>18</v>
      </c>
      <c r="G142" s="1">
        <f>G137-G140</f>
        <v>1</v>
      </c>
      <c r="H142" s="1">
        <f>H137-H140</f>
        <v>-5</v>
      </c>
      <c r="I142" s="1">
        <f>I137-I140</f>
        <v>62</v>
      </c>
      <c r="J142" s="1">
        <f>J137-J140</f>
        <v>68</v>
      </c>
      <c r="K142" s="1">
        <f>K137-K140</f>
        <v>47</v>
      </c>
      <c r="L142" s="1">
        <f>L137-L140</f>
        <v>51</v>
      </c>
      <c r="M142" s="1">
        <f>M137-M140</f>
        <v>38</v>
      </c>
      <c r="N142" s="1">
        <f>N137-N140</f>
        <v>55</v>
      </c>
      <c r="O142" s="1">
        <f>O137-O140</f>
        <v>24</v>
      </c>
      <c r="P142" s="1">
        <f>P137-P140</f>
        <v>14</v>
      </c>
      <c r="Q142" s="1">
        <f>Q137-Q140</f>
        <v>-2</v>
      </c>
      <c r="R142" s="1">
        <f>R137-R140</f>
        <v>2</v>
      </c>
      <c r="S142" s="1">
        <f>S137-S140</f>
        <v>4</v>
      </c>
      <c r="T142" s="1">
        <f>T137-T140</f>
        <v>10</v>
      </c>
      <c r="U142" s="1">
        <f>U137-U140</f>
        <v>1</v>
      </c>
      <c r="V142" s="1">
        <f>V137-V140</f>
        <v>1</v>
      </c>
      <c r="W142" s="1">
        <f>W137-W140</f>
        <v>-1</v>
      </c>
      <c r="X142" s="1">
        <f>X137-X140</f>
        <v>6</v>
      </c>
      <c r="Y142" s="1">
        <f>Y137-Y140</f>
        <v>5</v>
      </c>
      <c r="Z142" s="1">
        <f>Z137-Z140</f>
        <v>-1</v>
      </c>
      <c r="AA142" s="1">
        <f>AA137-AA140</f>
        <v>1</v>
      </c>
      <c r="AB142" s="1">
        <f>AB137-AB140</f>
        <v>13</v>
      </c>
      <c r="AC142" s="1">
        <f>AC137-AC140</f>
        <v>-1</v>
      </c>
      <c r="AD142" s="1">
        <f>AD137-AD140</f>
        <v>6</v>
      </c>
      <c r="AE142" s="1">
        <f>AE137-AE140</f>
        <v>-42</v>
      </c>
      <c r="AF142" s="1">
        <f>AF137-AF140</f>
        <v>-5</v>
      </c>
      <c r="AG142" s="1">
        <f>AG137-AG140</f>
        <v>-4</v>
      </c>
      <c r="AH142" s="1">
        <f>AH137-AH140</f>
        <v>-5</v>
      </c>
      <c r="AI142" s="1">
        <f>AI137-AI140</f>
        <v>-5</v>
      </c>
      <c r="AJ142" s="1">
        <f>AJ137-AJ140</f>
        <v>-5</v>
      </c>
      <c r="AK142" s="1">
        <f>AK137-AK140</f>
        <v>33</v>
      </c>
      <c r="AL142" s="1">
        <f>AL137-AL140</f>
        <v>43</v>
      </c>
      <c r="AM142" s="1">
        <f>AM137-AM140</f>
        <v>0</v>
      </c>
      <c r="AN142" s="1">
        <f>AN137-AN140</f>
        <v>-3</v>
      </c>
      <c r="AO142" s="1">
        <f>AO137-AO140</f>
        <v>-2</v>
      </c>
      <c r="AP142" s="1">
        <f>AP137-AP140</f>
        <v>-1</v>
      </c>
      <c r="AQ142" s="1">
        <f>AQ137-AQ140</f>
        <v>10</v>
      </c>
      <c r="AR142" s="1">
        <f>AR137-AR140</f>
        <v>-4</v>
      </c>
      <c r="AS142" s="1">
        <f>AS137-AS140</f>
        <v>11</v>
      </c>
      <c r="AT142" s="1">
        <f>AT137-AT140</f>
        <v>-4</v>
      </c>
      <c r="AU142" s="1">
        <f>AU137-AU140</f>
        <v>29</v>
      </c>
      <c r="AV142" s="1">
        <f>AV137-AV140</f>
        <v>26</v>
      </c>
      <c r="AW142" s="1">
        <f>AW137-AW140</f>
        <v>0</v>
      </c>
      <c r="AX142" s="1">
        <f>AX137-AX140</f>
        <v>12</v>
      </c>
      <c r="AY142" s="1">
        <f>AY137-AY140</f>
        <v>21</v>
      </c>
      <c r="AZ142" s="1">
        <f>AZ137-AZ140</f>
        <v>8</v>
      </c>
      <c r="BA142" s="1">
        <f>BA137-BA140</f>
        <v>-4</v>
      </c>
      <c r="BB142" s="1">
        <f>BB137-BB140</f>
        <v>-3</v>
      </c>
      <c r="BC142" s="1">
        <f>BC137-BC140</f>
        <v>2</v>
      </c>
      <c r="BD142" s="1">
        <f>BD137-BD140</f>
        <v>142</v>
      </c>
      <c r="BE142" s="1">
        <f>BE137-BE140</f>
        <v>224</v>
      </c>
      <c r="BF142" s="1">
        <f>BF137-BF140</f>
        <v>213</v>
      </c>
      <c r="BG142" s="1">
        <f>BG137-BG140</f>
        <v>222</v>
      </c>
      <c r="BH142" s="1">
        <f>BH137-BH140</f>
        <v>126</v>
      </c>
      <c r="BI142" s="1">
        <f>BI137-BI140</f>
        <v>139</v>
      </c>
      <c r="BJ142" s="1">
        <f>BJ137-BJ140</f>
        <v>6</v>
      </c>
      <c r="BK142" s="1">
        <f>BK137-BK140</f>
        <v>15</v>
      </c>
      <c r="BL142" s="1">
        <f>BL137-BL140</f>
        <v>43</v>
      </c>
      <c r="BM142" s="1">
        <f>BM137-BM140</f>
        <v>-42</v>
      </c>
      <c r="BN142" s="1">
        <f>BN137-BN140</f>
        <v>-45</v>
      </c>
      <c r="BO142" s="1">
        <f>BO137-BO140</f>
        <v>-45</v>
      </c>
      <c r="BP142" s="1"/>
      <c r="BQ142" s="1"/>
      <c r="BR142" s="17"/>
      <c r="BS142" s="17"/>
    </row>
    <row r="143" spans="1:73">
      <c r="AQ143" s="7" t="s">
        <v>189</v>
      </c>
      <c r="AR143" s="7" t="s">
        <v>192</v>
      </c>
      <c r="AS143" s="7" t="s">
        <v>193</v>
      </c>
      <c r="AT143" s="7" t="s">
        <v>190</v>
      </c>
      <c r="AU143" s="7" t="s">
        <v>191</v>
      </c>
      <c r="AV143" s="7" t="s">
        <v>188</v>
      </c>
      <c r="AW143" s="7" t="s">
        <v>194</v>
      </c>
      <c r="AX143" s="7" t="s">
        <v>195</v>
      </c>
      <c r="AY143" s="7" t="s">
        <v>196</v>
      </c>
      <c r="AZ143" s="7" t="s">
        <v>197</v>
      </c>
      <c r="BA143" s="7" t="s">
        <v>198</v>
      </c>
      <c r="BB143" s="7" t="s">
        <v>199</v>
      </c>
    </row>
  </sheetData>
  <autoFilter ref="A1:BU143">
    <filterColumn colId="71">
      <filters blank="1">
        <filter val="0"/>
      </filters>
    </filterColumn>
    <filterColumn colId="72">
      <filters blank="1">
        <filter val="0"/>
      </filters>
    </filterColumn>
    <sortState ref="A2:BU143">
      <sortCondition ref="BR2:BR143"/>
      <sortCondition ref="BQ2:BQ143"/>
    </sortState>
  </autoFilter>
  <sortState ref="A2:CS148">
    <sortCondition ref="BR2:BR148"/>
    <sortCondition ref="BQ2:BQ148"/>
  </sortState>
  <phoneticPr fontId="1" type="noConversion"/>
  <conditionalFormatting sqref="E139:BO139">
    <cfRule type="expression" dxfId="5" priority="10">
      <formula>"&lt;=$E$135"</formula>
    </cfRule>
  </conditionalFormatting>
  <conditionalFormatting sqref="E141:BO142">
    <cfRule type="cellIs" dxfId="4" priority="1" operator="lessThan">
      <formula>0</formula>
    </cfRule>
  </conditionalFormatting>
  <conditionalFormatting sqref="E138:BO13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142</xdr:row>
                    <xdr:rowOff>28575</xdr:rowOff>
                  </from>
                  <to>
                    <xdr:col>1</xdr:col>
                    <xdr:colOff>428625</xdr:colOff>
                    <xdr:row>143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141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186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202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222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200</v>
      </c>
      <c r="AQ11" s="7" t="s">
        <v>189</v>
      </c>
      <c r="AR11" s="7" t="s">
        <v>192</v>
      </c>
      <c r="AS11" s="7" t="s">
        <v>193</v>
      </c>
      <c r="AT11" s="7" t="s">
        <v>190</v>
      </c>
      <c r="AU11" s="7" t="s">
        <v>191</v>
      </c>
      <c r="AV11" s="7" t="s">
        <v>188</v>
      </c>
      <c r="AW11" s="7" t="s">
        <v>194</v>
      </c>
      <c r="AX11" s="7" t="s">
        <v>195</v>
      </c>
      <c r="AY11" s="7" t="s">
        <v>196</v>
      </c>
      <c r="AZ11" s="7" t="s">
        <v>197</v>
      </c>
      <c r="BA11" s="7" t="s">
        <v>198</v>
      </c>
      <c r="BB11" s="7" t="s">
        <v>199</v>
      </c>
    </row>
    <row r="12" spans="1:97">
      <c r="R12" s="7" t="s">
        <v>201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164</v>
      </c>
      <c r="D27" t="s">
        <v>165</v>
      </c>
      <c r="E27" t="s">
        <v>166</v>
      </c>
      <c r="F27" t="s">
        <v>167</v>
      </c>
      <c r="G27" t="s">
        <v>168</v>
      </c>
      <c r="H27" t="s">
        <v>169</v>
      </c>
      <c r="I27" t="s">
        <v>170</v>
      </c>
      <c r="J27" t="s">
        <v>171</v>
      </c>
      <c r="K27" t="s">
        <v>172</v>
      </c>
      <c r="L27" t="s">
        <v>173</v>
      </c>
      <c r="M27" t="s">
        <v>174</v>
      </c>
      <c r="N27" t="s">
        <v>175</v>
      </c>
    </row>
    <row r="31" spans="3:18">
      <c r="C31">
        <v>-3</v>
      </c>
      <c r="D31" t="s">
        <v>164</v>
      </c>
    </row>
    <row r="32" spans="3:18">
      <c r="C32">
        <v>-8</v>
      </c>
      <c r="D32" t="s">
        <v>165</v>
      </c>
    </row>
    <row r="33" spans="3:4">
      <c r="C33">
        <v>-3</v>
      </c>
      <c r="D33" t="s">
        <v>166</v>
      </c>
    </row>
    <row r="34" spans="3:4">
      <c r="C34">
        <v>1</v>
      </c>
      <c r="D34" t="s">
        <v>167</v>
      </c>
    </row>
    <row r="35" spans="3:4">
      <c r="C35">
        <v>3</v>
      </c>
      <c r="D35" t="s">
        <v>168</v>
      </c>
    </row>
    <row r="36" spans="3:4">
      <c r="C36">
        <v>0</v>
      </c>
      <c r="D36" t="s">
        <v>169</v>
      </c>
    </row>
    <row r="37" spans="3:4">
      <c r="C37">
        <v>-3</v>
      </c>
      <c r="D37" t="s">
        <v>170</v>
      </c>
    </row>
    <row r="38" spans="3:4">
      <c r="C38">
        <v>30</v>
      </c>
      <c r="D38" t="s">
        <v>171</v>
      </c>
    </row>
    <row r="39" spans="3:4">
      <c r="C39">
        <v>5</v>
      </c>
      <c r="D39" t="s">
        <v>172</v>
      </c>
    </row>
    <row r="40" spans="3:4">
      <c r="C40">
        <v>-10</v>
      </c>
      <c r="D40" t="s">
        <v>173</v>
      </c>
    </row>
    <row r="41" spans="3:4">
      <c r="C41">
        <v>3</v>
      </c>
      <c r="D41" t="s">
        <v>174</v>
      </c>
    </row>
    <row r="42" spans="3:4">
      <c r="C42">
        <v>138</v>
      </c>
      <c r="D42" t="s">
        <v>175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23"/>
  <sheetViews>
    <sheetView workbookViewId="0">
      <selection activeCell="I24" sqref="I24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223</v>
      </c>
      <c r="F3" t="s">
        <v>224</v>
      </c>
      <c r="G3" t="s">
        <v>225</v>
      </c>
      <c r="H3" t="s">
        <v>226</v>
      </c>
      <c r="I3" t="s">
        <v>227</v>
      </c>
      <c r="J3" t="s">
        <v>228</v>
      </c>
    </row>
    <row r="4" spans="3:10">
      <c r="C4" s="67" t="s">
        <v>229</v>
      </c>
      <c r="D4" t="s">
        <v>230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231</v>
      </c>
      <c r="D5" t="s">
        <v>232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233</v>
      </c>
      <c r="D6" t="s">
        <v>232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234</v>
      </c>
      <c r="D7" t="s">
        <v>232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235</v>
      </c>
      <c r="D8" t="s">
        <v>236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237</v>
      </c>
      <c r="D9" t="s">
        <v>236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238</v>
      </c>
      <c r="D10" t="s">
        <v>236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241</v>
      </c>
      <c r="D11" t="s">
        <v>232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240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4:10">
      <c r="D17" t="s">
        <v>236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4:10">
      <c r="D18" t="s">
        <v>236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4:10">
      <c r="D19" t="s">
        <v>236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4:10">
      <c r="E20">
        <f>SUM(E4:E11)</f>
        <v>710</v>
      </c>
      <c r="I20">
        <f>SUM(I4:I11)</f>
        <v>450</v>
      </c>
    </row>
    <row r="21" spans="4:10">
      <c r="E21">
        <f>-E20/2*7</f>
        <v>-2485</v>
      </c>
      <c r="I21">
        <f>-I20/2*7</f>
        <v>-1575</v>
      </c>
    </row>
    <row r="22" spans="4:10">
      <c r="I22">
        <v>200</v>
      </c>
    </row>
    <row r="23" spans="4:10">
      <c r="I23">
        <f>267*0.6</f>
        <v>160.19999999999999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2020-04-26T04:56:19Z</dcterms:modified>
</cp:coreProperties>
</file>