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8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Sheet1!$A$1:$BU$158</definedName>
    <definedName name="_xlnm._FilterDatabase" localSheetId="1" hidden="1">'Sheet1 (2)'!$A$1:$BP$3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T3" i="1" l="1"/>
  <c r="BU3" i="1"/>
  <c r="BT4" i="1"/>
  <c r="BU4" i="1"/>
  <c r="BT5" i="1"/>
  <c r="BU5" i="1"/>
  <c r="BT6" i="1"/>
  <c r="BU6" i="1"/>
  <c r="BT7" i="1"/>
  <c r="BU7" i="1"/>
  <c r="BT8" i="1"/>
  <c r="BU8" i="1"/>
  <c r="BT9" i="1"/>
  <c r="BU9" i="1"/>
  <c r="BT139" i="1"/>
  <c r="BU139" i="1"/>
  <c r="BT40" i="1"/>
  <c r="BU40" i="1"/>
  <c r="BT41" i="1"/>
  <c r="BU41" i="1"/>
  <c r="BT42" i="1"/>
  <c r="BU42" i="1"/>
  <c r="BT43" i="1"/>
  <c r="BU43" i="1"/>
  <c r="BT60" i="1"/>
  <c r="BU60" i="1"/>
  <c r="BT44" i="1"/>
  <c r="BU44" i="1"/>
  <c r="BT68" i="1"/>
  <c r="BU68" i="1"/>
  <c r="BT45" i="1"/>
  <c r="BU45" i="1"/>
  <c r="BT46" i="1"/>
  <c r="BU46" i="1"/>
  <c r="BT47" i="1"/>
  <c r="BU47" i="1"/>
  <c r="BT48" i="1"/>
  <c r="BU48" i="1"/>
  <c r="BT10" i="1"/>
  <c r="BU10" i="1"/>
  <c r="BT11" i="1"/>
  <c r="BU11" i="1"/>
  <c r="BT12" i="1"/>
  <c r="BU12" i="1"/>
  <c r="BT13" i="1"/>
  <c r="BU13" i="1"/>
  <c r="BT14" i="1"/>
  <c r="BU14" i="1"/>
  <c r="BT15" i="1"/>
  <c r="BU15" i="1"/>
  <c r="BT16" i="1"/>
  <c r="BU16" i="1"/>
  <c r="BT17" i="1"/>
  <c r="BU17" i="1"/>
  <c r="BT61" i="1"/>
  <c r="BU61" i="1"/>
  <c r="BT62" i="1"/>
  <c r="BU62" i="1"/>
  <c r="BT63" i="1"/>
  <c r="BU63" i="1"/>
  <c r="BT69" i="1"/>
  <c r="BU69" i="1"/>
  <c r="BT18" i="1"/>
  <c r="BU18" i="1"/>
  <c r="BT70" i="1"/>
  <c r="BU70" i="1"/>
  <c r="BT19" i="1"/>
  <c r="BU19" i="1"/>
  <c r="BT71" i="1"/>
  <c r="BU71" i="1"/>
  <c r="BT72" i="1"/>
  <c r="BU72" i="1"/>
  <c r="BT64" i="1"/>
  <c r="BU64" i="1"/>
  <c r="BT20" i="1"/>
  <c r="BU20" i="1"/>
  <c r="BT21" i="1"/>
  <c r="BU21" i="1"/>
  <c r="BT22" i="1"/>
  <c r="BU22" i="1"/>
  <c r="BT23" i="1"/>
  <c r="BU23" i="1"/>
  <c r="BT24" i="1"/>
  <c r="BU24" i="1"/>
  <c r="BT25" i="1"/>
  <c r="BU25" i="1"/>
  <c r="BT26" i="1"/>
  <c r="BU26" i="1"/>
  <c r="BT27" i="1"/>
  <c r="BU27" i="1"/>
  <c r="BT49" i="1"/>
  <c r="BU49" i="1"/>
  <c r="BT50" i="1"/>
  <c r="BU50" i="1"/>
  <c r="BT51" i="1"/>
  <c r="BU51" i="1"/>
  <c r="BT52" i="1"/>
  <c r="BU52" i="1"/>
  <c r="BT105" i="1"/>
  <c r="BU105" i="1"/>
  <c r="BT106" i="1"/>
  <c r="BU106" i="1"/>
  <c r="BT107" i="1"/>
  <c r="BU107" i="1"/>
  <c r="BT108" i="1"/>
  <c r="BU108" i="1"/>
  <c r="BT53" i="1"/>
  <c r="BU53" i="1"/>
  <c r="BT28" i="1"/>
  <c r="BU28" i="1"/>
  <c r="BT29" i="1"/>
  <c r="BU29" i="1"/>
  <c r="BT30" i="1"/>
  <c r="BU30" i="1"/>
  <c r="BT31" i="1"/>
  <c r="BU31" i="1"/>
  <c r="BT32" i="1"/>
  <c r="BU32" i="1"/>
  <c r="BT54" i="1"/>
  <c r="BU54" i="1"/>
  <c r="BT33" i="1"/>
  <c r="BU33" i="1"/>
  <c r="BT34" i="1"/>
  <c r="BU34" i="1"/>
  <c r="BT35" i="1"/>
  <c r="BU35" i="1"/>
  <c r="BT109" i="1"/>
  <c r="BU109" i="1"/>
  <c r="BT36" i="1"/>
  <c r="BU36" i="1"/>
  <c r="BT98" i="1"/>
  <c r="BU98" i="1"/>
  <c r="BT55" i="1"/>
  <c r="BU55" i="1"/>
  <c r="BT37" i="1"/>
  <c r="BU37" i="1"/>
  <c r="BT56" i="1"/>
  <c r="BU56" i="1"/>
  <c r="BT65" i="1"/>
  <c r="BU65" i="1"/>
  <c r="BT57" i="1"/>
  <c r="BU57" i="1"/>
  <c r="BT73" i="1"/>
  <c r="BU73" i="1"/>
  <c r="BT58" i="1"/>
  <c r="BU58" i="1"/>
  <c r="BT74" i="1"/>
  <c r="BU74" i="1"/>
  <c r="BT38" i="1"/>
  <c r="BU38" i="1"/>
  <c r="BT39" i="1"/>
  <c r="BU39" i="1"/>
  <c r="BT75" i="1"/>
  <c r="BU75" i="1"/>
  <c r="BT59" i="1"/>
  <c r="BU59" i="1"/>
  <c r="BT99" i="1"/>
  <c r="BU99" i="1"/>
  <c r="BT110" i="1"/>
  <c r="BU110" i="1"/>
  <c r="BT78" i="1"/>
  <c r="BU78" i="1"/>
  <c r="BT104" i="1"/>
  <c r="BU104" i="1"/>
  <c r="BT76" i="1"/>
  <c r="BU76" i="1"/>
  <c r="BT66" i="1"/>
  <c r="BU66" i="1"/>
  <c r="BT77" i="1"/>
  <c r="BU77" i="1"/>
  <c r="BT86" i="1"/>
  <c r="BU86" i="1"/>
  <c r="BT89" i="1"/>
  <c r="BU89" i="1"/>
  <c r="BT90" i="1"/>
  <c r="BU90" i="1"/>
  <c r="BT88" i="1"/>
  <c r="BU88" i="1"/>
  <c r="BT79" i="1"/>
  <c r="BU79" i="1"/>
  <c r="BT80" i="1"/>
  <c r="BU80" i="1"/>
  <c r="BT81" i="1"/>
  <c r="BU81" i="1"/>
  <c r="BT82" i="1"/>
  <c r="BU82" i="1"/>
  <c r="BT83" i="1"/>
  <c r="BU83" i="1"/>
  <c r="BT102" i="1"/>
  <c r="BU102" i="1"/>
  <c r="BT84" i="1"/>
  <c r="BU84" i="1"/>
  <c r="BT85" i="1"/>
  <c r="BU85" i="1"/>
  <c r="BT116" i="1"/>
  <c r="BU116" i="1"/>
  <c r="BT117" i="1"/>
  <c r="BU117" i="1"/>
  <c r="BT118" i="1"/>
  <c r="BU118" i="1"/>
  <c r="BT119" i="1"/>
  <c r="BU119" i="1"/>
  <c r="BT120" i="1"/>
  <c r="BU120" i="1"/>
  <c r="BT121" i="1"/>
  <c r="BU121" i="1"/>
  <c r="BT87" i="1"/>
  <c r="BU87" i="1"/>
  <c r="BT122" i="1"/>
  <c r="BU122" i="1"/>
  <c r="BT113" i="1"/>
  <c r="BU113" i="1"/>
  <c r="BT93" i="1"/>
  <c r="BU93" i="1"/>
  <c r="BT67" i="1"/>
  <c r="BU67" i="1"/>
  <c r="BT114" i="1"/>
  <c r="BU114" i="1"/>
  <c r="BT92" i="1"/>
  <c r="BU92" i="1"/>
  <c r="BT95" i="1"/>
  <c r="BU95" i="1"/>
  <c r="BT94" i="1"/>
  <c r="BU94" i="1"/>
  <c r="BT96" i="1"/>
  <c r="BU96" i="1"/>
  <c r="BT97" i="1"/>
  <c r="BU97" i="1"/>
  <c r="BT100" i="1"/>
  <c r="BU100" i="1"/>
  <c r="BT101" i="1"/>
  <c r="BU101" i="1"/>
  <c r="BT91" i="1"/>
  <c r="BU91" i="1"/>
  <c r="BT103" i="1"/>
  <c r="BU103" i="1"/>
  <c r="BT111" i="1"/>
  <c r="BU111" i="1"/>
  <c r="BT112" i="1"/>
  <c r="BU112" i="1"/>
  <c r="BT123" i="1"/>
  <c r="BU123" i="1"/>
  <c r="BT124" i="1"/>
  <c r="BU124" i="1"/>
  <c r="BT125" i="1"/>
  <c r="BU125" i="1"/>
  <c r="BT126" i="1"/>
  <c r="BU126" i="1"/>
  <c r="BT127" i="1"/>
  <c r="BU127" i="1"/>
  <c r="BT128" i="1"/>
  <c r="BU128" i="1"/>
  <c r="BT129" i="1"/>
  <c r="BU129" i="1"/>
  <c r="BT130" i="1"/>
  <c r="BU130" i="1"/>
  <c r="BT115" i="1"/>
  <c r="BU115" i="1"/>
  <c r="BT142" i="1"/>
  <c r="BU142" i="1"/>
  <c r="BT131" i="1"/>
  <c r="BU131" i="1"/>
  <c r="BT132" i="1"/>
  <c r="BU132" i="1"/>
  <c r="BT133" i="1"/>
  <c r="BU133" i="1"/>
  <c r="BT134" i="1"/>
  <c r="BU134" i="1"/>
  <c r="BT135" i="1"/>
  <c r="BU135" i="1"/>
  <c r="BT136" i="1"/>
  <c r="BU136" i="1"/>
  <c r="BT137" i="1"/>
  <c r="BU137" i="1"/>
  <c r="BT138" i="1"/>
  <c r="BU138" i="1"/>
  <c r="BT140" i="1"/>
  <c r="BU140" i="1"/>
  <c r="BT141" i="1"/>
  <c r="BU141" i="1"/>
  <c r="BT143" i="1"/>
  <c r="BU143" i="1"/>
  <c r="BT144" i="1"/>
  <c r="BU144" i="1"/>
  <c r="BT145" i="1"/>
  <c r="BU145" i="1"/>
  <c r="BT146" i="1"/>
  <c r="BU146" i="1"/>
  <c r="BT150" i="1"/>
  <c r="BU150" i="1"/>
  <c r="BT147" i="1"/>
  <c r="BU147" i="1"/>
  <c r="BT148" i="1"/>
  <c r="BU148" i="1"/>
  <c r="BT149" i="1"/>
  <c r="BU149" i="1"/>
  <c r="BP75" i="1"/>
  <c r="BP122" i="1"/>
  <c r="BP59" i="1"/>
  <c r="BP99" i="1"/>
  <c r="BP110" i="1"/>
  <c r="BP30" i="1" l="1"/>
  <c r="BP31" i="1"/>
  <c r="BP32" i="1"/>
  <c r="BP54" i="1"/>
  <c r="BP33" i="1"/>
  <c r="BP126" i="1"/>
  <c r="BP34" i="1"/>
  <c r="BP35" i="1"/>
  <c r="BP109" i="1"/>
  <c r="BP36" i="1"/>
  <c r="BP98" i="1"/>
  <c r="BP129" i="1"/>
  <c r="BP55" i="1"/>
  <c r="BP37" i="1"/>
  <c r="BP93" i="1"/>
  <c r="BP56" i="1"/>
  <c r="BP65" i="1"/>
  <c r="BP145" i="1"/>
  <c r="BP57" i="1"/>
  <c r="BP73" i="1"/>
  <c r="BP120" i="1"/>
  <c r="BP58" i="1"/>
  <c r="BP74" i="1"/>
  <c r="BP121" i="1"/>
  <c r="BP38" i="1"/>
  <c r="BP39" i="1"/>
  <c r="BP130" i="1"/>
  <c r="BP67" i="1" l="1"/>
  <c r="BU2" i="1" l="1"/>
  <c r="BT2" i="1" l="1"/>
  <c r="I23" i="4"/>
  <c r="I21" i="4"/>
  <c r="I20" i="4"/>
  <c r="E21" i="4"/>
  <c r="E20" i="4"/>
  <c r="CE3" i="8"/>
  <c r="CD3" i="8"/>
  <c r="CC3" i="8"/>
  <c r="CB3" i="8"/>
  <c r="CA3" i="8"/>
  <c r="BZ3" i="8"/>
  <c r="BY3" i="8"/>
  <c r="BX3" i="8"/>
  <c r="BW3" i="8"/>
  <c r="BV3" i="8"/>
  <c r="BU3" i="8"/>
  <c r="BT3" i="8"/>
  <c r="BP3" i="8"/>
  <c r="BP144" i="1" l="1"/>
  <c r="BP53" i="1"/>
  <c r="BP113" i="1"/>
  <c r="BP119" i="1"/>
  <c r="BP106" i="1"/>
  <c r="BP107" i="1"/>
  <c r="BP108" i="1"/>
  <c r="BP105" i="1"/>
  <c r="BP115" i="1"/>
  <c r="BP131" i="1"/>
  <c r="BP128" i="1"/>
  <c r="BP49" i="1"/>
  <c r="BP50" i="1"/>
  <c r="BP51" i="1"/>
  <c r="BP52" i="1"/>
  <c r="BP123" i="1"/>
  <c r="BP124" i="1"/>
  <c r="BP91" i="1"/>
  <c r="BP125" i="1"/>
  <c r="BP76" i="1"/>
  <c r="BP26" i="1"/>
  <c r="BP70" i="1"/>
  <c r="BP19" i="1"/>
  <c r="BP71" i="1"/>
  <c r="BP72" i="1"/>
  <c r="BP64" i="1"/>
  <c r="BP22" i="1"/>
  <c r="BP44" i="1"/>
  <c r="BP68" i="1"/>
  <c r="BP45" i="1"/>
  <c r="BP46" i="1"/>
  <c r="BP28" i="1"/>
  <c r="BP47" i="1"/>
  <c r="BP23" i="1"/>
  <c r="BP48" i="1"/>
  <c r="BP14" i="1"/>
  <c r="BP139" i="1"/>
  <c r="BP15" i="1"/>
  <c r="BP16" i="1"/>
  <c r="BP17" i="1"/>
  <c r="BO8" i="8" l="1"/>
  <c r="BO10" i="8" s="1"/>
  <c r="BN8" i="8"/>
  <c r="BN10" i="8" s="1"/>
  <c r="BM8" i="8"/>
  <c r="BM10" i="8" s="1"/>
  <c r="BL8" i="8"/>
  <c r="BL10" i="8" s="1"/>
  <c r="BK8" i="8"/>
  <c r="BK10" i="8" s="1"/>
  <c r="BJ8" i="8"/>
  <c r="BJ10" i="8" s="1"/>
  <c r="BI8" i="8"/>
  <c r="BI10" i="8" s="1"/>
  <c r="BH8" i="8"/>
  <c r="BH10" i="8" s="1"/>
  <c r="BG8" i="8"/>
  <c r="BG10" i="8" s="1"/>
  <c r="BF8" i="8"/>
  <c r="BF10" i="8" s="1"/>
  <c r="BE8" i="8"/>
  <c r="BE10" i="8" s="1"/>
  <c r="BD8" i="8"/>
  <c r="BD10" i="8" s="1"/>
  <c r="BC8" i="8"/>
  <c r="BC10" i="8" s="1"/>
  <c r="BB8" i="8"/>
  <c r="BB10" i="8" s="1"/>
  <c r="BA8" i="8"/>
  <c r="BA10" i="8" s="1"/>
  <c r="AZ8" i="8"/>
  <c r="AZ10" i="8" s="1"/>
  <c r="AY8" i="8"/>
  <c r="AY10" i="8" s="1"/>
  <c r="AX8" i="8"/>
  <c r="AX10" i="8" s="1"/>
  <c r="AW8" i="8"/>
  <c r="AW10" i="8" s="1"/>
  <c r="AV8" i="8"/>
  <c r="AV10" i="8" s="1"/>
  <c r="AU8" i="8"/>
  <c r="AU10" i="8" s="1"/>
  <c r="AT8" i="8"/>
  <c r="AT10" i="8" s="1"/>
  <c r="AS8" i="8"/>
  <c r="AS10" i="8" s="1"/>
  <c r="AR8" i="8"/>
  <c r="AR10" i="8" s="1"/>
  <c r="AQ8" i="8"/>
  <c r="AQ10" i="8" s="1"/>
  <c r="AP8" i="8"/>
  <c r="AP10" i="8" s="1"/>
  <c r="AO8" i="8"/>
  <c r="AO10" i="8" s="1"/>
  <c r="AN8" i="8"/>
  <c r="AN10" i="8" s="1"/>
  <c r="AM8" i="8"/>
  <c r="AM10" i="8" s="1"/>
  <c r="AL8" i="8"/>
  <c r="AL10" i="8" s="1"/>
  <c r="AK8" i="8"/>
  <c r="AK10" i="8" s="1"/>
  <c r="AJ8" i="8"/>
  <c r="AJ10" i="8" s="1"/>
  <c r="AI8" i="8"/>
  <c r="AI10" i="8" s="1"/>
  <c r="AH8" i="8"/>
  <c r="AH10" i="8" s="1"/>
  <c r="AG8" i="8"/>
  <c r="AG10" i="8" s="1"/>
  <c r="AF8" i="8"/>
  <c r="AF10" i="8" s="1"/>
  <c r="AE8" i="8"/>
  <c r="AE10" i="8" s="1"/>
  <c r="AD8" i="8"/>
  <c r="AD10" i="8" s="1"/>
  <c r="AC8" i="8"/>
  <c r="AC10" i="8" s="1"/>
  <c r="AB8" i="8"/>
  <c r="AB10" i="8" s="1"/>
  <c r="AA8" i="8"/>
  <c r="AA10" i="8" s="1"/>
  <c r="Z8" i="8"/>
  <c r="Z10" i="8" s="1"/>
  <c r="Y8" i="8"/>
  <c r="Y10" i="8" s="1"/>
  <c r="X8" i="8"/>
  <c r="X10" i="8" s="1"/>
  <c r="W8" i="8"/>
  <c r="W10" i="8" s="1"/>
  <c r="V8" i="8"/>
  <c r="V10" i="8" s="1"/>
  <c r="U8" i="8"/>
  <c r="U10" i="8" s="1"/>
  <c r="T8" i="8"/>
  <c r="T10" i="8" s="1"/>
  <c r="S8" i="8"/>
  <c r="S10" i="8" s="1"/>
  <c r="R8" i="8"/>
  <c r="R10" i="8" s="1"/>
  <c r="Q8" i="8"/>
  <c r="Q10" i="8" s="1"/>
  <c r="P8" i="8"/>
  <c r="P10" i="8" s="1"/>
  <c r="O8" i="8"/>
  <c r="O10" i="8" s="1"/>
  <c r="N8" i="8"/>
  <c r="N10" i="8" s="1"/>
  <c r="M8" i="8"/>
  <c r="M10" i="8" s="1"/>
  <c r="L8" i="8"/>
  <c r="L10" i="8" s="1"/>
  <c r="K8" i="8"/>
  <c r="K10" i="8" s="1"/>
  <c r="J8" i="8"/>
  <c r="J10" i="8" s="1"/>
  <c r="I8" i="8"/>
  <c r="I10" i="8" s="1"/>
  <c r="H8" i="8"/>
  <c r="H10" i="8" s="1"/>
  <c r="G8" i="8"/>
  <c r="G10" i="8" s="1"/>
  <c r="F8" i="8"/>
  <c r="F10" i="8" s="1"/>
  <c r="E8" i="8"/>
  <c r="E10" i="8" s="1"/>
  <c r="BO7" i="8"/>
  <c r="BO9" i="8" s="1"/>
  <c r="BN7" i="8"/>
  <c r="BN9" i="8" s="1"/>
  <c r="BM7" i="8"/>
  <c r="BM9" i="8" s="1"/>
  <c r="BL7" i="8"/>
  <c r="BL9" i="8" s="1"/>
  <c r="BK7" i="8"/>
  <c r="BK9" i="8" s="1"/>
  <c r="BJ7" i="8"/>
  <c r="BJ9" i="8" s="1"/>
  <c r="BI7" i="8"/>
  <c r="BI9" i="8" s="1"/>
  <c r="BH7" i="8"/>
  <c r="BH9" i="8" s="1"/>
  <c r="BG7" i="8"/>
  <c r="BG9" i="8" s="1"/>
  <c r="BF7" i="8"/>
  <c r="BF9" i="8" s="1"/>
  <c r="BE7" i="8"/>
  <c r="BE9" i="8" s="1"/>
  <c r="BD7" i="8"/>
  <c r="BD9" i="8" s="1"/>
  <c r="BC7" i="8"/>
  <c r="BC9" i="8" s="1"/>
  <c r="BB7" i="8"/>
  <c r="BB9" i="8" s="1"/>
  <c r="BA7" i="8"/>
  <c r="BA9" i="8" s="1"/>
  <c r="AZ7" i="8"/>
  <c r="AZ9" i="8" s="1"/>
  <c r="AY7" i="8"/>
  <c r="AY9" i="8" s="1"/>
  <c r="AX7" i="8"/>
  <c r="AX9" i="8" s="1"/>
  <c r="AW7" i="8"/>
  <c r="AW9" i="8" s="1"/>
  <c r="AV7" i="8"/>
  <c r="AV9" i="8" s="1"/>
  <c r="AU7" i="8"/>
  <c r="AU9" i="8" s="1"/>
  <c r="AT7" i="8"/>
  <c r="AT9" i="8" s="1"/>
  <c r="AS7" i="8"/>
  <c r="AS9" i="8" s="1"/>
  <c r="AR7" i="8"/>
  <c r="AR9" i="8" s="1"/>
  <c r="AQ7" i="8"/>
  <c r="AQ9" i="8" s="1"/>
  <c r="AP7" i="8"/>
  <c r="AP9" i="8" s="1"/>
  <c r="AO7" i="8"/>
  <c r="AO9" i="8" s="1"/>
  <c r="AN7" i="8"/>
  <c r="AN9" i="8" s="1"/>
  <c r="AM7" i="8"/>
  <c r="AM9" i="8" s="1"/>
  <c r="AL7" i="8"/>
  <c r="AL9" i="8" s="1"/>
  <c r="AK7" i="8"/>
  <c r="AK9" i="8" s="1"/>
  <c r="AJ7" i="8"/>
  <c r="AJ9" i="8" s="1"/>
  <c r="AI7" i="8"/>
  <c r="AI9" i="8" s="1"/>
  <c r="AH7" i="8"/>
  <c r="AH9" i="8" s="1"/>
  <c r="AG7" i="8"/>
  <c r="AG9" i="8" s="1"/>
  <c r="AF7" i="8"/>
  <c r="AF9" i="8" s="1"/>
  <c r="AE7" i="8"/>
  <c r="AE9" i="8" s="1"/>
  <c r="AD7" i="8"/>
  <c r="AD9" i="8" s="1"/>
  <c r="AC7" i="8"/>
  <c r="AC9" i="8" s="1"/>
  <c r="AB7" i="8"/>
  <c r="AB9" i="8" s="1"/>
  <c r="AA7" i="8"/>
  <c r="AA9" i="8" s="1"/>
  <c r="Z7" i="8"/>
  <c r="Z9" i="8" s="1"/>
  <c r="Y7" i="8"/>
  <c r="Y9" i="8" s="1"/>
  <c r="X7" i="8"/>
  <c r="X9" i="8" s="1"/>
  <c r="W7" i="8"/>
  <c r="W9" i="8" s="1"/>
  <c r="V7" i="8"/>
  <c r="V9" i="8" s="1"/>
  <c r="U7" i="8"/>
  <c r="U9" i="8" s="1"/>
  <c r="T7" i="8"/>
  <c r="T9" i="8" s="1"/>
  <c r="S7" i="8"/>
  <c r="S9" i="8" s="1"/>
  <c r="R7" i="8"/>
  <c r="R9" i="8" s="1"/>
  <c r="Q7" i="8"/>
  <c r="Q9" i="8" s="1"/>
  <c r="P7" i="8"/>
  <c r="P9" i="8" s="1"/>
  <c r="O7" i="8"/>
  <c r="O9" i="8" s="1"/>
  <c r="N7" i="8"/>
  <c r="N9" i="8" s="1"/>
  <c r="M7" i="8"/>
  <c r="M9" i="8" s="1"/>
  <c r="L7" i="8"/>
  <c r="L9" i="8" s="1"/>
  <c r="K7" i="8"/>
  <c r="K9" i="8" s="1"/>
  <c r="J7" i="8"/>
  <c r="J9" i="8" s="1"/>
  <c r="I7" i="8"/>
  <c r="I9" i="8" s="1"/>
  <c r="H7" i="8"/>
  <c r="H9" i="8" s="1"/>
  <c r="G7" i="8"/>
  <c r="G9" i="8" s="1"/>
  <c r="F7" i="8"/>
  <c r="F9" i="8" s="1"/>
  <c r="E7" i="8"/>
  <c r="E9" i="8" s="1"/>
  <c r="BO4" i="8"/>
  <c r="BO6" i="8" s="1"/>
  <c r="BN4" i="8"/>
  <c r="BN6" i="8" s="1"/>
  <c r="BM4" i="8"/>
  <c r="BM6" i="8" s="1"/>
  <c r="BL4" i="8"/>
  <c r="BL6" i="8" s="1"/>
  <c r="BK4" i="8"/>
  <c r="BK6" i="8" s="1"/>
  <c r="BJ4" i="8"/>
  <c r="BJ6" i="8" s="1"/>
  <c r="BI4" i="8"/>
  <c r="BI6" i="8" s="1"/>
  <c r="BH4" i="8"/>
  <c r="BH6" i="8" s="1"/>
  <c r="BG4" i="8"/>
  <c r="BG6" i="8" s="1"/>
  <c r="BF4" i="8"/>
  <c r="BF6" i="8" s="1"/>
  <c r="BE4" i="8"/>
  <c r="BE6" i="8" s="1"/>
  <c r="BD4" i="8"/>
  <c r="BD6" i="8" s="1"/>
  <c r="BC4" i="8"/>
  <c r="BC6" i="8" s="1"/>
  <c r="BB4" i="8"/>
  <c r="BB6" i="8" s="1"/>
  <c r="BA4" i="8"/>
  <c r="BA6" i="8" s="1"/>
  <c r="AZ4" i="8"/>
  <c r="AZ6" i="8" s="1"/>
  <c r="AY4" i="8"/>
  <c r="AY6" i="8" s="1"/>
  <c r="AX4" i="8"/>
  <c r="AW4" i="8"/>
  <c r="AV4" i="8"/>
  <c r="AV6" i="8" s="1"/>
  <c r="AU4" i="8"/>
  <c r="AU6" i="8" s="1"/>
  <c r="AT4" i="8"/>
  <c r="AT6" i="8" s="1"/>
  <c r="AS4" i="8"/>
  <c r="AS6" i="8" s="1"/>
  <c r="AR4" i="8"/>
  <c r="AQ4" i="8"/>
  <c r="AQ6" i="8" s="1"/>
  <c r="AP4" i="8"/>
  <c r="AP6" i="8" s="1"/>
  <c r="AO4" i="8"/>
  <c r="AO6" i="8" s="1"/>
  <c r="AN4" i="8"/>
  <c r="AN6" i="8" s="1"/>
  <c r="AM4" i="8"/>
  <c r="AM6" i="8" s="1"/>
  <c r="AL4" i="8"/>
  <c r="AL6" i="8" s="1"/>
  <c r="AK4" i="8"/>
  <c r="AK6" i="8" s="1"/>
  <c r="AJ4" i="8"/>
  <c r="AJ6" i="8" s="1"/>
  <c r="AI4" i="8"/>
  <c r="AI6" i="8" s="1"/>
  <c r="AH4" i="8"/>
  <c r="AH6" i="8" s="1"/>
  <c r="AG4" i="8"/>
  <c r="AG6" i="8" s="1"/>
  <c r="AF4" i="8"/>
  <c r="AF6" i="8" s="1"/>
  <c r="AE4" i="8"/>
  <c r="AE6" i="8" s="1"/>
  <c r="AD4" i="8"/>
  <c r="AD6" i="8" s="1"/>
  <c r="AC4" i="8"/>
  <c r="AC6" i="8" s="1"/>
  <c r="AB4" i="8"/>
  <c r="AB6" i="8" s="1"/>
  <c r="AA4" i="8"/>
  <c r="AA6" i="8" s="1"/>
  <c r="Z4" i="8"/>
  <c r="Z6" i="8" s="1"/>
  <c r="Y4" i="8"/>
  <c r="Y6" i="8" s="1"/>
  <c r="X4" i="8"/>
  <c r="X6" i="8" s="1"/>
  <c r="W4" i="8"/>
  <c r="W6" i="8" s="1"/>
  <c r="V4" i="8"/>
  <c r="V6" i="8" s="1"/>
  <c r="U4" i="8"/>
  <c r="U6" i="8" s="1"/>
  <c r="T4" i="8"/>
  <c r="T6" i="8" s="1"/>
  <c r="S4" i="8"/>
  <c r="S6" i="8" s="1"/>
  <c r="R4" i="8"/>
  <c r="R6" i="8" s="1"/>
  <c r="Q4" i="8"/>
  <c r="Q6" i="8" s="1"/>
  <c r="P4" i="8"/>
  <c r="P6" i="8" s="1"/>
  <c r="O4" i="8"/>
  <c r="O6" i="8" s="1"/>
  <c r="N4" i="8"/>
  <c r="N6" i="8" s="1"/>
  <c r="M4" i="8"/>
  <c r="M6" i="8" s="1"/>
  <c r="L4" i="8"/>
  <c r="L6" i="8" s="1"/>
  <c r="K4" i="8"/>
  <c r="K6" i="8" s="1"/>
  <c r="J4" i="8"/>
  <c r="J6" i="8" s="1"/>
  <c r="I4" i="8"/>
  <c r="I6" i="8" s="1"/>
  <c r="H4" i="8"/>
  <c r="H6" i="8" s="1"/>
  <c r="G4" i="8"/>
  <c r="G6" i="8" s="1"/>
  <c r="F4" i="8"/>
  <c r="F6" i="8" s="1"/>
  <c r="E4" i="8"/>
  <c r="E6" i="8" s="1"/>
  <c r="CS2" i="8"/>
  <c r="BP2" i="8"/>
  <c r="CS4" i="8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T155" i="1"/>
  <c r="U155" i="1"/>
  <c r="V155" i="1"/>
  <c r="W155" i="1"/>
  <c r="X155" i="1"/>
  <c r="Y155" i="1"/>
  <c r="Z155" i="1"/>
  <c r="AA155" i="1"/>
  <c r="AB155" i="1"/>
  <c r="AC155" i="1"/>
  <c r="AD155" i="1"/>
  <c r="AE155" i="1"/>
  <c r="AF155" i="1"/>
  <c r="AG155" i="1"/>
  <c r="AH155" i="1"/>
  <c r="AI155" i="1"/>
  <c r="AJ155" i="1"/>
  <c r="AK155" i="1"/>
  <c r="AL155" i="1"/>
  <c r="AM155" i="1"/>
  <c r="AN155" i="1"/>
  <c r="AO155" i="1"/>
  <c r="AP155" i="1"/>
  <c r="AQ155" i="1"/>
  <c r="AR155" i="1"/>
  <c r="AS155" i="1"/>
  <c r="AT155" i="1"/>
  <c r="AU155" i="1"/>
  <c r="AV155" i="1"/>
  <c r="AW155" i="1"/>
  <c r="AX155" i="1"/>
  <c r="AY155" i="1"/>
  <c r="AZ155" i="1"/>
  <c r="BA155" i="1"/>
  <c r="BB155" i="1"/>
  <c r="BC155" i="1"/>
  <c r="BD155" i="1"/>
  <c r="BE155" i="1"/>
  <c r="BF155" i="1"/>
  <c r="BG155" i="1"/>
  <c r="BH155" i="1"/>
  <c r="BI155" i="1"/>
  <c r="BJ155" i="1"/>
  <c r="BK155" i="1"/>
  <c r="BL155" i="1"/>
  <c r="BM155" i="1"/>
  <c r="BN155" i="1"/>
  <c r="BO155" i="1"/>
  <c r="E155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T154" i="1"/>
  <c r="U154" i="1"/>
  <c r="V154" i="1"/>
  <c r="W154" i="1"/>
  <c r="X154" i="1"/>
  <c r="Y154" i="1"/>
  <c r="Z154" i="1"/>
  <c r="AA154" i="1"/>
  <c r="AB154" i="1"/>
  <c r="AC154" i="1"/>
  <c r="AD154" i="1"/>
  <c r="AE154" i="1"/>
  <c r="AF154" i="1"/>
  <c r="AG154" i="1"/>
  <c r="AH154" i="1"/>
  <c r="AI154" i="1"/>
  <c r="AJ154" i="1"/>
  <c r="AK154" i="1"/>
  <c r="AL154" i="1"/>
  <c r="AM154" i="1"/>
  <c r="AN154" i="1"/>
  <c r="AO154" i="1"/>
  <c r="AP154" i="1"/>
  <c r="AQ154" i="1"/>
  <c r="AR154" i="1"/>
  <c r="AS154" i="1"/>
  <c r="AT154" i="1"/>
  <c r="AU154" i="1"/>
  <c r="AV154" i="1"/>
  <c r="AW154" i="1"/>
  <c r="AX154" i="1"/>
  <c r="AY154" i="1"/>
  <c r="AZ154" i="1"/>
  <c r="BA154" i="1"/>
  <c r="BB154" i="1"/>
  <c r="BC154" i="1"/>
  <c r="BD154" i="1"/>
  <c r="BE154" i="1"/>
  <c r="BF154" i="1"/>
  <c r="BG154" i="1"/>
  <c r="BH154" i="1"/>
  <c r="BI154" i="1"/>
  <c r="BJ154" i="1"/>
  <c r="BK154" i="1"/>
  <c r="BL154" i="1"/>
  <c r="BM154" i="1"/>
  <c r="BN154" i="1"/>
  <c r="BO154" i="1"/>
  <c r="E154" i="1"/>
  <c r="BD151" i="1"/>
  <c r="BE151" i="1"/>
  <c r="BF151" i="1"/>
  <c r="BG151" i="1"/>
  <c r="BH151" i="1"/>
  <c r="BI151" i="1"/>
  <c r="BJ151" i="1"/>
  <c r="BK151" i="1"/>
  <c r="BL151" i="1"/>
  <c r="BM151" i="1"/>
  <c r="BN151" i="1"/>
  <c r="BO151" i="1"/>
  <c r="BC151" i="1"/>
  <c r="AX151" i="1"/>
  <c r="AY151" i="1"/>
  <c r="AZ151" i="1"/>
  <c r="BA151" i="1"/>
  <c r="BB151" i="1"/>
  <c r="AW151" i="1"/>
  <c r="AR151" i="1"/>
  <c r="AS151" i="1"/>
  <c r="AT151" i="1"/>
  <c r="AU151" i="1"/>
  <c r="AV151" i="1"/>
  <c r="AQ151" i="1"/>
  <c r="AF151" i="1"/>
  <c r="AG151" i="1"/>
  <c r="AH151" i="1"/>
  <c r="AI151" i="1"/>
  <c r="AJ151" i="1"/>
  <c r="AK151" i="1"/>
  <c r="AL151" i="1"/>
  <c r="AM151" i="1"/>
  <c r="AN151" i="1"/>
  <c r="AO151" i="1"/>
  <c r="AP151" i="1"/>
  <c r="AE151" i="1"/>
  <c r="Q151" i="1"/>
  <c r="R151" i="1"/>
  <c r="S151" i="1"/>
  <c r="T151" i="1"/>
  <c r="U151" i="1"/>
  <c r="V151" i="1"/>
  <c r="W151" i="1"/>
  <c r="X151" i="1"/>
  <c r="Y151" i="1"/>
  <c r="Z151" i="1"/>
  <c r="AA151" i="1"/>
  <c r="AB151" i="1"/>
  <c r="AC151" i="1"/>
  <c r="AD151" i="1"/>
  <c r="P151" i="1"/>
  <c r="F151" i="1"/>
  <c r="G151" i="1"/>
  <c r="H151" i="1"/>
  <c r="I151" i="1"/>
  <c r="J151" i="1"/>
  <c r="K151" i="1"/>
  <c r="L151" i="1"/>
  <c r="M151" i="1"/>
  <c r="N151" i="1"/>
  <c r="O151" i="1"/>
  <c r="E151" i="1"/>
  <c r="CC2" i="8" l="1"/>
  <c r="BT4" i="8"/>
  <c r="BT2" i="8"/>
  <c r="BU2" i="8"/>
  <c r="BW2" i="8"/>
  <c r="CB2" i="8"/>
  <c r="BX2" i="8"/>
  <c r="CE2" i="8"/>
  <c r="BV2" i="8"/>
  <c r="BY2" i="8"/>
  <c r="CA2" i="8"/>
  <c r="CD2" i="8"/>
  <c r="BZ2" i="8"/>
  <c r="AR6" i="8"/>
  <c r="AW6" i="8"/>
  <c r="AX6" i="8"/>
  <c r="BP8" i="1"/>
  <c r="CE4" i="8" l="1"/>
  <c r="BV4" i="8"/>
  <c r="BX4" i="8"/>
  <c r="BU4" i="8"/>
  <c r="BW4" i="8"/>
  <c r="CB4" i="8"/>
  <c r="BY4" i="8"/>
  <c r="CC4" i="8"/>
  <c r="CF2" i="8"/>
  <c r="CR2" i="8" s="1"/>
  <c r="CD4" i="8"/>
  <c r="BZ4" i="8"/>
  <c r="CA4" i="8"/>
  <c r="BP101" i="1"/>
  <c r="BP6" i="1"/>
  <c r="BP77" i="1"/>
  <c r="CJ2" i="8" l="1"/>
  <c r="CK2" i="8"/>
  <c r="CR4" i="8"/>
  <c r="CN2" i="8"/>
  <c r="CM2" i="8"/>
  <c r="CG2" i="8"/>
  <c r="CH2" i="8"/>
  <c r="CL2" i="8"/>
  <c r="CQ2" i="8"/>
  <c r="CI2" i="8"/>
  <c r="CO2" i="8"/>
  <c r="CP2" i="8"/>
  <c r="BC156" i="1"/>
  <c r="BD156" i="1"/>
  <c r="BE156" i="1"/>
  <c r="BF156" i="1"/>
  <c r="BG156" i="1"/>
  <c r="BH156" i="1"/>
  <c r="BI156" i="1"/>
  <c r="BJ156" i="1"/>
  <c r="BK156" i="1"/>
  <c r="BL156" i="1"/>
  <c r="BM156" i="1"/>
  <c r="BN156" i="1"/>
  <c r="BO156" i="1"/>
  <c r="BC157" i="1"/>
  <c r="BD157" i="1"/>
  <c r="BE157" i="1"/>
  <c r="BF157" i="1"/>
  <c r="BG157" i="1"/>
  <c r="BH157" i="1"/>
  <c r="BI157" i="1"/>
  <c r="BJ157" i="1"/>
  <c r="BK157" i="1"/>
  <c r="BL157" i="1"/>
  <c r="BM157" i="1"/>
  <c r="BN157" i="1"/>
  <c r="BO157" i="1"/>
  <c r="BA156" i="1"/>
  <c r="BB156" i="1"/>
  <c r="BA157" i="1"/>
  <c r="BB157" i="1"/>
  <c r="AQ156" i="1"/>
  <c r="AR156" i="1"/>
  <c r="AS156" i="1"/>
  <c r="AT156" i="1"/>
  <c r="AU156" i="1"/>
  <c r="AV156" i="1"/>
  <c r="AW156" i="1"/>
  <c r="AX156" i="1"/>
  <c r="AY156" i="1"/>
  <c r="AZ156" i="1"/>
  <c r="AQ157" i="1"/>
  <c r="AR157" i="1"/>
  <c r="AS157" i="1"/>
  <c r="AT157" i="1"/>
  <c r="AU157" i="1"/>
  <c r="AV157" i="1"/>
  <c r="AW157" i="1"/>
  <c r="AX157" i="1"/>
  <c r="AY157" i="1"/>
  <c r="AZ157" i="1"/>
  <c r="AI156" i="1"/>
  <c r="AJ156" i="1"/>
  <c r="AK156" i="1"/>
  <c r="AL156" i="1"/>
  <c r="AM156" i="1"/>
  <c r="AN156" i="1"/>
  <c r="AO156" i="1"/>
  <c r="AP156" i="1"/>
  <c r="AI157" i="1"/>
  <c r="AJ157" i="1"/>
  <c r="AK157" i="1"/>
  <c r="AL157" i="1"/>
  <c r="AM157" i="1"/>
  <c r="AN157" i="1"/>
  <c r="AO157" i="1"/>
  <c r="AP157" i="1"/>
  <c r="AC156" i="1"/>
  <c r="AD156" i="1"/>
  <c r="AE156" i="1"/>
  <c r="AF156" i="1"/>
  <c r="AG156" i="1"/>
  <c r="AH156" i="1"/>
  <c r="AC157" i="1"/>
  <c r="AD157" i="1"/>
  <c r="AE157" i="1"/>
  <c r="AF157" i="1"/>
  <c r="AG157" i="1"/>
  <c r="AH157" i="1"/>
  <c r="W156" i="1"/>
  <c r="X156" i="1"/>
  <c r="Y156" i="1"/>
  <c r="Z156" i="1"/>
  <c r="AA156" i="1"/>
  <c r="AB156" i="1"/>
  <c r="W157" i="1"/>
  <c r="X157" i="1"/>
  <c r="Y157" i="1"/>
  <c r="Z157" i="1"/>
  <c r="AA157" i="1"/>
  <c r="AB157" i="1"/>
  <c r="P156" i="1"/>
  <c r="Q156" i="1"/>
  <c r="R156" i="1"/>
  <c r="S156" i="1"/>
  <c r="T156" i="1"/>
  <c r="U156" i="1"/>
  <c r="V156" i="1"/>
  <c r="P157" i="1"/>
  <c r="Q157" i="1"/>
  <c r="R157" i="1"/>
  <c r="S157" i="1"/>
  <c r="T157" i="1"/>
  <c r="U157" i="1"/>
  <c r="V157" i="1"/>
  <c r="G156" i="1"/>
  <c r="H156" i="1"/>
  <c r="I156" i="1"/>
  <c r="J156" i="1"/>
  <c r="K156" i="1"/>
  <c r="L156" i="1"/>
  <c r="M156" i="1"/>
  <c r="N156" i="1"/>
  <c r="O156" i="1"/>
  <c r="G157" i="1"/>
  <c r="H157" i="1"/>
  <c r="I157" i="1"/>
  <c r="J157" i="1"/>
  <c r="K157" i="1"/>
  <c r="L157" i="1"/>
  <c r="M157" i="1"/>
  <c r="N157" i="1"/>
  <c r="O157" i="1"/>
  <c r="F156" i="1"/>
  <c r="F157" i="1"/>
  <c r="E157" i="1"/>
  <c r="E156" i="1"/>
  <c r="CH4" i="8" l="1"/>
  <c r="CI4" i="8"/>
  <c r="CK4" i="8"/>
  <c r="CJ4" i="8"/>
  <c r="CL4" i="8"/>
  <c r="CM4" i="8"/>
  <c r="CQ4" i="8"/>
  <c r="CN4" i="8"/>
  <c r="CG4" i="8"/>
  <c r="CO4" i="8"/>
  <c r="CP4" i="8"/>
  <c r="BP2" i="1"/>
  <c r="BP3" i="1"/>
  <c r="BP79" i="1"/>
  <c r="BP66" i="1"/>
  <c r="BP80" i="1"/>
  <c r="BP81" i="1"/>
  <c r="BP78" i="1"/>
  <c r="BP82" i="1"/>
  <c r="BP83" i="1"/>
  <c r="BP4" i="1"/>
  <c r="BP9" i="1"/>
  <c r="BP95" i="1"/>
  <c r="BP96" i="1"/>
  <c r="BP97" i="1"/>
  <c r="BP100" i="1"/>
  <c r="BP84" i="1"/>
  <c r="BP7" i="1"/>
  <c r="BP103" i="1"/>
  <c r="BP61" i="1"/>
  <c r="BP62" i="1"/>
  <c r="BP63" i="1"/>
  <c r="BP69" i="1"/>
  <c r="BP85" i="1"/>
  <c r="BP111" i="1"/>
  <c r="BP112" i="1"/>
  <c r="BP92" i="1"/>
  <c r="BP89" i="1"/>
  <c r="BP90" i="1"/>
  <c r="BP27" i="1"/>
  <c r="BP104" i="1"/>
  <c r="BP60" i="1"/>
  <c r="BP88" i="1"/>
  <c r="BP18" i="1"/>
  <c r="BP86" i="1"/>
  <c r="BP102" i="1"/>
  <c r="BP140" i="1"/>
  <c r="BP141" i="1"/>
  <c r="BP5" i="1"/>
  <c r="BP116" i="1"/>
  <c r="BP117" i="1"/>
  <c r="BP118" i="1"/>
  <c r="BP114" i="1"/>
  <c r="BP132" i="1"/>
  <c r="BP150" i="1"/>
  <c r="BP134" i="1"/>
  <c r="BP29" i="1"/>
  <c r="BP87" i="1"/>
  <c r="BP40" i="1"/>
  <c r="BP41" i="1"/>
  <c r="BP42" i="1"/>
  <c r="BP43" i="1"/>
  <c r="BP20" i="1"/>
  <c r="BP21" i="1"/>
  <c r="BP24" i="1"/>
  <c r="BP25" i="1"/>
  <c r="BP143" i="1"/>
  <c r="BP127" i="1"/>
  <c r="BP142" i="1"/>
  <c r="BP10" i="1"/>
  <c r="BP11" i="1"/>
  <c r="BP12" i="1"/>
  <c r="BP13" i="1"/>
  <c r="BP94" i="1"/>
  <c r="BP133" i="1"/>
  <c r="BP135" i="1"/>
  <c r="BP136" i="1"/>
  <c r="BP137" i="1"/>
  <c r="BP138" i="1"/>
  <c r="BP147" i="1"/>
  <c r="BP148" i="1"/>
  <c r="BP149" i="1"/>
  <c r="BP146" i="1" l="1"/>
  <c r="BM153" i="1" l="1"/>
  <c r="AM153" i="1"/>
  <c r="L153" i="1"/>
  <c r="BK153" i="1"/>
  <c r="AJ153" i="1"/>
  <c r="BH153" i="1"/>
  <c r="AH153" i="1"/>
  <c r="AL153" i="1"/>
  <c r="BD153" i="1"/>
  <c r="BL153" i="1"/>
  <c r="J153" i="1"/>
  <c r="H153" i="1"/>
  <c r="G153" i="1"/>
  <c r="BG153" i="1"/>
  <c r="AE153" i="1"/>
  <c r="F153" i="1"/>
  <c r="BJ153" i="1"/>
  <c r="AI153" i="1"/>
  <c r="I153" i="1"/>
  <c r="AG153" i="1"/>
  <c r="BE153" i="1"/>
  <c r="AF153" i="1"/>
  <c r="BF153" i="1"/>
  <c r="O153" i="1"/>
  <c r="BO153" i="1"/>
  <c r="N153" i="1"/>
  <c r="K153" i="1"/>
  <c r="AK153" i="1"/>
  <c r="BI153" i="1"/>
  <c r="E153" i="1"/>
  <c r="BN153" i="1"/>
  <c r="AN153" i="1"/>
  <c r="M153" i="1"/>
  <c r="AP153" i="1"/>
  <c r="BC153" i="1"/>
  <c r="AO153" i="1"/>
  <c r="V153" i="1"/>
  <c r="Y153" i="1"/>
  <c r="W153" i="1"/>
  <c r="S153" i="1"/>
  <c r="X153" i="1"/>
  <c r="R153" i="1"/>
  <c r="Z153" i="1"/>
  <c r="U153" i="1"/>
  <c r="T153" i="1"/>
  <c r="AC153" i="1"/>
  <c r="Q153" i="1"/>
  <c r="AB153" i="1"/>
  <c r="P153" i="1"/>
  <c r="AA153" i="1"/>
  <c r="AD153" i="1"/>
  <c r="AR153" i="1" l="1"/>
  <c r="AU153" i="1"/>
  <c r="BB153" i="1"/>
  <c r="AS153" i="1"/>
  <c r="AW153" i="1"/>
  <c r="AT153" i="1"/>
  <c r="AY153" i="1"/>
  <c r="AZ153" i="1"/>
  <c r="AV153" i="1"/>
  <c r="AQ153" i="1"/>
  <c r="AX153" i="1"/>
  <c r="BA153" i="1"/>
</calcChain>
</file>

<file path=xl/sharedStrings.xml><?xml version="1.0" encoding="utf-8"?>
<sst xmlns="http://schemas.openxmlformats.org/spreadsheetml/2006/main" count="871" uniqueCount="317">
  <si>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</si>
  <si>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</si>
  <si>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</si>
  <si>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</si>
  <si>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</si>
  <si>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</si>
  <si>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</si>
  <si>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</si>
  <si>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</si>
  <si>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</si>
  <si>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</si>
  <si>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</si>
  <si>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</si>
  <si>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</si>
  <si>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</si>
  <si>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</si>
  <si>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</si>
  <si>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</si>
  <si>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</si>
  <si>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</si>
  <si>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</si>
  <si>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</si>
  <si>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</si>
  <si>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</si>
  <si>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</si>
  <si>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</si>
  <si>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</si>
  <si>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</si>
  <si>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</si>
  <si>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</si>
  <si>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</si>
  <si>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</si>
  <si>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</si>
  <si>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</si>
  <si>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</si>
  <si>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</si>
  <si>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</si>
  <si>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</si>
  <si>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</si>
  <si>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</si>
  <si>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</si>
  <si>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</si>
  <si>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</si>
  <si>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</si>
  <si>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</si>
  <si>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</si>
  <si>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</si>
  <si>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</si>
  <si>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</si>
  <si>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</si>
  <si>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</si>
  <si>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</si>
  <si>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</si>
  <si>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</si>
  <si>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</si>
  <si>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</si>
  <si>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</si>
  <si>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</si>
  <si>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</si>
  <si>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</si>
  <si>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</si>
  <si>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</si>
  <si>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</si>
  <si>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</si>
  <si>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</si>
  <si>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</si>
  <si>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</si>
  <si>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</si>
  <si>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</si>
  <si>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</si>
  <si>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</si>
  <si>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</si>
  <si>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</si>
  <si>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</si>
  <si>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</si>
  <si>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</si>
  <si>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</si>
  <si>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</si>
  <si>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</si>
  <si>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</si>
  <si>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</si>
  <si>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</si>
  <si>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</si>
  <si>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</si>
  <si>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</si>
  <si>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</si>
  <si>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</si>
  <si>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</si>
  <si>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</si>
  <si>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</si>
  <si>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</si>
  <si>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</si>
  <si>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</si>
  <si>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</si>
  <si>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</si>
  <si>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</si>
  <si>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</si>
  <si>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</si>
  <si>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</si>
  <si>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</si>
  <si>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</si>
  <si>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</si>
  <si>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</si>
  <si>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</si>
  <si>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</si>
  <si>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</si>
  <si>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</si>
  <si>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</si>
  <si>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</si>
  <si>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</si>
  <si>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</si>
  <si>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</si>
  <si>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</si>
  <si>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</si>
  <si>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</si>
  <si>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</si>
  <si>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</si>
  <si>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</si>
  <si>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</si>
  <si>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</si>
  <si>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</si>
  <si>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</si>
  <si>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</si>
  <si>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</si>
  <si>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</si>
  <si>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</si>
  <si>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</si>
  <si>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</si>
  <si>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</si>
  <si>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</si>
  <si>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</si>
  <si>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暗卒</t>
    <phoneticPr fontId="1" type="noConversion"/>
  </si>
  <si>
    <t>壮年</t>
    <phoneticPr fontId="1" type="noConversion"/>
  </si>
  <si>
    <t>猪刚鬣</t>
    <phoneticPr fontId="1" type="noConversion"/>
  </si>
  <si>
    <t>樱灵</t>
    <phoneticPr fontId="1" type="noConversion"/>
  </si>
  <si>
    <t>煤西</t>
    <phoneticPr fontId="1" type="noConversion"/>
  </si>
  <si>
    <t>八哥</t>
    <phoneticPr fontId="1" type="noConversion"/>
  </si>
  <si>
    <t>张果老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</si>
  <si>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</si>
  <si>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</si>
  <si>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</si>
  <si>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</si>
  <si>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</si>
  <si>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赛亚罗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</si>
  <si>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</si>
  <si>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</si>
  <si>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</si>
  <si>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</si>
  <si>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铁拐李</t>
    <phoneticPr fontId="1" type="noConversion"/>
  </si>
  <si>
    <t>莲藕大佛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</si>
  <si>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</si>
  <si>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</si>
  <si>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</si>
  <si>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</si>
  <si>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</si>
  <si>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</si>
  <si>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</si>
  <si>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</si>
  <si>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</si>
  <si>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</si>
  <si>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</si>
  <si>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</si>
  <si>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</si>
  <si>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</si>
  <si>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</si>
  <si>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</si>
  <si>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敖顺</t>
    <phoneticPr fontId="1" type="noConversion"/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</si>
  <si>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</si>
  <si>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</si>
  <si>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</si>
  <si>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</si>
  <si>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成年</t>
    <phoneticPr fontId="1" type="noConversion"/>
  </si>
  <si>
    <t>轮滑小子</t>
    <phoneticPr fontId="1" type="noConversion"/>
  </si>
  <si>
    <t>特急海盗</t>
    <phoneticPr fontId="1" type="noConversion"/>
  </si>
  <si>
    <t>暗</t>
    <phoneticPr fontId="1" type="noConversion"/>
  </si>
  <si>
    <t>成年</t>
    <phoneticPr fontId="1" type="noConversion"/>
  </si>
  <si>
    <t>力量符文叉大(9),</t>
    <phoneticPr fontId="1" type="noConversion"/>
  </si>
  <si>
    <t>幻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</si>
  <si>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</si>
  <si>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</si>
  <si>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</si>
  <si>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</si>
  <si>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</si>
  <si>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</si>
  <si>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</si>
  <si>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</si>
  <si>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</si>
  <si>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</si>
  <si>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</si>
  <si>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</si>
  <si>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法器8，金8</t>
    <phoneticPr fontId="1" type="noConversion"/>
  </si>
  <si>
    <t>7.5d</t>
    <phoneticPr fontId="1" type="noConversion"/>
  </si>
  <si>
    <t>一命踪</t>
    <phoneticPr fontId="1" type="noConversion"/>
  </si>
  <si>
    <t>炼生</t>
    <phoneticPr fontId="1" type="noConversion"/>
  </si>
  <si>
    <t>炼生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</si>
  <si>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</si>
  <si>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</si>
  <si>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</si>
  <si>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光炮</t>
    <phoneticPr fontId="1" type="noConversion"/>
  </si>
  <si>
    <t>四万</t>
    <phoneticPr fontId="1" type="noConversion"/>
  </si>
  <si>
    <t>地</t>
    <phoneticPr fontId="1" type="noConversion"/>
  </si>
  <si>
    <t>五饼</t>
    <phoneticPr fontId="1" type="noConversion"/>
  </si>
  <si>
    <t>火</t>
    <phoneticPr fontId="1" type="noConversion"/>
  </si>
  <si>
    <t>四饼</t>
    <phoneticPr fontId="1" type="noConversion"/>
  </si>
  <si>
    <t>西洋棋.白马</t>
    <phoneticPr fontId="1" type="noConversion"/>
  </si>
  <si>
    <t>暗车</t>
    <phoneticPr fontId="1" type="noConversion"/>
  </si>
  <si>
    <t>暗炮</t>
    <phoneticPr fontId="1" type="noConversion"/>
  </si>
  <si>
    <t>六万</t>
  </si>
  <si>
    <t>欠条大(6),_x000D_
骰子大(2),</t>
    <phoneticPr fontId="1" type="noConversion"/>
  </si>
  <si>
    <t>力</t>
    <phoneticPr fontId="1" type="noConversion"/>
  </si>
  <si>
    <t>智</t>
    <phoneticPr fontId="1" type="noConversion"/>
  </si>
  <si>
    <t>速</t>
    <phoneticPr fontId="1" type="noConversion"/>
  </si>
  <si>
    <t>魅</t>
    <phoneticPr fontId="1" type="noConversion"/>
  </si>
  <si>
    <t>运</t>
    <phoneticPr fontId="1" type="noConversion"/>
  </si>
  <si>
    <t>技</t>
    <phoneticPr fontId="1" type="noConversion"/>
  </si>
  <si>
    <t>三条</t>
    <phoneticPr fontId="1" type="noConversion"/>
  </si>
  <si>
    <t>暗</t>
    <phoneticPr fontId="1" type="noConversion"/>
  </si>
  <si>
    <t>一命踪</t>
    <phoneticPr fontId="1" type="noConversion"/>
  </si>
  <si>
    <t>木</t>
    <phoneticPr fontId="1" type="noConversion"/>
  </si>
  <si>
    <t>四万</t>
    <phoneticPr fontId="1" type="noConversion"/>
  </si>
  <si>
    <t>六饼</t>
    <phoneticPr fontId="1" type="noConversion"/>
  </si>
  <si>
    <t>二万</t>
  </si>
  <si>
    <t>火</t>
    <phoneticPr fontId="1" type="noConversion"/>
  </si>
  <si>
    <t>五条</t>
    <phoneticPr fontId="1" type="noConversion"/>
  </si>
  <si>
    <t>五饼</t>
    <phoneticPr fontId="1" type="noConversion"/>
  </si>
  <si>
    <t>木</t>
    <phoneticPr fontId="1" type="noConversion"/>
  </si>
  <si>
    <t>暗</t>
    <phoneticPr fontId="1" type="noConversion"/>
  </si>
  <si>
    <t>碧水独角兽</t>
    <phoneticPr fontId="1" type="noConversion"/>
  </si>
  <si>
    <t>金盔</t>
    <phoneticPr fontId="1" type="noConversion"/>
  </si>
  <si>
    <t>金盔</t>
    <phoneticPr fontId="1" type="noConversion"/>
  </si>
  <si>
    <t>麻将</t>
    <phoneticPr fontId="1" type="noConversion"/>
  </si>
  <si>
    <t>厚皮老牛</t>
    <phoneticPr fontId="1" type="noConversion"/>
  </si>
  <si>
    <t>无双小狮妹</t>
    <phoneticPr fontId="1" type="noConversion"/>
  </si>
  <si>
    <t>幻</t>
    <phoneticPr fontId="1" type="noConversion"/>
  </si>
  <si>
    <t>一条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</si>
  <si>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</si>
  <si>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</si>
  <si>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</si>
  <si>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</si>
  <si>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五万</t>
    <phoneticPr fontId="1" type="noConversion"/>
  </si>
  <si>
    <t>三饼</t>
    <phoneticPr fontId="1" type="noConversion"/>
  </si>
  <si>
    <t>发财</t>
    <phoneticPr fontId="1" type="noConversion"/>
  </si>
  <si>
    <t>西洋棋.白王</t>
    <phoneticPr fontId="1" type="noConversion"/>
  </si>
  <si>
    <t>光马</t>
    <phoneticPr fontId="1" type="noConversion"/>
  </si>
  <si>
    <t>白板</t>
    <phoneticPr fontId="1" type="noConversion"/>
  </si>
  <si>
    <t>七饼</t>
    <phoneticPr fontId="1" type="noConversion"/>
  </si>
  <si>
    <t>一万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</si>
  <si>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</si>
  <si>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</si>
  <si>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</si>
  <si>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北风</t>
    <phoneticPr fontId="1" type="noConversion"/>
  </si>
  <si>
    <t>冲霸</t>
    <phoneticPr fontId="1" type="noConversion"/>
  </si>
  <si>
    <t>武仔</t>
    <phoneticPr fontId="1" type="noConversion"/>
  </si>
  <si>
    <t>五杠队长</t>
    <phoneticPr fontId="1" type="noConversion"/>
  </si>
  <si>
    <t>古琴仔</t>
    <phoneticPr fontId="1" type="noConversion"/>
  </si>
  <si>
    <t>诗童</t>
    <phoneticPr fontId="1" type="noConversion"/>
  </si>
  <si>
    <t>一条</t>
    <phoneticPr fontId="1" type="noConversion"/>
  </si>
  <si>
    <t>筹码大(1),</t>
    <phoneticPr fontId="1" type="noConversion"/>
  </si>
  <si>
    <t>彗星(5),</t>
    <phoneticPr fontId="1" type="noConversion"/>
  </si>
  <si>
    <t>桂花酒(5),</t>
    <phoneticPr fontId="1" type="noConversion"/>
  </si>
  <si>
    <t>桂花(5),</t>
    <phoneticPr fontId="1" type="noConversion"/>
  </si>
  <si>
    <t>欠条大(6),</t>
    <phoneticPr fontId="1" type="noConversion"/>
  </si>
  <si>
    <t>骰子大(7),</t>
    <phoneticPr fontId="1" type="noConversion"/>
  </si>
  <si>
    <t>骰子大(10),_x000D_
筹码大(1),</t>
    <phoneticPr fontId="1" type="noConversion"/>
  </si>
  <si>
    <t>欠条大(9),_x000D_
钱袋大(9),</t>
    <phoneticPr fontId="1" type="noConversion"/>
  </si>
  <si>
    <t>欠条大(9),_x000D_
骰子大(10),</t>
    <phoneticPr fontId="1" type="noConversion"/>
  </si>
  <si>
    <t>糯米(10),_x000D_
粽叶(10),</t>
    <phoneticPr fontId="1" type="noConversion"/>
  </si>
  <si>
    <t>欠条大(1),_x000D_
钱袋大(1),_x000D_
骰子大(2),</t>
    <phoneticPr fontId="1" type="noConversion"/>
  </si>
  <si>
    <t>螃蟹(5),_x000D_
桂花(5),_x000D_
桂花酒(5),</t>
    <phoneticPr fontId="1" type="noConversion"/>
  </si>
  <si>
    <t>幸运符文叉大(5),_x000D_
技巧符文叉大(4),</t>
  </si>
  <si>
    <t>骰子中(1),</t>
    <phoneticPr fontId="1" type="noConversion"/>
  </si>
  <si>
    <t>骰子中(1),</t>
    <phoneticPr fontId="1" type="noConversion"/>
  </si>
  <si>
    <t>筹码大(1),</t>
    <phoneticPr fontId="1" type="noConversion"/>
  </si>
  <si>
    <t>钱袋大(1),</t>
    <phoneticPr fontId="1" type="noConversion"/>
  </si>
  <si>
    <t>欠条大(1),</t>
    <phoneticPr fontId="1" type="noConversion"/>
  </si>
  <si>
    <t>仙丹(1),</t>
    <phoneticPr fontId="1" type="noConversion"/>
  </si>
  <si>
    <t>骰子大(2),</t>
    <phoneticPr fontId="1" type="noConversion"/>
  </si>
  <si>
    <t>骰子大(2),</t>
    <phoneticPr fontId="1" type="noConversion"/>
  </si>
  <si>
    <t>糯米(2),</t>
    <phoneticPr fontId="1" type="noConversion"/>
  </si>
  <si>
    <t>糯米(3),</t>
    <phoneticPr fontId="1" type="noConversion"/>
  </si>
  <si>
    <t>魅力符文叉大(1),</t>
    <phoneticPr fontId="1" type="noConversion"/>
  </si>
  <si>
    <t>螃蟹(5),</t>
    <phoneticPr fontId="1" type="noConversion"/>
  </si>
  <si>
    <t>桂花酒(5),</t>
    <phoneticPr fontId="1" type="noConversion"/>
  </si>
  <si>
    <t>神农鼎(5),</t>
    <phoneticPr fontId="1" type="noConversion"/>
  </si>
  <si>
    <t>神农鼎(6),</t>
    <phoneticPr fontId="1" type="noConversion"/>
  </si>
  <si>
    <t>女娲石(8),</t>
    <phoneticPr fontId="1" type="noConversion"/>
  </si>
  <si>
    <t>骰子大(10),</t>
    <phoneticPr fontId="1" type="noConversion"/>
  </si>
  <si>
    <t>神农鼎(9),</t>
    <phoneticPr fontId="1" type="noConversion"/>
  </si>
  <si>
    <t>东皇钟(1),_x000D_
女娲石(13),</t>
    <phoneticPr fontId="1" type="noConversion"/>
  </si>
  <si>
    <t>彗星(15),</t>
    <phoneticPr fontId="1" type="noConversion"/>
  </si>
  <si>
    <t>神农鼎(14),</t>
    <phoneticPr fontId="1" type="noConversion"/>
  </si>
  <si>
    <t>金甲虫(40),</t>
    <phoneticPr fontId="1" type="noConversion"/>
  </si>
  <si>
    <t>金甲虫(190),</t>
    <phoneticPr fontId="1" type="noConversion"/>
  </si>
  <si>
    <t>钱袋大(1),_x000D_
骰子中(1),</t>
    <phoneticPr fontId="1" type="noConversion"/>
  </si>
  <si>
    <t>欠条大(1),_x000D_
骰子大(2),</t>
    <phoneticPr fontId="1" type="noConversion"/>
  </si>
  <si>
    <t>糯米(5),_x000D_
粽叶(1),</t>
    <phoneticPr fontId="1" type="noConversion"/>
  </si>
  <si>
    <t>糯米(3),_x000D_
粽叶(5),</t>
    <phoneticPr fontId="1" type="noConversion"/>
  </si>
  <si>
    <t>女娲石(3),_x000D_
神农鼎(4),</t>
    <phoneticPr fontId="1" type="noConversion"/>
  </si>
  <si>
    <t>钱袋大(9),_x000D_
筹码大(1),</t>
    <phoneticPr fontId="1" type="noConversion"/>
  </si>
  <si>
    <t>桂花(5),_x000D_
桂花酒(5),</t>
    <phoneticPr fontId="1" type="noConversion"/>
  </si>
  <si>
    <t>糯米(5),_x000D_
粽叶(10),</t>
    <phoneticPr fontId="1" type="noConversion"/>
  </si>
  <si>
    <t>欠条大(9),_x000D_
钱袋大(9),</t>
    <phoneticPr fontId="1" type="noConversion"/>
  </si>
  <si>
    <t>女娲石(8),_x000D_
骰子大(10),</t>
    <phoneticPr fontId="1" type="noConversion"/>
  </si>
  <si>
    <t>女娲石(8),_x000D_
骰子大(10),</t>
    <phoneticPr fontId="1" type="noConversion"/>
  </si>
  <si>
    <t>欠条大(9),_x000D_
骰子大(10),</t>
    <phoneticPr fontId="1" type="noConversion"/>
  </si>
  <si>
    <t>力量符文叉大(19),_x000D_
技巧符文叉大(24),</t>
    <phoneticPr fontId="1" type="noConversion"/>
  </si>
  <si>
    <t>女娲石(13),_x000D_
神农鼎(14),</t>
    <phoneticPr fontId="1" type="noConversion"/>
  </si>
  <si>
    <t>女娲石(8),_x000D_
彗星(25),</t>
    <phoneticPr fontId="1" type="noConversion"/>
  </si>
  <si>
    <t>女娲石(18),_x000D_
神农鼎(19),_x000D_
幸运符文叉大(5),_x000D_
技巧符文叉大(4),</t>
    <phoneticPr fontId="1" type="noConversion"/>
  </si>
  <si>
    <t>超进阶素材光(45),_x000D_
超进阶素材暗(45),</t>
    <phoneticPr fontId="1" type="noConversion"/>
  </si>
  <si>
    <t>桂花(5),_x000D_
桂花酒(5),_x000D_
灯笼(5),</t>
    <phoneticPr fontId="1" type="noConversion"/>
  </si>
  <si>
    <t>秘窟冰晶卵(24),_x000D_
力量符文叉大(19),_x000D_
速度符文叉大(2),</t>
    <phoneticPr fontId="1" type="noConversion"/>
  </si>
  <si>
    <t>神农鼎(9),_x000D_
欠条大(9),_x000D_
钱袋大(9),</t>
    <phoneticPr fontId="1" type="noConversion"/>
  </si>
  <si>
    <t>神农鼎(9),_x000D_
欠条大(9),_x000D_
骰子大(10),</t>
    <phoneticPr fontId="1" type="noConversion"/>
  </si>
  <si>
    <t>神农鼎(9),_x000D_
欠条大(9),_x000D_
骰子大(10),</t>
    <phoneticPr fontId="1" type="noConversion"/>
  </si>
  <si>
    <t>超进阶素材火(13),_x000D_
超进阶素材光(45),_x000D_
超进阶素材暗(45),</t>
    <phoneticPr fontId="1" type="noConversion"/>
  </si>
  <si>
    <t>超进阶素材火(13),_x000D_
超进阶素材光(45),_x000D_
超进阶素材暗(45),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</si>
</sst>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9"/>
      <name val="宋体"/>
      <family val="2"/>
      <charset val="134"/>
      <scheme val="minor"/>
    </font>
    <font>
      <sz val="11"/>
      <color theme="9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0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4" borderId="1" xfId="0" applyFont="1" applyFill="1" applyBorder="1">
      <alignment vertical="center"/>
    </xf>
    <xf numFmtId="0" fontId="8" fillId="6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3" borderId="1" xfId="0" applyFont="1" applyFill="1" applyBorder="1">
      <alignment vertical="center"/>
    </xf>
    <xf numFmtId="0" fontId="8" fillId="5" borderId="1" xfId="0" applyFont="1" applyFill="1" applyBorder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1" xfId="0" applyFont="1" applyFill="1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4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0" xfId="0" applyFont="1">
      <alignment vertical="center"/>
    </xf>
    <xf numFmtId="0" fontId="10" fillId="0" borderId="1" xfId="0" applyFont="1" applyBorder="1">
      <alignment vertical="center"/>
    </xf>
    <xf numFmtId="0" fontId="10" fillId="4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5" borderId="1" xfId="0" applyFont="1" applyFill="1" applyBorder="1">
      <alignment vertical="center"/>
    </xf>
    <xf numFmtId="0" fontId="10" fillId="0" borderId="1" xfId="0" applyFont="1" applyBorder="1" applyAlignment="1">
      <alignment vertical="center" wrapText="1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157</xdr:row>
          <xdr:rowOff>28575</xdr:rowOff>
        </xdr:from>
        <xdr:to>
          <xdr:col>1</xdr:col>
          <xdr:colOff>428625</xdr:colOff>
          <xdr:row>158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</xdr:row>
          <xdr:rowOff>28575</xdr:rowOff>
        </xdr:from>
        <xdr:to>
          <xdr:col>1</xdr:col>
          <xdr:colOff>428625</xdr:colOff>
          <xdr:row>11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BU158"/>
  <sheetViews>
    <sheetView tabSelected="1" workbookViewId="0">
      <pane xSplit="2" ySplit="1" topLeftCell="BJ2" activePane="bottomRight" state="frozen"/>
      <selection pane="topRight" activeCell="C1" sqref="C1"/>
      <selection pane="bottomLeft" activeCell="A3" sqref="A3"/>
      <selection pane="bottomRight" activeCell="BS67" sqref="BP67:BS67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</cols>
  <sheetData>
    <row r="1" spans="1:73" s="13" customFormat="1">
      <c r="A1" s="8" t="s">
        <v>66</v>
      </c>
      <c r="B1" s="8" t="s">
        <v>67</v>
      </c>
      <c r="C1" s="8" t="s">
        <v>69</v>
      </c>
      <c r="D1" s="8" t="s">
        <v>68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64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103</v>
      </c>
      <c r="Q1" s="27" t="s">
        <v>115</v>
      </c>
      <c r="R1" s="27" t="s">
        <v>109</v>
      </c>
      <c r="S1" s="27" t="s">
        <v>104</v>
      </c>
      <c r="T1" s="27" t="s">
        <v>113</v>
      </c>
      <c r="U1" s="27" t="s">
        <v>119</v>
      </c>
      <c r="V1" s="27" t="s">
        <v>105</v>
      </c>
      <c r="W1" s="27" t="s">
        <v>112</v>
      </c>
      <c r="X1" s="27" t="s">
        <v>110</v>
      </c>
      <c r="Y1" s="27" t="s">
        <v>106</v>
      </c>
      <c r="Z1" s="27" t="s">
        <v>114</v>
      </c>
      <c r="AA1" s="27" t="s">
        <v>120</v>
      </c>
      <c r="AB1" s="27" t="s">
        <v>108</v>
      </c>
      <c r="AC1" s="27" t="s">
        <v>107</v>
      </c>
      <c r="AD1" s="27" t="s">
        <v>130</v>
      </c>
      <c r="AE1" s="8" t="s">
        <v>8</v>
      </c>
      <c r="AF1" s="8" t="s">
        <v>27</v>
      </c>
      <c r="AG1" s="8" t="s">
        <v>28</v>
      </c>
      <c r="AH1" s="8" t="s">
        <v>55</v>
      </c>
      <c r="AI1" s="8" t="s">
        <v>56</v>
      </c>
      <c r="AJ1" s="8" t="s">
        <v>58</v>
      </c>
      <c r="AK1" s="8" t="s">
        <v>59</v>
      </c>
      <c r="AL1" s="8" t="s">
        <v>61</v>
      </c>
      <c r="AM1" s="8" t="s">
        <v>47</v>
      </c>
      <c r="AN1" s="8" t="s">
        <v>49</v>
      </c>
      <c r="AO1" s="8" t="s">
        <v>91</v>
      </c>
      <c r="AP1" s="8" t="s">
        <v>92</v>
      </c>
      <c r="AQ1" s="10" t="s">
        <v>37</v>
      </c>
      <c r="AR1" s="10" t="s">
        <v>4</v>
      </c>
      <c r="AS1" s="10" t="s">
        <v>25</v>
      </c>
      <c r="AT1" s="10" t="s">
        <v>51</v>
      </c>
      <c r="AU1" s="10" t="s">
        <v>53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88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73</v>
      </c>
      <c r="BQ1" s="8" t="s">
        <v>74</v>
      </c>
      <c r="BR1" s="16" t="s">
        <v>75</v>
      </c>
      <c r="BS1" s="16"/>
      <c r="BT1" s="13" t="s">
        <v>230</v>
      </c>
    </row>
    <row r="2" spans="1:73">
      <c r="A2" s="1">
        <v>55</v>
      </c>
      <c r="B2" s="1" t="s">
        <v>42</v>
      </c>
      <c r="C2" s="1" t="s">
        <v>43</v>
      </c>
      <c r="D2" s="1" t="s">
        <v>9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>
        <v>20</v>
      </c>
      <c r="BE2" s="1">
        <v>20</v>
      </c>
      <c r="BF2" s="1"/>
      <c r="BG2" s="1"/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>SUM(E2:BO2)</f>
        <v>80</v>
      </c>
      <c r="BQ2" s="1">
        <v>0</v>
      </c>
      <c r="BR2" s="17">
        <v>0</v>
      </c>
      <c r="BS2" s="17"/>
      <c r="BT2">
        <f>SUM(P2:AD2)</f>
        <v>0</v>
      </c>
      <c r="BU2" s="23">
        <f>AF2+AH2+AI2+AJ2+AO2+AP2</f>
        <v>0</v>
      </c>
    </row>
    <row r="3" spans="1:73">
      <c r="A3" s="1"/>
      <c r="B3" s="1" t="s">
        <v>85</v>
      </c>
      <c r="C3" s="1" t="s">
        <v>86</v>
      </c>
      <c r="D3" s="1" t="s">
        <v>84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>SUM(E3:BO3)</f>
        <v>80</v>
      </c>
      <c r="BQ3" s="1">
        <v>0</v>
      </c>
      <c r="BR3" s="17">
        <v>0</v>
      </c>
      <c r="BS3" s="17"/>
      <c r="BT3">
        <f>SUM(P3:AD3)</f>
        <v>0</v>
      </c>
      <c r="BU3" s="23">
        <f>AF3+AH3+AI3+AJ3+AO3+AP3</f>
        <v>0</v>
      </c>
    </row>
    <row r="4" spans="1:73" s="39" customFormat="1">
      <c r="A4" s="1"/>
      <c r="B4" s="1" t="s">
        <v>148</v>
      </c>
      <c r="C4" s="1" t="s">
        <v>86</v>
      </c>
      <c r="D4" s="1" t="s">
        <v>84</v>
      </c>
      <c r="E4" s="6">
        <v>6</v>
      </c>
      <c r="F4" s="6">
        <v>6</v>
      </c>
      <c r="G4" s="6"/>
      <c r="H4" s="6"/>
      <c r="I4" s="6"/>
      <c r="J4" s="6"/>
      <c r="K4" s="6"/>
      <c r="L4" s="6"/>
      <c r="M4" s="6"/>
      <c r="N4" s="6"/>
      <c r="O4" s="6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>
        <v>10</v>
      </c>
      <c r="AT4" s="4"/>
      <c r="AU4" s="4"/>
      <c r="AV4" s="4"/>
      <c r="AW4" s="2"/>
      <c r="AX4" s="2">
        <v>10</v>
      </c>
      <c r="AY4" s="2"/>
      <c r="AZ4" s="2"/>
      <c r="BA4" s="2"/>
      <c r="BB4" s="2"/>
      <c r="BC4" s="14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>
        <f>SUM(E4:BO4)</f>
        <v>32</v>
      </c>
      <c r="BQ4" s="1">
        <v>0</v>
      </c>
      <c r="BR4" s="17">
        <v>0</v>
      </c>
      <c r="BS4" s="17"/>
      <c r="BT4">
        <f>SUM(P4:AD4)</f>
        <v>0</v>
      </c>
      <c r="BU4" s="23">
        <f>AF4+AH4+AI4+AJ4+AO4+AP4</f>
        <v>0</v>
      </c>
    </row>
    <row r="5" spans="1:73">
      <c r="A5" s="1">
        <v>45</v>
      </c>
      <c r="B5" s="1" t="s">
        <v>81</v>
      </c>
      <c r="C5" s="1" t="s">
        <v>36</v>
      </c>
      <c r="D5" s="1" t="s">
        <v>9</v>
      </c>
      <c r="E5" s="6">
        <v>6</v>
      </c>
      <c r="F5" s="6"/>
      <c r="G5" s="6"/>
      <c r="H5" s="6"/>
      <c r="I5" s="6"/>
      <c r="J5" s="6"/>
      <c r="K5" s="6"/>
      <c r="L5" s="6"/>
      <c r="M5" s="6">
        <v>6</v>
      </c>
      <c r="N5" s="6"/>
      <c r="O5" s="6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>
        <v>10</v>
      </c>
      <c r="AR5" s="4"/>
      <c r="AS5" s="4"/>
      <c r="AT5" s="4"/>
      <c r="AU5" s="4"/>
      <c r="AV5" s="4"/>
      <c r="AW5" s="2"/>
      <c r="AX5" s="2"/>
      <c r="AY5" s="2"/>
      <c r="AZ5" s="2">
        <v>10</v>
      </c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>
        <f>SUM(E5:BO5)</f>
        <v>32</v>
      </c>
      <c r="BQ5" s="1">
        <v>0</v>
      </c>
      <c r="BR5" s="17">
        <v>0</v>
      </c>
      <c r="BS5" s="17"/>
      <c r="BT5">
        <f>SUM(P5:AD5)</f>
        <v>0</v>
      </c>
      <c r="BU5" s="23">
        <f>AF5+AH5+AI5+AJ5+AO5+AP5</f>
        <v>0</v>
      </c>
    </row>
    <row r="6" spans="1:73">
      <c r="A6" s="1"/>
      <c r="B6" s="1" t="s">
        <v>172</v>
      </c>
      <c r="C6" s="1" t="s">
        <v>1</v>
      </c>
      <c r="D6" s="1" t="s">
        <v>171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>
        <v>10</v>
      </c>
      <c r="AS6" s="4"/>
      <c r="AT6" s="4"/>
      <c r="AU6" s="4"/>
      <c r="AV6" s="4"/>
      <c r="AW6" s="2"/>
      <c r="AX6" s="2"/>
      <c r="AY6" s="2"/>
      <c r="AZ6" s="2">
        <v>10</v>
      </c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>
        <f>SUM(E6:BO6)</f>
        <v>20</v>
      </c>
      <c r="BQ6" s="1">
        <v>0</v>
      </c>
      <c r="BR6" s="17">
        <v>0</v>
      </c>
      <c r="BS6" s="17"/>
      <c r="BT6">
        <f>SUM(P6:AD6)</f>
        <v>0</v>
      </c>
      <c r="BU6" s="23">
        <f>AF6+AH6+AI6+AJ6+AO6+AP6</f>
        <v>0</v>
      </c>
    </row>
    <row r="7" spans="1:73">
      <c r="A7" s="1"/>
      <c r="B7" s="1" t="s">
        <v>166</v>
      </c>
      <c r="C7" s="1" t="s">
        <v>97</v>
      </c>
      <c r="D7" s="1" t="s">
        <v>84</v>
      </c>
      <c r="E7" s="6"/>
      <c r="F7" s="6">
        <v>6</v>
      </c>
      <c r="G7" s="6"/>
      <c r="H7" s="6"/>
      <c r="I7" s="6"/>
      <c r="J7" s="6"/>
      <c r="K7" s="6"/>
      <c r="L7" s="6"/>
      <c r="M7" s="6"/>
      <c r="N7" s="6"/>
      <c r="O7" s="6">
        <v>6</v>
      </c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>
        <v>10</v>
      </c>
      <c r="AU7" s="4"/>
      <c r="AV7" s="4"/>
      <c r="AW7" s="2"/>
      <c r="AX7" s="2"/>
      <c r="AY7" s="2">
        <v>10</v>
      </c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>
        <f>SUM(E7:BO7)</f>
        <v>32</v>
      </c>
      <c r="BQ7" s="1">
        <v>0</v>
      </c>
      <c r="BR7" s="17">
        <v>0</v>
      </c>
      <c r="BS7" s="17"/>
      <c r="BT7">
        <f>SUM(P7:AD7)</f>
        <v>0</v>
      </c>
      <c r="BU7" s="23">
        <f>AF7+AH7+AI7+AJ7+AO7+AP7</f>
        <v>0</v>
      </c>
    </row>
    <row r="8" spans="1:73">
      <c r="A8" s="1"/>
      <c r="B8" s="1" t="s">
        <v>173</v>
      </c>
      <c r="C8" s="1" t="s">
        <v>174</v>
      </c>
      <c r="D8" s="1" t="s">
        <v>175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>
        <v>15</v>
      </c>
      <c r="AV8" s="4"/>
      <c r="AW8" s="2"/>
      <c r="AX8" s="2"/>
      <c r="AY8" s="2">
        <v>15</v>
      </c>
      <c r="AZ8" s="2"/>
      <c r="BA8" s="2">
        <v>10</v>
      </c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>
        <f>SUM(E8:BO8)</f>
        <v>40</v>
      </c>
      <c r="BQ8" s="1">
        <v>0</v>
      </c>
      <c r="BR8" s="17">
        <v>0</v>
      </c>
      <c r="BS8" s="17"/>
      <c r="BT8">
        <f>SUM(P8:AD8)</f>
        <v>0</v>
      </c>
      <c r="BU8" s="23">
        <f>AF8+AH8+AI8+AJ8+AO8+AP8</f>
        <v>0</v>
      </c>
    </row>
    <row r="9" spans="1:73" s="49" customFormat="1">
      <c r="A9" s="1"/>
      <c r="B9" s="1" t="s">
        <v>147</v>
      </c>
      <c r="C9" s="1" t="s">
        <v>97</v>
      </c>
      <c r="D9" s="1" t="s">
        <v>83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>
        <v>10</v>
      </c>
      <c r="BB9" s="2">
        <v>10</v>
      </c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>SUM(E9:BO9)</f>
        <v>20</v>
      </c>
      <c r="BQ9" s="1">
        <v>0</v>
      </c>
      <c r="BR9" s="17">
        <v>0</v>
      </c>
      <c r="BS9" s="17"/>
      <c r="BT9">
        <f>SUM(P9:AD9)</f>
        <v>0</v>
      </c>
      <c r="BU9" s="23">
        <f>AF9+AH9+AI9+AJ9+AO9+AP9</f>
        <v>0</v>
      </c>
    </row>
    <row r="10" spans="1:73" hidden="1">
      <c r="A10" s="1"/>
      <c r="B10" s="1" t="s">
        <v>117</v>
      </c>
      <c r="C10" s="1" t="s">
        <v>118</v>
      </c>
      <c r="D10" s="1" t="s">
        <v>100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>
        <v>10</v>
      </c>
      <c r="Q10" s="28"/>
      <c r="R10" s="28"/>
      <c r="S10" s="28">
        <v>10</v>
      </c>
      <c r="T10" s="28"/>
      <c r="U10" s="28"/>
      <c r="V10" s="28">
        <v>10</v>
      </c>
      <c r="W10" s="28"/>
      <c r="X10" s="28"/>
      <c r="Y10" s="28">
        <v>10</v>
      </c>
      <c r="Z10" s="28"/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>SUM(E10:BO10)</f>
        <v>40</v>
      </c>
      <c r="BQ10" s="1">
        <v>0</v>
      </c>
      <c r="BR10" s="17">
        <v>0</v>
      </c>
      <c r="BS10" s="17"/>
      <c r="BT10">
        <f>SUM(P10:AD10)</f>
        <v>40</v>
      </c>
      <c r="BU10" s="23">
        <f>AF10+AH10+AI10+AJ10+AO10+AP10</f>
        <v>0</v>
      </c>
    </row>
    <row r="11" spans="1:73" hidden="1">
      <c r="A11" s="1"/>
      <c r="B11" s="1" t="s">
        <v>122</v>
      </c>
      <c r="C11" s="1" t="s">
        <v>121</v>
      </c>
      <c r="D11" s="1" t="s">
        <v>100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>
        <v>10</v>
      </c>
      <c r="Q11" s="28"/>
      <c r="R11" s="28"/>
      <c r="S11" s="28">
        <v>10</v>
      </c>
      <c r="T11" s="28"/>
      <c r="U11" s="28"/>
      <c r="V11" s="28">
        <v>10</v>
      </c>
      <c r="W11" s="28"/>
      <c r="X11" s="28"/>
      <c r="Y11" s="28">
        <v>10</v>
      </c>
      <c r="Z11" s="28"/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>
        <f>SUM(E11:BO11)</f>
        <v>40</v>
      </c>
      <c r="BQ11" s="1">
        <v>0</v>
      </c>
      <c r="BR11" s="17">
        <v>0</v>
      </c>
      <c r="BS11" s="17"/>
      <c r="BT11">
        <f>SUM(P11:AD11)</f>
        <v>40</v>
      </c>
      <c r="BU11" s="23">
        <f>AF11+AH11+AI11+AJ11+AO11+AP11</f>
        <v>0</v>
      </c>
    </row>
    <row r="12" spans="1:73" hidden="1">
      <c r="A12" s="1"/>
      <c r="B12" s="1" t="s">
        <v>124</v>
      </c>
      <c r="C12" s="1" t="s">
        <v>125</v>
      </c>
      <c r="D12" s="1" t="s">
        <v>100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>
        <v>10</v>
      </c>
      <c r="Q12" s="28"/>
      <c r="R12" s="28"/>
      <c r="S12" s="28">
        <v>10</v>
      </c>
      <c r="T12" s="28"/>
      <c r="U12" s="28"/>
      <c r="V12" s="28">
        <v>10</v>
      </c>
      <c r="W12" s="28"/>
      <c r="X12" s="28"/>
      <c r="Y12" s="28">
        <v>10</v>
      </c>
      <c r="Z12" s="28"/>
      <c r="AA12" s="28"/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>SUM(E12:BO12)</f>
        <v>40</v>
      </c>
      <c r="BQ12" s="1">
        <v>0</v>
      </c>
      <c r="BR12" s="17">
        <v>0</v>
      </c>
      <c r="BS12" s="17"/>
      <c r="BT12">
        <f>SUM(P12:AD12)</f>
        <v>40</v>
      </c>
      <c r="BU12" s="23">
        <f>AF12+AH12+AI12+AJ12+AO12+AP12</f>
        <v>0</v>
      </c>
    </row>
    <row r="13" spans="1:73" hidden="1">
      <c r="A13" s="1"/>
      <c r="B13" s="1" t="s">
        <v>129</v>
      </c>
      <c r="C13" s="1" t="s">
        <v>127</v>
      </c>
      <c r="D13" s="1" t="s">
        <v>100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>
        <v>10</v>
      </c>
      <c r="Q13" s="28"/>
      <c r="R13" s="28"/>
      <c r="S13" s="28">
        <v>10</v>
      </c>
      <c r="T13" s="28"/>
      <c r="U13" s="28"/>
      <c r="V13" s="28">
        <v>10</v>
      </c>
      <c r="W13" s="28"/>
      <c r="X13" s="28"/>
      <c r="Y13" s="28">
        <v>10</v>
      </c>
      <c r="Z13" s="28"/>
      <c r="AA13" s="28"/>
      <c r="AB13" s="28"/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>
        <f>SUM(E13:BO13)</f>
        <v>40</v>
      </c>
      <c r="BQ13" s="1">
        <v>0</v>
      </c>
      <c r="BR13" s="17">
        <v>0</v>
      </c>
      <c r="BS13" s="17"/>
      <c r="BT13">
        <f>SUM(P13:AD13)</f>
        <v>40</v>
      </c>
      <c r="BU13" s="23">
        <f>AF13+AH13+AI13+AJ13+AO13+AP13</f>
        <v>0</v>
      </c>
    </row>
    <row r="14" spans="1:73" s="23" customFormat="1" hidden="1">
      <c r="A14" s="1"/>
      <c r="B14" s="1" t="s">
        <v>131</v>
      </c>
      <c r="C14" s="1" t="s">
        <v>127</v>
      </c>
      <c r="D14" s="1" t="s">
        <v>100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>
        <v>10</v>
      </c>
      <c r="Q14" s="28"/>
      <c r="R14" s="28"/>
      <c r="S14" s="28">
        <v>10</v>
      </c>
      <c r="T14" s="28"/>
      <c r="U14" s="28"/>
      <c r="V14" s="28">
        <v>10</v>
      </c>
      <c r="W14" s="28"/>
      <c r="X14" s="28"/>
      <c r="Y14" s="28">
        <v>10</v>
      </c>
      <c r="Z14" s="28"/>
      <c r="AA14" s="28"/>
      <c r="AB14" s="28"/>
      <c r="AC14" s="28"/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>SUM(E14:BO14)</f>
        <v>40</v>
      </c>
      <c r="BQ14" s="1">
        <v>0</v>
      </c>
      <c r="BR14" s="17">
        <v>0</v>
      </c>
      <c r="BS14" s="17"/>
      <c r="BT14">
        <f>SUM(P14:AD14)</f>
        <v>40</v>
      </c>
      <c r="BU14" s="23">
        <f>AF14+AH14+AI14+AJ14+AO14+AP14</f>
        <v>0</v>
      </c>
    </row>
    <row r="15" spans="1:73" hidden="1">
      <c r="A15" s="1"/>
      <c r="B15" s="3" t="s">
        <v>198</v>
      </c>
      <c r="C15" s="3" t="s">
        <v>50</v>
      </c>
      <c r="D15" s="1" t="s">
        <v>196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>
        <v>10</v>
      </c>
      <c r="Q15" s="28"/>
      <c r="R15" s="28"/>
      <c r="S15" s="28">
        <v>10</v>
      </c>
      <c r="T15" s="28"/>
      <c r="U15" s="28"/>
      <c r="V15" s="28">
        <v>10</v>
      </c>
      <c r="W15" s="28"/>
      <c r="X15" s="28"/>
      <c r="Y15" s="28">
        <v>10</v>
      </c>
      <c r="Z15" s="28"/>
      <c r="AA15" s="28"/>
      <c r="AB15" s="28"/>
      <c r="AC15" s="28"/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>SUM(E15:BO15)</f>
        <v>40</v>
      </c>
      <c r="BQ15" s="1">
        <v>0</v>
      </c>
      <c r="BR15" s="17">
        <v>0</v>
      </c>
      <c r="BS15" s="17"/>
      <c r="BT15">
        <f>SUM(P15:AD15)</f>
        <v>40</v>
      </c>
      <c r="BU15" s="23">
        <f>AF15+AH15+AI15+AJ15+AO15+AP15</f>
        <v>0</v>
      </c>
    </row>
    <row r="16" spans="1:73" hidden="1">
      <c r="A16" s="1"/>
      <c r="B16" s="3" t="s">
        <v>204</v>
      </c>
      <c r="C16" s="3" t="s">
        <v>202</v>
      </c>
      <c r="D16" s="1" t="s">
        <v>196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>
        <v>10</v>
      </c>
      <c r="Q16" s="28"/>
      <c r="R16" s="28"/>
      <c r="S16" s="28">
        <v>10</v>
      </c>
      <c r="T16" s="28"/>
      <c r="U16" s="28"/>
      <c r="V16" s="28">
        <v>10</v>
      </c>
      <c r="W16" s="28"/>
      <c r="X16" s="28"/>
      <c r="Y16" s="28">
        <v>10</v>
      </c>
      <c r="Z16" s="28"/>
      <c r="AA16" s="28"/>
      <c r="AB16" s="28"/>
      <c r="AC16" s="28"/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>SUM(E16:BO16)</f>
        <v>40</v>
      </c>
      <c r="BQ16" s="1">
        <v>0</v>
      </c>
      <c r="BR16" s="17">
        <v>0</v>
      </c>
      <c r="BS16" s="17"/>
      <c r="BT16">
        <f>SUM(P16:AD16)</f>
        <v>40</v>
      </c>
      <c r="BU16" s="23">
        <f>AF16+AH16+AI16+AJ16+AO16+AP16</f>
        <v>0</v>
      </c>
    </row>
    <row r="17" spans="1:73" hidden="1">
      <c r="A17" s="1"/>
      <c r="B17" s="3" t="s">
        <v>206</v>
      </c>
      <c r="C17" s="3" t="s">
        <v>98</v>
      </c>
      <c r="D17" s="1" t="s">
        <v>196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8">
        <v>10</v>
      </c>
      <c r="Q17" s="28"/>
      <c r="R17" s="28"/>
      <c r="S17" s="28">
        <v>10</v>
      </c>
      <c r="T17" s="28"/>
      <c r="U17" s="28"/>
      <c r="V17" s="28">
        <v>10</v>
      </c>
      <c r="W17" s="28"/>
      <c r="X17" s="28"/>
      <c r="Y17" s="28">
        <v>10</v>
      </c>
      <c r="Z17" s="28"/>
      <c r="AA17" s="28"/>
      <c r="AB17" s="28"/>
      <c r="AC17" s="28"/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>SUM(E17:BO17)</f>
        <v>40</v>
      </c>
      <c r="BQ17" s="1">
        <v>0</v>
      </c>
      <c r="BR17" s="17">
        <v>0</v>
      </c>
      <c r="BS17" s="17"/>
      <c r="BT17">
        <f>SUM(P17:AD17)</f>
        <v>40</v>
      </c>
      <c r="BU17" s="23">
        <f>AF17+AH17+AI17+AJ17+AO17+AP17</f>
        <v>0</v>
      </c>
    </row>
    <row r="18" spans="1:73" s="48" customFormat="1" hidden="1">
      <c r="A18" s="1"/>
      <c r="B18" s="1" t="s">
        <v>128</v>
      </c>
      <c r="C18" s="1" t="s">
        <v>127</v>
      </c>
      <c r="D18" s="1" t="s">
        <v>101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8"/>
      <c r="Q18" s="28">
        <v>5</v>
      </c>
      <c r="R18" s="28"/>
      <c r="S18" s="28"/>
      <c r="T18" s="28">
        <v>5</v>
      </c>
      <c r="U18" s="28"/>
      <c r="V18" s="28"/>
      <c r="W18" s="28"/>
      <c r="X18" s="28"/>
      <c r="Y18" s="28"/>
      <c r="Z18" s="28">
        <v>5</v>
      </c>
      <c r="AA18" s="28">
        <v>2</v>
      </c>
      <c r="AB18" s="28"/>
      <c r="AC18" s="28"/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>SUM(E18:BO18)</f>
        <v>17</v>
      </c>
      <c r="BQ18" s="1">
        <v>0</v>
      </c>
      <c r="BR18" s="17">
        <v>0</v>
      </c>
      <c r="BS18" s="17"/>
      <c r="BT18">
        <f>SUM(P18:AD18)</f>
        <v>17</v>
      </c>
      <c r="BU18" s="23">
        <f>AF18+AH18+AI18+AJ18+AO18+AP18</f>
        <v>0</v>
      </c>
    </row>
    <row r="19" spans="1:73" hidden="1">
      <c r="A19" s="1"/>
      <c r="B19" s="3" t="s">
        <v>201</v>
      </c>
      <c r="C19" s="3" t="s">
        <v>202</v>
      </c>
      <c r="D19" s="1" t="s">
        <v>0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/>
      <c r="Q19" s="28">
        <v>5</v>
      </c>
      <c r="R19" s="28"/>
      <c r="S19" s="28"/>
      <c r="T19" s="28">
        <v>5</v>
      </c>
      <c r="U19" s="28"/>
      <c r="V19" s="28"/>
      <c r="W19" s="28"/>
      <c r="X19" s="28"/>
      <c r="Y19" s="28"/>
      <c r="Z19" s="28">
        <v>5</v>
      </c>
      <c r="AA19" s="28">
        <v>2</v>
      </c>
      <c r="AB19" s="28"/>
      <c r="AC19" s="28"/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>SUM(E19:BO19)</f>
        <v>17</v>
      </c>
      <c r="BQ19" s="1">
        <v>0</v>
      </c>
      <c r="BR19" s="17">
        <v>0</v>
      </c>
      <c r="BS19" s="17"/>
      <c r="BT19">
        <f>SUM(P19:AD19)</f>
        <v>17</v>
      </c>
      <c r="BU19" s="23">
        <f>AF19+AH19+AI19+AJ19+AO19+AP19</f>
        <v>0</v>
      </c>
    </row>
    <row r="20" spans="1:73" hidden="1">
      <c r="A20" s="1"/>
      <c r="B20" s="1" t="s">
        <v>124</v>
      </c>
      <c r="C20" s="1" t="s">
        <v>125</v>
      </c>
      <c r="D20" s="1" t="s">
        <v>101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8"/>
      <c r="Q20" s="28"/>
      <c r="R20" s="28"/>
      <c r="S20" s="28"/>
      <c r="T20" s="28"/>
      <c r="U20" s="28"/>
      <c r="V20" s="28">
        <v>10</v>
      </c>
      <c r="W20" s="28"/>
      <c r="X20" s="28"/>
      <c r="Y20" s="28">
        <v>10</v>
      </c>
      <c r="Z20" s="28"/>
      <c r="AA20" s="28"/>
      <c r="AB20" s="28">
        <v>10</v>
      </c>
      <c r="AC20" s="28">
        <v>5</v>
      </c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>
        <f>SUM(E20:BO20)</f>
        <v>35</v>
      </c>
      <c r="BQ20" s="1">
        <v>0</v>
      </c>
      <c r="BR20" s="17">
        <v>0</v>
      </c>
      <c r="BS20" s="17"/>
      <c r="BT20">
        <f>SUM(P20:AD20)</f>
        <v>35</v>
      </c>
      <c r="BU20" s="23">
        <f>AF20+AH20+AI20+AJ20+AO20+AP20</f>
        <v>0</v>
      </c>
    </row>
    <row r="21" spans="1:73" hidden="1">
      <c r="A21" s="1"/>
      <c r="B21" s="1" t="s">
        <v>131</v>
      </c>
      <c r="C21" s="1" t="s">
        <v>127</v>
      </c>
      <c r="D21" s="1" t="s">
        <v>101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28"/>
      <c r="Q21" s="28"/>
      <c r="R21" s="28"/>
      <c r="S21" s="28"/>
      <c r="T21" s="28"/>
      <c r="U21" s="28"/>
      <c r="V21" s="28">
        <v>10</v>
      </c>
      <c r="W21" s="28"/>
      <c r="X21" s="28"/>
      <c r="Y21" s="28">
        <v>10</v>
      </c>
      <c r="Z21" s="28"/>
      <c r="AA21" s="28"/>
      <c r="AB21" s="28">
        <v>10</v>
      </c>
      <c r="AC21" s="28">
        <v>5</v>
      </c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>
        <f>SUM(E21:BO21)</f>
        <v>35</v>
      </c>
      <c r="BQ21" s="1">
        <v>0</v>
      </c>
      <c r="BR21" s="17">
        <v>0</v>
      </c>
      <c r="BS21" s="17"/>
      <c r="BT21">
        <f>SUM(P21:AD21)</f>
        <v>35</v>
      </c>
      <c r="BU21" s="23">
        <f>AF21+AH21+AI21+AJ21+AO21+AP21</f>
        <v>0</v>
      </c>
    </row>
    <row r="22" spans="1:73" s="66" customFormat="1" hidden="1">
      <c r="A22" s="1"/>
      <c r="B22" s="3" t="s">
        <v>198</v>
      </c>
      <c r="C22" s="3" t="s">
        <v>50</v>
      </c>
      <c r="D22" s="1" t="s">
        <v>0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8"/>
      <c r="Q22" s="28"/>
      <c r="R22" s="28"/>
      <c r="S22" s="28"/>
      <c r="T22" s="28"/>
      <c r="U22" s="28"/>
      <c r="V22" s="28">
        <v>10</v>
      </c>
      <c r="W22" s="28"/>
      <c r="X22" s="28"/>
      <c r="Y22" s="28">
        <v>10</v>
      </c>
      <c r="Z22" s="28"/>
      <c r="AA22" s="28"/>
      <c r="AB22" s="28">
        <v>10</v>
      </c>
      <c r="AC22" s="28">
        <v>5</v>
      </c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>
        <f>SUM(E22:BO22)</f>
        <v>35</v>
      </c>
      <c r="BQ22" s="1">
        <v>0</v>
      </c>
      <c r="BR22" s="17">
        <v>0</v>
      </c>
      <c r="BS22" s="17"/>
      <c r="BT22">
        <f>SUM(P22:AD22)</f>
        <v>35</v>
      </c>
      <c r="BU22" s="23">
        <f>AF22+AH22+AI22+AJ22+AO22+AP22</f>
        <v>0</v>
      </c>
    </row>
    <row r="23" spans="1:73" hidden="1">
      <c r="A23" s="1"/>
      <c r="B23" s="3" t="s">
        <v>206</v>
      </c>
      <c r="C23" s="3" t="s">
        <v>98</v>
      </c>
      <c r="D23" s="1" t="s">
        <v>0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28"/>
      <c r="Q23" s="28"/>
      <c r="R23" s="28"/>
      <c r="S23" s="28"/>
      <c r="T23" s="28"/>
      <c r="U23" s="28"/>
      <c r="V23" s="28">
        <v>10</v>
      </c>
      <c r="W23" s="28"/>
      <c r="X23" s="28"/>
      <c r="Y23" s="28">
        <v>10</v>
      </c>
      <c r="Z23" s="28"/>
      <c r="AA23" s="28"/>
      <c r="AB23" s="28">
        <v>10</v>
      </c>
      <c r="AC23" s="28">
        <v>5</v>
      </c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>
        <f>SUM(E23:BO23)</f>
        <v>35</v>
      </c>
      <c r="BQ23" s="1">
        <v>0</v>
      </c>
      <c r="BR23" s="17">
        <v>0</v>
      </c>
      <c r="BS23" s="17"/>
      <c r="BT23">
        <f>SUM(P23:AD23)</f>
        <v>35</v>
      </c>
      <c r="BU23" s="23">
        <f>AF23+AH23+AI23+AJ23+AO23+AP23</f>
        <v>0</v>
      </c>
    </row>
    <row r="24" spans="1:73" hidden="1">
      <c r="A24" s="1"/>
      <c r="B24" s="1" t="s">
        <v>117</v>
      </c>
      <c r="C24" s="1" t="s">
        <v>118</v>
      </c>
      <c r="D24" s="1" t="s">
        <v>101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8"/>
      <c r="Q24" s="28">
        <v>5</v>
      </c>
      <c r="R24" s="28"/>
      <c r="S24" s="28"/>
      <c r="T24" s="28"/>
      <c r="U24" s="28"/>
      <c r="V24" s="28">
        <v>10</v>
      </c>
      <c r="W24" s="28"/>
      <c r="X24" s="28"/>
      <c r="Y24" s="28">
        <v>10</v>
      </c>
      <c r="Z24" s="28"/>
      <c r="AA24" s="28"/>
      <c r="AB24" s="28">
        <v>10</v>
      </c>
      <c r="AC24" s="28"/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>
        <f>SUM(E24:BO24)</f>
        <v>35</v>
      </c>
      <c r="BQ24" s="1">
        <v>0</v>
      </c>
      <c r="BR24" s="17">
        <v>0</v>
      </c>
      <c r="BS24" s="17"/>
      <c r="BT24">
        <f>SUM(P24:AD24)</f>
        <v>35</v>
      </c>
      <c r="BU24" s="23">
        <f>AF24+AH24+AI24+AJ24+AO24+AP24</f>
        <v>0</v>
      </c>
    </row>
    <row r="25" spans="1:73" s="58" customFormat="1" hidden="1">
      <c r="A25" s="1"/>
      <c r="B25" s="1" t="s">
        <v>122</v>
      </c>
      <c r="C25" s="1" t="s">
        <v>121</v>
      </c>
      <c r="D25" s="1" t="s">
        <v>101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28"/>
      <c r="Q25" s="28">
        <v>5</v>
      </c>
      <c r="R25" s="28"/>
      <c r="S25" s="28"/>
      <c r="T25" s="28"/>
      <c r="U25" s="28"/>
      <c r="V25" s="28">
        <v>10</v>
      </c>
      <c r="W25" s="28"/>
      <c r="X25" s="28"/>
      <c r="Y25" s="28">
        <v>10</v>
      </c>
      <c r="Z25" s="28"/>
      <c r="AA25" s="28"/>
      <c r="AB25" s="28">
        <v>10</v>
      </c>
      <c r="AC25" s="28"/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>
        <f>SUM(E25:BO25)</f>
        <v>35</v>
      </c>
      <c r="BQ25" s="1">
        <v>0</v>
      </c>
      <c r="BR25" s="17">
        <v>0</v>
      </c>
      <c r="BS25" s="17"/>
      <c r="BT25">
        <f>SUM(P25:AD25)</f>
        <v>35</v>
      </c>
      <c r="BU25" s="23">
        <f>AF25+AH25+AI25+AJ25+AO25+AP25</f>
        <v>0</v>
      </c>
    </row>
    <row r="26" spans="1:73" hidden="1">
      <c r="A26" s="1"/>
      <c r="B26" s="3" t="s">
        <v>228</v>
      </c>
      <c r="C26" s="3" t="s">
        <v>50</v>
      </c>
      <c r="D26" s="1" t="s">
        <v>0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8"/>
      <c r="Q26" s="28">
        <v>5</v>
      </c>
      <c r="R26" s="28"/>
      <c r="S26" s="28"/>
      <c r="T26" s="28"/>
      <c r="U26" s="28"/>
      <c r="V26" s="28">
        <v>10</v>
      </c>
      <c r="W26" s="28"/>
      <c r="X26" s="28"/>
      <c r="Y26" s="28">
        <v>10</v>
      </c>
      <c r="Z26" s="28"/>
      <c r="AA26" s="28"/>
      <c r="AB26" s="28">
        <v>10</v>
      </c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>
        <f>SUM(E26:BO26)</f>
        <v>35</v>
      </c>
      <c r="BQ26" s="1">
        <v>0</v>
      </c>
      <c r="BR26" s="17">
        <v>0</v>
      </c>
      <c r="BS26" s="17"/>
      <c r="BT26">
        <f>SUM(P26:AD26)</f>
        <v>35</v>
      </c>
      <c r="BU26" s="23">
        <f>AF26+AH26+AI26+AJ26+AO26+AP26</f>
        <v>0</v>
      </c>
    </row>
    <row r="27" spans="1:73">
      <c r="A27" s="1">
        <v>95</v>
      </c>
      <c r="B27" s="3" t="s">
        <v>65</v>
      </c>
      <c r="C27" s="3" t="s">
        <v>52</v>
      </c>
      <c r="D27" s="1" t="s">
        <v>0</v>
      </c>
      <c r="E27" s="6"/>
      <c r="F27" s="6"/>
      <c r="G27" s="6"/>
      <c r="H27" s="6"/>
      <c r="I27" s="6"/>
      <c r="J27" s="6"/>
      <c r="K27" s="6"/>
      <c r="L27" s="6">
        <v>15</v>
      </c>
      <c r="M27" s="6"/>
      <c r="N27" s="6"/>
      <c r="O27" s="6">
        <v>15</v>
      </c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>
        <v>15</v>
      </c>
      <c r="BB27" s="2">
        <v>15</v>
      </c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>
        <f>SUM(E27:BO27)</f>
        <v>60</v>
      </c>
      <c r="BQ27" s="1">
        <v>0</v>
      </c>
      <c r="BR27" s="17">
        <v>0</v>
      </c>
      <c r="BS27" s="17"/>
      <c r="BT27">
        <f>SUM(P27:AD27)</f>
        <v>0</v>
      </c>
      <c r="BU27" s="23">
        <f>AF27+AH27+AI27+AJ27+AO27+AP27</f>
        <v>0</v>
      </c>
    </row>
    <row r="28" spans="1:73" hidden="1">
      <c r="A28" s="1"/>
      <c r="B28" s="3" t="s">
        <v>204</v>
      </c>
      <c r="C28" s="3" t="s">
        <v>202</v>
      </c>
      <c r="D28" s="1" t="s">
        <v>0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8"/>
      <c r="Q28" s="28"/>
      <c r="R28" s="28"/>
      <c r="S28" s="28"/>
      <c r="T28" s="28"/>
      <c r="U28" s="28"/>
      <c r="V28" s="28">
        <v>10</v>
      </c>
      <c r="W28" s="28"/>
      <c r="X28" s="28"/>
      <c r="Y28" s="28"/>
      <c r="Z28" s="28">
        <v>5</v>
      </c>
      <c r="AA28" s="28"/>
      <c r="AB28" s="28">
        <v>10</v>
      </c>
      <c r="AC28" s="28">
        <v>5</v>
      </c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>
        <f>SUM(E28:BO28)</f>
        <v>30</v>
      </c>
      <c r="BQ28" s="1">
        <v>0</v>
      </c>
      <c r="BR28" s="17">
        <v>0</v>
      </c>
      <c r="BS28" s="17"/>
      <c r="BT28">
        <f>SUM(P28:AD28)</f>
        <v>30</v>
      </c>
      <c r="BU28" s="23">
        <f>AF28+AH28+AI28+AJ28+AO28+AP28</f>
        <v>0</v>
      </c>
    </row>
    <row r="29" spans="1:73" hidden="1">
      <c r="A29" s="1"/>
      <c r="B29" s="1" t="s">
        <v>129</v>
      </c>
      <c r="C29" s="1" t="s">
        <v>127</v>
      </c>
      <c r="D29" s="1" t="s">
        <v>101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/>
      <c r="Q29" s="28">
        <v>5</v>
      </c>
      <c r="R29" s="28"/>
      <c r="S29" s="28"/>
      <c r="T29" s="28"/>
      <c r="U29" s="28"/>
      <c r="V29" s="28">
        <v>10</v>
      </c>
      <c r="W29" s="28"/>
      <c r="X29" s="28"/>
      <c r="Y29" s="28"/>
      <c r="Z29" s="28">
        <v>5</v>
      </c>
      <c r="AA29" s="28"/>
      <c r="AB29" s="28">
        <v>10</v>
      </c>
      <c r="AC29" s="28"/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>
        <f>SUM(E29:BO29)</f>
        <v>30</v>
      </c>
      <c r="BQ29" s="1">
        <v>0</v>
      </c>
      <c r="BR29" s="17">
        <v>0</v>
      </c>
      <c r="BS29" s="17"/>
      <c r="BT29">
        <f>SUM(P29:AD29)</f>
        <v>30</v>
      </c>
      <c r="BU29" s="23">
        <f>AF29+AH29+AI29+AJ29+AO29+AP29</f>
        <v>0</v>
      </c>
    </row>
    <row r="30" spans="1:73" hidden="1">
      <c r="A30" s="1"/>
      <c r="B30" s="1" t="s">
        <v>256</v>
      </c>
      <c r="C30" s="1" t="s">
        <v>235</v>
      </c>
      <c r="D30" s="1" t="s">
        <v>236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8">
        <v>10</v>
      </c>
      <c r="Q30" s="28"/>
      <c r="R30" s="28"/>
      <c r="S30" s="28">
        <v>10</v>
      </c>
      <c r="T30" s="28"/>
      <c r="U30" s="28"/>
      <c r="V30" s="28">
        <v>10</v>
      </c>
      <c r="W30" s="28"/>
      <c r="X30" s="28"/>
      <c r="Y30" s="28">
        <v>10</v>
      </c>
      <c r="Z30" s="28"/>
      <c r="AA30" s="28"/>
      <c r="AB30" s="28"/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>
        <f>SUM(E30:BO30)</f>
        <v>40</v>
      </c>
      <c r="BQ30" s="1">
        <v>0</v>
      </c>
      <c r="BR30" s="17">
        <v>0</v>
      </c>
      <c r="BS30" s="17"/>
      <c r="BT30">
        <f>SUM(P30:AD30)</f>
        <v>40</v>
      </c>
      <c r="BU30" s="23">
        <f>AF30+AH30+AI30+AJ30+AO30+AP30</f>
        <v>0</v>
      </c>
    </row>
    <row r="31" spans="1:73" s="48" customFormat="1" hidden="1">
      <c r="A31" s="1"/>
      <c r="B31" s="1" t="s">
        <v>234</v>
      </c>
      <c r="C31" s="1" t="s">
        <v>235</v>
      </c>
      <c r="D31" s="1" t="s">
        <v>237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8"/>
      <c r="Q31" s="28"/>
      <c r="R31" s="28"/>
      <c r="S31" s="28"/>
      <c r="T31" s="28"/>
      <c r="U31" s="28"/>
      <c r="V31" s="28">
        <v>10</v>
      </c>
      <c r="W31" s="28"/>
      <c r="X31" s="28"/>
      <c r="Y31" s="28">
        <v>10</v>
      </c>
      <c r="Z31" s="28"/>
      <c r="AA31" s="28"/>
      <c r="AB31" s="28">
        <v>10</v>
      </c>
      <c r="AC31" s="28">
        <v>5</v>
      </c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>
        <f>SUM(E31:BO31)</f>
        <v>35</v>
      </c>
      <c r="BQ31" s="1">
        <v>0</v>
      </c>
      <c r="BR31" s="17">
        <v>0</v>
      </c>
      <c r="BS31" s="17"/>
      <c r="BT31">
        <f>SUM(P31:AD31)</f>
        <v>35</v>
      </c>
      <c r="BU31" s="23">
        <f>AF31+AH31+AI31+AJ31+AO31+AP31</f>
        <v>0</v>
      </c>
    </row>
    <row r="32" spans="1:73" hidden="1">
      <c r="A32" s="1"/>
      <c r="B32" s="1" t="s">
        <v>234</v>
      </c>
      <c r="C32" s="1" t="s">
        <v>235</v>
      </c>
      <c r="D32" s="1" t="s">
        <v>238</v>
      </c>
      <c r="E32" s="6">
        <v>5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28"/>
      <c r="Q32" s="28"/>
      <c r="R32" s="28"/>
      <c r="S32" s="28"/>
      <c r="T32" s="28"/>
      <c r="U32" s="28"/>
      <c r="V32" s="28">
        <v>5</v>
      </c>
      <c r="W32" s="28"/>
      <c r="X32" s="28"/>
      <c r="Y32" s="28">
        <v>5</v>
      </c>
      <c r="Z32" s="28"/>
      <c r="AA32" s="28"/>
      <c r="AB32" s="28"/>
      <c r="AC32" s="28">
        <v>5</v>
      </c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>
        <f>SUM(E32:BO32)</f>
        <v>20</v>
      </c>
      <c r="BQ32" s="1">
        <v>0</v>
      </c>
      <c r="BR32" s="17">
        <v>0</v>
      </c>
      <c r="BS32" s="17"/>
      <c r="BT32">
        <f>SUM(P32:AD32)</f>
        <v>15</v>
      </c>
      <c r="BU32" s="23">
        <f>AF32+AH32+AI32+AJ32+AO32+AP32</f>
        <v>0</v>
      </c>
    </row>
    <row r="33" spans="1:73" hidden="1">
      <c r="A33" s="1"/>
      <c r="B33" s="1" t="s">
        <v>239</v>
      </c>
      <c r="C33" s="1" t="s">
        <v>118</v>
      </c>
      <c r="D33" s="1" t="s">
        <v>237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28"/>
      <c r="Q33" s="28">
        <v>5</v>
      </c>
      <c r="R33" s="28"/>
      <c r="S33" s="28"/>
      <c r="T33" s="28">
        <v>5</v>
      </c>
      <c r="U33" s="28"/>
      <c r="V33" s="28"/>
      <c r="W33" s="28"/>
      <c r="X33" s="28"/>
      <c r="Y33" s="28"/>
      <c r="Z33" s="28">
        <v>5</v>
      </c>
      <c r="AA33" s="28">
        <v>2</v>
      </c>
      <c r="AB33" s="28"/>
      <c r="AC33" s="28"/>
      <c r="AD33" s="28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>
        <f>SUM(E33:BO33)</f>
        <v>17</v>
      </c>
      <c r="BQ33" s="1">
        <v>0</v>
      </c>
      <c r="BR33" s="17">
        <v>0</v>
      </c>
      <c r="BS33" s="17"/>
      <c r="BT33">
        <f>SUM(P33:AD33)</f>
        <v>17</v>
      </c>
      <c r="BU33" s="23">
        <f>AF33+AH33+AI33+AJ33+AO33+AP33</f>
        <v>0</v>
      </c>
    </row>
    <row r="34" spans="1:73" hidden="1">
      <c r="A34" s="1"/>
      <c r="B34" s="1" t="s">
        <v>240</v>
      </c>
      <c r="C34" s="1" t="s">
        <v>118</v>
      </c>
      <c r="D34" s="1" t="s">
        <v>236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28">
        <v>10</v>
      </c>
      <c r="Q34" s="28"/>
      <c r="R34" s="28"/>
      <c r="S34" s="28">
        <v>10</v>
      </c>
      <c r="T34" s="28"/>
      <c r="U34" s="28"/>
      <c r="V34" s="28">
        <v>10</v>
      </c>
      <c r="W34" s="28"/>
      <c r="X34" s="28"/>
      <c r="Y34" s="28">
        <v>10</v>
      </c>
      <c r="Z34" s="28"/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>
        <f>SUM(E34:BO34)</f>
        <v>40</v>
      </c>
      <c r="BQ34" s="1">
        <v>0</v>
      </c>
      <c r="BR34" s="17">
        <v>0</v>
      </c>
      <c r="BS34" s="17"/>
      <c r="BT34">
        <f>SUM(P34:AD34)</f>
        <v>40</v>
      </c>
      <c r="BU34" s="23">
        <f>AF34+AH34+AI34+AJ34+AO34+AP34</f>
        <v>0</v>
      </c>
    </row>
    <row r="35" spans="1:73" hidden="1">
      <c r="A35" s="1"/>
      <c r="B35" s="1" t="s">
        <v>240</v>
      </c>
      <c r="C35" s="1" t="s">
        <v>118</v>
      </c>
      <c r="D35" s="1" t="s">
        <v>237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28"/>
      <c r="Q35" s="28"/>
      <c r="R35" s="28"/>
      <c r="S35" s="28"/>
      <c r="T35" s="28"/>
      <c r="U35" s="28"/>
      <c r="V35" s="28">
        <v>10</v>
      </c>
      <c r="W35" s="28"/>
      <c r="X35" s="28"/>
      <c r="Y35" s="28">
        <v>10</v>
      </c>
      <c r="Z35" s="28"/>
      <c r="AA35" s="28"/>
      <c r="AB35" s="28">
        <v>10</v>
      </c>
      <c r="AC35" s="28">
        <v>5</v>
      </c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>
        <f>SUM(E35:BO35)</f>
        <v>35</v>
      </c>
      <c r="BQ35" s="1">
        <v>0</v>
      </c>
      <c r="BR35" s="17">
        <v>0</v>
      </c>
      <c r="BS35" s="17"/>
      <c r="BT35">
        <f>SUM(P35:AD35)</f>
        <v>35</v>
      </c>
      <c r="BU35" s="23">
        <f>AF35+AH35+AI35+AJ35+AO35+AP35</f>
        <v>0</v>
      </c>
    </row>
    <row r="36" spans="1:73" hidden="1">
      <c r="A36" s="1"/>
      <c r="B36" s="1" t="s">
        <v>241</v>
      </c>
      <c r="C36" s="1" t="s">
        <v>50</v>
      </c>
      <c r="D36" s="1" t="s">
        <v>236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28"/>
      <c r="Q36" s="28">
        <v>5</v>
      </c>
      <c r="R36" s="28"/>
      <c r="S36" s="28"/>
      <c r="T36" s="28">
        <v>5</v>
      </c>
      <c r="U36" s="28"/>
      <c r="V36" s="28"/>
      <c r="W36" s="28"/>
      <c r="X36" s="28"/>
      <c r="Y36" s="28"/>
      <c r="Z36" s="28">
        <v>5</v>
      </c>
      <c r="AA36" s="28"/>
      <c r="AB36" s="28"/>
      <c r="AC36" s="28">
        <v>5</v>
      </c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>
        <f>SUM(E36:BO36)</f>
        <v>20</v>
      </c>
      <c r="BQ36" s="1">
        <v>0</v>
      </c>
      <c r="BR36" s="17">
        <v>0</v>
      </c>
      <c r="BS36" s="17"/>
      <c r="BT36">
        <f>SUM(P36:AD36)</f>
        <v>20</v>
      </c>
      <c r="BU36" s="23">
        <f>AF36+AH36+AI36+AJ36+AO36+AP36</f>
        <v>0</v>
      </c>
    </row>
    <row r="37" spans="1:73" hidden="1">
      <c r="A37" s="1"/>
      <c r="B37" s="1" t="s">
        <v>242</v>
      </c>
      <c r="C37" s="1" t="s">
        <v>50</v>
      </c>
      <c r="D37" s="1" t="s">
        <v>237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28"/>
      <c r="Q37" s="28">
        <v>5</v>
      </c>
      <c r="R37" s="28"/>
      <c r="S37" s="28"/>
      <c r="T37" s="28">
        <v>5</v>
      </c>
      <c r="U37" s="28"/>
      <c r="V37" s="28"/>
      <c r="W37" s="28"/>
      <c r="X37" s="28"/>
      <c r="Y37" s="28"/>
      <c r="Z37" s="28">
        <v>5</v>
      </c>
      <c r="AA37" s="28">
        <v>2</v>
      </c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>
        <f>SUM(E37:BO37)</f>
        <v>17</v>
      </c>
      <c r="BQ37" s="1">
        <v>0</v>
      </c>
      <c r="BR37" s="17">
        <v>0</v>
      </c>
      <c r="BS37" s="17"/>
      <c r="BT37">
        <f>SUM(P37:AD37)</f>
        <v>17</v>
      </c>
      <c r="BU37" s="23">
        <f>AF37+AH37+AI37+AJ37+AO37+AP37</f>
        <v>0</v>
      </c>
    </row>
    <row r="38" spans="1:73" hidden="1">
      <c r="A38" s="1"/>
      <c r="B38" s="1" t="s">
        <v>246</v>
      </c>
      <c r="C38" s="1" t="s">
        <v>52</v>
      </c>
      <c r="D38" s="1" t="s">
        <v>236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28">
        <v>10</v>
      </c>
      <c r="Q38" s="28"/>
      <c r="R38" s="28"/>
      <c r="S38" s="28">
        <v>10</v>
      </c>
      <c r="T38" s="28"/>
      <c r="U38" s="28"/>
      <c r="V38" s="28">
        <v>10</v>
      </c>
      <c r="W38" s="28"/>
      <c r="X38" s="28"/>
      <c r="Y38" s="28">
        <v>10</v>
      </c>
      <c r="Z38" s="28"/>
      <c r="AA38" s="28"/>
      <c r="AB38" s="28"/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>
        <f>SUM(E38:BO38)</f>
        <v>40</v>
      </c>
      <c r="BQ38" s="1">
        <v>0</v>
      </c>
      <c r="BR38" s="17">
        <v>0</v>
      </c>
      <c r="BS38" s="17"/>
      <c r="BT38">
        <f>SUM(P38:AD38)</f>
        <v>40</v>
      </c>
      <c r="BU38" s="23">
        <f>AF38+AH38+AI38+AJ38+AO38+AP38</f>
        <v>0</v>
      </c>
    </row>
    <row r="39" spans="1:73" hidden="1">
      <c r="A39" s="1"/>
      <c r="B39" s="1" t="s">
        <v>246</v>
      </c>
      <c r="C39" s="1" t="s">
        <v>52</v>
      </c>
      <c r="D39" s="1" t="s">
        <v>237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28"/>
      <c r="Q39" s="28"/>
      <c r="R39" s="28"/>
      <c r="S39" s="28"/>
      <c r="T39" s="28"/>
      <c r="U39" s="28"/>
      <c r="V39" s="28">
        <v>10</v>
      </c>
      <c r="W39" s="28"/>
      <c r="X39" s="28"/>
      <c r="Y39" s="28">
        <v>10</v>
      </c>
      <c r="Z39" s="28"/>
      <c r="AA39" s="28"/>
      <c r="AB39" s="28">
        <v>10</v>
      </c>
      <c r="AC39" s="28">
        <v>5</v>
      </c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>
        <f>SUM(E39:BO39)</f>
        <v>35</v>
      </c>
      <c r="BQ39" s="1">
        <v>0</v>
      </c>
      <c r="BR39" s="17">
        <v>0</v>
      </c>
      <c r="BS39" s="17"/>
      <c r="BT39">
        <f>SUM(P39:AD39)</f>
        <v>35</v>
      </c>
      <c r="BU39" s="23">
        <f>AF39+AH39+AI39+AJ39+AO39+AP39</f>
        <v>0</v>
      </c>
    </row>
    <row r="40" spans="1:73" hidden="1">
      <c r="A40" s="1"/>
      <c r="B40" s="1" t="s">
        <v>111</v>
      </c>
      <c r="C40" s="1" t="s">
        <v>99</v>
      </c>
      <c r="D40" s="1" t="s">
        <v>100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28">
        <v>10</v>
      </c>
      <c r="Q40" s="28"/>
      <c r="R40" s="28"/>
      <c r="S40" s="28">
        <v>10</v>
      </c>
      <c r="T40" s="28"/>
      <c r="U40" s="28"/>
      <c r="V40" s="28"/>
      <c r="W40" s="28">
        <v>5</v>
      </c>
      <c r="X40" s="28"/>
      <c r="Y40" s="28"/>
      <c r="Z40" s="28"/>
      <c r="AA40" s="28"/>
      <c r="AB40" s="28">
        <v>10</v>
      </c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>
        <f>SUM(E40:BO40)</f>
        <v>35</v>
      </c>
      <c r="BQ40" s="1">
        <v>1</v>
      </c>
      <c r="BR40" s="17">
        <v>1</v>
      </c>
      <c r="BS40" s="17" t="s">
        <v>270</v>
      </c>
      <c r="BT40">
        <f>SUM(P40:AD40)</f>
        <v>35</v>
      </c>
      <c r="BU40" s="23">
        <f>AF40+AH40+AI40+AJ40+AO40+AP40</f>
        <v>0</v>
      </c>
    </row>
    <row r="41" spans="1:73" hidden="1">
      <c r="A41" s="1"/>
      <c r="B41" s="1" t="s">
        <v>116</v>
      </c>
      <c r="C41" s="1" t="s">
        <v>99</v>
      </c>
      <c r="D41" s="1" t="s">
        <v>100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28">
        <v>10</v>
      </c>
      <c r="Q41" s="28"/>
      <c r="R41" s="28"/>
      <c r="S41" s="28">
        <v>10</v>
      </c>
      <c r="T41" s="28"/>
      <c r="U41" s="28"/>
      <c r="V41" s="28"/>
      <c r="W41" s="28">
        <v>5</v>
      </c>
      <c r="X41" s="28"/>
      <c r="Y41" s="28"/>
      <c r="Z41" s="28"/>
      <c r="AA41" s="28"/>
      <c r="AB41" s="28">
        <v>10</v>
      </c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>
        <f>SUM(E41:BO41)</f>
        <v>35</v>
      </c>
      <c r="BQ41" s="1">
        <v>1</v>
      </c>
      <c r="BR41" s="17">
        <v>1</v>
      </c>
      <c r="BS41" s="17" t="s">
        <v>270</v>
      </c>
      <c r="BT41">
        <f>SUM(P41:AD41)</f>
        <v>35</v>
      </c>
      <c r="BU41" s="23">
        <f>AF41+AH41+AI41+AJ41+AO41+AP41</f>
        <v>0</v>
      </c>
    </row>
    <row r="42" spans="1:73" hidden="1">
      <c r="A42" s="1"/>
      <c r="B42" s="1" t="s">
        <v>123</v>
      </c>
      <c r="C42" s="1" t="s">
        <v>121</v>
      </c>
      <c r="D42" s="1" t="s">
        <v>100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28">
        <v>10</v>
      </c>
      <c r="Q42" s="28"/>
      <c r="R42" s="28"/>
      <c r="S42" s="28">
        <v>10</v>
      </c>
      <c r="T42" s="28"/>
      <c r="U42" s="28"/>
      <c r="V42" s="28"/>
      <c r="W42" s="28">
        <v>5</v>
      </c>
      <c r="X42" s="28"/>
      <c r="Y42" s="28"/>
      <c r="Z42" s="28"/>
      <c r="AA42" s="28"/>
      <c r="AB42" s="28">
        <v>10</v>
      </c>
      <c r="AC42" s="28"/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>SUM(E42:BO42)</f>
        <v>35</v>
      </c>
      <c r="BQ42" s="1">
        <v>1</v>
      </c>
      <c r="BR42" s="17">
        <v>1</v>
      </c>
      <c r="BS42" s="17" t="s">
        <v>270</v>
      </c>
      <c r="BT42">
        <f>SUM(P42:AD42)</f>
        <v>35</v>
      </c>
      <c r="BU42" s="23">
        <f>AF42+AH42+AI42+AJ42+AO42+AP42</f>
        <v>0</v>
      </c>
    </row>
    <row r="43" spans="1:73" hidden="1">
      <c r="A43" s="1"/>
      <c r="B43" s="1" t="s">
        <v>128</v>
      </c>
      <c r="C43" s="1" t="s">
        <v>127</v>
      </c>
      <c r="D43" s="1" t="s">
        <v>100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28">
        <v>10</v>
      </c>
      <c r="Q43" s="28"/>
      <c r="R43" s="28"/>
      <c r="S43" s="28">
        <v>10</v>
      </c>
      <c r="T43" s="28"/>
      <c r="U43" s="28"/>
      <c r="V43" s="28"/>
      <c r="W43" s="28">
        <v>5</v>
      </c>
      <c r="X43" s="28"/>
      <c r="Y43" s="28"/>
      <c r="Z43" s="28"/>
      <c r="AA43" s="28"/>
      <c r="AB43" s="28">
        <v>10</v>
      </c>
      <c r="AC43" s="28"/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>
        <f>SUM(E43:BO43)</f>
        <v>35</v>
      </c>
      <c r="BQ43" s="1">
        <v>1</v>
      </c>
      <c r="BR43" s="17">
        <v>1</v>
      </c>
      <c r="BS43" s="17" t="s">
        <v>270</v>
      </c>
      <c r="BT43">
        <f>SUM(P43:AD43)</f>
        <v>35</v>
      </c>
      <c r="BU43" s="23">
        <f>AF43+AH43+AI43+AJ43+AO43+AP43</f>
        <v>0</v>
      </c>
    </row>
    <row r="44" spans="1:73" hidden="1">
      <c r="A44" s="1"/>
      <c r="B44" s="3" t="s">
        <v>199</v>
      </c>
      <c r="C44" s="3" t="s">
        <v>24</v>
      </c>
      <c r="D44" s="1" t="s">
        <v>196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28">
        <v>10</v>
      </c>
      <c r="Q44" s="28"/>
      <c r="R44" s="28"/>
      <c r="S44" s="28">
        <v>10</v>
      </c>
      <c r="T44" s="28"/>
      <c r="U44" s="28"/>
      <c r="V44" s="28"/>
      <c r="W44" s="28">
        <v>5</v>
      </c>
      <c r="X44" s="28"/>
      <c r="Y44" s="28"/>
      <c r="Z44" s="28"/>
      <c r="AA44" s="28"/>
      <c r="AB44" s="28">
        <v>10</v>
      </c>
      <c r="AC44" s="28"/>
      <c r="AD44" s="28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>
        <f>SUM(E44:BO44)</f>
        <v>35</v>
      </c>
      <c r="BQ44" s="1">
        <v>1</v>
      </c>
      <c r="BR44" s="17">
        <v>1</v>
      </c>
      <c r="BS44" s="17" t="s">
        <v>271</v>
      </c>
      <c r="BT44">
        <f>SUM(P44:AD44)</f>
        <v>35</v>
      </c>
      <c r="BU44" s="23">
        <f>AF44+AH44+AI44+AJ44+AO44+AP44</f>
        <v>0</v>
      </c>
    </row>
    <row r="45" spans="1:73" hidden="1">
      <c r="A45" s="1"/>
      <c r="B45" s="3" t="s">
        <v>201</v>
      </c>
      <c r="C45" s="3" t="s">
        <v>202</v>
      </c>
      <c r="D45" s="1" t="s">
        <v>196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8">
        <v>10</v>
      </c>
      <c r="Q45" s="28"/>
      <c r="R45" s="28"/>
      <c r="S45" s="28">
        <v>10</v>
      </c>
      <c r="T45" s="28"/>
      <c r="U45" s="28"/>
      <c r="V45" s="28"/>
      <c r="W45" s="28">
        <v>5</v>
      </c>
      <c r="X45" s="28"/>
      <c r="Y45" s="28"/>
      <c r="Z45" s="28"/>
      <c r="AA45" s="28"/>
      <c r="AB45" s="28">
        <v>10</v>
      </c>
      <c r="AC45" s="28"/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>
        <f>SUM(E45:BO45)</f>
        <v>35</v>
      </c>
      <c r="BQ45" s="1">
        <v>1</v>
      </c>
      <c r="BR45" s="17">
        <v>1</v>
      </c>
      <c r="BS45" s="17" t="s">
        <v>271</v>
      </c>
      <c r="BT45">
        <f>SUM(P45:AD45)</f>
        <v>35</v>
      </c>
      <c r="BU45" s="23">
        <f>AF45+AH45+AI45+AJ45+AO45+AP45</f>
        <v>0</v>
      </c>
    </row>
    <row r="46" spans="1:73" hidden="1">
      <c r="A46" s="1"/>
      <c r="B46" s="3" t="s">
        <v>203</v>
      </c>
      <c r="C46" s="3" t="s">
        <v>202</v>
      </c>
      <c r="D46" s="1" t="s">
        <v>196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28">
        <v>10</v>
      </c>
      <c r="Q46" s="28"/>
      <c r="R46" s="28"/>
      <c r="S46" s="28">
        <v>10</v>
      </c>
      <c r="T46" s="28"/>
      <c r="U46" s="28"/>
      <c r="V46" s="28"/>
      <c r="W46" s="28">
        <v>5</v>
      </c>
      <c r="X46" s="28"/>
      <c r="Y46" s="28"/>
      <c r="Z46" s="28"/>
      <c r="AA46" s="28"/>
      <c r="AB46" s="28">
        <v>10</v>
      </c>
      <c r="AC46" s="28"/>
      <c r="AD46" s="28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>
        <f>SUM(E46:BO46)</f>
        <v>35</v>
      </c>
      <c r="BQ46" s="1">
        <v>1</v>
      </c>
      <c r="BR46" s="17">
        <v>1</v>
      </c>
      <c r="BS46" s="17" t="s">
        <v>271</v>
      </c>
      <c r="BT46">
        <f>SUM(P46:AD46)</f>
        <v>35</v>
      </c>
      <c r="BU46" s="23">
        <f>AF46+AH46+AI46+AJ46+AO46+AP46</f>
        <v>0</v>
      </c>
    </row>
    <row r="47" spans="1:73" hidden="1">
      <c r="A47" s="1"/>
      <c r="B47" s="3" t="s">
        <v>205</v>
      </c>
      <c r="C47" s="3" t="s">
        <v>98</v>
      </c>
      <c r="D47" s="1" t="s">
        <v>196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8">
        <v>10</v>
      </c>
      <c r="Q47" s="28"/>
      <c r="R47" s="28"/>
      <c r="S47" s="28">
        <v>10</v>
      </c>
      <c r="T47" s="28"/>
      <c r="U47" s="28"/>
      <c r="V47" s="28"/>
      <c r="W47" s="28">
        <v>5</v>
      </c>
      <c r="X47" s="28"/>
      <c r="Y47" s="28"/>
      <c r="Z47" s="28"/>
      <c r="AA47" s="28"/>
      <c r="AB47" s="28">
        <v>10</v>
      </c>
      <c r="AC47" s="28"/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>
        <f>SUM(E47:BO47)</f>
        <v>35</v>
      </c>
      <c r="BQ47" s="1">
        <v>1</v>
      </c>
      <c r="BR47" s="17">
        <v>1</v>
      </c>
      <c r="BS47" s="17" t="s">
        <v>271</v>
      </c>
      <c r="BT47">
        <f>SUM(P47:AD47)</f>
        <v>35</v>
      </c>
      <c r="BU47" s="23">
        <f>AF47+AH47+AI47+AJ47+AO47+AP47</f>
        <v>0</v>
      </c>
    </row>
    <row r="48" spans="1:73" hidden="1">
      <c r="A48" s="1"/>
      <c r="B48" s="3" t="s">
        <v>207</v>
      </c>
      <c r="C48" s="3" t="s">
        <v>98</v>
      </c>
      <c r="D48" s="1" t="s">
        <v>196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8">
        <v>10</v>
      </c>
      <c r="Q48" s="28"/>
      <c r="R48" s="28"/>
      <c r="S48" s="28">
        <v>10</v>
      </c>
      <c r="T48" s="28"/>
      <c r="U48" s="28"/>
      <c r="V48" s="28"/>
      <c r="W48" s="28">
        <v>5</v>
      </c>
      <c r="X48" s="28"/>
      <c r="Y48" s="28"/>
      <c r="Z48" s="28"/>
      <c r="AA48" s="28"/>
      <c r="AB48" s="28">
        <v>10</v>
      </c>
      <c r="AC48" s="28"/>
      <c r="AD48" s="28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>
        <f>SUM(E48:BO48)</f>
        <v>35</v>
      </c>
      <c r="BQ48" s="1">
        <v>1</v>
      </c>
      <c r="BR48" s="17">
        <v>1</v>
      </c>
      <c r="BS48" s="17" t="s">
        <v>270</v>
      </c>
      <c r="BT48">
        <f>SUM(P48:AD48)</f>
        <v>35</v>
      </c>
      <c r="BU48" s="23">
        <f>AF48+AH48+AI48+AJ48+AO48+AP48</f>
        <v>0</v>
      </c>
    </row>
    <row r="49" spans="1:73" hidden="1">
      <c r="A49" s="1"/>
      <c r="B49" s="3" t="s">
        <v>195</v>
      </c>
      <c r="C49" s="3" t="s">
        <v>50</v>
      </c>
      <c r="D49" s="1" t="s">
        <v>197</v>
      </c>
      <c r="E49" s="6"/>
      <c r="F49" s="6"/>
      <c r="G49" s="6"/>
      <c r="H49" s="6"/>
      <c r="I49" s="6"/>
      <c r="J49" s="6"/>
      <c r="K49" s="6"/>
      <c r="L49" s="6"/>
      <c r="M49" s="6">
        <v>10</v>
      </c>
      <c r="N49" s="6"/>
      <c r="O49" s="6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>
        <v>10</v>
      </c>
      <c r="AB49" s="28"/>
      <c r="AC49" s="28"/>
      <c r="AD49" s="28">
        <v>10</v>
      </c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>
        <v>10</v>
      </c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>
        <f>SUM(E49:BO49)</f>
        <v>40</v>
      </c>
      <c r="BQ49" s="1">
        <v>1</v>
      </c>
      <c r="BR49" s="17">
        <v>1</v>
      </c>
      <c r="BS49" s="17" t="s">
        <v>257</v>
      </c>
      <c r="BT49">
        <f>SUM(P49:AD49)</f>
        <v>20</v>
      </c>
      <c r="BU49" s="23">
        <f>AF49+AH49+AI49+AJ49+AO49+AP49</f>
        <v>0</v>
      </c>
    </row>
    <row r="50" spans="1:73" hidden="1">
      <c r="A50" s="1"/>
      <c r="B50" s="3" t="s">
        <v>199</v>
      </c>
      <c r="C50" s="3" t="s">
        <v>24</v>
      </c>
      <c r="D50" s="1" t="s">
        <v>197</v>
      </c>
      <c r="E50" s="6"/>
      <c r="F50" s="6"/>
      <c r="G50" s="6"/>
      <c r="H50" s="6"/>
      <c r="I50" s="6"/>
      <c r="J50" s="6"/>
      <c r="K50" s="6"/>
      <c r="L50" s="6"/>
      <c r="M50" s="6">
        <v>10</v>
      </c>
      <c r="N50" s="6"/>
      <c r="O50" s="6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>
        <v>10</v>
      </c>
      <c r="AB50" s="28"/>
      <c r="AC50" s="28"/>
      <c r="AD50" s="28">
        <v>10</v>
      </c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>
        <v>10</v>
      </c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f>SUM(E50:BO50)</f>
        <v>40</v>
      </c>
      <c r="BQ50" s="1">
        <v>1</v>
      </c>
      <c r="BR50" s="17">
        <v>1</v>
      </c>
      <c r="BS50" s="17" t="s">
        <v>272</v>
      </c>
      <c r="BT50">
        <f>SUM(P50:AD50)</f>
        <v>20</v>
      </c>
      <c r="BU50" s="23">
        <f>AF50+AH50+AI50+AJ50+AO50+AP50</f>
        <v>0</v>
      </c>
    </row>
    <row r="51" spans="1:73" hidden="1">
      <c r="A51" s="1"/>
      <c r="B51" s="3" t="s">
        <v>203</v>
      </c>
      <c r="C51" s="3" t="s">
        <v>202</v>
      </c>
      <c r="D51" s="1" t="s">
        <v>197</v>
      </c>
      <c r="E51" s="6"/>
      <c r="F51" s="6"/>
      <c r="G51" s="6"/>
      <c r="H51" s="6"/>
      <c r="I51" s="6"/>
      <c r="J51" s="6"/>
      <c r="K51" s="6"/>
      <c r="L51" s="6"/>
      <c r="M51" s="6">
        <v>10</v>
      </c>
      <c r="N51" s="6"/>
      <c r="O51" s="6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>
        <v>10</v>
      </c>
      <c r="AB51" s="28"/>
      <c r="AC51" s="28"/>
      <c r="AD51" s="28">
        <v>10</v>
      </c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>
        <v>10</v>
      </c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>
        <f>SUM(E51:BO51)</f>
        <v>40</v>
      </c>
      <c r="BQ51" s="1">
        <v>1</v>
      </c>
      <c r="BR51" s="17">
        <v>1</v>
      </c>
      <c r="BS51" s="17" t="s">
        <v>257</v>
      </c>
      <c r="BT51">
        <f>SUM(P51:AD51)</f>
        <v>20</v>
      </c>
      <c r="BU51" s="23">
        <f>AF51+AH51+AI51+AJ51+AO51+AP51</f>
        <v>0</v>
      </c>
    </row>
    <row r="52" spans="1:73" hidden="1">
      <c r="A52" s="1"/>
      <c r="B52" s="3" t="s">
        <v>205</v>
      </c>
      <c r="C52" s="3" t="s">
        <v>98</v>
      </c>
      <c r="D52" s="1" t="s">
        <v>197</v>
      </c>
      <c r="E52" s="6"/>
      <c r="F52" s="6"/>
      <c r="G52" s="6"/>
      <c r="H52" s="6"/>
      <c r="I52" s="6"/>
      <c r="J52" s="6"/>
      <c r="K52" s="6"/>
      <c r="L52" s="6"/>
      <c r="M52" s="6">
        <v>10</v>
      </c>
      <c r="N52" s="6"/>
      <c r="O52" s="6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>
        <v>10</v>
      </c>
      <c r="AB52" s="28"/>
      <c r="AC52" s="28"/>
      <c r="AD52" s="28">
        <v>10</v>
      </c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>
        <v>10</v>
      </c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>SUM(E52:BO52)</f>
        <v>40</v>
      </c>
      <c r="BQ52" s="1">
        <v>1</v>
      </c>
      <c r="BR52" s="17">
        <v>1</v>
      </c>
      <c r="BS52" s="17" t="s">
        <v>257</v>
      </c>
      <c r="BT52">
        <f>SUM(P52:AD52)</f>
        <v>20</v>
      </c>
      <c r="BU52" s="23">
        <f>AF52+AH52+AI52+AJ52+AO52+AP52</f>
        <v>0</v>
      </c>
    </row>
    <row r="53" spans="1:73" hidden="1">
      <c r="A53" s="1"/>
      <c r="B53" s="3" t="s">
        <v>195</v>
      </c>
      <c r="C53" s="3" t="s">
        <v>50</v>
      </c>
      <c r="D53" s="1" t="s">
        <v>196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28"/>
      <c r="Q53" s="28">
        <v>5</v>
      </c>
      <c r="R53" s="28"/>
      <c r="S53" s="28"/>
      <c r="T53" s="28">
        <v>5</v>
      </c>
      <c r="U53" s="28"/>
      <c r="V53" s="28"/>
      <c r="W53" s="28">
        <v>5</v>
      </c>
      <c r="X53" s="28"/>
      <c r="Y53" s="28"/>
      <c r="Z53" s="28"/>
      <c r="AA53" s="28"/>
      <c r="AB53" s="28"/>
      <c r="AC53" s="28">
        <v>5</v>
      </c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>SUM(E53:BO53)</f>
        <v>20</v>
      </c>
      <c r="BQ53" s="1">
        <v>1</v>
      </c>
      <c r="BR53" s="17">
        <v>1</v>
      </c>
      <c r="BS53" s="17" t="s">
        <v>271</v>
      </c>
      <c r="BT53">
        <f>SUM(P53:AD53)</f>
        <v>20</v>
      </c>
      <c r="BU53" s="23">
        <f>AF53+AH53+AI53+AJ53+AO53+AP53</f>
        <v>0</v>
      </c>
    </row>
    <row r="54" spans="1:73" hidden="1">
      <c r="A54" s="1"/>
      <c r="B54" s="1" t="s">
        <v>239</v>
      </c>
      <c r="C54" s="1" t="s">
        <v>118</v>
      </c>
      <c r="D54" s="1" t="s">
        <v>236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28">
        <v>10</v>
      </c>
      <c r="Q54" s="28"/>
      <c r="R54" s="28"/>
      <c r="S54" s="28">
        <v>10</v>
      </c>
      <c r="T54" s="28"/>
      <c r="U54" s="28"/>
      <c r="V54" s="28"/>
      <c r="W54" s="28">
        <v>5</v>
      </c>
      <c r="X54" s="28"/>
      <c r="Y54" s="28"/>
      <c r="Z54" s="28"/>
      <c r="AA54" s="28"/>
      <c r="AB54" s="28">
        <v>10</v>
      </c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>SUM(E54:BO54)</f>
        <v>35</v>
      </c>
      <c r="BQ54" s="1">
        <v>1</v>
      </c>
      <c r="BR54" s="17">
        <v>1</v>
      </c>
      <c r="BS54" s="17" t="s">
        <v>270</v>
      </c>
      <c r="BT54">
        <f>SUM(P54:AD54)</f>
        <v>35</v>
      </c>
      <c r="BU54" s="23">
        <f>AF54+AH54+AI54+AJ54+AO54+AP54</f>
        <v>0</v>
      </c>
    </row>
    <row r="55" spans="1:73" hidden="1">
      <c r="A55" s="1"/>
      <c r="B55" s="1" t="s">
        <v>242</v>
      </c>
      <c r="C55" s="1" t="s">
        <v>50</v>
      </c>
      <c r="D55" s="1" t="s">
        <v>236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28">
        <v>10</v>
      </c>
      <c r="Q55" s="28"/>
      <c r="R55" s="28"/>
      <c r="S55" s="28">
        <v>10</v>
      </c>
      <c r="T55" s="28"/>
      <c r="U55" s="28"/>
      <c r="V55" s="28"/>
      <c r="W55" s="28">
        <v>5</v>
      </c>
      <c r="X55" s="28"/>
      <c r="Y55" s="28"/>
      <c r="Z55" s="28"/>
      <c r="AA55" s="28"/>
      <c r="AB55" s="28">
        <v>10</v>
      </c>
      <c r="AC55" s="28"/>
      <c r="AD55" s="28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>SUM(E55:BO55)</f>
        <v>35</v>
      </c>
      <c r="BQ55" s="1">
        <v>1</v>
      </c>
      <c r="BR55" s="17">
        <v>1</v>
      </c>
      <c r="BS55" s="17" t="s">
        <v>271</v>
      </c>
      <c r="BT55">
        <f>SUM(P55:AD55)</f>
        <v>35</v>
      </c>
      <c r="BU55" s="23">
        <f>AF55+AH55+AI55+AJ55+AO55+AP55</f>
        <v>0</v>
      </c>
    </row>
    <row r="56" spans="1:73" hidden="1">
      <c r="A56" s="1"/>
      <c r="B56" s="1" t="s">
        <v>243</v>
      </c>
      <c r="C56" s="1" t="s">
        <v>50</v>
      </c>
      <c r="D56" s="1" t="s">
        <v>236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>
        <v>10</v>
      </c>
      <c r="Q56" s="28"/>
      <c r="R56" s="28"/>
      <c r="S56" s="28">
        <v>10</v>
      </c>
      <c r="T56" s="28"/>
      <c r="U56" s="28"/>
      <c r="V56" s="28"/>
      <c r="W56" s="28">
        <v>5</v>
      </c>
      <c r="X56" s="28"/>
      <c r="Y56" s="28"/>
      <c r="Z56" s="28"/>
      <c r="AA56" s="28"/>
      <c r="AB56" s="28">
        <v>10</v>
      </c>
      <c r="AC56" s="28"/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>SUM(E56:BO56)</f>
        <v>35</v>
      </c>
      <c r="BQ56" s="1">
        <v>1</v>
      </c>
      <c r="BR56" s="17">
        <v>1</v>
      </c>
      <c r="BS56" s="17" t="s">
        <v>270</v>
      </c>
      <c r="BT56">
        <f>SUM(P56:AD56)</f>
        <v>35</v>
      </c>
      <c r="BU56" s="23">
        <f>AF56+AH56+AI56+AJ56+AO56+AP56</f>
        <v>0</v>
      </c>
    </row>
    <row r="57" spans="1:73" hidden="1">
      <c r="A57" s="1"/>
      <c r="B57" s="1" t="s">
        <v>244</v>
      </c>
      <c r="C57" s="1" t="s">
        <v>52</v>
      </c>
      <c r="D57" s="1" t="s">
        <v>236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/>
      <c r="R57" s="28"/>
      <c r="S57" s="28"/>
      <c r="T57" s="28">
        <v>5</v>
      </c>
      <c r="U57" s="28"/>
      <c r="V57" s="28"/>
      <c r="W57" s="28">
        <v>5</v>
      </c>
      <c r="X57" s="28"/>
      <c r="Y57" s="28"/>
      <c r="Z57" s="28">
        <v>5</v>
      </c>
      <c r="AA57" s="28"/>
      <c r="AB57" s="28"/>
      <c r="AC57" s="28">
        <v>5</v>
      </c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>SUM(E57:BO57)</f>
        <v>20</v>
      </c>
      <c r="BQ57" s="1">
        <v>1</v>
      </c>
      <c r="BR57" s="17">
        <v>1</v>
      </c>
      <c r="BS57" s="17" t="s">
        <v>270</v>
      </c>
      <c r="BT57">
        <f>SUM(P57:AD57)</f>
        <v>20</v>
      </c>
      <c r="BU57" s="23">
        <f>AF57+AH57+AI57+AJ57+AO57+AP57</f>
        <v>0</v>
      </c>
    </row>
    <row r="58" spans="1:73" hidden="1">
      <c r="A58" s="1"/>
      <c r="B58" s="1" t="s">
        <v>245</v>
      </c>
      <c r="C58" s="1" t="s">
        <v>52</v>
      </c>
      <c r="D58" s="1" t="s">
        <v>236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8"/>
      <c r="Q58" s="28">
        <v>5</v>
      </c>
      <c r="R58" s="28"/>
      <c r="S58" s="28"/>
      <c r="T58" s="28">
        <v>5</v>
      </c>
      <c r="U58" s="28"/>
      <c r="V58" s="28"/>
      <c r="W58" s="28">
        <v>5</v>
      </c>
      <c r="X58" s="28"/>
      <c r="Y58" s="28"/>
      <c r="Z58" s="28">
        <v>5</v>
      </c>
      <c r="AA58" s="28"/>
      <c r="AB58" s="28"/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>SUM(E58:BO58)</f>
        <v>20</v>
      </c>
      <c r="BQ58" s="1">
        <v>1</v>
      </c>
      <c r="BR58" s="17">
        <v>1</v>
      </c>
      <c r="BS58" s="17" t="s">
        <v>270</v>
      </c>
      <c r="BT58">
        <f>SUM(P58:AD58)</f>
        <v>20</v>
      </c>
      <c r="BU58" s="23">
        <f>AF58+AH58+AI58+AJ58+AO58+AP58</f>
        <v>0</v>
      </c>
    </row>
    <row r="59" spans="1:73" hidden="1">
      <c r="A59" s="1"/>
      <c r="B59" s="1" t="s">
        <v>250</v>
      </c>
      <c r="C59" s="1" t="s">
        <v>36</v>
      </c>
      <c r="D59" s="1" t="s">
        <v>247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8"/>
      <c r="Q59" s="28">
        <v>5</v>
      </c>
      <c r="R59" s="28"/>
      <c r="S59" s="28"/>
      <c r="T59" s="28"/>
      <c r="U59" s="28"/>
      <c r="V59" s="28"/>
      <c r="W59" s="28">
        <v>5</v>
      </c>
      <c r="X59" s="28"/>
      <c r="Y59" s="28"/>
      <c r="Z59" s="28">
        <v>5</v>
      </c>
      <c r="AA59" s="28"/>
      <c r="AB59" s="28"/>
      <c r="AC59" s="28">
        <v>5</v>
      </c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>SUM(E59:BO59)</f>
        <v>20</v>
      </c>
      <c r="BQ59" s="1">
        <v>1</v>
      </c>
      <c r="BR59" s="17">
        <v>1</v>
      </c>
      <c r="BS59" s="17" t="s">
        <v>270</v>
      </c>
      <c r="BT59">
        <f>SUM(P59:AD59)</f>
        <v>20</v>
      </c>
      <c r="BU59" s="23">
        <f>AF59+AH59+AI59+AJ59+AO59+AP59</f>
        <v>0</v>
      </c>
    </row>
    <row r="60" spans="1:73" s="66" customFormat="1" hidden="1">
      <c r="A60" s="59"/>
      <c r="B60" s="59" t="s">
        <v>193</v>
      </c>
      <c r="C60" s="59" t="s">
        <v>127</v>
      </c>
      <c r="D60" s="59" t="s">
        <v>101</v>
      </c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1"/>
      <c r="Q60" s="61"/>
      <c r="R60" s="61"/>
      <c r="S60" s="61"/>
      <c r="T60" s="61"/>
      <c r="U60" s="61">
        <v>2</v>
      </c>
      <c r="V60" s="61"/>
      <c r="W60" s="61"/>
      <c r="X60" s="61"/>
      <c r="Y60" s="61"/>
      <c r="Z60" s="61"/>
      <c r="AA60" s="61">
        <v>2</v>
      </c>
      <c r="AB60" s="61"/>
      <c r="AC60" s="61">
        <v>5</v>
      </c>
      <c r="AD60" s="61">
        <v>2</v>
      </c>
      <c r="AE60" s="59"/>
      <c r="AF60" s="59"/>
      <c r="AG60" s="59"/>
      <c r="AH60" s="59"/>
      <c r="AI60" s="59"/>
      <c r="AJ60" s="59"/>
      <c r="AK60" s="59"/>
      <c r="AL60" s="59"/>
      <c r="AM60" s="59"/>
      <c r="AN60" s="59"/>
      <c r="AO60" s="59"/>
      <c r="AP60" s="59"/>
      <c r="AQ60" s="62"/>
      <c r="AR60" s="62"/>
      <c r="AS60" s="62"/>
      <c r="AT60" s="62"/>
      <c r="AU60" s="62"/>
      <c r="AV60" s="62"/>
      <c r="AW60" s="63"/>
      <c r="AX60" s="63"/>
      <c r="AY60" s="63"/>
      <c r="AZ60" s="63"/>
      <c r="BA60" s="63"/>
      <c r="BB60" s="63"/>
      <c r="BC60" s="64"/>
      <c r="BD60" s="59"/>
      <c r="BE60" s="59"/>
      <c r="BF60" s="59"/>
      <c r="BG60" s="59"/>
      <c r="BH60" s="59"/>
      <c r="BI60" s="59"/>
      <c r="BJ60" s="59"/>
      <c r="BK60" s="59"/>
      <c r="BL60" s="59"/>
      <c r="BM60" s="59"/>
      <c r="BN60" s="59"/>
      <c r="BO60" s="59"/>
      <c r="BP60" s="59">
        <f>SUM(E60:BO60)</f>
        <v>11</v>
      </c>
      <c r="BQ60" s="59">
        <v>1</v>
      </c>
      <c r="BR60" s="65">
        <v>1</v>
      </c>
      <c r="BS60" s="65" t="s">
        <v>273</v>
      </c>
      <c r="BT60">
        <f>SUM(P60:AD60)</f>
        <v>11</v>
      </c>
      <c r="BU60" s="23">
        <f>AF60+AH60+AI60+AJ60+AO60+AP60</f>
        <v>0</v>
      </c>
    </row>
    <row r="61" spans="1:73" hidden="1">
      <c r="A61" s="1"/>
      <c r="B61" s="1" t="s">
        <v>111</v>
      </c>
      <c r="C61" s="1" t="s">
        <v>99</v>
      </c>
      <c r="D61" s="1" t="s">
        <v>101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8"/>
      <c r="Q61" s="28">
        <v>5</v>
      </c>
      <c r="R61" s="28">
        <v>2</v>
      </c>
      <c r="S61" s="28"/>
      <c r="T61" s="28">
        <v>5</v>
      </c>
      <c r="U61" s="28"/>
      <c r="V61" s="28"/>
      <c r="W61" s="28"/>
      <c r="X61" s="28"/>
      <c r="Y61" s="28"/>
      <c r="Z61" s="28">
        <v>5</v>
      </c>
      <c r="AA61" s="28"/>
      <c r="AB61" s="28"/>
      <c r="AC61" s="28"/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>SUM(E61:BO61)</f>
        <v>17</v>
      </c>
      <c r="BQ61" s="1">
        <v>1</v>
      </c>
      <c r="BR61" s="17">
        <v>1</v>
      </c>
      <c r="BS61" s="17" t="s">
        <v>274</v>
      </c>
      <c r="BT61">
        <f>SUM(P61:AD61)</f>
        <v>17</v>
      </c>
      <c r="BU61" s="23">
        <f>AF61+AH61+AI61+AJ61+AO61+AP61</f>
        <v>0</v>
      </c>
    </row>
    <row r="62" spans="1:73" hidden="1">
      <c r="A62" s="1"/>
      <c r="B62" s="1" t="s">
        <v>116</v>
      </c>
      <c r="C62" s="1" t="s">
        <v>99</v>
      </c>
      <c r="D62" s="1" t="s">
        <v>101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28"/>
      <c r="Q62" s="28">
        <v>5</v>
      </c>
      <c r="R62" s="28">
        <v>2</v>
      </c>
      <c r="S62" s="28"/>
      <c r="T62" s="28">
        <v>5</v>
      </c>
      <c r="U62" s="28"/>
      <c r="V62" s="28"/>
      <c r="W62" s="28"/>
      <c r="X62" s="28"/>
      <c r="Y62" s="28"/>
      <c r="Z62" s="28">
        <v>5</v>
      </c>
      <c r="AA62" s="28"/>
      <c r="AB62" s="28"/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>SUM(E62:BO62)</f>
        <v>17</v>
      </c>
      <c r="BQ62" s="1">
        <v>1</v>
      </c>
      <c r="BR62" s="17">
        <v>1</v>
      </c>
      <c r="BS62" s="17" t="s">
        <v>274</v>
      </c>
      <c r="BT62">
        <f>SUM(P62:AD62)</f>
        <v>17</v>
      </c>
      <c r="BU62" s="23">
        <f>AF62+AH62+AI62+AJ62+AO62+AP62</f>
        <v>0</v>
      </c>
    </row>
    <row r="63" spans="1:73" hidden="1">
      <c r="A63" s="1"/>
      <c r="B63" s="1" t="s">
        <v>123</v>
      </c>
      <c r="C63" s="1" t="s">
        <v>121</v>
      </c>
      <c r="D63" s="1" t="s">
        <v>101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28"/>
      <c r="Q63" s="28">
        <v>5</v>
      </c>
      <c r="R63" s="28">
        <v>2</v>
      </c>
      <c r="S63" s="28"/>
      <c r="T63" s="28">
        <v>5</v>
      </c>
      <c r="U63" s="28"/>
      <c r="V63" s="28"/>
      <c r="W63" s="28"/>
      <c r="X63" s="28"/>
      <c r="Y63" s="28"/>
      <c r="Z63" s="28">
        <v>5</v>
      </c>
      <c r="AA63" s="28"/>
      <c r="AB63" s="28"/>
      <c r="AC63" s="28"/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>SUM(E63:BO63)</f>
        <v>17</v>
      </c>
      <c r="BQ63" s="1">
        <v>1</v>
      </c>
      <c r="BR63" s="17">
        <v>1</v>
      </c>
      <c r="BS63" s="17" t="s">
        <v>274</v>
      </c>
      <c r="BT63">
        <f>SUM(P63:AD63)</f>
        <v>17</v>
      </c>
      <c r="BU63" s="23">
        <f>AF63+AH63+AI63+AJ63+AO63+AP63</f>
        <v>0</v>
      </c>
    </row>
    <row r="64" spans="1:73" hidden="1">
      <c r="A64" s="1"/>
      <c r="B64" s="3" t="s">
        <v>207</v>
      </c>
      <c r="C64" s="3" t="s">
        <v>98</v>
      </c>
      <c r="D64" s="1" t="s">
        <v>0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28"/>
      <c r="Q64" s="28">
        <v>5</v>
      </c>
      <c r="R64" s="28">
        <v>2</v>
      </c>
      <c r="S64" s="28"/>
      <c r="T64" s="28">
        <v>5</v>
      </c>
      <c r="U64" s="28"/>
      <c r="V64" s="28"/>
      <c r="W64" s="28"/>
      <c r="X64" s="28"/>
      <c r="Y64" s="28"/>
      <c r="Z64" s="28">
        <v>5</v>
      </c>
      <c r="AA64" s="28"/>
      <c r="AB64" s="28"/>
      <c r="AC64" s="28"/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>SUM(E64:BO64)</f>
        <v>17</v>
      </c>
      <c r="BQ64" s="1">
        <v>1</v>
      </c>
      <c r="BR64" s="17">
        <v>1</v>
      </c>
      <c r="BS64" s="17" t="s">
        <v>274</v>
      </c>
      <c r="BT64">
        <f>SUM(P64:AD64)</f>
        <v>17</v>
      </c>
      <c r="BU64" s="23">
        <f>AF64+AH64+AI64+AJ64+AO64+AP64</f>
        <v>0</v>
      </c>
    </row>
    <row r="65" spans="1:73" hidden="1">
      <c r="A65" s="1"/>
      <c r="B65" s="1" t="s">
        <v>243</v>
      </c>
      <c r="C65" s="1" t="s">
        <v>50</v>
      </c>
      <c r="D65" s="1" t="s">
        <v>237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28"/>
      <c r="Q65" s="28">
        <v>5</v>
      </c>
      <c r="R65" s="28">
        <v>2</v>
      </c>
      <c r="S65" s="28"/>
      <c r="T65" s="28">
        <v>5</v>
      </c>
      <c r="U65" s="28"/>
      <c r="V65" s="28"/>
      <c r="W65" s="28"/>
      <c r="X65" s="28"/>
      <c r="Y65" s="28"/>
      <c r="Z65" s="28">
        <v>5</v>
      </c>
      <c r="AA65" s="28"/>
      <c r="AB65" s="28"/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>SUM(E65:BO65)</f>
        <v>17</v>
      </c>
      <c r="BQ65" s="1">
        <v>1</v>
      </c>
      <c r="BR65" s="17">
        <v>1</v>
      </c>
      <c r="BS65" s="17" t="s">
        <v>274</v>
      </c>
      <c r="BT65">
        <f>SUM(P65:AD65)</f>
        <v>17</v>
      </c>
      <c r="BU65" s="23">
        <f>AF65+AH65+AI65+AJ65+AO65+AP65</f>
        <v>0</v>
      </c>
    </row>
    <row r="66" spans="1:73">
      <c r="A66" s="1">
        <v>18</v>
      </c>
      <c r="B66" s="1" t="s">
        <v>26</v>
      </c>
      <c r="C66" s="1" t="s">
        <v>24</v>
      </c>
      <c r="D66" s="1" t="s">
        <v>19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1"/>
      <c r="AF66" s="1"/>
      <c r="AG66" s="1">
        <v>5</v>
      </c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>
        <f>SUM(E66:BO66)</f>
        <v>5</v>
      </c>
      <c r="BQ66" s="1">
        <v>1</v>
      </c>
      <c r="BR66" s="17">
        <v>1</v>
      </c>
      <c r="BS66" s="17" t="s">
        <v>275</v>
      </c>
      <c r="BT66">
        <f>SUM(P66:AD66)</f>
        <v>0</v>
      </c>
      <c r="BU66" s="23">
        <f>AF66+AH66+AI66+AJ66+AO66+AP66</f>
        <v>0</v>
      </c>
    </row>
    <row r="67" spans="1:73">
      <c r="A67" s="1"/>
      <c r="B67" s="1" t="s">
        <v>232</v>
      </c>
      <c r="C67" s="1" t="s">
        <v>94</v>
      </c>
      <c r="D67" s="1" t="s">
        <v>233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>
        <v>40</v>
      </c>
      <c r="AV67" s="4"/>
      <c r="AW67" s="2"/>
      <c r="AX67" s="2"/>
      <c r="AY67" s="2">
        <v>40</v>
      </c>
      <c r="AZ67" s="2">
        <v>40</v>
      </c>
      <c r="BA67" s="2"/>
      <c r="BB67" s="2"/>
      <c r="BC67" s="14">
        <v>10</v>
      </c>
      <c r="BD67" s="1"/>
      <c r="BE67" s="1"/>
      <c r="BF67" s="1"/>
      <c r="BG67" s="1"/>
      <c r="BH67" s="1"/>
      <c r="BI67" s="1">
        <v>50</v>
      </c>
      <c r="BJ67" s="1"/>
      <c r="BK67" s="1"/>
      <c r="BL67" s="1"/>
      <c r="BM67" s="1"/>
      <c r="BN67" s="1"/>
      <c r="BO67" s="1"/>
      <c r="BP67" s="1">
        <f>SUM(E67:BO67)</f>
        <v>180</v>
      </c>
      <c r="BQ67" s="1">
        <v>1</v>
      </c>
      <c r="BR67" s="17">
        <v>1</v>
      </c>
      <c r="BS67" s="17" t="s">
        <v>280</v>
      </c>
      <c r="BT67">
        <f>SUM(P67:AD67)</f>
        <v>0</v>
      </c>
      <c r="BU67" s="23">
        <f>AF67+AH67+AI67+AJ67+AO67+AP67</f>
        <v>0</v>
      </c>
    </row>
    <row r="68" spans="1:73" hidden="1">
      <c r="A68" s="1"/>
      <c r="B68" s="3" t="s">
        <v>254</v>
      </c>
      <c r="C68" s="3" t="s">
        <v>200</v>
      </c>
      <c r="D68" s="1" t="s">
        <v>0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28"/>
      <c r="Q68" s="28"/>
      <c r="R68" s="28"/>
      <c r="S68" s="28"/>
      <c r="T68" s="28"/>
      <c r="U68" s="28"/>
      <c r="V68" s="28"/>
      <c r="W68" s="28"/>
      <c r="X68" s="28">
        <v>2</v>
      </c>
      <c r="Y68" s="28"/>
      <c r="Z68" s="28"/>
      <c r="AA68" s="28">
        <v>2</v>
      </c>
      <c r="AB68" s="28"/>
      <c r="AC68" s="28">
        <v>5</v>
      </c>
      <c r="AD68" s="28">
        <v>2</v>
      </c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>SUM(E68:BO68)</f>
        <v>11</v>
      </c>
      <c r="BQ68" s="1">
        <v>2</v>
      </c>
      <c r="BR68" s="17">
        <v>1</v>
      </c>
      <c r="BS68" s="17" t="s">
        <v>276</v>
      </c>
      <c r="BT68">
        <f>SUM(P68:AD68)</f>
        <v>11</v>
      </c>
      <c r="BU68" s="23">
        <f>AF68+AH68+AI68+AJ68+AO68+AP68</f>
        <v>0</v>
      </c>
    </row>
    <row r="69" spans="1:73" hidden="1">
      <c r="A69" s="1"/>
      <c r="B69" s="1" t="s">
        <v>252</v>
      </c>
      <c r="C69" s="1" t="s">
        <v>125</v>
      </c>
      <c r="D69" s="1" t="s">
        <v>101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28"/>
      <c r="Q69" s="28">
        <v>5</v>
      </c>
      <c r="R69" s="28"/>
      <c r="S69" s="28"/>
      <c r="T69" s="28">
        <v>5</v>
      </c>
      <c r="U69" s="28"/>
      <c r="V69" s="28"/>
      <c r="W69" s="28"/>
      <c r="X69" s="28">
        <v>2</v>
      </c>
      <c r="Y69" s="28"/>
      <c r="Z69" s="28">
        <v>5</v>
      </c>
      <c r="AA69" s="28"/>
      <c r="AB69" s="28"/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>SUM(E69:BO69)</f>
        <v>17</v>
      </c>
      <c r="BQ69" s="1">
        <v>2</v>
      </c>
      <c r="BR69" s="17">
        <v>1</v>
      </c>
      <c r="BS69" s="17" t="s">
        <v>277</v>
      </c>
      <c r="BT69">
        <f>SUM(P69:AD69)</f>
        <v>17</v>
      </c>
      <c r="BU69" s="23">
        <f>AF69+AH69+AI69+AJ69+AO69+AP69</f>
        <v>0</v>
      </c>
    </row>
    <row r="70" spans="1:73" hidden="1">
      <c r="A70" s="1"/>
      <c r="B70" s="3" t="s">
        <v>199</v>
      </c>
      <c r="C70" s="3" t="s">
        <v>24</v>
      </c>
      <c r="D70" s="1" t="s">
        <v>0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28"/>
      <c r="Q70" s="28">
        <v>5</v>
      </c>
      <c r="R70" s="28"/>
      <c r="S70" s="28"/>
      <c r="T70" s="28">
        <v>5</v>
      </c>
      <c r="U70" s="28"/>
      <c r="V70" s="28"/>
      <c r="W70" s="28"/>
      <c r="X70" s="28">
        <v>2</v>
      </c>
      <c r="Y70" s="28"/>
      <c r="Z70" s="28">
        <v>5</v>
      </c>
      <c r="AA70" s="28"/>
      <c r="AB70" s="28"/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f>SUM(E70:BO70)</f>
        <v>17</v>
      </c>
      <c r="BQ70" s="1">
        <v>2</v>
      </c>
      <c r="BR70" s="17">
        <v>1</v>
      </c>
      <c r="BS70" s="17" t="s">
        <v>277</v>
      </c>
      <c r="BT70">
        <f>SUM(P70:AD70)</f>
        <v>17</v>
      </c>
      <c r="BU70" s="23">
        <f>AF70+AH70+AI70+AJ70+AO70+AP70</f>
        <v>0</v>
      </c>
    </row>
    <row r="71" spans="1:73" hidden="1">
      <c r="A71" s="1"/>
      <c r="B71" s="3" t="s">
        <v>203</v>
      </c>
      <c r="C71" s="3" t="s">
        <v>202</v>
      </c>
      <c r="D71" s="1" t="s">
        <v>0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28"/>
      <c r="Q71" s="28">
        <v>5</v>
      </c>
      <c r="R71" s="28"/>
      <c r="S71" s="28"/>
      <c r="T71" s="28">
        <v>5</v>
      </c>
      <c r="U71" s="28"/>
      <c r="V71" s="28"/>
      <c r="W71" s="28"/>
      <c r="X71" s="28">
        <v>2</v>
      </c>
      <c r="Y71" s="28"/>
      <c r="Z71" s="28">
        <v>5</v>
      </c>
      <c r="AA71" s="28"/>
      <c r="AB71" s="28"/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>
        <f>SUM(E71:BO71)</f>
        <v>17</v>
      </c>
      <c r="BQ71" s="1">
        <v>2</v>
      </c>
      <c r="BR71" s="17">
        <v>1</v>
      </c>
      <c r="BS71" s="17" t="s">
        <v>277</v>
      </c>
      <c r="BT71">
        <f>SUM(P71:AD71)</f>
        <v>17</v>
      </c>
      <c r="BU71" s="23">
        <f>AF71+AH71+AI71+AJ71+AO71+AP71</f>
        <v>0</v>
      </c>
    </row>
    <row r="72" spans="1:73" hidden="1">
      <c r="A72" s="1"/>
      <c r="B72" s="3" t="s">
        <v>205</v>
      </c>
      <c r="C72" s="3" t="s">
        <v>98</v>
      </c>
      <c r="D72" s="1" t="s">
        <v>0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28"/>
      <c r="Q72" s="28">
        <v>5</v>
      </c>
      <c r="R72" s="28"/>
      <c r="S72" s="28"/>
      <c r="T72" s="28">
        <v>5</v>
      </c>
      <c r="U72" s="28"/>
      <c r="V72" s="28"/>
      <c r="W72" s="28"/>
      <c r="X72" s="28">
        <v>2</v>
      </c>
      <c r="Y72" s="28"/>
      <c r="Z72" s="28">
        <v>5</v>
      </c>
      <c r="AA72" s="28"/>
      <c r="AB72" s="28"/>
      <c r="AC72" s="28"/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>
        <f>SUM(E72:BO72)</f>
        <v>17</v>
      </c>
      <c r="BQ72" s="1">
        <v>2</v>
      </c>
      <c r="BR72" s="17">
        <v>1</v>
      </c>
      <c r="BS72" s="17" t="s">
        <v>276</v>
      </c>
      <c r="BT72">
        <f>SUM(P72:AD72)</f>
        <v>17</v>
      </c>
      <c r="BU72" s="23">
        <f>AF72+AH72+AI72+AJ72+AO72+AP72</f>
        <v>0</v>
      </c>
    </row>
    <row r="73" spans="1:73" s="58" customFormat="1" hidden="1">
      <c r="A73" s="1"/>
      <c r="B73" s="1" t="s">
        <v>244</v>
      </c>
      <c r="C73" s="1" t="s">
        <v>52</v>
      </c>
      <c r="D73" s="1" t="s">
        <v>237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28"/>
      <c r="Q73" s="28">
        <v>5</v>
      </c>
      <c r="R73" s="28"/>
      <c r="S73" s="28"/>
      <c r="T73" s="28"/>
      <c r="U73" s="28"/>
      <c r="V73" s="28"/>
      <c r="W73" s="28"/>
      <c r="X73" s="28">
        <v>2</v>
      </c>
      <c r="Y73" s="28"/>
      <c r="Z73" s="28"/>
      <c r="AA73" s="28">
        <v>2</v>
      </c>
      <c r="AB73" s="28"/>
      <c r="AC73" s="28"/>
      <c r="AD73" s="28">
        <v>2</v>
      </c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>
        <f>SUM(E73:BO73)</f>
        <v>11</v>
      </c>
      <c r="BQ73" s="1">
        <v>2</v>
      </c>
      <c r="BR73" s="17">
        <v>1</v>
      </c>
      <c r="BS73" s="17" t="s">
        <v>277</v>
      </c>
      <c r="BT73">
        <f>SUM(P73:AD73)</f>
        <v>11</v>
      </c>
      <c r="BU73" s="23">
        <f>AF73+AH73+AI73+AJ73+AO73+AP73</f>
        <v>0</v>
      </c>
    </row>
    <row r="74" spans="1:73" hidden="1">
      <c r="A74" s="1"/>
      <c r="B74" s="1" t="s">
        <v>245</v>
      </c>
      <c r="C74" s="1" t="s">
        <v>52</v>
      </c>
      <c r="D74" s="1" t="s">
        <v>237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28"/>
      <c r="Q74" s="28"/>
      <c r="R74" s="28"/>
      <c r="S74" s="28"/>
      <c r="T74" s="28"/>
      <c r="U74" s="28"/>
      <c r="V74" s="28"/>
      <c r="W74" s="28"/>
      <c r="X74" s="28">
        <v>2</v>
      </c>
      <c r="Y74" s="28"/>
      <c r="Z74" s="28"/>
      <c r="AA74" s="28">
        <v>2</v>
      </c>
      <c r="AB74" s="28"/>
      <c r="AC74" s="28">
        <v>5</v>
      </c>
      <c r="AD74" s="28">
        <v>2</v>
      </c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>
        <f>SUM(E74:BO74)</f>
        <v>11</v>
      </c>
      <c r="BQ74" s="1">
        <v>2</v>
      </c>
      <c r="BR74" s="17">
        <v>1</v>
      </c>
      <c r="BS74" s="17" t="s">
        <v>277</v>
      </c>
      <c r="BT74">
        <f>SUM(P74:AD74)</f>
        <v>11</v>
      </c>
      <c r="BU74" s="23">
        <f>AF74+AH74+AI74+AJ74+AO74+AP74</f>
        <v>0</v>
      </c>
    </row>
    <row r="75" spans="1:73" hidden="1">
      <c r="A75" s="1"/>
      <c r="B75" s="1" t="s">
        <v>255</v>
      </c>
      <c r="C75" s="1" t="s">
        <v>52</v>
      </c>
      <c r="D75" s="1" t="s">
        <v>248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28"/>
      <c r="Q75" s="28"/>
      <c r="R75" s="28"/>
      <c r="S75" s="28"/>
      <c r="T75" s="28"/>
      <c r="U75" s="28"/>
      <c r="V75" s="28"/>
      <c r="W75" s="28"/>
      <c r="X75" s="28">
        <v>2</v>
      </c>
      <c r="Y75" s="28"/>
      <c r="Z75" s="28"/>
      <c r="AA75" s="28">
        <v>2</v>
      </c>
      <c r="AB75" s="28"/>
      <c r="AC75" s="28">
        <v>5</v>
      </c>
      <c r="AD75" s="28">
        <v>2</v>
      </c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>
        <f>SUM(E75:BO75)</f>
        <v>11</v>
      </c>
      <c r="BQ75" s="1">
        <v>2</v>
      </c>
      <c r="BR75" s="17">
        <v>1</v>
      </c>
      <c r="BS75" s="17" t="s">
        <v>277</v>
      </c>
      <c r="BT75">
        <f>SUM(P75:AD75)</f>
        <v>11</v>
      </c>
      <c r="BU75" s="23">
        <f>AF75+AH75+AI75+AJ75+AO75+AP75</f>
        <v>0</v>
      </c>
    </row>
    <row r="76" spans="1:73" hidden="1">
      <c r="A76" s="18"/>
      <c r="B76" s="18" t="s">
        <v>93</v>
      </c>
      <c r="C76" s="18" t="s">
        <v>86</v>
      </c>
      <c r="D76" s="18" t="s">
        <v>90</v>
      </c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>
        <v>2</v>
      </c>
      <c r="AP76" s="18"/>
      <c r="AQ76" s="20"/>
      <c r="AR76" s="20"/>
      <c r="AS76" s="20"/>
      <c r="AT76" s="20"/>
      <c r="AU76" s="20"/>
      <c r="AV76" s="20"/>
      <c r="AW76" s="21"/>
      <c r="AX76" s="21"/>
      <c r="AY76" s="21"/>
      <c r="AZ76" s="21"/>
      <c r="BA76" s="21"/>
      <c r="BB76" s="21"/>
      <c r="BC76" s="26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">
        <f>SUM(E76:BO76)</f>
        <v>2</v>
      </c>
      <c r="BQ76" s="18">
        <v>2</v>
      </c>
      <c r="BR76" s="22">
        <v>1</v>
      </c>
      <c r="BS76" s="22" t="s">
        <v>278</v>
      </c>
      <c r="BT76">
        <f>SUM(P76:AD76)</f>
        <v>0</v>
      </c>
      <c r="BU76" s="23">
        <f>AF76+AH76+AI76+AJ76+AO76+AP76</f>
        <v>2</v>
      </c>
    </row>
    <row r="77" spans="1:73" hidden="1">
      <c r="A77" s="18"/>
      <c r="B77" s="18" t="s">
        <v>169</v>
      </c>
      <c r="C77" s="18" t="s">
        <v>24</v>
      </c>
      <c r="D77" s="18" t="s">
        <v>170</v>
      </c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>
        <v>3</v>
      </c>
      <c r="AP77" s="18"/>
      <c r="AQ77" s="20"/>
      <c r="AR77" s="20"/>
      <c r="AS77" s="20"/>
      <c r="AT77" s="20"/>
      <c r="AU77" s="20"/>
      <c r="AV77" s="20"/>
      <c r="AW77" s="21"/>
      <c r="AX77" s="21"/>
      <c r="AY77" s="21"/>
      <c r="AZ77" s="21"/>
      <c r="BA77" s="21"/>
      <c r="BB77" s="21"/>
      <c r="BC77" s="26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>
        <f>SUM(E77:BO77)</f>
        <v>3</v>
      </c>
      <c r="BQ77" s="18">
        <v>3</v>
      </c>
      <c r="BR77" s="22">
        <v>1</v>
      </c>
      <c r="BS77" s="22" t="s">
        <v>279</v>
      </c>
      <c r="BT77">
        <f>SUM(P77:AD77)</f>
        <v>0</v>
      </c>
      <c r="BU77" s="23">
        <f>AF77+AH77+AI77+AJ77+AO77+AP77</f>
        <v>3</v>
      </c>
    </row>
    <row r="78" spans="1:73">
      <c r="A78" s="18">
        <v>63</v>
      </c>
      <c r="B78" s="30" t="s">
        <v>48</v>
      </c>
      <c r="C78" s="18" t="s">
        <v>43</v>
      </c>
      <c r="D78" s="18" t="s">
        <v>18</v>
      </c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18"/>
      <c r="AF78" s="18"/>
      <c r="AG78" s="18"/>
      <c r="AH78" s="18"/>
      <c r="AI78" s="18"/>
      <c r="AJ78" s="18"/>
      <c r="AK78" s="18"/>
      <c r="AL78" s="18"/>
      <c r="AM78" s="18"/>
      <c r="AN78" s="18">
        <v>5</v>
      </c>
      <c r="AO78" s="18"/>
      <c r="AP78" s="18"/>
      <c r="AQ78" s="20"/>
      <c r="AR78" s="20"/>
      <c r="AS78" s="20"/>
      <c r="AT78" s="20"/>
      <c r="AU78" s="20"/>
      <c r="AV78" s="20"/>
      <c r="AW78" s="21"/>
      <c r="AX78" s="21"/>
      <c r="AY78" s="21"/>
      <c r="AZ78" s="21"/>
      <c r="BA78" s="21"/>
      <c r="BB78" s="21"/>
      <c r="BC78" s="26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>
        <f>SUM(E78:BO78)</f>
        <v>5</v>
      </c>
      <c r="BQ78" s="18">
        <v>5</v>
      </c>
      <c r="BR78" s="22">
        <v>1</v>
      </c>
      <c r="BS78" s="22" t="s">
        <v>258</v>
      </c>
      <c r="BT78">
        <f>SUM(P78:AD78)</f>
        <v>0</v>
      </c>
      <c r="BU78" s="23">
        <f>AF78+AH78+AI78+AJ78+AO78+AP78</f>
        <v>0</v>
      </c>
    </row>
    <row r="79" spans="1:73" hidden="1">
      <c r="A79" s="18">
        <v>17</v>
      </c>
      <c r="B79" s="18" t="s">
        <v>26</v>
      </c>
      <c r="C79" s="18" t="s">
        <v>24</v>
      </c>
      <c r="D79" s="18" t="s">
        <v>18</v>
      </c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18"/>
      <c r="AF79" s="18">
        <v>5</v>
      </c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20"/>
      <c r="AR79" s="20"/>
      <c r="AS79" s="20"/>
      <c r="AT79" s="20"/>
      <c r="AU79" s="20"/>
      <c r="AV79" s="20"/>
      <c r="AW79" s="21"/>
      <c r="AX79" s="21"/>
      <c r="AY79" s="21"/>
      <c r="AZ79" s="21"/>
      <c r="BA79" s="21"/>
      <c r="BB79" s="21"/>
      <c r="BC79" s="26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>
        <f>SUM(E79:BO79)</f>
        <v>5</v>
      </c>
      <c r="BQ79" s="18">
        <v>5</v>
      </c>
      <c r="BR79" s="22">
        <v>1</v>
      </c>
      <c r="BS79" s="22" t="s">
        <v>281</v>
      </c>
      <c r="BT79">
        <f>SUM(P79:AD79)</f>
        <v>0</v>
      </c>
      <c r="BU79" s="23">
        <f>AF79+AH79+AI79+AJ79+AO79+AP79</f>
        <v>5</v>
      </c>
    </row>
    <row r="80" spans="1:73" hidden="1">
      <c r="A80" s="18">
        <v>32</v>
      </c>
      <c r="B80" s="18" t="s">
        <v>60</v>
      </c>
      <c r="C80" s="18" t="s">
        <v>24</v>
      </c>
      <c r="D80" s="18" t="s">
        <v>18</v>
      </c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18"/>
      <c r="AF80" s="18"/>
      <c r="AG80" s="18"/>
      <c r="AH80" s="18"/>
      <c r="AI80" s="18">
        <v>5</v>
      </c>
      <c r="AJ80" s="18"/>
      <c r="AK80" s="18"/>
      <c r="AL80" s="18"/>
      <c r="AM80" s="18"/>
      <c r="AN80" s="18"/>
      <c r="AO80" s="18"/>
      <c r="AP80" s="18"/>
      <c r="AQ80" s="20"/>
      <c r="AR80" s="20"/>
      <c r="AS80" s="20"/>
      <c r="AT80" s="20"/>
      <c r="AU80" s="20"/>
      <c r="AV80" s="20"/>
      <c r="AW80" s="21"/>
      <c r="AX80" s="21"/>
      <c r="AY80" s="21"/>
      <c r="AZ80" s="21"/>
      <c r="BA80" s="21"/>
      <c r="BB80" s="21"/>
      <c r="BC80" s="26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>
        <f>SUM(E80:BO80)</f>
        <v>5</v>
      </c>
      <c r="BQ80" s="18">
        <v>5</v>
      </c>
      <c r="BR80" s="22">
        <v>1</v>
      </c>
      <c r="BS80" s="22" t="s">
        <v>259</v>
      </c>
      <c r="BT80">
        <f>SUM(P80:AD80)</f>
        <v>0</v>
      </c>
      <c r="BU80" s="23">
        <f>AF80+AH80+AI80+AJ80+AO80+AP80</f>
        <v>5</v>
      </c>
    </row>
    <row r="81" spans="1:73" hidden="1">
      <c r="A81" s="18">
        <v>33</v>
      </c>
      <c r="B81" s="18" t="s">
        <v>60</v>
      </c>
      <c r="C81" s="18" t="s">
        <v>24</v>
      </c>
      <c r="D81" s="18" t="s">
        <v>0</v>
      </c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18"/>
      <c r="AF81" s="18"/>
      <c r="AG81" s="18"/>
      <c r="AH81" s="18">
        <v>5</v>
      </c>
      <c r="AI81" s="18"/>
      <c r="AJ81" s="18"/>
      <c r="AK81" s="18"/>
      <c r="AL81" s="18"/>
      <c r="AM81" s="18"/>
      <c r="AN81" s="18"/>
      <c r="AO81" s="18"/>
      <c r="AP81" s="18"/>
      <c r="AQ81" s="20"/>
      <c r="AR81" s="20"/>
      <c r="AS81" s="20"/>
      <c r="AT81" s="20"/>
      <c r="AU81" s="20"/>
      <c r="AV81" s="20"/>
      <c r="AW81" s="21"/>
      <c r="AX81" s="21"/>
      <c r="AY81" s="21"/>
      <c r="AZ81" s="21"/>
      <c r="BA81" s="21"/>
      <c r="BB81" s="21"/>
      <c r="BC81" s="26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>
        <f>SUM(E81:BO81)</f>
        <v>5</v>
      </c>
      <c r="BQ81" s="18">
        <v>5</v>
      </c>
      <c r="BR81" s="22">
        <v>1</v>
      </c>
      <c r="BS81" s="22" t="s">
        <v>260</v>
      </c>
      <c r="BT81">
        <f>SUM(P81:AD81)</f>
        <v>0</v>
      </c>
      <c r="BU81" s="23">
        <f>AF81+AH81+AI81+AJ81+AO81+AP81</f>
        <v>5</v>
      </c>
    </row>
    <row r="82" spans="1:73" hidden="1">
      <c r="A82" s="18"/>
      <c r="B82" s="18" t="s">
        <v>96</v>
      </c>
      <c r="C82" s="18" t="s">
        <v>94</v>
      </c>
      <c r="D82" s="18" t="s">
        <v>90</v>
      </c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18"/>
      <c r="AF82" s="18"/>
      <c r="AG82" s="18"/>
      <c r="AH82" s="18">
        <v>5</v>
      </c>
      <c r="AI82" s="18"/>
      <c r="AJ82" s="18"/>
      <c r="AK82" s="18"/>
      <c r="AL82" s="18"/>
      <c r="AM82" s="18"/>
      <c r="AN82" s="18"/>
      <c r="AO82" s="18"/>
      <c r="AP82" s="18"/>
      <c r="AQ82" s="20"/>
      <c r="AR82" s="20"/>
      <c r="AS82" s="20"/>
      <c r="AT82" s="20"/>
      <c r="AU82" s="20"/>
      <c r="AV82" s="20"/>
      <c r="AW82" s="21"/>
      <c r="AX82" s="21"/>
      <c r="AY82" s="21"/>
      <c r="AZ82" s="21"/>
      <c r="BA82" s="21"/>
      <c r="BB82" s="21"/>
      <c r="BC82" s="26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>
        <f>SUM(E82:BO82)</f>
        <v>5</v>
      </c>
      <c r="BQ82" s="18">
        <v>5</v>
      </c>
      <c r="BR82" s="22">
        <v>1</v>
      </c>
      <c r="BS82" s="22" t="s">
        <v>260</v>
      </c>
      <c r="BT82">
        <f>SUM(P82:AD82)</f>
        <v>0</v>
      </c>
      <c r="BU82" s="23">
        <f>AF82+AH82+AI82+AJ82+AO82+AP82</f>
        <v>5</v>
      </c>
    </row>
    <row r="83" spans="1:73" hidden="1">
      <c r="A83" s="18"/>
      <c r="B83" s="18" t="s">
        <v>96</v>
      </c>
      <c r="C83" s="18" t="s">
        <v>94</v>
      </c>
      <c r="D83" s="18" t="s">
        <v>84</v>
      </c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18"/>
      <c r="AF83" s="18"/>
      <c r="AG83" s="18"/>
      <c r="AH83" s="18"/>
      <c r="AI83" s="18">
        <v>5</v>
      </c>
      <c r="AJ83" s="18"/>
      <c r="AK83" s="18"/>
      <c r="AL83" s="18"/>
      <c r="AM83" s="18"/>
      <c r="AN83" s="18"/>
      <c r="AO83" s="18"/>
      <c r="AP83" s="18"/>
      <c r="AQ83" s="20"/>
      <c r="AR83" s="20"/>
      <c r="AS83" s="20"/>
      <c r="AT83" s="20"/>
      <c r="AU83" s="20"/>
      <c r="AV83" s="20"/>
      <c r="AW83" s="21"/>
      <c r="AX83" s="21"/>
      <c r="AY83" s="21"/>
      <c r="AZ83" s="21"/>
      <c r="BA83" s="21"/>
      <c r="BB83" s="21"/>
      <c r="BC83" s="26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>
        <f>SUM(E83:BO83)</f>
        <v>5</v>
      </c>
      <c r="BQ83" s="18">
        <v>5</v>
      </c>
      <c r="BR83" s="22">
        <v>1</v>
      </c>
      <c r="BS83" s="22" t="s">
        <v>282</v>
      </c>
      <c r="BT83">
        <f>SUM(P83:AD83)</f>
        <v>0</v>
      </c>
      <c r="BU83" s="23">
        <f>AF83+AH83+AI83+AJ83+AO83+AP83</f>
        <v>5</v>
      </c>
    </row>
    <row r="84" spans="1:73">
      <c r="A84" s="1"/>
      <c r="B84" s="1" t="s">
        <v>144</v>
      </c>
      <c r="C84" s="1" t="s">
        <v>82</v>
      </c>
      <c r="D84" s="1" t="s">
        <v>84</v>
      </c>
      <c r="E84" s="6"/>
      <c r="F84" s="6"/>
      <c r="G84" s="6"/>
      <c r="H84" s="6">
        <v>6</v>
      </c>
      <c r="I84" s="6"/>
      <c r="J84" s="6"/>
      <c r="K84" s="6">
        <v>6</v>
      </c>
      <c r="L84" s="6"/>
      <c r="M84" s="6"/>
      <c r="N84" s="6"/>
      <c r="O84" s="6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>
        <v>10</v>
      </c>
      <c r="AR84" s="4"/>
      <c r="AS84" s="4"/>
      <c r="AT84" s="4"/>
      <c r="AU84" s="4"/>
      <c r="AV84" s="4"/>
      <c r="AW84" s="2">
        <v>10</v>
      </c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>SUM(E84:BO84)</f>
        <v>32</v>
      </c>
      <c r="BQ84" s="1">
        <v>5</v>
      </c>
      <c r="BR84" s="17">
        <v>1</v>
      </c>
      <c r="BS84" s="17" t="s">
        <v>283</v>
      </c>
      <c r="BT84">
        <f>SUM(P84:AD84)</f>
        <v>0</v>
      </c>
      <c r="BU84" s="23">
        <f>AF84+AH84+AI84+AJ84+AO84+AP84</f>
        <v>0</v>
      </c>
    </row>
    <row r="85" spans="1:73">
      <c r="A85" s="1">
        <v>8</v>
      </c>
      <c r="B85" s="1" t="s">
        <v>137</v>
      </c>
      <c r="C85" s="1" t="s">
        <v>1</v>
      </c>
      <c r="D85" s="1" t="s">
        <v>20</v>
      </c>
      <c r="E85" s="6">
        <v>6</v>
      </c>
      <c r="F85" s="6"/>
      <c r="G85" s="6"/>
      <c r="H85" s="6">
        <v>6</v>
      </c>
      <c r="I85" s="6"/>
      <c r="J85" s="6"/>
      <c r="K85" s="6"/>
      <c r="L85" s="6"/>
      <c r="M85" s="6"/>
      <c r="N85" s="6"/>
      <c r="O85" s="6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>
        <v>10</v>
      </c>
      <c r="AS85" s="4"/>
      <c r="AT85" s="4"/>
      <c r="AU85" s="4"/>
      <c r="AV85" s="4"/>
      <c r="AW85" s="2"/>
      <c r="AX85" s="2"/>
      <c r="AY85" s="2"/>
      <c r="AZ85" s="2"/>
      <c r="BA85" s="2"/>
      <c r="BB85" s="2">
        <v>10</v>
      </c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>SUM(E85:BO85)</f>
        <v>32</v>
      </c>
      <c r="BQ85" s="1">
        <v>5</v>
      </c>
      <c r="BR85" s="17">
        <v>1</v>
      </c>
      <c r="BS85" s="17" t="s">
        <v>283</v>
      </c>
      <c r="BT85">
        <f>SUM(P85:AD85)</f>
        <v>0</v>
      </c>
      <c r="BU85" s="23">
        <f>AF85+AH85+AI85+AJ85+AO85+AP85</f>
        <v>0</v>
      </c>
    </row>
    <row r="86" spans="1:73" hidden="1">
      <c r="A86" s="1"/>
      <c r="B86" s="1" t="s">
        <v>123</v>
      </c>
      <c r="C86" s="1" t="s">
        <v>121</v>
      </c>
      <c r="D86" s="1" t="s">
        <v>102</v>
      </c>
      <c r="E86" s="6"/>
      <c r="F86" s="6"/>
      <c r="G86" s="6"/>
      <c r="H86" s="6"/>
      <c r="I86" s="6">
        <v>7</v>
      </c>
      <c r="J86" s="6"/>
      <c r="K86" s="6"/>
      <c r="L86" s="6"/>
      <c r="M86" s="6"/>
      <c r="N86" s="6"/>
      <c r="O86" s="6"/>
      <c r="P86" s="28"/>
      <c r="Q86" s="28">
        <v>7</v>
      </c>
      <c r="R86" s="28">
        <v>7</v>
      </c>
      <c r="S86" s="28"/>
      <c r="T86" s="28">
        <v>7</v>
      </c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>SUM(E86:BO86)</f>
        <v>28</v>
      </c>
      <c r="BQ86" s="1">
        <v>6</v>
      </c>
      <c r="BR86" s="17">
        <v>1</v>
      </c>
      <c r="BS86" s="17" t="s">
        <v>261</v>
      </c>
      <c r="BT86">
        <f>SUM(P86:AD86)</f>
        <v>21</v>
      </c>
      <c r="BU86" s="23">
        <f>AF86+AH86+AI86+AJ86+AO86+AP86</f>
        <v>0</v>
      </c>
    </row>
    <row r="87" spans="1:73" hidden="1">
      <c r="A87" s="1"/>
      <c r="B87" s="1" t="s">
        <v>253</v>
      </c>
      <c r="C87" s="1" t="s">
        <v>118</v>
      </c>
      <c r="D87" s="1" t="s">
        <v>102</v>
      </c>
      <c r="E87" s="6"/>
      <c r="F87" s="6"/>
      <c r="G87" s="6"/>
      <c r="H87" s="6">
        <v>7</v>
      </c>
      <c r="I87" s="6"/>
      <c r="J87" s="6"/>
      <c r="K87" s="6"/>
      <c r="L87" s="6"/>
      <c r="M87" s="6"/>
      <c r="N87" s="6"/>
      <c r="O87" s="6"/>
      <c r="P87" s="28"/>
      <c r="Q87" s="28">
        <v>7</v>
      </c>
      <c r="R87" s="28"/>
      <c r="S87" s="28"/>
      <c r="T87" s="28">
        <v>7</v>
      </c>
      <c r="U87" s="28"/>
      <c r="V87" s="28"/>
      <c r="W87" s="28"/>
      <c r="X87" s="28"/>
      <c r="Y87" s="28"/>
      <c r="Z87" s="28"/>
      <c r="AA87" s="28">
        <v>7</v>
      </c>
      <c r="AB87" s="28"/>
      <c r="AC87" s="28"/>
      <c r="AD87" s="28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>SUM(E87:BO87)</f>
        <v>28</v>
      </c>
      <c r="BQ87" s="1">
        <v>6</v>
      </c>
      <c r="BR87" s="17">
        <v>1</v>
      </c>
      <c r="BS87" s="17" t="s">
        <v>284</v>
      </c>
      <c r="BT87">
        <f>SUM(P87:AD87)</f>
        <v>21</v>
      </c>
      <c r="BU87" s="23">
        <f>AF87+AH87+AI87+AJ87+AO87+AP87</f>
        <v>0</v>
      </c>
    </row>
    <row r="88" spans="1:73" hidden="1">
      <c r="A88" s="1"/>
      <c r="B88" s="1" t="s">
        <v>252</v>
      </c>
      <c r="C88" s="1" t="s">
        <v>125</v>
      </c>
      <c r="D88" s="1" t="s">
        <v>102</v>
      </c>
      <c r="E88" s="6"/>
      <c r="F88" s="6"/>
      <c r="G88" s="6"/>
      <c r="H88" s="6"/>
      <c r="I88" s="6"/>
      <c r="J88" s="6"/>
      <c r="K88" s="6"/>
      <c r="L88" s="6">
        <v>7</v>
      </c>
      <c r="M88" s="6"/>
      <c r="N88" s="6"/>
      <c r="O88" s="6"/>
      <c r="P88" s="28"/>
      <c r="Q88" s="28">
        <v>7</v>
      </c>
      <c r="R88" s="28"/>
      <c r="S88" s="28"/>
      <c r="T88" s="28">
        <v>7</v>
      </c>
      <c r="U88" s="28"/>
      <c r="V88" s="28"/>
      <c r="W88" s="28"/>
      <c r="X88" s="28">
        <v>7</v>
      </c>
      <c r="Y88" s="28"/>
      <c r="Z88" s="28"/>
      <c r="AA88" s="28"/>
      <c r="AB88" s="28"/>
      <c r="AC88" s="28"/>
      <c r="AD88" s="28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>
        <f>SUM(E88:BO88)</f>
        <v>28</v>
      </c>
      <c r="BQ88" s="1">
        <v>7</v>
      </c>
      <c r="BR88" s="17">
        <v>1</v>
      </c>
      <c r="BS88" s="17" t="s">
        <v>262</v>
      </c>
      <c r="BT88">
        <f>SUM(P88:AD88)</f>
        <v>21</v>
      </c>
      <c r="BU88" s="23">
        <f>AF88+AH88+AI88+AJ88+AO88+AP88</f>
        <v>0</v>
      </c>
    </row>
    <row r="89" spans="1:73" s="66" customFormat="1">
      <c r="A89" s="1"/>
      <c r="B89" s="1" t="s">
        <v>142</v>
      </c>
      <c r="C89" s="1" t="s">
        <v>94</v>
      </c>
      <c r="D89" s="1" t="s">
        <v>84</v>
      </c>
      <c r="E89" s="6">
        <v>10</v>
      </c>
      <c r="F89" s="6"/>
      <c r="G89" s="6">
        <v>10</v>
      </c>
      <c r="H89" s="6"/>
      <c r="I89" s="6"/>
      <c r="J89" s="6"/>
      <c r="K89" s="6"/>
      <c r="L89" s="6"/>
      <c r="M89" s="6"/>
      <c r="N89" s="6"/>
      <c r="O89" s="6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>
        <v>10</v>
      </c>
      <c r="AS89" s="4"/>
      <c r="AT89" s="4"/>
      <c r="AU89" s="4"/>
      <c r="AV89" s="4"/>
      <c r="AW89" s="2"/>
      <c r="AX89" s="2"/>
      <c r="AY89" s="2"/>
      <c r="AZ89" s="2"/>
      <c r="BA89" s="2"/>
      <c r="BB89" s="2">
        <v>10</v>
      </c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>SUM(E89:BO89)</f>
        <v>40</v>
      </c>
      <c r="BQ89" s="1">
        <v>8</v>
      </c>
      <c r="BR89" s="17">
        <v>1</v>
      </c>
      <c r="BS89" s="17" t="s">
        <v>285</v>
      </c>
      <c r="BT89">
        <f>SUM(P89:AD89)</f>
        <v>0</v>
      </c>
      <c r="BU89" s="23">
        <f>AF89+AH89+AI89+AJ89+AO89+AP89</f>
        <v>0</v>
      </c>
    </row>
    <row r="90" spans="1:73">
      <c r="A90" s="1"/>
      <c r="B90" s="1" t="s">
        <v>140</v>
      </c>
      <c r="C90" s="1" t="s">
        <v>126</v>
      </c>
      <c r="D90" s="1" t="s">
        <v>102</v>
      </c>
      <c r="E90" s="6">
        <v>10</v>
      </c>
      <c r="F90" s="6"/>
      <c r="G90" s="6">
        <v>10</v>
      </c>
      <c r="H90" s="6"/>
      <c r="I90" s="6"/>
      <c r="J90" s="6"/>
      <c r="K90" s="6"/>
      <c r="L90" s="6"/>
      <c r="M90" s="6"/>
      <c r="N90" s="6"/>
      <c r="O90" s="6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>
        <v>10</v>
      </c>
      <c r="AS90" s="4"/>
      <c r="AT90" s="4"/>
      <c r="AU90" s="4"/>
      <c r="AV90" s="4"/>
      <c r="AW90" s="2"/>
      <c r="AX90" s="2"/>
      <c r="AY90" s="2"/>
      <c r="AZ90" s="2"/>
      <c r="BA90" s="2"/>
      <c r="BB90" s="2">
        <v>10</v>
      </c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>
        <f>SUM(E90:BO90)</f>
        <v>40</v>
      </c>
      <c r="BQ90" s="1">
        <v>8</v>
      </c>
      <c r="BR90" s="17">
        <v>1</v>
      </c>
      <c r="BS90" s="17" t="s">
        <v>285</v>
      </c>
      <c r="BT90">
        <f>SUM(P90:AD90)</f>
        <v>0</v>
      </c>
      <c r="BU90" s="23">
        <f>AF90+AH90+AI90+AJ90+AO90+AP90</f>
        <v>0</v>
      </c>
    </row>
    <row r="91" spans="1:73">
      <c r="A91" s="1"/>
      <c r="B91" s="1" t="s">
        <v>133</v>
      </c>
      <c r="C91" s="1" t="s">
        <v>82</v>
      </c>
      <c r="D91" s="1" t="s">
        <v>84</v>
      </c>
      <c r="E91" s="6">
        <v>10</v>
      </c>
      <c r="F91" s="6"/>
      <c r="G91" s="6">
        <v>10</v>
      </c>
      <c r="H91" s="6"/>
      <c r="I91" s="6"/>
      <c r="J91" s="6"/>
      <c r="K91" s="6"/>
      <c r="L91" s="6"/>
      <c r="M91" s="6"/>
      <c r="N91" s="6"/>
      <c r="O91" s="6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>
        <v>15</v>
      </c>
      <c r="AU91" s="4"/>
      <c r="AV91" s="4"/>
      <c r="AW91" s="2"/>
      <c r="AX91" s="2"/>
      <c r="AY91" s="2"/>
      <c r="AZ91" s="2">
        <v>15</v>
      </c>
      <c r="BA91" s="2">
        <v>15</v>
      </c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>
        <f>SUM(E91:BO91)</f>
        <v>65</v>
      </c>
      <c r="BQ91" s="1">
        <v>8</v>
      </c>
      <c r="BR91" s="17">
        <v>1</v>
      </c>
      <c r="BS91" s="17" t="s">
        <v>285</v>
      </c>
      <c r="BT91">
        <f>SUM(P91:AD91)</f>
        <v>0</v>
      </c>
      <c r="BU91" s="23">
        <f>AF91+AH91+AI91+AJ91+AO91+AP91</f>
        <v>0</v>
      </c>
    </row>
    <row r="92" spans="1:73">
      <c r="A92" s="1"/>
      <c r="B92" s="1" t="s">
        <v>145</v>
      </c>
      <c r="C92" s="1" t="s">
        <v>97</v>
      </c>
      <c r="D92" s="1" t="s">
        <v>84</v>
      </c>
      <c r="E92" s="6"/>
      <c r="F92" s="6"/>
      <c r="G92" s="6"/>
      <c r="H92" s="6">
        <v>10</v>
      </c>
      <c r="I92" s="6"/>
      <c r="J92" s="6">
        <v>10</v>
      </c>
      <c r="K92" s="6"/>
      <c r="L92" s="6"/>
      <c r="M92" s="6"/>
      <c r="N92" s="6"/>
      <c r="O92" s="6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>
        <v>10</v>
      </c>
      <c r="AU92" s="4"/>
      <c r="AV92" s="4"/>
      <c r="AW92" s="2"/>
      <c r="AX92" s="2"/>
      <c r="AY92" s="2">
        <v>10</v>
      </c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>
        <f>SUM(E92:BO92)</f>
        <v>40</v>
      </c>
      <c r="BQ92" s="1">
        <v>9</v>
      </c>
      <c r="BR92" s="17">
        <v>1</v>
      </c>
      <c r="BS92" s="17" t="s">
        <v>287</v>
      </c>
      <c r="BT92">
        <f>SUM(P92:AD92)</f>
        <v>0</v>
      </c>
      <c r="BU92" s="23">
        <f>AF92+AH92+AI92+AJ92+AO92+AP92</f>
        <v>0</v>
      </c>
    </row>
    <row r="93" spans="1:73" hidden="1">
      <c r="A93" s="1"/>
      <c r="B93" s="1" t="s">
        <v>242</v>
      </c>
      <c r="C93" s="1" t="s">
        <v>50</v>
      </c>
      <c r="D93" s="1" t="s">
        <v>238</v>
      </c>
      <c r="E93" s="6"/>
      <c r="F93" s="6"/>
      <c r="G93" s="6"/>
      <c r="H93" s="6"/>
      <c r="I93" s="6"/>
      <c r="J93" s="6"/>
      <c r="K93" s="6"/>
      <c r="L93" s="6">
        <v>10</v>
      </c>
      <c r="M93" s="6"/>
      <c r="N93" s="6"/>
      <c r="O93" s="6"/>
      <c r="P93" s="28"/>
      <c r="Q93" s="28"/>
      <c r="R93" s="28"/>
      <c r="S93" s="28"/>
      <c r="T93" s="28"/>
      <c r="U93" s="28"/>
      <c r="V93" s="28"/>
      <c r="W93" s="28"/>
      <c r="X93" s="28">
        <v>10</v>
      </c>
      <c r="Y93" s="28"/>
      <c r="Z93" s="28"/>
      <c r="AA93" s="28"/>
      <c r="AB93" s="28"/>
      <c r="AC93" s="28"/>
      <c r="AD93" s="28">
        <v>10</v>
      </c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>
        <v>10</v>
      </c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>
        <f>SUM(E93:BO93)</f>
        <v>40</v>
      </c>
      <c r="BQ93" s="1">
        <v>10</v>
      </c>
      <c r="BR93" s="17">
        <v>1</v>
      </c>
      <c r="BS93" s="17" t="s">
        <v>286</v>
      </c>
      <c r="BT93">
        <f>SUM(P93:AD93)</f>
        <v>20</v>
      </c>
      <c r="BU93" s="23">
        <f>AF93+AH93+AI93+AJ93+AO93+AP93</f>
        <v>0</v>
      </c>
    </row>
    <row r="94" spans="1:73">
      <c r="A94" s="1">
        <v>54</v>
      </c>
      <c r="B94" s="1" t="s">
        <v>42</v>
      </c>
      <c r="C94" s="1" t="s">
        <v>43</v>
      </c>
      <c r="D94" s="1" t="s">
        <v>0</v>
      </c>
      <c r="E94" s="6"/>
      <c r="F94" s="6">
        <v>15</v>
      </c>
      <c r="G94" s="6"/>
      <c r="H94" s="6">
        <v>15</v>
      </c>
      <c r="I94" s="6"/>
      <c r="J94" s="6"/>
      <c r="K94" s="6"/>
      <c r="L94" s="6"/>
      <c r="M94" s="6"/>
      <c r="N94" s="6"/>
      <c r="O94" s="6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/>
      <c r="AU94" s="4"/>
      <c r="AV94" s="4">
        <v>15</v>
      </c>
      <c r="AW94" s="2"/>
      <c r="AX94" s="2"/>
      <c r="AY94" s="2"/>
      <c r="AZ94" s="2"/>
      <c r="BA94" s="2">
        <v>15</v>
      </c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>
        <f>SUM(E94:BO94)</f>
        <v>60</v>
      </c>
      <c r="BQ94" s="1">
        <v>14</v>
      </c>
      <c r="BR94" s="17">
        <v>1</v>
      </c>
      <c r="BS94" s="17" t="s">
        <v>290</v>
      </c>
      <c r="BT94">
        <f>SUM(P94:AD94)</f>
        <v>0</v>
      </c>
      <c r="BU94" s="23">
        <f>AF94+AH94+AI94+AJ94+AO94+AP94</f>
        <v>0</v>
      </c>
    </row>
    <row r="95" spans="1:73">
      <c r="A95" s="18">
        <v>64</v>
      </c>
      <c r="B95" s="24" t="s">
        <v>48</v>
      </c>
      <c r="C95" s="18" t="s">
        <v>43</v>
      </c>
      <c r="D95" s="18" t="s">
        <v>0</v>
      </c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18"/>
      <c r="AF95" s="18"/>
      <c r="AG95" s="18"/>
      <c r="AH95" s="18"/>
      <c r="AI95" s="18"/>
      <c r="AJ95" s="18"/>
      <c r="AK95" s="18"/>
      <c r="AL95" s="18"/>
      <c r="AM95" s="18"/>
      <c r="AN95" s="18">
        <v>15</v>
      </c>
      <c r="AO95" s="18"/>
      <c r="AP95" s="18"/>
      <c r="AQ95" s="20"/>
      <c r="AR95" s="20"/>
      <c r="AS95" s="20"/>
      <c r="AT95" s="20"/>
      <c r="AU95" s="20"/>
      <c r="AV95" s="20"/>
      <c r="AW95" s="21"/>
      <c r="AX95" s="21"/>
      <c r="AY95" s="21"/>
      <c r="AZ95" s="21"/>
      <c r="BA95" s="21"/>
      <c r="BB95" s="21"/>
      <c r="BC95" s="26"/>
      <c r="BD95" s="18"/>
      <c r="BE95" s="18"/>
      <c r="BF95" s="18"/>
      <c r="BG95" s="18"/>
      <c r="BH95" s="18"/>
      <c r="BI95" s="18"/>
      <c r="BJ95" s="18"/>
      <c r="BK95" s="18"/>
      <c r="BL95" s="18"/>
      <c r="BM95" s="18"/>
      <c r="BN95" s="18"/>
      <c r="BO95" s="18"/>
      <c r="BP95" s="18">
        <f>SUM(E95:BO95)</f>
        <v>15</v>
      </c>
      <c r="BQ95" s="18">
        <v>15</v>
      </c>
      <c r="BR95" s="22">
        <v>1</v>
      </c>
      <c r="BS95" s="22" t="s">
        <v>289</v>
      </c>
      <c r="BT95">
        <f>SUM(P95:AD95)</f>
        <v>0</v>
      </c>
      <c r="BU95" s="23">
        <f>AF95+AH95+AI95+AJ95+AO95+AP95</f>
        <v>0</v>
      </c>
    </row>
    <row r="96" spans="1:73">
      <c r="A96" s="1">
        <v>98</v>
      </c>
      <c r="B96" s="3" t="s">
        <v>136</v>
      </c>
      <c r="C96" s="3" t="s">
        <v>52</v>
      </c>
      <c r="D96" s="1" t="s">
        <v>0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1">
        <v>50</v>
      </c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>
        <f>SUM(E96:BO96)</f>
        <v>50</v>
      </c>
      <c r="BQ96" s="1">
        <v>40</v>
      </c>
      <c r="BR96" s="17">
        <v>1</v>
      </c>
      <c r="BS96" s="17" t="s">
        <v>291</v>
      </c>
      <c r="BT96">
        <f>SUM(P96:AD96)</f>
        <v>0</v>
      </c>
      <c r="BU96" s="23">
        <f>AF96+AH96+AI96+AJ96+AO96+AP96</f>
        <v>0</v>
      </c>
    </row>
    <row r="97" spans="1:73">
      <c r="A97" s="1">
        <v>99</v>
      </c>
      <c r="B97" s="3" t="s">
        <v>136</v>
      </c>
      <c r="C97" s="3" t="s">
        <v>52</v>
      </c>
      <c r="D97" s="1" t="s">
        <v>9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1">
        <v>200</v>
      </c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>
        <f>SUM(E97:BO97)</f>
        <v>200</v>
      </c>
      <c r="BQ97" s="1">
        <v>190</v>
      </c>
      <c r="BR97" s="17">
        <v>1</v>
      </c>
      <c r="BS97" s="17" t="s">
        <v>292</v>
      </c>
      <c r="BT97">
        <f>SUM(P97:AD97)</f>
        <v>0</v>
      </c>
      <c r="BU97" s="23">
        <f>AF97+AH97+AI97+AJ97+AO97+AP97</f>
        <v>0</v>
      </c>
    </row>
    <row r="98" spans="1:73" ht="27" hidden="1">
      <c r="A98" s="1"/>
      <c r="B98" s="1" t="s">
        <v>241</v>
      </c>
      <c r="C98" s="1" t="s">
        <v>50</v>
      </c>
      <c r="D98" s="1" t="s">
        <v>237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28"/>
      <c r="Q98" s="28"/>
      <c r="R98" s="28"/>
      <c r="S98" s="28"/>
      <c r="T98" s="28"/>
      <c r="U98" s="28">
        <v>2</v>
      </c>
      <c r="V98" s="28"/>
      <c r="W98" s="28">
        <v>5</v>
      </c>
      <c r="X98" s="28"/>
      <c r="Y98" s="28"/>
      <c r="Z98" s="28"/>
      <c r="AA98" s="28">
        <v>2</v>
      </c>
      <c r="AB98" s="28"/>
      <c r="AC98" s="28"/>
      <c r="AD98" s="28">
        <v>2</v>
      </c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>
        <f>SUM(E98:BO98)</f>
        <v>11</v>
      </c>
      <c r="BQ98" s="1">
        <v>2</v>
      </c>
      <c r="BR98" s="17">
        <v>2</v>
      </c>
      <c r="BS98" s="17" t="s">
        <v>293</v>
      </c>
      <c r="BT98">
        <f>SUM(P98:AD98)</f>
        <v>11</v>
      </c>
      <c r="BU98" s="23">
        <f>AF98+AH98+AI98+AJ98+AO98+AP98</f>
        <v>0</v>
      </c>
    </row>
    <row r="99" spans="1:73" ht="27" hidden="1">
      <c r="A99" s="1"/>
      <c r="B99" s="1" t="s">
        <v>250</v>
      </c>
      <c r="C99" s="1" t="s">
        <v>36</v>
      </c>
      <c r="D99" s="1" t="s">
        <v>248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28"/>
      <c r="Q99" s="28"/>
      <c r="R99" s="28">
        <v>2</v>
      </c>
      <c r="S99" s="28"/>
      <c r="T99" s="28">
        <v>5</v>
      </c>
      <c r="U99" s="28"/>
      <c r="V99" s="28"/>
      <c r="W99" s="28"/>
      <c r="X99" s="28">
        <v>2</v>
      </c>
      <c r="Y99" s="28"/>
      <c r="Z99" s="28"/>
      <c r="AA99" s="28"/>
      <c r="AB99" s="28"/>
      <c r="AC99" s="28"/>
      <c r="AD99" s="28">
        <v>2</v>
      </c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>
        <f>SUM(E99:BO99)</f>
        <v>11</v>
      </c>
      <c r="BQ99" s="1">
        <v>3</v>
      </c>
      <c r="BR99" s="17">
        <v>2</v>
      </c>
      <c r="BS99" s="17" t="s">
        <v>294</v>
      </c>
      <c r="BT99">
        <f>SUM(P99:AD99)</f>
        <v>11</v>
      </c>
      <c r="BU99" s="23">
        <f>AF99+AH99+AI99+AJ99+AO99+AP99</f>
        <v>0</v>
      </c>
    </row>
    <row r="100" spans="1:73" ht="27" hidden="1">
      <c r="A100" s="1"/>
      <c r="B100" s="1" t="s">
        <v>93</v>
      </c>
      <c r="C100" s="1" t="s">
        <v>86</v>
      </c>
      <c r="D100" s="1" t="s">
        <v>83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>
        <v>5</v>
      </c>
      <c r="AP100" s="1">
        <v>1</v>
      </c>
      <c r="AQ100" s="4"/>
      <c r="AR100" s="4"/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>SUM(E100:BO100)</f>
        <v>6</v>
      </c>
      <c r="BQ100" s="1">
        <v>6</v>
      </c>
      <c r="BR100" s="17">
        <v>2</v>
      </c>
      <c r="BS100" s="17" t="s">
        <v>295</v>
      </c>
      <c r="BT100">
        <f>SUM(P100:AD100)</f>
        <v>0</v>
      </c>
      <c r="BU100" s="23">
        <f>AF100+AH100+AI100+AJ100+AO100+AP100</f>
        <v>6</v>
      </c>
    </row>
    <row r="101" spans="1:73" ht="27" hidden="1">
      <c r="A101" s="1"/>
      <c r="B101" s="1" t="s">
        <v>169</v>
      </c>
      <c r="C101" s="1" t="s">
        <v>24</v>
      </c>
      <c r="D101" s="1" t="s">
        <v>19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>
        <v>5</v>
      </c>
      <c r="AP101" s="1">
        <v>1</v>
      </c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>SUM(E101:BO101)</f>
        <v>6</v>
      </c>
      <c r="BQ101" s="1">
        <v>6</v>
      </c>
      <c r="BR101" s="17">
        <v>2</v>
      </c>
      <c r="BS101" s="17" t="s">
        <v>295</v>
      </c>
      <c r="BT101">
        <f>SUM(P101:AD101)</f>
        <v>0</v>
      </c>
      <c r="BU101" s="23">
        <f>AF101+AH101+AI101+AJ101+AO101+AP101</f>
        <v>6</v>
      </c>
    </row>
    <row r="102" spans="1:73" ht="27">
      <c r="A102" s="31">
        <v>84</v>
      </c>
      <c r="B102" s="32" t="s">
        <v>149</v>
      </c>
      <c r="C102" s="32" t="s">
        <v>50</v>
      </c>
      <c r="D102" s="31" t="s">
        <v>9</v>
      </c>
      <c r="E102" s="33"/>
      <c r="F102" s="33"/>
      <c r="G102" s="33">
        <v>5</v>
      </c>
      <c r="H102" s="33">
        <v>5</v>
      </c>
      <c r="I102" s="33"/>
      <c r="J102" s="33"/>
      <c r="K102" s="33"/>
      <c r="L102" s="33"/>
      <c r="M102" s="33"/>
      <c r="N102" s="33"/>
      <c r="O102" s="33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5"/>
      <c r="AR102" s="35"/>
      <c r="AS102" s="35"/>
      <c r="AT102" s="35"/>
      <c r="AU102" s="35"/>
      <c r="AV102" s="35"/>
      <c r="AW102" s="36"/>
      <c r="AX102" s="36"/>
      <c r="AY102" s="36"/>
      <c r="AZ102" s="36"/>
      <c r="BA102" s="36">
        <v>5</v>
      </c>
      <c r="BB102" s="36">
        <v>5</v>
      </c>
      <c r="BC102" s="37"/>
      <c r="BD102" s="31"/>
      <c r="BE102" s="31"/>
      <c r="BF102" s="31"/>
      <c r="BG102" s="31"/>
      <c r="BH102" s="31"/>
      <c r="BI102" s="31"/>
      <c r="BJ102" s="31"/>
      <c r="BK102" s="31"/>
      <c r="BL102" s="31"/>
      <c r="BM102" s="31"/>
      <c r="BN102" s="31"/>
      <c r="BO102" s="31"/>
      <c r="BP102" s="31">
        <f>SUM(E102:BO102)</f>
        <v>20</v>
      </c>
      <c r="BQ102" s="31">
        <v>7</v>
      </c>
      <c r="BR102" s="38">
        <v>2</v>
      </c>
      <c r="BS102" s="38" t="s">
        <v>297</v>
      </c>
      <c r="BT102">
        <f>SUM(P102:AD102)</f>
        <v>0</v>
      </c>
      <c r="BU102" s="23">
        <f>AF102+AH102+AI102+AJ102+AO102+AP102</f>
        <v>0</v>
      </c>
    </row>
    <row r="103" spans="1:73" ht="27" hidden="1">
      <c r="A103" s="1"/>
      <c r="B103" s="1" t="s">
        <v>89</v>
      </c>
      <c r="C103" s="1" t="s">
        <v>86</v>
      </c>
      <c r="D103" s="1" t="s">
        <v>90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>
        <v>3</v>
      </c>
      <c r="AP103" s="1">
        <v>5</v>
      </c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>SUM(E103:BO103)</f>
        <v>8</v>
      </c>
      <c r="BQ103" s="1">
        <v>8</v>
      </c>
      <c r="BR103" s="17">
        <v>2</v>
      </c>
      <c r="BS103" s="17" t="s">
        <v>296</v>
      </c>
      <c r="BT103">
        <f>SUM(P103:AD103)</f>
        <v>0</v>
      </c>
      <c r="BU103" s="23">
        <f>AF103+AH103+AI103+AJ103+AO103+AP103</f>
        <v>8</v>
      </c>
    </row>
    <row r="104" spans="1:73" ht="27">
      <c r="A104" s="59"/>
      <c r="B104" s="59" t="s">
        <v>135</v>
      </c>
      <c r="C104" s="59" t="s">
        <v>98</v>
      </c>
      <c r="D104" s="59" t="s">
        <v>83</v>
      </c>
      <c r="E104" s="60"/>
      <c r="F104" s="60"/>
      <c r="G104" s="60"/>
      <c r="H104" s="60"/>
      <c r="I104" s="60"/>
      <c r="J104" s="60"/>
      <c r="K104" s="60"/>
      <c r="L104" s="60">
        <v>20</v>
      </c>
      <c r="M104" s="60"/>
      <c r="N104" s="60"/>
      <c r="O104" s="60">
        <v>20</v>
      </c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59"/>
      <c r="AF104" s="59"/>
      <c r="AG104" s="59"/>
      <c r="AH104" s="59"/>
      <c r="AI104" s="59"/>
      <c r="AJ104" s="59"/>
      <c r="AK104" s="59"/>
      <c r="AL104" s="59"/>
      <c r="AM104" s="59"/>
      <c r="AN104" s="59"/>
      <c r="AO104" s="59"/>
      <c r="AP104" s="59"/>
      <c r="AQ104" s="62"/>
      <c r="AR104" s="62"/>
      <c r="AS104" s="62"/>
      <c r="AT104" s="62"/>
      <c r="AU104" s="62"/>
      <c r="AV104" s="62"/>
      <c r="AW104" s="63"/>
      <c r="AX104" s="63"/>
      <c r="AY104" s="63"/>
      <c r="AZ104" s="63"/>
      <c r="BA104" s="63">
        <v>20</v>
      </c>
      <c r="BB104" s="63">
        <v>20</v>
      </c>
      <c r="BC104" s="64"/>
      <c r="BD104" s="59"/>
      <c r="BE104" s="59"/>
      <c r="BF104" s="59"/>
      <c r="BG104" s="59"/>
      <c r="BH104" s="59"/>
      <c r="BI104" s="59"/>
      <c r="BJ104" s="59"/>
      <c r="BK104" s="59"/>
      <c r="BL104" s="59"/>
      <c r="BM104" s="59"/>
      <c r="BN104" s="59"/>
      <c r="BO104" s="59"/>
      <c r="BP104" s="59">
        <f>SUM(E104:BO104)</f>
        <v>80</v>
      </c>
      <c r="BQ104" s="59">
        <v>9</v>
      </c>
      <c r="BR104" s="65">
        <v>2</v>
      </c>
      <c r="BS104" s="65" t="s">
        <v>269</v>
      </c>
      <c r="BT104">
        <f>SUM(P104:AD104)</f>
        <v>0</v>
      </c>
      <c r="BU104" s="23">
        <f>AF104+AH104+AI104+AJ104+AO104+AP104</f>
        <v>0</v>
      </c>
    </row>
    <row r="105" spans="1:73" ht="27" hidden="1">
      <c r="A105" s="1"/>
      <c r="B105" s="3" t="s">
        <v>204</v>
      </c>
      <c r="C105" s="3" t="s">
        <v>202</v>
      </c>
      <c r="D105" s="1" t="s">
        <v>197</v>
      </c>
      <c r="E105" s="6"/>
      <c r="F105" s="6"/>
      <c r="G105" s="6"/>
      <c r="H105" s="6"/>
      <c r="I105" s="6"/>
      <c r="J105" s="6"/>
      <c r="K105" s="6">
        <v>10</v>
      </c>
      <c r="L105" s="6"/>
      <c r="M105" s="6"/>
      <c r="N105" s="6"/>
      <c r="O105" s="6"/>
      <c r="P105" s="28"/>
      <c r="Q105" s="28"/>
      <c r="R105" s="28"/>
      <c r="S105" s="28"/>
      <c r="T105" s="28"/>
      <c r="U105" s="28">
        <v>10</v>
      </c>
      <c r="V105" s="28"/>
      <c r="W105" s="28"/>
      <c r="X105" s="28"/>
      <c r="Y105" s="28"/>
      <c r="Z105" s="28"/>
      <c r="AA105" s="28">
        <v>10</v>
      </c>
      <c r="AB105" s="28"/>
      <c r="AC105" s="28"/>
      <c r="AD105" s="28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>
        <v>10</v>
      </c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>SUM(E105:BO105)</f>
        <v>40</v>
      </c>
      <c r="BQ105" s="1">
        <v>10</v>
      </c>
      <c r="BR105" s="17">
        <v>2</v>
      </c>
      <c r="BS105" s="17" t="s">
        <v>298</v>
      </c>
      <c r="BT105">
        <f>SUM(P105:AD105)</f>
        <v>20</v>
      </c>
      <c r="BU105" s="23">
        <f>AF105+AH105+AI105+AJ105+AO105+AP105</f>
        <v>0</v>
      </c>
    </row>
    <row r="106" spans="1:73" ht="27" hidden="1">
      <c r="A106" s="1"/>
      <c r="B106" s="1" t="s">
        <v>124</v>
      </c>
      <c r="C106" s="1" t="s">
        <v>125</v>
      </c>
      <c r="D106" s="1" t="s">
        <v>102</v>
      </c>
      <c r="E106" s="6"/>
      <c r="F106" s="6"/>
      <c r="G106" s="6"/>
      <c r="H106" s="6"/>
      <c r="I106" s="6"/>
      <c r="J106" s="6">
        <v>10</v>
      </c>
      <c r="K106" s="6"/>
      <c r="L106" s="6"/>
      <c r="M106" s="6"/>
      <c r="N106" s="6"/>
      <c r="O106" s="6"/>
      <c r="P106" s="28"/>
      <c r="Q106" s="28"/>
      <c r="R106" s="28"/>
      <c r="S106" s="28"/>
      <c r="T106" s="28"/>
      <c r="U106" s="28">
        <v>10</v>
      </c>
      <c r="V106" s="28"/>
      <c r="W106" s="28"/>
      <c r="X106" s="28"/>
      <c r="Y106" s="28"/>
      <c r="Z106" s="28"/>
      <c r="AA106" s="28">
        <v>10</v>
      </c>
      <c r="AB106" s="28"/>
      <c r="AC106" s="28"/>
      <c r="AD106" s="28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>
        <v>10</v>
      </c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>SUM(E106:BO106)</f>
        <v>40</v>
      </c>
      <c r="BQ106" s="1">
        <v>10</v>
      </c>
      <c r="BR106" s="17">
        <v>2</v>
      </c>
      <c r="BS106" s="17" t="s">
        <v>298</v>
      </c>
      <c r="BT106">
        <f>SUM(P106:AD106)</f>
        <v>20</v>
      </c>
      <c r="BU106" s="23">
        <f>AF106+AH106+AI106+AJ106+AO106+AP106</f>
        <v>0</v>
      </c>
    </row>
    <row r="107" spans="1:73" ht="27" hidden="1">
      <c r="A107" s="1"/>
      <c r="B107" s="1" t="s">
        <v>131</v>
      </c>
      <c r="C107" s="1" t="s">
        <v>127</v>
      </c>
      <c r="D107" s="1" t="s">
        <v>102</v>
      </c>
      <c r="E107" s="6"/>
      <c r="F107" s="6"/>
      <c r="G107" s="6"/>
      <c r="H107" s="6"/>
      <c r="I107" s="6"/>
      <c r="J107" s="6">
        <v>10</v>
      </c>
      <c r="K107" s="6"/>
      <c r="L107" s="6"/>
      <c r="M107" s="6"/>
      <c r="N107" s="6"/>
      <c r="O107" s="6"/>
      <c r="P107" s="28"/>
      <c r="Q107" s="28"/>
      <c r="R107" s="28"/>
      <c r="S107" s="28"/>
      <c r="T107" s="28"/>
      <c r="U107" s="28">
        <v>10</v>
      </c>
      <c r="V107" s="28"/>
      <c r="W107" s="28"/>
      <c r="X107" s="28"/>
      <c r="Y107" s="28"/>
      <c r="Z107" s="28"/>
      <c r="AA107" s="28">
        <v>10</v>
      </c>
      <c r="AB107" s="28"/>
      <c r="AC107" s="28"/>
      <c r="AD107" s="28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>
        <v>10</v>
      </c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>SUM(E107:BO107)</f>
        <v>40</v>
      </c>
      <c r="BQ107" s="1">
        <v>10</v>
      </c>
      <c r="BR107" s="17">
        <v>2</v>
      </c>
      <c r="BS107" s="17" t="s">
        <v>298</v>
      </c>
      <c r="BT107">
        <f>SUM(P107:AD107)</f>
        <v>20</v>
      </c>
      <c r="BU107" s="23">
        <f>AF107+AH107+AI107+AJ107+AO107+AP107</f>
        <v>0</v>
      </c>
    </row>
    <row r="108" spans="1:73" ht="27" hidden="1">
      <c r="A108" s="1"/>
      <c r="B108" s="3" t="s">
        <v>198</v>
      </c>
      <c r="C108" s="3" t="s">
        <v>50</v>
      </c>
      <c r="D108" s="1" t="s">
        <v>197</v>
      </c>
      <c r="E108" s="6"/>
      <c r="F108" s="6"/>
      <c r="G108" s="6"/>
      <c r="H108" s="6"/>
      <c r="I108" s="6"/>
      <c r="J108" s="6">
        <v>10</v>
      </c>
      <c r="K108" s="6"/>
      <c r="L108" s="6"/>
      <c r="M108" s="6"/>
      <c r="N108" s="6"/>
      <c r="O108" s="6"/>
      <c r="P108" s="28"/>
      <c r="Q108" s="28"/>
      <c r="R108" s="28"/>
      <c r="S108" s="28"/>
      <c r="T108" s="28"/>
      <c r="U108" s="28">
        <v>10</v>
      </c>
      <c r="V108" s="28"/>
      <c r="W108" s="28"/>
      <c r="X108" s="28"/>
      <c r="Y108" s="28"/>
      <c r="Z108" s="28"/>
      <c r="AA108" s="28">
        <v>10</v>
      </c>
      <c r="AB108" s="28"/>
      <c r="AC108" s="28"/>
      <c r="AD108" s="28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>
        <v>10</v>
      </c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>SUM(E108:BO108)</f>
        <v>40</v>
      </c>
      <c r="BQ108" s="1">
        <v>10</v>
      </c>
      <c r="BR108" s="17">
        <v>2</v>
      </c>
      <c r="BS108" s="17" t="s">
        <v>298</v>
      </c>
      <c r="BT108">
        <f>SUM(P108:AD108)</f>
        <v>20</v>
      </c>
      <c r="BU108" s="23">
        <f>AF108+AH108+AI108+AJ108+AO108+AP108</f>
        <v>0</v>
      </c>
    </row>
    <row r="109" spans="1:73" ht="27" hidden="1">
      <c r="A109" s="1"/>
      <c r="B109" s="1" t="s">
        <v>240</v>
      </c>
      <c r="C109" s="1" t="s">
        <v>118</v>
      </c>
      <c r="D109" s="1" t="s">
        <v>238</v>
      </c>
      <c r="E109" s="6"/>
      <c r="F109" s="6"/>
      <c r="G109" s="6"/>
      <c r="H109" s="6"/>
      <c r="I109" s="6"/>
      <c r="J109" s="6">
        <v>10</v>
      </c>
      <c r="K109" s="6"/>
      <c r="L109" s="6"/>
      <c r="M109" s="6"/>
      <c r="N109" s="6"/>
      <c r="O109" s="6"/>
      <c r="P109" s="28"/>
      <c r="Q109" s="28"/>
      <c r="R109" s="28"/>
      <c r="S109" s="28"/>
      <c r="T109" s="28"/>
      <c r="U109" s="28">
        <v>10</v>
      </c>
      <c r="V109" s="28"/>
      <c r="W109" s="28"/>
      <c r="X109" s="28"/>
      <c r="Y109" s="28"/>
      <c r="Z109" s="28"/>
      <c r="AA109" s="28">
        <v>10</v>
      </c>
      <c r="AB109" s="28"/>
      <c r="AC109" s="28"/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>
        <v>10</v>
      </c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>SUM(E109:BO109)</f>
        <v>40</v>
      </c>
      <c r="BQ109" s="1">
        <v>10</v>
      </c>
      <c r="BR109" s="17">
        <v>2</v>
      </c>
      <c r="BS109" s="17" t="s">
        <v>298</v>
      </c>
      <c r="BT109">
        <f>SUM(P109:AD109)</f>
        <v>20</v>
      </c>
      <c r="BU109" s="23">
        <f>AF109+AH109+AI109+AJ109+AO109+AP109</f>
        <v>0</v>
      </c>
    </row>
    <row r="110" spans="1:73" ht="27" hidden="1">
      <c r="A110" s="1"/>
      <c r="B110" s="1" t="s">
        <v>250</v>
      </c>
      <c r="C110" s="1" t="s">
        <v>36</v>
      </c>
      <c r="D110" s="1" t="s">
        <v>249</v>
      </c>
      <c r="E110" s="6"/>
      <c r="F110" s="6"/>
      <c r="G110" s="6"/>
      <c r="H110" s="6"/>
      <c r="I110" s="6"/>
      <c r="J110" s="6">
        <v>10</v>
      </c>
      <c r="K110" s="6"/>
      <c r="L110" s="6"/>
      <c r="M110" s="6"/>
      <c r="N110" s="6"/>
      <c r="O110" s="6"/>
      <c r="P110" s="28"/>
      <c r="Q110" s="28"/>
      <c r="R110" s="28"/>
      <c r="S110" s="28"/>
      <c r="T110" s="28"/>
      <c r="U110" s="28">
        <v>10</v>
      </c>
      <c r="V110" s="28"/>
      <c r="W110" s="28"/>
      <c r="X110" s="28"/>
      <c r="Y110" s="28"/>
      <c r="Z110" s="28"/>
      <c r="AA110" s="28">
        <v>10</v>
      </c>
      <c r="AB110" s="28"/>
      <c r="AC110" s="28"/>
      <c r="AD110" s="28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>
        <v>10</v>
      </c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>SUM(E110:BO110)</f>
        <v>40</v>
      </c>
      <c r="BQ110" s="1">
        <v>10</v>
      </c>
      <c r="BR110" s="17">
        <v>2</v>
      </c>
      <c r="BS110" s="17" t="s">
        <v>298</v>
      </c>
      <c r="BT110">
        <f>SUM(P110:AD110)</f>
        <v>20</v>
      </c>
      <c r="BU110" s="23">
        <f>AF110+AH110+AI110+AJ110+AO110+AP110</f>
        <v>0</v>
      </c>
    </row>
    <row r="111" spans="1:73" ht="27" hidden="1">
      <c r="A111" s="1">
        <v>27</v>
      </c>
      <c r="B111" s="1" t="s">
        <v>57</v>
      </c>
      <c r="C111" s="1" t="s">
        <v>24</v>
      </c>
      <c r="D111" s="1" t="s">
        <v>18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1"/>
      <c r="AF111" s="1"/>
      <c r="AG111" s="1"/>
      <c r="AH111" s="1">
        <v>5</v>
      </c>
      <c r="AI111" s="1">
        <v>5</v>
      </c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>SUM(E111:BO111)</f>
        <v>10</v>
      </c>
      <c r="BQ111" s="1">
        <v>10</v>
      </c>
      <c r="BR111" s="17">
        <v>2</v>
      </c>
      <c r="BS111" s="17" t="s">
        <v>299</v>
      </c>
      <c r="BT111">
        <f>SUM(P111:AD111)</f>
        <v>0</v>
      </c>
      <c r="BU111" s="23">
        <f>AF111+AH111+AI111+AJ111+AO111+AP111</f>
        <v>10</v>
      </c>
    </row>
    <row r="112" spans="1:73" ht="27" hidden="1">
      <c r="A112" s="1">
        <v>88</v>
      </c>
      <c r="B112" s="3" t="s">
        <v>62</v>
      </c>
      <c r="C112" s="3" t="s">
        <v>63</v>
      </c>
      <c r="D112" s="1" t="s">
        <v>18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1"/>
      <c r="AF112" s="1"/>
      <c r="AG112" s="1"/>
      <c r="AH112" s="1">
        <v>5</v>
      </c>
      <c r="AI112" s="1">
        <v>5</v>
      </c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>SUM(E112:BO112)</f>
        <v>10</v>
      </c>
      <c r="BQ112" s="1">
        <v>10</v>
      </c>
      <c r="BR112" s="17">
        <v>2</v>
      </c>
      <c r="BS112" s="17" t="s">
        <v>299</v>
      </c>
      <c r="BT112">
        <f>SUM(P112:AD112)</f>
        <v>0</v>
      </c>
      <c r="BU112" s="23">
        <f>AF112+AH112+AI112+AJ112+AO112+AP112</f>
        <v>10</v>
      </c>
    </row>
    <row r="113" spans="1:73" ht="27" hidden="1">
      <c r="A113" s="1"/>
      <c r="B113" s="3" t="s">
        <v>254</v>
      </c>
      <c r="C113" s="3" t="s">
        <v>200</v>
      </c>
      <c r="D113" s="1" t="s">
        <v>197</v>
      </c>
      <c r="E113" s="6"/>
      <c r="F113" s="6"/>
      <c r="G113" s="6"/>
      <c r="H113" s="6"/>
      <c r="I113" s="6"/>
      <c r="J113" s="6"/>
      <c r="K113" s="6"/>
      <c r="L113" s="6"/>
      <c r="M113" s="6"/>
      <c r="N113" s="6">
        <v>10</v>
      </c>
      <c r="O113" s="6"/>
      <c r="P113" s="28"/>
      <c r="Q113" s="28"/>
      <c r="R113" s="28"/>
      <c r="S113" s="28"/>
      <c r="T113" s="28"/>
      <c r="U113" s="28"/>
      <c r="V113" s="28"/>
      <c r="W113" s="28"/>
      <c r="X113" s="28">
        <v>10</v>
      </c>
      <c r="Y113" s="28"/>
      <c r="Z113" s="28"/>
      <c r="AA113" s="28">
        <v>10</v>
      </c>
      <c r="AB113" s="28"/>
      <c r="AC113" s="28"/>
      <c r="AD113" s="28">
        <v>10</v>
      </c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>
        <f>SUM(E113:BO113)</f>
        <v>40</v>
      </c>
      <c r="BQ113" s="1">
        <v>11</v>
      </c>
      <c r="BR113" s="17">
        <v>2</v>
      </c>
      <c r="BS113" s="17" t="s">
        <v>263</v>
      </c>
      <c r="BT113">
        <f>SUM(P113:AD113)</f>
        <v>30</v>
      </c>
      <c r="BU113" s="23">
        <f>AF113+AH113+AI113+AJ113+AO113+AP113</f>
        <v>0</v>
      </c>
    </row>
    <row r="114" spans="1:73" ht="27">
      <c r="A114" s="59"/>
      <c r="B114" s="59" t="s">
        <v>138</v>
      </c>
      <c r="C114" s="59" t="s">
        <v>94</v>
      </c>
      <c r="D114" s="59" t="s">
        <v>83</v>
      </c>
      <c r="E114" s="60">
        <v>15</v>
      </c>
      <c r="F114" s="60"/>
      <c r="G114" s="60">
        <v>15</v>
      </c>
      <c r="H114" s="60"/>
      <c r="I114" s="60"/>
      <c r="J114" s="60"/>
      <c r="K114" s="60"/>
      <c r="L114" s="60"/>
      <c r="M114" s="60"/>
      <c r="N114" s="60"/>
      <c r="O114" s="60"/>
      <c r="P114" s="61"/>
      <c r="Q114" s="61"/>
      <c r="R114" s="61"/>
      <c r="S114" s="61"/>
      <c r="T114" s="61"/>
      <c r="U114" s="61"/>
      <c r="V114" s="61"/>
      <c r="W114" s="61"/>
      <c r="X114" s="61"/>
      <c r="Y114" s="61"/>
      <c r="Z114" s="61"/>
      <c r="AA114" s="61"/>
      <c r="AB114" s="61"/>
      <c r="AC114" s="61"/>
      <c r="AD114" s="61"/>
      <c r="AE114" s="59"/>
      <c r="AF114" s="59"/>
      <c r="AG114" s="59"/>
      <c r="AH114" s="59"/>
      <c r="AI114" s="59"/>
      <c r="AJ114" s="59"/>
      <c r="AK114" s="59"/>
      <c r="AL114" s="59"/>
      <c r="AM114" s="59"/>
      <c r="AN114" s="59"/>
      <c r="AO114" s="59"/>
      <c r="AP114" s="59"/>
      <c r="AQ114" s="62"/>
      <c r="AR114" s="62">
        <v>15</v>
      </c>
      <c r="AS114" s="62"/>
      <c r="AT114" s="62"/>
      <c r="AU114" s="62"/>
      <c r="AV114" s="62"/>
      <c r="AW114" s="63"/>
      <c r="AX114" s="63"/>
      <c r="AY114" s="63"/>
      <c r="AZ114" s="63"/>
      <c r="BA114" s="63"/>
      <c r="BB114" s="63">
        <v>15</v>
      </c>
      <c r="BC114" s="64"/>
      <c r="BD114" s="59"/>
      <c r="BE114" s="59"/>
      <c r="BF114" s="59"/>
      <c r="BG114" s="59"/>
      <c r="BH114" s="59"/>
      <c r="BI114" s="59"/>
      <c r="BJ114" s="59"/>
      <c r="BK114" s="59"/>
      <c r="BL114" s="59"/>
      <c r="BM114" s="59"/>
      <c r="BN114" s="59"/>
      <c r="BO114" s="59"/>
      <c r="BP114" s="59">
        <f>SUM(E114:BO114)</f>
        <v>60</v>
      </c>
      <c r="BQ114" s="59">
        <v>14</v>
      </c>
      <c r="BR114" s="65">
        <v>2</v>
      </c>
      <c r="BS114" s="65" t="s">
        <v>288</v>
      </c>
      <c r="BT114">
        <f>SUM(P114:AD114)</f>
        <v>0</v>
      </c>
      <c r="BU114" s="23">
        <f>AF114+AH114+AI114+AJ114+AO114+AP114</f>
        <v>0</v>
      </c>
    </row>
    <row r="115" spans="1:73" ht="27" hidden="1">
      <c r="A115" s="1"/>
      <c r="B115" s="1" t="s">
        <v>89</v>
      </c>
      <c r="C115" s="1" t="s">
        <v>86</v>
      </c>
      <c r="D115" s="1" t="s">
        <v>83</v>
      </c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>
        <v>5</v>
      </c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>
        <v>5</v>
      </c>
      <c r="AP115" s="1">
        <v>10</v>
      </c>
      <c r="AQ115" s="4"/>
      <c r="AR115" s="4"/>
      <c r="AS115" s="4"/>
      <c r="AT115" s="4"/>
      <c r="AU115" s="4"/>
      <c r="AV115" s="4"/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>
        <f>SUM(E115:BO115)</f>
        <v>20</v>
      </c>
      <c r="BQ115" s="1">
        <v>15</v>
      </c>
      <c r="BR115" s="17">
        <v>2</v>
      </c>
      <c r="BS115" s="17" t="s">
        <v>300</v>
      </c>
      <c r="BT115">
        <f>SUM(P115:AD115)</f>
        <v>0</v>
      </c>
      <c r="BU115" s="23">
        <f>AF115+AH115+AI115+AJ115+AO115+AP115</f>
        <v>15</v>
      </c>
    </row>
    <row r="116" spans="1:73" ht="27" hidden="1">
      <c r="A116" s="1"/>
      <c r="B116" s="1" t="s">
        <v>117</v>
      </c>
      <c r="C116" s="1" t="s">
        <v>118</v>
      </c>
      <c r="D116" s="1" t="s">
        <v>102</v>
      </c>
      <c r="E116" s="6">
        <v>10</v>
      </c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28"/>
      <c r="Q116" s="28"/>
      <c r="R116" s="28">
        <v>10</v>
      </c>
      <c r="S116" s="28"/>
      <c r="T116" s="28"/>
      <c r="U116" s="28">
        <v>10</v>
      </c>
      <c r="V116" s="28"/>
      <c r="W116" s="28"/>
      <c r="X116" s="28"/>
      <c r="Y116" s="28"/>
      <c r="Z116" s="28"/>
      <c r="AA116" s="28"/>
      <c r="AB116" s="28"/>
      <c r="AC116" s="28"/>
      <c r="AD116" s="28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>
        <v>10</v>
      </c>
      <c r="AV116" s="4"/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>
        <f>SUM(E116:BO116)</f>
        <v>40</v>
      </c>
      <c r="BQ116" s="1">
        <v>18</v>
      </c>
      <c r="BR116" s="17">
        <v>2</v>
      </c>
      <c r="BS116" s="17" t="s">
        <v>301</v>
      </c>
      <c r="BT116">
        <f>SUM(P116:AD116)</f>
        <v>20</v>
      </c>
      <c r="BU116" s="23">
        <f>AF116+AH116+AI116+AJ116+AO116+AP116</f>
        <v>0</v>
      </c>
    </row>
    <row r="117" spans="1:73" ht="27" hidden="1">
      <c r="A117" s="1"/>
      <c r="B117" s="1" t="s">
        <v>122</v>
      </c>
      <c r="C117" s="1" t="s">
        <v>121</v>
      </c>
      <c r="D117" s="1" t="s">
        <v>102</v>
      </c>
      <c r="E117" s="6">
        <v>10</v>
      </c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28"/>
      <c r="Q117" s="28"/>
      <c r="R117" s="28">
        <v>10</v>
      </c>
      <c r="S117" s="28"/>
      <c r="T117" s="28"/>
      <c r="U117" s="28">
        <v>10</v>
      </c>
      <c r="V117" s="28"/>
      <c r="W117" s="28"/>
      <c r="X117" s="28"/>
      <c r="Y117" s="28"/>
      <c r="Z117" s="28"/>
      <c r="AA117" s="28"/>
      <c r="AB117" s="28"/>
      <c r="AC117" s="28"/>
      <c r="AD117" s="28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>
        <v>10</v>
      </c>
      <c r="AV117" s="4"/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>
        <f>SUM(E117:BO117)</f>
        <v>40</v>
      </c>
      <c r="BQ117" s="1">
        <v>18</v>
      </c>
      <c r="BR117" s="17">
        <v>2</v>
      </c>
      <c r="BS117" s="17" t="s">
        <v>264</v>
      </c>
      <c r="BT117">
        <f>SUM(P117:AD117)</f>
        <v>20</v>
      </c>
      <c r="BU117" s="23">
        <f>AF117+AH117+AI117+AJ117+AO117+AP117</f>
        <v>0</v>
      </c>
    </row>
    <row r="118" spans="1:73" ht="27" hidden="1">
      <c r="A118" s="59"/>
      <c r="B118" s="59" t="s">
        <v>194</v>
      </c>
      <c r="C118" s="59" t="s">
        <v>127</v>
      </c>
      <c r="D118" s="59" t="s">
        <v>102</v>
      </c>
      <c r="E118" s="60">
        <v>10</v>
      </c>
      <c r="F118" s="60"/>
      <c r="G118" s="60"/>
      <c r="H118" s="60"/>
      <c r="I118" s="60"/>
      <c r="J118" s="60"/>
      <c r="K118" s="60"/>
      <c r="L118" s="60"/>
      <c r="M118" s="60"/>
      <c r="N118" s="60"/>
      <c r="O118" s="60"/>
      <c r="P118" s="61"/>
      <c r="Q118" s="61"/>
      <c r="R118" s="61">
        <v>10</v>
      </c>
      <c r="S118" s="61"/>
      <c r="T118" s="61"/>
      <c r="U118" s="61">
        <v>10</v>
      </c>
      <c r="V118" s="61"/>
      <c r="W118" s="61"/>
      <c r="X118" s="61"/>
      <c r="Y118" s="61"/>
      <c r="Z118" s="61"/>
      <c r="AA118" s="61"/>
      <c r="AB118" s="61"/>
      <c r="AC118" s="61"/>
      <c r="AD118" s="61"/>
      <c r="AE118" s="59"/>
      <c r="AF118" s="59"/>
      <c r="AG118" s="59"/>
      <c r="AH118" s="59"/>
      <c r="AI118" s="59"/>
      <c r="AJ118" s="59"/>
      <c r="AK118" s="59"/>
      <c r="AL118" s="59"/>
      <c r="AM118" s="59"/>
      <c r="AN118" s="59"/>
      <c r="AO118" s="59"/>
      <c r="AP118" s="59"/>
      <c r="AQ118" s="62"/>
      <c r="AR118" s="62"/>
      <c r="AS118" s="62"/>
      <c r="AT118" s="62"/>
      <c r="AU118" s="62">
        <v>10</v>
      </c>
      <c r="AV118" s="62"/>
      <c r="AW118" s="63"/>
      <c r="AX118" s="63"/>
      <c r="AY118" s="63"/>
      <c r="AZ118" s="63"/>
      <c r="BA118" s="63"/>
      <c r="BB118" s="63"/>
      <c r="BC118" s="64"/>
      <c r="BD118" s="59"/>
      <c r="BE118" s="59"/>
      <c r="BF118" s="59"/>
      <c r="BG118" s="59"/>
      <c r="BH118" s="59"/>
      <c r="BI118" s="59"/>
      <c r="BJ118" s="59"/>
      <c r="BK118" s="59"/>
      <c r="BL118" s="59"/>
      <c r="BM118" s="59"/>
      <c r="BN118" s="59"/>
      <c r="BO118" s="59"/>
      <c r="BP118" s="59">
        <f>SUM(E118:BO118)</f>
        <v>40</v>
      </c>
      <c r="BQ118" s="59">
        <v>18</v>
      </c>
      <c r="BR118" s="65">
        <v>2</v>
      </c>
      <c r="BS118" s="65" t="s">
        <v>301</v>
      </c>
      <c r="BT118">
        <f>SUM(P118:AD118)</f>
        <v>20</v>
      </c>
      <c r="BU118" s="23">
        <f>AF118+AH118+AI118+AJ118+AO118+AP118</f>
        <v>0</v>
      </c>
    </row>
    <row r="119" spans="1:73" ht="27" hidden="1">
      <c r="A119" s="1"/>
      <c r="B119" s="3" t="s">
        <v>229</v>
      </c>
      <c r="C119" s="3" t="s">
        <v>50</v>
      </c>
      <c r="D119" s="1" t="s">
        <v>197</v>
      </c>
      <c r="E119" s="6">
        <v>10</v>
      </c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28"/>
      <c r="Q119" s="28"/>
      <c r="R119" s="28">
        <v>10</v>
      </c>
      <c r="S119" s="28"/>
      <c r="T119" s="28"/>
      <c r="U119" s="28">
        <v>10</v>
      </c>
      <c r="V119" s="28"/>
      <c r="W119" s="28"/>
      <c r="X119" s="28"/>
      <c r="Y119" s="28"/>
      <c r="Z119" s="28"/>
      <c r="AA119" s="28"/>
      <c r="AB119" s="28"/>
      <c r="AC119" s="28"/>
      <c r="AD119" s="28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>
        <v>10</v>
      </c>
      <c r="AV119" s="4"/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>
        <f>SUM(E119:BO119)</f>
        <v>40</v>
      </c>
      <c r="BQ119" s="1">
        <v>18</v>
      </c>
      <c r="BR119" s="17">
        <v>2</v>
      </c>
      <c r="BS119" s="17" t="s">
        <v>301</v>
      </c>
      <c r="BT119">
        <f>SUM(P119:AD119)</f>
        <v>20</v>
      </c>
      <c r="BU119" s="23">
        <f>AF119+AH119+AI119+AJ119+AO119+AP119</f>
        <v>0</v>
      </c>
    </row>
    <row r="120" spans="1:73" ht="27" hidden="1">
      <c r="A120" s="1"/>
      <c r="B120" s="1" t="s">
        <v>244</v>
      </c>
      <c r="C120" s="1" t="s">
        <v>52</v>
      </c>
      <c r="D120" s="1" t="s">
        <v>238</v>
      </c>
      <c r="E120" s="6">
        <v>10</v>
      </c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28"/>
      <c r="Q120" s="28"/>
      <c r="R120" s="28">
        <v>10</v>
      </c>
      <c r="S120" s="28"/>
      <c r="T120" s="28"/>
      <c r="U120" s="28">
        <v>10</v>
      </c>
      <c r="V120" s="28"/>
      <c r="W120" s="28"/>
      <c r="X120" s="28"/>
      <c r="Y120" s="28"/>
      <c r="Z120" s="28"/>
      <c r="AA120" s="28"/>
      <c r="AB120" s="28"/>
      <c r="AC120" s="28"/>
      <c r="AD120" s="28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/>
      <c r="AU120" s="4">
        <v>10</v>
      </c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>
        <f>SUM(E120:BO120)</f>
        <v>40</v>
      </c>
      <c r="BQ120" s="1">
        <v>18</v>
      </c>
      <c r="BR120" s="17">
        <v>2</v>
      </c>
      <c r="BS120" s="17" t="s">
        <v>264</v>
      </c>
      <c r="BT120">
        <f>SUM(P120:AD120)</f>
        <v>20</v>
      </c>
      <c r="BU120" s="23">
        <f>AF120+AH120+AI120+AJ120+AO120+AP120</f>
        <v>0</v>
      </c>
    </row>
    <row r="121" spans="1:73" ht="27" hidden="1">
      <c r="A121" s="1"/>
      <c r="B121" s="1" t="s">
        <v>245</v>
      </c>
      <c r="C121" s="1" t="s">
        <v>52</v>
      </c>
      <c r="D121" s="1" t="s">
        <v>238</v>
      </c>
      <c r="E121" s="6"/>
      <c r="F121" s="6"/>
      <c r="G121" s="6"/>
      <c r="H121" s="6"/>
      <c r="I121" s="6"/>
      <c r="J121" s="6"/>
      <c r="K121" s="6"/>
      <c r="L121" s="6">
        <v>10</v>
      </c>
      <c r="M121" s="6"/>
      <c r="N121" s="6"/>
      <c r="O121" s="6"/>
      <c r="P121" s="28"/>
      <c r="Q121" s="28"/>
      <c r="R121" s="28">
        <v>10</v>
      </c>
      <c r="S121" s="28"/>
      <c r="T121" s="28"/>
      <c r="U121" s="28">
        <v>10</v>
      </c>
      <c r="V121" s="28"/>
      <c r="W121" s="28"/>
      <c r="X121" s="28"/>
      <c r="Y121" s="28"/>
      <c r="Z121" s="28"/>
      <c r="AA121" s="28"/>
      <c r="AB121" s="28"/>
      <c r="AC121" s="28"/>
      <c r="AD121" s="28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/>
      <c r="AV121" s="4">
        <v>10</v>
      </c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>
        <f>SUM(E121:BO121)</f>
        <v>40</v>
      </c>
      <c r="BQ121" s="1">
        <v>18</v>
      </c>
      <c r="BR121" s="17">
        <v>2</v>
      </c>
      <c r="BS121" s="17" t="s">
        <v>301</v>
      </c>
      <c r="BT121">
        <f>SUM(P121:AD121)</f>
        <v>20</v>
      </c>
      <c r="BU121" s="23">
        <f>AF121+AH121+AI121+AJ121+AO121+AP121</f>
        <v>0</v>
      </c>
    </row>
    <row r="122" spans="1:73" ht="27" hidden="1">
      <c r="A122" s="1"/>
      <c r="B122" s="1" t="s">
        <v>255</v>
      </c>
      <c r="C122" s="1" t="s">
        <v>52</v>
      </c>
      <c r="D122" s="1" t="s">
        <v>249</v>
      </c>
      <c r="E122" s="6"/>
      <c r="F122" s="6"/>
      <c r="G122" s="6"/>
      <c r="H122" s="6"/>
      <c r="I122" s="6"/>
      <c r="J122" s="6"/>
      <c r="K122" s="6"/>
      <c r="L122" s="6">
        <v>10</v>
      </c>
      <c r="M122" s="6"/>
      <c r="N122" s="6"/>
      <c r="O122" s="6"/>
      <c r="P122" s="28"/>
      <c r="Q122" s="28"/>
      <c r="R122" s="28">
        <v>10</v>
      </c>
      <c r="S122" s="28"/>
      <c r="T122" s="28"/>
      <c r="U122" s="28">
        <v>10</v>
      </c>
      <c r="V122" s="28"/>
      <c r="W122" s="28"/>
      <c r="X122" s="28"/>
      <c r="Y122" s="28"/>
      <c r="Z122" s="28"/>
      <c r="AA122" s="28"/>
      <c r="AB122" s="28"/>
      <c r="AC122" s="28"/>
      <c r="AD122" s="28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/>
      <c r="AV122" s="4">
        <v>10</v>
      </c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>
        <f>SUM(E122:BO122)</f>
        <v>40</v>
      </c>
      <c r="BQ122" s="1">
        <v>18</v>
      </c>
      <c r="BR122" s="17">
        <v>2</v>
      </c>
      <c r="BS122" s="17" t="s">
        <v>264</v>
      </c>
      <c r="BT122">
        <f>SUM(P122:AD122)</f>
        <v>20</v>
      </c>
      <c r="BU122" s="23">
        <f>AF122+AH122+AI122+AJ122+AO122+AP122</f>
        <v>0</v>
      </c>
    </row>
    <row r="123" spans="1:73" ht="27" hidden="1">
      <c r="A123" s="1"/>
      <c r="B123" s="1" t="s">
        <v>128</v>
      </c>
      <c r="C123" s="1" t="s">
        <v>127</v>
      </c>
      <c r="D123" s="1" t="s">
        <v>102</v>
      </c>
      <c r="E123" s="6"/>
      <c r="F123" s="6"/>
      <c r="G123" s="6">
        <v>10</v>
      </c>
      <c r="H123" s="6"/>
      <c r="I123" s="6"/>
      <c r="J123" s="6"/>
      <c r="K123" s="6"/>
      <c r="L123" s="6"/>
      <c r="M123" s="6"/>
      <c r="N123" s="6"/>
      <c r="O123" s="6"/>
      <c r="P123" s="28"/>
      <c r="Q123" s="28"/>
      <c r="R123" s="28"/>
      <c r="S123" s="28"/>
      <c r="T123" s="28"/>
      <c r="U123" s="28"/>
      <c r="V123" s="28"/>
      <c r="W123" s="28"/>
      <c r="X123" s="28">
        <v>10</v>
      </c>
      <c r="Y123" s="28"/>
      <c r="Z123" s="28"/>
      <c r="AA123" s="28"/>
      <c r="AB123" s="28"/>
      <c r="AC123" s="28"/>
      <c r="AD123" s="28">
        <v>10</v>
      </c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/>
      <c r="AT123" s="4"/>
      <c r="AU123" s="4"/>
      <c r="AV123" s="4">
        <v>10</v>
      </c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>
        <f>SUM(E123:BO123)</f>
        <v>40</v>
      </c>
      <c r="BQ123" s="1">
        <v>18</v>
      </c>
      <c r="BR123" s="17">
        <v>2</v>
      </c>
      <c r="BS123" s="17" t="s">
        <v>302</v>
      </c>
      <c r="BT123">
        <f>SUM(P123:AD123)</f>
        <v>20</v>
      </c>
      <c r="BU123" s="23">
        <f>AF123+AH123+AI123+AJ123+AO123+AP123</f>
        <v>0</v>
      </c>
    </row>
    <row r="124" spans="1:73" ht="27" hidden="1">
      <c r="A124" s="1"/>
      <c r="B124" s="1" t="s">
        <v>251</v>
      </c>
      <c r="C124" s="1" t="s">
        <v>97</v>
      </c>
      <c r="D124" s="1" t="s">
        <v>132</v>
      </c>
      <c r="E124" s="6"/>
      <c r="F124" s="6"/>
      <c r="G124" s="6">
        <v>10</v>
      </c>
      <c r="H124" s="6"/>
      <c r="I124" s="6"/>
      <c r="J124" s="6"/>
      <c r="K124" s="6"/>
      <c r="L124" s="6"/>
      <c r="M124" s="6"/>
      <c r="N124" s="6"/>
      <c r="O124" s="6"/>
      <c r="P124" s="28"/>
      <c r="Q124" s="28"/>
      <c r="R124" s="28"/>
      <c r="S124" s="28"/>
      <c r="T124" s="28"/>
      <c r="U124" s="28"/>
      <c r="V124" s="28"/>
      <c r="W124" s="28"/>
      <c r="X124" s="28">
        <v>10</v>
      </c>
      <c r="Y124" s="28"/>
      <c r="Z124" s="28"/>
      <c r="AA124" s="28"/>
      <c r="AB124" s="28"/>
      <c r="AC124" s="28"/>
      <c r="AD124" s="28">
        <v>10</v>
      </c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/>
      <c r="AU124" s="4"/>
      <c r="AV124" s="4">
        <v>10</v>
      </c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>
        <f>SUM(E124:BO124)</f>
        <v>40</v>
      </c>
      <c r="BQ124" s="1">
        <v>18</v>
      </c>
      <c r="BR124" s="17">
        <v>2</v>
      </c>
      <c r="BS124" s="17" t="s">
        <v>302</v>
      </c>
      <c r="BT124">
        <f>SUM(P124:AD124)</f>
        <v>20</v>
      </c>
      <c r="BU124" s="23">
        <f>AF124+AH124+AI124+AJ124+AO124+AP124</f>
        <v>0</v>
      </c>
    </row>
    <row r="125" spans="1:73" ht="27" hidden="1">
      <c r="A125" s="1"/>
      <c r="B125" s="3" t="s">
        <v>201</v>
      </c>
      <c r="C125" s="3" t="s">
        <v>202</v>
      </c>
      <c r="D125" s="1" t="s">
        <v>197</v>
      </c>
      <c r="E125" s="6"/>
      <c r="F125" s="6"/>
      <c r="G125" s="6">
        <v>10</v>
      </c>
      <c r="H125" s="6"/>
      <c r="I125" s="6"/>
      <c r="J125" s="6"/>
      <c r="K125" s="6"/>
      <c r="L125" s="6"/>
      <c r="M125" s="6"/>
      <c r="N125" s="6"/>
      <c r="O125" s="6"/>
      <c r="P125" s="28"/>
      <c r="Q125" s="28"/>
      <c r="R125" s="28"/>
      <c r="S125" s="28"/>
      <c r="T125" s="28"/>
      <c r="U125" s="28"/>
      <c r="V125" s="28"/>
      <c r="W125" s="28"/>
      <c r="X125" s="28">
        <v>10</v>
      </c>
      <c r="Y125" s="28"/>
      <c r="Z125" s="28"/>
      <c r="AA125" s="28"/>
      <c r="AB125" s="28"/>
      <c r="AC125" s="28"/>
      <c r="AD125" s="28">
        <v>10</v>
      </c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/>
      <c r="AS125" s="4"/>
      <c r="AT125" s="4"/>
      <c r="AU125" s="4"/>
      <c r="AV125" s="4">
        <v>10</v>
      </c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>
        <f>SUM(E125:BO125)</f>
        <v>40</v>
      </c>
      <c r="BQ125" s="1">
        <v>18</v>
      </c>
      <c r="BR125" s="17">
        <v>2</v>
      </c>
      <c r="BS125" s="17" t="s">
        <v>302</v>
      </c>
      <c r="BT125">
        <f>SUM(P125:AD125)</f>
        <v>20</v>
      </c>
      <c r="BU125" s="23">
        <f>AF125+AH125+AI125+AJ125+AO125+AP125</f>
        <v>0</v>
      </c>
    </row>
    <row r="126" spans="1:73" ht="27" hidden="1">
      <c r="A126" s="1"/>
      <c r="B126" s="1" t="s">
        <v>239</v>
      </c>
      <c r="C126" s="1" t="s">
        <v>118</v>
      </c>
      <c r="D126" s="1" t="s">
        <v>238</v>
      </c>
      <c r="E126" s="6"/>
      <c r="F126" s="6"/>
      <c r="G126" s="6">
        <v>10</v>
      </c>
      <c r="H126" s="6"/>
      <c r="I126" s="6"/>
      <c r="J126" s="6"/>
      <c r="K126" s="6"/>
      <c r="L126" s="6"/>
      <c r="M126" s="6"/>
      <c r="N126" s="6"/>
      <c r="O126" s="6"/>
      <c r="P126" s="28"/>
      <c r="Q126" s="28"/>
      <c r="R126" s="28"/>
      <c r="S126" s="28"/>
      <c r="T126" s="28"/>
      <c r="U126" s="28"/>
      <c r="V126" s="28"/>
      <c r="W126" s="28"/>
      <c r="X126" s="28">
        <v>10</v>
      </c>
      <c r="Y126" s="28"/>
      <c r="Z126" s="28"/>
      <c r="AA126" s="28"/>
      <c r="AB126" s="28"/>
      <c r="AC126" s="28"/>
      <c r="AD126" s="28">
        <v>10</v>
      </c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4"/>
      <c r="AR126" s="4"/>
      <c r="AS126" s="4"/>
      <c r="AT126" s="4"/>
      <c r="AU126" s="4"/>
      <c r="AV126" s="4">
        <v>10</v>
      </c>
      <c r="AW126" s="2"/>
      <c r="AX126" s="2"/>
      <c r="AY126" s="2"/>
      <c r="AZ126" s="2"/>
      <c r="BA126" s="2"/>
      <c r="BB126" s="2"/>
      <c r="BC126" s="14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>
        <f>SUM(E126:BO126)</f>
        <v>40</v>
      </c>
      <c r="BQ126" s="1">
        <v>18</v>
      </c>
      <c r="BR126" s="17">
        <v>2</v>
      </c>
      <c r="BS126" s="17" t="s">
        <v>303</v>
      </c>
      <c r="BT126">
        <f>SUM(P126:AD126)</f>
        <v>20</v>
      </c>
      <c r="BU126" s="23">
        <f>AF126+AH126+AI126+AJ126+AO126+AP126</f>
        <v>0</v>
      </c>
    </row>
    <row r="127" spans="1:73" ht="27" hidden="1">
      <c r="A127" s="1"/>
      <c r="B127" s="1" t="s">
        <v>111</v>
      </c>
      <c r="C127" s="1" t="s">
        <v>99</v>
      </c>
      <c r="D127" s="1" t="s">
        <v>102</v>
      </c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>
        <v>10</v>
      </c>
      <c r="P127" s="28"/>
      <c r="Q127" s="28"/>
      <c r="R127" s="28">
        <v>10</v>
      </c>
      <c r="S127" s="28"/>
      <c r="T127" s="28"/>
      <c r="U127" s="28"/>
      <c r="V127" s="28"/>
      <c r="W127" s="28"/>
      <c r="X127" s="28">
        <v>10</v>
      </c>
      <c r="Y127" s="28"/>
      <c r="Z127" s="28"/>
      <c r="AA127" s="28"/>
      <c r="AB127" s="28"/>
      <c r="AC127" s="28"/>
      <c r="AD127" s="28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4"/>
      <c r="AR127" s="4"/>
      <c r="AS127" s="4">
        <v>10</v>
      </c>
      <c r="AT127" s="4"/>
      <c r="AU127" s="4"/>
      <c r="AV127" s="4"/>
      <c r="AW127" s="2"/>
      <c r="AX127" s="2"/>
      <c r="AY127" s="2"/>
      <c r="AZ127" s="2"/>
      <c r="BA127" s="2"/>
      <c r="BB127" s="2"/>
      <c r="BC127" s="14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>
        <f>SUM(E127:BO127)</f>
        <v>40</v>
      </c>
      <c r="BQ127" s="1">
        <v>19</v>
      </c>
      <c r="BR127" s="17">
        <v>2</v>
      </c>
      <c r="BS127" s="17" t="s">
        <v>304</v>
      </c>
      <c r="BT127">
        <f>SUM(P127:AD127)</f>
        <v>20</v>
      </c>
      <c r="BU127" s="23">
        <f>AF127+AH127+AI127+AJ127+AO127+AP127</f>
        <v>0</v>
      </c>
    </row>
    <row r="128" spans="1:73" ht="27" hidden="1">
      <c r="A128" s="1"/>
      <c r="B128" s="3" t="s">
        <v>206</v>
      </c>
      <c r="C128" s="3" t="s">
        <v>98</v>
      </c>
      <c r="D128" s="1" t="s">
        <v>197</v>
      </c>
      <c r="E128" s="6"/>
      <c r="F128" s="6"/>
      <c r="G128" s="6"/>
      <c r="H128" s="6"/>
      <c r="I128" s="6">
        <v>10</v>
      </c>
      <c r="J128" s="6"/>
      <c r="K128" s="6"/>
      <c r="L128" s="6"/>
      <c r="M128" s="6"/>
      <c r="N128" s="6"/>
      <c r="O128" s="6"/>
      <c r="P128" s="28"/>
      <c r="Q128" s="28"/>
      <c r="R128" s="28">
        <v>10</v>
      </c>
      <c r="S128" s="28"/>
      <c r="T128" s="28"/>
      <c r="U128" s="28"/>
      <c r="V128" s="28"/>
      <c r="W128" s="28"/>
      <c r="X128" s="28">
        <v>10</v>
      </c>
      <c r="Y128" s="28"/>
      <c r="Z128" s="28"/>
      <c r="AA128" s="28"/>
      <c r="AB128" s="28"/>
      <c r="AC128" s="28"/>
      <c r="AD128" s="28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4"/>
      <c r="AR128" s="4"/>
      <c r="AS128" s="4"/>
      <c r="AT128" s="4">
        <v>10</v>
      </c>
      <c r="AU128" s="4"/>
      <c r="AV128" s="4"/>
      <c r="AW128" s="2"/>
      <c r="AX128" s="2"/>
      <c r="AY128" s="2"/>
      <c r="AZ128" s="2"/>
      <c r="BA128" s="2"/>
      <c r="BB128" s="2"/>
      <c r="BC128" s="14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>
        <f>SUM(E128:BO128)</f>
        <v>40</v>
      </c>
      <c r="BQ128" s="1">
        <v>19</v>
      </c>
      <c r="BR128" s="17">
        <v>2</v>
      </c>
      <c r="BS128" s="17" t="s">
        <v>304</v>
      </c>
      <c r="BT128">
        <f>SUM(P128:AD128)</f>
        <v>20</v>
      </c>
      <c r="BU128" s="23">
        <f>AF128+AH128+AI128+AJ128+AO128+AP128</f>
        <v>0</v>
      </c>
    </row>
    <row r="129" spans="1:73" ht="27" hidden="1">
      <c r="A129" s="1"/>
      <c r="B129" s="1" t="s">
        <v>241</v>
      </c>
      <c r="C129" s="1" t="s">
        <v>50</v>
      </c>
      <c r="D129" s="1" t="s">
        <v>238</v>
      </c>
      <c r="E129" s="6"/>
      <c r="F129" s="6"/>
      <c r="G129" s="6"/>
      <c r="H129" s="6"/>
      <c r="I129" s="6">
        <v>10</v>
      </c>
      <c r="J129" s="6"/>
      <c r="K129" s="6"/>
      <c r="L129" s="6"/>
      <c r="M129" s="6"/>
      <c r="N129" s="6"/>
      <c r="O129" s="6"/>
      <c r="P129" s="28"/>
      <c r="Q129" s="28"/>
      <c r="R129" s="28">
        <v>10</v>
      </c>
      <c r="S129" s="28"/>
      <c r="T129" s="28"/>
      <c r="U129" s="28"/>
      <c r="V129" s="28"/>
      <c r="W129" s="28"/>
      <c r="X129" s="28">
        <v>10</v>
      </c>
      <c r="Y129" s="28"/>
      <c r="Z129" s="28"/>
      <c r="AA129" s="28"/>
      <c r="AB129" s="28"/>
      <c r="AC129" s="28"/>
      <c r="AD129" s="28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4"/>
      <c r="AR129" s="4"/>
      <c r="AS129" s="4"/>
      <c r="AT129" s="4">
        <v>10</v>
      </c>
      <c r="AU129" s="4"/>
      <c r="AV129" s="4"/>
      <c r="AW129" s="2"/>
      <c r="AX129" s="2"/>
      <c r="AY129" s="2"/>
      <c r="AZ129" s="2"/>
      <c r="BA129" s="2"/>
      <c r="BB129" s="2"/>
      <c r="BC129" s="14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>
        <f>SUM(E129:BO129)</f>
        <v>40</v>
      </c>
      <c r="BQ129" s="1">
        <v>19</v>
      </c>
      <c r="BR129" s="17">
        <v>2</v>
      </c>
      <c r="BS129" s="17" t="s">
        <v>304</v>
      </c>
      <c r="BT129">
        <f>SUM(P129:AD129)</f>
        <v>20</v>
      </c>
      <c r="BU129" s="23">
        <f>AF129+AH129+AI129+AJ129+AO129+AP129</f>
        <v>0</v>
      </c>
    </row>
    <row r="130" spans="1:73" ht="27" hidden="1">
      <c r="A130" s="1"/>
      <c r="B130" s="1" t="s">
        <v>246</v>
      </c>
      <c r="C130" s="1" t="s">
        <v>52</v>
      </c>
      <c r="D130" s="1" t="s">
        <v>238</v>
      </c>
      <c r="E130" s="6"/>
      <c r="F130" s="6"/>
      <c r="G130" s="6"/>
      <c r="H130" s="6"/>
      <c r="I130" s="6">
        <v>10</v>
      </c>
      <c r="J130" s="6"/>
      <c r="K130" s="6"/>
      <c r="L130" s="6"/>
      <c r="M130" s="6"/>
      <c r="N130" s="6"/>
      <c r="O130" s="6"/>
      <c r="P130" s="28"/>
      <c r="Q130" s="28"/>
      <c r="R130" s="28">
        <v>10</v>
      </c>
      <c r="S130" s="28"/>
      <c r="T130" s="28"/>
      <c r="U130" s="28"/>
      <c r="V130" s="28"/>
      <c r="W130" s="28"/>
      <c r="X130" s="28">
        <v>10</v>
      </c>
      <c r="Y130" s="28"/>
      <c r="Z130" s="28"/>
      <c r="AA130" s="28"/>
      <c r="AB130" s="28"/>
      <c r="AC130" s="28"/>
      <c r="AD130" s="28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4"/>
      <c r="AR130" s="4"/>
      <c r="AS130" s="4"/>
      <c r="AT130" s="4">
        <v>10</v>
      </c>
      <c r="AU130" s="4"/>
      <c r="AV130" s="4"/>
      <c r="AW130" s="2"/>
      <c r="AX130" s="2"/>
      <c r="AY130" s="2"/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>
        <f>SUM(E130:BO130)</f>
        <v>40</v>
      </c>
      <c r="BQ130" s="1">
        <v>19</v>
      </c>
      <c r="BR130" s="17">
        <v>2</v>
      </c>
      <c r="BS130" s="17" t="s">
        <v>265</v>
      </c>
      <c r="BT130">
        <f>SUM(P130:AD130)</f>
        <v>20</v>
      </c>
      <c r="BU130" s="23">
        <f>AF130+AH130+AI130+AJ130+AO130+AP130</f>
        <v>0</v>
      </c>
    </row>
    <row r="131" spans="1:73" ht="27" hidden="1">
      <c r="A131" s="1"/>
      <c r="B131" s="1" t="s">
        <v>89</v>
      </c>
      <c r="C131" s="1" t="s">
        <v>86</v>
      </c>
      <c r="D131" s="1" t="s">
        <v>84</v>
      </c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>
        <v>10</v>
      </c>
      <c r="AP131" s="1">
        <v>10</v>
      </c>
      <c r="AQ131" s="4"/>
      <c r="AR131" s="4"/>
      <c r="AS131" s="4">
        <v>5</v>
      </c>
      <c r="AT131" s="4"/>
      <c r="AU131" s="4"/>
      <c r="AV131" s="4"/>
      <c r="AW131" s="2"/>
      <c r="AX131" s="2">
        <v>5</v>
      </c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>
        <f>SUM(E131:BO131)</f>
        <v>30</v>
      </c>
      <c r="BQ131" s="1">
        <v>20</v>
      </c>
      <c r="BR131" s="17">
        <v>2</v>
      </c>
      <c r="BS131" s="17" t="s">
        <v>266</v>
      </c>
      <c r="BT131">
        <f>SUM(P131:AD131)</f>
        <v>0</v>
      </c>
      <c r="BU131" s="23">
        <f>AF131+AH131+AI131+AJ131+AO131+AP131</f>
        <v>20</v>
      </c>
    </row>
    <row r="132" spans="1:73" ht="27">
      <c r="A132" s="1"/>
      <c r="B132" s="1" t="s">
        <v>85</v>
      </c>
      <c r="C132" s="1" t="s">
        <v>86</v>
      </c>
      <c r="D132" s="1" t="s">
        <v>83</v>
      </c>
      <c r="E132" s="6"/>
      <c r="F132" s="6"/>
      <c r="G132" s="6">
        <v>15</v>
      </c>
      <c r="H132" s="6">
        <v>15</v>
      </c>
      <c r="I132" s="6"/>
      <c r="J132" s="6"/>
      <c r="K132" s="6"/>
      <c r="L132" s="6"/>
      <c r="M132" s="6"/>
      <c r="N132" s="6"/>
      <c r="O132" s="6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4"/>
      <c r="AR132" s="4"/>
      <c r="AS132" s="4">
        <v>15</v>
      </c>
      <c r="AT132" s="4"/>
      <c r="AU132" s="4"/>
      <c r="AV132" s="4"/>
      <c r="AW132" s="2"/>
      <c r="AX132" s="2"/>
      <c r="AY132" s="2"/>
      <c r="AZ132" s="2"/>
      <c r="BA132" s="2"/>
      <c r="BB132" s="2">
        <v>15</v>
      </c>
      <c r="BC132" s="14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>
        <f>SUM(E132:BO132)</f>
        <v>60</v>
      </c>
      <c r="BQ132" s="1">
        <v>27</v>
      </c>
      <c r="BR132" s="17">
        <v>2</v>
      </c>
      <c r="BS132" s="17" t="s">
        <v>306</v>
      </c>
      <c r="BT132">
        <f>SUM(P132:AD132)</f>
        <v>0</v>
      </c>
      <c r="BU132" s="23">
        <f>AF132+AH132+AI132+AJ132+AO132+AP132</f>
        <v>0</v>
      </c>
    </row>
    <row r="133" spans="1:73" ht="27">
      <c r="A133" s="18">
        <v>65</v>
      </c>
      <c r="B133" s="24" t="s">
        <v>48</v>
      </c>
      <c r="C133" s="18" t="s">
        <v>43</v>
      </c>
      <c r="D133" s="18" t="s">
        <v>9</v>
      </c>
      <c r="E133" s="19"/>
      <c r="F133" s="19"/>
      <c r="G133" s="19">
        <v>10</v>
      </c>
      <c r="H133" s="19"/>
      <c r="I133" s="19"/>
      <c r="J133" s="19"/>
      <c r="K133" s="19"/>
      <c r="L133" s="19"/>
      <c r="M133" s="19"/>
      <c r="N133" s="19"/>
      <c r="O133" s="1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18"/>
      <c r="AF133" s="18"/>
      <c r="AG133" s="18"/>
      <c r="AH133" s="18"/>
      <c r="AI133" s="18"/>
      <c r="AJ133" s="18"/>
      <c r="AK133" s="18"/>
      <c r="AL133" s="18"/>
      <c r="AM133" s="18"/>
      <c r="AN133" s="18">
        <v>25</v>
      </c>
      <c r="AO133" s="18"/>
      <c r="AP133" s="18"/>
      <c r="AQ133" s="20"/>
      <c r="AR133" s="20"/>
      <c r="AS133" s="20"/>
      <c r="AT133" s="20"/>
      <c r="AU133" s="20"/>
      <c r="AV133" s="20">
        <v>10</v>
      </c>
      <c r="AW133" s="21"/>
      <c r="AX133" s="21"/>
      <c r="AY133" s="21"/>
      <c r="AZ133" s="21">
        <v>10</v>
      </c>
      <c r="BA133" s="21"/>
      <c r="BB133" s="21"/>
      <c r="BC133" s="26"/>
      <c r="BD133" s="18"/>
      <c r="BE133" s="18"/>
      <c r="BF133" s="18"/>
      <c r="BG133" s="18"/>
      <c r="BH133" s="18"/>
      <c r="BI133" s="18"/>
      <c r="BJ133" s="18"/>
      <c r="BK133" s="18"/>
      <c r="BL133" s="18"/>
      <c r="BM133" s="18"/>
      <c r="BN133" s="18"/>
      <c r="BO133" s="18"/>
      <c r="BP133" s="18">
        <f>SUM(E133:BO133)</f>
        <v>55</v>
      </c>
      <c r="BQ133" s="18">
        <v>33</v>
      </c>
      <c r="BR133" s="22">
        <v>2</v>
      </c>
      <c r="BS133" s="22" t="s">
        <v>307</v>
      </c>
      <c r="BT133">
        <f>SUM(P133:AD133)</f>
        <v>0</v>
      </c>
      <c r="BU133" s="23">
        <f>AF133+AH133+AI133+AJ133+AO133+AP133</f>
        <v>0</v>
      </c>
    </row>
    <row r="134" spans="1:73" ht="27">
      <c r="A134" s="1"/>
      <c r="B134" s="1" t="s">
        <v>85</v>
      </c>
      <c r="C134" s="1" t="s">
        <v>86</v>
      </c>
      <c r="D134" s="1" t="s">
        <v>87</v>
      </c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4"/>
      <c r="AR134" s="4"/>
      <c r="AS134" s="4"/>
      <c r="AT134" s="4"/>
      <c r="AU134" s="4"/>
      <c r="AV134" s="4">
        <v>40</v>
      </c>
      <c r="AW134" s="2">
        <v>40</v>
      </c>
      <c r="AX134" s="2"/>
      <c r="AY134" s="2"/>
      <c r="AZ134" s="2"/>
      <c r="BA134" s="2"/>
      <c r="BB134" s="2">
        <v>40</v>
      </c>
      <c r="BC134" s="14">
        <v>10</v>
      </c>
      <c r="BD134" s="1">
        <v>50</v>
      </c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>
        <f>SUM(E134:BO134)</f>
        <v>180</v>
      </c>
      <c r="BQ134" s="1">
        <v>43</v>
      </c>
      <c r="BR134" s="17">
        <v>2</v>
      </c>
      <c r="BS134" s="17" t="s">
        <v>305</v>
      </c>
      <c r="BT134">
        <f>SUM(P134:AD134)</f>
        <v>0</v>
      </c>
      <c r="BU134" s="23">
        <f>AF134+AH134+AI134+AJ134+AO134+AP134</f>
        <v>0</v>
      </c>
    </row>
    <row r="135" spans="1:73" ht="27">
      <c r="A135" s="1">
        <v>23</v>
      </c>
      <c r="B135" s="1" t="s">
        <v>80</v>
      </c>
      <c r="C135" s="1" t="s">
        <v>24</v>
      </c>
      <c r="D135" s="1" t="s">
        <v>29</v>
      </c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4"/>
      <c r="AR135" s="4"/>
      <c r="AS135" s="4"/>
      <c r="AT135" s="4"/>
      <c r="AU135" s="4"/>
      <c r="AV135" s="4"/>
      <c r="AW135" s="2"/>
      <c r="AX135" s="2"/>
      <c r="AY135" s="2"/>
      <c r="AZ135" s="2"/>
      <c r="BA135" s="2"/>
      <c r="BB135" s="2"/>
      <c r="BC135" s="14"/>
      <c r="BD135" s="1"/>
      <c r="BE135" s="1"/>
      <c r="BF135" s="1"/>
      <c r="BG135" s="1"/>
      <c r="BH135" s="1"/>
      <c r="BI135" s="1"/>
      <c r="BJ135" s="1">
        <v>50</v>
      </c>
      <c r="BK135" s="1">
        <v>50</v>
      </c>
      <c r="BL135" s="1"/>
      <c r="BM135" s="1"/>
      <c r="BN135" s="1">
        <v>50</v>
      </c>
      <c r="BO135" s="1">
        <v>50</v>
      </c>
      <c r="BP135" s="1">
        <f>SUM(E135:BO135)</f>
        <v>200</v>
      </c>
      <c r="BQ135" s="1">
        <v>90</v>
      </c>
      <c r="BR135" s="17">
        <v>2</v>
      </c>
      <c r="BS135" s="17" t="s">
        <v>309</v>
      </c>
      <c r="BT135">
        <f>SUM(P135:AD135)</f>
        <v>0</v>
      </c>
      <c r="BU135" s="23">
        <f>AF135+AH135+AI135+AJ135+AO135+AP135</f>
        <v>0</v>
      </c>
    </row>
    <row r="136" spans="1:73" ht="27">
      <c r="A136" s="1"/>
      <c r="B136" s="1" t="s">
        <v>141</v>
      </c>
      <c r="C136" s="1" t="s">
        <v>94</v>
      </c>
      <c r="D136" s="1" t="s">
        <v>95</v>
      </c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4"/>
      <c r="AR136" s="4"/>
      <c r="AS136" s="4"/>
      <c r="AT136" s="4"/>
      <c r="AU136" s="4"/>
      <c r="AV136" s="4"/>
      <c r="AW136" s="2"/>
      <c r="AX136" s="2"/>
      <c r="AY136" s="2"/>
      <c r="AZ136" s="2"/>
      <c r="BA136" s="2"/>
      <c r="BB136" s="2"/>
      <c r="BC136" s="14"/>
      <c r="BD136" s="1"/>
      <c r="BE136" s="1"/>
      <c r="BF136" s="1"/>
      <c r="BG136" s="1"/>
      <c r="BH136" s="1"/>
      <c r="BI136" s="1"/>
      <c r="BJ136" s="1">
        <v>50</v>
      </c>
      <c r="BK136" s="1">
        <v>50</v>
      </c>
      <c r="BL136" s="1"/>
      <c r="BM136" s="1"/>
      <c r="BN136" s="1">
        <v>50</v>
      </c>
      <c r="BO136" s="1">
        <v>50</v>
      </c>
      <c r="BP136" s="1">
        <f>SUM(E136:BO136)</f>
        <v>200</v>
      </c>
      <c r="BQ136" s="1">
        <v>90</v>
      </c>
      <c r="BR136" s="17">
        <v>2</v>
      </c>
      <c r="BS136" s="17" t="s">
        <v>309</v>
      </c>
      <c r="BT136">
        <f>SUM(P136:AD136)</f>
        <v>0</v>
      </c>
      <c r="BU136" s="23">
        <f>AF136+AH136+AI136+AJ136+AO136+AP136</f>
        <v>0</v>
      </c>
    </row>
    <row r="137" spans="1:73" ht="27">
      <c r="A137" s="1"/>
      <c r="B137" s="1" t="s">
        <v>139</v>
      </c>
      <c r="C137" s="1" t="s">
        <v>126</v>
      </c>
      <c r="D137" s="1" t="s">
        <v>29</v>
      </c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4"/>
      <c r="AR137" s="4"/>
      <c r="AS137" s="4"/>
      <c r="AT137" s="4"/>
      <c r="AU137" s="4"/>
      <c r="AV137" s="4"/>
      <c r="AW137" s="2"/>
      <c r="AX137" s="2"/>
      <c r="AY137" s="2"/>
      <c r="AZ137" s="2"/>
      <c r="BA137" s="2"/>
      <c r="BB137" s="2"/>
      <c r="BC137" s="14"/>
      <c r="BD137" s="1"/>
      <c r="BE137" s="1"/>
      <c r="BF137" s="1"/>
      <c r="BG137" s="1"/>
      <c r="BH137" s="1"/>
      <c r="BI137" s="1"/>
      <c r="BJ137" s="1">
        <v>50</v>
      </c>
      <c r="BK137" s="1">
        <v>50</v>
      </c>
      <c r="BL137" s="1"/>
      <c r="BM137" s="1"/>
      <c r="BN137" s="1">
        <v>50</v>
      </c>
      <c r="BO137" s="1">
        <v>50</v>
      </c>
      <c r="BP137" s="1">
        <f>SUM(E137:BO137)</f>
        <v>200</v>
      </c>
      <c r="BQ137" s="1">
        <v>90</v>
      </c>
      <c r="BR137" s="17">
        <v>2</v>
      </c>
      <c r="BS137" s="17" t="s">
        <v>309</v>
      </c>
      <c r="BT137">
        <f>SUM(P137:AD137)</f>
        <v>0</v>
      </c>
      <c r="BU137" s="23">
        <f>AF137+AH137+AI137+AJ137+AO137+AP137</f>
        <v>0</v>
      </c>
    </row>
    <row r="138" spans="1:73" ht="27">
      <c r="A138" s="1">
        <v>102</v>
      </c>
      <c r="B138" s="3" t="s">
        <v>168</v>
      </c>
      <c r="C138" s="3" t="s">
        <v>52</v>
      </c>
      <c r="D138" s="1" t="s">
        <v>29</v>
      </c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4"/>
      <c r="AR138" s="4"/>
      <c r="AS138" s="4"/>
      <c r="AT138" s="4"/>
      <c r="AU138" s="4"/>
      <c r="AV138" s="4"/>
      <c r="AW138" s="2"/>
      <c r="AX138" s="2"/>
      <c r="AY138" s="2"/>
      <c r="AZ138" s="2"/>
      <c r="BA138" s="2"/>
      <c r="BB138" s="2"/>
      <c r="BC138" s="14"/>
      <c r="BD138" s="1"/>
      <c r="BE138" s="1"/>
      <c r="BF138" s="1"/>
      <c r="BG138" s="1"/>
      <c r="BH138" s="1"/>
      <c r="BI138" s="1"/>
      <c r="BJ138" s="1">
        <v>50</v>
      </c>
      <c r="BK138" s="1">
        <v>50</v>
      </c>
      <c r="BL138" s="1"/>
      <c r="BM138" s="1"/>
      <c r="BN138" s="1">
        <v>50</v>
      </c>
      <c r="BO138" s="1">
        <v>50</v>
      </c>
      <c r="BP138" s="1">
        <f>SUM(E138:BO138)</f>
        <v>200</v>
      </c>
      <c r="BQ138" s="1">
        <v>90</v>
      </c>
      <c r="BR138" s="17">
        <v>2</v>
      </c>
      <c r="BS138" s="17" t="s">
        <v>309</v>
      </c>
      <c r="BT138">
        <f>SUM(P138:AD138)</f>
        <v>0</v>
      </c>
      <c r="BU138" s="23">
        <f>AF138+AH138+AI138+AJ138+AO138+AP138</f>
        <v>0</v>
      </c>
    </row>
    <row r="139" spans="1:73" ht="40.5" hidden="1">
      <c r="A139" s="1"/>
      <c r="B139" s="3" t="s">
        <v>195</v>
      </c>
      <c r="C139" s="3" t="s">
        <v>50</v>
      </c>
      <c r="D139" s="1" t="s">
        <v>0</v>
      </c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28"/>
      <c r="Q139" s="28"/>
      <c r="R139" s="28">
        <v>2</v>
      </c>
      <c r="S139" s="28"/>
      <c r="T139" s="28"/>
      <c r="U139" s="28">
        <v>2</v>
      </c>
      <c r="V139" s="28"/>
      <c r="W139" s="28"/>
      <c r="X139" s="28">
        <v>2</v>
      </c>
      <c r="Y139" s="28"/>
      <c r="Z139" s="28">
        <v>5</v>
      </c>
      <c r="AA139" s="28"/>
      <c r="AB139" s="28"/>
      <c r="AC139" s="28"/>
      <c r="AD139" s="28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4"/>
      <c r="AR139" s="4"/>
      <c r="AS139" s="4"/>
      <c r="AT139" s="4"/>
      <c r="AU139" s="4"/>
      <c r="AV139" s="4"/>
      <c r="AW139" s="2"/>
      <c r="AX139" s="2"/>
      <c r="AY139" s="2"/>
      <c r="AZ139" s="2"/>
      <c r="BA139" s="2"/>
      <c r="BB139" s="2"/>
      <c r="BC139" s="14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>
        <f>SUM(E139:BO139)</f>
        <v>11</v>
      </c>
      <c r="BQ139" s="1">
        <v>4</v>
      </c>
      <c r="BR139" s="17">
        <v>3</v>
      </c>
      <c r="BS139" s="17" t="s">
        <v>267</v>
      </c>
      <c r="BT139">
        <f>SUM(P139:AD139)</f>
        <v>11</v>
      </c>
      <c r="BU139" s="23">
        <f>AF139+AH139+AI139+AJ139+AO139+AP139</f>
        <v>0</v>
      </c>
    </row>
    <row r="140" spans="1:73" ht="40.5" hidden="1">
      <c r="A140" s="1">
        <v>28</v>
      </c>
      <c r="B140" s="1" t="s">
        <v>57</v>
      </c>
      <c r="C140" s="1" t="s">
        <v>24</v>
      </c>
      <c r="D140" s="1" t="s">
        <v>0</v>
      </c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1"/>
      <c r="AF140" s="1"/>
      <c r="AG140" s="1"/>
      <c r="AH140" s="1">
        <v>5</v>
      </c>
      <c r="AI140" s="1">
        <v>5</v>
      </c>
      <c r="AJ140" s="1">
        <v>5</v>
      </c>
      <c r="AK140" s="1"/>
      <c r="AL140" s="1"/>
      <c r="AM140" s="1"/>
      <c r="AN140" s="1"/>
      <c r="AO140" s="1"/>
      <c r="AP140" s="1"/>
      <c r="AQ140" s="4"/>
      <c r="AR140" s="4"/>
      <c r="AS140" s="4"/>
      <c r="AT140" s="4"/>
      <c r="AU140" s="4"/>
      <c r="AV140" s="4"/>
      <c r="AW140" s="2"/>
      <c r="AX140" s="2"/>
      <c r="AY140" s="2"/>
      <c r="AZ140" s="2"/>
      <c r="BA140" s="2"/>
      <c r="BB140" s="2"/>
      <c r="BC140" s="14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>
        <f>SUM(E140:BO140)</f>
        <v>15</v>
      </c>
      <c r="BQ140" s="1">
        <v>15</v>
      </c>
      <c r="BR140" s="17">
        <v>3</v>
      </c>
      <c r="BS140" s="17" t="s">
        <v>310</v>
      </c>
      <c r="BT140">
        <f>SUM(P140:AD140)</f>
        <v>0</v>
      </c>
      <c r="BU140" s="23">
        <f>AF140+AH140+AI140+AJ140+AO140+AP140</f>
        <v>15</v>
      </c>
    </row>
    <row r="141" spans="1:73" ht="40.5" hidden="1">
      <c r="A141" s="1">
        <v>89</v>
      </c>
      <c r="B141" s="3" t="s">
        <v>62</v>
      </c>
      <c r="C141" s="3" t="s">
        <v>63</v>
      </c>
      <c r="D141" s="1" t="s">
        <v>0</v>
      </c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1"/>
      <c r="AF141" s="1">
        <v>5</v>
      </c>
      <c r="AG141" s="1"/>
      <c r="AH141" s="1">
        <v>5</v>
      </c>
      <c r="AI141" s="1">
        <v>5</v>
      </c>
      <c r="AJ141" s="1"/>
      <c r="AK141" s="1"/>
      <c r="AL141" s="1"/>
      <c r="AM141" s="1"/>
      <c r="AN141" s="1"/>
      <c r="AO141" s="1"/>
      <c r="AP141" s="1"/>
      <c r="AQ141" s="4"/>
      <c r="AR141" s="4"/>
      <c r="AS141" s="4"/>
      <c r="AT141" s="4"/>
      <c r="AU141" s="4"/>
      <c r="AV141" s="4"/>
      <c r="AW141" s="2"/>
      <c r="AX141" s="2"/>
      <c r="AY141" s="2"/>
      <c r="AZ141" s="2"/>
      <c r="BA141" s="2"/>
      <c r="BB141" s="2"/>
      <c r="BC141" s="14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>
        <f>SUM(E141:BO141)</f>
        <v>15</v>
      </c>
      <c r="BQ141" s="1">
        <v>15</v>
      </c>
      <c r="BR141" s="17">
        <v>3</v>
      </c>
      <c r="BS141" s="17" t="s">
        <v>268</v>
      </c>
      <c r="BT141">
        <f>SUM(P141:AD141)</f>
        <v>0</v>
      </c>
      <c r="BU141" s="23">
        <f>AF141+AH141+AI141+AJ141+AO141+AP141</f>
        <v>15</v>
      </c>
    </row>
    <row r="142" spans="1:73" ht="40.5" hidden="1">
      <c r="A142" s="1"/>
      <c r="B142" s="1" t="s">
        <v>129</v>
      </c>
      <c r="C142" s="1" t="s">
        <v>127</v>
      </c>
      <c r="D142" s="1" t="s">
        <v>102</v>
      </c>
      <c r="E142" s="6"/>
      <c r="F142" s="6"/>
      <c r="G142" s="6"/>
      <c r="H142" s="6">
        <v>10</v>
      </c>
      <c r="I142" s="6"/>
      <c r="J142" s="6"/>
      <c r="K142" s="6"/>
      <c r="L142" s="6"/>
      <c r="M142" s="6"/>
      <c r="N142" s="6"/>
      <c r="O142" s="6"/>
      <c r="P142" s="28"/>
      <c r="Q142" s="28"/>
      <c r="R142" s="28">
        <v>10</v>
      </c>
      <c r="S142" s="28"/>
      <c r="T142" s="28"/>
      <c r="U142" s="28">
        <v>10</v>
      </c>
      <c r="V142" s="28"/>
      <c r="W142" s="28"/>
      <c r="X142" s="28"/>
      <c r="Y142" s="28"/>
      <c r="Z142" s="28"/>
      <c r="AA142" s="28"/>
      <c r="AB142" s="28"/>
      <c r="AC142" s="28"/>
      <c r="AD142" s="28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4"/>
      <c r="AR142" s="4"/>
      <c r="AS142" s="4"/>
      <c r="AT142" s="4"/>
      <c r="AU142" s="4">
        <v>10</v>
      </c>
      <c r="AV142" s="4"/>
      <c r="AW142" s="2"/>
      <c r="AX142" s="2"/>
      <c r="AY142" s="2"/>
      <c r="AZ142" s="2"/>
      <c r="BA142" s="2"/>
      <c r="BB142" s="2"/>
      <c r="BC142" s="14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>
        <f>SUM(E142:BO142)</f>
        <v>40</v>
      </c>
      <c r="BQ142" s="1">
        <v>27</v>
      </c>
      <c r="BR142" s="17">
        <v>3</v>
      </c>
      <c r="BS142" s="17" t="s">
        <v>312</v>
      </c>
      <c r="BT142">
        <f>SUM(P142:AD142)</f>
        <v>20</v>
      </c>
      <c r="BU142" s="23">
        <f>AF142+AH142+AI142+AJ142+AO142+AP142</f>
        <v>0</v>
      </c>
    </row>
    <row r="143" spans="1:73" ht="40.5" hidden="1">
      <c r="A143" s="1"/>
      <c r="B143" s="1" t="s">
        <v>116</v>
      </c>
      <c r="C143" s="1" t="s">
        <v>99</v>
      </c>
      <c r="D143" s="1" t="s">
        <v>102</v>
      </c>
      <c r="E143" s="6"/>
      <c r="F143" s="6"/>
      <c r="G143" s="6"/>
      <c r="H143" s="6">
        <v>10</v>
      </c>
      <c r="I143" s="6"/>
      <c r="J143" s="6"/>
      <c r="K143" s="6"/>
      <c r="L143" s="6"/>
      <c r="M143" s="6"/>
      <c r="N143" s="6"/>
      <c r="O143" s="6"/>
      <c r="P143" s="28"/>
      <c r="Q143" s="28"/>
      <c r="R143" s="28">
        <v>10</v>
      </c>
      <c r="S143" s="28"/>
      <c r="T143" s="28"/>
      <c r="U143" s="28"/>
      <c r="V143" s="28"/>
      <c r="W143" s="28"/>
      <c r="X143" s="28">
        <v>10</v>
      </c>
      <c r="Y143" s="28"/>
      <c r="Z143" s="28"/>
      <c r="AA143" s="28"/>
      <c r="AB143" s="28"/>
      <c r="AC143" s="28"/>
      <c r="AD143" s="28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4"/>
      <c r="AR143" s="4">
        <v>10</v>
      </c>
      <c r="AS143" s="4"/>
      <c r="AT143" s="4"/>
      <c r="AU143" s="4"/>
      <c r="AV143" s="4"/>
      <c r="AW143" s="2"/>
      <c r="AX143" s="2"/>
      <c r="AY143" s="2"/>
      <c r="AZ143" s="2"/>
      <c r="BA143" s="2"/>
      <c r="BB143" s="2"/>
      <c r="BC143" s="14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>
        <f>SUM(E143:BO143)</f>
        <v>40</v>
      </c>
      <c r="BQ143" s="1">
        <v>28</v>
      </c>
      <c r="BR143" s="17">
        <v>3</v>
      </c>
      <c r="BS143" s="17" t="s">
        <v>313</v>
      </c>
      <c r="BT143">
        <f>SUM(P143:AD143)</f>
        <v>20</v>
      </c>
      <c r="BU143" s="23">
        <f>AF143+AH143+AI143+AJ143+AO143+AP143</f>
        <v>0</v>
      </c>
    </row>
    <row r="144" spans="1:73" ht="40.5" hidden="1">
      <c r="A144" s="1"/>
      <c r="B144" s="3" t="s">
        <v>207</v>
      </c>
      <c r="C144" s="3" t="s">
        <v>98</v>
      </c>
      <c r="D144" s="1" t="s">
        <v>197</v>
      </c>
      <c r="E144" s="6"/>
      <c r="F144" s="6"/>
      <c r="G144" s="6"/>
      <c r="H144" s="6">
        <v>10</v>
      </c>
      <c r="I144" s="6"/>
      <c r="J144" s="6"/>
      <c r="K144" s="6"/>
      <c r="L144" s="6"/>
      <c r="M144" s="6"/>
      <c r="N144" s="6"/>
      <c r="O144" s="6"/>
      <c r="P144" s="28"/>
      <c r="Q144" s="28"/>
      <c r="R144" s="28">
        <v>10</v>
      </c>
      <c r="S144" s="28"/>
      <c r="T144" s="28"/>
      <c r="U144" s="28"/>
      <c r="V144" s="28"/>
      <c r="W144" s="28"/>
      <c r="X144" s="28">
        <v>10</v>
      </c>
      <c r="Y144" s="28"/>
      <c r="Z144" s="28"/>
      <c r="AA144" s="28"/>
      <c r="AB144" s="28"/>
      <c r="AC144" s="28"/>
      <c r="AD144" s="28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4"/>
      <c r="AR144" s="4">
        <v>10</v>
      </c>
      <c r="AS144" s="4"/>
      <c r="AT144" s="4"/>
      <c r="AU144" s="4"/>
      <c r="AV144" s="4"/>
      <c r="AW144" s="2"/>
      <c r="AX144" s="2"/>
      <c r="AY144" s="2"/>
      <c r="AZ144" s="2"/>
      <c r="BA144" s="2"/>
      <c r="BB144" s="2"/>
      <c r="BC144" s="14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>
        <f>SUM(E144:BO144)</f>
        <v>40</v>
      </c>
      <c r="BQ144" s="1">
        <v>28</v>
      </c>
      <c r="BR144" s="17">
        <v>3</v>
      </c>
      <c r="BS144" s="17" t="s">
        <v>314</v>
      </c>
      <c r="BT144">
        <f>SUM(P144:AD144)</f>
        <v>20</v>
      </c>
      <c r="BU144" s="23">
        <f>AF144+AH144+AI144+AJ144+AO144+AP144</f>
        <v>0</v>
      </c>
    </row>
    <row r="145" spans="1:73" ht="40.5" hidden="1">
      <c r="A145" s="1"/>
      <c r="B145" s="1" t="s">
        <v>243</v>
      </c>
      <c r="C145" s="1" t="s">
        <v>50</v>
      </c>
      <c r="D145" s="1" t="s">
        <v>238</v>
      </c>
      <c r="E145" s="6"/>
      <c r="F145" s="6"/>
      <c r="G145" s="6"/>
      <c r="H145" s="6">
        <v>10</v>
      </c>
      <c r="I145" s="6"/>
      <c r="J145" s="6"/>
      <c r="K145" s="6"/>
      <c r="L145" s="6"/>
      <c r="M145" s="6"/>
      <c r="N145" s="6"/>
      <c r="O145" s="6"/>
      <c r="P145" s="28"/>
      <c r="Q145" s="28"/>
      <c r="R145" s="28">
        <v>10</v>
      </c>
      <c r="S145" s="28"/>
      <c r="T145" s="28"/>
      <c r="U145" s="28"/>
      <c r="V145" s="28"/>
      <c r="W145" s="28"/>
      <c r="X145" s="28">
        <v>10</v>
      </c>
      <c r="Y145" s="28"/>
      <c r="Z145" s="28"/>
      <c r="AA145" s="28"/>
      <c r="AB145" s="28"/>
      <c r="AC145" s="28"/>
      <c r="AD145" s="28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4"/>
      <c r="AR145" s="4">
        <v>10</v>
      </c>
      <c r="AS145" s="4"/>
      <c r="AT145" s="4"/>
      <c r="AU145" s="4"/>
      <c r="AV145" s="4"/>
      <c r="AW145" s="2"/>
      <c r="AX145" s="2"/>
      <c r="AY145" s="2"/>
      <c r="AZ145" s="2"/>
      <c r="BA145" s="2"/>
      <c r="BB145" s="2"/>
      <c r="BC145" s="14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>
        <f>SUM(E145:BO145)</f>
        <v>40</v>
      </c>
      <c r="BQ145" s="1">
        <v>28</v>
      </c>
      <c r="BR145" s="17">
        <v>3</v>
      </c>
      <c r="BS145" s="17" t="s">
        <v>314</v>
      </c>
      <c r="BT145">
        <f>SUM(P145:AD145)</f>
        <v>20</v>
      </c>
      <c r="BU145" s="23">
        <f>AF145+AH145+AI145+AJ145+AO145+AP145</f>
        <v>0</v>
      </c>
    </row>
    <row r="146" spans="1:73" ht="40.5">
      <c r="A146" s="59">
        <v>4</v>
      </c>
      <c r="B146" s="59" t="s">
        <v>231</v>
      </c>
      <c r="C146" s="59" t="s">
        <v>1</v>
      </c>
      <c r="D146" s="59" t="s">
        <v>177</v>
      </c>
      <c r="E146" s="60"/>
      <c r="F146" s="60"/>
      <c r="G146" s="60"/>
      <c r="H146" s="60"/>
      <c r="I146" s="60"/>
      <c r="J146" s="60"/>
      <c r="K146" s="60"/>
      <c r="L146" s="60"/>
      <c r="M146" s="60"/>
      <c r="N146" s="60"/>
      <c r="O146" s="60"/>
      <c r="P146" s="61"/>
      <c r="Q146" s="61"/>
      <c r="R146" s="61"/>
      <c r="S146" s="61"/>
      <c r="T146" s="61"/>
      <c r="U146" s="61"/>
      <c r="V146" s="61"/>
      <c r="W146" s="61"/>
      <c r="X146" s="61"/>
      <c r="Y146" s="61"/>
      <c r="Z146" s="61"/>
      <c r="AA146" s="61"/>
      <c r="AB146" s="61"/>
      <c r="AC146" s="61"/>
      <c r="AD146" s="61"/>
      <c r="AE146" s="59"/>
      <c r="AF146" s="59"/>
      <c r="AG146" s="59"/>
      <c r="AH146" s="59"/>
      <c r="AI146" s="59"/>
      <c r="AJ146" s="59"/>
      <c r="AK146" s="59"/>
      <c r="AL146" s="59"/>
      <c r="AM146" s="59"/>
      <c r="AN146" s="59"/>
      <c r="AO146" s="59"/>
      <c r="AP146" s="59"/>
      <c r="AQ146" s="62">
        <v>40</v>
      </c>
      <c r="AR146" s="62"/>
      <c r="AS146" s="62"/>
      <c r="AT146" s="62"/>
      <c r="AU146" s="62"/>
      <c r="AV146" s="62"/>
      <c r="AW146" s="63">
        <v>40</v>
      </c>
      <c r="AX146" s="63">
        <v>40</v>
      </c>
      <c r="AY146" s="63"/>
      <c r="AZ146" s="63"/>
      <c r="BA146" s="63"/>
      <c r="BB146" s="63"/>
      <c r="BC146" s="64">
        <v>10</v>
      </c>
      <c r="BD146" s="59"/>
      <c r="BE146" s="59">
        <v>50</v>
      </c>
      <c r="BF146" s="59"/>
      <c r="BG146" s="59"/>
      <c r="BH146" s="59"/>
      <c r="BI146" s="59"/>
      <c r="BJ146" s="59"/>
      <c r="BK146" s="59"/>
      <c r="BL146" s="59"/>
      <c r="BM146" s="59"/>
      <c r="BN146" s="59"/>
      <c r="BO146" s="59"/>
      <c r="BP146" s="59">
        <f>SUM(E146:BO146)</f>
        <v>180</v>
      </c>
      <c r="BQ146" s="59">
        <v>45</v>
      </c>
      <c r="BR146" s="65">
        <v>3</v>
      </c>
      <c r="BS146" s="65" t="s">
        <v>311</v>
      </c>
      <c r="BT146">
        <f>SUM(P146:AD146)</f>
        <v>0</v>
      </c>
      <c r="BU146" s="23">
        <f>AF146+AH146+AI146+AJ146+AO146+AP146</f>
        <v>0</v>
      </c>
    </row>
    <row r="147" spans="1:73" ht="40.5">
      <c r="A147" s="1">
        <v>85</v>
      </c>
      <c r="B147" s="3" t="s">
        <v>149</v>
      </c>
      <c r="C147" s="3" t="s">
        <v>50</v>
      </c>
      <c r="D147" s="1" t="s">
        <v>29</v>
      </c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4"/>
      <c r="AR147" s="4"/>
      <c r="AS147" s="4"/>
      <c r="AT147" s="4"/>
      <c r="AU147" s="4"/>
      <c r="AV147" s="4"/>
      <c r="AW147" s="2"/>
      <c r="AX147" s="2"/>
      <c r="AY147" s="2"/>
      <c r="AZ147" s="2"/>
      <c r="BA147" s="2"/>
      <c r="BB147" s="2"/>
      <c r="BC147" s="14"/>
      <c r="BD147" s="1"/>
      <c r="BE147" s="1"/>
      <c r="BF147" s="1"/>
      <c r="BG147" s="1"/>
      <c r="BH147" s="1"/>
      <c r="BI147" s="1"/>
      <c r="BJ147" s="1"/>
      <c r="BK147" s="1"/>
      <c r="BL147" s="1">
        <v>50</v>
      </c>
      <c r="BM147" s="1">
        <v>50</v>
      </c>
      <c r="BN147" s="1">
        <v>50</v>
      </c>
      <c r="BO147" s="1">
        <v>50</v>
      </c>
      <c r="BP147" s="1">
        <f>SUM(E147:BO147)</f>
        <v>200</v>
      </c>
      <c r="BQ147" s="1">
        <v>103</v>
      </c>
      <c r="BR147" s="17">
        <v>3</v>
      </c>
      <c r="BS147" s="17" t="s">
        <v>315</v>
      </c>
      <c r="BT147">
        <f>SUM(P147:AD147)</f>
        <v>0</v>
      </c>
      <c r="BU147" s="23">
        <f>AF147+AH147+AI147+AJ147+AO147+AP147</f>
        <v>0</v>
      </c>
    </row>
    <row r="148" spans="1:73" ht="40.5">
      <c r="A148" s="1"/>
      <c r="B148" s="1" t="s">
        <v>146</v>
      </c>
      <c r="C148" s="1" t="s">
        <v>97</v>
      </c>
      <c r="D148" s="1" t="s">
        <v>95</v>
      </c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4"/>
      <c r="AR148" s="4"/>
      <c r="AS148" s="4"/>
      <c r="AT148" s="4"/>
      <c r="AU148" s="4"/>
      <c r="AV148" s="4"/>
      <c r="AW148" s="2"/>
      <c r="AX148" s="2"/>
      <c r="AY148" s="2"/>
      <c r="AZ148" s="2"/>
      <c r="BA148" s="2"/>
      <c r="BB148" s="2"/>
      <c r="BC148" s="14"/>
      <c r="BD148" s="1"/>
      <c r="BE148" s="1"/>
      <c r="BF148" s="1"/>
      <c r="BG148" s="1"/>
      <c r="BH148" s="1"/>
      <c r="BI148" s="1"/>
      <c r="BJ148" s="1"/>
      <c r="BK148" s="1"/>
      <c r="BL148" s="1">
        <v>50</v>
      </c>
      <c r="BM148" s="1">
        <v>50</v>
      </c>
      <c r="BN148" s="1">
        <v>50</v>
      </c>
      <c r="BO148" s="1">
        <v>50</v>
      </c>
      <c r="BP148" s="1">
        <f>SUM(E148:BO148)</f>
        <v>200</v>
      </c>
      <c r="BQ148" s="1">
        <v>103</v>
      </c>
      <c r="BR148" s="17">
        <v>3</v>
      </c>
      <c r="BS148" s="17" t="s">
        <v>315</v>
      </c>
      <c r="BT148">
        <f>SUM(P148:AD148)</f>
        <v>0</v>
      </c>
      <c r="BU148" s="23">
        <f>AF148+AH148+AI148+AJ148+AO148+AP148</f>
        <v>0</v>
      </c>
    </row>
    <row r="149" spans="1:73" ht="40.5">
      <c r="A149" s="1"/>
      <c r="B149" s="1" t="s">
        <v>167</v>
      </c>
      <c r="C149" s="1" t="s">
        <v>97</v>
      </c>
      <c r="D149" s="1" t="s">
        <v>95</v>
      </c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4"/>
      <c r="AR149" s="4"/>
      <c r="AS149" s="4"/>
      <c r="AT149" s="4"/>
      <c r="AU149" s="4"/>
      <c r="AV149" s="4"/>
      <c r="AW149" s="2"/>
      <c r="AX149" s="2"/>
      <c r="AY149" s="2"/>
      <c r="AZ149" s="2"/>
      <c r="BA149" s="2"/>
      <c r="BB149" s="2"/>
      <c r="BC149" s="14"/>
      <c r="BD149" s="1"/>
      <c r="BE149" s="1"/>
      <c r="BF149" s="1"/>
      <c r="BG149" s="1"/>
      <c r="BH149" s="1"/>
      <c r="BI149" s="1"/>
      <c r="BJ149" s="1"/>
      <c r="BK149" s="1"/>
      <c r="BL149" s="1">
        <v>50</v>
      </c>
      <c r="BM149" s="1">
        <v>50</v>
      </c>
      <c r="BN149" s="1">
        <v>50</v>
      </c>
      <c r="BO149" s="1">
        <v>50</v>
      </c>
      <c r="BP149" s="1">
        <f>SUM(E149:BO149)</f>
        <v>200</v>
      </c>
      <c r="BQ149" s="1">
        <v>103</v>
      </c>
      <c r="BR149" s="17">
        <v>3</v>
      </c>
      <c r="BS149" s="17" t="s">
        <v>316</v>
      </c>
      <c r="BT149">
        <f>SUM(P149:AD149)</f>
        <v>0</v>
      </c>
      <c r="BU149" s="23">
        <f>AF149+AH149+AI149+AJ149+AO149+AP149</f>
        <v>0</v>
      </c>
    </row>
    <row r="150" spans="1:73" ht="54">
      <c r="A150" s="1"/>
      <c r="B150" s="1" t="s">
        <v>143</v>
      </c>
      <c r="C150" s="1" t="s">
        <v>97</v>
      </c>
      <c r="D150" s="1" t="s">
        <v>83</v>
      </c>
      <c r="E150" s="6"/>
      <c r="F150" s="6"/>
      <c r="G150" s="6">
        <v>20</v>
      </c>
      <c r="H150" s="6">
        <v>20</v>
      </c>
      <c r="I150" s="6"/>
      <c r="J150" s="6"/>
      <c r="K150" s="6"/>
      <c r="L150" s="6"/>
      <c r="M150" s="6"/>
      <c r="N150" s="6"/>
      <c r="O150" s="6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4"/>
      <c r="AR150" s="4"/>
      <c r="AS150" s="4"/>
      <c r="AT150" s="4"/>
      <c r="AU150" s="4"/>
      <c r="AV150" s="4"/>
      <c r="AW150" s="2"/>
      <c r="AX150" s="2"/>
      <c r="AY150" s="2"/>
      <c r="AZ150" s="2"/>
      <c r="BA150" s="2">
        <v>20</v>
      </c>
      <c r="BB150" s="2">
        <v>20</v>
      </c>
      <c r="BC150" s="14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>
        <f>SUM(E150:BO150)</f>
        <v>80</v>
      </c>
      <c r="BQ150" s="1">
        <v>46</v>
      </c>
      <c r="BR150" s="17">
        <v>4</v>
      </c>
      <c r="BS150" s="17" t="s">
        <v>308</v>
      </c>
      <c r="BT150">
        <f>SUM(P150:AD150)</f>
        <v>0</v>
      </c>
      <c r="BU150" s="23">
        <f>AF150+AH150+AI150+AJ150+AO150+AP150</f>
        <v>0</v>
      </c>
    </row>
    <row r="151" spans="1:73">
      <c r="A151" s="1"/>
      <c r="B151" s="1" t="s">
        <v>54</v>
      </c>
      <c r="C151" s="1"/>
      <c r="D151" s="1"/>
      <c r="E151" s="6">
        <f>SUM(E2:E150)</f>
        <v>118</v>
      </c>
      <c r="F151" s="6">
        <f>SUM(F2:F150)</f>
        <v>27</v>
      </c>
      <c r="G151" s="6">
        <f>SUM(G2:G150)</f>
        <v>135</v>
      </c>
      <c r="H151" s="6">
        <f>SUM(H2:H150)</f>
        <v>124</v>
      </c>
      <c r="I151" s="6">
        <f>SUM(I2:I150)</f>
        <v>37</v>
      </c>
      <c r="J151" s="6">
        <f>SUM(J2:J150)</f>
        <v>60</v>
      </c>
      <c r="K151" s="6">
        <f>SUM(K2:K150)</f>
        <v>16</v>
      </c>
      <c r="L151" s="6">
        <f>SUM(L2:L150)</f>
        <v>72</v>
      </c>
      <c r="M151" s="6">
        <f>SUM(M2:M150)</f>
        <v>46</v>
      </c>
      <c r="N151" s="6">
        <f>SUM(N2:N150)</f>
        <v>10</v>
      </c>
      <c r="O151" s="6">
        <f>SUM(O2:O150)</f>
        <v>56</v>
      </c>
      <c r="P151" s="28">
        <f>SUM(P2:P150)</f>
        <v>230</v>
      </c>
      <c r="Q151" s="28">
        <f>SUM(Q2:Q150)</f>
        <v>131</v>
      </c>
      <c r="R151" s="28">
        <f>SUM(R2:R150)</f>
        <v>171</v>
      </c>
      <c r="S151" s="28">
        <f>SUM(S2:S150)</f>
        <v>230</v>
      </c>
      <c r="T151" s="28">
        <f>SUM(T2:T150)</f>
        <v>111</v>
      </c>
      <c r="U151" s="28">
        <f>SUM(U2:U150)</f>
        <v>146</v>
      </c>
      <c r="V151" s="28">
        <f>SUM(V2:V150)</f>
        <v>235</v>
      </c>
      <c r="W151" s="28">
        <f>SUM(W2:W150)</f>
        <v>85</v>
      </c>
      <c r="X151" s="28">
        <f>SUM(X2:X150)</f>
        <v>157</v>
      </c>
      <c r="Y151" s="28">
        <f>SUM(Y2:Y150)</f>
        <v>215</v>
      </c>
      <c r="Z151" s="28">
        <f>SUM(Z2:Z150)</f>
        <v>100</v>
      </c>
      <c r="AA151" s="28">
        <f>SUM(AA2:AA150)</f>
        <v>137</v>
      </c>
      <c r="AB151" s="28">
        <f>SUM(AB2:AB150)</f>
        <v>240</v>
      </c>
      <c r="AC151" s="28">
        <f>SUM(AC2:AC150)</f>
        <v>85</v>
      </c>
      <c r="AD151" s="28">
        <f>SUM(AD2:AD150)</f>
        <v>114</v>
      </c>
      <c r="AE151" s="1">
        <f>SUM(AE2:AE150)</f>
        <v>250</v>
      </c>
      <c r="AF151" s="1">
        <f>SUM(AF2:AF150)</f>
        <v>10</v>
      </c>
      <c r="AG151" s="1">
        <f>SUM(AG2:AG150)</f>
        <v>5</v>
      </c>
      <c r="AH151" s="1">
        <f>SUM(AH2:AH150)</f>
        <v>30</v>
      </c>
      <c r="AI151" s="1">
        <f>SUM(AI2:AI150)</f>
        <v>30</v>
      </c>
      <c r="AJ151" s="1">
        <f>SUM(AJ2:AJ150)</f>
        <v>5</v>
      </c>
      <c r="AK151" s="1">
        <f>SUM(AK2:AK150)</f>
        <v>0</v>
      </c>
      <c r="AL151" s="1">
        <f>SUM(AL2:AL150)</f>
        <v>0</v>
      </c>
      <c r="AM151" s="1">
        <f>SUM(AM2:AM150)</f>
        <v>0</v>
      </c>
      <c r="AN151" s="1">
        <f>SUM(AN2:AN150)</f>
        <v>45</v>
      </c>
      <c r="AO151" s="1">
        <f>SUM(AO2:AO150)</f>
        <v>33</v>
      </c>
      <c r="AP151" s="1">
        <f>SUM(AP2:AP150)</f>
        <v>27</v>
      </c>
      <c r="AQ151" s="4">
        <f>SUM(AQ2:AQ150)</f>
        <v>110</v>
      </c>
      <c r="AR151" s="4">
        <f>SUM(AR2:AR150)</f>
        <v>85</v>
      </c>
      <c r="AS151" s="4">
        <f>SUM(AS2:AS150)</f>
        <v>80</v>
      </c>
      <c r="AT151" s="4">
        <f>SUM(AT2:AT150)</f>
        <v>75</v>
      </c>
      <c r="AU151" s="4">
        <f>SUM(AU2:AU150)</f>
        <v>115</v>
      </c>
      <c r="AV151" s="4">
        <f>SUM(AV2:AV150)</f>
        <v>135</v>
      </c>
      <c r="AW151" s="2">
        <f>SUM(AW2:AW150)</f>
        <v>90</v>
      </c>
      <c r="AX151" s="2">
        <f>SUM(AX2:AX150)</f>
        <v>55</v>
      </c>
      <c r="AY151" s="2">
        <f>SUM(AY2:AY150)</f>
        <v>75</v>
      </c>
      <c r="AZ151" s="2">
        <f>SUM(AZ2:AZ150)</f>
        <v>85</v>
      </c>
      <c r="BA151" s="2">
        <f>SUM(BA2:BA150)</f>
        <v>110</v>
      </c>
      <c r="BB151" s="2">
        <f>SUM(BB2:BB150)</f>
        <v>170</v>
      </c>
      <c r="BC151" s="1">
        <f>SUM(BC2:BC150)</f>
        <v>30</v>
      </c>
      <c r="BD151" s="1">
        <f>SUM(BD2:BD150)</f>
        <v>90</v>
      </c>
      <c r="BE151" s="1">
        <f>SUM(BE2:BE150)</f>
        <v>90</v>
      </c>
      <c r="BF151" s="1">
        <f>SUM(BF2:BF150)</f>
        <v>20</v>
      </c>
      <c r="BG151" s="1">
        <f>SUM(BG2:BG150)</f>
        <v>20</v>
      </c>
      <c r="BH151" s="1">
        <f>SUM(BH2:BH150)</f>
        <v>20</v>
      </c>
      <c r="BI151" s="1">
        <f>SUM(BI2:BI150)</f>
        <v>70</v>
      </c>
      <c r="BJ151" s="1">
        <f>SUM(BJ2:BJ150)</f>
        <v>200</v>
      </c>
      <c r="BK151" s="1">
        <f>SUM(BK2:BK150)</f>
        <v>200</v>
      </c>
      <c r="BL151" s="1">
        <f>SUM(BL2:BL150)</f>
        <v>150</v>
      </c>
      <c r="BM151" s="1">
        <f>SUM(BM2:BM150)</f>
        <v>150</v>
      </c>
      <c r="BN151" s="1">
        <f>SUM(BN2:BN150)</f>
        <v>350</v>
      </c>
      <c r="BO151" s="1">
        <f>SUM(BO2:BO150)</f>
        <v>350</v>
      </c>
      <c r="BP151" s="1"/>
      <c r="BQ151" s="1"/>
      <c r="BR151" s="17"/>
      <c r="BS151" s="17"/>
    </row>
    <row r="152" spans="1:73">
      <c r="A152" s="1"/>
      <c r="B152" s="3" t="s">
        <v>72</v>
      </c>
      <c r="C152" s="1"/>
      <c r="D152" s="1"/>
      <c r="E152" s="1">
        <v>14</v>
      </c>
      <c r="F152" s="1">
        <v>25</v>
      </c>
      <c r="G152" s="1">
        <v>2</v>
      </c>
      <c r="H152" s="1">
        <v>1</v>
      </c>
      <c r="I152" s="1">
        <v>61</v>
      </c>
      <c r="J152" s="1">
        <v>60</v>
      </c>
      <c r="K152" s="1">
        <v>55</v>
      </c>
      <c r="L152" s="1">
        <v>59</v>
      </c>
      <c r="M152" s="1">
        <v>31</v>
      </c>
      <c r="N152" s="1">
        <v>65</v>
      </c>
      <c r="O152" s="1">
        <v>31</v>
      </c>
      <c r="P152" s="14">
        <v>42</v>
      </c>
      <c r="Q152" s="14">
        <v>19</v>
      </c>
      <c r="R152" s="14">
        <v>1</v>
      </c>
      <c r="S152" s="14">
        <v>72</v>
      </c>
      <c r="T152" s="14">
        <v>23</v>
      </c>
      <c r="U152" s="14">
        <v>1</v>
      </c>
      <c r="V152" s="14">
        <v>39</v>
      </c>
      <c r="W152" s="14">
        <v>4</v>
      </c>
      <c r="X152" s="14">
        <v>0</v>
      </c>
      <c r="Y152" s="14">
        <v>41</v>
      </c>
      <c r="Z152" s="14">
        <v>15</v>
      </c>
      <c r="AA152" s="14">
        <v>9</v>
      </c>
      <c r="AB152" s="14">
        <v>67</v>
      </c>
      <c r="AC152" s="14">
        <v>11</v>
      </c>
      <c r="AD152" s="14">
        <v>12</v>
      </c>
      <c r="AE152" s="1">
        <v>10</v>
      </c>
      <c r="AF152" s="1">
        <v>0</v>
      </c>
      <c r="AG152" s="1">
        <v>4</v>
      </c>
      <c r="AH152" s="1">
        <v>0</v>
      </c>
      <c r="AI152" s="1">
        <v>0</v>
      </c>
      <c r="AJ152" s="1">
        <v>0</v>
      </c>
      <c r="AK152" s="1">
        <v>33</v>
      </c>
      <c r="AL152" s="1">
        <v>43</v>
      </c>
      <c r="AM152" s="1">
        <v>0</v>
      </c>
      <c r="AN152" s="1">
        <v>0</v>
      </c>
      <c r="AO152" s="1">
        <v>0</v>
      </c>
      <c r="AP152" s="1">
        <v>0</v>
      </c>
      <c r="AQ152" s="14">
        <v>16</v>
      </c>
      <c r="AR152" s="14">
        <v>32</v>
      </c>
      <c r="AS152" s="14">
        <v>37</v>
      </c>
      <c r="AT152" s="14">
        <v>17</v>
      </c>
      <c r="AU152" s="14">
        <v>62</v>
      </c>
      <c r="AV152" s="14">
        <v>60</v>
      </c>
      <c r="AW152" s="14">
        <v>21</v>
      </c>
      <c r="AX152" s="14">
        <v>38</v>
      </c>
      <c r="AY152" s="14">
        <v>52</v>
      </c>
      <c r="AZ152" s="14">
        <v>39</v>
      </c>
      <c r="BA152" s="14">
        <v>15</v>
      </c>
      <c r="BB152" s="14">
        <v>16</v>
      </c>
      <c r="BC152" s="14">
        <v>12</v>
      </c>
      <c r="BD152" s="1">
        <v>255</v>
      </c>
      <c r="BE152" s="1">
        <v>396</v>
      </c>
      <c r="BF152" s="1">
        <v>312</v>
      </c>
      <c r="BG152" s="1">
        <v>330</v>
      </c>
      <c r="BH152" s="1">
        <v>162</v>
      </c>
      <c r="BI152" s="1">
        <v>195</v>
      </c>
      <c r="BJ152" s="1">
        <v>80</v>
      </c>
      <c r="BK152" s="1">
        <v>89</v>
      </c>
      <c r="BL152" s="1">
        <v>140</v>
      </c>
      <c r="BM152" s="1">
        <v>37</v>
      </c>
      <c r="BN152" s="1">
        <v>5</v>
      </c>
      <c r="BO152" s="1">
        <v>5</v>
      </c>
      <c r="BP152" s="1"/>
      <c r="BQ152" s="1"/>
      <c r="BR152" s="17"/>
      <c r="BS152" s="17"/>
    </row>
    <row r="153" spans="1:73">
      <c r="A153" s="1"/>
      <c r="B153" s="3" t="s">
        <v>79</v>
      </c>
      <c r="C153" s="1"/>
      <c r="D153" s="1"/>
      <c r="E153" s="1">
        <f>E152-E151</f>
        <v>-104</v>
      </c>
      <c r="F153" s="1">
        <f>F152-F151</f>
        <v>-2</v>
      </c>
      <c r="G153" s="1">
        <f>G152-G151</f>
        <v>-133</v>
      </c>
      <c r="H153" s="1">
        <f>H152-H151</f>
        <v>-123</v>
      </c>
      <c r="I153" s="1">
        <f>I152-I151</f>
        <v>24</v>
      </c>
      <c r="J153" s="1">
        <f>J152-J151</f>
        <v>0</v>
      </c>
      <c r="K153" s="1">
        <f>K152-K151</f>
        <v>39</v>
      </c>
      <c r="L153" s="1">
        <f>L152-L151</f>
        <v>-13</v>
      </c>
      <c r="M153" s="1">
        <f>M152-M151</f>
        <v>-15</v>
      </c>
      <c r="N153" s="1">
        <f>N152-N151</f>
        <v>55</v>
      </c>
      <c r="O153" s="1">
        <f>O152-O151</f>
        <v>-25</v>
      </c>
      <c r="P153" s="1">
        <f>P152-P151</f>
        <v>-188</v>
      </c>
      <c r="Q153" s="1">
        <f>Q152-Q151</f>
        <v>-112</v>
      </c>
      <c r="R153" s="1">
        <f>R152-R151</f>
        <v>-170</v>
      </c>
      <c r="S153" s="1">
        <f>S152-S151</f>
        <v>-158</v>
      </c>
      <c r="T153" s="1">
        <f>T152-T151</f>
        <v>-88</v>
      </c>
      <c r="U153" s="1">
        <f>U152-U151</f>
        <v>-145</v>
      </c>
      <c r="V153" s="1">
        <f>V152-V151</f>
        <v>-196</v>
      </c>
      <c r="W153" s="1">
        <f>W152-W151</f>
        <v>-81</v>
      </c>
      <c r="X153" s="1">
        <f>X152-X151</f>
        <v>-157</v>
      </c>
      <c r="Y153" s="1">
        <f>Y152-Y151</f>
        <v>-174</v>
      </c>
      <c r="Z153" s="1">
        <f>Z152-Z151</f>
        <v>-85</v>
      </c>
      <c r="AA153" s="1">
        <f>AA152-AA151</f>
        <v>-128</v>
      </c>
      <c r="AB153" s="1">
        <f>AB152-AB151</f>
        <v>-173</v>
      </c>
      <c r="AC153" s="1">
        <f>AC152-AC151</f>
        <v>-74</v>
      </c>
      <c r="AD153" s="1">
        <f>AD152-AD151</f>
        <v>-102</v>
      </c>
      <c r="AE153" s="1">
        <f>AE152-AE151</f>
        <v>-240</v>
      </c>
      <c r="AF153" s="1">
        <f>AF152-AF151</f>
        <v>-10</v>
      </c>
      <c r="AG153" s="1">
        <f>AG152-AG151</f>
        <v>-1</v>
      </c>
      <c r="AH153" s="1">
        <f>AH152-AH151</f>
        <v>-30</v>
      </c>
      <c r="AI153" s="1">
        <f>AI152-AI151</f>
        <v>-30</v>
      </c>
      <c r="AJ153" s="1">
        <f>AJ152-AJ151</f>
        <v>-5</v>
      </c>
      <c r="AK153" s="1">
        <f>AK152-AK151</f>
        <v>33</v>
      </c>
      <c r="AL153" s="1">
        <f>AL152-AL151</f>
        <v>43</v>
      </c>
      <c r="AM153" s="1">
        <f>AM152-AM151</f>
        <v>0</v>
      </c>
      <c r="AN153" s="1">
        <f>AN152-AN151</f>
        <v>-45</v>
      </c>
      <c r="AO153" s="1">
        <f>AO152-AO151</f>
        <v>-33</v>
      </c>
      <c r="AP153" s="1">
        <f>AP152-AP151</f>
        <v>-27</v>
      </c>
      <c r="AQ153" s="1">
        <f>AQ152-AQ151</f>
        <v>-94</v>
      </c>
      <c r="AR153" s="1">
        <f>AR152-AR151</f>
        <v>-53</v>
      </c>
      <c r="AS153" s="1">
        <f>AS152-AS151</f>
        <v>-43</v>
      </c>
      <c r="AT153" s="1">
        <f>AT152-AT151</f>
        <v>-58</v>
      </c>
      <c r="AU153" s="1">
        <f>AU152-AU151</f>
        <v>-53</v>
      </c>
      <c r="AV153" s="1">
        <f>AV152-AV151</f>
        <v>-75</v>
      </c>
      <c r="AW153" s="1">
        <f>AW152-AW151</f>
        <v>-69</v>
      </c>
      <c r="AX153" s="1">
        <f>AX152-AX151</f>
        <v>-17</v>
      </c>
      <c r="AY153" s="1">
        <f>AY152-AY151</f>
        <v>-23</v>
      </c>
      <c r="AZ153" s="1">
        <f>AZ152-AZ151</f>
        <v>-46</v>
      </c>
      <c r="BA153" s="1">
        <f>BA152-BA151</f>
        <v>-95</v>
      </c>
      <c r="BB153" s="1">
        <f>BB152-BB151</f>
        <v>-154</v>
      </c>
      <c r="BC153" s="1">
        <f>BC152-BC151</f>
        <v>-18</v>
      </c>
      <c r="BD153" s="1">
        <f>BD152-BD151</f>
        <v>165</v>
      </c>
      <c r="BE153" s="1">
        <f>BE152-BE151</f>
        <v>306</v>
      </c>
      <c r="BF153" s="1">
        <f>BF152-BF151</f>
        <v>292</v>
      </c>
      <c r="BG153" s="1">
        <f>BG152-BG151</f>
        <v>310</v>
      </c>
      <c r="BH153" s="1">
        <f>BH152-BH151</f>
        <v>142</v>
      </c>
      <c r="BI153" s="1">
        <f>BI152-BI151</f>
        <v>125</v>
      </c>
      <c r="BJ153" s="1">
        <f>BJ152-BJ151</f>
        <v>-120</v>
      </c>
      <c r="BK153" s="1">
        <f>BK152-BK151</f>
        <v>-111</v>
      </c>
      <c r="BL153" s="1">
        <f>BL152-BL151</f>
        <v>-10</v>
      </c>
      <c r="BM153" s="1">
        <f>BM152-BM151</f>
        <v>-113</v>
      </c>
      <c r="BN153" s="1">
        <f>BN152-BN151</f>
        <v>-345</v>
      </c>
      <c r="BO153" s="1">
        <f>BO152-BO151</f>
        <v>-345</v>
      </c>
      <c r="BP153" s="1"/>
      <c r="BQ153" s="1"/>
      <c r="BR153" s="17"/>
      <c r="BS153" s="17"/>
    </row>
    <row r="154" spans="1:73">
      <c r="A154" s="1"/>
      <c r="B154" s="3" t="s">
        <v>150</v>
      </c>
      <c r="C154" s="1"/>
      <c r="D154" s="1"/>
      <c r="E154" s="1">
        <f>MAX(E2:E150)</f>
        <v>15</v>
      </c>
      <c r="F154" s="1">
        <f>MAX(F2:F150)</f>
        <v>15</v>
      </c>
      <c r="G154" s="1">
        <f>MAX(G2:G150)</f>
        <v>20</v>
      </c>
      <c r="H154" s="1">
        <f>MAX(H2:H150)</f>
        <v>20</v>
      </c>
      <c r="I154" s="1">
        <f>MAX(I2:I150)</f>
        <v>10</v>
      </c>
      <c r="J154" s="1">
        <f>MAX(J2:J150)</f>
        <v>10</v>
      </c>
      <c r="K154" s="1">
        <f>MAX(K2:K150)</f>
        <v>10</v>
      </c>
      <c r="L154" s="1">
        <f>MAX(L2:L150)</f>
        <v>20</v>
      </c>
      <c r="M154" s="1">
        <f>MAX(M2:M150)</f>
        <v>10</v>
      </c>
      <c r="N154" s="1">
        <f>MAX(N2:N150)</f>
        <v>10</v>
      </c>
      <c r="O154" s="1">
        <f>MAX(O2:O150)</f>
        <v>20</v>
      </c>
      <c r="P154" s="1">
        <f>MAX(P2:P150)</f>
        <v>10</v>
      </c>
      <c r="Q154" s="1">
        <f>MAX(Q2:Q150)</f>
        <v>7</v>
      </c>
      <c r="R154" s="1">
        <f>MAX(R2:R150)</f>
        <v>10</v>
      </c>
      <c r="S154" s="1">
        <f>MAX(S2:S150)</f>
        <v>10</v>
      </c>
      <c r="T154" s="1">
        <f>MAX(T2:T150)</f>
        <v>7</v>
      </c>
      <c r="U154" s="1">
        <f>MAX(U2:U150)</f>
        <v>10</v>
      </c>
      <c r="V154" s="1">
        <f>MAX(V2:V150)</f>
        <v>10</v>
      </c>
      <c r="W154" s="1">
        <f>MAX(W2:W150)</f>
        <v>5</v>
      </c>
      <c r="X154" s="1">
        <f>MAX(X2:X150)</f>
        <v>10</v>
      </c>
      <c r="Y154" s="1">
        <f>MAX(Y2:Y150)</f>
        <v>10</v>
      </c>
      <c r="Z154" s="1">
        <f>MAX(Z2:Z150)</f>
        <v>5</v>
      </c>
      <c r="AA154" s="1">
        <f>MAX(AA2:AA150)</f>
        <v>10</v>
      </c>
      <c r="AB154" s="1">
        <f>MAX(AB2:AB150)</f>
        <v>10</v>
      </c>
      <c r="AC154" s="1">
        <f>MAX(AC2:AC150)</f>
        <v>5</v>
      </c>
      <c r="AD154" s="1">
        <f>MAX(AD2:AD150)</f>
        <v>10</v>
      </c>
      <c r="AE154" s="1">
        <f>MAX(AE2:AE150)</f>
        <v>200</v>
      </c>
      <c r="AF154" s="1">
        <f>MAX(AF2:AF150)</f>
        <v>5</v>
      </c>
      <c r="AG154" s="1">
        <f>MAX(AG2:AG150)</f>
        <v>5</v>
      </c>
      <c r="AH154" s="1">
        <f>MAX(AH2:AH150)</f>
        <v>5</v>
      </c>
      <c r="AI154" s="1">
        <f>MAX(AI2:AI150)</f>
        <v>5</v>
      </c>
      <c r="AJ154" s="1">
        <f>MAX(AJ2:AJ150)</f>
        <v>5</v>
      </c>
      <c r="AK154" s="1">
        <f>MAX(AK2:AK150)</f>
        <v>0</v>
      </c>
      <c r="AL154" s="1">
        <f>MAX(AL2:AL150)</f>
        <v>0</v>
      </c>
      <c r="AM154" s="1">
        <f>MAX(AM2:AM150)</f>
        <v>0</v>
      </c>
      <c r="AN154" s="1">
        <f>MAX(AN2:AN150)</f>
        <v>25</v>
      </c>
      <c r="AO154" s="1">
        <f>MAX(AO2:AO150)</f>
        <v>10</v>
      </c>
      <c r="AP154" s="1">
        <f>MAX(AP2:AP150)</f>
        <v>10</v>
      </c>
      <c r="AQ154" s="1">
        <f>MAX(AQ2:AQ150)</f>
        <v>40</v>
      </c>
      <c r="AR154" s="1">
        <f>MAX(AR2:AR150)</f>
        <v>15</v>
      </c>
      <c r="AS154" s="1">
        <f>MAX(AS2:AS150)</f>
        <v>15</v>
      </c>
      <c r="AT154" s="1">
        <f>MAX(AT2:AT150)</f>
        <v>15</v>
      </c>
      <c r="AU154" s="1">
        <f>MAX(AU2:AU150)</f>
        <v>40</v>
      </c>
      <c r="AV154" s="1">
        <f>MAX(AV2:AV150)</f>
        <v>40</v>
      </c>
      <c r="AW154" s="1">
        <f>MAX(AW2:AW150)</f>
        <v>40</v>
      </c>
      <c r="AX154" s="1">
        <f>MAX(AX2:AX150)</f>
        <v>40</v>
      </c>
      <c r="AY154" s="1">
        <f>MAX(AY2:AY150)</f>
        <v>40</v>
      </c>
      <c r="AZ154" s="1">
        <f>MAX(AZ2:AZ150)</f>
        <v>40</v>
      </c>
      <c r="BA154" s="1">
        <f>MAX(BA2:BA150)</f>
        <v>20</v>
      </c>
      <c r="BB154" s="1">
        <f>MAX(BB2:BB150)</f>
        <v>40</v>
      </c>
      <c r="BC154" s="1">
        <f>MAX(BC2:BC150)</f>
        <v>10</v>
      </c>
      <c r="BD154" s="1">
        <f>MAX(BD2:BD150)</f>
        <v>50</v>
      </c>
      <c r="BE154" s="1">
        <f>MAX(BE2:BE150)</f>
        <v>50</v>
      </c>
      <c r="BF154" s="1">
        <f>MAX(BF2:BF150)</f>
        <v>20</v>
      </c>
      <c r="BG154" s="1">
        <f>MAX(BG2:BG150)</f>
        <v>20</v>
      </c>
      <c r="BH154" s="1">
        <f>MAX(BH2:BH150)</f>
        <v>20</v>
      </c>
      <c r="BI154" s="1">
        <f>MAX(BI2:BI150)</f>
        <v>50</v>
      </c>
      <c r="BJ154" s="1">
        <f>MAX(BJ2:BJ150)</f>
        <v>50</v>
      </c>
      <c r="BK154" s="1">
        <f>MAX(BK2:BK150)</f>
        <v>50</v>
      </c>
      <c r="BL154" s="1">
        <f>MAX(BL2:BL150)</f>
        <v>50</v>
      </c>
      <c r="BM154" s="1">
        <f>MAX(BM2:BM150)</f>
        <v>50</v>
      </c>
      <c r="BN154" s="1">
        <f>MAX(BN2:BN150)</f>
        <v>50</v>
      </c>
      <c r="BO154" s="1">
        <f>MAX(BO2:BO150)</f>
        <v>50</v>
      </c>
      <c r="BP154" s="1"/>
      <c r="BQ154" s="1"/>
      <c r="BR154" s="17"/>
      <c r="BS154" s="17"/>
    </row>
    <row r="155" spans="1:73">
      <c r="A155" s="1"/>
      <c r="B155" s="3" t="s">
        <v>151</v>
      </c>
      <c r="C155" s="1"/>
      <c r="D155" s="1"/>
      <c r="E155" s="1">
        <f>MIN(E2:E150)</f>
        <v>5</v>
      </c>
      <c r="F155" s="1">
        <f>MIN(F2:F150)</f>
        <v>6</v>
      </c>
      <c r="G155" s="1">
        <f>MIN(G2:G150)</f>
        <v>5</v>
      </c>
      <c r="H155" s="1">
        <f>MIN(H2:H150)</f>
        <v>5</v>
      </c>
      <c r="I155" s="1">
        <f>MIN(I2:I150)</f>
        <v>7</v>
      </c>
      <c r="J155" s="1">
        <f>MIN(J2:J150)</f>
        <v>10</v>
      </c>
      <c r="K155" s="1">
        <f>MIN(K2:K150)</f>
        <v>6</v>
      </c>
      <c r="L155" s="1">
        <f>MIN(L2:L150)</f>
        <v>7</v>
      </c>
      <c r="M155" s="1">
        <f>MIN(M2:M150)</f>
        <v>6</v>
      </c>
      <c r="N155" s="1">
        <f>MIN(N2:N150)</f>
        <v>10</v>
      </c>
      <c r="O155" s="1">
        <f>MIN(O2:O150)</f>
        <v>5</v>
      </c>
      <c r="P155" s="1">
        <f>MIN(P2:P150)</f>
        <v>10</v>
      </c>
      <c r="Q155" s="1">
        <f>MIN(Q2:Q150)</f>
        <v>5</v>
      </c>
      <c r="R155" s="1">
        <f>MIN(R2:R150)</f>
        <v>2</v>
      </c>
      <c r="S155" s="1">
        <f>MIN(S2:S150)</f>
        <v>10</v>
      </c>
      <c r="T155" s="1">
        <f>MIN(T2:T150)</f>
        <v>5</v>
      </c>
      <c r="U155" s="1">
        <f>MIN(U2:U150)</f>
        <v>2</v>
      </c>
      <c r="V155" s="1">
        <f>MIN(V2:V150)</f>
        <v>5</v>
      </c>
      <c r="W155" s="1">
        <f>MIN(W2:W150)</f>
        <v>5</v>
      </c>
      <c r="X155" s="1">
        <f>MIN(X2:X150)</f>
        <v>2</v>
      </c>
      <c r="Y155" s="1">
        <f>MIN(Y2:Y150)</f>
        <v>5</v>
      </c>
      <c r="Z155" s="1">
        <f>MIN(Z2:Z150)</f>
        <v>5</v>
      </c>
      <c r="AA155" s="1">
        <f>MIN(AA2:AA150)</f>
        <v>2</v>
      </c>
      <c r="AB155" s="1">
        <f>MIN(AB2:AB150)</f>
        <v>10</v>
      </c>
      <c r="AC155" s="1">
        <f>MIN(AC2:AC150)</f>
        <v>5</v>
      </c>
      <c r="AD155" s="1">
        <f>MIN(AD2:AD150)</f>
        <v>2</v>
      </c>
      <c r="AE155" s="1">
        <f>MIN(AE2:AE150)</f>
        <v>50</v>
      </c>
      <c r="AF155" s="1">
        <f>MIN(AF2:AF150)</f>
        <v>5</v>
      </c>
      <c r="AG155" s="1">
        <f>MIN(AG2:AG150)</f>
        <v>5</v>
      </c>
      <c r="AH155" s="1">
        <f>MIN(AH2:AH150)</f>
        <v>5</v>
      </c>
      <c r="AI155" s="1">
        <f>MIN(AI2:AI150)</f>
        <v>5</v>
      </c>
      <c r="AJ155" s="1">
        <f>MIN(AJ2:AJ150)</f>
        <v>5</v>
      </c>
      <c r="AK155" s="1">
        <f>MIN(AK2:AK150)</f>
        <v>0</v>
      </c>
      <c r="AL155" s="1">
        <f>MIN(AL2:AL150)</f>
        <v>0</v>
      </c>
      <c r="AM155" s="1">
        <f>MIN(AM2:AM150)</f>
        <v>0</v>
      </c>
      <c r="AN155" s="1">
        <f>MIN(AN2:AN150)</f>
        <v>5</v>
      </c>
      <c r="AO155" s="1">
        <f>MIN(AO2:AO150)</f>
        <v>2</v>
      </c>
      <c r="AP155" s="1">
        <f>MIN(AP2:AP150)</f>
        <v>1</v>
      </c>
      <c r="AQ155" s="1">
        <f>MIN(AQ2:AQ150)</f>
        <v>10</v>
      </c>
      <c r="AR155" s="1">
        <f>MIN(AR2:AR150)</f>
        <v>10</v>
      </c>
      <c r="AS155" s="1">
        <f>MIN(AS2:AS150)</f>
        <v>5</v>
      </c>
      <c r="AT155" s="1">
        <f>MIN(AT2:AT150)</f>
        <v>10</v>
      </c>
      <c r="AU155" s="1">
        <f>MIN(AU2:AU150)</f>
        <v>10</v>
      </c>
      <c r="AV155" s="1">
        <f>MIN(AV2:AV150)</f>
        <v>10</v>
      </c>
      <c r="AW155" s="1">
        <f>MIN(AW2:AW150)</f>
        <v>10</v>
      </c>
      <c r="AX155" s="1">
        <f>MIN(AX2:AX150)</f>
        <v>5</v>
      </c>
      <c r="AY155" s="1">
        <f>MIN(AY2:AY150)</f>
        <v>10</v>
      </c>
      <c r="AZ155" s="1">
        <f>MIN(AZ2:AZ150)</f>
        <v>10</v>
      </c>
      <c r="BA155" s="1">
        <f>MIN(BA2:BA150)</f>
        <v>5</v>
      </c>
      <c r="BB155" s="1">
        <f>MIN(BB2:BB150)</f>
        <v>5</v>
      </c>
      <c r="BC155" s="1">
        <f>MIN(BC2:BC150)</f>
        <v>10</v>
      </c>
      <c r="BD155" s="1">
        <f>MIN(BD2:BD150)</f>
        <v>20</v>
      </c>
      <c r="BE155" s="1">
        <f>MIN(BE2:BE150)</f>
        <v>20</v>
      </c>
      <c r="BF155" s="1">
        <f>MIN(BF2:BF150)</f>
        <v>20</v>
      </c>
      <c r="BG155" s="1">
        <f>MIN(BG2:BG150)</f>
        <v>20</v>
      </c>
      <c r="BH155" s="1">
        <f>MIN(BH2:BH150)</f>
        <v>20</v>
      </c>
      <c r="BI155" s="1">
        <f>MIN(BI2:BI150)</f>
        <v>20</v>
      </c>
      <c r="BJ155" s="1">
        <f>MIN(BJ2:BJ150)</f>
        <v>50</v>
      </c>
      <c r="BK155" s="1">
        <f>MIN(BK2:BK150)</f>
        <v>50</v>
      </c>
      <c r="BL155" s="1">
        <f>MIN(BL2:BL150)</f>
        <v>50</v>
      </c>
      <c r="BM155" s="1">
        <f>MIN(BM2:BM150)</f>
        <v>50</v>
      </c>
      <c r="BN155" s="1">
        <f>MIN(BN2:BN150)</f>
        <v>50</v>
      </c>
      <c r="BO155" s="1">
        <f>MIN(BO2:BO150)</f>
        <v>50</v>
      </c>
      <c r="BP155" s="1"/>
      <c r="BQ155" s="1"/>
      <c r="BR155" s="17"/>
      <c r="BS155" s="17"/>
    </row>
    <row r="156" spans="1:73">
      <c r="A156" s="1"/>
      <c r="B156" s="3" t="s">
        <v>152</v>
      </c>
      <c r="C156" s="1"/>
      <c r="D156" s="1"/>
      <c r="E156" s="1">
        <f>E152-E154</f>
        <v>-1</v>
      </c>
      <c r="F156" s="1">
        <f>F152-F154</f>
        <v>10</v>
      </c>
      <c r="G156" s="1">
        <f>G152-G154</f>
        <v>-18</v>
      </c>
      <c r="H156" s="1">
        <f>H152-H154</f>
        <v>-19</v>
      </c>
      <c r="I156" s="1">
        <f>I152-I154</f>
        <v>51</v>
      </c>
      <c r="J156" s="1">
        <f>J152-J154</f>
        <v>50</v>
      </c>
      <c r="K156" s="1">
        <f>K152-K154</f>
        <v>45</v>
      </c>
      <c r="L156" s="1">
        <f>L152-L154</f>
        <v>39</v>
      </c>
      <c r="M156" s="1">
        <f>M152-M154</f>
        <v>21</v>
      </c>
      <c r="N156" s="1">
        <f>N152-N154</f>
        <v>55</v>
      </c>
      <c r="O156" s="1">
        <f>O152-O154</f>
        <v>11</v>
      </c>
      <c r="P156" s="1">
        <f>P152-P154</f>
        <v>32</v>
      </c>
      <c r="Q156" s="1">
        <f>Q152-Q154</f>
        <v>12</v>
      </c>
      <c r="R156" s="1">
        <f>R152-R154</f>
        <v>-9</v>
      </c>
      <c r="S156" s="1">
        <f>S152-S154</f>
        <v>62</v>
      </c>
      <c r="T156" s="1">
        <f>T152-T154</f>
        <v>16</v>
      </c>
      <c r="U156" s="1">
        <f>U152-U154</f>
        <v>-9</v>
      </c>
      <c r="V156" s="1">
        <f>V152-V154</f>
        <v>29</v>
      </c>
      <c r="W156" s="1">
        <f>W152-W154</f>
        <v>-1</v>
      </c>
      <c r="X156" s="1">
        <f>X152-X154</f>
        <v>-10</v>
      </c>
      <c r="Y156" s="1">
        <f>Y152-Y154</f>
        <v>31</v>
      </c>
      <c r="Z156" s="1">
        <f>Z152-Z154</f>
        <v>10</v>
      </c>
      <c r="AA156" s="1">
        <f>AA152-AA154</f>
        <v>-1</v>
      </c>
      <c r="AB156" s="1">
        <f>AB152-AB154</f>
        <v>57</v>
      </c>
      <c r="AC156" s="1">
        <f>AC152-AC154</f>
        <v>6</v>
      </c>
      <c r="AD156" s="1">
        <f>AD152-AD154</f>
        <v>2</v>
      </c>
      <c r="AE156" s="1">
        <f>AE152-AE154</f>
        <v>-190</v>
      </c>
      <c r="AF156" s="1">
        <f>AF152-AF154</f>
        <v>-5</v>
      </c>
      <c r="AG156" s="1">
        <f>AG152-AG154</f>
        <v>-1</v>
      </c>
      <c r="AH156" s="1">
        <f>AH152-AH154</f>
        <v>-5</v>
      </c>
      <c r="AI156" s="1">
        <f>AI152-AI154</f>
        <v>-5</v>
      </c>
      <c r="AJ156" s="1">
        <f>AJ152-AJ154</f>
        <v>-5</v>
      </c>
      <c r="AK156" s="1">
        <f>AK152-AK154</f>
        <v>33</v>
      </c>
      <c r="AL156" s="1">
        <f>AL152-AL154</f>
        <v>43</v>
      </c>
      <c r="AM156" s="1">
        <f>AM152-AM154</f>
        <v>0</v>
      </c>
      <c r="AN156" s="1">
        <f>AN152-AN154</f>
        <v>-25</v>
      </c>
      <c r="AO156" s="1">
        <f>AO152-AO154</f>
        <v>-10</v>
      </c>
      <c r="AP156" s="1">
        <f>AP152-AP154</f>
        <v>-10</v>
      </c>
      <c r="AQ156" s="1">
        <f>AQ152-AQ154</f>
        <v>-24</v>
      </c>
      <c r="AR156" s="1">
        <f>AR152-AR154</f>
        <v>17</v>
      </c>
      <c r="AS156" s="1">
        <f>AS152-AS154</f>
        <v>22</v>
      </c>
      <c r="AT156" s="1">
        <f>AT152-AT154</f>
        <v>2</v>
      </c>
      <c r="AU156" s="1">
        <f>AU152-AU154</f>
        <v>22</v>
      </c>
      <c r="AV156" s="1">
        <f>AV152-AV154</f>
        <v>20</v>
      </c>
      <c r="AW156" s="1">
        <f>AW152-AW154</f>
        <v>-19</v>
      </c>
      <c r="AX156" s="1">
        <f>AX152-AX154</f>
        <v>-2</v>
      </c>
      <c r="AY156" s="1">
        <f>AY152-AY154</f>
        <v>12</v>
      </c>
      <c r="AZ156" s="1">
        <f>AZ152-AZ154</f>
        <v>-1</v>
      </c>
      <c r="BA156" s="1">
        <f>BA152-BA154</f>
        <v>-5</v>
      </c>
      <c r="BB156" s="1">
        <f>BB152-BB154</f>
        <v>-24</v>
      </c>
      <c r="BC156" s="1">
        <f>BC152-BC154</f>
        <v>2</v>
      </c>
      <c r="BD156" s="1">
        <f>BD152-BD154</f>
        <v>205</v>
      </c>
      <c r="BE156" s="1">
        <f>BE152-BE154</f>
        <v>346</v>
      </c>
      <c r="BF156" s="1">
        <f>BF152-BF154</f>
        <v>292</v>
      </c>
      <c r="BG156" s="1">
        <f>BG152-BG154</f>
        <v>310</v>
      </c>
      <c r="BH156" s="1">
        <f>BH152-BH154</f>
        <v>142</v>
      </c>
      <c r="BI156" s="1">
        <f>BI152-BI154</f>
        <v>145</v>
      </c>
      <c r="BJ156" s="1">
        <f>BJ152-BJ154</f>
        <v>30</v>
      </c>
      <c r="BK156" s="1">
        <f>BK152-BK154</f>
        <v>39</v>
      </c>
      <c r="BL156" s="1">
        <f>BL152-BL154</f>
        <v>90</v>
      </c>
      <c r="BM156" s="1">
        <f>BM152-BM154</f>
        <v>-13</v>
      </c>
      <c r="BN156" s="1">
        <f>BN152-BN154</f>
        <v>-45</v>
      </c>
      <c r="BO156" s="1">
        <f>BO152-BO154</f>
        <v>-45</v>
      </c>
      <c r="BP156" s="1"/>
      <c r="BQ156" s="1"/>
      <c r="BR156" s="17"/>
      <c r="BS156" s="17"/>
    </row>
    <row r="157" spans="1:73" s="13" customFormat="1">
      <c r="A157" s="1"/>
      <c r="B157" s="3" t="s">
        <v>153</v>
      </c>
      <c r="C157" s="1"/>
      <c r="D157" s="1"/>
      <c r="E157" s="1">
        <f>E152-E155</f>
        <v>9</v>
      </c>
      <c r="F157" s="1">
        <f>F152-F155</f>
        <v>19</v>
      </c>
      <c r="G157" s="1">
        <f>G152-G155</f>
        <v>-3</v>
      </c>
      <c r="H157" s="1">
        <f>H152-H155</f>
        <v>-4</v>
      </c>
      <c r="I157" s="1">
        <f>I152-I155</f>
        <v>54</v>
      </c>
      <c r="J157" s="1">
        <f>J152-J155</f>
        <v>50</v>
      </c>
      <c r="K157" s="1">
        <f>K152-K155</f>
        <v>49</v>
      </c>
      <c r="L157" s="1">
        <f>L152-L155</f>
        <v>52</v>
      </c>
      <c r="M157" s="1">
        <f>M152-M155</f>
        <v>25</v>
      </c>
      <c r="N157" s="1">
        <f>N152-N155</f>
        <v>55</v>
      </c>
      <c r="O157" s="1">
        <f>O152-O155</f>
        <v>26</v>
      </c>
      <c r="P157" s="1">
        <f>P152-P155</f>
        <v>32</v>
      </c>
      <c r="Q157" s="1">
        <f>Q152-Q155</f>
        <v>14</v>
      </c>
      <c r="R157" s="1">
        <f>R152-R155</f>
        <v>-1</v>
      </c>
      <c r="S157" s="1">
        <f>S152-S155</f>
        <v>62</v>
      </c>
      <c r="T157" s="1">
        <f>T152-T155</f>
        <v>18</v>
      </c>
      <c r="U157" s="1">
        <f>U152-U155</f>
        <v>-1</v>
      </c>
      <c r="V157" s="1">
        <f>V152-V155</f>
        <v>34</v>
      </c>
      <c r="W157" s="1">
        <f>W152-W155</f>
        <v>-1</v>
      </c>
      <c r="X157" s="1">
        <f>X152-X155</f>
        <v>-2</v>
      </c>
      <c r="Y157" s="1">
        <f>Y152-Y155</f>
        <v>36</v>
      </c>
      <c r="Z157" s="1">
        <f>Z152-Z155</f>
        <v>10</v>
      </c>
      <c r="AA157" s="1">
        <f>AA152-AA155</f>
        <v>7</v>
      </c>
      <c r="AB157" s="1">
        <f>AB152-AB155</f>
        <v>57</v>
      </c>
      <c r="AC157" s="1">
        <f>AC152-AC155</f>
        <v>6</v>
      </c>
      <c r="AD157" s="1">
        <f>AD152-AD155</f>
        <v>10</v>
      </c>
      <c r="AE157" s="1">
        <f>AE152-AE155</f>
        <v>-40</v>
      </c>
      <c r="AF157" s="1">
        <f>AF152-AF155</f>
        <v>-5</v>
      </c>
      <c r="AG157" s="1">
        <f>AG152-AG155</f>
        <v>-1</v>
      </c>
      <c r="AH157" s="1">
        <f>AH152-AH155</f>
        <v>-5</v>
      </c>
      <c r="AI157" s="1">
        <f>AI152-AI155</f>
        <v>-5</v>
      </c>
      <c r="AJ157" s="1">
        <f>AJ152-AJ155</f>
        <v>-5</v>
      </c>
      <c r="AK157" s="1">
        <f>AK152-AK155</f>
        <v>33</v>
      </c>
      <c r="AL157" s="1">
        <f>AL152-AL155</f>
        <v>43</v>
      </c>
      <c r="AM157" s="1">
        <f>AM152-AM155</f>
        <v>0</v>
      </c>
      <c r="AN157" s="1">
        <f>AN152-AN155</f>
        <v>-5</v>
      </c>
      <c r="AO157" s="1">
        <f>AO152-AO155</f>
        <v>-2</v>
      </c>
      <c r="AP157" s="1">
        <f>AP152-AP155</f>
        <v>-1</v>
      </c>
      <c r="AQ157" s="1">
        <f>AQ152-AQ155</f>
        <v>6</v>
      </c>
      <c r="AR157" s="1">
        <f>AR152-AR155</f>
        <v>22</v>
      </c>
      <c r="AS157" s="1">
        <f>AS152-AS155</f>
        <v>32</v>
      </c>
      <c r="AT157" s="1">
        <f>AT152-AT155</f>
        <v>7</v>
      </c>
      <c r="AU157" s="1">
        <f>AU152-AU155</f>
        <v>52</v>
      </c>
      <c r="AV157" s="1">
        <f>AV152-AV155</f>
        <v>50</v>
      </c>
      <c r="AW157" s="1">
        <f>AW152-AW155</f>
        <v>11</v>
      </c>
      <c r="AX157" s="1">
        <f>AX152-AX155</f>
        <v>33</v>
      </c>
      <c r="AY157" s="1">
        <f>AY152-AY155</f>
        <v>42</v>
      </c>
      <c r="AZ157" s="1">
        <f>AZ152-AZ155</f>
        <v>29</v>
      </c>
      <c r="BA157" s="1">
        <f>BA152-BA155</f>
        <v>10</v>
      </c>
      <c r="BB157" s="1">
        <f>BB152-BB155</f>
        <v>11</v>
      </c>
      <c r="BC157" s="1">
        <f>BC152-BC155</f>
        <v>2</v>
      </c>
      <c r="BD157" s="1">
        <f>BD152-BD155</f>
        <v>235</v>
      </c>
      <c r="BE157" s="1">
        <f>BE152-BE155</f>
        <v>376</v>
      </c>
      <c r="BF157" s="1">
        <f>BF152-BF155</f>
        <v>292</v>
      </c>
      <c r="BG157" s="1">
        <f>BG152-BG155</f>
        <v>310</v>
      </c>
      <c r="BH157" s="1">
        <f>BH152-BH155</f>
        <v>142</v>
      </c>
      <c r="BI157" s="1">
        <f>BI152-BI155</f>
        <v>175</v>
      </c>
      <c r="BJ157" s="1">
        <f>BJ152-BJ155</f>
        <v>30</v>
      </c>
      <c r="BK157" s="1">
        <f>BK152-BK155</f>
        <v>39</v>
      </c>
      <c r="BL157" s="1">
        <f>BL152-BL155</f>
        <v>90</v>
      </c>
      <c r="BM157" s="1">
        <f>BM152-BM155</f>
        <v>-13</v>
      </c>
      <c r="BN157" s="1">
        <f>BN152-BN155</f>
        <v>-45</v>
      </c>
      <c r="BO157" s="1">
        <f>BO152-BO155</f>
        <v>-45</v>
      </c>
      <c r="BP157" s="1"/>
      <c r="BQ157" s="1"/>
      <c r="BR157" s="17"/>
      <c r="BS157" s="17"/>
    </row>
    <row r="158" spans="1:73">
      <c r="AQ158" s="7" t="s">
        <v>179</v>
      </c>
      <c r="AR158" s="7" t="s">
        <v>182</v>
      </c>
      <c r="AS158" s="7" t="s">
        <v>183</v>
      </c>
      <c r="AT158" s="7" t="s">
        <v>180</v>
      </c>
      <c r="AU158" s="7" t="s">
        <v>181</v>
      </c>
      <c r="AV158" s="7" t="s">
        <v>178</v>
      </c>
      <c r="AW158" s="7" t="s">
        <v>184</v>
      </c>
      <c r="AX158" s="7" t="s">
        <v>185</v>
      </c>
      <c r="AY158" s="7" t="s">
        <v>186</v>
      </c>
      <c r="AZ158" s="7" t="s">
        <v>187</v>
      </c>
      <c r="BA158" s="7" t="s">
        <v>188</v>
      </c>
      <c r="BB158" s="7" t="s">
        <v>189</v>
      </c>
    </row>
  </sheetData>
  <autoFilter ref="A1:BU158">
    <filterColumn colId="71">
      <filters blank="1">
        <filter val="0"/>
      </filters>
    </filterColumn>
    <filterColumn colId="72">
      <filters blank="1">
        <filter val="0"/>
      </filters>
    </filterColumn>
    <sortState ref="A2:BU158">
      <sortCondition ref="BR2:BR158"/>
      <sortCondition ref="BQ2:BQ158"/>
    </sortState>
  </autoFilter>
  <sortState ref="A2:CS148">
    <sortCondition ref="BR2:BR148"/>
    <sortCondition ref="BQ2:BQ148"/>
  </sortState>
  <phoneticPr fontId="1" type="noConversion"/>
  <conditionalFormatting sqref="E154:BO154">
    <cfRule type="expression" dxfId="5" priority="10">
      <formula>"&lt;=$E$135"</formula>
    </cfRule>
  </conditionalFormatting>
  <conditionalFormatting sqref="E156:BO157">
    <cfRule type="cellIs" dxfId="4" priority="1" operator="lessThan">
      <formula>0</formula>
    </cfRule>
  </conditionalFormatting>
  <conditionalFormatting sqref="E153:BO153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157</xdr:row>
                    <xdr:rowOff>28575</xdr:rowOff>
                  </from>
                  <to>
                    <xdr:col>1</xdr:col>
                    <xdr:colOff>428625</xdr:colOff>
                    <xdr:row>158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2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H8" sqref="H8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>
      <c r="A1" s="8" t="s">
        <v>66</v>
      </c>
      <c r="B1" s="8" t="s">
        <v>67</v>
      </c>
      <c r="C1" s="8" t="s">
        <v>69</v>
      </c>
      <c r="D1" s="8" t="s">
        <v>68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64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103</v>
      </c>
      <c r="Q1" s="27" t="s">
        <v>115</v>
      </c>
      <c r="R1" s="27" t="s">
        <v>109</v>
      </c>
      <c r="S1" s="27" t="s">
        <v>104</v>
      </c>
      <c r="T1" s="27" t="s">
        <v>113</v>
      </c>
      <c r="U1" s="27" t="s">
        <v>119</v>
      </c>
      <c r="V1" s="27" t="s">
        <v>105</v>
      </c>
      <c r="W1" s="27" t="s">
        <v>112</v>
      </c>
      <c r="X1" s="27" t="s">
        <v>110</v>
      </c>
      <c r="Y1" s="27" t="s">
        <v>106</v>
      </c>
      <c r="Z1" s="27" t="s">
        <v>114</v>
      </c>
      <c r="AA1" s="27" t="s">
        <v>120</v>
      </c>
      <c r="AB1" s="27" t="s">
        <v>108</v>
      </c>
      <c r="AC1" s="27" t="s">
        <v>107</v>
      </c>
      <c r="AD1" s="27" t="s">
        <v>130</v>
      </c>
      <c r="AE1" s="8" t="s">
        <v>8</v>
      </c>
      <c r="AF1" s="8" t="s">
        <v>27</v>
      </c>
      <c r="AG1" s="8" t="s">
        <v>28</v>
      </c>
      <c r="AH1" s="8" t="s">
        <v>55</v>
      </c>
      <c r="AI1" s="8" t="s">
        <v>56</v>
      </c>
      <c r="AJ1" s="8" t="s">
        <v>58</v>
      </c>
      <c r="AK1" s="8" t="s">
        <v>59</v>
      </c>
      <c r="AL1" s="8" t="s">
        <v>61</v>
      </c>
      <c r="AM1" s="8" t="s">
        <v>47</v>
      </c>
      <c r="AN1" s="8" t="s">
        <v>49</v>
      </c>
      <c r="AO1" s="8" t="s">
        <v>91</v>
      </c>
      <c r="AP1" s="8" t="s">
        <v>92</v>
      </c>
      <c r="AQ1" s="10" t="s">
        <v>37</v>
      </c>
      <c r="AR1" s="10" t="s">
        <v>4</v>
      </c>
      <c r="AS1" s="10" t="s">
        <v>25</v>
      </c>
      <c r="AT1" s="10" t="s">
        <v>51</v>
      </c>
      <c r="AU1" s="10" t="s">
        <v>53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88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54</v>
      </c>
      <c r="BQ1" s="8" t="s">
        <v>74</v>
      </c>
      <c r="BR1" s="16" t="s">
        <v>75</v>
      </c>
      <c r="BS1" s="16"/>
      <c r="BT1" s="10" t="s">
        <v>37</v>
      </c>
      <c r="BU1" s="10" t="s">
        <v>4</v>
      </c>
      <c r="BV1" s="10" t="s">
        <v>25</v>
      </c>
      <c r="BW1" s="10" t="s">
        <v>51</v>
      </c>
      <c r="BX1" s="10" t="s">
        <v>53</v>
      </c>
      <c r="BY1" s="10" t="s">
        <v>45</v>
      </c>
      <c r="BZ1" s="11" t="s">
        <v>5</v>
      </c>
      <c r="CA1" s="11" t="s">
        <v>6</v>
      </c>
      <c r="CB1" s="11" t="s">
        <v>38</v>
      </c>
      <c r="CC1" s="11" t="s">
        <v>7</v>
      </c>
      <c r="CD1" s="11" t="s">
        <v>44</v>
      </c>
      <c r="CE1" s="11" t="s">
        <v>10</v>
      </c>
      <c r="CF1" s="8"/>
      <c r="CG1" s="10" t="s">
        <v>37</v>
      </c>
      <c r="CH1" s="10" t="s">
        <v>4</v>
      </c>
      <c r="CI1" s="10" t="s">
        <v>25</v>
      </c>
      <c r="CJ1" s="10" t="s">
        <v>51</v>
      </c>
      <c r="CK1" s="10" t="s">
        <v>53</v>
      </c>
      <c r="CL1" s="10" t="s">
        <v>45</v>
      </c>
      <c r="CM1" s="11" t="s">
        <v>5</v>
      </c>
      <c r="CN1" s="11" t="s">
        <v>6</v>
      </c>
      <c r="CO1" s="11" t="s">
        <v>38</v>
      </c>
      <c r="CP1" s="11" t="s">
        <v>7</v>
      </c>
      <c r="CQ1" s="11" t="s">
        <v>44</v>
      </c>
      <c r="CR1" s="11" t="s">
        <v>10</v>
      </c>
      <c r="CS1" s="8"/>
    </row>
    <row r="2" spans="1:97">
      <c r="A2" s="40">
        <v>77</v>
      </c>
      <c r="B2" s="47" t="s">
        <v>134</v>
      </c>
      <c r="C2" s="47" t="s">
        <v>50</v>
      </c>
      <c r="D2" s="40" t="s">
        <v>9</v>
      </c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3"/>
      <c r="AR2" s="43"/>
      <c r="AS2" s="43"/>
      <c r="AT2" s="43">
        <v>20</v>
      </c>
      <c r="AU2" s="43"/>
      <c r="AV2" s="43"/>
      <c r="AW2" s="44">
        <v>20</v>
      </c>
      <c r="AX2" s="44">
        <v>20</v>
      </c>
      <c r="AY2" s="44"/>
      <c r="AZ2" s="44"/>
      <c r="BA2" s="44"/>
      <c r="BB2" s="44">
        <v>10</v>
      </c>
      <c r="BC2" s="45"/>
      <c r="BD2" s="40"/>
      <c r="BE2" s="40"/>
      <c r="BF2" s="40"/>
      <c r="BG2" s="40"/>
      <c r="BH2" s="40">
        <v>20</v>
      </c>
      <c r="BI2" s="40"/>
      <c r="BJ2" s="40"/>
      <c r="BK2" s="40"/>
      <c r="BL2" s="40"/>
      <c r="BM2" s="40"/>
      <c r="BN2" s="40"/>
      <c r="BO2" s="40"/>
      <c r="BP2" s="40">
        <f>SUM(E2:BO2)</f>
        <v>90</v>
      </c>
      <c r="BQ2" s="40">
        <v>9</v>
      </c>
      <c r="BR2" s="46">
        <v>1</v>
      </c>
      <c r="BS2" s="46" t="s">
        <v>176</v>
      </c>
      <c r="BT2" s="40" t="str">
        <f t="shared" ref="BT2:CE2" si="0">IF(AQ2&gt;AQ$4, AQ2-AQ$4,"")</f>
        <v/>
      </c>
      <c r="BU2" s="40" t="str">
        <f t="shared" si="0"/>
        <v/>
      </c>
      <c r="BV2" s="40" t="str">
        <f t="shared" si="0"/>
        <v/>
      </c>
      <c r="BW2" s="40" t="str">
        <f t="shared" si="0"/>
        <v/>
      </c>
      <c r="BX2" s="40" t="str">
        <f t="shared" si="0"/>
        <v/>
      </c>
      <c r="BY2" s="40" t="str">
        <f t="shared" si="0"/>
        <v/>
      </c>
      <c r="BZ2" s="40" t="str">
        <f t="shared" si="0"/>
        <v/>
      </c>
      <c r="CA2" s="40" t="str">
        <f t="shared" si="0"/>
        <v/>
      </c>
      <c r="CB2" s="40" t="str">
        <f t="shared" si="0"/>
        <v/>
      </c>
      <c r="CC2" s="40" t="str">
        <f t="shared" si="0"/>
        <v/>
      </c>
      <c r="CD2" s="40" t="str">
        <f t="shared" si="0"/>
        <v/>
      </c>
      <c r="CE2" s="40" t="str">
        <f t="shared" si="0"/>
        <v/>
      </c>
      <c r="CF2" s="40">
        <f>COUNTIF(BT2:CE2, "&gt;0")</f>
        <v>0</v>
      </c>
      <c r="CG2" s="40" t="str">
        <f t="shared" ref="CG2:CR2" si="1">IF($CF2=1,BT2,"")</f>
        <v/>
      </c>
      <c r="CH2" s="40" t="str">
        <f t="shared" si="1"/>
        <v/>
      </c>
      <c r="CI2" s="40" t="str">
        <f t="shared" si="1"/>
        <v/>
      </c>
      <c r="CJ2" s="40" t="str">
        <f t="shared" si="1"/>
        <v/>
      </c>
      <c r="CK2" s="40" t="str">
        <f t="shared" si="1"/>
        <v/>
      </c>
      <c r="CL2" s="40" t="str">
        <f t="shared" si="1"/>
        <v/>
      </c>
      <c r="CM2" s="40" t="str">
        <f t="shared" si="1"/>
        <v/>
      </c>
      <c r="CN2" s="40" t="str">
        <f t="shared" si="1"/>
        <v/>
      </c>
      <c r="CO2" s="40" t="str">
        <f t="shared" si="1"/>
        <v/>
      </c>
      <c r="CP2" s="40" t="str">
        <f t="shared" si="1"/>
        <v/>
      </c>
      <c r="CQ2" s="40" t="str">
        <f t="shared" si="1"/>
        <v/>
      </c>
      <c r="CR2" s="40" t="str">
        <f t="shared" si="1"/>
        <v/>
      </c>
      <c r="CS2" s="47">
        <f>SUM(AE2:BO2)</f>
        <v>90</v>
      </c>
    </row>
    <row r="3" spans="1:97" s="58" customFormat="1" ht="27">
      <c r="A3" s="50"/>
      <c r="B3" s="50" t="s">
        <v>192</v>
      </c>
      <c r="C3" s="50" t="s">
        <v>86</v>
      </c>
      <c r="D3" s="50" t="s">
        <v>102</v>
      </c>
      <c r="E3" s="51"/>
      <c r="F3" s="51"/>
      <c r="G3" s="51"/>
      <c r="H3" s="51"/>
      <c r="I3" s="51">
        <v>10</v>
      </c>
      <c r="J3" s="51"/>
      <c r="K3" s="51"/>
      <c r="L3" s="51"/>
      <c r="M3" s="51"/>
      <c r="N3" s="51"/>
      <c r="O3" s="51"/>
      <c r="P3" s="52"/>
      <c r="Q3" s="52"/>
      <c r="R3" s="52">
        <v>10</v>
      </c>
      <c r="S3" s="52"/>
      <c r="T3" s="52"/>
      <c r="U3" s="52"/>
      <c r="V3" s="52"/>
      <c r="W3" s="52"/>
      <c r="X3" s="52">
        <v>10</v>
      </c>
      <c r="Y3" s="52"/>
      <c r="Z3" s="52"/>
      <c r="AA3" s="52"/>
      <c r="AB3" s="52"/>
      <c r="AC3" s="52"/>
      <c r="AD3" s="52"/>
      <c r="AE3" s="50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3"/>
      <c r="AR3" s="53"/>
      <c r="AS3" s="53"/>
      <c r="AT3" s="53">
        <v>10</v>
      </c>
      <c r="AU3" s="53"/>
      <c r="AV3" s="53"/>
      <c r="AW3" s="54"/>
      <c r="AX3" s="54"/>
      <c r="AY3" s="54"/>
      <c r="AZ3" s="54"/>
      <c r="BA3" s="54"/>
      <c r="BB3" s="54"/>
      <c r="BC3" s="55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0"/>
      <c r="BO3" s="50"/>
      <c r="BP3" s="50">
        <f>SUM(E3:BO3)</f>
        <v>40</v>
      </c>
      <c r="BQ3" s="50">
        <v>8</v>
      </c>
      <c r="BR3" s="56">
        <v>2</v>
      </c>
      <c r="BS3" s="56" t="s">
        <v>208</v>
      </c>
      <c r="BT3" s="50" t="str">
        <f t="shared" ref="BT3:CE3" si="2">IF(AQ3&gt;AQ$141, AQ3-AQ$141,"")</f>
        <v/>
      </c>
      <c r="BU3" s="50" t="str">
        <f t="shared" si="2"/>
        <v/>
      </c>
      <c r="BV3" s="50" t="str">
        <f t="shared" si="2"/>
        <v/>
      </c>
      <c r="BW3" s="50">
        <f t="shared" si="2"/>
        <v>10</v>
      </c>
      <c r="BX3" s="50" t="str">
        <f t="shared" si="2"/>
        <v/>
      </c>
      <c r="BY3" s="50" t="str">
        <f t="shared" si="2"/>
        <v/>
      </c>
      <c r="BZ3" s="50" t="str">
        <f t="shared" si="2"/>
        <v/>
      </c>
      <c r="CA3" s="50" t="str">
        <f t="shared" si="2"/>
        <v/>
      </c>
      <c r="CB3" s="50" t="str">
        <f t="shared" si="2"/>
        <v/>
      </c>
      <c r="CC3" s="50" t="str">
        <f t="shared" si="2"/>
        <v/>
      </c>
      <c r="CD3" s="50" t="str">
        <f t="shared" si="2"/>
        <v/>
      </c>
      <c r="CE3" s="50" t="str">
        <f t="shared" si="2"/>
        <v/>
      </c>
      <c r="CF3" s="50"/>
      <c r="CG3" s="50"/>
      <c r="CH3" s="50"/>
      <c r="CI3" s="50"/>
      <c r="CJ3" s="50"/>
      <c r="CK3" s="50"/>
      <c r="CL3" s="50"/>
      <c r="CM3" s="50"/>
      <c r="CN3" s="50"/>
      <c r="CO3" s="50"/>
      <c r="CP3" s="50"/>
      <c r="CQ3" s="50"/>
      <c r="CR3" s="50"/>
      <c r="CS3" s="57"/>
    </row>
    <row r="4" spans="1:97">
      <c r="A4" s="1"/>
      <c r="B4" s="1" t="s">
        <v>54</v>
      </c>
      <c r="C4" s="1"/>
      <c r="D4" s="1"/>
      <c r="E4" s="6">
        <f t="shared" ref="E4:AJ4" si="3">SUM(E2:E3)</f>
        <v>0</v>
      </c>
      <c r="F4" s="6">
        <f t="shared" si="3"/>
        <v>0</v>
      </c>
      <c r="G4" s="6">
        <f t="shared" si="3"/>
        <v>0</v>
      </c>
      <c r="H4" s="6">
        <f t="shared" si="3"/>
        <v>0</v>
      </c>
      <c r="I4" s="6">
        <f t="shared" si="3"/>
        <v>10</v>
      </c>
      <c r="J4" s="6">
        <f t="shared" si="3"/>
        <v>0</v>
      </c>
      <c r="K4" s="6">
        <f t="shared" si="3"/>
        <v>0</v>
      </c>
      <c r="L4" s="6">
        <f t="shared" si="3"/>
        <v>0</v>
      </c>
      <c r="M4" s="6">
        <f t="shared" si="3"/>
        <v>0</v>
      </c>
      <c r="N4" s="6">
        <f t="shared" si="3"/>
        <v>0</v>
      </c>
      <c r="O4" s="6">
        <f t="shared" si="3"/>
        <v>0</v>
      </c>
      <c r="P4" s="28">
        <f t="shared" si="3"/>
        <v>0</v>
      </c>
      <c r="Q4" s="28">
        <f t="shared" si="3"/>
        <v>0</v>
      </c>
      <c r="R4" s="28">
        <f t="shared" si="3"/>
        <v>10</v>
      </c>
      <c r="S4" s="28">
        <f t="shared" si="3"/>
        <v>0</v>
      </c>
      <c r="T4" s="28">
        <f t="shared" si="3"/>
        <v>0</v>
      </c>
      <c r="U4" s="28">
        <f t="shared" si="3"/>
        <v>0</v>
      </c>
      <c r="V4" s="28">
        <f t="shared" si="3"/>
        <v>0</v>
      </c>
      <c r="W4" s="28">
        <f t="shared" si="3"/>
        <v>0</v>
      </c>
      <c r="X4" s="28">
        <f t="shared" si="3"/>
        <v>10</v>
      </c>
      <c r="Y4" s="28">
        <f t="shared" si="3"/>
        <v>0</v>
      </c>
      <c r="Z4" s="28">
        <f t="shared" si="3"/>
        <v>0</v>
      </c>
      <c r="AA4" s="28">
        <f t="shared" si="3"/>
        <v>0</v>
      </c>
      <c r="AB4" s="28">
        <f t="shared" si="3"/>
        <v>0</v>
      </c>
      <c r="AC4" s="28">
        <f t="shared" si="3"/>
        <v>0</v>
      </c>
      <c r="AD4" s="28">
        <f t="shared" si="3"/>
        <v>0</v>
      </c>
      <c r="AE4" s="1">
        <f t="shared" si="3"/>
        <v>0</v>
      </c>
      <c r="AF4" s="1">
        <f t="shared" si="3"/>
        <v>0</v>
      </c>
      <c r="AG4" s="1">
        <f t="shared" si="3"/>
        <v>0</v>
      </c>
      <c r="AH4" s="1">
        <f t="shared" si="3"/>
        <v>0</v>
      </c>
      <c r="AI4" s="1">
        <f t="shared" si="3"/>
        <v>0</v>
      </c>
      <c r="AJ4" s="1">
        <f t="shared" si="3"/>
        <v>0</v>
      </c>
      <c r="AK4" s="1">
        <f t="shared" ref="AK4:BO4" si="4">SUM(AK2:AK3)</f>
        <v>0</v>
      </c>
      <c r="AL4" s="1">
        <f t="shared" si="4"/>
        <v>0</v>
      </c>
      <c r="AM4" s="1">
        <f t="shared" si="4"/>
        <v>0</v>
      </c>
      <c r="AN4" s="1">
        <f t="shared" si="4"/>
        <v>0</v>
      </c>
      <c r="AO4" s="1">
        <f t="shared" si="4"/>
        <v>0</v>
      </c>
      <c r="AP4" s="1">
        <f t="shared" si="4"/>
        <v>0</v>
      </c>
      <c r="AQ4" s="4">
        <f t="shared" si="4"/>
        <v>0</v>
      </c>
      <c r="AR4" s="4">
        <f t="shared" si="4"/>
        <v>0</v>
      </c>
      <c r="AS4" s="4">
        <f t="shared" si="4"/>
        <v>0</v>
      </c>
      <c r="AT4" s="4">
        <f t="shared" si="4"/>
        <v>30</v>
      </c>
      <c r="AU4" s="4">
        <f t="shared" si="4"/>
        <v>0</v>
      </c>
      <c r="AV4" s="4">
        <f t="shared" si="4"/>
        <v>0</v>
      </c>
      <c r="AW4" s="2">
        <f t="shared" si="4"/>
        <v>20</v>
      </c>
      <c r="AX4" s="2">
        <f t="shared" si="4"/>
        <v>20</v>
      </c>
      <c r="AY4" s="2">
        <f t="shared" si="4"/>
        <v>0</v>
      </c>
      <c r="AZ4" s="2">
        <f t="shared" si="4"/>
        <v>0</v>
      </c>
      <c r="BA4" s="2">
        <f t="shared" si="4"/>
        <v>0</v>
      </c>
      <c r="BB4" s="2">
        <f t="shared" si="4"/>
        <v>10</v>
      </c>
      <c r="BC4" s="1">
        <f t="shared" si="4"/>
        <v>0</v>
      </c>
      <c r="BD4" s="1">
        <f t="shared" si="4"/>
        <v>0</v>
      </c>
      <c r="BE4" s="1">
        <f t="shared" si="4"/>
        <v>0</v>
      </c>
      <c r="BF4" s="1">
        <f t="shared" si="4"/>
        <v>0</v>
      </c>
      <c r="BG4" s="1">
        <f t="shared" si="4"/>
        <v>0</v>
      </c>
      <c r="BH4" s="1">
        <f t="shared" si="4"/>
        <v>20</v>
      </c>
      <c r="BI4" s="1">
        <f t="shared" si="4"/>
        <v>0</v>
      </c>
      <c r="BJ4" s="1">
        <f t="shared" si="4"/>
        <v>0</v>
      </c>
      <c r="BK4" s="1">
        <f t="shared" si="4"/>
        <v>0</v>
      </c>
      <c r="BL4" s="1">
        <f t="shared" si="4"/>
        <v>0</v>
      </c>
      <c r="BM4" s="1">
        <f t="shared" si="4"/>
        <v>0</v>
      </c>
      <c r="BN4" s="1">
        <f t="shared" si="4"/>
        <v>0</v>
      </c>
      <c r="BO4" s="1">
        <f t="shared" si="4"/>
        <v>0</v>
      </c>
      <c r="BP4" s="1"/>
      <c r="BQ4" s="1"/>
      <c r="BR4" s="17"/>
      <c r="BS4" s="17"/>
      <c r="BT4" s="1">
        <f t="shared" ref="BT4:CE4" si="5">MIN(BT2:BT3)</f>
        <v>0</v>
      </c>
      <c r="BU4" s="1">
        <f t="shared" si="5"/>
        <v>0</v>
      </c>
      <c r="BV4" s="1">
        <f t="shared" si="5"/>
        <v>0</v>
      </c>
      <c r="BW4" s="1">
        <f t="shared" si="5"/>
        <v>10</v>
      </c>
      <c r="BX4" s="1">
        <f t="shared" si="5"/>
        <v>0</v>
      </c>
      <c r="BY4" s="1">
        <f t="shared" si="5"/>
        <v>0</v>
      </c>
      <c r="BZ4" s="1">
        <f t="shared" si="5"/>
        <v>0</v>
      </c>
      <c r="CA4" s="1">
        <f t="shared" si="5"/>
        <v>0</v>
      </c>
      <c r="CB4" s="1">
        <f t="shared" si="5"/>
        <v>0</v>
      </c>
      <c r="CC4" s="1">
        <f t="shared" si="5"/>
        <v>0</v>
      </c>
      <c r="CD4" s="1">
        <f t="shared" si="5"/>
        <v>0</v>
      </c>
      <c r="CE4" s="1">
        <f t="shared" si="5"/>
        <v>0</v>
      </c>
      <c r="CF4" s="1"/>
      <c r="CG4" s="1">
        <f t="shared" ref="CG4:CR4" si="6">MIN(CG2:CG3)</f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6"/>
        <v>0</v>
      </c>
      <c r="CO4" s="1">
        <f t="shared" si="6"/>
        <v>0</v>
      </c>
      <c r="CP4" s="1">
        <f t="shared" si="6"/>
        <v>0</v>
      </c>
      <c r="CQ4" s="1">
        <f t="shared" si="6"/>
        <v>0</v>
      </c>
      <c r="CR4" s="1">
        <f t="shared" si="6"/>
        <v>0</v>
      </c>
      <c r="CS4" s="3">
        <f>COUNTIF(CS2:CS3,"=0")</f>
        <v>0</v>
      </c>
    </row>
    <row r="5" spans="1:97">
      <c r="A5" s="1"/>
      <c r="B5" s="3" t="s">
        <v>72</v>
      </c>
      <c r="C5" s="1"/>
      <c r="D5" s="1"/>
      <c r="E5" s="1">
        <v>43</v>
      </c>
      <c r="F5" s="1">
        <v>23</v>
      </c>
      <c r="G5" s="1">
        <v>21</v>
      </c>
      <c r="H5" s="1">
        <v>0</v>
      </c>
      <c r="I5" s="1">
        <v>68</v>
      </c>
      <c r="J5" s="1">
        <v>82</v>
      </c>
      <c r="K5" s="1">
        <v>53</v>
      </c>
      <c r="L5" s="1">
        <v>80</v>
      </c>
      <c r="M5" s="1">
        <v>54</v>
      </c>
      <c r="N5" s="1">
        <v>64</v>
      </c>
      <c r="O5" s="1">
        <v>41</v>
      </c>
      <c r="P5" s="14">
        <v>34</v>
      </c>
      <c r="Q5" s="14">
        <v>3</v>
      </c>
      <c r="R5" s="14">
        <v>4</v>
      </c>
      <c r="S5" s="14">
        <v>24</v>
      </c>
      <c r="T5" s="14">
        <v>15</v>
      </c>
      <c r="U5" s="14">
        <v>3</v>
      </c>
      <c r="V5" s="14">
        <v>16</v>
      </c>
      <c r="W5" s="14">
        <v>4</v>
      </c>
      <c r="X5" s="14">
        <v>8</v>
      </c>
      <c r="Y5" s="14">
        <v>20</v>
      </c>
      <c r="Z5" s="14">
        <v>6</v>
      </c>
      <c r="AA5" s="14">
        <v>3</v>
      </c>
      <c r="AB5" s="14">
        <v>23</v>
      </c>
      <c r="AC5" s="14">
        <v>4</v>
      </c>
      <c r="AD5" s="14">
        <v>8</v>
      </c>
      <c r="AE5" s="1">
        <v>6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33</v>
      </c>
      <c r="AL5" s="1">
        <v>43</v>
      </c>
      <c r="AM5" s="1">
        <v>5</v>
      </c>
      <c r="AN5" s="1">
        <v>1</v>
      </c>
      <c r="AO5" s="1">
        <v>0</v>
      </c>
      <c r="AP5" s="1">
        <v>0</v>
      </c>
      <c r="AQ5" s="14">
        <v>3</v>
      </c>
      <c r="AR5" s="14">
        <v>6</v>
      </c>
      <c r="AS5" s="14">
        <v>4</v>
      </c>
      <c r="AT5" s="14">
        <v>20</v>
      </c>
      <c r="AU5" s="14">
        <v>27</v>
      </c>
      <c r="AV5" s="14">
        <v>20</v>
      </c>
      <c r="AW5" s="14">
        <v>16</v>
      </c>
      <c r="AX5" s="14">
        <v>23</v>
      </c>
      <c r="AY5" s="14">
        <v>32</v>
      </c>
      <c r="AZ5" s="14">
        <v>15</v>
      </c>
      <c r="BA5" s="14">
        <v>4</v>
      </c>
      <c r="BB5" s="14">
        <v>23</v>
      </c>
      <c r="BC5" s="14">
        <v>12</v>
      </c>
      <c r="BD5" s="1">
        <v>162</v>
      </c>
      <c r="BE5" s="1">
        <v>244</v>
      </c>
      <c r="BF5" s="1">
        <v>233</v>
      </c>
      <c r="BG5" s="1">
        <v>242</v>
      </c>
      <c r="BH5" s="1">
        <v>141</v>
      </c>
      <c r="BI5" s="1">
        <v>154</v>
      </c>
      <c r="BJ5" s="1">
        <v>56</v>
      </c>
      <c r="BK5" s="1">
        <v>65</v>
      </c>
      <c r="BL5" s="1">
        <v>93</v>
      </c>
      <c r="BM5" s="1">
        <v>8</v>
      </c>
      <c r="BN5" s="1">
        <v>5</v>
      </c>
      <c r="BO5" s="1">
        <v>5</v>
      </c>
      <c r="BP5" s="1"/>
      <c r="BQ5" s="1"/>
      <c r="BR5" s="17"/>
      <c r="BS5" s="17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</row>
    <row r="6" spans="1:97">
      <c r="A6" s="1"/>
      <c r="B6" s="3" t="s">
        <v>79</v>
      </c>
      <c r="C6" s="1"/>
      <c r="D6" s="1"/>
      <c r="E6" s="1">
        <f t="shared" ref="E6:AJ6" si="7">E5-E4</f>
        <v>43</v>
      </c>
      <c r="F6" s="1">
        <f t="shared" si="7"/>
        <v>23</v>
      </c>
      <c r="G6" s="1">
        <f t="shared" si="7"/>
        <v>21</v>
      </c>
      <c r="H6" s="1">
        <f t="shared" si="7"/>
        <v>0</v>
      </c>
      <c r="I6" s="1">
        <f t="shared" si="7"/>
        <v>58</v>
      </c>
      <c r="J6" s="1">
        <f t="shared" si="7"/>
        <v>82</v>
      </c>
      <c r="K6" s="1">
        <f t="shared" si="7"/>
        <v>53</v>
      </c>
      <c r="L6" s="1">
        <f t="shared" si="7"/>
        <v>80</v>
      </c>
      <c r="M6" s="1">
        <f t="shared" si="7"/>
        <v>54</v>
      </c>
      <c r="N6" s="1">
        <f t="shared" si="7"/>
        <v>64</v>
      </c>
      <c r="O6" s="1">
        <f t="shared" si="7"/>
        <v>41</v>
      </c>
      <c r="P6" s="1">
        <f t="shared" si="7"/>
        <v>34</v>
      </c>
      <c r="Q6" s="1">
        <f t="shared" si="7"/>
        <v>3</v>
      </c>
      <c r="R6" s="1">
        <f t="shared" si="7"/>
        <v>-6</v>
      </c>
      <c r="S6" s="1">
        <f t="shared" si="7"/>
        <v>24</v>
      </c>
      <c r="T6" s="1">
        <f t="shared" si="7"/>
        <v>15</v>
      </c>
      <c r="U6" s="1">
        <f t="shared" si="7"/>
        <v>3</v>
      </c>
      <c r="V6" s="1">
        <f t="shared" si="7"/>
        <v>16</v>
      </c>
      <c r="W6" s="1">
        <f t="shared" si="7"/>
        <v>4</v>
      </c>
      <c r="X6" s="1">
        <f t="shared" si="7"/>
        <v>-2</v>
      </c>
      <c r="Y6" s="1">
        <f t="shared" si="7"/>
        <v>20</v>
      </c>
      <c r="Z6" s="1">
        <f t="shared" si="7"/>
        <v>6</v>
      </c>
      <c r="AA6" s="1">
        <f t="shared" si="7"/>
        <v>3</v>
      </c>
      <c r="AB6" s="1">
        <f t="shared" si="7"/>
        <v>23</v>
      </c>
      <c r="AC6" s="1">
        <f t="shared" si="7"/>
        <v>4</v>
      </c>
      <c r="AD6" s="1">
        <f t="shared" si="7"/>
        <v>8</v>
      </c>
      <c r="AE6" s="1">
        <f t="shared" si="7"/>
        <v>6</v>
      </c>
      <c r="AF6" s="1">
        <f t="shared" si="7"/>
        <v>0</v>
      </c>
      <c r="AG6" s="1">
        <f t="shared" si="7"/>
        <v>0</v>
      </c>
      <c r="AH6" s="1">
        <f t="shared" si="7"/>
        <v>0</v>
      </c>
      <c r="AI6" s="1">
        <f t="shared" si="7"/>
        <v>0</v>
      </c>
      <c r="AJ6" s="1">
        <f t="shared" si="7"/>
        <v>0</v>
      </c>
      <c r="AK6" s="1">
        <f t="shared" ref="AK6:BO6" si="8">AK5-AK4</f>
        <v>33</v>
      </c>
      <c r="AL6" s="1">
        <f t="shared" si="8"/>
        <v>43</v>
      </c>
      <c r="AM6" s="1">
        <f t="shared" si="8"/>
        <v>5</v>
      </c>
      <c r="AN6" s="1">
        <f t="shared" si="8"/>
        <v>1</v>
      </c>
      <c r="AO6" s="1">
        <f t="shared" si="8"/>
        <v>0</v>
      </c>
      <c r="AP6" s="1">
        <f t="shared" si="8"/>
        <v>0</v>
      </c>
      <c r="AQ6" s="1">
        <f t="shared" si="8"/>
        <v>3</v>
      </c>
      <c r="AR6" s="1">
        <f t="shared" si="8"/>
        <v>6</v>
      </c>
      <c r="AS6" s="1">
        <f t="shared" si="8"/>
        <v>4</v>
      </c>
      <c r="AT6" s="1">
        <f t="shared" si="8"/>
        <v>-10</v>
      </c>
      <c r="AU6" s="1">
        <f t="shared" si="8"/>
        <v>27</v>
      </c>
      <c r="AV6" s="1">
        <f t="shared" si="8"/>
        <v>20</v>
      </c>
      <c r="AW6" s="1">
        <f t="shared" si="8"/>
        <v>-4</v>
      </c>
      <c r="AX6" s="1">
        <f t="shared" si="8"/>
        <v>3</v>
      </c>
      <c r="AY6" s="1">
        <f t="shared" si="8"/>
        <v>32</v>
      </c>
      <c r="AZ6" s="1">
        <f t="shared" si="8"/>
        <v>15</v>
      </c>
      <c r="BA6" s="1">
        <f t="shared" si="8"/>
        <v>4</v>
      </c>
      <c r="BB6" s="1">
        <f t="shared" si="8"/>
        <v>13</v>
      </c>
      <c r="BC6" s="1">
        <f t="shared" si="8"/>
        <v>12</v>
      </c>
      <c r="BD6" s="1">
        <f t="shared" si="8"/>
        <v>162</v>
      </c>
      <c r="BE6" s="1">
        <f t="shared" si="8"/>
        <v>244</v>
      </c>
      <c r="BF6" s="1">
        <f t="shared" si="8"/>
        <v>233</v>
      </c>
      <c r="BG6" s="1">
        <f t="shared" si="8"/>
        <v>242</v>
      </c>
      <c r="BH6" s="1">
        <f t="shared" si="8"/>
        <v>121</v>
      </c>
      <c r="BI6" s="1">
        <f t="shared" si="8"/>
        <v>154</v>
      </c>
      <c r="BJ6" s="1">
        <f t="shared" si="8"/>
        <v>56</v>
      </c>
      <c r="BK6" s="1">
        <f t="shared" si="8"/>
        <v>65</v>
      </c>
      <c r="BL6" s="1">
        <f t="shared" si="8"/>
        <v>93</v>
      </c>
      <c r="BM6" s="1">
        <f t="shared" si="8"/>
        <v>8</v>
      </c>
      <c r="BN6" s="1">
        <f t="shared" si="8"/>
        <v>5</v>
      </c>
      <c r="BO6" s="1">
        <f t="shared" si="8"/>
        <v>5</v>
      </c>
      <c r="BP6" s="1"/>
      <c r="BQ6" s="1"/>
      <c r="BR6" s="17"/>
      <c r="BS6" s="17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</row>
    <row r="7" spans="1:97">
      <c r="A7" s="1"/>
      <c r="B7" s="3" t="s">
        <v>150</v>
      </c>
      <c r="C7" s="1"/>
      <c r="D7" s="1"/>
      <c r="E7" s="1">
        <f t="shared" ref="E7:AJ7" si="9">MAX(E2:E3)</f>
        <v>0</v>
      </c>
      <c r="F7" s="1">
        <f t="shared" si="9"/>
        <v>0</v>
      </c>
      <c r="G7" s="1">
        <f t="shared" si="9"/>
        <v>0</v>
      </c>
      <c r="H7" s="1">
        <f t="shared" si="9"/>
        <v>0</v>
      </c>
      <c r="I7" s="1">
        <f t="shared" si="9"/>
        <v>10</v>
      </c>
      <c r="J7" s="1">
        <f t="shared" si="9"/>
        <v>0</v>
      </c>
      <c r="K7" s="1">
        <f t="shared" si="9"/>
        <v>0</v>
      </c>
      <c r="L7" s="1">
        <f t="shared" si="9"/>
        <v>0</v>
      </c>
      <c r="M7" s="1">
        <f t="shared" si="9"/>
        <v>0</v>
      </c>
      <c r="N7" s="1">
        <f t="shared" si="9"/>
        <v>0</v>
      </c>
      <c r="O7" s="1">
        <f t="shared" si="9"/>
        <v>0</v>
      </c>
      <c r="P7" s="1">
        <f t="shared" si="9"/>
        <v>0</v>
      </c>
      <c r="Q7" s="1">
        <f t="shared" si="9"/>
        <v>0</v>
      </c>
      <c r="R7" s="1">
        <f t="shared" si="9"/>
        <v>10</v>
      </c>
      <c r="S7" s="1">
        <f t="shared" si="9"/>
        <v>0</v>
      </c>
      <c r="T7" s="1">
        <f t="shared" si="9"/>
        <v>0</v>
      </c>
      <c r="U7" s="1">
        <f t="shared" si="9"/>
        <v>0</v>
      </c>
      <c r="V7" s="1">
        <f t="shared" si="9"/>
        <v>0</v>
      </c>
      <c r="W7" s="1">
        <f t="shared" si="9"/>
        <v>0</v>
      </c>
      <c r="X7" s="1">
        <f t="shared" si="9"/>
        <v>10</v>
      </c>
      <c r="Y7" s="1">
        <f t="shared" si="9"/>
        <v>0</v>
      </c>
      <c r="Z7" s="1">
        <f t="shared" si="9"/>
        <v>0</v>
      </c>
      <c r="AA7" s="1">
        <f t="shared" si="9"/>
        <v>0</v>
      </c>
      <c r="AB7" s="1">
        <f t="shared" si="9"/>
        <v>0</v>
      </c>
      <c r="AC7" s="1">
        <f t="shared" si="9"/>
        <v>0</v>
      </c>
      <c r="AD7" s="1">
        <f t="shared" si="9"/>
        <v>0</v>
      </c>
      <c r="AE7" s="1">
        <f t="shared" si="9"/>
        <v>0</v>
      </c>
      <c r="AF7" s="1">
        <f t="shared" si="9"/>
        <v>0</v>
      </c>
      <c r="AG7" s="1">
        <f t="shared" si="9"/>
        <v>0</v>
      </c>
      <c r="AH7" s="1">
        <f t="shared" si="9"/>
        <v>0</v>
      </c>
      <c r="AI7" s="1">
        <f t="shared" si="9"/>
        <v>0</v>
      </c>
      <c r="AJ7" s="1">
        <f t="shared" si="9"/>
        <v>0</v>
      </c>
      <c r="AK7" s="1">
        <f t="shared" ref="AK7:BO7" si="10">MAX(AK2:AK3)</f>
        <v>0</v>
      </c>
      <c r="AL7" s="1">
        <f t="shared" si="10"/>
        <v>0</v>
      </c>
      <c r="AM7" s="1">
        <f t="shared" si="10"/>
        <v>0</v>
      </c>
      <c r="AN7" s="1">
        <f t="shared" si="10"/>
        <v>0</v>
      </c>
      <c r="AO7" s="1">
        <f t="shared" si="10"/>
        <v>0</v>
      </c>
      <c r="AP7" s="1">
        <f t="shared" si="10"/>
        <v>0</v>
      </c>
      <c r="AQ7" s="1">
        <f t="shared" si="10"/>
        <v>0</v>
      </c>
      <c r="AR7" s="1">
        <f t="shared" si="10"/>
        <v>0</v>
      </c>
      <c r="AS7" s="1">
        <f t="shared" si="10"/>
        <v>0</v>
      </c>
      <c r="AT7" s="1">
        <f t="shared" si="10"/>
        <v>20</v>
      </c>
      <c r="AU7" s="1">
        <f t="shared" si="10"/>
        <v>0</v>
      </c>
      <c r="AV7" s="1">
        <f t="shared" si="10"/>
        <v>0</v>
      </c>
      <c r="AW7" s="1">
        <f t="shared" si="10"/>
        <v>20</v>
      </c>
      <c r="AX7" s="1">
        <f t="shared" si="10"/>
        <v>20</v>
      </c>
      <c r="AY7" s="1">
        <f t="shared" si="10"/>
        <v>0</v>
      </c>
      <c r="AZ7" s="1">
        <f t="shared" si="10"/>
        <v>0</v>
      </c>
      <c r="BA7" s="1">
        <f t="shared" si="10"/>
        <v>0</v>
      </c>
      <c r="BB7" s="1">
        <f t="shared" si="10"/>
        <v>10</v>
      </c>
      <c r="BC7" s="1">
        <f t="shared" si="10"/>
        <v>0</v>
      </c>
      <c r="BD7" s="1">
        <f t="shared" si="10"/>
        <v>0</v>
      </c>
      <c r="BE7" s="1">
        <f t="shared" si="10"/>
        <v>0</v>
      </c>
      <c r="BF7" s="1">
        <f t="shared" si="10"/>
        <v>0</v>
      </c>
      <c r="BG7" s="1">
        <f t="shared" si="10"/>
        <v>0</v>
      </c>
      <c r="BH7" s="1">
        <f t="shared" si="10"/>
        <v>20</v>
      </c>
      <c r="BI7" s="1">
        <f t="shared" si="10"/>
        <v>0</v>
      </c>
      <c r="BJ7" s="1">
        <f t="shared" si="10"/>
        <v>0</v>
      </c>
      <c r="BK7" s="1">
        <f t="shared" si="10"/>
        <v>0</v>
      </c>
      <c r="BL7" s="1">
        <f t="shared" si="10"/>
        <v>0</v>
      </c>
      <c r="BM7" s="1">
        <f t="shared" si="10"/>
        <v>0</v>
      </c>
      <c r="BN7" s="1">
        <f t="shared" si="10"/>
        <v>0</v>
      </c>
      <c r="BO7" s="1">
        <f t="shared" si="10"/>
        <v>0</v>
      </c>
      <c r="BP7" s="1"/>
      <c r="BQ7" s="1"/>
      <c r="BR7" s="17"/>
      <c r="BS7" s="17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</row>
    <row r="8" spans="1:97">
      <c r="A8" s="1"/>
      <c r="B8" s="3" t="s">
        <v>151</v>
      </c>
      <c r="C8" s="1"/>
      <c r="D8" s="1"/>
      <c r="E8" s="1">
        <f t="shared" ref="E8:AJ8" si="11">MIN(E2:E3)</f>
        <v>0</v>
      </c>
      <c r="F8" s="1">
        <f t="shared" si="11"/>
        <v>0</v>
      </c>
      <c r="G8" s="1">
        <f t="shared" si="11"/>
        <v>0</v>
      </c>
      <c r="H8" s="1">
        <f t="shared" si="11"/>
        <v>0</v>
      </c>
      <c r="I8" s="1">
        <f t="shared" si="11"/>
        <v>10</v>
      </c>
      <c r="J8" s="1">
        <f t="shared" si="11"/>
        <v>0</v>
      </c>
      <c r="K8" s="1">
        <f t="shared" si="11"/>
        <v>0</v>
      </c>
      <c r="L8" s="1">
        <f t="shared" si="11"/>
        <v>0</v>
      </c>
      <c r="M8" s="1">
        <f t="shared" si="11"/>
        <v>0</v>
      </c>
      <c r="N8" s="1">
        <f t="shared" si="11"/>
        <v>0</v>
      </c>
      <c r="O8" s="1">
        <f t="shared" si="11"/>
        <v>0</v>
      </c>
      <c r="P8" s="1">
        <f t="shared" si="11"/>
        <v>0</v>
      </c>
      <c r="Q8" s="1">
        <f t="shared" si="11"/>
        <v>0</v>
      </c>
      <c r="R8" s="1">
        <f t="shared" si="11"/>
        <v>10</v>
      </c>
      <c r="S8" s="1">
        <f t="shared" si="11"/>
        <v>0</v>
      </c>
      <c r="T8" s="1">
        <f t="shared" si="11"/>
        <v>0</v>
      </c>
      <c r="U8" s="1">
        <f t="shared" si="11"/>
        <v>0</v>
      </c>
      <c r="V8" s="1">
        <f t="shared" si="11"/>
        <v>0</v>
      </c>
      <c r="W8" s="1">
        <f t="shared" si="11"/>
        <v>0</v>
      </c>
      <c r="X8" s="1">
        <f t="shared" si="11"/>
        <v>10</v>
      </c>
      <c r="Y8" s="1">
        <f t="shared" si="11"/>
        <v>0</v>
      </c>
      <c r="Z8" s="1">
        <f t="shared" si="11"/>
        <v>0</v>
      </c>
      <c r="AA8" s="1">
        <f t="shared" si="11"/>
        <v>0</v>
      </c>
      <c r="AB8" s="1">
        <f t="shared" si="11"/>
        <v>0</v>
      </c>
      <c r="AC8" s="1">
        <f t="shared" si="11"/>
        <v>0</v>
      </c>
      <c r="AD8" s="1">
        <f t="shared" si="11"/>
        <v>0</v>
      </c>
      <c r="AE8" s="1">
        <f t="shared" si="11"/>
        <v>0</v>
      </c>
      <c r="AF8" s="1">
        <f t="shared" si="11"/>
        <v>0</v>
      </c>
      <c r="AG8" s="1">
        <f t="shared" si="11"/>
        <v>0</v>
      </c>
      <c r="AH8" s="1">
        <f t="shared" si="11"/>
        <v>0</v>
      </c>
      <c r="AI8" s="1">
        <f t="shared" si="11"/>
        <v>0</v>
      </c>
      <c r="AJ8" s="1">
        <f t="shared" si="11"/>
        <v>0</v>
      </c>
      <c r="AK8" s="1">
        <f t="shared" ref="AK8:BO8" si="12">MIN(AK2:AK3)</f>
        <v>0</v>
      </c>
      <c r="AL8" s="1">
        <f t="shared" si="12"/>
        <v>0</v>
      </c>
      <c r="AM8" s="1">
        <f t="shared" si="12"/>
        <v>0</v>
      </c>
      <c r="AN8" s="1">
        <f t="shared" si="12"/>
        <v>0</v>
      </c>
      <c r="AO8" s="1">
        <f t="shared" si="12"/>
        <v>0</v>
      </c>
      <c r="AP8" s="1">
        <f t="shared" si="12"/>
        <v>0</v>
      </c>
      <c r="AQ8" s="1">
        <f t="shared" si="12"/>
        <v>0</v>
      </c>
      <c r="AR8" s="1">
        <f t="shared" si="12"/>
        <v>0</v>
      </c>
      <c r="AS8" s="1">
        <f t="shared" si="12"/>
        <v>0</v>
      </c>
      <c r="AT8" s="1">
        <f t="shared" si="12"/>
        <v>10</v>
      </c>
      <c r="AU8" s="1">
        <f t="shared" si="12"/>
        <v>0</v>
      </c>
      <c r="AV8" s="1">
        <f t="shared" si="12"/>
        <v>0</v>
      </c>
      <c r="AW8" s="1">
        <f t="shared" si="12"/>
        <v>20</v>
      </c>
      <c r="AX8" s="1">
        <f t="shared" si="12"/>
        <v>20</v>
      </c>
      <c r="AY8" s="1">
        <f t="shared" si="12"/>
        <v>0</v>
      </c>
      <c r="AZ8" s="1">
        <f t="shared" si="12"/>
        <v>0</v>
      </c>
      <c r="BA8" s="1">
        <f t="shared" si="12"/>
        <v>0</v>
      </c>
      <c r="BB8" s="1">
        <f t="shared" si="12"/>
        <v>10</v>
      </c>
      <c r="BC8" s="1">
        <f t="shared" si="12"/>
        <v>0</v>
      </c>
      <c r="BD8" s="1">
        <f t="shared" si="12"/>
        <v>0</v>
      </c>
      <c r="BE8" s="1">
        <f t="shared" si="12"/>
        <v>0</v>
      </c>
      <c r="BF8" s="1">
        <f t="shared" si="12"/>
        <v>0</v>
      </c>
      <c r="BG8" s="1">
        <f t="shared" si="12"/>
        <v>0</v>
      </c>
      <c r="BH8" s="1">
        <f t="shared" si="12"/>
        <v>20</v>
      </c>
      <c r="BI8" s="1">
        <f t="shared" si="12"/>
        <v>0</v>
      </c>
      <c r="BJ8" s="1">
        <f t="shared" si="12"/>
        <v>0</v>
      </c>
      <c r="BK8" s="1">
        <f t="shared" si="12"/>
        <v>0</v>
      </c>
      <c r="BL8" s="1">
        <f t="shared" si="12"/>
        <v>0</v>
      </c>
      <c r="BM8" s="1">
        <f t="shared" si="12"/>
        <v>0</v>
      </c>
      <c r="BN8" s="1">
        <f t="shared" si="12"/>
        <v>0</v>
      </c>
      <c r="BO8" s="1">
        <f t="shared" si="12"/>
        <v>0</v>
      </c>
      <c r="BP8" s="1"/>
      <c r="BQ8" s="1"/>
      <c r="BR8" s="17"/>
      <c r="BS8" s="17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</row>
    <row r="9" spans="1:97">
      <c r="A9" s="1"/>
      <c r="B9" s="3" t="s">
        <v>152</v>
      </c>
      <c r="C9" s="1"/>
      <c r="D9" s="1"/>
      <c r="E9" s="1">
        <f t="shared" ref="E9:AJ9" si="13">E5-E7</f>
        <v>43</v>
      </c>
      <c r="F9" s="1">
        <f t="shared" si="13"/>
        <v>23</v>
      </c>
      <c r="G9" s="1">
        <f t="shared" si="13"/>
        <v>21</v>
      </c>
      <c r="H9" s="1">
        <f t="shared" si="13"/>
        <v>0</v>
      </c>
      <c r="I9" s="1">
        <f t="shared" si="13"/>
        <v>58</v>
      </c>
      <c r="J9" s="1">
        <f t="shared" si="13"/>
        <v>82</v>
      </c>
      <c r="K9" s="1">
        <f t="shared" si="13"/>
        <v>53</v>
      </c>
      <c r="L9" s="1">
        <f t="shared" si="13"/>
        <v>80</v>
      </c>
      <c r="M9" s="1">
        <f t="shared" si="13"/>
        <v>54</v>
      </c>
      <c r="N9" s="1">
        <f t="shared" si="13"/>
        <v>64</v>
      </c>
      <c r="O9" s="1">
        <f t="shared" si="13"/>
        <v>41</v>
      </c>
      <c r="P9" s="1">
        <f t="shared" si="13"/>
        <v>34</v>
      </c>
      <c r="Q9" s="1">
        <f t="shared" si="13"/>
        <v>3</v>
      </c>
      <c r="R9" s="1">
        <f t="shared" si="13"/>
        <v>-6</v>
      </c>
      <c r="S9" s="1">
        <f t="shared" si="13"/>
        <v>24</v>
      </c>
      <c r="T9" s="1">
        <f t="shared" si="13"/>
        <v>15</v>
      </c>
      <c r="U9" s="1">
        <f t="shared" si="13"/>
        <v>3</v>
      </c>
      <c r="V9" s="1">
        <f t="shared" si="13"/>
        <v>16</v>
      </c>
      <c r="W9" s="1">
        <f t="shared" si="13"/>
        <v>4</v>
      </c>
      <c r="X9" s="1">
        <f t="shared" si="13"/>
        <v>-2</v>
      </c>
      <c r="Y9" s="1">
        <f t="shared" si="13"/>
        <v>20</v>
      </c>
      <c r="Z9" s="1">
        <f t="shared" si="13"/>
        <v>6</v>
      </c>
      <c r="AA9" s="1">
        <f t="shared" si="13"/>
        <v>3</v>
      </c>
      <c r="AB9" s="1">
        <f t="shared" si="13"/>
        <v>23</v>
      </c>
      <c r="AC9" s="1">
        <f t="shared" si="13"/>
        <v>4</v>
      </c>
      <c r="AD9" s="1">
        <f t="shared" si="13"/>
        <v>8</v>
      </c>
      <c r="AE9" s="1">
        <f t="shared" si="13"/>
        <v>6</v>
      </c>
      <c r="AF9" s="1">
        <f t="shared" si="13"/>
        <v>0</v>
      </c>
      <c r="AG9" s="1">
        <f t="shared" si="13"/>
        <v>0</v>
      </c>
      <c r="AH9" s="1">
        <f t="shared" si="13"/>
        <v>0</v>
      </c>
      <c r="AI9" s="1">
        <f t="shared" si="13"/>
        <v>0</v>
      </c>
      <c r="AJ9" s="1">
        <f t="shared" si="13"/>
        <v>0</v>
      </c>
      <c r="AK9" s="1">
        <f t="shared" ref="AK9:BO9" si="14">AK5-AK7</f>
        <v>33</v>
      </c>
      <c r="AL9" s="1">
        <f t="shared" si="14"/>
        <v>43</v>
      </c>
      <c r="AM9" s="1">
        <f t="shared" si="14"/>
        <v>5</v>
      </c>
      <c r="AN9" s="1">
        <f t="shared" si="14"/>
        <v>1</v>
      </c>
      <c r="AO9" s="1">
        <f t="shared" si="14"/>
        <v>0</v>
      </c>
      <c r="AP9" s="1">
        <f t="shared" si="14"/>
        <v>0</v>
      </c>
      <c r="AQ9" s="1">
        <f t="shared" si="14"/>
        <v>3</v>
      </c>
      <c r="AR9" s="1">
        <f t="shared" si="14"/>
        <v>6</v>
      </c>
      <c r="AS9" s="1">
        <f t="shared" si="14"/>
        <v>4</v>
      </c>
      <c r="AT9" s="1">
        <f t="shared" si="14"/>
        <v>0</v>
      </c>
      <c r="AU9" s="1">
        <f t="shared" si="14"/>
        <v>27</v>
      </c>
      <c r="AV9" s="1">
        <f t="shared" si="14"/>
        <v>20</v>
      </c>
      <c r="AW9" s="1">
        <f t="shared" si="14"/>
        <v>-4</v>
      </c>
      <c r="AX9" s="1">
        <f t="shared" si="14"/>
        <v>3</v>
      </c>
      <c r="AY9" s="1">
        <f t="shared" si="14"/>
        <v>32</v>
      </c>
      <c r="AZ9" s="1">
        <f t="shared" si="14"/>
        <v>15</v>
      </c>
      <c r="BA9" s="1">
        <f t="shared" si="14"/>
        <v>4</v>
      </c>
      <c r="BB9" s="1">
        <f t="shared" si="14"/>
        <v>13</v>
      </c>
      <c r="BC9" s="1">
        <f t="shared" si="14"/>
        <v>12</v>
      </c>
      <c r="BD9" s="1">
        <f t="shared" si="14"/>
        <v>162</v>
      </c>
      <c r="BE9" s="1">
        <f t="shared" si="14"/>
        <v>244</v>
      </c>
      <c r="BF9" s="1">
        <f t="shared" si="14"/>
        <v>233</v>
      </c>
      <c r="BG9" s="1">
        <f t="shared" si="14"/>
        <v>242</v>
      </c>
      <c r="BH9" s="1">
        <f t="shared" si="14"/>
        <v>121</v>
      </c>
      <c r="BI9" s="1">
        <f t="shared" si="14"/>
        <v>154</v>
      </c>
      <c r="BJ9" s="1">
        <f t="shared" si="14"/>
        <v>56</v>
      </c>
      <c r="BK9" s="1">
        <f t="shared" si="14"/>
        <v>65</v>
      </c>
      <c r="BL9" s="1">
        <f t="shared" si="14"/>
        <v>93</v>
      </c>
      <c r="BM9" s="1">
        <f t="shared" si="14"/>
        <v>8</v>
      </c>
      <c r="BN9" s="1">
        <f t="shared" si="14"/>
        <v>5</v>
      </c>
      <c r="BO9" s="1">
        <f t="shared" si="14"/>
        <v>5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s="13" customFormat="1">
      <c r="A10" s="1"/>
      <c r="B10" s="3" t="s">
        <v>153</v>
      </c>
      <c r="C10" s="1"/>
      <c r="D10" s="1"/>
      <c r="E10" s="1">
        <f t="shared" ref="E10:AJ10" si="15">E5-E8</f>
        <v>43</v>
      </c>
      <c r="F10" s="1">
        <f t="shared" si="15"/>
        <v>23</v>
      </c>
      <c r="G10" s="1">
        <f t="shared" si="15"/>
        <v>21</v>
      </c>
      <c r="H10" s="1">
        <f t="shared" si="15"/>
        <v>0</v>
      </c>
      <c r="I10" s="1">
        <f t="shared" si="15"/>
        <v>58</v>
      </c>
      <c r="J10" s="1">
        <f t="shared" si="15"/>
        <v>82</v>
      </c>
      <c r="K10" s="1">
        <f t="shared" si="15"/>
        <v>53</v>
      </c>
      <c r="L10" s="1">
        <f t="shared" si="15"/>
        <v>80</v>
      </c>
      <c r="M10" s="1">
        <f t="shared" si="15"/>
        <v>54</v>
      </c>
      <c r="N10" s="1">
        <f t="shared" si="15"/>
        <v>64</v>
      </c>
      <c r="O10" s="1">
        <f t="shared" si="15"/>
        <v>41</v>
      </c>
      <c r="P10" s="1">
        <f t="shared" si="15"/>
        <v>34</v>
      </c>
      <c r="Q10" s="1">
        <f t="shared" si="15"/>
        <v>3</v>
      </c>
      <c r="R10" s="1">
        <f t="shared" si="15"/>
        <v>-6</v>
      </c>
      <c r="S10" s="1">
        <f t="shared" si="15"/>
        <v>24</v>
      </c>
      <c r="T10" s="1">
        <f t="shared" si="15"/>
        <v>15</v>
      </c>
      <c r="U10" s="1">
        <f t="shared" si="15"/>
        <v>3</v>
      </c>
      <c r="V10" s="1">
        <f t="shared" si="15"/>
        <v>16</v>
      </c>
      <c r="W10" s="1">
        <f t="shared" si="15"/>
        <v>4</v>
      </c>
      <c r="X10" s="1">
        <f t="shared" si="15"/>
        <v>-2</v>
      </c>
      <c r="Y10" s="1">
        <f t="shared" si="15"/>
        <v>20</v>
      </c>
      <c r="Z10" s="1">
        <f t="shared" si="15"/>
        <v>6</v>
      </c>
      <c r="AA10" s="1">
        <f t="shared" si="15"/>
        <v>3</v>
      </c>
      <c r="AB10" s="1">
        <f t="shared" si="15"/>
        <v>23</v>
      </c>
      <c r="AC10" s="1">
        <f t="shared" si="15"/>
        <v>4</v>
      </c>
      <c r="AD10" s="1">
        <f t="shared" si="15"/>
        <v>8</v>
      </c>
      <c r="AE10" s="1">
        <f t="shared" si="15"/>
        <v>6</v>
      </c>
      <c r="AF10" s="1">
        <f t="shared" si="15"/>
        <v>0</v>
      </c>
      <c r="AG10" s="1">
        <f t="shared" si="15"/>
        <v>0</v>
      </c>
      <c r="AH10" s="1">
        <f t="shared" si="15"/>
        <v>0</v>
      </c>
      <c r="AI10" s="1">
        <f t="shared" si="15"/>
        <v>0</v>
      </c>
      <c r="AJ10" s="1">
        <f t="shared" si="15"/>
        <v>0</v>
      </c>
      <c r="AK10" s="1">
        <f t="shared" ref="AK10:BO10" si="16">AK5-AK8</f>
        <v>33</v>
      </c>
      <c r="AL10" s="1">
        <f t="shared" si="16"/>
        <v>43</v>
      </c>
      <c r="AM10" s="1">
        <f t="shared" si="16"/>
        <v>5</v>
      </c>
      <c r="AN10" s="1">
        <f t="shared" si="16"/>
        <v>1</v>
      </c>
      <c r="AO10" s="1">
        <f t="shared" si="16"/>
        <v>0</v>
      </c>
      <c r="AP10" s="1">
        <f t="shared" si="16"/>
        <v>0</v>
      </c>
      <c r="AQ10" s="1">
        <f t="shared" si="16"/>
        <v>3</v>
      </c>
      <c r="AR10" s="1">
        <f t="shared" si="16"/>
        <v>6</v>
      </c>
      <c r="AS10" s="1">
        <f t="shared" si="16"/>
        <v>4</v>
      </c>
      <c r="AT10" s="1">
        <f t="shared" si="16"/>
        <v>10</v>
      </c>
      <c r="AU10" s="1">
        <f t="shared" si="16"/>
        <v>27</v>
      </c>
      <c r="AV10" s="1">
        <f t="shared" si="16"/>
        <v>20</v>
      </c>
      <c r="AW10" s="1">
        <f t="shared" si="16"/>
        <v>-4</v>
      </c>
      <c r="AX10" s="1">
        <f t="shared" si="16"/>
        <v>3</v>
      </c>
      <c r="AY10" s="1">
        <f t="shared" si="16"/>
        <v>32</v>
      </c>
      <c r="AZ10" s="1">
        <f t="shared" si="16"/>
        <v>15</v>
      </c>
      <c r="BA10" s="1">
        <f t="shared" si="16"/>
        <v>4</v>
      </c>
      <c r="BB10" s="1">
        <f t="shared" si="16"/>
        <v>13</v>
      </c>
      <c r="BC10" s="1">
        <f t="shared" si="16"/>
        <v>12</v>
      </c>
      <c r="BD10" s="1">
        <f t="shared" si="16"/>
        <v>162</v>
      </c>
      <c r="BE10" s="1">
        <f t="shared" si="16"/>
        <v>244</v>
      </c>
      <c r="BF10" s="1">
        <f t="shared" si="16"/>
        <v>233</v>
      </c>
      <c r="BG10" s="1">
        <f t="shared" si="16"/>
        <v>242</v>
      </c>
      <c r="BH10" s="1">
        <f t="shared" si="16"/>
        <v>121</v>
      </c>
      <c r="BI10" s="1">
        <f t="shared" si="16"/>
        <v>154</v>
      </c>
      <c r="BJ10" s="1">
        <f t="shared" si="16"/>
        <v>56</v>
      </c>
      <c r="BK10" s="1">
        <f t="shared" si="16"/>
        <v>65</v>
      </c>
      <c r="BL10" s="1">
        <f t="shared" si="16"/>
        <v>93</v>
      </c>
      <c r="BM10" s="1">
        <f t="shared" si="16"/>
        <v>8</v>
      </c>
      <c r="BN10" s="1">
        <f t="shared" si="16"/>
        <v>5</v>
      </c>
      <c r="BO10" s="1">
        <f t="shared" si="16"/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>
      <c r="R11" s="7" t="s">
        <v>190</v>
      </c>
      <c r="AQ11" s="7" t="s">
        <v>179</v>
      </c>
      <c r="AR11" s="7" t="s">
        <v>182</v>
      </c>
      <c r="AS11" s="7" t="s">
        <v>183</v>
      </c>
      <c r="AT11" s="7" t="s">
        <v>180</v>
      </c>
      <c r="AU11" s="7" t="s">
        <v>181</v>
      </c>
      <c r="AV11" s="7" t="s">
        <v>178</v>
      </c>
      <c r="AW11" s="7" t="s">
        <v>184</v>
      </c>
      <c r="AX11" s="7" t="s">
        <v>185</v>
      </c>
      <c r="AY11" s="7" t="s">
        <v>186</v>
      </c>
      <c r="AZ11" s="7" t="s">
        <v>187</v>
      </c>
      <c r="BA11" s="7" t="s">
        <v>188</v>
      </c>
      <c r="BB11" s="7" t="s">
        <v>189</v>
      </c>
    </row>
    <row r="12" spans="1:97">
      <c r="R12" s="7" t="s">
        <v>191</v>
      </c>
    </row>
  </sheetData>
  <autoFilter ref="A1:BP3"/>
  <phoneticPr fontId="1" type="noConversion"/>
  <conditionalFormatting sqref="E7:BO7">
    <cfRule type="expression" dxfId="2" priority="3">
      <formula>"&lt;=$E$135"</formula>
    </cfRule>
  </conditionalFormatting>
  <conditionalFormatting sqref="E9:BO10">
    <cfRule type="cellIs" dxfId="1" priority="1" operator="lessThan">
      <formula>0</formula>
    </cfRule>
  </conditionalFormatting>
  <conditionalFormatting sqref="E6:BO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10</xdr:row>
                    <xdr:rowOff>28575</xdr:rowOff>
                  </from>
                  <to>
                    <xdr:col>1</xdr:col>
                    <xdr:colOff>428625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70</v>
      </c>
      <c r="B1" s="5" t="s">
        <v>67</v>
      </c>
      <c r="C1" s="5" t="s">
        <v>71</v>
      </c>
    </row>
    <row r="2" spans="1:3">
      <c r="A2" s="1">
        <v>10</v>
      </c>
      <c r="B2" s="2" t="s">
        <v>10</v>
      </c>
      <c r="C2" s="1">
        <v>190</v>
      </c>
    </row>
    <row r="3" spans="1:3">
      <c r="A3" s="1">
        <v>12</v>
      </c>
      <c r="B3" s="2" t="s">
        <v>44</v>
      </c>
      <c r="C3" s="1">
        <v>120</v>
      </c>
    </row>
    <row r="4" spans="1:3">
      <c r="A4" s="1">
        <v>4</v>
      </c>
      <c r="B4" s="4" t="s">
        <v>45</v>
      </c>
      <c r="C4" s="1">
        <v>85</v>
      </c>
    </row>
    <row r="5" spans="1:3">
      <c r="A5" s="1">
        <v>3</v>
      </c>
      <c r="B5" s="4" t="s">
        <v>37</v>
      </c>
      <c r="C5" s="1">
        <v>65</v>
      </c>
    </row>
    <row r="6" spans="1:3">
      <c r="A6" s="1">
        <v>8</v>
      </c>
      <c r="B6" s="2" t="s">
        <v>6</v>
      </c>
      <c r="C6" s="1">
        <v>65</v>
      </c>
    </row>
    <row r="7" spans="1:3">
      <c r="A7" s="1">
        <v>9</v>
      </c>
      <c r="B7" s="2" t="s">
        <v>7</v>
      </c>
      <c r="C7" s="1">
        <v>65</v>
      </c>
    </row>
    <row r="8" spans="1:3">
      <c r="A8" s="1">
        <v>1</v>
      </c>
      <c r="B8" s="4" t="s">
        <v>4</v>
      </c>
      <c r="C8" s="1">
        <v>60</v>
      </c>
    </row>
    <row r="9" spans="1:3">
      <c r="A9" s="1">
        <v>7</v>
      </c>
      <c r="B9" s="2" t="s">
        <v>5</v>
      </c>
      <c r="C9" s="1">
        <v>53</v>
      </c>
    </row>
    <row r="10" spans="1:3">
      <c r="A10" s="1">
        <v>2</v>
      </c>
      <c r="B10" s="4" t="s">
        <v>25</v>
      </c>
      <c r="C10" s="1">
        <v>45</v>
      </c>
    </row>
    <row r="11" spans="1:3">
      <c r="A11" s="1">
        <v>5</v>
      </c>
      <c r="B11" s="4" t="s">
        <v>51</v>
      </c>
      <c r="C11" s="1">
        <v>45</v>
      </c>
    </row>
    <row r="12" spans="1:3">
      <c r="A12" s="1">
        <v>11</v>
      </c>
      <c r="B12" s="2" t="s">
        <v>38</v>
      </c>
      <c r="C12" s="1">
        <v>10</v>
      </c>
    </row>
    <row r="13" spans="1:3">
      <c r="A13" s="1">
        <v>6</v>
      </c>
      <c r="B13" s="4" t="s">
        <v>53</v>
      </c>
      <c r="C13" s="1">
        <v>8</v>
      </c>
    </row>
    <row r="19" spans="3:18">
      <c r="G19" s="10" t="s">
        <v>37</v>
      </c>
      <c r="H19" s="10" t="s">
        <v>4</v>
      </c>
      <c r="I19" s="10" t="s">
        <v>25</v>
      </c>
      <c r="J19" s="10" t="s">
        <v>51</v>
      </c>
      <c r="K19" s="10" t="s">
        <v>53</v>
      </c>
      <c r="L19" s="10" t="s">
        <v>45</v>
      </c>
      <c r="M19" s="11" t="s">
        <v>5</v>
      </c>
      <c r="N19" s="11" t="s">
        <v>6</v>
      </c>
      <c r="O19" s="11" t="s">
        <v>38</v>
      </c>
      <c r="P19" s="11" t="s">
        <v>7</v>
      </c>
      <c r="Q19" s="11" t="s">
        <v>44</v>
      </c>
      <c r="R19" s="11" t="s">
        <v>10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154</v>
      </c>
      <c r="D27" t="s">
        <v>155</v>
      </c>
      <c r="E27" t="s">
        <v>156</v>
      </c>
      <c r="F27" t="s">
        <v>157</v>
      </c>
      <c r="G27" t="s">
        <v>158</v>
      </c>
      <c r="H27" t="s">
        <v>159</v>
      </c>
      <c r="I27" t="s">
        <v>160</v>
      </c>
      <c r="J27" t="s">
        <v>161</v>
      </c>
      <c r="K27" t="s">
        <v>162</v>
      </c>
      <c r="L27" t="s">
        <v>163</v>
      </c>
      <c r="M27" t="s">
        <v>164</v>
      </c>
      <c r="N27" t="s">
        <v>165</v>
      </c>
    </row>
    <row r="31" spans="3:18">
      <c r="C31">
        <v>-3</v>
      </c>
      <c r="D31" t="s">
        <v>154</v>
      </c>
    </row>
    <row r="32" spans="3:18">
      <c r="C32">
        <v>-8</v>
      </c>
      <c r="D32" t="s">
        <v>155</v>
      </c>
    </row>
    <row r="33" spans="3:4">
      <c r="C33">
        <v>-3</v>
      </c>
      <c r="D33" t="s">
        <v>156</v>
      </c>
    </row>
    <row r="34" spans="3:4">
      <c r="C34">
        <v>1</v>
      </c>
      <c r="D34" t="s">
        <v>157</v>
      </c>
    </row>
    <row r="35" spans="3:4">
      <c r="C35">
        <v>3</v>
      </c>
      <c r="D35" t="s">
        <v>158</v>
      </c>
    </row>
    <row r="36" spans="3:4">
      <c r="C36">
        <v>0</v>
      </c>
      <c r="D36" t="s">
        <v>159</v>
      </c>
    </row>
    <row r="37" spans="3:4">
      <c r="C37">
        <v>-3</v>
      </c>
      <c r="D37" t="s">
        <v>160</v>
      </c>
    </row>
    <row r="38" spans="3:4">
      <c r="C38">
        <v>30</v>
      </c>
      <c r="D38" t="s">
        <v>161</v>
      </c>
    </row>
    <row r="39" spans="3:4">
      <c r="C39">
        <v>5</v>
      </c>
      <c r="D39" t="s">
        <v>162</v>
      </c>
    </row>
    <row r="40" spans="3:4">
      <c r="C40">
        <v>-10</v>
      </c>
      <c r="D40" t="s">
        <v>163</v>
      </c>
    </row>
    <row r="41" spans="3:4">
      <c r="C41">
        <v>3</v>
      </c>
      <c r="D41" t="s">
        <v>164</v>
      </c>
    </row>
    <row r="42" spans="3:4">
      <c r="C42">
        <v>138</v>
      </c>
      <c r="D42" t="s">
        <v>165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76</v>
      </c>
      <c r="B1" s="8" t="s">
        <v>77</v>
      </c>
      <c r="C1" s="8" t="s">
        <v>78</v>
      </c>
    </row>
    <row r="2" spans="1:3">
      <c r="A2" s="1">
        <v>5</v>
      </c>
      <c r="B2" s="10" t="s">
        <v>53</v>
      </c>
      <c r="C2" s="1">
        <v>0</v>
      </c>
    </row>
    <row r="3" spans="1:3">
      <c r="A3" s="1">
        <v>9</v>
      </c>
      <c r="B3" s="11" t="s">
        <v>38</v>
      </c>
      <c r="C3" s="1">
        <v>0</v>
      </c>
    </row>
    <row r="4" spans="1:3">
      <c r="A4" s="1">
        <v>10</v>
      </c>
      <c r="B4" s="11" t="s">
        <v>7</v>
      </c>
      <c r="C4" s="1">
        <v>0</v>
      </c>
    </row>
    <row r="5" spans="1:3">
      <c r="A5" s="1">
        <v>4</v>
      </c>
      <c r="B5" s="10" t="s">
        <v>51</v>
      </c>
      <c r="C5" s="1">
        <v>2</v>
      </c>
    </row>
    <row r="6" spans="1:3">
      <c r="A6" s="1">
        <v>8</v>
      </c>
      <c r="B6" s="11" t="s">
        <v>6</v>
      </c>
      <c r="C6" s="1">
        <v>3</v>
      </c>
    </row>
    <row r="7" spans="1:3">
      <c r="A7" s="1">
        <v>12</v>
      </c>
      <c r="B7" s="11" t="s">
        <v>10</v>
      </c>
      <c r="C7" s="1">
        <v>3</v>
      </c>
    </row>
    <row r="8" spans="1:3">
      <c r="A8" s="1">
        <v>1</v>
      </c>
      <c r="B8" s="10" t="s">
        <v>37</v>
      </c>
      <c r="C8" s="1">
        <v>4</v>
      </c>
    </row>
    <row r="9" spans="1:3">
      <c r="A9" s="1">
        <v>2</v>
      </c>
      <c r="B9" s="10" t="s">
        <v>4</v>
      </c>
      <c r="C9" s="1">
        <v>4</v>
      </c>
    </row>
    <row r="10" spans="1:3">
      <c r="A10" s="1">
        <v>7</v>
      </c>
      <c r="B10" s="11" t="s">
        <v>5</v>
      </c>
      <c r="C10" s="1">
        <v>4</v>
      </c>
    </row>
    <row r="11" spans="1:3">
      <c r="A11" s="1">
        <v>3</v>
      </c>
      <c r="B11" s="10" t="s">
        <v>25</v>
      </c>
      <c r="C11" s="1">
        <v>5</v>
      </c>
    </row>
    <row r="12" spans="1:3">
      <c r="A12" s="1">
        <v>11</v>
      </c>
      <c r="B12" s="11" t="s">
        <v>44</v>
      </c>
      <c r="C12" s="1">
        <v>5</v>
      </c>
    </row>
    <row r="13" spans="1:3">
      <c r="A13" s="1">
        <v>6</v>
      </c>
      <c r="B13" s="10" t="s">
        <v>45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J35"/>
  <sheetViews>
    <sheetView workbookViewId="0">
      <selection activeCell="C32" sqref="C32:C35"/>
    </sheetView>
  </sheetViews>
  <sheetFormatPr defaultRowHeight="13.5"/>
  <cols>
    <col min="2" max="2" width="14.125" bestFit="1" customWidth="1"/>
    <col min="5" max="5" width="26.125" bestFit="1" customWidth="1"/>
  </cols>
  <sheetData>
    <row r="3" spans="3:10">
      <c r="E3" t="s">
        <v>209</v>
      </c>
      <c r="F3" t="s">
        <v>210</v>
      </c>
      <c r="G3" t="s">
        <v>211</v>
      </c>
      <c r="H3" t="s">
        <v>212</v>
      </c>
      <c r="I3" t="s">
        <v>213</v>
      </c>
      <c r="J3" t="s">
        <v>214</v>
      </c>
    </row>
    <row r="4" spans="3:10">
      <c r="C4" s="67" t="s">
        <v>215</v>
      </c>
      <c r="D4" t="s">
        <v>216</v>
      </c>
      <c r="E4">
        <v>12</v>
      </c>
      <c r="F4">
        <v>12</v>
      </c>
      <c r="G4">
        <v>12</v>
      </c>
      <c r="H4">
        <v>52</v>
      </c>
      <c r="I4">
        <v>12</v>
      </c>
      <c r="J4">
        <v>12</v>
      </c>
    </row>
    <row r="5" spans="3:10">
      <c r="C5" s="67" t="s">
        <v>217</v>
      </c>
      <c r="D5" t="s">
        <v>218</v>
      </c>
      <c r="E5">
        <v>53</v>
      </c>
      <c r="F5">
        <v>53</v>
      </c>
      <c r="G5">
        <v>53</v>
      </c>
      <c r="H5">
        <v>222</v>
      </c>
      <c r="I5">
        <v>53</v>
      </c>
      <c r="J5">
        <v>53</v>
      </c>
    </row>
    <row r="6" spans="3:10">
      <c r="C6" s="67" t="s">
        <v>219</v>
      </c>
      <c r="D6" t="s">
        <v>218</v>
      </c>
      <c r="E6">
        <v>21</v>
      </c>
      <c r="F6">
        <v>21</v>
      </c>
      <c r="G6">
        <v>21</v>
      </c>
      <c r="H6">
        <v>21</v>
      </c>
      <c r="I6">
        <v>21</v>
      </c>
      <c r="J6">
        <v>88</v>
      </c>
    </row>
    <row r="7" spans="3:10">
      <c r="C7" s="67" t="s">
        <v>220</v>
      </c>
      <c r="D7" t="s">
        <v>218</v>
      </c>
      <c r="E7">
        <v>19</v>
      </c>
      <c r="F7">
        <v>19</v>
      </c>
      <c r="G7">
        <v>100</v>
      </c>
      <c r="H7">
        <v>19</v>
      </c>
      <c r="I7">
        <v>19</v>
      </c>
      <c r="J7">
        <v>19</v>
      </c>
    </row>
    <row r="8" spans="3:10">
      <c r="C8" t="s">
        <v>221</v>
      </c>
      <c r="D8" t="s">
        <v>222</v>
      </c>
      <c r="E8">
        <v>12</v>
      </c>
      <c r="F8">
        <v>12</v>
      </c>
      <c r="G8">
        <v>12</v>
      </c>
      <c r="H8">
        <v>12</v>
      </c>
      <c r="I8">
        <v>52</v>
      </c>
      <c r="J8">
        <v>12</v>
      </c>
    </row>
    <row r="9" spans="3:10">
      <c r="C9" s="67" t="s">
        <v>223</v>
      </c>
      <c r="D9" t="s">
        <v>222</v>
      </c>
      <c r="E9">
        <v>19</v>
      </c>
      <c r="F9">
        <v>100</v>
      </c>
      <c r="G9">
        <v>19</v>
      </c>
      <c r="H9">
        <v>19</v>
      </c>
      <c r="I9">
        <v>19</v>
      </c>
      <c r="J9">
        <v>19</v>
      </c>
    </row>
    <row r="10" spans="3:10">
      <c r="C10" s="67" t="s">
        <v>224</v>
      </c>
      <c r="D10" t="s">
        <v>222</v>
      </c>
      <c r="E10">
        <v>19</v>
      </c>
      <c r="F10">
        <v>19</v>
      </c>
      <c r="G10">
        <v>19</v>
      </c>
      <c r="H10">
        <v>19</v>
      </c>
      <c r="I10">
        <v>100</v>
      </c>
      <c r="J10">
        <v>19</v>
      </c>
    </row>
    <row r="11" spans="3:10">
      <c r="C11" s="67" t="s">
        <v>227</v>
      </c>
      <c r="D11" t="s">
        <v>218</v>
      </c>
      <c r="E11" s="68">
        <v>555</v>
      </c>
      <c r="F11">
        <v>150</v>
      </c>
      <c r="G11">
        <v>136</v>
      </c>
      <c r="H11">
        <v>174</v>
      </c>
      <c r="I11">
        <v>174</v>
      </c>
      <c r="J11">
        <v>490</v>
      </c>
    </row>
    <row r="12" spans="3:10">
      <c r="D12" t="s">
        <v>225</v>
      </c>
      <c r="E12">
        <v>60</v>
      </c>
      <c r="F12">
        <v>60</v>
      </c>
      <c r="G12">
        <v>60</v>
      </c>
      <c r="H12">
        <v>60</v>
      </c>
      <c r="I12">
        <v>60</v>
      </c>
      <c r="J12">
        <v>0</v>
      </c>
    </row>
    <row r="13" spans="3:10">
      <c r="D13" t="s">
        <v>225</v>
      </c>
      <c r="E13">
        <v>60</v>
      </c>
      <c r="F13">
        <v>60</v>
      </c>
      <c r="G13">
        <v>60</v>
      </c>
      <c r="H13">
        <v>60</v>
      </c>
      <c r="I13">
        <v>60</v>
      </c>
      <c r="J13">
        <v>0</v>
      </c>
    </row>
    <row r="14" spans="3:10">
      <c r="D14" t="s">
        <v>225</v>
      </c>
      <c r="E14">
        <v>60</v>
      </c>
      <c r="F14">
        <v>60</v>
      </c>
      <c r="G14">
        <v>60</v>
      </c>
      <c r="H14">
        <v>60</v>
      </c>
      <c r="I14">
        <v>60</v>
      </c>
      <c r="J14">
        <v>0</v>
      </c>
    </row>
    <row r="15" spans="3:10">
      <c r="D15" t="s">
        <v>225</v>
      </c>
      <c r="E15">
        <v>60</v>
      </c>
      <c r="F15">
        <v>60</v>
      </c>
      <c r="G15">
        <v>60</v>
      </c>
      <c r="H15">
        <v>60</v>
      </c>
      <c r="I15">
        <v>60</v>
      </c>
      <c r="J15">
        <v>0</v>
      </c>
    </row>
    <row r="16" spans="3:10">
      <c r="D16" t="s">
        <v>226</v>
      </c>
      <c r="E16">
        <v>57.6</v>
      </c>
      <c r="F16">
        <v>57.6</v>
      </c>
      <c r="G16">
        <v>57.6</v>
      </c>
      <c r="H16">
        <v>57.6</v>
      </c>
      <c r="I16">
        <v>57.6</v>
      </c>
      <c r="J16">
        <v>144</v>
      </c>
    </row>
    <row r="17" spans="3:10">
      <c r="D17" t="s">
        <v>222</v>
      </c>
      <c r="E17">
        <v>57.6</v>
      </c>
      <c r="F17">
        <v>0</v>
      </c>
      <c r="G17">
        <v>57.6</v>
      </c>
      <c r="H17">
        <v>57.6</v>
      </c>
      <c r="I17">
        <v>57.6</v>
      </c>
      <c r="J17">
        <v>57.6</v>
      </c>
    </row>
    <row r="18" spans="3:10">
      <c r="D18" t="s">
        <v>222</v>
      </c>
      <c r="E18">
        <v>57.6</v>
      </c>
      <c r="F18">
        <v>0</v>
      </c>
      <c r="G18">
        <v>57.6</v>
      </c>
      <c r="H18">
        <v>57.6</v>
      </c>
      <c r="I18">
        <v>57.6</v>
      </c>
      <c r="J18">
        <v>57.6</v>
      </c>
    </row>
    <row r="19" spans="3:10">
      <c r="D19" t="s">
        <v>222</v>
      </c>
      <c r="E19">
        <v>57.6</v>
      </c>
      <c r="F19">
        <v>0</v>
      </c>
      <c r="G19">
        <v>57.6</v>
      </c>
      <c r="H19">
        <v>57.6</v>
      </c>
      <c r="I19">
        <v>57.6</v>
      </c>
      <c r="J19">
        <v>57.6</v>
      </c>
    </row>
    <row r="20" spans="3:10">
      <c r="E20">
        <f>SUM(E4:E11)</f>
        <v>710</v>
      </c>
      <c r="I20">
        <f>SUM(I4:I11)</f>
        <v>450</v>
      </c>
    </row>
    <row r="21" spans="3:10">
      <c r="E21">
        <f>-E20/2*7</f>
        <v>-2485</v>
      </c>
      <c r="I21">
        <f>-I20/2*7</f>
        <v>-1575</v>
      </c>
    </row>
    <row r="22" spans="3:10">
      <c r="I22">
        <v>200</v>
      </c>
    </row>
    <row r="23" spans="3:10">
      <c r="I23">
        <f>267*0.6</f>
        <v>160.19999999999999</v>
      </c>
    </row>
    <row r="32" spans="3:10">
      <c r="C32" s="11" t="s">
        <v>44</v>
      </c>
    </row>
    <row r="33" spans="3:3">
      <c r="C33" s="11" t="s">
        <v>10</v>
      </c>
    </row>
    <row r="34" spans="3:3">
      <c r="C34" s="11" t="s">
        <v>5</v>
      </c>
    </row>
    <row r="35" spans="3:3">
      <c r="C35" s="10" t="s">
        <v>37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2020-05-06T12:48:00Z</dcterms:modified>
</cp:coreProperties>
</file>