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F:\Projects\MonsterBook\bin\"/>
    </mc:Choice>
  </mc:AlternateContent>
  <bookViews>
    <workbookView xWindow="-120" yWindow="-120" windowWidth="29040" windowHeight="15840" tabRatio="508"/>
  </bookViews>
  <sheets>
    <sheet name="Sheet1" sheetId="1" r:id="rId1"/>
    <sheet name="Sheet1 (2)" sheetId="9" r:id="rId2"/>
    <sheet name="Sheet2" sheetId="2" r:id="rId3"/>
    <sheet name="Sheet3" sheetId="3" r:id="rId4"/>
    <sheet name="Sheet4" sheetId="4" r:id="rId5"/>
  </sheets>
  <functionGroups builtInGroupCount="18"/>
  <definedNames>
    <definedName name="_xlnm._FilterDatabase" localSheetId="0" hidden="1">Sheet1!$A$1:$BV$110</definedName>
    <definedName name="_xlnm._FilterDatabase" localSheetId="1" hidden="1">'Sheet1 (2)'!$A$1:$BV$13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Q98" i="1" l="1"/>
  <c r="BU47" i="1" l="1"/>
  <c r="BV47" i="1"/>
  <c r="BU87" i="1"/>
  <c r="BV87" i="1"/>
  <c r="BQ47" i="1"/>
  <c r="BQ87" i="1"/>
  <c r="BU76" i="1" l="1"/>
  <c r="BV76" i="1"/>
  <c r="BQ76" i="1"/>
  <c r="BP10" i="9" l="1"/>
  <c r="BP12" i="9" s="1"/>
  <c r="BO10" i="9"/>
  <c r="BO12" i="9" s="1"/>
  <c r="BN10" i="9"/>
  <c r="BN12" i="9" s="1"/>
  <c r="BM10" i="9"/>
  <c r="BM12" i="9" s="1"/>
  <c r="BL10" i="9"/>
  <c r="BL12" i="9" s="1"/>
  <c r="BK10" i="9"/>
  <c r="BK12" i="9" s="1"/>
  <c r="BJ10" i="9"/>
  <c r="BJ12" i="9" s="1"/>
  <c r="BI10" i="9"/>
  <c r="BI12" i="9" s="1"/>
  <c r="BH10" i="9"/>
  <c r="BH12" i="9" s="1"/>
  <c r="BG10" i="9"/>
  <c r="BG12" i="9" s="1"/>
  <c r="BF10" i="9"/>
  <c r="BF12" i="9" s="1"/>
  <c r="BE10" i="9"/>
  <c r="BE12" i="9" s="1"/>
  <c r="BD10" i="9"/>
  <c r="BD12" i="9" s="1"/>
  <c r="BC10" i="9"/>
  <c r="BC12" i="9" s="1"/>
  <c r="BB10" i="9"/>
  <c r="BB12" i="9" s="1"/>
  <c r="BA10" i="9"/>
  <c r="BA12" i="9" s="1"/>
  <c r="AZ10" i="9"/>
  <c r="AZ12" i="9" s="1"/>
  <c r="AY10" i="9"/>
  <c r="AY12" i="9" s="1"/>
  <c r="AX10" i="9"/>
  <c r="AX12" i="9" s="1"/>
  <c r="AW10" i="9"/>
  <c r="AW12" i="9" s="1"/>
  <c r="AV10" i="9"/>
  <c r="AV12" i="9" s="1"/>
  <c r="AU10" i="9"/>
  <c r="AU12" i="9" s="1"/>
  <c r="AT10" i="9"/>
  <c r="AT12" i="9" s="1"/>
  <c r="AS10" i="9"/>
  <c r="AS12" i="9" s="1"/>
  <c r="AR10" i="9"/>
  <c r="AR12" i="9" s="1"/>
  <c r="AQ10" i="9"/>
  <c r="AQ12" i="9" s="1"/>
  <c r="AP10" i="9"/>
  <c r="AP12" i="9" s="1"/>
  <c r="AO10" i="9"/>
  <c r="AO12" i="9" s="1"/>
  <c r="AN10" i="9"/>
  <c r="AN12" i="9" s="1"/>
  <c r="AM10" i="9"/>
  <c r="AM12" i="9" s="1"/>
  <c r="AL10" i="9"/>
  <c r="AL12" i="9" s="1"/>
  <c r="AK10" i="9"/>
  <c r="AK12" i="9" s="1"/>
  <c r="AJ10" i="9"/>
  <c r="AJ12" i="9" s="1"/>
  <c r="AI10" i="9"/>
  <c r="AI12" i="9" s="1"/>
  <c r="AH10" i="9"/>
  <c r="AH12" i="9" s="1"/>
  <c r="AG10" i="9"/>
  <c r="AG12" i="9" s="1"/>
  <c r="AF10" i="9"/>
  <c r="AF12" i="9" s="1"/>
  <c r="AE10" i="9"/>
  <c r="AE12" i="9" s="1"/>
  <c r="AD10" i="9"/>
  <c r="AD12" i="9" s="1"/>
  <c r="AC10" i="9"/>
  <c r="AC12" i="9" s="1"/>
  <c r="AB10" i="9"/>
  <c r="AB12" i="9" s="1"/>
  <c r="AA10" i="9"/>
  <c r="AA12" i="9" s="1"/>
  <c r="Z10" i="9"/>
  <c r="Z12" i="9" s="1"/>
  <c r="Y10" i="9"/>
  <c r="Y12" i="9" s="1"/>
  <c r="X10" i="9"/>
  <c r="X12" i="9" s="1"/>
  <c r="W10" i="9"/>
  <c r="W12" i="9" s="1"/>
  <c r="V10" i="9"/>
  <c r="V12" i="9" s="1"/>
  <c r="U10" i="9"/>
  <c r="U12" i="9" s="1"/>
  <c r="T10" i="9"/>
  <c r="T12" i="9" s="1"/>
  <c r="S10" i="9"/>
  <c r="S12" i="9" s="1"/>
  <c r="R10" i="9"/>
  <c r="R12" i="9" s="1"/>
  <c r="Q10" i="9"/>
  <c r="Q12" i="9" s="1"/>
  <c r="P10" i="9"/>
  <c r="P12" i="9" s="1"/>
  <c r="O10" i="9"/>
  <c r="O12" i="9" s="1"/>
  <c r="N10" i="9"/>
  <c r="N12" i="9" s="1"/>
  <c r="M10" i="9"/>
  <c r="M12" i="9" s="1"/>
  <c r="L10" i="9"/>
  <c r="L12" i="9" s="1"/>
  <c r="K10" i="9"/>
  <c r="K12" i="9" s="1"/>
  <c r="J10" i="9"/>
  <c r="J12" i="9" s="1"/>
  <c r="I10" i="9"/>
  <c r="I12" i="9" s="1"/>
  <c r="H10" i="9"/>
  <c r="H12" i="9" s="1"/>
  <c r="G10" i="9"/>
  <c r="G12" i="9" s="1"/>
  <c r="F10" i="9"/>
  <c r="F12" i="9" s="1"/>
  <c r="E10" i="9"/>
  <c r="E12" i="9" s="1"/>
  <c r="BP9" i="9"/>
  <c r="BP11" i="9" s="1"/>
  <c r="BO9" i="9"/>
  <c r="BO11" i="9" s="1"/>
  <c r="BN9" i="9"/>
  <c r="BN11" i="9" s="1"/>
  <c r="BM9" i="9"/>
  <c r="BM11" i="9" s="1"/>
  <c r="BL9" i="9"/>
  <c r="BL11" i="9" s="1"/>
  <c r="BK9" i="9"/>
  <c r="BK11" i="9" s="1"/>
  <c r="BJ9" i="9"/>
  <c r="BJ11" i="9" s="1"/>
  <c r="BI9" i="9"/>
  <c r="BI11" i="9" s="1"/>
  <c r="BH9" i="9"/>
  <c r="BH11" i="9" s="1"/>
  <c r="BG9" i="9"/>
  <c r="BG11" i="9" s="1"/>
  <c r="BF9" i="9"/>
  <c r="BF11" i="9" s="1"/>
  <c r="BE9" i="9"/>
  <c r="BE11" i="9" s="1"/>
  <c r="BD9" i="9"/>
  <c r="BD11" i="9" s="1"/>
  <c r="BC9" i="9"/>
  <c r="BC11" i="9" s="1"/>
  <c r="BB9" i="9"/>
  <c r="BB11" i="9" s="1"/>
  <c r="BA9" i="9"/>
  <c r="BA11" i="9" s="1"/>
  <c r="AZ9" i="9"/>
  <c r="AZ11" i="9" s="1"/>
  <c r="AY9" i="9"/>
  <c r="AY11" i="9" s="1"/>
  <c r="AX9" i="9"/>
  <c r="AX11" i="9" s="1"/>
  <c r="AW9" i="9"/>
  <c r="AW11" i="9" s="1"/>
  <c r="AV9" i="9"/>
  <c r="AV11" i="9" s="1"/>
  <c r="AU9" i="9"/>
  <c r="AU11" i="9" s="1"/>
  <c r="AT9" i="9"/>
  <c r="AT11" i="9" s="1"/>
  <c r="AS9" i="9"/>
  <c r="AS11" i="9" s="1"/>
  <c r="AR9" i="9"/>
  <c r="AR11" i="9" s="1"/>
  <c r="AQ9" i="9"/>
  <c r="AQ11" i="9" s="1"/>
  <c r="AP9" i="9"/>
  <c r="AP11" i="9" s="1"/>
  <c r="AO9" i="9"/>
  <c r="AO11" i="9" s="1"/>
  <c r="AN9" i="9"/>
  <c r="AN11" i="9" s="1"/>
  <c r="AM9" i="9"/>
  <c r="AM11" i="9" s="1"/>
  <c r="AL9" i="9"/>
  <c r="AL11" i="9" s="1"/>
  <c r="AK9" i="9"/>
  <c r="AK11" i="9" s="1"/>
  <c r="AJ9" i="9"/>
  <c r="AJ11" i="9" s="1"/>
  <c r="AI9" i="9"/>
  <c r="AI11" i="9" s="1"/>
  <c r="AH9" i="9"/>
  <c r="AH11" i="9" s="1"/>
  <c r="AG9" i="9"/>
  <c r="AG11" i="9" s="1"/>
  <c r="AF9" i="9"/>
  <c r="AF11" i="9" s="1"/>
  <c r="AE9" i="9"/>
  <c r="AE11" i="9" s="1"/>
  <c r="AD9" i="9"/>
  <c r="AD11" i="9" s="1"/>
  <c r="AC9" i="9"/>
  <c r="AC11" i="9" s="1"/>
  <c r="AB9" i="9"/>
  <c r="AB11" i="9" s="1"/>
  <c r="AA9" i="9"/>
  <c r="AA11" i="9" s="1"/>
  <c r="Z9" i="9"/>
  <c r="Z11" i="9" s="1"/>
  <c r="Y9" i="9"/>
  <c r="Y11" i="9" s="1"/>
  <c r="X9" i="9"/>
  <c r="X11" i="9" s="1"/>
  <c r="W9" i="9"/>
  <c r="W11" i="9" s="1"/>
  <c r="V9" i="9"/>
  <c r="V11" i="9" s="1"/>
  <c r="U9" i="9"/>
  <c r="U11" i="9" s="1"/>
  <c r="T9" i="9"/>
  <c r="T11" i="9" s="1"/>
  <c r="S9" i="9"/>
  <c r="S11" i="9" s="1"/>
  <c r="R9" i="9"/>
  <c r="R11" i="9" s="1"/>
  <c r="Q9" i="9"/>
  <c r="Q11" i="9" s="1"/>
  <c r="P9" i="9"/>
  <c r="P11" i="9" s="1"/>
  <c r="O9" i="9"/>
  <c r="O11" i="9" s="1"/>
  <c r="N9" i="9"/>
  <c r="N11" i="9" s="1"/>
  <c r="M9" i="9"/>
  <c r="M11" i="9" s="1"/>
  <c r="L9" i="9"/>
  <c r="L11" i="9" s="1"/>
  <c r="K9" i="9"/>
  <c r="K11" i="9" s="1"/>
  <c r="J9" i="9"/>
  <c r="J11" i="9" s="1"/>
  <c r="I9" i="9"/>
  <c r="I11" i="9" s="1"/>
  <c r="H9" i="9"/>
  <c r="H11" i="9" s="1"/>
  <c r="G9" i="9"/>
  <c r="G11" i="9" s="1"/>
  <c r="F9" i="9"/>
  <c r="F11" i="9" s="1"/>
  <c r="E9" i="9"/>
  <c r="E11" i="9" s="1"/>
  <c r="BP6" i="9"/>
  <c r="BP8" i="9" s="1"/>
  <c r="BO6" i="9"/>
  <c r="BO8" i="9" s="1"/>
  <c r="BN6" i="9"/>
  <c r="BN8" i="9" s="1"/>
  <c r="BM6" i="9"/>
  <c r="BM8" i="9" s="1"/>
  <c r="BL6" i="9"/>
  <c r="BL8" i="9" s="1"/>
  <c r="BK6" i="9"/>
  <c r="BK8" i="9" s="1"/>
  <c r="BJ6" i="9"/>
  <c r="BJ8" i="9" s="1"/>
  <c r="BI6" i="9"/>
  <c r="BI8" i="9" s="1"/>
  <c r="BH6" i="9"/>
  <c r="BH8" i="9" s="1"/>
  <c r="BG6" i="9"/>
  <c r="BG8" i="9" s="1"/>
  <c r="BF6" i="9"/>
  <c r="BF8" i="9" s="1"/>
  <c r="BE6" i="9"/>
  <c r="BE8" i="9" s="1"/>
  <c r="BD6" i="9"/>
  <c r="BD8" i="9" s="1"/>
  <c r="BC6" i="9"/>
  <c r="BC8" i="9" s="1"/>
  <c r="BB6" i="9"/>
  <c r="BB8" i="9" s="1"/>
  <c r="BA6" i="9"/>
  <c r="BA8" i="9" s="1"/>
  <c r="AZ6" i="9"/>
  <c r="AZ8" i="9" s="1"/>
  <c r="AY6" i="9"/>
  <c r="AY8" i="9" s="1"/>
  <c r="AX6" i="9"/>
  <c r="AX8" i="9" s="1"/>
  <c r="AW6" i="9"/>
  <c r="AW8" i="9" s="1"/>
  <c r="AV6" i="9"/>
  <c r="AV8" i="9" s="1"/>
  <c r="AU6" i="9"/>
  <c r="AU8" i="9" s="1"/>
  <c r="AT6" i="9"/>
  <c r="AT8" i="9" s="1"/>
  <c r="AS6" i="9"/>
  <c r="AS8" i="9" s="1"/>
  <c r="AR6" i="9"/>
  <c r="AR8" i="9" s="1"/>
  <c r="AQ6" i="9"/>
  <c r="AQ8" i="9" s="1"/>
  <c r="AP6" i="9"/>
  <c r="AP8" i="9" s="1"/>
  <c r="AO6" i="9"/>
  <c r="AO8" i="9" s="1"/>
  <c r="AN6" i="9"/>
  <c r="AN8" i="9" s="1"/>
  <c r="AM6" i="9"/>
  <c r="AM8" i="9" s="1"/>
  <c r="AL6" i="9"/>
  <c r="AL8" i="9" s="1"/>
  <c r="AK6" i="9"/>
  <c r="AK8" i="9" s="1"/>
  <c r="AJ6" i="9"/>
  <c r="AJ8" i="9" s="1"/>
  <c r="AI6" i="9"/>
  <c r="AI8" i="9" s="1"/>
  <c r="AH6" i="9"/>
  <c r="AH8" i="9" s="1"/>
  <c r="AG6" i="9"/>
  <c r="AG8" i="9" s="1"/>
  <c r="AF6" i="9"/>
  <c r="AF8" i="9" s="1"/>
  <c r="AE6" i="9"/>
  <c r="AE8" i="9" s="1"/>
  <c r="AD6" i="9"/>
  <c r="AD8" i="9" s="1"/>
  <c r="AC6" i="9"/>
  <c r="AC8" i="9" s="1"/>
  <c r="AB6" i="9"/>
  <c r="AB8" i="9" s="1"/>
  <c r="AA6" i="9"/>
  <c r="AA8" i="9" s="1"/>
  <c r="Z6" i="9"/>
  <c r="Z8" i="9" s="1"/>
  <c r="Y6" i="9"/>
  <c r="Y8" i="9" s="1"/>
  <c r="X6" i="9"/>
  <c r="X8" i="9" s="1"/>
  <c r="W6" i="9"/>
  <c r="W8" i="9" s="1"/>
  <c r="V6" i="9"/>
  <c r="V8" i="9" s="1"/>
  <c r="U6" i="9"/>
  <c r="U8" i="9" s="1"/>
  <c r="T6" i="9"/>
  <c r="T8" i="9" s="1"/>
  <c r="S6" i="9"/>
  <c r="S8" i="9" s="1"/>
  <c r="R6" i="9"/>
  <c r="R8" i="9" s="1"/>
  <c r="Q6" i="9"/>
  <c r="Q8" i="9" s="1"/>
  <c r="P6" i="9"/>
  <c r="P8" i="9" s="1"/>
  <c r="O6" i="9"/>
  <c r="O8" i="9" s="1"/>
  <c r="N6" i="9"/>
  <c r="N8" i="9" s="1"/>
  <c r="M6" i="9"/>
  <c r="M8" i="9" s="1"/>
  <c r="L6" i="9"/>
  <c r="L8" i="9" s="1"/>
  <c r="K6" i="9"/>
  <c r="K8" i="9" s="1"/>
  <c r="J6" i="9"/>
  <c r="J8" i="9" s="1"/>
  <c r="I6" i="9"/>
  <c r="I8" i="9" s="1"/>
  <c r="H6" i="9"/>
  <c r="H8" i="9" s="1"/>
  <c r="G6" i="9"/>
  <c r="G8" i="9" s="1"/>
  <c r="F6" i="9"/>
  <c r="F8" i="9" s="1"/>
  <c r="E6" i="9"/>
  <c r="E8" i="9" s="1"/>
  <c r="BV5" i="9"/>
  <c r="BU5" i="9"/>
  <c r="BQ5" i="9"/>
  <c r="BV4" i="9"/>
  <c r="BU4" i="9"/>
  <c r="BQ4" i="9"/>
  <c r="BV3" i="9"/>
  <c r="BU3" i="9"/>
  <c r="BQ3" i="9"/>
  <c r="BV2" i="9"/>
  <c r="BU2" i="9"/>
  <c r="BQ2" i="9"/>
  <c r="BQ30" i="1"/>
  <c r="BQ31" i="1"/>
  <c r="BQ101" i="1"/>
  <c r="BQ32" i="1"/>
  <c r="BQ91" i="1"/>
  <c r="BQ33" i="1"/>
  <c r="BQ34" i="1"/>
  <c r="BQ92" i="1"/>
  <c r="BQ70" i="1"/>
  <c r="BQ35" i="1"/>
  <c r="BQ45" i="1"/>
  <c r="BQ59" i="1"/>
  <c r="BQ71" i="1"/>
  <c r="BU30" i="1"/>
  <c r="BV30" i="1"/>
  <c r="BU31" i="1"/>
  <c r="BV31" i="1"/>
  <c r="BU101" i="1"/>
  <c r="BV101" i="1"/>
  <c r="BU32" i="1"/>
  <c r="BV32" i="1"/>
  <c r="BU91" i="1"/>
  <c r="BV91" i="1"/>
  <c r="BU33" i="1"/>
  <c r="BV33" i="1"/>
  <c r="BU34" i="1"/>
  <c r="BV34" i="1"/>
  <c r="BU92" i="1"/>
  <c r="BV92" i="1"/>
  <c r="BU70" i="1"/>
  <c r="BV70" i="1"/>
  <c r="BU35" i="1"/>
  <c r="BV35" i="1"/>
  <c r="BU45" i="1"/>
  <c r="BV45" i="1"/>
  <c r="BU59" i="1"/>
  <c r="BV59" i="1"/>
  <c r="BU71" i="1"/>
  <c r="BV71" i="1"/>
  <c r="BU81" i="1" l="1"/>
  <c r="BV81" i="1"/>
  <c r="BQ81" i="1"/>
  <c r="BU29" i="1" l="1"/>
  <c r="BV29" i="1"/>
  <c r="BU38" i="1"/>
  <c r="BV38" i="1"/>
  <c r="BU63" i="1"/>
  <c r="BV63" i="1"/>
  <c r="BU43" i="1"/>
  <c r="BV43" i="1"/>
  <c r="BU64" i="1"/>
  <c r="BV64" i="1"/>
  <c r="BQ29" i="1"/>
  <c r="BQ38" i="1"/>
  <c r="BQ63" i="1"/>
  <c r="BQ43" i="1"/>
  <c r="BQ64" i="1"/>
  <c r="BU5" i="1" l="1"/>
  <c r="BV5" i="1"/>
  <c r="BU6" i="1"/>
  <c r="BV6" i="1"/>
  <c r="BU10" i="1"/>
  <c r="BV10" i="1"/>
  <c r="BU12" i="1"/>
  <c r="BV12" i="1"/>
  <c r="BU13" i="1"/>
  <c r="BV13" i="1"/>
  <c r="BU17" i="1"/>
  <c r="BV17" i="1"/>
  <c r="BU18" i="1"/>
  <c r="BV18" i="1"/>
  <c r="BU9" i="1"/>
  <c r="BV9" i="1"/>
  <c r="BU7" i="1"/>
  <c r="BV7" i="1"/>
  <c r="BU14" i="1"/>
  <c r="BV14" i="1"/>
  <c r="BU8" i="1"/>
  <c r="BV8" i="1"/>
  <c r="BU11" i="1"/>
  <c r="BV11" i="1"/>
  <c r="BU19" i="1"/>
  <c r="BV19" i="1"/>
  <c r="BU15" i="1"/>
  <c r="BV15" i="1"/>
  <c r="BU2" i="1"/>
  <c r="BV2" i="1"/>
  <c r="BU3" i="1"/>
  <c r="BV3" i="1"/>
  <c r="BU4" i="1"/>
  <c r="BV4" i="1"/>
  <c r="BU27" i="1"/>
  <c r="BV27" i="1"/>
  <c r="BU28" i="1"/>
  <c r="BV28" i="1"/>
  <c r="BU39" i="1"/>
  <c r="BV39" i="1"/>
  <c r="BU40" i="1"/>
  <c r="BV40" i="1"/>
  <c r="BU41" i="1"/>
  <c r="BV41" i="1"/>
  <c r="BU44" i="1"/>
  <c r="BV44" i="1"/>
  <c r="BU16" i="1"/>
  <c r="BV16" i="1"/>
  <c r="BU46" i="1"/>
  <c r="BV46" i="1"/>
  <c r="BU60" i="1"/>
  <c r="BV60" i="1"/>
  <c r="BU61" i="1"/>
  <c r="BV61" i="1"/>
  <c r="BU62" i="1"/>
  <c r="BV62" i="1"/>
  <c r="BU42" i="1"/>
  <c r="BV42" i="1"/>
  <c r="BU89" i="1"/>
  <c r="BV89" i="1"/>
  <c r="BU37" i="1"/>
  <c r="BV37" i="1"/>
  <c r="BU90" i="1"/>
  <c r="BV90" i="1"/>
  <c r="BU26" i="1"/>
  <c r="BV26" i="1"/>
  <c r="BU20" i="1"/>
  <c r="BV20" i="1"/>
  <c r="BU21" i="1"/>
  <c r="BV21" i="1"/>
  <c r="BU22" i="1"/>
  <c r="BV22" i="1"/>
  <c r="BU23" i="1"/>
  <c r="BV23" i="1"/>
  <c r="BU24" i="1"/>
  <c r="BV24" i="1"/>
  <c r="BU25" i="1"/>
  <c r="BV25" i="1"/>
  <c r="BU36" i="1"/>
  <c r="BV36" i="1"/>
  <c r="BU48" i="1"/>
  <c r="BV48" i="1"/>
  <c r="BU49" i="1"/>
  <c r="BV49" i="1"/>
  <c r="BU50" i="1"/>
  <c r="BV50" i="1"/>
  <c r="BU51" i="1"/>
  <c r="BV51" i="1"/>
  <c r="BU73" i="1"/>
  <c r="BV73" i="1"/>
  <c r="BU74" i="1"/>
  <c r="BV74" i="1"/>
  <c r="BU75" i="1"/>
  <c r="BV75" i="1"/>
  <c r="BU77" i="1"/>
  <c r="BV77" i="1"/>
  <c r="BU72" i="1"/>
  <c r="BV72" i="1"/>
  <c r="BU79" i="1"/>
  <c r="BV79" i="1"/>
  <c r="BU88" i="1"/>
  <c r="BV88" i="1"/>
  <c r="BU52" i="1"/>
  <c r="BV52" i="1"/>
  <c r="BU53" i="1"/>
  <c r="BV53" i="1"/>
  <c r="BU54" i="1"/>
  <c r="BV54" i="1"/>
  <c r="BU55" i="1"/>
  <c r="BV55" i="1"/>
  <c r="BU56" i="1"/>
  <c r="BV56" i="1"/>
  <c r="BU57" i="1"/>
  <c r="BV57" i="1"/>
  <c r="BU58" i="1"/>
  <c r="BV58" i="1"/>
  <c r="BU100" i="1"/>
  <c r="BV100" i="1"/>
  <c r="BU93" i="1"/>
  <c r="BV93" i="1"/>
  <c r="BU94" i="1"/>
  <c r="BV94" i="1"/>
  <c r="BU65" i="1"/>
  <c r="BV65" i="1"/>
  <c r="BU66" i="1"/>
  <c r="BV66" i="1"/>
  <c r="BU67" i="1"/>
  <c r="BV67" i="1"/>
  <c r="BU68" i="1"/>
  <c r="BV68" i="1"/>
  <c r="BU69" i="1"/>
  <c r="BV69" i="1"/>
  <c r="BU80" i="1"/>
  <c r="BV80" i="1"/>
  <c r="BU78" i="1"/>
  <c r="BV78" i="1"/>
  <c r="BU99" i="1"/>
  <c r="BV99" i="1"/>
  <c r="BQ99" i="1"/>
  <c r="BQ26" i="1"/>
  <c r="BQ69" i="1"/>
  <c r="BQ90" i="1" l="1"/>
  <c r="BQ100" i="1"/>
  <c r="BD107" i="1" l="1"/>
  <c r="BD109" i="1" s="1"/>
  <c r="BD106" i="1"/>
  <c r="BD108" i="1" s="1"/>
  <c r="BD103" i="1"/>
  <c r="BD105" i="1" s="1"/>
  <c r="BE103" i="1" l="1"/>
  <c r="BE105" i="1" s="1"/>
  <c r="BF103" i="1"/>
  <c r="BF105" i="1" s="1"/>
  <c r="BG103" i="1"/>
  <c r="BG105" i="1" s="1"/>
  <c r="BH103" i="1"/>
  <c r="BH105" i="1" s="1"/>
  <c r="BI103" i="1"/>
  <c r="BI105" i="1" s="1"/>
  <c r="BJ103" i="1"/>
  <c r="BJ105" i="1" s="1"/>
  <c r="BE106" i="1"/>
  <c r="BE108" i="1" s="1"/>
  <c r="BF106" i="1"/>
  <c r="BF108" i="1" s="1"/>
  <c r="BG106" i="1"/>
  <c r="BG108" i="1" s="1"/>
  <c r="BH106" i="1"/>
  <c r="BH108" i="1" s="1"/>
  <c r="BI106" i="1"/>
  <c r="BI108" i="1" s="1"/>
  <c r="BJ106" i="1"/>
  <c r="BJ108" i="1" s="1"/>
  <c r="BE107" i="1"/>
  <c r="BE109" i="1" s="1"/>
  <c r="BF107" i="1"/>
  <c r="BF109" i="1" s="1"/>
  <c r="BG107" i="1"/>
  <c r="BG109" i="1" s="1"/>
  <c r="BH107" i="1"/>
  <c r="BH109" i="1" s="1"/>
  <c r="BI107" i="1"/>
  <c r="BI109" i="1" s="1"/>
  <c r="BJ107" i="1"/>
  <c r="BJ109" i="1" s="1"/>
  <c r="BU96" i="1" l="1"/>
  <c r="BV96" i="1"/>
  <c r="BU82" i="1"/>
  <c r="BV82" i="1"/>
  <c r="BU83" i="1"/>
  <c r="BV83" i="1"/>
  <c r="BU84" i="1"/>
  <c r="BV84" i="1"/>
  <c r="BU102" i="1"/>
  <c r="BV102" i="1"/>
  <c r="BU95" i="1"/>
  <c r="BV95" i="1"/>
  <c r="BU97" i="1"/>
  <c r="BV97" i="1"/>
  <c r="BU98" i="1"/>
  <c r="BV98" i="1"/>
  <c r="BU85" i="1"/>
  <c r="BV85" i="1"/>
  <c r="BU86" i="1"/>
  <c r="BV86" i="1"/>
  <c r="BQ53" i="1"/>
  <c r="BQ28" i="1"/>
  <c r="BQ89" i="1"/>
  <c r="BQ25" i="1"/>
  <c r="BQ7" i="1" l="1"/>
  <c r="BQ14" i="1"/>
  <c r="BQ8" i="1"/>
  <c r="BQ11" i="1"/>
  <c r="BQ77" i="1"/>
  <c r="BQ24" i="1"/>
  <c r="BQ19" i="1"/>
  <c r="BQ42" i="1"/>
  <c r="BQ67" i="1"/>
  <c r="BQ58" i="1"/>
  <c r="BQ46" i="1"/>
  <c r="BQ52" i="1"/>
  <c r="BQ15" i="1"/>
  <c r="BQ68" i="1"/>
  <c r="BQ27" i="1" l="1"/>
  <c r="BQ72" i="1"/>
  <c r="BQ57" i="1"/>
  <c r="BQ21" i="1"/>
  <c r="BQ22" i="1"/>
  <c r="BQ23" i="1"/>
  <c r="BQ20" i="1"/>
  <c r="BQ66" i="1"/>
  <c r="BQ60" i="1"/>
  <c r="BQ61" i="1"/>
  <c r="BQ62" i="1"/>
  <c r="BQ73" i="1"/>
  <c r="BQ74" i="1"/>
  <c r="BQ75" i="1"/>
  <c r="BQ18" i="1"/>
  <c r="BQ41" i="1"/>
  <c r="BQ13" i="1"/>
  <c r="BQ44" i="1"/>
  <c r="BQ4" i="1"/>
  <c r="BQ37" i="1"/>
  <c r="F107" i="1" l="1"/>
  <c r="G107" i="1"/>
  <c r="H107" i="1"/>
  <c r="I107" i="1"/>
  <c r="J107" i="1"/>
  <c r="K107" i="1"/>
  <c r="L107" i="1"/>
  <c r="M107" i="1"/>
  <c r="N107" i="1"/>
  <c r="O107" i="1"/>
  <c r="P107" i="1"/>
  <c r="Q107" i="1"/>
  <c r="R107" i="1"/>
  <c r="S107" i="1"/>
  <c r="T107" i="1"/>
  <c r="U107" i="1"/>
  <c r="V107" i="1"/>
  <c r="W107" i="1"/>
  <c r="X107" i="1"/>
  <c r="Y107" i="1"/>
  <c r="Z107" i="1"/>
  <c r="AA107" i="1"/>
  <c r="AB107" i="1"/>
  <c r="AC107" i="1"/>
  <c r="AD107" i="1"/>
  <c r="AE107" i="1"/>
  <c r="AF107" i="1"/>
  <c r="AG107" i="1"/>
  <c r="AH107" i="1"/>
  <c r="AI107" i="1"/>
  <c r="AJ107" i="1"/>
  <c r="AK107" i="1"/>
  <c r="AL107" i="1"/>
  <c r="AM107" i="1"/>
  <c r="AN107" i="1"/>
  <c r="AO107" i="1"/>
  <c r="AP107" i="1"/>
  <c r="AQ107" i="1"/>
  <c r="AR107" i="1"/>
  <c r="AS107" i="1"/>
  <c r="AT107" i="1"/>
  <c r="AU107" i="1"/>
  <c r="AV107" i="1"/>
  <c r="AW107" i="1"/>
  <c r="AX107" i="1"/>
  <c r="AY107" i="1"/>
  <c r="AZ107" i="1"/>
  <c r="BA107" i="1"/>
  <c r="BB107" i="1"/>
  <c r="BC107" i="1"/>
  <c r="BK107" i="1"/>
  <c r="BL107" i="1"/>
  <c r="BM107" i="1"/>
  <c r="BN107" i="1"/>
  <c r="BO107" i="1"/>
  <c r="BP107" i="1"/>
  <c r="E107" i="1"/>
  <c r="F106" i="1"/>
  <c r="G106" i="1"/>
  <c r="H106" i="1"/>
  <c r="I106" i="1"/>
  <c r="J106" i="1"/>
  <c r="K106" i="1"/>
  <c r="L106" i="1"/>
  <c r="M106" i="1"/>
  <c r="N106" i="1"/>
  <c r="O106" i="1"/>
  <c r="P106" i="1"/>
  <c r="Q106" i="1"/>
  <c r="R106" i="1"/>
  <c r="S106" i="1"/>
  <c r="T106" i="1"/>
  <c r="U106" i="1"/>
  <c r="V106" i="1"/>
  <c r="W106" i="1"/>
  <c r="X106" i="1"/>
  <c r="Y106" i="1"/>
  <c r="Z106" i="1"/>
  <c r="AA106" i="1"/>
  <c r="AB106" i="1"/>
  <c r="AC106" i="1"/>
  <c r="AD106" i="1"/>
  <c r="AE106" i="1"/>
  <c r="AF106" i="1"/>
  <c r="AG106" i="1"/>
  <c r="AH106" i="1"/>
  <c r="AI106" i="1"/>
  <c r="AJ106" i="1"/>
  <c r="AK106" i="1"/>
  <c r="AL106" i="1"/>
  <c r="AM106" i="1"/>
  <c r="AN106" i="1"/>
  <c r="AO106" i="1"/>
  <c r="AP106" i="1"/>
  <c r="AQ106" i="1"/>
  <c r="AR106" i="1"/>
  <c r="AS106" i="1"/>
  <c r="AT106" i="1"/>
  <c r="AU106" i="1"/>
  <c r="AV106" i="1"/>
  <c r="AW106" i="1"/>
  <c r="AX106" i="1"/>
  <c r="AY106" i="1"/>
  <c r="AZ106" i="1"/>
  <c r="BA106" i="1"/>
  <c r="BB106" i="1"/>
  <c r="BC106" i="1"/>
  <c r="BK106" i="1"/>
  <c r="BL106" i="1"/>
  <c r="BM106" i="1"/>
  <c r="BN106" i="1"/>
  <c r="BO106" i="1"/>
  <c r="BP106" i="1"/>
  <c r="E106" i="1"/>
  <c r="BK103" i="1"/>
  <c r="BL103" i="1"/>
  <c r="BM103" i="1"/>
  <c r="BN103" i="1"/>
  <c r="BO103" i="1"/>
  <c r="BP103" i="1"/>
  <c r="BC103" i="1"/>
  <c r="AX103" i="1"/>
  <c r="AY103" i="1"/>
  <c r="AZ103" i="1"/>
  <c r="BA103" i="1"/>
  <c r="BB103" i="1"/>
  <c r="AW103" i="1"/>
  <c r="AR103" i="1"/>
  <c r="AS103" i="1"/>
  <c r="AT103" i="1"/>
  <c r="AU103" i="1"/>
  <c r="AV103" i="1"/>
  <c r="AQ103" i="1"/>
  <c r="AF103" i="1"/>
  <c r="AG103" i="1"/>
  <c r="AH103" i="1"/>
  <c r="AI103" i="1"/>
  <c r="AJ103" i="1"/>
  <c r="AK103" i="1"/>
  <c r="AL103" i="1"/>
  <c r="AM103" i="1"/>
  <c r="AN103" i="1"/>
  <c r="AO103" i="1"/>
  <c r="AP103" i="1"/>
  <c r="AE103" i="1"/>
  <c r="Q103" i="1"/>
  <c r="R103" i="1"/>
  <c r="S103" i="1"/>
  <c r="T103" i="1"/>
  <c r="U103" i="1"/>
  <c r="V103" i="1"/>
  <c r="W103" i="1"/>
  <c r="X103" i="1"/>
  <c r="Y103" i="1"/>
  <c r="Z103" i="1"/>
  <c r="AA103" i="1"/>
  <c r="AB103" i="1"/>
  <c r="AC103" i="1"/>
  <c r="AD103" i="1"/>
  <c r="P103" i="1"/>
  <c r="F103" i="1"/>
  <c r="G103" i="1"/>
  <c r="H103" i="1"/>
  <c r="I103" i="1"/>
  <c r="J103" i="1"/>
  <c r="K103" i="1"/>
  <c r="L103" i="1"/>
  <c r="M103" i="1"/>
  <c r="N103" i="1"/>
  <c r="O103" i="1"/>
  <c r="E103" i="1"/>
  <c r="BC108" i="1" l="1"/>
  <c r="BK108" i="1"/>
  <c r="BL108" i="1"/>
  <c r="BM108" i="1"/>
  <c r="BN108" i="1"/>
  <c r="BO108" i="1"/>
  <c r="BP108" i="1"/>
  <c r="BC109" i="1"/>
  <c r="BK109" i="1"/>
  <c r="BL109" i="1"/>
  <c r="BM109" i="1"/>
  <c r="BN109" i="1"/>
  <c r="BO109" i="1"/>
  <c r="BP109" i="1"/>
  <c r="BA108" i="1"/>
  <c r="BB108" i="1"/>
  <c r="BA109" i="1"/>
  <c r="BB109" i="1"/>
  <c r="AQ108" i="1"/>
  <c r="AR108" i="1"/>
  <c r="AS108" i="1"/>
  <c r="AT108" i="1"/>
  <c r="AU108" i="1"/>
  <c r="AV108" i="1"/>
  <c r="AW108" i="1"/>
  <c r="AX108" i="1"/>
  <c r="AY108" i="1"/>
  <c r="AZ108" i="1"/>
  <c r="AQ109" i="1"/>
  <c r="AR109" i="1"/>
  <c r="AS109" i="1"/>
  <c r="AT109" i="1"/>
  <c r="AU109" i="1"/>
  <c r="AV109" i="1"/>
  <c r="AW109" i="1"/>
  <c r="AX109" i="1"/>
  <c r="AY109" i="1"/>
  <c r="AZ109" i="1"/>
  <c r="AI108" i="1"/>
  <c r="AJ108" i="1"/>
  <c r="AK108" i="1"/>
  <c r="AL108" i="1"/>
  <c r="AM108" i="1"/>
  <c r="AN108" i="1"/>
  <c r="AO108" i="1"/>
  <c r="AP108" i="1"/>
  <c r="AI109" i="1"/>
  <c r="AJ109" i="1"/>
  <c r="AK109" i="1"/>
  <c r="AL109" i="1"/>
  <c r="AM109" i="1"/>
  <c r="AN109" i="1"/>
  <c r="AO109" i="1"/>
  <c r="AP109" i="1"/>
  <c r="AC108" i="1"/>
  <c r="AD108" i="1"/>
  <c r="AE108" i="1"/>
  <c r="AF108" i="1"/>
  <c r="AG108" i="1"/>
  <c r="AH108" i="1"/>
  <c r="AC109" i="1"/>
  <c r="AD109" i="1"/>
  <c r="AE109" i="1"/>
  <c r="AF109" i="1"/>
  <c r="AG109" i="1"/>
  <c r="AH109" i="1"/>
  <c r="W108" i="1"/>
  <c r="X108" i="1"/>
  <c r="Y108" i="1"/>
  <c r="Z108" i="1"/>
  <c r="AA108" i="1"/>
  <c r="AB108" i="1"/>
  <c r="W109" i="1"/>
  <c r="X109" i="1"/>
  <c r="Y109" i="1"/>
  <c r="Z109" i="1"/>
  <c r="AA109" i="1"/>
  <c r="AB109" i="1"/>
  <c r="P108" i="1"/>
  <c r="Q108" i="1"/>
  <c r="R108" i="1"/>
  <c r="S108" i="1"/>
  <c r="T108" i="1"/>
  <c r="U108" i="1"/>
  <c r="V108" i="1"/>
  <c r="P109" i="1"/>
  <c r="Q109" i="1"/>
  <c r="R109" i="1"/>
  <c r="S109" i="1"/>
  <c r="T109" i="1"/>
  <c r="U109" i="1"/>
  <c r="V109" i="1"/>
  <c r="G108" i="1"/>
  <c r="H108" i="1"/>
  <c r="I108" i="1"/>
  <c r="J108" i="1"/>
  <c r="K108" i="1"/>
  <c r="L108" i="1"/>
  <c r="M108" i="1"/>
  <c r="N108" i="1"/>
  <c r="O108" i="1"/>
  <c r="G109" i="1"/>
  <c r="H109" i="1"/>
  <c r="I109" i="1"/>
  <c r="J109" i="1"/>
  <c r="K109" i="1"/>
  <c r="L109" i="1"/>
  <c r="M109" i="1"/>
  <c r="N109" i="1"/>
  <c r="O109" i="1"/>
  <c r="F108" i="1"/>
  <c r="F109" i="1"/>
  <c r="E109" i="1"/>
  <c r="E108" i="1"/>
  <c r="BQ48" i="1" l="1"/>
  <c r="BQ49" i="1"/>
  <c r="BQ50" i="1"/>
  <c r="BQ51" i="1"/>
  <c r="BQ79" i="1"/>
  <c r="BQ88" i="1"/>
  <c r="BQ39" i="1"/>
  <c r="BQ40" i="1"/>
  <c r="BQ16" i="1"/>
  <c r="BQ93" i="1"/>
  <c r="BQ94" i="1"/>
  <c r="BQ36" i="1"/>
  <c r="BQ10" i="1"/>
  <c r="BQ102" i="1"/>
  <c r="BQ95" i="1"/>
  <c r="BQ54" i="1"/>
  <c r="BQ55" i="1"/>
  <c r="BQ56" i="1"/>
  <c r="BQ80" i="1"/>
  <c r="BQ9" i="1"/>
  <c r="BQ2" i="1"/>
  <c r="BQ3" i="1"/>
  <c r="BQ12" i="1"/>
  <c r="BQ17" i="1"/>
  <c r="BQ97" i="1"/>
  <c r="BQ65" i="1"/>
  <c r="BQ96" i="1"/>
  <c r="BQ5" i="1"/>
  <c r="BQ6" i="1"/>
  <c r="BQ78" i="1"/>
  <c r="BQ82" i="1"/>
  <c r="BQ83" i="1"/>
  <c r="BQ84" i="1"/>
  <c r="BQ85" i="1"/>
  <c r="BQ86" i="1"/>
  <c r="BN105" i="1" l="1"/>
  <c r="AM105" i="1"/>
  <c r="L105" i="1"/>
  <c r="BL105" i="1"/>
  <c r="AJ105" i="1"/>
  <c r="AH105" i="1"/>
  <c r="AL105" i="1"/>
  <c r="BM105" i="1"/>
  <c r="J105" i="1"/>
  <c r="H105" i="1"/>
  <c r="G105" i="1"/>
  <c r="AE105" i="1"/>
  <c r="F105" i="1"/>
  <c r="BK105" i="1"/>
  <c r="AI105" i="1"/>
  <c r="I105" i="1"/>
  <c r="AG105" i="1"/>
  <c r="AF105" i="1"/>
  <c r="O105" i="1"/>
  <c r="BP105" i="1"/>
  <c r="N105" i="1"/>
  <c r="K105" i="1"/>
  <c r="AK105" i="1"/>
  <c r="E105" i="1"/>
  <c r="BO105" i="1"/>
  <c r="AN105" i="1"/>
  <c r="M105" i="1"/>
  <c r="AP105" i="1"/>
  <c r="BC105" i="1"/>
  <c r="AO105" i="1"/>
  <c r="V105" i="1"/>
  <c r="Y105" i="1"/>
  <c r="W105" i="1"/>
  <c r="S105" i="1"/>
  <c r="X105" i="1"/>
  <c r="R105" i="1"/>
  <c r="Z105" i="1"/>
  <c r="U105" i="1"/>
  <c r="T105" i="1"/>
  <c r="AC105" i="1"/>
  <c r="Q105" i="1"/>
  <c r="AB105" i="1"/>
  <c r="P105" i="1"/>
  <c r="AA105" i="1"/>
  <c r="AD105" i="1"/>
  <c r="AR105" i="1" l="1"/>
  <c r="AU105" i="1"/>
  <c r="BB105" i="1"/>
  <c r="AS105" i="1"/>
  <c r="AW105" i="1"/>
  <c r="AT105" i="1"/>
  <c r="AY105" i="1"/>
  <c r="AZ105" i="1"/>
  <c r="AV105" i="1"/>
  <c r="AQ105" i="1"/>
  <c r="AX105" i="1"/>
  <c r="BA105" i="1"/>
</calcChain>
</file>

<file path=xl/sharedStrings.xml><?xml version="1.0" encoding="utf-8"?>
<sst xmlns="http://schemas.openxmlformats.org/spreadsheetml/2006/main" count="653" uniqueCount="259">
  <si>
    <t>成年</t>
    <phoneticPr fontId="1" type="noConversion"/>
  </si>
  <si>
    <t>东皇钟</t>
    <phoneticPr fontId="1" type="noConversion"/>
  </si>
  <si>
    <t>炼妖壶</t>
    <phoneticPr fontId="1" type="noConversion"/>
  </si>
  <si>
    <t>愚山乾坤石</t>
    <phoneticPr fontId="1" type="noConversion"/>
  </si>
  <si>
    <t>力量符文叉大</t>
    <phoneticPr fontId="1" type="noConversion"/>
  </si>
  <si>
    <t>速度符文叉大</t>
    <phoneticPr fontId="1" type="noConversion"/>
  </si>
  <si>
    <t>魅力符文叉大</t>
    <phoneticPr fontId="1" type="noConversion"/>
  </si>
  <si>
    <t>金甲虫</t>
    <phoneticPr fontId="1" type="noConversion"/>
  </si>
  <si>
    <t>壮年</t>
    <phoneticPr fontId="1" type="noConversion"/>
  </si>
  <si>
    <t>技巧符文叉大</t>
    <phoneticPr fontId="1" type="noConversion"/>
  </si>
  <si>
    <t>女娲石</t>
    <phoneticPr fontId="1" type="noConversion"/>
  </si>
  <si>
    <t>星座素材土</t>
    <phoneticPr fontId="1" type="noConversion"/>
  </si>
  <si>
    <t>星座素材木</t>
    <phoneticPr fontId="1" type="noConversion"/>
  </si>
  <si>
    <t>星座素材水</t>
    <phoneticPr fontId="1" type="noConversion"/>
  </si>
  <si>
    <t>星座素材火</t>
    <phoneticPr fontId="1" type="noConversion"/>
  </si>
  <si>
    <t>星座素材光</t>
    <phoneticPr fontId="1" type="noConversion"/>
  </si>
  <si>
    <t>星座素材暗</t>
    <phoneticPr fontId="1" type="noConversion"/>
  </si>
  <si>
    <t>青年</t>
    <phoneticPr fontId="1" type="noConversion"/>
  </si>
  <si>
    <t>神农鼎</t>
    <phoneticPr fontId="1" type="noConversion"/>
  </si>
  <si>
    <t>盘古斧</t>
    <phoneticPr fontId="1" type="noConversion"/>
  </si>
  <si>
    <t>轩辕剑</t>
    <phoneticPr fontId="1" type="noConversion"/>
  </si>
  <si>
    <t>木</t>
    <phoneticPr fontId="1" type="noConversion"/>
  </si>
  <si>
    <t>龙灵不朽藤</t>
    <phoneticPr fontId="1" type="noConversion"/>
  </si>
  <si>
    <t>螃蟹</t>
    <phoneticPr fontId="1" type="noConversion"/>
  </si>
  <si>
    <t>仙丹</t>
    <phoneticPr fontId="1" type="noConversion"/>
  </si>
  <si>
    <t>超</t>
    <phoneticPr fontId="1" type="noConversion"/>
  </si>
  <si>
    <t>超进阶素材土</t>
    <phoneticPr fontId="1" type="noConversion"/>
  </si>
  <si>
    <t>超进阶素材木</t>
    <phoneticPr fontId="1" type="noConversion"/>
  </si>
  <si>
    <t>超进阶素材水</t>
    <phoneticPr fontId="1" type="noConversion"/>
  </si>
  <si>
    <t>超进阶素材火</t>
    <phoneticPr fontId="1" type="noConversion"/>
  </si>
  <si>
    <t>超进阶素材光</t>
    <phoneticPr fontId="1" type="noConversion"/>
  </si>
  <si>
    <t>超进阶素材暗</t>
    <phoneticPr fontId="1" type="noConversion"/>
  </si>
  <si>
    <t>水</t>
    <phoneticPr fontId="1" type="noConversion"/>
  </si>
  <si>
    <t>秘窟冰晶卵</t>
    <phoneticPr fontId="1" type="noConversion"/>
  </si>
  <si>
    <t>智慧符文叉大</t>
    <phoneticPr fontId="1" type="noConversion"/>
  </si>
  <si>
    <t>昆仑镜</t>
    <phoneticPr fontId="1" type="noConversion"/>
  </si>
  <si>
    <t>太一之轮</t>
    <phoneticPr fontId="1" type="noConversion"/>
  </si>
  <si>
    <t>崆峒印</t>
    <phoneticPr fontId="1" type="noConversion"/>
  </si>
  <si>
    <t>火</t>
    <phoneticPr fontId="1" type="noConversion"/>
  </si>
  <si>
    <t>幸运符文叉大</t>
    <phoneticPr fontId="1" type="noConversion"/>
  </si>
  <si>
    <t>赤焰十字星</t>
    <phoneticPr fontId="1" type="noConversion"/>
  </si>
  <si>
    <t>伏羲琴</t>
    <phoneticPr fontId="1" type="noConversion"/>
  </si>
  <si>
    <t>金钗</t>
    <phoneticPr fontId="1" type="noConversion"/>
  </si>
  <si>
    <t>彗星</t>
    <phoneticPr fontId="1" type="noConversion"/>
  </si>
  <si>
    <t>光</t>
    <phoneticPr fontId="1" type="noConversion"/>
  </si>
  <si>
    <t>六方天运骰</t>
    <phoneticPr fontId="1" type="noConversion"/>
  </si>
  <si>
    <t>暗</t>
    <phoneticPr fontId="1" type="noConversion"/>
  </si>
  <si>
    <t>月冕霓晴符</t>
    <phoneticPr fontId="1" type="noConversion"/>
  </si>
  <si>
    <t>合计</t>
    <phoneticPr fontId="1" type="noConversion"/>
  </si>
  <si>
    <t>桂花</t>
    <phoneticPr fontId="1" type="noConversion"/>
  </si>
  <si>
    <t>桂花酒</t>
    <phoneticPr fontId="1" type="noConversion"/>
  </si>
  <si>
    <t>弃斧</t>
    <phoneticPr fontId="1" type="noConversion"/>
  </si>
  <si>
    <t>灯笼</t>
    <phoneticPr fontId="1" type="noConversion"/>
  </si>
  <si>
    <t>红糖</t>
    <phoneticPr fontId="1" type="noConversion"/>
  </si>
  <si>
    <t>泥垢</t>
    <phoneticPr fontId="1" type="noConversion"/>
  </si>
  <si>
    <t>圣诞袜</t>
    <phoneticPr fontId="1" type="noConversion"/>
  </si>
  <si>
    <t>兔类</t>
    <phoneticPr fontId="1" type="noConversion"/>
  </si>
  <si>
    <t>光</t>
    <phoneticPr fontId="1" type="noConversion"/>
  </si>
  <si>
    <t>昊天塔</t>
    <phoneticPr fontId="1" type="noConversion"/>
  </si>
  <si>
    <t>序号</t>
    <phoneticPr fontId="1" type="noConversion"/>
  </si>
  <si>
    <t>名称</t>
    <phoneticPr fontId="1" type="noConversion"/>
  </si>
  <si>
    <t>阶段</t>
    <phoneticPr fontId="1" type="noConversion"/>
  </si>
  <si>
    <t>类别</t>
    <phoneticPr fontId="1" type="noConversion"/>
  </si>
  <si>
    <t>序号</t>
    <phoneticPr fontId="1" type="noConversion"/>
  </si>
  <si>
    <t>数量</t>
    <phoneticPr fontId="1" type="noConversion"/>
  </si>
  <si>
    <t>实际</t>
    <phoneticPr fontId="1" type="noConversion"/>
  </si>
  <si>
    <t>合计</t>
    <phoneticPr fontId="1" type="noConversion"/>
  </si>
  <si>
    <t>差</t>
    <phoneticPr fontId="1" type="noConversion"/>
  </si>
  <si>
    <t>项</t>
    <phoneticPr fontId="1" type="noConversion"/>
  </si>
  <si>
    <t>序号</t>
    <phoneticPr fontId="1" type="noConversion"/>
  </si>
  <si>
    <t>名称</t>
    <phoneticPr fontId="1" type="noConversion"/>
  </si>
  <si>
    <t>数量</t>
    <phoneticPr fontId="1" type="noConversion"/>
  </si>
  <si>
    <t>差值</t>
    <phoneticPr fontId="1" type="noConversion"/>
  </si>
  <si>
    <t>成年</t>
    <phoneticPr fontId="1" type="noConversion"/>
  </si>
  <si>
    <t>壮年</t>
    <phoneticPr fontId="1" type="noConversion"/>
  </si>
  <si>
    <t>木</t>
    <phoneticPr fontId="1" type="noConversion"/>
  </si>
  <si>
    <t>幻</t>
    <phoneticPr fontId="1" type="noConversion"/>
  </si>
  <si>
    <t>逆鳞</t>
    <phoneticPr fontId="1" type="noConversion"/>
  </si>
  <si>
    <t>青年</t>
    <phoneticPr fontId="1" type="noConversion"/>
  </si>
  <si>
    <t>糯米</t>
    <phoneticPr fontId="1" type="noConversion"/>
  </si>
  <si>
    <t>粽叶</t>
    <phoneticPr fontId="1" type="noConversion"/>
  </si>
  <si>
    <t>地</t>
    <phoneticPr fontId="1" type="noConversion"/>
  </si>
  <si>
    <t>超</t>
    <phoneticPr fontId="1" type="noConversion"/>
  </si>
  <si>
    <t>菱绢</t>
    <phoneticPr fontId="1" type="noConversion"/>
  </si>
  <si>
    <t>光</t>
    <phoneticPr fontId="1" type="noConversion"/>
  </si>
  <si>
    <t>暗</t>
    <phoneticPr fontId="1" type="noConversion"/>
  </si>
  <si>
    <t>木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</si>
  <si>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</si>
  <si>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</si>
  <si>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</si>
  <si>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欠条小</t>
    <phoneticPr fontId="1" type="noConversion"/>
  </si>
  <si>
    <t>钱袋小</t>
    <phoneticPr fontId="1" type="noConversion"/>
  </si>
  <si>
    <t>骰子小</t>
    <phoneticPr fontId="1" type="noConversion"/>
  </si>
  <si>
    <t>筹码小</t>
    <phoneticPr fontId="1" type="noConversion"/>
  </si>
  <si>
    <t>庄家令牌中</t>
    <phoneticPr fontId="1" type="noConversion"/>
  </si>
  <si>
    <t>庄家令牌小</t>
    <phoneticPr fontId="1" type="noConversion"/>
  </si>
  <si>
    <t>欠条大</t>
    <phoneticPr fontId="1" type="noConversion"/>
  </si>
  <si>
    <t>骰子大</t>
    <phoneticPr fontId="1" type="noConversion"/>
  </si>
  <si>
    <t>西洋棋.白车</t>
    <phoneticPr fontId="1" type="noConversion"/>
  </si>
  <si>
    <t>骰子中</t>
    <phoneticPr fontId="1" type="noConversion"/>
  </si>
  <si>
    <t>钱袋中</t>
    <phoneticPr fontId="1" type="noConversion"/>
  </si>
  <si>
    <t>筹码中</t>
    <phoneticPr fontId="1" type="noConversion"/>
  </si>
  <si>
    <t>欠条中</t>
    <phoneticPr fontId="1" type="noConversion"/>
  </si>
  <si>
    <t>六饼</t>
    <phoneticPr fontId="1" type="noConversion"/>
  </si>
  <si>
    <t>火</t>
    <phoneticPr fontId="1" type="noConversion"/>
  </si>
  <si>
    <t>钱袋大</t>
    <phoneticPr fontId="1" type="noConversion"/>
  </si>
  <si>
    <t>筹码大</t>
    <phoneticPr fontId="1" type="noConversion"/>
  </si>
  <si>
    <t>水</t>
    <phoneticPr fontId="1" type="noConversion"/>
  </si>
  <si>
    <t>二饼</t>
    <phoneticPr fontId="1" type="noConversion"/>
  </si>
  <si>
    <t>三万</t>
    <phoneticPr fontId="1" type="noConversion"/>
  </si>
  <si>
    <t>光</t>
    <phoneticPr fontId="1" type="noConversion"/>
  </si>
  <si>
    <t>地</t>
    <phoneticPr fontId="1" type="noConversion"/>
  </si>
  <si>
    <t>暗</t>
    <phoneticPr fontId="1" type="noConversion"/>
  </si>
  <si>
    <t>庄家令牌大</t>
    <phoneticPr fontId="1" type="noConversion"/>
  </si>
  <si>
    <t>壮年</t>
    <phoneticPr fontId="1" type="noConversion"/>
  </si>
  <si>
    <t>八哥</t>
    <phoneticPr fontId="1" type="noConversion"/>
  </si>
  <si>
    <t>最大值</t>
    <phoneticPr fontId="1" type="noConversion"/>
  </si>
  <si>
    <t>最小值</t>
    <phoneticPr fontId="1" type="noConversion"/>
  </si>
  <si>
    <t>最大差值</t>
    <phoneticPr fontId="1" type="noConversion"/>
  </si>
  <si>
    <t>最小差值</t>
    <phoneticPr fontId="1" type="noConversion"/>
  </si>
  <si>
    <t>秘窟冰晶卵</t>
  </si>
  <si>
    <t>愚山乾坤石</t>
  </si>
  <si>
    <t>龙灵不朽藤</t>
  </si>
  <si>
    <t>六方天运骰</t>
  </si>
  <si>
    <t>月冕霓晴符</t>
  </si>
  <si>
    <t>赤焰十字星</t>
  </si>
  <si>
    <t>力量符文叉大</t>
  </si>
  <si>
    <t>速度符文叉大</t>
  </si>
  <si>
    <t>智慧符文叉大</t>
  </si>
  <si>
    <t>魅力符文叉大</t>
  </si>
  <si>
    <t>幸运符文叉大</t>
  </si>
  <si>
    <t>技巧符文叉大</t>
  </si>
  <si>
    <t>赤兔吕布</t>
    <phoneticPr fontId="1" type="noConversion"/>
  </si>
  <si>
    <t>火8，金2</t>
    <phoneticPr fontId="1" type="noConversion"/>
  </si>
  <si>
    <t>水8，金2</t>
    <phoneticPr fontId="1" type="noConversion"/>
  </si>
  <si>
    <t>光8，金2</t>
    <phoneticPr fontId="1" type="noConversion"/>
  </si>
  <si>
    <t>暗8，金2</t>
    <phoneticPr fontId="1" type="noConversion"/>
  </si>
  <si>
    <t>土8，金2</t>
    <phoneticPr fontId="1" type="noConversion"/>
  </si>
  <si>
    <t>木8，金2</t>
    <phoneticPr fontId="1" type="noConversion"/>
  </si>
  <si>
    <t>神勇8，金8</t>
    <phoneticPr fontId="1" type="noConversion"/>
  </si>
  <si>
    <t>神速8，金4</t>
    <phoneticPr fontId="1" type="noConversion"/>
  </si>
  <si>
    <t>谋略8，金5</t>
    <phoneticPr fontId="1" type="noConversion"/>
  </si>
  <si>
    <t>妹纸8，金8</t>
    <phoneticPr fontId="1" type="noConversion"/>
  </si>
  <si>
    <t>吉祥8，金2</t>
    <phoneticPr fontId="1" type="noConversion"/>
  </si>
  <si>
    <t>乐器8，金5</t>
    <phoneticPr fontId="1" type="noConversion"/>
  </si>
  <si>
    <t>光相</t>
    <phoneticPr fontId="1" type="noConversion"/>
  </si>
  <si>
    <t>青年</t>
    <phoneticPr fontId="1" type="noConversion"/>
  </si>
  <si>
    <t>壮年</t>
    <phoneticPr fontId="1" type="noConversion"/>
  </si>
  <si>
    <t>四万</t>
    <phoneticPr fontId="1" type="noConversion"/>
  </si>
  <si>
    <t>地</t>
    <phoneticPr fontId="1" type="noConversion"/>
  </si>
  <si>
    <t>火</t>
    <phoneticPr fontId="1" type="noConversion"/>
  </si>
  <si>
    <t>六万</t>
  </si>
  <si>
    <t>金盔</t>
    <phoneticPr fontId="1" type="noConversion"/>
  </si>
  <si>
    <t>金盔</t>
    <phoneticPr fontId="1" type="noConversion"/>
  </si>
  <si>
    <t>麻将</t>
    <phoneticPr fontId="1" type="noConversion"/>
  </si>
  <si>
    <t>一条</t>
    <phoneticPr fontId="1" type="noConversion"/>
  </si>
  <si>
    <t>木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</si>
  <si>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</si>
  <si>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</si>
  <si>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</si>
  <si>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发财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</si>
  <si>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</si>
  <si>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</si>
  <si>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</si>
  <si>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北风</t>
    <phoneticPr fontId="1" type="noConversion"/>
  </si>
  <si>
    <t>冲霸</t>
    <phoneticPr fontId="1" type="noConversion"/>
  </si>
  <si>
    <t>武仔</t>
    <phoneticPr fontId="1" type="noConversion"/>
  </si>
  <si>
    <t>古琴仔</t>
    <phoneticPr fontId="1" type="noConversion"/>
  </si>
  <si>
    <t>一条</t>
    <phoneticPr fontId="1" type="noConversion"/>
  </si>
  <si>
    <t>心云猎手</t>
    <phoneticPr fontId="1" type="noConversion"/>
  </si>
  <si>
    <t>如来佛祖</t>
    <phoneticPr fontId="1" type="noConversion"/>
  </si>
  <si>
    <t>星络典</t>
    <phoneticPr fontId="1" type="noConversion"/>
  </si>
  <si>
    <t>火</t>
    <phoneticPr fontId="1" type="noConversion"/>
  </si>
  <si>
    <t>地</t>
    <phoneticPr fontId="1" type="noConversion"/>
  </si>
  <si>
    <t>司秋</t>
    <phoneticPr fontId="1" type="noConversion"/>
  </si>
  <si>
    <t>东风</t>
    <phoneticPr fontId="1" type="noConversion"/>
  </si>
  <si>
    <t>青年</t>
    <phoneticPr fontId="1" type="noConversion"/>
  </si>
  <si>
    <t>壮年</t>
    <phoneticPr fontId="1" type="noConversion"/>
  </si>
  <si>
    <t>火</t>
    <phoneticPr fontId="1" type="noConversion"/>
  </si>
  <si>
    <t>九天玄老</t>
    <phoneticPr fontId="1" type="noConversion"/>
  </si>
  <si>
    <t>幻</t>
    <phoneticPr fontId="1" type="noConversion"/>
  </si>
  <si>
    <t>七绝散人</t>
    <phoneticPr fontId="1" type="noConversion"/>
  </si>
  <si>
    <t>无名劫匪</t>
    <phoneticPr fontId="1" type="noConversion"/>
  </si>
  <si>
    <t>星燃</t>
    <phoneticPr fontId="1" type="noConversion"/>
  </si>
  <si>
    <t>战马.波妮</t>
    <phoneticPr fontId="1" type="noConversion"/>
  </si>
  <si>
    <t>小山贼</t>
    <phoneticPr fontId="1" type="noConversion"/>
  </si>
  <si>
    <t>小山贼</t>
    <phoneticPr fontId="1" type="noConversion"/>
  </si>
  <si>
    <t>雨梨标</t>
    <phoneticPr fontId="1" type="noConversion"/>
  </si>
  <si>
    <t>枯蛛</t>
    <phoneticPr fontId="1" type="noConversion"/>
  </si>
  <si>
    <t>刺灵</t>
    <phoneticPr fontId="1" type="noConversion"/>
  </si>
  <si>
    <t>刺灵</t>
    <phoneticPr fontId="1" type="noConversion"/>
  </si>
  <si>
    <t>福球</t>
    <phoneticPr fontId="1" type="noConversion"/>
  </si>
  <si>
    <t>四遁傀兵</t>
    <phoneticPr fontId="1" type="noConversion"/>
  </si>
  <si>
    <t>三灵珠仔</t>
    <phoneticPr fontId="1" type="noConversion"/>
  </si>
  <si>
    <t>彩运</t>
    <phoneticPr fontId="1" type="noConversion"/>
  </si>
  <si>
    <t>马仔</t>
    <phoneticPr fontId="1" type="noConversion"/>
  </si>
  <si>
    <t>马仔</t>
    <phoneticPr fontId="1" type="noConversion"/>
  </si>
  <si>
    <t>魔象</t>
    <phoneticPr fontId="1" type="noConversion"/>
  </si>
  <si>
    <t>瞎进</t>
    <phoneticPr fontId="1" type="noConversion"/>
  </si>
  <si>
    <t>自走炮</t>
    <phoneticPr fontId="1" type="noConversion"/>
  </si>
  <si>
    <t>漆风</t>
    <phoneticPr fontId="1" type="noConversion"/>
  </si>
  <si>
    <t>漆风</t>
    <phoneticPr fontId="1" type="noConversion"/>
  </si>
  <si>
    <t>天雷</t>
    <phoneticPr fontId="1" type="noConversion"/>
  </si>
  <si>
    <t>天雷</t>
    <phoneticPr fontId="1" type="noConversion"/>
  </si>
  <si>
    <t>巨蟹小当家</t>
    <phoneticPr fontId="1" type="noConversion"/>
  </si>
  <si>
    <t>双戟洪少侠</t>
    <phoneticPr fontId="1" type="noConversion"/>
  </si>
  <si>
    <t>六味地糖丸</t>
    <phoneticPr fontId="1" type="noConversion"/>
  </si>
  <si>
    <t>心剑合一李小白</t>
    <phoneticPr fontId="1" type="noConversion"/>
  </si>
  <si>
    <t>超进阶素材光(47),</t>
    <phoneticPr fontId="1" type="noConversion"/>
  </si>
  <si>
    <t>欠条中(5),_x000D_
骰子大(2),</t>
    <phoneticPr fontId="1" type="noConversion"/>
  </si>
  <si>
    <t>筹码大(9),_x000D_
庄家令牌大(10),</t>
    <phoneticPr fontId="1" type="noConversion"/>
  </si>
  <si>
    <t>西洋棋.白后</t>
    <phoneticPr fontId="1" type="noConversion"/>
  </si>
  <si>
    <t>水</t>
    <phoneticPr fontId="1" type="noConversion"/>
  </si>
  <si>
    <t>青年</t>
    <phoneticPr fontId="1" type="noConversion"/>
  </si>
  <si>
    <t>暗士</t>
    <phoneticPr fontId="1" type="noConversion"/>
  </si>
  <si>
    <t>暗士</t>
    <phoneticPr fontId="1" type="noConversion"/>
  </si>
  <si>
    <t>暗象</t>
    <phoneticPr fontId="1" type="noConversion"/>
  </si>
  <si>
    <t>九饼</t>
    <phoneticPr fontId="1" type="noConversion"/>
  </si>
  <si>
    <t>光</t>
    <phoneticPr fontId="1" type="noConversion"/>
  </si>
  <si>
    <t>骰子中(2),</t>
    <phoneticPr fontId="1" type="noConversion"/>
  </si>
  <si>
    <t>女娲石(10),_x000D_
骰子大(10),_x000D_
庄家令牌大(10),</t>
    <phoneticPr fontId="1" type="noConversion"/>
  </si>
  <si>
    <t>桂花(5),_x000D_
桂花酒(5),</t>
    <phoneticPr fontId="1" type="noConversion"/>
  </si>
  <si>
    <t>五福仙子</t>
    <phoneticPr fontId="1" type="noConversion"/>
  </si>
  <si>
    <t>厨妃</t>
    <phoneticPr fontId="1" type="noConversion"/>
  </si>
  <si>
    <t>桂花酒(5),</t>
    <phoneticPr fontId="1" type="noConversion"/>
  </si>
  <si>
    <t>桂花(5),</t>
    <phoneticPr fontId="1" type="noConversion"/>
  </si>
  <si>
    <t>喵小白</t>
    <phoneticPr fontId="1" type="noConversion"/>
  </si>
  <si>
    <t>光百合</t>
    <phoneticPr fontId="1" type="noConversion"/>
  </si>
  <si>
    <t>欠条大(10),_x000D_
庄家令牌大(10),</t>
    <phoneticPr fontId="1" type="noConversion"/>
  </si>
  <si>
    <t>庄家令牌大(10),</t>
    <phoneticPr fontId="1" type="noConversion"/>
  </si>
  <si>
    <t>欠条大(10),</t>
    <phoneticPr fontId="1" type="noConversion"/>
  </si>
  <si>
    <t>神农鼎(7),_x000D_
欠条大(10),</t>
    <phoneticPr fontId="1" type="noConversion"/>
  </si>
  <si>
    <t>金甲虫(13),</t>
    <phoneticPr fontId="1" type="noConversion"/>
  </si>
  <si>
    <t>技巧符文叉大(21),</t>
    <phoneticPr fontId="1" type="noConversion"/>
  </si>
  <si>
    <t>桂花(5),_x000D_
桂花酒(5),_x000D_
灯笼(5),</t>
    <phoneticPr fontId="1" type="noConversion"/>
  </si>
  <si>
    <t>王母娘娘</t>
    <phoneticPr fontId="1" type="noConversion"/>
  </si>
  <si>
    <t>齐天小圣</t>
    <phoneticPr fontId="1" type="noConversion"/>
  </si>
  <si>
    <t>齐天小圣</t>
    <phoneticPr fontId="1" type="noConversion"/>
  </si>
  <si>
    <t>超</t>
    <phoneticPr fontId="1" type="noConversion"/>
  </si>
  <si>
    <t>欠条大(2),</t>
    <phoneticPr fontId="1" type="noConversion"/>
  </si>
  <si>
    <t>庄家令牌大(2),</t>
    <phoneticPr fontId="1" type="noConversion"/>
  </si>
  <si>
    <t>星络典(10),</t>
    <phoneticPr fontId="1" type="noConversion"/>
  </si>
  <si>
    <t>超进阶素材光(47),</t>
  </si>
  <si>
    <t>欠条大(2),_x000D_
庄家令牌大(2),</t>
    <phoneticPr fontId="1" type="noConversion"/>
  </si>
  <si>
    <t>庄家令牌大(2),</t>
    <phoneticPr fontId="1" type="noConversion"/>
  </si>
  <si>
    <t>桂花(5),</t>
    <phoneticPr fontId="1" type="noConversion"/>
  </si>
  <si>
    <t>桂花酒(5),</t>
    <phoneticPr fontId="1" type="noConversion"/>
  </si>
  <si>
    <t>欠条大(10),</t>
    <phoneticPr fontId="1" type="noConversion"/>
  </si>
  <si>
    <t>庄家令牌大(10),</t>
    <phoneticPr fontId="1" type="noConversion"/>
  </si>
  <si>
    <t>幸运符文叉大(28),</t>
    <phoneticPr fontId="1" type="noConversion"/>
  </si>
  <si>
    <t>超进阶素材光(47),</t>
    <phoneticPr fontId="1" type="noConversion"/>
  </si>
  <si>
    <t>金甲虫(163),</t>
    <phoneticPr fontId="1" type="noConversion"/>
  </si>
  <si>
    <t>欠条大(2),_x000D_
庄家令牌大(2),</t>
    <phoneticPr fontId="1" type="noConversion"/>
  </si>
  <si>
    <t>欠条大(2),_x000D_
庄家令牌大(2),</t>
    <phoneticPr fontId="1" type="noConversion"/>
  </si>
  <si>
    <t>桂花(5),_x000D_
桂花酒(5),</t>
    <phoneticPr fontId="1" type="noConversion"/>
  </si>
  <si>
    <t>彗星(10),</t>
    <phoneticPr fontId="1" type="noConversion"/>
  </si>
  <si>
    <t>神农鼎(7),_x000D_
欠条大(10),</t>
    <phoneticPr fontId="1" type="noConversion"/>
  </si>
  <si>
    <t>欠条大(10),_x000D_
庄家令牌大(10),</t>
    <phoneticPr fontId="1" type="noConversion"/>
  </si>
  <si>
    <t>神农鼎(2),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</si>
</sst>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11"/>
      <color rgb="FFFF0000"/>
      <name val="宋体"/>
      <family val="2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b/>
      <sz val="11"/>
      <name val="宋体"/>
      <family val="3"/>
      <charset val="134"/>
      <scheme val="minor"/>
    </font>
    <font>
      <b/>
      <sz val="11"/>
      <color rgb="FFFF0000"/>
      <name val="宋体"/>
      <family val="3"/>
      <charset val="134"/>
      <scheme val="minor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3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3" borderId="1" xfId="0" applyFill="1" applyBorder="1">
      <alignment vertical="center"/>
    </xf>
    <xf numFmtId="0" fontId="0" fillId="0" borderId="1" xfId="0" applyFill="1" applyBorder="1">
      <alignment vertical="center"/>
    </xf>
    <xf numFmtId="0" fontId="0" fillId="2" borderId="1" xfId="0" applyFill="1" applyBorder="1">
      <alignment vertical="center"/>
    </xf>
    <xf numFmtId="0" fontId="0" fillId="0" borderId="1" xfId="0" applyBorder="1" applyAlignment="1">
      <alignment horizontal="center" vertical="center"/>
    </xf>
    <xf numFmtId="0" fontId="0" fillId="4" borderId="1" xfId="0" applyFill="1" applyBorder="1">
      <alignment vertical="center"/>
    </xf>
    <xf numFmtId="0" fontId="0" fillId="5" borderId="0" xfId="0" applyFill="1">
      <alignment vertical="center"/>
    </xf>
    <xf numFmtId="0" fontId="2" fillId="0" borderId="1" xfId="0" applyFont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5" borderId="1" xfId="0" applyFill="1" applyBorder="1">
      <alignment vertical="center"/>
    </xf>
    <xf numFmtId="0" fontId="0" fillId="0" borderId="0" xfId="0" applyAlignment="1">
      <alignment vertical="center" wrapText="1"/>
    </xf>
    <xf numFmtId="0" fontId="2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0" fontId="4" fillId="0" borderId="1" xfId="0" applyFont="1" applyBorder="1">
      <alignment vertical="center"/>
    </xf>
    <xf numFmtId="0" fontId="5" fillId="4" borderId="1" xfId="0" applyFont="1" applyFill="1" applyBorder="1">
      <alignment vertical="center"/>
    </xf>
    <xf numFmtId="0" fontId="5" fillId="2" borderId="1" xfId="0" applyFont="1" applyFill="1" applyBorder="1">
      <alignment vertical="center"/>
    </xf>
    <xf numFmtId="0" fontId="5" fillId="3" borderId="1" xfId="0" applyFont="1" applyFill="1" applyBorder="1">
      <alignment vertical="center"/>
    </xf>
    <xf numFmtId="0" fontId="5" fillId="0" borderId="1" xfId="0" applyFont="1" applyBorder="1" applyAlignment="1">
      <alignment vertical="center" wrapText="1"/>
    </xf>
    <xf numFmtId="0" fontId="5" fillId="0" borderId="0" xfId="0" applyFont="1">
      <alignment vertical="center"/>
    </xf>
    <xf numFmtId="0" fontId="4" fillId="0" borderId="1" xfId="0" applyFont="1" applyFill="1" applyBorder="1">
      <alignment vertical="center"/>
    </xf>
    <xf numFmtId="0" fontId="2" fillId="5" borderId="1" xfId="0" applyFont="1" applyFill="1" applyBorder="1" applyAlignment="1">
      <alignment horizontal="center" vertical="center"/>
    </xf>
    <xf numFmtId="0" fontId="5" fillId="5" borderId="1" xfId="0" applyFont="1" applyFill="1" applyBorder="1">
      <alignment vertical="center"/>
    </xf>
    <xf numFmtId="0" fontId="2" fillId="6" borderId="1" xfId="0" applyFont="1" applyFill="1" applyBorder="1" applyAlignment="1">
      <alignment horizontal="center" vertical="center"/>
    </xf>
    <xf numFmtId="0" fontId="0" fillId="6" borderId="1" xfId="0" applyFill="1" applyBorder="1">
      <alignment vertical="center"/>
    </xf>
    <xf numFmtId="0" fontId="5" fillId="6" borderId="1" xfId="0" applyFont="1" applyFill="1" applyBorder="1">
      <alignment vertical="center"/>
    </xf>
    <xf numFmtId="0" fontId="6" fillId="0" borderId="1" xfId="0" applyFont="1" applyBorder="1">
      <alignment vertical="center"/>
    </xf>
    <xf numFmtId="0" fontId="6" fillId="4" borderId="1" xfId="0" applyFont="1" applyFill="1" applyBorder="1">
      <alignment vertical="center"/>
    </xf>
    <xf numFmtId="0" fontId="6" fillId="6" borderId="1" xfId="0" applyFont="1" applyFill="1" applyBorder="1">
      <alignment vertical="center"/>
    </xf>
    <xf numFmtId="0" fontId="6" fillId="2" borderId="1" xfId="0" applyFont="1" applyFill="1" applyBorder="1">
      <alignment vertical="center"/>
    </xf>
    <xf numFmtId="0" fontId="6" fillId="3" borderId="1" xfId="0" applyFont="1" applyFill="1" applyBorder="1">
      <alignment vertical="center"/>
    </xf>
    <xf numFmtId="0" fontId="6" fillId="5" borderId="1" xfId="0" applyFont="1" applyFill="1" applyBorder="1">
      <alignment vertical="center"/>
    </xf>
    <xf numFmtId="0" fontId="6" fillId="0" borderId="1" xfId="0" applyFont="1" applyBorder="1" applyAlignment="1">
      <alignment vertical="center" wrapText="1"/>
    </xf>
    <xf numFmtId="0" fontId="6" fillId="0" borderId="0" xfId="0" applyFont="1">
      <alignment vertical="center"/>
    </xf>
    <xf numFmtId="0" fontId="7" fillId="4" borderId="1" xfId="0" applyFont="1" applyFill="1" applyBorder="1">
      <alignment vertical="center"/>
    </xf>
    <xf numFmtId="0" fontId="7" fillId="6" borderId="1" xfId="0" applyFont="1" applyFill="1" applyBorder="1">
      <alignment vertical="center"/>
    </xf>
    <xf numFmtId="0" fontId="7" fillId="2" borderId="1" xfId="0" applyFont="1" applyFill="1" applyBorder="1">
      <alignment vertical="center"/>
    </xf>
    <xf numFmtId="0" fontId="7" fillId="3" borderId="1" xfId="0" applyFont="1" applyFill="1" applyBorder="1">
      <alignment vertical="center"/>
    </xf>
    <xf numFmtId="0" fontId="7" fillId="5" borderId="1" xfId="0" applyFont="1" applyFill="1" applyBorder="1">
      <alignment vertical="center"/>
    </xf>
    <xf numFmtId="0" fontId="7" fillId="0" borderId="1" xfId="0" applyFont="1" applyBorder="1" applyAlignment="1">
      <alignment vertical="center" wrapText="1"/>
    </xf>
    <xf numFmtId="0" fontId="7" fillId="0" borderId="0" xfId="0" applyFont="1">
      <alignment vertical="center"/>
    </xf>
    <xf numFmtId="0" fontId="2" fillId="2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/>
    </xf>
    <xf numFmtId="0" fontId="8" fillId="4" borderId="1" xfId="0" applyFont="1" applyFill="1" applyBorder="1" applyAlignment="1">
      <alignment horizontal="center" vertical="center"/>
    </xf>
    <xf numFmtId="0" fontId="8" fillId="6" borderId="1" xfId="0" applyFont="1" applyFill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8" fillId="5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0" fontId="7" fillId="0" borderId="1" xfId="0" applyFont="1" applyBorder="1">
      <alignment vertical="center"/>
    </xf>
    <xf numFmtId="0" fontId="7" fillId="0" borderId="1" xfId="0" applyFont="1" applyFill="1" applyBorder="1">
      <alignment vertical="center"/>
    </xf>
    <xf numFmtId="0" fontId="7" fillId="5" borderId="0" xfId="0" applyFont="1" applyFill="1">
      <alignment vertical="center"/>
    </xf>
    <xf numFmtId="0" fontId="7" fillId="0" borderId="0" xfId="0" applyFont="1" applyAlignment="1">
      <alignment vertical="center" wrapText="1"/>
    </xf>
    <xf numFmtId="0" fontId="5" fillId="0" borderId="1" xfId="0" applyFont="1" applyBorder="1">
      <alignment vertical="center"/>
    </xf>
    <xf numFmtId="0" fontId="5" fillId="0" borderId="1" xfId="0" applyFont="1" applyFill="1" applyBorder="1">
      <alignment vertical="center"/>
    </xf>
    <xf numFmtId="0" fontId="9" fillId="0" borderId="0" xfId="0" applyFont="1">
      <alignment vertical="center"/>
    </xf>
  </cellXfs>
  <cellStyles count="1">
    <cellStyle name="常规" xfId="0" builtinId="0"/>
  </cellStyles>
  <dxfs count="14"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109</xdr:row>
          <xdr:rowOff>28575</xdr:rowOff>
        </xdr:from>
        <xdr:to>
          <xdr:col>1</xdr:col>
          <xdr:colOff>428625</xdr:colOff>
          <xdr:row>110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calc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12</xdr:row>
          <xdr:rowOff>28575</xdr:rowOff>
        </xdr:from>
        <xdr:to>
          <xdr:col>1</xdr:col>
          <xdr:colOff>428625</xdr:colOff>
          <xdr:row>13</xdr:row>
          <xdr:rowOff>152400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calc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V110"/>
  <sheetViews>
    <sheetView tabSelected="1" workbookViewId="0">
      <pane xSplit="2" ySplit="1" topLeftCell="AQ84" activePane="bottomRight" state="frozen"/>
      <selection pane="topRight" activeCell="C1" sqref="C1"/>
      <selection pane="bottomLeft" activeCell="A3" sqref="A3"/>
      <selection pane="bottomRight" activeCell="BC104" sqref="BC104"/>
    </sheetView>
  </sheetViews>
  <sheetFormatPr defaultRowHeight="13.5"/>
  <cols>
    <col min="1" max="1" width="9.75" bestFit="1" customWidth="1"/>
    <col min="2" max="2" width="15.125" bestFit="1" customWidth="1"/>
    <col min="3" max="4" width="9.75" bestFit="1" customWidth="1"/>
    <col min="5" max="14" width="11.75" bestFit="1" customWidth="1"/>
    <col min="15" max="15" width="13.75" bestFit="1" customWidth="1"/>
    <col min="16" max="30" width="13.75" style="7" customWidth="1"/>
    <col min="31" max="31" width="11.75" bestFit="1" customWidth="1"/>
    <col min="32" max="34" width="9.75" bestFit="1" customWidth="1"/>
    <col min="35" max="35" width="11.75" bestFit="1" customWidth="1"/>
    <col min="36" max="37" width="9.75" bestFit="1" customWidth="1"/>
    <col min="38" max="38" width="11.75" bestFit="1" customWidth="1"/>
    <col min="39" max="40" width="9.75" bestFit="1" customWidth="1"/>
    <col min="41" max="42" width="9.75" customWidth="1"/>
    <col min="43" max="53" width="12.625" style="7" customWidth="1"/>
    <col min="54" max="54" width="14.75" style="7" customWidth="1"/>
    <col min="55" max="55" width="18.125" style="7" customWidth="1"/>
    <col min="56" max="62" width="15.875" bestFit="1" customWidth="1"/>
    <col min="63" max="68" width="18.125" bestFit="1" customWidth="1"/>
    <col min="69" max="69" width="9.75" bestFit="1" customWidth="1"/>
    <col min="70" max="70" width="7.5" customWidth="1"/>
    <col min="71" max="71" width="7.625" style="15" customWidth="1"/>
    <col min="72" max="72" width="19.625" style="15" bestFit="1" customWidth="1"/>
  </cols>
  <sheetData>
    <row r="1" spans="1:74" s="13" customFormat="1">
      <c r="A1" s="8" t="s">
        <v>59</v>
      </c>
      <c r="B1" s="8" t="s">
        <v>60</v>
      </c>
      <c r="C1" s="8" t="s">
        <v>62</v>
      </c>
      <c r="D1" s="8" t="s">
        <v>61</v>
      </c>
      <c r="E1" s="9" t="s">
        <v>1</v>
      </c>
      <c r="F1" s="9" t="s">
        <v>2</v>
      </c>
      <c r="G1" s="9" t="s">
        <v>10</v>
      </c>
      <c r="H1" s="9" t="s">
        <v>18</v>
      </c>
      <c r="I1" s="9" t="s">
        <v>19</v>
      </c>
      <c r="J1" s="9" t="s">
        <v>58</v>
      </c>
      <c r="K1" s="9" t="s">
        <v>20</v>
      </c>
      <c r="L1" s="9" t="s">
        <v>35</v>
      </c>
      <c r="M1" s="9" t="s">
        <v>37</v>
      </c>
      <c r="N1" s="9" t="s">
        <v>41</v>
      </c>
      <c r="O1" s="9" t="s">
        <v>36</v>
      </c>
      <c r="P1" s="27" t="s">
        <v>90</v>
      </c>
      <c r="Q1" s="27" t="s">
        <v>102</v>
      </c>
      <c r="R1" s="27" t="s">
        <v>96</v>
      </c>
      <c r="S1" s="27" t="s">
        <v>91</v>
      </c>
      <c r="T1" s="27" t="s">
        <v>100</v>
      </c>
      <c r="U1" s="27" t="s">
        <v>105</v>
      </c>
      <c r="V1" s="27" t="s">
        <v>92</v>
      </c>
      <c r="W1" s="27" t="s">
        <v>99</v>
      </c>
      <c r="X1" s="27" t="s">
        <v>97</v>
      </c>
      <c r="Y1" s="27" t="s">
        <v>93</v>
      </c>
      <c r="Z1" s="27" t="s">
        <v>101</v>
      </c>
      <c r="AA1" s="27" t="s">
        <v>106</v>
      </c>
      <c r="AB1" s="27" t="s">
        <v>95</v>
      </c>
      <c r="AC1" s="27" t="s">
        <v>94</v>
      </c>
      <c r="AD1" s="27" t="s">
        <v>113</v>
      </c>
      <c r="AE1" s="8" t="s">
        <v>7</v>
      </c>
      <c r="AF1" s="8" t="s">
        <v>23</v>
      </c>
      <c r="AG1" s="8" t="s">
        <v>24</v>
      </c>
      <c r="AH1" s="8" t="s">
        <v>49</v>
      </c>
      <c r="AI1" s="8" t="s">
        <v>50</v>
      </c>
      <c r="AJ1" s="8" t="s">
        <v>52</v>
      </c>
      <c r="AK1" s="8" t="s">
        <v>53</v>
      </c>
      <c r="AL1" s="8" t="s">
        <v>55</v>
      </c>
      <c r="AM1" s="8" t="s">
        <v>42</v>
      </c>
      <c r="AN1" s="8" t="s">
        <v>43</v>
      </c>
      <c r="AO1" s="8" t="s">
        <v>79</v>
      </c>
      <c r="AP1" s="8" t="s">
        <v>80</v>
      </c>
      <c r="AQ1" s="10" t="s">
        <v>33</v>
      </c>
      <c r="AR1" s="10" t="s">
        <v>3</v>
      </c>
      <c r="AS1" s="10" t="s">
        <v>22</v>
      </c>
      <c r="AT1" s="10" t="s">
        <v>45</v>
      </c>
      <c r="AU1" s="10" t="s">
        <v>47</v>
      </c>
      <c r="AV1" s="10" t="s">
        <v>40</v>
      </c>
      <c r="AW1" s="11" t="s">
        <v>4</v>
      </c>
      <c r="AX1" s="11" t="s">
        <v>5</v>
      </c>
      <c r="AY1" s="11" t="s">
        <v>34</v>
      </c>
      <c r="AZ1" s="11" t="s">
        <v>6</v>
      </c>
      <c r="BA1" s="11" t="s">
        <v>39</v>
      </c>
      <c r="BB1" s="11" t="s">
        <v>9</v>
      </c>
      <c r="BC1" s="25" t="s">
        <v>77</v>
      </c>
      <c r="BD1" s="8" t="s">
        <v>171</v>
      </c>
      <c r="BE1" s="8" t="s">
        <v>14</v>
      </c>
      <c r="BF1" s="8" t="s">
        <v>13</v>
      </c>
      <c r="BG1" s="8" t="s">
        <v>11</v>
      </c>
      <c r="BH1" s="8" t="s">
        <v>12</v>
      </c>
      <c r="BI1" s="8" t="s">
        <v>15</v>
      </c>
      <c r="BJ1" s="8" t="s">
        <v>16</v>
      </c>
      <c r="BK1" s="8" t="s">
        <v>26</v>
      </c>
      <c r="BL1" s="8" t="s">
        <v>27</v>
      </c>
      <c r="BM1" s="8" t="s">
        <v>28</v>
      </c>
      <c r="BN1" s="8" t="s">
        <v>29</v>
      </c>
      <c r="BO1" s="8" t="s">
        <v>30</v>
      </c>
      <c r="BP1" s="8" t="s">
        <v>31</v>
      </c>
      <c r="BQ1" s="12" t="s">
        <v>66</v>
      </c>
      <c r="BR1" s="8" t="s">
        <v>67</v>
      </c>
      <c r="BS1" s="16" t="s">
        <v>68</v>
      </c>
      <c r="BT1" s="16"/>
      <c r="BU1" s="13" t="s">
        <v>154</v>
      </c>
    </row>
    <row r="2" spans="1:74">
      <c r="A2" s="1"/>
      <c r="B2" s="1" t="s">
        <v>98</v>
      </c>
      <c r="C2" s="1" t="s">
        <v>86</v>
      </c>
      <c r="D2" s="1" t="s">
        <v>87</v>
      </c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28">
        <v>10</v>
      </c>
      <c r="Q2" s="28"/>
      <c r="R2" s="28"/>
      <c r="S2" s="28">
        <v>10</v>
      </c>
      <c r="T2" s="28"/>
      <c r="U2" s="28"/>
      <c r="V2" s="28"/>
      <c r="W2" s="28">
        <v>5</v>
      </c>
      <c r="X2" s="28"/>
      <c r="Y2" s="28"/>
      <c r="Z2" s="28"/>
      <c r="AA2" s="28"/>
      <c r="AB2" s="28">
        <v>10</v>
      </c>
      <c r="AC2" s="28"/>
      <c r="AD2" s="28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4"/>
      <c r="AR2" s="4"/>
      <c r="AS2" s="4"/>
      <c r="AT2" s="4"/>
      <c r="AU2" s="4"/>
      <c r="AV2" s="4"/>
      <c r="AW2" s="2"/>
      <c r="AX2" s="2"/>
      <c r="AY2" s="2"/>
      <c r="AZ2" s="2"/>
      <c r="BA2" s="2"/>
      <c r="BB2" s="2"/>
      <c r="BC2" s="14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>
        <f t="shared" ref="BQ2:BQ33" si="0">SUM(E2:BP2)</f>
        <v>35</v>
      </c>
      <c r="BR2" s="1">
        <v>0</v>
      </c>
      <c r="BS2" s="17">
        <v>0</v>
      </c>
      <c r="BT2" s="17"/>
      <c r="BU2">
        <f t="shared" ref="BU2:BU33" si="1">SUM(P2:AD2)</f>
        <v>35</v>
      </c>
      <c r="BV2" s="23">
        <f t="shared" ref="BV2:BV33" si="2">AF2+AH2+AI2+AJ2+AO2+AP2</f>
        <v>0</v>
      </c>
    </row>
    <row r="3" spans="1:74">
      <c r="A3" s="1"/>
      <c r="B3" s="1" t="s">
        <v>103</v>
      </c>
      <c r="C3" s="1" t="s">
        <v>86</v>
      </c>
      <c r="D3" s="1" t="s">
        <v>87</v>
      </c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28">
        <v>10</v>
      </c>
      <c r="Q3" s="28"/>
      <c r="R3" s="28"/>
      <c r="S3" s="28">
        <v>10</v>
      </c>
      <c r="T3" s="28"/>
      <c r="U3" s="28"/>
      <c r="V3" s="28"/>
      <c r="W3" s="28">
        <v>5</v>
      </c>
      <c r="X3" s="28"/>
      <c r="Y3" s="28"/>
      <c r="Z3" s="28"/>
      <c r="AA3" s="28"/>
      <c r="AB3" s="28">
        <v>10</v>
      </c>
      <c r="AC3" s="28"/>
      <c r="AD3" s="28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4"/>
      <c r="AR3" s="4"/>
      <c r="AS3" s="4"/>
      <c r="AT3" s="4"/>
      <c r="AU3" s="4"/>
      <c r="AV3" s="4"/>
      <c r="AW3" s="2"/>
      <c r="AX3" s="2"/>
      <c r="AY3" s="2"/>
      <c r="AZ3" s="2"/>
      <c r="BA3" s="2"/>
      <c r="BB3" s="2"/>
      <c r="BC3" s="14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>
        <f t="shared" si="0"/>
        <v>35</v>
      </c>
      <c r="BR3" s="1">
        <v>0</v>
      </c>
      <c r="BS3" s="17">
        <v>0</v>
      </c>
      <c r="BT3" s="17"/>
      <c r="BU3">
        <f t="shared" si="1"/>
        <v>35</v>
      </c>
      <c r="BV3" s="23">
        <f t="shared" si="2"/>
        <v>0</v>
      </c>
    </row>
    <row r="4" spans="1:74">
      <c r="A4" s="1"/>
      <c r="B4" s="3" t="s">
        <v>151</v>
      </c>
      <c r="C4" s="3" t="s">
        <v>85</v>
      </c>
      <c r="D4" s="1" t="s">
        <v>146</v>
      </c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28">
        <v>10</v>
      </c>
      <c r="Q4" s="28"/>
      <c r="R4" s="28"/>
      <c r="S4" s="28">
        <v>10</v>
      </c>
      <c r="T4" s="28"/>
      <c r="U4" s="28"/>
      <c r="V4" s="28"/>
      <c r="W4" s="28">
        <v>5</v>
      </c>
      <c r="X4" s="28"/>
      <c r="Y4" s="28"/>
      <c r="Z4" s="28"/>
      <c r="AA4" s="28"/>
      <c r="AB4" s="28">
        <v>10</v>
      </c>
      <c r="AC4" s="28"/>
      <c r="AD4" s="28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4"/>
      <c r="AR4" s="4"/>
      <c r="AS4" s="4"/>
      <c r="AT4" s="4"/>
      <c r="AU4" s="4"/>
      <c r="AV4" s="4"/>
      <c r="AW4" s="2"/>
      <c r="AX4" s="2"/>
      <c r="AY4" s="2"/>
      <c r="AZ4" s="2"/>
      <c r="BA4" s="2"/>
      <c r="BB4" s="2"/>
      <c r="BC4" s="14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>
        <f t="shared" si="0"/>
        <v>35</v>
      </c>
      <c r="BR4" s="1">
        <v>0</v>
      </c>
      <c r="BS4" s="17">
        <v>0</v>
      </c>
      <c r="BT4" s="17"/>
      <c r="BU4">
        <f t="shared" si="1"/>
        <v>35</v>
      </c>
      <c r="BV4" s="23">
        <f t="shared" si="2"/>
        <v>0</v>
      </c>
    </row>
    <row r="5" spans="1:74">
      <c r="A5" s="1"/>
      <c r="B5" s="1" t="s">
        <v>108</v>
      </c>
      <c r="C5" s="1" t="s">
        <v>107</v>
      </c>
      <c r="D5" s="1" t="s">
        <v>87</v>
      </c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28">
        <v>10</v>
      </c>
      <c r="Q5" s="28"/>
      <c r="R5" s="28"/>
      <c r="S5" s="28">
        <v>10</v>
      </c>
      <c r="T5" s="28"/>
      <c r="U5" s="28"/>
      <c r="V5" s="28">
        <v>10</v>
      </c>
      <c r="W5" s="28"/>
      <c r="X5" s="28"/>
      <c r="Y5" s="28">
        <v>10</v>
      </c>
      <c r="Z5" s="28"/>
      <c r="AA5" s="28"/>
      <c r="AB5" s="28"/>
      <c r="AC5" s="28"/>
      <c r="AD5" s="28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4"/>
      <c r="AR5" s="4"/>
      <c r="AS5" s="4"/>
      <c r="AT5" s="4"/>
      <c r="AU5" s="4"/>
      <c r="AV5" s="4"/>
      <c r="AW5" s="2"/>
      <c r="AX5" s="2"/>
      <c r="AY5" s="2"/>
      <c r="AZ5" s="2"/>
      <c r="BA5" s="2"/>
      <c r="BB5" s="2"/>
      <c r="BC5" s="14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>
        <f t="shared" si="0"/>
        <v>40</v>
      </c>
      <c r="BR5" s="1">
        <v>0</v>
      </c>
      <c r="BS5" s="17">
        <v>0</v>
      </c>
      <c r="BT5" s="17"/>
      <c r="BU5">
        <f t="shared" si="1"/>
        <v>40</v>
      </c>
      <c r="BV5" s="23">
        <f t="shared" si="2"/>
        <v>0</v>
      </c>
    </row>
    <row r="6" spans="1:74">
      <c r="A6" s="1"/>
      <c r="B6" s="1" t="s">
        <v>109</v>
      </c>
      <c r="C6" s="1" t="s">
        <v>110</v>
      </c>
      <c r="D6" s="1" t="s">
        <v>87</v>
      </c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28">
        <v>10</v>
      </c>
      <c r="Q6" s="28"/>
      <c r="R6" s="28"/>
      <c r="S6" s="28">
        <v>10</v>
      </c>
      <c r="T6" s="28"/>
      <c r="U6" s="28"/>
      <c r="V6" s="28">
        <v>10</v>
      </c>
      <c r="W6" s="28"/>
      <c r="X6" s="28"/>
      <c r="Y6" s="28">
        <v>10</v>
      </c>
      <c r="Z6" s="28"/>
      <c r="AA6" s="28"/>
      <c r="AB6" s="28"/>
      <c r="AC6" s="28"/>
      <c r="AD6" s="28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4"/>
      <c r="AR6" s="4"/>
      <c r="AS6" s="4"/>
      <c r="AT6" s="4"/>
      <c r="AU6" s="4"/>
      <c r="AV6" s="4"/>
      <c r="AW6" s="2"/>
      <c r="AX6" s="2"/>
      <c r="AY6" s="2"/>
      <c r="AZ6" s="2"/>
      <c r="BA6" s="2"/>
      <c r="BB6" s="2"/>
      <c r="BC6" s="14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>
        <f t="shared" si="0"/>
        <v>40</v>
      </c>
      <c r="BR6" s="1">
        <v>0</v>
      </c>
      <c r="BS6" s="17">
        <v>0</v>
      </c>
      <c r="BT6" s="17"/>
      <c r="BU6">
        <f t="shared" si="1"/>
        <v>40</v>
      </c>
      <c r="BV6" s="23">
        <f t="shared" si="2"/>
        <v>0</v>
      </c>
    </row>
    <row r="7" spans="1:74">
      <c r="A7" s="1"/>
      <c r="B7" s="1" t="s">
        <v>168</v>
      </c>
      <c r="C7" s="1" t="s">
        <v>156</v>
      </c>
      <c r="D7" s="1" t="s">
        <v>157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28">
        <v>10</v>
      </c>
      <c r="Q7" s="28"/>
      <c r="R7" s="28"/>
      <c r="S7" s="28">
        <v>10</v>
      </c>
      <c r="T7" s="28"/>
      <c r="U7" s="28"/>
      <c r="V7" s="28">
        <v>10</v>
      </c>
      <c r="W7" s="28"/>
      <c r="X7" s="28"/>
      <c r="Y7" s="28">
        <v>10</v>
      </c>
      <c r="Z7" s="28"/>
      <c r="AA7" s="28"/>
      <c r="AB7" s="28"/>
      <c r="AC7" s="28"/>
      <c r="AD7" s="28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4"/>
      <c r="AR7" s="4"/>
      <c r="AS7" s="4"/>
      <c r="AT7" s="4"/>
      <c r="AU7" s="4"/>
      <c r="AV7" s="4"/>
      <c r="AW7" s="2"/>
      <c r="AX7" s="2"/>
      <c r="AY7" s="2"/>
      <c r="AZ7" s="2"/>
      <c r="BA7" s="2"/>
      <c r="BB7" s="2"/>
      <c r="BC7" s="14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>
        <f t="shared" si="0"/>
        <v>40</v>
      </c>
      <c r="BR7" s="1">
        <v>0</v>
      </c>
      <c r="BS7" s="17">
        <v>0</v>
      </c>
      <c r="BT7" s="17"/>
      <c r="BU7">
        <f t="shared" si="1"/>
        <v>40</v>
      </c>
      <c r="BV7" s="23">
        <f t="shared" si="2"/>
        <v>0</v>
      </c>
    </row>
    <row r="8" spans="1:74">
      <c r="A8" s="1"/>
      <c r="B8" s="1" t="s">
        <v>155</v>
      </c>
      <c r="C8" s="1" t="s">
        <v>156</v>
      </c>
      <c r="D8" s="1" t="s">
        <v>159</v>
      </c>
      <c r="E8" s="6">
        <v>5</v>
      </c>
      <c r="F8" s="6"/>
      <c r="G8" s="6"/>
      <c r="H8" s="6"/>
      <c r="I8" s="6"/>
      <c r="J8" s="6"/>
      <c r="K8" s="6"/>
      <c r="L8" s="6"/>
      <c r="M8" s="6"/>
      <c r="N8" s="6"/>
      <c r="O8" s="6"/>
      <c r="P8" s="28"/>
      <c r="Q8" s="28"/>
      <c r="R8" s="28"/>
      <c r="S8" s="28"/>
      <c r="T8" s="28"/>
      <c r="U8" s="28"/>
      <c r="V8" s="28">
        <v>5</v>
      </c>
      <c r="W8" s="28"/>
      <c r="X8" s="28"/>
      <c r="Y8" s="28">
        <v>5</v>
      </c>
      <c r="Z8" s="28"/>
      <c r="AA8" s="28"/>
      <c r="AB8" s="28"/>
      <c r="AC8" s="28">
        <v>5</v>
      </c>
      <c r="AD8" s="28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4"/>
      <c r="AR8" s="4"/>
      <c r="AS8" s="4"/>
      <c r="AT8" s="4"/>
      <c r="AU8" s="4"/>
      <c r="AV8" s="4"/>
      <c r="AW8" s="2"/>
      <c r="AX8" s="2"/>
      <c r="AY8" s="2"/>
      <c r="AZ8" s="2"/>
      <c r="BA8" s="2"/>
      <c r="BB8" s="2"/>
      <c r="BC8" s="14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>
        <f t="shared" si="0"/>
        <v>20</v>
      </c>
      <c r="BR8" s="1">
        <v>0</v>
      </c>
      <c r="BS8" s="17">
        <v>0</v>
      </c>
      <c r="BT8" s="17"/>
      <c r="BU8">
        <f t="shared" si="1"/>
        <v>15</v>
      </c>
      <c r="BV8" s="23">
        <f t="shared" si="2"/>
        <v>0</v>
      </c>
    </row>
    <row r="9" spans="1:74">
      <c r="A9" s="1"/>
      <c r="B9" s="1" t="s">
        <v>197</v>
      </c>
      <c r="C9" s="1" t="s">
        <v>112</v>
      </c>
      <c r="D9" s="1" t="s">
        <v>88</v>
      </c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28"/>
      <c r="Q9" s="28">
        <v>5</v>
      </c>
      <c r="R9" s="28"/>
      <c r="S9" s="28"/>
      <c r="T9" s="28"/>
      <c r="U9" s="28"/>
      <c r="V9" s="28">
        <v>10</v>
      </c>
      <c r="W9" s="28"/>
      <c r="X9" s="28"/>
      <c r="Y9" s="28"/>
      <c r="Z9" s="28">
        <v>5</v>
      </c>
      <c r="AA9" s="28"/>
      <c r="AB9" s="28">
        <v>10</v>
      </c>
      <c r="AC9" s="28"/>
      <c r="AD9" s="28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4"/>
      <c r="AR9" s="4"/>
      <c r="AS9" s="4"/>
      <c r="AT9" s="4"/>
      <c r="AU9" s="4"/>
      <c r="AV9" s="4"/>
      <c r="AW9" s="2"/>
      <c r="AX9" s="2"/>
      <c r="AY9" s="2"/>
      <c r="AZ9" s="2"/>
      <c r="BA9" s="2"/>
      <c r="BB9" s="2"/>
      <c r="BC9" s="14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>
        <f t="shared" si="0"/>
        <v>30</v>
      </c>
      <c r="BR9" s="1">
        <v>0</v>
      </c>
      <c r="BS9" s="17">
        <v>0</v>
      </c>
      <c r="BT9" s="17"/>
      <c r="BU9">
        <f t="shared" si="1"/>
        <v>30</v>
      </c>
      <c r="BV9" s="23">
        <f t="shared" si="2"/>
        <v>0</v>
      </c>
    </row>
    <row r="10" spans="1:74">
      <c r="A10" s="1"/>
      <c r="B10" s="1" t="s">
        <v>195</v>
      </c>
      <c r="C10" s="1" t="s">
        <v>112</v>
      </c>
      <c r="D10" s="1" t="s">
        <v>88</v>
      </c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28"/>
      <c r="Q10" s="28">
        <v>5</v>
      </c>
      <c r="R10" s="28"/>
      <c r="S10" s="28"/>
      <c r="T10" s="28">
        <v>5</v>
      </c>
      <c r="U10" s="28"/>
      <c r="V10" s="28"/>
      <c r="W10" s="28"/>
      <c r="X10" s="28"/>
      <c r="Y10" s="28"/>
      <c r="Z10" s="28">
        <v>5</v>
      </c>
      <c r="AA10" s="28">
        <v>2</v>
      </c>
      <c r="AB10" s="28"/>
      <c r="AC10" s="28"/>
      <c r="AD10" s="28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4"/>
      <c r="AR10" s="4"/>
      <c r="AS10" s="4"/>
      <c r="AT10" s="4"/>
      <c r="AU10" s="4"/>
      <c r="AV10" s="4"/>
      <c r="AW10" s="2"/>
      <c r="AX10" s="2"/>
      <c r="AY10" s="2"/>
      <c r="AZ10" s="2"/>
      <c r="BA10" s="2"/>
      <c r="BB10" s="2"/>
      <c r="BC10" s="14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>
        <f t="shared" si="0"/>
        <v>17</v>
      </c>
      <c r="BR10" s="1">
        <v>0</v>
      </c>
      <c r="BS10" s="17">
        <v>0</v>
      </c>
      <c r="BT10" s="17"/>
      <c r="BU10">
        <f t="shared" si="1"/>
        <v>17</v>
      </c>
      <c r="BV10" s="23">
        <f t="shared" si="2"/>
        <v>0</v>
      </c>
    </row>
    <row r="11" spans="1:74">
      <c r="A11" s="1"/>
      <c r="B11" s="1" t="s">
        <v>189</v>
      </c>
      <c r="C11" s="1" t="s">
        <v>104</v>
      </c>
      <c r="D11" s="1" t="s">
        <v>158</v>
      </c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28"/>
      <c r="Q11" s="28">
        <v>5</v>
      </c>
      <c r="R11" s="28"/>
      <c r="S11" s="28"/>
      <c r="T11" s="28">
        <v>5</v>
      </c>
      <c r="U11" s="28"/>
      <c r="V11" s="28"/>
      <c r="W11" s="28"/>
      <c r="X11" s="28"/>
      <c r="Y11" s="28"/>
      <c r="Z11" s="28">
        <v>5</v>
      </c>
      <c r="AA11" s="28">
        <v>2</v>
      </c>
      <c r="AB11" s="28"/>
      <c r="AC11" s="28"/>
      <c r="AD11" s="28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4"/>
      <c r="AR11" s="4"/>
      <c r="AS11" s="4"/>
      <c r="AT11" s="4"/>
      <c r="AU11" s="4"/>
      <c r="AV11" s="4"/>
      <c r="AW11" s="2"/>
      <c r="AX11" s="2"/>
      <c r="AY11" s="2"/>
      <c r="AZ11" s="2"/>
      <c r="BA11" s="2"/>
      <c r="BB11" s="2"/>
      <c r="BC11" s="14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>
        <f t="shared" si="0"/>
        <v>17</v>
      </c>
      <c r="BR11" s="1">
        <v>0</v>
      </c>
      <c r="BS11" s="17">
        <v>0</v>
      </c>
      <c r="BT11" s="17"/>
      <c r="BU11">
        <f t="shared" si="1"/>
        <v>17</v>
      </c>
      <c r="BV11" s="23">
        <f t="shared" si="2"/>
        <v>0</v>
      </c>
    </row>
    <row r="12" spans="1:74">
      <c r="A12" s="1"/>
      <c r="B12" s="1" t="s">
        <v>109</v>
      </c>
      <c r="C12" s="1" t="s">
        <v>110</v>
      </c>
      <c r="D12" s="1" t="s">
        <v>88</v>
      </c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28"/>
      <c r="Q12" s="28"/>
      <c r="R12" s="28"/>
      <c r="S12" s="28"/>
      <c r="T12" s="28"/>
      <c r="U12" s="28"/>
      <c r="V12" s="28">
        <v>10</v>
      </c>
      <c r="W12" s="28"/>
      <c r="X12" s="28"/>
      <c r="Y12" s="28">
        <v>10</v>
      </c>
      <c r="Z12" s="28"/>
      <c r="AA12" s="28"/>
      <c r="AB12" s="28">
        <v>10</v>
      </c>
      <c r="AC12" s="28">
        <v>5</v>
      </c>
      <c r="AD12" s="28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4"/>
      <c r="AR12" s="4"/>
      <c r="AS12" s="4"/>
      <c r="AT12" s="4"/>
      <c r="AU12" s="4"/>
      <c r="AV12" s="4"/>
      <c r="AW12" s="2"/>
      <c r="AX12" s="2"/>
      <c r="AY12" s="2"/>
      <c r="AZ12" s="2"/>
      <c r="BA12" s="2"/>
      <c r="BB12" s="2"/>
      <c r="BC12" s="14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>
        <f t="shared" si="0"/>
        <v>35</v>
      </c>
      <c r="BR12" s="1">
        <v>0</v>
      </c>
      <c r="BS12" s="17">
        <v>0</v>
      </c>
      <c r="BT12" s="17"/>
      <c r="BU12">
        <f t="shared" si="1"/>
        <v>35</v>
      </c>
      <c r="BV12" s="23">
        <f t="shared" si="2"/>
        <v>0</v>
      </c>
    </row>
    <row r="13" spans="1:74">
      <c r="A13" s="1"/>
      <c r="B13" s="3" t="s">
        <v>202</v>
      </c>
      <c r="C13" s="3" t="s">
        <v>44</v>
      </c>
      <c r="D13" s="1" t="s">
        <v>0</v>
      </c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28"/>
      <c r="Q13" s="28"/>
      <c r="R13" s="28"/>
      <c r="S13" s="28"/>
      <c r="T13" s="28"/>
      <c r="U13" s="28"/>
      <c r="V13" s="28">
        <v>10</v>
      </c>
      <c r="W13" s="28"/>
      <c r="X13" s="28"/>
      <c r="Y13" s="28">
        <v>10</v>
      </c>
      <c r="Z13" s="28"/>
      <c r="AA13" s="28"/>
      <c r="AB13" s="28">
        <v>10</v>
      </c>
      <c r="AC13" s="28">
        <v>5</v>
      </c>
      <c r="AD13" s="28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4"/>
      <c r="AR13" s="4"/>
      <c r="AS13" s="4"/>
      <c r="AT13" s="4"/>
      <c r="AU13" s="4"/>
      <c r="AV13" s="4"/>
      <c r="AW13" s="2"/>
      <c r="AX13" s="2"/>
      <c r="AY13" s="2"/>
      <c r="AZ13" s="2"/>
      <c r="BA13" s="2"/>
      <c r="BB13" s="2"/>
      <c r="BC13" s="14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>
        <f t="shared" si="0"/>
        <v>35</v>
      </c>
      <c r="BR13" s="1">
        <v>0</v>
      </c>
      <c r="BS13" s="17">
        <v>0</v>
      </c>
      <c r="BT13" s="17"/>
      <c r="BU13">
        <f t="shared" si="1"/>
        <v>35</v>
      </c>
      <c r="BV13" s="23">
        <f t="shared" si="2"/>
        <v>0</v>
      </c>
    </row>
    <row r="14" spans="1:74">
      <c r="A14" s="1"/>
      <c r="B14" s="1" t="s">
        <v>155</v>
      </c>
      <c r="C14" s="1" t="s">
        <v>156</v>
      </c>
      <c r="D14" s="1" t="s">
        <v>158</v>
      </c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28"/>
      <c r="Q14" s="28"/>
      <c r="R14" s="28"/>
      <c r="S14" s="28"/>
      <c r="T14" s="28"/>
      <c r="U14" s="28"/>
      <c r="V14" s="28">
        <v>10</v>
      </c>
      <c r="W14" s="28"/>
      <c r="X14" s="28"/>
      <c r="Y14" s="28">
        <v>10</v>
      </c>
      <c r="Z14" s="28"/>
      <c r="AA14" s="28"/>
      <c r="AB14" s="28">
        <v>10</v>
      </c>
      <c r="AC14" s="28">
        <v>5</v>
      </c>
      <c r="AD14" s="28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4"/>
      <c r="AR14" s="4"/>
      <c r="AS14" s="4"/>
      <c r="AT14" s="4"/>
      <c r="AU14" s="4"/>
      <c r="AV14" s="4"/>
      <c r="AW14" s="2"/>
      <c r="AX14" s="2"/>
      <c r="AY14" s="2"/>
      <c r="AZ14" s="2"/>
      <c r="BA14" s="2"/>
      <c r="BB14" s="2"/>
      <c r="BC14" s="14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>
        <f t="shared" si="0"/>
        <v>35</v>
      </c>
      <c r="BR14" s="1">
        <v>0</v>
      </c>
      <c r="BS14" s="17">
        <v>0</v>
      </c>
      <c r="BT14" s="17"/>
      <c r="BU14">
        <f t="shared" si="1"/>
        <v>35</v>
      </c>
      <c r="BV14" s="23">
        <f t="shared" si="2"/>
        <v>0</v>
      </c>
    </row>
    <row r="15" spans="1:74">
      <c r="A15" s="1"/>
      <c r="B15" s="1" t="s">
        <v>200</v>
      </c>
      <c r="C15" s="1" t="s">
        <v>46</v>
      </c>
      <c r="D15" s="1" t="s">
        <v>158</v>
      </c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28"/>
      <c r="Q15" s="28"/>
      <c r="R15" s="28"/>
      <c r="S15" s="28"/>
      <c r="T15" s="28"/>
      <c r="U15" s="28"/>
      <c r="V15" s="28">
        <v>10</v>
      </c>
      <c r="W15" s="28"/>
      <c r="X15" s="28"/>
      <c r="Y15" s="28">
        <v>10</v>
      </c>
      <c r="Z15" s="28"/>
      <c r="AA15" s="28"/>
      <c r="AB15" s="28">
        <v>10</v>
      </c>
      <c r="AC15" s="28">
        <v>5</v>
      </c>
      <c r="AD15" s="28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4"/>
      <c r="AR15" s="4"/>
      <c r="AS15" s="4"/>
      <c r="AT15" s="4"/>
      <c r="AU15" s="4"/>
      <c r="AV15" s="4"/>
      <c r="AW15" s="2"/>
      <c r="AX15" s="2"/>
      <c r="AY15" s="2"/>
      <c r="AZ15" s="2"/>
      <c r="BA15" s="2"/>
      <c r="BB15" s="2"/>
      <c r="BC15" s="14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>
        <f t="shared" si="0"/>
        <v>35</v>
      </c>
      <c r="BR15" s="1">
        <v>0</v>
      </c>
      <c r="BS15" s="17">
        <v>0</v>
      </c>
      <c r="BT15" s="17"/>
      <c r="BU15">
        <f t="shared" si="1"/>
        <v>35</v>
      </c>
      <c r="BV15" s="23">
        <f t="shared" si="2"/>
        <v>0</v>
      </c>
    </row>
    <row r="16" spans="1:74">
      <c r="A16" s="1"/>
      <c r="B16" s="1" t="s">
        <v>166</v>
      </c>
      <c r="C16" s="1" t="s">
        <v>110</v>
      </c>
      <c r="D16" s="1" t="s">
        <v>88</v>
      </c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28"/>
      <c r="Q16" s="28">
        <v>5</v>
      </c>
      <c r="R16" s="28"/>
      <c r="S16" s="28"/>
      <c r="T16" s="28">
        <v>5</v>
      </c>
      <c r="U16" s="28"/>
      <c r="V16" s="28"/>
      <c r="W16" s="28"/>
      <c r="X16" s="28">
        <v>2</v>
      </c>
      <c r="Y16" s="28"/>
      <c r="Z16" s="28">
        <v>5</v>
      </c>
      <c r="AA16" s="28"/>
      <c r="AB16" s="28"/>
      <c r="AC16" s="28"/>
      <c r="AD16" s="28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4"/>
      <c r="AR16" s="4"/>
      <c r="AS16" s="4"/>
      <c r="AT16" s="4"/>
      <c r="AU16" s="4"/>
      <c r="AV16" s="4"/>
      <c r="AW16" s="2"/>
      <c r="AX16" s="2"/>
      <c r="AY16" s="2"/>
      <c r="AZ16" s="2"/>
      <c r="BA16" s="2"/>
      <c r="BB16" s="2"/>
      <c r="BC16" s="14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>
        <f t="shared" si="0"/>
        <v>17</v>
      </c>
      <c r="BR16" s="1">
        <v>0</v>
      </c>
      <c r="BS16" s="17">
        <v>0</v>
      </c>
      <c r="BT16" s="17"/>
      <c r="BU16">
        <f t="shared" si="1"/>
        <v>17</v>
      </c>
      <c r="BV16" s="23">
        <f t="shared" si="2"/>
        <v>0</v>
      </c>
    </row>
    <row r="17" spans="1:74">
      <c r="A17" s="1"/>
      <c r="B17" s="1" t="s">
        <v>108</v>
      </c>
      <c r="C17" s="1" t="s">
        <v>107</v>
      </c>
      <c r="D17" s="1" t="s">
        <v>88</v>
      </c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28"/>
      <c r="Q17" s="28">
        <v>5</v>
      </c>
      <c r="R17" s="28"/>
      <c r="S17" s="28"/>
      <c r="T17" s="28"/>
      <c r="U17" s="28"/>
      <c r="V17" s="28">
        <v>10</v>
      </c>
      <c r="W17" s="28"/>
      <c r="X17" s="28"/>
      <c r="Y17" s="28">
        <v>10</v>
      </c>
      <c r="Z17" s="28"/>
      <c r="AA17" s="28"/>
      <c r="AB17" s="28">
        <v>10</v>
      </c>
      <c r="AC17" s="28"/>
      <c r="AD17" s="28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4"/>
      <c r="AR17" s="4"/>
      <c r="AS17" s="4"/>
      <c r="AT17" s="4"/>
      <c r="AU17" s="4"/>
      <c r="AV17" s="4"/>
      <c r="AW17" s="2"/>
      <c r="AX17" s="2"/>
      <c r="AY17" s="2"/>
      <c r="AZ17" s="2"/>
      <c r="BA17" s="2"/>
      <c r="BB17" s="2"/>
      <c r="BC17" s="14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>
        <f t="shared" si="0"/>
        <v>35</v>
      </c>
      <c r="BR17" s="1">
        <v>0</v>
      </c>
      <c r="BS17" s="17">
        <v>0</v>
      </c>
      <c r="BT17" s="17"/>
      <c r="BU17">
        <f t="shared" si="1"/>
        <v>35</v>
      </c>
      <c r="BV17" s="23">
        <f t="shared" si="2"/>
        <v>0</v>
      </c>
    </row>
    <row r="18" spans="1:74">
      <c r="A18" s="1"/>
      <c r="B18" s="3" t="s">
        <v>152</v>
      </c>
      <c r="C18" s="3" t="s">
        <v>44</v>
      </c>
      <c r="D18" s="1" t="s">
        <v>0</v>
      </c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28"/>
      <c r="Q18" s="28">
        <v>5</v>
      </c>
      <c r="R18" s="28"/>
      <c r="S18" s="28"/>
      <c r="T18" s="28"/>
      <c r="U18" s="28"/>
      <c r="V18" s="28">
        <v>10</v>
      </c>
      <c r="W18" s="28"/>
      <c r="X18" s="28"/>
      <c r="Y18" s="28">
        <v>10</v>
      </c>
      <c r="Z18" s="28"/>
      <c r="AA18" s="28"/>
      <c r="AB18" s="28">
        <v>10</v>
      </c>
      <c r="AC18" s="28"/>
      <c r="AD18" s="28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4"/>
      <c r="AR18" s="4"/>
      <c r="AS18" s="4"/>
      <c r="AT18" s="4"/>
      <c r="AU18" s="4"/>
      <c r="AV18" s="4"/>
      <c r="AW18" s="2"/>
      <c r="AX18" s="2"/>
      <c r="AY18" s="2"/>
      <c r="AZ18" s="2"/>
      <c r="BA18" s="2"/>
      <c r="BB18" s="2"/>
      <c r="BC18" s="14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>
        <f t="shared" si="0"/>
        <v>35</v>
      </c>
      <c r="BR18" s="1">
        <v>0</v>
      </c>
      <c r="BS18" s="17">
        <v>0</v>
      </c>
      <c r="BT18" s="17"/>
      <c r="BU18">
        <f t="shared" si="1"/>
        <v>35</v>
      </c>
      <c r="BV18" s="23">
        <f t="shared" si="2"/>
        <v>0</v>
      </c>
    </row>
    <row r="19" spans="1:74">
      <c r="A19" s="1"/>
      <c r="B19" s="1" t="s">
        <v>160</v>
      </c>
      <c r="C19" s="1" t="s">
        <v>44</v>
      </c>
      <c r="D19" s="1" t="s">
        <v>157</v>
      </c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28"/>
      <c r="Q19" s="28">
        <v>5</v>
      </c>
      <c r="R19" s="28"/>
      <c r="S19" s="28"/>
      <c r="T19" s="28">
        <v>5</v>
      </c>
      <c r="U19" s="28"/>
      <c r="V19" s="28"/>
      <c r="W19" s="28"/>
      <c r="X19" s="28"/>
      <c r="Y19" s="28"/>
      <c r="Z19" s="28">
        <v>5</v>
      </c>
      <c r="AA19" s="28"/>
      <c r="AB19" s="28"/>
      <c r="AC19" s="28">
        <v>5</v>
      </c>
      <c r="AD19" s="28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4"/>
      <c r="AR19" s="4"/>
      <c r="AS19" s="4"/>
      <c r="AT19" s="4"/>
      <c r="AU19" s="4"/>
      <c r="AV19" s="4"/>
      <c r="AW19" s="2"/>
      <c r="AX19" s="2"/>
      <c r="AY19" s="2"/>
      <c r="AZ19" s="2"/>
      <c r="BA19" s="2"/>
      <c r="BB19" s="2"/>
      <c r="BC19" s="14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>
        <f t="shared" si="0"/>
        <v>20</v>
      </c>
      <c r="BR19" s="1">
        <v>0</v>
      </c>
      <c r="BS19" s="17">
        <v>0</v>
      </c>
      <c r="BT19" s="17"/>
      <c r="BU19">
        <f t="shared" si="1"/>
        <v>20</v>
      </c>
      <c r="BV19" s="23">
        <f t="shared" si="2"/>
        <v>0</v>
      </c>
    </row>
    <row r="20" spans="1:74" s="37" customFormat="1">
      <c r="A20" s="1"/>
      <c r="B20" s="3" t="s">
        <v>184</v>
      </c>
      <c r="C20" s="3" t="s">
        <v>150</v>
      </c>
      <c r="D20" s="1" t="s">
        <v>147</v>
      </c>
      <c r="E20" s="6"/>
      <c r="F20" s="6"/>
      <c r="G20" s="6"/>
      <c r="H20" s="6"/>
      <c r="I20" s="6"/>
      <c r="J20" s="6"/>
      <c r="K20" s="6">
        <v>10</v>
      </c>
      <c r="L20" s="6"/>
      <c r="M20" s="6"/>
      <c r="N20" s="6"/>
      <c r="O20" s="6"/>
      <c r="P20" s="28"/>
      <c r="Q20" s="28"/>
      <c r="R20" s="28"/>
      <c r="S20" s="28"/>
      <c r="T20" s="28"/>
      <c r="U20" s="28">
        <v>10</v>
      </c>
      <c r="V20" s="28"/>
      <c r="W20" s="28"/>
      <c r="X20" s="28"/>
      <c r="Y20" s="28"/>
      <c r="Z20" s="28"/>
      <c r="AA20" s="28">
        <v>10</v>
      </c>
      <c r="AB20" s="28"/>
      <c r="AC20" s="28"/>
      <c r="AD20" s="28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4"/>
      <c r="AR20" s="4"/>
      <c r="AS20" s="4"/>
      <c r="AT20" s="4"/>
      <c r="AU20" s="4"/>
      <c r="AV20" s="4">
        <v>10</v>
      </c>
      <c r="AW20" s="2"/>
      <c r="AX20" s="2"/>
      <c r="AY20" s="2"/>
      <c r="AZ20" s="2"/>
      <c r="BA20" s="2"/>
      <c r="BB20" s="2"/>
      <c r="BC20" s="14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>
        <f t="shared" si="0"/>
        <v>40</v>
      </c>
      <c r="BR20" s="1">
        <v>0</v>
      </c>
      <c r="BS20" s="17">
        <v>0</v>
      </c>
      <c r="BT20" s="17"/>
      <c r="BU20">
        <f t="shared" si="1"/>
        <v>20</v>
      </c>
      <c r="BV20" s="23">
        <f t="shared" si="2"/>
        <v>0</v>
      </c>
    </row>
    <row r="21" spans="1:74">
      <c r="A21" s="1"/>
      <c r="B21" s="1" t="s">
        <v>109</v>
      </c>
      <c r="C21" s="1" t="s">
        <v>110</v>
      </c>
      <c r="D21" s="1" t="s">
        <v>89</v>
      </c>
      <c r="E21" s="6"/>
      <c r="F21" s="6"/>
      <c r="G21" s="6"/>
      <c r="H21" s="6"/>
      <c r="I21" s="6"/>
      <c r="J21" s="6">
        <v>10</v>
      </c>
      <c r="K21" s="6"/>
      <c r="L21" s="6"/>
      <c r="M21" s="6"/>
      <c r="N21" s="6"/>
      <c r="O21" s="6"/>
      <c r="P21" s="28"/>
      <c r="Q21" s="28"/>
      <c r="R21" s="28"/>
      <c r="S21" s="28"/>
      <c r="T21" s="28"/>
      <c r="U21" s="28">
        <v>10</v>
      </c>
      <c r="V21" s="28"/>
      <c r="W21" s="28"/>
      <c r="X21" s="28"/>
      <c r="Y21" s="28"/>
      <c r="Z21" s="28"/>
      <c r="AA21" s="28">
        <v>10</v>
      </c>
      <c r="AB21" s="28"/>
      <c r="AC21" s="28"/>
      <c r="AD21" s="28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4">
        <v>10</v>
      </c>
      <c r="AR21" s="4"/>
      <c r="AS21" s="4"/>
      <c r="AT21" s="4"/>
      <c r="AU21" s="4"/>
      <c r="AV21" s="4"/>
      <c r="AW21" s="2"/>
      <c r="AX21" s="2"/>
      <c r="AY21" s="2"/>
      <c r="AZ21" s="2"/>
      <c r="BA21" s="2"/>
      <c r="BB21" s="2"/>
      <c r="BC21" s="14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>
        <f t="shared" si="0"/>
        <v>40</v>
      </c>
      <c r="BR21" s="1">
        <v>0</v>
      </c>
      <c r="BS21" s="17">
        <v>0</v>
      </c>
      <c r="BT21" s="17"/>
      <c r="BU21">
        <f t="shared" si="1"/>
        <v>20</v>
      </c>
      <c r="BV21" s="23">
        <f t="shared" si="2"/>
        <v>0</v>
      </c>
    </row>
    <row r="22" spans="1:74">
      <c r="A22" s="1"/>
      <c r="B22" s="1" t="s">
        <v>198</v>
      </c>
      <c r="C22" s="1" t="s">
        <v>112</v>
      </c>
      <c r="D22" s="1" t="s">
        <v>89</v>
      </c>
      <c r="E22" s="6"/>
      <c r="F22" s="6"/>
      <c r="G22" s="6"/>
      <c r="H22" s="6"/>
      <c r="I22" s="6"/>
      <c r="J22" s="6">
        <v>10</v>
      </c>
      <c r="K22" s="6"/>
      <c r="L22" s="6"/>
      <c r="M22" s="6"/>
      <c r="N22" s="6"/>
      <c r="O22" s="6"/>
      <c r="P22" s="28"/>
      <c r="Q22" s="28"/>
      <c r="R22" s="28"/>
      <c r="S22" s="28"/>
      <c r="T22" s="28"/>
      <c r="U22" s="28">
        <v>10</v>
      </c>
      <c r="V22" s="28"/>
      <c r="W22" s="28"/>
      <c r="X22" s="28"/>
      <c r="Y22" s="28"/>
      <c r="Z22" s="28"/>
      <c r="AA22" s="28">
        <v>10</v>
      </c>
      <c r="AB22" s="28"/>
      <c r="AC22" s="28"/>
      <c r="AD22" s="28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4">
        <v>10</v>
      </c>
      <c r="AR22" s="4"/>
      <c r="AS22" s="4"/>
      <c r="AT22" s="4"/>
      <c r="AU22" s="4"/>
      <c r="AV22" s="4"/>
      <c r="AW22" s="2"/>
      <c r="AX22" s="2"/>
      <c r="AY22" s="2"/>
      <c r="AZ22" s="2"/>
      <c r="BA22" s="2"/>
      <c r="BB22" s="2"/>
      <c r="BC22" s="14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>
        <f t="shared" si="0"/>
        <v>40</v>
      </c>
      <c r="BR22" s="1">
        <v>0</v>
      </c>
      <c r="BS22" s="17">
        <v>0</v>
      </c>
      <c r="BT22" s="17"/>
      <c r="BU22">
        <f t="shared" si="1"/>
        <v>20</v>
      </c>
      <c r="BV22" s="23">
        <f t="shared" si="2"/>
        <v>0</v>
      </c>
    </row>
    <row r="23" spans="1:74">
      <c r="A23" s="1"/>
      <c r="B23" s="3" t="s">
        <v>203</v>
      </c>
      <c r="C23" s="3" t="s">
        <v>44</v>
      </c>
      <c r="D23" s="1" t="s">
        <v>147</v>
      </c>
      <c r="E23" s="6"/>
      <c r="F23" s="6"/>
      <c r="G23" s="6"/>
      <c r="H23" s="6"/>
      <c r="I23" s="6"/>
      <c r="J23" s="6">
        <v>10</v>
      </c>
      <c r="K23" s="6"/>
      <c r="L23" s="6"/>
      <c r="M23" s="6"/>
      <c r="N23" s="6"/>
      <c r="O23" s="6"/>
      <c r="P23" s="28"/>
      <c r="Q23" s="28"/>
      <c r="R23" s="28"/>
      <c r="S23" s="28"/>
      <c r="T23" s="28"/>
      <c r="U23" s="28">
        <v>10</v>
      </c>
      <c r="V23" s="28"/>
      <c r="W23" s="28"/>
      <c r="X23" s="28"/>
      <c r="Y23" s="28"/>
      <c r="Z23" s="28"/>
      <c r="AA23" s="28">
        <v>10</v>
      </c>
      <c r="AB23" s="28"/>
      <c r="AC23" s="28"/>
      <c r="AD23" s="28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4">
        <v>10</v>
      </c>
      <c r="AR23" s="4"/>
      <c r="AS23" s="4"/>
      <c r="AT23" s="4"/>
      <c r="AU23" s="4"/>
      <c r="AV23" s="4"/>
      <c r="AW23" s="2"/>
      <c r="AX23" s="2"/>
      <c r="AY23" s="2"/>
      <c r="AZ23" s="2"/>
      <c r="BA23" s="2"/>
      <c r="BB23" s="2"/>
      <c r="BC23" s="14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>
        <f t="shared" si="0"/>
        <v>40</v>
      </c>
      <c r="BR23" s="1">
        <v>0</v>
      </c>
      <c r="BS23" s="17">
        <v>0</v>
      </c>
      <c r="BT23" s="17"/>
      <c r="BU23">
        <f t="shared" si="1"/>
        <v>20</v>
      </c>
      <c r="BV23" s="23">
        <f t="shared" si="2"/>
        <v>0</v>
      </c>
    </row>
    <row r="24" spans="1:74">
      <c r="A24" s="1"/>
      <c r="B24" s="1" t="s">
        <v>193</v>
      </c>
      <c r="C24" s="1" t="s">
        <v>104</v>
      </c>
      <c r="D24" s="1" t="s">
        <v>159</v>
      </c>
      <c r="E24" s="6"/>
      <c r="F24" s="6"/>
      <c r="G24" s="6"/>
      <c r="H24" s="6"/>
      <c r="I24" s="6"/>
      <c r="J24" s="6">
        <v>10</v>
      </c>
      <c r="K24" s="6"/>
      <c r="L24" s="6"/>
      <c r="M24" s="6"/>
      <c r="N24" s="6"/>
      <c r="O24" s="6"/>
      <c r="P24" s="28"/>
      <c r="Q24" s="28"/>
      <c r="R24" s="28"/>
      <c r="S24" s="28"/>
      <c r="T24" s="28"/>
      <c r="U24" s="28">
        <v>10</v>
      </c>
      <c r="V24" s="28"/>
      <c r="W24" s="28"/>
      <c r="X24" s="28"/>
      <c r="Y24" s="28"/>
      <c r="Z24" s="28"/>
      <c r="AA24" s="28">
        <v>10</v>
      </c>
      <c r="AB24" s="28"/>
      <c r="AC24" s="28"/>
      <c r="AD24" s="28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4">
        <v>10</v>
      </c>
      <c r="AR24" s="4"/>
      <c r="AS24" s="4"/>
      <c r="AT24" s="4"/>
      <c r="AU24" s="4"/>
      <c r="AV24" s="4"/>
      <c r="AW24" s="2"/>
      <c r="AX24" s="2"/>
      <c r="AY24" s="2"/>
      <c r="AZ24" s="2"/>
      <c r="BA24" s="2"/>
      <c r="BB24" s="2"/>
      <c r="BC24" s="14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>
        <f t="shared" si="0"/>
        <v>40</v>
      </c>
      <c r="BR24" s="1">
        <v>0</v>
      </c>
      <c r="BS24" s="17">
        <v>0</v>
      </c>
      <c r="BT24" s="17"/>
      <c r="BU24">
        <f t="shared" si="1"/>
        <v>20</v>
      </c>
      <c r="BV24" s="23">
        <f t="shared" si="2"/>
        <v>0</v>
      </c>
    </row>
    <row r="25" spans="1:74">
      <c r="A25" s="1"/>
      <c r="B25" s="1" t="s">
        <v>164</v>
      </c>
      <c r="C25" s="1" t="s">
        <v>32</v>
      </c>
      <c r="D25" s="1" t="s">
        <v>163</v>
      </c>
      <c r="E25" s="6"/>
      <c r="F25" s="6"/>
      <c r="G25" s="6"/>
      <c r="H25" s="6"/>
      <c r="I25" s="6"/>
      <c r="J25" s="6">
        <v>10</v>
      </c>
      <c r="K25" s="6"/>
      <c r="L25" s="6"/>
      <c r="M25" s="6"/>
      <c r="N25" s="6"/>
      <c r="O25" s="6"/>
      <c r="P25" s="28"/>
      <c r="Q25" s="28"/>
      <c r="R25" s="28"/>
      <c r="S25" s="28"/>
      <c r="T25" s="28"/>
      <c r="U25" s="28">
        <v>10</v>
      </c>
      <c r="V25" s="28"/>
      <c r="W25" s="28"/>
      <c r="X25" s="28"/>
      <c r="Y25" s="28"/>
      <c r="Z25" s="28"/>
      <c r="AA25" s="28">
        <v>10</v>
      </c>
      <c r="AB25" s="28"/>
      <c r="AC25" s="28"/>
      <c r="AD25" s="28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4">
        <v>10</v>
      </c>
      <c r="AR25" s="4"/>
      <c r="AS25" s="4"/>
      <c r="AT25" s="4"/>
      <c r="AU25" s="4"/>
      <c r="AV25" s="4"/>
      <c r="AW25" s="2"/>
      <c r="AX25" s="2"/>
      <c r="AY25" s="2"/>
      <c r="AZ25" s="2"/>
      <c r="BA25" s="2"/>
      <c r="BB25" s="2"/>
      <c r="BC25" s="14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>
        <f t="shared" si="0"/>
        <v>40</v>
      </c>
      <c r="BR25" s="1">
        <v>0</v>
      </c>
      <c r="BS25" s="17">
        <v>0</v>
      </c>
      <c r="BT25" s="17"/>
      <c r="BU25">
        <f t="shared" si="1"/>
        <v>20</v>
      </c>
      <c r="BV25" s="23">
        <f t="shared" si="2"/>
        <v>0</v>
      </c>
    </row>
    <row r="26" spans="1:74">
      <c r="A26" s="1"/>
      <c r="B26" s="3" t="s">
        <v>185</v>
      </c>
      <c r="C26" s="3" t="s">
        <v>38</v>
      </c>
      <c r="D26" s="1" t="s">
        <v>0</v>
      </c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28"/>
      <c r="Q26" s="28"/>
      <c r="R26" s="28"/>
      <c r="S26" s="28"/>
      <c r="T26" s="28"/>
      <c r="U26" s="28"/>
      <c r="V26" s="28"/>
      <c r="W26" s="28">
        <v>20</v>
      </c>
      <c r="X26" s="28"/>
      <c r="Y26" s="28"/>
      <c r="Z26" s="28">
        <v>20</v>
      </c>
      <c r="AA26" s="28"/>
      <c r="AB26" s="28"/>
      <c r="AC26" s="28">
        <v>20</v>
      </c>
      <c r="AD26" s="28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4"/>
      <c r="AR26" s="4"/>
      <c r="AS26" s="4"/>
      <c r="AT26" s="4"/>
      <c r="AU26" s="4"/>
      <c r="AV26" s="4"/>
      <c r="AW26" s="2"/>
      <c r="AX26" s="2"/>
      <c r="AY26" s="2"/>
      <c r="AZ26" s="2"/>
      <c r="BA26" s="2"/>
      <c r="BB26" s="2"/>
      <c r="BC26" s="14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>
        <f t="shared" si="0"/>
        <v>60</v>
      </c>
      <c r="BR26" s="1">
        <v>0</v>
      </c>
      <c r="BS26" s="17">
        <v>0</v>
      </c>
      <c r="BT26" s="17"/>
      <c r="BU26">
        <f t="shared" si="1"/>
        <v>60</v>
      </c>
      <c r="BV26" s="23">
        <f t="shared" si="2"/>
        <v>0</v>
      </c>
    </row>
    <row r="27" spans="1:74">
      <c r="A27" s="1"/>
      <c r="B27" s="3" t="s">
        <v>145</v>
      </c>
      <c r="C27" s="3" t="s">
        <v>44</v>
      </c>
      <c r="D27" s="1" t="s">
        <v>146</v>
      </c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28"/>
      <c r="Q27" s="28">
        <v>5</v>
      </c>
      <c r="R27" s="28"/>
      <c r="S27" s="28"/>
      <c r="T27" s="28">
        <v>5</v>
      </c>
      <c r="U27" s="28"/>
      <c r="V27" s="28"/>
      <c r="W27" s="28">
        <v>5</v>
      </c>
      <c r="X27" s="28"/>
      <c r="Y27" s="28"/>
      <c r="Z27" s="28"/>
      <c r="AA27" s="28"/>
      <c r="AB27" s="28"/>
      <c r="AC27" s="28">
        <v>5</v>
      </c>
      <c r="AD27" s="28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4"/>
      <c r="AR27" s="4"/>
      <c r="AS27" s="4"/>
      <c r="AT27" s="4"/>
      <c r="AU27" s="4"/>
      <c r="AV27" s="4"/>
      <c r="AW27" s="2"/>
      <c r="AX27" s="2"/>
      <c r="AY27" s="2"/>
      <c r="AZ27" s="2"/>
      <c r="BA27" s="2"/>
      <c r="BB27" s="2"/>
      <c r="BC27" s="14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>
        <f t="shared" si="0"/>
        <v>20</v>
      </c>
      <c r="BR27" s="1">
        <v>0</v>
      </c>
      <c r="BS27" s="17">
        <v>0</v>
      </c>
      <c r="BT27" s="17"/>
      <c r="BU27">
        <f t="shared" si="1"/>
        <v>20</v>
      </c>
      <c r="BV27" s="23">
        <f t="shared" si="2"/>
        <v>0</v>
      </c>
    </row>
    <row r="28" spans="1:74">
      <c r="A28" s="1"/>
      <c r="B28" s="1" t="s">
        <v>164</v>
      </c>
      <c r="C28" s="1" t="s">
        <v>32</v>
      </c>
      <c r="D28" s="1" t="s">
        <v>161</v>
      </c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28"/>
      <c r="Q28" s="28">
        <v>5</v>
      </c>
      <c r="R28" s="28"/>
      <c r="S28" s="28"/>
      <c r="T28" s="28"/>
      <c r="U28" s="28"/>
      <c r="V28" s="28"/>
      <c r="W28" s="28">
        <v>5</v>
      </c>
      <c r="X28" s="28"/>
      <c r="Y28" s="28"/>
      <c r="Z28" s="28">
        <v>5</v>
      </c>
      <c r="AA28" s="28"/>
      <c r="AB28" s="28"/>
      <c r="AC28" s="28">
        <v>5</v>
      </c>
      <c r="AD28" s="28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4"/>
      <c r="AR28" s="4"/>
      <c r="AS28" s="4"/>
      <c r="AT28" s="4"/>
      <c r="AU28" s="4"/>
      <c r="AV28" s="4"/>
      <c r="AW28" s="2"/>
      <c r="AX28" s="2"/>
      <c r="AY28" s="2"/>
      <c r="AZ28" s="2"/>
      <c r="BA28" s="2"/>
      <c r="BB28" s="2"/>
      <c r="BC28" s="14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>
        <f t="shared" si="0"/>
        <v>20</v>
      </c>
      <c r="BR28" s="1">
        <v>0</v>
      </c>
      <c r="BS28" s="17">
        <v>0</v>
      </c>
      <c r="BT28" s="17"/>
      <c r="BU28">
        <f t="shared" si="1"/>
        <v>20</v>
      </c>
      <c r="BV28" s="23">
        <f t="shared" si="2"/>
        <v>0</v>
      </c>
    </row>
    <row r="29" spans="1:74">
      <c r="A29" s="1"/>
      <c r="B29" s="1" t="s">
        <v>175</v>
      </c>
      <c r="C29" s="1" t="s">
        <v>86</v>
      </c>
      <c r="D29" s="1" t="s">
        <v>176</v>
      </c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28"/>
      <c r="Q29" s="28">
        <v>5</v>
      </c>
      <c r="R29" s="28"/>
      <c r="S29" s="28"/>
      <c r="T29" s="28">
        <v>5</v>
      </c>
      <c r="U29" s="28"/>
      <c r="V29" s="28"/>
      <c r="W29" s="28">
        <v>5</v>
      </c>
      <c r="X29" s="28"/>
      <c r="Y29" s="28"/>
      <c r="Z29" s="28"/>
      <c r="AA29" s="28"/>
      <c r="AB29" s="28"/>
      <c r="AC29" s="28">
        <v>5</v>
      </c>
      <c r="AD29" s="28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4"/>
      <c r="AR29" s="4"/>
      <c r="AS29" s="4"/>
      <c r="AT29" s="4"/>
      <c r="AU29" s="4"/>
      <c r="AV29" s="4"/>
      <c r="AW29" s="2"/>
      <c r="AX29" s="2"/>
      <c r="AY29" s="2"/>
      <c r="AZ29" s="2"/>
      <c r="BA29" s="2"/>
      <c r="BB29" s="2"/>
      <c r="BC29" s="14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>
        <f t="shared" si="0"/>
        <v>20</v>
      </c>
      <c r="BR29" s="1">
        <v>0</v>
      </c>
      <c r="BS29" s="17">
        <v>0</v>
      </c>
      <c r="BT29" s="17"/>
      <c r="BU29">
        <f t="shared" si="1"/>
        <v>20</v>
      </c>
      <c r="BV29" s="23">
        <f t="shared" si="2"/>
        <v>0</v>
      </c>
    </row>
    <row r="30" spans="1:74">
      <c r="A30" s="1"/>
      <c r="B30" s="3" t="s">
        <v>211</v>
      </c>
      <c r="C30" s="3" t="s">
        <v>212</v>
      </c>
      <c r="D30" s="1" t="s">
        <v>213</v>
      </c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28">
        <v>10</v>
      </c>
      <c r="Q30" s="28"/>
      <c r="R30" s="28"/>
      <c r="S30" s="28">
        <v>10</v>
      </c>
      <c r="T30" s="28"/>
      <c r="U30" s="28"/>
      <c r="V30" s="28">
        <v>10</v>
      </c>
      <c r="W30" s="28"/>
      <c r="X30" s="28"/>
      <c r="Y30" s="28">
        <v>10</v>
      </c>
      <c r="Z30" s="28"/>
      <c r="AA30" s="28"/>
      <c r="AB30" s="28">
        <v>10</v>
      </c>
      <c r="AC30" s="28"/>
      <c r="AD30" s="28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4"/>
      <c r="AR30" s="4"/>
      <c r="AS30" s="4"/>
      <c r="AT30" s="4"/>
      <c r="AU30" s="4"/>
      <c r="AV30" s="4"/>
      <c r="AW30" s="2"/>
      <c r="AX30" s="2"/>
      <c r="AY30" s="2"/>
      <c r="AZ30" s="2"/>
      <c r="BA30" s="2"/>
      <c r="BB30" s="2"/>
      <c r="BC30" s="14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>
        <f t="shared" si="0"/>
        <v>50</v>
      </c>
      <c r="BR30" s="1">
        <v>0</v>
      </c>
      <c r="BS30" s="17">
        <v>0</v>
      </c>
      <c r="BT30" s="17"/>
      <c r="BU30">
        <f t="shared" si="1"/>
        <v>50</v>
      </c>
      <c r="BV30" s="23">
        <f t="shared" si="2"/>
        <v>0</v>
      </c>
    </row>
    <row r="31" spans="1:74">
      <c r="A31" s="1"/>
      <c r="B31" s="3" t="s">
        <v>211</v>
      </c>
      <c r="C31" s="3" t="s">
        <v>212</v>
      </c>
      <c r="D31" s="1" t="s">
        <v>0</v>
      </c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28"/>
      <c r="Q31" s="28">
        <v>10</v>
      </c>
      <c r="R31" s="28"/>
      <c r="S31" s="28"/>
      <c r="T31" s="28">
        <v>10</v>
      </c>
      <c r="U31" s="28"/>
      <c r="V31" s="28"/>
      <c r="W31" s="28">
        <v>10</v>
      </c>
      <c r="X31" s="28"/>
      <c r="Y31" s="28"/>
      <c r="Z31" s="28">
        <v>10</v>
      </c>
      <c r="AA31" s="28"/>
      <c r="AB31" s="28"/>
      <c r="AC31" s="28">
        <v>10</v>
      </c>
      <c r="AD31" s="28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4"/>
      <c r="AR31" s="4"/>
      <c r="AS31" s="4"/>
      <c r="AT31" s="4"/>
      <c r="AU31" s="4"/>
      <c r="AV31" s="4"/>
      <c r="AW31" s="2"/>
      <c r="AX31" s="2"/>
      <c r="AY31" s="2"/>
      <c r="AZ31" s="2"/>
      <c r="BA31" s="2"/>
      <c r="BB31" s="2"/>
      <c r="BC31" s="14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>
        <f t="shared" si="0"/>
        <v>50</v>
      </c>
      <c r="BR31" s="1">
        <v>0</v>
      </c>
      <c r="BS31" s="17">
        <v>0</v>
      </c>
      <c r="BT31" s="17"/>
      <c r="BU31">
        <f t="shared" si="1"/>
        <v>50</v>
      </c>
      <c r="BV31" s="23">
        <f t="shared" si="2"/>
        <v>0</v>
      </c>
    </row>
    <row r="32" spans="1:74">
      <c r="A32" s="1"/>
      <c r="B32" s="3" t="s">
        <v>214</v>
      </c>
      <c r="C32" s="3" t="s">
        <v>112</v>
      </c>
      <c r="D32" s="1" t="s">
        <v>213</v>
      </c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28"/>
      <c r="Q32" s="28">
        <v>5</v>
      </c>
      <c r="R32" s="28"/>
      <c r="S32" s="28"/>
      <c r="T32" s="28"/>
      <c r="U32" s="28"/>
      <c r="V32" s="28"/>
      <c r="W32" s="28">
        <v>5</v>
      </c>
      <c r="X32" s="28"/>
      <c r="Y32" s="28"/>
      <c r="Z32" s="28">
        <v>5</v>
      </c>
      <c r="AA32" s="28"/>
      <c r="AB32" s="28"/>
      <c r="AC32" s="28">
        <v>5</v>
      </c>
      <c r="AD32" s="28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4"/>
      <c r="AR32" s="4"/>
      <c r="AS32" s="4"/>
      <c r="AT32" s="4"/>
      <c r="AU32" s="4"/>
      <c r="AV32" s="4"/>
      <c r="AW32" s="2"/>
      <c r="AX32" s="2"/>
      <c r="AY32" s="2"/>
      <c r="AZ32" s="2"/>
      <c r="BA32" s="2"/>
      <c r="BB32" s="2"/>
      <c r="BC32" s="14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>
        <f t="shared" si="0"/>
        <v>20</v>
      </c>
      <c r="BR32" s="1">
        <v>0</v>
      </c>
      <c r="BS32" s="17">
        <v>0</v>
      </c>
      <c r="BT32" s="17"/>
      <c r="BU32">
        <f t="shared" si="1"/>
        <v>20</v>
      </c>
      <c r="BV32" s="23">
        <f t="shared" si="2"/>
        <v>0</v>
      </c>
    </row>
    <row r="33" spans="1:74">
      <c r="A33" s="1"/>
      <c r="B33" s="3" t="s">
        <v>215</v>
      </c>
      <c r="C33" s="3" t="s">
        <v>112</v>
      </c>
      <c r="D33" s="1" t="s">
        <v>147</v>
      </c>
      <c r="E33" s="6"/>
      <c r="F33" s="6"/>
      <c r="G33" s="6"/>
      <c r="H33" s="6"/>
      <c r="I33" s="6"/>
      <c r="J33" s="6">
        <v>10</v>
      </c>
      <c r="K33" s="6"/>
      <c r="L33" s="6"/>
      <c r="M33" s="6"/>
      <c r="N33" s="6"/>
      <c r="O33" s="6"/>
      <c r="P33" s="28"/>
      <c r="Q33" s="28"/>
      <c r="R33" s="28"/>
      <c r="S33" s="28"/>
      <c r="T33" s="28"/>
      <c r="U33" s="28">
        <v>10</v>
      </c>
      <c r="V33" s="28"/>
      <c r="W33" s="28"/>
      <c r="X33" s="28"/>
      <c r="Y33" s="28"/>
      <c r="Z33" s="28"/>
      <c r="AA33" s="28">
        <v>10</v>
      </c>
      <c r="AB33" s="28"/>
      <c r="AC33" s="28"/>
      <c r="AD33" s="28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4">
        <v>10</v>
      </c>
      <c r="AR33" s="4"/>
      <c r="AS33" s="4"/>
      <c r="AT33" s="4"/>
      <c r="AU33" s="4"/>
      <c r="AV33" s="4"/>
      <c r="AW33" s="2"/>
      <c r="AX33" s="2"/>
      <c r="AY33" s="2"/>
      <c r="AZ33" s="2"/>
      <c r="BA33" s="2"/>
      <c r="BB33" s="2"/>
      <c r="BC33" s="14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>
        <f t="shared" si="0"/>
        <v>40</v>
      </c>
      <c r="BR33" s="1">
        <v>0</v>
      </c>
      <c r="BS33" s="17">
        <v>0</v>
      </c>
      <c r="BT33" s="17"/>
      <c r="BU33">
        <f t="shared" si="1"/>
        <v>20</v>
      </c>
      <c r="BV33" s="23">
        <f t="shared" si="2"/>
        <v>0</v>
      </c>
    </row>
    <row r="34" spans="1:74">
      <c r="A34" s="1"/>
      <c r="B34" s="3" t="s">
        <v>216</v>
      </c>
      <c r="C34" s="3" t="s">
        <v>112</v>
      </c>
      <c r="D34" s="1" t="s">
        <v>213</v>
      </c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28"/>
      <c r="Q34" s="28">
        <v>5</v>
      </c>
      <c r="R34" s="28"/>
      <c r="S34" s="28"/>
      <c r="T34" s="28">
        <v>5</v>
      </c>
      <c r="U34" s="28"/>
      <c r="V34" s="28"/>
      <c r="W34" s="28">
        <v>5</v>
      </c>
      <c r="X34" s="28"/>
      <c r="Y34" s="28"/>
      <c r="Z34" s="28">
        <v>5</v>
      </c>
      <c r="AA34" s="28"/>
      <c r="AB34" s="28"/>
      <c r="AC34" s="28"/>
      <c r="AD34" s="28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4"/>
      <c r="AR34" s="4"/>
      <c r="AS34" s="4"/>
      <c r="AT34" s="4"/>
      <c r="AU34" s="4"/>
      <c r="AV34" s="4"/>
      <c r="AW34" s="2"/>
      <c r="AX34" s="2"/>
      <c r="AY34" s="2"/>
      <c r="AZ34" s="2"/>
      <c r="BA34" s="2"/>
      <c r="BB34" s="2"/>
      <c r="BC34" s="14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>
        <f t="shared" ref="BQ34:BQ65" si="3">SUM(E34:BP34)</f>
        <v>20</v>
      </c>
      <c r="BR34" s="1">
        <v>0</v>
      </c>
      <c r="BS34" s="17">
        <v>0</v>
      </c>
      <c r="BT34" s="17"/>
      <c r="BU34">
        <f t="shared" ref="BU34:BU65" si="4">SUM(P34:AD34)</f>
        <v>20</v>
      </c>
      <c r="BV34" s="23">
        <f t="shared" ref="BV34:BV65" si="5">AF34+AH34+AI34+AJ34+AO34+AP34</f>
        <v>0</v>
      </c>
    </row>
    <row r="35" spans="1:74">
      <c r="A35" s="1"/>
      <c r="B35" s="3" t="s">
        <v>217</v>
      </c>
      <c r="C35" s="3" t="s">
        <v>112</v>
      </c>
      <c r="D35" s="1" t="s">
        <v>213</v>
      </c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28"/>
      <c r="Q35" s="28">
        <v>5</v>
      </c>
      <c r="R35" s="28"/>
      <c r="S35" s="28"/>
      <c r="T35" s="28">
        <v>5</v>
      </c>
      <c r="U35" s="28"/>
      <c r="V35" s="28"/>
      <c r="W35" s="28">
        <v>5</v>
      </c>
      <c r="X35" s="28"/>
      <c r="Y35" s="28"/>
      <c r="Z35" s="28">
        <v>5</v>
      </c>
      <c r="AA35" s="28"/>
      <c r="AB35" s="28"/>
      <c r="AC35" s="28"/>
      <c r="AD35" s="28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4"/>
      <c r="AR35" s="4"/>
      <c r="AS35" s="4"/>
      <c r="AT35" s="4"/>
      <c r="AU35" s="4"/>
      <c r="AV35" s="4"/>
      <c r="AW35" s="2"/>
      <c r="AX35" s="2"/>
      <c r="AY35" s="2"/>
      <c r="AZ35" s="2"/>
      <c r="BA35" s="2"/>
      <c r="BB35" s="2"/>
      <c r="BC35" s="14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>
        <f t="shared" si="3"/>
        <v>20</v>
      </c>
      <c r="BR35" s="1">
        <v>0</v>
      </c>
      <c r="BS35" s="17">
        <v>0</v>
      </c>
      <c r="BT35" s="17"/>
      <c r="BU35">
        <f t="shared" si="4"/>
        <v>20</v>
      </c>
      <c r="BV35" s="23">
        <f t="shared" si="5"/>
        <v>0</v>
      </c>
    </row>
    <row r="36" spans="1:74">
      <c r="A36" s="1"/>
      <c r="B36" s="1" t="s">
        <v>166</v>
      </c>
      <c r="C36" s="1" t="s">
        <v>110</v>
      </c>
      <c r="D36" s="1" t="s">
        <v>89</v>
      </c>
      <c r="E36" s="6"/>
      <c r="F36" s="6"/>
      <c r="G36" s="6"/>
      <c r="H36" s="6"/>
      <c r="I36" s="6"/>
      <c r="J36" s="6"/>
      <c r="K36" s="6"/>
      <c r="L36" s="6">
        <v>7</v>
      </c>
      <c r="M36" s="6"/>
      <c r="N36" s="6"/>
      <c r="O36" s="6"/>
      <c r="P36" s="28"/>
      <c r="Q36" s="28">
        <v>7</v>
      </c>
      <c r="R36" s="28"/>
      <c r="S36" s="28"/>
      <c r="T36" s="28">
        <v>7</v>
      </c>
      <c r="U36" s="28"/>
      <c r="V36" s="28"/>
      <c r="W36" s="28"/>
      <c r="X36" s="28">
        <v>7</v>
      </c>
      <c r="Y36" s="28"/>
      <c r="Z36" s="28"/>
      <c r="AA36" s="28"/>
      <c r="AB36" s="28"/>
      <c r="AC36" s="28"/>
      <c r="AD36" s="28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4"/>
      <c r="AR36" s="4"/>
      <c r="AS36" s="4"/>
      <c r="AT36" s="4"/>
      <c r="AU36" s="4"/>
      <c r="AV36" s="4"/>
      <c r="AW36" s="2"/>
      <c r="AX36" s="2"/>
      <c r="AY36" s="2"/>
      <c r="AZ36" s="2"/>
      <c r="BA36" s="2"/>
      <c r="BB36" s="2"/>
      <c r="BC36" s="14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>
        <f t="shared" si="3"/>
        <v>28</v>
      </c>
      <c r="BR36" s="1">
        <v>0</v>
      </c>
      <c r="BS36" s="17">
        <v>0</v>
      </c>
      <c r="BT36" s="17"/>
      <c r="BU36">
        <f t="shared" si="4"/>
        <v>21</v>
      </c>
      <c r="BV36" s="23">
        <f t="shared" si="5"/>
        <v>0</v>
      </c>
    </row>
    <row r="37" spans="1:74">
      <c r="A37" s="1"/>
      <c r="B37" s="3" t="s">
        <v>145</v>
      </c>
      <c r="C37" s="3" t="s">
        <v>44</v>
      </c>
      <c r="D37" s="1" t="s">
        <v>0</v>
      </c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28"/>
      <c r="Q37" s="28"/>
      <c r="R37" s="28">
        <v>2</v>
      </c>
      <c r="S37" s="28"/>
      <c r="T37" s="28"/>
      <c r="U37" s="28">
        <v>2</v>
      </c>
      <c r="V37" s="28"/>
      <c r="W37" s="28"/>
      <c r="X37" s="28">
        <v>2</v>
      </c>
      <c r="Y37" s="28"/>
      <c r="Z37" s="28">
        <v>5</v>
      </c>
      <c r="AA37" s="28"/>
      <c r="AB37" s="28"/>
      <c r="AC37" s="28"/>
      <c r="AD37" s="28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4"/>
      <c r="AR37" s="4"/>
      <c r="AS37" s="4"/>
      <c r="AT37" s="4"/>
      <c r="AU37" s="4"/>
      <c r="AV37" s="4"/>
      <c r="AW37" s="2"/>
      <c r="AX37" s="2"/>
      <c r="AY37" s="2"/>
      <c r="AZ37" s="2"/>
      <c r="BA37" s="2"/>
      <c r="BB37" s="2"/>
      <c r="BC37" s="14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>
        <f t="shared" si="3"/>
        <v>11</v>
      </c>
      <c r="BR37" s="1">
        <v>2</v>
      </c>
      <c r="BS37" s="17">
        <v>1</v>
      </c>
      <c r="BT37" s="17" t="s">
        <v>239</v>
      </c>
      <c r="BU37">
        <f t="shared" si="4"/>
        <v>11</v>
      </c>
      <c r="BV37" s="23">
        <f t="shared" si="5"/>
        <v>0</v>
      </c>
    </row>
    <row r="38" spans="1:74">
      <c r="A38" s="1"/>
      <c r="B38" s="1" t="s">
        <v>175</v>
      </c>
      <c r="C38" s="1" t="s">
        <v>86</v>
      </c>
      <c r="D38" s="1" t="s">
        <v>73</v>
      </c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28"/>
      <c r="Q38" s="28"/>
      <c r="R38" s="28">
        <v>2</v>
      </c>
      <c r="S38" s="28"/>
      <c r="T38" s="28"/>
      <c r="U38" s="28">
        <v>2</v>
      </c>
      <c r="V38" s="28"/>
      <c r="W38" s="28"/>
      <c r="X38" s="28">
        <v>2</v>
      </c>
      <c r="Y38" s="28"/>
      <c r="Z38" s="28">
        <v>5</v>
      </c>
      <c r="AA38" s="28"/>
      <c r="AB38" s="28"/>
      <c r="AC38" s="28"/>
      <c r="AD38" s="28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4"/>
      <c r="AR38" s="4"/>
      <c r="AS38" s="4"/>
      <c r="AT38" s="4"/>
      <c r="AU38" s="4"/>
      <c r="AV38" s="4"/>
      <c r="AW38" s="2"/>
      <c r="AX38" s="2"/>
      <c r="AY38" s="2"/>
      <c r="AZ38" s="2"/>
      <c r="BA38" s="2"/>
      <c r="BB38" s="2"/>
      <c r="BC38" s="14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>
        <f t="shared" si="3"/>
        <v>11</v>
      </c>
      <c r="BR38" s="1">
        <v>2</v>
      </c>
      <c r="BS38" s="17">
        <v>1</v>
      </c>
      <c r="BT38" s="17" t="s">
        <v>239</v>
      </c>
      <c r="BU38">
        <f t="shared" si="4"/>
        <v>11</v>
      </c>
      <c r="BV38" s="23">
        <f t="shared" si="5"/>
        <v>0</v>
      </c>
    </row>
    <row r="39" spans="1:74">
      <c r="A39" s="1"/>
      <c r="B39" s="1" t="s">
        <v>98</v>
      </c>
      <c r="C39" s="1" t="s">
        <v>86</v>
      </c>
      <c r="D39" s="1" t="s">
        <v>88</v>
      </c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28"/>
      <c r="Q39" s="28">
        <v>5</v>
      </c>
      <c r="R39" s="28">
        <v>2</v>
      </c>
      <c r="S39" s="28"/>
      <c r="T39" s="28">
        <v>5</v>
      </c>
      <c r="U39" s="28"/>
      <c r="V39" s="28"/>
      <c r="W39" s="28"/>
      <c r="X39" s="28"/>
      <c r="Y39" s="28"/>
      <c r="Z39" s="28">
        <v>5</v>
      </c>
      <c r="AA39" s="28"/>
      <c r="AB39" s="28"/>
      <c r="AC39" s="28"/>
      <c r="AD39" s="28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4"/>
      <c r="AR39" s="4"/>
      <c r="AS39" s="4"/>
      <c r="AT39" s="4"/>
      <c r="AU39" s="4"/>
      <c r="AV39" s="4"/>
      <c r="AW39" s="2"/>
      <c r="AX39" s="2"/>
      <c r="AY39" s="2"/>
      <c r="AZ39" s="2"/>
      <c r="BA39" s="2"/>
      <c r="BB39" s="2"/>
      <c r="BC39" s="14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>
        <f t="shared" si="3"/>
        <v>17</v>
      </c>
      <c r="BR39" s="1">
        <v>2</v>
      </c>
      <c r="BS39" s="17">
        <v>1</v>
      </c>
      <c r="BT39" s="17" t="s">
        <v>239</v>
      </c>
      <c r="BU39">
        <f t="shared" si="4"/>
        <v>17</v>
      </c>
      <c r="BV39" s="23">
        <f t="shared" si="5"/>
        <v>0</v>
      </c>
    </row>
    <row r="40" spans="1:74">
      <c r="A40" s="1"/>
      <c r="B40" s="1" t="s">
        <v>103</v>
      </c>
      <c r="C40" s="1" t="s">
        <v>86</v>
      </c>
      <c r="D40" s="1" t="s">
        <v>88</v>
      </c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28"/>
      <c r="Q40" s="28">
        <v>5</v>
      </c>
      <c r="R40" s="28">
        <v>2</v>
      </c>
      <c r="S40" s="28"/>
      <c r="T40" s="28">
        <v>5</v>
      </c>
      <c r="U40" s="28"/>
      <c r="V40" s="28"/>
      <c r="W40" s="28"/>
      <c r="X40" s="28"/>
      <c r="Y40" s="28"/>
      <c r="Z40" s="28">
        <v>5</v>
      </c>
      <c r="AA40" s="28"/>
      <c r="AB40" s="28"/>
      <c r="AC40" s="28"/>
      <c r="AD40" s="28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4"/>
      <c r="AR40" s="4"/>
      <c r="AS40" s="4"/>
      <c r="AT40" s="4"/>
      <c r="AU40" s="4"/>
      <c r="AV40" s="4"/>
      <c r="AW40" s="2"/>
      <c r="AX40" s="2"/>
      <c r="AY40" s="2"/>
      <c r="AZ40" s="2"/>
      <c r="BA40" s="2"/>
      <c r="BB40" s="2"/>
      <c r="BC40" s="14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>
        <f t="shared" si="3"/>
        <v>17</v>
      </c>
      <c r="BR40" s="1">
        <v>2</v>
      </c>
      <c r="BS40" s="17">
        <v>1</v>
      </c>
      <c r="BT40" s="17" t="s">
        <v>239</v>
      </c>
      <c r="BU40">
        <f t="shared" si="4"/>
        <v>17</v>
      </c>
      <c r="BV40" s="23">
        <f t="shared" si="5"/>
        <v>0</v>
      </c>
    </row>
    <row r="41" spans="1:74">
      <c r="A41" s="1"/>
      <c r="B41" s="3" t="s">
        <v>151</v>
      </c>
      <c r="C41" s="3" t="s">
        <v>85</v>
      </c>
      <c r="D41" s="1" t="s">
        <v>0</v>
      </c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28"/>
      <c r="Q41" s="28">
        <v>5</v>
      </c>
      <c r="R41" s="28">
        <v>2</v>
      </c>
      <c r="S41" s="28"/>
      <c r="T41" s="28">
        <v>5</v>
      </c>
      <c r="U41" s="28"/>
      <c r="V41" s="28"/>
      <c r="W41" s="28"/>
      <c r="X41" s="28"/>
      <c r="Y41" s="28"/>
      <c r="Z41" s="28">
        <v>5</v>
      </c>
      <c r="AA41" s="28"/>
      <c r="AB41" s="28"/>
      <c r="AC41" s="28"/>
      <c r="AD41" s="28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4"/>
      <c r="AR41" s="4"/>
      <c r="AS41" s="4"/>
      <c r="AT41" s="4"/>
      <c r="AU41" s="4"/>
      <c r="AV41" s="4"/>
      <c r="AW41" s="2"/>
      <c r="AX41" s="2"/>
      <c r="AY41" s="2"/>
      <c r="AZ41" s="2"/>
      <c r="BA41" s="2"/>
      <c r="BB41" s="2"/>
      <c r="BC41" s="14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>
        <f t="shared" si="3"/>
        <v>17</v>
      </c>
      <c r="BR41" s="1">
        <v>2</v>
      </c>
      <c r="BS41" s="17">
        <v>1</v>
      </c>
      <c r="BT41" s="17" t="s">
        <v>239</v>
      </c>
      <c r="BU41">
        <f t="shared" si="4"/>
        <v>17</v>
      </c>
      <c r="BV41" s="23">
        <f t="shared" si="5"/>
        <v>0</v>
      </c>
    </row>
    <row r="42" spans="1:74">
      <c r="A42" s="1"/>
      <c r="B42" s="1" t="s">
        <v>160</v>
      </c>
      <c r="C42" s="1" t="s">
        <v>44</v>
      </c>
      <c r="D42" s="1" t="s">
        <v>158</v>
      </c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28"/>
      <c r="Q42" s="28"/>
      <c r="R42" s="28"/>
      <c r="S42" s="28"/>
      <c r="T42" s="28"/>
      <c r="U42" s="28">
        <v>2</v>
      </c>
      <c r="V42" s="28"/>
      <c r="W42" s="28">
        <v>5</v>
      </c>
      <c r="X42" s="28"/>
      <c r="Y42" s="28"/>
      <c r="Z42" s="28"/>
      <c r="AA42" s="28">
        <v>2</v>
      </c>
      <c r="AB42" s="28"/>
      <c r="AC42" s="28"/>
      <c r="AD42" s="28">
        <v>2</v>
      </c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4"/>
      <c r="AR42" s="4"/>
      <c r="AS42" s="4"/>
      <c r="AT42" s="4"/>
      <c r="AU42" s="4"/>
      <c r="AV42" s="4"/>
      <c r="AW42" s="2"/>
      <c r="AX42" s="2"/>
      <c r="AY42" s="2"/>
      <c r="AZ42" s="2"/>
      <c r="BA42" s="2"/>
      <c r="BB42" s="2"/>
      <c r="BC42" s="14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>
        <f t="shared" si="3"/>
        <v>11</v>
      </c>
      <c r="BR42" s="1">
        <v>2</v>
      </c>
      <c r="BS42" s="17">
        <v>1</v>
      </c>
      <c r="BT42" s="17" t="s">
        <v>240</v>
      </c>
      <c r="BU42">
        <f t="shared" si="4"/>
        <v>11</v>
      </c>
      <c r="BV42" s="23">
        <f t="shared" si="5"/>
        <v>0</v>
      </c>
    </row>
    <row r="43" spans="1:74">
      <c r="A43" s="1"/>
      <c r="B43" s="1" t="s">
        <v>187</v>
      </c>
      <c r="C43" s="1" t="s">
        <v>178</v>
      </c>
      <c r="D43" s="1" t="s">
        <v>73</v>
      </c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28"/>
      <c r="Q43" s="28"/>
      <c r="R43" s="28"/>
      <c r="S43" s="28"/>
      <c r="T43" s="28"/>
      <c r="U43" s="28">
        <v>2</v>
      </c>
      <c r="V43" s="28"/>
      <c r="W43" s="28"/>
      <c r="X43" s="28"/>
      <c r="Y43" s="28"/>
      <c r="Z43" s="28"/>
      <c r="AA43" s="28">
        <v>2</v>
      </c>
      <c r="AB43" s="28"/>
      <c r="AC43" s="28">
        <v>5</v>
      </c>
      <c r="AD43" s="28">
        <v>2</v>
      </c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4"/>
      <c r="AR43" s="4"/>
      <c r="AS43" s="4"/>
      <c r="AT43" s="4"/>
      <c r="AU43" s="4"/>
      <c r="AV43" s="4"/>
      <c r="AW43" s="2"/>
      <c r="AX43" s="2"/>
      <c r="AY43" s="2"/>
      <c r="AZ43" s="2"/>
      <c r="BA43" s="2"/>
      <c r="BB43" s="2"/>
      <c r="BC43" s="14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>
        <f t="shared" si="3"/>
        <v>11</v>
      </c>
      <c r="BR43" s="1">
        <v>2</v>
      </c>
      <c r="BS43" s="17">
        <v>1</v>
      </c>
      <c r="BT43" s="17" t="s">
        <v>244</v>
      </c>
      <c r="BU43">
        <f t="shared" si="4"/>
        <v>11</v>
      </c>
      <c r="BV43" s="23">
        <f t="shared" si="5"/>
        <v>0</v>
      </c>
    </row>
    <row r="44" spans="1:74">
      <c r="A44" s="1"/>
      <c r="B44" s="3" t="s">
        <v>167</v>
      </c>
      <c r="C44" s="3" t="s">
        <v>149</v>
      </c>
      <c r="D44" s="1" t="s">
        <v>0</v>
      </c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28"/>
      <c r="Q44" s="28"/>
      <c r="R44" s="28"/>
      <c r="S44" s="28"/>
      <c r="T44" s="28"/>
      <c r="U44" s="28"/>
      <c r="V44" s="28"/>
      <c r="W44" s="28"/>
      <c r="X44" s="28">
        <v>2</v>
      </c>
      <c r="Y44" s="28"/>
      <c r="Z44" s="28"/>
      <c r="AA44" s="28">
        <v>2</v>
      </c>
      <c r="AB44" s="28"/>
      <c r="AC44" s="28">
        <v>5</v>
      </c>
      <c r="AD44" s="28">
        <v>2</v>
      </c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4"/>
      <c r="AR44" s="4"/>
      <c r="AS44" s="4"/>
      <c r="AT44" s="4"/>
      <c r="AU44" s="4"/>
      <c r="AV44" s="4"/>
      <c r="AW44" s="2"/>
      <c r="AX44" s="2"/>
      <c r="AY44" s="2"/>
      <c r="AZ44" s="2"/>
      <c r="BA44" s="2"/>
      <c r="BB44" s="2"/>
      <c r="BC44" s="14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>
        <f t="shared" si="3"/>
        <v>11</v>
      </c>
      <c r="BR44" s="1">
        <v>2</v>
      </c>
      <c r="BS44" s="17">
        <v>1</v>
      </c>
      <c r="BT44" s="17" t="s">
        <v>244</v>
      </c>
      <c r="BU44">
        <f t="shared" si="4"/>
        <v>11</v>
      </c>
      <c r="BV44" s="23">
        <f t="shared" si="5"/>
        <v>0</v>
      </c>
    </row>
    <row r="45" spans="1:74">
      <c r="A45" s="1"/>
      <c r="B45" s="3" t="s">
        <v>217</v>
      </c>
      <c r="C45" s="3" t="s">
        <v>112</v>
      </c>
      <c r="D45" s="1" t="s">
        <v>0</v>
      </c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28"/>
      <c r="Q45" s="28"/>
      <c r="R45" s="28"/>
      <c r="S45" s="28"/>
      <c r="T45" s="28"/>
      <c r="U45" s="28">
        <v>2</v>
      </c>
      <c r="V45" s="28"/>
      <c r="W45" s="28"/>
      <c r="X45" s="28"/>
      <c r="Y45" s="28"/>
      <c r="Z45" s="28"/>
      <c r="AA45" s="28">
        <v>2</v>
      </c>
      <c r="AB45" s="28"/>
      <c r="AC45" s="28">
        <v>5</v>
      </c>
      <c r="AD45" s="28">
        <v>2</v>
      </c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4"/>
      <c r="AR45" s="4"/>
      <c r="AS45" s="4"/>
      <c r="AT45" s="4"/>
      <c r="AU45" s="4"/>
      <c r="AV45" s="4"/>
      <c r="AW45" s="2"/>
      <c r="AX45" s="2"/>
      <c r="AY45" s="2"/>
      <c r="AZ45" s="2"/>
      <c r="BA45" s="2"/>
      <c r="BB45" s="2"/>
      <c r="BC45" s="14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>
        <f t="shared" si="3"/>
        <v>11</v>
      </c>
      <c r="BR45" s="1">
        <v>2</v>
      </c>
      <c r="BS45" s="17">
        <v>1</v>
      </c>
      <c r="BT45" s="17" t="s">
        <v>244</v>
      </c>
      <c r="BU45">
        <f t="shared" si="4"/>
        <v>11</v>
      </c>
      <c r="BV45" s="23">
        <f t="shared" si="5"/>
        <v>0</v>
      </c>
    </row>
    <row r="46" spans="1:74">
      <c r="A46" s="1"/>
      <c r="B46" s="1" t="s">
        <v>183</v>
      </c>
      <c r="C46" s="1" t="s">
        <v>46</v>
      </c>
      <c r="D46" s="1" t="s">
        <v>158</v>
      </c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28"/>
      <c r="Q46" s="28"/>
      <c r="R46" s="28"/>
      <c r="S46" s="28"/>
      <c r="T46" s="28"/>
      <c r="U46" s="28"/>
      <c r="V46" s="28"/>
      <c r="W46" s="28"/>
      <c r="X46" s="28">
        <v>2</v>
      </c>
      <c r="Y46" s="28"/>
      <c r="Z46" s="28"/>
      <c r="AA46" s="28">
        <v>2</v>
      </c>
      <c r="AB46" s="28"/>
      <c r="AC46" s="28">
        <v>5</v>
      </c>
      <c r="AD46" s="28">
        <v>2</v>
      </c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4"/>
      <c r="AR46" s="4"/>
      <c r="AS46" s="4"/>
      <c r="AT46" s="4"/>
      <c r="AU46" s="4"/>
      <c r="AV46" s="4"/>
      <c r="AW46" s="2"/>
      <c r="AX46" s="2"/>
      <c r="AY46" s="2"/>
      <c r="AZ46" s="2"/>
      <c r="BA46" s="2"/>
      <c r="BB46" s="2"/>
      <c r="BC46" s="14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>
        <f t="shared" si="3"/>
        <v>11</v>
      </c>
      <c r="BR46" s="1">
        <v>2</v>
      </c>
      <c r="BS46" s="17">
        <v>1</v>
      </c>
      <c r="BT46" s="17" t="s">
        <v>240</v>
      </c>
      <c r="BU46">
        <f t="shared" si="4"/>
        <v>11</v>
      </c>
      <c r="BV46" s="23">
        <f t="shared" si="5"/>
        <v>0</v>
      </c>
    </row>
    <row r="47" spans="1:74">
      <c r="A47" s="1"/>
      <c r="B47" s="3" t="s">
        <v>236</v>
      </c>
      <c r="C47" s="3" t="s">
        <v>57</v>
      </c>
      <c r="D47" s="1" t="s">
        <v>114</v>
      </c>
      <c r="E47" s="6"/>
      <c r="F47" s="6"/>
      <c r="G47" s="6">
        <v>5</v>
      </c>
      <c r="H47" s="6">
        <v>5</v>
      </c>
      <c r="I47" s="6"/>
      <c r="J47" s="6"/>
      <c r="K47" s="6"/>
      <c r="L47" s="6"/>
      <c r="M47" s="6"/>
      <c r="N47" s="6"/>
      <c r="O47" s="6"/>
      <c r="P47" s="28"/>
      <c r="Q47" s="28"/>
      <c r="R47" s="28"/>
      <c r="S47" s="28"/>
      <c r="T47" s="28"/>
      <c r="U47" s="28"/>
      <c r="V47" s="28"/>
      <c r="W47" s="28"/>
      <c r="X47" s="28"/>
      <c r="Y47" s="28"/>
      <c r="Z47" s="28"/>
      <c r="AA47" s="28"/>
      <c r="AB47" s="28"/>
      <c r="AC47" s="28"/>
      <c r="AD47" s="28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4"/>
      <c r="AR47" s="4"/>
      <c r="AS47" s="4"/>
      <c r="AT47" s="4"/>
      <c r="AU47" s="4"/>
      <c r="AV47" s="4"/>
      <c r="AW47" s="2"/>
      <c r="AX47" s="2"/>
      <c r="AY47" s="2"/>
      <c r="AZ47" s="2"/>
      <c r="BA47" s="2">
        <v>5</v>
      </c>
      <c r="BB47" s="2">
        <v>5</v>
      </c>
      <c r="BC47" s="14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>
        <f t="shared" si="3"/>
        <v>20</v>
      </c>
      <c r="BR47" s="1">
        <v>2</v>
      </c>
      <c r="BS47" s="17">
        <v>1</v>
      </c>
      <c r="BT47" s="17" t="s">
        <v>258</v>
      </c>
      <c r="BU47">
        <f t="shared" si="4"/>
        <v>0</v>
      </c>
      <c r="BV47" s="23">
        <f t="shared" si="5"/>
        <v>0</v>
      </c>
    </row>
    <row r="48" spans="1:74">
      <c r="A48" s="18">
        <v>32</v>
      </c>
      <c r="B48" s="18" t="s">
        <v>54</v>
      </c>
      <c r="C48" s="18" t="s">
        <v>21</v>
      </c>
      <c r="D48" s="18" t="s">
        <v>17</v>
      </c>
      <c r="E48" s="19"/>
      <c r="F48" s="19"/>
      <c r="G48" s="19"/>
      <c r="H48" s="19"/>
      <c r="I48" s="19"/>
      <c r="J48" s="19"/>
      <c r="K48" s="19"/>
      <c r="L48" s="19"/>
      <c r="M48" s="19"/>
      <c r="N48" s="19"/>
      <c r="O48" s="19"/>
      <c r="P48" s="29"/>
      <c r="Q48" s="29"/>
      <c r="R48" s="29"/>
      <c r="S48" s="29"/>
      <c r="T48" s="29"/>
      <c r="U48" s="29"/>
      <c r="V48" s="29"/>
      <c r="W48" s="29"/>
      <c r="X48" s="29"/>
      <c r="Y48" s="29"/>
      <c r="Z48" s="29"/>
      <c r="AA48" s="29"/>
      <c r="AB48" s="29"/>
      <c r="AC48" s="29"/>
      <c r="AD48" s="29"/>
      <c r="AE48" s="18"/>
      <c r="AF48" s="18"/>
      <c r="AG48" s="18"/>
      <c r="AH48" s="18"/>
      <c r="AI48" s="18">
        <v>5</v>
      </c>
      <c r="AJ48" s="18"/>
      <c r="AK48" s="18"/>
      <c r="AL48" s="18"/>
      <c r="AM48" s="18"/>
      <c r="AN48" s="18"/>
      <c r="AO48" s="18"/>
      <c r="AP48" s="18"/>
      <c r="AQ48" s="20"/>
      <c r="AR48" s="20"/>
      <c r="AS48" s="20"/>
      <c r="AT48" s="20"/>
      <c r="AU48" s="20"/>
      <c r="AV48" s="20"/>
      <c r="AW48" s="21"/>
      <c r="AX48" s="21"/>
      <c r="AY48" s="21"/>
      <c r="AZ48" s="21"/>
      <c r="BA48" s="21"/>
      <c r="BB48" s="21"/>
      <c r="BC48" s="26"/>
      <c r="BD48" s="18"/>
      <c r="BE48" s="18"/>
      <c r="BF48" s="18"/>
      <c r="BG48" s="18"/>
      <c r="BH48" s="18"/>
      <c r="BI48" s="18"/>
      <c r="BJ48" s="18"/>
      <c r="BK48" s="18"/>
      <c r="BL48" s="18"/>
      <c r="BM48" s="18"/>
      <c r="BN48" s="18"/>
      <c r="BO48" s="18"/>
      <c r="BP48" s="18"/>
      <c r="BQ48" s="18">
        <f t="shared" si="3"/>
        <v>5</v>
      </c>
      <c r="BR48" s="18">
        <v>5</v>
      </c>
      <c r="BS48" s="22">
        <v>1</v>
      </c>
      <c r="BT48" s="22" t="s">
        <v>224</v>
      </c>
      <c r="BU48">
        <f t="shared" si="4"/>
        <v>0</v>
      </c>
      <c r="BV48" s="23">
        <f t="shared" si="5"/>
        <v>5</v>
      </c>
    </row>
    <row r="49" spans="1:74">
      <c r="A49" s="18">
        <v>33</v>
      </c>
      <c r="B49" s="18" t="s">
        <v>54</v>
      </c>
      <c r="C49" s="18" t="s">
        <v>21</v>
      </c>
      <c r="D49" s="18" t="s">
        <v>0</v>
      </c>
      <c r="E49" s="19"/>
      <c r="F49" s="19"/>
      <c r="G49" s="19"/>
      <c r="H49" s="19"/>
      <c r="I49" s="19"/>
      <c r="J49" s="19"/>
      <c r="K49" s="19"/>
      <c r="L49" s="19"/>
      <c r="M49" s="19"/>
      <c r="N49" s="19"/>
      <c r="O49" s="19"/>
      <c r="P49" s="29"/>
      <c r="Q49" s="29"/>
      <c r="R49" s="29"/>
      <c r="S49" s="29"/>
      <c r="T49" s="29"/>
      <c r="U49" s="29"/>
      <c r="V49" s="29"/>
      <c r="W49" s="29"/>
      <c r="X49" s="29"/>
      <c r="Y49" s="29"/>
      <c r="Z49" s="29"/>
      <c r="AA49" s="29"/>
      <c r="AB49" s="29"/>
      <c r="AC49" s="29"/>
      <c r="AD49" s="29"/>
      <c r="AE49" s="18"/>
      <c r="AF49" s="18"/>
      <c r="AG49" s="18"/>
      <c r="AH49" s="18">
        <v>5</v>
      </c>
      <c r="AI49" s="18"/>
      <c r="AJ49" s="18"/>
      <c r="AK49" s="18"/>
      <c r="AL49" s="18"/>
      <c r="AM49" s="18"/>
      <c r="AN49" s="18"/>
      <c r="AO49" s="18"/>
      <c r="AP49" s="18"/>
      <c r="AQ49" s="20"/>
      <c r="AR49" s="20"/>
      <c r="AS49" s="20"/>
      <c r="AT49" s="20"/>
      <c r="AU49" s="20"/>
      <c r="AV49" s="20"/>
      <c r="AW49" s="21"/>
      <c r="AX49" s="21"/>
      <c r="AY49" s="21"/>
      <c r="AZ49" s="21"/>
      <c r="BA49" s="21"/>
      <c r="BB49" s="21"/>
      <c r="BC49" s="26"/>
      <c r="BD49" s="18"/>
      <c r="BE49" s="18"/>
      <c r="BF49" s="18"/>
      <c r="BG49" s="18"/>
      <c r="BH49" s="18"/>
      <c r="BI49" s="18"/>
      <c r="BJ49" s="18"/>
      <c r="BK49" s="18"/>
      <c r="BL49" s="18"/>
      <c r="BM49" s="18"/>
      <c r="BN49" s="18"/>
      <c r="BO49" s="18"/>
      <c r="BP49" s="18"/>
      <c r="BQ49" s="18">
        <f t="shared" si="3"/>
        <v>5</v>
      </c>
      <c r="BR49" s="18">
        <v>5</v>
      </c>
      <c r="BS49" s="22">
        <v>1</v>
      </c>
      <c r="BT49" s="22" t="s">
        <v>225</v>
      </c>
      <c r="BU49">
        <f t="shared" si="4"/>
        <v>0</v>
      </c>
      <c r="BV49" s="23">
        <f t="shared" si="5"/>
        <v>5</v>
      </c>
    </row>
    <row r="50" spans="1:74">
      <c r="A50" s="18"/>
      <c r="B50" s="18" t="s">
        <v>83</v>
      </c>
      <c r="C50" s="18" t="s">
        <v>81</v>
      </c>
      <c r="D50" s="18" t="s">
        <v>78</v>
      </c>
      <c r="E50" s="19"/>
      <c r="F50" s="19"/>
      <c r="G50" s="19"/>
      <c r="H50" s="19"/>
      <c r="I50" s="19"/>
      <c r="J50" s="19"/>
      <c r="K50" s="19"/>
      <c r="L50" s="19"/>
      <c r="M50" s="19"/>
      <c r="N50" s="19"/>
      <c r="O50" s="19"/>
      <c r="P50" s="29"/>
      <c r="Q50" s="29"/>
      <c r="R50" s="29"/>
      <c r="S50" s="29"/>
      <c r="T50" s="29"/>
      <c r="U50" s="29"/>
      <c r="V50" s="29"/>
      <c r="W50" s="29"/>
      <c r="X50" s="29"/>
      <c r="Y50" s="29"/>
      <c r="Z50" s="29"/>
      <c r="AA50" s="29"/>
      <c r="AB50" s="29"/>
      <c r="AC50" s="29"/>
      <c r="AD50" s="29"/>
      <c r="AE50" s="18"/>
      <c r="AF50" s="18"/>
      <c r="AG50" s="18"/>
      <c r="AH50" s="18">
        <v>5</v>
      </c>
      <c r="AI50" s="18"/>
      <c r="AJ50" s="18"/>
      <c r="AK50" s="18"/>
      <c r="AL50" s="18"/>
      <c r="AM50" s="18"/>
      <c r="AN50" s="18"/>
      <c r="AO50" s="18"/>
      <c r="AP50" s="18"/>
      <c r="AQ50" s="20"/>
      <c r="AR50" s="20"/>
      <c r="AS50" s="20"/>
      <c r="AT50" s="20"/>
      <c r="AU50" s="20"/>
      <c r="AV50" s="20"/>
      <c r="AW50" s="21"/>
      <c r="AX50" s="21"/>
      <c r="AY50" s="21"/>
      <c r="AZ50" s="21"/>
      <c r="BA50" s="21"/>
      <c r="BB50" s="21"/>
      <c r="BC50" s="26"/>
      <c r="BD50" s="18"/>
      <c r="BE50" s="18"/>
      <c r="BF50" s="18"/>
      <c r="BG50" s="18"/>
      <c r="BH50" s="18"/>
      <c r="BI50" s="18"/>
      <c r="BJ50" s="18"/>
      <c r="BK50" s="18"/>
      <c r="BL50" s="18"/>
      <c r="BM50" s="18"/>
      <c r="BN50" s="18"/>
      <c r="BO50" s="18"/>
      <c r="BP50" s="18"/>
      <c r="BQ50" s="18">
        <f t="shared" si="3"/>
        <v>5</v>
      </c>
      <c r="BR50" s="18">
        <v>5</v>
      </c>
      <c r="BS50" s="22">
        <v>1</v>
      </c>
      <c r="BT50" s="22" t="s">
        <v>245</v>
      </c>
      <c r="BU50">
        <f t="shared" si="4"/>
        <v>0</v>
      </c>
      <c r="BV50" s="23">
        <f t="shared" si="5"/>
        <v>5</v>
      </c>
    </row>
    <row r="51" spans="1:74">
      <c r="A51" s="18"/>
      <c r="B51" s="18" t="s">
        <v>83</v>
      </c>
      <c r="C51" s="18" t="s">
        <v>81</v>
      </c>
      <c r="D51" s="18" t="s">
        <v>74</v>
      </c>
      <c r="E51" s="19"/>
      <c r="F51" s="19"/>
      <c r="G51" s="19"/>
      <c r="H51" s="19"/>
      <c r="I51" s="19"/>
      <c r="J51" s="19"/>
      <c r="K51" s="19"/>
      <c r="L51" s="19"/>
      <c r="M51" s="19"/>
      <c r="N51" s="19"/>
      <c r="O51" s="19"/>
      <c r="P51" s="29"/>
      <c r="Q51" s="29"/>
      <c r="R51" s="29"/>
      <c r="S51" s="29"/>
      <c r="T51" s="29"/>
      <c r="U51" s="29"/>
      <c r="V51" s="29"/>
      <c r="W51" s="29"/>
      <c r="X51" s="29"/>
      <c r="Y51" s="29"/>
      <c r="Z51" s="29"/>
      <c r="AA51" s="29"/>
      <c r="AB51" s="29"/>
      <c r="AC51" s="29"/>
      <c r="AD51" s="29"/>
      <c r="AE51" s="18"/>
      <c r="AF51" s="18"/>
      <c r="AG51" s="18"/>
      <c r="AH51" s="18"/>
      <c r="AI51" s="18">
        <v>5</v>
      </c>
      <c r="AJ51" s="18"/>
      <c r="AK51" s="18"/>
      <c r="AL51" s="18"/>
      <c r="AM51" s="18"/>
      <c r="AN51" s="18"/>
      <c r="AO51" s="18"/>
      <c r="AP51" s="18"/>
      <c r="AQ51" s="20"/>
      <c r="AR51" s="20"/>
      <c r="AS51" s="20"/>
      <c r="AT51" s="20"/>
      <c r="AU51" s="20"/>
      <c r="AV51" s="20"/>
      <c r="AW51" s="21"/>
      <c r="AX51" s="21"/>
      <c r="AY51" s="21"/>
      <c r="AZ51" s="21"/>
      <c r="BA51" s="21"/>
      <c r="BB51" s="21"/>
      <c r="BC51" s="26"/>
      <c r="BD51" s="18"/>
      <c r="BE51" s="18"/>
      <c r="BF51" s="18"/>
      <c r="BG51" s="18"/>
      <c r="BH51" s="18"/>
      <c r="BI51" s="18"/>
      <c r="BJ51" s="18"/>
      <c r="BK51" s="18"/>
      <c r="BL51" s="18"/>
      <c r="BM51" s="18"/>
      <c r="BN51" s="18"/>
      <c r="BO51" s="18"/>
      <c r="BP51" s="18"/>
      <c r="BQ51" s="18">
        <f t="shared" si="3"/>
        <v>5</v>
      </c>
      <c r="BR51" s="18">
        <v>5</v>
      </c>
      <c r="BS51" s="22">
        <v>1</v>
      </c>
      <c r="BT51" s="22" t="s">
        <v>246</v>
      </c>
      <c r="BU51">
        <f t="shared" si="4"/>
        <v>0</v>
      </c>
      <c r="BV51" s="23">
        <f t="shared" si="5"/>
        <v>5</v>
      </c>
    </row>
    <row r="52" spans="1:74">
      <c r="A52" s="1"/>
      <c r="B52" s="1" t="s">
        <v>183</v>
      </c>
      <c r="C52" s="1" t="s">
        <v>46</v>
      </c>
      <c r="D52" s="1" t="s">
        <v>159</v>
      </c>
      <c r="E52" s="6"/>
      <c r="F52" s="6"/>
      <c r="G52" s="6"/>
      <c r="H52" s="6"/>
      <c r="I52" s="6"/>
      <c r="J52" s="6"/>
      <c r="K52" s="6"/>
      <c r="L52" s="6">
        <v>10</v>
      </c>
      <c r="M52" s="6"/>
      <c r="N52" s="6"/>
      <c r="O52" s="6"/>
      <c r="P52" s="28"/>
      <c r="Q52" s="28"/>
      <c r="R52" s="28">
        <v>10</v>
      </c>
      <c r="S52" s="28"/>
      <c r="T52" s="28"/>
      <c r="U52" s="28">
        <v>10</v>
      </c>
      <c r="V52" s="28"/>
      <c r="W52" s="28"/>
      <c r="X52" s="28"/>
      <c r="Y52" s="28"/>
      <c r="Z52" s="28"/>
      <c r="AA52" s="28"/>
      <c r="AB52" s="28"/>
      <c r="AC52" s="28"/>
      <c r="AD52" s="28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4"/>
      <c r="AR52" s="4"/>
      <c r="AS52" s="4"/>
      <c r="AT52" s="4"/>
      <c r="AU52" s="4"/>
      <c r="AV52" s="4">
        <v>10</v>
      </c>
      <c r="AW52" s="2"/>
      <c r="AX52" s="2"/>
      <c r="AY52" s="2"/>
      <c r="AZ52" s="2"/>
      <c r="BA52" s="2"/>
      <c r="BB52" s="2"/>
      <c r="BC52" s="14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>
        <f t="shared" si="3"/>
        <v>40</v>
      </c>
      <c r="BR52" s="1">
        <v>10</v>
      </c>
      <c r="BS52" s="17">
        <v>1</v>
      </c>
      <c r="BT52" s="17" t="s">
        <v>230</v>
      </c>
      <c r="BU52">
        <f t="shared" si="4"/>
        <v>20</v>
      </c>
      <c r="BV52" s="23">
        <f t="shared" si="5"/>
        <v>0</v>
      </c>
    </row>
    <row r="53" spans="1:74" s="44" customFormat="1">
      <c r="A53" s="1"/>
      <c r="B53" s="1" t="s">
        <v>181</v>
      </c>
      <c r="C53" s="1" t="s">
        <v>46</v>
      </c>
      <c r="D53" s="1" t="s">
        <v>163</v>
      </c>
      <c r="E53" s="6"/>
      <c r="F53" s="6"/>
      <c r="G53" s="6"/>
      <c r="H53" s="6"/>
      <c r="I53" s="6"/>
      <c r="J53" s="6"/>
      <c r="K53" s="6"/>
      <c r="L53" s="6">
        <v>10</v>
      </c>
      <c r="M53" s="6"/>
      <c r="N53" s="6"/>
      <c r="O53" s="6"/>
      <c r="P53" s="28"/>
      <c r="Q53" s="28"/>
      <c r="R53" s="28">
        <v>10</v>
      </c>
      <c r="S53" s="28"/>
      <c r="T53" s="28"/>
      <c r="U53" s="28">
        <v>10</v>
      </c>
      <c r="V53" s="28"/>
      <c r="W53" s="28"/>
      <c r="X53" s="28"/>
      <c r="Y53" s="28"/>
      <c r="Z53" s="28"/>
      <c r="AA53" s="28"/>
      <c r="AB53" s="28"/>
      <c r="AC53" s="28"/>
      <c r="AD53" s="28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4"/>
      <c r="AR53" s="4"/>
      <c r="AS53" s="4"/>
      <c r="AT53" s="4"/>
      <c r="AU53" s="4"/>
      <c r="AV53" s="4">
        <v>10</v>
      </c>
      <c r="AW53" s="2"/>
      <c r="AX53" s="2"/>
      <c r="AY53" s="2"/>
      <c r="AZ53" s="2"/>
      <c r="BA53" s="2"/>
      <c r="BB53" s="2"/>
      <c r="BC53" s="14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>
        <f t="shared" si="3"/>
        <v>40</v>
      </c>
      <c r="BR53" s="1">
        <v>10</v>
      </c>
      <c r="BS53" s="17">
        <v>1</v>
      </c>
      <c r="BT53" s="17" t="s">
        <v>247</v>
      </c>
      <c r="BU53">
        <f t="shared" si="4"/>
        <v>20</v>
      </c>
      <c r="BV53" s="23">
        <f t="shared" si="5"/>
        <v>0</v>
      </c>
    </row>
    <row r="54" spans="1:74" s="44" customFormat="1">
      <c r="A54" s="1"/>
      <c r="B54" s="1" t="s">
        <v>194</v>
      </c>
      <c r="C54" s="1" t="s">
        <v>104</v>
      </c>
      <c r="D54" s="1" t="s">
        <v>89</v>
      </c>
      <c r="E54" s="6">
        <v>10</v>
      </c>
      <c r="F54" s="6"/>
      <c r="G54" s="6"/>
      <c r="H54" s="6"/>
      <c r="I54" s="6"/>
      <c r="J54" s="6"/>
      <c r="K54" s="6"/>
      <c r="L54" s="6"/>
      <c r="M54" s="6"/>
      <c r="N54" s="6"/>
      <c r="O54" s="6"/>
      <c r="P54" s="28"/>
      <c r="Q54" s="28"/>
      <c r="R54" s="28">
        <v>10</v>
      </c>
      <c r="S54" s="28"/>
      <c r="T54" s="28"/>
      <c r="U54" s="28">
        <v>10</v>
      </c>
      <c r="V54" s="28"/>
      <c r="W54" s="28"/>
      <c r="X54" s="28"/>
      <c r="Y54" s="28"/>
      <c r="Z54" s="28"/>
      <c r="AA54" s="28"/>
      <c r="AB54" s="28"/>
      <c r="AC54" s="28"/>
      <c r="AD54" s="28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4"/>
      <c r="AR54" s="4"/>
      <c r="AS54" s="4"/>
      <c r="AT54" s="4"/>
      <c r="AU54" s="4">
        <v>10</v>
      </c>
      <c r="AV54" s="4"/>
      <c r="AW54" s="2"/>
      <c r="AX54" s="2"/>
      <c r="AY54" s="2"/>
      <c r="AZ54" s="2"/>
      <c r="BA54" s="2"/>
      <c r="BB54" s="2"/>
      <c r="BC54" s="14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>
        <f t="shared" si="3"/>
        <v>40</v>
      </c>
      <c r="BR54" s="1">
        <v>10</v>
      </c>
      <c r="BS54" s="17">
        <v>1</v>
      </c>
      <c r="BT54" s="17" t="s">
        <v>230</v>
      </c>
      <c r="BU54">
        <f t="shared" si="4"/>
        <v>20</v>
      </c>
      <c r="BV54" s="23">
        <f t="shared" si="5"/>
        <v>0</v>
      </c>
    </row>
    <row r="55" spans="1:74" s="44" customFormat="1">
      <c r="A55" s="1"/>
      <c r="B55" s="1" t="s">
        <v>108</v>
      </c>
      <c r="C55" s="1" t="s">
        <v>107</v>
      </c>
      <c r="D55" s="1" t="s">
        <v>89</v>
      </c>
      <c r="E55" s="6">
        <v>10</v>
      </c>
      <c r="F55" s="6"/>
      <c r="G55" s="6"/>
      <c r="H55" s="6"/>
      <c r="I55" s="6"/>
      <c r="J55" s="6"/>
      <c r="K55" s="6"/>
      <c r="L55" s="6"/>
      <c r="M55" s="6"/>
      <c r="N55" s="6"/>
      <c r="O55" s="6"/>
      <c r="P55" s="28"/>
      <c r="Q55" s="28"/>
      <c r="R55" s="28">
        <v>10</v>
      </c>
      <c r="S55" s="28"/>
      <c r="T55" s="28"/>
      <c r="U55" s="28">
        <v>10</v>
      </c>
      <c r="V55" s="28"/>
      <c r="W55" s="28"/>
      <c r="X55" s="28"/>
      <c r="Y55" s="28"/>
      <c r="Z55" s="28"/>
      <c r="AA55" s="28"/>
      <c r="AB55" s="28"/>
      <c r="AC55" s="28"/>
      <c r="AD55" s="28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4"/>
      <c r="AR55" s="4"/>
      <c r="AS55" s="4"/>
      <c r="AT55" s="4"/>
      <c r="AU55" s="4">
        <v>10</v>
      </c>
      <c r="AV55" s="4"/>
      <c r="AW55" s="2"/>
      <c r="AX55" s="2"/>
      <c r="AY55" s="2"/>
      <c r="AZ55" s="2"/>
      <c r="BA55" s="2"/>
      <c r="BB55" s="2"/>
      <c r="BC55" s="14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>
        <f t="shared" si="3"/>
        <v>40</v>
      </c>
      <c r="BR55" s="1">
        <v>10</v>
      </c>
      <c r="BS55" s="17">
        <v>1</v>
      </c>
      <c r="BT55" s="17" t="s">
        <v>247</v>
      </c>
      <c r="BU55">
        <f t="shared" si="4"/>
        <v>20</v>
      </c>
      <c r="BV55" s="23">
        <f t="shared" si="5"/>
        <v>0</v>
      </c>
    </row>
    <row r="56" spans="1:74" s="44" customFormat="1">
      <c r="A56" s="30"/>
      <c r="B56" s="30" t="s">
        <v>179</v>
      </c>
      <c r="C56" s="30" t="s">
        <v>112</v>
      </c>
      <c r="D56" s="30" t="s">
        <v>89</v>
      </c>
      <c r="E56" s="31">
        <v>10</v>
      </c>
      <c r="F56" s="31"/>
      <c r="G56" s="31"/>
      <c r="H56" s="31"/>
      <c r="I56" s="31"/>
      <c r="J56" s="31"/>
      <c r="K56" s="31"/>
      <c r="L56" s="31"/>
      <c r="M56" s="31"/>
      <c r="N56" s="31"/>
      <c r="O56" s="31"/>
      <c r="P56" s="32"/>
      <c r="Q56" s="32"/>
      <c r="R56" s="32">
        <v>10</v>
      </c>
      <c r="S56" s="32"/>
      <c r="T56" s="32"/>
      <c r="U56" s="32">
        <v>10</v>
      </c>
      <c r="V56" s="32"/>
      <c r="W56" s="32"/>
      <c r="X56" s="32"/>
      <c r="Y56" s="32"/>
      <c r="Z56" s="32"/>
      <c r="AA56" s="32"/>
      <c r="AB56" s="32"/>
      <c r="AC56" s="32"/>
      <c r="AD56" s="32"/>
      <c r="AE56" s="30"/>
      <c r="AF56" s="30"/>
      <c r="AG56" s="30"/>
      <c r="AH56" s="30"/>
      <c r="AI56" s="30"/>
      <c r="AJ56" s="30"/>
      <c r="AK56" s="30"/>
      <c r="AL56" s="30"/>
      <c r="AM56" s="30"/>
      <c r="AN56" s="30"/>
      <c r="AO56" s="30"/>
      <c r="AP56" s="30"/>
      <c r="AQ56" s="33"/>
      <c r="AR56" s="33"/>
      <c r="AS56" s="33"/>
      <c r="AT56" s="33"/>
      <c r="AU56" s="33">
        <v>10</v>
      </c>
      <c r="AV56" s="33"/>
      <c r="AW56" s="34"/>
      <c r="AX56" s="34"/>
      <c r="AY56" s="34"/>
      <c r="AZ56" s="34"/>
      <c r="BA56" s="34"/>
      <c r="BB56" s="34"/>
      <c r="BC56" s="35"/>
      <c r="BD56" s="30"/>
      <c r="BE56" s="30"/>
      <c r="BF56" s="30"/>
      <c r="BG56" s="30"/>
      <c r="BH56" s="30"/>
      <c r="BI56" s="30"/>
      <c r="BJ56" s="30"/>
      <c r="BK56" s="30"/>
      <c r="BL56" s="30"/>
      <c r="BM56" s="30"/>
      <c r="BN56" s="30"/>
      <c r="BO56" s="30"/>
      <c r="BP56" s="30"/>
      <c r="BQ56" s="30">
        <f t="shared" si="3"/>
        <v>40</v>
      </c>
      <c r="BR56" s="30">
        <v>10</v>
      </c>
      <c r="BS56" s="36">
        <v>1</v>
      </c>
      <c r="BT56" s="36" t="s">
        <v>230</v>
      </c>
      <c r="BU56">
        <f t="shared" si="4"/>
        <v>20</v>
      </c>
      <c r="BV56" s="23">
        <f t="shared" si="5"/>
        <v>0</v>
      </c>
    </row>
    <row r="57" spans="1:74" s="44" customFormat="1">
      <c r="A57" s="1"/>
      <c r="B57" s="3" t="s">
        <v>153</v>
      </c>
      <c r="C57" s="3" t="s">
        <v>44</v>
      </c>
      <c r="D57" s="1" t="s">
        <v>147</v>
      </c>
      <c r="E57" s="6">
        <v>10</v>
      </c>
      <c r="F57" s="6"/>
      <c r="G57" s="6"/>
      <c r="H57" s="6"/>
      <c r="I57" s="6"/>
      <c r="J57" s="6"/>
      <c r="K57" s="6"/>
      <c r="L57" s="6"/>
      <c r="M57" s="6"/>
      <c r="N57" s="6"/>
      <c r="O57" s="6"/>
      <c r="P57" s="28"/>
      <c r="Q57" s="28"/>
      <c r="R57" s="28">
        <v>10</v>
      </c>
      <c r="S57" s="28"/>
      <c r="T57" s="28"/>
      <c r="U57" s="28">
        <v>10</v>
      </c>
      <c r="V57" s="28"/>
      <c r="W57" s="28"/>
      <c r="X57" s="28"/>
      <c r="Y57" s="28"/>
      <c r="Z57" s="28"/>
      <c r="AA57" s="28"/>
      <c r="AB57" s="28"/>
      <c r="AC57" s="28"/>
      <c r="AD57" s="28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4"/>
      <c r="AR57" s="4"/>
      <c r="AS57" s="4"/>
      <c r="AT57" s="4"/>
      <c r="AU57" s="4">
        <v>10</v>
      </c>
      <c r="AV57" s="4"/>
      <c r="AW57" s="2"/>
      <c r="AX57" s="2"/>
      <c r="AY57" s="2"/>
      <c r="AZ57" s="2"/>
      <c r="BA57" s="2"/>
      <c r="BB57" s="2"/>
      <c r="BC57" s="14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>
        <f t="shared" si="3"/>
        <v>40</v>
      </c>
      <c r="BR57" s="1">
        <v>10</v>
      </c>
      <c r="BS57" s="17">
        <v>1</v>
      </c>
      <c r="BT57" s="17" t="s">
        <v>230</v>
      </c>
      <c r="BU57">
        <f t="shared" si="4"/>
        <v>20</v>
      </c>
      <c r="BV57" s="23">
        <f t="shared" si="5"/>
        <v>0</v>
      </c>
    </row>
    <row r="58" spans="1:74" s="44" customFormat="1">
      <c r="A58" s="1"/>
      <c r="B58" s="1" t="s">
        <v>182</v>
      </c>
      <c r="C58" s="1" t="s">
        <v>46</v>
      </c>
      <c r="D58" s="1" t="s">
        <v>159</v>
      </c>
      <c r="E58" s="6">
        <v>10</v>
      </c>
      <c r="F58" s="6"/>
      <c r="G58" s="6"/>
      <c r="H58" s="6"/>
      <c r="I58" s="6"/>
      <c r="J58" s="6"/>
      <c r="K58" s="6"/>
      <c r="L58" s="6"/>
      <c r="M58" s="6"/>
      <c r="N58" s="6"/>
      <c r="O58" s="6"/>
      <c r="P58" s="28"/>
      <c r="Q58" s="28"/>
      <c r="R58" s="28">
        <v>10</v>
      </c>
      <c r="S58" s="28"/>
      <c r="T58" s="28"/>
      <c r="U58" s="28">
        <v>10</v>
      </c>
      <c r="V58" s="28"/>
      <c r="W58" s="28"/>
      <c r="X58" s="28"/>
      <c r="Y58" s="28"/>
      <c r="Z58" s="28"/>
      <c r="AA58" s="28"/>
      <c r="AB58" s="28"/>
      <c r="AC58" s="28"/>
      <c r="AD58" s="28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4"/>
      <c r="AR58" s="4"/>
      <c r="AS58" s="4"/>
      <c r="AT58" s="4"/>
      <c r="AU58" s="4">
        <v>10</v>
      </c>
      <c r="AV58" s="4"/>
      <c r="AW58" s="2"/>
      <c r="AX58" s="2"/>
      <c r="AY58" s="2"/>
      <c r="AZ58" s="2"/>
      <c r="BA58" s="2"/>
      <c r="BB58" s="2"/>
      <c r="BC58" s="14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>
        <f t="shared" si="3"/>
        <v>40</v>
      </c>
      <c r="BR58" s="1">
        <v>10</v>
      </c>
      <c r="BS58" s="17">
        <v>1</v>
      </c>
      <c r="BT58" s="17" t="s">
        <v>230</v>
      </c>
      <c r="BU58">
        <f t="shared" si="4"/>
        <v>20</v>
      </c>
      <c r="BV58" s="23">
        <f t="shared" si="5"/>
        <v>0</v>
      </c>
    </row>
    <row r="59" spans="1:74" s="44" customFormat="1">
      <c r="A59" s="1"/>
      <c r="B59" s="3" t="s">
        <v>217</v>
      </c>
      <c r="C59" s="3" t="s">
        <v>112</v>
      </c>
      <c r="D59" s="1" t="s">
        <v>147</v>
      </c>
      <c r="E59" s="6">
        <v>10</v>
      </c>
      <c r="F59" s="6"/>
      <c r="G59" s="6"/>
      <c r="H59" s="6"/>
      <c r="I59" s="6"/>
      <c r="J59" s="6"/>
      <c r="K59" s="6"/>
      <c r="L59" s="6"/>
      <c r="M59" s="6"/>
      <c r="N59" s="6"/>
      <c r="O59" s="6"/>
      <c r="P59" s="28"/>
      <c r="Q59" s="28"/>
      <c r="R59" s="28">
        <v>10</v>
      </c>
      <c r="S59" s="28"/>
      <c r="T59" s="28"/>
      <c r="U59" s="28">
        <v>10</v>
      </c>
      <c r="V59" s="28"/>
      <c r="W59" s="28"/>
      <c r="X59" s="28"/>
      <c r="Y59" s="28"/>
      <c r="Z59" s="28"/>
      <c r="AA59" s="28"/>
      <c r="AB59" s="28"/>
      <c r="AC59" s="28"/>
      <c r="AD59" s="28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4"/>
      <c r="AR59" s="4"/>
      <c r="AS59" s="4"/>
      <c r="AT59" s="4"/>
      <c r="AU59" s="4">
        <v>10</v>
      </c>
      <c r="AV59" s="4"/>
      <c r="AW59" s="2"/>
      <c r="AX59" s="2"/>
      <c r="AY59" s="2"/>
      <c r="AZ59" s="2"/>
      <c r="BA59" s="2"/>
      <c r="BB59" s="2"/>
      <c r="BC59" s="14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>
        <f t="shared" si="3"/>
        <v>40</v>
      </c>
      <c r="BR59" s="1">
        <v>10</v>
      </c>
      <c r="BS59" s="17">
        <v>1</v>
      </c>
      <c r="BT59" s="17" t="s">
        <v>230</v>
      </c>
      <c r="BU59">
        <f t="shared" si="4"/>
        <v>20</v>
      </c>
      <c r="BV59" s="23">
        <f t="shared" si="5"/>
        <v>0</v>
      </c>
    </row>
    <row r="60" spans="1:74" s="44" customFormat="1">
      <c r="A60" s="1"/>
      <c r="B60" s="3" t="s">
        <v>145</v>
      </c>
      <c r="C60" s="3" t="s">
        <v>44</v>
      </c>
      <c r="D60" s="1" t="s">
        <v>147</v>
      </c>
      <c r="E60" s="6"/>
      <c r="F60" s="6"/>
      <c r="G60" s="6"/>
      <c r="H60" s="6"/>
      <c r="I60" s="6"/>
      <c r="J60" s="6"/>
      <c r="K60" s="6"/>
      <c r="L60" s="6"/>
      <c r="M60" s="6">
        <v>10</v>
      </c>
      <c r="N60" s="6"/>
      <c r="O60" s="6"/>
      <c r="P60" s="28"/>
      <c r="Q60" s="28"/>
      <c r="R60" s="28"/>
      <c r="S60" s="28"/>
      <c r="T60" s="28"/>
      <c r="U60" s="28"/>
      <c r="V60" s="28"/>
      <c r="W60" s="28"/>
      <c r="X60" s="28"/>
      <c r="Y60" s="28"/>
      <c r="Z60" s="28"/>
      <c r="AA60" s="28">
        <v>10</v>
      </c>
      <c r="AB60" s="28"/>
      <c r="AC60" s="28"/>
      <c r="AD60" s="28">
        <v>10</v>
      </c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4"/>
      <c r="AR60" s="4"/>
      <c r="AS60" s="4">
        <v>10</v>
      </c>
      <c r="AT60" s="4"/>
      <c r="AU60" s="4"/>
      <c r="AV60" s="4"/>
      <c r="AW60" s="2"/>
      <c r="AX60" s="2"/>
      <c r="AY60" s="2"/>
      <c r="AZ60" s="2"/>
      <c r="BA60" s="2"/>
      <c r="BB60" s="2"/>
      <c r="BC60" s="14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>
        <f t="shared" si="3"/>
        <v>40</v>
      </c>
      <c r="BR60" s="1">
        <v>10</v>
      </c>
      <c r="BS60" s="17">
        <v>1</v>
      </c>
      <c r="BT60" s="17" t="s">
        <v>248</v>
      </c>
      <c r="BU60">
        <f t="shared" si="4"/>
        <v>20</v>
      </c>
      <c r="BV60" s="23">
        <f t="shared" si="5"/>
        <v>0</v>
      </c>
    </row>
    <row r="61" spans="1:74" s="44" customFormat="1">
      <c r="A61" s="1"/>
      <c r="B61" s="3" t="s">
        <v>223</v>
      </c>
      <c r="C61" s="3" t="s">
        <v>21</v>
      </c>
      <c r="D61" s="1" t="s">
        <v>147</v>
      </c>
      <c r="E61" s="6"/>
      <c r="F61" s="6"/>
      <c r="G61" s="6"/>
      <c r="H61" s="6"/>
      <c r="I61" s="6"/>
      <c r="J61" s="6"/>
      <c r="K61" s="6"/>
      <c r="L61" s="6"/>
      <c r="M61" s="6">
        <v>10</v>
      </c>
      <c r="N61" s="6"/>
      <c r="O61" s="6"/>
      <c r="P61" s="28"/>
      <c r="Q61" s="28"/>
      <c r="R61" s="28"/>
      <c r="S61" s="28"/>
      <c r="T61" s="28"/>
      <c r="U61" s="28"/>
      <c r="V61" s="28"/>
      <c r="W61" s="28"/>
      <c r="X61" s="28"/>
      <c r="Y61" s="28"/>
      <c r="Z61" s="28"/>
      <c r="AA61" s="28">
        <v>10</v>
      </c>
      <c r="AB61" s="28"/>
      <c r="AC61" s="28"/>
      <c r="AD61" s="28">
        <v>10</v>
      </c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4"/>
      <c r="AR61" s="4"/>
      <c r="AS61" s="4">
        <v>10</v>
      </c>
      <c r="AT61" s="4"/>
      <c r="AU61" s="4"/>
      <c r="AV61" s="4"/>
      <c r="AW61" s="2"/>
      <c r="AX61" s="2"/>
      <c r="AY61" s="2"/>
      <c r="AZ61" s="2"/>
      <c r="BA61" s="2"/>
      <c r="BB61" s="2"/>
      <c r="BC61" s="14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>
        <f t="shared" si="3"/>
        <v>40</v>
      </c>
      <c r="BR61" s="1">
        <v>10</v>
      </c>
      <c r="BS61" s="17">
        <v>1</v>
      </c>
      <c r="BT61" s="17" t="s">
        <v>248</v>
      </c>
      <c r="BU61">
        <f t="shared" si="4"/>
        <v>20</v>
      </c>
      <c r="BV61" s="23">
        <f t="shared" si="5"/>
        <v>0</v>
      </c>
    </row>
    <row r="62" spans="1:74" s="44" customFormat="1">
      <c r="A62" s="1"/>
      <c r="B62" s="3" t="s">
        <v>192</v>
      </c>
      <c r="C62" s="3" t="s">
        <v>150</v>
      </c>
      <c r="D62" s="1" t="s">
        <v>147</v>
      </c>
      <c r="E62" s="6"/>
      <c r="F62" s="6"/>
      <c r="G62" s="6"/>
      <c r="H62" s="6"/>
      <c r="I62" s="6"/>
      <c r="J62" s="6"/>
      <c r="K62" s="6"/>
      <c r="L62" s="6"/>
      <c r="M62" s="6">
        <v>10</v>
      </c>
      <c r="N62" s="6"/>
      <c r="O62" s="6"/>
      <c r="P62" s="28"/>
      <c r="Q62" s="28"/>
      <c r="R62" s="28"/>
      <c r="S62" s="28"/>
      <c r="T62" s="28"/>
      <c r="U62" s="28"/>
      <c r="V62" s="28"/>
      <c r="W62" s="28"/>
      <c r="X62" s="28"/>
      <c r="Y62" s="28"/>
      <c r="Z62" s="28"/>
      <c r="AA62" s="28">
        <v>10</v>
      </c>
      <c r="AB62" s="28"/>
      <c r="AC62" s="28"/>
      <c r="AD62" s="28">
        <v>10</v>
      </c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4"/>
      <c r="AR62" s="4"/>
      <c r="AS62" s="4">
        <v>10</v>
      </c>
      <c r="AT62" s="4"/>
      <c r="AU62" s="4"/>
      <c r="AV62" s="4"/>
      <c r="AW62" s="2"/>
      <c r="AX62" s="2"/>
      <c r="AY62" s="2"/>
      <c r="AZ62" s="2"/>
      <c r="BA62" s="2"/>
      <c r="BB62" s="2"/>
      <c r="BC62" s="14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>
        <f t="shared" si="3"/>
        <v>40</v>
      </c>
      <c r="BR62" s="1">
        <v>10</v>
      </c>
      <c r="BS62" s="17">
        <v>1</v>
      </c>
      <c r="BT62" s="17" t="s">
        <v>229</v>
      </c>
      <c r="BU62">
        <f t="shared" si="4"/>
        <v>20</v>
      </c>
      <c r="BV62" s="23">
        <f t="shared" si="5"/>
        <v>0</v>
      </c>
    </row>
    <row r="63" spans="1:74" s="44" customFormat="1">
      <c r="A63" s="1"/>
      <c r="B63" s="1" t="s">
        <v>175</v>
      </c>
      <c r="C63" s="1" t="s">
        <v>86</v>
      </c>
      <c r="D63" s="1" t="s">
        <v>177</v>
      </c>
      <c r="E63" s="6"/>
      <c r="F63" s="6"/>
      <c r="G63" s="6"/>
      <c r="H63" s="6"/>
      <c r="I63" s="6"/>
      <c r="J63" s="6"/>
      <c r="K63" s="6"/>
      <c r="L63" s="6"/>
      <c r="M63" s="6">
        <v>10</v>
      </c>
      <c r="N63" s="6"/>
      <c r="O63" s="6"/>
      <c r="P63" s="28"/>
      <c r="Q63" s="28"/>
      <c r="R63" s="28"/>
      <c r="S63" s="28"/>
      <c r="T63" s="28"/>
      <c r="U63" s="28"/>
      <c r="V63" s="28"/>
      <c r="W63" s="28"/>
      <c r="X63" s="28"/>
      <c r="Y63" s="28"/>
      <c r="Z63" s="28"/>
      <c r="AA63" s="28">
        <v>10</v>
      </c>
      <c r="AB63" s="28"/>
      <c r="AC63" s="28"/>
      <c r="AD63" s="28">
        <v>10</v>
      </c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4"/>
      <c r="AR63" s="4"/>
      <c r="AS63" s="4">
        <v>10</v>
      </c>
      <c r="AT63" s="4"/>
      <c r="AU63" s="4"/>
      <c r="AV63" s="4"/>
      <c r="AW63" s="2"/>
      <c r="AX63" s="2"/>
      <c r="AY63" s="2"/>
      <c r="AZ63" s="2"/>
      <c r="BA63" s="2"/>
      <c r="BB63" s="2"/>
      <c r="BC63" s="14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>
        <f t="shared" si="3"/>
        <v>40</v>
      </c>
      <c r="BR63" s="1">
        <v>10</v>
      </c>
      <c r="BS63" s="17">
        <v>1</v>
      </c>
      <c r="BT63" s="17" t="s">
        <v>229</v>
      </c>
      <c r="BU63">
        <f t="shared" si="4"/>
        <v>20</v>
      </c>
      <c r="BV63" s="23">
        <f t="shared" si="5"/>
        <v>0</v>
      </c>
    </row>
    <row r="64" spans="1:74" s="44" customFormat="1">
      <c r="A64" s="1"/>
      <c r="B64" s="1" t="s">
        <v>187</v>
      </c>
      <c r="C64" s="1" t="s">
        <v>178</v>
      </c>
      <c r="D64" s="1" t="s">
        <v>177</v>
      </c>
      <c r="E64" s="6"/>
      <c r="F64" s="6"/>
      <c r="G64" s="6"/>
      <c r="H64" s="6"/>
      <c r="I64" s="6"/>
      <c r="J64" s="6"/>
      <c r="K64" s="6"/>
      <c r="L64" s="6"/>
      <c r="M64" s="6">
        <v>10</v>
      </c>
      <c r="N64" s="6"/>
      <c r="O64" s="6"/>
      <c r="P64" s="28"/>
      <c r="Q64" s="28"/>
      <c r="R64" s="28"/>
      <c r="S64" s="28"/>
      <c r="T64" s="28"/>
      <c r="U64" s="28">
        <v>10</v>
      </c>
      <c r="V64" s="28"/>
      <c r="W64" s="28"/>
      <c r="X64" s="28"/>
      <c r="Y64" s="28"/>
      <c r="Z64" s="28"/>
      <c r="AA64" s="28">
        <v>10</v>
      </c>
      <c r="AB64" s="28"/>
      <c r="AC64" s="28"/>
      <c r="AD64" s="28">
        <v>10</v>
      </c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4"/>
      <c r="AR64" s="4"/>
      <c r="AS64" s="4"/>
      <c r="AT64" s="4"/>
      <c r="AU64" s="4"/>
      <c r="AV64" s="4"/>
      <c r="AW64" s="2"/>
      <c r="AX64" s="2"/>
      <c r="AY64" s="2"/>
      <c r="AZ64" s="2"/>
      <c r="BA64" s="2"/>
      <c r="BB64" s="2"/>
      <c r="BC64" s="14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>
        <f t="shared" si="3"/>
        <v>40</v>
      </c>
      <c r="BR64" s="1">
        <v>10</v>
      </c>
      <c r="BS64" s="17">
        <v>1</v>
      </c>
      <c r="BT64" s="17" t="s">
        <v>248</v>
      </c>
      <c r="BU64">
        <f t="shared" si="4"/>
        <v>30</v>
      </c>
      <c r="BV64" s="23">
        <f t="shared" si="5"/>
        <v>0</v>
      </c>
    </row>
    <row r="65" spans="1:74" s="44" customFormat="1">
      <c r="A65" s="1"/>
      <c r="B65" s="1" t="s">
        <v>98</v>
      </c>
      <c r="C65" s="1" t="s">
        <v>86</v>
      </c>
      <c r="D65" s="1" t="s">
        <v>89</v>
      </c>
      <c r="E65" s="6"/>
      <c r="F65" s="6"/>
      <c r="G65" s="6"/>
      <c r="H65" s="6"/>
      <c r="I65" s="6"/>
      <c r="J65" s="6"/>
      <c r="K65" s="6"/>
      <c r="L65" s="6"/>
      <c r="M65" s="6"/>
      <c r="N65" s="6"/>
      <c r="O65" s="6">
        <v>10</v>
      </c>
      <c r="P65" s="28"/>
      <c r="Q65" s="28"/>
      <c r="R65" s="28">
        <v>10</v>
      </c>
      <c r="S65" s="28"/>
      <c r="T65" s="28"/>
      <c r="U65" s="28"/>
      <c r="V65" s="28"/>
      <c r="W65" s="28"/>
      <c r="X65" s="28">
        <v>10</v>
      </c>
      <c r="Y65" s="28"/>
      <c r="Z65" s="28"/>
      <c r="AA65" s="28"/>
      <c r="AB65" s="28"/>
      <c r="AC65" s="28"/>
      <c r="AD65" s="28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4"/>
      <c r="AR65" s="4"/>
      <c r="AS65" s="4">
        <v>10</v>
      </c>
      <c r="AT65" s="4"/>
      <c r="AU65" s="4"/>
      <c r="AV65" s="4"/>
      <c r="AW65" s="2"/>
      <c r="AX65" s="2"/>
      <c r="AY65" s="2"/>
      <c r="AZ65" s="2"/>
      <c r="BA65" s="2"/>
      <c r="BB65" s="2"/>
      <c r="BC65" s="14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>
        <f t="shared" si="3"/>
        <v>40</v>
      </c>
      <c r="BR65" s="1">
        <v>10</v>
      </c>
      <c r="BS65" s="17">
        <v>1</v>
      </c>
      <c r="BT65" s="17" t="s">
        <v>247</v>
      </c>
      <c r="BU65">
        <f t="shared" si="4"/>
        <v>20</v>
      </c>
      <c r="BV65" s="23">
        <f t="shared" si="5"/>
        <v>0</v>
      </c>
    </row>
    <row r="66" spans="1:74" s="44" customFormat="1">
      <c r="A66" s="1"/>
      <c r="B66" s="3" t="s">
        <v>199</v>
      </c>
      <c r="C66" s="3" t="s">
        <v>85</v>
      </c>
      <c r="D66" s="1" t="s">
        <v>147</v>
      </c>
      <c r="E66" s="6"/>
      <c r="F66" s="6"/>
      <c r="G66" s="6"/>
      <c r="H66" s="6"/>
      <c r="I66" s="6">
        <v>10</v>
      </c>
      <c r="J66" s="6"/>
      <c r="K66" s="6"/>
      <c r="L66" s="6"/>
      <c r="M66" s="6"/>
      <c r="N66" s="6"/>
      <c r="O66" s="6"/>
      <c r="P66" s="28"/>
      <c r="Q66" s="28"/>
      <c r="R66" s="28">
        <v>10</v>
      </c>
      <c r="S66" s="28"/>
      <c r="T66" s="28"/>
      <c r="U66" s="28"/>
      <c r="V66" s="28"/>
      <c r="W66" s="28"/>
      <c r="X66" s="28">
        <v>10</v>
      </c>
      <c r="Y66" s="28"/>
      <c r="Z66" s="28"/>
      <c r="AA66" s="28"/>
      <c r="AB66" s="28"/>
      <c r="AC66" s="28"/>
      <c r="AD66" s="28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4"/>
      <c r="AR66" s="4"/>
      <c r="AS66" s="4"/>
      <c r="AT66" s="4">
        <v>10</v>
      </c>
      <c r="AU66" s="4"/>
      <c r="AV66" s="4"/>
      <c r="AW66" s="2"/>
      <c r="AX66" s="2"/>
      <c r="AY66" s="2"/>
      <c r="AZ66" s="2"/>
      <c r="BA66" s="2"/>
      <c r="BB66" s="2"/>
      <c r="BC66" s="14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>
        <f t="shared" ref="BQ66:BQ96" si="6">SUM(E66:BP66)</f>
        <v>40</v>
      </c>
      <c r="BR66" s="1">
        <v>10</v>
      </c>
      <c r="BS66" s="17">
        <v>1</v>
      </c>
      <c r="BT66" s="17" t="s">
        <v>247</v>
      </c>
      <c r="BU66">
        <f t="shared" ref="BU66:BU96" si="7">SUM(P66:AD66)</f>
        <v>20</v>
      </c>
      <c r="BV66" s="23">
        <f t="shared" ref="BV66:BV96" si="8">AF66+AH66+AI66+AJ66+AO66+AP66</f>
        <v>0</v>
      </c>
    </row>
    <row r="67" spans="1:74" s="44" customFormat="1">
      <c r="A67" s="1"/>
      <c r="B67" s="1" t="s">
        <v>160</v>
      </c>
      <c r="C67" s="1" t="s">
        <v>44</v>
      </c>
      <c r="D67" s="1" t="s">
        <v>159</v>
      </c>
      <c r="E67" s="6"/>
      <c r="F67" s="6"/>
      <c r="G67" s="6"/>
      <c r="H67" s="6"/>
      <c r="I67" s="6">
        <v>10</v>
      </c>
      <c r="J67" s="6"/>
      <c r="K67" s="6"/>
      <c r="L67" s="6"/>
      <c r="M67" s="6"/>
      <c r="N67" s="6"/>
      <c r="O67" s="6"/>
      <c r="P67" s="28"/>
      <c r="Q67" s="28"/>
      <c r="R67" s="28">
        <v>10</v>
      </c>
      <c r="S67" s="28"/>
      <c r="T67" s="28"/>
      <c r="U67" s="28"/>
      <c r="V67" s="28"/>
      <c r="W67" s="28"/>
      <c r="X67" s="28">
        <v>10</v>
      </c>
      <c r="Y67" s="28"/>
      <c r="Z67" s="28"/>
      <c r="AA67" s="28"/>
      <c r="AB67" s="28"/>
      <c r="AC67" s="28"/>
      <c r="AD67" s="28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4"/>
      <c r="AR67" s="4"/>
      <c r="AS67" s="4"/>
      <c r="AT67" s="4">
        <v>10</v>
      </c>
      <c r="AU67" s="4"/>
      <c r="AV67" s="4"/>
      <c r="AW67" s="2"/>
      <c r="AX67" s="2"/>
      <c r="AY67" s="2"/>
      <c r="AZ67" s="2"/>
      <c r="BA67" s="2"/>
      <c r="BB67" s="2"/>
      <c r="BC67" s="14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>
        <f t="shared" si="6"/>
        <v>40</v>
      </c>
      <c r="BR67" s="1">
        <v>10</v>
      </c>
      <c r="BS67" s="17">
        <v>1</v>
      </c>
      <c r="BT67" s="17" t="s">
        <v>247</v>
      </c>
      <c r="BU67">
        <f t="shared" si="7"/>
        <v>20</v>
      </c>
      <c r="BV67" s="23">
        <f t="shared" si="8"/>
        <v>0</v>
      </c>
    </row>
    <row r="68" spans="1:74" s="44" customFormat="1">
      <c r="A68" s="1"/>
      <c r="B68" s="1" t="s">
        <v>201</v>
      </c>
      <c r="C68" s="1" t="s">
        <v>46</v>
      </c>
      <c r="D68" s="1" t="s">
        <v>159</v>
      </c>
      <c r="E68" s="6"/>
      <c r="F68" s="6"/>
      <c r="G68" s="6"/>
      <c r="H68" s="6"/>
      <c r="I68" s="6">
        <v>10</v>
      </c>
      <c r="J68" s="6"/>
      <c r="K68" s="6"/>
      <c r="L68" s="6"/>
      <c r="M68" s="6"/>
      <c r="N68" s="6"/>
      <c r="O68" s="6"/>
      <c r="P68" s="28"/>
      <c r="Q68" s="28"/>
      <c r="R68" s="28">
        <v>10</v>
      </c>
      <c r="S68" s="28"/>
      <c r="T68" s="28"/>
      <c r="U68" s="28"/>
      <c r="V68" s="28"/>
      <c r="W68" s="28"/>
      <c r="X68" s="28">
        <v>10</v>
      </c>
      <c r="Y68" s="28"/>
      <c r="Z68" s="28"/>
      <c r="AA68" s="28"/>
      <c r="AB68" s="28"/>
      <c r="AC68" s="28"/>
      <c r="AD68" s="28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4"/>
      <c r="AR68" s="4"/>
      <c r="AS68" s="4"/>
      <c r="AT68" s="4">
        <v>10</v>
      </c>
      <c r="AU68" s="4"/>
      <c r="AV68" s="4"/>
      <c r="AW68" s="2"/>
      <c r="AX68" s="2"/>
      <c r="AY68" s="2"/>
      <c r="AZ68" s="2"/>
      <c r="BA68" s="2"/>
      <c r="BB68" s="2"/>
      <c r="BC68" s="14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>
        <f t="shared" si="6"/>
        <v>40</v>
      </c>
      <c r="BR68" s="1">
        <v>10</v>
      </c>
      <c r="BS68" s="17">
        <v>1</v>
      </c>
      <c r="BT68" s="17" t="s">
        <v>247</v>
      </c>
      <c r="BU68">
        <f t="shared" si="7"/>
        <v>20</v>
      </c>
      <c r="BV68" s="23">
        <f t="shared" si="8"/>
        <v>0</v>
      </c>
    </row>
    <row r="69" spans="1:74" s="44" customFormat="1">
      <c r="A69" s="1"/>
      <c r="B69" s="3" t="s">
        <v>186</v>
      </c>
      <c r="C69" s="3" t="s">
        <v>38</v>
      </c>
      <c r="D69" s="1" t="s">
        <v>89</v>
      </c>
      <c r="E69" s="6"/>
      <c r="F69" s="6"/>
      <c r="G69" s="6"/>
      <c r="H69" s="6"/>
      <c r="I69" s="6"/>
      <c r="J69" s="6"/>
      <c r="K69" s="6">
        <v>15</v>
      </c>
      <c r="L69" s="6"/>
      <c r="M69" s="6"/>
      <c r="N69" s="6"/>
      <c r="O69" s="6"/>
      <c r="P69" s="28"/>
      <c r="Q69" s="28"/>
      <c r="R69" s="28">
        <v>10</v>
      </c>
      <c r="S69" s="28"/>
      <c r="T69" s="28"/>
      <c r="U69" s="28"/>
      <c r="V69" s="28"/>
      <c r="W69" s="28"/>
      <c r="X69" s="28">
        <v>10</v>
      </c>
      <c r="Y69" s="28"/>
      <c r="Z69" s="28"/>
      <c r="AA69" s="28"/>
      <c r="AB69" s="28"/>
      <c r="AC69" s="28"/>
      <c r="AD69" s="28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4"/>
      <c r="AR69" s="4"/>
      <c r="AS69" s="4"/>
      <c r="AT69" s="4"/>
      <c r="AU69" s="4"/>
      <c r="AV69" s="4"/>
      <c r="AW69" s="2">
        <v>15</v>
      </c>
      <c r="AX69" s="2">
        <v>15</v>
      </c>
      <c r="AY69" s="2"/>
      <c r="AZ69" s="2"/>
      <c r="BA69" s="2"/>
      <c r="BB69" s="2"/>
      <c r="BC69" s="14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>
        <f t="shared" si="6"/>
        <v>65</v>
      </c>
      <c r="BR69" s="1">
        <v>10</v>
      </c>
      <c r="BS69" s="17">
        <v>1</v>
      </c>
      <c r="BT69" s="17" t="s">
        <v>230</v>
      </c>
      <c r="BU69">
        <f t="shared" si="7"/>
        <v>20</v>
      </c>
      <c r="BV69" s="23">
        <f t="shared" si="8"/>
        <v>0</v>
      </c>
    </row>
    <row r="70" spans="1:74" s="44" customFormat="1">
      <c r="A70" s="1"/>
      <c r="B70" s="3" t="s">
        <v>216</v>
      </c>
      <c r="C70" s="3" t="s">
        <v>112</v>
      </c>
      <c r="D70" s="1" t="s">
        <v>147</v>
      </c>
      <c r="E70" s="6"/>
      <c r="F70" s="6"/>
      <c r="G70" s="6"/>
      <c r="H70" s="6"/>
      <c r="I70" s="6">
        <v>10</v>
      </c>
      <c r="J70" s="6"/>
      <c r="K70" s="6"/>
      <c r="L70" s="6"/>
      <c r="M70" s="6"/>
      <c r="N70" s="6"/>
      <c r="O70" s="6"/>
      <c r="P70" s="28"/>
      <c r="Q70" s="28"/>
      <c r="R70" s="28">
        <v>10</v>
      </c>
      <c r="S70" s="28"/>
      <c r="T70" s="28"/>
      <c r="U70" s="28"/>
      <c r="V70" s="28"/>
      <c r="W70" s="28"/>
      <c r="X70" s="28">
        <v>10</v>
      </c>
      <c r="Y70" s="28"/>
      <c r="Z70" s="28"/>
      <c r="AA70" s="28"/>
      <c r="AB70" s="28"/>
      <c r="AC70" s="28"/>
      <c r="AD70" s="28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4"/>
      <c r="AR70" s="4"/>
      <c r="AS70" s="4"/>
      <c r="AT70" s="4">
        <v>10</v>
      </c>
      <c r="AU70" s="4"/>
      <c r="AV70" s="4"/>
      <c r="AW70" s="2"/>
      <c r="AX70" s="2"/>
      <c r="AY70" s="2"/>
      <c r="AZ70" s="2"/>
      <c r="BA70" s="2"/>
      <c r="BB70" s="2"/>
      <c r="BC70" s="14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>
        <f t="shared" si="6"/>
        <v>40</v>
      </c>
      <c r="BR70" s="1">
        <v>10</v>
      </c>
      <c r="BS70" s="17">
        <v>1</v>
      </c>
      <c r="BT70" s="17" t="s">
        <v>247</v>
      </c>
      <c r="BU70">
        <f t="shared" si="7"/>
        <v>20</v>
      </c>
      <c r="BV70" s="23">
        <f t="shared" si="8"/>
        <v>0</v>
      </c>
    </row>
    <row r="71" spans="1:74" s="44" customFormat="1">
      <c r="A71" s="1"/>
      <c r="B71" s="3" t="s">
        <v>226</v>
      </c>
      <c r="C71" s="3" t="s">
        <v>218</v>
      </c>
      <c r="D71" s="1" t="s">
        <v>147</v>
      </c>
      <c r="E71" s="6"/>
      <c r="F71" s="6"/>
      <c r="G71" s="6"/>
      <c r="H71" s="6"/>
      <c r="I71" s="6">
        <v>10</v>
      </c>
      <c r="J71" s="6"/>
      <c r="K71" s="6"/>
      <c r="L71" s="6"/>
      <c r="M71" s="6"/>
      <c r="N71" s="6"/>
      <c r="O71" s="6"/>
      <c r="P71" s="28"/>
      <c r="Q71" s="28"/>
      <c r="R71" s="28">
        <v>10</v>
      </c>
      <c r="S71" s="28"/>
      <c r="T71" s="28"/>
      <c r="U71" s="28"/>
      <c r="V71" s="28"/>
      <c r="W71" s="28"/>
      <c r="X71" s="28">
        <v>10</v>
      </c>
      <c r="Y71" s="28"/>
      <c r="Z71" s="28"/>
      <c r="AA71" s="28"/>
      <c r="AB71" s="28"/>
      <c r="AC71" s="28"/>
      <c r="AD71" s="28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4"/>
      <c r="AR71" s="4"/>
      <c r="AS71" s="4"/>
      <c r="AT71" s="4">
        <v>10</v>
      </c>
      <c r="AU71" s="4"/>
      <c r="AV71" s="4"/>
      <c r="AW71" s="2"/>
      <c r="AX71" s="2"/>
      <c r="AY71" s="2"/>
      <c r="AZ71" s="2"/>
      <c r="BA71" s="2"/>
      <c r="BB71" s="2"/>
      <c r="BC71" s="14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>
        <f t="shared" si="6"/>
        <v>40</v>
      </c>
      <c r="BR71" s="1">
        <v>10</v>
      </c>
      <c r="BS71" s="17">
        <v>1</v>
      </c>
      <c r="BT71" s="17" t="s">
        <v>247</v>
      </c>
      <c r="BU71">
        <f t="shared" si="7"/>
        <v>20</v>
      </c>
      <c r="BV71" s="23">
        <f t="shared" si="8"/>
        <v>0</v>
      </c>
    </row>
    <row r="72" spans="1:74" s="44" customFormat="1">
      <c r="A72" s="1"/>
      <c r="B72" s="3" t="s">
        <v>167</v>
      </c>
      <c r="C72" s="3" t="s">
        <v>149</v>
      </c>
      <c r="D72" s="1" t="s">
        <v>147</v>
      </c>
      <c r="E72" s="6"/>
      <c r="F72" s="6"/>
      <c r="G72" s="6"/>
      <c r="H72" s="6"/>
      <c r="I72" s="6"/>
      <c r="J72" s="6"/>
      <c r="K72" s="6"/>
      <c r="L72" s="6"/>
      <c r="M72" s="6"/>
      <c r="N72" s="6">
        <v>10</v>
      </c>
      <c r="O72" s="6"/>
      <c r="P72" s="28"/>
      <c r="Q72" s="28"/>
      <c r="R72" s="28"/>
      <c r="S72" s="28"/>
      <c r="T72" s="28"/>
      <c r="U72" s="28"/>
      <c r="V72" s="28"/>
      <c r="W72" s="28"/>
      <c r="X72" s="28">
        <v>10</v>
      </c>
      <c r="Y72" s="28"/>
      <c r="Z72" s="28"/>
      <c r="AA72" s="28">
        <v>10</v>
      </c>
      <c r="AB72" s="28"/>
      <c r="AC72" s="28"/>
      <c r="AD72" s="28">
        <v>10</v>
      </c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4"/>
      <c r="AR72" s="4"/>
      <c r="AS72" s="4"/>
      <c r="AT72" s="4"/>
      <c r="AU72" s="4"/>
      <c r="AV72" s="4"/>
      <c r="AW72" s="2"/>
      <c r="AX72" s="2"/>
      <c r="AY72" s="2"/>
      <c r="AZ72" s="2"/>
      <c r="BA72" s="2"/>
      <c r="BB72" s="2"/>
      <c r="BC72" s="14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>
        <f t="shared" si="6"/>
        <v>40</v>
      </c>
      <c r="BR72" s="1">
        <v>10</v>
      </c>
      <c r="BS72" s="17">
        <v>1</v>
      </c>
      <c r="BT72" s="17" t="s">
        <v>229</v>
      </c>
      <c r="BU72">
        <f t="shared" si="7"/>
        <v>30</v>
      </c>
      <c r="BV72" s="23">
        <f t="shared" si="8"/>
        <v>0</v>
      </c>
    </row>
    <row r="73" spans="1:74" s="44" customFormat="1">
      <c r="A73" s="1"/>
      <c r="B73" s="1" t="s">
        <v>196</v>
      </c>
      <c r="C73" s="1" t="s">
        <v>112</v>
      </c>
      <c r="D73" s="1" t="s">
        <v>89</v>
      </c>
      <c r="E73" s="6"/>
      <c r="F73" s="6"/>
      <c r="G73" s="6">
        <v>10</v>
      </c>
      <c r="H73" s="6"/>
      <c r="I73" s="6"/>
      <c r="J73" s="6"/>
      <c r="K73" s="6"/>
      <c r="L73" s="6"/>
      <c r="M73" s="6"/>
      <c r="N73" s="6"/>
      <c r="O73" s="6"/>
      <c r="P73" s="28"/>
      <c r="Q73" s="28"/>
      <c r="R73" s="28"/>
      <c r="S73" s="28"/>
      <c r="T73" s="28"/>
      <c r="U73" s="28"/>
      <c r="V73" s="28"/>
      <c r="W73" s="28"/>
      <c r="X73" s="28">
        <v>10</v>
      </c>
      <c r="Y73" s="28"/>
      <c r="Z73" s="28"/>
      <c r="AA73" s="28"/>
      <c r="AB73" s="28"/>
      <c r="AC73" s="28"/>
      <c r="AD73" s="28">
        <v>10</v>
      </c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4"/>
      <c r="AR73" s="4"/>
      <c r="AS73" s="4"/>
      <c r="AT73" s="4"/>
      <c r="AU73" s="4"/>
      <c r="AV73" s="4">
        <v>10</v>
      </c>
      <c r="AW73" s="2"/>
      <c r="AX73" s="2"/>
      <c r="AY73" s="2"/>
      <c r="AZ73" s="2"/>
      <c r="BA73" s="2"/>
      <c r="BB73" s="2"/>
      <c r="BC73" s="14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>
        <f t="shared" si="6"/>
        <v>40</v>
      </c>
      <c r="BR73" s="1">
        <v>10</v>
      </c>
      <c r="BS73" s="17">
        <v>1</v>
      </c>
      <c r="BT73" s="17" t="s">
        <v>248</v>
      </c>
      <c r="BU73">
        <f t="shared" si="7"/>
        <v>20</v>
      </c>
      <c r="BV73" s="23">
        <f t="shared" si="8"/>
        <v>0</v>
      </c>
    </row>
    <row r="74" spans="1:74" s="44" customFormat="1">
      <c r="A74" s="1"/>
      <c r="B74" s="1" t="s">
        <v>165</v>
      </c>
      <c r="C74" s="1" t="s">
        <v>84</v>
      </c>
      <c r="D74" s="1" t="s">
        <v>114</v>
      </c>
      <c r="E74" s="6"/>
      <c r="F74" s="6"/>
      <c r="G74" s="6">
        <v>10</v>
      </c>
      <c r="H74" s="6"/>
      <c r="I74" s="6"/>
      <c r="J74" s="6"/>
      <c r="K74" s="6"/>
      <c r="L74" s="6"/>
      <c r="M74" s="6"/>
      <c r="N74" s="6"/>
      <c r="O74" s="6"/>
      <c r="P74" s="28"/>
      <c r="Q74" s="28"/>
      <c r="R74" s="28"/>
      <c r="S74" s="28"/>
      <c r="T74" s="28"/>
      <c r="U74" s="28"/>
      <c r="V74" s="28"/>
      <c r="W74" s="28"/>
      <c r="X74" s="28">
        <v>10</v>
      </c>
      <c r="Y74" s="28"/>
      <c r="Z74" s="28"/>
      <c r="AA74" s="28"/>
      <c r="AB74" s="28"/>
      <c r="AC74" s="28"/>
      <c r="AD74" s="28">
        <v>10</v>
      </c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4"/>
      <c r="AR74" s="4"/>
      <c r="AS74" s="4"/>
      <c r="AT74" s="4"/>
      <c r="AU74" s="4"/>
      <c r="AV74" s="4">
        <v>10</v>
      </c>
      <c r="AW74" s="2"/>
      <c r="AX74" s="2"/>
      <c r="AY74" s="2"/>
      <c r="AZ74" s="2"/>
      <c r="BA74" s="2"/>
      <c r="BB74" s="2"/>
      <c r="BC74" s="14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>
        <f t="shared" si="6"/>
        <v>40</v>
      </c>
      <c r="BR74" s="1">
        <v>10</v>
      </c>
      <c r="BS74" s="17">
        <v>1</v>
      </c>
      <c r="BT74" s="17" t="s">
        <v>248</v>
      </c>
      <c r="BU74">
        <f t="shared" si="7"/>
        <v>20</v>
      </c>
      <c r="BV74" s="23">
        <f t="shared" si="8"/>
        <v>0</v>
      </c>
    </row>
    <row r="75" spans="1:74" s="44" customFormat="1">
      <c r="A75" s="1"/>
      <c r="B75" s="3" t="s">
        <v>222</v>
      </c>
      <c r="C75" s="3" t="s">
        <v>150</v>
      </c>
      <c r="D75" s="1" t="s">
        <v>147</v>
      </c>
      <c r="E75" s="6"/>
      <c r="F75" s="6"/>
      <c r="G75" s="6">
        <v>10</v>
      </c>
      <c r="H75" s="6"/>
      <c r="I75" s="6"/>
      <c r="J75" s="6"/>
      <c r="K75" s="6"/>
      <c r="L75" s="6"/>
      <c r="M75" s="6"/>
      <c r="N75" s="6"/>
      <c r="O75" s="6"/>
      <c r="P75" s="28"/>
      <c r="Q75" s="28"/>
      <c r="R75" s="28"/>
      <c r="S75" s="28"/>
      <c r="T75" s="28"/>
      <c r="U75" s="28"/>
      <c r="V75" s="28"/>
      <c r="W75" s="28"/>
      <c r="X75" s="28">
        <v>10</v>
      </c>
      <c r="Y75" s="28"/>
      <c r="Z75" s="28"/>
      <c r="AA75" s="28"/>
      <c r="AB75" s="28"/>
      <c r="AC75" s="28"/>
      <c r="AD75" s="28">
        <v>10</v>
      </c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4"/>
      <c r="AR75" s="4"/>
      <c r="AS75" s="4"/>
      <c r="AT75" s="4"/>
      <c r="AU75" s="4"/>
      <c r="AV75" s="4">
        <v>10</v>
      </c>
      <c r="AW75" s="2"/>
      <c r="AX75" s="2"/>
      <c r="AY75" s="2"/>
      <c r="AZ75" s="2"/>
      <c r="BA75" s="2"/>
      <c r="BB75" s="2"/>
      <c r="BC75" s="14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>
        <f t="shared" si="6"/>
        <v>40</v>
      </c>
      <c r="BR75" s="1">
        <v>10</v>
      </c>
      <c r="BS75" s="17">
        <v>1</v>
      </c>
      <c r="BT75" s="17" t="s">
        <v>229</v>
      </c>
      <c r="BU75">
        <f t="shared" si="7"/>
        <v>20</v>
      </c>
      <c r="BV75" s="23">
        <f t="shared" si="8"/>
        <v>0</v>
      </c>
    </row>
    <row r="76" spans="1:74" s="44" customFormat="1">
      <c r="A76" s="1"/>
      <c r="B76" s="3" t="s">
        <v>227</v>
      </c>
      <c r="C76" s="1" t="s">
        <v>44</v>
      </c>
      <c r="D76" s="1" t="s">
        <v>8</v>
      </c>
      <c r="E76" s="6"/>
      <c r="F76" s="6"/>
      <c r="G76" s="6">
        <v>10</v>
      </c>
      <c r="H76" s="6"/>
      <c r="I76" s="6"/>
      <c r="J76" s="6"/>
      <c r="K76" s="6"/>
      <c r="L76" s="6"/>
      <c r="M76" s="6"/>
      <c r="N76" s="6"/>
      <c r="O76" s="6"/>
      <c r="P76" s="28"/>
      <c r="Q76" s="28"/>
      <c r="R76" s="28"/>
      <c r="S76" s="28"/>
      <c r="T76" s="28"/>
      <c r="U76" s="28"/>
      <c r="V76" s="28"/>
      <c r="W76" s="28"/>
      <c r="X76" s="28"/>
      <c r="Y76" s="28"/>
      <c r="Z76" s="28"/>
      <c r="AA76" s="28"/>
      <c r="AB76" s="28"/>
      <c r="AC76" s="28"/>
      <c r="AD76" s="28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4"/>
      <c r="AR76" s="4"/>
      <c r="AS76" s="4"/>
      <c r="AT76" s="4">
        <v>10</v>
      </c>
      <c r="AU76" s="4"/>
      <c r="AV76" s="4"/>
      <c r="AW76" s="2"/>
      <c r="AX76" s="2"/>
      <c r="AY76" s="2"/>
      <c r="AZ76" s="2"/>
      <c r="BA76" s="2"/>
      <c r="BB76" s="2"/>
      <c r="BC76" s="14"/>
      <c r="BD76" s="1">
        <v>10</v>
      </c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>
        <f t="shared" si="6"/>
        <v>30</v>
      </c>
      <c r="BR76" s="1">
        <v>10</v>
      </c>
      <c r="BS76" s="17">
        <v>1</v>
      </c>
      <c r="BT76" s="17" t="s">
        <v>241</v>
      </c>
      <c r="BU76">
        <f t="shared" si="7"/>
        <v>0</v>
      </c>
      <c r="BV76" s="23">
        <f t="shared" si="8"/>
        <v>0</v>
      </c>
    </row>
    <row r="77" spans="1:74" s="44" customFormat="1">
      <c r="A77" s="1"/>
      <c r="B77" s="1" t="s">
        <v>190</v>
      </c>
      <c r="C77" s="1" t="s">
        <v>104</v>
      </c>
      <c r="D77" s="1" t="s">
        <v>159</v>
      </c>
      <c r="E77" s="6"/>
      <c r="F77" s="6"/>
      <c r="G77" s="6">
        <v>10</v>
      </c>
      <c r="H77" s="6"/>
      <c r="I77" s="6"/>
      <c r="J77" s="6"/>
      <c r="K77" s="6"/>
      <c r="L77" s="6"/>
      <c r="M77" s="6"/>
      <c r="N77" s="6"/>
      <c r="O77" s="6"/>
      <c r="P77" s="28"/>
      <c r="Q77" s="28"/>
      <c r="R77" s="28"/>
      <c r="S77" s="28"/>
      <c r="T77" s="28"/>
      <c r="U77" s="28"/>
      <c r="V77" s="28"/>
      <c r="W77" s="28"/>
      <c r="X77" s="28">
        <v>10</v>
      </c>
      <c r="Y77" s="28"/>
      <c r="Z77" s="28"/>
      <c r="AA77" s="28"/>
      <c r="AB77" s="28"/>
      <c r="AC77" s="28"/>
      <c r="AD77" s="28">
        <v>10</v>
      </c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4"/>
      <c r="AR77" s="4"/>
      <c r="AS77" s="4"/>
      <c r="AT77" s="4"/>
      <c r="AU77" s="4"/>
      <c r="AV77" s="4">
        <v>10</v>
      </c>
      <c r="AW77" s="2"/>
      <c r="AX77" s="2"/>
      <c r="AY77" s="2"/>
      <c r="AZ77" s="2"/>
      <c r="BA77" s="2"/>
      <c r="BB77" s="2"/>
      <c r="BC77" s="14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>
        <f t="shared" si="6"/>
        <v>40</v>
      </c>
      <c r="BR77" s="1">
        <v>10</v>
      </c>
      <c r="BS77" s="17">
        <v>1</v>
      </c>
      <c r="BT77" s="17" t="s">
        <v>229</v>
      </c>
      <c r="BU77">
        <f t="shared" si="7"/>
        <v>20</v>
      </c>
      <c r="BV77" s="23">
        <f t="shared" si="8"/>
        <v>0</v>
      </c>
    </row>
    <row r="78" spans="1:74" s="44" customFormat="1">
      <c r="A78" s="18">
        <v>65</v>
      </c>
      <c r="B78" s="24" t="s">
        <v>235</v>
      </c>
      <c r="C78" s="18" t="s">
        <v>38</v>
      </c>
      <c r="D78" s="18" t="s">
        <v>8</v>
      </c>
      <c r="E78" s="19"/>
      <c r="F78" s="19"/>
      <c r="G78" s="19">
        <v>10</v>
      </c>
      <c r="H78" s="19"/>
      <c r="I78" s="19"/>
      <c r="J78" s="19"/>
      <c r="K78" s="19"/>
      <c r="L78" s="19"/>
      <c r="M78" s="19"/>
      <c r="N78" s="19"/>
      <c r="O78" s="19"/>
      <c r="P78" s="29"/>
      <c r="Q78" s="29"/>
      <c r="R78" s="29"/>
      <c r="S78" s="29"/>
      <c r="T78" s="29"/>
      <c r="U78" s="29"/>
      <c r="V78" s="29"/>
      <c r="W78" s="29"/>
      <c r="X78" s="29"/>
      <c r="Y78" s="29"/>
      <c r="Z78" s="29"/>
      <c r="AA78" s="29"/>
      <c r="AB78" s="29"/>
      <c r="AC78" s="29"/>
      <c r="AD78" s="29"/>
      <c r="AE78" s="18"/>
      <c r="AF78" s="18"/>
      <c r="AG78" s="18"/>
      <c r="AH78" s="18"/>
      <c r="AI78" s="18"/>
      <c r="AJ78" s="18"/>
      <c r="AK78" s="18"/>
      <c r="AL78" s="18"/>
      <c r="AM78" s="18"/>
      <c r="AN78" s="18">
        <v>25</v>
      </c>
      <c r="AO78" s="18"/>
      <c r="AP78" s="18"/>
      <c r="AQ78" s="20"/>
      <c r="AR78" s="20"/>
      <c r="AS78" s="20"/>
      <c r="AT78" s="20"/>
      <c r="AU78" s="20"/>
      <c r="AV78" s="20">
        <v>10</v>
      </c>
      <c r="AW78" s="21"/>
      <c r="AX78" s="21"/>
      <c r="AY78" s="21"/>
      <c r="AZ78" s="21">
        <v>10</v>
      </c>
      <c r="BA78" s="21"/>
      <c r="BB78" s="21"/>
      <c r="BC78" s="26"/>
      <c r="BD78" s="18"/>
      <c r="BE78" s="18"/>
      <c r="BF78" s="18"/>
      <c r="BG78" s="18"/>
      <c r="BH78" s="18"/>
      <c r="BI78" s="18"/>
      <c r="BJ78" s="18"/>
      <c r="BK78" s="18"/>
      <c r="BL78" s="18"/>
      <c r="BM78" s="18"/>
      <c r="BN78" s="18"/>
      <c r="BO78" s="18"/>
      <c r="BP78" s="18"/>
      <c r="BQ78" s="18">
        <f t="shared" si="6"/>
        <v>55</v>
      </c>
      <c r="BR78" s="18">
        <v>10</v>
      </c>
      <c r="BS78" s="22">
        <v>1</v>
      </c>
      <c r="BT78" s="22" t="s">
        <v>255</v>
      </c>
      <c r="BU78">
        <f t="shared" si="7"/>
        <v>0</v>
      </c>
      <c r="BV78" s="23">
        <f t="shared" si="8"/>
        <v>0</v>
      </c>
    </row>
    <row r="79" spans="1:74" s="44" customFormat="1">
      <c r="A79" s="1">
        <v>98</v>
      </c>
      <c r="B79" s="3" t="s">
        <v>115</v>
      </c>
      <c r="C79" s="3" t="s">
        <v>46</v>
      </c>
      <c r="D79" s="1" t="s">
        <v>0</v>
      </c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28"/>
      <c r="Q79" s="28"/>
      <c r="R79" s="28"/>
      <c r="S79" s="28"/>
      <c r="T79" s="28"/>
      <c r="U79" s="28"/>
      <c r="V79" s="28"/>
      <c r="W79" s="28"/>
      <c r="X79" s="28"/>
      <c r="Y79" s="28"/>
      <c r="Z79" s="28"/>
      <c r="AA79" s="28"/>
      <c r="AB79" s="28"/>
      <c r="AC79" s="28"/>
      <c r="AD79" s="28"/>
      <c r="AE79" s="1">
        <v>50</v>
      </c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4"/>
      <c r="AR79" s="4"/>
      <c r="AS79" s="4"/>
      <c r="AT79" s="4"/>
      <c r="AU79" s="4"/>
      <c r="AV79" s="4"/>
      <c r="AW79" s="2"/>
      <c r="AX79" s="2"/>
      <c r="AY79" s="2"/>
      <c r="AZ79" s="2"/>
      <c r="BA79" s="2"/>
      <c r="BB79" s="2"/>
      <c r="BC79" s="14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>
        <f t="shared" si="6"/>
        <v>50</v>
      </c>
      <c r="BR79" s="1">
        <v>13</v>
      </c>
      <c r="BS79" s="17">
        <v>1</v>
      </c>
      <c r="BT79" s="17" t="s">
        <v>232</v>
      </c>
      <c r="BU79">
        <f t="shared" si="7"/>
        <v>0</v>
      </c>
      <c r="BV79" s="23">
        <f t="shared" si="8"/>
        <v>0</v>
      </c>
    </row>
    <row r="80" spans="1:74" s="44" customFormat="1">
      <c r="A80" s="1"/>
      <c r="B80" s="1" t="s">
        <v>169</v>
      </c>
      <c r="C80" s="1" t="s">
        <v>75</v>
      </c>
      <c r="D80" s="1" t="s">
        <v>76</v>
      </c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28"/>
      <c r="Q80" s="28"/>
      <c r="R80" s="28"/>
      <c r="S80" s="28"/>
      <c r="T80" s="28"/>
      <c r="U80" s="28"/>
      <c r="V80" s="28"/>
      <c r="W80" s="28"/>
      <c r="X80" s="28"/>
      <c r="Y80" s="28"/>
      <c r="Z80" s="28"/>
      <c r="AA80" s="28"/>
      <c r="AB80" s="28"/>
      <c r="AC80" s="28"/>
      <c r="AD80" s="28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4"/>
      <c r="AR80" s="4"/>
      <c r="AS80" s="4"/>
      <c r="AT80" s="4"/>
      <c r="AU80" s="4"/>
      <c r="AV80" s="4">
        <v>40</v>
      </c>
      <c r="AW80" s="2">
        <v>40</v>
      </c>
      <c r="AX80" s="2"/>
      <c r="AY80" s="2"/>
      <c r="AZ80" s="2"/>
      <c r="BA80" s="2"/>
      <c r="BB80" s="2">
        <v>40</v>
      </c>
      <c r="BC80" s="14">
        <v>10</v>
      </c>
      <c r="BD80" s="1"/>
      <c r="BE80" s="1">
        <v>50</v>
      </c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>
        <f t="shared" si="6"/>
        <v>180</v>
      </c>
      <c r="BR80" s="1">
        <v>21</v>
      </c>
      <c r="BS80" s="17">
        <v>1</v>
      </c>
      <c r="BT80" s="17" t="s">
        <v>233</v>
      </c>
      <c r="BU80">
        <f t="shared" si="7"/>
        <v>0</v>
      </c>
      <c r="BV80" s="23">
        <f t="shared" si="8"/>
        <v>0</v>
      </c>
    </row>
    <row r="81" spans="1:74" s="44" customFormat="1">
      <c r="A81" s="1"/>
      <c r="B81" s="1" t="s">
        <v>204</v>
      </c>
      <c r="C81" s="1" t="s">
        <v>21</v>
      </c>
      <c r="D81" s="1" t="s">
        <v>180</v>
      </c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28"/>
      <c r="Q81" s="28"/>
      <c r="R81" s="28"/>
      <c r="S81" s="28"/>
      <c r="T81" s="28"/>
      <c r="U81" s="28"/>
      <c r="V81" s="28"/>
      <c r="W81" s="28"/>
      <c r="X81" s="28"/>
      <c r="Y81" s="28"/>
      <c r="Z81" s="28"/>
      <c r="AA81" s="28"/>
      <c r="AB81" s="28"/>
      <c r="AC81" s="28"/>
      <c r="AD81" s="28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4">
        <v>40</v>
      </c>
      <c r="AR81" s="4"/>
      <c r="AS81" s="4"/>
      <c r="AT81" s="4"/>
      <c r="AU81" s="4"/>
      <c r="AV81" s="4"/>
      <c r="AW81" s="2">
        <v>40</v>
      </c>
      <c r="AX81" s="2"/>
      <c r="AY81" s="2"/>
      <c r="AZ81" s="2"/>
      <c r="BA81" s="2">
        <v>40</v>
      </c>
      <c r="BB81" s="2"/>
      <c r="BC81" s="14">
        <v>10</v>
      </c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>
        <f t="shared" si="6"/>
        <v>130</v>
      </c>
      <c r="BR81" s="1">
        <v>28</v>
      </c>
      <c r="BS81" s="17">
        <v>1</v>
      </c>
      <c r="BT81" s="17" t="s">
        <v>249</v>
      </c>
      <c r="BU81">
        <f t="shared" si="7"/>
        <v>0</v>
      </c>
      <c r="BV81" s="23">
        <f t="shared" si="8"/>
        <v>0</v>
      </c>
    </row>
    <row r="82" spans="1:74" s="44" customFormat="1">
      <c r="A82" s="1"/>
      <c r="B82" s="1" t="s">
        <v>205</v>
      </c>
      <c r="C82" s="1" t="s">
        <v>81</v>
      </c>
      <c r="D82" s="1" t="s">
        <v>82</v>
      </c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28"/>
      <c r="Q82" s="28"/>
      <c r="R82" s="28"/>
      <c r="S82" s="28"/>
      <c r="T82" s="28"/>
      <c r="U82" s="28"/>
      <c r="V82" s="28"/>
      <c r="W82" s="28"/>
      <c r="X82" s="28"/>
      <c r="Y82" s="28"/>
      <c r="Z82" s="28"/>
      <c r="AA82" s="28"/>
      <c r="AB82" s="28"/>
      <c r="AC82" s="28"/>
      <c r="AD82" s="28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4"/>
      <c r="AR82" s="4"/>
      <c r="AS82" s="4"/>
      <c r="AT82" s="4"/>
      <c r="AU82" s="4"/>
      <c r="AV82" s="4"/>
      <c r="AW82" s="2"/>
      <c r="AX82" s="2"/>
      <c r="AY82" s="2"/>
      <c r="AZ82" s="2"/>
      <c r="BA82" s="2"/>
      <c r="BB82" s="2"/>
      <c r="BC82" s="14"/>
      <c r="BD82" s="1"/>
      <c r="BE82" s="1"/>
      <c r="BF82" s="1"/>
      <c r="BG82" s="1"/>
      <c r="BH82" s="1"/>
      <c r="BI82" s="1"/>
      <c r="BJ82" s="1"/>
      <c r="BK82" s="1">
        <v>50</v>
      </c>
      <c r="BL82" s="1">
        <v>50</v>
      </c>
      <c r="BM82" s="1"/>
      <c r="BN82" s="1"/>
      <c r="BO82" s="1">
        <v>50</v>
      </c>
      <c r="BP82" s="1">
        <v>50</v>
      </c>
      <c r="BQ82" s="1">
        <f t="shared" si="6"/>
        <v>200</v>
      </c>
      <c r="BR82" s="1">
        <v>47</v>
      </c>
      <c r="BS82" s="17">
        <v>1</v>
      </c>
      <c r="BT82" s="17" t="s">
        <v>250</v>
      </c>
      <c r="BU82">
        <f t="shared" si="7"/>
        <v>0</v>
      </c>
      <c r="BV82" s="23">
        <f t="shared" si="8"/>
        <v>0</v>
      </c>
    </row>
    <row r="83" spans="1:74" s="44" customFormat="1">
      <c r="A83" s="1"/>
      <c r="B83" s="1" t="s">
        <v>206</v>
      </c>
      <c r="C83" s="1" t="s">
        <v>111</v>
      </c>
      <c r="D83" s="1" t="s">
        <v>25</v>
      </c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28"/>
      <c r="Q83" s="28"/>
      <c r="R83" s="28"/>
      <c r="S83" s="28"/>
      <c r="T83" s="28"/>
      <c r="U83" s="28"/>
      <c r="V83" s="28"/>
      <c r="W83" s="28"/>
      <c r="X83" s="28"/>
      <c r="Y83" s="28"/>
      <c r="Z83" s="28"/>
      <c r="AA83" s="28"/>
      <c r="AB83" s="28"/>
      <c r="AC83" s="28"/>
      <c r="AD83" s="28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4"/>
      <c r="AR83" s="4"/>
      <c r="AS83" s="4"/>
      <c r="AT83" s="4"/>
      <c r="AU83" s="4"/>
      <c r="AV83" s="4"/>
      <c r="AW83" s="2"/>
      <c r="AX83" s="2"/>
      <c r="AY83" s="2"/>
      <c r="AZ83" s="2"/>
      <c r="BA83" s="2"/>
      <c r="BB83" s="2"/>
      <c r="BC83" s="14"/>
      <c r="BD83" s="1"/>
      <c r="BE83" s="1"/>
      <c r="BF83" s="1"/>
      <c r="BG83" s="1"/>
      <c r="BH83" s="1"/>
      <c r="BI83" s="1"/>
      <c r="BJ83" s="1"/>
      <c r="BK83" s="1">
        <v>50</v>
      </c>
      <c r="BL83" s="1">
        <v>50</v>
      </c>
      <c r="BM83" s="1"/>
      <c r="BN83" s="1"/>
      <c r="BO83" s="1">
        <v>50</v>
      </c>
      <c r="BP83" s="1">
        <v>50</v>
      </c>
      <c r="BQ83" s="1">
        <f t="shared" si="6"/>
        <v>200</v>
      </c>
      <c r="BR83" s="1">
        <v>47</v>
      </c>
      <c r="BS83" s="17">
        <v>1</v>
      </c>
      <c r="BT83" s="17" t="s">
        <v>250</v>
      </c>
      <c r="BU83">
        <f t="shared" si="7"/>
        <v>0</v>
      </c>
      <c r="BV83" s="23">
        <f t="shared" si="8"/>
        <v>0</v>
      </c>
    </row>
    <row r="84" spans="1:74" s="44" customFormat="1">
      <c r="A84" s="1">
        <v>102</v>
      </c>
      <c r="B84" s="3" t="s">
        <v>132</v>
      </c>
      <c r="C84" s="3" t="s">
        <v>46</v>
      </c>
      <c r="D84" s="1" t="s">
        <v>25</v>
      </c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28"/>
      <c r="Q84" s="28"/>
      <c r="R84" s="28"/>
      <c r="S84" s="28"/>
      <c r="T84" s="28"/>
      <c r="U84" s="28"/>
      <c r="V84" s="28"/>
      <c r="W84" s="28"/>
      <c r="X84" s="28"/>
      <c r="Y84" s="28"/>
      <c r="Z84" s="28"/>
      <c r="AA84" s="28"/>
      <c r="AB84" s="28"/>
      <c r="AC84" s="28"/>
      <c r="AD84" s="28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4"/>
      <c r="AR84" s="4"/>
      <c r="AS84" s="4"/>
      <c r="AT84" s="4"/>
      <c r="AU84" s="4"/>
      <c r="AV84" s="4"/>
      <c r="AW84" s="2"/>
      <c r="AX84" s="2"/>
      <c r="AY84" s="2"/>
      <c r="AZ84" s="2"/>
      <c r="BA84" s="2"/>
      <c r="BB84" s="2"/>
      <c r="BC84" s="14"/>
      <c r="BD84" s="1"/>
      <c r="BE84" s="1"/>
      <c r="BF84" s="1"/>
      <c r="BG84" s="1"/>
      <c r="BH84" s="1"/>
      <c r="BI84" s="1"/>
      <c r="BJ84" s="1"/>
      <c r="BK84" s="1">
        <v>50</v>
      </c>
      <c r="BL84" s="1">
        <v>50</v>
      </c>
      <c r="BM84" s="1"/>
      <c r="BN84" s="1"/>
      <c r="BO84" s="1">
        <v>50</v>
      </c>
      <c r="BP84" s="1">
        <v>50</v>
      </c>
      <c r="BQ84" s="1">
        <f t="shared" si="6"/>
        <v>200</v>
      </c>
      <c r="BR84" s="1">
        <v>47</v>
      </c>
      <c r="BS84" s="17">
        <v>1</v>
      </c>
      <c r="BT84" s="17" t="s">
        <v>250</v>
      </c>
      <c r="BU84">
        <f t="shared" si="7"/>
        <v>0</v>
      </c>
      <c r="BV84" s="23">
        <f t="shared" si="8"/>
        <v>0</v>
      </c>
    </row>
    <row r="85" spans="1:74" s="44" customFormat="1">
      <c r="A85" s="1">
        <v>85</v>
      </c>
      <c r="B85" s="3" t="s">
        <v>170</v>
      </c>
      <c r="C85" s="3" t="s">
        <v>44</v>
      </c>
      <c r="D85" s="1" t="s">
        <v>25</v>
      </c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28"/>
      <c r="Q85" s="28"/>
      <c r="R85" s="28"/>
      <c r="S85" s="28"/>
      <c r="T85" s="28"/>
      <c r="U85" s="28"/>
      <c r="V85" s="28"/>
      <c r="W85" s="28"/>
      <c r="X85" s="28"/>
      <c r="Y85" s="28"/>
      <c r="Z85" s="28"/>
      <c r="AA85" s="28"/>
      <c r="AB85" s="28"/>
      <c r="AC85" s="28"/>
      <c r="AD85" s="28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4"/>
      <c r="AR85" s="4"/>
      <c r="AS85" s="4"/>
      <c r="AT85" s="4"/>
      <c r="AU85" s="4"/>
      <c r="AV85" s="4"/>
      <c r="AW85" s="2"/>
      <c r="AX85" s="2"/>
      <c r="AY85" s="2"/>
      <c r="AZ85" s="2"/>
      <c r="BA85" s="2"/>
      <c r="BB85" s="2"/>
      <c r="BC85" s="14"/>
      <c r="BD85" s="1"/>
      <c r="BE85" s="1"/>
      <c r="BF85" s="1"/>
      <c r="BG85" s="1"/>
      <c r="BH85" s="1"/>
      <c r="BI85" s="1"/>
      <c r="BJ85" s="1"/>
      <c r="BK85" s="1"/>
      <c r="BL85" s="1"/>
      <c r="BM85" s="1">
        <v>50</v>
      </c>
      <c r="BN85" s="1">
        <v>50</v>
      </c>
      <c r="BO85" s="1">
        <v>50</v>
      </c>
      <c r="BP85" s="1">
        <v>50</v>
      </c>
      <c r="BQ85" s="1">
        <f t="shared" si="6"/>
        <v>200</v>
      </c>
      <c r="BR85" s="1">
        <v>47</v>
      </c>
      <c r="BS85" s="17">
        <v>1</v>
      </c>
      <c r="BT85" s="17" t="s">
        <v>250</v>
      </c>
      <c r="BU85">
        <f t="shared" si="7"/>
        <v>0</v>
      </c>
      <c r="BV85" s="23">
        <f t="shared" si="8"/>
        <v>0</v>
      </c>
    </row>
    <row r="86" spans="1:74" s="44" customFormat="1">
      <c r="A86" s="1"/>
      <c r="B86" s="1" t="s">
        <v>207</v>
      </c>
      <c r="C86" s="1" t="s">
        <v>84</v>
      </c>
      <c r="D86" s="1" t="s">
        <v>82</v>
      </c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28"/>
      <c r="Q86" s="28"/>
      <c r="R86" s="28"/>
      <c r="S86" s="28"/>
      <c r="T86" s="28"/>
      <c r="U86" s="28"/>
      <c r="V86" s="28"/>
      <c r="W86" s="28"/>
      <c r="X86" s="28"/>
      <c r="Y86" s="28"/>
      <c r="Z86" s="28"/>
      <c r="AA86" s="28"/>
      <c r="AB86" s="28"/>
      <c r="AC86" s="28"/>
      <c r="AD86" s="28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4"/>
      <c r="AR86" s="4"/>
      <c r="AS86" s="4"/>
      <c r="AT86" s="4"/>
      <c r="AU86" s="4"/>
      <c r="AV86" s="4"/>
      <c r="AW86" s="2"/>
      <c r="AX86" s="2"/>
      <c r="AY86" s="2"/>
      <c r="AZ86" s="2"/>
      <c r="BA86" s="2"/>
      <c r="BB86" s="2"/>
      <c r="BC86" s="14"/>
      <c r="BD86" s="1"/>
      <c r="BE86" s="1"/>
      <c r="BF86" s="1"/>
      <c r="BG86" s="1"/>
      <c r="BH86" s="1"/>
      <c r="BI86" s="1"/>
      <c r="BJ86" s="1"/>
      <c r="BK86" s="1"/>
      <c r="BL86" s="1"/>
      <c r="BM86" s="1">
        <v>50</v>
      </c>
      <c r="BN86" s="1">
        <v>50</v>
      </c>
      <c r="BO86" s="1">
        <v>50</v>
      </c>
      <c r="BP86" s="1">
        <v>50</v>
      </c>
      <c r="BQ86" s="1">
        <f t="shared" si="6"/>
        <v>200</v>
      </c>
      <c r="BR86" s="1">
        <v>47</v>
      </c>
      <c r="BS86" s="17">
        <v>1</v>
      </c>
      <c r="BT86" s="17" t="s">
        <v>208</v>
      </c>
      <c r="BU86">
        <f t="shared" si="7"/>
        <v>0</v>
      </c>
      <c r="BV86" s="23">
        <f t="shared" si="8"/>
        <v>0</v>
      </c>
    </row>
    <row r="87" spans="1:74" s="44" customFormat="1">
      <c r="A87" s="1"/>
      <c r="B87" s="3" t="s">
        <v>237</v>
      </c>
      <c r="C87" s="3" t="s">
        <v>57</v>
      </c>
      <c r="D87" s="1" t="s">
        <v>238</v>
      </c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  <c r="P87" s="28"/>
      <c r="Q87" s="28"/>
      <c r="R87" s="28"/>
      <c r="S87" s="28"/>
      <c r="T87" s="28"/>
      <c r="U87" s="28"/>
      <c r="V87" s="28"/>
      <c r="W87" s="28"/>
      <c r="X87" s="28"/>
      <c r="Y87" s="28"/>
      <c r="Z87" s="28"/>
      <c r="AA87" s="28"/>
      <c r="AB87" s="28"/>
      <c r="AC87" s="28"/>
      <c r="AD87" s="28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4"/>
      <c r="AR87" s="4"/>
      <c r="AS87" s="4"/>
      <c r="AT87" s="4"/>
      <c r="AU87" s="4"/>
      <c r="AV87" s="4"/>
      <c r="AW87" s="2"/>
      <c r="AX87" s="2"/>
      <c r="AY87" s="2"/>
      <c r="AZ87" s="2"/>
      <c r="BA87" s="2"/>
      <c r="BB87" s="2"/>
      <c r="BC87" s="14"/>
      <c r="BD87" s="1"/>
      <c r="BE87" s="1"/>
      <c r="BF87" s="1"/>
      <c r="BG87" s="1"/>
      <c r="BH87" s="1"/>
      <c r="BI87" s="1"/>
      <c r="BJ87" s="1"/>
      <c r="BK87" s="1"/>
      <c r="BL87" s="1"/>
      <c r="BM87" s="1">
        <v>50</v>
      </c>
      <c r="BN87" s="1">
        <v>50</v>
      </c>
      <c r="BO87" s="1">
        <v>50</v>
      </c>
      <c r="BP87" s="1">
        <v>50</v>
      </c>
      <c r="BQ87" s="1">
        <f t="shared" si="6"/>
        <v>200</v>
      </c>
      <c r="BR87" s="1">
        <v>47</v>
      </c>
      <c r="BS87" s="17">
        <v>1</v>
      </c>
      <c r="BT87" s="17" t="s">
        <v>242</v>
      </c>
      <c r="BU87">
        <f t="shared" si="7"/>
        <v>0</v>
      </c>
      <c r="BV87" s="23">
        <f t="shared" si="8"/>
        <v>0</v>
      </c>
    </row>
    <row r="88" spans="1:74" s="44" customFormat="1">
      <c r="A88" s="1">
        <v>99</v>
      </c>
      <c r="B88" s="3" t="s">
        <v>115</v>
      </c>
      <c r="C88" s="3" t="s">
        <v>46</v>
      </c>
      <c r="D88" s="1" t="s">
        <v>8</v>
      </c>
      <c r="E88" s="6"/>
      <c r="F88" s="6"/>
      <c r="G88" s="6"/>
      <c r="H88" s="6"/>
      <c r="I88" s="6"/>
      <c r="J88" s="6"/>
      <c r="K88" s="6"/>
      <c r="L88" s="6"/>
      <c r="M88" s="6"/>
      <c r="N88" s="6"/>
      <c r="O88" s="6"/>
      <c r="P88" s="28"/>
      <c r="Q88" s="28"/>
      <c r="R88" s="28"/>
      <c r="S88" s="28"/>
      <c r="T88" s="28"/>
      <c r="U88" s="28"/>
      <c r="V88" s="28"/>
      <c r="W88" s="28"/>
      <c r="X88" s="28"/>
      <c r="Y88" s="28"/>
      <c r="Z88" s="28"/>
      <c r="AA88" s="28"/>
      <c r="AB88" s="28"/>
      <c r="AC88" s="28"/>
      <c r="AD88" s="28"/>
      <c r="AE88" s="1">
        <v>200</v>
      </c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4"/>
      <c r="AR88" s="4"/>
      <c r="AS88" s="4"/>
      <c r="AT88" s="4"/>
      <c r="AU88" s="4"/>
      <c r="AV88" s="4"/>
      <c r="AW88" s="2"/>
      <c r="AX88" s="2"/>
      <c r="AY88" s="2"/>
      <c r="AZ88" s="2"/>
      <c r="BA88" s="2"/>
      <c r="BB88" s="2"/>
      <c r="BC88" s="14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>
        <f t="shared" si="6"/>
        <v>200</v>
      </c>
      <c r="BR88" s="1">
        <v>163</v>
      </c>
      <c r="BS88" s="17">
        <v>1</v>
      </c>
      <c r="BT88" s="17" t="s">
        <v>251</v>
      </c>
      <c r="BU88">
        <f t="shared" si="7"/>
        <v>0</v>
      </c>
      <c r="BV88" s="23">
        <f t="shared" si="8"/>
        <v>0</v>
      </c>
    </row>
    <row r="89" spans="1:74" s="44" customFormat="1" ht="27">
      <c r="A89" s="1"/>
      <c r="B89" s="1" t="s">
        <v>164</v>
      </c>
      <c r="C89" s="1" t="s">
        <v>32</v>
      </c>
      <c r="D89" s="1" t="s">
        <v>162</v>
      </c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28"/>
      <c r="Q89" s="28"/>
      <c r="R89" s="28">
        <v>2</v>
      </c>
      <c r="S89" s="28"/>
      <c r="T89" s="28">
        <v>5</v>
      </c>
      <c r="U89" s="28"/>
      <c r="V89" s="28"/>
      <c r="W89" s="28"/>
      <c r="X89" s="28">
        <v>2</v>
      </c>
      <c r="Y89" s="28"/>
      <c r="Z89" s="28"/>
      <c r="AA89" s="28"/>
      <c r="AB89" s="28"/>
      <c r="AC89" s="28"/>
      <c r="AD89" s="28">
        <v>2</v>
      </c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4"/>
      <c r="AR89" s="4"/>
      <c r="AS89" s="4"/>
      <c r="AT89" s="4"/>
      <c r="AU89" s="4"/>
      <c r="AV89" s="4"/>
      <c r="AW89" s="2"/>
      <c r="AX89" s="2"/>
      <c r="AY89" s="2"/>
      <c r="AZ89" s="2"/>
      <c r="BA89" s="2"/>
      <c r="BB89" s="2"/>
      <c r="BC89" s="14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>
        <f t="shared" si="6"/>
        <v>11</v>
      </c>
      <c r="BR89" s="1">
        <v>4</v>
      </c>
      <c r="BS89" s="17">
        <v>2</v>
      </c>
      <c r="BT89" s="17" t="s">
        <v>252</v>
      </c>
      <c r="BU89">
        <f t="shared" si="7"/>
        <v>11</v>
      </c>
      <c r="BV89" s="23">
        <f t="shared" si="8"/>
        <v>0</v>
      </c>
    </row>
    <row r="90" spans="1:74" s="44" customFormat="1" ht="27">
      <c r="A90" s="1"/>
      <c r="B90" s="3" t="s">
        <v>188</v>
      </c>
      <c r="C90" s="3" t="s">
        <v>172</v>
      </c>
      <c r="D90" s="1" t="s">
        <v>0</v>
      </c>
      <c r="E90" s="6"/>
      <c r="F90" s="6"/>
      <c r="G90" s="6"/>
      <c r="H90" s="6"/>
      <c r="I90" s="6"/>
      <c r="J90" s="6"/>
      <c r="K90" s="6"/>
      <c r="L90" s="6"/>
      <c r="M90" s="6"/>
      <c r="N90" s="6"/>
      <c r="O90" s="6"/>
      <c r="P90" s="28"/>
      <c r="Q90" s="28"/>
      <c r="R90" s="28">
        <v>2</v>
      </c>
      <c r="S90" s="28"/>
      <c r="T90" s="28"/>
      <c r="U90" s="28">
        <v>2</v>
      </c>
      <c r="V90" s="28"/>
      <c r="W90" s="28"/>
      <c r="X90" s="28"/>
      <c r="Y90" s="28"/>
      <c r="Z90" s="28"/>
      <c r="AA90" s="28"/>
      <c r="AB90" s="28"/>
      <c r="AC90" s="28">
        <v>5</v>
      </c>
      <c r="AD90" s="28">
        <v>2</v>
      </c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4"/>
      <c r="AR90" s="4"/>
      <c r="AS90" s="4"/>
      <c r="AT90" s="4"/>
      <c r="AU90" s="4"/>
      <c r="AV90" s="4"/>
      <c r="AW90" s="2"/>
      <c r="AX90" s="2"/>
      <c r="AY90" s="2"/>
      <c r="AZ90" s="2"/>
      <c r="BA90" s="2"/>
      <c r="BB90" s="2"/>
      <c r="BC90" s="14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>
        <f t="shared" si="6"/>
        <v>11</v>
      </c>
      <c r="BR90" s="1">
        <v>4</v>
      </c>
      <c r="BS90" s="17">
        <v>2</v>
      </c>
      <c r="BT90" s="17" t="s">
        <v>243</v>
      </c>
      <c r="BU90">
        <f t="shared" si="7"/>
        <v>11</v>
      </c>
      <c r="BV90" s="23">
        <f t="shared" si="8"/>
        <v>0</v>
      </c>
    </row>
    <row r="91" spans="1:74" s="44" customFormat="1" ht="27">
      <c r="A91" s="1"/>
      <c r="B91" s="3" t="s">
        <v>215</v>
      </c>
      <c r="C91" s="3" t="s">
        <v>112</v>
      </c>
      <c r="D91" s="1" t="s">
        <v>0</v>
      </c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28"/>
      <c r="Q91" s="28"/>
      <c r="R91" s="28">
        <v>2</v>
      </c>
      <c r="S91" s="28"/>
      <c r="T91" s="28">
        <v>5</v>
      </c>
      <c r="U91" s="28"/>
      <c r="V91" s="28"/>
      <c r="W91" s="28"/>
      <c r="X91" s="28">
        <v>2</v>
      </c>
      <c r="Y91" s="28"/>
      <c r="Z91" s="28"/>
      <c r="AA91" s="28"/>
      <c r="AB91" s="28"/>
      <c r="AC91" s="28"/>
      <c r="AD91" s="28">
        <v>2</v>
      </c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4"/>
      <c r="AR91" s="4"/>
      <c r="AS91" s="4"/>
      <c r="AT91" s="4"/>
      <c r="AU91" s="4"/>
      <c r="AV91" s="4"/>
      <c r="AW91" s="2"/>
      <c r="AX91" s="2"/>
      <c r="AY91" s="2"/>
      <c r="AZ91" s="2"/>
      <c r="BA91" s="2"/>
      <c r="BB91" s="2"/>
      <c r="BC91" s="14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>
        <f t="shared" si="6"/>
        <v>11</v>
      </c>
      <c r="BR91" s="1">
        <v>4</v>
      </c>
      <c r="BS91" s="17">
        <v>2</v>
      </c>
      <c r="BT91" s="17" t="s">
        <v>243</v>
      </c>
      <c r="BU91">
        <f t="shared" si="7"/>
        <v>11</v>
      </c>
      <c r="BV91" s="23">
        <f t="shared" si="8"/>
        <v>0</v>
      </c>
    </row>
    <row r="92" spans="1:74" s="44" customFormat="1" ht="27">
      <c r="A92" s="1"/>
      <c r="B92" s="3" t="s">
        <v>216</v>
      </c>
      <c r="C92" s="3" t="s">
        <v>112</v>
      </c>
      <c r="D92" s="1" t="s">
        <v>0</v>
      </c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28"/>
      <c r="Q92" s="28"/>
      <c r="R92" s="28">
        <v>2</v>
      </c>
      <c r="S92" s="28"/>
      <c r="T92" s="28"/>
      <c r="U92" s="28">
        <v>2</v>
      </c>
      <c r="V92" s="28"/>
      <c r="W92" s="28"/>
      <c r="X92" s="28"/>
      <c r="Y92" s="28"/>
      <c r="Z92" s="28"/>
      <c r="AA92" s="28"/>
      <c r="AB92" s="28"/>
      <c r="AC92" s="28">
        <v>5</v>
      </c>
      <c r="AD92" s="28">
        <v>2</v>
      </c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4"/>
      <c r="AR92" s="4"/>
      <c r="AS92" s="4"/>
      <c r="AT92" s="4"/>
      <c r="AU92" s="4"/>
      <c r="AV92" s="4"/>
      <c r="AW92" s="2"/>
      <c r="AX92" s="2"/>
      <c r="AY92" s="2"/>
      <c r="AZ92" s="2"/>
      <c r="BA92" s="2"/>
      <c r="BB92" s="2"/>
      <c r="BC92" s="14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>
        <f t="shared" si="6"/>
        <v>11</v>
      </c>
      <c r="BR92" s="1">
        <v>4</v>
      </c>
      <c r="BS92" s="17">
        <v>2</v>
      </c>
      <c r="BT92" s="17" t="s">
        <v>253</v>
      </c>
      <c r="BU92">
        <f t="shared" si="7"/>
        <v>11</v>
      </c>
      <c r="BV92" s="23">
        <f t="shared" si="8"/>
        <v>0</v>
      </c>
    </row>
    <row r="93" spans="1:74" s="44" customFormat="1" ht="27">
      <c r="A93" s="1">
        <v>27</v>
      </c>
      <c r="B93" s="1" t="s">
        <v>51</v>
      </c>
      <c r="C93" s="1" t="s">
        <v>21</v>
      </c>
      <c r="D93" s="1" t="s">
        <v>17</v>
      </c>
      <c r="E93" s="6"/>
      <c r="F93" s="6"/>
      <c r="G93" s="6"/>
      <c r="H93" s="6"/>
      <c r="I93" s="6"/>
      <c r="J93" s="6"/>
      <c r="K93" s="6"/>
      <c r="L93" s="6"/>
      <c r="M93" s="6"/>
      <c r="N93" s="6"/>
      <c r="O93" s="6"/>
      <c r="P93" s="28"/>
      <c r="Q93" s="28"/>
      <c r="R93" s="28"/>
      <c r="S93" s="28"/>
      <c r="T93" s="28"/>
      <c r="U93" s="28"/>
      <c r="V93" s="28"/>
      <c r="W93" s="28"/>
      <c r="X93" s="28"/>
      <c r="Y93" s="28"/>
      <c r="Z93" s="28"/>
      <c r="AA93" s="28"/>
      <c r="AB93" s="28"/>
      <c r="AC93" s="28"/>
      <c r="AD93" s="28"/>
      <c r="AE93" s="1"/>
      <c r="AF93" s="1"/>
      <c r="AG93" s="1"/>
      <c r="AH93" s="1">
        <v>5</v>
      </c>
      <c r="AI93" s="1">
        <v>5</v>
      </c>
      <c r="AJ93" s="1"/>
      <c r="AK93" s="1"/>
      <c r="AL93" s="1"/>
      <c r="AM93" s="1"/>
      <c r="AN93" s="1"/>
      <c r="AO93" s="1"/>
      <c r="AP93" s="1"/>
      <c r="AQ93" s="4"/>
      <c r="AR93" s="4"/>
      <c r="AS93" s="4"/>
      <c r="AT93" s="4"/>
      <c r="AU93" s="4"/>
      <c r="AV93" s="4"/>
      <c r="AW93" s="2"/>
      <c r="AX93" s="2"/>
      <c r="AY93" s="2"/>
      <c r="AZ93" s="2"/>
      <c r="BA93" s="2"/>
      <c r="BB93" s="2"/>
      <c r="BC93" s="14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>
        <f t="shared" si="6"/>
        <v>10</v>
      </c>
      <c r="BR93" s="1">
        <v>10</v>
      </c>
      <c r="BS93" s="17">
        <v>2</v>
      </c>
      <c r="BT93" s="17" t="s">
        <v>221</v>
      </c>
      <c r="BU93">
        <f t="shared" si="7"/>
        <v>0</v>
      </c>
      <c r="BV93" s="23">
        <f t="shared" si="8"/>
        <v>10</v>
      </c>
    </row>
    <row r="94" spans="1:74" s="44" customFormat="1" ht="27">
      <c r="A94" s="1">
        <v>88</v>
      </c>
      <c r="B94" s="3" t="s">
        <v>56</v>
      </c>
      <c r="C94" s="3" t="s">
        <v>57</v>
      </c>
      <c r="D94" s="1" t="s">
        <v>17</v>
      </c>
      <c r="E94" s="6"/>
      <c r="F94" s="6"/>
      <c r="G94" s="6"/>
      <c r="H94" s="6"/>
      <c r="I94" s="6"/>
      <c r="J94" s="6"/>
      <c r="K94" s="6"/>
      <c r="L94" s="6"/>
      <c r="M94" s="6"/>
      <c r="N94" s="6"/>
      <c r="O94" s="6"/>
      <c r="P94" s="28"/>
      <c r="Q94" s="28"/>
      <c r="R94" s="28"/>
      <c r="S94" s="28"/>
      <c r="T94" s="28"/>
      <c r="U94" s="28"/>
      <c r="V94" s="28"/>
      <c r="W94" s="28"/>
      <c r="X94" s="28"/>
      <c r="Y94" s="28"/>
      <c r="Z94" s="28"/>
      <c r="AA94" s="28"/>
      <c r="AB94" s="28"/>
      <c r="AC94" s="28"/>
      <c r="AD94" s="28"/>
      <c r="AE94" s="1"/>
      <c r="AF94" s="1"/>
      <c r="AG94" s="1"/>
      <c r="AH94" s="1">
        <v>5</v>
      </c>
      <c r="AI94" s="1">
        <v>5</v>
      </c>
      <c r="AJ94" s="1"/>
      <c r="AK94" s="1"/>
      <c r="AL94" s="1"/>
      <c r="AM94" s="1"/>
      <c r="AN94" s="1"/>
      <c r="AO94" s="1"/>
      <c r="AP94" s="1"/>
      <c r="AQ94" s="4"/>
      <c r="AR94" s="4"/>
      <c r="AS94" s="4"/>
      <c r="AT94" s="4"/>
      <c r="AU94" s="4"/>
      <c r="AV94" s="4"/>
      <c r="AW94" s="2"/>
      <c r="AX94" s="2"/>
      <c r="AY94" s="2"/>
      <c r="AZ94" s="2"/>
      <c r="BA94" s="2"/>
      <c r="BB94" s="2"/>
      <c r="BC94" s="14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>
        <f t="shared" si="6"/>
        <v>10</v>
      </c>
      <c r="BR94" s="1">
        <v>10</v>
      </c>
      <c r="BS94" s="17">
        <v>2</v>
      </c>
      <c r="BT94" s="17" t="s">
        <v>221</v>
      </c>
      <c r="BU94">
        <f t="shared" si="7"/>
        <v>0</v>
      </c>
      <c r="BV94" s="23">
        <f t="shared" si="8"/>
        <v>10</v>
      </c>
    </row>
    <row r="95" spans="1:74" s="44" customFormat="1" ht="27">
      <c r="A95" s="1">
        <v>89</v>
      </c>
      <c r="B95" s="3" t="s">
        <v>56</v>
      </c>
      <c r="C95" s="3" t="s">
        <v>57</v>
      </c>
      <c r="D95" s="1" t="s">
        <v>0</v>
      </c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28"/>
      <c r="Q95" s="28"/>
      <c r="R95" s="28"/>
      <c r="S95" s="28"/>
      <c r="T95" s="28"/>
      <c r="U95" s="28"/>
      <c r="V95" s="28"/>
      <c r="W95" s="28"/>
      <c r="X95" s="28"/>
      <c r="Y95" s="28"/>
      <c r="Z95" s="28"/>
      <c r="AA95" s="28"/>
      <c r="AB95" s="28"/>
      <c r="AC95" s="28"/>
      <c r="AD95" s="28"/>
      <c r="AE95" s="1"/>
      <c r="AF95" s="1">
        <v>5</v>
      </c>
      <c r="AG95" s="1"/>
      <c r="AH95" s="1">
        <v>5</v>
      </c>
      <c r="AI95" s="1">
        <v>5</v>
      </c>
      <c r="AJ95" s="1"/>
      <c r="AK95" s="1"/>
      <c r="AL95" s="1"/>
      <c r="AM95" s="1"/>
      <c r="AN95" s="1"/>
      <c r="AO95" s="1"/>
      <c r="AP95" s="1"/>
      <c r="AQ95" s="4"/>
      <c r="AR95" s="4"/>
      <c r="AS95" s="4"/>
      <c r="AT95" s="4"/>
      <c r="AU95" s="4"/>
      <c r="AV95" s="4"/>
      <c r="AW95" s="2"/>
      <c r="AX95" s="2"/>
      <c r="AY95" s="2"/>
      <c r="AZ95" s="2"/>
      <c r="BA95" s="2"/>
      <c r="BB95" s="2"/>
      <c r="BC95" s="14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>
        <f t="shared" si="6"/>
        <v>15</v>
      </c>
      <c r="BR95" s="1">
        <v>10</v>
      </c>
      <c r="BS95" s="17">
        <v>2</v>
      </c>
      <c r="BT95" s="17" t="s">
        <v>254</v>
      </c>
      <c r="BU95">
        <f t="shared" si="7"/>
        <v>0</v>
      </c>
      <c r="BV95" s="23">
        <f t="shared" si="8"/>
        <v>15</v>
      </c>
    </row>
    <row r="96" spans="1:74" s="44" customFormat="1" ht="27">
      <c r="A96" s="1"/>
      <c r="B96" s="1" t="s">
        <v>197</v>
      </c>
      <c r="C96" s="1" t="s">
        <v>112</v>
      </c>
      <c r="D96" s="1" t="s">
        <v>89</v>
      </c>
      <c r="E96" s="6"/>
      <c r="F96" s="6"/>
      <c r="G96" s="6"/>
      <c r="H96" s="6">
        <v>10</v>
      </c>
      <c r="I96" s="6"/>
      <c r="J96" s="6"/>
      <c r="K96" s="6"/>
      <c r="L96" s="6"/>
      <c r="M96" s="6"/>
      <c r="N96" s="6"/>
      <c r="O96" s="6"/>
      <c r="P96" s="28"/>
      <c r="Q96" s="28"/>
      <c r="R96" s="28">
        <v>10</v>
      </c>
      <c r="S96" s="28"/>
      <c r="T96" s="28"/>
      <c r="U96" s="28">
        <v>10</v>
      </c>
      <c r="V96" s="28"/>
      <c r="W96" s="28"/>
      <c r="X96" s="28"/>
      <c r="Y96" s="28"/>
      <c r="Z96" s="28"/>
      <c r="AA96" s="28"/>
      <c r="AB96" s="28"/>
      <c r="AC96" s="28"/>
      <c r="AD96" s="28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4"/>
      <c r="AR96" s="4"/>
      <c r="AS96" s="4"/>
      <c r="AT96" s="4"/>
      <c r="AU96" s="4">
        <v>10</v>
      </c>
      <c r="AV96" s="4"/>
      <c r="AW96" s="2"/>
      <c r="AX96" s="2"/>
      <c r="AY96" s="2"/>
      <c r="AZ96" s="2"/>
      <c r="BA96" s="2"/>
      <c r="BB96" s="2"/>
      <c r="BC96" s="14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>
        <f t="shared" si="6"/>
        <v>40</v>
      </c>
      <c r="BR96" s="1">
        <v>17</v>
      </c>
      <c r="BS96" s="17">
        <v>2</v>
      </c>
      <c r="BT96" s="17" t="s">
        <v>231</v>
      </c>
      <c r="BU96">
        <f t="shared" si="7"/>
        <v>20</v>
      </c>
      <c r="BV96" s="23">
        <f t="shared" si="8"/>
        <v>0</v>
      </c>
    </row>
    <row r="97" spans="1:74" s="44" customFormat="1" ht="27">
      <c r="A97" s="1"/>
      <c r="B97" s="1" t="s">
        <v>103</v>
      </c>
      <c r="C97" s="1" t="s">
        <v>86</v>
      </c>
      <c r="D97" s="1" t="s">
        <v>89</v>
      </c>
      <c r="E97" s="6"/>
      <c r="F97" s="6"/>
      <c r="G97" s="6"/>
      <c r="H97" s="6">
        <v>10</v>
      </c>
      <c r="I97" s="6"/>
      <c r="J97" s="6"/>
      <c r="K97" s="6"/>
      <c r="L97" s="6"/>
      <c r="M97" s="6"/>
      <c r="N97" s="6"/>
      <c r="O97" s="6"/>
      <c r="P97" s="28"/>
      <c r="Q97" s="28"/>
      <c r="R97" s="28">
        <v>10</v>
      </c>
      <c r="S97" s="28"/>
      <c r="T97" s="28"/>
      <c r="U97" s="28"/>
      <c r="V97" s="28"/>
      <c r="W97" s="28"/>
      <c r="X97" s="28">
        <v>10</v>
      </c>
      <c r="Y97" s="28"/>
      <c r="Z97" s="28"/>
      <c r="AA97" s="28"/>
      <c r="AB97" s="28"/>
      <c r="AC97" s="28"/>
      <c r="AD97" s="28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4"/>
      <c r="AR97" s="4">
        <v>10</v>
      </c>
      <c r="AS97" s="4"/>
      <c r="AT97" s="4"/>
      <c r="AU97" s="4"/>
      <c r="AV97" s="4"/>
      <c r="AW97" s="2"/>
      <c r="AX97" s="2"/>
      <c r="AY97" s="2"/>
      <c r="AZ97" s="2"/>
      <c r="BA97" s="2"/>
      <c r="BB97" s="2"/>
      <c r="BC97" s="14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>
        <f t="shared" ref="BQ97:BQ102" si="9">SUM(E97:BP97)</f>
        <v>40</v>
      </c>
      <c r="BR97" s="1">
        <v>17</v>
      </c>
      <c r="BS97" s="17">
        <v>2</v>
      </c>
      <c r="BT97" s="17" t="s">
        <v>231</v>
      </c>
      <c r="BU97">
        <f t="shared" ref="BU97:BU102" si="10">SUM(P97:AD97)</f>
        <v>20</v>
      </c>
      <c r="BV97" s="23">
        <f t="shared" ref="BV97:BV102" si="11">AF97+AH97+AI97+AJ97+AO97+AP97</f>
        <v>0</v>
      </c>
    </row>
    <row r="98" spans="1:74" s="44" customFormat="1" ht="27">
      <c r="A98" s="1"/>
      <c r="B98" s="3" t="s">
        <v>151</v>
      </c>
      <c r="C98" s="3" t="s">
        <v>85</v>
      </c>
      <c r="D98" s="1" t="s">
        <v>147</v>
      </c>
      <c r="E98" s="6"/>
      <c r="F98" s="6"/>
      <c r="G98" s="6"/>
      <c r="H98" s="6">
        <v>10</v>
      </c>
      <c r="I98" s="6"/>
      <c r="J98" s="6"/>
      <c r="K98" s="6"/>
      <c r="L98" s="6"/>
      <c r="M98" s="6"/>
      <c r="N98" s="6"/>
      <c r="O98" s="6"/>
      <c r="P98" s="28"/>
      <c r="Q98" s="28"/>
      <c r="R98" s="28">
        <v>10</v>
      </c>
      <c r="S98" s="28"/>
      <c r="T98" s="28"/>
      <c r="U98" s="28"/>
      <c r="V98" s="28"/>
      <c r="W98" s="28"/>
      <c r="X98" s="28">
        <v>10</v>
      </c>
      <c r="Y98" s="28"/>
      <c r="Z98" s="28"/>
      <c r="AA98" s="28"/>
      <c r="AB98" s="28"/>
      <c r="AC98" s="28"/>
      <c r="AD98" s="28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4"/>
      <c r="AR98" s="4">
        <v>10</v>
      </c>
      <c r="AS98" s="4"/>
      <c r="AT98" s="4"/>
      <c r="AU98" s="4"/>
      <c r="AV98" s="4"/>
      <c r="AW98" s="2"/>
      <c r="AX98" s="2"/>
      <c r="AY98" s="2"/>
      <c r="AZ98" s="2"/>
      <c r="BA98" s="2"/>
      <c r="BB98" s="2"/>
      <c r="BC98" s="14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>
        <f t="shared" si="9"/>
        <v>40</v>
      </c>
      <c r="BR98" s="1">
        <v>17</v>
      </c>
      <c r="BS98" s="17">
        <v>2</v>
      </c>
      <c r="BT98" s="17" t="s">
        <v>231</v>
      </c>
      <c r="BU98">
        <f t="shared" si="10"/>
        <v>20</v>
      </c>
      <c r="BV98" s="23">
        <f t="shared" si="11"/>
        <v>0</v>
      </c>
    </row>
    <row r="99" spans="1:74" s="44" customFormat="1" ht="27">
      <c r="A99" s="1"/>
      <c r="B99" s="3" t="s">
        <v>174</v>
      </c>
      <c r="C99" s="3" t="s">
        <v>173</v>
      </c>
      <c r="D99" s="1" t="s">
        <v>8</v>
      </c>
      <c r="E99" s="6"/>
      <c r="F99" s="6"/>
      <c r="G99" s="6"/>
      <c r="H99" s="6">
        <v>10</v>
      </c>
      <c r="I99" s="6"/>
      <c r="J99" s="6"/>
      <c r="K99" s="6"/>
      <c r="L99" s="6"/>
      <c r="M99" s="6"/>
      <c r="N99" s="6"/>
      <c r="O99" s="6"/>
      <c r="P99" s="28"/>
      <c r="Q99" s="28"/>
      <c r="R99" s="28">
        <v>10</v>
      </c>
      <c r="S99" s="28"/>
      <c r="T99" s="28"/>
      <c r="U99" s="28"/>
      <c r="V99" s="28"/>
      <c r="W99" s="28"/>
      <c r="X99" s="28">
        <v>10</v>
      </c>
      <c r="Y99" s="28"/>
      <c r="Z99" s="28"/>
      <c r="AA99" s="28"/>
      <c r="AB99" s="28"/>
      <c r="AC99" s="28"/>
      <c r="AD99" s="28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4"/>
      <c r="AR99" s="4">
        <v>10</v>
      </c>
      <c r="AS99" s="4"/>
      <c r="AT99" s="4"/>
      <c r="AU99" s="4"/>
      <c r="AV99" s="4"/>
      <c r="AW99" s="2"/>
      <c r="AX99" s="2"/>
      <c r="AY99" s="2"/>
      <c r="AZ99" s="2"/>
      <c r="BA99" s="2"/>
      <c r="BB99" s="2"/>
      <c r="BC99" s="14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>
        <f t="shared" si="9"/>
        <v>40</v>
      </c>
      <c r="BR99" s="1">
        <v>17</v>
      </c>
      <c r="BS99" s="17">
        <v>2</v>
      </c>
      <c r="BT99" s="17" t="s">
        <v>256</v>
      </c>
      <c r="BU99">
        <f t="shared" si="10"/>
        <v>20</v>
      </c>
      <c r="BV99" s="23">
        <f t="shared" si="11"/>
        <v>0</v>
      </c>
    </row>
    <row r="100" spans="1:74" s="44" customFormat="1" ht="27">
      <c r="A100" s="1"/>
      <c r="B100" s="3" t="s">
        <v>188</v>
      </c>
      <c r="C100" s="3" t="s">
        <v>172</v>
      </c>
      <c r="D100" s="1" t="s">
        <v>89</v>
      </c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>
        <v>10</v>
      </c>
      <c r="P100" s="28"/>
      <c r="Q100" s="28"/>
      <c r="R100" s="28">
        <v>10</v>
      </c>
      <c r="S100" s="28"/>
      <c r="T100" s="28"/>
      <c r="U100" s="28">
        <v>10</v>
      </c>
      <c r="V100" s="28"/>
      <c r="W100" s="28"/>
      <c r="X100" s="28"/>
      <c r="Y100" s="28"/>
      <c r="Z100" s="28"/>
      <c r="AA100" s="28"/>
      <c r="AB100" s="28"/>
      <c r="AC100" s="28"/>
      <c r="AD100" s="28">
        <v>10</v>
      </c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4"/>
      <c r="AR100" s="4"/>
      <c r="AS100" s="4"/>
      <c r="AT100" s="4"/>
      <c r="AU100" s="4"/>
      <c r="AV100" s="4"/>
      <c r="AW100" s="2"/>
      <c r="AX100" s="2"/>
      <c r="AY100" s="2"/>
      <c r="AZ100" s="2"/>
      <c r="BA100" s="2"/>
      <c r="BB100" s="2"/>
      <c r="BC100" s="14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>
        <f t="shared" si="9"/>
        <v>40</v>
      </c>
      <c r="BR100" s="1">
        <v>20</v>
      </c>
      <c r="BS100" s="17">
        <v>2</v>
      </c>
      <c r="BT100" s="17" t="s">
        <v>228</v>
      </c>
      <c r="BU100">
        <f t="shared" si="10"/>
        <v>30</v>
      </c>
      <c r="BV100" s="23">
        <f t="shared" si="11"/>
        <v>0</v>
      </c>
    </row>
    <row r="101" spans="1:74" s="44" customFormat="1" ht="27">
      <c r="A101" s="1"/>
      <c r="B101" s="3" t="s">
        <v>211</v>
      </c>
      <c r="C101" s="3" t="s">
        <v>212</v>
      </c>
      <c r="D101" s="1" t="s">
        <v>147</v>
      </c>
      <c r="E101" s="6"/>
      <c r="F101" s="6"/>
      <c r="G101" s="6"/>
      <c r="H101" s="6"/>
      <c r="I101" s="6"/>
      <c r="J101" s="6">
        <v>10</v>
      </c>
      <c r="K101" s="6"/>
      <c r="L101" s="6"/>
      <c r="M101" s="6"/>
      <c r="N101" s="6"/>
      <c r="O101" s="6"/>
      <c r="P101" s="28"/>
      <c r="Q101" s="28"/>
      <c r="R101" s="28">
        <v>10</v>
      </c>
      <c r="S101" s="28"/>
      <c r="T101" s="28"/>
      <c r="U101" s="28"/>
      <c r="V101" s="28"/>
      <c r="W101" s="28"/>
      <c r="X101" s="28">
        <v>10</v>
      </c>
      <c r="Y101" s="28"/>
      <c r="Z101" s="28"/>
      <c r="AA101" s="28"/>
      <c r="AB101" s="28"/>
      <c r="AC101" s="28"/>
      <c r="AD101" s="28">
        <v>10</v>
      </c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4">
        <v>10</v>
      </c>
      <c r="AR101" s="4"/>
      <c r="AS101" s="4"/>
      <c r="AT101" s="4"/>
      <c r="AU101" s="4"/>
      <c r="AV101" s="4"/>
      <c r="AW101" s="2"/>
      <c r="AX101" s="2"/>
      <c r="AY101" s="2"/>
      <c r="AZ101" s="2"/>
      <c r="BA101" s="2"/>
      <c r="BB101" s="2"/>
      <c r="BC101" s="14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>
        <f t="shared" si="9"/>
        <v>50</v>
      </c>
      <c r="BR101" s="1">
        <v>20</v>
      </c>
      <c r="BS101" s="17">
        <v>2</v>
      </c>
      <c r="BT101" s="17" t="s">
        <v>257</v>
      </c>
      <c r="BU101">
        <f t="shared" si="10"/>
        <v>30</v>
      </c>
      <c r="BV101" s="23">
        <f t="shared" si="11"/>
        <v>0</v>
      </c>
    </row>
    <row r="102" spans="1:74" s="44" customFormat="1" ht="40.5">
      <c r="A102" s="1">
        <v>28</v>
      </c>
      <c r="B102" s="1" t="s">
        <v>51</v>
      </c>
      <c r="C102" s="1" t="s">
        <v>21</v>
      </c>
      <c r="D102" s="1" t="s">
        <v>0</v>
      </c>
      <c r="E102" s="6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28"/>
      <c r="Q102" s="28"/>
      <c r="R102" s="28"/>
      <c r="S102" s="28"/>
      <c r="T102" s="28"/>
      <c r="U102" s="28"/>
      <c r="V102" s="28"/>
      <c r="W102" s="28"/>
      <c r="X102" s="28"/>
      <c r="Y102" s="28"/>
      <c r="Z102" s="28"/>
      <c r="AA102" s="28"/>
      <c r="AB102" s="28"/>
      <c r="AC102" s="28"/>
      <c r="AD102" s="28"/>
      <c r="AE102" s="1"/>
      <c r="AF102" s="1"/>
      <c r="AG102" s="1"/>
      <c r="AH102" s="1">
        <v>5</v>
      </c>
      <c r="AI102" s="1">
        <v>5</v>
      </c>
      <c r="AJ102" s="1">
        <v>5</v>
      </c>
      <c r="AK102" s="1"/>
      <c r="AL102" s="1"/>
      <c r="AM102" s="1"/>
      <c r="AN102" s="1"/>
      <c r="AO102" s="1"/>
      <c r="AP102" s="1"/>
      <c r="AQ102" s="4"/>
      <c r="AR102" s="4"/>
      <c r="AS102" s="4"/>
      <c r="AT102" s="4"/>
      <c r="AU102" s="4"/>
      <c r="AV102" s="4"/>
      <c r="AW102" s="2"/>
      <c r="AX102" s="2"/>
      <c r="AY102" s="2"/>
      <c r="AZ102" s="2"/>
      <c r="BA102" s="2"/>
      <c r="BB102" s="2"/>
      <c r="BC102" s="14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>
        <f t="shared" si="9"/>
        <v>15</v>
      </c>
      <c r="BR102" s="1">
        <v>15</v>
      </c>
      <c r="BS102" s="17">
        <v>3</v>
      </c>
      <c r="BT102" s="17" t="s">
        <v>234</v>
      </c>
      <c r="BU102">
        <f t="shared" si="10"/>
        <v>0</v>
      </c>
      <c r="BV102" s="23">
        <f t="shared" si="11"/>
        <v>15</v>
      </c>
    </row>
    <row r="103" spans="1:74">
      <c r="A103" s="1"/>
      <c r="B103" s="1" t="s">
        <v>48</v>
      </c>
      <c r="C103" s="1"/>
      <c r="D103" s="1"/>
      <c r="E103" s="6">
        <f t="shared" ref="E103:AJ103" si="12">SUM(E2:E102)</f>
        <v>65</v>
      </c>
      <c r="F103" s="6">
        <f t="shared" si="12"/>
        <v>0</v>
      </c>
      <c r="G103" s="6">
        <f t="shared" si="12"/>
        <v>65</v>
      </c>
      <c r="H103" s="6">
        <f t="shared" si="12"/>
        <v>45</v>
      </c>
      <c r="I103" s="6">
        <f t="shared" si="12"/>
        <v>50</v>
      </c>
      <c r="J103" s="6">
        <f t="shared" si="12"/>
        <v>70</v>
      </c>
      <c r="K103" s="6">
        <f t="shared" si="12"/>
        <v>25</v>
      </c>
      <c r="L103" s="6">
        <f t="shared" si="12"/>
        <v>27</v>
      </c>
      <c r="M103" s="6">
        <f t="shared" si="12"/>
        <v>50</v>
      </c>
      <c r="N103" s="6">
        <f t="shared" si="12"/>
        <v>10</v>
      </c>
      <c r="O103" s="6">
        <f t="shared" si="12"/>
        <v>20</v>
      </c>
      <c r="P103" s="28">
        <f t="shared" si="12"/>
        <v>70</v>
      </c>
      <c r="Q103" s="28">
        <f t="shared" si="12"/>
        <v>97</v>
      </c>
      <c r="R103" s="28">
        <f t="shared" si="12"/>
        <v>228</v>
      </c>
      <c r="S103" s="28">
        <f t="shared" si="12"/>
        <v>70</v>
      </c>
      <c r="T103" s="28">
        <f t="shared" si="12"/>
        <v>82</v>
      </c>
      <c r="U103" s="28">
        <f t="shared" si="12"/>
        <v>194</v>
      </c>
      <c r="V103" s="28">
        <f t="shared" si="12"/>
        <v>115</v>
      </c>
      <c r="W103" s="28">
        <f t="shared" si="12"/>
        <v>80</v>
      </c>
      <c r="X103" s="28">
        <f t="shared" si="12"/>
        <v>181</v>
      </c>
      <c r="Y103" s="28">
        <f t="shared" si="12"/>
        <v>105</v>
      </c>
      <c r="Z103" s="28">
        <f t="shared" si="12"/>
        <v>100</v>
      </c>
      <c r="AA103" s="28">
        <f t="shared" si="12"/>
        <v>144</v>
      </c>
      <c r="AB103" s="28">
        <f t="shared" si="12"/>
        <v>110</v>
      </c>
      <c r="AC103" s="28">
        <f t="shared" si="12"/>
        <v>110</v>
      </c>
      <c r="AD103" s="28">
        <f t="shared" si="12"/>
        <v>138</v>
      </c>
      <c r="AE103" s="1">
        <f t="shared" si="12"/>
        <v>250</v>
      </c>
      <c r="AF103" s="1">
        <f t="shared" si="12"/>
        <v>5</v>
      </c>
      <c r="AG103" s="1">
        <f t="shared" si="12"/>
        <v>0</v>
      </c>
      <c r="AH103" s="1">
        <f t="shared" si="12"/>
        <v>30</v>
      </c>
      <c r="AI103" s="1">
        <f t="shared" si="12"/>
        <v>30</v>
      </c>
      <c r="AJ103" s="1">
        <f t="shared" si="12"/>
        <v>5</v>
      </c>
      <c r="AK103" s="1">
        <f t="shared" ref="AK103:BP103" si="13">SUM(AK2:AK102)</f>
        <v>0</v>
      </c>
      <c r="AL103" s="1">
        <f t="shared" si="13"/>
        <v>0</v>
      </c>
      <c r="AM103" s="1">
        <f t="shared" si="13"/>
        <v>0</v>
      </c>
      <c r="AN103" s="1">
        <f t="shared" si="13"/>
        <v>25</v>
      </c>
      <c r="AO103" s="1">
        <f t="shared" si="13"/>
        <v>0</v>
      </c>
      <c r="AP103" s="1">
        <f t="shared" si="13"/>
        <v>0</v>
      </c>
      <c r="AQ103" s="4">
        <f t="shared" si="13"/>
        <v>110</v>
      </c>
      <c r="AR103" s="4">
        <f t="shared" si="13"/>
        <v>30</v>
      </c>
      <c r="AS103" s="4">
        <f t="shared" si="13"/>
        <v>50</v>
      </c>
      <c r="AT103" s="4">
        <f t="shared" si="13"/>
        <v>60</v>
      </c>
      <c r="AU103" s="4">
        <f t="shared" si="13"/>
        <v>70</v>
      </c>
      <c r="AV103" s="4">
        <f t="shared" si="13"/>
        <v>120</v>
      </c>
      <c r="AW103" s="2">
        <f t="shared" si="13"/>
        <v>95</v>
      </c>
      <c r="AX103" s="2">
        <f t="shared" si="13"/>
        <v>15</v>
      </c>
      <c r="AY103" s="2">
        <f t="shared" si="13"/>
        <v>0</v>
      </c>
      <c r="AZ103" s="2">
        <f t="shared" si="13"/>
        <v>10</v>
      </c>
      <c r="BA103" s="2">
        <f t="shared" si="13"/>
        <v>45</v>
      </c>
      <c r="BB103" s="2">
        <f t="shared" si="13"/>
        <v>45</v>
      </c>
      <c r="BC103" s="1">
        <f t="shared" si="13"/>
        <v>20</v>
      </c>
      <c r="BD103" s="1">
        <f t="shared" si="13"/>
        <v>10</v>
      </c>
      <c r="BE103" s="1">
        <f t="shared" si="13"/>
        <v>50</v>
      </c>
      <c r="BF103" s="1">
        <f t="shared" si="13"/>
        <v>0</v>
      </c>
      <c r="BG103" s="1">
        <f t="shared" si="13"/>
        <v>0</v>
      </c>
      <c r="BH103" s="1">
        <f t="shared" si="13"/>
        <v>0</v>
      </c>
      <c r="BI103" s="1">
        <f t="shared" si="13"/>
        <v>0</v>
      </c>
      <c r="BJ103" s="1">
        <f t="shared" si="13"/>
        <v>0</v>
      </c>
      <c r="BK103" s="1">
        <f t="shared" si="13"/>
        <v>150</v>
      </c>
      <c r="BL103" s="1">
        <f t="shared" si="13"/>
        <v>150</v>
      </c>
      <c r="BM103" s="1">
        <f t="shared" si="13"/>
        <v>150</v>
      </c>
      <c r="BN103" s="1">
        <f t="shared" si="13"/>
        <v>150</v>
      </c>
      <c r="BO103" s="1">
        <f t="shared" si="13"/>
        <v>300</v>
      </c>
      <c r="BP103" s="1">
        <f t="shared" si="13"/>
        <v>300</v>
      </c>
      <c r="BQ103" s="1"/>
      <c r="BR103" s="1"/>
      <c r="BS103" s="17"/>
      <c r="BT103" s="17"/>
    </row>
    <row r="104" spans="1:74">
      <c r="A104" s="1"/>
      <c r="B104" s="3" t="s">
        <v>65</v>
      </c>
      <c r="C104" s="1"/>
      <c r="D104" s="1"/>
      <c r="E104" s="1">
        <v>61</v>
      </c>
      <c r="F104" s="1">
        <v>122</v>
      </c>
      <c r="G104" s="1">
        <v>20</v>
      </c>
      <c r="H104" s="1">
        <v>3</v>
      </c>
      <c r="I104" s="1">
        <v>177</v>
      </c>
      <c r="J104" s="1">
        <v>175</v>
      </c>
      <c r="K104" s="1">
        <v>133</v>
      </c>
      <c r="L104" s="1">
        <v>122</v>
      </c>
      <c r="M104" s="1">
        <v>138</v>
      </c>
      <c r="N104" s="1">
        <v>186</v>
      </c>
      <c r="O104" s="1">
        <v>114</v>
      </c>
      <c r="P104" s="14">
        <v>228</v>
      </c>
      <c r="Q104" s="14">
        <v>55</v>
      </c>
      <c r="R104" s="14">
        <v>0</v>
      </c>
      <c r="S104" s="14">
        <v>288</v>
      </c>
      <c r="T104" s="14">
        <v>72</v>
      </c>
      <c r="U104" s="14">
        <v>28</v>
      </c>
      <c r="V104" s="14">
        <v>230</v>
      </c>
      <c r="W104" s="14">
        <v>70</v>
      </c>
      <c r="X104" s="14">
        <v>10</v>
      </c>
      <c r="Y104" s="14">
        <v>224</v>
      </c>
      <c r="Z104" s="14">
        <v>73</v>
      </c>
      <c r="AA104" s="14">
        <v>18</v>
      </c>
      <c r="AB104" s="14">
        <v>275</v>
      </c>
      <c r="AC104" s="14">
        <v>77</v>
      </c>
      <c r="AD104" s="14">
        <v>0</v>
      </c>
      <c r="AE104" s="1">
        <v>37</v>
      </c>
      <c r="AF104" s="1">
        <v>5</v>
      </c>
      <c r="AG104" s="1">
        <v>3</v>
      </c>
      <c r="AH104" s="1">
        <v>0</v>
      </c>
      <c r="AI104" s="1">
        <v>0</v>
      </c>
      <c r="AJ104" s="1">
        <v>0</v>
      </c>
      <c r="AK104" s="1">
        <v>23</v>
      </c>
      <c r="AL104" s="1">
        <v>33</v>
      </c>
      <c r="AM104" s="1">
        <v>0</v>
      </c>
      <c r="AN104" s="1">
        <v>15</v>
      </c>
      <c r="AO104" s="1">
        <v>0</v>
      </c>
      <c r="AP104" s="1">
        <v>8</v>
      </c>
      <c r="AQ104" s="14">
        <v>109</v>
      </c>
      <c r="AR104" s="14">
        <v>38</v>
      </c>
      <c r="AS104" s="14">
        <v>66</v>
      </c>
      <c r="AT104" s="14">
        <v>45</v>
      </c>
      <c r="AU104" s="14">
        <v>59</v>
      </c>
      <c r="AV104" s="14">
        <v>127</v>
      </c>
      <c r="AW104" s="14">
        <v>59</v>
      </c>
      <c r="AX104" s="14">
        <v>61</v>
      </c>
      <c r="AY104" s="14">
        <v>15</v>
      </c>
      <c r="AZ104" s="14">
        <v>13</v>
      </c>
      <c r="BA104" s="14">
        <v>20</v>
      </c>
      <c r="BB104" s="14">
        <v>27</v>
      </c>
      <c r="BC104" s="14">
        <v>11</v>
      </c>
      <c r="BD104" s="1">
        <v>0</v>
      </c>
      <c r="BE104" s="1">
        <v>255</v>
      </c>
      <c r="BF104" s="1">
        <v>396</v>
      </c>
      <c r="BG104" s="1">
        <v>312</v>
      </c>
      <c r="BH104" s="1">
        <v>330</v>
      </c>
      <c r="BI104" s="1">
        <v>162</v>
      </c>
      <c r="BJ104" s="1">
        <v>195</v>
      </c>
      <c r="BK104" s="1">
        <v>131</v>
      </c>
      <c r="BL104" s="1">
        <v>127</v>
      </c>
      <c r="BM104" s="1">
        <v>324</v>
      </c>
      <c r="BN104" s="1">
        <v>141</v>
      </c>
      <c r="BO104" s="1">
        <v>3</v>
      </c>
      <c r="BP104" s="1">
        <v>217</v>
      </c>
      <c r="BQ104" s="1"/>
      <c r="BR104" s="1"/>
      <c r="BS104" s="17"/>
      <c r="BT104" s="17"/>
    </row>
    <row r="105" spans="1:74">
      <c r="A105" s="1"/>
      <c r="B105" s="3" t="s">
        <v>72</v>
      </c>
      <c r="C105" s="1"/>
      <c r="D105" s="1"/>
      <c r="E105" s="1">
        <f t="shared" ref="E105:AJ105" si="14">E104-E103</f>
        <v>-4</v>
      </c>
      <c r="F105" s="1">
        <f t="shared" si="14"/>
        <v>122</v>
      </c>
      <c r="G105" s="1">
        <f t="shared" si="14"/>
        <v>-45</v>
      </c>
      <c r="H105" s="1">
        <f t="shared" si="14"/>
        <v>-42</v>
      </c>
      <c r="I105" s="1">
        <f t="shared" si="14"/>
        <v>127</v>
      </c>
      <c r="J105" s="1">
        <f t="shared" si="14"/>
        <v>105</v>
      </c>
      <c r="K105" s="1">
        <f t="shared" si="14"/>
        <v>108</v>
      </c>
      <c r="L105" s="1">
        <f t="shared" si="14"/>
        <v>95</v>
      </c>
      <c r="M105" s="1">
        <f t="shared" si="14"/>
        <v>88</v>
      </c>
      <c r="N105" s="1">
        <f t="shared" si="14"/>
        <v>176</v>
      </c>
      <c r="O105" s="1">
        <f t="shared" si="14"/>
        <v>94</v>
      </c>
      <c r="P105" s="1">
        <f t="shared" si="14"/>
        <v>158</v>
      </c>
      <c r="Q105" s="1">
        <f t="shared" si="14"/>
        <v>-42</v>
      </c>
      <c r="R105" s="1">
        <f t="shared" si="14"/>
        <v>-228</v>
      </c>
      <c r="S105" s="1">
        <f t="shared" si="14"/>
        <v>218</v>
      </c>
      <c r="T105" s="1">
        <f t="shared" si="14"/>
        <v>-10</v>
      </c>
      <c r="U105" s="1">
        <f t="shared" si="14"/>
        <v>-166</v>
      </c>
      <c r="V105" s="1">
        <f t="shared" si="14"/>
        <v>115</v>
      </c>
      <c r="W105" s="1">
        <f t="shared" si="14"/>
        <v>-10</v>
      </c>
      <c r="X105" s="1">
        <f t="shared" si="14"/>
        <v>-171</v>
      </c>
      <c r="Y105" s="1">
        <f t="shared" si="14"/>
        <v>119</v>
      </c>
      <c r="Z105" s="1">
        <f t="shared" si="14"/>
        <v>-27</v>
      </c>
      <c r="AA105" s="1">
        <f t="shared" si="14"/>
        <v>-126</v>
      </c>
      <c r="AB105" s="1">
        <f t="shared" si="14"/>
        <v>165</v>
      </c>
      <c r="AC105" s="1">
        <f t="shared" si="14"/>
        <v>-33</v>
      </c>
      <c r="AD105" s="1">
        <f t="shared" si="14"/>
        <v>-138</v>
      </c>
      <c r="AE105" s="1">
        <f t="shared" si="14"/>
        <v>-213</v>
      </c>
      <c r="AF105" s="1">
        <f t="shared" si="14"/>
        <v>0</v>
      </c>
      <c r="AG105" s="1">
        <f t="shared" si="14"/>
        <v>3</v>
      </c>
      <c r="AH105" s="1">
        <f t="shared" si="14"/>
        <v>-30</v>
      </c>
      <c r="AI105" s="1">
        <f t="shared" si="14"/>
        <v>-30</v>
      </c>
      <c r="AJ105" s="1">
        <f t="shared" si="14"/>
        <v>-5</v>
      </c>
      <c r="AK105" s="1">
        <f t="shared" ref="AK105:BP105" si="15">AK104-AK103</f>
        <v>23</v>
      </c>
      <c r="AL105" s="1">
        <f t="shared" si="15"/>
        <v>33</v>
      </c>
      <c r="AM105" s="1">
        <f t="shared" si="15"/>
        <v>0</v>
      </c>
      <c r="AN105" s="1">
        <f t="shared" si="15"/>
        <v>-10</v>
      </c>
      <c r="AO105" s="1">
        <f t="shared" si="15"/>
        <v>0</v>
      </c>
      <c r="AP105" s="1">
        <f t="shared" si="15"/>
        <v>8</v>
      </c>
      <c r="AQ105" s="1">
        <f t="shared" si="15"/>
        <v>-1</v>
      </c>
      <c r="AR105" s="1">
        <f t="shared" si="15"/>
        <v>8</v>
      </c>
      <c r="AS105" s="1">
        <f t="shared" si="15"/>
        <v>16</v>
      </c>
      <c r="AT105" s="1">
        <f t="shared" si="15"/>
        <v>-15</v>
      </c>
      <c r="AU105" s="1">
        <f t="shared" si="15"/>
        <v>-11</v>
      </c>
      <c r="AV105" s="1">
        <f t="shared" si="15"/>
        <v>7</v>
      </c>
      <c r="AW105" s="1">
        <f t="shared" si="15"/>
        <v>-36</v>
      </c>
      <c r="AX105" s="1">
        <f t="shared" si="15"/>
        <v>46</v>
      </c>
      <c r="AY105" s="1">
        <f t="shared" si="15"/>
        <v>15</v>
      </c>
      <c r="AZ105" s="1">
        <f t="shared" si="15"/>
        <v>3</v>
      </c>
      <c r="BA105" s="1">
        <f t="shared" si="15"/>
        <v>-25</v>
      </c>
      <c r="BB105" s="1">
        <f t="shared" si="15"/>
        <v>-18</v>
      </c>
      <c r="BC105" s="1">
        <f t="shared" si="15"/>
        <v>-9</v>
      </c>
      <c r="BD105" s="1">
        <f t="shared" si="15"/>
        <v>-10</v>
      </c>
      <c r="BE105" s="1">
        <f t="shared" si="15"/>
        <v>205</v>
      </c>
      <c r="BF105" s="1">
        <f t="shared" si="15"/>
        <v>396</v>
      </c>
      <c r="BG105" s="1">
        <f t="shared" si="15"/>
        <v>312</v>
      </c>
      <c r="BH105" s="1">
        <f t="shared" si="15"/>
        <v>330</v>
      </c>
      <c r="BI105" s="1">
        <f t="shared" si="15"/>
        <v>162</v>
      </c>
      <c r="BJ105" s="1">
        <f t="shared" si="15"/>
        <v>195</v>
      </c>
      <c r="BK105" s="1">
        <f t="shared" si="15"/>
        <v>-19</v>
      </c>
      <c r="BL105" s="1">
        <f t="shared" si="15"/>
        <v>-23</v>
      </c>
      <c r="BM105" s="1">
        <f t="shared" si="15"/>
        <v>174</v>
      </c>
      <c r="BN105" s="1">
        <f t="shared" si="15"/>
        <v>-9</v>
      </c>
      <c r="BO105" s="1">
        <f t="shared" si="15"/>
        <v>-297</v>
      </c>
      <c r="BP105" s="1">
        <f t="shared" si="15"/>
        <v>-83</v>
      </c>
      <c r="BQ105" s="1"/>
      <c r="BR105" s="1"/>
      <c r="BS105" s="17"/>
      <c r="BT105" s="17"/>
    </row>
    <row r="106" spans="1:74">
      <c r="A106" s="1"/>
      <c r="B106" s="3" t="s">
        <v>116</v>
      </c>
      <c r="C106" s="1"/>
      <c r="D106" s="1"/>
      <c r="E106" s="1">
        <f t="shared" ref="E106:AJ106" si="16">MAX(E2:E102)</f>
        <v>10</v>
      </c>
      <c r="F106" s="1">
        <f t="shared" si="16"/>
        <v>0</v>
      </c>
      <c r="G106" s="1">
        <f t="shared" si="16"/>
        <v>10</v>
      </c>
      <c r="H106" s="1">
        <f t="shared" si="16"/>
        <v>10</v>
      </c>
      <c r="I106" s="1">
        <f t="shared" si="16"/>
        <v>10</v>
      </c>
      <c r="J106" s="1">
        <f t="shared" si="16"/>
        <v>10</v>
      </c>
      <c r="K106" s="1">
        <f t="shared" si="16"/>
        <v>15</v>
      </c>
      <c r="L106" s="1">
        <f t="shared" si="16"/>
        <v>10</v>
      </c>
      <c r="M106" s="1">
        <f t="shared" si="16"/>
        <v>10</v>
      </c>
      <c r="N106" s="1">
        <f t="shared" si="16"/>
        <v>10</v>
      </c>
      <c r="O106" s="1">
        <f t="shared" si="16"/>
        <v>10</v>
      </c>
      <c r="P106" s="1">
        <f t="shared" si="16"/>
        <v>10</v>
      </c>
      <c r="Q106" s="1">
        <f t="shared" si="16"/>
        <v>10</v>
      </c>
      <c r="R106" s="1">
        <f t="shared" si="16"/>
        <v>10</v>
      </c>
      <c r="S106" s="1">
        <f t="shared" si="16"/>
        <v>10</v>
      </c>
      <c r="T106" s="1">
        <f t="shared" si="16"/>
        <v>10</v>
      </c>
      <c r="U106" s="1">
        <f t="shared" si="16"/>
        <v>10</v>
      </c>
      <c r="V106" s="1">
        <f t="shared" si="16"/>
        <v>10</v>
      </c>
      <c r="W106" s="1">
        <f t="shared" si="16"/>
        <v>20</v>
      </c>
      <c r="X106" s="1">
        <f t="shared" si="16"/>
        <v>10</v>
      </c>
      <c r="Y106" s="1">
        <f t="shared" si="16"/>
        <v>10</v>
      </c>
      <c r="Z106" s="1">
        <f t="shared" si="16"/>
        <v>20</v>
      </c>
      <c r="AA106" s="1">
        <f t="shared" si="16"/>
        <v>10</v>
      </c>
      <c r="AB106" s="1">
        <f t="shared" si="16"/>
        <v>10</v>
      </c>
      <c r="AC106" s="1">
        <f t="shared" si="16"/>
        <v>20</v>
      </c>
      <c r="AD106" s="1">
        <f t="shared" si="16"/>
        <v>10</v>
      </c>
      <c r="AE106" s="1">
        <f t="shared" si="16"/>
        <v>200</v>
      </c>
      <c r="AF106" s="1">
        <f t="shared" si="16"/>
        <v>5</v>
      </c>
      <c r="AG106" s="1">
        <f t="shared" si="16"/>
        <v>0</v>
      </c>
      <c r="AH106" s="1">
        <f t="shared" si="16"/>
        <v>5</v>
      </c>
      <c r="AI106" s="1">
        <f t="shared" si="16"/>
        <v>5</v>
      </c>
      <c r="AJ106" s="1">
        <f t="shared" si="16"/>
        <v>5</v>
      </c>
      <c r="AK106" s="1">
        <f t="shared" ref="AK106:BP106" si="17">MAX(AK2:AK102)</f>
        <v>0</v>
      </c>
      <c r="AL106" s="1">
        <f t="shared" si="17"/>
        <v>0</v>
      </c>
      <c r="AM106" s="1">
        <f t="shared" si="17"/>
        <v>0</v>
      </c>
      <c r="AN106" s="1">
        <f t="shared" si="17"/>
        <v>25</v>
      </c>
      <c r="AO106" s="1">
        <f t="shared" si="17"/>
        <v>0</v>
      </c>
      <c r="AP106" s="1">
        <f t="shared" si="17"/>
        <v>0</v>
      </c>
      <c r="AQ106" s="1">
        <f t="shared" si="17"/>
        <v>40</v>
      </c>
      <c r="AR106" s="1">
        <f t="shared" si="17"/>
        <v>10</v>
      </c>
      <c r="AS106" s="1">
        <f t="shared" si="17"/>
        <v>10</v>
      </c>
      <c r="AT106" s="1">
        <f t="shared" si="17"/>
        <v>10</v>
      </c>
      <c r="AU106" s="1">
        <f t="shared" si="17"/>
        <v>10</v>
      </c>
      <c r="AV106" s="1">
        <f t="shared" si="17"/>
        <v>40</v>
      </c>
      <c r="AW106" s="1">
        <f t="shared" si="17"/>
        <v>40</v>
      </c>
      <c r="AX106" s="1">
        <f t="shared" si="17"/>
        <v>15</v>
      </c>
      <c r="AY106" s="1">
        <f t="shared" si="17"/>
        <v>0</v>
      </c>
      <c r="AZ106" s="1">
        <f t="shared" si="17"/>
        <v>10</v>
      </c>
      <c r="BA106" s="1">
        <f t="shared" si="17"/>
        <v>40</v>
      </c>
      <c r="BB106" s="1">
        <f t="shared" si="17"/>
        <v>40</v>
      </c>
      <c r="BC106" s="1">
        <f t="shared" si="17"/>
        <v>10</v>
      </c>
      <c r="BD106" s="1">
        <f t="shared" si="17"/>
        <v>10</v>
      </c>
      <c r="BE106" s="1">
        <f t="shared" si="17"/>
        <v>50</v>
      </c>
      <c r="BF106" s="1">
        <f t="shared" si="17"/>
        <v>0</v>
      </c>
      <c r="BG106" s="1">
        <f t="shared" si="17"/>
        <v>0</v>
      </c>
      <c r="BH106" s="1">
        <f t="shared" si="17"/>
        <v>0</v>
      </c>
      <c r="BI106" s="1">
        <f t="shared" si="17"/>
        <v>0</v>
      </c>
      <c r="BJ106" s="1">
        <f t="shared" si="17"/>
        <v>0</v>
      </c>
      <c r="BK106" s="1">
        <f t="shared" si="17"/>
        <v>50</v>
      </c>
      <c r="BL106" s="1">
        <f t="shared" si="17"/>
        <v>50</v>
      </c>
      <c r="BM106" s="1">
        <f t="shared" si="17"/>
        <v>50</v>
      </c>
      <c r="BN106" s="1">
        <f t="shared" si="17"/>
        <v>50</v>
      </c>
      <c r="BO106" s="1">
        <f t="shared" si="17"/>
        <v>50</v>
      </c>
      <c r="BP106" s="1">
        <f t="shared" si="17"/>
        <v>50</v>
      </c>
      <c r="BQ106" s="1"/>
      <c r="BR106" s="1"/>
      <c r="BS106" s="17"/>
      <c r="BT106" s="17"/>
    </row>
    <row r="107" spans="1:74">
      <c r="A107" s="1"/>
      <c r="B107" s="3" t="s">
        <v>117</v>
      </c>
      <c r="C107" s="1"/>
      <c r="D107" s="1"/>
      <c r="E107" s="1">
        <f t="shared" ref="E107:AJ107" si="18">MIN(E2:E102)</f>
        <v>5</v>
      </c>
      <c r="F107" s="1">
        <f t="shared" si="18"/>
        <v>0</v>
      </c>
      <c r="G107" s="1">
        <f t="shared" si="18"/>
        <v>5</v>
      </c>
      <c r="H107" s="1">
        <f t="shared" si="18"/>
        <v>5</v>
      </c>
      <c r="I107" s="1">
        <f t="shared" si="18"/>
        <v>10</v>
      </c>
      <c r="J107" s="1">
        <f t="shared" si="18"/>
        <v>10</v>
      </c>
      <c r="K107" s="1">
        <f t="shared" si="18"/>
        <v>10</v>
      </c>
      <c r="L107" s="1">
        <f t="shared" si="18"/>
        <v>7</v>
      </c>
      <c r="M107" s="1">
        <f t="shared" si="18"/>
        <v>10</v>
      </c>
      <c r="N107" s="1">
        <f t="shared" si="18"/>
        <v>10</v>
      </c>
      <c r="O107" s="1">
        <f t="shared" si="18"/>
        <v>10</v>
      </c>
      <c r="P107" s="1">
        <f t="shared" si="18"/>
        <v>10</v>
      </c>
      <c r="Q107" s="1">
        <f t="shared" si="18"/>
        <v>5</v>
      </c>
      <c r="R107" s="1">
        <f t="shared" si="18"/>
        <v>2</v>
      </c>
      <c r="S107" s="1">
        <f t="shared" si="18"/>
        <v>10</v>
      </c>
      <c r="T107" s="1">
        <f t="shared" si="18"/>
        <v>5</v>
      </c>
      <c r="U107" s="1">
        <f t="shared" si="18"/>
        <v>2</v>
      </c>
      <c r="V107" s="1">
        <f t="shared" si="18"/>
        <v>5</v>
      </c>
      <c r="W107" s="1">
        <f t="shared" si="18"/>
        <v>5</v>
      </c>
      <c r="X107" s="1">
        <f t="shared" si="18"/>
        <v>2</v>
      </c>
      <c r="Y107" s="1">
        <f t="shared" si="18"/>
        <v>5</v>
      </c>
      <c r="Z107" s="1">
        <f t="shared" si="18"/>
        <v>5</v>
      </c>
      <c r="AA107" s="1">
        <f t="shared" si="18"/>
        <v>2</v>
      </c>
      <c r="AB107" s="1">
        <f t="shared" si="18"/>
        <v>10</v>
      </c>
      <c r="AC107" s="1">
        <f t="shared" si="18"/>
        <v>5</v>
      </c>
      <c r="AD107" s="1">
        <f t="shared" si="18"/>
        <v>2</v>
      </c>
      <c r="AE107" s="1">
        <f t="shared" si="18"/>
        <v>50</v>
      </c>
      <c r="AF107" s="1">
        <f t="shared" si="18"/>
        <v>5</v>
      </c>
      <c r="AG107" s="1">
        <f t="shared" si="18"/>
        <v>0</v>
      </c>
      <c r="AH107" s="1">
        <f t="shared" si="18"/>
        <v>5</v>
      </c>
      <c r="AI107" s="1">
        <f t="shared" si="18"/>
        <v>5</v>
      </c>
      <c r="AJ107" s="1">
        <f t="shared" si="18"/>
        <v>5</v>
      </c>
      <c r="AK107" s="1">
        <f t="shared" ref="AK107:BP107" si="19">MIN(AK2:AK102)</f>
        <v>0</v>
      </c>
      <c r="AL107" s="1">
        <f t="shared" si="19"/>
        <v>0</v>
      </c>
      <c r="AM107" s="1">
        <f t="shared" si="19"/>
        <v>0</v>
      </c>
      <c r="AN107" s="1">
        <f t="shared" si="19"/>
        <v>25</v>
      </c>
      <c r="AO107" s="1">
        <f t="shared" si="19"/>
        <v>0</v>
      </c>
      <c r="AP107" s="1">
        <f t="shared" si="19"/>
        <v>0</v>
      </c>
      <c r="AQ107" s="1">
        <f t="shared" si="19"/>
        <v>10</v>
      </c>
      <c r="AR107" s="1">
        <f t="shared" si="19"/>
        <v>10</v>
      </c>
      <c r="AS107" s="1">
        <f t="shared" si="19"/>
        <v>10</v>
      </c>
      <c r="AT107" s="1">
        <f t="shared" si="19"/>
        <v>10</v>
      </c>
      <c r="AU107" s="1">
        <f t="shared" si="19"/>
        <v>10</v>
      </c>
      <c r="AV107" s="1">
        <f t="shared" si="19"/>
        <v>10</v>
      </c>
      <c r="AW107" s="1">
        <f t="shared" si="19"/>
        <v>15</v>
      </c>
      <c r="AX107" s="1">
        <f t="shared" si="19"/>
        <v>15</v>
      </c>
      <c r="AY107" s="1">
        <f t="shared" si="19"/>
        <v>0</v>
      </c>
      <c r="AZ107" s="1">
        <f t="shared" si="19"/>
        <v>10</v>
      </c>
      <c r="BA107" s="1">
        <f t="shared" si="19"/>
        <v>5</v>
      </c>
      <c r="BB107" s="1">
        <f t="shared" si="19"/>
        <v>5</v>
      </c>
      <c r="BC107" s="1">
        <f t="shared" si="19"/>
        <v>10</v>
      </c>
      <c r="BD107" s="1">
        <f t="shared" si="19"/>
        <v>10</v>
      </c>
      <c r="BE107" s="1">
        <f t="shared" si="19"/>
        <v>50</v>
      </c>
      <c r="BF107" s="1">
        <f t="shared" si="19"/>
        <v>0</v>
      </c>
      <c r="BG107" s="1">
        <f t="shared" si="19"/>
        <v>0</v>
      </c>
      <c r="BH107" s="1">
        <f t="shared" si="19"/>
        <v>0</v>
      </c>
      <c r="BI107" s="1">
        <f t="shared" si="19"/>
        <v>0</v>
      </c>
      <c r="BJ107" s="1">
        <f t="shared" si="19"/>
        <v>0</v>
      </c>
      <c r="BK107" s="1">
        <f t="shared" si="19"/>
        <v>50</v>
      </c>
      <c r="BL107" s="1">
        <f t="shared" si="19"/>
        <v>50</v>
      </c>
      <c r="BM107" s="1">
        <f t="shared" si="19"/>
        <v>50</v>
      </c>
      <c r="BN107" s="1">
        <f t="shared" si="19"/>
        <v>50</v>
      </c>
      <c r="BO107" s="1">
        <f t="shared" si="19"/>
        <v>50</v>
      </c>
      <c r="BP107" s="1">
        <f t="shared" si="19"/>
        <v>50</v>
      </c>
      <c r="BQ107" s="1"/>
      <c r="BR107" s="1"/>
      <c r="BS107" s="17"/>
      <c r="BT107" s="17"/>
    </row>
    <row r="108" spans="1:74">
      <c r="A108" s="1"/>
      <c r="B108" s="3" t="s">
        <v>118</v>
      </c>
      <c r="C108" s="1"/>
      <c r="D108" s="1"/>
      <c r="E108" s="1">
        <f t="shared" ref="E108:AJ108" si="20">E104-E106</f>
        <v>51</v>
      </c>
      <c r="F108" s="1">
        <f t="shared" si="20"/>
        <v>122</v>
      </c>
      <c r="G108" s="1">
        <f t="shared" si="20"/>
        <v>10</v>
      </c>
      <c r="H108" s="1">
        <f t="shared" si="20"/>
        <v>-7</v>
      </c>
      <c r="I108" s="1">
        <f t="shared" si="20"/>
        <v>167</v>
      </c>
      <c r="J108" s="1">
        <f t="shared" si="20"/>
        <v>165</v>
      </c>
      <c r="K108" s="1">
        <f t="shared" si="20"/>
        <v>118</v>
      </c>
      <c r="L108" s="1">
        <f t="shared" si="20"/>
        <v>112</v>
      </c>
      <c r="M108" s="1">
        <f t="shared" si="20"/>
        <v>128</v>
      </c>
      <c r="N108" s="1">
        <f t="shared" si="20"/>
        <v>176</v>
      </c>
      <c r="O108" s="1">
        <f t="shared" si="20"/>
        <v>104</v>
      </c>
      <c r="P108" s="1">
        <f t="shared" si="20"/>
        <v>218</v>
      </c>
      <c r="Q108" s="1">
        <f t="shared" si="20"/>
        <v>45</v>
      </c>
      <c r="R108" s="1">
        <f t="shared" si="20"/>
        <v>-10</v>
      </c>
      <c r="S108" s="1">
        <f t="shared" si="20"/>
        <v>278</v>
      </c>
      <c r="T108" s="1">
        <f t="shared" si="20"/>
        <v>62</v>
      </c>
      <c r="U108" s="1">
        <f t="shared" si="20"/>
        <v>18</v>
      </c>
      <c r="V108" s="1">
        <f t="shared" si="20"/>
        <v>220</v>
      </c>
      <c r="W108" s="1">
        <f t="shared" si="20"/>
        <v>50</v>
      </c>
      <c r="X108" s="1">
        <f t="shared" si="20"/>
        <v>0</v>
      </c>
      <c r="Y108" s="1">
        <f t="shared" si="20"/>
        <v>214</v>
      </c>
      <c r="Z108" s="1">
        <f t="shared" si="20"/>
        <v>53</v>
      </c>
      <c r="AA108" s="1">
        <f t="shared" si="20"/>
        <v>8</v>
      </c>
      <c r="AB108" s="1">
        <f t="shared" si="20"/>
        <v>265</v>
      </c>
      <c r="AC108" s="1">
        <f t="shared" si="20"/>
        <v>57</v>
      </c>
      <c r="AD108" s="1">
        <f t="shared" si="20"/>
        <v>-10</v>
      </c>
      <c r="AE108" s="1">
        <f t="shared" si="20"/>
        <v>-163</v>
      </c>
      <c r="AF108" s="1">
        <f t="shared" si="20"/>
        <v>0</v>
      </c>
      <c r="AG108" s="1">
        <f t="shared" si="20"/>
        <v>3</v>
      </c>
      <c r="AH108" s="1">
        <f t="shared" si="20"/>
        <v>-5</v>
      </c>
      <c r="AI108" s="1">
        <f t="shared" si="20"/>
        <v>-5</v>
      </c>
      <c r="AJ108" s="1">
        <f t="shared" si="20"/>
        <v>-5</v>
      </c>
      <c r="AK108" s="1">
        <f t="shared" ref="AK108:BP108" si="21">AK104-AK106</f>
        <v>23</v>
      </c>
      <c r="AL108" s="1">
        <f t="shared" si="21"/>
        <v>33</v>
      </c>
      <c r="AM108" s="1">
        <f t="shared" si="21"/>
        <v>0</v>
      </c>
      <c r="AN108" s="1">
        <f t="shared" si="21"/>
        <v>-10</v>
      </c>
      <c r="AO108" s="1">
        <f t="shared" si="21"/>
        <v>0</v>
      </c>
      <c r="AP108" s="1">
        <f t="shared" si="21"/>
        <v>8</v>
      </c>
      <c r="AQ108" s="1">
        <f t="shared" si="21"/>
        <v>69</v>
      </c>
      <c r="AR108" s="1">
        <f t="shared" si="21"/>
        <v>28</v>
      </c>
      <c r="AS108" s="1">
        <f t="shared" si="21"/>
        <v>56</v>
      </c>
      <c r="AT108" s="1">
        <f t="shared" si="21"/>
        <v>35</v>
      </c>
      <c r="AU108" s="1">
        <f t="shared" si="21"/>
        <v>49</v>
      </c>
      <c r="AV108" s="1">
        <f t="shared" si="21"/>
        <v>87</v>
      </c>
      <c r="AW108" s="1">
        <f t="shared" si="21"/>
        <v>19</v>
      </c>
      <c r="AX108" s="1">
        <f t="shared" si="21"/>
        <v>46</v>
      </c>
      <c r="AY108" s="1">
        <f t="shared" si="21"/>
        <v>15</v>
      </c>
      <c r="AZ108" s="1">
        <f t="shared" si="21"/>
        <v>3</v>
      </c>
      <c r="BA108" s="1">
        <f t="shared" si="21"/>
        <v>-20</v>
      </c>
      <c r="BB108" s="1">
        <f t="shared" si="21"/>
        <v>-13</v>
      </c>
      <c r="BC108" s="1">
        <f t="shared" si="21"/>
        <v>1</v>
      </c>
      <c r="BD108" s="1">
        <f t="shared" si="21"/>
        <v>-10</v>
      </c>
      <c r="BE108" s="1">
        <f t="shared" si="21"/>
        <v>205</v>
      </c>
      <c r="BF108" s="1">
        <f t="shared" si="21"/>
        <v>396</v>
      </c>
      <c r="BG108" s="1">
        <f t="shared" si="21"/>
        <v>312</v>
      </c>
      <c r="BH108" s="1">
        <f t="shared" si="21"/>
        <v>330</v>
      </c>
      <c r="BI108" s="1">
        <f t="shared" si="21"/>
        <v>162</v>
      </c>
      <c r="BJ108" s="1">
        <f t="shared" si="21"/>
        <v>195</v>
      </c>
      <c r="BK108" s="1">
        <f t="shared" si="21"/>
        <v>81</v>
      </c>
      <c r="BL108" s="1">
        <f t="shared" si="21"/>
        <v>77</v>
      </c>
      <c r="BM108" s="1">
        <f t="shared" si="21"/>
        <v>274</v>
      </c>
      <c r="BN108" s="1">
        <f t="shared" si="21"/>
        <v>91</v>
      </c>
      <c r="BO108" s="1">
        <f t="shared" si="21"/>
        <v>-47</v>
      </c>
      <c r="BP108" s="1">
        <f t="shared" si="21"/>
        <v>167</v>
      </c>
      <c r="BQ108" s="1"/>
      <c r="BR108" s="1"/>
      <c r="BS108" s="17"/>
      <c r="BT108" s="17"/>
    </row>
    <row r="109" spans="1:74" s="13" customFormat="1">
      <c r="A109" s="1"/>
      <c r="B109" s="3" t="s">
        <v>119</v>
      </c>
      <c r="C109" s="1"/>
      <c r="D109" s="1"/>
      <c r="E109" s="1">
        <f t="shared" ref="E109:AJ109" si="22">E104-E107</f>
        <v>56</v>
      </c>
      <c r="F109" s="1">
        <f t="shared" si="22"/>
        <v>122</v>
      </c>
      <c r="G109" s="1">
        <f t="shared" si="22"/>
        <v>15</v>
      </c>
      <c r="H109" s="1">
        <f t="shared" si="22"/>
        <v>-2</v>
      </c>
      <c r="I109" s="1">
        <f t="shared" si="22"/>
        <v>167</v>
      </c>
      <c r="J109" s="1">
        <f t="shared" si="22"/>
        <v>165</v>
      </c>
      <c r="K109" s="1">
        <f t="shared" si="22"/>
        <v>123</v>
      </c>
      <c r="L109" s="1">
        <f t="shared" si="22"/>
        <v>115</v>
      </c>
      <c r="M109" s="1">
        <f t="shared" si="22"/>
        <v>128</v>
      </c>
      <c r="N109" s="1">
        <f t="shared" si="22"/>
        <v>176</v>
      </c>
      <c r="O109" s="1">
        <f t="shared" si="22"/>
        <v>104</v>
      </c>
      <c r="P109" s="1">
        <f t="shared" si="22"/>
        <v>218</v>
      </c>
      <c r="Q109" s="1">
        <f t="shared" si="22"/>
        <v>50</v>
      </c>
      <c r="R109" s="1">
        <f t="shared" si="22"/>
        <v>-2</v>
      </c>
      <c r="S109" s="1">
        <f t="shared" si="22"/>
        <v>278</v>
      </c>
      <c r="T109" s="1">
        <f t="shared" si="22"/>
        <v>67</v>
      </c>
      <c r="U109" s="1">
        <f t="shared" si="22"/>
        <v>26</v>
      </c>
      <c r="V109" s="1">
        <f t="shared" si="22"/>
        <v>225</v>
      </c>
      <c r="W109" s="1">
        <f t="shared" si="22"/>
        <v>65</v>
      </c>
      <c r="X109" s="1">
        <f t="shared" si="22"/>
        <v>8</v>
      </c>
      <c r="Y109" s="1">
        <f t="shared" si="22"/>
        <v>219</v>
      </c>
      <c r="Z109" s="1">
        <f t="shared" si="22"/>
        <v>68</v>
      </c>
      <c r="AA109" s="1">
        <f t="shared" si="22"/>
        <v>16</v>
      </c>
      <c r="AB109" s="1">
        <f t="shared" si="22"/>
        <v>265</v>
      </c>
      <c r="AC109" s="1">
        <f t="shared" si="22"/>
        <v>72</v>
      </c>
      <c r="AD109" s="1">
        <f t="shared" si="22"/>
        <v>-2</v>
      </c>
      <c r="AE109" s="1">
        <f t="shared" si="22"/>
        <v>-13</v>
      </c>
      <c r="AF109" s="1">
        <f t="shared" si="22"/>
        <v>0</v>
      </c>
      <c r="AG109" s="1">
        <f t="shared" si="22"/>
        <v>3</v>
      </c>
      <c r="AH109" s="1">
        <f t="shared" si="22"/>
        <v>-5</v>
      </c>
      <c r="AI109" s="1">
        <f t="shared" si="22"/>
        <v>-5</v>
      </c>
      <c r="AJ109" s="1">
        <f t="shared" si="22"/>
        <v>-5</v>
      </c>
      <c r="AK109" s="1">
        <f t="shared" ref="AK109:BP109" si="23">AK104-AK107</f>
        <v>23</v>
      </c>
      <c r="AL109" s="1">
        <f t="shared" si="23"/>
        <v>33</v>
      </c>
      <c r="AM109" s="1">
        <f t="shared" si="23"/>
        <v>0</v>
      </c>
      <c r="AN109" s="1">
        <f t="shared" si="23"/>
        <v>-10</v>
      </c>
      <c r="AO109" s="1">
        <f t="shared" si="23"/>
        <v>0</v>
      </c>
      <c r="AP109" s="1">
        <f t="shared" si="23"/>
        <v>8</v>
      </c>
      <c r="AQ109" s="1">
        <f t="shared" si="23"/>
        <v>99</v>
      </c>
      <c r="AR109" s="1">
        <f t="shared" si="23"/>
        <v>28</v>
      </c>
      <c r="AS109" s="1">
        <f t="shared" si="23"/>
        <v>56</v>
      </c>
      <c r="AT109" s="1">
        <f t="shared" si="23"/>
        <v>35</v>
      </c>
      <c r="AU109" s="1">
        <f t="shared" si="23"/>
        <v>49</v>
      </c>
      <c r="AV109" s="1">
        <f t="shared" si="23"/>
        <v>117</v>
      </c>
      <c r="AW109" s="1">
        <f t="shared" si="23"/>
        <v>44</v>
      </c>
      <c r="AX109" s="1">
        <f t="shared" si="23"/>
        <v>46</v>
      </c>
      <c r="AY109" s="1">
        <f t="shared" si="23"/>
        <v>15</v>
      </c>
      <c r="AZ109" s="1">
        <f t="shared" si="23"/>
        <v>3</v>
      </c>
      <c r="BA109" s="1">
        <f t="shared" si="23"/>
        <v>15</v>
      </c>
      <c r="BB109" s="1">
        <f t="shared" si="23"/>
        <v>22</v>
      </c>
      <c r="BC109" s="1">
        <f t="shared" si="23"/>
        <v>1</v>
      </c>
      <c r="BD109" s="1">
        <f t="shared" si="23"/>
        <v>-10</v>
      </c>
      <c r="BE109" s="1">
        <f t="shared" si="23"/>
        <v>205</v>
      </c>
      <c r="BF109" s="1">
        <f t="shared" si="23"/>
        <v>396</v>
      </c>
      <c r="BG109" s="1">
        <f t="shared" si="23"/>
        <v>312</v>
      </c>
      <c r="BH109" s="1">
        <f t="shared" si="23"/>
        <v>330</v>
      </c>
      <c r="BI109" s="1">
        <f t="shared" si="23"/>
        <v>162</v>
      </c>
      <c r="BJ109" s="1">
        <f t="shared" si="23"/>
        <v>195</v>
      </c>
      <c r="BK109" s="1">
        <f t="shared" si="23"/>
        <v>81</v>
      </c>
      <c r="BL109" s="1">
        <f t="shared" si="23"/>
        <v>77</v>
      </c>
      <c r="BM109" s="1">
        <f t="shared" si="23"/>
        <v>274</v>
      </c>
      <c r="BN109" s="1">
        <f t="shared" si="23"/>
        <v>91</v>
      </c>
      <c r="BO109" s="1">
        <f t="shared" si="23"/>
        <v>-47</v>
      </c>
      <c r="BP109" s="1">
        <f t="shared" si="23"/>
        <v>167</v>
      </c>
      <c r="BQ109" s="1"/>
      <c r="BR109" s="1"/>
      <c r="BS109" s="17"/>
      <c r="BT109" s="17"/>
    </row>
    <row r="110" spans="1:74">
      <c r="AQ110" s="7" t="s">
        <v>134</v>
      </c>
      <c r="AR110" s="7" t="s">
        <v>137</v>
      </c>
      <c r="AS110" s="7" t="s">
        <v>138</v>
      </c>
      <c r="AT110" s="7" t="s">
        <v>135</v>
      </c>
      <c r="AU110" s="7" t="s">
        <v>136</v>
      </c>
      <c r="AV110" s="7" t="s">
        <v>133</v>
      </c>
      <c r="AW110" s="7" t="s">
        <v>139</v>
      </c>
      <c r="AX110" s="7" t="s">
        <v>140</v>
      </c>
      <c r="AY110" s="7" t="s">
        <v>141</v>
      </c>
      <c r="AZ110" s="7" t="s">
        <v>142</v>
      </c>
      <c r="BA110" s="7" t="s">
        <v>143</v>
      </c>
      <c r="BB110" s="7" t="s">
        <v>144</v>
      </c>
    </row>
  </sheetData>
  <autoFilter ref="A1:BV110">
    <sortState ref="A2:BV111">
      <sortCondition ref="BS2:BS111"/>
      <sortCondition ref="BR2:BR111"/>
    </sortState>
  </autoFilter>
  <sortState ref="A2:CT148">
    <sortCondition ref="BS2:BS148"/>
    <sortCondition ref="BR2:BR148"/>
  </sortState>
  <phoneticPr fontId="1" type="noConversion"/>
  <conditionalFormatting sqref="E106:BC106 BE106:BP106">
    <cfRule type="expression" dxfId="13" priority="13">
      <formula>"&lt;=$E$135"</formula>
    </cfRule>
  </conditionalFormatting>
  <conditionalFormatting sqref="E108:BC109 BE108:BP109">
    <cfRule type="cellIs" dxfId="12" priority="4" operator="lessThan">
      <formula>0</formula>
    </cfRule>
  </conditionalFormatting>
  <conditionalFormatting sqref="E105:BC105 BE105:BP105">
    <cfRule type="cellIs" dxfId="11" priority="5" operator="lessThan">
      <formula>0</formula>
    </cfRule>
  </conditionalFormatting>
  <conditionalFormatting sqref="BD106">
    <cfRule type="expression" dxfId="10" priority="3">
      <formula>"&lt;=$E$135"</formula>
    </cfRule>
  </conditionalFormatting>
  <conditionalFormatting sqref="BD108:BD109">
    <cfRule type="cellIs" dxfId="9" priority="1" operator="lessThan">
      <formula>0</formula>
    </cfRule>
  </conditionalFormatting>
  <conditionalFormatting sqref="BD105">
    <cfRule type="cellIs" dxfId="8" priority="2" operator="less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calc">
                <anchor moveWithCells="1" sizeWithCells="1">
                  <from>
                    <xdr:col>0</xdr:col>
                    <xdr:colOff>209550</xdr:colOff>
                    <xdr:row>109</xdr:row>
                    <xdr:rowOff>28575</xdr:rowOff>
                  </from>
                  <to>
                    <xdr:col>1</xdr:col>
                    <xdr:colOff>428625</xdr:colOff>
                    <xdr:row>110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BV13"/>
  <sheetViews>
    <sheetView workbookViewId="0">
      <pane xSplit="2" ySplit="1" topLeftCell="C2" activePane="bottomRight" state="frozen"/>
      <selection pane="topRight" activeCell="C1" sqref="C1"/>
      <selection pane="bottomLeft" activeCell="A3" sqref="A3"/>
      <selection pane="bottomRight" activeCell="B5" sqref="B5"/>
    </sheetView>
  </sheetViews>
  <sheetFormatPr defaultRowHeight="13.5"/>
  <cols>
    <col min="1" max="1" width="9.75" bestFit="1" customWidth="1"/>
    <col min="2" max="2" width="15.125" bestFit="1" customWidth="1"/>
    <col min="3" max="4" width="9.75" bestFit="1" customWidth="1"/>
    <col min="5" max="14" width="11.75" bestFit="1" customWidth="1"/>
    <col min="15" max="15" width="13.75" bestFit="1" customWidth="1"/>
    <col min="16" max="30" width="13.75" style="7" customWidth="1"/>
    <col min="31" max="31" width="11.75" bestFit="1" customWidth="1"/>
    <col min="32" max="34" width="9.75" bestFit="1" customWidth="1"/>
    <col min="35" max="35" width="11.75" bestFit="1" customWidth="1"/>
    <col min="36" max="37" width="9.75" bestFit="1" customWidth="1"/>
    <col min="38" max="38" width="11.75" bestFit="1" customWidth="1"/>
    <col min="39" max="40" width="9.75" bestFit="1" customWidth="1"/>
    <col min="41" max="42" width="9.75" customWidth="1"/>
    <col min="43" max="53" width="12.625" style="7" customWidth="1"/>
    <col min="54" max="54" width="14.75" style="7" customWidth="1"/>
    <col min="55" max="55" width="18.125" style="7" customWidth="1"/>
    <col min="56" max="62" width="15.875" bestFit="1" customWidth="1"/>
    <col min="63" max="68" width="18.125" bestFit="1" customWidth="1"/>
    <col min="69" max="69" width="9.75" bestFit="1" customWidth="1"/>
    <col min="70" max="70" width="7.5" customWidth="1"/>
    <col min="71" max="71" width="7.625" style="15" customWidth="1"/>
    <col min="72" max="72" width="19.625" style="15" bestFit="1" customWidth="1"/>
  </cols>
  <sheetData>
    <row r="1" spans="1:74" s="13" customFormat="1">
      <c r="A1" s="47" t="s">
        <v>59</v>
      </c>
      <c r="B1" s="47" t="s">
        <v>60</v>
      </c>
      <c r="C1" s="47" t="s">
        <v>62</v>
      </c>
      <c r="D1" s="47" t="s">
        <v>61</v>
      </c>
      <c r="E1" s="48" t="s">
        <v>1</v>
      </c>
      <c r="F1" s="48" t="s">
        <v>2</v>
      </c>
      <c r="G1" s="48" t="s">
        <v>10</v>
      </c>
      <c r="H1" s="48" t="s">
        <v>18</v>
      </c>
      <c r="I1" s="48" t="s">
        <v>19</v>
      </c>
      <c r="J1" s="48" t="s">
        <v>58</v>
      </c>
      <c r="K1" s="48" t="s">
        <v>20</v>
      </c>
      <c r="L1" s="48" t="s">
        <v>35</v>
      </c>
      <c r="M1" s="48" t="s">
        <v>37</v>
      </c>
      <c r="N1" s="48" t="s">
        <v>41</v>
      </c>
      <c r="O1" s="48" t="s">
        <v>36</v>
      </c>
      <c r="P1" s="49" t="s">
        <v>90</v>
      </c>
      <c r="Q1" s="49" t="s">
        <v>102</v>
      </c>
      <c r="R1" s="49" t="s">
        <v>96</v>
      </c>
      <c r="S1" s="49" t="s">
        <v>91</v>
      </c>
      <c r="T1" s="49" t="s">
        <v>100</v>
      </c>
      <c r="U1" s="49" t="s">
        <v>105</v>
      </c>
      <c r="V1" s="49" t="s">
        <v>92</v>
      </c>
      <c r="W1" s="49" t="s">
        <v>99</v>
      </c>
      <c r="X1" s="49" t="s">
        <v>97</v>
      </c>
      <c r="Y1" s="49" t="s">
        <v>93</v>
      </c>
      <c r="Z1" s="49" t="s">
        <v>101</v>
      </c>
      <c r="AA1" s="49" t="s">
        <v>106</v>
      </c>
      <c r="AB1" s="49" t="s">
        <v>95</v>
      </c>
      <c r="AC1" s="49" t="s">
        <v>94</v>
      </c>
      <c r="AD1" s="49" t="s">
        <v>113</v>
      </c>
      <c r="AE1" s="47" t="s">
        <v>7</v>
      </c>
      <c r="AF1" s="47" t="s">
        <v>23</v>
      </c>
      <c r="AG1" s="47" t="s">
        <v>24</v>
      </c>
      <c r="AH1" s="47" t="s">
        <v>49</v>
      </c>
      <c r="AI1" s="47" t="s">
        <v>50</v>
      </c>
      <c r="AJ1" s="47" t="s">
        <v>52</v>
      </c>
      <c r="AK1" s="47" t="s">
        <v>53</v>
      </c>
      <c r="AL1" s="47" t="s">
        <v>55</v>
      </c>
      <c r="AM1" s="47" t="s">
        <v>42</v>
      </c>
      <c r="AN1" s="47" t="s">
        <v>43</v>
      </c>
      <c r="AO1" s="47" t="s">
        <v>79</v>
      </c>
      <c r="AP1" s="47" t="s">
        <v>80</v>
      </c>
      <c r="AQ1" s="50" t="s">
        <v>33</v>
      </c>
      <c r="AR1" s="50" t="s">
        <v>3</v>
      </c>
      <c r="AS1" s="50" t="s">
        <v>22</v>
      </c>
      <c r="AT1" s="50" t="s">
        <v>45</v>
      </c>
      <c r="AU1" s="50" t="s">
        <v>47</v>
      </c>
      <c r="AV1" s="50" t="s">
        <v>40</v>
      </c>
      <c r="AW1" s="51" t="s">
        <v>4</v>
      </c>
      <c r="AX1" s="51" t="s">
        <v>5</v>
      </c>
      <c r="AY1" s="51" t="s">
        <v>34</v>
      </c>
      <c r="AZ1" s="51" t="s">
        <v>6</v>
      </c>
      <c r="BA1" s="51" t="s">
        <v>39</v>
      </c>
      <c r="BB1" s="51" t="s">
        <v>9</v>
      </c>
      <c r="BC1" s="52" t="s">
        <v>77</v>
      </c>
      <c r="BD1" s="47" t="s">
        <v>171</v>
      </c>
      <c r="BE1" s="47" t="s">
        <v>14</v>
      </c>
      <c r="BF1" s="47" t="s">
        <v>13</v>
      </c>
      <c r="BG1" s="47" t="s">
        <v>11</v>
      </c>
      <c r="BH1" s="47" t="s">
        <v>12</v>
      </c>
      <c r="BI1" s="47" t="s">
        <v>15</v>
      </c>
      <c r="BJ1" s="47" t="s">
        <v>16</v>
      </c>
      <c r="BK1" s="47" t="s">
        <v>26</v>
      </c>
      <c r="BL1" s="47" t="s">
        <v>27</v>
      </c>
      <c r="BM1" s="47" t="s">
        <v>28</v>
      </c>
      <c r="BN1" s="47" t="s">
        <v>29</v>
      </c>
      <c r="BO1" s="47" t="s">
        <v>30</v>
      </c>
      <c r="BP1" s="47" t="s">
        <v>31</v>
      </c>
      <c r="BQ1" s="53" t="s">
        <v>66</v>
      </c>
      <c r="BR1" s="47" t="s">
        <v>67</v>
      </c>
      <c r="BS1" s="54" t="s">
        <v>68</v>
      </c>
      <c r="BT1" s="54"/>
      <c r="BU1" s="55" t="s">
        <v>154</v>
      </c>
      <c r="BV1" s="55"/>
    </row>
    <row r="2" spans="1:74" s="62" customFormat="1">
      <c r="A2" s="60"/>
      <c r="B2" s="61" t="s">
        <v>148</v>
      </c>
      <c r="C2" s="61" t="s">
        <v>21</v>
      </c>
      <c r="D2" s="60" t="s">
        <v>17</v>
      </c>
      <c r="E2" s="19"/>
      <c r="F2" s="19"/>
      <c r="G2" s="19"/>
      <c r="H2" s="19"/>
      <c r="I2" s="19"/>
      <c r="J2" s="19"/>
      <c r="K2" s="19"/>
      <c r="L2" s="19"/>
      <c r="M2" s="19"/>
      <c r="N2" s="19"/>
      <c r="O2" s="19"/>
      <c r="P2" s="29">
        <v>10</v>
      </c>
      <c r="Q2" s="29"/>
      <c r="R2" s="29"/>
      <c r="S2" s="29">
        <v>10</v>
      </c>
      <c r="T2" s="29"/>
      <c r="U2" s="29"/>
      <c r="V2" s="29"/>
      <c r="W2" s="29">
        <v>5</v>
      </c>
      <c r="X2" s="29"/>
      <c r="Y2" s="29"/>
      <c r="Z2" s="29"/>
      <c r="AA2" s="29"/>
      <c r="AB2" s="29">
        <v>10</v>
      </c>
      <c r="AC2" s="29"/>
      <c r="AD2" s="29"/>
      <c r="AE2" s="60"/>
      <c r="AF2" s="60"/>
      <c r="AG2" s="60"/>
      <c r="AH2" s="60"/>
      <c r="AI2" s="60"/>
      <c r="AJ2" s="60"/>
      <c r="AK2" s="60"/>
      <c r="AL2" s="60"/>
      <c r="AM2" s="60"/>
      <c r="AN2" s="60"/>
      <c r="AO2" s="60"/>
      <c r="AP2" s="60"/>
      <c r="AQ2" s="20"/>
      <c r="AR2" s="20"/>
      <c r="AS2" s="20"/>
      <c r="AT2" s="20"/>
      <c r="AU2" s="20"/>
      <c r="AV2" s="20"/>
      <c r="AW2" s="21"/>
      <c r="AX2" s="21"/>
      <c r="AY2" s="21"/>
      <c r="AZ2" s="21"/>
      <c r="BA2" s="21"/>
      <c r="BB2" s="21"/>
      <c r="BC2" s="26"/>
      <c r="BD2" s="60"/>
      <c r="BE2" s="60"/>
      <c r="BF2" s="60"/>
      <c r="BG2" s="60"/>
      <c r="BH2" s="60"/>
      <c r="BI2" s="60"/>
      <c r="BJ2" s="60"/>
      <c r="BK2" s="60"/>
      <c r="BL2" s="60"/>
      <c r="BM2" s="60"/>
      <c r="BN2" s="60"/>
      <c r="BO2" s="60"/>
      <c r="BP2" s="60"/>
      <c r="BQ2" s="60">
        <f t="shared" ref="BQ2:BQ3" si="0">SUM(E2:BP2)</f>
        <v>35</v>
      </c>
      <c r="BR2" s="60">
        <v>2</v>
      </c>
      <c r="BS2" s="22">
        <v>1</v>
      </c>
      <c r="BT2" s="22" t="s">
        <v>219</v>
      </c>
      <c r="BU2" s="23">
        <f t="shared" ref="BU2:BU3" si="1">SUM(P2:AD2)</f>
        <v>35</v>
      </c>
      <c r="BV2" s="23">
        <f t="shared" ref="BV2:BV3" si="2">AF2+AH2+AI2+AJ2+AO2+AP2</f>
        <v>0</v>
      </c>
    </row>
    <row r="3" spans="1:74" s="23" customFormat="1" ht="27">
      <c r="A3" s="60"/>
      <c r="B3" s="61" t="s">
        <v>148</v>
      </c>
      <c r="C3" s="61" t="s">
        <v>21</v>
      </c>
      <c r="D3" s="60" t="s">
        <v>0</v>
      </c>
      <c r="E3" s="19"/>
      <c r="F3" s="19"/>
      <c r="G3" s="19"/>
      <c r="H3" s="19"/>
      <c r="I3" s="19"/>
      <c r="J3" s="19"/>
      <c r="K3" s="19"/>
      <c r="L3" s="19"/>
      <c r="M3" s="19"/>
      <c r="N3" s="19"/>
      <c r="O3" s="19"/>
      <c r="P3" s="29"/>
      <c r="Q3" s="29">
        <v>5</v>
      </c>
      <c r="R3" s="29"/>
      <c r="S3" s="29"/>
      <c r="T3" s="29">
        <v>5</v>
      </c>
      <c r="U3" s="29"/>
      <c r="V3" s="29"/>
      <c r="W3" s="29"/>
      <c r="X3" s="29">
        <v>2</v>
      </c>
      <c r="Y3" s="29"/>
      <c r="Z3" s="29">
        <v>5</v>
      </c>
      <c r="AA3" s="29"/>
      <c r="AB3" s="29"/>
      <c r="AC3" s="29"/>
      <c r="AD3" s="29"/>
      <c r="AE3" s="60"/>
      <c r="AF3" s="60"/>
      <c r="AG3" s="60"/>
      <c r="AH3" s="60"/>
      <c r="AI3" s="60"/>
      <c r="AJ3" s="60"/>
      <c r="AK3" s="60"/>
      <c r="AL3" s="60"/>
      <c r="AM3" s="60"/>
      <c r="AN3" s="60"/>
      <c r="AO3" s="60"/>
      <c r="AP3" s="60"/>
      <c r="AQ3" s="20"/>
      <c r="AR3" s="20"/>
      <c r="AS3" s="20"/>
      <c r="AT3" s="20"/>
      <c r="AU3" s="20"/>
      <c r="AV3" s="20"/>
      <c r="AW3" s="21"/>
      <c r="AX3" s="21"/>
      <c r="AY3" s="21"/>
      <c r="AZ3" s="21"/>
      <c r="BA3" s="21"/>
      <c r="BB3" s="21"/>
      <c r="BC3" s="26"/>
      <c r="BD3" s="60"/>
      <c r="BE3" s="60"/>
      <c r="BF3" s="60"/>
      <c r="BG3" s="60"/>
      <c r="BH3" s="60"/>
      <c r="BI3" s="60"/>
      <c r="BJ3" s="60"/>
      <c r="BK3" s="60"/>
      <c r="BL3" s="60"/>
      <c r="BM3" s="60"/>
      <c r="BN3" s="60"/>
      <c r="BO3" s="60"/>
      <c r="BP3" s="60"/>
      <c r="BQ3" s="60">
        <f t="shared" si="0"/>
        <v>17</v>
      </c>
      <c r="BR3" s="60">
        <v>7</v>
      </c>
      <c r="BS3" s="22">
        <v>2</v>
      </c>
      <c r="BT3" s="22" t="s">
        <v>209</v>
      </c>
      <c r="BU3" s="23">
        <f t="shared" si="1"/>
        <v>17</v>
      </c>
      <c r="BV3" s="23">
        <f t="shared" si="2"/>
        <v>0</v>
      </c>
    </row>
    <row r="4" spans="1:74" s="23" customFormat="1" ht="27">
      <c r="A4" s="60"/>
      <c r="B4" s="61" t="s">
        <v>148</v>
      </c>
      <c r="C4" s="61" t="s">
        <v>21</v>
      </c>
      <c r="D4" s="60" t="s">
        <v>147</v>
      </c>
      <c r="E4" s="19"/>
      <c r="F4" s="19"/>
      <c r="G4" s="19"/>
      <c r="H4" s="19"/>
      <c r="I4" s="19"/>
      <c r="J4" s="19"/>
      <c r="K4" s="19"/>
      <c r="L4" s="19"/>
      <c r="M4" s="19">
        <v>10</v>
      </c>
      <c r="N4" s="19"/>
      <c r="O4" s="19"/>
      <c r="P4" s="29"/>
      <c r="Q4" s="29"/>
      <c r="R4" s="29"/>
      <c r="S4" s="29"/>
      <c r="T4" s="29"/>
      <c r="U4" s="29"/>
      <c r="V4" s="29"/>
      <c r="W4" s="29"/>
      <c r="X4" s="29"/>
      <c r="Y4" s="29"/>
      <c r="Z4" s="29"/>
      <c r="AA4" s="29">
        <v>10</v>
      </c>
      <c r="AB4" s="29"/>
      <c r="AC4" s="29"/>
      <c r="AD4" s="29">
        <v>10</v>
      </c>
      <c r="AE4" s="60"/>
      <c r="AF4" s="60"/>
      <c r="AG4" s="60"/>
      <c r="AH4" s="60"/>
      <c r="AI4" s="60"/>
      <c r="AJ4" s="60"/>
      <c r="AK4" s="60"/>
      <c r="AL4" s="60"/>
      <c r="AM4" s="60"/>
      <c r="AN4" s="60"/>
      <c r="AO4" s="60"/>
      <c r="AP4" s="60"/>
      <c r="AQ4" s="20"/>
      <c r="AR4" s="20"/>
      <c r="AS4" s="20">
        <v>10</v>
      </c>
      <c r="AT4" s="20"/>
      <c r="AU4" s="20"/>
      <c r="AV4" s="20"/>
      <c r="AW4" s="21"/>
      <c r="AX4" s="21"/>
      <c r="AY4" s="21"/>
      <c r="AZ4" s="21"/>
      <c r="BA4" s="21"/>
      <c r="BB4" s="21"/>
      <c r="BC4" s="26"/>
      <c r="BD4" s="60"/>
      <c r="BE4" s="60"/>
      <c r="BF4" s="60"/>
      <c r="BG4" s="60"/>
      <c r="BH4" s="60"/>
      <c r="BI4" s="60"/>
      <c r="BJ4" s="60"/>
      <c r="BK4" s="60"/>
      <c r="BL4" s="60"/>
      <c r="BM4" s="60"/>
      <c r="BN4" s="60"/>
      <c r="BO4" s="60"/>
      <c r="BP4" s="60"/>
      <c r="BQ4" s="60">
        <f t="shared" ref="BQ4:BQ5" si="3">SUM(E4:BP4)</f>
        <v>40</v>
      </c>
      <c r="BR4" s="60">
        <v>19</v>
      </c>
      <c r="BS4" s="22">
        <v>2</v>
      </c>
      <c r="BT4" s="22" t="s">
        <v>210</v>
      </c>
      <c r="BU4" s="23">
        <f t="shared" ref="BU4:BU5" si="4">SUM(P4:AD4)</f>
        <v>20</v>
      </c>
      <c r="BV4" s="23">
        <f t="shared" ref="BV4:BV5" si="5">AF4+AH4+AI4+AJ4+AO4+AP4</f>
        <v>0</v>
      </c>
    </row>
    <row r="5" spans="1:74" s="23" customFormat="1" ht="40.5">
      <c r="A5" s="60"/>
      <c r="B5" s="61" t="s">
        <v>191</v>
      </c>
      <c r="C5" s="61" t="s">
        <v>150</v>
      </c>
      <c r="D5" s="60" t="s">
        <v>147</v>
      </c>
      <c r="E5" s="19"/>
      <c r="F5" s="19"/>
      <c r="G5" s="19">
        <v>10</v>
      </c>
      <c r="H5" s="19"/>
      <c r="I5" s="19"/>
      <c r="J5" s="19"/>
      <c r="K5" s="19"/>
      <c r="L5" s="19"/>
      <c r="M5" s="19"/>
      <c r="N5" s="19"/>
      <c r="O5" s="19"/>
      <c r="P5" s="29"/>
      <c r="Q5" s="29"/>
      <c r="R5" s="29"/>
      <c r="S5" s="29"/>
      <c r="T5" s="29"/>
      <c r="U5" s="29"/>
      <c r="V5" s="29"/>
      <c r="W5" s="29"/>
      <c r="X5" s="29">
        <v>10</v>
      </c>
      <c r="Y5" s="29"/>
      <c r="Z5" s="29"/>
      <c r="AA5" s="29"/>
      <c r="AB5" s="29"/>
      <c r="AC5" s="29"/>
      <c r="AD5" s="29">
        <v>10</v>
      </c>
      <c r="AE5" s="60"/>
      <c r="AF5" s="60"/>
      <c r="AG5" s="60"/>
      <c r="AH5" s="60"/>
      <c r="AI5" s="60"/>
      <c r="AJ5" s="60"/>
      <c r="AK5" s="60"/>
      <c r="AL5" s="60"/>
      <c r="AM5" s="60"/>
      <c r="AN5" s="60"/>
      <c r="AO5" s="60"/>
      <c r="AP5" s="60"/>
      <c r="AQ5" s="20"/>
      <c r="AR5" s="20"/>
      <c r="AS5" s="20"/>
      <c r="AT5" s="20"/>
      <c r="AU5" s="20"/>
      <c r="AV5" s="20">
        <v>10</v>
      </c>
      <c r="AW5" s="21"/>
      <c r="AX5" s="21"/>
      <c r="AY5" s="21"/>
      <c r="AZ5" s="21"/>
      <c r="BA5" s="21"/>
      <c r="BB5" s="21"/>
      <c r="BC5" s="26"/>
      <c r="BD5" s="60"/>
      <c r="BE5" s="60"/>
      <c r="BF5" s="60"/>
      <c r="BG5" s="60"/>
      <c r="BH5" s="60"/>
      <c r="BI5" s="60"/>
      <c r="BJ5" s="60"/>
      <c r="BK5" s="60"/>
      <c r="BL5" s="60"/>
      <c r="BM5" s="60"/>
      <c r="BN5" s="60"/>
      <c r="BO5" s="60"/>
      <c r="BP5" s="60"/>
      <c r="BQ5" s="60">
        <f t="shared" si="3"/>
        <v>40</v>
      </c>
      <c r="BR5" s="60">
        <v>30</v>
      </c>
      <c r="BS5" s="22">
        <v>3</v>
      </c>
      <c r="BT5" s="22" t="s">
        <v>220</v>
      </c>
      <c r="BU5" s="23">
        <f t="shared" si="4"/>
        <v>20</v>
      </c>
      <c r="BV5" s="23">
        <f t="shared" si="5"/>
        <v>0</v>
      </c>
    </row>
    <row r="6" spans="1:74">
      <c r="A6" s="56"/>
      <c r="B6" s="56" t="s">
        <v>48</v>
      </c>
      <c r="C6" s="56"/>
      <c r="D6" s="56"/>
      <c r="E6" s="38">
        <f t="shared" ref="E6:AJ6" si="6">SUM(E2:E5)</f>
        <v>0</v>
      </c>
      <c r="F6" s="38">
        <f t="shared" si="6"/>
        <v>0</v>
      </c>
      <c r="G6" s="38">
        <f t="shared" si="6"/>
        <v>10</v>
      </c>
      <c r="H6" s="38">
        <f t="shared" si="6"/>
        <v>0</v>
      </c>
      <c r="I6" s="38">
        <f t="shared" si="6"/>
        <v>0</v>
      </c>
      <c r="J6" s="38">
        <f t="shared" si="6"/>
        <v>0</v>
      </c>
      <c r="K6" s="38">
        <f t="shared" si="6"/>
        <v>0</v>
      </c>
      <c r="L6" s="38">
        <f t="shared" si="6"/>
        <v>0</v>
      </c>
      <c r="M6" s="38">
        <f t="shared" si="6"/>
        <v>10</v>
      </c>
      <c r="N6" s="38">
        <f t="shared" si="6"/>
        <v>0</v>
      </c>
      <c r="O6" s="38">
        <f t="shared" si="6"/>
        <v>0</v>
      </c>
      <c r="P6" s="39">
        <f t="shared" si="6"/>
        <v>10</v>
      </c>
      <c r="Q6" s="39">
        <f t="shared" si="6"/>
        <v>5</v>
      </c>
      <c r="R6" s="39">
        <f t="shared" si="6"/>
        <v>0</v>
      </c>
      <c r="S6" s="39">
        <f t="shared" si="6"/>
        <v>10</v>
      </c>
      <c r="T6" s="39">
        <f t="shared" si="6"/>
        <v>5</v>
      </c>
      <c r="U6" s="39">
        <f t="shared" si="6"/>
        <v>0</v>
      </c>
      <c r="V6" s="39">
        <f t="shared" si="6"/>
        <v>0</v>
      </c>
      <c r="W6" s="39">
        <f t="shared" si="6"/>
        <v>5</v>
      </c>
      <c r="X6" s="39">
        <f t="shared" si="6"/>
        <v>12</v>
      </c>
      <c r="Y6" s="39">
        <f t="shared" si="6"/>
        <v>0</v>
      </c>
      <c r="Z6" s="39">
        <f t="shared" si="6"/>
        <v>5</v>
      </c>
      <c r="AA6" s="39">
        <f t="shared" si="6"/>
        <v>10</v>
      </c>
      <c r="AB6" s="39">
        <f t="shared" si="6"/>
        <v>10</v>
      </c>
      <c r="AC6" s="39">
        <f t="shared" si="6"/>
        <v>0</v>
      </c>
      <c r="AD6" s="39">
        <f t="shared" si="6"/>
        <v>20</v>
      </c>
      <c r="AE6" s="56">
        <f t="shared" si="6"/>
        <v>0</v>
      </c>
      <c r="AF6" s="56">
        <f t="shared" si="6"/>
        <v>0</v>
      </c>
      <c r="AG6" s="56">
        <f t="shared" si="6"/>
        <v>0</v>
      </c>
      <c r="AH6" s="56">
        <f t="shared" si="6"/>
        <v>0</v>
      </c>
      <c r="AI6" s="56">
        <f t="shared" si="6"/>
        <v>0</v>
      </c>
      <c r="AJ6" s="56">
        <f t="shared" si="6"/>
        <v>0</v>
      </c>
      <c r="AK6" s="56">
        <f t="shared" ref="AK6:BP6" si="7">SUM(AK2:AK5)</f>
        <v>0</v>
      </c>
      <c r="AL6" s="56">
        <f t="shared" si="7"/>
        <v>0</v>
      </c>
      <c r="AM6" s="56">
        <f t="shared" si="7"/>
        <v>0</v>
      </c>
      <c r="AN6" s="56">
        <f t="shared" si="7"/>
        <v>0</v>
      </c>
      <c r="AO6" s="56">
        <f t="shared" si="7"/>
        <v>0</v>
      </c>
      <c r="AP6" s="56">
        <f t="shared" si="7"/>
        <v>0</v>
      </c>
      <c r="AQ6" s="40">
        <f t="shared" si="7"/>
        <v>0</v>
      </c>
      <c r="AR6" s="40">
        <f t="shared" si="7"/>
        <v>0</v>
      </c>
      <c r="AS6" s="40">
        <f t="shared" si="7"/>
        <v>10</v>
      </c>
      <c r="AT6" s="40">
        <f t="shared" si="7"/>
        <v>0</v>
      </c>
      <c r="AU6" s="40">
        <f t="shared" si="7"/>
        <v>0</v>
      </c>
      <c r="AV6" s="40">
        <f t="shared" si="7"/>
        <v>10</v>
      </c>
      <c r="AW6" s="41">
        <f t="shared" si="7"/>
        <v>0</v>
      </c>
      <c r="AX6" s="41">
        <f t="shared" si="7"/>
        <v>0</v>
      </c>
      <c r="AY6" s="41">
        <f t="shared" si="7"/>
        <v>0</v>
      </c>
      <c r="AZ6" s="41">
        <f t="shared" si="7"/>
        <v>0</v>
      </c>
      <c r="BA6" s="41">
        <f t="shared" si="7"/>
        <v>0</v>
      </c>
      <c r="BB6" s="41">
        <f t="shared" si="7"/>
        <v>0</v>
      </c>
      <c r="BC6" s="56">
        <f t="shared" si="7"/>
        <v>0</v>
      </c>
      <c r="BD6" s="56">
        <f t="shared" si="7"/>
        <v>0</v>
      </c>
      <c r="BE6" s="56">
        <f t="shared" si="7"/>
        <v>0</v>
      </c>
      <c r="BF6" s="56">
        <f t="shared" si="7"/>
        <v>0</v>
      </c>
      <c r="BG6" s="56">
        <f t="shared" si="7"/>
        <v>0</v>
      </c>
      <c r="BH6" s="56">
        <f t="shared" si="7"/>
        <v>0</v>
      </c>
      <c r="BI6" s="56">
        <f t="shared" si="7"/>
        <v>0</v>
      </c>
      <c r="BJ6" s="56">
        <f t="shared" si="7"/>
        <v>0</v>
      </c>
      <c r="BK6" s="56">
        <f t="shared" si="7"/>
        <v>0</v>
      </c>
      <c r="BL6" s="56">
        <f t="shared" si="7"/>
        <v>0</v>
      </c>
      <c r="BM6" s="56">
        <f t="shared" si="7"/>
        <v>0</v>
      </c>
      <c r="BN6" s="56">
        <f t="shared" si="7"/>
        <v>0</v>
      </c>
      <c r="BO6" s="56">
        <f t="shared" si="7"/>
        <v>0</v>
      </c>
      <c r="BP6" s="56">
        <f t="shared" si="7"/>
        <v>0</v>
      </c>
      <c r="BQ6" s="56"/>
      <c r="BR6" s="56"/>
      <c r="BS6" s="43"/>
      <c r="BT6" s="43"/>
      <c r="BU6" s="44"/>
      <c r="BV6" s="44"/>
    </row>
    <row r="7" spans="1:74">
      <c r="A7" s="56"/>
      <c r="B7" s="57" t="s">
        <v>65</v>
      </c>
      <c r="C7" s="56"/>
      <c r="D7" s="56"/>
      <c r="E7" s="56">
        <v>14</v>
      </c>
      <c r="F7" s="56">
        <v>67</v>
      </c>
      <c r="G7" s="56">
        <v>0</v>
      </c>
      <c r="H7" s="56">
        <v>0</v>
      </c>
      <c r="I7" s="56">
        <v>130</v>
      </c>
      <c r="J7" s="56">
        <v>130</v>
      </c>
      <c r="K7" s="56">
        <v>102</v>
      </c>
      <c r="L7" s="56">
        <v>86</v>
      </c>
      <c r="M7" s="56">
        <v>93</v>
      </c>
      <c r="N7" s="56">
        <v>153</v>
      </c>
      <c r="O7" s="56">
        <v>77</v>
      </c>
      <c r="P7" s="42">
        <v>268</v>
      </c>
      <c r="Q7" s="42">
        <v>97</v>
      </c>
      <c r="R7" s="42">
        <v>30</v>
      </c>
      <c r="S7" s="42">
        <v>328</v>
      </c>
      <c r="T7" s="42">
        <v>114</v>
      </c>
      <c r="U7" s="42">
        <v>31</v>
      </c>
      <c r="V7" s="42">
        <v>229</v>
      </c>
      <c r="W7" s="42">
        <v>100</v>
      </c>
      <c r="X7" s="42">
        <v>22</v>
      </c>
      <c r="Y7" s="42">
        <v>223</v>
      </c>
      <c r="Z7" s="42">
        <v>108</v>
      </c>
      <c r="AA7" s="42">
        <v>23</v>
      </c>
      <c r="AB7" s="42">
        <v>315</v>
      </c>
      <c r="AC7" s="42">
        <v>87</v>
      </c>
      <c r="AD7" s="42">
        <v>18</v>
      </c>
      <c r="AE7" s="56">
        <v>28</v>
      </c>
      <c r="AF7" s="56">
        <v>3</v>
      </c>
      <c r="AG7" s="56">
        <v>3</v>
      </c>
      <c r="AH7" s="56">
        <v>0</v>
      </c>
      <c r="AI7" s="56">
        <v>0</v>
      </c>
      <c r="AJ7" s="56">
        <v>0</v>
      </c>
      <c r="AK7" s="56">
        <v>23</v>
      </c>
      <c r="AL7" s="56">
        <v>33</v>
      </c>
      <c r="AM7" s="56">
        <v>0</v>
      </c>
      <c r="AN7" s="56">
        <v>7</v>
      </c>
      <c r="AO7" s="56">
        <v>2</v>
      </c>
      <c r="AP7" s="56">
        <v>6</v>
      </c>
      <c r="AQ7" s="42">
        <v>66</v>
      </c>
      <c r="AR7" s="42">
        <v>25</v>
      </c>
      <c r="AS7" s="42">
        <v>56</v>
      </c>
      <c r="AT7" s="42">
        <v>40</v>
      </c>
      <c r="AU7" s="42">
        <v>31</v>
      </c>
      <c r="AV7" s="42">
        <v>146</v>
      </c>
      <c r="AW7" s="42">
        <v>34</v>
      </c>
      <c r="AX7" s="42">
        <v>58</v>
      </c>
      <c r="AY7" s="42">
        <v>0</v>
      </c>
      <c r="AZ7" s="42">
        <v>6</v>
      </c>
      <c r="BA7" s="42">
        <v>15</v>
      </c>
      <c r="BB7" s="42">
        <v>14</v>
      </c>
      <c r="BC7" s="42">
        <v>3</v>
      </c>
      <c r="BD7" s="56">
        <v>2</v>
      </c>
      <c r="BE7" s="56">
        <v>255</v>
      </c>
      <c r="BF7" s="56">
        <v>396</v>
      </c>
      <c r="BG7" s="56">
        <v>312</v>
      </c>
      <c r="BH7" s="56">
        <v>330</v>
      </c>
      <c r="BI7" s="56">
        <v>162</v>
      </c>
      <c r="BJ7" s="56">
        <v>195</v>
      </c>
      <c r="BK7" s="56">
        <v>131</v>
      </c>
      <c r="BL7" s="56">
        <v>127</v>
      </c>
      <c r="BM7" s="56">
        <v>241</v>
      </c>
      <c r="BN7" s="56">
        <v>101</v>
      </c>
      <c r="BO7" s="56">
        <v>3</v>
      </c>
      <c r="BP7" s="56">
        <v>73</v>
      </c>
      <c r="BQ7" s="56"/>
      <c r="BR7" s="56"/>
      <c r="BS7" s="43"/>
      <c r="BT7" s="43"/>
      <c r="BU7" s="44"/>
      <c r="BV7" s="44"/>
    </row>
    <row r="8" spans="1:74">
      <c r="A8" s="56"/>
      <c r="B8" s="57" t="s">
        <v>72</v>
      </c>
      <c r="C8" s="56"/>
      <c r="D8" s="56"/>
      <c r="E8" s="56">
        <f t="shared" ref="E8:BP8" si="8">E7-E6</f>
        <v>14</v>
      </c>
      <c r="F8" s="56">
        <f t="shared" si="8"/>
        <v>67</v>
      </c>
      <c r="G8" s="56">
        <f t="shared" si="8"/>
        <v>-10</v>
      </c>
      <c r="H8" s="56">
        <f t="shared" si="8"/>
        <v>0</v>
      </c>
      <c r="I8" s="56">
        <f t="shared" si="8"/>
        <v>130</v>
      </c>
      <c r="J8" s="56">
        <f t="shared" si="8"/>
        <v>130</v>
      </c>
      <c r="K8" s="56">
        <f t="shared" si="8"/>
        <v>102</v>
      </c>
      <c r="L8" s="56">
        <f t="shared" si="8"/>
        <v>86</v>
      </c>
      <c r="M8" s="56">
        <f t="shared" si="8"/>
        <v>83</v>
      </c>
      <c r="N8" s="56">
        <f t="shared" si="8"/>
        <v>153</v>
      </c>
      <c r="O8" s="56">
        <f t="shared" si="8"/>
        <v>77</v>
      </c>
      <c r="P8" s="56">
        <f t="shared" si="8"/>
        <v>258</v>
      </c>
      <c r="Q8" s="56">
        <f t="shared" si="8"/>
        <v>92</v>
      </c>
      <c r="R8" s="56">
        <f t="shared" si="8"/>
        <v>30</v>
      </c>
      <c r="S8" s="56">
        <f t="shared" si="8"/>
        <v>318</v>
      </c>
      <c r="T8" s="56">
        <f t="shared" si="8"/>
        <v>109</v>
      </c>
      <c r="U8" s="56">
        <f t="shared" si="8"/>
        <v>31</v>
      </c>
      <c r="V8" s="56">
        <f t="shared" si="8"/>
        <v>229</v>
      </c>
      <c r="W8" s="56">
        <f t="shared" si="8"/>
        <v>95</v>
      </c>
      <c r="X8" s="56">
        <f t="shared" si="8"/>
        <v>10</v>
      </c>
      <c r="Y8" s="56">
        <f t="shared" si="8"/>
        <v>223</v>
      </c>
      <c r="Z8" s="56">
        <f t="shared" si="8"/>
        <v>103</v>
      </c>
      <c r="AA8" s="56">
        <f t="shared" si="8"/>
        <v>13</v>
      </c>
      <c r="AB8" s="56">
        <f t="shared" si="8"/>
        <v>305</v>
      </c>
      <c r="AC8" s="56">
        <f t="shared" si="8"/>
        <v>87</v>
      </c>
      <c r="AD8" s="56">
        <f t="shared" si="8"/>
        <v>-2</v>
      </c>
      <c r="AE8" s="56">
        <f t="shared" si="8"/>
        <v>28</v>
      </c>
      <c r="AF8" s="56">
        <f t="shared" si="8"/>
        <v>3</v>
      </c>
      <c r="AG8" s="56">
        <f t="shared" si="8"/>
        <v>3</v>
      </c>
      <c r="AH8" s="56">
        <f t="shared" si="8"/>
        <v>0</v>
      </c>
      <c r="AI8" s="56">
        <f t="shared" si="8"/>
        <v>0</v>
      </c>
      <c r="AJ8" s="56">
        <f t="shared" si="8"/>
        <v>0</v>
      </c>
      <c r="AK8" s="56">
        <f t="shared" si="8"/>
        <v>23</v>
      </c>
      <c r="AL8" s="56">
        <f t="shared" si="8"/>
        <v>33</v>
      </c>
      <c r="AM8" s="56">
        <f t="shared" si="8"/>
        <v>0</v>
      </c>
      <c r="AN8" s="56">
        <f t="shared" si="8"/>
        <v>7</v>
      </c>
      <c r="AO8" s="56">
        <f t="shared" si="8"/>
        <v>2</v>
      </c>
      <c r="AP8" s="56">
        <f t="shared" si="8"/>
        <v>6</v>
      </c>
      <c r="AQ8" s="56">
        <f t="shared" si="8"/>
        <v>66</v>
      </c>
      <c r="AR8" s="56">
        <f t="shared" si="8"/>
        <v>25</v>
      </c>
      <c r="AS8" s="56">
        <f t="shared" si="8"/>
        <v>46</v>
      </c>
      <c r="AT8" s="56">
        <f t="shared" si="8"/>
        <v>40</v>
      </c>
      <c r="AU8" s="56">
        <f t="shared" si="8"/>
        <v>31</v>
      </c>
      <c r="AV8" s="56">
        <f t="shared" si="8"/>
        <v>136</v>
      </c>
      <c r="AW8" s="56">
        <f t="shared" si="8"/>
        <v>34</v>
      </c>
      <c r="AX8" s="56">
        <f t="shared" si="8"/>
        <v>58</v>
      </c>
      <c r="AY8" s="56">
        <f t="shared" si="8"/>
        <v>0</v>
      </c>
      <c r="AZ8" s="56">
        <f t="shared" si="8"/>
        <v>6</v>
      </c>
      <c r="BA8" s="56">
        <f t="shared" si="8"/>
        <v>15</v>
      </c>
      <c r="BB8" s="56">
        <f t="shared" si="8"/>
        <v>14</v>
      </c>
      <c r="BC8" s="56">
        <f t="shared" si="8"/>
        <v>3</v>
      </c>
      <c r="BD8" s="56">
        <f t="shared" si="8"/>
        <v>2</v>
      </c>
      <c r="BE8" s="56">
        <f t="shared" si="8"/>
        <v>255</v>
      </c>
      <c r="BF8" s="56">
        <f t="shared" si="8"/>
        <v>396</v>
      </c>
      <c r="BG8" s="56">
        <f t="shared" si="8"/>
        <v>312</v>
      </c>
      <c r="BH8" s="56">
        <f t="shared" si="8"/>
        <v>330</v>
      </c>
      <c r="BI8" s="56">
        <f t="shared" si="8"/>
        <v>162</v>
      </c>
      <c r="BJ8" s="56">
        <f t="shared" si="8"/>
        <v>195</v>
      </c>
      <c r="BK8" s="56">
        <f t="shared" si="8"/>
        <v>131</v>
      </c>
      <c r="BL8" s="56">
        <f t="shared" si="8"/>
        <v>127</v>
      </c>
      <c r="BM8" s="56">
        <f t="shared" si="8"/>
        <v>241</v>
      </c>
      <c r="BN8" s="56">
        <f t="shared" si="8"/>
        <v>101</v>
      </c>
      <c r="BO8" s="56">
        <f t="shared" si="8"/>
        <v>3</v>
      </c>
      <c r="BP8" s="56">
        <f t="shared" si="8"/>
        <v>73</v>
      </c>
      <c r="BQ8" s="56"/>
      <c r="BR8" s="56"/>
      <c r="BS8" s="43"/>
      <c r="BT8" s="43"/>
      <c r="BU8" s="44"/>
      <c r="BV8" s="44"/>
    </row>
    <row r="9" spans="1:74">
      <c r="A9" s="56"/>
      <c r="B9" s="57" t="s">
        <v>116</v>
      </c>
      <c r="C9" s="56"/>
      <c r="D9" s="56"/>
      <c r="E9" s="56">
        <f t="shared" ref="E9:AJ9" si="9">MAX(E2:E5)</f>
        <v>0</v>
      </c>
      <c r="F9" s="56">
        <f t="shared" si="9"/>
        <v>0</v>
      </c>
      <c r="G9" s="56">
        <f t="shared" si="9"/>
        <v>10</v>
      </c>
      <c r="H9" s="56">
        <f t="shared" si="9"/>
        <v>0</v>
      </c>
      <c r="I9" s="56">
        <f t="shared" si="9"/>
        <v>0</v>
      </c>
      <c r="J9" s="56">
        <f t="shared" si="9"/>
        <v>0</v>
      </c>
      <c r="K9" s="56">
        <f t="shared" si="9"/>
        <v>0</v>
      </c>
      <c r="L9" s="56">
        <f t="shared" si="9"/>
        <v>0</v>
      </c>
      <c r="M9" s="56">
        <f t="shared" si="9"/>
        <v>10</v>
      </c>
      <c r="N9" s="56">
        <f t="shared" si="9"/>
        <v>0</v>
      </c>
      <c r="O9" s="56">
        <f t="shared" si="9"/>
        <v>0</v>
      </c>
      <c r="P9" s="56">
        <f t="shared" si="9"/>
        <v>10</v>
      </c>
      <c r="Q9" s="56">
        <f t="shared" si="9"/>
        <v>5</v>
      </c>
      <c r="R9" s="56">
        <f t="shared" si="9"/>
        <v>0</v>
      </c>
      <c r="S9" s="56">
        <f t="shared" si="9"/>
        <v>10</v>
      </c>
      <c r="T9" s="56">
        <f t="shared" si="9"/>
        <v>5</v>
      </c>
      <c r="U9" s="56">
        <f t="shared" si="9"/>
        <v>0</v>
      </c>
      <c r="V9" s="56">
        <f t="shared" si="9"/>
        <v>0</v>
      </c>
      <c r="W9" s="56">
        <f t="shared" si="9"/>
        <v>5</v>
      </c>
      <c r="X9" s="56">
        <f t="shared" si="9"/>
        <v>10</v>
      </c>
      <c r="Y9" s="56">
        <f t="shared" si="9"/>
        <v>0</v>
      </c>
      <c r="Z9" s="56">
        <f t="shared" si="9"/>
        <v>5</v>
      </c>
      <c r="AA9" s="56">
        <f t="shared" si="9"/>
        <v>10</v>
      </c>
      <c r="AB9" s="56">
        <f t="shared" si="9"/>
        <v>10</v>
      </c>
      <c r="AC9" s="56">
        <f t="shared" si="9"/>
        <v>0</v>
      </c>
      <c r="AD9" s="56">
        <f t="shared" si="9"/>
        <v>10</v>
      </c>
      <c r="AE9" s="56">
        <f t="shared" si="9"/>
        <v>0</v>
      </c>
      <c r="AF9" s="56">
        <f t="shared" si="9"/>
        <v>0</v>
      </c>
      <c r="AG9" s="56">
        <f t="shared" si="9"/>
        <v>0</v>
      </c>
      <c r="AH9" s="56">
        <f t="shared" si="9"/>
        <v>0</v>
      </c>
      <c r="AI9" s="56">
        <f t="shared" si="9"/>
        <v>0</v>
      </c>
      <c r="AJ9" s="56">
        <f t="shared" si="9"/>
        <v>0</v>
      </c>
      <c r="AK9" s="56">
        <f t="shared" ref="AK9:BP9" si="10">MAX(AK2:AK5)</f>
        <v>0</v>
      </c>
      <c r="AL9" s="56">
        <f t="shared" si="10"/>
        <v>0</v>
      </c>
      <c r="AM9" s="56">
        <f t="shared" si="10"/>
        <v>0</v>
      </c>
      <c r="AN9" s="56">
        <f t="shared" si="10"/>
        <v>0</v>
      </c>
      <c r="AO9" s="56">
        <f t="shared" si="10"/>
        <v>0</v>
      </c>
      <c r="AP9" s="56">
        <f t="shared" si="10"/>
        <v>0</v>
      </c>
      <c r="AQ9" s="56">
        <f t="shared" si="10"/>
        <v>0</v>
      </c>
      <c r="AR9" s="56">
        <f t="shared" si="10"/>
        <v>0</v>
      </c>
      <c r="AS9" s="56">
        <f t="shared" si="10"/>
        <v>10</v>
      </c>
      <c r="AT9" s="56">
        <f t="shared" si="10"/>
        <v>0</v>
      </c>
      <c r="AU9" s="56">
        <f t="shared" si="10"/>
        <v>0</v>
      </c>
      <c r="AV9" s="56">
        <f t="shared" si="10"/>
        <v>10</v>
      </c>
      <c r="AW9" s="56">
        <f t="shared" si="10"/>
        <v>0</v>
      </c>
      <c r="AX9" s="56">
        <f t="shared" si="10"/>
        <v>0</v>
      </c>
      <c r="AY9" s="56">
        <f t="shared" si="10"/>
        <v>0</v>
      </c>
      <c r="AZ9" s="56">
        <f t="shared" si="10"/>
        <v>0</v>
      </c>
      <c r="BA9" s="56">
        <f t="shared" si="10"/>
        <v>0</v>
      </c>
      <c r="BB9" s="56">
        <f t="shared" si="10"/>
        <v>0</v>
      </c>
      <c r="BC9" s="56">
        <f t="shared" si="10"/>
        <v>0</v>
      </c>
      <c r="BD9" s="56">
        <f t="shared" si="10"/>
        <v>0</v>
      </c>
      <c r="BE9" s="56">
        <f t="shared" si="10"/>
        <v>0</v>
      </c>
      <c r="BF9" s="56">
        <f t="shared" si="10"/>
        <v>0</v>
      </c>
      <c r="BG9" s="56">
        <f t="shared" si="10"/>
        <v>0</v>
      </c>
      <c r="BH9" s="56">
        <f t="shared" si="10"/>
        <v>0</v>
      </c>
      <c r="BI9" s="56">
        <f t="shared" si="10"/>
        <v>0</v>
      </c>
      <c r="BJ9" s="56">
        <f t="shared" si="10"/>
        <v>0</v>
      </c>
      <c r="BK9" s="56">
        <f t="shared" si="10"/>
        <v>0</v>
      </c>
      <c r="BL9" s="56">
        <f t="shared" si="10"/>
        <v>0</v>
      </c>
      <c r="BM9" s="56">
        <f t="shared" si="10"/>
        <v>0</v>
      </c>
      <c r="BN9" s="56">
        <f t="shared" si="10"/>
        <v>0</v>
      </c>
      <c r="BO9" s="56">
        <f t="shared" si="10"/>
        <v>0</v>
      </c>
      <c r="BP9" s="56">
        <f t="shared" si="10"/>
        <v>0</v>
      </c>
      <c r="BQ9" s="56"/>
      <c r="BR9" s="56"/>
      <c r="BS9" s="43"/>
      <c r="BT9" s="43"/>
      <c r="BU9" s="44"/>
      <c r="BV9" s="44"/>
    </row>
    <row r="10" spans="1:74">
      <c r="A10" s="56"/>
      <c r="B10" s="57" t="s">
        <v>117</v>
      </c>
      <c r="C10" s="56"/>
      <c r="D10" s="56"/>
      <c r="E10" s="56">
        <f t="shared" ref="E10:AJ10" si="11">MIN(E2:E5)</f>
        <v>0</v>
      </c>
      <c r="F10" s="56">
        <f t="shared" si="11"/>
        <v>0</v>
      </c>
      <c r="G10" s="56">
        <f t="shared" si="11"/>
        <v>10</v>
      </c>
      <c r="H10" s="56">
        <f t="shared" si="11"/>
        <v>0</v>
      </c>
      <c r="I10" s="56">
        <f t="shared" si="11"/>
        <v>0</v>
      </c>
      <c r="J10" s="56">
        <f t="shared" si="11"/>
        <v>0</v>
      </c>
      <c r="K10" s="56">
        <f t="shared" si="11"/>
        <v>0</v>
      </c>
      <c r="L10" s="56">
        <f t="shared" si="11"/>
        <v>0</v>
      </c>
      <c r="M10" s="56">
        <f t="shared" si="11"/>
        <v>10</v>
      </c>
      <c r="N10" s="56">
        <f t="shared" si="11"/>
        <v>0</v>
      </c>
      <c r="O10" s="56">
        <f t="shared" si="11"/>
        <v>0</v>
      </c>
      <c r="P10" s="56">
        <f t="shared" si="11"/>
        <v>10</v>
      </c>
      <c r="Q10" s="56">
        <f t="shared" si="11"/>
        <v>5</v>
      </c>
      <c r="R10" s="56">
        <f t="shared" si="11"/>
        <v>0</v>
      </c>
      <c r="S10" s="56">
        <f t="shared" si="11"/>
        <v>10</v>
      </c>
      <c r="T10" s="56">
        <f t="shared" si="11"/>
        <v>5</v>
      </c>
      <c r="U10" s="56">
        <f t="shared" si="11"/>
        <v>0</v>
      </c>
      <c r="V10" s="56">
        <f t="shared" si="11"/>
        <v>0</v>
      </c>
      <c r="W10" s="56">
        <f t="shared" si="11"/>
        <v>5</v>
      </c>
      <c r="X10" s="56">
        <f t="shared" si="11"/>
        <v>2</v>
      </c>
      <c r="Y10" s="56">
        <f t="shared" si="11"/>
        <v>0</v>
      </c>
      <c r="Z10" s="56">
        <f t="shared" si="11"/>
        <v>5</v>
      </c>
      <c r="AA10" s="56">
        <f t="shared" si="11"/>
        <v>10</v>
      </c>
      <c r="AB10" s="56">
        <f t="shared" si="11"/>
        <v>10</v>
      </c>
      <c r="AC10" s="56">
        <f t="shared" si="11"/>
        <v>0</v>
      </c>
      <c r="AD10" s="56">
        <f t="shared" si="11"/>
        <v>10</v>
      </c>
      <c r="AE10" s="56">
        <f t="shared" si="11"/>
        <v>0</v>
      </c>
      <c r="AF10" s="56">
        <f t="shared" si="11"/>
        <v>0</v>
      </c>
      <c r="AG10" s="56">
        <f t="shared" si="11"/>
        <v>0</v>
      </c>
      <c r="AH10" s="56">
        <f t="shared" si="11"/>
        <v>0</v>
      </c>
      <c r="AI10" s="56">
        <f t="shared" si="11"/>
        <v>0</v>
      </c>
      <c r="AJ10" s="56">
        <f t="shared" si="11"/>
        <v>0</v>
      </c>
      <c r="AK10" s="56">
        <f t="shared" ref="AK10:BP10" si="12">MIN(AK2:AK5)</f>
        <v>0</v>
      </c>
      <c r="AL10" s="56">
        <f t="shared" si="12"/>
        <v>0</v>
      </c>
      <c r="AM10" s="56">
        <f t="shared" si="12"/>
        <v>0</v>
      </c>
      <c r="AN10" s="56">
        <f t="shared" si="12"/>
        <v>0</v>
      </c>
      <c r="AO10" s="56">
        <f t="shared" si="12"/>
        <v>0</v>
      </c>
      <c r="AP10" s="56">
        <f t="shared" si="12"/>
        <v>0</v>
      </c>
      <c r="AQ10" s="56">
        <f t="shared" si="12"/>
        <v>0</v>
      </c>
      <c r="AR10" s="56">
        <f t="shared" si="12"/>
        <v>0</v>
      </c>
      <c r="AS10" s="56">
        <f t="shared" si="12"/>
        <v>10</v>
      </c>
      <c r="AT10" s="56">
        <f t="shared" si="12"/>
        <v>0</v>
      </c>
      <c r="AU10" s="56">
        <f t="shared" si="12"/>
        <v>0</v>
      </c>
      <c r="AV10" s="56">
        <f t="shared" si="12"/>
        <v>10</v>
      </c>
      <c r="AW10" s="56">
        <f t="shared" si="12"/>
        <v>0</v>
      </c>
      <c r="AX10" s="56">
        <f t="shared" si="12"/>
        <v>0</v>
      </c>
      <c r="AY10" s="56">
        <f t="shared" si="12"/>
        <v>0</v>
      </c>
      <c r="AZ10" s="56">
        <f t="shared" si="12"/>
        <v>0</v>
      </c>
      <c r="BA10" s="56">
        <f t="shared" si="12"/>
        <v>0</v>
      </c>
      <c r="BB10" s="56">
        <f t="shared" si="12"/>
        <v>0</v>
      </c>
      <c r="BC10" s="56">
        <f t="shared" si="12"/>
        <v>0</v>
      </c>
      <c r="BD10" s="56">
        <f t="shared" si="12"/>
        <v>0</v>
      </c>
      <c r="BE10" s="56">
        <f t="shared" si="12"/>
        <v>0</v>
      </c>
      <c r="BF10" s="56">
        <f t="shared" si="12"/>
        <v>0</v>
      </c>
      <c r="BG10" s="56">
        <f t="shared" si="12"/>
        <v>0</v>
      </c>
      <c r="BH10" s="56">
        <f t="shared" si="12"/>
        <v>0</v>
      </c>
      <c r="BI10" s="56">
        <f t="shared" si="12"/>
        <v>0</v>
      </c>
      <c r="BJ10" s="56">
        <f t="shared" si="12"/>
        <v>0</v>
      </c>
      <c r="BK10" s="56">
        <f t="shared" si="12"/>
        <v>0</v>
      </c>
      <c r="BL10" s="56">
        <f t="shared" si="12"/>
        <v>0</v>
      </c>
      <c r="BM10" s="56">
        <f t="shared" si="12"/>
        <v>0</v>
      </c>
      <c r="BN10" s="56">
        <f t="shared" si="12"/>
        <v>0</v>
      </c>
      <c r="BO10" s="56">
        <f t="shared" si="12"/>
        <v>0</v>
      </c>
      <c r="BP10" s="56">
        <f t="shared" si="12"/>
        <v>0</v>
      </c>
      <c r="BQ10" s="56"/>
      <c r="BR10" s="56"/>
      <c r="BS10" s="43"/>
      <c r="BT10" s="43"/>
      <c r="BU10" s="44"/>
      <c r="BV10" s="44"/>
    </row>
    <row r="11" spans="1:74">
      <c r="A11" s="56"/>
      <c r="B11" s="57" t="s">
        <v>118</v>
      </c>
      <c r="C11" s="56"/>
      <c r="D11" s="56"/>
      <c r="E11" s="56">
        <f t="shared" ref="E11:BP11" si="13">E7-E9</f>
        <v>14</v>
      </c>
      <c r="F11" s="56">
        <f t="shared" si="13"/>
        <v>67</v>
      </c>
      <c r="G11" s="56">
        <f t="shared" si="13"/>
        <v>-10</v>
      </c>
      <c r="H11" s="56">
        <f t="shared" si="13"/>
        <v>0</v>
      </c>
      <c r="I11" s="56">
        <f t="shared" si="13"/>
        <v>130</v>
      </c>
      <c r="J11" s="56">
        <f t="shared" si="13"/>
        <v>130</v>
      </c>
      <c r="K11" s="56">
        <f t="shared" si="13"/>
        <v>102</v>
      </c>
      <c r="L11" s="56">
        <f t="shared" si="13"/>
        <v>86</v>
      </c>
      <c r="M11" s="56">
        <f t="shared" si="13"/>
        <v>83</v>
      </c>
      <c r="N11" s="56">
        <f t="shared" si="13"/>
        <v>153</v>
      </c>
      <c r="O11" s="56">
        <f t="shared" si="13"/>
        <v>77</v>
      </c>
      <c r="P11" s="56">
        <f t="shared" si="13"/>
        <v>258</v>
      </c>
      <c r="Q11" s="56">
        <f t="shared" si="13"/>
        <v>92</v>
      </c>
      <c r="R11" s="56">
        <f t="shared" si="13"/>
        <v>30</v>
      </c>
      <c r="S11" s="56">
        <f t="shared" si="13"/>
        <v>318</v>
      </c>
      <c r="T11" s="56">
        <f t="shared" si="13"/>
        <v>109</v>
      </c>
      <c r="U11" s="56">
        <f t="shared" si="13"/>
        <v>31</v>
      </c>
      <c r="V11" s="56">
        <f t="shared" si="13"/>
        <v>229</v>
      </c>
      <c r="W11" s="56">
        <f t="shared" si="13"/>
        <v>95</v>
      </c>
      <c r="X11" s="56">
        <f t="shared" si="13"/>
        <v>12</v>
      </c>
      <c r="Y11" s="56">
        <f t="shared" si="13"/>
        <v>223</v>
      </c>
      <c r="Z11" s="56">
        <f t="shared" si="13"/>
        <v>103</v>
      </c>
      <c r="AA11" s="56">
        <f t="shared" si="13"/>
        <v>13</v>
      </c>
      <c r="AB11" s="56">
        <f t="shared" si="13"/>
        <v>305</v>
      </c>
      <c r="AC11" s="56">
        <f t="shared" si="13"/>
        <v>87</v>
      </c>
      <c r="AD11" s="56">
        <f t="shared" si="13"/>
        <v>8</v>
      </c>
      <c r="AE11" s="56">
        <f t="shared" si="13"/>
        <v>28</v>
      </c>
      <c r="AF11" s="56">
        <f t="shared" si="13"/>
        <v>3</v>
      </c>
      <c r="AG11" s="56">
        <f t="shared" si="13"/>
        <v>3</v>
      </c>
      <c r="AH11" s="56">
        <f t="shared" si="13"/>
        <v>0</v>
      </c>
      <c r="AI11" s="56">
        <f t="shared" si="13"/>
        <v>0</v>
      </c>
      <c r="AJ11" s="56">
        <f t="shared" si="13"/>
        <v>0</v>
      </c>
      <c r="AK11" s="56">
        <f t="shared" si="13"/>
        <v>23</v>
      </c>
      <c r="AL11" s="56">
        <f t="shared" si="13"/>
        <v>33</v>
      </c>
      <c r="AM11" s="56">
        <f t="shared" si="13"/>
        <v>0</v>
      </c>
      <c r="AN11" s="56">
        <f t="shared" si="13"/>
        <v>7</v>
      </c>
      <c r="AO11" s="56">
        <f t="shared" si="13"/>
        <v>2</v>
      </c>
      <c r="AP11" s="56">
        <f t="shared" si="13"/>
        <v>6</v>
      </c>
      <c r="AQ11" s="56">
        <f t="shared" si="13"/>
        <v>66</v>
      </c>
      <c r="AR11" s="56">
        <f t="shared" si="13"/>
        <v>25</v>
      </c>
      <c r="AS11" s="56">
        <f t="shared" si="13"/>
        <v>46</v>
      </c>
      <c r="AT11" s="56">
        <f t="shared" si="13"/>
        <v>40</v>
      </c>
      <c r="AU11" s="56">
        <f t="shared" si="13"/>
        <v>31</v>
      </c>
      <c r="AV11" s="56">
        <f t="shared" si="13"/>
        <v>136</v>
      </c>
      <c r="AW11" s="56">
        <f t="shared" si="13"/>
        <v>34</v>
      </c>
      <c r="AX11" s="56">
        <f t="shared" si="13"/>
        <v>58</v>
      </c>
      <c r="AY11" s="56">
        <f t="shared" si="13"/>
        <v>0</v>
      </c>
      <c r="AZ11" s="56">
        <f t="shared" si="13"/>
        <v>6</v>
      </c>
      <c r="BA11" s="56">
        <f t="shared" si="13"/>
        <v>15</v>
      </c>
      <c r="BB11" s="56">
        <f t="shared" si="13"/>
        <v>14</v>
      </c>
      <c r="BC11" s="56">
        <f t="shared" si="13"/>
        <v>3</v>
      </c>
      <c r="BD11" s="56">
        <f t="shared" si="13"/>
        <v>2</v>
      </c>
      <c r="BE11" s="56">
        <f t="shared" si="13"/>
        <v>255</v>
      </c>
      <c r="BF11" s="56">
        <f t="shared" si="13"/>
        <v>396</v>
      </c>
      <c r="BG11" s="56">
        <f t="shared" si="13"/>
        <v>312</v>
      </c>
      <c r="BH11" s="56">
        <f t="shared" si="13"/>
        <v>330</v>
      </c>
      <c r="BI11" s="56">
        <f t="shared" si="13"/>
        <v>162</v>
      </c>
      <c r="BJ11" s="56">
        <f t="shared" si="13"/>
        <v>195</v>
      </c>
      <c r="BK11" s="56">
        <f t="shared" si="13"/>
        <v>131</v>
      </c>
      <c r="BL11" s="56">
        <f t="shared" si="13"/>
        <v>127</v>
      </c>
      <c r="BM11" s="56">
        <f t="shared" si="13"/>
        <v>241</v>
      </c>
      <c r="BN11" s="56">
        <f t="shared" si="13"/>
        <v>101</v>
      </c>
      <c r="BO11" s="56">
        <f t="shared" si="13"/>
        <v>3</v>
      </c>
      <c r="BP11" s="56">
        <f t="shared" si="13"/>
        <v>73</v>
      </c>
      <c r="BQ11" s="56"/>
      <c r="BR11" s="56"/>
      <c r="BS11" s="43"/>
      <c r="BT11" s="43"/>
      <c r="BU11" s="44"/>
      <c r="BV11" s="44"/>
    </row>
    <row r="12" spans="1:74" s="13" customFormat="1">
      <c r="A12" s="56"/>
      <c r="B12" s="57" t="s">
        <v>119</v>
      </c>
      <c r="C12" s="56"/>
      <c r="D12" s="56"/>
      <c r="E12" s="56">
        <f t="shared" ref="E12:BP12" si="14">E7-E10</f>
        <v>14</v>
      </c>
      <c r="F12" s="56">
        <f t="shared" si="14"/>
        <v>67</v>
      </c>
      <c r="G12" s="56">
        <f t="shared" si="14"/>
        <v>-10</v>
      </c>
      <c r="H12" s="56">
        <f t="shared" si="14"/>
        <v>0</v>
      </c>
      <c r="I12" s="56">
        <f t="shared" si="14"/>
        <v>130</v>
      </c>
      <c r="J12" s="56">
        <f t="shared" si="14"/>
        <v>130</v>
      </c>
      <c r="K12" s="56">
        <f t="shared" si="14"/>
        <v>102</v>
      </c>
      <c r="L12" s="56">
        <f t="shared" si="14"/>
        <v>86</v>
      </c>
      <c r="M12" s="56">
        <f t="shared" si="14"/>
        <v>83</v>
      </c>
      <c r="N12" s="56">
        <f t="shared" si="14"/>
        <v>153</v>
      </c>
      <c r="O12" s="56">
        <f t="shared" si="14"/>
        <v>77</v>
      </c>
      <c r="P12" s="56">
        <f t="shared" si="14"/>
        <v>258</v>
      </c>
      <c r="Q12" s="56">
        <f t="shared" si="14"/>
        <v>92</v>
      </c>
      <c r="R12" s="56">
        <f t="shared" si="14"/>
        <v>30</v>
      </c>
      <c r="S12" s="56">
        <f t="shared" si="14"/>
        <v>318</v>
      </c>
      <c r="T12" s="56">
        <f t="shared" si="14"/>
        <v>109</v>
      </c>
      <c r="U12" s="56">
        <f t="shared" si="14"/>
        <v>31</v>
      </c>
      <c r="V12" s="56">
        <f t="shared" si="14"/>
        <v>229</v>
      </c>
      <c r="W12" s="56">
        <f t="shared" si="14"/>
        <v>95</v>
      </c>
      <c r="X12" s="56">
        <f t="shared" si="14"/>
        <v>20</v>
      </c>
      <c r="Y12" s="56">
        <f t="shared" si="14"/>
        <v>223</v>
      </c>
      <c r="Z12" s="56">
        <f t="shared" si="14"/>
        <v>103</v>
      </c>
      <c r="AA12" s="56">
        <f t="shared" si="14"/>
        <v>13</v>
      </c>
      <c r="AB12" s="56">
        <f t="shared" si="14"/>
        <v>305</v>
      </c>
      <c r="AC12" s="56">
        <f t="shared" si="14"/>
        <v>87</v>
      </c>
      <c r="AD12" s="56">
        <f t="shared" si="14"/>
        <v>8</v>
      </c>
      <c r="AE12" s="56">
        <f t="shared" si="14"/>
        <v>28</v>
      </c>
      <c r="AF12" s="56">
        <f t="shared" si="14"/>
        <v>3</v>
      </c>
      <c r="AG12" s="56">
        <f t="shared" si="14"/>
        <v>3</v>
      </c>
      <c r="AH12" s="56">
        <f t="shared" si="14"/>
        <v>0</v>
      </c>
      <c r="AI12" s="56">
        <f t="shared" si="14"/>
        <v>0</v>
      </c>
      <c r="AJ12" s="56">
        <f t="shared" si="14"/>
        <v>0</v>
      </c>
      <c r="AK12" s="56">
        <f t="shared" si="14"/>
        <v>23</v>
      </c>
      <c r="AL12" s="56">
        <f t="shared" si="14"/>
        <v>33</v>
      </c>
      <c r="AM12" s="56">
        <f t="shared" si="14"/>
        <v>0</v>
      </c>
      <c r="AN12" s="56">
        <f t="shared" si="14"/>
        <v>7</v>
      </c>
      <c r="AO12" s="56">
        <f t="shared" si="14"/>
        <v>2</v>
      </c>
      <c r="AP12" s="56">
        <f t="shared" si="14"/>
        <v>6</v>
      </c>
      <c r="AQ12" s="56">
        <f t="shared" si="14"/>
        <v>66</v>
      </c>
      <c r="AR12" s="56">
        <f t="shared" si="14"/>
        <v>25</v>
      </c>
      <c r="AS12" s="56">
        <f t="shared" si="14"/>
        <v>46</v>
      </c>
      <c r="AT12" s="56">
        <f t="shared" si="14"/>
        <v>40</v>
      </c>
      <c r="AU12" s="56">
        <f t="shared" si="14"/>
        <v>31</v>
      </c>
      <c r="AV12" s="56">
        <f t="shared" si="14"/>
        <v>136</v>
      </c>
      <c r="AW12" s="56">
        <f t="shared" si="14"/>
        <v>34</v>
      </c>
      <c r="AX12" s="56">
        <f t="shared" si="14"/>
        <v>58</v>
      </c>
      <c r="AY12" s="56">
        <f t="shared" si="14"/>
        <v>0</v>
      </c>
      <c r="AZ12" s="56">
        <f t="shared" si="14"/>
        <v>6</v>
      </c>
      <c r="BA12" s="56">
        <f t="shared" si="14"/>
        <v>15</v>
      </c>
      <c r="BB12" s="56">
        <f t="shared" si="14"/>
        <v>14</v>
      </c>
      <c r="BC12" s="56">
        <f t="shared" si="14"/>
        <v>3</v>
      </c>
      <c r="BD12" s="56">
        <f t="shared" si="14"/>
        <v>2</v>
      </c>
      <c r="BE12" s="56">
        <f t="shared" si="14"/>
        <v>255</v>
      </c>
      <c r="BF12" s="56">
        <f t="shared" si="14"/>
        <v>396</v>
      </c>
      <c r="BG12" s="56">
        <f t="shared" si="14"/>
        <v>312</v>
      </c>
      <c r="BH12" s="56">
        <f t="shared" si="14"/>
        <v>330</v>
      </c>
      <c r="BI12" s="56">
        <f t="shared" si="14"/>
        <v>162</v>
      </c>
      <c r="BJ12" s="56">
        <f t="shared" si="14"/>
        <v>195</v>
      </c>
      <c r="BK12" s="56">
        <f t="shared" si="14"/>
        <v>131</v>
      </c>
      <c r="BL12" s="56">
        <f t="shared" si="14"/>
        <v>127</v>
      </c>
      <c r="BM12" s="56">
        <f t="shared" si="14"/>
        <v>241</v>
      </c>
      <c r="BN12" s="56">
        <f t="shared" si="14"/>
        <v>101</v>
      </c>
      <c r="BO12" s="56">
        <f t="shared" si="14"/>
        <v>3</v>
      </c>
      <c r="BP12" s="56">
        <f t="shared" si="14"/>
        <v>73</v>
      </c>
      <c r="BQ12" s="56"/>
      <c r="BR12" s="56"/>
      <c r="BS12" s="43"/>
      <c r="BT12" s="43"/>
      <c r="BU12" s="55"/>
      <c r="BV12" s="55"/>
    </row>
    <row r="13" spans="1:74">
      <c r="A13" s="44"/>
      <c r="B13" s="44"/>
      <c r="C13" s="44"/>
      <c r="D13" s="44"/>
      <c r="E13" s="44"/>
      <c r="F13" s="44"/>
      <c r="G13" s="44"/>
      <c r="H13" s="44"/>
      <c r="I13" s="44"/>
      <c r="J13" s="44"/>
      <c r="K13" s="44"/>
      <c r="L13" s="44"/>
      <c r="M13" s="44"/>
      <c r="N13" s="44"/>
      <c r="O13" s="44"/>
      <c r="P13" s="58"/>
      <c r="Q13" s="58"/>
      <c r="R13" s="58"/>
      <c r="S13" s="58"/>
      <c r="T13" s="58"/>
      <c r="U13" s="58"/>
      <c r="V13" s="58"/>
      <c r="W13" s="58"/>
      <c r="X13" s="58"/>
      <c r="Y13" s="58"/>
      <c r="Z13" s="58"/>
      <c r="AA13" s="58"/>
      <c r="AB13" s="58"/>
      <c r="AC13" s="58"/>
      <c r="AD13" s="58"/>
      <c r="AE13" s="44"/>
      <c r="AF13" s="44"/>
      <c r="AG13" s="44"/>
      <c r="AH13" s="44"/>
      <c r="AI13" s="44"/>
      <c r="AJ13" s="44"/>
      <c r="AK13" s="44"/>
      <c r="AL13" s="44"/>
      <c r="AM13" s="44"/>
      <c r="AN13" s="44"/>
      <c r="AO13" s="44"/>
      <c r="AP13" s="44"/>
      <c r="AQ13" s="58" t="s">
        <v>134</v>
      </c>
      <c r="AR13" s="58" t="s">
        <v>137</v>
      </c>
      <c r="AS13" s="58" t="s">
        <v>138</v>
      </c>
      <c r="AT13" s="58" t="s">
        <v>135</v>
      </c>
      <c r="AU13" s="58" t="s">
        <v>136</v>
      </c>
      <c r="AV13" s="58" t="s">
        <v>133</v>
      </c>
      <c r="AW13" s="58" t="s">
        <v>139</v>
      </c>
      <c r="AX13" s="58" t="s">
        <v>140</v>
      </c>
      <c r="AY13" s="58" t="s">
        <v>141</v>
      </c>
      <c r="AZ13" s="58" t="s">
        <v>142</v>
      </c>
      <c r="BA13" s="58" t="s">
        <v>143</v>
      </c>
      <c r="BB13" s="58" t="s">
        <v>144</v>
      </c>
      <c r="BC13" s="58"/>
      <c r="BD13" s="44"/>
      <c r="BE13" s="44"/>
      <c r="BF13" s="44"/>
      <c r="BG13" s="44"/>
      <c r="BH13" s="44"/>
      <c r="BI13" s="44"/>
      <c r="BJ13" s="44"/>
      <c r="BK13" s="44"/>
      <c r="BL13" s="44"/>
      <c r="BM13" s="44"/>
      <c r="BN13" s="44"/>
      <c r="BO13" s="44"/>
      <c r="BP13" s="44"/>
      <c r="BQ13" s="44"/>
      <c r="BR13" s="44"/>
      <c r="BS13" s="59"/>
      <c r="BT13" s="59"/>
      <c r="BU13" s="44"/>
      <c r="BV13" s="44"/>
    </row>
  </sheetData>
  <autoFilter ref="A1:BV13">
    <sortState ref="A14:BV117">
      <sortCondition ref="BS2:BS117"/>
      <sortCondition ref="BR2:BR117"/>
    </sortState>
  </autoFilter>
  <phoneticPr fontId="1" type="noConversion"/>
  <conditionalFormatting sqref="E9:BC9 BE9:BP9">
    <cfRule type="expression" dxfId="7" priority="6">
      <formula>"&lt;=$E$135"</formula>
    </cfRule>
  </conditionalFormatting>
  <conditionalFormatting sqref="E11:BC12 BE11:BP12">
    <cfRule type="cellIs" dxfId="6" priority="4" operator="lessThan">
      <formula>0</formula>
    </cfRule>
  </conditionalFormatting>
  <conditionalFormatting sqref="E8:BC8 BE8:BP8">
    <cfRule type="cellIs" dxfId="5" priority="5" operator="lessThan">
      <formula>0</formula>
    </cfRule>
  </conditionalFormatting>
  <conditionalFormatting sqref="BD9">
    <cfRule type="expression" dxfId="4" priority="3">
      <formula>"&lt;=$E$135"</formula>
    </cfRule>
  </conditionalFormatting>
  <conditionalFormatting sqref="BD11:BD12">
    <cfRule type="cellIs" dxfId="3" priority="1" operator="lessThan">
      <formula>0</formula>
    </cfRule>
  </conditionalFormatting>
  <conditionalFormatting sqref="BD8">
    <cfRule type="cellIs" dxfId="2" priority="2" operator="less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ThisWorkbook.calc">
                <anchor moveWithCells="1" sizeWithCells="1">
                  <from>
                    <xdr:col>0</xdr:col>
                    <xdr:colOff>209550</xdr:colOff>
                    <xdr:row>12</xdr:row>
                    <xdr:rowOff>28575</xdr:rowOff>
                  </from>
                  <to>
                    <xdr:col>1</xdr:col>
                    <xdr:colOff>428625</xdr:colOff>
                    <xdr:row>13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42"/>
  <sheetViews>
    <sheetView topLeftCell="A16" workbookViewId="0">
      <selection activeCell="F39" sqref="F39"/>
    </sheetView>
  </sheetViews>
  <sheetFormatPr defaultRowHeight="13.5"/>
  <cols>
    <col min="1" max="1" width="5.25" bestFit="1" customWidth="1"/>
    <col min="2" max="2" width="13" bestFit="1" customWidth="1"/>
  </cols>
  <sheetData>
    <row r="1" spans="1:3">
      <c r="A1" s="5" t="s">
        <v>63</v>
      </c>
      <c r="B1" s="5" t="s">
        <v>60</v>
      </c>
      <c r="C1" s="5" t="s">
        <v>64</v>
      </c>
    </row>
    <row r="2" spans="1:3">
      <c r="A2" s="1">
        <v>10</v>
      </c>
      <c r="B2" s="2" t="s">
        <v>9</v>
      </c>
      <c r="C2" s="1">
        <v>190</v>
      </c>
    </row>
    <row r="3" spans="1:3">
      <c r="A3" s="1">
        <v>12</v>
      </c>
      <c r="B3" s="2" t="s">
        <v>39</v>
      </c>
      <c r="C3" s="1">
        <v>120</v>
      </c>
    </row>
    <row r="4" spans="1:3">
      <c r="A4" s="1">
        <v>4</v>
      </c>
      <c r="B4" s="4" t="s">
        <v>40</v>
      </c>
      <c r="C4" s="1">
        <v>85</v>
      </c>
    </row>
    <row r="5" spans="1:3">
      <c r="A5" s="1">
        <v>3</v>
      </c>
      <c r="B5" s="4" t="s">
        <v>33</v>
      </c>
      <c r="C5" s="1">
        <v>65</v>
      </c>
    </row>
    <row r="6" spans="1:3">
      <c r="A6" s="1">
        <v>8</v>
      </c>
      <c r="B6" s="2" t="s">
        <v>5</v>
      </c>
      <c r="C6" s="1">
        <v>65</v>
      </c>
    </row>
    <row r="7" spans="1:3">
      <c r="A7" s="1">
        <v>9</v>
      </c>
      <c r="B7" s="2" t="s">
        <v>6</v>
      </c>
      <c r="C7" s="1">
        <v>65</v>
      </c>
    </row>
    <row r="8" spans="1:3">
      <c r="A8" s="1">
        <v>1</v>
      </c>
      <c r="B8" s="4" t="s">
        <v>3</v>
      </c>
      <c r="C8" s="1">
        <v>60</v>
      </c>
    </row>
    <row r="9" spans="1:3">
      <c r="A9" s="1">
        <v>7</v>
      </c>
      <c r="B9" s="2" t="s">
        <v>4</v>
      </c>
      <c r="C9" s="1">
        <v>53</v>
      </c>
    </row>
    <row r="10" spans="1:3">
      <c r="A10" s="1">
        <v>2</v>
      </c>
      <c r="B10" s="4" t="s">
        <v>22</v>
      </c>
      <c r="C10" s="1">
        <v>45</v>
      </c>
    </row>
    <row r="11" spans="1:3">
      <c r="A11" s="1">
        <v>5</v>
      </c>
      <c r="B11" s="4" t="s">
        <v>45</v>
      </c>
      <c r="C11" s="1">
        <v>45</v>
      </c>
    </row>
    <row r="12" spans="1:3">
      <c r="A12" s="1">
        <v>11</v>
      </c>
      <c r="B12" s="2" t="s">
        <v>34</v>
      </c>
      <c r="C12" s="1">
        <v>10</v>
      </c>
    </row>
    <row r="13" spans="1:3">
      <c r="A13" s="1">
        <v>6</v>
      </c>
      <c r="B13" s="4" t="s">
        <v>47</v>
      </c>
      <c r="C13" s="1">
        <v>8</v>
      </c>
    </row>
    <row r="19" spans="3:18">
      <c r="G19" s="10" t="s">
        <v>33</v>
      </c>
      <c r="H19" s="10" t="s">
        <v>3</v>
      </c>
      <c r="I19" s="10" t="s">
        <v>22</v>
      </c>
      <c r="J19" s="10" t="s">
        <v>45</v>
      </c>
      <c r="K19" s="10" t="s">
        <v>47</v>
      </c>
      <c r="L19" s="10" t="s">
        <v>40</v>
      </c>
      <c r="M19" s="11" t="s">
        <v>4</v>
      </c>
      <c r="N19" s="11" t="s">
        <v>5</v>
      </c>
      <c r="O19" s="11" t="s">
        <v>34</v>
      </c>
      <c r="P19" s="11" t="s">
        <v>6</v>
      </c>
      <c r="Q19" s="11" t="s">
        <v>39</v>
      </c>
      <c r="R19" s="11" t="s">
        <v>9</v>
      </c>
    </row>
    <row r="20" spans="3:18">
      <c r="G20">
        <v>4</v>
      </c>
      <c r="H20">
        <v>4</v>
      </c>
      <c r="I20">
        <v>5</v>
      </c>
      <c r="J20">
        <v>2</v>
      </c>
      <c r="K20">
        <v>0</v>
      </c>
      <c r="L20">
        <v>9</v>
      </c>
      <c r="M20">
        <v>4</v>
      </c>
      <c r="N20">
        <v>3</v>
      </c>
      <c r="O20">
        <v>0</v>
      </c>
      <c r="P20">
        <v>0</v>
      </c>
      <c r="Q20">
        <v>5</v>
      </c>
      <c r="R20">
        <v>3</v>
      </c>
    </row>
    <row r="26" spans="3:18">
      <c r="C26">
        <v>-3</v>
      </c>
      <c r="D26">
        <v>-8</v>
      </c>
      <c r="E26">
        <v>-3</v>
      </c>
      <c r="F26">
        <v>1</v>
      </c>
      <c r="G26">
        <v>3</v>
      </c>
      <c r="H26">
        <v>0</v>
      </c>
      <c r="I26">
        <v>-3</v>
      </c>
      <c r="J26">
        <v>30</v>
      </c>
      <c r="K26">
        <v>5</v>
      </c>
      <c r="L26">
        <v>-10</v>
      </c>
      <c r="M26">
        <v>3</v>
      </c>
      <c r="N26">
        <v>138</v>
      </c>
    </row>
    <row r="27" spans="3:18">
      <c r="C27" t="s">
        <v>120</v>
      </c>
      <c r="D27" t="s">
        <v>121</v>
      </c>
      <c r="E27" t="s">
        <v>122</v>
      </c>
      <c r="F27" t="s">
        <v>123</v>
      </c>
      <c r="G27" t="s">
        <v>124</v>
      </c>
      <c r="H27" t="s">
        <v>125</v>
      </c>
      <c r="I27" t="s">
        <v>126</v>
      </c>
      <c r="J27" t="s">
        <v>127</v>
      </c>
      <c r="K27" t="s">
        <v>128</v>
      </c>
      <c r="L27" t="s">
        <v>129</v>
      </c>
      <c r="M27" t="s">
        <v>130</v>
      </c>
      <c r="N27" t="s">
        <v>131</v>
      </c>
    </row>
    <row r="31" spans="3:18">
      <c r="C31">
        <v>-3</v>
      </c>
      <c r="D31" t="s">
        <v>120</v>
      </c>
    </row>
    <row r="32" spans="3:18">
      <c r="C32">
        <v>-8</v>
      </c>
      <c r="D32" t="s">
        <v>121</v>
      </c>
    </row>
    <row r="33" spans="3:4">
      <c r="C33">
        <v>-3</v>
      </c>
      <c r="D33" t="s">
        <v>122</v>
      </c>
    </row>
    <row r="34" spans="3:4">
      <c r="C34">
        <v>1</v>
      </c>
      <c r="D34" t="s">
        <v>123</v>
      </c>
    </row>
    <row r="35" spans="3:4">
      <c r="C35">
        <v>3</v>
      </c>
      <c r="D35" t="s">
        <v>124</v>
      </c>
    </row>
    <row r="36" spans="3:4">
      <c r="C36">
        <v>0</v>
      </c>
      <c r="D36" t="s">
        <v>125</v>
      </c>
    </row>
    <row r="37" spans="3:4">
      <c r="C37">
        <v>-3</v>
      </c>
      <c r="D37" t="s">
        <v>126</v>
      </c>
    </row>
    <row r="38" spans="3:4">
      <c r="C38">
        <v>30</v>
      </c>
      <c r="D38" t="s">
        <v>127</v>
      </c>
    </row>
    <row r="39" spans="3:4">
      <c r="C39">
        <v>5</v>
      </c>
      <c r="D39" t="s">
        <v>128</v>
      </c>
    </row>
    <row r="40" spans="3:4">
      <c r="C40">
        <v>-10</v>
      </c>
      <c r="D40" t="s">
        <v>129</v>
      </c>
    </row>
    <row r="41" spans="3:4">
      <c r="C41">
        <v>3</v>
      </c>
      <c r="D41" t="s">
        <v>130</v>
      </c>
    </row>
    <row r="42" spans="3:4">
      <c r="C42">
        <v>138</v>
      </c>
      <c r="D42" t="s">
        <v>131</v>
      </c>
    </row>
  </sheetData>
  <sortState ref="A2:C13">
    <sortCondition descending="1" ref="C2"/>
  </sortState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13"/>
  <sheetViews>
    <sheetView workbookViewId="0">
      <selection activeCell="D22" sqref="D22"/>
    </sheetView>
  </sheetViews>
  <sheetFormatPr defaultRowHeight="13.5"/>
  <cols>
    <col min="2" max="2" width="14.125" bestFit="1" customWidth="1"/>
  </cols>
  <sheetData>
    <row r="1" spans="1:3">
      <c r="A1" s="8" t="s">
        <v>69</v>
      </c>
      <c r="B1" s="8" t="s">
        <v>70</v>
      </c>
      <c r="C1" s="8" t="s">
        <v>71</v>
      </c>
    </row>
    <row r="2" spans="1:3">
      <c r="A2" s="1">
        <v>5</v>
      </c>
      <c r="B2" s="10" t="s">
        <v>47</v>
      </c>
      <c r="C2" s="1">
        <v>0</v>
      </c>
    </row>
    <row r="3" spans="1:3">
      <c r="A3" s="1">
        <v>9</v>
      </c>
      <c r="B3" s="11" t="s">
        <v>34</v>
      </c>
      <c r="C3" s="1">
        <v>0</v>
      </c>
    </row>
    <row r="4" spans="1:3">
      <c r="A4" s="1">
        <v>10</v>
      </c>
      <c r="B4" s="11" t="s">
        <v>6</v>
      </c>
      <c r="C4" s="1">
        <v>0</v>
      </c>
    </row>
    <row r="5" spans="1:3">
      <c r="A5" s="1">
        <v>4</v>
      </c>
      <c r="B5" s="10" t="s">
        <v>45</v>
      </c>
      <c r="C5" s="1">
        <v>2</v>
      </c>
    </row>
    <row r="6" spans="1:3">
      <c r="A6" s="1">
        <v>8</v>
      </c>
      <c r="B6" s="11" t="s">
        <v>5</v>
      </c>
      <c r="C6" s="1">
        <v>3</v>
      </c>
    </row>
    <row r="7" spans="1:3">
      <c r="A7" s="1">
        <v>12</v>
      </c>
      <c r="B7" s="11" t="s">
        <v>9</v>
      </c>
      <c r="C7" s="1">
        <v>3</v>
      </c>
    </row>
    <row r="8" spans="1:3">
      <c r="A8" s="1">
        <v>1</v>
      </c>
      <c r="B8" s="10" t="s">
        <v>33</v>
      </c>
      <c r="C8" s="1">
        <v>4</v>
      </c>
    </row>
    <row r="9" spans="1:3">
      <c r="A9" s="1">
        <v>2</v>
      </c>
      <c r="B9" s="10" t="s">
        <v>3</v>
      </c>
      <c r="C9" s="1">
        <v>4</v>
      </c>
    </row>
    <row r="10" spans="1:3">
      <c r="A10" s="1">
        <v>7</v>
      </c>
      <c r="B10" s="11" t="s">
        <v>4</v>
      </c>
      <c r="C10" s="1">
        <v>4</v>
      </c>
    </row>
    <row r="11" spans="1:3">
      <c r="A11" s="1">
        <v>3</v>
      </c>
      <c r="B11" s="10" t="s">
        <v>22</v>
      </c>
      <c r="C11" s="1">
        <v>5</v>
      </c>
    </row>
    <row r="12" spans="1:3">
      <c r="A12" s="1">
        <v>11</v>
      </c>
      <c r="B12" s="11" t="s">
        <v>39</v>
      </c>
      <c r="C12" s="1">
        <v>5</v>
      </c>
    </row>
    <row r="13" spans="1:3">
      <c r="A13" s="1">
        <v>6</v>
      </c>
      <c r="B13" s="10" t="s">
        <v>40</v>
      </c>
      <c r="C13" s="1">
        <v>9</v>
      </c>
    </row>
  </sheetData>
  <sortState ref="A2:C13">
    <sortCondition ref="C4"/>
  </sortState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40:N47"/>
  <sheetViews>
    <sheetView topLeftCell="A34" workbookViewId="0">
      <selection activeCell="B40" sqref="B40:N47"/>
    </sheetView>
  </sheetViews>
  <sheetFormatPr defaultRowHeight="13.5"/>
  <cols>
    <col min="2" max="2" width="9" bestFit="1" customWidth="1"/>
  </cols>
  <sheetData>
    <row r="40" spans="2:14" ht="27">
      <c r="B40" s="16" t="s">
        <v>60</v>
      </c>
      <c r="C40" s="45" t="s">
        <v>33</v>
      </c>
      <c r="D40" s="45" t="s">
        <v>3</v>
      </c>
      <c r="E40" s="45" t="s">
        <v>22</v>
      </c>
      <c r="F40" s="45" t="s">
        <v>45</v>
      </c>
      <c r="G40" s="45" t="s">
        <v>47</v>
      </c>
      <c r="H40" s="45" t="s">
        <v>40</v>
      </c>
      <c r="I40" s="46" t="s">
        <v>4</v>
      </c>
      <c r="J40" s="46" t="s">
        <v>5</v>
      </c>
      <c r="K40" s="46" t="s">
        <v>34</v>
      </c>
      <c r="L40" s="46" t="s">
        <v>6</v>
      </c>
      <c r="M40" s="46" t="s">
        <v>39</v>
      </c>
      <c r="N40" s="46" t="s">
        <v>9</v>
      </c>
    </row>
    <row r="41" spans="2:14">
      <c r="B41" s="1" t="s">
        <v>48</v>
      </c>
      <c r="C41" s="4">
        <v>100</v>
      </c>
      <c r="D41" s="4">
        <v>40</v>
      </c>
      <c r="E41" s="4">
        <v>55</v>
      </c>
      <c r="F41" s="4">
        <v>50</v>
      </c>
      <c r="G41" s="4">
        <v>60</v>
      </c>
      <c r="H41" s="4">
        <v>140</v>
      </c>
      <c r="I41" s="2">
        <v>145</v>
      </c>
      <c r="J41" s="2">
        <v>20</v>
      </c>
      <c r="K41" s="2">
        <v>10</v>
      </c>
      <c r="L41" s="2">
        <v>60</v>
      </c>
      <c r="M41" s="2">
        <v>60</v>
      </c>
      <c r="N41" s="2">
        <v>60</v>
      </c>
    </row>
    <row r="42" spans="2:14">
      <c r="B42" s="3" t="s">
        <v>65</v>
      </c>
      <c r="C42" s="14">
        <v>59</v>
      </c>
      <c r="D42" s="14">
        <v>18</v>
      </c>
      <c r="E42" s="14">
        <v>56</v>
      </c>
      <c r="F42" s="14">
        <v>48</v>
      </c>
      <c r="G42" s="14">
        <v>25</v>
      </c>
      <c r="H42" s="14">
        <v>142</v>
      </c>
      <c r="I42" s="14">
        <v>78</v>
      </c>
      <c r="J42" s="14">
        <v>58</v>
      </c>
      <c r="K42" s="14">
        <v>9</v>
      </c>
      <c r="L42" s="14">
        <v>48</v>
      </c>
      <c r="M42" s="14">
        <v>10</v>
      </c>
      <c r="N42" s="14">
        <v>8</v>
      </c>
    </row>
    <row r="43" spans="2:14">
      <c r="B43" s="3" t="s">
        <v>72</v>
      </c>
      <c r="C43" s="1">
        <v>-41</v>
      </c>
      <c r="D43" s="1">
        <v>-22</v>
      </c>
      <c r="E43" s="1">
        <v>1</v>
      </c>
      <c r="F43" s="1">
        <v>-2</v>
      </c>
      <c r="G43" s="1">
        <v>-35</v>
      </c>
      <c r="H43" s="1">
        <v>2</v>
      </c>
      <c r="I43" s="1">
        <v>-67</v>
      </c>
      <c r="J43" s="1">
        <v>38</v>
      </c>
      <c r="K43" s="1">
        <v>-1</v>
      </c>
      <c r="L43" s="1">
        <v>-12</v>
      </c>
      <c r="M43" s="1">
        <v>-50</v>
      </c>
      <c r="N43" s="1">
        <v>-52</v>
      </c>
    </row>
    <row r="44" spans="2:14">
      <c r="B44" s="3" t="s">
        <v>116</v>
      </c>
      <c r="C44" s="1">
        <v>40</v>
      </c>
      <c r="D44" s="1">
        <v>10</v>
      </c>
      <c r="E44" s="1">
        <v>10</v>
      </c>
      <c r="F44" s="1">
        <v>10</v>
      </c>
      <c r="G44" s="1">
        <v>10</v>
      </c>
      <c r="H44" s="1">
        <v>40</v>
      </c>
      <c r="I44" s="1">
        <v>50</v>
      </c>
      <c r="J44" s="1">
        <v>15</v>
      </c>
      <c r="K44" s="1">
        <v>10</v>
      </c>
      <c r="L44" s="1">
        <v>50</v>
      </c>
      <c r="M44" s="1">
        <v>40</v>
      </c>
      <c r="N44" s="1">
        <v>40</v>
      </c>
    </row>
    <row r="45" spans="2:14">
      <c r="B45" s="3" t="s">
        <v>117</v>
      </c>
      <c r="C45" s="1">
        <v>10</v>
      </c>
      <c r="D45" s="1">
        <v>10</v>
      </c>
      <c r="E45" s="1">
        <v>5</v>
      </c>
      <c r="F45" s="1">
        <v>10</v>
      </c>
      <c r="G45" s="1">
        <v>10</v>
      </c>
      <c r="H45" s="1">
        <v>10</v>
      </c>
      <c r="I45" s="1">
        <v>15</v>
      </c>
      <c r="J45" s="1">
        <v>5</v>
      </c>
      <c r="K45" s="1">
        <v>10</v>
      </c>
      <c r="L45" s="1">
        <v>10</v>
      </c>
      <c r="M45" s="1">
        <v>20</v>
      </c>
      <c r="N45" s="1">
        <v>20</v>
      </c>
    </row>
    <row r="46" spans="2:14">
      <c r="B46" s="3" t="s">
        <v>118</v>
      </c>
      <c r="C46" s="1">
        <v>19</v>
      </c>
      <c r="D46" s="1">
        <v>8</v>
      </c>
      <c r="E46" s="1">
        <v>46</v>
      </c>
      <c r="F46" s="1">
        <v>38</v>
      </c>
      <c r="G46" s="1">
        <v>15</v>
      </c>
      <c r="H46" s="1">
        <v>102</v>
      </c>
      <c r="I46" s="1">
        <v>28</v>
      </c>
      <c r="J46" s="1">
        <v>43</v>
      </c>
      <c r="K46" s="1">
        <v>-1</v>
      </c>
      <c r="L46" s="1">
        <v>-2</v>
      </c>
      <c r="M46" s="1">
        <v>-30</v>
      </c>
      <c r="N46" s="1">
        <v>-32</v>
      </c>
    </row>
    <row r="47" spans="2:14">
      <c r="B47" s="3" t="s">
        <v>119</v>
      </c>
      <c r="C47" s="1">
        <v>49</v>
      </c>
      <c r="D47" s="1">
        <v>8</v>
      </c>
      <c r="E47" s="1">
        <v>51</v>
      </c>
      <c r="F47" s="1">
        <v>38</v>
      </c>
      <c r="G47" s="1">
        <v>15</v>
      </c>
      <c r="H47" s="1">
        <v>132</v>
      </c>
      <c r="I47" s="1">
        <v>63</v>
      </c>
      <c r="J47" s="1">
        <v>53</v>
      </c>
      <c r="K47" s="1">
        <v>-1</v>
      </c>
      <c r="L47" s="1">
        <v>38</v>
      </c>
      <c r="M47" s="1">
        <v>-10</v>
      </c>
      <c r="N47" s="1">
        <v>-12</v>
      </c>
    </row>
  </sheetData>
  <phoneticPr fontId="1" type="noConversion"/>
  <conditionalFormatting sqref="C44:N44">
    <cfRule type="expression" dxfId="1" priority="3">
      <formula>"&lt;=$E$135"</formula>
    </cfRule>
  </conditionalFormatting>
  <conditionalFormatting sqref="C46:N47 C43:N43">
    <cfRule type="cellIs" dxfId="0" priority="1" operator="lessThan">
      <formula>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Sheet1</vt:lpstr>
      <vt:lpstr>Sheet1 (2)</vt:lpstr>
      <vt:lpstr>Sheet2</vt:lpstr>
      <vt:lpstr>Sheet3</vt:lpstr>
      <vt:lpstr>Sheet4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岳亮(10000083)</dc:creator>
  <cp:lastModifiedBy>岳亮(10000083)</cp:lastModifiedBy>
  <dcterms:created xsi:type="dcterms:W3CDTF">2019-12-18T08:38:17Z</dcterms:created>
  <dcterms:modified xsi:type="dcterms:W3CDTF">2020-08-11T00:53:47Z</dcterms:modified>
</cp:coreProperties>
</file>