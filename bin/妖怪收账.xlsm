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Sheet1!$A$1:$BP$158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58" i="1" l="1"/>
  <c r="AD160" i="1" s="1"/>
  <c r="BP157" i="1" l="1"/>
  <c r="BT157" i="1"/>
  <c r="BU157" i="1"/>
  <c r="BV157" i="1"/>
  <c r="BW157" i="1"/>
  <c r="BX157" i="1"/>
  <c r="BY157" i="1"/>
  <c r="BZ157" i="1"/>
  <c r="CA157" i="1"/>
  <c r="CB157" i="1"/>
  <c r="CC157" i="1"/>
  <c r="CD157" i="1"/>
  <c r="CE157" i="1"/>
  <c r="CS157" i="1"/>
  <c r="P158" i="1"/>
  <c r="P160" i="1" s="1"/>
  <c r="Q158" i="1"/>
  <c r="Q160" i="1" s="1"/>
  <c r="R158" i="1"/>
  <c r="R160" i="1" s="1"/>
  <c r="S158" i="1"/>
  <c r="S160" i="1" s="1"/>
  <c r="T158" i="1"/>
  <c r="T160" i="1" s="1"/>
  <c r="U158" i="1"/>
  <c r="U160" i="1" s="1"/>
  <c r="V158" i="1"/>
  <c r="V160" i="1" s="1"/>
  <c r="W158" i="1"/>
  <c r="W160" i="1" s="1"/>
  <c r="X158" i="1"/>
  <c r="X160" i="1" s="1"/>
  <c r="Y158" i="1"/>
  <c r="Y160" i="1" s="1"/>
  <c r="Z158" i="1"/>
  <c r="Z160" i="1" s="1"/>
  <c r="AA158" i="1"/>
  <c r="AA160" i="1" s="1"/>
  <c r="AB158" i="1"/>
  <c r="AB160" i="1" s="1"/>
  <c r="AC158" i="1"/>
  <c r="AC160" i="1" s="1"/>
  <c r="CF157" i="1" l="1"/>
  <c r="CM157" i="1" s="1"/>
  <c r="AO158" i="1"/>
  <c r="AO160" i="1" s="1"/>
  <c r="AP158" i="1"/>
  <c r="AP160" i="1" s="1"/>
  <c r="BC158" i="1"/>
  <c r="BC160" i="1" s="1"/>
  <c r="CO157" i="1" l="1"/>
  <c r="CK157" i="1"/>
  <c r="CI157" i="1"/>
  <c r="CN157" i="1"/>
  <c r="CP157" i="1"/>
  <c r="CJ157" i="1"/>
  <c r="CL157" i="1"/>
  <c r="CG157" i="1"/>
  <c r="CQ157" i="1"/>
  <c r="CH157" i="1"/>
  <c r="CR157" i="1"/>
  <c r="CS3" i="1"/>
  <c r="CS4" i="1"/>
  <c r="CS5" i="1"/>
  <c r="CS61" i="1"/>
  <c r="CS6" i="1"/>
  <c r="CS7" i="1"/>
  <c r="CS8" i="1"/>
  <c r="CS47" i="1"/>
  <c r="CS103" i="1"/>
  <c r="CS41" i="1"/>
  <c r="CS63" i="1"/>
  <c r="CS64" i="1"/>
  <c r="CS65" i="1"/>
  <c r="CS66" i="1"/>
  <c r="CS67" i="1"/>
  <c r="CS68" i="1"/>
  <c r="CS69" i="1"/>
  <c r="CS60" i="1"/>
  <c r="CS101" i="1"/>
  <c r="CS12" i="1"/>
  <c r="CS14" i="1"/>
  <c r="CS15" i="1"/>
  <c r="CS52" i="1"/>
  <c r="CS42" i="1"/>
  <c r="CS40" i="1"/>
  <c r="CS109" i="1"/>
  <c r="CS74" i="1"/>
  <c r="CS59" i="1"/>
  <c r="CS76" i="1"/>
  <c r="CS78" i="1"/>
  <c r="CS18" i="1"/>
  <c r="CS81" i="1"/>
  <c r="CS82" i="1"/>
  <c r="CS9" i="1"/>
  <c r="CS58" i="1"/>
  <c r="CS43" i="1"/>
  <c r="CS10" i="1"/>
  <c r="CS51" i="1"/>
  <c r="CS16" i="1"/>
  <c r="CS17" i="1"/>
  <c r="CS102" i="1"/>
  <c r="CS111" i="1"/>
  <c r="CS112" i="1"/>
  <c r="CS11" i="1"/>
  <c r="CS13" i="1"/>
  <c r="CS131" i="1"/>
  <c r="CS132" i="1"/>
  <c r="CS118" i="1"/>
  <c r="CS96" i="1"/>
  <c r="CS110" i="1"/>
  <c r="CS80" i="1"/>
  <c r="CS79" i="1"/>
  <c r="CS55" i="1"/>
  <c r="CS115" i="1"/>
  <c r="CS140" i="1"/>
  <c r="CS134" i="1"/>
  <c r="CS141" i="1"/>
  <c r="CS151" i="1"/>
  <c r="CS152" i="1"/>
  <c r="CS2" i="1"/>
  <c r="CS158" i="1" l="1"/>
  <c r="BT3" i="1"/>
  <c r="BU3" i="1"/>
  <c r="BV3" i="1"/>
  <c r="BW3" i="1"/>
  <c r="BX3" i="1"/>
  <c r="BY3" i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B4" i="1"/>
  <c r="CC4" i="1"/>
  <c r="CD4" i="1"/>
  <c r="CE4" i="1"/>
  <c r="BT5" i="1"/>
  <c r="BU5" i="1"/>
  <c r="BV5" i="1"/>
  <c r="BW5" i="1"/>
  <c r="BX5" i="1"/>
  <c r="BY5" i="1"/>
  <c r="BZ5" i="1"/>
  <c r="CA5" i="1"/>
  <c r="CB5" i="1"/>
  <c r="CC5" i="1"/>
  <c r="CD5" i="1"/>
  <c r="CE5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6" i="1"/>
  <c r="BU6" i="1"/>
  <c r="BV6" i="1"/>
  <c r="BW6" i="1"/>
  <c r="BX6" i="1"/>
  <c r="BY6" i="1"/>
  <c r="BZ6" i="1"/>
  <c r="CA6" i="1"/>
  <c r="CB6" i="1"/>
  <c r="CC6" i="1"/>
  <c r="CD6" i="1"/>
  <c r="CE6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9" i="1"/>
  <c r="BU9" i="1"/>
  <c r="BV9" i="1"/>
  <c r="BW9" i="1"/>
  <c r="BX9" i="1"/>
  <c r="BY9" i="1"/>
  <c r="BZ9" i="1"/>
  <c r="CA9" i="1"/>
  <c r="CB9" i="1"/>
  <c r="CC9" i="1"/>
  <c r="CD9" i="1"/>
  <c r="CE9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BT141" i="1"/>
  <c r="BU141" i="1"/>
  <c r="BV141" i="1"/>
  <c r="BW141" i="1"/>
  <c r="BX141" i="1"/>
  <c r="BY141" i="1"/>
  <c r="BZ141" i="1"/>
  <c r="CA141" i="1"/>
  <c r="CB141" i="1"/>
  <c r="CC141" i="1"/>
  <c r="CD141" i="1"/>
  <c r="CE141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BT140" i="1"/>
  <c r="BU140" i="1"/>
  <c r="BV140" i="1"/>
  <c r="BW140" i="1"/>
  <c r="BX140" i="1"/>
  <c r="BY140" i="1"/>
  <c r="BZ140" i="1"/>
  <c r="CA140" i="1"/>
  <c r="CB140" i="1"/>
  <c r="CC140" i="1"/>
  <c r="CD140" i="1"/>
  <c r="CE140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BT151" i="1"/>
  <c r="BU151" i="1"/>
  <c r="BV151" i="1"/>
  <c r="BW151" i="1"/>
  <c r="BX151" i="1"/>
  <c r="BY151" i="1"/>
  <c r="BZ151" i="1"/>
  <c r="CA151" i="1"/>
  <c r="CB151" i="1"/>
  <c r="CC151" i="1"/>
  <c r="CD151" i="1"/>
  <c r="CE151" i="1"/>
  <c r="BT152" i="1"/>
  <c r="BU152" i="1"/>
  <c r="BV152" i="1"/>
  <c r="BW152" i="1"/>
  <c r="BX152" i="1"/>
  <c r="BY152" i="1"/>
  <c r="BZ152" i="1"/>
  <c r="CA152" i="1"/>
  <c r="CB152" i="1"/>
  <c r="CC152" i="1"/>
  <c r="CD152" i="1"/>
  <c r="CE152" i="1"/>
  <c r="BU2" i="1"/>
  <c r="BV2" i="1"/>
  <c r="BW2" i="1"/>
  <c r="BX2" i="1"/>
  <c r="BY2" i="1"/>
  <c r="BZ2" i="1"/>
  <c r="CA2" i="1"/>
  <c r="CB2" i="1"/>
  <c r="CC2" i="1"/>
  <c r="CD2" i="1"/>
  <c r="CE2" i="1"/>
  <c r="BT2" i="1"/>
  <c r="CF103" i="1" l="1"/>
  <c r="CR103" i="1" s="1"/>
  <c r="CF64" i="1"/>
  <c r="CR64" i="1" s="1"/>
  <c r="CF63" i="1"/>
  <c r="CN63" i="1" s="1"/>
  <c r="CF47" i="1"/>
  <c r="CH47" i="1" s="1"/>
  <c r="CA158" i="1"/>
  <c r="CC158" i="1"/>
  <c r="BX158" i="1"/>
  <c r="BZ158" i="1"/>
  <c r="BV158" i="1"/>
  <c r="BU158" i="1"/>
  <c r="CD158" i="1"/>
  <c r="BY158" i="1"/>
  <c r="CB158" i="1"/>
  <c r="CE158" i="1"/>
  <c r="CF55" i="1"/>
  <c r="CK55" i="1" s="1"/>
  <c r="CF101" i="1"/>
  <c r="CM101" i="1" s="1"/>
  <c r="CF81" i="1"/>
  <c r="CI81" i="1" s="1"/>
  <c r="CF16" i="1"/>
  <c r="CJ16" i="1" s="1"/>
  <c r="CF110" i="1"/>
  <c r="CG110" i="1" s="1"/>
  <c r="CF5" i="1"/>
  <c r="CN5" i="1" s="1"/>
  <c r="CF4" i="1"/>
  <c r="CN4" i="1" s="1"/>
  <c r="CF3" i="1"/>
  <c r="CN3" i="1" s="1"/>
  <c r="CF152" i="1"/>
  <c r="CG152" i="1" s="1"/>
  <c r="CF115" i="1"/>
  <c r="CK115" i="1" s="1"/>
  <c r="CF140" i="1"/>
  <c r="CK140" i="1" s="1"/>
  <c r="CF79" i="1"/>
  <c r="CR79" i="1" s="1"/>
  <c r="CF132" i="1"/>
  <c r="CJ132" i="1" s="1"/>
  <c r="CF51" i="1"/>
  <c r="CH51" i="1" s="1"/>
  <c r="CF11" i="1"/>
  <c r="CR11" i="1" s="1"/>
  <c r="CF12" i="1"/>
  <c r="CQ12" i="1" s="1"/>
  <c r="CF52" i="1"/>
  <c r="CR52" i="1" s="1"/>
  <c r="CF14" i="1"/>
  <c r="CH14" i="1" s="1"/>
  <c r="CF10" i="1"/>
  <c r="CN10" i="1" s="1"/>
  <c r="CF60" i="1"/>
  <c r="CH60" i="1" s="1"/>
  <c r="CF78" i="1"/>
  <c r="CL78" i="1" s="1"/>
  <c r="CF59" i="1"/>
  <c r="CH59" i="1" s="1"/>
  <c r="CF18" i="1"/>
  <c r="CK18" i="1" s="1"/>
  <c r="CF42" i="1"/>
  <c r="CO42" i="1" s="1"/>
  <c r="CF41" i="1"/>
  <c r="CO41" i="1" s="1"/>
  <c r="CF68" i="1"/>
  <c r="CH68" i="1" s="1"/>
  <c r="CF67" i="1"/>
  <c r="CP67" i="1" s="1"/>
  <c r="CF66" i="1"/>
  <c r="CN66" i="1" s="1"/>
  <c r="CF65" i="1"/>
  <c r="CR65" i="1" s="1"/>
  <c r="CF43" i="1"/>
  <c r="CG43" i="1" s="1"/>
  <c r="CF61" i="1"/>
  <c r="CQ61" i="1" s="1"/>
  <c r="CF6" i="1"/>
  <c r="CL6" i="1" s="1"/>
  <c r="CF17" i="1"/>
  <c r="CJ17" i="1" s="1"/>
  <c r="CF8" i="1"/>
  <c r="CN8" i="1" s="1"/>
  <c r="CF7" i="1"/>
  <c r="CI7" i="1" s="1"/>
  <c r="CF151" i="1"/>
  <c r="CR151" i="1" s="1"/>
  <c r="CF109" i="1"/>
  <c r="CJ109" i="1" s="1"/>
  <c r="CF141" i="1"/>
  <c r="CO141" i="1" s="1"/>
  <c r="CF80" i="1"/>
  <c r="CN80" i="1" s="1"/>
  <c r="CF131" i="1"/>
  <c r="CR131" i="1" s="1"/>
  <c r="CF9" i="1"/>
  <c r="CP9" i="1" s="1"/>
  <c r="CF13" i="1"/>
  <c r="CR13" i="1" s="1"/>
  <c r="CF74" i="1"/>
  <c r="CH74" i="1" s="1"/>
  <c r="CF15" i="1"/>
  <c r="CK15" i="1" s="1"/>
  <c r="CF112" i="1"/>
  <c r="CN112" i="1" s="1"/>
  <c r="CF111" i="1"/>
  <c r="CL111" i="1" s="1"/>
  <c r="CF118" i="1"/>
  <c r="CN118" i="1" s="1"/>
  <c r="CF102" i="1"/>
  <c r="CI102" i="1" s="1"/>
  <c r="CF58" i="1"/>
  <c r="CH58" i="1" s="1"/>
  <c r="CF82" i="1"/>
  <c r="CO82" i="1" s="1"/>
  <c r="CF76" i="1"/>
  <c r="CM76" i="1" s="1"/>
  <c r="CF40" i="1"/>
  <c r="CR40" i="1" s="1"/>
  <c r="CF69" i="1"/>
  <c r="CM69" i="1" s="1"/>
  <c r="CF2" i="1"/>
  <c r="CH2" i="1" s="1"/>
  <c r="CF96" i="1"/>
  <c r="CK96" i="1" s="1"/>
  <c r="CF134" i="1"/>
  <c r="CG134" i="1" s="1"/>
  <c r="BW158" i="1"/>
  <c r="BT158" i="1"/>
  <c r="BP52" i="1"/>
  <c r="BP9" i="1"/>
  <c r="BP11" i="1"/>
  <c r="BP141" i="1"/>
  <c r="BP3" i="1"/>
  <c r="BP63" i="1"/>
  <c r="BP64" i="1"/>
  <c r="BP65" i="1"/>
  <c r="BP102" i="1"/>
  <c r="BP118" i="1"/>
  <c r="BP152" i="1"/>
  <c r="BP58" i="1"/>
  <c r="BP111" i="1"/>
  <c r="BP131" i="1"/>
  <c r="BP66" i="1"/>
  <c r="BP67" i="1"/>
  <c r="BP74" i="1"/>
  <c r="BP4" i="1"/>
  <c r="BP47" i="1"/>
  <c r="BP101" i="1"/>
  <c r="BP7" i="1"/>
  <c r="BP60" i="1"/>
  <c r="BP61" i="1"/>
  <c r="BP140" i="1"/>
  <c r="BP5" i="1"/>
  <c r="BP76" i="1"/>
  <c r="BP68" i="1"/>
  <c r="BP78" i="1"/>
  <c r="BP80" i="1"/>
  <c r="BP55" i="1"/>
  <c r="BP51" i="1"/>
  <c r="BP13" i="1"/>
  <c r="BP18" i="1"/>
  <c r="BP96" i="1"/>
  <c r="BP134" i="1"/>
  <c r="BP10" i="1"/>
  <c r="BP12" i="1"/>
  <c r="BP8" i="1"/>
  <c r="BP43" i="1"/>
  <c r="BP151" i="1"/>
  <c r="BP112" i="1"/>
  <c r="BP132" i="1"/>
  <c r="BP69" i="1"/>
  <c r="BP41" i="1"/>
  <c r="BP42" i="1"/>
  <c r="BP79" i="1"/>
  <c r="BP16" i="1"/>
  <c r="BP110" i="1"/>
  <c r="BP17" i="1"/>
  <c r="BP40" i="1"/>
  <c r="BP81" i="1"/>
  <c r="BP82" i="1"/>
  <c r="J158" i="1"/>
  <c r="J160" i="1" s="1"/>
  <c r="K158" i="1"/>
  <c r="K160" i="1" s="1"/>
  <c r="L158" i="1"/>
  <c r="L160" i="1" s="1"/>
  <c r="M158" i="1"/>
  <c r="M160" i="1" s="1"/>
  <c r="N158" i="1"/>
  <c r="N160" i="1" s="1"/>
  <c r="O158" i="1"/>
  <c r="O160" i="1" s="1"/>
  <c r="AE158" i="1"/>
  <c r="AE160" i="1" s="1"/>
  <c r="AF158" i="1"/>
  <c r="AF160" i="1" s="1"/>
  <c r="AG158" i="1"/>
  <c r="AG160" i="1" s="1"/>
  <c r="AH158" i="1"/>
  <c r="AH160" i="1" s="1"/>
  <c r="AI158" i="1"/>
  <c r="AI160" i="1" s="1"/>
  <c r="AJ158" i="1"/>
  <c r="AJ160" i="1" s="1"/>
  <c r="AK158" i="1"/>
  <c r="AK160" i="1" s="1"/>
  <c r="AL158" i="1"/>
  <c r="AL160" i="1" s="1"/>
  <c r="AM158" i="1"/>
  <c r="AM160" i="1" s="1"/>
  <c r="AN158" i="1"/>
  <c r="AN160" i="1" s="1"/>
  <c r="AR158" i="1"/>
  <c r="AR160" i="1" s="1"/>
  <c r="AS158" i="1"/>
  <c r="AS160" i="1" s="1"/>
  <c r="AQ158" i="1"/>
  <c r="AQ160" i="1" s="1"/>
  <c r="AV158" i="1"/>
  <c r="AV160" i="1" s="1"/>
  <c r="AT158" i="1"/>
  <c r="AT160" i="1" s="1"/>
  <c r="AU158" i="1"/>
  <c r="AU160" i="1" s="1"/>
  <c r="BP59" i="1"/>
  <c r="BP115" i="1"/>
  <c r="BP2" i="1"/>
  <c r="BP14" i="1"/>
  <c r="BP15" i="1"/>
  <c r="BP6" i="1"/>
  <c r="BP103" i="1"/>
  <c r="BP109" i="1"/>
  <c r="BF158" i="1"/>
  <c r="BF160" i="1" s="1"/>
  <c r="BG158" i="1"/>
  <c r="BG160" i="1" s="1"/>
  <c r="BE158" i="1"/>
  <c r="BE160" i="1" s="1"/>
  <c r="BD158" i="1"/>
  <c r="BD160" i="1" s="1"/>
  <c r="BH158" i="1"/>
  <c r="BH160" i="1" s="1"/>
  <c r="BI158" i="1"/>
  <c r="BI160" i="1" s="1"/>
  <c r="BJ158" i="1"/>
  <c r="BJ160" i="1" s="1"/>
  <c r="BK158" i="1"/>
  <c r="BK160" i="1" s="1"/>
  <c r="BL158" i="1"/>
  <c r="BL160" i="1" s="1"/>
  <c r="BM158" i="1"/>
  <c r="BM160" i="1" s="1"/>
  <c r="BN158" i="1"/>
  <c r="BN160" i="1" s="1"/>
  <c r="BO158" i="1"/>
  <c r="BO160" i="1" s="1"/>
  <c r="F158" i="1"/>
  <c r="F160" i="1" s="1"/>
  <c r="G158" i="1"/>
  <c r="G160" i="1" s="1"/>
  <c r="H158" i="1"/>
  <c r="H160" i="1" s="1"/>
  <c r="I158" i="1"/>
  <c r="I160" i="1" s="1"/>
  <c r="AW158" i="1"/>
  <c r="AW160" i="1" s="1"/>
  <c r="AX158" i="1"/>
  <c r="AX160" i="1" s="1"/>
  <c r="AZ158" i="1"/>
  <c r="AZ160" i="1" s="1"/>
  <c r="BB158" i="1"/>
  <c r="BB160" i="1" s="1"/>
  <c r="AY158" i="1"/>
  <c r="AY160" i="1" s="1"/>
  <c r="BA158" i="1"/>
  <c r="BA160" i="1" s="1"/>
  <c r="E158" i="1"/>
  <c r="E160" i="1" s="1"/>
  <c r="CO47" i="1" l="1"/>
  <c r="CN68" i="1"/>
  <c r="CH17" i="1"/>
  <c r="CK68" i="1"/>
  <c r="CP4" i="1"/>
  <c r="CP6" i="1"/>
  <c r="CJ52" i="1"/>
  <c r="CI101" i="1"/>
  <c r="CJ5" i="1"/>
  <c r="CQ7" i="1"/>
  <c r="CG47" i="1"/>
  <c r="CM17" i="1"/>
  <c r="CH101" i="1"/>
  <c r="CP101" i="1"/>
  <c r="CG101" i="1"/>
  <c r="CR101" i="1"/>
  <c r="CN12" i="1"/>
  <c r="CK101" i="1"/>
  <c r="CI55" i="1"/>
  <c r="CP55" i="1"/>
  <c r="CQ55" i="1"/>
  <c r="CH55" i="1"/>
  <c r="CL17" i="1"/>
  <c r="CO55" i="1"/>
  <c r="CQ17" i="1"/>
  <c r="CG55" i="1"/>
  <c r="CP41" i="1"/>
  <c r="CO13" i="1"/>
  <c r="CR111" i="1"/>
  <c r="CP68" i="1"/>
  <c r="CN7" i="1"/>
  <c r="CI17" i="1"/>
  <c r="CQ16" i="1"/>
  <c r="CJ4" i="1"/>
  <c r="CL4" i="1"/>
  <c r="CM55" i="1"/>
  <c r="CM111" i="1"/>
  <c r="CK65" i="1"/>
  <c r="CN79" i="1"/>
  <c r="CN16" i="1"/>
  <c r="CO79" i="1"/>
  <c r="CM16" i="1"/>
  <c r="CI16" i="1"/>
  <c r="CR16" i="1"/>
  <c r="CL60" i="1"/>
  <c r="CN2" i="1"/>
  <c r="CK16" i="1"/>
  <c r="CL115" i="1"/>
  <c r="CQ8" i="1"/>
  <c r="CI10" i="1"/>
  <c r="CQ115" i="1"/>
  <c r="CJ115" i="1"/>
  <c r="CH16" i="1"/>
  <c r="CP16" i="1"/>
  <c r="CH61" i="1"/>
  <c r="CG12" i="1"/>
  <c r="CG16" i="1"/>
  <c r="CO12" i="1"/>
  <c r="CR47" i="1"/>
  <c r="CO16" i="1"/>
  <c r="CL47" i="1"/>
  <c r="CR3" i="1"/>
  <c r="CL16" i="1"/>
  <c r="CI79" i="1"/>
  <c r="CO115" i="1"/>
  <c r="CQ79" i="1"/>
  <c r="CM65" i="1"/>
  <c r="CP61" i="1"/>
  <c r="CJ12" i="1"/>
  <c r="CR110" i="1"/>
  <c r="CQ110" i="1"/>
  <c r="CP110" i="1"/>
  <c r="CM42" i="1"/>
  <c r="CN110" i="1"/>
  <c r="CM110" i="1"/>
  <c r="CJ110" i="1"/>
  <c r="CJ81" i="1"/>
  <c r="CO110" i="1"/>
  <c r="CP76" i="1"/>
  <c r="CH110" i="1"/>
  <c r="CG76" i="1"/>
  <c r="CK110" i="1"/>
  <c r="CI110" i="1"/>
  <c r="CR17" i="1"/>
  <c r="CR78" i="1"/>
  <c r="CL132" i="1"/>
  <c r="CQ64" i="1"/>
  <c r="CQ132" i="1"/>
  <c r="CK78" i="1"/>
  <c r="CK109" i="1"/>
  <c r="CN64" i="1"/>
  <c r="CN13" i="1"/>
  <c r="CP64" i="1"/>
  <c r="CL109" i="1"/>
  <c r="CH64" i="1"/>
  <c r="CO109" i="1"/>
  <c r="CO64" i="1"/>
  <c r="CN132" i="1"/>
  <c r="CI109" i="1"/>
  <c r="CK64" i="1"/>
  <c r="CM132" i="1"/>
  <c r="CH109" i="1"/>
  <c r="CO132" i="1"/>
  <c r="CI132" i="1"/>
  <c r="CR109" i="1"/>
  <c r="CI64" i="1"/>
  <c r="CQ78" i="1"/>
  <c r="CH132" i="1"/>
  <c r="CQ109" i="1"/>
  <c r="CP78" i="1"/>
  <c r="CG132" i="1"/>
  <c r="CN109" i="1"/>
  <c r="CO6" i="1"/>
  <c r="CR2" i="1"/>
  <c r="CM118" i="1"/>
  <c r="CJ78" i="1"/>
  <c r="CM78" i="1"/>
  <c r="CR132" i="1"/>
  <c r="CI96" i="1"/>
  <c r="CJ64" i="1"/>
  <c r="CR7" i="1"/>
  <c r="CO17" i="1"/>
  <c r="CK151" i="1"/>
  <c r="CO61" i="1"/>
  <c r="CR12" i="1"/>
  <c r="CG68" i="1"/>
  <c r="CP42" i="1"/>
  <c r="CL79" i="1"/>
  <c r="CL7" i="1"/>
  <c r="CI41" i="1"/>
  <c r="CR102" i="1"/>
  <c r="CJ55" i="1"/>
  <c r="CL42" i="1"/>
  <c r="CM3" i="1"/>
  <c r="CJ101" i="1"/>
  <c r="CM2" i="1"/>
  <c r="CK141" i="1"/>
  <c r="CJ2" i="1"/>
  <c r="CM14" i="1"/>
  <c r="CP15" i="1"/>
  <c r="CQ131" i="1"/>
  <c r="CI3" i="1"/>
  <c r="CN101" i="1"/>
  <c r="CJ47" i="1"/>
  <c r="CI2" i="1"/>
  <c r="CM151" i="1"/>
  <c r="CP13" i="1"/>
  <c r="CL131" i="1"/>
  <c r="CG3" i="1"/>
  <c r="CM102" i="1"/>
  <c r="CG17" i="1"/>
  <c r="CM47" i="1"/>
  <c r="CN61" i="1"/>
  <c r="CK10" i="1"/>
  <c r="CM12" i="1"/>
  <c r="CQ68" i="1"/>
  <c r="CR55" i="1"/>
  <c r="CH79" i="1"/>
  <c r="CP52" i="1"/>
  <c r="CM7" i="1"/>
  <c r="CI134" i="1"/>
  <c r="CO101" i="1"/>
  <c r="CN14" i="1"/>
  <c r="CL134" i="1"/>
  <c r="CL61" i="1"/>
  <c r="CQ10" i="1"/>
  <c r="CO134" i="1"/>
  <c r="CL12" i="1"/>
  <c r="CM6" i="1"/>
  <c r="CO102" i="1"/>
  <c r="CI47" i="1"/>
  <c r="CG51" i="1"/>
  <c r="CH4" i="1"/>
  <c r="CG7" i="1"/>
  <c r="CR134" i="1"/>
  <c r="CL101" i="1"/>
  <c r="CK61" i="1"/>
  <c r="CO10" i="1"/>
  <c r="CK12" i="1"/>
  <c r="CG6" i="1"/>
  <c r="CL102" i="1"/>
  <c r="CQ47" i="1"/>
  <c r="CI68" i="1"/>
  <c r="CR51" i="1"/>
  <c r="CQ63" i="1"/>
  <c r="CN134" i="1"/>
  <c r="CH102" i="1"/>
  <c r="CI51" i="1"/>
  <c r="CK102" i="1"/>
  <c r="CO51" i="1"/>
  <c r="CO7" i="1"/>
  <c r="CP63" i="1"/>
  <c r="CM134" i="1"/>
  <c r="CN17" i="1"/>
  <c r="CN41" i="1"/>
  <c r="CN76" i="1"/>
  <c r="CL110" i="1"/>
  <c r="CK6" i="1"/>
  <c r="CR9" i="1"/>
  <c r="CL51" i="1"/>
  <c r="CM63" i="1"/>
  <c r="CJ134" i="1"/>
  <c r="CI76" i="1"/>
  <c r="CK9" i="1"/>
  <c r="CJ63" i="1"/>
  <c r="CQ141" i="1"/>
  <c r="CM59" i="1"/>
  <c r="CI63" i="1"/>
  <c r="CP141" i="1"/>
  <c r="CI59" i="1"/>
  <c r="CG63" i="1"/>
  <c r="CN141" i="1"/>
  <c r="CL63" i="1"/>
  <c r="CK134" i="1"/>
  <c r="CQ102" i="1"/>
  <c r="CJ141" i="1"/>
  <c r="CN51" i="1"/>
  <c r="CQ51" i="1"/>
  <c r="CK63" i="1"/>
  <c r="CN102" i="1"/>
  <c r="CG141" i="1"/>
  <c r="CP51" i="1"/>
  <c r="CJ51" i="1"/>
  <c r="CG102" i="1"/>
  <c r="CL141" i="1"/>
  <c r="CM51" i="1"/>
  <c r="CJ13" i="1"/>
  <c r="CQ4" i="1"/>
  <c r="CO3" i="1"/>
  <c r="CI140" i="1"/>
  <c r="CK7" i="1"/>
  <c r="CK17" i="1"/>
  <c r="CM41" i="1"/>
  <c r="CP10" i="1"/>
  <c r="CH76" i="1"/>
  <c r="CN152" i="1"/>
  <c r="CJ111" i="1"/>
  <c r="CM68" i="1"/>
  <c r="CN9" i="1"/>
  <c r="CL8" i="1"/>
  <c r="CQ14" i="1"/>
  <c r="CH13" i="1"/>
  <c r="CK131" i="1"/>
  <c r="CO65" i="1"/>
  <c r="CH7" i="1"/>
  <c r="CG151" i="1"/>
  <c r="CJ41" i="1"/>
  <c r="CG10" i="1"/>
  <c r="CQ76" i="1"/>
  <c r="CQ111" i="1"/>
  <c r="CJ68" i="1"/>
  <c r="CH9" i="1"/>
  <c r="CK8" i="1"/>
  <c r="CP14" i="1"/>
  <c r="CQ151" i="1"/>
  <c r="CJ103" i="1"/>
  <c r="CG13" i="1"/>
  <c r="CL65" i="1"/>
  <c r="CL151" i="1"/>
  <c r="CL2" i="1"/>
  <c r="CG41" i="1"/>
  <c r="CL10" i="1"/>
  <c r="CO76" i="1"/>
  <c r="CK111" i="1"/>
  <c r="CR68" i="1"/>
  <c r="CO9" i="1"/>
  <c r="CJ14" i="1"/>
  <c r="CN55" i="1"/>
  <c r="CP79" i="1"/>
  <c r="CI4" i="1"/>
  <c r="CQ3" i="1"/>
  <c r="CK66" i="1"/>
  <c r="CQ6" i="1"/>
  <c r="CL9" i="1"/>
  <c r="CI14" i="1"/>
  <c r="CJ3" i="1"/>
  <c r="CQ40" i="1"/>
  <c r="CG40" i="1"/>
  <c r="CJ76" i="1"/>
  <c r="CM13" i="1"/>
  <c r="CJ131" i="1"/>
  <c r="CL3" i="1"/>
  <c r="CQ65" i="1"/>
  <c r="CP7" i="1"/>
  <c r="CH81" i="1"/>
  <c r="CO151" i="1"/>
  <c r="CM61" i="1"/>
  <c r="CL41" i="1"/>
  <c r="CM10" i="1"/>
  <c r="CQ60" i="1"/>
  <c r="CM9" i="1"/>
  <c r="CP111" i="1"/>
  <c r="CK152" i="1"/>
  <c r="CN6" i="1"/>
  <c r="CO68" i="1"/>
  <c r="CJ9" i="1"/>
  <c r="CQ2" i="1"/>
  <c r="CG14" i="1"/>
  <c r="CP151" i="1"/>
  <c r="CL55" i="1"/>
  <c r="CG15" i="1"/>
  <c r="CL13" i="1"/>
  <c r="CP131" i="1"/>
  <c r="CM4" i="1"/>
  <c r="CK3" i="1"/>
  <c r="CJ65" i="1"/>
  <c r="CM40" i="1"/>
  <c r="CJ7" i="1"/>
  <c r="CO81" i="1"/>
  <c r="CQ101" i="1"/>
  <c r="CP17" i="1"/>
  <c r="CP2" i="1"/>
  <c r="CI61" i="1"/>
  <c r="CK41" i="1"/>
  <c r="CJ10" i="1"/>
  <c r="CM60" i="1"/>
  <c r="CN111" i="1"/>
  <c r="CJ6" i="1"/>
  <c r="CL68" i="1"/>
  <c r="CI9" i="1"/>
  <c r="CO2" i="1"/>
  <c r="CO14" i="1"/>
  <c r="CN151" i="1"/>
  <c r="CR15" i="1"/>
  <c r="CK13" i="1"/>
  <c r="CM131" i="1"/>
  <c r="CR4" i="1"/>
  <c r="CH3" i="1"/>
  <c r="CN65" i="1"/>
  <c r="CJ40" i="1"/>
  <c r="CH10" i="1"/>
  <c r="CR10" i="1"/>
  <c r="CI111" i="1"/>
  <c r="CR6" i="1"/>
  <c r="CQ9" i="1"/>
  <c r="CJ151" i="1"/>
  <c r="CI13" i="1"/>
  <c r="CJ79" i="1"/>
  <c r="CN131" i="1"/>
  <c r="CK4" i="1"/>
  <c r="CP3" i="1"/>
  <c r="CI65" i="1"/>
  <c r="CO40" i="1"/>
  <c r="CH111" i="1"/>
  <c r="CG9" i="1"/>
  <c r="CQ13" i="1"/>
  <c r="CO131" i="1"/>
  <c r="CP65" i="1"/>
  <c r="CL40" i="1"/>
  <c r="CK40" i="1"/>
  <c r="CP40" i="1"/>
  <c r="CG2" i="1"/>
  <c r="CI151" i="1"/>
  <c r="CK79" i="1"/>
  <c r="CI131" i="1"/>
  <c r="CI40" i="1"/>
  <c r="CR58" i="1"/>
  <c r="CR80" i="1"/>
  <c r="CO58" i="1"/>
  <c r="CO80" i="1"/>
  <c r="CL58" i="1"/>
  <c r="CP18" i="1"/>
  <c r="CL80" i="1"/>
  <c r="CI43" i="1"/>
  <c r="CK80" i="1"/>
  <c r="CH43" i="1"/>
  <c r="CQ11" i="1"/>
  <c r="CP43" i="1"/>
  <c r="CM11" i="1"/>
  <c r="CH80" i="1"/>
  <c r="CN18" i="1"/>
  <c r="CJ18" i="1"/>
  <c r="CR43" i="1"/>
  <c r="CJ11" i="1"/>
  <c r="CI18" i="1"/>
  <c r="CM43" i="1"/>
  <c r="CM8" i="1"/>
  <c r="CO43" i="1"/>
  <c r="CH11" i="1"/>
  <c r="CP58" i="1"/>
  <c r="CQ18" i="1"/>
  <c r="CQ82" i="1"/>
  <c r="CJ8" i="1"/>
  <c r="CL43" i="1"/>
  <c r="CP11" i="1"/>
  <c r="CM58" i="1"/>
  <c r="CM18" i="1"/>
  <c r="CJ82" i="1"/>
  <c r="CM82" i="1"/>
  <c r="CG8" i="1"/>
  <c r="CK43" i="1"/>
  <c r="CI118" i="1"/>
  <c r="CO96" i="1"/>
  <c r="CI11" i="1"/>
  <c r="CJ58" i="1"/>
  <c r="CH18" i="1"/>
  <c r="CG18" i="1"/>
  <c r="CQ80" i="1"/>
  <c r="CN43" i="1"/>
  <c r="CR8" i="1"/>
  <c r="CM66" i="1"/>
  <c r="CO11" i="1"/>
  <c r="CI58" i="1"/>
  <c r="CR18" i="1"/>
  <c r="CP80" i="1"/>
  <c r="CO8" i="1"/>
  <c r="CH118" i="1"/>
  <c r="CL64" i="1"/>
  <c r="CL66" i="1"/>
  <c r="CP59" i="1"/>
  <c r="CL11" i="1"/>
  <c r="CG58" i="1"/>
  <c r="CL18" i="1"/>
  <c r="CJ80" i="1"/>
  <c r="CK11" i="1"/>
  <c r="CJ74" i="1"/>
  <c r="CO103" i="1"/>
  <c r="CL81" i="1"/>
  <c r="CR74" i="1"/>
  <c r="CK60" i="1"/>
  <c r="CI82" i="1"/>
  <c r="CP115" i="1"/>
  <c r="CK42" i="1"/>
  <c r="CL103" i="1"/>
  <c r="CI15" i="1"/>
  <c r="CI5" i="1"/>
  <c r="CJ66" i="1"/>
  <c r="CO52" i="1"/>
  <c r="CK81" i="1"/>
  <c r="CO74" i="1"/>
  <c r="CG115" i="1"/>
  <c r="CG82" i="1"/>
  <c r="CN115" i="1"/>
  <c r="CK103" i="1"/>
  <c r="CJ15" i="1"/>
  <c r="CR5" i="1"/>
  <c r="CH66" i="1"/>
  <c r="CL52" i="1"/>
  <c r="CQ81" i="1"/>
  <c r="CL74" i="1"/>
  <c r="CL82" i="1"/>
  <c r="CM115" i="1"/>
  <c r="CQ15" i="1"/>
  <c r="CL5" i="1"/>
  <c r="CI66" i="1"/>
  <c r="CK52" i="1"/>
  <c r="CK74" i="1"/>
  <c r="CI152" i="1"/>
  <c r="CK82" i="1"/>
  <c r="CN15" i="1"/>
  <c r="CK5" i="1"/>
  <c r="CG66" i="1"/>
  <c r="CJ60" i="1"/>
  <c r="CH152" i="1"/>
  <c r="CM74" i="1"/>
  <c r="CM15" i="1"/>
  <c r="CH5" i="1"/>
  <c r="CR96" i="1"/>
  <c r="CR66" i="1"/>
  <c r="CM81" i="1"/>
  <c r="CI60" i="1"/>
  <c r="CR152" i="1"/>
  <c r="CN60" i="1"/>
  <c r="CQ42" i="1"/>
  <c r="CQ103" i="1"/>
  <c r="CH15" i="1"/>
  <c r="CO66" i="1"/>
  <c r="CN40" i="1"/>
  <c r="CP81" i="1"/>
  <c r="CQ152" i="1"/>
  <c r="CM103" i="1"/>
  <c r="CQ52" i="1"/>
  <c r="CN81" i="1"/>
  <c r="CG60" i="1"/>
  <c r="CI115" i="1"/>
  <c r="CP60" i="1"/>
  <c r="CO152" i="1"/>
  <c r="CJ42" i="1"/>
  <c r="CH103" i="1"/>
  <c r="CO15" i="1"/>
  <c r="CQ5" i="1"/>
  <c r="CP66" i="1"/>
  <c r="CJ67" i="1"/>
  <c r="CH40" i="1"/>
  <c r="CN52" i="1"/>
  <c r="CG81" i="1"/>
  <c r="CQ74" i="1"/>
  <c r="CR60" i="1"/>
  <c r="CP82" i="1"/>
  <c r="CH115" i="1"/>
  <c r="CI42" i="1"/>
  <c r="CP103" i="1"/>
  <c r="CL15" i="1"/>
  <c r="CP5" i="1"/>
  <c r="CQ66" i="1"/>
  <c r="CQ67" i="1"/>
  <c r="CM52" i="1"/>
  <c r="CR81" i="1"/>
  <c r="CP74" i="1"/>
  <c r="CO60" i="1"/>
  <c r="CN42" i="1"/>
  <c r="CN82" i="1"/>
  <c r="CR115" i="1"/>
  <c r="CL152" i="1"/>
  <c r="CG42" i="1"/>
  <c r="CI103" i="1"/>
  <c r="CM5" i="1"/>
  <c r="CI67" i="1"/>
  <c r="CI52" i="1"/>
  <c r="CJ69" i="1"/>
  <c r="CH63" i="1"/>
  <c r="CK58" i="1"/>
  <c r="CH134" i="1"/>
  <c r="CG109" i="1"/>
  <c r="CG78" i="1"/>
  <c r="CK132" i="1"/>
  <c r="CI8" i="1"/>
  <c r="CJ61" i="1"/>
  <c r="CH41" i="1"/>
  <c r="CO18" i="1"/>
  <c r="CN74" i="1"/>
  <c r="CP109" i="1"/>
  <c r="CR76" i="1"/>
  <c r="CM80" i="1"/>
  <c r="CP152" i="1"/>
  <c r="CH82" i="1"/>
  <c r="CG111" i="1"/>
  <c r="CP102" i="1"/>
  <c r="CI141" i="1"/>
  <c r="CN47" i="1"/>
  <c r="CK2" i="1"/>
  <c r="CQ43" i="1"/>
  <c r="CH42" i="1"/>
  <c r="CR14" i="1"/>
  <c r="CK51" i="1"/>
  <c r="CN103" i="1"/>
  <c r="CM79" i="1"/>
  <c r="CG5" i="1"/>
  <c r="CH69" i="1"/>
  <c r="CJ118" i="1"/>
  <c r="CH131" i="1"/>
  <c r="CH96" i="1"/>
  <c r="CG4" i="1"/>
  <c r="CM64" i="1"/>
  <c r="CH65" i="1"/>
  <c r="CN67" i="1"/>
  <c r="CN59" i="1"/>
  <c r="CH52" i="1"/>
  <c r="CN11" i="1"/>
  <c r="CH140" i="1"/>
  <c r="CI112" i="1"/>
  <c r="CN69" i="1"/>
  <c r="CR140" i="1"/>
  <c r="CH78" i="1"/>
  <c r="CR63" i="1"/>
  <c r="CH112" i="1"/>
  <c r="CQ134" i="1"/>
  <c r="CM141" i="1"/>
  <c r="CO78" i="1"/>
  <c r="CH8" i="1"/>
  <c r="CG61" i="1"/>
  <c r="CR41" i="1"/>
  <c r="CI74" i="1"/>
  <c r="CM109" i="1"/>
  <c r="CL76" i="1"/>
  <c r="CI12" i="1"/>
  <c r="CI80" i="1"/>
  <c r="CM152" i="1"/>
  <c r="CR82" i="1"/>
  <c r="CO111" i="1"/>
  <c r="CJ102" i="1"/>
  <c r="CR141" i="1"/>
  <c r="CK47" i="1"/>
  <c r="CN58" i="1"/>
  <c r="CP8" i="1"/>
  <c r="CJ43" i="1"/>
  <c r="CR42" i="1"/>
  <c r="CL14" i="1"/>
  <c r="CH151" i="1"/>
  <c r="CG103" i="1"/>
  <c r="CG79" i="1"/>
  <c r="CO5" i="1"/>
  <c r="CG69" i="1"/>
  <c r="CG118" i="1"/>
  <c r="CG131" i="1"/>
  <c r="CQ96" i="1"/>
  <c r="CO4" i="1"/>
  <c r="CG64" i="1"/>
  <c r="CG65" i="1"/>
  <c r="CG67" i="1"/>
  <c r="CG59" i="1"/>
  <c r="CG52" i="1"/>
  <c r="CG11" i="1"/>
  <c r="CQ140" i="1"/>
  <c r="CO63" i="1"/>
  <c r="CQ58" i="1"/>
  <c r="CQ112" i="1"/>
  <c r="CP134" i="1"/>
  <c r="CH141" i="1"/>
  <c r="CP47" i="1"/>
  <c r="CP132" i="1"/>
  <c r="CQ41" i="1"/>
  <c r="CR61" i="1"/>
  <c r="CG74" i="1"/>
  <c r="CK76" i="1"/>
  <c r="CG80" i="1"/>
  <c r="CJ152" i="1"/>
  <c r="CK14" i="1"/>
  <c r="CR69" i="1"/>
  <c r="CR118" i="1"/>
  <c r="CP96" i="1"/>
  <c r="CR67" i="1"/>
  <c r="CR59" i="1"/>
  <c r="CP140" i="1"/>
  <c r="CM112" i="1"/>
  <c r="CP112" i="1"/>
  <c r="CO69" i="1"/>
  <c r="CO118" i="1"/>
  <c r="CN96" i="1"/>
  <c r="CO67" i="1"/>
  <c r="CO59" i="1"/>
  <c r="CN140" i="1"/>
  <c r="CI6" i="1"/>
  <c r="CH6" i="1"/>
  <c r="CJ112" i="1"/>
  <c r="CL69" i="1"/>
  <c r="CL118" i="1"/>
  <c r="CM96" i="1"/>
  <c r="CL67" i="1"/>
  <c r="CL59" i="1"/>
  <c r="CM140" i="1"/>
  <c r="CG112" i="1"/>
  <c r="CK69" i="1"/>
  <c r="CK118" i="1"/>
  <c r="CJ96" i="1"/>
  <c r="CK67" i="1"/>
  <c r="CK59" i="1"/>
  <c r="CJ140" i="1"/>
  <c r="CH12" i="1"/>
  <c r="CP12" i="1"/>
  <c r="CR112" i="1"/>
  <c r="CQ69" i="1"/>
  <c r="CP118" i="1"/>
  <c r="CG96" i="1"/>
  <c r="CM67" i="1"/>
  <c r="CQ59" i="1"/>
  <c r="CG140" i="1"/>
  <c r="CO112" i="1"/>
  <c r="CP69" i="1"/>
  <c r="CO140" i="1"/>
  <c r="CL112" i="1"/>
  <c r="CI69" i="1"/>
  <c r="CQ118" i="1"/>
  <c r="CL96" i="1"/>
  <c r="CH67" i="1"/>
  <c r="CJ59" i="1"/>
  <c r="CL140" i="1"/>
  <c r="CI78" i="1"/>
  <c r="CN78" i="1"/>
  <c r="CK112" i="1"/>
  <c r="CR158" i="1" l="1"/>
  <c r="CN158" i="1"/>
  <c r="CJ158" i="1"/>
  <c r="CH158" i="1"/>
  <c r="CM158" i="1"/>
  <c r="CL158" i="1"/>
  <c r="CQ158" i="1"/>
  <c r="CG158" i="1"/>
  <c r="CK158" i="1"/>
  <c r="CP158" i="1"/>
  <c r="CO158" i="1"/>
  <c r="CI158" i="1"/>
</calcChain>
</file>

<file path=xl/sharedStrings.xml><?xml version="1.0" encoding="utf-8"?>
<sst xmlns="http://schemas.openxmlformats.org/spreadsheetml/2006/main" count="736" uniqueCount="286">
  <si>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</si>
  <si>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</si>
  <si>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</si>
  <si>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</si>
  <si>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</si>
  <si>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</si>
  <si>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</si>
  <si>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</si>
  <si>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</si>
  <si>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</si>
  <si>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</si>
  <si>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</si>
  <si>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</si>
  <si>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</si>
  <si>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</si>
  <si>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</si>
  <si>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</si>
  <si>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</si>
  <si>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</si>
  <si>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</si>
  <si>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</si>
  <si>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</si>
  <si>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</si>
  <si>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</si>
  <si>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</si>
  <si>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</si>
  <si>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</si>
  <si>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</si>
  <si>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</si>
  <si>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</si>
  <si>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</si>
  <si>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</si>
  <si>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</si>
  <si>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</si>
  <si>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</si>
  <si>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</si>
  <si>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</si>
  <si>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</si>
  <si>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</si>
  <si>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</si>
  <si>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</si>
  <si>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</si>
  <si>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</si>
  <si>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</si>
  <si>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</si>
  <si>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</si>
  <si>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</si>
  <si>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</si>
  <si>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</si>
  <si>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</si>
  <si>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</si>
  <si>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</si>
  <si>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痴花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</si>
  <si>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</si>
  <si>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</si>
  <si>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</si>
  <si>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</si>
  <si>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</si>
  <si>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</si>
  <si>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</si>
  <si>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</si>
  <si>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</si>
  <si>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</si>
  <si>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</si>
  <si>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</si>
  <si>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</si>
  <si>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</si>
  <si>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</si>
  <si>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</si>
  <si>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</si>
  <si>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</si>
  <si>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</si>
  <si>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</si>
  <si>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</si>
  <si>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</si>
  <si>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</si>
  <si>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</si>
  <si>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</si>
  <si>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</si>
  <si>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</si>
  <si>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</si>
  <si>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</si>
  <si>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</si>
  <si>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</si>
  <si>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</si>
  <si>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</si>
  <si>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</si>
  <si>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</si>
  <si>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</si>
  <si>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</si>
  <si>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</si>
  <si>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</si>
  <si>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</si>
  <si>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</si>
  <si>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</si>
  <si>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</si>
  <si>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</si>
  <si>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</si>
  <si>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</si>
  <si>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</si>
  <si>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</si>
  <si>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</si>
  <si>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</si>
  <si>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</si>
  <si>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</si>
  <si>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</si>
  <si>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</si>
  <si>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</si>
  <si>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</si>
  <si>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</si>
  <si>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</si>
  <si>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</si>
  <si>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碧水独角兽</t>
    <phoneticPr fontId="1" type="noConversion"/>
  </si>
  <si>
    <t>奇摩摩</t>
    <phoneticPr fontId="1" type="noConversion"/>
  </si>
  <si>
    <t>奇摩摩</t>
    <phoneticPr fontId="1" type="noConversion"/>
  </si>
  <si>
    <t>囚牛</t>
    <phoneticPr fontId="1" type="noConversion"/>
  </si>
  <si>
    <t>小铁匠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</si>
  <si>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</si>
  <si>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</si>
  <si>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</si>
  <si>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</si>
  <si>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</si>
  <si>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</si>
  <si>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</si>
  <si>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</si>
  <si>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</si>
  <si>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小穗穗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</si>
  <si>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</si>
  <si>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</si>
  <si>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</si>
  <si>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</si>
  <si>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葫芦妖</t>
    <phoneticPr fontId="1" type="noConversion"/>
  </si>
  <si>
    <t>粽仔</t>
    <phoneticPr fontId="1" type="noConversion"/>
  </si>
  <si>
    <t>狮子星</t>
    <phoneticPr fontId="1" type="noConversion"/>
  </si>
  <si>
    <t>地</t>
    <phoneticPr fontId="1" type="noConversion"/>
  </si>
  <si>
    <t>包小福</t>
    <phoneticPr fontId="1" type="noConversion"/>
  </si>
  <si>
    <t>戟月</t>
    <phoneticPr fontId="1" type="noConversion"/>
  </si>
  <si>
    <t>超</t>
    <phoneticPr fontId="1" type="noConversion"/>
  </si>
  <si>
    <t>菱绢</t>
    <phoneticPr fontId="1" type="noConversion"/>
  </si>
  <si>
    <t>天秤星</t>
    <phoneticPr fontId="1" type="noConversion"/>
  </si>
  <si>
    <t>懒懒鹿</t>
    <phoneticPr fontId="1" type="noConversion"/>
  </si>
  <si>
    <t>大宝剑</t>
    <phoneticPr fontId="1" type="noConversion"/>
  </si>
  <si>
    <t>芹正</t>
    <phoneticPr fontId="1" type="noConversion"/>
  </si>
  <si>
    <t>火</t>
    <phoneticPr fontId="1" type="noConversion"/>
  </si>
  <si>
    <t>十二地支.巳</t>
    <phoneticPr fontId="1" type="noConversion"/>
  </si>
  <si>
    <t>字母罗</t>
    <phoneticPr fontId="1" type="noConversion"/>
  </si>
  <si>
    <t>光</t>
    <phoneticPr fontId="1" type="noConversion"/>
  </si>
  <si>
    <t>牛小宝</t>
    <phoneticPr fontId="1" type="noConversion"/>
  </si>
  <si>
    <t>馄饨</t>
    <phoneticPr fontId="1" type="noConversion"/>
  </si>
  <si>
    <t>金灵</t>
    <phoneticPr fontId="1" type="noConversion"/>
  </si>
  <si>
    <t>甘冰</t>
    <phoneticPr fontId="1" type="noConversion"/>
  </si>
  <si>
    <t>剑灵</t>
    <phoneticPr fontId="1" type="noConversion"/>
  </si>
  <si>
    <t>羽妖仔</t>
    <phoneticPr fontId="1" type="noConversion"/>
  </si>
  <si>
    <t>子鹿</t>
    <phoneticPr fontId="1" type="noConversion"/>
  </si>
  <si>
    <t>煤球</t>
    <phoneticPr fontId="1" type="noConversion"/>
  </si>
  <si>
    <t>暗</t>
    <phoneticPr fontId="1" type="noConversion"/>
  </si>
  <si>
    <t>羽妖仔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</si>
  <si>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</si>
  <si>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</si>
  <si>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</si>
  <si>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</si>
  <si>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</si>
  <si>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</si>
  <si>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</si>
  <si>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</si>
  <si>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</si>
  <si>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</si>
  <si>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</si>
  <si>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</si>
  <si>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</si>
  <si>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</si>
  <si>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</si>
  <si>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</si>
  <si>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</si>
  <si>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</si>
  <si>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</si>
  <si>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</si>
  <si>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</si>
  <si>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</si>
  <si>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</si>
  <si>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水灵雏龙</t>
    <phoneticPr fontId="1" type="noConversion"/>
  </si>
  <si>
    <t>水</t>
    <phoneticPr fontId="1" type="noConversion"/>
  </si>
  <si>
    <t>水魂珠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</si>
  <si>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</si>
  <si>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</si>
  <si>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</si>
  <si>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</si>
  <si>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</si>
  <si>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小幽儿</t>
    <phoneticPr fontId="1" type="noConversion"/>
  </si>
  <si>
    <t>糖僧肉</t>
    <phoneticPr fontId="1" type="noConversion"/>
  </si>
  <si>
    <t>地</t>
    <phoneticPr fontId="1" type="noConversion"/>
  </si>
  <si>
    <t>羊糕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</si>
  <si>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</si>
  <si>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</si>
  <si>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</si>
  <si>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</si>
  <si>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</si>
  <si>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</si>
  <si>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盐灰坨</t>
    <phoneticPr fontId="1" type="noConversion"/>
  </si>
  <si>
    <t>暗卒</t>
    <phoneticPr fontId="1" type="noConversion"/>
  </si>
  <si>
    <t>成年</t>
    <phoneticPr fontId="1" type="noConversion"/>
  </si>
  <si>
    <t>敖钦</t>
    <phoneticPr fontId="1" type="noConversion"/>
  </si>
  <si>
    <t>糯米(2),</t>
    <phoneticPr fontId="1" type="noConversion"/>
  </si>
  <si>
    <t>崆峒印(3),_x000D_
智慧符文叉大(2),</t>
    <phoneticPr fontId="1" type="noConversion"/>
  </si>
  <si>
    <t>炼妖壶(3),</t>
    <phoneticPr fontId="1" type="noConversion"/>
  </si>
  <si>
    <t>太一之轮(12),_x000D_
幸运符文叉大(8),</t>
    <phoneticPr fontId="1" type="noConversion"/>
  </si>
  <si>
    <t>金钗(1),</t>
    <phoneticPr fontId="1" type="noConversion"/>
  </si>
  <si>
    <t>仙丹(5),</t>
    <phoneticPr fontId="1" type="noConversion"/>
  </si>
  <si>
    <t>桂花酒(5),</t>
    <phoneticPr fontId="1" type="noConversion"/>
  </si>
  <si>
    <t>彗星(5),</t>
    <phoneticPr fontId="1" type="noConversion"/>
  </si>
  <si>
    <t>女娲石(4),_x000D_
神农鼎(12),_x000D_
幸运符文叉大(3),</t>
    <phoneticPr fontId="1" type="noConversion"/>
  </si>
  <si>
    <t>神农鼎(3),_x000D_
龙灵不朽藤(8),</t>
    <phoneticPr fontId="1" type="noConversion"/>
  </si>
  <si>
    <t>龙灵不朽藤(8),</t>
    <phoneticPr fontId="1" type="noConversion"/>
  </si>
  <si>
    <t>金甲虫(3),</t>
    <phoneticPr fontId="1" type="noConversion"/>
  </si>
  <si>
    <t>金钗(11),</t>
    <phoneticPr fontId="1" type="noConversion"/>
  </si>
  <si>
    <t>彗星(15),</t>
    <phoneticPr fontId="1" type="noConversion"/>
  </si>
  <si>
    <t>金甲虫(38),</t>
    <phoneticPr fontId="1" type="noConversion"/>
  </si>
  <si>
    <t>金甲虫(188),</t>
    <phoneticPr fontId="1" type="noConversion"/>
  </si>
  <si>
    <t>庄家令牌小(2),_x000D_
庄家令牌中(3),</t>
    <phoneticPr fontId="1" type="noConversion"/>
  </si>
  <si>
    <t>糯米(5),_x000D_
粽叶(1),</t>
    <phoneticPr fontId="1" type="noConversion"/>
  </si>
  <si>
    <t>六方天运骰(5),_x000D_
力量符文叉大(1),</t>
    <phoneticPr fontId="1" type="noConversion"/>
  </si>
  <si>
    <t>筹码中(4),_x000D_
庄家令牌小(2),</t>
    <phoneticPr fontId="1" type="noConversion"/>
  </si>
  <si>
    <t>炼妖壶(2),_x000D_
仙丹(5),</t>
    <phoneticPr fontId="1" type="noConversion"/>
  </si>
  <si>
    <t>欠条中(4),_x000D_
筹码中(4),</t>
    <phoneticPr fontId="1" type="noConversion"/>
  </si>
  <si>
    <t>桂花(5),_x000D_
桂花酒(5),</t>
    <phoneticPr fontId="1" type="noConversion"/>
  </si>
  <si>
    <t>欠条大(8),_x000D_
骰子大(4),</t>
    <phoneticPr fontId="1" type="noConversion"/>
  </si>
  <si>
    <t>钱袋大(10),_x000D_
筹码大(9),_x000D_
秘窟冰晶卵(4),</t>
    <phoneticPr fontId="1" type="noConversion"/>
  </si>
  <si>
    <t>女娲石(4),_x000D_
神农鼎(12),_x000D_
龙灵不朽藤(13),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</si>
  <si>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</si>
  <si>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</si>
  <si>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</si>
  <si>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筹码中(4),_x000D_
庄家令牌小(2),</t>
    <phoneticPr fontId="1" type="noConversion"/>
  </si>
  <si>
    <t>欠条中(4),_x000D_
骰子中(3),_x000D_
筹码中(4),</t>
    <phoneticPr fontId="1" type="noConversion"/>
  </si>
  <si>
    <t>欠条中(6),_x000D_
欠条大(5),_x000D_
钱袋中(2),</t>
    <phoneticPr fontId="1" type="noConversion"/>
  </si>
  <si>
    <t>神农鼎(7),_x000D_
欠条大(8),_x000D_
骰子大(4),</t>
    <phoneticPr fontId="1" type="noConversion"/>
  </si>
  <si>
    <t>炼妖壶(12),_x000D_
神农鼎(12),_x000D_
幸运符文叉大(3),</t>
    <phoneticPr fontId="1" type="noConversion"/>
  </si>
  <si>
    <t>神农鼎(7),_x000D_
欠条大(8),_x000D_
钱袋大(10),_x000D_
月冕霓晴符(7),</t>
    <phoneticPr fontId="1" type="noConversion"/>
  </si>
  <si>
    <t>太一之轮(2),_x000D_
欠条大(8),_x000D_
骰子大(4),_x000D_
龙灵不朽藤(8),</t>
    <phoneticPr fontId="1" type="noConversion"/>
  </si>
  <si>
    <t>糯米(10),_x000D_
粽叶(10),_x000D_
龙灵不朽藤(3),</t>
    <phoneticPr fontId="1" type="noConversion"/>
  </si>
  <si>
    <t>赤焰十字星(25),_x000D_
力量符文叉大(21),_x000D_
逆鳞(10),_x000D_
星座素材火(2),</t>
    <phoneticPr fontId="1" type="noConversion"/>
  </si>
  <si>
    <t>超进阶素材土(45),_x000D_
超进阶素材木(50),_x000D_
超进阶素材光(50),_x000D_
超进阶素材暗(50),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</si>
  <si>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</si>
  <si>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</si>
  <si>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</si>
  <si>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</si>
  <si>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东皇钟(2),</t>
    <phoneticPr fontId="1" type="noConversion"/>
  </si>
  <si>
    <t>神农鼎(2),</t>
    <phoneticPr fontId="1" type="noConversion"/>
  </si>
  <si>
    <t>炼妖壶(2),</t>
    <phoneticPr fontId="1" type="noConversion"/>
  </si>
  <si>
    <t>神农鼎(3),</t>
    <phoneticPr fontId="1" type="noConversion"/>
  </si>
  <si>
    <t>庄家令牌中(3),</t>
    <phoneticPr fontId="1" type="noConversion"/>
  </si>
  <si>
    <t>龙灵不朽藤(3),</t>
    <phoneticPr fontId="1" type="noConversion"/>
  </si>
  <si>
    <t>秘窟冰晶卵(4),</t>
    <phoneticPr fontId="1" type="noConversion"/>
  </si>
  <si>
    <t>螃蟹(5),</t>
    <phoneticPr fontId="1" type="noConversion"/>
  </si>
  <si>
    <t>桂花(5),</t>
    <phoneticPr fontId="1" type="noConversion"/>
  </si>
  <si>
    <t>神农鼎(7),</t>
    <phoneticPr fontId="1" type="noConversion"/>
  </si>
  <si>
    <t>秘窟冰晶卵(9),</t>
    <phoneticPr fontId="1" type="noConversion"/>
  </si>
  <si>
    <t>东皇钟(12),</t>
    <phoneticPr fontId="1" type="noConversion"/>
  </si>
  <si>
    <t>炼妖壶(17),</t>
    <phoneticPr fontId="1" type="noConversion"/>
  </si>
  <si>
    <t>彗星(25),</t>
    <phoneticPr fontId="1" type="noConversion"/>
  </si>
  <si>
    <t>东皇钟(2),_x000D_
幸运符文叉大(3),</t>
    <phoneticPr fontId="1" type="noConversion"/>
  </si>
  <si>
    <t>骰子中(3),_x000D_
庄家令牌小(2),</t>
  </si>
  <si>
    <t>骰子中(3),_x000D_
庄家令牌小(2),</t>
    <phoneticPr fontId="1" type="noConversion"/>
  </si>
  <si>
    <t>欠条中(4),_x000D_
庄家令牌小(2),</t>
    <phoneticPr fontId="1" type="noConversion"/>
  </si>
  <si>
    <t>神农鼎(3),_x000D_
秘窟冰晶卵(4),</t>
    <phoneticPr fontId="1" type="noConversion"/>
  </si>
  <si>
    <t>炼妖壶(3),_x000D_
秘窟冰晶卵(4),</t>
    <phoneticPr fontId="1" type="noConversion"/>
  </si>
  <si>
    <t>神农鼎(3),_x000D_
月冕霓晴符(5),</t>
    <phoneticPr fontId="1" type="noConversion"/>
  </si>
  <si>
    <t>糯米(3),_x000D_
粽叶(5),</t>
    <phoneticPr fontId="1" type="noConversion"/>
  </si>
  <si>
    <t>东皇钟(2),_x000D_
炼妖壶(7),</t>
    <phoneticPr fontId="1" type="noConversion"/>
  </si>
  <si>
    <t>太一之轮(7),_x000D_
幸运符文叉大(3),</t>
    <phoneticPr fontId="1" type="noConversion"/>
  </si>
  <si>
    <t>骰子大(4),_x000D_
庄家令牌大(6),</t>
  </si>
  <si>
    <t>骰子大(4),_x000D_
庄家令牌大(6),</t>
    <phoneticPr fontId="1" type="noConversion"/>
  </si>
  <si>
    <t>东皇钟(7),_x000D_
女娲石(4),</t>
    <phoneticPr fontId="1" type="noConversion"/>
  </si>
  <si>
    <t>炼妖壶(3),_x000D_
龙灵不朽藤(8),</t>
    <phoneticPr fontId="1" type="noConversion"/>
  </si>
  <si>
    <t>糯米(5),_x000D_
粽叶(10),</t>
    <phoneticPr fontId="1" type="noConversion"/>
  </si>
  <si>
    <t>欠条中(4),_x000D_
筹码中(4),_x000D_
筹码大(1),</t>
  </si>
  <si>
    <t>桂花(5),_x000D_
桂花酒(5),_x000D_
灯笼(5),</t>
    <phoneticPr fontId="1" type="noConversion"/>
  </si>
  <si>
    <t>螃蟹(5),_x000D_
桂花(5),_x000D_
桂花酒(5),</t>
    <phoneticPr fontId="1" type="noConversion"/>
  </si>
  <si>
    <t>东皇钟(7),_x000D_
崆峒印(8),_x000D_
幸运符文叉大(3),</t>
    <phoneticPr fontId="1" type="noConversion"/>
  </si>
  <si>
    <t>女娲石(9),_x000D_
神农鼎(17),_x000D_
幸运符文叉大(8),</t>
    <phoneticPr fontId="1" type="noConversion"/>
  </si>
  <si>
    <t>神农鼎(4),_x000D_
欠条中(6),_x000D_
钱袋中(2),_x000D_
筹码大(6),</t>
    <phoneticPr fontId="1" type="noConversion"/>
  </si>
  <si>
    <t>东皇钟(2),_x000D_
欠条大(8),_x000D_
钱袋大(10),_x000D_
月冕霓晴符(7),</t>
    <phoneticPr fontId="1" type="noConversion"/>
  </si>
  <si>
    <t>超进阶素材水(45),_x000D_
超进阶素材火(50),_x000D_
超进阶素材光(50),_x000D_
超进阶素材暗(50),</t>
    <phoneticPr fontId="1" type="noConversion"/>
  </si>
  <si>
    <t>猪刚鬣</t>
    <phoneticPr fontId="1" type="noConversion"/>
  </si>
  <si>
    <t>新兵盖尔</t>
    <phoneticPr fontId="1" type="noConversion"/>
  </si>
  <si>
    <t>眼符</t>
    <phoneticPr fontId="1" type="noConversion"/>
  </si>
  <si>
    <t>眼符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</si>
</sst>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162</xdr:row>
          <xdr:rowOff>28575</xdr:rowOff>
        </xdr:from>
        <xdr:to>
          <xdr:col>1</xdr:col>
          <xdr:colOff>428625</xdr:colOff>
          <xdr:row>163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60"/>
  <sheetViews>
    <sheetView tabSelected="1" workbookViewId="0">
      <pane xSplit="2" ySplit="1" topLeftCell="C3" activePane="bottomRight" state="frozen"/>
      <selection pane="topRight" activeCell="C1" sqref="C1"/>
      <selection pane="bottomLeft" activeCell="A3" sqref="A3"/>
      <selection pane="bottomRight" activeCell="D15" sqref="D15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95</v>
      </c>
      <c r="B1" s="8" t="s">
        <v>96</v>
      </c>
      <c r="C1" s="8" t="s">
        <v>98</v>
      </c>
      <c r="D1" s="8" t="s">
        <v>97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29</v>
      </c>
      <c r="J1" s="9" t="s">
        <v>92</v>
      </c>
      <c r="K1" s="9" t="s">
        <v>30</v>
      </c>
      <c r="L1" s="9" t="s">
        <v>54</v>
      </c>
      <c r="M1" s="9" t="s">
        <v>60</v>
      </c>
      <c r="N1" s="9" t="s">
        <v>65</v>
      </c>
      <c r="O1" s="9" t="s">
        <v>59</v>
      </c>
      <c r="P1" s="31" t="s">
        <v>161</v>
      </c>
      <c r="Q1" s="31" t="s">
        <v>173</v>
      </c>
      <c r="R1" s="31" t="s">
        <v>167</v>
      </c>
      <c r="S1" s="31" t="s">
        <v>162</v>
      </c>
      <c r="T1" s="31" t="s">
        <v>171</v>
      </c>
      <c r="U1" s="31" t="s">
        <v>177</v>
      </c>
      <c r="V1" s="31" t="s">
        <v>163</v>
      </c>
      <c r="W1" s="31" t="s">
        <v>170</v>
      </c>
      <c r="X1" s="31" t="s">
        <v>168</v>
      </c>
      <c r="Y1" s="31" t="s">
        <v>164</v>
      </c>
      <c r="Z1" s="31" t="s">
        <v>172</v>
      </c>
      <c r="AA1" s="31" t="s">
        <v>179</v>
      </c>
      <c r="AB1" s="31" t="s">
        <v>166</v>
      </c>
      <c r="AC1" s="31" t="s">
        <v>165</v>
      </c>
      <c r="AD1" s="31" t="s">
        <v>195</v>
      </c>
      <c r="AE1" s="8" t="s">
        <v>10</v>
      </c>
      <c r="AF1" s="8" t="s">
        <v>36</v>
      </c>
      <c r="AG1" s="8" t="s">
        <v>37</v>
      </c>
      <c r="AH1" s="8" t="s">
        <v>81</v>
      </c>
      <c r="AI1" s="8" t="s">
        <v>82</v>
      </c>
      <c r="AJ1" s="8" t="s">
        <v>84</v>
      </c>
      <c r="AK1" s="8" t="s">
        <v>85</v>
      </c>
      <c r="AL1" s="8" t="s">
        <v>87</v>
      </c>
      <c r="AM1" s="8" t="s">
        <v>66</v>
      </c>
      <c r="AN1" s="8" t="s">
        <v>68</v>
      </c>
      <c r="AO1" s="8" t="s">
        <v>129</v>
      </c>
      <c r="AP1" s="8" t="s">
        <v>130</v>
      </c>
      <c r="AQ1" s="10" t="s">
        <v>50</v>
      </c>
      <c r="AR1" s="10" t="s">
        <v>5</v>
      </c>
      <c r="AS1" s="10" t="s">
        <v>34</v>
      </c>
      <c r="AT1" s="10" t="s">
        <v>71</v>
      </c>
      <c r="AU1" s="10" t="s">
        <v>79</v>
      </c>
      <c r="AV1" s="10" t="s">
        <v>64</v>
      </c>
      <c r="AW1" s="11" t="s">
        <v>6</v>
      </c>
      <c r="AX1" s="11" t="s">
        <v>7</v>
      </c>
      <c r="AY1" s="11" t="s">
        <v>51</v>
      </c>
      <c r="AZ1" s="11" t="s">
        <v>9</v>
      </c>
      <c r="BA1" s="11" t="s">
        <v>63</v>
      </c>
      <c r="BB1" s="11" t="s">
        <v>14</v>
      </c>
      <c r="BC1" s="29" t="s">
        <v>125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41</v>
      </c>
      <c r="BK1" s="8" t="s">
        <v>42</v>
      </c>
      <c r="BL1" s="8" t="s">
        <v>43</v>
      </c>
      <c r="BM1" s="8" t="s">
        <v>44</v>
      </c>
      <c r="BN1" s="8" t="s">
        <v>45</v>
      </c>
      <c r="BO1" s="8" t="s">
        <v>46</v>
      </c>
      <c r="BP1" s="12" t="s">
        <v>103</v>
      </c>
      <c r="BQ1" s="8" t="s">
        <v>104</v>
      </c>
      <c r="BR1" s="16" t="s">
        <v>105</v>
      </c>
      <c r="BS1" s="16"/>
      <c r="BT1" s="10" t="s">
        <v>50</v>
      </c>
      <c r="BU1" s="10" t="s">
        <v>5</v>
      </c>
      <c r="BV1" s="10" t="s">
        <v>34</v>
      </c>
      <c r="BW1" s="10" t="s">
        <v>71</v>
      </c>
      <c r="BX1" s="10" t="s">
        <v>79</v>
      </c>
      <c r="BY1" s="10" t="s">
        <v>64</v>
      </c>
      <c r="BZ1" s="11" t="s">
        <v>6</v>
      </c>
      <c r="CA1" s="11" t="s">
        <v>7</v>
      </c>
      <c r="CB1" s="11" t="s">
        <v>51</v>
      </c>
      <c r="CC1" s="11" t="s">
        <v>9</v>
      </c>
      <c r="CD1" s="11" t="s">
        <v>63</v>
      </c>
      <c r="CE1" s="11" t="s">
        <v>14</v>
      </c>
      <c r="CF1" s="8"/>
      <c r="CG1" s="10" t="s">
        <v>50</v>
      </c>
      <c r="CH1" s="10" t="s">
        <v>5</v>
      </c>
      <c r="CI1" s="10" t="s">
        <v>34</v>
      </c>
      <c r="CJ1" s="10" t="s">
        <v>71</v>
      </c>
      <c r="CK1" s="10" t="s">
        <v>79</v>
      </c>
      <c r="CL1" s="10" t="s">
        <v>64</v>
      </c>
      <c r="CM1" s="11" t="s">
        <v>6</v>
      </c>
      <c r="CN1" s="11" t="s">
        <v>7</v>
      </c>
      <c r="CO1" s="11" t="s">
        <v>51</v>
      </c>
      <c r="CP1" s="11" t="s">
        <v>9</v>
      </c>
      <c r="CQ1" s="11" t="s">
        <v>63</v>
      </c>
      <c r="CR1" s="11" t="s">
        <v>14</v>
      </c>
      <c r="CS1" s="2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 t="shared" ref="BP2:BP18" si="0">SUM(E2:BO2)</f>
        <v>80</v>
      </c>
      <c r="BQ2" s="1">
        <v>0</v>
      </c>
      <c r="BR2" s="17">
        <v>0</v>
      </c>
      <c r="BS2" s="17"/>
      <c r="BT2" s="1" t="str">
        <f>IF(AQ2&gt;AQ$159, AQ2-AQ$159,"")</f>
        <v/>
      </c>
      <c r="BU2" s="1" t="str">
        <f>IF(AR2&gt;AR$159, AR2-AR$159,"")</f>
        <v/>
      </c>
      <c r="BV2" s="1" t="str">
        <f>IF(AS2&gt;AS$159, AS2-AS$159,"")</f>
        <v/>
      </c>
      <c r="BW2" s="1" t="str">
        <f>IF(AT2&gt;AT$159, AT2-AT$159,"")</f>
        <v/>
      </c>
      <c r="BX2" s="1" t="str">
        <f>IF(AU2&gt;AU$159, AU2-AU$159,"")</f>
        <v/>
      </c>
      <c r="BY2" s="1" t="str">
        <f>IF(AV2&gt;AV$159, AV2-AV$159,"")</f>
        <v/>
      </c>
      <c r="BZ2" s="1" t="str">
        <f>IF(AW2&gt;AW$159, AW2-AW$159,"")</f>
        <v/>
      </c>
      <c r="CA2" s="1" t="str">
        <f>IF(AX2&gt;AX$159, AX2-AX$159,"")</f>
        <v/>
      </c>
      <c r="CB2" s="1" t="str">
        <f>IF(AY2&gt;AY$159, AY2-AY$159,"")</f>
        <v/>
      </c>
      <c r="CC2" s="1" t="str">
        <f>IF(AZ2&gt;AZ$159, AZ2-AZ$159,"")</f>
        <v/>
      </c>
      <c r="CD2" s="1" t="str">
        <f>IF(BA2&gt;BA$159, BA2-BA$159,"")</f>
        <v/>
      </c>
      <c r="CE2" s="1" t="str">
        <f>IF(BB2&gt;BB$159, BB2-BB$159,"")</f>
        <v/>
      </c>
      <c r="CF2" s="1">
        <f>12-COUNTA(BT2:CE2)</f>
        <v>0</v>
      </c>
      <c r="CG2" s="1" t="str">
        <f t="shared" ref="CG2:CG18" si="1">IF($CF2=1,BT2,"")</f>
        <v/>
      </c>
      <c r="CH2" s="1" t="str">
        <f t="shared" ref="CH2:CH18" si="2">IF($CF2=1,BU2,"")</f>
        <v/>
      </c>
      <c r="CI2" s="1" t="str">
        <f t="shared" ref="CI2:CI18" si="3">IF($CF2=1,BV2,"")</f>
        <v/>
      </c>
      <c r="CJ2" s="1" t="str">
        <f t="shared" ref="CJ2:CJ18" si="4">IF($CF2=1,BW2,"")</f>
        <v/>
      </c>
      <c r="CK2" s="1" t="str">
        <f t="shared" ref="CK2:CK18" si="5">IF($CF2=1,BX2,"")</f>
        <v/>
      </c>
      <c r="CL2" s="1" t="str">
        <f t="shared" ref="CL2:CL18" si="6">IF($CF2=1,BY2,"")</f>
        <v/>
      </c>
      <c r="CM2" s="1" t="str">
        <f t="shared" ref="CM2:CM18" si="7">IF($CF2=1,BZ2,"")</f>
        <v/>
      </c>
      <c r="CN2" s="1" t="str">
        <f t="shared" ref="CN2:CN18" si="8">IF($CF2=1,CA2,"")</f>
        <v/>
      </c>
      <c r="CO2" s="1" t="str">
        <f t="shared" ref="CO2:CO18" si="9">IF($CF2=1,CB2,"")</f>
        <v/>
      </c>
      <c r="CP2" s="1" t="str">
        <f t="shared" ref="CP2:CP18" si="10">IF($CF2=1,CC2,"")</f>
        <v/>
      </c>
      <c r="CQ2" s="1" t="str">
        <f t="shared" ref="CQ2:CQ18" si="11">IF($CF2=1,CD2,"")</f>
        <v/>
      </c>
      <c r="CR2" s="1" t="str">
        <f t="shared" ref="CR2:CR18" si="12">IF($CF2=1,CE2,"")</f>
        <v/>
      </c>
      <c r="CS2" s="18">
        <f t="shared" ref="CS2:CS18" si="13">SUM(AE2:BO2)</f>
        <v>80</v>
      </c>
    </row>
    <row r="3" spans="1:97" x14ac:dyDescent="0.15">
      <c r="A3" s="1">
        <v>15</v>
      </c>
      <c r="B3" s="1" t="s">
        <v>31</v>
      </c>
      <c r="C3" s="1" t="s">
        <v>32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 t="shared" si="0"/>
        <v>80</v>
      </c>
      <c r="BQ3" s="1">
        <v>0</v>
      </c>
      <c r="BR3" s="17">
        <v>0</v>
      </c>
      <c r="BS3" s="17"/>
      <c r="BT3" s="1" t="str">
        <f>IF(AQ3&gt;AQ$159, AQ3-AQ$159,"")</f>
        <v/>
      </c>
      <c r="BU3" s="1" t="str">
        <f>IF(AR3&gt;AR$159, AR3-AR$159,"")</f>
        <v/>
      </c>
      <c r="BV3" s="1" t="str">
        <f>IF(AS3&gt;AS$159, AS3-AS$159,"")</f>
        <v/>
      </c>
      <c r="BW3" s="1" t="str">
        <f>IF(AT3&gt;AT$159, AT3-AT$159,"")</f>
        <v/>
      </c>
      <c r="BX3" s="1" t="str">
        <f>IF(AU3&gt;AU$159, AU3-AU$159,"")</f>
        <v/>
      </c>
      <c r="BY3" s="1" t="str">
        <f>IF(AV3&gt;AV$159, AV3-AV$159,"")</f>
        <v/>
      </c>
      <c r="BZ3" s="1" t="str">
        <f>IF(AW3&gt;AW$159, AW3-AW$159,"")</f>
        <v/>
      </c>
      <c r="CA3" s="1" t="str">
        <f>IF(AX3&gt;AX$159, AX3-AX$159,"")</f>
        <v/>
      </c>
      <c r="CB3" s="1" t="str">
        <f>IF(AY3&gt;AY$159, AY3-AY$159,"")</f>
        <v/>
      </c>
      <c r="CC3" s="1" t="str">
        <f>IF(AZ3&gt;AZ$159, AZ3-AZ$159,"")</f>
        <v/>
      </c>
      <c r="CD3" s="1" t="str">
        <f>IF(BA3&gt;BA$159, BA3-BA$159,"")</f>
        <v/>
      </c>
      <c r="CE3" s="1" t="str">
        <f>IF(BB3&gt;BB$159, BB3-BB$159,"")</f>
        <v/>
      </c>
      <c r="CF3" s="1">
        <f>12-COUNTA(BT3:CE3)</f>
        <v>0</v>
      </c>
      <c r="CG3" s="1" t="str">
        <f t="shared" si="1"/>
        <v/>
      </c>
      <c r="CH3" s="1" t="str">
        <f t="shared" si="2"/>
        <v/>
      </c>
      <c r="CI3" s="1" t="str">
        <f t="shared" si="3"/>
        <v/>
      </c>
      <c r="CJ3" s="1" t="str">
        <f t="shared" si="4"/>
        <v/>
      </c>
      <c r="CK3" s="1" t="str">
        <f t="shared" si="5"/>
        <v/>
      </c>
      <c r="CL3" s="1" t="str">
        <f t="shared" si="6"/>
        <v/>
      </c>
      <c r="CM3" s="1" t="str">
        <f t="shared" si="7"/>
        <v/>
      </c>
      <c r="CN3" s="1" t="str">
        <f t="shared" si="8"/>
        <v/>
      </c>
      <c r="CO3" s="1" t="str">
        <f t="shared" si="9"/>
        <v/>
      </c>
      <c r="CP3" s="1" t="str">
        <f t="shared" si="10"/>
        <v/>
      </c>
      <c r="CQ3" s="1" t="str">
        <f t="shared" si="11"/>
        <v/>
      </c>
      <c r="CR3" s="1" t="str">
        <f t="shared" si="12"/>
        <v/>
      </c>
      <c r="CS3" s="18">
        <f t="shared" si="13"/>
        <v>80</v>
      </c>
    </row>
    <row r="4" spans="1:97" x14ac:dyDescent="0.15">
      <c r="A4" s="1">
        <v>35</v>
      </c>
      <c r="B4" s="1" t="s">
        <v>48</v>
      </c>
      <c r="C4" s="1" t="s">
        <v>49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 t="shared" si="0"/>
        <v>80</v>
      </c>
      <c r="BQ4" s="1">
        <v>0</v>
      </c>
      <c r="BR4" s="17">
        <v>0</v>
      </c>
      <c r="BS4" s="17"/>
      <c r="BT4" s="1" t="str">
        <f>IF(AQ4&gt;AQ$159, AQ4-AQ$159,"")</f>
        <v/>
      </c>
      <c r="BU4" s="1" t="str">
        <f>IF(AR4&gt;AR$159, AR4-AR$159,"")</f>
        <v/>
      </c>
      <c r="BV4" s="1" t="str">
        <f>IF(AS4&gt;AS$159, AS4-AS$159,"")</f>
        <v/>
      </c>
      <c r="BW4" s="1" t="str">
        <f>IF(AT4&gt;AT$159, AT4-AT$159,"")</f>
        <v/>
      </c>
      <c r="BX4" s="1" t="str">
        <f>IF(AU4&gt;AU$159, AU4-AU$159,"")</f>
        <v/>
      </c>
      <c r="BY4" s="1" t="str">
        <f>IF(AV4&gt;AV$159, AV4-AV$159,"")</f>
        <v/>
      </c>
      <c r="BZ4" s="1" t="str">
        <f>IF(AW4&gt;AW$159, AW4-AW$159,"")</f>
        <v/>
      </c>
      <c r="CA4" s="1" t="str">
        <f>IF(AX4&gt;AX$159, AX4-AX$159,"")</f>
        <v/>
      </c>
      <c r="CB4" s="1" t="str">
        <f>IF(AY4&gt;AY$159, AY4-AY$159,"")</f>
        <v/>
      </c>
      <c r="CC4" s="1" t="str">
        <f>IF(AZ4&gt;AZ$159, AZ4-AZ$159,"")</f>
        <v/>
      </c>
      <c r="CD4" s="1" t="str">
        <f>IF(BA4&gt;BA$159, BA4-BA$159,"")</f>
        <v/>
      </c>
      <c r="CE4" s="1" t="str">
        <f>IF(BB4&gt;BB$159, BB4-BB$159,"")</f>
        <v/>
      </c>
      <c r="CF4" s="1">
        <f>12-COUNTA(BT4:CE4)</f>
        <v>0</v>
      </c>
      <c r="CG4" s="1" t="str">
        <f t="shared" si="1"/>
        <v/>
      </c>
      <c r="CH4" s="1" t="str">
        <f t="shared" si="2"/>
        <v/>
      </c>
      <c r="CI4" s="1" t="str">
        <f t="shared" si="3"/>
        <v/>
      </c>
      <c r="CJ4" s="1" t="str">
        <f t="shared" si="4"/>
        <v/>
      </c>
      <c r="CK4" s="1" t="str">
        <f t="shared" si="5"/>
        <v/>
      </c>
      <c r="CL4" s="1" t="str">
        <f t="shared" si="6"/>
        <v/>
      </c>
      <c r="CM4" s="1" t="str">
        <f t="shared" si="7"/>
        <v/>
      </c>
      <c r="CN4" s="1" t="str">
        <f t="shared" si="8"/>
        <v/>
      </c>
      <c r="CO4" s="1" t="str">
        <f t="shared" si="9"/>
        <v/>
      </c>
      <c r="CP4" s="1" t="str">
        <f t="shared" si="10"/>
        <v/>
      </c>
      <c r="CQ4" s="1" t="str">
        <f t="shared" si="11"/>
        <v/>
      </c>
      <c r="CR4" s="1" t="str">
        <f t="shared" si="12"/>
        <v/>
      </c>
      <c r="CS4" s="18">
        <f t="shared" si="13"/>
        <v>80</v>
      </c>
    </row>
    <row r="5" spans="1:97" x14ac:dyDescent="0.15">
      <c r="A5" s="1">
        <v>55</v>
      </c>
      <c r="B5" s="1" t="s">
        <v>61</v>
      </c>
      <c r="C5" s="1" t="s">
        <v>62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 t="shared" si="0"/>
        <v>80</v>
      </c>
      <c r="BQ5" s="1">
        <v>0</v>
      </c>
      <c r="BR5" s="17">
        <v>0</v>
      </c>
      <c r="BS5" s="17"/>
      <c r="BT5" s="1" t="str">
        <f>IF(AQ5&gt;AQ$159, AQ5-AQ$159,"")</f>
        <v/>
      </c>
      <c r="BU5" s="1" t="str">
        <f>IF(AR5&gt;AR$159, AR5-AR$159,"")</f>
        <v/>
      </c>
      <c r="BV5" s="1" t="str">
        <f>IF(AS5&gt;AS$159, AS5-AS$159,"")</f>
        <v/>
      </c>
      <c r="BW5" s="1" t="str">
        <f>IF(AT5&gt;AT$159, AT5-AT$159,"")</f>
        <v/>
      </c>
      <c r="BX5" s="1" t="str">
        <f>IF(AU5&gt;AU$159, AU5-AU$159,"")</f>
        <v/>
      </c>
      <c r="BY5" s="1" t="str">
        <f>IF(AV5&gt;AV$159, AV5-AV$159,"")</f>
        <v/>
      </c>
      <c r="BZ5" s="1" t="str">
        <f>IF(AW5&gt;AW$159, AW5-AW$159,"")</f>
        <v/>
      </c>
      <c r="CA5" s="1" t="str">
        <f>IF(AX5&gt;AX$159, AX5-AX$159,"")</f>
        <v/>
      </c>
      <c r="CB5" s="1" t="str">
        <f>IF(AY5&gt;AY$159, AY5-AY$159,"")</f>
        <v/>
      </c>
      <c r="CC5" s="1" t="str">
        <f>IF(AZ5&gt;AZ$159, AZ5-AZ$159,"")</f>
        <v/>
      </c>
      <c r="CD5" s="1" t="str">
        <f>IF(BA5&gt;BA$159, BA5-BA$159,"")</f>
        <v/>
      </c>
      <c r="CE5" s="1" t="str">
        <f>IF(BB5&gt;BB$159, BB5-BB$159,"")</f>
        <v/>
      </c>
      <c r="CF5" s="1">
        <f>12-COUNTA(BT5:CE5)</f>
        <v>0</v>
      </c>
      <c r="CG5" s="1" t="str">
        <f t="shared" si="1"/>
        <v/>
      </c>
      <c r="CH5" s="1" t="str">
        <f t="shared" si="2"/>
        <v/>
      </c>
      <c r="CI5" s="1" t="str">
        <f t="shared" si="3"/>
        <v/>
      </c>
      <c r="CJ5" s="1" t="str">
        <f t="shared" si="4"/>
        <v/>
      </c>
      <c r="CK5" s="1" t="str">
        <f t="shared" si="5"/>
        <v/>
      </c>
      <c r="CL5" s="1" t="str">
        <f t="shared" si="6"/>
        <v/>
      </c>
      <c r="CM5" s="1" t="str">
        <f t="shared" si="7"/>
        <v/>
      </c>
      <c r="CN5" s="1" t="str">
        <f t="shared" si="8"/>
        <v/>
      </c>
      <c r="CO5" s="1" t="str">
        <f t="shared" si="9"/>
        <v/>
      </c>
      <c r="CP5" s="1" t="str">
        <f t="shared" si="10"/>
        <v/>
      </c>
      <c r="CQ5" s="1" t="str">
        <f t="shared" si="11"/>
        <v/>
      </c>
      <c r="CR5" s="1" t="str">
        <f t="shared" si="12"/>
        <v/>
      </c>
      <c r="CS5" s="18">
        <f t="shared" si="13"/>
        <v>80</v>
      </c>
    </row>
    <row r="6" spans="1:97" x14ac:dyDescent="0.15">
      <c r="A6" s="19">
        <v>7</v>
      </c>
      <c r="B6" s="19" t="s">
        <v>56</v>
      </c>
      <c r="C6" s="19" t="s">
        <v>2</v>
      </c>
      <c r="D6" s="19" t="s">
        <v>25</v>
      </c>
      <c r="E6" s="20"/>
      <c r="F6" s="20"/>
      <c r="G6" s="20">
        <v>5</v>
      </c>
      <c r="H6" s="20"/>
      <c r="I6" s="20"/>
      <c r="J6" s="20"/>
      <c r="K6" s="20"/>
      <c r="L6" s="20"/>
      <c r="M6" s="20"/>
      <c r="N6" s="20"/>
      <c r="O6" s="20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1"/>
      <c r="AR6" s="21"/>
      <c r="AS6" s="21"/>
      <c r="AT6" s="21"/>
      <c r="AU6" s="21"/>
      <c r="AV6" s="21"/>
      <c r="AW6" s="22"/>
      <c r="AX6" s="22"/>
      <c r="AY6" s="22"/>
      <c r="AZ6" s="22"/>
      <c r="BA6" s="22"/>
      <c r="BB6" s="22"/>
      <c r="BC6" s="30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>
        <f t="shared" si="0"/>
        <v>5</v>
      </c>
      <c r="BQ6" s="19">
        <v>0</v>
      </c>
      <c r="BR6" s="23">
        <v>0</v>
      </c>
      <c r="BS6" s="23"/>
      <c r="BT6" s="19" t="str">
        <f>IF(AQ6&gt;AQ$159, AQ6-AQ$159,"")</f>
        <v/>
      </c>
      <c r="BU6" s="19" t="str">
        <f>IF(AR6&gt;AR$159, AR6-AR$159,"")</f>
        <v/>
      </c>
      <c r="BV6" s="19" t="str">
        <f>IF(AS6&gt;AS$159, AS6-AS$159,"")</f>
        <v/>
      </c>
      <c r="BW6" s="19" t="str">
        <f>IF(AT6&gt;AT$159, AT6-AT$159,"")</f>
        <v/>
      </c>
      <c r="BX6" s="19" t="str">
        <f>IF(AU6&gt;AU$159, AU6-AU$159,"")</f>
        <v/>
      </c>
      <c r="BY6" s="19" t="str">
        <f>IF(AV6&gt;AV$159, AV6-AV$159,"")</f>
        <v/>
      </c>
      <c r="BZ6" s="19" t="str">
        <f>IF(AW6&gt;AW$159, AW6-AW$159,"")</f>
        <v/>
      </c>
      <c r="CA6" s="19" t="str">
        <f>IF(AX6&gt;AX$159, AX6-AX$159,"")</f>
        <v/>
      </c>
      <c r="CB6" s="19" t="str">
        <f>IF(AY6&gt;AY$159, AY6-AY$159,"")</f>
        <v/>
      </c>
      <c r="CC6" s="19" t="str">
        <f>IF(AZ6&gt;AZ$159, AZ6-AZ$159,"")</f>
        <v/>
      </c>
      <c r="CD6" s="19" t="str">
        <f>IF(BA6&gt;BA$159, BA6-BA$159,"")</f>
        <v/>
      </c>
      <c r="CE6" s="19" t="str">
        <f>IF(BB6&gt;BB$159, BB6-BB$159,"")</f>
        <v/>
      </c>
      <c r="CF6" s="19">
        <f t="shared" ref="CF6:CF18" si="14">COUNTIF(BT6:CE6, "&gt;0")</f>
        <v>0</v>
      </c>
      <c r="CG6" s="19" t="str">
        <f t="shared" si="1"/>
        <v/>
      </c>
      <c r="CH6" s="19" t="str">
        <f t="shared" si="2"/>
        <v/>
      </c>
      <c r="CI6" s="19" t="str">
        <f t="shared" si="3"/>
        <v/>
      </c>
      <c r="CJ6" s="19" t="str">
        <f t="shared" si="4"/>
        <v/>
      </c>
      <c r="CK6" s="19" t="str">
        <f t="shared" si="5"/>
        <v/>
      </c>
      <c r="CL6" s="19" t="str">
        <f t="shared" si="6"/>
        <v/>
      </c>
      <c r="CM6" s="19" t="str">
        <f t="shared" si="7"/>
        <v/>
      </c>
      <c r="CN6" s="19" t="str">
        <f t="shared" si="8"/>
        <v/>
      </c>
      <c r="CO6" s="19" t="str">
        <f t="shared" si="9"/>
        <v/>
      </c>
      <c r="CP6" s="19" t="str">
        <f t="shared" si="10"/>
        <v/>
      </c>
      <c r="CQ6" s="19" t="str">
        <f t="shared" si="11"/>
        <v/>
      </c>
      <c r="CR6" s="19" t="str">
        <f t="shared" si="12"/>
        <v/>
      </c>
      <c r="CS6" s="24">
        <f t="shared" si="13"/>
        <v>0</v>
      </c>
    </row>
    <row r="7" spans="1:97" s="25" customFormat="1" x14ac:dyDescent="0.15">
      <c r="A7" s="19">
        <v>40</v>
      </c>
      <c r="B7" s="19" t="s">
        <v>57</v>
      </c>
      <c r="C7" s="19" t="s">
        <v>49</v>
      </c>
      <c r="D7" s="19" t="s">
        <v>58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>
        <v>5</v>
      </c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21"/>
      <c r="AR7" s="21"/>
      <c r="AS7" s="21"/>
      <c r="AT7" s="21"/>
      <c r="AU7" s="21"/>
      <c r="AV7" s="21"/>
      <c r="AW7" s="22"/>
      <c r="AX7" s="22"/>
      <c r="AY7" s="22"/>
      <c r="AZ7" s="22"/>
      <c r="BA7" s="22"/>
      <c r="BB7" s="22"/>
      <c r="BC7" s="30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>
        <f t="shared" si="0"/>
        <v>5</v>
      </c>
      <c r="BQ7" s="19">
        <v>0</v>
      </c>
      <c r="BR7" s="23">
        <v>0</v>
      </c>
      <c r="BS7" s="23"/>
      <c r="BT7" s="19" t="str">
        <f>IF(AQ7&gt;AQ$159, AQ7-AQ$159,"")</f>
        <v/>
      </c>
      <c r="BU7" s="19" t="str">
        <f>IF(AR7&gt;AR$159, AR7-AR$159,"")</f>
        <v/>
      </c>
      <c r="BV7" s="19" t="str">
        <f>IF(AS7&gt;AS$159, AS7-AS$159,"")</f>
        <v/>
      </c>
      <c r="BW7" s="19" t="str">
        <f>IF(AT7&gt;AT$159, AT7-AT$159,"")</f>
        <v/>
      </c>
      <c r="BX7" s="19" t="str">
        <f>IF(AU7&gt;AU$159, AU7-AU$159,"")</f>
        <v/>
      </c>
      <c r="BY7" s="19" t="str">
        <f>IF(AV7&gt;AV$159, AV7-AV$159,"")</f>
        <v/>
      </c>
      <c r="BZ7" s="19" t="str">
        <f>IF(AW7&gt;AW$159, AW7-AW$159,"")</f>
        <v/>
      </c>
      <c r="CA7" s="19" t="str">
        <f>IF(AX7&gt;AX$159, AX7-AX$159,"")</f>
        <v/>
      </c>
      <c r="CB7" s="19" t="str">
        <f>IF(AY7&gt;AY$159, AY7-AY$159,"")</f>
        <v/>
      </c>
      <c r="CC7" s="19" t="str">
        <f>IF(AZ7&gt;AZ$159, AZ7-AZ$159,"")</f>
        <v/>
      </c>
      <c r="CD7" s="19" t="str">
        <f>IF(BA7&gt;BA$159, BA7-BA$159,"")</f>
        <v/>
      </c>
      <c r="CE7" s="19" t="str">
        <f>IF(BB7&gt;BB$159, BB7-BB$159,"")</f>
        <v/>
      </c>
      <c r="CF7" s="19">
        <f t="shared" si="14"/>
        <v>0</v>
      </c>
      <c r="CG7" s="19" t="str">
        <f t="shared" si="1"/>
        <v/>
      </c>
      <c r="CH7" s="19" t="str">
        <f t="shared" si="2"/>
        <v/>
      </c>
      <c r="CI7" s="19" t="str">
        <f t="shared" si="3"/>
        <v/>
      </c>
      <c r="CJ7" s="19" t="str">
        <f t="shared" si="4"/>
        <v/>
      </c>
      <c r="CK7" s="19" t="str">
        <f t="shared" si="5"/>
        <v/>
      </c>
      <c r="CL7" s="19" t="str">
        <f t="shared" si="6"/>
        <v/>
      </c>
      <c r="CM7" s="19" t="str">
        <f t="shared" si="7"/>
        <v/>
      </c>
      <c r="CN7" s="19" t="str">
        <f t="shared" si="8"/>
        <v/>
      </c>
      <c r="CO7" s="19" t="str">
        <f t="shared" si="9"/>
        <v/>
      </c>
      <c r="CP7" s="19" t="str">
        <f t="shared" si="10"/>
        <v/>
      </c>
      <c r="CQ7" s="19" t="str">
        <f t="shared" si="11"/>
        <v/>
      </c>
      <c r="CR7" s="19" t="str">
        <f t="shared" si="12"/>
        <v/>
      </c>
      <c r="CS7" s="24">
        <f t="shared" si="13"/>
        <v>0</v>
      </c>
    </row>
    <row r="8" spans="1:97" s="25" customFormat="1" x14ac:dyDescent="0.15">
      <c r="A8" s="19">
        <v>83</v>
      </c>
      <c r="B8" s="26" t="s">
        <v>75</v>
      </c>
      <c r="C8" s="26" t="s">
        <v>70</v>
      </c>
      <c r="D8" s="19" t="s">
        <v>1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>
        <v>5</v>
      </c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D8" s="33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21"/>
      <c r="AR8" s="21"/>
      <c r="AS8" s="21"/>
      <c r="AT8" s="21"/>
      <c r="AU8" s="21"/>
      <c r="AV8" s="21"/>
      <c r="AW8" s="22"/>
      <c r="AX8" s="22"/>
      <c r="AY8" s="22"/>
      <c r="AZ8" s="22"/>
      <c r="BA8" s="22"/>
      <c r="BB8" s="22"/>
      <c r="BC8" s="30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>
        <f t="shared" si="0"/>
        <v>5</v>
      </c>
      <c r="BQ8" s="19">
        <v>0</v>
      </c>
      <c r="BR8" s="23">
        <v>0</v>
      </c>
      <c r="BS8" s="23"/>
      <c r="BT8" s="19" t="str">
        <f>IF(AQ8&gt;AQ$159, AQ8-AQ$159,"")</f>
        <v/>
      </c>
      <c r="BU8" s="19" t="str">
        <f>IF(AR8&gt;AR$159, AR8-AR$159,"")</f>
        <v/>
      </c>
      <c r="BV8" s="19" t="str">
        <f>IF(AS8&gt;AS$159, AS8-AS$159,"")</f>
        <v/>
      </c>
      <c r="BW8" s="19" t="str">
        <f>IF(AT8&gt;AT$159, AT8-AT$159,"")</f>
        <v/>
      </c>
      <c r="BX8" s="19" t="str">
        <f>IF(AU8&gt;AU$159, AU8-AU$159,"")</f>
        <v/>
      </c>
      <c r="BY8" s="19" t="str">
        <f>IF(AV8&gt;AV$159, AV8-AV$159,"")</f>
        <v/>
      </c>
      <c r="BZ8" s="19" t="str">
        <f>IF(AW8&gt;AW$159, AW8-AW$159,"")</f>
        <v/>
      </c>
      <c r="CA8" s="19" t="str">
        <f>IF(AX8&gt;AX$159, AX8-AX$159,"")</f>
        <v/>
      </c>
      <c r="CB8" s="19" t="str">
        <f>IF(AY8&gt;AY$159, AY8-AY$159,"")</f>
        <v/>
      </c>
      <c r="CC8" s="19" t="str">
        <f>IF(AZ8&gt;AZ$159, AZ8-AZ$159,"")</f>
        <v/>
      </c>
      <c r="CD8" s="19" t="str">
        <f>IF(BA8&gt;BA$159, BA8-BA$159,"")</f>
        <v/>
      </c>
      <c r="CE8" s="19" t="str">
        <f>IF(BB8&gt;BB$159, BB8-BB$159,"")</f>
        <v/>
      </c>
      <c r="CF8" s="19">
        <f t="shared" si="14"/>
        <v>0</v>
      </c>
      <c r="CG8" s="19" t="str">
        <f t="shared" si="1"/>
        <v/>
      </c>
      <c r="CH8" s="19" t="str">
        <f t="shared" si="2"/>
        <v/>
      </c>
      <c r="CI8" s="19" t="str">
        <f t="shared" si="3"/>
        <v/>
      </c>
      <c r="CJ8" s="19" t="str">
        <f t="shared" si="4"/>
        <v/>
      </c>
      <c r="CK8" s="19" t="str">
        <f t="shared" si="5"/>
        <v/>
      </c>
      <c r="CL8" s="19" t="str">
        <f t="shared" si="6"/>
        <v/>
      </c>
      <c r="CM8" s="19" t="str">
        <f t="shared" si="7"/>
        <v/>
      </c>
      <c r="CN8" s="19" t="str">
        <f t="shared" si="8"/>
        <v/>
      </c>
      <c r="CO8" s="19" t="str">
        <f t="shared" si="9"/>
        <v/>
      </c>
      <c r="CP8" s="19" t="str">
        <f t="shared" si="10"/>
        <v/>
      </c>
      <c r="CQ8" s="19" t="str">
        <f t="shared" si="11"/>
        <v/>
      </c>
      <c r="CR8" s="19" t="str">
        <f t="shared" si="12"/>
        <v/>
      </c>
      <c r="CS8" s="24">
        <f t="shared" si="13"/>
        <v>0</v>
      </c>
    </row>
    <row r="9" spans="1:97" s="25" customFormat="1" x14ac:dyDescent="0.15">
      <c r="A9" s="1">
        <v>9</v>
      </c>
      <c r="B9" s="1" t="s">
        <v>28</v>
      </c>
      <c r="C9" s="1" t="s">
        <v>2</v>
      </c>
      <c r="D9" s="1" t="s">
        <v>26</v>
      </c>
      <c r="E9" s="6"/>
      <c r="F9" s="6"/>
      <c r="G9" s="6"/>
      <c r="H9" s="6"/>
      <c r="I9" s="6">
        <v>4</v>
      </c>
      <c r="J9" s="6"/>
      <c r="K9" s="6">
        <v>4</v>
      </c>
      <c r="L9" s="6"/>
      <c r="M9" s="6"/>
      <c r="N9" s="6"/>
      <c r="O9" s="6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>
        <v>5</v>
      </c>
      <c r="AS9" s="4"/>
      <c r="AT9" s="4"/>
      <c r="AU9" s="4"/>
      <c r="AV9" s="4"/>
      <c r="AW9" s="2">
        <v>5</v>
      </c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 t="shared" si="0"/>
        <v>18</v>
      </c>
      <c r="BQ9" s="1">
        <v>0</v>
      </c>
      <c r="BR9" s="17">
        <v>0</v>
      </c>
      <c r="BS9" s="17"/>
      <c r="BT9" s="1" t="str">
        <f>IF(AQ9&gt;AQ$159, AQ9-AQ$159,"")</f>
        <v/>
      </c>
      <c r="BU9" s="1" t="str">
        <f>IF(AR9&gt;AR$159, AR9-AR$159,"")</f>
        <v/>
      </c>
      <c r="BV9" s="1" t="str">
        <f>IF(AS9&gt;AS$159, AS9-AS$159,"")</f>
        <v/>
      </c>
      <c r="BW9" s="1" t="str">
        <f>IF(AT9&gt;AT$159, AT9-AT$159,"")</f>
        <v/>
      </c>
      <c r="BX9" s="1" t="str">
        <f>IF(AU9&gt;AU$159, AU9-AU$159,"")</f>
        <v/>
      </c>
      <c r="BY9" s="1" t="str">
        <f>IF(AV9&gt;AV$159, AV9-AV$159,"")</f>
        <v/>
      </c>
      <c r="BZ9" s="1" t="str">
        <f>IF(AW9&gt;AW$159, AW9-AW$159,"")</f>
        <v/>
      </c>
      <c r="CA9" s="1" t="str">
        <f>IF(AX9&gt;AX$159, AX9-AX$159,"")</f>
        <v/>
      </c>
      <c r="CB9" s="1" t="str">
        <f>IF(AY9&gt;AY$159, AY9-AY$159,"")</f>
        <v/>
      </c>
      <c r="CC9" s="1" t="str">
        <f>IF(AZ9&gt;AZ$159, AZ9-AZ$159,"")</f>
        <v/>
      </c>
      <c r="CD9" s="1" t="str">
        <f>IF(BA9&gt;BA$159, BA9-BA$159,"")</f>
        <v/>
      </c>
      <c r="CE9" s="1" t="str">
        <f>IF(BB9&gt;BB$159, BB9-BB$159,"")</f>
        <v/>
      </c>
      <c r="CF9" s="1">
        <f t="shared" si="14"/>
        <v>0</v>
      </c>
      <c r="CG9" s="1" t="str">
        <f t="shared" si="1"/>
        <v/>
      </c>
      <c r="CH9" s="1" t="str">
        <f t="shared" si="2"/>
        <v/>
      </c>
      <c r="CI9" s="1" t="str">
        <f t="shared" si="3"/>
        <v/>
      </c>
      <c r="CJ9" s="1" t="str">
        <f t="shared" si="4"/>
        <v/>
      </c>
      <c r="CK9" s="1" t="str">
        <f t="shared" si="5"/>
        <v/>
      </c>
      <c r="CL9" s="1" t="str">
        <f t="shared" si="6"/>
        <v/>
      </c>
      <c r="CM9" s="1" t="str">
        <f t="shared" si="7"/>
        <v/>
      </c>
      <c r="CN9" s="1" t="str">
        <f t="shared" si="8"/>
        <v/>
      </c>
      <c r="CO9" s="1" t="str">
        <f t="shared" si="9"/>
        <v/>
      </c>
      <c r="CP9" s="1" t="str">
        <f t="shared" si="10"/>
        <v/>
      </c>
      <c r="CQ9" s="1" t="str">
        <f t="shared" si="11"/>
        <v/>
      </c>
      <c r="CR9" s="1" t="str">
        <f t="shared" si="12"/>
        <v/>
      </c>
      <c r="CS9" s="18">
        <f t="shared" si="13"/>
        <v>10</v>
      </c>
    </row>
    <row r="10" spans="1:97" s="25" customFormat="1" x14ac:dyDescent="0.15">
      <c r="A10" s="1">
        <v>81</v>
      </c>
      <c r="B10" s="3" t="s">
        <v>73</v>
      </c>
      <c r="C10" s="3" t="s">
        <v>70</v>
      </c>
      <c r="D10" s="1" t="s">
        <v>13</v>
      </c>
      <c r="E10" s="6"/>
      <c r="F10" s="6"/>
      <c r="G10" s="6"/>
      <c r="H10" s="6"/>
      <c r="I10" s="6"/>
      <c r="J10" s="6"/>
      <c r="K10" s="6"/>
      <c r="L10" s="6">
        <v>6</v>
      </c>
      <c r="M10" s="6"/>
      <c r="N10" s="6"/>
      <c r="O10" s="6">
        <v>6</v>
      </c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>
        <v>10</v>
      </c>
      <c r="AU10" s="4"/>
      <c r="AV10" s="4"/>
      <c r="AW10" s="2"/>
      <c r="AX10" s="2"/>
      <c r="AY10" s="2"/>
      <c r="AZ10" s="2"/>
      <c r="BA10" s="2">
        <v>10</v>
      </c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 t="shared" si="0"/>
        <v>32</v>
      </c>
      <c r="BQ10" s="1">
        <v>0</v>
      </c>
      <c r="BR10" s="17">
        <v>0</v>
      </c>
      <c r="BS10" s="17"/>
      <c r="BT10" s="1" t="str">
        <f>IF(AQ10&gt;AQ$159, AQ10-AQ$159,"")</f>
        <v/>
      </c>
      <c r="BU10" s="1" t="str">
        <f>IF(AR10&gt;AR$159, AR10-AR$159,"")</f>
        <v/>
      </c>
      <c r="BV10" s="1" t="str">
        <f>IF(AS10&gt;AS$159, AS10-AS$159,"")</f>
        <v/>
      </c>
      <c r="BW10" s="1" t="str">
        <f>IF(AT10&gt;AT$159, AT10-AT$159,"")</f>
        <v/>
      </c>
      <c r="BX10" s="1" t="str">
        <f>IF(AU10&gt;AU$159, AU10-AU$159,"")</f>
        <v/>
      </c>
      <c r="BY10" s="1" t="str">
        <f>IF(AV10&gt;AV$159, AV10-AV$159,"")</f>
        <v/>
      </c>
      <c r="BZ10" s="1" t="str">
        <f>IF(AW10&gt;AW$159, AW10-AW$159,"")</f>
        <v/>
      </c>
      <c r="CA10" s="1" t="str">
        <f>IF(AX10&gt;AX$159, AX10-AX$159,"")</f>
        <v/>
      </c>
      <c r="CB10" s="1" t="str">
        <f>IF(AY10&gt;AY$159, AY10-AY$159,"")</f>
        <v/>
      </c>
      <c r="CC10" s="1" t="str">
        <f>IF(AZ10&gt;AZ$159, AZ10-AZ$159,"")</f>
        <v/>
      </c>
      <c r="CD10" s="1" t="str">
        <f>IF(BA10&gt;BA$159, BA10-BA$159,"")</f>
        <v/>
      </c>
      <c r="CE10" s="1" t="str">
        <f>IF(BB10&gt;BB$159, BB10-BB$159,"")</f>
        <v/>
      </c>
      <c r="CF10" s="1">
        <f t="shared" si="14"/>
        <v>0</v>
      </c>
      <c r="CG10" s="1" t="str">
        <f t="shared" si="1"/>
        <v/>
      </c>
      <c r="CH10" s="1" t="str">
        <f t="shared" si="2"/>
        <v/>
      </c>
      <c r="CI10" s="1" t="str">
        <f t="shared" si="3"/>
        <v/>
      </c>
      <c r="CJ10" s="1" t="str">
        <f t="shared" si="4"/>
        <v/>
      </c>
      <c r="CK10" s="1" t="str">
        <f t="shared" si="5"/>
        <v/>
      </c>
      <c r="CL10" s="1" t="str">
        <f t="shared" si="6"/>
        <v/>
      </c>
      <c r="CM10" s="1" t="str">
        <f t="shared" si="7"/>
        <v/>
      </c>
      <c r="CN10" s="1" t="str">
        <f t="shared" si="8"/>
        <v/>
      </c>
      <c r="CO10" s="1" t="str">
        <f t="shared" si="9"/>
        <v/>
      </c>
      <c r="CP10" s="1" t="str">
        <f t="shared" si="10"/>
        <v/>
      </c>
      <c r="CQ10" s="1" t="str">
        <f t="shared" si="11"/>
        <v/>
      </c>
      <c r="CR10" s="1" t="str">
        <f t="shared" si="12"/>
        <v/>
      </c>
      <c r="CS10" s="18">
        <f t="shared" si="13"/>
        <v>20</v>
      </c>
    </row>
    <row r="11" spans="1:97" x14ac:dyDescent="0.15">
      <c r="A11" s="19">
        <v>13</v>
      </c>
      <c r="B11" s="19" t="s">
        <v>116</v>
      </c>
      <c r="C11" s="19" t="s">
        <v>2</v>
      </c>
      <c r="D11" s="19" t="s">
        <v>1</v>
      </c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1"/>
      <c r="AR11" s="21"/>
      <c r="AS11" s="21"/>
      <c r="AT11" s="21"/>
      <c r="AU11" s="21"/>
      <c r="AV11" s="21"/>
      <c r="AW11" s="22"/>
      <c r="AX11" s="22"/>
      <c r="AY11" s="22"/>
      <c r="AZ11" s="22"/>
      <c r="BA11" s="22"/>
      <c r="BB11" s="22"/>
      <c r="BC11" s="30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>
        <f t="shared" si="0"/>
        <v>0</v>
      </c>
      <c r="BQ11" s="19">
        <v>0</v>
      </c>
      <c r="BR11" s="23">
        <v>0</v>
      </c>
      <c r="BS11" s="23"/>
      <c r="BT11" s="19" t="str">
        <f>IF(AQ11&gt;AQ$159, AQ11-AQ$159,"")</f>
        <v/>
      </c>
      <c r="BU11" s="19" t="str">
        <f>IF(AR11&gt;AR$159, AR11-AR$159,"")</f>
        <v/>
      </c>
      <c r="BV11" s="19" t="str">
        <f>IF(AS11&gt;AS$159, AS11-AS$159,"")</f>
        <v/>
      </c>
      <c r="BW11" s="19" t="str">
        <f>IF(AT11&gt;AT$159, AT11-AT$159,"")</f>
        <v/>
      </c>
      <c r="BX11" s="19" t="str">
        <f>IF(AU11&gt;AU$159, AU11-AU$159,"")</f>
        <v/>
      </c>
      <c r="BY11" s="19" t="str">
        <f>IF(AV11&gt;AV$159, AV11-AV$159,"")</f>
        <v/>
      </c>
      <c r="BZ11" s="19" t="str">
        <f>IF(AW11&gt;AW$159, AW11-AW$159,"")</f>
        <v/>
      </c>
      <c r="CA11" s="19" t="str">
        <f>IF(AX11&gt;AX$159, AX11-AX$159,"")</f>
        <v/>
      </c>
      <c r="CB11" s="19" t="str">
        <f>IF(AY11&gt;AY$159, AY11-AY$159,"")</f>
        <v/>
      </c>
      <c r="CC11" s="19" t="str">
        <f>IF(AZ11&gt;AZ$159, AZ11-AZ$159,"")</f>
        <v/>
      </c>
      <c r="CD11" s="19" t="str">
        <f>IF(BA11&gt;BA$159, BA11-BA$159,"")</f>
        <v/>
      </c>
      <c r="CE11" s="19" t="str">
        <f>IF(BB11&gt;BB$159, BB11-BB$159,"")</f>
        <v/>
      </c>
      <c r="CF11" s="19">
        <f t="shared" si="14"/>
        <v>0</v>
      </c>
      <c r="CG11" s="19" t="str">
        <f t="shared" si="1"/>
        <v/>
      </c>
      <c r="CH11" s="19" t="str">
        <f t="shared" si="2"/>
        <v/>
      </c>
      <c r="CI11" s="19" t="str">
        <f t="shared" si="3"/>
        <v/>
      </c>
      <c r="CJ11" s="19" t="str">
        <f t="shared" si="4"/>
        <v/>
      </c>
      <c r="CK11" s="19" t="str">
        <f t="shared" si="5"/>
        <v/>
      </c>
      <c r="CL11" s="19" t="str">
        <f t="shared" si="6"/>
        <v/>
      </c>
      <c r="CM11" s="19" t="str">
        <f t="shared" si="7"/>
        <v/>
      </c>
      <c r="CN11" s="19" t="str">
        <f t="shared" si="8"/>
        <v/>
      </c>
      <c r="CO11" s="19" t="str">
        <f t="shared" si="9"/>
        <v/>
      </c>
      <c r="CP11" s="19" t="str">
        <f t="shared" si="10"/>
        <v/>
      </c>
      <c r="CQ11" s="19" t="str">
        <f t="shared" si="11"/>
        <v/>
      </c>
      <c r="CR11" s="19" t="str">
        <f t="shared" si="12"/>
        <v/>
      </c>
      <c r="CS11" s="24">
        <f t="shared" si="13"/>
        <v>0</v>
      </c>
    </row>
    <row r="12" spans="1:97" x14ac:dyDescent="0.15">
      <c r="A12" s="1">
        <v>82</v>
      </c>
      <c r="B12" s="3" t="s">
        <v>74</v>
      </c>
      <c r="C12" s="3" t="s">
        <v>70</v>
      </c>
      <c r="D12" s="1" t="s">
        <v>13</v>
      </c>
      <c r="E12" s="6"/>
      <c r="F12" s="6"/>
      <c r="G12" s="6"/>
      <c r="H12" s="6"/>
      <c r="I12" s="6"/>
      <c r="J12" s="6"/>
      <c r="K12" s="6"/>
      <c r="L12" s="6">
        <v>6</v>
      </c>
      <c r="M12" s="6"/>
      <c r="N12" s="6">
        <v>6</v>
      </c>
      <c r="O12" s="6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>
        <v>10</v>
      </c>
      <c r="AU12" s="4"/>
      <c r="AV12" s="4"/>
      <c r="AW12" s="2"/>
      <c r="AX12" s="2"/>
      <c r="AY12" s="2"/>
      <c r="AZ12" s="2">
        <v>10</v>
      </c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 t="shared" si="0"/>
        <v>32</v>
      </c>
      <c r="BQ12" s="1">
        <v>0</v>
      </c>
      <c r="BR12" s="17">
        <v>0</v>
      </c>
      <c r="BS12" s="17"/>
      <c r="BT12" s="1" t="str">
        <f>IF(AQ12&gt;AQ$159, AQ12-AQ$159,"")</f>
        <v/>
      </c>
      <c r="BU12" s="1" t="str">
        <f>IF(AR12&gt;AR$159, AR12-AR$159,"")</f>
        <v/>
      </c>
      <c r="BV12" s="1" t="str">
        <f>IF(AS12&gt;AS$159, AS12-AS$159,"")</f>
        <v/>
      </c>
      <c r="BW12" s="1" t="str">
        <f>IF(AT12&gt;AT$159, AT12-AT$159,"")</f>
        <v/>
      </c>
      <c r="BX12" s="1" t="str">
        <f>IF(AU12&gt;AU$159, AU12-AU$159,"")</f>
        <v/>
      </c>
      <c r="BY12" s="1" t="str">
        <f>IF(AV12&gt;AV$159, AV12-AV$159,"")</f>
        <v/>
      </c>
      <c r="BZ12" s="1" t="str">
        <f>IF(AW12&gt;AW$159, AW12-AW$159,"")</f>
        <v/>
      </c>
      <c r="CA12" s="1" t="str">
        <f>IF(AX12&gt;AX$159, AX12-AX$159,"")</f>
        <v/>
      </c>
      <c r="CB12" s="1" t="str">
        <f>IF(AY12&gt;AY$159, AY12-AY$159,"")</f>
        <v/>
      </c>
      <c r="CC12" s="1" t="str">
        <f>IF(AZ12&gt;AZ$159, AZ12-AZ$159,"")</f>
        <v/>
      </c>
      <c r="CD12" s="1" t="str">
        <f>IF(BA12&gt;BA$159, BA12-BA$159,"")</f>
        <v/>
      </c>
      <c r="CE12" s="1" t="str">
        <f>IF(BB12&gt;BB$159, BB12-BB$159,"")</f>
        <v/>
      </c>
      <c r="CF12" s="1">
        <f t="shared" si="14"/>
        <v>0</v>
      </c>
      <c r="CG12" s="1" t="str">
        <f t="shared" si="1"/>
        <v/>
      </c>
      <c r="CH12" s="1" t="str">
        <f t="shared" si="2"/>
        <v/>
      </c>
      <c r="CI12" s="1" t="str">
        <f t="shared" si="3"/>
        <v/>
      </c>
      <c r="CJ12" s="1" t="str">
        <f t="shared" si="4"/>
        <v/>
      </c>
      <c r="CK12" s="1" t="str">
        <f t="shared" si="5"/>
        <v/>
      </c>
      <c r="CL12" s="1" t="str">
        <f t="shared" si="6"/>
        <v/>
      </c>
      <c r="CM12" s="1" t="str">
        <f t="shared" si="7"/>
        <v/>
      </c>
      <c r="CN12" s="1" t="str">
        <f t="shared" si="8"/>
        <v/>
      </c>
      <c r="CO12" s="1" t="str">
        <f t="shared" si="9"/>
        <v/>
      </c>
      <c r="CP12" s="1" t="str">
        <f t="shared" si="10"/>
        <v/>
      </c>
      <c r="CQ12" s="1" t="str">
        <f t="shared" si="11"/>
        <v/>
      </c>
      <c r="CR12" s="1" t="str">
        <f t="shared" si="12"/>
        <v/>
      </c>
      <c r="CS12" s="18">
        <f t="shared" si="13"/>
        <v>20</v>
      </c>
    </row>
    <row r="13" spans="1:97" x14ac:dyDescent="0.15">
      <c r="A13" s="1">
        <v>72</v>
      </c>
      <c r="B13" s="3" t="s">
        <v>101</v>
      </c>
      <c r="C13" s="1" t="s">
        <v>62</v>
      </c>
      <c r="D13" s="1" t="s">
        <v>13</v>
      </c>
      <c r="E13" s="6"/>
      <c r="F13" s="6"/>
      <c r="G13" s="6"/>
      <c r="H13" s="6"/>
      <c r="I13" s="6"/>
      <c r="J13" s="6"/>
      <c r="K13" s="6"/>
      <c r="L13" s="6">
        <v>6</v>
      </c>
      <c r="M13" s="6">
        <v>6</v>
      </c>
      <c r="N13" s="6"/>
      <c r="O13" s="6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>
        <v>10</v>
      </c>
      <c r="AW13" s="2"/>
      <c r="AX13" s="2"/>
      <c r="AY13" s="2"/>
      <c r="AZ13" s="2"/>
      <c r="BA13" s="2">
        <v>10</v>
      </c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 t="shared" si="0"/>
        <v>32</v>
      </c>
      <c r="BQ13" s="1">
        <v>0</v>
      </c>
      <c r="BR13" s="17">
        <v>0</v>
      </c>
      <c r="BS13" s="17"/>
      <c r="BT13" s="1" t="str">
        <f>IF(AQ13&gt;AQ$159, AQ13-AQ$159,"")</f>
        <v/>
      </c>
      <c r="BU13" s="1" t="str">
        <f>IF(AR13&gt;AR$159, AR13-AR$159,"")</f>
        <v/>
      </c>
      <c r="BV13" s="1" t="str">
        <f>IF(AS13&gt;AS$159, AS13-AS$159,"")</f>
        <v/>
      </c>
      <c r="BW13" s="1" t="str">
        <f>IF(AT13&gt;AT$159, AT13-AT$159,"")</f>
        <v/>
      </c>
      <c r="BX13" s="1" t="str">
        <f>IF(AU13&gt;AU$159, AU13-AU$159,"")</f>
        <v/>
      </c>
      <c r="BY13" s="1" t="str">
        <f>IF(AV13&gt;AV$159, AV13-AV$159,"")</f>
        <v/>
      </c>
      <c r="BZ13" s="1" t="str">
        <f>IF(AW13&gt;AW$159, AW13-AW$159,"")</f>
        <v/>
      </c>
      <c r="CA13" s="1" t="str">
        <f>IF(AX13&gt;AX$159, AX13-AX$159,"")</f>
        <v/>
      </c>
      <c r="CB13" s="1" t="str">
        <f>IF(AY13&gt;AY$159, AY13-AY$159,"")</f>
        <v/>
      </c>
      <c r="CC13" s="1" t="str">
        <f>IF(AZ13&gt;AZ$159, AZ13-AZ$159,"")</f>
        <v/>
      </c>
      <c r="CD13" s="1" t="str">
        <f>IF(BA13&gt;BA$159, BA13-BA$159,"")</f>
        <v/>
      </c>
      <c r="CE13" s="1" t="str">
        <f>IF(BB13&gt;BB$159, BB13-BB$159,"")</f>
        <v/>
      </c>
      <c r="CF13" s="1">
        <f t="shared" si="14"/>
        <v>0</v>
      </c>
      <c r="CG13" s="1" t="str">
        <f t="shared" si="1"/>
        <v/>
      </c>
      <c r="CH13" s="1" t="str">
        <f t="shared" si="2"/>
        <v/>
      </c>
      <c r="CI13" s="1" t="str">
        <f t="shared" si="3"/>
        <v/>
      </c>
      <c r="CJ13" s="1" t="str">
        <f t="shared" si="4"/>
        <v/>
      </c>
      <c r="CK13" s="1" t="str">
        <f t="shared" si="5"/>
        <v/>
      </c>
      <c r="CL13" s="1" t="str">
        <f t="shared" si="6"/>
        <v/>
      </c>
      <c r="CM13" s="1" t="str">
        <f t="shared" si="7"/>
        <v/>
      </c>
      <c r="CN13" s="1" t="str">
        <f t="shared" si="8"/>
        <v/>
      </c>
      <c r="CO13" s="1" t="str">
        <f t="shared" si="9"/>
        <v/>
      </c>
      <c r="CP13" s="1" t="str">
        <f t="shared" si="10"/>
        <v/>
      </c>
      <c r="CQ13" s="1" t="str">
        <f t="shared" si="11"/>
        <v/>
      </c>
      <c r="CR13" s="1" t="str">
        <f t="shared" si="12"/>
        <v/>
      </c>
      <c r="CS13" s="18">
        <f t="shared" si="13"/>
        <v>20</v>
      </c>
    </row>
    <row r="14" spans="1:97" x14ac:dyDescent="0.15">
      <c r="A14" s="1">
        <v>5</v>
      </c>
      <c r="B14" s="1" t="s">
        <v>22</v>
      </c>
      <c r="C14" s="1" t="s">
        <v>2</v>
      </c>
      <c r="D14" s="1" t="s">
        <v>12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>
        <v>10</v>
      </c>
      <c r="AS14" s="4"/>
      <c r="AT14" s="4"/>
      <c r="AU14" s="4"/>
      <c r="AV14" s="4"/>
      <c r="AW14" s="2"/>
      <c r="AX14" s="2"/>
      <c r="AY14" s="2"/>
      <c r="AZ14" s="2"/>
      <c r="BA14" s="2"/>
      <c r="BB14" s="2">
        <v>10</v>
      </c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 t="shared" si="0"/>
        <v>20</v>
      </c>
      <c r="BQ14" s="1">
        <v>0</v>
      </c>
      <c r="BR14" s="17">
        <v>0</v>
      </c>
      <c r="BS14" s="17"/>
      <c r="BT14" s="1" t="str">
        <f>IF(AQ14&gt;AQ$159, AQ14-AQ$159,"")</f>
        <v/>
      </c>
      <c r="BU14" s="1" t="str">
        <f>IF(AR14&gt;AR$159, AR14-AR$159,"")</f>
        <v/>
      </c>
      <c r="BV14" s="1" t="str">
        <f>IF(AS14&gt;AS$159, AS14-AS$159,"")</f>
        <v/>
      </c>
      <c r="BW14" s="1" t="str">
        <f>IF(AT14&gt;AT$159, AT14-AT$159,"")</f>
        <v/>
      </c>
      <c r="BX14" s="1" t="str">
        <f>IF(AU14&gt;AU$159, AU14-AU$159,"")</f>
        <v/>
      </c>
      <c r="BY14" s="1" t="str">
        <f>IF(AV14&gt;AV$159, AV14-AV$159,"")</f>
        <v/>
      </c>
      <c r="BZ14" s="1" t="str">
        <f>IF(AW14&gt;AW$159, AW14-AW$159,"")</f>
        <v/>
      </c>
      <c r="CA14" s="1" t="str">
        <f>IF(AX14&gt;AX$159, AX14-AX$159,"")</f>
        <v/>
      </c>
      <c r="CB14" s="1" t="str">
        <f>IF(AY14&gt;AY$159, AY14-AY$159,"")</f>
        <v/>
      </c>
      <c r="CC14" s="1" t="str">
        <f>IF(AZ14&gt;AZ$159, AZ14-AZ$159,"")</f>
        <v/>
      </c>
      <c r="CD14" s="1" t="str">
        <f>IF(BA14&gt;BA$159, BA14-BA$159,"")</f>
        <v/>
      </c>
      <c r="CE14" s="1" t="str">
        <f>IF(BB14&gt;BB$159, BB14-BB$159,"")</f>
        <v/>
      </c>
      <c r="CF14" s="1">
        <f t="shared" si="14"/>
        <v>0</v>
      </c>
      <c r="CG14" s="1" t="str">
        <f t="shared" si="1"/>
        <v/>
      </c>
      <c r="CH14" s="1" t="str">
        <f t="shared" si="2"/>
        <v/>
      </c>
      <c r="CI14" s="1" t="str">
        <f t="shared" si="3"/>
        <v/>
      </c>
      <c r="CJ14" s="1" t="str">
        <f t="shared" si="4"/>
        <v/>
      </c>
      <c r="CK14" s="1" t="str">
        <f t="shared" si="5"/>
        <v/>
      </c>
      <c r="CL14" s="1" t="str">
        <f t="shared" si="6"/>
        <v/>
      </c>
      <c r="CM14" s="1" t="str">
        <f t="shared" si="7"/>
        <v/>
      </c>
      <c r="CN14" s="1" t="str">
        <f t="shared" si="8"/>
        <v/>
      </c>
      <c r="CO14" s="1" t="str">
        <f t="shared" si="9"/>
        <v/>
      </c>
      <c r="CP14" s="1" t="str">
        <f t="shared" si="10"/>
        <v/>
      </c>
      <c r="CQ14" s="1" t="str">
        <f t="shared" si="11"/>
        <v/>
      </c>
      <c r="CR14" s="1" t="str">
        <f t="shared" si="12"/>
        <v/>
      </c>
      <c r="CS14" s="18">
        <f t="shared" si="13"/>
        <v>20</v>
      </c>
    </row>
    <row r="15" spans="1:97" x14ac:dyDescent="0.15">
      <c r="A15" s="1">
        <v>6</v>
      </c>
      <c r="B15" s="1" t="s">
        <v>55</v>
      </c>
      <c r="C15" s="1" t="s">
        <v>2</v>
      </c>
      <c r="D15" s="1" t="s">
        <v>23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>
        <v>10</v>
      </c>
      <c r="AS15" s="4"/>
      <c r="AT15" s="4"/>
      <c r="AU15" s="4"/>
      <c r="AV15" s="4"/>
      <c r="AW15" s="2"/>
      <c r="AX15" s="2"/>
      <c r="AY15" s="2"/>
      <c r="AZ15" s="2"/>
      <c r="BA15" s="2"/>
      <c r="BB15" s="2">
        <v>10</v>
      </c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 t="shared" si="0"/>
        <v>20</v>
      </c>
      <c r="BQ15" s="1">
        <v>0</v>
      </c>
      <c r="BR15" s="17">
        <v>0</v>
      </c>
      <c r="BS15" s="17"/>
      <c r="BT15" s="1" t="str">
        <f>IF(AQ15&gt;AQ$159, AQ15-AQ$159,"")</f>
        <v/>
      </c>
      <c r="BU15" s="1" t="str">
        <f>IF(AR15&gt;AR$159, AR15-AR$159,"")</f>
        <v/>
      </c>
      <c r="BV15" s="1" t="str">
        <f>IF(AS15&gt;AS$159, AS15-AS$159,"")</f>
        <v/>
      </c>
      <c r="BW15" s="1" t="str">
        <f>IF(AT15&gt;AT$159, AT15-AT$159,"")</f>
        <v/>
      </c>
      <c r="BX15" s="1" t="str">
        <f>IF(AU15&gt;AU$159, AU15-AU$159,"")</f>
        <v/>
      </c>
      <c r="BY15" s="1" t="str">
        <f>IF(AV15&gt;AV$159, AV15-AV$159,"")</f>
        <v/>
      </c>
      <c r="BZ15" s="1" t="str">
        <f>IF(AW15&gt;AW$159, AW15-AW$159,"")</f>
        <v/>
      </c>
      <c r="CA15" s="1" t="str">
        <f>IF(AX15&gt;AX$159, AX15-AX$159,"")</f>
        <v/>
      </c>
      <c r="CB15" s="1" t="str">
        <f>IF(AY15&gt;AY$159, AY15-AY$159,"")</f>
        <v/>
      </c>
      <c r="CC15" s="1" t="str">
        <f>IF(AZ15&gt;AZ$159, AZ15-AZ$159,"")</f>
        <v/>
      </c>
      <c r="CD15" s="1" t="str">
        <f>IF(BA15&gt;BA$159, BA15-BA$159,"")</f>
        <v/>
      </c>
      <c r="CE15" s="1" t="str">
        <f>IF(BB15&gt;BB$159, BB15-BB$159,"")</f>
        <v/>
      </c>
      <c r="CF15" s="1">
        <f t="shared" si="14"/>
        <v>0</v>
      </c>
      <c r="CG15" s="1" t="str">
        <f t="shared" si="1"/>
        <v/>
      </c>
      <c r="CH15" s="1" t="str">
        <f t="shared" si="2"/>
        <v/>
      </c>
      <c r="CI15" s="1" t="str">
        <f t="shared" si="3"/>
        <v/>
      </c>
      <c r="CJ15" s="1" t="str">
        <f t="shared" si="4"/>
        <v/>
      </c>
      <c r="CK15" s="1" t="str">
        <f t="shared" si="5"/>
        <v/>
      </c>
      <c r="CL15" s="1" t="str">
        <f t="shared" si="6"/>
        <v/>
      </c>
      <c r="CM15" s="1" t="str">
        <f t="shared" si="7"/>
        <v/>
      </c>
      <c r="CN15" s="1" t="str">
        <f t="shared" si="8"/>
        <v/>
      </c>
      <c r="CO15" s="1" t="str">
        <f t="shared" si="9"/>
        <v/>
      </c>
      <c r="CP15" s="1" t="str">
        <f t="shared" si="10"/>
        <v/>
      </c>
      <c r="CQ15" s="1" t="str">
        <f t="shared" si="11"/>
        <v/>
      </c>
      <c r="CR15" s="1" t="str">
        <f t="shared" si="12"/>
        <v/>
      </c>
      <c r="CS15" s="18">
        <f t="shared" si="13"/>
        <v>20</v>
      </c>
    </row>
    <row r="16" spans="1:97" x14ac:dyDescent="0.15">
      <c r="A16" s="1">
        <v>94</v>
      </c>
      <c r="B16" s="3" t="s">
        <v>93</v>
      </c>
      <c r="C16" s="3" t="s">
        <v>77</v>
      </c>
      <c r="D16" s="1" t="s">
        <v>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>
        <v>10</v>
      </c>
      <c r="BB16" s="2">
        <v>10</v>
      </c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 t="shared" si="0"/>
        <v>20</v>
      </c>
      <c r="BQ16" s="1">
        <v>0</v>
      </c>
      <c r="BR16" s="17">
        <v>0</v>
      </c>
      <c r="BS16" s="17"/>
      <c r="BT16" s="1" t="str">
        <f>IF(AQ16&gt;AQ$159, AQ16-AQ$159,"")</f>
        <v/>
      </c>
      <c r="BU16" s="1" t="str">
        <f>IF(AR16&gt;AR$159, AR16-AR$159,"")</f>
        <v/>
      </c>
      <c r="BV16" s="1" t="str">
        <f>IF(AS16&gt;AS$159, AS16-AS$159,"")</f>
        <v/>
      </c>
      <c r="BW16" s="1" t="str">
        <f>IF(AT16&gt;AT$159, AT16-AT$159,"")</f>
        <v/>
      </c>
      <c r="BX16" s="1" t="str">
        <f>IF(AU16&gt;AU$159, AU16-AU$159,"")</f>
        <v/>
      </c>
      <c r="BY16" s="1" t="str">
        <f>IF(AV16&gt;AV$159, AV16-AV$159,"")</f>
        <v/>
      </c>
      <c r="BZ16" s="1" t="str">
        <f>IF(AW16&gt;AW$159, AW16-AW$159,"")</f>
        <v/>
      </c>
      <c r="CA16" s="1" t="str">
        <f>IF(AX16&gt;AX$159, AX16-AX$159,"")</f>
        <v/>
      </c>
      <c r="CB16" s="1" t="str">
        <f>IF(AY16&gt;AY$159, AY16-AY$159,"")</f>
        <v/>
      </c>
      <c r="CC16" s="1" t="str">
        <f>IF(AZ16&gt;AZ$159, AZ16-AZ$159,"")</f>
        <v/>
      </c>
      <c r="CD16" s="1" t="str">
        <f>IF(BA16&gt;BA$159, BA16-BA$159,"")</f>
        <v/>
      </c>
      <c r="CE16" s="1" t="str">
        <f>IF(BB16&gt;BB$159, BB16-BB$159,"")</f>
        <v/>
      </c>
      <c r="CF16" s="1">
        <f t="shared" si="14"/>
        <v>0</v>
      </c>
      <c r="CG16" s="1" t="str">
        <f t="shared" si="1"/>
        <v/>
      </c>
      <c r="CH16" s="1" t="str">
        <f t="shared" si="2"/>
        <v/>
      </c>
      <c r="CI16" s="1" t="str">
        <f t="shared" si="3"/>
        <v/>
      </c>
      <c r="CJ16" s="1" t="str">
        <f t="shared" si="4"/>
        <v/>
      </c>
      <c r="CK16" s="1" t="str">
        <f t="shared" si="5"/>
        <v/>
      </c>
      <c r="CL16" s="1" t="str">
        <f t="shared" si="6"/>
        <v/>
      </c>
      <c r="CM16" s="1" t="str">
        <f t="shared" si="7"/>
        <v/>
      </c>
      <c r="CN16" s="1" t="str">
        <f t="shared" si="8"/>
        <v/>
      </c>
      <c r="CO16" s="1" t="str">
        <f t="shared" si="9"/>
        <v/>
      </c>
      <c r="CP16" s="1" t="str">
        <f t="shared" si="10"/>
        <v/>
      </c>
      <c r="CQ16" s="1" t="str">
        <f t="shared" si="11"/>
        <v/>
      </c>
      <c r="CR16" s="1" t="str">
        <f t="shared" si="12"/>
        <v/>
      </c>
      <c r="CS16" s="18">
        <f t="shared" si="13"/>
        <v>20</v>
      </c>
    </row>
    <row r="17" spans="1:97" x14ac:dyDescent="0.15">
      <c r="A17" s="1">
        <v>96</v>
      </c>
      <c r="B17" s="3" t="s">
        <v>76</v>
      </c>
      <c r="C17" s="3" t="s">
        <v>77</v>
      </c>
      <c r="D17" s="1" t="s">
        <v>1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>
        <v>10</v>
      </c>
      <c r="BB17" s="2">
        <v>10</v>
      </c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 t="shared" si="0"/>
        <v>20</v>
      </c>
      <c r="BQ17" s="1">
        <v>0</v>
      </c>
      <c r="BR17" s="17">
        <v>0</v>
      </c>
      <c r="BS17" s="17"/>
      <c r="BT17" s="1" t="str">
        <f>IF(AQ17&gt;AQ$159, AQ17-AQ$159,"")</f>
        <v/>
      </c>
      <c r="BU17" s="1" t="str">
        <f>IF(AR17&gt;AR$159, AR17-AR$159,"")</f>
        <v/>
      </c>
      <c r="BV17" s="1" t="str">
        <f>IF(AS17&gt;AS$159, AS17-AS$159,"")</f>
        <v/>
      </c>
      <c r="BW17" s="1" t="str">
        <f>IF(AT17&gt;AT$159, AT17-AT$159,"")</f>
        <v/>
      </c>
      <c r="BX17" s="1" t="str">
        <f>IF(AU17&gt;AU$159, AU17-AU$159,"")</f>
        <v/>
      </c>
      <c r="BY17" s="1" t="str">
        <f>IF(AV17&gt;AV$159, AV17-AV$159,"")</f>
        <v/>
      </c>
      <c r="BZ17" s="1" t="str">
        <f>IF(AW17&gt;AW$159, AW17-AW$159,"")</f>
        <v/>
      </c>
      <c r="CA17" s="1" t="str">
        <f>IF(AX17&gt;AX$159, AX17-AX$159,"")</f>
        <v/>
      </c>
      <c r="CB17" s="1" t="str">
        <f>IF(AY17&gt;AY$159, AY17-AY$159,"")</f>
        <v/>
      </c>
      <c r="CC17" s="1" t="str">
        <f>IF(AZ17&gt;AZ$159, AZ17-AZ$159,"")</f>
        <v/>
      </c>
      <c r="CD17" s="1" t="str">
        <f>IF(BA17&gt;BA$159, BA17-BA$159,"")</f>
        <v/>
      </c>
      <c r="CE17" s="1" t="str">
        <f>IF(BB17&gt;BB$159, BB17-BB$159,"")</f>
        <v/>
      </c>
      <c r="CF17" s="1">
        <f t="shared" si="14"/>
        <v>0</v>
      </c>
      <c r="CG17" s="1" t="str">
        <f t="shared" si="1"/>
        <v/>
      </c>
      <c r="CH17" s="1" t="str">
        <f t="shared" si="2"/>
        <v/>
      </c>
      <c r="CI17" s="1" t="str">
        <f t="shared" si="3"/>
        <v/>
      </c>
      <c r="CJ17" s="1" t="str">
        <f t="shared" si="4"/>
        <v/>
      </c>
      <c r="CK17" s="1" t="str">
        <f t="shared" si="5"/>
        <v/>
      </c>
      <c r="CL17" s="1" t="str">
        <f t="shared" si="6"/>
        <v/>
      </c>
      <c r="CM17" s="1" t="str">
        <f t="shared" si="7"/>
        <v/>
      </c>
      <c r="CN17" s="1" t="str">
        <f t="shared" si="8"/>
        <v/>
      </c>
      <c r="CO17" s="1" t="str">
        <f t="shared" si="9"/>
        <v/>
      </c>
      <c r="CP17" s="1" t="str">
        <f t="shared" si="10"/>
        <v/>
      </c>
      <c r="CQ17" s="1" t="str">
        <f t="shared" si="11"/>
        <v/>
      </c>
      <c r="CR17" s="1" t="str">
        <f t="shared" si="12"/>
        <v/>
      </c>
      <c r="CS17" s="18">
        <f t="shared" si="13"/>
        <v>20</v>
      </c>
    </row>
    <row r="18" spans="1:97" x14ac:dyDescent="0.15">
      <c r="A18" s="1">
        <v>76</v>
      </c>
      <c r="B18" s="3" t="s">
        <v>113</v>
      </c>
      <c r="C18" s="3" t="s">
        <v>70</v>
      </c>
      <c r="D18" s="1" t="s">
        <v>1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>
        <v>10</v>
      </c>
      <c r="BI18" s="1"/>
      <c r="BJ18" s="1"/>
      <c r="BK18" s="1"/>
      <c r="BL18" s="1"/>
      <c r="BM18" s="1"/>
      <c r="BN18" s="1"/>
      <c r="BO18" s="1"/>
      <c r="BP18" s="1">
        <f t="shared" si="0"/>
        <v>10</v>
      </c>
      <c r="BQ18" s="1">
        <v>0</v>
      </c>
      <c r="BR18" s="17">
        <v>0</v>
      </c>
      <c r="BS18" s="17"/>
      <c r="BT18" s="1" t="str">
        <f>IF(AQ18&gt;AQ$159, AQ18-AQ$159,"")</f>
        <v/>
      </c>
      <c r="BU18" s="1" t="str">
        <f>IF(AR18&gt;AR$159, AR18-AR$159,"")</f>
        <v/>
      </c>
      <c r="BV18" s="1" t="str">
        <f>IF(AS18&gt;AS$159, AS18-AS$159,"")</f>
        <v/>
      </c>
      <c r="BW18" s="1" t="str">
        <f>IF(AT18&gt;AT$159, AT18-AT$159,"")</f>
        <v/>
      </c>
      <c r="BX18" s="1" t="str">
        <f>IF(AU18&gt;AU$159, AU18-AU$159,"")</f>
        <v/>
      </c>
      <c r="BY18" s="1" t="str">
        <f>IF(AV18&gt;AV$159, AV18-AV$159,"")</f>
        <v/>
      </c>
      <c r="BZ18" s="1" t="str">
        <f>IF(AW18&gt;AW$159, AW18-AW$159,"")</f>
        <v/>
      </c>
      <c r="CA18" s="1" t="str">
        <f>IF(AX18&gt;AX$159, AX18-AX$159,"")</f>
        <v/>
      </c>
      <c r="CB18" s="1" t="str">
        <f>IF(AY18&gt;AY$159, AY18-AY$159,"")</f>
        <v/>
      </c>
      <c r="CC18" s="1" t="str">
        <f>IF(AZ18&gt;AZ$159, AZ18-AZ$159,"")</f>
        <v/>
      </c>
      <c r="CD18" s="1" t="str">
        <f>IF(BA18&gt;BA$159, BA18-BA$159,"")</f>
        <v/>
      </c>
      <c r="CE18" s="1" t="str">
        <f>IF(BB18&gt;BB$159, BB18-BB$159,"")</f>
        <v/>
      </c>
      <c r="CF18" s="1">
        <f t="shared" si="14"/>
        <v>0</v>
      </c>
      <c r="CG18" s="1" t="str">
        <f t="shared" si="1"/>
        <v/>
      </c>
      <c r="CH18" s="1" t="str">
        <f t="shared" si="2"/>
        <v/>
      </c>
      <c r="CI18" s="1" t="str">
        <f t="shared" si="3"/>
        <v/>
      </c>
      <c r="CJ18" s="1" t="str">
        <f t="shared" si="4"/>
        <v/>
      </c>
      <c r="CK18" s="1" t="str">
        <f t="shared" si="5"/>
        <v/>
      </c>
      <c r="CL18" s="1" t="str">
        <f t="shared" si="6"/>
        <v/>
      </c>
      <c r="CM18" s="1" t="str">
        <f t="shared" si="7"/>
        <v/>
      </c>
      <c r="CN18" s="1" t="str">
        <f t="shared" si="8"/>
        <v/>
      </c>
      <c r="CO18" s="1" t="str">
        <f t="shared" si="9"/>
        <v/>
      </c>
      <c r="CP18" s="1" t="str">
        <f t="shared" si="10"/>
        <v/>
      </c>
      <c r="CQ18" s="1" t="str">
        <f t="shared" si="11"/>
        <v/>
      </c>
      <c r="CR18" s="1" t="str">
        <f t="shared" si="12"/>
        <v/>
      </c>
      <c r="CS18" s="18">
        <f t="shared" si="13"/>
        <v>10</v>
      </c>
    </row>
    <row r="19" spans="1:97" x14ac:dyDescent="0.15">
      <c r="A19" s="1"/>
      <c r="B19" s="1" t="s">
        <v>122</v>
      </c>
      <c r="C19" s="1" t="s">
        <v>123</v>
      </c>
      <c r="D19" s="1" t="s">
        <v>121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>
        <v>20</v>
      </c>
      <c r="BE19" s="1">
        <v>20</v>
      </c>
      <c r="BF19" s="1">
        <v>20</v>
      </c>
      <c r="BG19" s="1">
        <v>20</v>
      </c>
      <c r="BH19" s="1"/>
      <c r="BI19" s="1"/>
      <c r="BJ19" s="1"/>
      <c r="BK19" s="1"/>
      <c r="BL19" s="1"/>
      <c r="BM19" s="1"/>
      <c r="BN19" s="1"/>
      <c r="BO19" s="1"/>
      <c r="BP19" s="1"/>
      <c r="BQ19" s="1">
        <v>0</v>
      </c>
      <c r="BR19" s="17">
        <v>0</v>
      </c>
      <c r="BS19" s="17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8"/>
    </row>
    <row r="20" spans="1:97" x14ac:dyDescent="0.15">
      <c r="A20" s="1"/>
      <c r="B20" s="1" t="s">
        <v>133</v>
      </c>
      <c r="C20" s="1" t="s">
        <v>134</v>
      </c>
      <c r="D20" s="1" t="s">
        <v>121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>
        <v>20</v>
      </c>
      <c r="BG20" s="1">
        <v>20</v>
      </c>
      <c r="BH20" s="1">
        <v>20</v>
      </c>
      <c r="BI20" s="1">
        <v>20</v>
      </c>
      <c r="BJ20" s="1"/>
      <c r="BK20" s="1"/>
      <c r="BL20" s="1"/>
      <c r="BM20" s="1"/>
      <c r="BN20" s="1"/>
      <c r="BO20" s="1"/>
      <c r="BP20" s="1"/>
      <c r="BQ20" s="1">
        <v>0</v>
      </c>
      <c r="BR20" s="17">
        <v>0</v>
      </c>
      <c r="BS20" s="17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8"/>
    </row>
    <row r="21" spans="1:97" x14ac:dyDescent="0.15">
      <c r="A21" s="1"/>
      <c r="B21" s="1" t="s">
        <v>136</v>
      </c>
      <c r="C21" s="1" t="s">
        <v>134</v>
      </c>
      <c r="D21" s="1" t="s">
        <v>120</v>
      </c>
      <c r="E21" s="6"/>
      <c r="F21" s="6"/>
      <c r="G21" s="6"/>
      <c r="H21" s="6"/>
      <c r="I21" s="6"/>
      <c r="J21" s="6"/>
      <c r="K21" s="6"/>
      <c r="L21" s="6"/>
      <c r="M21" s="6"/>
      <c r="N21" s="6">
        <v>5</v>
      </c>
      <c r="O21" s="6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v>0</v>
      </c>
      <c r="BR21" s="17">
        <v>0</v>
      </c>
      <c r="BS21" s="17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8"/>
    </row>
    <row r="22" spans="1:97" x14ac:dyDescent="0.15">
      <c r="A22" s="1"/>
      <c r="B22" s="1" t="s">
        <v>139</v>
      </c>
      <c r="C22" s="1" t="s">
        <v>119</v>
      </c>
      <c r="D22" s="1" t="s">
        <v>121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>
        <v>20</v>
      </c>
      <c r="BE22" s="1">
        <v>20</v>
      </c>
      <c r="BF22" s="1">
        <v>20</v>
      </c>
      <c r="BG22" s="1">
        <v>20</v>
      </c>
      <c r="BH22" s="1"/>
      <c r="BI22" s="1"/>
      <c r="BJ22" s="1"/>
      <c r="BK22" s="1"/>
      <c r="BL22" s="1"/>
      <c r="BM22" s="1"/>
      <c r="BN22" s="1"/>
      <c r="BO22" s="1"/>
      <c r="BP22" s="1"/>
      <c r="BQ22" s="1">
        <v>0</v>
      </c>
      <c r="BR22" s="17">
        <v>0</v>
      </c>
      <c r="BS22" s="17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8"/>
    </row>
    <row r="23" spans="1:97" x14ac:dyDescent="0.15">
      <c r="A23" s="1"/>
      <c r="B23" s="1" t="s">
        <v>141</v>
      </c>
      <c r="C23" s="1" t="s">
        <v>119</v>
      </c>
      <c r="D23" s="1" t="s">
        <v>120</v>
      </c>
      <c r="E23" s="6"/>
      <c r="F23" s="6"/>
      <c r="G23" s="6"/>
      <c r="H23" s="6"/>
      <c r="I23" s="6"/>
      <c r="J23" s="6"/>
      <c r="K23" s="6">
        <v>5</v>
      </c>
      <c r="L23" s="6"/>
      <c r="M23" s="6"/>
      <c r="N23" s="6"/>
      <c r="O23" s="6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v>0</v>
      </c>
      <c r="BR23" s="17">
        <v>0</v>
      </c>
      <c r="BS23" s="17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8"/>
    </row>
    <row r="24" spans="1:97" s="25" customFormat="1" x14ac:dyDescent="0.15">
      <c r="A24" s="1"/>
      <c r="B24" s="1" t="s">
        <v>142</v>
      </c>
      <c r="C24" s="1" t="s">
        <v>143</v>
      </c>
      <c r="D24" s="1" t="s">
        <v>120</v>
      </c>
      <c r="E24" s="6"/>
      <c r="F24" s="6"/>
      <c r="G24" s="6">
        <v>2</v>
      </c>
      <c r="H24" s="6"/>
      <c r="I24" s="6"/>
      <c r="J24" s="6"/>
      <c r="K24" s="6"/>
      <c r="L24" s="6"/>
      <c r="M24" s="6"/>
      <c r="N24" s="6"/>
      <c r="O24" s="6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v>0</v>
      </c>
      <c r="BR24" s="17">
        <v>0</v>
      </c>
      <c r="BS24" s="17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8"/>
    </row>
    <row r="25" spans="1:97" x14ac:dyDescent="0.15">
      <c r="A25" s="1"/>
      <c r="B25" s="1" t="s">
        <v>144</v>
      </c>
      <c r="C25" s="1" t="s">
        <v>143</v>
      </c>
      <c r="D25" s="1" t="s">
        <v>120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v>0</v>
      </c>
      <c r="BR25" s="17">
        <v>0</v>
      </c>
      <c r="BS25" s="17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8"/>
    </row>
    <row r="26" spans="1:97" x14ac:dyDescent="0.15">
      <c r="A26" s="1"/>
      <c r="B26" s="1" t="s">
        <v>148</v>
      </c>
      <c r="C26" s="1" t="s">
        <v>146</v>
      </c>
      <c r="D26" s="1" t="s">
        <v>120</v>
      </c>
      <c r="E26" s="6"/>
      <c r="F26" s="6"/>
      <c r="G26" s="6"/>
      <c r="H26" s="6"/>
      <c r="I26" s="6"/>
      <c r="J26" s="6">
        <v>5</v>
      </c>
      <c r="K26" s="6"/>
      <c r="L26" s="6"/>
      <c r="M26" s="6"/>
      <c r="N26" s="6"/>
      <c r="O26" s="6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v>0</v>
      </c>
      <c r="BR26" s="17">
        <v>0</v>
      </c>
      <c r="BS26" s="17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8"/>
    </row>
    <row r="27" spans="1:97" x14ac:dyDescent="0.15">
      <c r="A27" s="1"/>
      <c r="B27" s="1" t="s">
        <v>150</v>
      </c>
      <c r="C27" s="1" t="s">
        <v>146</v>
      </c>
      <c r="D27" s="1" t="s">
        <v>120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>
        <v>5</v>
      </c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v>0</v>
      </c>
      <c r="BR27" s="17">
        <v>0</v>
      </c>
      <c r="BS27" s="17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8"/>
    </row>
    <row r="28" spans="1:97" x14ac:dyDescent="0.15">
      <c r="A28" s="1"/>
      <c r="B28" s="1" t="s">
        <v>151</v>
      </c>
      <c r="C28" s="1" t="s">
        <v>146</v>
      </c>
      <c r="D28" s="1" t="s">
        <v>120</v>
      </c>
      <c r="E28" s="6"/>
      <c r="F28" s="6"/>
      <c r="G28" s="6"/>
      <c r="H28" s="6"/>
      <c r="I28" s="6"/>
      <c r="J28" s="6"/>
      <c r="K28" s="6">
        <v>5</v>
      </c>
      <c r="L28" s="6"/>
      <c r="M28" s="6"/>
      <c r="N28" s="6"/>
      <c r="O28" s="6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v>0</v>
      </c>
      <c r="BR28" s="17">
        <v>0</v>
      </c>
      <c r="BS28" s="17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8"/>
    </row>
    <row r="29" spans="1:97" x14ac:dyDescent="0.15">
      <c r="A29" s="1"/>
      <c r="B29" s="1" t="s">
        <v>153</v>
      </c>
      <c r="C29" s="1" t="s">
        <v>146</v>
      </c>
      <c r="D29" s="1" t="s">
        <v>120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>
        <v>10</v>
      </c>
      <c r="BB29" s="2">
        <v>10</v>
      </c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v>0</v>
      </c>
      <c r="BR29" s="17">
        <v>0</v>
      </c>
      <c r="BS29" s="17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8"/>
    </row>
    <row r="30" spans="1:97" x14ac:dyDescent="0.15">
      <c r="A30" s="1"/>
      <c r="B30" s="1" t="s">
        <v>188</v>
      </c>
      <c r="C30" s="1" t="s">
        <v>187</v>
      </c>
      <c r="D30" s="1" t="s">
        <v>159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>
        <v>10</v>
      </c>
      <c r="BB30" s="2">
        <v>10</v>
      </c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v>0</v>
      </c>
      <c r="BR30" s="17">
        <v>0</v>
      </c>
      <c r="BS30" s="17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8"/>
    </row>
    <row r="31" spans="1:97" x14ac:dyDescent="0.15">
      <c r="A31" s="1"/>
      <c r="B31" s="1" t="s">
        <v>189</v>
      </c>
      <c r="C31" s="1" t="s">
        <v>190</v>
      </c>
      <c r="D31" s="1" t="s">
        <v>159</v>
      </c>
      <c r="E31" s="6"/>
      <c r="F31" s="6"/>
      <c r="G31" s="6"/>
      <c r="H31" s="6"/>
      <c r="I31" s="6"/>
      <c r="J31" s="6">
        <v>5</v>
      </c>
      <c r="K31" s="6"/>
      <c r="L31" s="6"/>
      <c r="M31" s="6"/>
      <c r="N31" s="6"/>
      <c r="O31" s="6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v>0</v>
      </c>
      <c r="BR31" s="17">
        <v>0</v>
      </c>
      <c r="BS31" s="17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8"/>
    </row>
    <row r="32" spans="1:97" x14ac:dyDescent="0.15">
      <c r="A32" s="1"/>
      <c r="B32" s="1" t="s">
        <v>191</v>
      </c>
      <c r="C32" s="1" t="s">
        <v>192</v>
      </c>
      <c r="D32" s="1" t="s">
        <v>160</v>
      </c>
      <c r="E32" s="6"/>
      <c r="F32" s="6"/>
      <c r="G32" s="6"/>
      <c r="H32" s="6"/>
      <c r="I32" s="6"/>
      <c r="J32" s="6"/>
      <c r="K32" s="6"/>
      <c r="L32" s="6">
        <v>6</v>
      </c>
      <c r="M32" s="6"/>
      <c r="N32" s="6"/>
      <c r="O32" s="6">
        <v>6</v>
      </c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>
        <v>10</v>
      </c>
      <c r="BB32" s="2">
        <v>10</v>
      </c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v>0</v>
      </c>
      <c r="BR32" s="17">
        <v>0</v>
      </c>
      <c r="BS32" s="17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8"/>
    </row>
    <row r="33" spans="1:97" x14ac:dyDescent="0.15">
      <c r="A33" s="1"/>
      <c r="B33" s="1" t="s">
        <v>198</v>
      </c>
      <c r="C33" s="1" t="s">
        <v>192</v>
      </c>
      <c r="D33" s="1" t="s">
        <v>159</v>
      </c>
      <c r="E33" s="6"/>
      <c r="F33" s="6"/>
      <c r="G33" s="6"/>
      <c r="H33" s="6"/>
      <c r="I33" s="6"/>
      <c r="J33" s="6"/>
      <c r="K33" s="6">
        <v>5</v>
      </c>
      <c r="L33" s="6"/>
      <c r="M33" s="6"/>
      <c r="N33" s="6"/>
      <c r="O33" s="6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v>0</v>
      </c>
      <c r="BR33" s="17">
        <v>0</v>
      </c>
      <c r="BS33" s="17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8"/>
    </row>
    <row r="34" spans="1:97" s="25" customFormat="1" x14ac:dyDescent="0.15">
      <c r="A34" s="1"/>
      <c r="B34" s="1" t="s">
        <v>175</v>
      </c>
      <c r="C34" s="1" t="s">
        <v>176</v>
      </c>
      <c r="D34" s="1" t="s">
        <v>158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32">
        <v>10</v>
      </c>
      <c r="Q34" s="32"/>
      <c r="R34" s="32"/>
      <c r="S34" s="32">
        <v>10</v>
      </c>
      <c r="T34" s="32"/>
      <c r="U34" s="32"/>
      <c r="V34" s="32">
        <v>10</v>
      </c>
      <c r="W34" s="32"/>
      <c r="X34" s="32"/>
      <c r="Y34" s="32">
        <v>10</v>
      </c>
      <c r="Z34" s="32"/>
      <c r="AA34" s="32"/>
      <c r="AB34" s="32"/>
      <c r="AC34" s="32"/>
      <c r="AD34" s="32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v>0</v>
      </c>
      <c r="BR34" s="17">
        <v>0</v>
      </c>
      <c r="BS34" s="17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8"/>
    </row>
    <row r="35" spans="1:97" x14ac:dyDescent="0.15">
      <c r="A35" s="1"/>
      <c r="B35" s="1" t="s">
        <v>183</v>
      </c>
      <c r="C35" s="1" t="s">
        <v>181</v>
      </c>
      <c r="D35" s="1" t="s">
        <v>158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32">
        <v>10</v>
      </c>
      <c r="Q35" s="32"/>
      <c r="R35" s="32"/>
      <c r="S35" s="32">
        <v>10</v>
      </c>
      <c r="T35" s="32"/>
      <c r="U35" s="32"/>
      <c r="V35" s="32">
        <v>10</v>
      </c>
      <c r="W35" s="32"/>
      <c r="X35" s="32"/>
      <c r="Y35" s="32">
        <v>10</v>
      </c>
      <c r="Z35" s="32"/>
      <c r="AA35" s="32"/>
      <c r="AB35" s="32"/>
      <c r="AC35" s="32"/>
      <c r="AD35" s="32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v>0</v>
      </c>
      <c r="BR35" s="17">
        <v>0</v>
      </c>
      <c r="BS35" s="17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8"/>
    </row>
    <row r="36" spans="1:97" x14ac:dyDescent="0.15">
      <c r="A36" s="1"/>
      <c r="B36" s="1" t="s">
        <v>185</v>
      </c>
      <c r="C36" s="1" t="s">
        <v>187</v>
      </c>
      <c r="D36" s="1" t="s">
        <v>158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32">
        <v>10</v>
      </c>
      <c r="Q36" s="32"/>
      <c r="R36" s="32"/>
      <c r="S36" s="32">
        <v>10</v>
      </c>
      <c r="T36" s="32"/>
      <c r="U36" s="32"/>
      <c r="V36" s="32">
        <v>10</v>
      </c>
      <c r="W36" s="32"/>
      <c r="X36" s="32"/>
      <c r="Y36" s="32">
        <v>10</v>
      </c>
      <c r="Z36" s="32"/>
      <c r="AA36" s="32"/>
      <c r="AB36" s="32"/>
      <c r="AC36" s="32"/>
      <c r="AD36" s="32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v>0</v>
      </c>
      <c r="BR36" s="17">
        <v>0</v>
      </c>
      <c r="BS36" s="17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8"/>
    </row>
    <row r="37" spans="1:97" x14ac:dyDescent="0.15">
      <c r="A37" s="1"/>
      <c r="B37" s="1" t="s">
        <v>194</v>
      </c>
      <c r="C37" s="1" t="s">
        <v>192</v>
      </c>
      <c r="D37" s="1" t="s">
        <v>158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32">
        <v>10</v>
      </c>
      <c r="Q37" s="32"/>
      <c r="R37" s="32"/>
      <c r="S37" s="32">
        <v>10</v>
      </c>
      <c r="T37" s="32"/>
      <c r="U37" s="32"/>
      <c r="V37" s="32">
        <v>10</v>
      </c>
      <c r="W37" s="32"/>
      <c r="X37" s="32"/>
      <c r="Y37" s="32">
        <v>10</v>
      </c>
      <c r="Z37" s="32"/>
      <c r="AA37" s="32"/>
      <c r="AB37" s="32"/>
      <c r="AC37" s="32"/>
      <c r="AD37" s="32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v>0</v>
      </c>
      <c r="BR37" s="17">
        <v>0</v>
      </c>
      <c r="BS37" s="17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8"/>
    </row>
    <row r="38" spans="1:97" x14ac:dyDescent="0.15">
      <c r="A38" s="1"/>
      <c r="B38" s="1" t="s">
        <v>197</v>
      </c>
      <c r="C38" s="1" t="s">
        <v>192</v>
      </c>
      <c r="D38" s="1" t="s">
        <v>158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32">
        <v>10</v>
      </c>
      <c r="Q38" s="32"/>
      <c r="R38" s="32"/>
      <c r="S38" s="32">
        <v>10</v>
      </c>
      <c r="T38" s="32"/>
      <c r="U38" s="32"/>
      <c r="V38" s="32">
        <v>10</v>
      </c>
      <c r="W38" s="32"/>
      <c r="X38" s="32"/>
      <c r="Y38" s="32">
        <v>10</v>
      </c>
      <c r="Z38" s="32"/>
      <c r="AA38" s="32"/>
      <c r="AB38" s="32"/>
      <c r="AC38" s="32"/>
      <c r="AD38" s="32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v>0</v>
      </c>
      <c r="BR38" s="17">
        <v>0</v>
      </c>
      <c r="BS38" s="17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8"/>
    </row>
    <row r="39" spans="1:97" x14ac:dyDescent="0.15">
      <c r="A39" s="1"/>
      <c r="B39" s="1" t="s">
        <v>199</v>
      </c>
      <c r="C39" s="1" t="s">
        <v>192</v>
      </c>
      <c r="D39" s="1" t="s">
        <v>158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32">
        <v>10</v>
      </c>
      <c r="Q39" s="32"/>
      <c r="R39" s="32"/>
      <c r="S39" s="32">
        <v>10</v>
      </c>
      <c r="T39" s="32"/>
      <c r="U39" s="32"/>
      <c r="V39" s="32">
        <v>10</v>
      </c>
      <c r="W39" s="32"/>
      <c r="X39" s="32"/>
      <c r="Y39" s="32">
        <v>10</v>
      </c>
      <c r="Z39" s="32"/>
      <c r="AA39" s="32"/>
      <c r="AB39" s="32"/>
      <c r="AC39" s="32"/>
      <c r="AD39" s="32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v>0</v>
      </c>
      <c r="BR39" s="17">
        <v>0</v>
      </c>
      <c r="BS39" s="17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8"/>
    </row>
    <row r="40" spans="1:97" x14ac:dyDescent="0.15">
      <c r="A40" s="1">
        <v>97</v>
      </c>
      <c r="B40" s="3" t="s">
        <v>78</v>
      </c>
      <c r="C40" s="3" t="s">
        <v>77</v>
      </c>
      <c r="D40" s="1" t="s">
        <v>24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1">
        <v>10</v>
      </c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10</v>
      </c>
      <c r="BQ40" s="1">
        <v>0</v>
      </c>
      <c r="BR40" s="17">
        <v>0</v>
      </c>
      <c r="BS40" s="17"/>
      <c r="BT40" s="1" t="str">
        <f t="shared" ref="BT40:CE43" si="15">IF(AQ40&gt;AQ$159, AQ40-AQ$159,"")</f>
        <v/>
      </c>
      <c r="BU40" s="1" t="str">
        <f t="shared" si="15"/>
        <v/>
      </c>
      <c r="BV40" s="1" t="str">
        <f t="shared" si="15"/>
        <v/>
      </c>
      <c r="BW40" s="1" t="str">
        <f t="shared" si="15"/>
        <v/>
      </c>
      <c r="BX40" s="1" t="str">
        <f t="shared" si="15"/>
        <v/>
      </c>
      <c r="BY40" s="1" t="str">
        <f t="shared" si="15"/>
        <v/>
      </c>
      <c r="BZ40" s="1" t="str">
        <f t="shared" si="15"/>
        <v/>
      </c>
      <c r="CA40" s="1" t="str">
        <f t="shared" si="15"/>
        <v/>
      </c>
      <c r="CB40" s="1" t="str">
        <f t="shared" si="15"/>
        <v/>
      </c>
      <c r="CC40" s="1" t="str">
        <f t="shared" si="15"/>
        <v/>
      </c>
      <c r="CD40" s="1" t="str">
        <f t="shared" si="15"/>
        <v/>
      </c>
      <c r="CE40" s="1" t="str">
        <f t="shared" si="15"/>
        <v/>
      </c>
      <c r="CF40" s="1">
        <f>COUNTIF(BT40:CE40, "&gt;0")</f>
        <v>0</v>
      </c>
      <c r="CG40" s="1" t="str">
        <f t="shared" ref="CG40:CR43" si="16">IF($CF40=1,BT40,"")</f>
        <v/>
      </c>
      <c r="CH40" s="1" t="str">
        <f t="shared" si="16"/>
        <v/>
      </c>
      <c r="CI40" s="1" t="str">
        <f t="shared" si="16"/>
        <v/>
      </c>
      <c r="CJ40" s="1" t="str">
        <f t="shared" si="16"/>
        <v/>
      </c>
      <c r="CK40" s="1" t="str">
        <f t="shared" si="16"/>
        <v/>
      </c>
      <c r="CL40" s="1" t="str">
        <f t="shared" si="16"/>
        <v/>
      </c>
      <c r="CM40" s="1" t="str">
        <f t="shared" si="16"/>
        <v/>
      </c>
      <c r="CN40" s="1" t="str">
        <f t="shared" si="16"/>
        <v/>
      </c>
      <c r="CO40" s="1" t="str">
        <f t="shared" si="16"/>
        <v/>
      </c>
      <c r="CP40" s="1" t="str">
        <f t="shared" si="16"/>
        <v/>
      </c>
      <c r="CQ40" s="1" t="str">
        <f t="shared" si="16"/>
        <v/>
      </c>
      <c r="CR40" s="1" t="str">
        <f t="shared" si="16"/>
        <v/>
      </c>
      <c r="CS40" s="18">
        <f>SUM(AE40:BO40)</f>
        <v>10</v>
      </c>
    </row>
    <row r="41" spans="1:97" x14ac:dyDescent="0.15">
      <c r="A41" s="1">
        <v>91</v>
      </c>
      <c r="B41" s="3" t="s">
        <v>90</v>
      </c>
      <c r="C41" s="3" t="s">
        <v>89</v>
      </c>
      <c r="D41" s="1" t="s">
        <v>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1"/>
      <c r="AF41" s="1"/>
      <c r="AG41" s="1"/>
      <c r="AH41" s="1"/>
      <c r="AI41" s="1"/>
      <c r="AJ41" s="1"/>
      <c r="AK41" s="1"/>
      <c r="AL41" s="1"/>
      <c r="AM41" s="1">
        <v>5</v>
      </c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5</v>
      </c>
      <c r="BQ41" s="1">
        <v>1</v>
      </c>
      <c r="BR41" s="17">
        <v>1</v>
      </c>
      <c r="BS41" s="17" t="s">
        <v>206</v>
      </c>
      <c r="BT41" s="1" t="str">
        <f t="shared" si="15"/>
        <v/>
      </c>
      <c r="BU41" s="1" t="str">
        <f t="shared" si="15"/>
        <v/>
      </c>
      <c r="BV41" s="1" t="str">
        <f t="shared" si="15"/>
        <v/>
      </c>
      <c r="BW41" s="1" t="str">
        <f t="shared" si="15"/>
        <v/>
      </c>
      <c r="BX41" s="1" t="str">
        <f t="shared" si="15"/>
        <v/>
      </c>
      <c r="BY41" s="1" t="str">
        <f t="shared" si="15"/>
        <v/>
      </c>
      <c r="BZ41" s="1" t="str">
        <f t="shared" si="15"/>
        <v/>
      </c>
      <c r="CA41" s="1" t="str">
        <f t="shared" si="15"/>
        <v/>
      </c>
      <c r="CB41" s="1" t="str">
        <f t="shared" si="15"/>
        <v/>
      </c>
      <c r="CC41" s="1" t="str">
        <f t="shared" si="15"/>
        <v/>
      </c>
      <c r="CD41" s="1" t="str">
        <f t="shared" si="15"/>
        <v/>
      </c>
      <c r="CE41" s="1" t="str">
        <f t="shared" si="15"/>
        <v/>
      </c>
      <c r="CF41" s="1">
        <f>COUNTIF(BT41:CE41, "&gt;0")</f>
        <v>0</v>
      </c>
      <c r="CG41" s="1" t="str">
        <f t="shared" si="16"/>
        <v/>
      </c>
      <c r="CH41" s="1" t="str">
        <f t="shared" si="16"/>
        <v/>
      </c>
      <c r="CI41" s="1" t="str">
        <f t="shared" si="16"/>
        <v/>
      </c>
      <c r="CJ41" s="1" t="str">
        <f t="shared" si="16"/>
        <v/>
      </c>
      <c r="CK41" s="1" t="str">
        <f t="shared" si="16"/>
        <v/>
      </c>
      <c r="CL41" s="1" t="str">
        <f t="shared" si="16"/>
        <v/>
      </c>
      <c r="CM41" s="1" t="str">
        <f t="shared" si="16"/>
        <v/>
      </c>
      <c r="CN41" s="1" t="str">
        <f t="shared" si="16"/>
        <v/>
      </c>
      <c r="CO41" s="1" t="str">
        <f t="shared" si="16"/>
        <v/>
      </c>
      <c r="CP41" s="1" t="str">
        <f t="shared" si="16"/>
        <v/>
      </c>
      <c r="CQ41" s="1" t="str">
        <f t="shared" si="16"/>
        <v/>
      </c>
      <c r="CR41" s="1" t="str">
        <f t="shared" si="16"/>
        <v/>
      </c>
      <c r="CS41" s="18">
        <f>SUM(AE41:BO41)</f>
        <v>5</v>
      </c>
    </row>
    <row r="42" spans="1:97" x14ac:dyDescent="0.15">
      <c r="A42" s="19">
        <v>92</v>
      </c>
      <c r="B42" s="27" t="s">
        <v>91</v>
      </c>
      <c r="C42" s="27" t="s">
        <v>89</v>
      </c>
      <c r="D42" s="19" t="s">
        <v>24</v>
      </c>
      <c r="E42" s="20">
        <v>10</v>
      </c>
      <c r="F42" s="20"/>
      <c r="G42" s="20"/>
      <c r="H42" s="20"/>
      <c r="I42" s="20">
        <v>10</v>
      </c>
      <c r="J42" s="20">
        <v>10</v>
      </c>
      <c r="K42" s="20"/>
      <c r="L42" s="20"/>
      <c r="M42" s="20"/>
      <c r="N42" s="20"/>
      <c r="O42" s="20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21"/>
      <c r="AR42" s="21"/>
      <c r="AS42" s="21"/>
      <c r="AT42" s="21"/>
      <c r="AU42" s="21"/>
      <c r="AV42" s="21"/>
      <c r="AW42" s="22"/>
      <c r="AX42" s="22"/>
      <c r="AY42" s="22"/>
      <c r="AZ42" s="22"/>
      <c r="BA42" s="22"/>
      <c r="BB42" s="22"/>
      <c r="BC42" s="30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>
        <f>SUM(E42:BO42)</f>
        <v>30</v>
      </c>
      <c r="BQ42" s="19">
        <v>2</v>
      </c>
      <c r="BR42" s="23">
        <v>1</v>
      </c>
      <c r="BS42" s="23" t="s">
        <v>245</v>
      </c>
      <c r="BT42" s="19" t="str">
        <f t="shared" si="15"/>
        <v/>
      </c>
      <c r="BU42" s="19" t="str">
        <f t="shared" si="15"/>
        <v/>
      </c>
      <c r="BV42" s="19" t="str">
        <f t="shared" si="15"/>
        <v/>
      </c>
      <c r="BW42" s="19" t="str">
        <f t="shared" si="15"/>
        <v/>
      </c>
      <c r="BX42" s="19" t="str">
        <f t="shared" si="15"/>
        <v/>
      </c>
      <c r="BY42" s="19" t="str">
        <f t="shared" si="15"/>
        <v/>
      </c>
      <c r="BZ42" s="19" t="str">
        <f t="shared" si="15"/>
        <v/>
      </c>
      <c r="CA42" s="19" t="str">
        <f t="shared" si="15"/>
        <v/>
      </c>
      <c r="CB42" s="19" t="str">
        <f t="shared" si="15"/>
        <v/>
      </c>
      <c r="CC42" s="19" t="str">
        <f t="shared" si="15"/>
        <v/>
      </c>
      <c r="CD42" s="19" t="str">
        <f t="shared" si="15"/>
        <v/>
      </c>
      <c r="CE42" s="19" t="str">
        <f t="shared" si="15"/>
        <v/>
      </c>
      <c r="CF42" s="19">
        <f>COUNTIF(BT42:CE42, "&gt;0")</f>
        <v>0</v>
      </c>
      <c r="CG42" s="19" t="str">
        <f t="shared" si="16"/>
        <v/>
      </c>
      <c r="CH42" s="19" t="str">
        <f t="shared" si="16"/>
        <v/>
      </c>
      <c r="CI42" s="19" t="str">
        <f t="shared" si="16"/>
        <v/>
      </c>
      <c r="CJ42" s="19" t="str">
        <f t="shared" si="16"/>
        <v/>
      </c>
      <c r="CK42" s="19" t="str">
        <f t="shared" si="16"/>
        <v/>
      </c>
      <c r="CL42" s="19" t="str">
        <f t="shared" si="16"/>
        <v/>
      </c>
      <c r="CM42" s="19" t="str">
        <f t="shared" si="16"/>
        <v/>
      </c>
      <c r="CN42" s="19" t="str">
        <f t="shared" si="16"/>
        <v/>
      </c>
      <c r="CO42" s="19" t="str">
        <f t="shared" si="16"/>
        <v/>
      </c>
      <c r="CP42" s="19" t="str">
        <f t="shared" si="16"/>
        <v/>
      </c>
      <c r="CQ42" s="19" t="str">
        <f t="shared" si="16"/>
        <v/>
      </c>
      <c r="CR42" s="19" t="str">
        <f t="shared" si="16"/>
        <v/>
      </c>
      <c r="CS42" s="24">
        <f>SUM(AE42:BO42)</f>
        <v>0</v>
      </c>
    </row>
    <row r="43" spans="1:97" x14ac:dyDescent="0.15">
      <c r="A43" s="1">
        <v>84</v>
      </c>
      <c r="B43" s="3" t="s">
        <v>75</v>
      </c>
      <c r="C43" s="3" t="s">
        <v>70</v>
      </c>
      <c r="D43" s="1" t="s">
        <v>13</v>
      </c>
      <c r="E43" s="6"/>
      <c r="F43" s="6"/>
      <c r="G43" s="6">
        <v>5</v>
      </c>
      <c r="H43" s="6">
        <v>5</v>
      </c>
      <c r="I43" s="6"/>
      <c r="J43" s="6"/>
      <c r="K43" s="6"/>
      <c r="L43" s="6"/>
      <c r="M43" s="6"/>
      <c r="N43" s="6"/>
      <c r="O43" s="6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>
        <v>5</v>
      </c>
      <c r="BB43" s="2">
        <v>5</v>
      </c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20</v>
      </c>
      <c r="BQ43" s="1">
        <v>2</v>
      </c>
      <c r="BR43" s="17">
        <v>1</v>
      </c>
      <c r="BS43" s="17" t="s">
        <v>246</v>
      </c>
      <c r="BT43" s="1" t="str">
        <f t="shared" si="15"/>
        <v/>
      </c>
      <c r="BU43" s="1" t="str">
        <f t="shared" si="15"/>
        <v/>
      </c>
      <c r="BV43" s="1" t="str">
        <f t="shared" si="15"/>
        <v/>
      </c>
      <c r="BW43" s="1" t="str">
        <f t="shared" si="15"/>
        <v/>
      </c>
      <c r="BX43" s="1" t="str">
        <f t="shared" si="15"/>
        <v/>
      </c>
      <c r="BY43" s="1" t="str">
        <f t="shared" si="15"/>
        <v/>
      </c>
      <c r="BZ43" s="1" t="str">
        <f t="shared" si="15"/>
        <v/>
      </c>
      <c r="CA43" s="1" t="str">
        <f t="shared" si="15"/>
        <v/>
      </c>
      <c r="CB43" s="1" t="str">
        <f t="shared" si="15"/>
        <v/>
      </c>
      <c r="CC43" s="1" t="str">
        <f t="shared" si="15"/>
        <v/>
      </c>
      <c r="CD43" s="1" t="str">
        <f t="shared" si="15"/>
        <v/>
      </c>
      <c r="CE43" s="1" t="str">
        <f t="shared" si="15"/>
        <v/>
      </c>
      <c r="CF43" s="1">
        <f>COUNTIF(BT43:CE43, "&gt;0")</f>
        <v>0</v>
      </c>
      <c r="CG43" s="1" t="str">
        <f t="shared" si="16"/>
        <v/>
      </c>
      <c r="CH43" s="1" t="str">
        <f t="shared" si="16"/>
        <v/>
      </c>
      <c r="CI43" s="1" t="str">
        <f t="shared" si="16"/>
        <v/>
      </c>
      <c r="CJ43" s="1" t="str">
        <f t="shared" si="16"/>
        <v/>
      </c>
      <c r="CK43" s="1" t="str">
        <f t="shared" si="16"/>
        <v/>
      </c>
      <c r="CL43" s="1" t="str">
        <f t="shared" si="16"/>
        <v/>
      </c>
      <c r="CM43" s="1" t="str">
        <f t="shared" si="16"/>
        <v/>
      </c>
      <c r="CN43" s="1" t="str">
        <f t="shared" si="16"/>
        <v/>
      </c>
      <c r="CO43" s="1" t="str">
        <f t="shared" si="16"/>
        <v/>
      </c>
      <c r="CP43" s="1" t="str">
        <f t="shared" si="16"/>
        <v/>
      </c>
      <c r="CQ43" s="1" t="str">
        <f t="shared" si="16"/>
        <v/>
      </c>
      <c r="CR43" s="1" t="str">
        <f t="shared" si="16"/>
        <v/>
      </c>
      <c r="CS43" s="18">
        <f>SUM(AE43:BO43)</f>
        <v>10</v>
      </c>
    </row>
    <row r="44" spans="1:97" x14ac:dyDescent="0.15">
      <c r="A44" s="1"/>
      <c r="B44" s="1" t="s">
        <v>136</v>
      </c>
      <c r="C44" s="1" t="s">
        <v>134</v>
      </c>
      <c r="D44" s="1" t="s">
        <v>121</v>
      </c>
      <c r="E44" s="6">
        <v>10</v>
      </c>
      <c r="F44" s="6"/>
      <c r="G44" s="6">
        <v>10</v>
      </c>
      <c r="H44" s="6"/>
      <c r="I44" s="6"/>
      <c r="J44" s="6"/>
      <c r="K44" s="6"/>
      <c r="L44" s="6"/>
      <c r="M44" s="6"/>
      <c r="N44" s="6"/>
      <c r="O44" s="6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>
        <v>10</v>
      </c>
      <c r="AS44" s="4"/>
      <c r="AT44" s="4"/>
      <c r="AU44" s="4"/>
      <c r="AV44" s="4"/>
      <c r="AW44" s="2"/>
      <c r="AX44" s="2"/>
      <c r="AY44" s="2"/>
      <c r="AZ44" s="2"/>
      <c r="BA44" s="2"/>
      <c r="BB44" s="2">
        <v>10</v>
      </c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v>2</v>
      </c>
      <c r="BR44" s="17">
        <v>1</v>
      </c>
      <c r="BS44" s="17" t="s">
        <v>245</v>
      </c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8"/>
    </row>
    <row r="45" spans="1:97" x14ac:dyDescent="0.15">
      <c r="A45" s="1"/>
      <c r="B45" s="1" t="s">
        <v>152</v>
      </c>
      <c r="C45" s="1" t="s">
        <v>146</v>
      </c>
      <c r="D45" s="1" t="s">
        <v>120</v>
      </c>
      <c r="E45" s="6"/>
      <c r="F45" s="6"/>
      <c r="G45" s="6"/>
      <c r="H45" s="6">
        <v>5</v>
      </c>
      <c r="I45" s="6"/>
      <c r="J45" s="6"/>
      <c r="K45" s="6"/>
      <c r="L45" s="6"/>
      <c r="M45" s="6"/>
      <c r="N45" s="6"/>
      <c r="O45" s="6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v>2</v>
      </c>
      <c r="BR45" s="17">
        <v>1</v>
      </c>
      <c r="BS45" s="17" t="s">
        <v>246</v>
      </c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8"/>
    </row>
    <row r="46" spans="1:97" x14ac:dyDescent="0.15">
      <c r="A46" s="1"/>
      <c r="B46" s="1" t="s">
        <v>189</v>
      </c>
      <c r="C46" s="1" t="s">
        <v>190</v>
      </c>
      <c r="D46" s="1" t="s">
        <v>160</v>
      </c>
      <c r="E46" s="6">
        <v>10</v>
      </c>
      <c r="F46" s="6"/>
      <c r="G46" s="6">
        <v>10</v>
      </c>
      <c r="H46" s="6"/>
      <c r="I46" s="6"/>
      <c r="J46" s="6"/>
      <c r="K46" s="6"/>
      <c r="L46" s="6"/>
      <c r="M46" s="6"/>
      <c r="N46" s="6"/>
      <c r="O46" s="6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>
        <v>10</v>
      </c>
      <c r="AS46" s="4"/>
      <c r="AT46" s="4"/>
      <c r="AU46" s="4"/>
      <c r="AV46" s="4"/>
      <c r="AW46" s="2"/>
      <c r="AX46" s="2"/>
      <c r="AY46" s="2"/>
      <c r="AZ46" s="2"/>
      <c r="BA46" s="2"/>
      <c r="BB46" s="2">
        <v>10</v>
      </c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v>2</v>
      </c>
      <c r="BR46" s="17">
        <v>1</v>
      </c>
      <c r="BS46" s="17" t="s">
        <v>245</v>
      </c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8"/>
    </row>
    <row r="47" spans="1:97" x14ac:dyDescent="0.15">
      <c r="A47" s="19">
        <v>37</v>
      </c>
      <c r="B47" s="19" t="s">
        <v>52</v>
      </c>
      <c r="C47" s="19" t="s">
        <v>49</v>
      </c>
      <c r="D47" s="19" t="s">
        <v>25</v>
      </c>
      <c r="E47" s="20"/>
      <c r="F47" s="20">
        <v>5</v>
      </c>
      <c r="G47" s="20"/>
      <c r="H47" s="20"/>
      <c r="I47" s="20"/>
      <c r="J47" s="20"/>
      <c r="K47" s="20"/>
      <c r="L47" s="20"/>
      <c r="M47" s="20"/>
      <c r="N47" s="20"/>
      <c r="O47" s="20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21"/>
      <c r="AR47" s="21"/>
      <c r="AS47" s="21"/>
      <c r="AT47" s="21"/>
      <c r="AU47" s="21"/>
      <c r="AV47" s="21"/>
      <c r="AW47" s="22"/>
      <c r="AX47" s="22"/>
      <c r="AY47" s="22"/>
      <c r="AZ47" s="22"/>
      <c r="BA47" s="22"/>
      <c r="BB47" s="22"/>
      <c r="BC47" s="30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>
        <f>SUM(E47:BO47)</f>
        <v>5</v>
      </c>
      <c r="BQ47" s="19">
        <v>2</v>
      </c>
      <c r="BR47" s="23">
        <v>1</v>
      </c>
      <c r="BS47" s="23" t="s">
        <v>247</v>
      </c>
      <c r="BT47" s="19" t="str">
        <f t="shared" ref="BT47:CE47" si="17">IF(AQ47&gt;AQ$159, AQ47-AQ$159,"")</f>
        <v/>
      </c>
      <c r="BU47" s="19" t="str">
        <f t="shared" si="17"/>
        <v/>
      </c>
      <c r="BV47" s="19" t="str">
        <f t="shared" si="17"/>
        <v/>
      </c>
      <c r="BW47" s="19" t="str">
        <f t="shared" si="17"/>
        <v/>
      </c>
      <c r="BX47" s="19" t="str">
        <f t="shared" si="17"/>
        <v/>
      </c>
      <c r="BY47" s="19" t="str">
        <f t="shared" si="17"/>
        <v/>
      </c>
      <c r="BZ47" s="19" t="str">
        <f t="shared" si="17"/>
        <v/>
      </c>
      <c r="CA47" s="19" t="str">
        <f t="shared" si="17"/>
        <v/>
      </c>
      <c r="CB47" s="19" t="str">
        <f t="shared" si="17"/>
        <v/>
      </c>
      <c r="CC47" s="19" t="str">
        <f t="shared" si="17"/>
        <v/>
      </c>
      <c r="CD47" s="19" t="str">
        <f t="shared" si="17"/>
        <v/>
      </c>
      <c r="CE47" s="19" t="str">
        <f t="shared" si="17"/>
        <v/>
      </c>
      <c r="CF47" s="19">
        <f>COUNTIF(BT47:CE47, "&gt;0")</f>
        <v>0</v>
      </c>
      <c r="CG47" s="19" t="str">
        <f t="shared" ref="CG47:CR47" si="18">IF($CF47=1,BT47,"")</f>
        <v/>
      </c>
      <c r="CH47" s="19" t="str">
        <f t="shared" si="18"/>
        <v/>
      </c>
      <c r="CI47" s="19" t="str">
        <f t="shared" si="18"/>
        <v/>
      </c>
      <c r="CJ47" s="19" t="str">
        <f t="shared" si="18"/>
        <v/>
      </c>
      <c r="CK47" s="19" t="str">
        <f t="shared" si="18"/>
        <v/>
      </c>
      <c r="CL47" s="19" t="str">
        <f t="shared" si="18"/>
        <v/>
      </c>
      <c r="CM47" s="19" t="str">
        <f t="shared" si="18"/>
        <v/>
      </c>
      <c r="CN47" s="19" t="str">
        <f t="shared" si="18"/>
        <v/>
      </c>
      <c r="CO47" s="19" t="str">
        <f t="shared" si="18"/>
        <v/>
      </c>
      <c r="CP47" s="19" t="str">
        <f t="shared" si="18"/>
        <v/>
      </c>
      <c r="CQ47" s="19" t="str">
        <f t="shared" si="18"/>
        <v/>
      </c>
      <c r="CR47" s="19" t="str">
        <f t="shared" si="18"/>
        <v/>
      </c>
      <c r="CS47" s="24">
        <f>SUM(AE47:BO47)</f>
        <v>0</v>
      </c>
    </row>
    <row r="48" spans="1:97" s="25" customFormat="1" x14ac:dyDescent="0.15">
      <c r="A48" s="1"/>
      <c r="B48" s="1" t="s">
        <v>131</v>
      </c>
      <c r="C48" s="1" t="s">
        <v>123</v>
      </c>
      <c r="D48" s="1" t="s">
        <v>120</v>
      </c>
      <c r="E48" s="6"/>
      <c r="F48" s="6">
        <v>5</v>
      </c>
      <c r="G48" s="6"/>
      <c r="H48" s="6"/>
      <c r="I48" s="6"/>
      <c r="J48" s="6"/>
      <c r="K48" s="6"/>
      <c r="L48" s="6"/>
      <c r="M48" s="6"/>
      <c r="N48" s="6"/>
      <c r="O48" s="6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v>2</v>
      </c>
      <c r="BR48" s="17">
        <v>1</v>
      </c>
      <c r="BS48" s="17" t="s">
        <v>247</v>
      </c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8"/>
    </row>
    <row r="49" spans="1:97" x14ac:dyDescent="0.15">
      <c r="A49" s="1"/>
      <c r="B49" s="1" t="s">
        <v>149</v>
      </c>
      <c r="C49" s="1" t="s">
        <v>146</v>
      </c>
      <c r="D49" s="1" t="s">
        <v>120</v>
      </c>
      <c r="E49" s="6"/>
      <c r="F49" s="6">
        <v>5</v>
      </c>
      <c r="G49" s="6"/>
      <c r="H49" s="6"/>
      <c r="I49" s="6"/>
      <c r="J49" s="6"/>
      <c r="K49" s="6"/>
      <c r="L49" s="6"/>
      <c r="M49" s="6"/>
      <c r="N49" s="6"/>
      <c r="O49" s="6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v>2</v>
      </c>
      <c r="BR49" s="17">
        <v>1</v>
      </c>
      <c r="BS49" s="17" t="s">
        <v>247</v>
      </c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8"/>
    </row>
    <row r="50" spans="1:97" x14ac:dyDescent="0.15">
      <c r="A50" s="1"/>
      <c r="B50" s="1" t="s">
        <v>132</v>
      </c>
      <c r="C50" s="1" t="s">
        <v>123</v>
      </c>
      <c r="D50" s="1" t="s">
        <v>128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>
        <v>2</v>
      </c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>
        <v>2</v>
      </c>
      <c r="BR50" s="17">
        <v>1</v>
      </c>
      <c r="BS50" s="17" t="s">
        <v>202</v>
      </c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8"/>
    </row>
    <row r="51" spans="1:97" x14ac:dyDescent="0.15">
      <c r="A51" s="1">
        <v>69</v>
      </c>
      <c r="B51" s="3" t="s">
        <v>69</v>
      </c>
      <c r="C51" s="1" t="s">
        <v>62</v>
      </c>
      <c r="D51" s="1" t="s">
        <v>13</v>
      </c>
      <c r="E51" s="6"/>
      <c r="F51" s="6"/>
      <c r="G51" s="6"/>
      <c r="H51" s="6">
        <v>6</v>
      </c>
      <c r="I51" s="6">
        <v>6</v>
      </c>
      <c r="J51" s="6"/>
      <c r="K51" s="6"/>
      <c r="L51" s="6"/>
      <c r="M51" s="6"/>
      <c r="N51" s="6"/>
      <c r="O51" s="6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>
        <v>10</v>
      </c>
      <c r="AW51" s="2"/>
      <c r="AX51" s="2">
        <v>10</v>
      </c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32</v>
      </c>
      <c r="BQ51" s="1">
        <v>3</v>
      </c>
      <c r="BR51" s="17">
        <v>1</v>
      </c>
      <c r="BS51" s="17" t="s">
        <v>248</v>
      </c>
      <c r="BT51" s="1" t="str">
        <f t="shared" ref="BT51:CE52" si="19">IF(AQ51&gt;AQ$159, AQ51-AQ$159,"")</f>
        <v/>
      </c>
      <c r="BU51" s="1" t="str">
        <f t="shared" si="19"/>
        <v/>
      </c>
      <c r="BV51" s="1" t="str">
        <f t="shared" si="19"/>
        <v/>
      </c>
      <c r="BW51" s="1" t="str">
        <f t="shared" si="19"/>
        <v/>
      </c>
      <c r="BX51" s="1" t="str">
        <f t="shared" si="19"/>
        <v/>
      </c>
      <c r="BY51" s="1" t="str">
        <f t="shared" si="19"/>
        <v/>
      </c>
      <c r="BZ51" s="1" t="str">
        <f t="shared" si="19"/>
        <v/>
      </c>
      <c r="CA51" s="1" t="str">
        <f t="shared" si="19"/>
        <v/>
      </c>
      <c r="CB51" s="1" t="str">
        <f t="shared" si="19"/>
        <v/>
      </c>
      <c r="CC51" s="1" t="str">
        <f t="shared" si="19"/>
        <v/>
      </c>
      <c r="CD51" s="1" t="str">
        <f t="shared" si="19"/>
        <v/>
      </c>
      <c r="CE51" s="1" t="str">
        <f t="shared" si="19"/>
        <v/>
      </c>
      <c r="CF51" s="1">
        <f>COUNTIF(BT51:CE51, "&gt;0")</f>
        <v>0</v>
      </c>
      <c r="CG51" s="1" t="str">
        <f t="shared" ref="CG51:CR52" si="20">IF($CF51=1,BT51,"")</f>
        <v/>
      </c>
      <c r="CH51" s="1" t="str">
        <f t="shared" si="20"/>
        <v/>
      </c>
      <c r="CI51" s="1" t="str">
        <f t="shared" si="20"/>
        <v/>
      </c>
      <c r="CJ51" s="1" t="str">
        <f t="shared" si="20"/>
        <v/>
      </c>
      <c r="CK51" s="1" t="str">
        <f t="shared" si="20"/>
        <v/>
      </c>
      <c r="CL51" s="1" t="str">
        <f t="shared" si="20"/>
        <v/>
      </c>
      <c r="CM51" s="1" t="str">
        <f t="shared" si="20"/>
        <v/>
      </c>
      <c r="CN51" s="1" t="str">
        <f t="shared" si="20"/>
        <v/>
      </c>
      <c r="CO51" s="1" t="str">
        <f t="shared" si="20"/>
        <v/>
      </c>
      <c r="CP51" s="1" t="str">
        <f t="shared" si="20"/>
        <v/>
      </c>
      <c r="CQ51" s="1" t="str">
        <f t="shared" si="20"/>
        <v/>
      </c>
      <c r="CR51" s="1" t="str">
        <f t="shared" si="20"/>
        <v/>
      </c>
      <c r="CS51" s="18">
        <f>SUM(AE51:BO51)</f>
        <v>20</v>
      </c>
    </row>
    <row r="52" spans="1:97" x14ac:dyDescent="0.15">
      <c r="A52" s="1">
        <v>8</v>
      </c>
      <c r="B52" s="1" t="s">
        <v>56</v>
      </c>
      <c r="C52" s="1" t="s">
        <v>2</v>
      </c>
      <c r="D52" s="1" t="s">
        <v>26</v>
      </c>
      <c r="E52" s="6">
        <v>6</v>
      </c>
      <c r="F52" s="6"/>
      <c r="G52" s="6"/>
      <c r="H52" s="6">
        <v>6</v>
      </c>
      <c r="I52" s="6"/>
      <c r="J52" s="6"/>
      <c r="K52" s="6"/>
      <c r="L52" s="6"/>
      <c r="M52" s="6"/>
      <c r="N52" s="6"/>
      <c r="O52" s="6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>
        <v>10</v>
      </c>
      <c r="AS52" s="4"/>
      <c r="AT52" s="4"/>
      <c r="AU52" s="4"/>
      <c r="AV52" s="4"/>
      <c r="AW52" s="2"/>
      <c r="AX52" s="2"/>
      <c r="AY52" s="2"/>
      <c r="AZ52" s="2"/>
      <c r="BA52" s="2"/>
      <c r="BB52" s="2">
        <v>10</v>
      </c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32</v>
      </c>
      <c r="BQ52" s="1">
        <v>3</v>
      </c>
      <c r="BR52" s="17">
        <v>1</v>
      </c>
      <c r="BS52" s="17" t="s">
        <v>248</v>
      </c>
      <c r="BT52" s="1" t="str">
        <f t="shared" si="19"/>
        <v/>
      </c>
      <c r="BU52" s="1" t="str">
        <f t="shared" si="19"/>
        <v/>
      </c>
      <c r="BV52" s="1" t="str">
        <f t="shared" si="19"/>
        <v/>
      </c>
      <c r="BW52" s="1" t="str">
        <f t="shared" si="19"/>
        <v/>
      </c>
      <c r="BX52" s="1" t="str">
        <f t="shared" si="19"/>
        <v/>
      </c>
      <c r="BY52" s="1" t="str">
        <f t="shared" si="19"/>
        <v/>
      </c>
      <c r="BZ52" s="1" t="str">
        <f t="shared" si="19"/>
        <v/>
      </c>
      <c r="CA52" s="1" t="str">
        <f t="shared" si="19"/>
        <v/>
      </c>
      <c r="CB52" s="1" t="str">
        <f t="shared" si="19"/>
        <v/>
      </c>
      <c r="CC52" s="1" t="str">
        <f t="shared" si="19"/>
        <v/>
      </c>
      <c r="CD52" s="1" t="str">
        <f t="shared" si="19"/>
        <v/>
      </c>
      <c r="CE52" s="1" t="str">
        <f t="shared" si="19"/>
        <v/>
      </c>
      <c r="CF52" s="1">
        <f>COUNTIF(BT52:CE52, "&gt;0")</f>
        <v>0</v>
      </c>
      <c r="CG52" s="1" t="str">
        <f t="shared" si="20"/>
        <v/>
      </c>
      <c r="CH52" s="1" t="str">
        <f t="shared" si="20"/>
        <v/>
      </c>
      <c r="CI52" s="1" t="str">
        <f t="shared" si="20"/>
        <v/>
      </c>
      <c r="CJ52" s="1" t="str">
        <f t="shared" si="20"/>
        <v/>
      </c>
      <c r="CK52" s="1" t="str">
        <f t="shared" si="20"/>
        <v/>
      </c>
      <c r="CL52" s="1" t="str">
        <f t="shared" si="20"/>
        <v/>
      </c>
      <c r="CM52" s="1" t="str">
        <f t="shared" si="20"/>
        <v/>
      </c>
      <c r="CN52" s="1" t="str">
        <f t="shared" si="20"/>
        <v/>
      </c>
      <c r="CO52" s="1" t="str">
        <f t="shared" si="20"/>
        <v/>
      </c>
      <c r="CP52" s="1" t="str">
        <f t="shared" si="20"/>
        <v/>
      </c>
      <c r="CQ52" s="1" t="str">
        <f t="shared" si="20"/>
        <v/>
      </c>
      <c r="CR52" s="1" t="str">
        <f t="shared" si="20"/>
        <v/>
      </c>
      <c r="CS52" s="18">
        <f>SUM(AE52:BO52)</f>
        <v>20</v>
      </c>
    </row>
    <row r="53" spans="1:97" x14ac:dyDescent="0.15">
      <c r="A53" s="1"/>
      <c r="B53" s="1" t="s">
        <v>201</v>
      </c>
      <c r="C53" s="1" t="s">
        <v>143</v>
      </c>
      <c r="D53" s="1" t="s">
        <v>121</v>
      </c>
      <c r="E53" s="6"/>
      <c r="F53" s="6"/>
      <c r="G53" s="6">
        <v>6</v>
      </c>
      <c r="H53" s="6">
        <v>6</v>
      </c>
      <c r="I53" s="6"/>
      <c r="J53" s="6"/>
      <c r="K53" s="6"/>
      <c r="L53" s="6"/>
      <c r="M53" s="6"/>
      <c r="N53" s="6"/>
      <c r="O53" s="6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>
        <v>10</v>
      </c>
      <c r="AW53" s="2">
        <v>10</v>
      </c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v>3</v>
      </c>
      <c r="BR53" s="17">
        <v>1</v>
      </c>
      <c r="BS53" s="17" t="s">
        <v>248</v>
      </c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8"/>
    </row>
    <row r="54" spans="1:97" x14ac:dyDescent="0.15">
      <c r="A54" s="1"/>
      <c r="B54" s="1" t="s">
        <v>152</v>
      </c>
      <c r="C54" s="1" t="s">
        <v>146</v>
      </c>
      <c r="D54" s="1" t="s">
        <v>121</v>
      </c>
      <c r="E54" s="6"/>
      <c r="F54" s="6"/>
      <c r="G54" s="6"/>
      <c r="H54" s="6">
        <v>6</v>
      </c>
      <c r="I54" s="6"/>
      <c r="J54" s="6">
        <v>6</v>
      </c>
      <c r="K54" s="6"/>
      <c r="L54" s="6"/>
      <c r="M54" s="6"/>
      <c r="N54" s="6"/>
      <c r="O54" s="6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>
        <v>8</v>
      </c>
      <c r="AU54" s="4"/>
      <c r="AV54" s="4"/>
      <c r="AW54" s="2"/>
      <c r="AX54" s="2"/>
      <c r="AY54" s="2">
        <v>8</v>
      </c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v>3</v>
      </c>
      <c r="BR54" s="17">
        <v>1</v>
      </c>
      <c r="BS54" s="17" t="s">
        <v>248</v>
      </c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8"/>
    </row>
    <row r="55" spans="1:97" x14ac:dyDescent="0.15">
      <c r="A55" s="1">
        <v>68</v>
      </c>
      <c r="B55" s="3" t="s">
        <v>115</v>
      </c>
      <c r="C55" s="1" t="s">
        <v>62</v>
      </c>
      <c r="D55" s="1" t="s">
        <v>13</v>
      </c>
      <c r="E55" s="6"/>
      <c r="F55" s="6">
        <v>6</v>
      </c>
      <c r="G55" s="6"/>
      <c r="H55" s="6"/>
      <c r="I55" s="6"/>
      <c r="J55" s="6"/>
      <c r="K55" s="6"/>
      <c r="L55" s="6"/>
      <c r="M55" s="6"/>
      <c r="N55" s="6">
        <v>6</v>
      </c>
      <c r="O55" s="6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>
        <v>10</v>
      </c>
      <c r="AW55" s="2"/>
      <c r="AX55" s="2"/>
      <c r="AY55" s="2"/>
      <c r="AZ55" s="2"/>
      <c r="BA55" s="2"/>
      <c r="BB55" s="2">
        <v>10</v>
      </c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32</v>
      </c>
      <c r="BQ55" s="1">
        <v>3</v>
      </c>
      <c r="BR55" s="17">
        <v>1</v>
      </c>
      <c r="BS55" s="17" t="s">
        <v>204</v>
      </c>
      <c r="BT55" s="1" t="str">
        <f t="shared" ref="BT55:CE55" si="21">IF(AQ55&gt;AQ$159, AQ55-AQ$159,"")</f>
        <v/>
      </c>
      <c r="BU55" s="1" t="str">
        <f t="shared" si="21"/>
        <v/>
      </c>
      <c r="BV55" s="1" t="str">
        <f t="shared" si="21"/>
        <v/>
      </c>
      <c r="BW55" s="1" t="str">
        <f t="shared" si="21"/>
        <v/>
      </c>
      <c r="BX55" s="1" t="str">
        <f t="shared" si="21"/>
        <v/>
      </c>
      <c r="BY55" s="1" t="str">
        <f t="shared" si="21"/>
        <v/>
      </c>
      <c r="BZ55" s="1" t="str">
        <f t="shared" si="21"/>
        <v/>
      </c>
      <c r="CA55" s="1" t="str">
        <f t="shared" si="21"/>
        <v/>
      </c>
      <c r="CB55" s="1" t="str">
        <f t="shared" si="21"/>
        <v/>
      </c>
      <c r="CC55" s="1" t="str">
        <f t="shared" si="21"/>
        <v/>
      </c>
      <c r="CD55" s="1" t="str">
        <f t="shared" si="21"/>
        <v/>
      </c>
      <c r="CE55" s="1" t="str">
        <f t="shared" si="21"/>
        <v/>
      </c>
      <c r="CF55" s="1">
        <f>COUNTIF(BT55:CE55, "&gt;0")</f>
        <v>0</v>
      </c>
      <c r="CG55" s="1" t="str">
        <f t="shared" ref="CG55:CR55" si="22">IF($CF55=1,BT55,"")</f>
        <v/>
      </c>
      <c r="CH55" s="1" t="str">
        <f t="shared" si="22"/>
        <v/>
      </c>
      <c r="CI55" s="1" t="str">
        <f t="shared" si="22"/>
        <v/>
      </c>
      <c r="CJ55" s="1" t="str">
        <f t="shared" si="22"/>
        <v/>
      </c>
      <c r="CK55" s="1" t="str">
        <f t="shared" si="22"/>
        <v/>
      </c>
      <c r="CL55" s="1" t="str">
        <f t="shared" si="22"/>
        <v/>
      </c>
      <c r="CM55" s="1" t="str">
        <f t="shared" si="22"/>
        <v/>
      </c>
      <c r="CN55" s="1" t="str">
        <f t="shared" si="22"/>
        <v/>
      </c>
      <c r="CO55" s="1" t="str">
        <f t="shared" si="22"/>
        <v/>
      </c>
      <c r="CP55" s="1" t="str">
        <f t="shared" si="22"/>
        <v/>
      </c>
      <c r="CQ55" s="1" t="str">
        <f t="shared" si="22"/>
        <v/>
      </c>
      <c r="CR55" s="1" t="str">
        <f t="shared" si="22"/>
        <v/>
      </c>
      <c r="CS55" s="18">
        <f>SUM(AE55:BO55)</f>
        <v>20</v>
      </c>
    </row>
    <row r="56" spans="1:97" x14ac:dyDescent="0.15">
      <c r="A56" s="1"/>
      <c r="B56" s="1" t="s">
        <v>150</v>
      </c>
      <c r="C56" s="1" t="s">
        <v>146</v>
      </c>
      <c r="D56" s="1" t="s">
        <v>121</v>
      </c>
      <c r="E56" s="6"/>
      <c r="F56" s="6">
        <v>6</v>
      </c>
      <c r="G56" s="6"/>
      <c r="H56" s="6"/>
      <c r="I56" s="6"/>
      <c r="J56" s="6"/>
      <c r="K56" s="6"/>
      <c r="L56" s="6"/>
      <c r="M56" s="6"/>
      <c r="N56" s="6"/>
      <c r="O56" s="6">
        <v>6</v>
      </c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>
        <v>10</v>
      </c>
      <c r="AU56" s="4"/>
      <c r="AV56" s="4"/>
      <c r="AW56" s="2"/>
      <c r="AX56" s="2"/>
      <c r="AY56" s="2">
        <v>10</v>
      </c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v>3</v>
      </c>
      <c r="BR56" s="17">
        <v>1</v>
      </c>
      <c r="BS56" s="17" t="s">
        <v>204</v>
      </c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8"/>
    </row>
    <row r="57" spans="1:97" x14ac:dyDescent="0.15">
      <c r="A57" s="1"/>
      <c r="B57" s="1" t="s">
        <v>197</v>
      </c>
      <c r="C57" s="1" t="s">
        <v>192</v>
      </c>
      <c r="D57" s="1" t="s">
        <v>160</v>
      </c>
      <c r="E57" s="6"/>
      <c r="F57" s="6"/>
      <c r="G57" s="6">
        <v>5</v>
      </c>
      <c r="H57" s="6"/>
      <c r="I57" s="6"/>
      <c r="J57" s="6"/>
      <c r="K57" s="6"/>
      <c r="L57" s="6"/>
      <c r="M57" s="6"/>
      <c r="N57" s="6"/>
      <c r="O57" s="6"/>
      <c r="P57" s="32"/>
      <c r="Q57" s="32"/>
      <c r="R57" s="32"/>
      <c r="S57" s="32"/>
      <c r="T57" s="32"/>
      <c r="U57" s="32"/>
      <c r="V57" s="32">
        <v>5</v>
      </c>
      <c r="W57" s="32"/>
      <c r="X57" s="32"/>
      <c r="Y57" s="32">
        <v>5</v>
      </c>
      <c r="Z57" s="32"/>
      <c r="AA57" s="32"/>
      <c r="AB57" s="32"/>
      <c r="AC57" s="32">
        <v>5</v>
      </c>
      <c r="AD57" s="32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v>3</v>
      </c>
      <c r="BR57" s="17">
        <v>1</v>
      </c>
      <c r="BS57" s="17" t="s">
        <v>249</v>
      </c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8"/>
    </row>
    <row r="58" spans="1:97" x14ac:dyDescent="0.15">
      <c r="A58" s="1">
        <v>24</v>
      </c>
      <c r="B58" s="1" t="s">
        <v>47</v>
      </c>
      <c r="C58" s="1" t="s">
        <v>32</v>
      </c>
      <c r="D58" s="1" t="s">
        <v>26</v>
      </c>
      <c r="E58" s="6"/>
      <c r="F58" s="6"/>
      <c r="G58" s="6"/>
      <c r="H58" s="6"/>
      <c r="I58" s="6">
        <v>4</v>
      </c>
      <c r="J58" s="6"/>
      <c r="K58" s="6">
        <v>4</v>
      </c>
      <c r="L58" s="6"/>
      <c r="M58" s="6"/>
      <c r="N58" s="6"/>
      <c r="O58" s="6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>
        <v>5</v>
      </c>
      <c r="AT58" s="4"/>
      <c r="AU58" s="4"/>
      <c r="AV58" s="4"/>
      <c r="AW58" s="2">
        <v>5</v>
      </c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18</v>
      </c>
      <c r="BQ58" s="1">
        <v>3</v>
      </c>
      <c r="BR58" s="17">
        <v>1</v>
      </c>
      <c r="BS58" s="17" t="s">
        <v>250</v>
      </c>
      <c r="BT58" s="1" t="str">
        <f t="shared" ref="BT58:CE61" si="23">IF(AQ58&gt;AQ$159, AQ58-AQ$159,"")</f>
        <v/>
      </c>
      <c r="BU58" s="1" t="str">
        <f t="shared" si="23"/>
        <v/>
      </c>
      <c r="BV58" s="1">
        <f t="shared" si="23"/>
        <v>3</v>
      </c>
      <c r="BW58" s="1" t="str">
        <f t="shared" si="23"/>
        <v/>
      </c>
      <c r="BX58" s="1" t="str">
        <f t="shared" si="23"/>
        <v/>
      </c>
      <c r="BY58" s="1" t="str">
        <f t="shared" si="23"/>
        <v/>
      </c>
      <c r="BZ58" s="1" t="str">
        <f t="shared" si="23"/>
        <v/>
      </c>
      <c r="CA58" s="1" t="str">
        <f t="shared" si="23"/>
        <v/>
      </c>
      <c r="CB58" s="1" t="str">
        <f t="shared" si="23"/>
        <v/>
      </c>
      <c r="CC58" s="1" t="str">
        <f t="shared" si="23"/>
        <v/>
      </c>
      <c r="CD58" s="1" t="str">
        <f t="shared" si="23"/>
        <v/>
      </c>
      <c r="CE58" s="1" t="str">
        <f t="shared" si="23"/>
        <v/>
      </c>
      <c r="CF58" s="1">
        <f>COUNTIF(BT58:CE58, "&gt;0")</f>
        <v>1</v>
      </c>
      <c r="CG58" s="1" t="str">
        <f t="shared" ref="CG58:CR61" si="24">IF($CF58=1,BT58,"")</f>
        <v/>
      </c>
      <c r="CH58" s="1" t="str">
        <f t="shared" si="24"/>
        <v/>
      </c>
      <c r="CI58" s="1">
        <f t="shared" si="24"/>
        <v>3</v>
      </c>
      <c r="CJ58" s="1" t="str">
        <f t="shared" si="24"/>
        <v/>
      </c>
      <c r="CK58" s="1" t="str">
        <f t="shared" si="24"/>
        <v/>
      </c>
      <c r="CL58" s="1" t="str">
        <f t="shared" si="24"/>
        <v/>
      </c>
      <c r="CM58" s="1" t="str">
        <f t="shared" si="24"/>
        <v/>
      </c>
      <c r="CN58" s="1" t="str">
        <f t="shared" si="24"/>
        <v/>
      </c>
      <c r="CO58" s="1" t="str">
        <f t="shared" si="24"/>
        <v/>
      </c>
      <c r="CP58" s="1" t="str">
        <f t="shared" si="24"/>
        <v/>
      </c>
      <c r="CQ58" s="1" t="str">
        <f t="shared" si="24"/>
        <v/>
      </c>
      <c r="CR58" s="1" t="str">
        <f t="shared" si="24"/>
        <v/>
      </c>
      <c r="CS58" s="18">
        <f>SUM(AE58:BO58)</f>
        <v>10</v>
      </c>
    </row>
    <row r="59" spans="1:97" x14ac:dyDescent="0.15">
      <c r="A59" s="1">
        <v>2</v>
      </c>
      <c r="B59" s="1" t="s">
        <v>8</v>
      </c>
      <c r="C59" s="1" t="s">
        <v>2</v>
      </c>
      <c r="D59" s="1" t="s">
        <v>1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1">
        <v>15</v>
      </c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>
        <v>15</v>
      </c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30</v>
      </c>
      <c r="BQ59" s="1">
        <v>3</v>
      </c>
      <c r="BR59" s="17">
        <v>1</v>
      </c>
      <c r="BS59" s="17" t="s">
        <v>213</v>
      </c>
      <c r="BT59" s="1" t="str">
        <f t="shared" si="23"/>
        <v/>
      </c>
      <c r="BU59" s="1" t="str">
        <f t="shared" si="23"/>
        <v/>
      </c>
      <c r="BV59" s="1" t="str">
        <f t="shared" si="23"/>
        <v/>
      </c>
      <c r="BW59" s="1" t="str">
        <f t="shared" si="23"/>
        <v/>
      </c>
      <c r="BX59" s="1" t="str">
        <f t="shared" si="23"/>
        <v/>
      </c>
      <c r="BY59" s="1" t="str">
        <f t="shared" si="23"/>
        <v/>
      </c>
      <c r="BZ59" s="1" t="str">
        <f t="shared" si="23"/>
        <v/>
      </c>
      <c r="CA59" s="1" t="str">
        <f t="shared" si="23"/>
        <v/>
      </c>
      <c r="CB59" s="1" t="str">
        <f t="shared" si="23"/>
        <v/>
      </c>
      <c r="CC59" s="1" t="str">
        <f t="shared" si="23"/>
        <v/>
      </c>
      <c r="CD59" s="1" t="str">
        <f t="shared" si="23"/>
        <v/>
      </c>
      <c r="CE59" s="1" t="str">
        <f t="shared" si="23"/>
        <v/>
      </c>
      <c r="CF59" s="1">
        <f>COUNTIF(BT59:CE59, "&gt;0")</f>
        <v>0</v>
      </c>
      <c r="CG59" s="1" t="str">
        <f t="shared" si="24"/>
        <v/>
      </c>
      <c r="CH59" s="1" t="str">
        <f t="shared" si="24"/>
        <v/>
      </c>
      <c r="CI59" s="1" t="str">
        <f t="shared" si="24"/>
        <v/>
      </c>
      <c r="CJ59" s="1" t="str">
        <f t="shared" si="24"/>
        <v/>
      </c>
      <c r="CK59" s="1" t="str">
        <f t="shared" si="24"/>
        <v/>
      </c>
      <c r="CL59" s="1" t="str">
        <f t="shared" si="24"/>
        <v/>
      </c>
      <c r="CM59" s="1" t="str">
        <f t="shared" si="24"/>
        <v/>
      </c>
      <c r="CN59" s="1" t="str">
        <f t="shared" si="24"/>
        <v/>
      </c>
      <c r="CO59" s="1" t="str">
        <f t="shared" si="24"/>
        <v/>
      </c>
      <c r="CP59" s="1" t="str">
        <f t="shared" si="24"/>
        <v/>
      </c>
      <c r="CQ59" s="1" t="str">
        <f t="shared" si="24"/>
        <v/>
      </c>
      <c r="CR59" s="1" t="str">
        <f t="shared" si="24"/>
        <v/>
      </c>
      <c r="CS59" s="18">
        <f>SUM(AE59:BO59)</f>
        <v>30</v>
      </c>
    </row>
    <row r="60" spans="1:97" x14ac:dyDescent="0.15">
      <c r="A60" s="1">
        <v>41</v>
      </c>
      <c r="B60" s="1" t="s">
        <v>57</v>
      </c>
      <c r="C60" s="1" t="s">
        <v>49</v>
      </c>
      <c r="D60" s="1" t="s">
        <v>13</v>
      </c>
      <c r="E60" s="6"/>
      <c r="F60" s="6"/>
      <c r="G60" s="6"/>
      <c r="H60" s="6"/>
      <c r="I60" s="6"/>
      <c r="J60" s="6"/>
      <c r="K60" s="6"/>
      <c r="L60" s="6">
        <v>6</v>
      </c>
      <c r="M60" s="6"/>
      <c r="N60" s="6"/>
      <c r="O60" s="6">
        <v>6</v>
      </c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>
        <v>10</v>
      </c>
      <c r="AR60" s="4"/>
      <c r="AS60" s="4"/>
      <c r="AT60" s="4"/>
      <c r="AU60" s="4"/>
      <c r="AV60" s="4"/>
      <c r="AW60" s="2"/>
      <c r="AX60" s="2">
        <v>10</v>
      </c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32</v>
      </c>
      <c r="BQ60" s="1">
        <v>4</v>
      </c>
      <c r="BR60" s="17">
        <v>1</v>
      </c>
      <c r="BS60" s="17" t="s">
        <v>251</v>
      </c>
      <c r="BT60" s="1">
        <f t="shared" si="23"/>
        <v>4</v>
      </c>
      <c r="BU60" s="1" t="str">
        <f t="shared" si="23"/>
        <v/>
      </c>
      <c r="BV60" s="1" t="str">
        <f t="shared" si="23"/>
        <v/>
      </c>
      <c r="BW60" s="1" t="str">
        <f t="shared" si="23"/>
        <v/>
      </c>
      <c r="BX60" s="1" t="str">
        <f t="shared" si="23"/>
        <v/>
      </c>
      <c r="BY60" s="1" t="str">
        <f t="shared" si="23"/>
        <v/>
      </c>
      <c r="BZ60" s="1" t="str">
        <f t="shared" si="23"/>
        <v/>
      </c>
      <c r="CA60" s="1" t="str">
        <f t="shared" si="23"/>
        <v/>
      </c>
      <c r="CB60" s="1" t="str">
        <f t="shared" si="23"/>
        <v/>
      </c>
      <c r="CC60" s="1" t="str">
        <f t="shared" si="23"/>
        <v/>
      </c>
      <c r="CD60" s="1" t="str">
        <f t="shared" si="23"/>
        <v/>
      </c>
      <c r="CE60" s="1" t="str">
        <f t="shared" si="23"/>
        <v/>
      </c>
      <c r="CF60" s="1">
        <f>COUNTIF(BT60:CE60, "&gt;0")</f>
        <v>1</v>
      </c>
      <c r="CG60" s="1">
        <f t="shared" si="24"/>
        <v>4</v>
      </c>
      <c r="CH60" s="1" t="str">
        <f t="shared" si="24"/>
        <v/>
      </c>
      <c r="CI60" s="1" t="str">
        <f t="shared" si="24"/>
        <v/>
      </c>
      <c r="CJ60" s="1" t="str">
        <f t="shared" si="24"/>
        <v/>
      </c>
      <c r="CK60" s="1" t="str">
        <f t="shared" si="24"/>
        <v/>
      </c>
      <c r="CL60" s="1" t="str">
        <f t="shared" si="24"/>
        <v/>
      </c>
      <c r="CM60" s="1" t="str">
        <f t="shared" si="24"/>
        <v/>
      </c>
      <c r="CN60" s="1" t="str">
        <f t="shared" si="24"/>
        <v/>
      </c>
      <c r="CO60" s="1" t="str">
        <f t="shared" si="24"/>
        <v/>
      </c>
      <c r="CP60" s="1" t="str">
        <f t="shared" si="24"/>
        <v/>
      </c>
      <c r="CQ60" s="1" t="str">
        <f t="shared" si="24"/>
        <v/>
      </c>
      <c r="CR60" s="1" t="str">
        <f t="shared" si="24"/>
        <v/>
      </c>
      <c r="CS60" s="18">
        <f>SUM(AE60:BO60)</f>
        <v>20</v>
      </c>
    </row>
    <row r="61" spans="1:97" x14ac:dyDescent="0.15">
      <c r="A61" s="1">
        <v>45</v>
      </c>
      <c r="B61" s="1" t="s">
        <v>118</v>
      </c>
      <c r="C61" s="1" t="s">
        <v>49</v>
      </c>
      <c r="D61" s="1" t="s">
        <v>13</v>
      </c>
      <c r="E61" s="6">
        <v>6</v>
      </c>
      <c r="F61" s="6"/>
      <c r="G61" s="6"/>
      <c r="H61" s="6"/>
      <c r="I61" s="6"/>
      <c r="J61" s="6"/>
      <c r="K61" s="6"/>
      <c r="L61" s="6"/>
      <c r="M61" s="6">
        <v>6</v>
      </c>
      <c r="N61" s="6"/>
      <c r="O61" s="6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>
        <v>10</v>
      </c>
      <c r="AR61" s="4"/>
      <c r="AS61" s="4"/>
      <c r="AT61" s="4"/>
      <c r="AU61" s="4"/>
      <c r="AV61" s="4"/>
      <c r="AW61" s="2"/>
      <c r="AX61" s="2"/>
      <c r="AY61" s="2"/>
      <c r="AZ61" s="2">
        <v>10</v>
      </c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32</v>
      </c>
      <c r="BQ61" s="1">
        <v>4</v>
      </c>
      <c r="BR61" s="17">
        <v>1</v>
      </c>
      <c r="BS61" s="17" t="s">
        <v>251</v>
      </c>
      <c r="BT61" s="1">
        <f t="shared" si="23"/>
        <v>4</v>
      </c>
      <c r="BU61" s="1" t="str">
        <f t="shared" si="23"/>
        <v/>
      </c>
      <c r="BV61" s="1" t="str">
        <f t="shared" si="23"/>
        <v/>
      </c>
      <c r="BW61" s="1" t="str">
        <f t="shared" si="23"/>
        <v/>
      </c>
      <c r="BX61" s="1" t="str">
        <f t="shared" si="23"/>
        <v/>
      </c>
      <c r="BY61" s="1" t="str">
        <f t="shared" si="23"/>
        <v/>
      </c>
      <c r="BZ61" s="1" t="str">
        <f t="shared" si="23"/>
        <v/>
      </c>
      <c r="CA61" s="1" t="str">
        <f t="shared" si="23"/>
        <v/>
      </c>
      <c r="CB61" s="1" t="str">
        <f t="shared" si="23"/>
        <v/>
      </c>
      <c r="CC61" s="1" t="str">
        <f t="shared" si="23"/>
        <v/>
      </c>
      <c r="CD61" s="1" t="str">
        <f t="shared" si="23"/>
        <v/>
      </c>
      <c r="CE61" s="1" t="str">
        <f t="shared" si="23"/>
        <v/>
      </c>
      <c r="CF61" s="1">
        <f>COUNTIF(BT61:CE61, "&gt;0")</f>
        <v>1</v>
      </c>
      <c r="CG61" s="1">
        <f t="shared" si="24"/>
        <v>4</v>
      </c>
      <c r="CH61" s="1" t="str">
        <f t="shared" si="24"/>
        <v/>
      </c>
      <c r="CI61" s="1" t="str">
        <f t="shared" si="24"/>
        <v/>
      </c>
      <c r="CJ61" s="1" t="str">
        <f t="shared" si="24"/>
        <v/>
      </c>
      <c r="CK61" s="1" t="str">
        <f t="shared" si="24"/>
        <v/>
      </c>
      <c r="CL61" s="1" t="str">
        <f t="shared" si="24"/>
        <v/>
      </c>
      <c r="CM61" s="1" t="str">
        <f t="shared" si="24"/>
        <v/>
      </c>
      <c r="CN61" s="1" t="str">
        <f t="shared" si="24"/>
        <v/>
      </c>
      <c r="CO61" s="1" t="str">
        <f t="shared" si="24"/>
        <v/>
      </c>
      <c r="CP61" s="1" t="str">
        <f t="shared" si="24"/>
        <v/>
      </c>
      <c r="CQ61" s="1" t="str">
        <f t="shared" si="24"/>
        <v/>
      </c>
      <c r="CR61" s="1" t="str">
        <f t="shared" si="24"/>
        <v/>
      </c>
      <c r="CS61" s="18">
        <f>SUM(AE61:BO61)</f>
        <v>20</v>
      </c>
    </row>
    <row r="62" spans="1:97" x14ac:dyDescent="0.15">
      <c r="A62" s="1"/>
      <c r="B62" s="1" t="s">
        <v>140</v>
      </c>
      <c r="C62" s="1" t="s">
        <v>119</v>
      </c>
      <c r="D62" s="1" t="s">
        <v>120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>
        <v>10</v>
      </c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>
        <v>10</v>
      </c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v>4</v>
      </c>
      <c r="BR62" s="17">
        <v>1</v>
      </c>
      <c r="BS62" s="17" t="s">
        <v>251</v>
      </c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8"/>
    </row>
    <row r="63" spans="1:97" x14ac:dyDescent="0.15">
      <c r="A63" s="1">
        <v>17</v>
      </c>
      <c r="B63" s="1" t="s">
        <v>35</v>
      </c>
      <c r="C63" s="1" t="s">
        <v>32</v>
      </c>
      <c r="D63" s="1" t="s">
        <v>24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1"/>
      <c r="AF63" s="1">
        <v>5</v>
      </c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 t="shared" ref="BP63:BP69" si="25">SUM(E63:BO63)</f>
        <v>5</v>
      </c>
      <c r="BQ63" s="1">
        <v>5</v>
      </c>
      <c r="BR63" s="17">
        <v>1</v>
      </c>
      <c r="BS63" s="17" t="s">
        <v>252</v>
      </c>
      <c r="BT63" s="1" t="str">
        <f t="shared" ref="BT63:CE69" si="26">IF(AQ63&gt;AQ$159, AQ63-AQ$159,"")</f>
        <v/>
      </c>
      <c r="BU63" s="1" t="str">
        <f t="shared" si="26"/>
        <v/>
      </c>
      <c r="BV63" s="1" t="str">
        <f t="shared" si="26"/>
        <v/>
      </c>
      <c r="BW63" s="1" t="str">
        <f t="shared" si="26"/>
        <v/>
      </c>
      <c r="BX63" s="1" t="str">
        <f t="shared" si="26"/>
        <v/>
      </c>
      <c r="BY63" s="1" t="str">
        <f t="shared" si="26"/>
        <v/>
      </c>
      <c r="BZ63" s="1" t="str">
        <f t="shared" si="26"/>
        <v/>
      </c>
      <c r="CA63" s="1" t="str">
        <f t="shared" si="26"/>
        <v/>
      </c>
      <c r="CB63" s="1" t="str">
        <f t="shared" si="26"/>
        <v/>
      </c>
      <c r="CC63" s="1" t="str">
        <f t="shared" si="26"/>
        <v/>
      </c>
      <c r="CD63" s="1" t="str">
        <f t="shared" si="26"/>
        <v/>
      </c>
      <c r="CE63" s="1" t="str">
        <f t="shared" si="26"/>
        <v/>
      </c>
      <c r="CF63" s="1">
        <f t="shared" ref="CF63:CF69" si="27">COUNTIF(BT63:CE63, "&gt;0")</f>
        <v>0</v>
      </c>
      <c r="CG63" s="1" t="str">
        <f t="shared" ref="CG63:CR69" si="28">IF($CF63=1,BT63,"")</f>
        <v/>
      </c>
      <c r="CH63" s="1" t="str">
        <f t="shared" si="28"/>
        <v/>
      </c>
      <c r="CI63" s="1" t="str">
        <f t="shared" si="28"/>
        <v/>
      </c>
      <c r="CJ63" s="1" t="str">
        <f t="shared" si="28"/>
        <v/>
      </c>
      <c r="CK63" s="1" t="str">
        <f t="shared" si="28"/>
        <v/>
      </c>
      <c r="CL63" s="1" t="str">
        <f t="shared" si="28"/>
        <v/>
      </c>
      <c r="CM63" s="1" t="str">
        <f t="shared" si="28"/>
        <v/>
      </c>
      <c r="CN63" s="1" t="str">
        <f t="shared" si="28"/>
        <v/>
      </c>
      <c r="CO63" s="1" t="str">
        <f t="shared" si="28"/>
        <v/>
      </c>
      <c r="CP63" s="1" t="str">
        <f t="shared" si="28"/>
        <v/>
      </c>
      <c r="CQ63" s="1" t="str">
        <f t="shared" si="28"/>
        <v/>
      </c>
      <c r="CR63" s="1" t="str">
        <f t="shared" si="28"/>
        <v/>
      </c>
      <c r="CS63" s="18">
        <f t="shared" ref="CS63:CS69" si="29">SUM(AE63:BO63)</f>
        <v>5</v>
      </c>
    </row>
    <row r="64" spans="1:97" x14ac:dyDescent="0.15">
      <c r="A64" s="1">
        <v>18</v>
      </c>
      <c r="B64" s="1" t="s">
        <v>35</v>
      </c>
      <c r="C64" s="1" t="s">
        <v>32</v>
      </c>
      <c r="D64" s="1" t="s">
        <v>25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1"/>
      <c r="AF64" s="1"/>
      <c r="AG64" s="1">
        <v>5</v>
      </c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 t="shared" si="25"/>
        <v>5</v>
      </c>
      <c r="BQ64" s="1">
        <v>5</v>
      </c>
      <c r="BR64" s="17">
        <v>1</v>
      </c>
      <c r="BS64" s="17" t="s">
        <v>207</v>
      </c>
      <c r="BT64" s="1" t="str">
        <f t="shared" si="26"/>
        <v/>
      </c>
      <c r="BU64" s="1" t="str">
        <f t="shared" si="26"/>
        <v/>
      </c>
      <c r="BV64" s="1" t="str">
        <f t="shared" si="26"/>
        <v/>
      </c>
      <c r="BW64" s="1" t="str">
        <f t="shared" si="26"/>
        <v/>
      </c>
      <c r="BX64" s="1" t="str">
        <f t="shared" si="26"/>
        <v/>
      </c>
      <c r="BY64" s="1" t="str">
        <f t="shared" si="26"/>
        <v/>
      </c>
      <c r="BZ64" s="1" t="str">
        <f t="shared" si="26"/>
        <v/>
      </c>
      <c r="CA64" s="1" t="str">
        <f t="shared" si="26"/>
        <v/>
      </c>
      <c r="CB64" s="1" t="str">
        <f t="shared" si="26"/>
        <v/>
      </c>
      <c r="CC64" s="1" t="str">
        <f t="shared" si="26"/>
        <v/>
      </c>
      <c r="CD64" s="1" t="str">
        <f t="shared" si="26"/>
        <v/>
      </c>
      <c r="CE64" s="1" t="str">
        <f t="shared" si="26"/>
        <v/>
      </c>
      <c r="CF64" s="1">
        <f t="shared" si="27"/>
        <v>0</v>
      </c>
      <c r="CG64" s="1" t="str">
        <f t="shared" si="28"/>
        <v/>
      </c>
      <c r="CH64" s="1" t="str">
        <f t="shared" si="28"/>
        <v/>
      </c>
      <c r="CI64" s="1" t="str">
        <f t="shared" si="28"/>
        <v/>
      </c>
      <c r="CJ64" s="1" t="str">
        <f t="shared" si="28"/>
        <v/>
      </c>
      <c r="CK64" s="1" t="str">
        <f t="shared" si="28"/>
        <v/>
      </c>
      <c r="CL64" s="1" t="str">
        <f t="shared" si="28"/>
        <v/>
      </c>
      <c r="CM64" s="1" t="str">
        <f t="shared" si="28"/>
        <v/>
      </c>
      <c r="CN64" s="1" t="str">
        <f t="shared" si="28"/>
        <v/>
      </c>
      <c r="CO64" s="1" t="str">
        <f t="shared" si="28"/>
        <v/>
      </c>
      <c r="CP64" s="1" t="str">
        <f t="shared" si="28"/>
        <v/>
      </c>
      <c r="CQ64" s="1" t="str">
        <f t="shared" si="28"/>
        <v/>
      </c>
      <c r="CR64" s="1" t="str">
        <f t="shared" si="28"/>
        <v/>
      </c>
      <c r="CS64" s="18">
        <f t="shared" si="29"/>
        <v>5</v>
      </c>
    </row>
    <row r="65" spans="1:97" x14ac:dyDescent="0.15">
      <c r="A65" s="1">
        <v>19</v>
      </c>
      <c r="B65" s="1" t="s">
        <v>38</v>
      </c>
      <c r="C65" s="1" t="s">
        <v>32</v>
      </c>
      <c r="D65" s="1" t="s">
        <v>24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1"/>
      <c r="AF65" s="1"/>
      <c r="AG65" s="1">
        <v>5</v>
      </c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 t="shared" si="25"/>
        <v>5</v>
      </c>
      <c r="BQ65" s="1">
        <v>5</v>
      </c>
      <c r="BR65" s="17">
        <v>1</v>
      </c>
      <c r="BS65" s="17" t="s">
        <v>207</v>
      </c>
      <c r="BT65" s="1" t="str">
        <f t="shared" si="26"/>
        <v/>
      </c>
      <c r="BU65" s="1" t="str">
        <f t="shared" si="26"/>
        <v/>
      </c>
      <c r="BV65" s="1" t="str">
        <f t="shared" si="26"/>
        <v/>
      </c>
      <c r="BW65" s="1" t="str">
        <f t="shared" si="26"/>
        <v/>
      </c>
      <c r="BX65" s="1" t="str">
        <f t="shared" si="26"/>
        <v/>
      </c>
      <c r="BY65" s="1" t="str">
        <f t="shared" si="26"/>
        <v/>
      </c>
      <c r="BZ65" s="1" t="str">
        <f t="shared" si="26"/>
        <v/>
      </c>
      <c r="CA65" s="1" t="str">
        <f t="shared" si="26"/>
        <v/>
      </c>
      <c r="CB65" s="1" t="str">
        <f t="shared" si="26"/>
        <v/>
      </c>
      <c r="CC65" s="1" t="str">
        <f t="shared" si="26"/>
        <v/>
      </c>
      <c r="CD65" s="1" t="str">
        <f t="shared" si="26"/>
        <v/>
      </c>
      <c r="CE65" s="1" t="str">
        <f t="shared" si="26"/>
        <v/>
      </c>
      <c r="CF65" s="1">
        <f t="shared" si="27"/>
        <v>0</v>
      </c>
      <c r="CG65" s="1" t="str">
        <f t="shared" si="28"/>
        <v/>
      </c>
      <c r="CH65" s="1" t="str">
        <f t="shared" si="28"/>
        <v/>
      </c>
      <c r="CI65" s="1" t="str">
        <f t="shared" si="28"/>
        <v/>
      </c>
      <c r="CJ65" s="1" t="str">
        <f t="shared" si="28"/>
        <v/>
      </c>
      <c r="CK65" s="1" t="str">
        <f t="shared" si="28"/>
        <v/>
      </c>
      <c r="CL65" s="1" t="str">
        <f t="shared" si="28"/>
        <v/>
      </c>
      <c r="CM65" s="1" t="str">
        <f t="shared" si="28"/>
        <v/>
      </c>
      <c r="CN65" s="1" t="str">
        <f t="shared" si="28"/>
        <v/>
      </c>
      <c r="CO65" s="1" t="str">
        <f t="shared" si="28"/>
        <v/>
      </c>
      <c r="CP65" s="1" t="str">
        <f t="shared" si="28"/>
        <v/>
      </c>
      <c r="CQ65" s="1" t="str">
        <f t="shared" si="28"/>
        <v/>
      </c>
      <c r="CR65" s="1" t="str">
        <f t="shared" si="28"/>
        <v/>
      </c>
      <c r="CS65" s="18">
        <f t="shared" si="29"/>
        <v>5</v>
      </c>
    </row>
    <row r="66" spans="1:97" x14ac:dyDescent="0.15">
      <c r="A66" s="1">
        <v>32</v>
      </c>
      <c r="B66" s="1" t="s">
        <v>86</v>
      </c>
      <c r="C66" s="1" t="s">
        <v>32</v>
      </c>
      <c r="D66" s="1" t="s">
        <v>24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1"/>
      <c r="AF66" s="1"/>
      <c r="AG66" s="1"/>
      <c r="AH66" s="1"/>
      <c r="AI66" s="1">
        <v>5</v>
      </c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 t="shared" si="25"/>
        <v>5</v>
      </c>
      <c r="BQ66" s="1">
        <v>5</v>
      </c>
      <c r="BR66" s="17">
        <v>1</v>
      </c>
      <c r="BS66" s="17" t="s">
        <v>208</v>
      </c>
      <c r="BT66" s="1" t="str">
        <f t="shared" si="26"/>
        <v/>
      </c>
      <c r="BU66" s="1" t="str">
        <f t="shared" si="26"/>
        <v/>
      </c>
      <c r="BV66" s="1" t="str">
        <f t="shared" si="26"/>
        <v/>
      </c>
      <c r="BW66" s="1" t="str">
        <f t="shared" si="26"/>
        <v/>
      </c>
      <c r="BX66" s="1" t="str">
        <f t="shared" si="26"/>
        <v/>
      </c>
      <c r="BY66" s="1" t="str">
        <f t="shared" si="26"/>
        <v/>
      </c>
      <c r="BZ66" s="1" t="str">
        <f t="shared" si="26"/>
        <v/>
      </c>
      <c r="CA66" s="1" t="str">
        <f t="shared" si="26"/>
        <v/>
      </c>
      <c r="CB66" s="1" t="str">
        <f t="shared" si="26"/>
        <v/>
      </c>
      <c r="CC66" s="1" t="str">
        <f t="shared" si="26"/>
        <v/>
      </c>
      <c r="CD66" s="1" t="str">
        <f t="shared" si="26"/>
        <v/>
      </c>
      <c r="CE66" s="1" t="str">
        <f t="shared" si="26"/>
        <v/>
      </c>
      <c r="CF66" s="1">
        <f t="shared" si="27"/>
        <v>0</v>
      </c>
      <c r="CG66" s="1" t="str">
        <f t="shared" si="28"/>
        <v/>
      </c>
      <c r="CH66" s="1" t="str">
        <f t="shared" si="28"/>
        <v/>
      </c>
      <c r="CI66" s="1" t="str">
        <f t="shared" si="28"/>
        <v/>
      </c>
      <c r="CJ66" s="1" t="str">
        <f t="shared" si="28"/>
        <v/>
      </c>
      <c r="CK66" s="1" t="str">
        <f t="shared" si="28"/>
        <v/>
      </c>
      <c r="CL66" s="1" t="str">
        <f t="shared" si="28"/>
        <v/>
      </c>
      <c r="CM66" s="1" t="str">
        <f t="shared" si="28"/>
        <v/>
      </c>
      <c r="CN66" s="1" t="str">
        <f t="shared" si="28"/>
        <v/>
      </c>
      <c r="CO66" s="1" t="str">
        <f t="shared" si="28"/>
        <v/>
      </c>
      <c r="CP66" s="1" t="str">
        <f t="shared" si="28"/>
        <v/>
      </c>
      <c r="CQ66" s="1" t="str">
        <f t="shared" si="28"/>
        <v/>
      </c>
      <c r="CR66" s="1" t="str">
        <f t="shared" si="28"/>
        <v/>
      </c>
      <c r="CS66" s="18">
        <f t="shared" si="29"/>
        <v>5</v>
      </c>
    </row>
    <row r="67" spans="1:97" x14ac:dyDescent="0.15">
      <c r="A67" s="1">
        <v>33</v>
      </c>
      <c r="B67" s="1" t="s">
        <v>86</v>
      </c>
      <c r="C67" s="1" t="s">
        <v>32</v>
      </c>
      <c r="D67" s="1" t="s">
        <v>1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1"/>
      <c r="AF67" s="1"/>
      <c r="AG67" s="1"/>
      <c r="AH67" s="1">
        <v>5</v>
      </c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 t="shared" si="25"/>
        <v>5</v>
      </c>
      <c r="BQ67" s="1">
        <v>5</v>
      </c>
      <c r="BR67" s="17">
        <v>1</v>
      </c>
      <c r="BS67" s="17" t="s">
        <v>253</v>
      </c>
      <c r="BT67" s="1" t="str">
        <f t="shared" si="26"/>
        <v/>
      </c>
      <c r="BU67" s="1" t="str">
        <f t="shared" si="26"/>
        <v/>
      </c>
      <c r="BV67" s="1" t="str">
        <f t="shared" si="26"/>
        <v/>
      </c>
      <c r="BW67" s="1" t="str">
        <f t="shared" si="26"/>
        <v/>
      </c>
      <c r="BX67" s="1" t="str">
        <f t="shared" si="26"/>
        <v/>
      </c>
      <c r="BY67" s="1" t="str">
        <f t="shared" si="26"/>
        <v/>
      </c>
      <c r="BZ67" s="1" t="str">
        <f t="shared" si="26"/>
        <v/>
      </c>
      <c r="CA67" s="1" t="str">
        <f t="shared" si="26"/>
        <v/>
      </c>
      <c r="CB67" s="1" t="str">
        <f t="shared" si="26"/>
        <v/>
      </c>
      <c r="CC67" s="1" t="str">
        <f t="shared" si="26"/>
        <v/>
      </c>
      <c r="CD67" s="1" t="str">
        <f t="shared" si="26"/>
        <v/>
      </c>
      <c r="CE67" s="1" t="str">
        <f t="shared" si="26"/>
        <v/>
      </c>
      <c r="CF67" s="1">
        <f t="shared" si="27"/>
        <v>0</v>
      </c>
      <c r="CG67" s="1" t="str">
        <f t="shared" si="28"/>
        <v/>
      </c>
      <c r="CH67" s="1" t="str">
        <f t="shared" si="28"/>
        <v/>
      </c>
      <c r="CI67" s="1" t="str">
        <f t="shared" si="28"/>
        <v/>
      </c>
      <c r="CJ67" s="1" t="str">
        <f t="shared" si="28"/>
        <v/>
      </c>
      <c r="CK67" s="1" t="str">
        <f t="shared" si="28"/>
        <v/>
      </c>
      <c r="CL67" s="1" t="str">
        <f t="shared" si="28"/>
        <v/>
      </c>
      <c r="CM67" s="1" t="str">
        <f t="shared" si="28"/>
        <v/>
      </c>
      <c r="CN67" s="1" t="str">
        <f t="shared" si="28"/>
        <v/>
      </c>
      <c r="CO67" s="1" t="str">
        <f t="shared" si="28"/>
        <v/>
      </c>
      <c r="CP67" s="1" t="str">
        <f t="shared" si="28"/>
        <v/>
      </c>
      <c r="CQ67" s="1" t="str">
        <f t="shared" si="28"/>
        <v/>
      </c>
      <c r="CR67" s="1" t="str">
        <f t="shared" si="28"/>
        <v/>
      </c>
      <c r="CS67" s="18">
        <f t="shared" si="29"/>
        <v>5</v>
      </c>
    </row>
    <row r="68" spans="1:97" x14ac:dyDescent="0.15">
      <c r="A68" s="1">
        <v>63</v>
      </c>
      <c r="B68" s="3" t="s">
        <v>67</v>
      </c>
      <c r="C68" s="1" t="s">
        <v>62</v>
      </c>
      <c r="D68" s="1" t="s">
        <v>24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1"/>
      <c r="AF68" s="1"/>
      <c r="AG68" s="1"/>
      <c r="AH68" s="1"/>
      <c r="AI68" s="1"/>
      <c r="AJ68" s="1"/>
      <c r="AK68" s="1"/>
      <c r="AL68" s="1"/>
      <c r="AM68" s="1"/>
      <c r="AN68" s="1">
        <v>5</v>
      </c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 t="shared" si="25"/>
        <v>5</v>
      </c>
      <c r="BQ68" s="1">
        <v>5</v>
      </c>
      <c r="BR68" s="17">
        <v>1</v>
      </c>
      <c r="BS68" s="17" t="s">
        <v>209</v>
      </c>
      <c r="BT68" s="1" t="str">
        <f t="shared" si="26"/>
        <v/>
      </c>
      <c r="BU68" s="1" t="str">
        <f t="shared" si="26"/>
        <v/>
      </c>
      <c r="BV68" s="1" t="str">
        <f t="shared" si="26"/>
        <v/>
      </c>
      <c r="BW68" s="1" t="str">
        <f t="shared" si="26"/>
        <v/>
      </c>
      <c r="BX68" s="1" t="str">
        <f t="shared" si="26"/>
        <v/>
      </c>
      <c r="BY68" s="1" t="str">
        <f t="shared" si="26"/>
        <v/>
      </c>
      <c r="BZ68" s="1" t="str">
        <f t="shared" si="26"/>
        <v/>
      </c>
      <c r="CA68" s="1" t="str">
        <f t="shared" si="26"/>
        <v/>
      </c>
      <c r="CB68" s="1" t="str">
        <f t="shared" si="26"/>
        <v/>
      </c>
      <c r="CC68" s="1" t="str">
        <f t="shared" si="26"/>
        <v/>
      </c>
      <c r="CD68" s="1" t="str">
        <f t="shared" si="26"/>
        <v/>
      </c>
      <c r="CE68" s="1" t="str">
        <f t="shared" si="26"/>
        <v/>
      </c>
      <c r="CF68" s="1">
        <f t="shared" si="27"/>
        <v>0</v>
      </c>
      <c r="CG68" s="1" t="str">
        <f t="shared" si="28"/>
        <v/>
      </c>
      <c r="CH68" s="1" t="str">
        <f t="shared" si="28"/>
        <v/>
      </c>
      <c r="CI68" s="1" t="str">
        <f t="shared" si="28"/>
        <v/>
      </c>
      <c r="CJ68" s="1" t="str">
        <f t="shared" si="28"/>
        <v/>
      </c>
      <c r="CK68" s="1" t="str">
        <f t="shared" si="28"/>
        <v/>
      </c>
      <c r="CL68" s="1" t="str">
        <f t="shared" si="28"/>
        <v/>
      </c>
      <c r="CM68" s="1" t="str">
        <f t="shared" si="28"/>
        <v/>
      </c>
      <c r="CN68" s="1" t="str">
        <f t="shared" si="28"/>
        <v/>
      </c>
      <c r="CO68" s="1" t="str">
        <f t="shared" si="28"/>
        <v/>
      </c>
      <c r="CP68" s="1" t="str">
        <f t="shared" si="28"/>
        <v/>
      </c>
      <c r="CQ68" s="1" t="str">
        <f t="shared" si="28"/>
        <v/>
      </c>
      <c r="CR68" s="1" t="str">
        <f t="shared" si="28"/>
        <v/>
      </c>
      <c r="CS68" s="18">
        <f t="shared" si="29"/>
        <v>5</v>
      </c>
    </row>
    <row r="69" spans="1:97" x14ac:dyDescent="0.15">
      <c r="A69" s="1">
        <v>90</v>
      </c>
      <c r="B69" s="3" t="s">
        <v>90</v>
      </c>
      <c r="C69" s="3" t="s">
        <v>89</v>
      </c>
      <c r="D69" s="1" t="s">
        <v>24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1"/>
      <c r="AF69" s="1"/>
      <c r="AG69" s="1"/>
      <c r="AH69" s="1"/>
      <c r="AI69" s="1"/>
      <c r="AJ69" s="1"/>
      <c r="AK69" s="1"/>
      <c r="AL69" s="1"/>
      <c r="AM69" s="1"/>
      <c r="AN69" s="1">
        <v>5</v>
      </c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 t="shared" si="25"/>
        <v>5</v>
      </c>
      <c r="BQ69" s="1">
        <v>5</v>
      </c>
      <c r="BR69" s="17">
        <v>1</v>
      </c>
      <c r="BS69" s="17" t="s">
        <v>209</v>
      </c>
      <c r="BT69" s="1" t="str">
        <f t="shared" si="26"/>
        <v/>
      </c>
      <c r="BU69" s="1" t="str">
        <f t="shared" si="26"/>
        <v/>
      </c>
      <c r="BV69" s="1" t="str">
        <f t="shared" si="26"/>
        <v/>
      </c>
      <c r="BW69" s="1" t="str">
        <f t="shared" si="26"/>
        <v/>
      </c>
      <c r="BX69" s="1" t="str">
        <f t="shared" si="26"/>
        <v/>
      </c>
      <c r="BY69" s="1" t="str">
        <f t="shared" si="26"/>
        <v/>
      </c>
      <c r="BZ69" s="1" t="str">
        <f t="shared" si="26"/>
        <v/>
      </c>
      <c r="CA69" s="1" t="str">
        <f t="shared" si="26"/>
        <v/>
      </c>
      <c r="CB69" s="1" t="str">
        <f t="shared" si="26"/>
        <v/>
      </c>
      <c r="CC69" s="1" t="str">
        <f t="shared" si="26"/>
        <v/>
      </c>
      <c r="CD69" s="1" t="str">
        <f t="shared" si="26"/>
        <v/>
      </c>
      <c r="CE69" s="1" t="str">
        <f t="shared" si="26"/>
        <v/>
      </c>
      <c r="CF69" s="1">
        <f t="shared" si="27"/>
        <v>0</v>
      </c>
      <c r="CG69" s="1" t="str">
        <f t="shared" si="28"/>
        <v/>
      </c>
      <c r="CH69" s="1" t="str">
        <f t="shared" si="28"/>
        <v/>
      </c>
      <c r="CI69" s="1" t="str">
        <f t="shared" si="28"/>
        <v/>
      </c>
      <c r="CJ69" s="1" t="str">
        <f t="shared" si="28"/>
        <v/>
      </c>
      <c r="CK69" s="1" t="str">
        <f t="shared" si="28"/>
        <v/>
      </c>
      <c r="CL69" s="1" t="str">
        <f t="shared" si="28"/>
        <v/>
      </c>
      <c r="CM69" s="1" t="str">
        <f t="shared" si="28"/>
        <v/>
      </c>
      <c r="CN69" s="1" t="str">
        <f t="shared" si="28"/>
        <v/>
      </c>
      <c r="CO69" s="1" t="str">
        <f t="shared" si="28"/>
        <v/>
      </c>
      <c r="CP69" s="1" t="str">
        <f t="shared" si="28"/>
        <v/>
      </c>
      <c r="CQ69" s="1" t="str">
        <f t="shared" si="28"/>
        <v/>
      </c>
      <c r="CR69" s="1" t="str">
        <f t="shared" si="28"/>
        <v/>
      </c>
      <c r="CS69" s="18">
        <f t="shared" si="29"/>
        <v>5</v>
      </c>
    </row>
    <row r="70" spans="1:97" x14ac:dyDescent="0.15">
      <c r="A70" s="1"/>
      <c r="B70" s="1" t="s">
        <v>138</v>
      </c>
      <c r="C70" s="1" t="s">
        <v>134</v>
      </c>
      <c r="D70" s="1" t="s">
        <v>128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1"/>
      <c r="AF70" s="1"/>
      <c r="AG70" s="1"/>
      <c r="AH70" s="1">
        <v>5</v>
      </c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v>5</v>
      </c>
      <c r="BR70" s="17">
        <v>1</v>
      </c>
      <c r="BS70" s="17" t="s">
        <v>253</v>
      </c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8"/>
    </row>
    <row r="71" spans="1:97" x14ac:dyDescent="0.15">
      <c r="A71" s="1"/>
      <c r="B71" s="1" t="s">
        <v>138</v>
      </c>
      <c r="C71" s="1" t="s">
        <v>134</v>
      </c>
      <c r="D71" s="1" t="s">
        <v>121</v>
      </c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1"/>
      <c r="AF71" s="1"/>
      <c r="AG71" s="1"/>
      <c r="AH71" s="1"/>
      <c r="AI71" s="1">
        <v>5</v>
      </c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v>5</v>
      </c>
      <c r="BR71" s="17">
        <v>1</v>
      </c>
      <c r="BS71" s="17" t="s">
        <v>208</v>
      </c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8"/>
    </row>
    <row r="72" spans="1:97" x14ac:dyDescent="0.15">
      <c r="A72" s="1"/>
      <c r="B72" s="1" t="s">
        <v>151</v>
      </c>
      <c r="C72" s="1" t="s">
        <v>146</v>
      </c>
      <c r="D72" s="1" t="s">
        <v>121</v>
      </c>
      <c r="E72" s="6"/>
      <c r="F72" s="6"/>
      <c r="G72" s="6"/>
      <c r="H72" s="6">
        <v>10</v>
      </c>
      <c r="I72" s="6"/>
      <c r="J72" s="6">
        <v>10</v>
      </c>
      <c r="K72" s="6"/>
      <c r="L72" s="6"/>
      <c r="M72" s="6"/>
      <c r="N72" s="6"/>
      <c r="O72" s="6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>
        <v>10</v>
      </c>
      <c r="AU72" s="4"/>
      <c r="AV72" s="4"/>
      <c r="AW72" s="2"/>
      <c r="AX72" s="2"/>
      <c r="AY72" s="2">
        <v>10</v>
      </c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v>7</v>
      </c>
      <c r="BR72" s="17">
        <v>1</v>
      </c>
      <c r="BS72" s="17" t="s">
        <v>254</v>
      </c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8"/>
    </row>
    <row r="73" spans="1:97" x14ac:dyDescent="0.15">
      <c r="A73" s="1"/>
      <c r="B73" s="1" t="s">
        <v>126</v>
      </c>
      <c r="C73" s="1" t="s">
        <v>123</v>
      </c>
      <c r="D73" s="1" t="s">
        <v>120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>
        <v>10</v>
      </c>
      <c r="AT73" s="4"/>
      <c r="AU73" s="4"/>
      <c r="AV73" s="4"/>
      <c r="AW73" s="2"/>
      <c r="AX73" s="2"/>
      <c r="AY73" s="2"/>
      <c r="AZ73" s="2"/>
      <c r="BA73" s="2"/>
      <c r="BB73" s="2">
        <v>10</v>
      </c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v>8</v>
      </c>
      <c r="BR73" s="17">
        <v>1</v>
      </c>
      <c r="BS73" s="17" t="s">
        <v>212</v>
      </c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8"/>
    </row>
    <row r="74" spans="1:97" x14ac:dyDescent="0.15">
      <c r="A74" s="1">
        <v>34</v>
      </c>
      <c r="B74" s="1" t="s">
        <v>48</v>
      </c>
      <c r="C74" s="1" t="s">
        <v>49</v>
      </c>
      <c r="D74" s="1" t="s">
        <v>25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>
        <v>15</v>
      </c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>
        <v>15</v>
      </c>
      <c r="BC74" s="14"/>
      <c r="BD74" s="1"/>
      <c r="BE74" s="1"/>
      <c r="BF74" s="1"/>
      <c r="BG74" s="1"/>
      <c r="BH74" s="1">
        <v>15</v>
      </c>
      <c r="BI74" s="1">
        <v>15</v>
      </c>
      <c r="BJ74" s="1"/>
      <c r="BK74" s="1"/>
      <c r="BL74" s="1"/>
      <c r="BM74" s="1"/>
      <c r="BN74" s="1"/>
      <c r="BO74" s="1"/>
      <c r="BP74" s="1">
        <f>SUM(E74:BO74)</f>
        <v>60</v>
      </c>
      <c r="BQ74" s="1">
        <v>9</v>
      </c>
      <c r="BR74" s="17">
        <v>1</v>
      </c>
      <c r="BS74" s="17" t="s">
        <v>255</v>
      </c>
      <c r="BT74" s="1">
        <f t="shared" ref="BT74:CE74" si="30">IF(AQ74&gt;AQ$159, AQ74-AQ$159,"")</f>
        <v>9</v>
      </c>
      <c r="BU74" s="1" t="str">
        <f t="shared" si="30"/>
        <v/>
      </c>
      <c r="BV74" s="1" t="str">
        <f t="shared" si="30"/>
        <v/>
      </c>
      <c r="BW74" s="1" t="str">
        <f t="shared" si="30"/>
        <v/>
      </c>
      <c r="BX74" s="1" t="str">
        <f t="shared" si="30"/>
        <v/>
      </c>
      <c r="BY74" s="1" t="str">
        <f t="shared" si="30"/>
        <v/>
      </c>
      <c r="BZ74" s="1" t="str">
        <f t="shared" si="30"/>
        <v/>
      </c>
      <c r="CA74" s="1" t="str">
        <f t="shared" si="30"/>
        <v/>
      </c>
      <c r="CB74" s="1" t="str">
        <f t="shared" si="30"/>
        <v/>
      </c>
      <c r="CC74" s="1" t="str">
        <f t="shared" si="30"/>
        <v/>
      </c>
      <c r="CD74" s="1" t="str">
        <f t="shared" si="30"/>
        <v/>
      </c>
      <c r="CE74" s="1" t="str">
        <f t="shared" si="30"/>
        <v/>
      </c>
      <c r="CF74" s="1">
        <f>COUNTIF(BT74:CE74, "&gt;0")</f>
        <v>1</v>
      </c>
      <c r="CG74" s="1">
        <f t="shared" ref="CG74:CR74" si="31">IF($CF74=1,BT74,"")</f>
        <v>9</v>
      </c>
      <c r="CH74" s="1" t="str">
        <f t="shared" si="31"/>
        <v/>
      </c>
      <c r="CI74" s="1" t="str">
        <f t="shared" si="31"/>
        <v/>
      </c>
      <c r="CJ74" s="1" t="str">
        <f t="shared" si="31"/>
        <v/>
      </c>
      <c r="CK74" s="1" t="str">
        <f t="shared" si="31"/>
        <v/>
      </c>
      <c r="CL74" s="1" t="str">
        <f t="shared" si="31"/>
        <v/>
      </c>
      <c r="CM74" s="1" t="str">
        <f t="shared" si="31"/>
        <v/>
      </c>
      <c r="CN74" s="1" t="str">
        <f t="shared" si="31"/>
        <v/>
      </c>
      <c r="CO74" s="1" t="str">
        <f t="shared" si="31"/>
        <v/>
      </c>
      <c r="CP74" s="1" t="str">
        <f t="shared" si="31"/>
        <v/>
      </c>
      <c r="CQ74" s="1" t="str">
        <f t="shared" si="31"/>
        <v/>
      </c>
      <c r="CR74" s="1" t="str">
        <f t="shared" si="31"/>
        <v/>
      </c>
      <c r="CS74" s="18">
        <f>SUM(AE74:BO74)</f>
        <v>60</v>
      </c>
    </row>
    <row r="75" spans="1:97" x14ac:dyDescent="0.15">
      <c r="A75" s="1"/>
      <c r="B75" s="1" t="s">
        <v>139</v>
      </c>
      <c r="C75" s="1" t="s">
        <v>119</v>
      </c>
      <c r="D75" s="1" t="s">
        <v>120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>
        <v>15</v>
      </c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>
        <v>15</v>
      </c>
      <c r="BC75" s="14"/>
      <c r="BD75" s="1"/>
      <c r="BE75" s="1"/>
      <c r="BF75" s="1"/>
      <c r="BG75" s="1"/>
      <c r="BH75" s="1">
        <v>15</v>
      </c>
      <c r="BI75" s="1">
        <v>15</v>
      </c>
      <c r="BJ75" s="1"/>
      <c r="BK75" s="1"/>
      <c r="BL75" s="1"/>
      <c r="BM75" s="1"/>
      <c r="BN75" s="1"/>
      <c r="BO75" s="1"/>
      <c r="BP75" s="1"/>
      <c r="BQ75" s="1">
        <v>9</v>
      </c>
      <c r="BR75" s="17">
        <v>1</v>
      </c>
      <c r="BS75" s="17" t="s">
        <v>255</v>
      </c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8"/>
    </row>
    <row r="76" spans="1:97" x14ac:dyDescent="0.15">
      <c r="A76" s="1">
        <v>62</v>
      </c>
      <c r="B76" s="1" t="s">
        <v>117</v>
      </c>
      <c r="C76" s="1" t="s">
        <v>62</v>
      </c>
      <c r="D76" s="1" t="s">
        <v>1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1"/>
      <c r="AF76" s="1"/>
      <c r="AG76" s="1"/>
      <c r="AH76" s="1"/>
      <c r="AI76" s="1"/>
      <c r="AJ76" s="1"/>
      <c r="AK76" s="1"/>
      <c r="AL76" s="1"/>
      <c r="AM76" s="1">
        <v>15</v>
      </c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15</v>
      </c>
      <c r="BQ76" s="1">
        <v>11</v>
      </c>
      <c r="BR76" s="17">
        <v>1</v>
      </c>
      <c r="BS76" s="17" t="s">
        <v>214</v>
      </c>
      <c r="BT76" s="1" t="str">
        <f t="shared" ref="BT76:CE76" si="32">IF(AQ76&gt;AQ$159, AQ76-AQ$159,"")</f>
        <v/>
      </c>
      <c r="BU76" s="1" t="str">
        <f t="shared" si="32"/>
        <v/>
      </c>
      <c r="BV76" s="1" t="str">
        <f t="shared" si="32"/>
        <v/>
      </c>
      <c r="BW76" s="1" t="str">
        <f t="shared" si="32"/>
        <v/>
      </c>
      <c r="BX76" s="1" t="str">
        <f t="shared" si="32"/>
        <v/>
      </c>
      <c r="BY76" s="1" t="str">
        <f t="shared" si="32"/>
        <v/>
      </c>
      <c r="BZ76" s="1" t="str">
        <f t="shared" si="32"/>
        <v/>
      </c>
      <c r="CA76" s="1" t="str">
        <f t="shared" si="32"/>
        <v/>
      </c>
      <c r="CB76" s="1" t="str">
        <f t="shared" si="32"/>
        <v/>
      </c>
      <c r="CC76" s="1" t="str">
        <f t="shared" si="32"/>
        <v/>
      </c>
      <c r="CD76" s="1" t="str">
        <f t="shared" si="32"/>
        <v/>
      </c>
      <c r="CE76" s="1" t="str">
        <f t="shared" si="32"/>
        <v/>
      </c>
      <c r="CF76" s="1">
        <f>COUNTIF(BT76:CE76, "&gt;0")</f>
        <v>0</v>
      </c>
      <c r="CG76" s="1" t="str">
        <f t="shared" ref="CG76:CR76" si="33">IF($CF76=1,BT76,"")</f>
        <v/>
      </c>
      <c r="CH76" s="1" t="str">
        <f t="shared" si="33"/>
        <v/>
      </c>
      <c r="CI76" s="1" t="str">
        <f t="shared" si="33"/>
        <v/>
      </c>
      <c r="CJ76" s="1" t="str">
        <f t="shared" si="33"/>
        <v/>
      </c>
      <c r="CK76" s="1" t="str">
        <f t="shared" si="33"/>
        <v/>
      </c>
      <c r="CL76" s="1" t="str">
        <f t="shared" si="33"/>
        <v/>
      </c>
      <c r="CM76" s="1" t="str">
        <f t="shared" si="33"/>
        <v/>
      </c>
      <c r="CN76" s="1" t="str">
        <f t="shared" si="33"/>
        <v/>
      </c>
      <c r="CO76" s="1" t="str">
        <f t="shared" si="33"/>
        <v/>
      </c>
      <c r="CP76" s="1" t="str">
        <f t="shared" si="33"/>
        <v/>
      </c>
      <c r="CQ76" s="1" t="str">
        <f t="shared" si="33"/>
        <v/>
      </c>
      <c r="CR76" s="1" t="str">
        <f t="shared" si="33"/>
        <v/>
      </c>
      <c r="CS76" s="18">
        <f>SUM(AE76:BO76)</f>
        <v>15</v>
      </c>
    </row>
    <row r="77" spans="1:97" x14ac:dyDescent="0.15">
      <c r="A77" s="1"/>
      <c r="B77" s="1" t="s">
        <v>283</v>
      </c>
      <c r="C77" s="1" t="s">
        <v>32</v>
      </c>
      <c r="D77" s="1" t="s">
        <v>200</v>
      </c>
      <c r="E77" s="6">
        <v>20</v>
      </c>
      <c r="F77" s="6"/>
      <c r="G77" s="6"/>
      <c r="H77" s="6"/>
      <c r="I77" s="6">
        <v>20</v>
      </c>
      <c r="J77" s="6">
        <v>20</v>
      </c>
      <c r="K77" s="6"/>
      <c r="L77" s="6"/>
      <c r="M77" s="6"/>
      <c r="N77" s="6"/>
      <c r="O77" s="6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v>12</v>
      </c>
      <c r="BR77" s="17">
        <v>1</v>
      </c>
      <c r="BS77" s="17" t="s">
        <v>256</v>
      </c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8"/>
    </row>
    <row r="78" spans="1:97" x14ac:dyDescent="0.15">
      <c r="A78" s="1">
        <v>64</v>
      </c>
      <c r="B78" s="3" t="s">
        <v>67</v>
      </c>
      <c r="C78" s="1" t="s">
        <v>62</v>
      </c>
      <c r="D78" s="1" t="s">
        <v>1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1"/>
      <c r="AF78" s="1"/>
      <c r="AG78" s="1"/>
      <c r="AH78" s="1"/>
      <c r="AI78" s="1"/>
      <c r="AJ78" s="1"/>
      <c r="AK78" s="1"/>
      <c r="AL78" s="1"/>
      <c r="AM78" s="1"/>
      <c r="AN78" s="1">
        <v>15</v>
      </c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15</v>
      </c>
      <c r="BQ78" s="1">
        <v>15</v>
      </c>
      <c r="BR78" s="17">
        <v>1</v>
      </c>
      <c r="BS78" s="17" t="s">
        <v>215</v>
      </c>
      <c r="BT78" s="1" t="str">
        <f t="shared" ref="BT78:CE82" si="34">IF(AQ78&gt;AQ$159, AQ78-AQ$159,"")</f>
        <v/>
      </c>
      <c r="BU78" s="1" t="str">
        <f t="shared" si="34"/>
        <v/>
      </c>
      <c r="BV78" s="1" t="str">
        <f t="shared" si="34"/>
        <v/>
      </c>
      <c r="BW78" s="1" t="str">
        <f t="shared" si="34"/>
        <v/>
      </c>
      <c r="BX78" s="1" t="str">
        <f t="shared" si="34"/>
        <v/>
      </c>
      <c r="BY78" s="1" t="str">
        <f t="shared" si="34"/>
        <v/>
      </c>
      <c r="BZ78" s="1" t="str">
        <f t="shared" si="34"/>
        <v/>
      </c>
      <c r="CA78" s="1" t="str">
        <f t="shared" si="34"/>
        <v/>
      </c>
      <c r="CB78" s="1" t="str">
        <f t="shared" si="34"/>
        <v/>
      </c>
      <c r="CC78" s="1" t="str">
        <f t="shared" si="34"/>
        <v/>
      </c>
      <c r="CD78" s="1" t="str">
        <f t="shared" si="34"/>
        <v/>
      </c>
      <c r="CE78" s="1" t="str">
        <f t="shared" si="34"/>
        <v/>
      </c>
      <c r="CF78" s="1">
        <f>COUNTIF(BT78:CE78, "&gt;0")</f>
        <v>0</v>
      </c>
      <c r="CG78" s="1" t="str">
        <f t="shared" ref="CG78:CR82" si="35">IF($CF78=1,BT78,"")</f>
        <v/>
      </c>
      <c r="CH78" s="1" t="str">
        <f t="shared" si="35"/>
        <v/>
      </c>
      <c r="CI78" s="1" t="str">
        <f t="shared" si="35"/>
        <v/>
      </c>
      <c r="CJ78" s="1" t="str">
        <f t="shared" si="35"/>
        <v/>
      </c>
      <c r="CK78" s="1" t="str">
        <f t="shared" si="35"/>
        <v/>
      </c>
      <c r="CL78" s="1" t="str">
        <f t="shared" si="35"/>
        <v/>
      </c>
      <c r="CM78" s="1" t="str">
        <f t="shared" si="35"/>
        <v/>
      </c>
      <c r="CN78" s="1" t="str">
        <f t="shared" si="35"/>
        <v/>
      </c>
      <c r="CO78" s="1" t="str">
        <f t="shared" si="35"/>
        <v/>
      </c>
      <c r="CP78" s="1" t="str">
        <f t="shared" si="35"/>
        <v/>
      </c>
      <c r="CQ78" s="1" t="str">
        <f t="shared" si="35"/>
        <v/>
      </c>
      <c r="CR78" s="1" t="str">
        <f t="shared" si="35"/>
        <v/>
      </c>
      <c r="CS78" s="18">
        <f>SUM(AE78:BO78)</f>
        <v>15</v>
      </c>
    </row>
    <row r="79" spans="1:97" x14ac:dyDescent="0.15">
      <c r="A79" s="19">
        <v>93</v>
      </c>
      <c r="B79" s="27" t="s">
        <v>91</v>
      </c>
      <c r="C79" s="27" t="s">
        <v>89</v>
      </c>
      <c r="D79" s="19" t="s">
        <v>1</v>
      </c>
      <c r="E79" s="20"/>
      <c r="F79" s="20">
        <v>20</v>
      </c>
      <c r="G79" s="20"/>
      <c r="H79" s="20"/>
      <c r="I79" s="20"/>
      <c r="J79" s="20"/>
      <c r="K79" s="20">
        <v>20</v>
      </c>
      <c r="L79" s="20"/>
      <c r="M79" s="20"/>
      <c r="N79" s="20">
        <v>20</v>
      </c>
      <c r="O79" s="20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D79" s="33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21"/>
      <c r="AR79" s="21"/>
      <c r="AS79" s="21"/>
      <c r="AT79" s="21"/>
      <c r="AU79" s="21"/>
      <c r="AV79" s="21"/>
      <c r="AW79" s="22"/>
      <c r="AX79" s="22"/>
      <c r="AY79" s="22"/>
      <c r="AZ79" s="22"/>
      <c r="BA79" s="22"/>
      <c r="BB79" s="22"/>
      <c r="BC79" s="30"/>
      <c r="BD79" s="19"/>
      <c r="BE79" s="19"/>
      <c r="BF79" s="19"/>
      <c r="BG79" s="19"/>
      <c r="BH79" s="19"/>
      <c r="BI79" s="19"/>
      <c r="BJ79" s="19"/>
      <c r="BK79" s="19"/>
      <c r="BL79" s="19"/>
      <c r="BM79" s="19"/>
      <c r="BN79" s="19"/>
      <c r="BO79" s="19"/>
      <c r="BP79" s="19">
        <f>SUM(E79:BO79)</f>
        <v>60</v>
      </c>
      <c r="BQ79" s="19">
        <v>17</v>
      </c>
      <c r="BR79" s="23">
        <v>1</v>
      </c>
      <c r="BS79" s="23" t="s">
        <v>257</v>
      </c>
      <c r="BT79" s="19" t="str">
        <f t="shared" si="34"/>
        <v/>
      </c>
      <c r="BU79" s="19" t="str">
        <f t="shared" si="34"/>
        <v/>
      </c>
      <c r="BV79" s="19" t="str">
        <f t="shared" si="34"/>
        <v/>
      </c>
      <c r="BW79" s="19" t="str">
        <f t="shared" si="34"/>
        <v/>
      </c>
      <c r="BX79" s="19" t="str">
        <f t="shared" si="34"/>
        <v/>
      </c>
      <c r="BY79" s="19" t="str">
        <f t="shared" si="34"/>
        <v/>
      </c>
      <c r="BZ79" s="19" t="str">
        <f t="shared" si="34"/>
        <v/>
      </c>
      <c r="CA79" s="19" t="str">
        <f t="shared" si="34"/>
        <v/>
      </c>
      <c r="CB79" s="19" t="str">
        <f t="shared" si="34"/>
        <v/>
      </c>
      <c r="CC79" s="19" t="str">
        <f t="shared" si="34"/>
        <v/>
      </c>
      <c r="CD79" s="19" t="str">
        <f t="shared" si="34"/>
        <v/>
      </c>
      <c r="CE79" s="19" t="str">
        <f t="shared" si="34"/>
        <v/>
      </c>
      <c r="CF79" s="19">
        <f>COUNTIF(BT79:CE79, "&gt;0")</f>
        <v>0</v>
      </c>
      <c r="CG79" s="19" t="str">
        <f t="shared" si="35"/>
        <v/>
      </c>
      <c r="CH79" s="19" t="str">
        <f t="shared" si="35"/>
        <v/>
      </c>
      <c r="CI79" s="19" t="str">
        <f t="shared" si="35"/>
        <v/>
      </c>
      <c r="CJ79" s="19" t="str">
        <f t="shared" si="35"/>
        <v/>
      </c>
      <c r="CK79" s="19" t="str">
        <f t="shared" si="35"/>
        <v/>
      </c>
      <c r="CL79" s="19" t="str">
        <f t="shared" si="35"/>
        <v/>
      </c>
      <c r="CM79" s="19" t="str">
        <f t="shared" si="35"/>
        <v/>
      </c>
      <c r="CN79" s="19" t="str">
        <f t="shared" si="35"/>
        <v/>
      </c>
      <c r="CO79" s="19" t="str">
        <f t="shared" si="35"/>
        <v/>
      </c>
      <c r="CP79" s="19" t="str">
        <f t="shared" si="35"/>
        <v/>
      </c>
      <c r="CQ79" s="19" t="str">
        <f t="shared" si="35"/>
        <v/>
      </c>
      <c r="CR79" s="19" t="str">
        <f t="shared" si="35"/>
        <v/>
      </c>
      <c r="CS79" s="24">
        <f>SUM(AE79:BO79)</f>
        <v>0</v>
      </c>
    </row>
    <row r="80" spans="1:97" x14ac:dyDescent="0.15">
      <c r="A80" s="1">
        <v>65</v>
      </c>
      <c r="B80" s="3" t="s">
        <v>67</v>
      </c>
      <c r="C80" s="1" t="s">
        <v>62</v>
      </c>
      <c r="D80" s="1" t="s">
        <v>13</v>
      </c>
      <c r="E80" s="6"/>
      <c r="F80" s="6"/>
      <c r="G80" s="6">
        <v>10</v>
      </c>
      <c r="H80" s="6"/>
      <c r="I80" s="6"/>
      <c r="J80" s="6"/>
      <c r="K80" s="6"/>
      <c r="L80" s="6"/>
      <c r="M80" s="6"/>
      <c r="N80" s="6"/>
      <c r="O80" s="6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1"/>
      <c r="AF80" s="1"/>
      <c r="AG80" s="1"/>
      <c r="AH80" s="1"/>
      <c r="AI80" s="1"/>
      <c r="AJ80" s="1"/>
      <c r="AK80" s="1"/>
      <c r="AL80" s="1"/>
      <c r="AM80" s="1"/>
      <c r="AN80" s="1">
        <v>25</v>
      </c>
      <c r="AO80" s="1"/>
      <c r="AP80" s="1"/>
      <c r="AQ80" s="4"/>
      <c r="AR80" s="4"/>
      <c r="AS80" s="4"/>
      <c r="AT80" s="4"/>
      <c r="AU80" s="4"/>
      <c r="AV80" s="4">
        <v>10</v>
      </c>
      <c r="AW80" s="2"/>
      <c r="AX80" s="2"/>
      <c r="AY80" s="2"/>
      <c r="AZ80" s="2">
        <v>10</v>
      </c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55</v>
      </c>
      <c r="BQ80" s="1">
        <v>25</v>
      </c>
      <c r="BR80" s="17">
        <v>1</v>
      </c>
      <c r="BS80" s="17" t="s">
        <v>258</v>
      </c>
      <c r="BT80" s="1" t="str">
        <f t="shared" si="34"/>
        <v/>
      </c>
      <c r="BU80" s="1" t="str">
        <f t="shared" si="34"/>
        <v/>
      </c>
      <c r="BV80" s="1" t="str">
        <f t="shared" si="34"/>
        <v/>
      </c>
      <c r="BW80" s="1" t="str">
        <f t="shared" si="34"/>
        <v/>
      </c>
      <c r="BX80" s="1" t="str">
        <f t="shared" si="34"/>
        <v/>
      </c>
      <c r="BY80" s="1" t="str">
        <f t="shared" si="34"/>
        <v/>
      </c>
      <c r="BZ80" s="1" t="str">
        <f t="shared" si="34"/>
        <v/>
      </c>
      <c r="CA80" s="1" t="str">
        <f t="shared" si="34"/>
        <v/>
      </c>
      <c r="CB80" s="1" t="str">
        <f t="shared" si="34"/>
        <v/>
      </c>
      <c r="CC80" s="1" t="str">
        <f t="shared" si="34"/>
        <v/>
      </c>
      <c r="CD80" s="1" t="str">
        <f t="shared" si="34"/>
        <v/>
      </c>
      <c r="CE80" s="1" t="str">
        <f t="shared" si="34"/>
        <v/>
      </c>
      <c r="CF80" s="1">
        <f>COUNTIF(BT80:CE80, "&gt;0")</f>
        <v>0</v>
      </c>
      <c r="CG80" s="1" t="str">
        <f t="shared" si="35"/>
        <v/>
      </c>
      <c r="CH80" s="1" t="str">
        <f t="shared" si="35"/>
        <v/>
      </c>
      <c r="CI80" s="1" t="str">
        <f t="shared" si="35"/>
        <v/>
      </c>
      <c r="CJ80" s="1" t="str">
        <f t="shared" si="35"/>
        <v/>
      </c>
      <c r="CK80" s="1" t="str">
        <f t="shared" si="35"/>
        <v/>
      </c>
      <c r="CL80" s="1" t="str">
        <f t="shared" si="35"/>
        <v/>
      </c>
      <c r="CM80" s="1" t="str">
        <f t="shared" si="35"/>
        <v/>
      </c>
      <c r="CN80" s="1" t="str">
        <f t="shared" si="35"/>
        <v/>
      </c>
      <c r="CO80" s="1" t="str">
        <f t="shared" si="35"/>
        <v/>
      </c>
      <c r="CP80" s="1" t="str">
        <f t="shared" si="35"/>
        <v/>
      </c>
      <c r="CQ80" s="1" t="str">
        <f t="shared" si="35"/>
        <v/>
      </c>
      <c r="CR80" s="1" t="str">
        <f t="shared" si="35"/>
        <v/>
      </c>
      <c r="CS80" s="18">
        <f>SUM(AE80:BO80)</f>
        <v>45</v>
      </c>
    </row>
    <row r="81" spans="1:97" x14ac:dyDescent="0.15">
      <c r="A81" s="1">
        <v>98</v>
      </c>
      <c r="B81" s="3" t="s">
        <v>78</v>
      </c>
      <c r="C81" s="3" t="s">
        <v>77</v>
      </c>
      <c r="D81" s="1" t="s">
        <v>1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1">
        <v>50</v>
      </c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50</v>
      </c>
      <c r="BQ81" s="1">
        <v>38</v>
      </c>
      <c r="BR81" s="17">
        <v>1</v>
      </c>
      <c r="BS81" s="17" t="s">
        <v>216</v>
      </c>
      <c r="BT81" s="1" t="str">
        <f t="shared" si="34"/>
        <v/>
      </c>
      <c r="BU81" s="1" t="str">
        <f t="shared" si="34"/>
        <v/>
      </c>
      <c r="BV81" s="1" t="str">
        <f t="shared" si="34"/>
        <v/>
      </c>
      <c r="BW81" s="1" t="str">
        <f t="shared" si="34"/>
        <v/>
      </c>
      <c r="BX81" s="1" t="str">
        <f t="shared" si="34"/>
        <v/>
      </c>
      <c r="BY81" s="1" t="str">
        <f t="shared" si="34"/>
        <v/>
      </c>
      <c r="BZ81" s="1" t="str">
        <f t="shared" si="34"/>
        <v/>
      </c>
      <c r="CA81" s="1" t="str">
        <f t="shared" si="34"/>
        <v/>
      </c>
      <c r="CB81" s="1" t="str">
        <f t="shared" si="34"/>
        <v/>
      </c>
      <c r="CC81" s="1" t="str">
        <f t="shared" si="34"/>
        <v/>
      </c>
      <c r="CD81" s="1" t="str">
        <f t="shared" si="34"/>
        <v/>
      </c>
      <c r="CE81" s="1" t="str">
        <f t="shared" si="34"/>
        <v/>
      </c>
      <c r="CF81" s="1">
        <f>COUNTIF(BT81:CE81, "&gt;0")</f>
        <v>0</v>
      </c>
      <c r="CG81" s="1" t="str">
        <f t="shared" si="35"/>
        <v/>
      </c>
      <c r="CH81" s="1" t="str">
        <f t="shared" si="35"/>
        <v/>
      </c>
      <c r="CI81" s="1" t="str">
        <f t="shared" si="35"/>
        <v/>
      </c>
      <c r="CJ81" s="1" t="str">
        <f t="shared" si="35"/>
        <v/>
      </c>
      <c r="CK81" s="1" t="str">
        <f t="shared" si="35"/>
        <v/>
      </c>
      <c r="CL81" s="1" t="str">
        <f t="shared" si="35"/>
        <v/>
      </c>
      <c r="CM81" s="1" t="str">
        <f t="shared" si="35"/>
        <v/>
      </c>
      <c r="CN81" s="1" t="str">
        <f t="shared" si="35"/>
        <v/>
      </c>
      <c r="CO81" s="1" t="str">
        <f t="shared" si="35"/>
        <v/>
      </c>
      <c r="CP81" s="1" t="str">
        <f t="shared" si="35"/>
        <v/>
      </c>
      <c r="CQ81" s="1" t="str">
        <f t="shared" si="35"/>
        <v/>
      </c>
      <c r="CR81" s="1" t="str">
        <f t="shared" si="35"/>
        <v/>
      </c>
      <c r="CS81" s="18">
        <f>SUM(AE81:BO81)</f>
        <v>50</v>
      </c>
    </row>
    <row r="82" spans="1:97" x14ac:dyDescent="0.15">
      <c r="A82" s="1">
        <v>99</v>
      </c>
      <c r="B82" s="3" t="s">
        <v>78</v>
      </c>
      <c r="C82" s="3" t="s">
        <v>77</v>
      </c>
      <c r="D82" s="1" t="s">
        <v>13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1">
        <v>200</v>
      </c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200</v>
      </c>
      <c r="BQ82" s="1">
        <v>188</v>
      </c>
      <c r="BR82" s="17">
        <v>1</v>
      </c>
      <c r="BS82" s="17" t="s">
        <v>217</v>
      </c>
      <c r="BT82" s="1" t="str">
        <f t="shared" si="34"/>
        <v/>
      </c>
      <c r="BU82" s="1" t="str">
        <f t="shared" si="34"/>
        <v/>
      </c>
      <c r="BV82" s="1" t="str">
        <f t="shared" si="34"/>
        <v/>
      </c>
      <c r="BW82" s="1" t="str">
        <f t="shared" si="34"/>
        <v/>
      </c>
      <c r="BX82" s="1" t="str">
        <f t="shared" si="34"/>
        <v/>
      </c>
      <c r="BY82" s="1" t="str">
        <f t="shared" si="34"/>
        <v/>
      </c>
      <c r="BZ82" s="1" t="str">
        <f t="shared" si="34"/>
        <v/>
      </c>
      <c r="CA82" s="1" t="str">
        <f t="shared" si="34"/>
        <v/>
      </c>
      <c r="CB82" s="1" t="str">
        <f t="shared" si="34"/>
        <v/>
      </c>
      <c r="CC82" s="1" t="str">
        <f t="shared" si="34"/>
        <v/>
      </c>
      <c r="CD82" s="1" t="str">
        <f t="shared" si="34"/>
        <v/>
      </c>
      <c r="CE82" s="1" t="str">
        <f t="shared" si="34"/>
        <v/>
      </c>
      <c r="CF82" s="1">
        <f>COUNTIF(BT82:CE82, "&gt;0")</f>
        <v>0</v>
      </c>
      <c r="CG82" s="1" t="str">
        <f t="shared" si="35"/>
        <v/>
      </c>
      <c r="CH82" s="1" t="str">
        <f t="shared" si="35"/>
        <v/>
      </c>
      <c r="CI82" s="1" t="str">
        <f t="shared" si="35"/>
        <v/>
      </c>
      <c r="CJ82" s="1" t="str">
        <f t="shared" si="35"/>
        <v/>
      </c>
      <c r="CK82" s="1" t="str">
        <f t="shared" si="35"/>
        <v/>
      </c>
      <c r="CL82" s="1" t="str">
        <f t="shared" si="35"/>
        <v/>
      </c>
      <c r="CM82" s="1" t="str">
        <f t="shared" si="35"/>
        <v/>
      </c>
      <c r="CN82" s="1" t="str">
        <f t="shared" si="35"/>
        <v/>
      </c>
      <c r="CO82" s="1" t="str">
        <f t="shared" si="35"/>
        <v/>
      </c>
      <c r="CP82" s="1" t="str">
        <f t="shared" si="35"/>
        <v/>
      </c>
      <c r="CQ82" s="1" t="str">
        <f t="shared" si="35"/>
        <v/>
      </c>
      <c r="CR82" s="1" t="str">
        <f t="shared" si="35"/>
        <v/>
      </c>
      <c r="CS82" s="18">
        <f>SUM(AE82:BO82)</f>
        <v>200</v>
      </c>
    </row>
    <row r="83" spans="1:97" ht="27" x14ac:dyDescent="0.15">
      <c r="A83" s="1"/>
      <c r="B83" s="1" t="s">
        <v>282</v>
      </c>
      <c r="C83" s="1" t="s">
        <v>119</v>
      </c>
      <c r="D83" s="1" t="s">
        <v>121</v>
      </c>
      <c r="E83" s="6">
        <v>10</v>
      </c>
      <c r="F83" s="6"/>
      <c r="G83" s="6">
        <v>10</v>
      </c>
      <c r="H83" s="6"/>
      <c r="I83" s="6"/>
      <c r="J83" s="6"/>
      <c r="K83" s="6"/>
      <c r="L83" s="6"/>
      <c r="M83" s="6"/>
      <c r="N83" s="6"/>
      <c r="O83" s="6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>
        <v>15</v>
      </c>
      <c r="AU83" s="4"/>
      <c r="AV83" s="4"/>
      <c r="AW83" s="2"/>
      <c r="AX83" s="2"/>
      <c r="AY83" s="2"/>
      <c r="AZ83" s="2">
        <v>15</v>
      </c>
      <c r="BA83" s="2">
        <v>15</v>
      </c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>
        <v>5</v>
      </c>
      <c r="BR83" s="17">
        <v>2</v>
      </c>
      <c r="BS83" s="17" t="s">
        <v>259</v>
      </c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8"/>
    </row>
    <row r="84" spans="1:97" ht="27" x14ac:dyDescent="0.15">
      <c r="A84" s="1"/>
      <c r="B84" s="1" t="s">
        <v>180</v>
      </c>
      <c r="C84" s="1" t="s">
        <v>181</v>
      </c>
      <c r="D84" s="1" t="s">
        <v>159</v>
      </c>
      <c r="E84" s="6"/>
      <c r="F84" s="6"/>
      <c r="G84" s="6"/>
      <c r="H84" s="6"/>
      <c r="I84" s="6"/>
      <c r="J84" s="6">
        <v>10</v>
      </c>
      <c r="K84" s="6"/>
      <c r="L84" s="6">
        <v>10</v>
      </c>
      <c r="M84" s="6">
        <v>10</v>
      </c>
      <c r="N84" s="6"/>
      <c r="O84" s="6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>
        <v>15</v>
      </c>
      <c r="AZ84" s="2">
        <v>15</v>
      </c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>
        <v>5</v>
      </c>
      <c r="BR84" s="17">
        <v>2</v>
      </c>
      <c r="BS84" s="17" t="s">
        <v>203</v>
      </c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8"/>
    </row>
    <row r="85" spans="1:97" ht="27" x14ac:dyDescent="0.15">
      <c r="A85" s="1"/>
      <c r="B85" s="1" t="s">
        <v>284</v>
      </c>
      <c r="C85" s="1" t="s">
        <v>157</v>
      </c>
      <c r="D85" s="1" t="s">
        <v>159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32"/>
      <c r="Q85" s="32"/>
      <c r="R85" s="32"/>
      <c r="S85" s="32"/>
      <c r="T85" s="32"/>
      <c r="U85" s="32"/>
      <c r="V85" s="32">
        <v>10</v>
      </c>
      <c r="W85" s="32"/>
      <c r="X85" s="32"/>
      <c r="Y85" s="32">
        <v>10</v>
      </c>
      <c r="Z85" s="32"/>
      <c r="AA85" s="32"/>
      <c r="AB85" s="32">
        <v>10</v>
      </c>
      <c r="AC85" s="32">
        <v>5</v>
      </c>
      <c r="AD85" s="32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>
        <v>5</v>
      </c>
      <c r="BR85" s="17">
        <v>2</v>
      </c>
      <c r="BS85" s="17" t="s">
        <v>218</v>
      </c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8"/>
    </row>
    <row r="86" spans="1:97" ht="27" x14ac:dyDescent="0.15">
      <c r="A86" s="1"/>
      <c r="B86" s="1" t="s">
        <v>169</v>
      </c>
      <c r="C86" s="1" t="s">
        <v>157</v>
      </c>
      <c r="D86" s="1" t="s">
        <v>158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32">
        <v>10</v>
      </c>
      <c r="Q86" s="32"/>
      <c r="R86" s="32"/>
      <c r="S86" s="32">
        <v>10</v>
      </c>
      <c r="T86" s="32"/>
      <c r="U86" s="32"/>
      <c r="V86" s="32"/>
      <c r="W86" s="32">
        <v>5</v>
      </c>
      <c r="X86" s="32"/>
      <c r="Y86" s="32"/>
      <c r="Z86" s="32"/>
      <c r="AA86" s="32"/>
      <c r="AB86" s="32">
        <v>10</v>
      </c>
      <c r="AC86" s="32"/>
      <c r="AD86" s="32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v>5</v>
      </c>
      <c r="BR86" s="17">
        <v>2</v>
      </c>
      <c r="BS86" s="17" t="s">
        <v>261</v>
      </c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8"/>
    </row>
    <row r="87" spans="1:97" ht="27" x14ac:dyDescent="0.15">
      <c r="A87" s="1"/>
      <c r="B87" s="1" t="s">
        <v>174</v>
      </c>
      <c r="C87" s="1" t="s">
        <v>157</v>
      </c>
      <c r="D87" s="1" t="s">
        <v>158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32">
        <v>10</v>
      </c>
      <c r="Q87" s="32"/>
      <c r="R87" s="32"/>
      <c r="S87" s="32">
        <v>10</v>
      </c>
      <c r="T87" s="32"/>
      <c r="U87" s="32"/>
      <c r="V87" s="32"/>
      <c r="W87" s="32">
        <v>5</v>
      </c>
      <c r="X87" s="32"/>
      <c r="Y87" s="32"/>
      <c r="Z87" s="32"/>
      <c r="AA87" s="32"/>
      <c r="AB87" s="32">
        <v>10</v>
      </c>
      <c r="AC87" s="32"/>
      <c r="AD87" s="32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v>5</v>
      </c>
      <c r="BR87" s="17">
        <v>2</v>
      </c>
      <c r="BS87" s="17" t="s">
        <v>261</v>
      </c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8"/>
    </row>
    <row r="88" spans="1:97" ht="27" x14ac:dyDescent="0.15">
      <c r="A88" s="1"/>
      <c r="B88" s="1" t="s">
        <v>178</v>
      </c>
      <c r="C88" s="1" t="s">
        <v>176</v>
      </c>
      <c r="D88" s="1" t="s">
        <v>158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32">
        <v>10</v>
      </c>
      <c r="Q88" s="32"/>
      <c r="R88" s="32"/>
      <c r="S88" s="32">
        <v>10</v>
      </c>
      <c r="T88" s="32"/>
      <c r="U88" s="32"/>
      <c r="V88" s="32"/>
      <c r="W88" s="32">
        <v>5</v>
      </c>
      <c r="X88" s="32"/>
      <c r="Y88" s="32"/>
      <c r="Z88" s="32"/>
      <c r="AA88" s="32"/>
      <c r="AB88" s="32">
        <v>10</v>
      </c>
      <c r="AC88" s="32"/>
      <c r="AD88" s="32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v>5</v>
      </c>
      <c r="BR88" s="17">
        <v>2</v>
      </c>
      <c r="BS88" s="17" t="s">
        <v>261</v>
      </c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8"/>
    </row>
    <row r="89" spans="1:97" ht="27" x14ac:dyDescent="0.15">
      <c r="A89" s="1"/>
      <c r="B89" s="1" t="s">
        <v>184</v>
      </c>
      <c r="C89" s="1" t="s">
        <v>181</v>
      </c>
      <c r="D89" s="1" t="s">
        <v>158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32">
        <v>10</v>
      </c>
      <c r="Q89" s="32"/>
      <c r="R89" s="32"/>
      <c r="S89" s="32">
        <v>10</v>
      </c>
      <c r="T89" s="32"/>
      <c r="U89" s="32"/>
      <c r="V89" s="32"/>
      <c r="W89" s="32">
        <v>5</v>
      </c>
      <c r="X89" s="32"/>
      <c r="Y89" s="32"/>
      <c r="Z89" s="32"/>
      <c r="AA89" s="32"/>
      <c r="AB89" s="32">
        <v>10</v>
      </c>
      <c r="AC89" s="32"/>
      <c r="AD89" s="32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v>5</v>
      </c>
      <c r="BR89" s="17">
        <v>2</v>
      </c>
      <c r="BS89" s="17" t="s">
        <v>261</v>
      </c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8"/>
    </row>
    <row r="90" spans="1:97" ht="27" x14ac:dyDescent="0.15">
      <c r="A90" s="1"/>
      <c r="B90" s="1" t="s">
        <v>185</v>
      </c>
      <c r="C90" s="1" t="s">
        <v>187</v>
      </c>
      <c r="D90" s="1" t="s">
        <v>159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32"/>
      <c r="Q90" s="32"/>
      <c r="R90" s="32"/>
      <c r="S90" s="32"/>
      <c r="T90" s="32"/>
      <c r="U90" s="32"/>
      <c r="V90" s="32">
        <v>10</v>
      </c>
      <c r="W90" s="32"/>
      <c r="X90" s="32"/>
      <c r="Y90" s="32">
        <v>10</v>
      </c>
      <c r="Z90" s="32"/>
      <c r="AA90" s="32"/>
      <c r="AB90" s="32">
        <v>10</v>
      </c>
      <c r="AC90" s="32">
        <v>5</v>
      </c>
      <c r="AD90" s="32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v>5</v>
      </c>
      <c r="BR90" s="17">
        <v>2</v>
      </c>
      <c r="BS90" s="17" t="s">
        <v>218</v>
      </c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8"/>
    </row>
    <row r="91" spans="1:97" ht="27" x14ac:dyDescent="0.15">
      <c r="A91" s="1"/>
      <c r="B91" s="1" t="s">
        <v>193</v>
      </c>
      <c r="C91" s="1" t="s">
        <v>192</v>
      </c>
      <c r="D91" s="1" t="s">
        <v>158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32">
        <v>10</v>
      </c>
      <c r="Q91" s="32"/>
      <c r="R91" s="32"/>
      <c r="S91" s="32">
        <v>10</v>
      </c>
      <c r="T91" s="32"/>
      <c r="U91" s="32"/>
      <c r="V91" s="32"/>
      <c r="W91" s="32">
        <v>5</v>
      </c>
      <c r="X91" s="32"/>
      <c r="Y91" s="32"/>
      <c r="Z91" s="32"/>
      <c r="AA91" s="32"/>
      <c r="AB91" s="32">
        <v>10</v>
      </c>
      <c r="AC91" s="32"/>
      <c r="AD91" s="32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v>5</v>
      </c>
      <c r="BR91" s="17">
        <v>2</v>
      </c>
      <c r="BS91" s="17" t="s">
        <v>261</v>
      </c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8"/>
    </row>
    <row r="92" spans="1:97" ht="27" x14ac:dyDescent="0.15">
      <c r="A92" s="1"/>
      <c r="B92" s="1" t="s">
        <v>197</v>
      </c>
      <c r="C92" s="1" t="s">
        <v>192</v>
      </c>
      <c r="D92" s="1" t="s">
        <v>159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32"/>
      <c r="Q92" s="32"/>
      <c r="R92" s="32"/>
      <c r="S92" s="32"/>
      <c r="T92" s="32"/>
      <c r="U92" s="32"/>
      <c r="V92" s="32">
        <v>10</v>
      </c>
      <c r="W92" s="32"/>
      <c r="X92" s="32"/>
      <c r="Y92" s="32">
        <v>10</v>
      </c>
      <c r="Z92" s="32"/>
      <c r="AA92" s="32"/>
      <c r="AB92" s="32">
        <v>10</v>
      </c>
      <c r="AC92" s="32">
        <v>5</v>
      </c>
      <c r="AD92" s="32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v>5</v>
      </c>
      <c r="BR92" s="17">
        <v>2</v>
      </c>
      <c r="BS92" s="17" t="s">
        <v>218</v>
      </c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8"/>
    </row>
    <row r="93" spans="1:97" ht="27" x14ac:dyDescent="0.15">
      <c r="A93" s="1"/>
      <c r="B93" s="1" t="s">
        <v>199</v>
      </c>
      <c r="C93" s="1" t="s">
        <v>192</v>
      </c>
      <c r="D93" s="1" t="s">
        <v>159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32"/>
      <c r="Q93" s="32"/>
      <c r="R93" s="32"/>
      <c r="S93" s="32"/>
      <c r="T93" s="32"/>
      <c r="U93" s="32"/>
      <c r="V93" s="32">
        <v>10</v>
      </c>
      <c r="W93" s="32"/>
      <c r="X93" s="32"/>
      <c r="Y93" s="32">
        <v>10</v>
      </c>
      <c r="Z93" s="32"/>
      <c r="AA93" s="32"/>
      <c r="AB93" s="32">
        <v>10</v>
      </c>
      <c r="AC93" s="32">
        <v>5</v>
      </c>
      <c r="AD93" s="32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v>5</v>
      </c>
      <c r="BR93" s="17">
        <v>2</v>
      </c>
      <c r="BS93" s="17" t="s">
        <v>218</v>
      </c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8"/>
    </row>
    <row r="94" spans="1:97" ht="27" x14ac:dyDescent="0.15">
      <c r="A94" s="1"/>
      <c r="B94" s="1" t="s">
        <v>241</v>
      </c>
      <c r="C94" s="1" t="s">
        <v>146</v>
      </c>
      <c r="D94" s="1" t="s">
        <v>242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32">
        <v>10</v>
      </c>
      <c r="Q94" s="32"/>
      <c r="R94" s="32"/>
      <c r="S94" s="32">
        <v>10</v>
      </c>
      <c r="T94" s="32"/>
      <c r="U94" s="32"/>
      <c r="V94" s="32"/>
      <c r="W94" s="32">
        <v>5</v>
      </c>
      <c r="X94" s="32"/>
      <c r="Y94" s="32"/>
      <c r="Z94" s="32"/>
      <c r="AA94" s="32"/>
      <c r="AB94" s="32">
        <v>10</v>
      </c>
      <c r="AC94" s="32"/>
      <c r="AD94" s="32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>
        <v>5</v>
      </c>
      <c r="BR94" s="17">
        <v>2</v>
      </c>
      <c r="BS94" s="17" t="s">
        <v>260</v>
      </c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8"/>
    </row>
    <row r="95" spans="1:97" ht="27" x14ac:dyDescent="0.15">
      <c r="A95" s="1"/>
      <c r="B95" s="1" t="s">
        <v>132</v>
      </c>
      <c r="C95" s="1" t="s">
        <v>123</v>
      </c>
      <c r="D95" s="1" t="s">
        <v>120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>
        <v>5</v>
      </c>
      <c r="AP95" s="1">
        <v>1</v>
      </c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v>6</v>
      </c>
      <c r="BR95" s="17">
        <v>2</v>
      </c>
      <c r="BS95" s="17" t="s">
        <v>219</v>
      </c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8"/>
    </row>
    <row r="96" spans="1:97" ht="27" x14ac:dyDescent="0.15">
      <c r="A96" s="1">
        <v>77</v>
      </c>
      <c r="B96" s="3" t="s">
        <v>114</v>
      </c>
      <c r="C96" s="3" t="s">
        <v>70</v>
      </c>
      <c r="D96" s="1" t="s">
        <v>13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>
        <v>20</v>
      </c>
      <c r="AU96" s="4"/>
      <c r="AV96" s="4"/>
      <c r="AW96" s="2">
        <v>20</v>
      </c>
      <c r="AX96" s="2">
        <v>20</v>
      </c>
      <c r="AY96" s="2"/>
      <c r="AZ96" s="2"/>
      <c r="BA96" s="2"/>
      <c r="BB96" s="2">
        <v>10</v>
      </c>
      <c r="BC96" s="14"/>
      <c r="BD96" s="1"/>
      <c r="BE96" s="1"/>
      <c r="BF96" s="1"/>
      <c r="BG96" s="1"/>
      <c r="BH96" s="1">
        <v>20</v>
      </c>
      <c r="BI96" s="1"/>
      <c r="BJ96" s="1"/>
      <c r="BK96" s="1"/>
      <c r="BL96" s="1"/>
      <c r="BM96" s="1"/>
      <c r="BN96" s="1"/>
      <c r="BO96" s="1"/>
      <c r="BP96" s="1">
        <f>SUM(E96:BO96)</f>
        <v>90</v>
      </c>
      <c r="BQ96" s="1">
        <v>6</v>
      </c>
      <c r="BR96" s="17">
        <v>2</v>
      </c>
      <c r="BS96" s="17" t="s">
        <v>220</v>
      </c>
      <c r="BT96" s="1" t="str">
        <f t="shared" ref="BT96:CE96" si="36">IF(AQ96&gt;AQ$159, AQ96-AQ$159,"")</f>
        <v/>
      </c>
      <c r="BU96" s="1" t="str">
        <f t="shared" si="36"/>
        <v/>
      </c>
      <c r="BV96" s="1" t="str">
        <f t="shared" si="36"/>
        <v/>
      </c>
      <c r="BW96" s="1">
        <f t="shared" si="36"/>
        <v>5</v>
      </c>
      <c r="BX96" s="1" t="str">
        <f t="shared" si="36"/>
        <v/>
      </c>
      <c r="BY96" s="1" t="str">
        <f t="shared" si="36"/>
        <v/>
      </c>
      <c r="BZ96" s="1">
        <f t="shared" si="36"/>
        <v>1</v>
      </c>
      <c r="CA96" s="1" t="str">
        <f t="shared" si="36"/>
        <v/>
      </c>
      <c r="CB96" s="1" t="str">
        <f t="shared" si="36"/>
        <v/>
      </c>
      <c r="CC96" s="1" t="str">
        <f t="shared" si="36"/>
        <v/>
      </c>
      <c r="CD96" s="1" t="str">
        <f t="shared" si="36"/>
        <v/>
      </c>
      <c r="CE96" s="1" t="str">
        <f t="shared" si="36"/>
        <v/>
      </c>
      <c r="CF96" s="1">
        <f>COUNTIF(BT96:CE96, "&gt;0")</f>
        <v>2</v>
      </c>
      <c r="CG96" s="1" t="str">
        <f t="shared" ref="CG96:CR96" si="37">IF($CF96=1,BT96,"")</f>
        <v/>
      </c>
      <c r="CH96" s="1" t="str">
        <f t="shared" si="37"/>
        <v/>
      </c>
      <c r="CI96" s="1" t="str">
        <f t="shared" si="37"/>
        <v/>
      </c>
      <c r="CJ96" s="1" t="str">
        <f t="shared" si="37"/>
        <v/>
      </c>
      <c r="CK96" s="1" t="str">
        <f t="shared" si="37"/>
        <v/>
      </c>
      <c r="CL96" s="1" t="str">
        <f t="shared" si="37"/>
        <v/>
      </c>
      <c r="CM96" s="1" t="str">
        <f t="shared" si="37"/>
        <v/>
      </c>
      <c r="CN96" s="1" t="str">
        <f t="shared" si="37"/>
        <v/>
      </c>
      <c r="CO96" s="1" t="str">
        <f t="shared" si="37"/>
        <v/>
      </c>
      <c r="CP96" s="1" t="str">
        <f t="shared" si="37"/>
        <v/>
      </c>
      <c r="CQ96" s="1" t="str">
        <f t="shared" si="37"/>
        <v/>
      </c>
      <c r="CR96" s="1" t="str">
        <f t="shared" si="37"/>
        <v/>
      </c>
      <c r="CS96" s="18">
        <f>SUM(AE96:BO96)</f>
        <v>90</v>
      </c>
    </row>
    <row r="97" spans="1:97" ht="27" x14ac:dyDescent="0.15">
      <c r="A97" s="1"/>
      <c r="B97" s="1" t="s">
        <v>175</v>
      </c>
      <c r="C97" s="1" t="s">
        <v>176</v>
      </c>
      <c r="D97" s="1" t="s">
        <v>159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32"/>
      <c r="Q97" s="32">
        <v>5</v>
      </c>
      <c r="R97" s="32"/>
      <c r="S97" s="32"/>
      <c r="T97" s="32"/>
      <c r="U97" s="32"/>
      <c r="V97" s="32">
        <v>10</v>
      </c>
      <c r="W97" s="32"/>
      <c r="X97" s="32"/>
      <c r="Y97" s="32">
        <v>10</v>
      </c>
      <c r="Z97" s="32"/>
      <c r="AA97" s="32"/>
      <c r="AB97" s="32">
        <v>10</v>
      </c>
      <c r="AC97" s="32"/>
      <c r="AD97" s="32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v>6</v>
      </c>
      <c r="BR97" s="17">
        <v>2</v>
      </c>
      <c r="BS97" s="17" t="s">
        <v>262</v>
      </c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8"/>
    </row>
    <row r="98" spans="1:97" ht="27" x14ac:dyDescent="0.15">
      <c r="A98" s="1"/>
      <c r="B98" s="1" t="s">
        <v>183</v>
      </c>
      <c r="C98" s="1" t="s">
        <v>181</v>
      </c>
      <c r="D98" s="1" t="s">
        <v>159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32"/>
      <c r="Q98" s="32">
        <v>5</v>
      </c>
      <c r="R98" s="32"/>
      <c r="S98" s="32"/>
      <c r="T98" s="32"/>
      <c r="U98" s="32"/>
      <c r="V98" s="32">
        <v>10</v>
      </c>
      <c r="W98" s="32"/>
      <c r="X98" s="32"/>
      <c r="Y98" s="32">
        <v>10</v>
      </c>
      <c r="Z98" s="32"/>
      <c r="AA98" s="32"/>
      <c r="AB98" s="32">
        <v>10</v>
      </c>
      <c r="AC98" s="32"/>
      <c r="AD98" s="32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v>6</v>
      </c>
      <c r="BR98" s="17">
        <v>2</v>
      </c>
      <c r="BS98" s="17" t="s">
        <v>262</v>
      </c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8"/>
    </row>
    <row r="99" spans="1:97" ht="27" x14ac:dyDescent="0.15">
      <c r="A99" s="1"/>
      <c r="B99" s="1" t="s">
        <v>186</v>
      </c>
      <c r="C99" s="1" t="s">
        <v>187</v>
      </c>
      <c r="D99" s="1" t="s">
        <v>158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32">
        <v>10</v>
      </c>
      <c r="Q99" s="32"/>
      <c r="R99" s="32"/>
      <c r="S99" s="32">
        <v>10</v>
      </c>
      <c r="T99" s="32"/>
      <c r="U99" s="32"/>
      <c r="V99" s="32"/>
      <c r="W99" s="32"/>
      <c r="X99" s="32"/>
      <c r="Y99" s="32"/>
      <c r="Z99" s="32">
        <v>5</v>
      </c>
      <c r="AA99" s="32"/>
      <c r="AB99" s="32">
        <v>10</v>
      </c>
      <c r="AC99" s="32"/>
      <c r="AD99" s="32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v>6</v>
      </c>
      <c r="BR99" s="17">
        <v>2</v>
      </c>
      <c r="BS99" s="17" t="s">
        <v>221</v>
      </c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8"/>
    </row>
    <row r="100" spans="1:97" ht="27" x14ac:dyDescent="0.15">
      <c r="A100" s="1"/>
      <c r="B100" s="1" t="s">
        <v>141</v>
      </c>
      <c r="C100" s="1" t="s">
        <v>119</v>
      </c>
      <c r="D100" s="1" t="s">
        <v>121</v>
      </c>
      <c r="E100" s="6"/>
      <c r="F100" s="6"/>
      <c r="G100" s="6"/>
      <c r="H100" s="6">
        <v>6</v>
      </c>
      <c r="I100" s="6"/>
      <c r="J100" s="6"/>
      <c r="K100" s="6">
        <v>6</v>
      </c>
      <c r="L100" s="6"/>
      <c r="M100" s="6"/>
      <c r="N100" s="6"/>
      <c r="O100" s="6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>
        <v>10</v>
      </c>
      <c r="AR100" s="4"/>
      <c r="AS100" s="4"/>
      <c r="AT100" s="4"/>
      <c r="AU100" s="4"/>
      <c r="AV100" s="4"/>
      <c r="AW100" s="2">
        <v>10</v>
      </c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v>7</v>
      </c>
      <c r="BR100" s="17">
        <v>2</v>
      </c>
      <c r="BS100" s="17" t="s">
        <v>263</v>
      </c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8"/>
    </row>
    <row r="101" spans="1:97" ht="27" x14ac:dyDescent="0.15">
      <c r="A101" s="1">
        <v>39</v>
      </c>
      <c r="B101" s="1" t="s">
        <v>53</v>
      </c>
      <c r="C101" s="1" t="s">
        <v>49</v>
      </c>
      <c r="D101" s="1" t="s">
        <v>26</v>
      </c>
      <c r="E101" s="6"/>
      <c r="F101" s="6">
        <v>6</v>
      </c>
      <c r="G101" s="6"/>
      <c r="H101" s="6"/>
      <c r="I101" s="6"/>
      <c r="J101" s="6"/>
      <c r="K101" s="6"/>
      <c r="L101" s="6">
        <v>6</v>
      </c>
      <c r="M101" s="6"/>
      <c r="N101" s="6"/>
      <c r="O101" s="6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>
        <v>10</v>
      </c>
      <c r="AR101" s="4"/>
      <c r="AS101" s="4"/>
      <c r="AT101" s="4"/>
      <c r="AU101" s="4"/>
      <c r="AV101" s="4"/>
      <c r="AW101" s="2"/>
      <c r="AX101" s="2">
        <v>10</v>
      </c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32</v>
      </c>
      <c r="BQ101" s="1">
        <v>7</v>
      </c>
      <c r="BR101" s="17">
        <v>2</v>
      </c>
      <c r="BS101" s="17" t="s">
        <v>264</v>
      </c>
      <c r="BT101" s="1">
        <f t="shared" ref="BT101:CE103" si="38">IF(AQ101&gt;AQ$159, AQ101-AQ$159,"")</f>
        <v>4</v>
      </c>
      <c r="BU101" s="1" t="str">
        <f t="shared" si="38"/>
        <v/>
      </c>
      <c r="BV101" s="1" t="str">
        <f t="shared" si="38"/>
        <v/>
      </c>
      <c r="BW101" s="1" t="str">
        <f t="shared" si="38"/>
        <v/>
      </c>
      <c r="BX101" s="1" t="str">
        <f t="shared" si="38"/>
        <v/>
      </c>
      <c r="BY101" s="1" t="str">
        <f t="shared" si="38"/>
        <v/>
      </c>
      <c r="BZ101" s="1" t="str">
        <f t="shared" si="38"/>
        <v/>
      </c>
      <c r="CA101" s="1" t="str">
        <f t="shared" si="38"/>
        <v/>
      </c>
      <c r="CB101" s="1" t="str">
        <f t="shared" si="38"/>
        <v/>
      </c>
      <c r="CC101" s="1" t="str">
        <f t="shared" si="38"/>
        <v/>
      </c>
      <c r="CD101" s="1" t="str">
        <f t="shared" si="38"/>
        <v/>
      </c>
      <c r="CE101" s="1" t="str">
        <f t="shared" si="38"/>
        <v/>
      </c>
      <c r="CF101" s="1">
        <f>COUNTIF(BT101:CE101, "&gt;0")</f>
        <v>1</v>
      </c>
      <c r="CG101" s="1">
        <f t="shared" ref="CG101:CR103" si="39">IF($CF101=1,BT101,"")</f>
        <v>4</v>
      </c>
      <c r="CH101" s="1" t="str">
        <f t="shared" si="39"/>
        <v/>
      </c>
      <c r="CI101" s="1" t="str">
        <f t="shared" si="39"/>
        <v/>
      </c>
      <c r="CJ101" s="1" t="str">
        <f t="shared" si="39"/>
        <v/>
      </c>
      <c r="CK101" s="1" t="str">
        <f t="shared" si="39"/>
        <v/>
      </c>
      <c r="CL101" s="1" t="str">
        <f t="shared" si="39"/>
        <v/>
      </c>
      <c r="CM101" s="1" t="str">
        <f t="shared" si="39"/>
        <v/>
      </c>
      <c r="CN101" s="1" t="str">
        <f t="shared" si="39"/>
        <v/>
      </c>
      <c r="CO101" s="1" t="str">
        <f t="shared" si="39"/>
        <v/>
      </c>
      <c r="CP101" s="1" t="str">
        <f t="shared" si="39"/>
        <v/>
      </c>
      <c r="CQ101" s="1" t="str">
        <f t="shared" si="39"/>
        <v/>
      </c>
      <c r="CR101" s="1" t="str">
        <f t="shared" si="39"/>
        <v/>
      </c>
      <c r="CS101" s="18">
        <f>SUM(AE101:BO101)</f>
        <v>20</v>
      </c>
    </row>
    <row r="102" spans="1:97" ht="27" x14ac:dyDescent="0.15">
      <c r="A102" s="1">
        <v>20</v>
      </c>
      <c r="B102" s="1" t="s">
        <v>38</v>
      </c>
      <c r="C102" s="1" t="s">
        <v>32</v>
      </c>
      <c r="D102" s="1" t="s">
        <v>25</v>
      </c>
      <c r="E102" s="6"/>
      <c r="F102" s="6">
        <v>5</v>
      </c>
      <c r="G102" s="6"/>
      <c r="H102" s="6"/>
      <c r="I102" s="6"/>
      <c r="J102" s="6"/>
      <c r="K102" s="6"/>
      <c r="L102" s="6"/>
      <c r="M102" s="6"/>
      <c r="N102" s="6"/>
      <c r="O102" s="6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1"/>
      <c r="AF102" s="1"/>
      <c r="AG102" s="1">
        <v>5</v>
      </c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10</v>
      </c>
      <c r="BQ102" s="1">
        <v>7</v>
      </c>
      <c r="BR102" s="17">
        <v>2</v>
      </c>
      <c r="BS102" s="17" t="s">
        <v>222</v>
      </c>
      <c r="BT102" s="1" t="str">
        <f t="shared" si="38"/>
        <v/>
      </c>
      <c r="BU102" s="1" t="str">
        <f t="shared" si="38"/>
        <v/>
      </c>
      <c r="BV102" s="1" t="str">
        <f t="shared" si="38"/>
        <v/>
      </c>
      <c r="BW102" s="1" t="str">
        <f t="shared" si="38"/>
        <v/>
      </c>
      <c r="BX102" s="1" t="str">
        <f t="shared" si="38"/>
        <v/>
      </c>
      <c r="BY102" s="1" t="str">
        <f t="shared" si="38"/>
        <v/>
      </c>
      <c r="BZ102" s="1" t="str">
        <f t="shared" si="38"/>
        <v/>
      </c>
      <c r="CA102" s="1" t="str">
        <f t="shared" si="38"/>
        <v/>
      </c>
      <c r="CB102" s="1" t="str">
        <f t="shared" si="38"/>
        <v/>
      </c>
      <c r="CC102" s="1" t="str">
        <f t="shared" si="38"/>
        <v/>
      </c>
      <c r="CD102" s="1" t="str">
        <f t="shared" si="38"/>
        <v/>
      </c>
      <c r="CE102" s="1" t="str">
        <f t="shared" si="38"/>
        <v/>
      </c>
      <c r="CF102" s="1">
        <f>COUNTIF(BT102:CE102, "&gt;0")</f>
        <v>0</v>
      </c>
      <c r="CG102" s="1" t="str">
        <f t="shared" si="39"/>
        <v/>
      </c>
      <c r="CH102" s="1" t="str">
        <f t="shared" si="39"/>
        <v/>
      </c>
      <c r="CI102" s="1" t="str">
        <f t="shared" si="39"/>
        <v/>
      </c>
      <c r="CJ102" s="1" t="str">
        <f t="shared" si="39"/>
        <v/>
      </c>
      <c r="CK102" s="1" t="str">
        <f t="shared" si="39"/>
        <v/>
      </c>
      <c r="CL102" s="1" t="str">
        <f t="shared" si="39"/>
        <v/>
      </c>
      <c r="CM102" s="1" t="str">
        <f t="shared" si="39"/>
        <v/>
      </c>
      <c r="CN102" s="1" t="str">
        <f t="shared" si="39"/>
        <v/>
      </c>
      <c r="CO102" s="1" t="str">
        <f t="shared" si="39"/>
        <v/>
      </c>
      <c r="CP102" s="1" t="str">
        <f t="shared" si="39"/>
        <v/>
      </c>
      <c r="CQ102" s="1" t="str">
        <f t="shared" si="39"/>
        <v/>
      </c>
      <c r="CR102" s="1" t="str">
        <f t="shared" si="39"/>
        <v/>
      </c>
      <c r="CS102" s="18">
        <f>SUM(AE102:BO102)</f>
        <v>5</v>
      </c>
    </row>
    <row r="103" spans="1:97" ht="27" x14ac:dyDescent="0.15">
      <c r="A103" s="1">
        <v>101</v>
      </c>
      <c r="B103" s="3" t="s">
        <v>111</v>
      </c>
      <c r="C103" s="3" t="s">
        <v>77</v>
      </c>
      <c r="D103" s="1" t="s">
        <v>13</v>
      </c>
      <c r="E103" s="6"/>
      <c r="F103" s="6"/>
      <c r="G103" s="6"/>
      <c r="H103" s="6">
        <v>6</v>
      </c>
      <c r="I103" s="6">
        <v>6</v>
      </c>
      <c r="J103" s="6"/>
      <c r="K103" s="6"/>
      <c r="L103" s="6"/>
      <c r="M103" s="6"/>
      <c r="N103" s="6"/>
      <c r="O103" s="6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>
        <v>8</v>
      </c>
      <c r="AV103" s="4"/>
      <c r="AW103" s="2">
        <v>8</v>
      </c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28</v>
      </c>
      <c r="BQ103" s="1">
        <v>8</v>
      </c>
      <c r="BR103" s="17">
        <v>2</v>
      </c>
      <c r="BS103" s="17" t="s">
        <v>265</v>
      </c>
      <c r="BT103" s="1" t="str">
        <f t="shared" si="38"/>
        <v/>
      </c>
      <c r="BU103" s="1" t="str">
        <f t="shared" si="38"/>
        <v/>
      </c>
      <c r="BV103" s="1" t="str">
        <f t="shared" si="38"/>
        <v/>
      </c>
      <c r="BW103" s="1" t="str">
        <f t="shared" si="38"/>
        <v/>
      </c>
      <c r="BX103" s="1">
        <f t="shared" si="38"/>
        <v>5</v>
      </c>
      <c r="BY103" s="1" t="str">
        <f t="shared" si="38"/>
        <v/>
      </c>
      <c r="BZ103" s="1" t="str">
        <f t="shared" si="38"/>
        <v/>
      </c>
      <c r="CA103" s="1" t="str">
        <f t="shared" si="38"/>
        <v/>
      </c>
      <c r="CB103" s="1" t="str">
        <f t="shared" si="38"/>
        <v/>
      </c>
      <c r="CC103" s="1" t="str">
        <f t="shared" si="38"/>
        <v/>
      </c>
      <c r="CD103" s="1" t="str">
        <f t="shared" si="38"/>
        <v/>
      </c>
      <c r="CE103" s="1" t="str">
        <f t="shared" si="38"/>
        <v/>
      </c>
      <c r="CF103" s="1">
        <f>COUNTIF(BT103:CE103, "&gt;0")</f>
        <v>1</v>
      </c>
      <c r="CG103" s="1" t="str">
        <f t="shared" si="39"/>
        <v/>
      </c>
      <c r="CH103" s="1" t="str">
        <f t="shared" si="39"/>
        <v/>
      </c>
      <c r="CI103" s="1" t="str">
        <f t="shared" si="39"/>
        <v/>
      </c>
      <c r="CJ103" s="1" t="str">
        <f t="shared" si="39"/>
        <v/>
      </c>
      <c r="CK103" s="1">
        <f t="shared" si="39"/>
        <v>5</v>
      </c>
      <c r="CL103" s="1" t="str">
        <f t="shared" si="39"/>
        <v/>
      </c>
      <c r="CM103" s="1" t="str">
        <f t="shared" si="39"/>
        <v/>
      </c>
      <c r="CN103" s="1" t="str">
        <f t="shared" si="39"/>
        <v/>
      </c>
      <c r="CO103" s="1" t="str">
        <f t="shared" si="39"/>
        <v/>
      </c>
      <c r="CP103" s="1" t="str">
        <f t="shared" si="39"/>
        <v/>
      </c>
      <c r="CQ103" s="1" t="str">
        <f t="shared" si="39"/>
        <v/>
      </c>
      <c r="CR103" s="1" t="str">
        <f t="shared" si="39"/>
        <v/>
      </c>
      <c r="CS103" s="18">
        <f>SUM(AE103:BO103)</f>
        <v>16</v>
      </c>
    </row>
    <row r="104" spans="1:97" ht="27" x14ac:dyDescent="0.15">
      <c r="A104" s="1"/>
      <c r="B104" s="1" t="s">
        <v>127</v>
      </c>
      <c r="C104" s="1" t="s">
        <v>123</v>
      </c>
      <c r="D104" s="1" t="s">
        <v>128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>
        <v>3</v>
      </c>
      <c r="AP104" s="1">
        <v>5</v>
      </c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>
        <v>8</v>
      </c>
      <c r="BR104" s="17">
        <v>2</v>
      </c>
      <c r="BS104" s="17" t="s">
        <v>266</v>
      </c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8"/>
    </row>
    <row r="105" spans="1:97" ht="27" x14ac:dyDescent="0.15">
      <c r="A105" s="1"/>
      <c r="B105" s="1" t="s">
        <v>169</v>
      </c>
      <c r="C105" s="1" t="s">
        <v>157</v>
      </c>
      <c r="D105" s="1" t="s">
        <v>159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32"/>
      <c r="Q105" s="32">
        <v>5</v>
      </c>
      <c r="R105" s="32">
        <v>2</v>
      </c>
      <c r="S105" s="32"/>
      <c r="T105" s="32">
        <v>5</v>
      </c>
      <c r="U105" s="32"/>
      <c r="V105" s="32"/>
      <c r="W105" s="32"/>
      <c r="X105" s="32"/>
      <c r="Y105" s="32"/>
      <c r="Z105" s="32">
        <v>5</v>
      </c>
      <c r="AA105" s="32"/>
      <c r="AB105" s="32"/>
      <c r="AC105" s="32"/>
      <c r="AD105" s="32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>
        <v>8</v>
      </c>
      <c r="BR105" s="17">
        <v>2</v>
      </c>
      <c r="BS105" s="17" t="s">
        <v>223</v>
      </c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8"/>
    </row>
    <row r="106" spans="1:97" ht="27" x14ac:dyDescent="0.15">
      <c r="A106" s="1"/>
      <c r="B106" s="1" t="s">
        <v>174</v>
      </c>
      <c r="C106" s="1" t="s">
        <v>157</v>
      </c>
      <c r="D106" s="1" t="s">
        <v>159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32"/>
      <c r="Q106" s="32">
        <v>5</v>
      </c>
      <c r="R106" s="32">
        <v>2</v>
      </c>
      <c r="S106" s="32"/>
      <c r="T106" s="32">
        <v>5</v>
      </c>
      <c r="U106" s="32"/>
      <c r="V106" s="32"/>
      <c r="W106" s="32"/>
      <c r="X106" s="32"/>
      <c r="Y106" s="32"/>
      <c r="Z106" s="32">
        <v>5</v>
      </c>
      <c r="AA106" s="32"/>
      <c r="AB106" s="32"/>
      <c r="AC106" s="32"/>
      <c r="AD106" s="32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>
        <v>8</v>
      </c>
      <c r="BR106" s="17">
        <v>2</v>
      </c>
      <c r="BS106" s="17" t="s">
        <v>223</v>
      </c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8"/>
    </row>
    <row r="107" spans="1:97" ht="27" x14ac:dyDescent="0.15">
      <c r="A107" s="1"/>
      <c r="B107" s="1" t="s">
        <v>184</v>
      </c>
      <c r="C107" s="1" t="s">
        <v>181</v>
      </c>
      <c r="D107" s="1" t="s">
        <v>159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32"/>
      <c r="Q107" s="32">
        <v>5</v>
      </c>
      <c r="R107" s="32">
        <v>2</v>
      </c>
      <c r="S107" s="32"/>
      <c r="T107" s="32">
        <v>5</v>
      </c>
      <c r="U107" s="32"/>
      <c r="V107" s="32"/>
      <c r="W107" s="32"/>
      <c r="X107" s="32"/>
      <c r="Y107" s="32"/>
      <c r="Z107" s="32">
        <v>5</v>
      </c>
      <c r="AA107" s="32"/>
      <c r="AB107" s="32"/>
      <c r="AC107" s="32"/>
      <c r="AD107" s="32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>
        <v>8</v>
      </c>
      <c r="BR107" s="17">
        <v>2</v>
      </c>
      <c r="BS107" s="17" t="s">
        <v>223</v>
      </c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8"/>
    </row>
    <row r="108" spans="1:97" ht="27" x14ac:dyDescent="0.15">
      <c r="A108" s="1"/>
      <c r="B108" s="1" t="s">
        <v>186</v>
      </c>
      <c r="C108" s="1" t="s">
        <v>187</v>
      </c>
      <c r="D108" s="1" t="s">
        <v>159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32"/>
      <c r="Q108" s="32">
        <v>5</v>
      </c>
      <c r="R108" s="32"/>
      <c r="S108" s="32"/>
      <c r="T108" s="32">
        <v>5</v>
      </c>
      <c r="U108" s="32"/>
      <c r="V108" s="32"/>
      <c r="W108" s="32"/>
      <c r="X108" s="32">
        <v>2</v>
      </c>
      <c r="Y108" s="32"/>
      <c r="Z108" s="32">
        <v>5</v>
      </c>
      <c r="AA108" s="32"/>
      <c r="AB108" s="32"/>
      <c r="AC108" s="32"/>
      <c r="AD108" s="32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>
        <v>8</v>
      </c>
      <c r="BR108" s="17">
        <v>2</v>
      </c>
      <c r="BS108" s="17" t="s">
        <v>223</v>
      </c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8"/>
    </row>
    <row r="109" spans="1:97" ht="27" x14ac:dyDescent="0.15">
      <c r="A109" s="1">
        <v>1</v>
      </c>
      <c r="B109" s="1" t="s">
        <v>0</v>
      </c>
      <c r="C109" s="1" t="s">
        <v>2</v>
      </c>
      <c r="D109" s="1" t="s">
        <v>1</v>
      </c>
      <c r="E109" s="6">
        <v>10</v>
      </c>
      <c r="F109" s="6">
        <v>10</v>
      </c>
      <c r="G109" s="6"/>
      <c r="H109" s="6"/>
      <c r="I109" s="6"/>
      <c r="J109" s="6"/>
      <c r="K109" s="6"/>
      <c r="L109" s="6"/>
      <c r="M109" s="6"/>
      <c r="N109" s="6"/>
      <c r="O109" s="6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>
        <v>10</v>
      </c>
      <c r="AS109" s="4"/>
      <c r="AT109" s="4"/>
      <c r="AU109" s="4"/>
      <c r="AV109" s="4"/>
      <c r="AW109" s="2">
        <v>15</v>
      </c>
      <c r="AX109" s="2">
        <v>15</v>
      </c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60</v>
      </c>
      <c r="BQ109" s="1">
        <v>9</v>
      </c>
      <c r="BR109" s="17">
        <v>2</v>
      </c>
      <c r="BS109" s="17" t="s">
        <v>267</v>
      </c>
      <c r="BT109" s="1" t="str">
        <f t="shared" ref="BT109:CE112" si="40">IF(AQ109&gt;AQ$159, AQ109-AQ$159,"")</f>
        <v/>
      </c>
      <c r="BU109" s="1" t="str">
        <f t="shared" si="40"/>
        <v/>
      </c>
      <c r="BV109" s="1" t="str">
        <f t="shared" si="40"/>
        <v/>
      </c>
      <c r="BW109" s="1" t="str">
        <f t="shared" si="40"/>
        <v/>
      </c>
      <c r="BX109" s="1" t="str">
        <f t="shared" si="40"/>
        <v/>
      </c>
      <c r="BY109" s="1" t="str">
        <f t="shared" si="40"/>
        <v/>
      </c>
      <c r="BZ109" s="1" t="str">
        <f t="shared" si="40"/>
        <v/>
      </c>
      <c r="CA109" s="1" t="str">
        <f t="shared" si="40"/>
        <v/>
      </c>
      <c r="CB109" s="1" t="str">
        <f t="shared" si="40"/>
        <v/>
      </c>
      <c r="CC109" s="1" t="str">
        <f t="shared" si="40"/>
        <v/>
      </c>
      <c r="CD109" s="1" t="str">
        <f t="shared" si="40"/>
        <v/>
      </c>
      <c r="CE109" s="1" t="str">
        <f t="shared" si="40"/>
        <v/>
      </c>
      <c r="CF109" s="1">
        <f>COUNTIF(BT109:CE109, "&gt;0")</f>
        <v>0</v>
      </c>
      <c r="CG109" s="1" t="str">
        <f t="shared" ref="CG109:CR112" si="41">IF($CF109=1,BT109,"")</f>
        <v/>
      </c>
      <c r="CH109" s="1" t="str">
        <f t="shared" si="41"/>
        <v/>
      </c>
      <c r="CI109" s="1" t="str">
        <f t="shared" si="41"/>
        <v/>
      </c>
      <c r="CJ109" s="1" t="str">
        <f t="shared" si="41"/>
        <v/>
      </c>
      <c r="CK109" s="1" t="str">
        <f t="shared" si="41"/>
        <v/>
      </c>
      <c r="CL109" s="1" t="str">
        <f t="shared" si="41"/>
        <v/>
      </c>
      <c r="CM109" s="1" t="str">
        <f t="shared" si="41"/>
        <v/>
      </c>
      <c r="CN109" s="1" t="str">
        <f t="shared" si="41"/>
        <v/>
      </c>
      <c r="CO109" s="1" t="str">
        <f t="shared" si="41"/>
        <v/>
      </c>
      <c r="CP109" s="1" t="str">
        <f t="shared" si="41"/>
        <v/>
      </c>
      <c r="CQ109" s="1" t="str">
        <f t="shared" si="41"/>
        <v/>
      </c>
      <c r="CR109" s="1" t="str">
        <f t="shared" si="41"/>
        <v/>
      </c>
      <c r="CS109" s="18">
        <f>SUM(AE109:BO109)</f>
        <v>40</v>
      </c>
    </row>
    <row r="110" spans="1:97" ht="27" x14ac:dyDescent="0.15">
      <c r="A110" s="1">
        <v>95</v>
      </c>
      <c r="B110" s="3" t="s">
        <v>94</v>
      </c>
      <c r="C110" s="3" t="s">
        <v>77</v>
      </c>
      <c r="D110" s="1" t="s">
        <v>1</v>
      </c>
      <c r="E110" s="6"/>
      <c r="F110" s="6"/>
      <c r="G110" s="6"/>
      <c r="H110" s="6"/>
      <c r="I110" s="6"/>
      <c r="J110" s="6"/>
      <c r="K110" s="6"/>
      <c r="L110" s="6">
        <v>15</v>
      </c>
      <c r="M110" s="6"/>
      <c r="N110" s="6"/>
      <c r="O110" s="6">
        <v>15</v>
      </c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>
        <v>15</v>
      </c>
      <c r="BB110" s="2">
        <v>15</v>
      </c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60</v>
      </c>
      <c r="BQ110" s="1">
        <v>10</v>
      </c>
      <c r="BR110" s="17">
        <v>2</v>
      </c>
      <c r="BS110" s="17" t="s">
        <v>268</v>
      </c>
      <c r="BT110" s="1" t="str">
        <f t="shared" si="40"/>
        <v/>
      </c>
      <c r="BU110" s="1" t="str">
        <f t="shared" si="40"/>
        <v/>
      </c>
      <c r="BV110" s="1" t="str">
        <f t="shared" si="40"/>
        <v/>
      </c>
      <c r="BW110" s="1" t="str">
        <f t="shared" si="40"/>
        <v/>
      </c>
      <c r="BX110" s="1" t="str">
        <f t="shared" si="40"/>
        <v/>
      </c>
      <c r="BY110" s="1" t="str">
        <f t="shared" si="40"/>
        <v/>
      </c>
      <c r="BZ110" s="1" t="str">
        <f t="shared" si="40"/>
        <v/>
      </c>
      <c r="CA110" s="1" t="str">
        <f t="shared" si="40"/>
        <v/>
      </c>
      <c r="CB110" s="1" t="str">
        <f t="shared" si="40"/>
        <v/>
      </c>
      <c r="CC110" s="1" t="str">
        <f t="shared" si="40"/>
        <v/>
      </c>
      <c r="CD110" s="1">
        <f t="shared" si="40"/>
        <v>3</v>
      </c>
      <c r="CE110" s="1" t="str">
        <f t="shared" si="40"/>
        <v/>
      </c>
      <c r="CF110" s="1">
        <f>COUNTIF(BT110:CE110, "&gt;0")</f>
        <v>1</v>
      </c>
      <c r="CG110" s="1" t="str">
        <f t="shared" si="41"/>
        <v/>
      </c>
      <c r="CH110" s="1" t="str">
        <f t="shared" si="41"/>
        <v/>
      </c>
      <c r="CI110" s="1" t="str">
        <f t="shared" si="41"/>
        <v/>
      </c>
      <c r="CJ110" s="1" t="str">
        <f t="shared" si="41"/>
        <v/>
      </c>
      <c r="CK110" s="1" t="str">
        <f t="shared" si="41"/>
        <v/>
      </c>
      <c r="CL110" s="1" t="str">
        <f t="shared" si="41"/>
        <v/>
      </c>
      <c r="CM110" s="1" t="str">
        <f t="shared" si="41"/>
        <v/>
      </c>
      <c r="CN110" s="1" t="str">
        <f t="shared" si="41"/>
        <v/>
      </c>
      <c r="CO110" s="1" t="str">
        <f t="shared" si="41"/>
        <v/>
      </c>
      <c r="CP110" s="1" t="str">
        <f t="shared" si="41"/>
        <v/>
      </c>
      <c r="CQ110" s="1">
        <f t="shared" si="41"/>
        <v>3</v>
      </c>
      <c r="CR110" s="1" t="str">
        <f t="shared" si="41"/>
        <v/>
      </c>
      <c r="CS110" s="18">
        <f>SUM(AE110:BO110)</f>
        <v>30</v>
      </c>
    </row>
    <row r="111" spans="1:97" ht="27" x14ac:dyDescent="0.15">
      <c r="A111" s="1">
        <v>27</v>
      </c>
      <c r="B111" s="1" t="s">
        <v>83</v>
      </c>
      <c r="C111" s="1" t="s">
        <v>32</v>
      </c>
      <c r="D111" s="1" t="s">
        <v>24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1"/>
      <c r="AF111" s="1"/>
      <c r="AG111" s="1"/>
      <c r="AH111" s="1">
        <v>5</v>
      </c>
      <c r="AI111" s="1">
        <v>5</v>
      </c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10</v>
      </c>
      <c r="BQ111" s="1">
        <v>10</v>
      </c>
      <c r="BR111" s="17">
        <v>2</v>
      </c>
      <c r="BS111" s="17" t="s">
        <v>224</v>
      </c>
      <c r="BT111" s="1" t="str">
        <f t="shared" si="40"/>
        <v/>
      </c>
      <c r="BU111" s="1" t="str">
        <f t="shared" si="40"/>
        <v/>
      </c>
      <c r="BV111" s="1" t="str">
        <f t="shared" si="40"/>
        <v/>
      </c>
      <c r="BW111" s="1" t="str">
        <f t="shared" si="40"/>
        <v/>
      </c>
      <c r="BX111" s="1" t="str">
        <f t="shared" si="40"/>
        <v/>
      </c>
      <c r="BY111" s="1" t="str">
        <f t="shared" si="40"/>
        <v/>
      </c>
      <c r="BZ111" s="1" t="str">
        <f t="shared" si="40"/>
        <v/>
      </c>
      <c r="CA111" s="1" t="str">
        <f t="shared" si="40"/>
        <v/>
      </c>
      <c r="CB111" s="1" t="str">
        <f t="shared" si="40"/>
        <v/>
      </c>
      <c r="CC111" s="1" t="str">
        <f t="shared" si="40"/>
        <v/>
      </c>
      <c r="CD111" s="1" t="str">
        <f t="shared" si="40"/>
        <v/>
      </c>
      <c r="CE111" s="1" t="str">
        <f t="shared" si="40"/>
        <v/>
      </c>
      <c r="CF111" s="1">
        <f>COUNTIF(BT111:CE111, "&gt;0")</f>
        <v>0</v>
      </c>
      <c r="CG111" s="1" t="str">
        <f t="shared" si="41"/>
        <v/>
      </c>
      <c r="CH111" s="1" t="str">
        <f t="shared" si="41"/>
        <v/>
      </c>
      <c r="CI111" s="1" t="str">
        <f t="shared" si="41"/>
        <v/>
      </c>
      <c r="CJ111" s="1" t="str">
        <f t="shared" si="41"/>
        <v/>
      </c>
      <c r="CK111" s="1" t="str">
        <f t="shared" si="41"/>
        <v/>
      </c>
      <c r="CL111" s="1" t="str">
        <f t="shared" si="41"/>
        <v/>
      </c>
      <c r="CM111" s="1" t="str">
        <f t="shared" si="41"/>
        <v/>
      </c>
      <c r="CN111" s="1" t="str">
        <f t="shared" si="41"/>
        <v/>
      </c>
      <c r="CO111" s="1" t="str">
        <f t="shared" si="41"/>
        <v/>
      </c>
      <c r="CP111" s="1" t="str">
        <f t="shared" si="41"/>
        <v/>
      </c>
      <c r="CQ111" s="1" t="str">
        <f t="shared" si="41"/>
        <v/>
      </c>
      <c r="CR111" s="1" t="str">
        <f t="shared" si="41"/>
        <v/>
      </c>
      <c r="CS111" s="18">
        <f>SUM(AE111:BO111)</f>
        <v>10</v>
      </c>
    </row>
    <row r="112" spans="1:97" ht="27" x14ac:dyDescent="0.15">
      <c r="A112" s="1">
        <v>88</v>
      </c>
      <c r="B112" s="3" t="s">
        <v>88</v>
      </c>
      <c r="C112" s="3" t="s">
        <v>89</v>
      </c>
      <c r="D112" s="1" t="s">
        <v>24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1"/>
      <c r="AF112" s="1"/>
      <c r="AG112" s="1"/>
      <c r="AH112" s="1">
        <v>5</v>
      </c>
      <c r="AI112" s="1">
        <v>5</v>
      </c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10</v>
      </c>
      <c r="BQ112" s="1">
        <v>10</v>
      </c>
      <c r="BR112" s="17">
        <v>2</v>
      </c>
      <c r="BS112" s="17" t="s">
        <v>224</v>
      </c>
      <c r="BT112" s="1" t="str">
        <f t="shared" si="40"/>
        <v/>
      </c>
      <c r="BU112" s="1" t="str">
        <f t="shared" si="40"/>
        <v/>
      </c>
      <c r="BV112" s="1" t="str">
        <f t="shared" si="40"/>
        <v/>
      </c>
      <c r="BW112" s="1" t="str">
        <f t="shared" si="40"/>
        <v/>
      </c>
      <c r="BX112" s="1" t="str">
        <f t="shared" si="40"/>
        <v/>
      </c>
      <c r="BY112" s="1" t="str">
        <f t="shared" si="40"/>
        <v/>
      </c>
      <c r="BZ112" s="1" t="str">
        <f t="shared" si="40"/>
        <v/>
      </c>
      <c r="CA112" s="1" t="str">
        <f t="shared" si="40"/>
        <v/>
      </c>
      <c r="CB112" s="1" t="str">
        <f t="shared" si="40"/>
        <v/>
      </c>
      <c r="CC112" s="1" t="str">
        <f t="shared" si="40"/>
        <v/>
      </c>
      <c r="CD112" s="1" t="str">
        <f t="shared" si="40"/>
        <v/>
      </c>
      <c r="CE112" s="1" t="str">
        <f t="shared" si="40"/>
        <v/>
      </c>
      <c r="CF112" s="1">
        <f>COUNTIF(BT112:CE112, "&gt;0")</f>
        <v>0</v>
      </c>
      <c r="CG112" s="1" t="str">
        <f t="shared" si="41"/>
        <v/>
      </c>
      <c r="CH112" s="1" t="str">
        <f t="shared" si="41"/>
        <v/>
      </c>
      <c r="CI112" s="1" t="str">
        <f t="shared" si="41"/>
        <v/>
      </c>
      <c r="CJ112" s="1" t="str">
        <f t="shared" si="41"/>
        <v/>
      </c>
      <c r="CK112" s="1" t="str">
        <f t="shared" si="41"/>
        <v/>
      </c>
      <c r="CL112" s="1" t="str">
        <f t="shared" si="41"/>
        <v/>
      </c>
      <c r="CM112" s="1" t="str">
        <f t="shared" si="41"/>
        <v/>
      </c>
      <c r="CN112" s="1" t="str">
        <f t="shared" si="41"/>
        <v/>
      </c>
      <c r="CO112" s="1" t="str">
        <f t="shared" si="41"/>
        <v/>
      </c>
      <c r="CP112" s="1" t="str">
        <f t="shared" si="41"/>
        <v/>
      </c>
      <c r="CQ112" s="1" t="str">
        <f t="shared" si="41"/>
        <v/>
      </c>
      <c r="CR112" s="1" t="str">
        <f t="shared" si="41"/>
        <v/>
      </c>
      <c r="CS112" s="18">
        <f>SUM(AE112:BO112)</f>
        <v>10</v>
      </c>
    </row>
    <row r="113" spans="1:97" ht="27" x14ac:dyDescent="0.15">
      <c r="A113" s="1"/>
      <c r="B113" s="1" t="s">
        <v>193</v>
      </c>
      <c r="C113" s="1" t="s">
        <v>192</v>
      </c>
      <c r="D113" s="1" t="s">
        <v>160</v>
      </c>
      <c r="E113" s="6"/>
      <c r="F113" s="6"/>
      <c r="G113" s="6">
        <v>10</v>
      </c>
      <c r="H113" s="6"/>
      <c r="I113" s="6"/>
      <c r="J113" s="6"/>
      <c r="K113" s="6"/>
      <c r="L113" s="6"/>
      <c r="M113" s="6"/>
      <c r="N113" s="6"/>
      <c r="O113" s="6"/>
      <c r="P113" s="32"/>
      <c r="Q113" s="32"/>
      <c r="R113" s="32"/>
      <c r="S113" s="32"/>
      <c r="T113" s="32"/>
      <c r="U113" s="32"/>
      <c r="V113" s="32"/>
      <c r="W113" s="32"/>
      <c r="X113" s="32">
        <v>10</v>
      </c>
      <c r="Y113" s="32"/>
      <c r="Z113" s="32"/>
      <c r="AA113" s="32"/>
      <c r="AB113" s="32"/>
      <c r="AC113" s="32"/>
      <c r="AD113" s="32">
        <v>10</v>
      </c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>
        <v>10</v>
      </c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>
        <v>10</v>
      </c>
      <c r="BR113" s="17">
        <v>2</v>
      </c>
      <c r="BS113" s="17" t="s">
        <v>270</v>
      </c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8"/>
    </row>
    <row r="114" spans="1:97" ht="27" x14ac:dyDescent="0.15">
      <c r="A114" s="1"/>
      <c r="B114" s="1" t="s">
        <v>241</v>
      </c>
      <c r="C114" s="1" t="s">
        <v>146</v>
      </c>
      <c r="D114" s="1" t="s">
        <v>244</v>
      </c>
      <c r="E114" s="6"/>
      <c r="F114" s="6"/>
      <c r="G114" s="6">
        <v>10</v>
      </c>
      <c r="H114" s="6"/>
      <c r="I114" s="6"/>
      <c r="J114" s="6"/>
      <c r="K114" s="6"/>
      <c r="L114" s="6"/>
      <c r="M114" s="6"/>
      <c r="N114" s="6"/>
      <c r="O114" s="6"/>
      <c r="P114" s="32"/>
      <c r="Q114" s="32"/>
      <c r="R114" s="32"/>
      <c r="S114" s="32"/>
      <c r="T114" s="32"/>
      <c r="U114" s="32"/>
      <c r="V114" s="32"/>
      <c r="W114" s="32"/>
      <c r="X114" s="32">
        <v>10</v>
      </c>
      <c r="Y114" s="32"/>
      <c r="Z114" s="32"/>
      <c r="AA114" s="32"/>
      <c r="AB114" s="32"/>
      <c r="AC114" s="32"/>
      <c r="AD114" s="32">
        <v>10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>
        <v>10</v>
      </c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>
        <v>10</v>
      </c>
      <c r="BR114" s="17">
        <v>2</v>
      </c>
      <c r="BS114" s="17" t="s">
        <v>269</v>
      </c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8"/>
    </row>
    <row r="115" spans="1:97" ht="27" x14ac:dyDescent="0.15">
      <c r="A115" s="1">
        <v>3</v>
      </c>
      <c r="B115" s="1" t="s">
        <v>11</v>
      </c>
      <c r="C115" s="1" t="s">
        <v>2</v>
      </c>
      <c r="D115" s="1" t="s">
        <v>12</v>
      </c>
      <c r="E115" s="6">
        <v>15</v>
      </c>
      <c r="F115" s="6"/>
      <c r="G115" s="6">
        <v>15</v>
      </c>
      <c r="H115" s="6"/>
      <c r="I115" s="6"/>
      <c r="J115" s="6"/>
      <c r="K115" s="6"/>
      <c r="L115" s="6"/>
      <c r="M115" s="6"/>
      <c r="N115" s="6"/>
      <c r="O115" s="6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>
        <v>15</v>
      </c>
      <c r="AS115" s="4"/>
      <c r="AT115" s="4"/>
      <c r="AU115" s="4"/>
      <c r="AV115" s="4"/>
      <c r="AW115" s="2"/>
      <c r="AX115" s="2"/>
      <c r="AY115" s="2"/>
      <c r="AZ115" s="2"/>
      <c r="BA115" s="2"/>
      <c r="BB115" s="2">
        <v>15</v>
      </c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60</v>
      </c>
      <c r="BQ115" s="1">
        <v>11</v>
      </c>
      <c r="BR115" s="17">
        <v>2</v>
      </c>
      <c r="BS115" s="17" t="s">
        <v>271</v>
      </c>
      <c r="BT115" s="1" t="str">
        <f t="shared" ref="BT115:CE115" si="42">IF(AQ115&gt;AQ$159, AQ115-AQ$159,"")</f>
        <v/>
      </c>
      <c r="BU115" s="1" t="str">
        <f t="shared" si="42"/>
        <v/>
      </c>
      <c r="BV115" s="1" t="str">
        <f t="shared" si="42"/>
        <v/>
      </c>
      <c r="BW115" s="1" t="str">
        <f t="shared" si="42"/>
        <v/>
      </c>
      <c r="BX115" s="1" t="str">
        <f t="shared" si="42"/>
        <v/>
      </c>
      <c r="BY115" s="1" t="str">
        <f t="shared" si="42"/>
        <v/>
      </c>
      <c r="BZ115" s="1" t="str">
        <f t="shared" si="42"/>
        <v/>
      </c>
      <c r="CA115" s="1" t="str">
        <f t="shared" si="42"/>
        <v/>
      </c>
      <c r="CB115" s="1" t="str">
        <f t="shared" si="42"/>
        <v/>
      </c>
      <c r="CC115" s="1" t="str">
        <f t="shared" si="42"/>
        <v/>
      </c>
      <c r="CD115" s="1" t="str">
        <f t="shared" si="42"/>
        <v/>
      </c>
      <c r="CE115" s="1" t="str">
        <f t="shared" si="42"/>
        <v/>
      </c>
      <c r="CF115" s="1">
        <f>COUNTIF(BT115:CE115, "&gt;0")</f>
        <v>0</v>
      </c>
      <c r="CG115" s="1" t="str">
        <f t="shared" ref="CG115:CR115" si="43">IF($CF115=1,BT115,"")</f>
        <v/>
      </c>
      <c r="CH115" s="1" t="str">
        <f t="shared" si="43"/>
        <v/>
      </c>
      <c r="CI115" s="1" t="str">
        <f t="shared" si="43"/>
        <v/>
      </c>
      <c r="CJ115" s="1" t="str">
        <f t="shared" si="43"/>
        <v/>
      </c>
      <c r="CK115" s="1" t="str">
        <f t="shared" si="43"/>
        <v/>
      </c>
      <c r="CL115" s="1" t="str">
        <f t="shared" si="43"/>
        <v/>
      </c>
      <c r="CM115" s="1" t="str">
        <f t="shared" si="43"/>
        <v/>
      </c>
      <c r="CN115" s="1" t="str">
        <f t="shared" si="43"/>
        <v/>
      </c>
      <c r="CO115" s="1" t="str">
        <f t="shared" si="43"/>
        <v/>
      </c>
      <c r="CP115" s="1" t="str">
        <f t="shared" si="43"/>
        <v/>
      </c>
      <c r="CQ115" s="1" t="str">
        <f t="shared" si="43"/>
        <v/>
      </c>
      <c r="CR115" s="1" t="str">
        <f t="shared" si="43"/>
        <v/>
      </c>
      <c r="CS115" s="18">
        <f>SUM(AE115:BO115)</f>
        <v>30</v>
      </c>
    </row>
    <row r="116" spans="1:97" ht="27" x14ac:dyDescent="0.15">
      <c r="A116" s="1"/>
      <c r="B116" s="1" t="s">
        <v>133</v>
      </c>
      <c r="C116" s="1" t="s">
        <v>134</v>
      </c>
      <c r="D116" s="1" t="s">
        <v>120</v>
      </c>
      <c r="E116" s="6">
        <v>15</v>
      </c>
      <c r="F116" s="6"/>
      <c r="G116" s="6">
        <v>15</v>
      </c>
      <c r="H116" s="6"/>
      <c r="I116" s="6"/>
      <c r="J116" s="6"/>
      <c r="K116" s="6"/>
      <c r="L116" s="6"/>
      <c r="M116" s="6"/>
      <c r="N116" s="6"/>
      <c r="O116" s="6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>
        <v>15</v>
      </c>
      <c r="AS116" s="4"/>
      <c r="AT116" s="4"/>
      <c r="AU116" s="4"/>
      <c r="AV116" s="4"/>
      <c r="AW116" s="2"/>
      <c r="AX116" s="2"/>
      <c r="AY116" s="2"/>
      <c r="AZ116" s="2"/>
      <c r="BA116" s="2"/>
      <c r="BB116" s="2">
        <v>15</v>
      </c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>
        <v>11</v>
      </c>
      <c r="BR116" s="17">
        <v>2</v>
      </c>
      <c r="BS116" s="17" t="s">
        <v>271</v>
      </c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8"/>
    </row>
    <row r="117" spans="1:97" ht="27" x14ac:dyDescent="0.15">
      <c r="A117" s="1"/>
      <c r="B117" s="1" t="s">
        <v>135</v>
      </c>
      <c r="C117" s="1" t="s">
        <v>134</v>
      </c>
      <c r="D117" s="1" t="s">
        <v>120</v>
      </c>
      <c r="E117" s="6">
        <v>15</v>
      </c>
      <c r="F117" s="6"/>
      <c r="G117" s="6">
        <v>15</v>
      </c>
      <c r="H117" s="6"/>
      <c r="I117" s="6"/>
      <c r="J117" s="6"/>
      <c r="K117" s="6"/>
      <c r="L117" s="6"/>
      <c r="M117" s="6"/>
      <c r="N117" s="6"/>
      <c r="O117" s="6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>
        <v>15</v>
      </c>
      <c r="AS117" s="4"/>
      <c r="AT117" s="4"/>
      <c r="AU117" s="4"/>
      <c r="AV117" s="4"/>
      <c r="AW117" s="2"/>
      <c r="AX117" s="2"/>
      <c r="AY117" s="2"/>
      <c r="AZ117" s="2"/>
      <c r="BA117" s="2"/>
      <c r="BB117" s="2">
        <v>15</v>
      </c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>
        <v>11</v>
      </c>
      <c r="BR117" s="17">
        <v>2</v>
      </c>
      <c r="BS117" s="17" t="s">
        <v>271</v>
      </c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8"/>
    </row>
    <row r="118" spans="1:97" ht="27" x14ac:dyDescent="0.15">
      <c r="A118" s="1">
        <v>21</v>
      </c>
      <c r="B118" s="1" t="s">
        <v>39</v>
      </c>
      <c r="C118" s="1" t="s">
        <v>32</v>
      </c>
      <c r="D118" s="1" t="s">
        <v>26</v>
      </c>
      <c r="E118" s="6"/>
      <c r="F118" s="6"/>
      <c r="G118" s="6">
        <v>6</v>
      </c>
      <c r="H118" s="6">
        <v>6</v>
      </c>
      <c r="I118" s="6"/>
      <c r="J118" s="6"/>
      <c r="K118" s="6"/>
      <c r="L118" s="6"/>
      <c r="M118" s="6"/>
      <c r="N118" s="6"/>
      <c r="O118" s="6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>
        <v>10</v>
      </c>
      <c r="AT118" s="4"/>
      <c r="AU118" s="4"/>
      <c r="AV118" s="4"/>
      <c r="AW118" s="2"/>
      <c r="AX118" s="2"/>
      <c r="AY118" s="2"/>
      <c r="AZ118" s="2"/>
      <c r="BA118" s="2"/>
      <c r="BB118" s="2">
        <v>10</v>
      </c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32</v>
      </c>
      <c r="BQ118" s="1">
        <v>11</v>
      </c>
      <c r="BR118" s="17">
        <v>2</v>
      </c>
      <c r="BS118" s="17" t="s">
        <v>211</v>
      </c>
      <c r="BT118" s="1" t="str">
        <f t="shared" ref="BT118:CE118" si="44">IF(AQ118&gt;AQ$159, AQ118-AQ$159,"")</f>
        <v/>
      </c>
      <c r="BU118" s="1" t="str">
        <f t="shared" si="44"/>
        <v/>
      </c>
      <c r="BV118" s="1">
        <f t="shared" si="44"/>
        <v>8</v>
      </c>
      <c r="BW118" s="1" t="str">
        <f t="shared" si="44"/>
        <v/>
      </c>
      <c r="BX118" s="1" t="str">
        <f t="shared" si="44"/>
        <v/>
      </c>
      <c r="BY118" s="1" t="str">
        <f t="shared" si="44"/>
        <v/>
      </c>
      <c r="BZ118" s="1" t="str">
        <f t="shared" si="44"/>
        <v/>
      </c>
      <c r="CA118" s="1" t="str">
        <f t="shared" si="44"/>
        <v/>
      </c>
      <c r="CB118" s="1" t="str">
        <f t="shared" si="44"/>
        <v/>
      </c>
      <c r="CC118" s="1" t="str">
        <f t="shared" si="44"/>
        <v/>
      </c>
      <c r="CD118" s="1" t="str">
        <f t="shared" si="44"/>
        <v/>
      </c>
      <c r="CE118" s="1" t="str">
        <f t="shared" si="44"/>
        <v/>
      </c>
      <c r="CF118" s="1">
        <f>COUNTIF(BT118:CE118, "&gt;0")</f>
        <v>1</v>
      </c>
      <c r="CG118" s="1" t="str">
        <f t="shared" ref="CG118:CR118" si="45">IF($CF118=1,BT118,"")</f>
        <v/>
      </c>
      <c r="CH118" s="1" t="str">
        <f t="shared" si="45"/>
        <v/>
      </c>
      <c r="CI118" s="1">
        <f t="shared" si="45"/>
        <v>8</v>
      </c>
      <c r="CJ118" s="1" t="str">
        <f t="shared" si="45"/>
        <v/>
      </c>
      <c r="CK118" s="1" t="str">
        <f t="shared" si="45"/>
        <v/>
      </c>
      <c r="CL118" s="1" t="str">
        <f t="shared" si="45"/>
        <v/>
      </c>
      <c r="CM118" s="1" t="str">
        <f t="shared" si="45"/>
        <v/>
      </c>
      <c r="CN118" s="1" t="str">
        <f t="shared" si="45"/>
        <v/>
      </c>
      <c r="CO118" s="1" t="str">
        <f t="shared" si="45"/>
        <v/>
      </c>
      <c r="CP118" s="1" t="str">
        <f t="shared" si="45"/>
        <v/>
      </c>
      <c r="CQ118" s="1" t="str">
        <f t="shared" si="45"/>
        <v/>
      </c>
      <c r="CR118" s="1" t="str">
        <f t="shared" si="45"/>
        <v/>
      </c>
      <c r="CS118" s="18">
        <f>SUM(AE118:BO118)</f>
        <v>20</v>
      </c>
    </row>
    <row r="119" spans="1:97" ht="27" x14ac:dyDescent="0.15">
      <c r="A119" s="1"/>
      <c r="B119" s="1" t="s">
        <v>131</v>
      </c>
      <c r="C119" s="1" t="s">
        <v>123</v>
      </c>
      <c r="D119" s="1" t="s">
        <v>121</v>
      </c>
      <c r="E119" s="6">
        <v>6</v>
      </c>
      <c r="F119" s="6">
        <v>6</v>
      </c>
      <c r="G119" s="6"/>
      <c r="H119" s="6"/>
      <c r="I119" s="6"/>
      <c r="J119" s="6"/>
      <c r="K119" s="6"/>
      <c r="L119" s="6"/>
      <c r="M119" s="6"/>
      <c r="N119" s="6"/>
      <c r="O119" s="6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>
        <v>10</v>
      </c>
      <c r="AT119" s="4"/>
      <c r="AU119" s="4"/>
      <c r="AV119" s="4"/>
      <c r="AW119" s="2"/>
      <c r="AX119" s="2">
        <v>10</v>
      </c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>
        <v>11</v>
      </c>
      <c r="BR119" s="17">
        <v>2</v>
      </c>
      <c r="BS119" s="17" t="s">
        <v>272</v>
      </c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8"/>
    </row>
    <row r="120" spans="1:97" ht="27" x14ac:dyDescent="0.15">
      <c r="A120" s="1"/>
      <c r="B120" s="1" t="s">
        <v>285</v>
      </c>
      <c r="C120" s="1" t="s">
        <v>157</v>
      </c>
      <c r="D120" s="1" t="s">
        <v>160</v>
      </c>
      <c r="E120" s="6"/>
      <c r="F120" s="6"/>
      <c r="G120" s="6"/>
      <c r="H120" s="6"/>
      <c r="I120" s="6">
        <v>10</v>
      </c>
      <c r="J120" s="6"/>
      <c r="K120" s="6"/>
      <c r="L120" s="6"/>
      <c r="M120" s="6"/>
      <c r="N120" s="6"/>
      <c r="O120" s="6"/>
      <c r="P120" s="32"/>
      <c r="Q120" s="32"/>
      <c r="R120" s="32">
        <v>10</v>
      </c>
      <c r="S120" s="32"/>
      <c r="T120" s="32"/>
      <c r="U120" s="32"/>
      <c r="V120" s="32"/>
      <c r="W120" s="32"/>
      <c r="X120" s="32">
        <v>10</v>
      </c>
      <c r="Y120" s="32"/>
      <c r="Z120" s="32"/>
      <c r="AA120" s="32"/>
      <c r="AB120" s="32"/>
      <c r="AC120" s="32"/>
      <c r="AD120" s="32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>
        <v>10</v>
      </c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>
        <v>12</v>
      </c>
      <c r="BR120" s="17">
        <v>2</v>
      </c>
      <c r="BS120" s="17" t="s">
        <v>225</v>
      </c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8"/>
    </row>
    <row r="121" spans="1:97" ht="27" x14ac:dyDescent="0.15">
      <c r="A121" s="1"/>
      <c r="B121" s="1" t="s">
        <v>127</v>
      </c>
      <c r="C121" s="1" t="s">
        <v>123</v>
      </c>
      <c r="D121" s="1" t="s">
        <v>120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>
        <v>5</v>
      </c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>
        <v>5</v>
      </c>
      <c r="AP121" s="1">
        <v>10</v>
      </c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>
        <v>15</v>
      </c>
      <c r="BR121" s="17">
        <v>2</v>
      </c>
      <c r="BS121" s="17" t="s">
        <v>273</v>
      </c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8"/>
    </row>
    <row r="122" spans="1:97" ht="27" x14ac:dyDescent="0.15">
      <c r="A122" s="1"/>
      <c r="B122" s="1" t="s">
        <v>154</v>
      </c>
      <c r="C122" s="1" t="s">
        <v>155</v>
      </c>
      <c r="D122" s="1" t="s">
        <v>120</v>
      </c>
      <c r="E122" s="6"/>
      <c r="F122" s="6"/>
      <c r="G122" s="6"/>
      <c r="H122" s="6"/>
      <c r="I122" s="6"/>
      <c r="J122" s="6"/>
      <c r="K122" s="6"/>
      <c r="L122" s="6">
        <v>20</v>
      </c>
      <c r="M122" s="6"/>
      <c r="N122" s="6"/>
      <c r="O122" s="6">
        <v>20</v>
      </c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>
        <v>20</v>
      </c>
      <c r="BB122" s="2">
        <v>20</v>
      </c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>
        <v>20</v>
      </c>
      <c r="BR122" s="17">
        <v>2</v>
      </c>
      <c r="BS122" s="17" t="s">
        <v>205</v>
      </c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8"/>
    </row>
    <row r="123" spans="1:97" ht="40.5" x14ac:dyDescent="0.15">
      <c r="A123" s="1"/>
      <c r="B123" s="1" t="s">
        <v>196</v>
      </c>
      <c r="C123" s="1" t="s">
        <v>192</v>
      </c>
      <c r="D123" s="1" t="s">
        <v>159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32"/>
      <c r="Q123" s="32"/>
      <c r="R123" s="32"/>
      <c r="S123" s="32"/>
      <c r="T123" s="32"/>
      <c r="U123" s="32">
        <v>2</v>
      </c>
      <c r="V123" s="32"/>
      <c r="W123" s="32"/>
      <c r="X123" s="32"/>
      <c r="Y123" s="32"/>
      <c r="Z123" s="32"/>
      <c r="AA123" s="32">
        <v>2</v>
      </c>
      <c r="AB123" s="32"/>
      <c r="AC123" s="32">
        <v>5</v>
      </c>
      <c r="AD123" s="32">
        <v>2</v>
      </c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>
        <v>6</v>
      </c>
      <c r="BR123" s="17">
        <v>3</v>
      </c>
      <c r="BS123" s="17" t="s">
        <v>228</v>
      </c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8"/>
    </row>
    <row r="124" spans="1:97" ht="40.5" x14ac:dyDescent="0.15">
      <c r="A124" s="1"/>
      <c r="B124" s="1" t="s">
        <v>186</v>
      </c>
      <c r="C124" s="1" t="s">
        <v>187</v>
      </c>
      <c r="D124" s="1" t="s">
        <v>160</v>
      </c>
      <c r="E124" s="6"/>
      <c r="F124" s="6"/>
      <c r="G124" s="6"/>
      <c r="H124" s="6"/>
      <c r="I124" s="6"/>
      <c r="J124" s="6"/>
      <c r="K124" s="6"/>
      <c r="L124" s="6">
        <v>7</v>
      </c>
      <c r="M124" s="6"/>
      <c r="N124" s="6"/>
      <c r="O124" s="6"/>
      <c r="P124" s="32"/>
      <c r="Q124" s="32">
        <v>7</v>
      </c>
      <c r="R124" s="32"/>
      <c r="S124" s="32"/>
      <c r="T124" s="32">
        <v>7</v>
      </c>
      <c r="U124" s="32"/>
      <c r="V124" s="32"/>
      <c r="W124" s="32"/>
      <c r="X124" s="32">
        <v>7</v>
      </c>
      <c r="Y124" s="32"/>
      <c r="Z124" s="32"/>
      <c r="AA124" s="32"/>
      <c r="AB124" s="32"/>
      <c r="AC124" s="32"/>
      <c r="AD124" s="32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>
        <v>9</v>
      </c>
      <c r="BR124" s="17">
        <v>3</v>
      </c>
      <c r="BS124" s="17" t="s">
        <v>229</v>
      </c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8"/>
    </row>
    <row r="125" spans="1:97" ht="40.5" x14ac:dyDescent="0.15">
      <c r="A125" s="1"/>
      <c r="B125" s="1" t="s">
        <v>178</v>
      </c>
      <c r="C125" s="1" t="s">
        <v>176</v>
      </c>
      <c r="D125" s="1" t="s">
        <v>159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32"/>
      <c r="Q125" s="32">
        <v>5</v>
      </c>
      <c r="R125" s="32"/>
      <c r="S125" s="32"/>
      <c r="T125" s="32">
        <v>5</v>
      </c>
      <c r="U125" s="32"/>
      <c r="V125" s="32"/>
      <c r="W125" s="32"/>
      <c r="X125" s="32"/>
      <c r="Y125" s="32"/>
      <c r="Z125" s="32">
        <v>5</v>
      </c>
      <c r="AA125" s="32">
        <v>2</v>
      </c>
      <c r="AB125" s="32"/>
      <c r="AC125" s="32"/>
      <c r="AD125" s="32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>
        <v>9</v>
      </c>
      <c r="BR125" s="17">
        <v>3</v>
      </c>
      <c r="BS125" s="17" t="s">
        <v>230</v>
      </c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8"/>
    </row>
    <row r="126" spans="1:97" ht="40.5" x14ac:dyDescent="0.15">
      <c r="A126" s="1"/>
      <c r="B126" s="1" t="s">
        <v>193</v>
      </c>
      <c r="C126" s="1" t="s">
        <v>192</v>
      </c>
      <c r="D126" s="1" t="s">
        <v>159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32"/>
      <c r="Q126" s="32">
        <v>5</v>
      </c>
      <c r="R126" s="32"/>
      <c r="S126" s="32"/>
      <c r="T126" s="32">
        <v>5</v>
      </c>
      <c r="U126" s="32"/>
      <c r="V126" s="32"/>
      <c r="W126" s="32"/>
      <c r="X126" s="32"/>
      <c r="Y126" s="32"/>
      <c r="Z126" s="32">
        <v>5</v>
      </c>
      <c r="AA126" s="32">
        <v>2</v>
      </c>
      <c r="AB126" s="32"/>
      <c r="AC126" s="32"/>
      <c r="AD126" s="32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>
        <v>9</v>
      </c>
      <c r="BR126" s="17">
        <v>3</v>
      </c>
      <c r="BS126" s="17" t="s">
        <v>230</v>
      </c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8"/>
    </row>
    <row r="127" spans="1:97" ht="40.5" x14ac:dyDescent="0.15">
      <c r="A127" s="1"/>
      <c r="B127" s="1" t="s">
        <v>241</v>
      </c>
      <c r="C127" s="1" t="s">
        <v>146</v>
      </c>
      <c r="D127" s="1" t="s">
        <v>243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32"/>
      <c r="Q127" s="32">
        <v>5</v>
      </c>
      <c r="R127" s="32"/>
      <c r="S127" s="32"/>
      <c r="T127" s="32">
        <v>5</v>
      </c>
      <c r="U127" s="32"/>
      <c r="V127" s="32"/>
      <c r="W127" s="32"/>
      <c r="X127" s="32"/>
      <c r="Y127" s="32"/>
      <c r="Z127" s="32">
        <v>5</v>
      </c>
      <c r="AA127" s="32">
        <v>2</v>
      </c>
      <c r="AB127" s="32"/>
      <c r="AC127" s="32"/>
      <c r="AD127" s="32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>
        <v>9</v>
      </c>
      <c r="BR127" s="17">
        <v>3</v>
      </c>
      <c r="BS127" s="17" t="s">
        <v>274</v>
      </c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8"/>
    </row>
    <row r="128" spans="1:97" ht="40.5" x14ac:dyDescent="0.15">
      <c r="A128" s="1"/>
      <c r="B128" s="1" t="s">
        <v>194</v>
      </c>
      <c r="C128" s="1" t="s">
        <v>192</v>
      </c>
      <c r="D128" s="1" t="s">
        <v>159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32"/>
      <c r="Q128" s="32">
        <v>5</v>
      </c>
      <c r="R128" s="32"/>
      <c r="S128" s="32"/>
      <c r="T128" s="32"/>
      <c r="U128" s="32"/>
      <c r="V128" s="32">
        <v>10</v>
      </c>
      <c r="W128" s="32"/>
      <c r="X128" s="32"/>
      <c r="Y128" s="32"/>
      <c r="Z128" s="32">
        <v>5</v>
      </c>
      <c r="AA128" s="32"/>
      <c r="AB128" s="32">
        <v>10</v>
      </c>
      <c r="AC128" s="32"/>
      <c r="AD128" s="32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>
        <v>10</v>
      </c>
      <c r="BR128" s="17">
        <v>3</v>
      </c>
      <c r="BS128" s="17" t="s">
        <v>231</v>
      </c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8"/>
    </row>
    <row r="129" spans="1:97" ht="40.5" x14ac:dyDescent="0.15">
      <c r="A129" s="1"/>
      <c r="B129" s="1" t="s">
        <v>196</v>
      </c>
      <c r="C129" s="1" t="s">
        <v>192</v>
      </c>
      <c r="D129" s="1" t="s">
        <v>158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32"/>
      <c r="Q129" s="32">
        <v>5</v>
      </c>
      <c r="R129" s="32"/>
      <c r="S129" s="32"/>
      <c r="T129" s="32">
        <v>5</v>
      </c>
      <c r="U129" s="32"/>
      <c r="V129" s="32"/>
      <c r="W129" s="32">
        <v>5</v>
      </c>
      <c r="X129" s="32"/>
      <c r="Y129" s="32"/>
      <c r="Z129" s="32">
        <v>5</v>
      </c>
      <c r="AA129" s="32"/>
      <c r="AB129" s="32"/>
      <c r="AC129" s="32"/>
      <c r="AD129" s="32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>
        <v>11</v>
      </c>
      <c r="BR129" s="17">
        <v>3</v>
      </c>
      <c r="BS129" s="17" t="s">
        <v>232</v>
      </c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8"/>
    </row>
    <row r="130" spans="1:97" ht="40.5" x14ac:dyDescent="0.15">
      <c r="A130" s="1"/>
      <c r="B130" s="1" t="s">
        <v>184</v>
      </c>
      <c r="C130" s="1" t="s">
        <v>181</v>
      </c>
      <c r="D130" s="1" t="s">
        <v>160</v>
      </c>
      <c r="E130" s="6"/>
      <c r="F130" s="6"/>
      <c r="G130" s="6"/>
      <c r="H130" s="6"/>
      <c r="I130" s="6">
        <v>7</v>
      </c>
      <c r="J130" s="6"/>
      <c r="K130" s="6"/>
      <c r="L130" s="6"/>
      <c r="M130" s="6"/>
      <c r="N130" s="6"/>
      <c r="O130" s="6"/>
      <c r="P130" s="32"/>
      <c r="Q130" s="32">
        <v>7</v>
      </c>
      <c r="R130" s="32">
        <v>7</v>
      </c>
      <c r="S130" s="32"/>
      <c r="T130" s="32">
        <v>7</v>
      </c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>
        <v>13</v>
      </c>
      <c r="BR130" s="17">
        <v>3</v>
      </c>
      <c r="BS130" s="17" t="s">
        <v>233</v>
      </c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8"/>
    </row>
    <row r="131" spans="1:97" ht="40.5" x14ac:dyDescent="0.15">
      <c r="A131" s="1">
        <v>28</v>
      </c>
      <c r="B131" s="1" t="s">
        <v>83</v>
      </c>
      <c r="C131" s="1" t="s">
        <v>32</v>
      </c>
      <c r="D131" s="1" t="s">
        <v>1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1"/>
      <c r="AF131" s="1"/>
      <c r="AG131" s="1"/>
      <c r="AH131" s="1">
        <v>5</v>
      </c>
      <c r="AI131" s="1">
        <v>5</v>
      </c>
      <c r="AJ131" s="1">
        <v>5</v>
      </c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>SUM(E131:BO131)</f>
        <v>15</v>
      </c>
      <c r="BQ131" s="1">
        <v>15</v>
      </c>
      <c r="BR131" s="17">
        <v>3</v>
      </c>
      <c r="BS131" s="17" t="s">
        <v>275</v>
      </c>
      <c r="BT131" s="1" t="str">
        <f t="shared" ref="BT131:CE132" si="46">IF(AQ131&gt;AQ$159, AQ131-AQ$159,"")</f>
        <v/>
      </c>
      <c r="BU131" s="1" t="str">
        <f t="shared" si="46"/>
        <v/>
      </c>
      <c r="BV131" s="1" t="str">
        <f t="shared" si="46"/>
        <v/>
      </c>
      <c r="BW131" s="1" t="str">
        <f t="shared" si="46"/>
        <v/>
      </c>
      <c r="BX131" s="1" t="str">
        <f t="shared" si="46"/>
        <v/>
      </c>
      <c r="BY131" s="1" t="str">
        <f t="shared" si="46"/>
        <v/>
      </c>
      <c r="BZ131" s="1" t="str">
        <f t="shared" si="46"/>
        <v/>
      </c>
      <c r="CA131" s="1" t="str">
        <f t="shared" si="46"/>
        <v/>
      </c>
      <c r="CB131" s="1" t="str">
        <f t="shared" si="46"/>
        <v/>
      </c>
      <c r="CC131" s="1" t="str">
        <f t="shared" si="46"/>
        <v/>
      </c>
      <c r="CD131" s="1" t="str">
        <f t="shared" si="46"/>
        <v/>
      </c>
      <c r="CE131" s="1" t="str">
        <f t="shared" si="46"/>
        <v/>
      </c>
      <c r="CF131" s="1">
        <f>COUNTIF(BT131:CE131, "&gt;0")</f>
        <v>0</v>
      </c>
      <c r="CG131" s="1" t="str">
        <f t="shared" ref="CG131:CR132" si="47">IF($CF131=1,BT131,"")</f>
        <v/>
      </c>
      <c r="CH131" s="1" t="str">
        <f t="shared" si="47"/>
        <v/>
      </c>
      <c r="CI131" s="1" t="str">
        <f t="shared" si="47"/>
        <v/>
      </c>
      <c r="CJ131" s="1" t="str">
        <f t="shared" si="47"/>
        <v/>
      </c>
      <c r="CK131" s="1" t="str">
        <f t="shared" si="47"/>
        <v/>
      </c>
      <c r="CL131" s="1" t="str">
        <f t="shared" si="47"/>
        <v/>
      </c>
      <c r="CM131" s="1" t="str">
        <f t="shared" si="47"/>
        <v/>
      </c>
      <c r="CN131" s="1" t="str">
        <f t="shared" si="47"/>
        <v/>
      </c>
      <c r="CO131" s="1" t="str">
        <f t="shared" si="47"/>
        <v/>
      </c>
      <c r="CP131" s="1" t="str">
        <f t="shared" si="47"/>
        <v/>
      </c>
      <c r="CQ131" s="1" t="str">
        <f t="shared" si="47"/>
        <v/>
      </c>
      <c r="CR131" s="1" t="str">
        <f t="shared" si="47"/>
        <v/>
      </c>
      <c r="CS131" s="18">
        <f>SUM(AE131:BO131)</f>
        <v>15</v>
      </c>
    </row>
    <row r="132" spans="1:97" ht="40.5" x14ac:dyDescent="0.15">
      <c r="A132" s="1">
        <v>89</v>
      </c>
      <c r="B132" s="3" t="s">
        <v>88</v>
      </c>
      <c r="C132" s="3" t="s">
        <v>89</v>
      </c>
      <c r="D132" s="1" t="s">
        <v>1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1"/>
      <c r="AF132" s="1">
        <v>5</v>
      </c>
      <c r="AG132" s="1"/>
      <c r="AH132" s="1">
        <v>5</v>
      </c>
      <c r="AI132" s="1">
        <v>5</v>
      </c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>SUM(E132:BO132)</f>
        <v>15</v>
      </c>
      <c r="BQ132" s="1">
        <v>15</v>
      </c>
      <c r="BR132" s="17">
        <v>3</v>
      </c>
      <c r="BS132" s="17" t="s">
        <v>276</v>
      </c>
      <c r="BT132" s="1" t="str">
        <f t="shared" si="46"/>
        <v/>
      </c>
      <c r="BU132" s="1" t="str">
        <f t="shared" si="46"/>
        <v/>
      </c>
      <c r="BV132" s="1" t="str">
        <f t="shared" si="46"/>
        <v/>
      </c>
      <c r="BW132" s="1" t="str">
        <f t="shared" si="46"/>
        <v/>
      </c>
      <c r="BX132" s="1" t="str">
        <f t="shared" si="46"/>
        <v/>
      </c>
      <c r="BY132" s="1" t="str">
        <f t="shared" si="46"/>
        <v/>
      </c>
      <c r="BZ132" s="1" t="str">
        <f t="shared" si="46"/>
        <v/>
      </c>
      <c r="CA132" s="1" t="str">
        <f t="shared" si="46"/>
        <v/>
      </c>
      <c r="CB132" s="1" t="str">
        <f t="shared" si="46"/>
        <v/>
      </c>
      <c r="CC132" s="1" t="str">
        <f t="shared" si="46"/>
        <v/>
      </c>
      <c r="CD132" s="1" t="str">
        <f t="shared" si="46"/>
        <v/>
      </c>
      <c r="CE132" s="1" t="str">
        <f t="shared" si="46"/>
        <v/>
      </c>
      <c r="CF132" s="1">
        <f>COUNTIF(BT132:CE132, "&gt;0")</f>
        <v>0</v>
      </c>
      <c r="CG132" s="1" t="str">
        <f t="shared" si="47"/>
        <v/>
      </c>
      <c r="CH132" s="1" t="str">
        <f t="shared" si="47"/>
        <v/>
      </c>
      <c r="CI132" s="1" t="str">
        <f t="shared" si="47"/>
        <v/>
      </c>
      <c r="CJ132" s="1" t="str">
        <f t="shared" si="47"/>
        <v/>
      </c>
      <c r="CK132" s="1" t="str">
        <f t="shared" si="47"/>
        <v/>
      </c>
      <c r="CL132" s="1" t="str">
        <f t="shared" si="47"/>
        <v/>
      </c>
      <c r="CM132" s="1" t="str">
        <f t="shared" si="47"/>
        <v/>
      </c>
      <c r="CN132" s="1" t="str">
        <f t="shared" si="47"/>
        <v/>
      </c>
      <c r="CO132" s="1" t="str">
        <f t="shared" si="47"/>
        <v/>
      </c>
      <c r="CP132" s="1" t="str">
        <f t="shared" si="47"/>
        <v/>
      </c>
      <c r="CQ132" s="1" t="str">
        <f t="shared" si="47"/>
        <v/>
      </c>
      <c r="CR132" s="1" t="str">
        <f t="shared" si="47"/>
        <v/>
      </c>
      <c r="CS132" s="18">
        <f>SUM(AE132:BO132)</f>
        <v>15</v>
      </c>
    </row>
    <row r="133" spans="1:97" ht="40.5" x14ac:dyDescent="0.15">
      <c r="A133" s="1"/>
      <c r="B133" s="1" t="s">
        <v>182</v>
      </c>
      <c r="C133" s="1" t="s">
        <v>181</v>
      </c>
      <c r="D133" s="1" t="s">
        <v>159</v>
      </c>
      <c r="E133" s="6">
        <v>15</v>
      </c>
      <c r="F133" s="6"/>
      <c r="G133" s="6"/>
      <c r="H133" s="6"/>
      <c r="I133" s="6"/>
      <c r="J133" s="6"/>
      <c r="K133" s="6"/>
      <c r="L133" s="6"/>
      <c r="M133" s="6">
        <v>15</v>
      </c>
      <c r="N133" s="6"/>
      <c r="O133" s="6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>
        <v>15</v>
      </c>
      <c r="AX133" s="2"/>
      <c r="AY133" s="2"/>
      <c r="AZ133" s="2"/>
      <c r="BA133" s="2">
        <v>15</v>
      </c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>
        <v>18</v>
      </c>
      <c r="BR133" s="17">
        <v>3</v>
      </c>
      <c r="BS133" s="17" t="s">
        <v>277</v>
      </c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8"/>
    </row>
    <row r="134" spans="1:97" ht="40.5" x14ac:dyDescent="0.15">
      <c r="A134" s="1">
        <v>78</v>
      </c>
      <c r="B134" s="3" t="s">
        <v>72</v>
      </c>
      <c r="C134" s="3" t="s">
        <v>70</v>
      </c>
      <c r="D134" s="1" t="s">
        <v>1</v>
      </c>
      <c r="E134" s="6"/>
      <c r="F134" s="6"/>
      <c r="G134" s="6">
        <v>15</v>
      </c>
      <c r="H134" s="6">
        <v>15</v>
      </c>
      <c r="I134" s="6"/>
      <c r="J134" s="6"/>
      <c r="K134" s="6"/>
      <c r="L134" s="6"/>
      <c r="M134" s="6"/>
      <c r="N134" s="6"/>
      <c r="O134" s="6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>
        <v>15</v>
      </c>
      <c r="BB134" s="2">
        <v>15</v>
      </c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60</v>
      </c>
      <c r="BQ134" s="1">
        <v>19</v>
      </c>
      <c r="BR134" s="17">
        <v>3</v>
      </c>
      <c r="BS134" s="17" t="s">
        <v>210</v>
      </c>
      <c r="BT134" s="1" t="str">
        <f t="shared" ref="BT134:CE134" si="48">IF(AQ134&gt;AQ$159, AQ134-AQ$159,"")</f>
        <v/>
      </c>
      <c r="BU134" s="1" t="str">
        <f t="shared" si="48"/>
        <v/>
      </c>
      <c r="BV134" s="1" t="str">
        <f t="shared" si="48"/>
        <v/>
      </c>
      <c r="BW134" s="1" t="str">
        <f t="shared" si="48"/>
        <v/>
      </c>
      <c r="BX134" s="1" t="str">
        <f t="shared" si="48"/>
        <v/>
      </c>
      <c r="BY134" s="1" t="str">
        <f t="shared" si="48"/>
        <v/>
      </c>
      <c r="BZ134" s="1" t="str">
        <f t="shared" si="48"/>
        <v/>
      </c>
      <c r="CA134" s="1" t="str">
        <f t="shared" si="48"/>
        <v/>
      </c>
      <c r="CB134" s="1" t="str">
        <f t="shared" si="48"/>
        <v/>
      </c>
      <c r="CC134" s="1" t="str">
        <f t="shared" si="48"/>
        <v/>
      </c>
      <c r="CD134" s="1">
        <f t="shared" si="48"/>
        <v>3</v>
      </c>
      <c r="CE134" s="1" t="str">
        <f t="shared" si="48"/>
        <v/>
      </c>
      <c r="CF134" s="1">
        <f>COUNTIF(BT134:CE134, "&gt;0")</f>
        <v>1</v>
      </c>
      <c r="CG134" s="1" t="str">
        <f t="shared" ref="CG134:CR134" si="49">IF($CF134=1,BT134,"")</f>
        <v/>
      </c>
      <c r="CH134" s="1" t="str">
        <f t="shared" si="49"/>
        <v/>
      </c>
      <c r="CI134" s="1" t="str">
        <f t="shared" si="49"/>
        <v/>
      </c>
      <c r="CJ134" s="1" t="str">
        <f t="shared" si="49"/>
        <v/>
      </c>
      <c r="CK134" s="1" t="str">
        <f t="shared" si="49"/>
        <v/>
      </c>
      <c r="CL134" s="1" t="str">
        <f t="shared" si="49"/>
        <v/>
      </c>
      <c r="CM134" s="1" t="str">
        <f t="shared" si="49"/>
        <v/>
      </c>
      <c r="CN134" s="1" t="str">
        <f t="shared" si="49"/>
        <v/>
      </c>
      <c r="CO134" s="1" t="str">
        <f t="shared" si="49"/>
        <v/>
      </c>
      <c r="CP134" s="1" t="str">
        <f t="shared" si="49"/>
        <v/>
      </c>
      <c r="CQ134" s="1">
        <f t="shared" si="49"/>
        <v>3</v>
      </c>
      <c r="CR134" s="1" t="str">
        <f t="shared" si="49"/>
        <v/>
      </c>
      <c r="CS134" s="18">
        <f>SUM(AE134:BO134)</f>
        <v>30</v>
      </c>
    </row>
    <row r="135" spans="1:97" ht="40.5" x14ac:dyDescent="0.15">
      <c r="A135" s="1"/>
      <c r="B135" s="1" t="s">
        <v>147</v>
      </c>
      <c r="C135" s="1" t="s">
        <v>146</v>
      </c>
      <c r="D135" s="1" t="s">
        <v>120</v>
      </c>
      <c r="E135" s="6"/>
      <c r="F135" s="6"/>
      <c r="G135" s="6">
        <v>15</v>
      </c>
      <c r="H135" s="6">
        <v>15</v>
      </c>
      <c r="I135" s="6"/>
      <c r="J135" s="6"/>
      <c r="K135" s="6"/>
      <c r="L135" s="6"/>
      <c r="M135" s="6"/>
      <c r="N135" s="6"/>
      <c r="O135" s="6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>
        <v>15</v>
      </c>
      <c r="BB135" s="2">
        <v>15</v>
      </c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>
        <v>19</v>
      </c>
      <c r="BR135" s="17">
        <v>3</v>
      </c>
      <c r="BS135" s="17" t="s">
        <v>210</v>
      </c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8"/>
    </row>
    <row r="136" spans="1:97" ht="40.5" x14ac:dyDescent="0.15">
      <c r="A136" s="1"/>
      <c r="B136" s="1" t="s">
        <v>174</v>
      </c>
      <c r="C136" s="1" t="s">
        <v>157</v>
      </c>
      <c r="D136" s="1" t="s">
        <v>160</v>
      </c>
      <c r="E136" s="6"/>
      <c r="F136" s="6"/>
      <c r="G136" s="6"/>
      <c r="H136" s="6">
        <v>10</v>
      </c>
      <c r="I136" s="6"/>
      <c r="J136" s="6"/>
      <c r="K136" s="6"/>
      <c r="L136" s="6"/>
      <c r="M136" s="6"/>
      <c r="N136" s="6"/>
      <c r="O136" s="6"/>
      <c r="P136" s="32"/>
      <c r="Q136" s="32"/>
      <c r="R136" s="32">
        <v>10</v>
      </c>
      <c r="S136" s="32"/>
      <c r="T136" s="32"/>
      <c r="U136" s="32"/>
      <c r="V136" s="32"/>
      <c r="W136" s="32"/>
      <c r="X136" s="32">
        <v>10</v>
      </c>
      <c r="Y136" s="32"/>
      <c r="Z136" s="32"/>
      <c r="AA136" s="32"/>
      <c r="AB136" s="32"/>
      <c r="AC136" s="32"/>
      <c r="AD136" s="32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>
        <v>10</v>
      </c>
      <c r="AS136" s="4"/>
      <c r="AT136" s="4"/>
      <c r="AU136" s="4"/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>
        <v>19</v>
      </c>
      <c r="BR136" s="17">
        <v>3</v>
      </c>
      <c r="BS136" s="17" t="s">
        <v>234</v>
      </c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8"/>
    </row>
    <row r="137" spans="1:97" ht="40.5" x14ac:dyDescent="0.15">
      <c r="A137" s="1"/>
      <c r="B137" s="1" t="s">
        <v>185</v>
      </c>
      <c r="C137" s="1" t="s">
        <v>187</v>
      </c>
      <c r="D137" s="1" t="s">
        <v>160</v>
      </c>
      <c r="E137" s="6"/>
      <c r="F137" s="6"/>
      <c r="G137" s="6"/>
      <c r="H137" s="6"/>
      <c r="I137" s="6"/>
      <c r="J137" s="6">
        <v>10</v>
      </c>
      <c r="K137" s="6"/>
      <c r="L137" s="6"/>
      <c r="M137" s="6"/>
      <c r="N137" s="6"/>
      <c r="O137" s="6"/>
      <c r="P137" s="32"/>
      <c r="Q137" s="32"/>
      <c r="R137" s="32"/>
      <c r="S137" s="32"/>
      <c r="T137" s="32"/>
      <c r="U137" s="32">
        <v>10</v>
      </c>
      <c r="V137" s="32"/>
      <c r="W137" s="32"/>
      <c r="X137" s="32"/>
      <c r="Y137" s="32"/>
      <c r="Z137" s="32"/>
      <c r="AA137" s="32">
        <v>10</v>
      </c>
      <c r="AB137" s="32"/>
      <c r="AC137" s="32"/>
      <c r="AD137" s="32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>
        <v>10</v>
      </c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>
        <v>23</v>
      </c>
      <c r="BR137" s="17">
        <v>3</v>
      </c>
      <c r="BS137" s="17" t="s">
        <v>226</v>
      </c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8"/>
    </row>
    <row r="138" spans="1:97" ht="40.5" x14ac:dyDescent="0.15">
      <c r="A138" s="1"/>
      <c r="B138" s="1" t="s">
        <v>199</v>
      </c>
      <c r="C138" s="1" t="s">
        <v>192</v>
      </c>
      <c r="D138" s="1" t="s">
        <v>160</v>
      </c>
      <c r="E138" s="6"/>
      <c r="F138" s="6"/>
      <c r="G138" s="6"/>
      <c r="H138" s="6"/>
      <c r="I138" s="6"/>
      <c r="J138" s="6">
        <v>10</v>
      </c>
      <c r="K138" s="6"/>
      <c r="L138" s="6"/>
      <c r="M138" s="6"/>
      <c r="N138" s="6"/>
      <c r="O138" s="6"/>
      <c r="P138" s="32"/>
      <c r="Q138" s="32"/>
      <c r="R138" s="32"/>
      <c r="S138" s="32"/>
      <c r="T138" s="32"/>
      <c r="U138" s="32">
        <v>10</v>
      </c>
      <c r="V138" s="32"/>
      <c r="W138" s="32"/>
      <c r="X138" s="32"/>
      <c r="Y138" s="32"/>
      <c r="Z138" s="32"/>
      <c r="AA138" s="32">
        <v>10</v>
      </c>
      <c r="AB138" s="32"/>
      <c r="AC138" s="32"/>
      <c r="AD138" s="32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>
        <v>10</v>
      </c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>
        <v>23</v>
      </c>
      <c r="BR138" s="17">
        <v>3</v>
      </c>
      <c r="BS138" s="17" t="s">
        <v>226</v>
      </c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8"/>
    </row>
    <row r="139" spans="1:97" ht="40.5" x14ac:dyDescent="0.15">
      <c r="A139" s="1"/>
      <c r="B139" s="1" t="s">
        <v>127</v>
      </c>
      <c r="C139" s="1" t="s">
        <v>123</v>
      </c>
      <c r="D139" s="1" t="s">
        <v>121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>
        <v>10</v>
      </c>
      <c r="AP139" s="1">
        <v>10</v>
      </c>
      <c r="AQ139" s="4"/>
      <c r="AR139" s="4"/>
      <c r="AS139" s="4">
        <v>5</v>
      </c>
      <c r="AT139" s="4"/>
      <c r="AU139" s="4"/>
      <c r="AV139" s="4"/>
      <c r="AW139" s="2"/>
      <c r="AX139" s="2">
        <v>5</v>
      </c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>
        <v>23</v>
      </c>
      <c r="BR139" s="17">
        <v>3</v>
      </c>
      <c r="BS139" s="17" t="s">
        <v>238</v>
      </c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8"/>
    </row>
    <row r="140" spans="1:97" ht="40.5" x14ac:dyDescent="0.15">
      <c r="A140" s="1">
        <v>54</v>
      </c>
      <c r="B140" s="1" t="s">
        <v>61</v>
      </c>
      <c r="C140" s="1" t="s">
        <v>62</v>
      </c>
      <c r="D140" s="1" t="s">
        <v>1</v>
      </c>
      <c r="E140" s="6"/>
      <c r="F140" s="6">
        <v>15</v>
      </c>
      <c r="G140" s="6"/>
      <c r="H140" s="6">
        <v>15</v>
      </c>
      <c r="I140" s="6"/>
      <c r="J140" s="6"/>
      <c r="K140" s="6"/>
      <c r="L140" s="6"/>
      <c r="M140" s="6"/>
      <c r="N140" s="6"/>
      <c r="O140" s="6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>
        <v>15</v>
      </c>
      <c r="AW140" s="2"/>
      <c r="AX140" s="2"/>
      <c r="AY140" s="2"/>
      <c r="AZ140" s="2"/>
      <c r="BA140" s="2">
        <v>15</v>
      </c>
      <c r="BB140" s="2"/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60</v>
      </c>
      <c r="BQ140" s="1">
        <v>27</v>
      </c>
      <c r="BR140" s="17">
        <v>3</v>
      </c>
      <c r="BS140" s="17" t="s">
        <v>235</v>
      </c>
      <c r="BT140" s="1" t="str">
        <f t="shared" ref="BT140:CE141" si="50">IF(AQ140&gt;AQ$159, AQ140-AQ$159,"")</f>
        <v/>
      </c>
      <c r="BU140" s="1" t="str">
        <f t="shared" si="50"/>
        <v/>
      </c>
      <c r="BV140" s="1" t="str">
        <f t="shared" si="50"/>
        <v/>
      </c>
      <c r="BW140" s="1" t="str">
        <f t="shared" si="50"/>
        <v/>
      </c>
      <c r="BX140" s="1" t="str">
        <f t="shared" si="50"/>
        <v/>
      </c>
      <c r="BY140" s="1" t="str">
        <f t="shared" si="50"/>
        <v/>
      </c>
      <c r="BZ140" s="1" t="str">
        <f t="shared" si="50"/>
        <v/>
      </c>
      <c r="CA140" s="1" t="str">
        <f t="shared" si="50"/>
        <v/>
      </c>
      <c r="CB140" s="1" t="str">
        <f t="shared" si="50"/>
        <v/>
      </c>
      <c r="CC140" s="1" t="str">
        <f t="shared" si="50"/>
        <v/>
      </c>
      <c r="CD140" s="1">
        <f t="shared" si="50"/>
        <v>3</v>
      </c>
      <c r="CE140" s="1" t="str">
        <f t="shared" si="50"/>
        <v/>
      </c>
      <c r="CF140" s="1">
        <f>COUNTIF(BT140:CE140, "&gt;0")</f>
        <v>1</v>
      </c>
      <c r="CG140" s="1" t="str">
        <f t="shared" ref="CG140:CR141" si="51">IF($CF140=1,BT140,"")</f>
        <v/>
      </c>
      <c r="CH140" s="1" t="str">
        <f t="shared" si="51"/>
        <v/>
      </c>
      <c r="CI140" s="1" t="str">
        <f t="shared" si="51"/>
        <v/>
      </c>
      <c r="CJ140" s="1" t="str">
        <f t="shared" si="51"/>
        <v/>
      </c>
      <c r="CK140" s="1" t="str">
        <f t="shared" si="51"/>
        <v/>
      </c>
      <c r="CL140" s="1" t="str">
        <f t="shared" si="51"/>
        <v/>
      </c>
      <c r="CM140" s="1" t="str">
        <f t="shared" si="51"/>
        <v/>
      </c>
      <c r="CN140" s="1" t="str">
        <f t="shared" si="51"/>
        <v/>
      </c>
      <c r="CO140" s="1" t="str">
        <f t="shared" si="51"/>
        <v/>
      </c>
      <c r="CP140" s="1" t="str">
        <f t="shared" si="51"/>
        <v/>
      </c>
      <c r="CQ140" s="1">
        <f t="shared" si="51"/>
        <v>3</v>
      </c>
      <c r="CR140" s="1" t="str">
        <f t="shared" si="51"/>
        <v/>
      </c>
      <c r="CS140" s="18">
        <f>SUM(AE140:BO140)</f>
        <v>30</v>
      </c>
    </row>
    <row r="141" spans="1:97" ht="40.5" x14ac:dyDescent="0.15">
      <c r="A141" s="1">
        <v>14</v>
      </c>
      <c r="B141" s="1" t="s">
        <v>31</v>
      </c>
      <c r="C141" s="1" t="s">
        <v>32</v>
      </c>
      <c r="D141" s="1" t="s">
        <v>33</v>
      </c>
      <c r="E141" s="6"/>
      <c r="F141" s="6"/>
      <c r="G141" s="6">
        <v>15</v>
      </c>
      <c r="H141" s="6">
        <v>15</v>
      </c>
      <c r="I141" s="6"/>
      <c r="J141" s="6"/>
      <c r="K141" s="6"/>
      <c r="L141" s="6"/>
      <c r="M141" s="6"/>
      <c r="N141" s="6"/>
      <c r="O141" s="6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>
        <v>15</v>
      </c>
      <c r="AT141" s="4"/>
      <c r="AU141" s="4"/>
      <c r="AV141" s="4"/>
      <c r="AW141" s="2"/>
      <c r="AX141" s="2"/>
      <c r="AY141" s="2"/>
      <c r="AZ141" s="2"/>
      <c r="BA141" s="2"/>
      <c r="BB141" s="2">
        <v>15</v>
      </c>
      <c r="BC141" s="14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>SUM(E141:BO141)</f>
        <v>60</v>
      </c>
      <c r="BQ141" s="1">
        <v>29</v>
      </c>
      <c r="BR141" s="17">
        <v>3</v>
      </c>
      <c r="BS141" s="17" t="s">
        <v>227</v>
      </c>
      <c r="BT141" s="1" t="str">
        <f t="shared" si="50"/>
        <v/>
      </c>
      <c r="BU141" s="1" t="str">
        <f t="shared" si="50"/>
        <v/>
      </c>
      <c r="BV141" s="1">
        <f t="shared" si="50"/>
        <v>13</v>
      </c>
      <c r="BW141" s="1" t="str">
        <f t="shared" si="50"/>
        <v/>
      </c>
      <c r="BX141" s="1" t="str">
        <f t="shared" si="50"/>
        <v/>
      </c>
      <c r="BY141" s="1" t="str">
        <f t="shared" si="50"/>
        <v/>
      </c>
      <c r="BZ141" s="1" t="str">
        <f t="shared" si="50"/>
        <v/>
      </c>
      <c r="CA141" s="1" t="str">
        <f t="shared" si="50"/>
        <v/>
      </c>
      <c r="CB141" s="1" t="str">
        <f t="shared" si="50"/>
        <v/>
      </c>
      <c r="CC141" s="1" t="str">
        <f t="shared" si="50"/>
        <v/>
      </c>
      <c r="CD141" s="1" t="str">
        <f t="shared" si="50"/>
        <v/>
      </c>
      <c r="CE141" s="1" t="str">
        <f t="shared" si="50"/>
        <v/>
      </c>
      <c r="CF141" s="1">
        <f>COUNTIF(BT141:CE141, "&gt;0")</f>
        <v>1</v>
      </c>
      <c r="CG141" s="1" t="str">
        <f t="shared" si="51"/>
        <v/>
      </c>
      <c r="CH141" s="1" t="str">
        <f t="shared" si="51"/>
        <v/>
      </c>
      <c r="CI141" s="1">
        <f t="shared" si="51"/>
        <v>13</v>
      </c>
      <c r="CJ141" s="1" t="str">
        <f t="shared" si="51"/>
        <v/>
      </c>
      <c r="CK141" s="1" t="str">
        <f t="shared" si="51"/>
        <v/>
      </c>
      <c r="CL141" s="1" t="str">
        <f t="shared" si="51"/>
        <v/>
      </c>
      <c r="CM141" s="1" t="str">
        <f t="shared" si="51"/>
        <v/>
      </c>
      <c r="CN141" s="1" t="str">
        <f t="shared" si="51"/>
        <v/>
      </c>
      <c r="CO141" s="1" t="str">
        <f t="shared" si="51"/>
        <v/>
      </c>
      <c r="CP141" s="1" t="str">
        <f t="shared" si="51"/>
        <v/>
      </c>
      <c r="CQ141" s="1" t="str">
        <f t="shared" si="51"/>
        <v/>
      </c>
      <c r="CR141" s="1" t="str">
        <f t="shared" si="51"/>
        <v/>
      </c>
      <c r="CS141" s="18">
        <f>SUM(AE141:BO141)</f>
        <v>30</v>
      </c>
    </row>
    <row r="142" spans="1:97" ht="40.5" x14ac:dyDescent="0.15">
      <c r="A142" s="1"/>
      <c r="B142" s="1" t="s">
        <v>122</v>
      </c>
      <c r="C142" s="1" t="s">
        <v>123</v>
      </c>
      <c r="D142" s="1" t="s">
        <v>120</v>
      </c>
      <c r="E142" s="6"/>
      <c r="F142" s="6"/>
      <c r="G142" s="6">
        <v>15</v>
      </c>
      <c r="H142" s="6">
        <v>15</v>
      </c>
      <c r="I142" s="6"/>
      <c r="J142" s="6"/>
      <c r="K142" s="6"/>
      <c r="L142" s="6"/>
      <c r="M142" s="6"/>
      <c r="N142" s="6"/>
      <c r="O142" s="6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>
        <v>15</v>
      </c>
      <c r="AT142" s="4"/>
      <c r="AU142" s="4"/>
      <c r="AV142" s="4"/>
      <c r="AW142" s="2"/>
      <c r="AX142" s="2"/>
      <c r="AY142" s="2"/>
      <c r="AZ142" s="2"/>
      <c r="BA142" s="2"/>
      <c r="BB142" s="2">
        <v>15</v>
      </c>
      <c r="BC142" s="14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>
        <v>29</v>
      </c>
      <c r="BR142" s="17">
        <v>3</v>
      </c>
      <c r="BS142" s="17" t="s">
        <v>227</v>
      </c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8"/>
    </row>
    <row r="143" spans="1:97" ht="40.5" x14ac:dyDescent="0.15">
      <c r="A143" s="1"/>
      <c r="B143" s="1" t="s">
        <v>145</v>
      </c>
      <c r="C143" s="1" t="s">
        <v>146</v>
      </c>
      <c r="D143" s="1" t="s">
        <v>120</v>
      </c>
      <c r="E143" s="6"/>
      <c r="F143" s="6"/>
      <c r="G143" s="6">
        <v>20</v>
      </c>
      <c r="H143" s="6">
        <v>20</v>
      </c>
      <c r="I143" s="6"/>
      <c r="J143" s="6"/>
      <c r="K143" s="6"/>
      <c r="L143" s="6"/>
      <c r="M143" s="6"/>
      <c r="N143" s="6"/>
      <c r="O143" s="6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>
        <v>20</v>
      </c>
      <c r="BB143" s="2">
        <v>20</v>
      </c>
      <c r="BC143" s="14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>
        <v>34</v>
      </c>
      <c r="BR143" s="17">
        <v>3</v>
      </c>
      <c r="BS143" s="17" t="s">
        <v>278</v>
      </c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8"/>
    </row>
    <row r="144" spans="1:97" ht="54" x14ac:dyDescent="0.15">
      <c r="A144" s="1"/>
      <c r="B144" s="1" t="s">
        <v>178</v>
      </c>
      <c r="C144" s="1" t="s">
        <v>176</v>
      </c>
      <c r="D144" s="1" t="s">
        <v>160</v>
      </c>
      <c r="E144" s="6"/>
      <c r="F144" s="6"/>
      <c r="G144" s="6"/>
      <c r="H144" s="6">
        <v>7</v>
      </c>
      <c r="I144" s="6"/>
      <c r="J144" s="6"/>
      <c r="K144" s="6"/>
      <c r="L144" s="6"/>
      <c r="M144" s="6"/>
      <c r="N144" s="6"/>
      <c r="O144" s="6"/>
      <c r="P144" s="32"/>
      <c r="Q144" s="32">
        <v>7</v>
      </c>
      <c r="R144" s="32"/>
      <c r="S144" s="32"/>
      <c r="T144" s="32">
        <v>7</v>
      </c>
      <c r="U144" s="32"/>
      <c r="V144" s="32"/>
      <c r="W144" s="32"/>
      <c r="X144" s="32"/>
      <c r="Y144" s="32"/>
      <c r="Z144" s="32"/>
      <c r="AA144" s="32">
        <v>7</v>
      </c>
      <c r="AB144" s="32"/>
      <c r="AC144" s="32"/>
      <c r="AD144" s="32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>
        <v>18</v>
      </c>
      <c r="BR144" s="17">
        <v>4</v>
      </c>
      <c r="BS144" s="17" t="s">
        <v>279</v>
      </c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8"/>
    </row>
    <row r="145" spans="1:97" ht="54" x14ac:dyDescent="0.15">
      <c r="A145" s="1"/>
      <c r="B145" s="1" t="s">
        <v>169</v>
      </c>
      <c r="C145" s="1" t="s">
        <v>157</v>
      </c>
      <c r="D145" s="1" t="s">
        <v>160</v>
      </c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>
        <v>10</v>
      </c>
      <c r="P145" s="32"/>
      <c r="Q145" s="32"/>
      <c r="R145" s="32">
        <v>10</v>
      </c>
      <c r="S145" s="32"/>
      <c r="T145" s="32"/>
      <c r="U145" s="32"/>
      <c r="V145" s="32"/>
      <c r="W145" s="32"/>
      <c r="X145" s="32">
        <v>10</v>
      </c>
      <c r="Y145" s="32"/>
      <c r="Z145" s="32"/>
      <c r="AA145" s="32"/>
      <c r="AB145" s="32"/>
      <c r="AC145" s="32"/>
      <c r="AD145" s="32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4"/>
      <c r="AR145" s="4"/>
      <c r="AS145" s="4">
        <v>10</v>
      </c>
      <c r="AT145" s="4"/>
      <c r="AU145" s="4"/>
      <c r="AV145" s="4"/>
      <c r="AW145" s="2"/>
      <c r="AX145" s="2"/>
      <c r="AY145" s="2"/>
      <c r="AZ145" s="2"/>
      <c r="BA145" s="2"/>
      <c r="BB145" s="2"/>
      <c r="BC145" s="14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>
        <v>22</v>
      </c>
      <c r="BR145" s="17">
        <v>4</v>
      </c>
      <c r="BS145" s="17" t="s">
        <v>237</v>
      </c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8"/>
    </row>
    <row r="146" spans="1:97" ht="54" x14ac:dyDescent="0.15">
      <c r="A146" s="1"/>
      <c r="B146" s="1" t="s">
        <v>175</v>
      </c>
      <c r="C146" s="1" t="s">
        <v>176</v>
      </c>
      <c r="D146" s="1" t="s">
        <v>160</v>
      </c>
      <c r="E146" s="6">
        <v>10</v>
      </c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32"/>
      <c r="Q146" s="32"/>
      <c r="R146" s="32">
        <v>10</v>
      </c>
      <c r="S146" s="32"/>
      <c r="T146" s="32"/>
      <c r="U146" s="32">
        <v>10</v>
      </c>
      <c r="V146" s="32"/>
      <c r="W146" s="32"/>
      <c r="X146" s="32"/>
      <c r="Y146" s="32"/>
      <c r="Z146" s="32"/>
      <c r="AA146" s="32"/>
      <c r="AB146" s="32"/>
      <c r="AC146" s="32"/>
      <c r="AD146" s="32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4"/>
      <c r="AR146" s="4"/>
      <c r="AS146" s="4"/>
      <c r="AT146" s="4"/>
      <c r="AU146" s="4">
        <v>10</v>
      </c>
      <c r="AV146" s="4"/>
      <c r="AW146" s="2"/>
      <c r="AX146" s="2"/>
      <c r="AY146" s="2"/>
      <c r="AZ146" s="2"/>
      <c r="BA146" s="2"/>
      <c r="BB146" s="2"/>
      <c r="BC146" s="14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>
        <v>27</v>
      </c>
      <c r="BR146" s="17">
        <v>4</v>
      </c>
      <c r="BS146" s="17" t="s">
        <v>280</v>
      </c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8"/>
    </row>
    <row r="147" spans="1:97" ht="54" x14ac:dyDescent="0.15">
      <c r="A147" s="1"/>
      <c r="B147" s="1" t="s">
        <v>183</v>
      </c>
      <c r="C147" s="1" t="s">
        <v>181</v>
      </c>
      <c r="D147" s="1" t="s">
        <v>160</v>
      </c>
      <c r="E147" s="6">
        <v>10</v>
      </c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32"/>
      <c r="Q147" s="32"/>
      <c r="R147" s="32">
        <v>10</v>
      </c>
      <c r="S147" s="32"/>
      <c r="T147" s="32"/>
      <c r="U147" s="32">
        <v>10</v>
      </c>
      <c r="V147" s="32"/>
      <c r="W147" s="32"/>
      <c r="X147" s="32"/>
      <c r="Y147" s="32"/>
      <c r="Z147" s="32"/>
      <c r="AA147" s="32"/>
      <c r="AB147" s="32"/>
      <c r="AC147" s="32"/>
      <c r="AD147" s="32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4"/>
      <c r="AR147" s="4"/>
      <c r="AS147" s="4"/>
      <c r="AT147" s="4"/>
      <c r="AU147" s="4">
        <v>10</v>
      </c>
      <c r="AV147" s="4"/>
      <c r="AW147" s="2"/>
      <c r="AX147" s="2"/>
      <c r="AY147" s="2"/>
      <c r="AZ147" s="2"/>
      <c r="BA147" s="2"/>
      <c r="BB147" s="2"/>
      <c r="BC147" s="14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>
        <v>27</v>
      </c>
      <c r="BR147" s="17">
        <v>4</v>
      </c>
      <c r="BS147" s="17" t="s">
        <v>280</v>
      </c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8"/>
    </row>
    <row r="148" spans="1:97" ht="54" x14ac:dyDescent="0.15">
      <c r="A148" s="1"/>
      <c r="B148" s="1" t="s">
        <v>196</v>
      </c>
      <c r="C148" s="1" t="s">
        <v>192</v>
      </c>
      <c r="D148" s="1" t="s">
        <v>160</v>
      </c>
      <c r="E148" s="6">
        <v>10</v>
      </c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32"/>
      <c r="Q148" s="32"/>
      <c r="R148" s="32">
        <v>10</v>
      </c>
      <c r="S148" s="32"/>
      <c r="T148" s="32"/>
      <c r="U148" s="32">
        <v>10</v>
      </c>
      <c r="V148" s="32"/>
      <c r="W148" s="32"/>
      <c r="X148" s="32"/>
      <c r="Y148" s="32"/>
      <c r="Z148" s="32"/>
      <c r="AA148" s="32"/>
      <c r="AB148" s="32"/>
      <c r="AC148" s="32"/>
      <c r="AD148" s="32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4"/>
      <c r="AR148" s="4"/>
      <c r="AS148" s="4"/>
      <c r="AT148" s="4"/>
      <c r="AU148" s="4">
        <v>10</v>
      </c>
      <c r="AV148" s="4"/>
      <c r="AW148" s="2"/>
      <c r="AX148" s="2"/>
      <c r="AY148" s="2"/>
      <c r="AZ148" s="2"/>
      <c r="BA148" s="2"/>
      <c r="BB148" s="2"/>
      <c r="BC148" s="14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>
        <v>27</v>
      </c>
      <c r="BR148" s="17">
        <v>4</v>
      </c>
      <c r="BS148" s="17" t="s">
        <v>280</v>
      </c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8"/>
    </row>
    <row r="149" spans="1:97" ht="54" x14ac:dyDescent="0.15">
      <c r="A149" s="1"/>
      <c r="B149" s="1" t="s">
        <v>194</v>
      </c>
      <c r="C149" s="1" t="s">
        <v>192</v>
      </c>
      <c r="D149" s="1" t="s">
        <v>160</v>
      </c>
      <c r="E149" s="6"/>
      <c r="F149" s="6"/>
      <c r="G149" s="6"/>
      <c r="H149" s="6">
        <v>10</v>
      </c>
      <c r="I149" s="6"/>
      <c r="J149" s="6"/>
      <c r="K149" s="6"/>
      <c r="L149" s="6"/>
      <c r="M149" s="6"/>
      <c r="N149" s="6"/>
      <c r="O149" s="6"/>
      <c r="P149" s="32"/>
      <c r="Q149" s="32"/>
      <c r="R149" s="32">
        <v>10</v>
      </c>
      <c r="S149" s="32"/>
      <c r="T149" s="32"/>
      <c r="U149" s="32">
        <v>10</v>
      </c>
      <c r="V149" s="32"/>
      <c r="W149" s="32"/>
      <c r="X149" s="32"/>
      <c r="Y149" s="32"/>
      <c r="Z149" s="32"/>
      <c r="AA149" s="32"/>
      <c r="AB149" s="32"/>
      <c r="AC149" s="32"/>
      <c r="AD149" s="32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4"/>
      <c r="AR149" s="4"/>
      <c r="AS149" s="4"/>
      <c r="AT149" s="4"/>
      <c r="AU149" s="4">
        <v>10</v>
      </c>
      <c r="AV149" s="4"/>
      <c r="AW149" s="2"/>
      <c r="AX149" s="2"/>
      <c r="AY149" s="2"/>
      <c r="AZ149" s="2"/>
      <c r="BA149" s="2"/>
      <c r="BB149" s="2"/>
      <c r="BC149" s="14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>
        <v>32</v>
      </c>
      <c r="BR149" s="17">
        <v>4</v>
      </c>
      <c r="BS149" s="17" t="s">
        <v>236</v>
      </c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8"/>
    </row>
    <row r="150" spans="1:97" ht="54" x14ac:dyDescent="0.15">
      <c r="A150" s="1"/>
      <c r="B150" s="1" t="s">
        <v>122</v>
      </c>
      <c r="C150" s="1" t="s">
        <v>123</v>
      </c>
      <c r="D150" s="1" t="s">
        <v>124</v>
      </c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4"/>
      <c r="AR150" s="4"/>
      <c r="AS150" s="4"/>
      <c r="AT150" s="4"/>
      <c r="AU150" s="4"/>
      <c r="AV150" s="4">
        <v>40</v>
      </c>
      <c r="AW150" s="2">
        <v>40</v>
      </c>
      <c r="AX150" s="2"/>
      <c r="AY150" s="2"/>
      <c r="AZ150" s="2"/>
      <c r="BA150" s="2"/>
      <c r="BB150" s="2">
        <v>40</v>
      </c>
      <c r="BC150" s="14">
        <v>10</v>
      </c>
      <c r="BD150" s="1">
        <v>50</v>
      </c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>
        <v>58</v>
      </c>
      <c r="BR150" s="17">
        <v>4</v>
      </c>
      <c r="BS150" s="17" t="s">
        <v>239</v>
      </c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8"/>
    </row>
    <row r="151" spans="1:97" ht="54" x14ac:dyDescent="0.15">
      <c r="A151" s="1">
        <v>85</v>
      </c>
      <c r="B151" s="3" t="s">
        <v>75</v>
      </c>
      <c r="C151" s="3" t="s">
        <v>70</v>
      </c>
      <c r="D151" s="1" t="s">
        <v>40</v>
      </c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4"/>
      <c r="AR151" s="4"/>
      <c r="AS151" s="4"/>
      <c r="AT151" s="4"/>
      <c r="AU151" s="4"/>
      <c r="AV151" s="4"/>
      <c r="AW151" s="2"/>
      <c r="AX151" s="2"/>
      <c r="AY151" s="2"/>
      <c r="AZ151" s="2"/>
      <c r="BA151" s="2"/>
      <c r="BB151" s="2"/>
      <c r="BC151" s="14"/>
      <c r="BD151" s="1"/>
      <c r="BE151" s="1"/>
      <c r="BF151" s="1"/>
      <c r="BG151" s="1"/>
      <c r="BH151" s="1"/>
      <c r="BI151" s="1"/>
      <c r="BJ151" s="1"/>
      <c r="BK151" s="1"/>
      <c r="BL151" s="1">
        <v>50</v>
      </c>
      <c r="BM151" s="1">
        <v>50</v>
      </c>
      <c r="BN151" s="1">
        <v>50</v>
      </c>
      <c r="BO151" s="1">
        <v>50</v>
      </c>
      <c r="BP151" s="1">
        <f>SUM(E151:BO151)</f>
        <v>200</v>
      </c>
      <c r="BQ151" s="1">
        <v>195</v>
      </c>
      <c r="BR151" s="17">
        <v>4</v>
      </c>
      <c r="BS151" s="17" t="s">
        <v>281</v>
      </c>
      <c r="BT151" s="1" t="str">
        <f t="shared" ref="BT151:CE152" si="52">IF(AQ151&gt;AQ$159, AQ151-AQ$159,"")</f>
        <v/>
      </c>
      <c r="BU151" s="1" t="str">
        <f t="shared" si="52"/>
        <v/>
      </c>
      <c r="BV151" s="1" t="str">
        <f t="shared" si="52"/>
        <v/>
      </c>
      <c r="BW151" s="1" t="str">
        <f t="shared" si="52"/>
        <v/>
      </c>
      <c r="BX151" s="1" t="str">
        <f t="shared" si="52"/>
        <v/>
      </c>
      <c r="BY151" s="1" t="str">
        <f t="shared" si="52"/>
        <v/>
      </c>
      <c r="BZ151" s="1" t="str">
        <f t="shared" si="52"/>
        <v/>
      </c>
      <c r="CA151" s="1" t="str">
        <f t="shared" si="52"/>
        <v/>
      </c>
      <c r="CB151" s="1" t="str">
        <f t="shared" si="52"/>
        <v/>
      </c>
      <c r="CC151" s="1" t="str">
        <f t="shared" si="52"/>
        <v/>
      </c>
      <c r="CD151" s="1" t="str">
        <f t="shared" si="52"/>
        <v/>
      </c>
      <c r="CE151" s="1" t="str">
        <f t="shared" si="52"/>
        <v/>
      </c>
      <c r="CF151" s="1">
        <f>COUNTIF(BT151:CE151, "&gt;0")</f>
        <v>0</v>
      </c>
      <c r="CG151" s="1" t="str">
        <f t="shared" ref="CG151:CR152" si="53">IF($CF151=1,BT151,"")</f>
        <v/>
      </c>
      <c r="CH151" s="1" t="str">
        <f t="shared" si="53"/>
        <v/>
      </c>
      <c r="CI151" s="1" t="str">
        <f t="shared" si="53"/>
        <v/>
      </c>
      <c r="CJ151" s="1" t="str">
        <f t="shared" si="53"/>
        <v/>
      </c>
      <c r="CK151" s="1" t="str">
        <f t="shared" si="53"/>
        <v/>
      </c>
      <c r="CL151" s="1" t="str">
        <f t="shared" si="53"/>
        <v/>
      </c>
      <c r="CM151" s="1" t="str">
        <f t="shared" si="53"/>
        <v/>
      </c>
      <c r="CN151" s="1" t="str">
        <f t="shared" si="53"/>
        <v/>
      </c>
      <c r="CO151" s="1" t="str">
        <f t="shared" si="53"/>
        <v/>
      </c>
      <c r="CP151" s="1" t="str">
        <f t="shared" si="53"/>
        <v/>
      </c>
      <c r="CQ151" s="1" t="str">
        <f t="shared" si="53"/>
        <v/>
      </c>
      <c r="CR151" s="1" t="str">
        <f t="shared" si="53"/>
        <v/>
      </c>
      <c r="CS151" s="18">
        <f>SUM(AE151:BO151)</f>
        <v>200</v>
      </c>
    </row>
    <row r="152" spans="1:97" ht="54" x14ac:dyDescent="0.15">
      <c r="A152" s="1">
        <v>23</v>
      </c>
      <c r="B152" s="1" t="s">
        <v>112</v>
      </c>
      <c r="C152" s="1" t="s">
        <v>32</v>
      </c>
      <c r="D152" s="1" t="s">
        <v>40</v>
      </c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4"/>
      <c r="AR152" s="4"/>
      <c r="AS152" s="4"/>
      <c r="AT152" s="4"/>
      <c r="AU152" s="4"/>
      <c r="AV152" s="4"/>
      <c r="AW152" s="2"/>
      <c r="AX152" s="2"/>
      <c r="AY152" s="2"/>
      <c r="AZ152" s="2"/>
      <c r="BA152" s="2"/>
      <c r="BB152" s="2"/>
      <c r="BC152" s="14"/>
      <c r="BD152" s="1"/>
      <c r="BE152" s="1"/>
      <c r="BF152" s="1"/>
      <c r="BG152" s="1"/>
      <c r="BH152" s="1"/>
      <c r="BI152" s="1"/>
      <c r="BJ152" s="1">
        <v>50</v>
      </c>
      <c r="BK152" s="1">
        <v>50</v>
      </c>
      <c r="BL152" s="1"/>
      <c r="BM152" s="1"/>
      <c r="BN152" s="1">
        <v>50</v>
      </c>
      <c r="BO152" s="1">
        <v>50</v>
      </c>
      <c r="BP152" s="1">
        <f>SUM(E152:BO152)</f>
        <v>200</v>
      </c>
      <c r="BQ152" s="1">
        <v>195</v>
      </c>
      <c r="BR152" s="17">
        <v>4</v>
      </c>
      <c r="BS152" s="17" t="s">
        <v>240</v>
      </c>
      <c r="BT152" s="1" t="str">
        <f t="shared" si="52"/>
        <v/>
      </c>
      <c r="BU152" s="1" t="str">
        <f t="shared" si="52"/>
        <v/>
      </c>
      <c r="BV152" s="1" t="str">
        <f t="shared" si="52"/>
        <v/>
      </c>
      <c r="BW152" s="1" t="str">
        <f t="shared" si="52"/>
        <v/>
      </c>
      <c r="BX152" s="1" t="str">
        <f t="shared" si="52"/>
        <v/>
      </c>
      <c r="BY152" s="1" t="str">
        <f t="shared" si="52"/>
        <v/>
      </c>
      <c r="BZ152" s="1" t="str">
        <f t="shared" si="52"/>
        <v/>
      </c>
      <c r="CA152" s="1" t="str">
        <f t="shared" si="52"/>
        <v/>
      </c>
      <c r="CB152" s="1" t="str">
        <f t="shared" si="52"/>
        <v/>
      </c>
      <c r="CC152" s="1" t="str">
        <f t="shared" si="52"/>
        <v/>
      </c>
      <c r="CD152" s="1" t="str">
        <f t="shared" si="52"/>
        <v/>
      </c>
      <c r="CE152" s="1" t="str">
        <f t="shared" si="52"/>
        <v/>
      </c>
      <c r="CF152" s="1">
        <f>COUNTIF(BT152:CE152, "&gt;0")</f>
        <v>0</v>
      </c>
      <c r="CG152" s="1" t="str">
        <f t="shared" si="53"/>
        <v/>
      </c>
      <c r="CH152" s="1" t="str">
        <f t="shared" si="53"/>
        <v/>
      </c>
      <c r="CI152" s="1" t="str">
        <f t="shared" si="53"/>
        <v/>
      </c>
      <c r="CJ152" s="1" t="str">
        <f t="shared" si="53"/>
        <v/>
      </c>
      <c r="CK152" s="1" t="str">
        <f t="shared" si="53"/>
        <v/>
      </c>
      <c r="CL152" s="1" t="str">
        <f t="shared" si="53"/>
        <v/>
      </c>
      <c r="CM152" s="1" t="str">
        <f t="shared" si="53"/>
        <v/>
      </c>
      <c r="CN152" s="1" t="str">
        <f t="shared" si="53"/>
        <v/>
      </c>
      <c r="CO152" s="1" t="str">
        <f t="shared" si="53"/>
        <v/>
      </c>
      <c r="CP152" s="1" t="str">
        <f t="shared" si="53"/>
        <v/>
      </c>
      <c r="CQ152" s="1" t="str">
        <f t="shared" si="53"/>
        <v/>
      </c>
      <c r="CR152" s="1" t="str">
        <f t="shared" si="53"/>
        <v/>
      </c>
      <c r="CS152" s="18">
        <f>SUM(AE152:BO152)</f>
        <v>200</v>
      </c>
    </row>
    <row r="153" spans="1:97" ht="54" x14ac:dyDescent="0.15">
      <c r="A153" s="1"/>
      <c r="B153" s="1" t="s">
        <v>136</v>
      </c>
      <c r="C153" s="1" t="s">
        <v>134</v>
      </c>
      <c r="D153" s="1" t="s">
        <v>137</v>
      </c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4"/>
      <c r="AR153" s="4"/>
      <c r="AS153" s="4"/>
      <c r="AT153" s="4"/>
      <c r="AU153" s="4"/>
      <c r="AV153" s="4"/>
      <c r="AW153" s="2"/>
      <c r="AX153" s="2"/>
      <c r="AY153" s="2"/>
      <c r="AZ153" s="2"/>
      <c r="BA153" s="2"/>
      <c r="BB153" s="2"/>
      <c r="BC153" s="14"/>
      <c r="BD153" s="1"/>
      <c r="BE153" s="1"/>
      <c r="BF153" s="1"/>
      <c r="BG153" s="1"/>
      <c r="BH153" s="1"/>
      <c r="BI153" s="1"/>
      <c r="BJ153" s="1">
        <v>50</v>
      </c>
      <c r="BK153" s="1">
        <v>50</v>
      </c>
      <c r="BL153" s="1"/>
      <c r="BM153" s="1"/>
      <c r="BN153" s="1">
        <v>50</v>
      </c>
      <c r="BO153" s="1">
        <v>50</v>
      </c>
      <c r="BP153" s="1"/>
      <c r="BQ153" s="1">
        <v>195</v>
      </c>
      <c r="BR153" s="17">
        <v>4</v>
      </c>
      <c r="BS153" s="17" t="s">
        <v>240</v>
      </c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8"/>
    </row>
    <row r="154" spans="1:97" ht="54" x14ac:dyDescent="0.15">
      <c r="A154" s="1"/>
      <c r="B154" s="1" t="s">
        <v>151</v>
      </c>
      <c r="C154" s="1" t="s">
        <v>146</v>
      </c>
      <c r="D154" s="1" t="s">
        <v>137</v>
      </c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4"/>
      <c r="AR154" s="4"/>
      <c r="AS154" s="4"/>
      <c r="AT154" s="4"/>
      <c r="AU154" s="4"/>
      <c r="AV154" s="4"/>
      <c r="AW154" s="2"/>
      <c r="AX154" s="2"/>
      <c r="AY154" s="2"/>
      <c r="AZ154" s="2"/>
      <c r="BA154" s="2"/>
      <c r="BB154" s="2"/>
      <c r="BC154" s="14"/>
      <c r="BD154" s="1"/>
      <c r="BE154" s="1"/>
      <c r="BF154" s="1"/>
      <c r="BG154" s="1"/>
      <c r="BH154" s="1"/>
      <c r="BI154" s="1"/>
      <c r="BJ154" s="1"/>
      <c r="BK154" s="1"/>
      <c r="BL154" s="1">
        <v>50</v>
      </c>
      <c r="BM154" s="1">
        <v>50</v>
      </c>
      <c r="BN154" s="1">
        <v>50</v>
      </c>
      <c r="BO154" s="1">
        <v>50</v>
      </c>
      <c r="BP154" s="1"/>
      <c r="BQ154" s="1">
        <v>195</v>
      </c>
      <c r="BR154" s="17">
        <v>4</v>
      </c>
      <c r="BS154" s="17" t="s">
        <v>281</v>
      </c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8"/>
    </row>
    <row r="155" spans="1:97" ht="54" x14ac:dyDescent="0.15">
      <c r="A155" s="1"/>
      <c r="B155" s="1" t="s">
        <v>156</v>
      </c>
      <c r="C155" s="1" t="s">
        <v>146</v>
      </c>
      <c r="D155" s="1" t="s">
        <v>137</v>
      </c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4"/>
      <c r="AR155" s="4"/>
      <c r="AS155" s="4"/>
      <c r="AT155" s="4"/>
      <c r="AU155" s="4"/>
      <c r="AV155" s="4"/>
      <c r="AW155" s="2"/>
      <c r="AX155" s="2"/>
      <c r="AY155" s="2"/>
      <c r="AZ155" s="2"/>
      <c r="BA155" s="2"/>
      <c r="BB155" s="2"/>
      <c r="BC155" s="14"/>
      <c r="BD155" s="1"/>
      <c r="BE155" s="1"/>
      <c r="BF155" s="1"/>
      <c r="BG155" s="1"/>
      <c r="BH155" s="1"/>
      <c r="BI155" s="1"/>
      <c r="BJ155" s="1"/>
      <c r="BK155" s="1"/>
      <c r="BL155" s="1">
        <v>50</v>
      </c>
      <c r="BM155" s="1">
        <v>50</v>
      </c>
      <c r="BN155" s="1">
        <v>50</v>
      </c>
      <c r="BO155" s="1">
        <v>50</v>
      </c>
      <c r="BP155" s="1"/>
      <c r="BQ155" s="1">
        <v>195</v>
      </c>
      <c r="BR155" s="17">
        <v>4</v>
      </c>
      <c r="BS155" s="17" t="s">
        <v>281</v>
      </c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8"/>
    </row>
    <row r="156" spans="1:97" ht="54" x14ac:dyDescent="0.15">
      <c r="A156" s="1"/>
      <c r="B156" s="1" t="s">
        <v>189</v>
      </c>
      <c r="C156" s="1" t="s">
        <v>190</v>
      </c>
      <c r="D156" s="1" t="s">
        <v>40</v>
      </c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4"/>
      <c r="AR156" s="4"/>
      <c r="AS156" s="4"/>
      <c r="AT156" s="4"/>
      <c r="AU156" s="4"/>
      <c r="AV156" s="4"/>
      <c r="AW156" s="2"/>
      <c r="AX156" s="2"/>
      <c r="AY156" s="2"/>
      <c r="AZ156" s="2"/>
      <c r="BA156" s="2"/>
      <c r="BB156" s="2"/>
      <c r="BC156" s="14"/>
      <c r="BD156" s="1"/>
      <c r="BE156" s="1"/>
      <c r="BF156" s="1"/>
      <c r="BG156" s="1"/>
      <c r="BH156" s="1"/>
      <c r="BI156" s="1"/>
      <c r="BJ156" s="1">
        <v>50</v>
      </c>
      <c r="BK156" s="1">
        <v>50</v>
      </c>
      <c r="BL156" s="1"/>
      <c r="BM156" s="1"/>
      <c r="BN156" s="1">
        <v>50</v>
      </c>
      <c r="BO156" s="1">
        <v>50</v>
      </c>
      <c r="BP156" s="1"/>
      <c r="BQ156" s="1">
        <v>195</v>
      </c>
      <c r="BR156" s="17">
        <v>4</v>
      </c>
      <c r="BS156" s="17" t="s">
        <v>240</v>
      </c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8"/>
    </row>
    <row r="157" spans="1:97" ht="54" x14ac:dyDescent="0.15">
      <c r="A157" s="1">
        <v>102</v>
      </c>
      <c r="B157" s="3" t="s">
        <v>110</v>
      </c>
      <c r="C157" s="3" t="s">
        <v>77</v>
      </c>
      <c r="D157" s="1" t="s">
        <v>40</v>
      </c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4"/>
      <c r="AR157" s="4"/>
      <c r="AS157" s="4"/>
      <c r="AT157" s="4"/>
      <c r="AU157" s="4"/>
      <c r="AV157" s="4"/>
      <c r="AW157" s="2"/>
      <c r="AX157" s="2"/>
      <c r="AY157" s="2"/>
      <c r="AZ157" s="2"/>
      <c r="BA157" s="2"/>
      <c r="BB157" s="2"/>
      <c r="BC157" s="14"/>
      <c r="BD157" s="1"/>
      <c r="BE157" s="1"/>
      <c r="BF157" s="1"/>
      <c r="BG157" s="1"/>
      <c r="BH157" s="1"/>
      <c r="BI157" s="1"/>
      <c r="BJ157" s="1">
        <v>50</v>
      </c>
      <c r="BK157" s="1">
        <v>50</v>
      </c>
      <c r="BL157" s="1"/>
      <c r="BM157" s="1"/>
      <c r="BN157" s="1">
        <v>50</v>
      </c>
      <c r="BO157" s="1">
        <v>50</v>
      </c>
      <c r="BP157" s="1">
        <f>SUM(E157:BO157)</f>
        <v>200</v>
      </c>
      <c r="BQ157" s="1">
        <v>195</v>
      </c>
      <c r="BR157" s="17">
        <v>4</v>
      </c>
      <c r="BS157" s="17" t="s">
        <v>240</v>
      </c>
      <c r="BT157" s="1" t="str">
        <f t="shared" ref="BT157:CE157" si="54">IF(AQ157&gt;AQ$159, AQ157-AQ$159,"")</f>
        <v/>
      </c>
      <c r="BU157" s="1" t="str">
        <f t="shared" si="54"/>
        <v/>
      </c>
      <c r="BV157" s="1" t="str">
        <f t="shared" si="54"/>
        <v/>
      </c>
      <c r="BW157" s="1" t="str">
        <f t="shared" si="54"/>
        <v/>
      </c>
      <c r="BX157" s="1" t="str">
        <f t="shared" si="54"/>
        <v/>
      </c>
      <c r="BY157" s="1" t="str">
        <f t="shared" si="54"/>
        <v/>
      </c>
      <c r="BZ157" s="1" t="str">
        <f t="shared" si="54"/>
        <v/>
      </c>
      <c r="CA157" s="1" t="str">
        <f t="shared" si="54"/>
        <v/>
      </c>
      <c r="CB157" s="1" t="str">
        <f t="shared" si="54"/>
        <v/>
      </c>
      <c r="CC157" s="1" t="str">
        <f t="shared" si="54"/>
        <v/>
      </c>
      <c r="CD157" s="1" t="str">
        <f t="shared" si="54"/>
        <v/>
      </c>
      <c r="CE157" s="1" t="str">
        <f t="shared" si="54"/>
        <v/>
      </c>
      <c r="CF157" s="1">
        <f>COUNTIF(BT157:CE157, "&gt;0")</f>
        <v>0</v>
      </c>
      <c r="CG157" s="1" t="str">
        <f t="shared" ref="CG157:CR157" si="55">IF($CF157=1,BT157,"")</f>
        <v/>
      </c>
      <c r="CH157" s="1" t="str">
        <f t="shared" si="55"/>
        <v/>
      </c>
      <c r="CI157" s="1" t="str">
        <f t="shared" si="55"/>
        <v/>
      </c>
      <c r="CJ157" s="1" t="str">
        <f t="shared" si="55"/>
        <v/>
      </c>
      <c r="CK157" s="1" t="str">
        <f t="shared" si="55"/>
        <v/>
      </c>
      <c r="CL157" s="1" t="str">
        <f t="shared" si="55"/>
        <v/>
      </c>
      <c r="CM157" s="1" t="str">
        <f t="shared" si="55"/>
        <v/>
      </c>
      <c r="CN157" s="1" t="str">
        <f t="shared" si="55"/>
        <v/>
      </c>
      <c r="CO157" s="1" t="str">
        <f t="shared" si="55"/>
        <v/>
      </c>
      <c r="CP157" s="1" t="str">
        <f t="shared" si="55"/>
        <v/>
      </c>
      <c r="CQ157" s="1" t="str">
        <f t="shared" si="55"/>
        <v/>
      </c>
      <c r="CR157" s="1" t="str">
        <f t="shared" si="55"/>
        <v/>
      </c>
      <c r="CS157" s="18">
        <f>SUM(AE157:BO157)</f>
        <v>200</v>
      </c>
    </row>
    <row r="158" spans="1:97" x14ac:dyDescent="0.15">
      <c r="A158" s="1"/>
      <c r="B158" s="1" t="s">
        <v>80</v>
      </c>
      <c r="C158" s="1"/>
      <c r="D158" s="1"/>
      <c r="E158" s="6">
        <f>SUM(E2:E157)</f>
        <v>178</v>
      </c>
      <c r="F158" s="6">
        <f>SUM(F2:F157)</f>
        <v>89</v>
      </c>
      <c r="G158" s="6">
        <f>SUM(G2:G157)</f>
        <v>214</v>
      </c>
      <c r="H158" s="6">
        <f>SUM(H2:H157)</f>
        <v>184</v>
      </c>
      <c r="I158" s="6">
        <f>SUM(I2:I157)</f>
        <v>67</v>
      </c>
      <c r="J158" s="6">
        <f>SUM(J2:J157)</f>
        <v>86</v>
      </c>
      <c r="K158" s="6">
        <f>SUM(K2:K157)</f>
        <v>49</v>
      </c>
      <c r="L158" s="6">
        <f>SUM(L2:L157)</f>
        <v>88</v>
      </c>
      <c r="M158" s="6">
        <f>SUM(M2:M157)</f>
        <v>37</v>
      </c>
      <c r="N158" s="6">
        <f>SUM(N2:N157)</f>
        <v>37</v>
      </c>
      <c r="O158" s="6">
        <f>SUM(O2:O157)</f>
        <v>89</v>
      </c>
      <c r="P158" s="32">
        <f>SUM(P2:P157)</f>
        <v>130</v>
      </c>
      <c r="Q158" s="32">
        <f>SUM(Q2:Q157)</f>
        <v>76</v>
      </c>
      <c r="R158" s="32">
        <f>SUM(R2:R157)</f>
        <v>83</v>
      </c>
      <c r="S158" s="32">
        <f>SUM(S2:S157)</f>
        <v>130</v>
      </c>
      <c r="T158" s="32">
        <f>SUM(T2:T157)</f>
        <v>61</v>
      </c>
      <c r="U158" s="32">
        <f>SUM(U2:U157)</f>
        <v>62</v>
      </c>
      <c r="V158" s="32">
        <f>SUM(V2:V157)</f>
        <v>135</v>
      </c>
      <c r="W158" s="32">
        <f>SUM(W2:W157)</f>
        <v>35</v>
      </c>
      <c r="X158" s="32">
        <f>SUM(X2:X157)</f>
        <v>59</v>
      </c>
      <c r="Y158" s="32">
        <f>SUM(Y2:Y157)</f>
        <v>125</v>
      </c>
      <c r="Z158" s="32">
        <f>SUM(Z2:Z157)</f>
        <v>50</v>
      </c>
      <c r="AA158" s="32">
        <f>SUM(AA2:AA157)</f>
        <v>35</v>
      </c>
      <c r="AB158" s="32">
        <f>SUM(AB2:AB157)</f>
        <v>140</v>
      </c>
      <c r="AC158" s="32">
        <f>SUM(AC2:AC157)</f>
        <v>30</v>
      </c>
      <c r="AD158" s="32">
        <f>SUM(AD2:AD157)</f>
        <v>22</v>
      </c>
      <c r="AE158" s="1">
        <f>SUM(AE2:AE157)</f>
        <v>275</v>
      </c>
      <c r="AF158" s="1">
        <f>SUM(AF2:AF157)</f>
        <v>10</v>
      </c>
      <c r="AG158" s="1">
        <f>SUM(AG2:AG157)</f>
        <v>15</v>
      </c>
      <c r="AH158" s="1">
        <f>SUM(AH2:AH157)</f>
        <v>30</v>
      </c>
      <c r="AI158" s="1">
        <f>SUM(AI2:AI157)</f>
        <v>30</v>
      </c>
      <c r="AJ158" s="1">
        <f>SUM(AJ2:AJ157)</f>
        <v>5</v>
      </c>
      <c r="AK158" s="1">
        <f>SUM(AK2:AK157)</f>
        <v>0</v>
      </c>
      <c r="AL158" s="1">
        <f>SUM(AL2:AL157)</f>
        <v>0</v>
      </c>
      <c r="AM158" s="1">
        <f>SUM(AM2:AM157)</f>
        <v>20</v>
      </c>
      <c r="AN158" s="1">
        <f>SUM(AN2:AN157)</f>
        <v>50</v>
      </c>
      <c r="AO158" s="1">
        <f>SUM(AO2:AO157)</f>
        <v>25</v>
      </c>
      <c r="AP158" s="1">
        <f>SUM(AP2:AP157)</f>
        <v>26</v>
      </c>
      <c r="AQ158" s="4">
        <f>SUM(AQ2:AQ157)</f>
        <v>100</v>
      </c>
      <c r="AR158" s="4">
        <f>SUM(AR2:AR157)</f>
        <v>120</v>
      </c>
      <c r="AS158" s="4">
        <f>SUM(AS2:AS157)</f>
        <v>80</v>
      </c>
      <c r="AT158" s="4">
        <f>SUM(AT2:AT157)</f>
        <v>93</v>
      </c>
      <c r="AU158" s="4">
        <f>SUM(AU2:AU157)</f>
        <v>48</v>
      </c>
      <c r="AV158" s="4">
        <f>SUM(AV2:AV157)</f>
        <v>125</v>
      </c>
      <c r="AW158" s="2">
        <f>SUM(AW2:AW157)</f>
        <v>128</v>
      </c>
      <c r="AX158" s="2">
        <f>SUM(AX2:AX157)</f>
        <v>80</v>
      </c>
      <c r="AY158" s="2">
        <f>SUM(AY2:AY157)</f>
        <v>43</v>
      </c>
      <c r="AZ158" s="2">
        <f>SUM(AZ2:AZ157)</f>
        <v>75</v>
      </c>
      <c r="BA158" s="2">
        <f>SUM(BA2:BA157)</f>
        <v>205</v>
      </c>
      <c r="BB158" s="2">
        <f>SUM(BB2:BB157)</f>
        <v>385</v>
      </c>
      <c r="BC158" s="1">
        <f>SUM(BC2:BC157)</f>
        <v>10</v>
      </c>
      <c r="BD158" s="1">
        <f>SUM(BD2:BD157)</f>
        <v>150</v>
      </c>
      <c r="BE158" s="1">
        <f>SUM(BE2:BE157)</f>
        <v>100</v>
      </c>
      <c r="BF158" s="1">
        <f>SUM(BF2:BF157)</f>
        <v>120</v>
      </c>
      <c r="BG158" s="1">
        <f>SUM(BG2:BG157)</f>
        <v>120</v>
      </c>
      <c r="BH158" s="1">
        <f>SUM(BH2:BH157)</f>
        <v>120</v>
      </c>
      <c r="BI158" s="1">
        <f>SUM(BI2:BI157)</f>
        <v>90</v>
      </c>
      <c r="BJ158" s="1">
        <f>SUM(BJ2:BJ157)</f>
        <v>200</v>
      </c>
      <c r="BK158" s="1">
        <f>SUM(BK2:BK157)</f>
        <v>200</v>
      </c>
      <c r="BL158" s="1">
        <f>SUM(BL2:BL157)</f>
        <v>150</v>
      </c>
      <c r="BM158" s="1">
        <f>SUM(BM2:BM157)</f>
        <v>150</v>
      </c>
      <c r="BN158" s="1">
        <f>SUM(BN2:BN157)</f>
        <v>350</v>
      </c>
      <c r="BO158" s="1">
        <f>SUM(BO2:BO157)</f>
        <v>350</v>
      </c>
      <c r="BP158" s="1"/>
      <c r="BQ158" s="1"/>
      <c r="BR158" s="17"/>
      <c r="BS158" s="17"/>
      <c r="BT158" s="1">
        <f>MIN(BT2:BT157)</f>
        <v>4</v>
      </c>
      <c r="BU158" s="1">
        <f>MIN(BU2:BU157)</f>
        <v>0</v>
      </c>
      <c r="BV158" s="1">
        <f>MIN(BV2:BV157)</f>
        <v>3</v>
      </c>
      <c r="BW158" s="1">
        <f>MIN(BW2:BW157)</f>
        <v>5</v>
      </c>
      <c r="BX158" s="1">
        <f>MIN(BX2:BX157)</f>
        <v>5</v>
      </c>
      <c r="BY158" s="1">
        <f>MIN(BY2:BY157)</f>
        <v>0</v>
      </c>
      <c r="BZ158" s="1">
        <f>MIN(BZ2:BZ157)</f>
        <v>1</v>
      </c>
      <c r="CA158" s="1">
        <f>MIN(CA2:CA157)</f>
        <v>0</v>
      </c>
      <c r="CB158" s="1">
        <f>MIN(CB2:CB157)</f>
        <v>0</v>
      </c>
      <c r="CC158" s="1">
        <f>MIN(CC2:CC157)</f>
        <v>0</v>
      </c>
      <c r="CD158" s="1">
        <f>MIN(CD2:CD157)</f>
        <v>3</v>
      </c>
      <c r="CE158" s="1">
        <f>MIN(CE2:CE157)</f>
        <v>0</v>
      </c>
      <c r="CF158" s="1"/>
      <c r="CG158" s="1">
        <f>MIN(CG2:CG157)</f>
        <v>4</v>
      </c>
      <c r="CH158" s="1">
        <f>MIN(CH2:CH157)</f>
        <v>0</v>
      </c>
      <c r="CI158" s="1">
        <f>MIN(CI2:CI157)</f>
        <v>3</v>
      </c>
      <c r="CJ158" s="1">
        <f>MIN(CJ2:CJ157)</f>
        <v>0</v>
      </c>
      <c r="CK158" s="1">
        <f>MIN(CK2:CK157)</f>
        <v>5</v>
      </c>
      <c r="CL158" s="1">
        <f>MIN(CL2:CL157)</f>
        <v>0</v>
      </c>
      <c r="CM158" s="1">
        <f>MIN(CM2:CM157)</f>
        <v>0</v>
      </c>
      <c r="CN158" s="1">
        <f>MIN(CN2:CN157)</f>
        <v>0</v>
      </c>
      <c r="CO158" s="1">
        <f>MIN(CO2:CO157)</f>
        <v>0</v>
      </c>
      <c r="CP158" s="1">
        <f>MIN(CP2:CP157)</f>
        <v>0</v>
      </c>
      <c r="CQ158" s="1">
        <f>MIN(CQ2:CQ157)</f>
        <v>3</v>
      </c>
      <c r="CR158" s="1">
        <f>MIN(CR2:CR157)</f>
        <v>0</v>
      </c>
      <c r="CS158" s="18">
        <f>COUNTIF(CS2:CS157,"=0")</f>
        <v>7</v>
      </c>
    </row>
    <row r="159" spans="1:97" x14ac:dyDescent="0.15">
      <c r="A159" s="1"/>
      <c r="B159" s="3" t="s">
        <v>102</v>
      </c>
      <c r="C159" s="1"/>
      <c r="D159" s="1"/>
      <c r="E159" s="1">
        <v>8</v>
      </c>
      <c r="F159" s="1">
        <v>3</v>
      </c>
      <c r="G159" s="1">
        <v>11</v>
      </c>
      <c r="H159" s="1">
        <v>3</v>
      </c>
      <c r="I159" s="1">
        <v>26</v>
      </c>
      <c r="J159" s="1">
        <v>35</v>
      </c>
      <c r="K159" s="1">
        <v>22</v>
      </c>
      <c r="L159" s="1">
        <v>43</v>
      </c>
      <c r="M159" s="1">
        <v>7</v>
      </c>
      <c r="N159" s="1">
        <v>25</v>
      </c>
      <c r="O159" s="1">
        <v>8</v>
      </c>
      <c r="P159" s="14">
        <v>12</v>
      </c>
      <c r="Q159" s="14">
        <v>1</v>
      </c>
      <c r="R159" s="14">
        <v>2</v>
      </c>
      <c r="S159" s="14">
        <v>11</v>
      </c>
      <c r="T159" s="14">
        <v>5</v>
      </c>
      <c r="U159" s="14">
        <v>0</v>
      </c>
      <c r="V159" s="14">
        <v>12</v>
      </c>
      <c r="W159" s="14">
        <v>2</v>
      </c>
      <c r="X159" s="14">
        <v>6</v>
      </c>
      <c r="Y159" s="14">
        <v>10</v>
      </c>
      <c r="Z159" s="14">
        <v>1</v>
      </c>
      <c r="AA159" s="14">
        <v>1</v>
      </c>
      <c r="AB159" s="14">
        <v>8</v>
      </c>
      <c r="AC159" s="14">
        <v>2</v>
      </c>
      <c r="AD159" s="14">
        <v>4</v>
      </c>
      <c r="AE159" s="1">
        <v>12</v>
      </c>
      <c r="AF159" s="1">
        <v>0</v>
      </c>
      <c r="AG159" s="1">
        <v>0</v>
      </c>
      <c r="AH159" s="1">
        <v>0</v>
      </c>
      <c r="AI159" s="1">
        <v>0</v>
      </c>
      <c r="AJ159" s="1">
        <v>0</v>
      </c>
      <c r="AK159" s="1">
        <v>33</v>
      </c>
      <c r="AL159" s="1">
        <v>43</v>
      </c>
      <c r="AM159" s="1">
        <v>4</v>
      </c>
      <c r="AN159" s="1">
        <v>0</v>
      </c>
      <c r="AO159" s="1">
        <v>0</v>
      </c>
      <c r="AP159" s="1">
        <v>0</v>
      </c>
      <c r="AQ159" s="14">
        <v>6</v>
      </c>
      <c r="AR159" s="14">
        <v>16</v>
      </c>
      <c r="AS159" s="14">
        <v>2</v>
      </c>
      <c r="AT159" s="14">
        <v>15</v>
      </c>
      <c r="AU159" s="14">
        <v>3</v>
      </c>
      <c r="AV159" s="14">
        <v>15</v>
      </c>
      <c r="AW159" s="14">
        <v>19</v>
      </c>
      <c r="AX159" s="14">
        <v>25</v>
      </c>
      <c r="AY159" s="14">
        <v>13</v>
      </c>
      <c r="AZ159" s="14">
        <v>16</v>
      </c>
      <c r="BA159" s="14">
        <v>12</v>
      </c>
      <c r="BB159" s="14">
        <v>158</v>
      </c>
      <c r="BC159" s="14"/>
      <c r="BD159" s="1">
        <v>48</v>
      </c>
      <c r="BE159" s="1">
        <v>48</v>
      </c>
      <c r="BF159" s="1">
        <v>81</v>
      </c>
      <c r="BG159" s="1">
        <v>90</v>
      </c>
      <c r="BH159" s="1">
        <v>48</v>
      </c>
      <c r="BI159" s="1">
        <v>44</v>
      </c>
      <c r="BJ159" s="1">
        <v>5</v>
      </c>
      <c r="BK159" s="1"/>
      <c r="BL159" s="1">
        <v>5</v>
      </c>
      <c r="BM159" s="1"/>
      <c r="BN159" s="1"/>
      <c r="BO159" s="1"/>
      <c r="BP159" s="1"/>
      <c r="BQ159" s="1"/>
      <c r="BR159" s="17"/>
      <c r="BS159" s="17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</row>
    <row r="160" spans="1:97" x14ac:dyDescent="0.15">
      <c r="A160" s="1"/>
      <c r="B160" s="3" t="s">
        <v>109</v>
      </c>
      <c r="C160" s="1"/>
      <c r="D160" s="1"/>
      <c r="E160" s="1">
        <f t="shared" ref="E160:AJ160" si="56">E159-E158</f>
        <v>-170</v>
      </c>
      <c r="F160" s="1">
        <f t="shared" si="56"/>
        <v>-86</v>
      </c>
      <c r="G160" s="1">
        <f t="shared" si="56"/>
        <v>-203</v>
      </c>
      <c r="H160" s="1">
        <f t="shared" si="56"/>
        <v>-181</v>
      </c>
      <c r="I160" s="1">
        <f t="shared" si="56"/>
        <v>-41</v>
      </c>
      <c r="J160" s="1">
        <f t="shared" si="56"/>
        <v>-51</v>
      </c>
      <c r="K160" s="1">
        <f t="shared" si="56"/>
        <v>-27</v>
      </c>
      <c r="L160" s="1">
        <f t="shared" si="56"/>
        <v>-45</v>
      </c>
      <c r="M160" s="1">
        <f t="shared" si="56"/>
        <v>-30</v>
      </c>
      <c r="N160" s="1">
        <f t="shared" si="56"/>
        <v>-12</v>
      </c>
      <c r="O160" s="1">
        <f t="shared" si="56"/>
        <v>-81</v>
      </c>
      <c r="P160" s="1">
        <f t="shared" si="56"/>
        <v>-118</v>
      </c>
      <c r="Q160" s="1">
        <f t="shared" si="56"/>
        <v>-75</v>
      </c>
      <c r="R160" s="1">
        <f t="shared" si="56"/>
        <v>-81</v>
      </c>
      <c r="S160" s="1">
        <f t="shared" si="56"/>
        <v>-119</v>
      </c>
      <c r="T160" s="1">
        <f t="shared" si="56"/>
        <v>-56</v>
      </c>
      <c r="U160" s="1">
        <f t="shared" si="56"/>
        <v>-62</v>
      </c>
      <c r="V160" s="1">
        <f t="shared" si="56"/>
        <v>-123</v>
      </c>
      <c r="W160" s="1">
        <f t="shared" si="56"/>
        <v>-33</v>
      </c>
      <c r="X160" s="1">
        <f t="shared" si="56"/>
        <v>-53</v>
      </c>
      <c r="Y160" s="1">
        <f t="shared" si="56"/>
        <v>-115</v>
      </c>
      <c r="Z160" s="1">
        <f t="shared" si="56"/>
        <v>-49</v>
      </c>
      <c r="AA160" s="1">
        <f t="shared" si="56"/>
        <v>-34</v>
      </c>
      <c r="AB160" s="1">
        <f t="shared" si="56"/>
        <v>-132</v>
      </c>
      <c r="AC160" s="1">
        <f t="shared" si="56"/>
        <v>-28</v>
      </c>
      <c r="AD160" s="1">
        <f t="shared" si="56"/>
        <v>-18</v>
      </c>
      <c r="AE160" s="1">
        <f t="shared" si="56"/>
        <v>-263</v>
      </c>
      <c r="AF160" s="1">
        <f t="shared" si="56"/>
        <v>-10</v>
      </c>
      <c r="AG160" s="1">
        <f t="shared" si="56"/>
        <v>-15</v>
      </c>
      <c r="AH160" s="1">
        <f t="shared" si="56"/>
        <v>-30</v>
      </c>
      <c r="AI160" s="1">
        <f t="shared" si="56"/>
        <v>-30</v>
      </c>
      <c r="AJ160" s="1">
        <f t="shared" si="56"/>
        <v>-5</v>
      </c>
      <c r="AK160" s="1">
        <f t="shared" ref="AK160:BO160" si="57">AK159-AK158</f>
        <v>33</v>
      </c>
      <c r="AL160" s="1">
        <f t="shared" si="57"/>
        <v>43</v>
      </c>
      <c r="AM160" s="1">
        <f t="shared" si="57"/>
        <v>-16</v>
      </c>
      <c r="AN160" s="1">
        <f t="shared" si="57"/>
        <v>-50</v>
      </c>
      <c r="AO160" s="1">
        <f t="shared" si="57"/>
        <v>-25</v>
      </c>
      <c r="AP160" s="1">
        <f t="shared" si="57"/>
        <v>-26</v>
      </c>
      <c r="AQ160" s="1">
        <f t="shared" si="57"/>
        <v>-94</v>
      </c>
      <c r="AR160" s="1">
        <f t="shared" si="57"/>
        <v>-104</v>
      </c>
      <c r="AS160" s="1">
        <f t="shared" si="57"/>
        <v>-78</v>
      </c>
      <c r="AT160" s="1">
        <f t="shared" si="57"/>
        <v>-78</v>
      </c>
      <c r="AU160" s="1">
        <f t="shared" si="57"/>
        <v>-45</v>
      </c>
      <c r="AV160" s="1">
        <f t="shared" si="57"/>
        <v>-110</v>
      </c>
      <c r="AW160" s="1">
        <f t="shared" si="57"/>
        <v>-109</v>
      </c>
      <c r="AX160" s="1">
        <f t="shared" si="57"/>
        <v>-55</v>
      </c>
      <c r="AY160" s="1">
        <f t="shared" si="57"/>
        <v>-30</v>
      </c>
      <c r="AZ160" s="1">
        <f t="shared" si="57"/>
        <v>-59</v>
      </c>
      <c r="BA160" s="1">
        <f t="shared" si="57"/>
        <v>-193</v>
      </c>
      <c r="BB160" s="1">
        <f t="shared" si="57"/>
        <v>-227</v>
      </c>
      <c r="BC160" s="1">
        <f t="shared" si="57"/>
        <v>-10</v>
      </c>
      <c r="BD160" s="1">
        <f t="shared" si="57"/>
        <v>-102</v>
      </c>
      <c r="BE160" s="1">
        <f t="shared" si="57"/>
        <v>-52</v>
      </c>
      <c r="BF160" s="1">
        <f t="shared" si="57"/>
        <v>-39</v>
      </c>
      <c r="BG160" s="1">
        <f t="shared" si="57"/>
        <v>-30</v>
      </c>
      <c r="BH160" s="1">
        <f t="shared" si="57"/>
        <v>-72</v>
      </c>
      <c r="BI160" s="1">
        <f t="shared" si="57"/>
        <v>-46</v>
      </c>
      <c r="BJ160" s="1">
        <f t="shared" si="57"/>
        <v>-195</v>
      </c>
      <c r="BK160" s="1">
        <f t="shared" si="57"/>
        <v>-200</v>
      </c>
      <c r="BL160" s="1">
        <f t="shared" si="57"/>
        <v>-145</v>
      </c>
      <c r="BM160" s="1">
        <f t="shared" si="57"/>
        <v>-150</v>
      </c>
      <c r="BN160" s="1">
        <f t="shared" si="57"/>
        <v>-350</v>
      </c>
      <c r="BO160" s="1">
        <f t="shared" si="57"/>
        <v>-350</v>
      </c>
      <c r="BP160" s="1"/>
      <c r="BQ160" s="1"/>
      <c r="BR160" s="17"/>
      <c r="BS160" s="17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</row>
  </sheetData>
  <autoFilter ref="A1:BP158"/>
  <sortState ref="A2:CS165">
    <sortCondition ref="BR2:BR165"/>
    <sortCondition ref="BQ2:BQ165"/>
  </sortState>
  <phoneticPr fontId="1" type="noConversion"/>
  <conditionalFormatting sqref="E49">
    <cfRule type="cellIs" dxfId="2" priority="4" operator="greaterThan">
      <formula>$E$159</formula>
    </cfRule>
  </conditionalFormatting>
  <conditionalFormatting sqref="E158">
    <cfRule type="cellIs" dxfId="1" priority="3" operator="greaterThan">
      <formula>$E$159</formula>
    </cfRule>
  </conditionalFormatting>
  <conditionalFormatting sqref="E160:BO1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162</xdr:row>
                    <xdr:rowOff>28575</xdr:rowOff>
                  </from>
                  <to>
                    <xdr:col>1</xdr:col>
                    <xdr:colOff>428625</xdr:colOff>
                    <xdr:row>163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99</v>
      </c>
      <c r="B1" s="5" t="s">
        <v>96</v>
      </c>
      <c r="C1" s="5" t="s">
        <v>100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63</v>
      </c>
      <c r="C3" s="1">
        <v>120</v>
      </c>
    </row>
    <row r="4" spans="1:3" x14ac:dyDescent="0.15">
      <c r="A4" s="1">
        <v>4</v>
      </c>
      <c r="B4" s="4" t="s">
        <v>64</v>
      </c>
      <c r="C4" s="1">
        <v>85</v>
      </c>
    </row>
    <row r="5" spans="1:3" x14ac:dyDescent="0.15">
      <c r="A5" s="1">
        <v>3</v>
      </c>
      <c r="B5" s="4" t="s">
        <v>50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34</v>
      </c>
      <c r="C10" s="1">
        <v>45</v>
      </c>
    </row>
    <row r="11" spans="1:3" x14ac:dyDescent="0.15">
      <c r="A11" s="1">
        <v>5</v>
      </c>
      <c r="B11" s="4" t="s">
        <v>71</v>
      </c>
      <c r="C11" s="1">
        <v>45</v>
      </c>
    </row>
    <row r="12" spans="1:3" x14ac:dyDescent="0.15">
      <c r="A12" s="1">
        <v>11</v>
      </c>
      <c r="B12" s="2" t="s">
        <v>51</v>
      </c>
      <c r="C12" s="1">
        <v>10</v>
      </c>
    </row>
    <row r="13" spans="1:3" x14ac:dyDescent="0.15">
      <c r="A13" s="1">
        <v>6</v>
      </c>
      <c r="B13" s="4" t="s">
        <v>79</v>
      </c>
      <c r="C13" s="1">
        <v>8</v>
      </c>
    </row>
    <row r="19" spans="7:18" x14ac:dyDescent="0.15">
      <c r="G19" s="10" t="s">
        <v>50</v>
      </c>
      <c r="H19" s="10" t="s">
        <v>5</v>
      </c>
      <c r="I19" s="10" t="s">
        <v>34</v>
      </c>
      <c r="J19" s="10" t="s">
        <v>71</v>
      </c>
      <c r="K19" s="10" t="s">
        <v>79</v>
      </c>
      <c r="L19" s="10" t="s">
        <v>64</v>
      </c>
      <c r="M19" s="11" t="s">
        <v>6</v>
      </c>
      <c r="N19" s="11" t="s">
        <v>7</v>
      </c>
      <c r="O19" s="11" t="s">
        <v>51</v>
      </c>
      <c r="P19" s="11" t="s">
        <v>9</v>
      </c>
      <c r="Q19" s="11" t="s">
        <v>63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106</v>
      </c>
      <c r="B1" s="8" t="s">
        <v>107</v>
      </c>
      <c r="C1" s="8" t="s">
        <v>108</v>
      </c>
    </row>
    <row r="2" spans="1:3" x14ac:dyDescent="0.15">
      <c r="A2" s="1">
        <v>5</v>
      </c>
      <c r="B2" s="10" t="s">
        <v>79</v>
      </c>
      <c r="C2" s="1">
        <v>0</v>
      </c>
    </row>
    <row r="3" spans="1:3" x14ac:dyDescent="0.15">
      <c r="A3" s="1">
        <v>9</v>
      </c>
      <c r="B3" s="11" t="s">
        <v>51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71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50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34</v>
      </c>
      <c r="C11" s="1">
        <v>5</v>
      </c>
    </row>
    <row r="12" spans="1:3" x14ac:dyDescent="0.15">
      <c r="A12" s="1">
        <v>11</v>
      </c>
      <c r="B12" s="11" t="s">
        <v>63</v>
      </c>
      <c r="C12" s="1">
        <v>5</v>
      </c>
    </row>
    <row r="13" spans="1:3" x14ac:dyDescent="0.15">
      <c r="A13" s="1">
        <v>6</v>
      </c>
      <c r="B13" s="10" t="s">
        <v>64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50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34</v>
      </c>
      <c r="C4">
        <v>0</v>
      </c>
    </row>
    <row r="5" spans="2:3" x14ac:dyDescent="0.15">
      <c r="B5" s="10" t="s">
        <v>79</v>
      </c>
      <c r="C5">
        <v>0</v>
      </c>
    </row>
    <row r="6" spans="2:3" x14ac:dyDescent="0.15">
      <c r="B6" s="11" t="s">
        <v>51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63</v>
      </c>
      <c r="C8">
        <v>0</v>
      </c>
    </row>
    <row r="9" spans="2:3" x14ac:dyDescent="0.15">
      <c r="B9" s="10" t="s">
        <v>71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64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2020-02-05T00:44:59Z</dcterms:modified>
</cp:coreProperties>
</file>