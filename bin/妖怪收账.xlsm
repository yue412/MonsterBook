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minimized="1"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Sheet1!$A$1:$BV$69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53" i="1" l="1"/>
  <c r="BU53" i="1"/>
  <c r="BV53" i="1"/>
  <c r="BQ58" i="1"/>
  <c r="BU58" i="1"/>
  <c r="BV58" i="1"/>
  <c r="BU8" i="1" l="1"/>
  <c r="BV8" i="1"/>
  <c r="BQ8" i="1"/>
  <c r="BQ21" i="1" l="1"/>
  <c r="BU26" i="1" l="1"/>
  <c r="BV26" i="1"/>
  <c r="BQ26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46" i="1"/>
  <c r="BQ51" i="1"/>
  <c r="BQ60" i="1"/>
  <c r="BQ19" i="1"/>
  <c r="BQ20" i="1"/>
  <c r="BU46" i="1"/>
  <c r="BV46" i="1"/>
  <c r="BU51" i="1"/>
  <c r="BV51" i="1"/>
  <c r="BU60" i="1"/>
  <c r="BV60" i="1"/>
  <c r="BU19" i="1"/>
  <c r="BV19" i="1"/>
  <c r="BU20" i="1"/>
  <c r="BV20" i="1"/>
  <c r="BU61" i="1" l="1"/>
  <c r="BV61" i="1"/>
  <c r="BU57" i="1"/>
  <c r="BV57" i="1"/>
  <c r="BQ61" i="1"/>
  <c r="BQ57" i="1"/>
  <c r="BU32" i="1" l="1"/>
  <c r="BV32" i="1"/>
  <c r="BU3" i="1"/>
  <c r="BV3" i="1"/>
  <c r="BU12" i="1"/>
  <c r="BV12" i="1"/>
  <c r="BU11" i="1"/>
  <c r="BV11" i="1"/>
  <c r="BU33" i="1"/>
  <c r="BV33" i="1"/>
  <c r="BU4" i="1"/>
  <c r="BV4" i="1"/>
  <c r="BU9" i="1"/>
  <c r="BV9" i="1"/>
  <c r="BU10" i="1"/>
  <c r="BV10" i="1"/>
  <c r="BU30" i="1"/>
  <c r="BV30" i="1"/>
  <c r="BU31" i="1"/>
  <c r="BV31" i="1"/>
  <c r="BU54" i="1"/>
  <c r="BV54" i="1"/>
  <c r="BU13" i="1"/>
  <c r="BV13" i="1"/>
  <c r="BU55" i="1"/>
  <c r="BV55" i="1"/>
  <c r="BU47" i="1"/>
  <c r="BV47" i="1"/>
  <c r="BU48" i="1"/>
  <c r="BV48" i="1"/>
  <c r="BU28" i="1"/>
  <c r="BV28" i="1"/>
  <c r="BU29" i="1"/>
  <c r="BV29" i="1"/>
  <c r="BU59" i="1"/>
  <c r="BV59" i="1"/>
  <c r="BU49" i="1"/>
  <c r="BV49" i="1"/>
  <c r="BU50" i="1"/>
  <c r="BV50" i="1"/>
  <c r="BU14" i="1"/>
  <c r="BV14" i="1"/>
  <c r="BU5" i="1"/>
  <c r="BV5" i="1"/>
  <c r="BU2" i="1"/>
  <c r="BV2" i="1"/>
  <c r="BU34" i="1"/>
  <c r="BV34" i="1"/>
  <c r="BU35" i="1"/>
  <c r="BV35" i="1"/>
  <c r="BU36" i="1"/>
  <c r="BV36" i="1"/>
  <c r="BU37" i="1"/>
  <c r="BV37" i="1"/>
  <c r="BU52" i="1"/>
  <c r="BV52" i="1"/>
  <c r="BU22" i="1"/>
  <c r="BV22" i="1"/>
  <c r="BU27" i="1"/>
  <c r="BV27" i="1"/>
  <c r="BU38" i="1"/>
  <c r="BV38" i="1"/>
  <c r="BU39" i="1"/>
  <c r="BV39" i="1"/>
  <c r="BU40" i="1"/>
  <c r="BV40" i="1"/>
  <c r="BU41" i="1"/>
  <c r="BV41" i="1"/>
  <c r="BU42" i="1"/>
  <c r="BV42" i="1"/>
  <c r="BU43" i="1"/>
  <c r="BV43" i="1"/>
  <c r="BU44" i="1"/>
  <c r="BV44" i="1"/>
  <c r="BU56" i="1"/>
  <c r="BV56" i="1"/>
  <c r="BU6" i="1"/>
  <c r="BV6" i="1"/>
  <c r="BU15" i="1"/>
  <c r="BV15" i="1"/>
  <c r="BU16" i="1"/>
  <c r="BV16" i="1"/>
  <c r="BU17" i="1"/>
  <c r="BV17" i="1"/>
  <c r="BU18" i="1"/>
  <c r="BV18" i="1"/>
  <c r="BQ59" i="1" l="1"/>
  <c r="BQ56" i="1"/>
  <c r="BD62" i="1" l="1"/>
  <c r="BE62" i="1" l="1"/>
  <c r="BF62" i="1"/>
  <c r="BG62" i="1"/>
  <c r="BH62" i="1"/>
  <c r="BI62" i="1"/>
  <c r="BJ62" i="1"/>
  <c r="BU45" i="1" l="1"/>
  <c r="BV45" i="1"/>
  <c r="BU23" i="1"/>
  <c r="BV23" i="1"/>
  <c r="BU7" i="1"/>
  <c r="BV7" i="1"/>
  <c r="BU21" i="1"/>
  <c r="BV21" i="1"/>
  <c r="BU24" i="1"/>
  <c r="BV24" i="1"/>
  <c r="BU25" i="1"/>
  <c r="BV25" i="1"/>
  <c r="BQ39" i="1"/>
  <c r="BQ28" i="1"/>
  <c r="BQ50" i="1"/>
  <c r="BQ33" i="1" l="1"/>
  <c r="BQ37" i="1"/>
  <c r="BQ17" i="1"/>
  <c r="BQ44" i="1"/>
  <c r="BQ55" i="1"/>
  <c r="BQ38" i="1"/>
  <c r="BQ4" i="1"/>
  <c r="BQ18" i="1"/>
  <c r="BQ52" i="1" l="1"/>
  <c r="BQ43" i="1"/>
  <c r="BQ49" i="1"/>
  <c r="BQ16" i="1"/>
  <c r="BQ47" i="1"/>
  <c r="BQ48" i="1"/>
  <c r="BQ34" i="1"/>
  <c r="BQ35" i="1"/>
  <c r="BQ36" i="1"/>
  <c r="BQ12" i="1"/>
  <c r="BQ31" i="1"/>
  <c r="BQ54" i="1"/>
  <c r="BQ10" i="1"/>
  <c r="BQ29" i="1"/>
  <c r="BK62" i="1" l="1"/>
  <c r="BL62" i="1"/>
  <c r="BM62" i="1"/>
  <c r="BN62" i="1"/>
  <c r="BO62" i="1"/>
  <c r="BP62" i="1"/>
  <c r="BC62" i="1"/>
  <c r="AX62" i="1"/>
  <c r="AY62" i="1"/>
  <c r="AZ62" i="1"/>
  <c r="BA62" i="1"/>
  <c r="BB62" i="1"/>
  <c r="AW62" i="1"/>
  <c r="AR62" i="1"/>
  <c r="AS62" i="1"/>
  <c r="AT62" i="1"/>
  <c r="AU62" i="1"/>
  <c r="AV62" i="1"/>
  <c r="AQ62" i="1"/>
  <c r="AF62" i="1"/>
  <c r="AG62" i="1"/>
  <c r="AH62" i="1"/>
  <c r="AI62" i="1"/>
  <c r="AJ62" i="1"/>
  <c r="AK62" i="1"/>
  <c r="AL62" i="1"/>
  <c r="AM62" i="1"/>
  <c r="AN62" i="1"/>
  <c r="AO62" i="1"/>
  <c r="AP62" i="1"/>
  <c r="AE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P62" i="1"/>
  <c r="F62" i="1"/>
  <c r="G62" i="1"/>
  <c r="H62" i="1"/>
  <c r="I62" i="1"/>
  <c r="J62" i="1"/>
  <c r="K62" i="1"/>
  <c r="L62" i="1"/>
  <c r="M62" i="1"/>
  <c r="N62" i="1"/>
  <c r="O62" i="1"/>
  <c r="E62" i="1"/>
  <c r="AM65" i="1" l="1"/>
  <c r="AM67" i="1" s="1"/>
  <c r="AM66" i="1" s="1"/>
  <c r="AM68" i="1" s="1"/>
  <c r="AS65" i="1"/>
  <c r="AS67" i="1" s="1"/>
  <c r="AS66" i="1" s="1"/>
  <c r="AS68" i="1" s="1"/>
  <c r="X66" i="1"/>
  <c r="X68" i="1" s="1"/>
  <c r="W65" i="1"/>
  <c r="W67" i="1" s="1"/>
  <c r="AL65" i="1"/>
  <c r="AL67" i="1" s="1"/>
  <c r="AR66" i="1"/>
  <c r="AR68" i="1" s="1"/>
  <c r="AL66" i="1"/>
  <c r="AL68" i="1" s="1"/>
  <c r="BP66" i="1"/>
  <c r="BP68" i="1" s="1"/>
  <c r="W66" i="1"/>
  <c r="W68" i="1" s="1"/>
  <c r="AT66" i="1"/>
  <c r="AT68" i="1" s="1"/>
  <c r="BO65" i="1"/>
  <c r="BO67" i="1" s="1"/>
  <c r="BO66" i="1" s="1"/>
  <c r="BO68" i="1" s="1"/>
  <c r="AY65" i="1" l="1"/>
  <c r="AY67" i="1" s="1"/>
  <c r="AY66" i="1"/>
  <c r="AY68" i="1" s="1"/>
  <c r="BA65" i="1"/>
  <c r="BA67" i="1" s="1"/>
  <c r="BA66" i="1"/>
  <c r="BA68" i="1" s="1"/>
  <c r="J66" i="1"/>
  <c r="J68" i="1" s="1"/>
  <c r="AW66" i="1"/>
  <c r="AW68" i="1" s="1"/>
  <c r="AI65" i="1"/>
  <c r="AI67" i="1" s="1"/>
  <c r="AI66" i="1" s="1"/>
  <c r="AI68" i="1" s="1"/>
  <c r="Y65" i="1"/>
  <c r="Y67" i="1" s="1"/>
  <c r="Y66" i="1" s="1"/>
  <c r="Y68" i="1" s="1"/>
  <c r="AX65" i="1"/>
  <c r="AX67" i="1" s="1"/>
  <c r="AX66" i="1"/>
  <c r="AX68" i="1" s="1"/>
  <c r="V66" i="1"/>
  <c r="V68" i="1" s="1"/>
  <c r="G66" i="1"/>
  <c r="G68" i="1" s="1"/>
  <c r="AV65" i="1"/>
  <c r="AV67" i="1" s="1"/>
  <c r="AV66" i="1" s="1"/>
  <c r="AV68" i="1" s="1"/>
  <c r="BC66" i="1"/>
  <c r="BC68" i="1" s="1"/>
  <c r="BC65" i="1"/>
  <c r="BC67" i="1" s="1"/>
  <c r="AA66" i="1"/>
  <c r="AA68" i="1" s="1"/>
  <c r="BM65" i="1"/>
  <c r="BM67" i="1" s="1"/>
  <c r="BM66" i="1" s="1"/>
  <c r="BM68" i="1" s="1"/>
  <c r="M65" i="1"/>
  <c r="M67" i="1" s="1"/>
  <c r="M66" i="1" s="1"/>
  <c r="M68" i="1" s="1"/>
  <c r="AB66" i="1"/>
  <c r="AB68" i="1" s="1"/>
  <c r="AB65" i="1"/>
  <c r="AB67" i="1" s="1"/>
  <c r="AH65" i="1"/>
  <c r="AH67" i="1" s="1"/>
  <c r="AH66" i="1"/>
  <c r="AH68" i="1" s="1"/>
  <c r="I66" i="1"/>
  <c r="I68" i="1" s="1"/>
  <c r="K66" i="1"/>
  <c r="K68" i="1" s="1"/>
  <c r="Z66" i="1"/>
  <c r="Z68" i="1" s="1"/>
  <c r="AG65" i="1"/>
  <c r="AG67" i="1" s="1"/>
  <c r="AG66" i="1" s="1"/>
  <c r="AG68" i="1" s="1"/>
  <c r="U66" i="1"/>
  <c r="U68" i="1" s="1"/>
  <c r="S66" i="1"/>
  <c r="S68" i="1" s="1"/>
  <c r="AP65" i="1"/>
  <c r="AP67" i="1" s="1"/>
  <c r="AP66" i="1" s="1"/>
  <c r="AP68" i="1" s="1"/>
  <c r="AJ65" i="1"/>
  <c r="AJ67" i="1" s="1"/>
  <c r="AJ66" i="1" s="1"/>
  <c r="AJ68" i="1" s="1"/>
  <c r="AU66" i="1"/>
  <c r="AU68" i="1" s="1"/>
  <c r="BK66" i="1"/>
  <c r="BK68" i="1" s="1"/>
  <c r="AN65" i="1"/>
  <c r="AN67" i="1" s="1"/>
  <c r="AN66" i="1" s="1"/>
  <c r="AN68" i="1" s="1"/>
  <c r="AE66" i="1"/>
  <c r="AE68" i="1" s="1"/>
  <c r="AE65" i="1"/>
  <c r="AE67" i="1" s="1"/>
  <c r="Q65" i="1"/>
  <c r="Q67" i="1" s="1"/>
  <c r="Q66" i="1"/>
  <c r="Q68" i="1" s="1"/>
  <c r="BL66" i="1"/>
  <c r="BL68" i="1" s="1"/>
  <c r="BN66" i="1"/>
  <c r="BN68" i="1" s="1"/>
  <c r="BB66" i="1"/>
  <c r="BB68" i="1" s="1"/>
  <c r="AQ66" i="1"/>
  <c r="AQ68" i="1" s="1"/>
  <c r="AQ65" i="1"/>
  <c r="AQ67" i="1" s="1"/>
  <c r="L65" i="1"/>
  <c r="L67" i="1" s="1"/>
  <c r="L66" i="1" s="1"/>
  <c r="L68" i="1" s="1"/>
  <c r="AK65" i="1"/>
  <c r="AK67" i="1" s="1"/>
  <c r="AK66" i="1" s="1"/>
  <c r="AK68" i="1" s="1"/>
  <c r="AO65" i="1"/>
  <c r="AO67" i="1" s="1"/>
  <c r="AO66" i="1" s="1"/>
  <c r="AO68" i="1" s="1"/>
  <c r="P66" i="1"/>
  <c r="P68" i="1" s="1"/>
  <c r="P65" i="1"/>
  <c r="P67" i="1" s="1"/>
  <c r="AC66" i="1"/>
  <c r="AC68" i="1" s="1"/>
  <c r="AC65" i="1"/>
  <c r="AC67" i="1" s="1"/>
  <c r="E65" i="1"/>
  <c r="E67" i="1" s="1"/>
  <c r="E66" i="1"/>
  <c r="E68" i="1" s="1"/>
  <c r="R66" i="1"/>
  <c r="R68" i="1" s="1"/>
  <c r="AD66" i="1"/>
  <c r="AD68" i="1" s="1"/>
  <c r="O65" i="1"/>
  <c r="O67" i="1" s="1"/>
  <c r="O66" i="1"/>
  <c r="O68" i="1" s="1"/>
  <c r="H66" i="1"/>
  <c r="H68" i="1" s="1"/>
  <c r="T66" i="1"/>
  <c r="T68" i="1" s="1"/>
  <c r="F66" i="1"/>
  <c r="F68" i="1" s="1"/>
  <c r="N65" i="1"/>
  <c r="N67" i="1" s="1"/>
  <c r="N66" i="1"/>
  <c r="N68" i="1" s="1"/>
  <c r="AZ65" i="1"/>
  <c r="AZ67" i="1" s="1"/>
  <c r="AZ66" i="1"/>
  <c r="AZ68" i="1" s="1"/>
  <c r="AF66" i="1"/>
  <c r="AF68" i="1" s="1"/>
  <c r="BQ5" i="1"/>
  <c r="BQ2" i="1"/>
  <c r="BQ22" i="1"/>
  <c r="BQ27" i="1"/>
  <c r="BQ30" i="1"/>
  <c r="BQ13" i="1"/>
  <c r="BQ6" i="1"/>
  <c r="BQ14" i="1"/>
  <c r="BQ32" i="1"/>
  <c r="BQ7" i="1"/>
  <c r="BQ40" i="1"/>
  <c r="BQ41" i="1"/>
  <c r="BQ42" i="1"/>
  <c r="BQ11" i="1"/>
  <c r="BQ9" i="1"/>
  <c r="BQ3" i="1"/>
  <c r="BQ15" i="1"/>
  <c r="BQ45" i="1"/>
  <c r="BQ23" i="1"/>
  <c r="BQ24" i="1"/>
  <c r="BQ25" i="1"/>
  <c r="BN64" i="1" l="1"/>
  <c r="AM64" i="1"/>
  <c r="L64" i="1"/>
  <c r="BL64" i="1"/>
  <c r="AJ64" i="1"/>
  <c r="AH64" i="1"/>
  <c r="AL64" i="1"/>
  <c r="BM64" i="1"/>
  <c r="J64" i="1"/>
  <c r="H64" i="1"/>
  <c r="G64" i="1"/>
  <c r="AE64" i="1"/>
  <c r="F64" i="1"/>
  <c r="BK64" i="1"/>
  <c r="AI64" i="1"/>
  <c r="I64" i="1"/>
  <c r="AG64" i="1"/>
  <c r="AF64" i="1"/>
  <c r="O64" i="1"/>
  <c r="BP64" i="1"/>
  <c r="N64" i="1"/>
  <c r="K64" i="1"/>
  <c r="AK64" i="1"/>
  <c r="E64" i="1"/>
  <c r="BO64" i="1"/>
  <c r="AN64" i="1"/>
  <c r="M64" i="1"/>
  <c r="AP64" i="1"/>
  <c r="BC64" i="1"/>
  <c r="AO64" i="1"/>
  <c r="V64" i="1"/>
  <c r="Y64" i="1"/>
  <c r="W64" i="1"/>
  <c r="S64" i="1"/>
  <c r="X64" i="1"/>
  <c r="R64" i="1"/>
  <c r="Z64" i="1"/>
  <c r="U64" i="1"/>
  <c r="T64" i="1"/>
  <c r="AC64" i="1"/>
  <c r="Q64" i="1"/>
  <c r="AB64" i="1"/>
  <c r="P64" i="1"/>
  <c r="AA64" i="1"/>
  <c r="AD64" i="1"/>
  <c r="AR64" i="1" l="1"/>
  <c r="AU64" i="1"/>
  <c r="BB64" i="1"/>
  <c r="AS64" i="1"/>
  <c r="AW64" i="1"/>
  <c r="AT64" i="1"/>
  <c r="AY64" i="1"/>
  <c r="AZ64" i="1"/>
  <c r="AV64" i="1"/>
  <c r="AQ64" i="1"/>
  <c r="AX64" i="1"/>
  <c r="BA64" i="1"/>
  <c r="BE66" i="1"/>
  <c r="BE68" i="1" s="1"/>
  <c r="BE65" i="1"/>
  <c r="BE67" i="1" s="1"/>
  <c r="BE64" i="1"/>
  <c r="BG66" i="1"/>
  <c r="BG68" i="1" s="1"/>
  <c r="BG65" i="1"/>
  <c r="BG67" i="1" s="1"/>
  <c r="BG64" i="1"/>
  <c r="BF66" i="1"/>
  <c r="BF68" i="1" s="1"/>
  <c r="BF65" i="1"/>
  <c r="BF67" i="1" s="1"/>
  <c r="BF64" i="1"/>
  <c r="BH66" i="1"/>
  <c r="BH68" i="1" s="1"/>
  <c r="BH65" i="1"/>
  <c r="BH67" i="1" s="1"/>
  <c r="BH64" i="1"/>
  <c r="BI66" i="1"/>
  <c r="BI68" i="1" s="1"/>
  <c r="BI65" i="1"/>
  <c r="BI67" i="1" s="1"/>
  <c r="BI64" i="1"/>
  <c r="BJ66" i="1"/>
  <c r="BJ68" i="1" s="1"/>
  <c r="BJ65" i="1"/>
  <c r="BJ67" i="1" s="1"/>
  <c r="BJ64" i="1"/>
  <c r="BD66" i="1"/>
  <c r="BD68" i="1" s="1"/>
  <c r="BD65" i="1"/>
  <c r="BD67" i="1" s="1"/>
  <c r="BD64" i="1"/>
  <c r="V65" i="1"/>
  <c r="V67" i="1" s="1"/>
  <c r="K65" i="1"/>
  <c r="K67" i="1" s="1"/>
  <c r="AF65" i="1"/>
  <c r="AF67" i="1" s="1"/>
  <c r="I65" i="1"/>
  <c r="I67" i="1" s="1"/>
  <c r="AU65" i="1"/>
  <c r="AU67" i="1" s="1"/>
  <c r="X65" i="1"/>
  <c r="X67" i="1" s="1"/>
  <c r="AR65" i="1"/>
  <c r="AR67" i="1" s="1"/>
  <c r="J65" i="1"/>
  <c r="J67" i="1" s="1"/>
  <c r="AW65" i="1"/>
  <c r="AW67" i="1" s="1"/>
  <c r="U65" i="1"/>
  <c r="U67" i="1" s="1"/>
  <c r="AA65" i="1"/>
  <c r="AA67" i="1" s="1"/>
  <c r="H65" i="1"/>
  <c r="H67" i="1" s="1"/>
  <c r="R65" i="1"/>
  <c r="R67" i="1" s="1"/>
  <c r="BN65" i="1"/>
  <c r="BN67" i="1" s="1"/>
  <c r="T65" i="1"/>
  <c r="T67" i="1" s="1"/>
  <c r="Z65" i="1"/>
  <c r="Z67" i="1" s="1"/>
  <c r="AT65" i="1"/>
  <c r="AT67" i="1" s="1"/>
  <c r="G65" i="1"/>
  <c r="G67" i="1" s="1"/>
  <c r="AD65" i="1"/>
  <c r="AD67" i="1" s="1"/>
  <c r="BP65" i="1"/>
  <c r="BP67" i="1" s="1"/>
  <c r="BB65" i="1"/>
  <c r="BB67" i="1" s="1"/>
  <c r="S65" i="1"/>
  <c r="S67" i="1" s="1"/>
  <c r="F65" i="1"/>
  <c r="F67" i="1" s="1"/>
  <c r="BL65" i="1"/>
  <c r="BL67" i="1" s="1"/>
  <c r="BK65" i="1"/>
  <c r="BK67" i="1" s="1"/>
</calcChain>
</file>

<file path=xl/sharedStrings.xml><?xml version="1.0" encoding="utf-8"?>
<sst xmlns="http://schemas.openxmlformats.org/spreadsheetml/2006/main" count="523" uniqueCount="238">
  <si>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</si>
  <si>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</si>
  <si>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</si>
  <si>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</si>
  <si>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</si>
  <si>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</si>
  <si>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</si>
  <si>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</si>
  <si>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</si>
  <si>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</si>
  <si>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</si>
  <si>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</si>
  <si>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</si>
  <si>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</si>
  <si>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</si>
  <si>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</si>
  <si>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</si>
  <si>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</si>
  <si>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</si>
  <si>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</si>
  <si>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</si>
  <si>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</si>
  <si>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</si>
  <si>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</si>
  <si>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</si>
  <si>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</si>
  <si>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</si>
  <si>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</si>
  <si>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</si>
  <si>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</si>
  <si>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</si>
  <si>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</si>
  <si>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</si>
  <si>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</si>
  <si>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</si>
  <si>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</si>
  <si>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</si>
  <si>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</si>
  <si>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</si>
  <si>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</si>
  <si>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</si>
  <si>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</si>
  <si>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</si>
  <si>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</si>
  <si>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</si>
  <si>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</si>
  <si>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</si>
  <si>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</si>
  <si>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</si>
  <si>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</si>
  <si>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灯笼</t>
    <phoneticPr fontId="1" type="noConversion"/>
  </si>
  <si>
    <t>红糖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</si>
  <si>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</si>
  <si>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</si>
  <si>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</si>
  <si>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</si>
  <si>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</si>
  <si>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</si>
  <si>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</si>
  <si>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</si>
  <si>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</si>
  <si>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</si>
  <si>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</si>
  <si>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</si>
  <si>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</si>
  <si>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</si>
  <si>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</si>
  <si>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</si>
  <si>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</si>
  <si>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</si>
  <si>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</si>
  <si>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</si>
  <si>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</si>
  <si>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</si>
  <si>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</si>
  <si>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</si>
  <si>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</si>
  <si>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</si>
  <si>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</si>
  <si>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</si>
  <si>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</si>
  <si>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</si>
  <si>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</si>
  <si>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</si>
  <si>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</si>
  <si>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</si>
  <si>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</si>
  <si>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</si>
  <si>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</si>
  <si>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</si>
  <si>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</si>
  <si>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</si>
  <si>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</si>
  <si>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</si>
  <si>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</si>
  <si>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</si>
  <si>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</si>
  <si>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</si>
  <si>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</si>
  <si>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</si>
  <si>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</si>
  <si>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</si>
  <si>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</si>
  <si>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</si>
  <si>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</si>
  <si>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</si>
  <si>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</si>
  <si>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</si>
  <si>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</si>
  <si>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</si>
  <si>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</si>
  <si>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</si>
  <si>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</si>
  <si>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</si>
  <si>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</si>
  <si>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</si>
  <si>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</si>
  <si>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</si>
  <si>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</si>
  <si>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</si>
  <si>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</si>
  <si>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</si>
  <si>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</si>
  <si>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</si>
  <si>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</si>
  <si>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</si>
  <si>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</si>
  <si>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</si>
  <si>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</si>
  <si>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</si>
  <si>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</si>
  <si>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</si>
  <si>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</si>
  <si>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</si>
  <si>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</si>
  <si>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</si>
  <si>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</si>
  <si>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</si>
  <si>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</si>
  <si>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</si>
  <si>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</si>
  <si>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</si>
  <si>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</si>
  <si>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</si>
  <si>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</si>
  <si>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</si>
  <si>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成年</t>
    <phoneticPr fontId="1" type="noConversion"/>
  </si>
  <si>
    <t>壮年</t>
    <phoneticPr fontId="1" type="noConversion"/>
  </si>
  <si>
    <t>成年</t>
    <phoneticPr fontId="1" type="noConversion"/>
  </si>
  <si>
    <t>壮年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</si>
  <si>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</si>
  <si>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</si>
  <si>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</si>
  <si>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</si>
  <si>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</si>
  <si>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</si>
  <si>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</si>
  <si>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</si>
  <si>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</si>
  <si>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</si>
  <si>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</si>
  <si>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</si>
  <si>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</si>
  <si>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</si>
  <si>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</si>
  <si>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</si>
  <si>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</si>
  <si>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</si>
  <si>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</si>
  <si>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</si>
  <si>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</si>
  <si>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</si>
  <si>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</si>
  <si>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</si>
  <si>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六味地糖丸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</si>
  <si>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</si>
  <si>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</si>
  <si>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</si>
  <si>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水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</si>
  <si>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</si>
  <si>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</si>
  <si>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</si>
  <si>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</si>
  <si>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</si>
  <si>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</si>
  <si>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超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</si>
  <si>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</si>
  <si>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</si>
  <si>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</si>
  <si>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尼露</t>
    <phoneticPr fontId="1" type="noConversion"/>
  </si>
  <si>
    <t>帝孙</t>
    <phoneticPr fontId="1" type="noConversion"/>
  </si>
  <si>
    <t>聚宝盆</t>
    <phoneticPr fontId="1" type="noConversion"/>
  </si>
  <si>
    <t>签帽</t>
  </si>
  <si>
    <t>签盒</t>
  </si>
  <si>
    <t>三彩</t>
  </si>
  <si>
    <t>二眼书童</t>
  </si>
  <si>
    <t>一念刺客</t>
    <phoneticPr fontId="1" type="noConversion"/>
  </si>
  <si>
    <t>封喉教主</t>
    <phoneticPr fontId="1" type="noConversion"/>
  </si>
  <si>
    <t>暗</t>
    <phoneticPr fontId="1" type="noConversion"/>
  </si>
  <si>
    <t>人形兵器风间樱</t>
    <phoneticPr fontId="1" type="noConversion"/>
  </si>
  <si>
    <t>光</t>
    <phoneticPr fontId="1" type="noConversion"/>
  </si>
  <si>
    <t>庄家令牌中(3),</t>
    <phoneticPr fontId="1" type="noConversion"/>
  </si>
  <si>
    <t>骰子中(5),</t>
    <phoneticPr fontId="1" type="noConversion"/>
  </si>
  <si>
    <t>欠条中(5),_x000D_
筹码大(2),</t>
    <phoneticPr fontId="1" type="noConversion"/>
  </si>
  <si>
    <t>智慧符文叉大(4),_x000D_
幸运符文叉大(30),_x000D_
逆鳞(4),</t>
    <phoneticPr fontId="1" type="noConversion"/>
  </si>
  <si>
    <t>超进阶素材光(47),</t>
    <phoneticPr fontId="1" type="noConversion"/>
  </si>
  <si>
    <t>欠条中(5),</t>
    <phoneticPr fontId="1" type="noConversion"/>
  </si>
  <si>
    <t>欠条大(9),_x000D_
钱袋大(9),</t>
    <phoneticPr fontId="1" type="noConversion"/>
  </si>
  <si>
    <t>欠条大(9),</t>
    <phoneticPr fontId="1" type="noConversion"/>
  </si>
  <si>
    <t>筹码大(10),_x000D_
庄家令牌大(9),</t>
    <phoneticPr fontId="1" type="noConversion"/>
  </si>
  <si>
    <t>女娲石(5),_x000D_
庄家令牌大(9),</t>
    <phoneticPr fontId="1" type="noConversion"/>
  </si>
  <si>
    <t>庄家令牌中(3),</t>
    <phoneticPr fontId="1" type="noConversion"/>
  </si>
  <si>
    <t>桂花(3),</t>
    <phoneticPr fontId="1" type="noConversion"/>
  </si>
  <si>
    <t>逆鳞(4),</t>
    <phoneticPr fontId="1" type="noConversion"/>
  </si>
  <si>
    <t>骰子中(5),</t>
    <phoneticPr fontId="1" type="noConversion"/>
  </si>
  <si>
    <t>欠条中(5),</t>
    <phoneticPr fontId="1" type="noConversion"/>
  </si>
  <si>
    <t>欠条中(7),</t>
    <phoneticPr fontId="1" type="noConversion"/>
  </si>
  <si>
    <t>欠条大(9),</t>
    <phoneticPr fontId="1" type="noConversion"/>
  </si>
  <si>
    <t>金甲虫(12),</t>
    <phoneticPr fontId="1" type="noConversion"/>
  </si>
  <si>
    <t>超进阶素材光(47),</t>
    <phoneticPr fontId="1" type="noConversion"/>
  </si>
  <si>
    <t>金甲虫(162),</t>
    <phoneticPr fontId="1" type="noConversion"/>
  </si>
  <si>
    <t>欠条大(1),_x000D_
庄家令牌大(1),</t>
    <phoneticPr fontId="1" type="noConversion"/>
  </si>
  <si>
    <t>欠条大(1),_x000D_
钱袋大(1),</t>
    <phoneticPr fontId="1" type="noConversion"/>
  </si>
  <si>
    <t>欠条中(5),_x000D_
欠条大(1),</t>
    <phoneticPr fontId="1" type="noConversion"/>
  </si>
  <si>
    <t>欠条中(5),_x000D_
欠条大(1),</t>
    <phoneticPr fontId="1" type="noConversion"/>
  </si>
  <si>
    <t>欠条中(5),_x000D_
筹码大(2),</t>
    <phoneticPr fontId="1" type="noConversion"/>
  </si>
  <si>
    <t>女娲石(5),_x000D_
庄家令牌大(9),</t>
    <phoneticPr fontId="1" type="noConversion"/>
  </si>
  <si>
    <t>欠条大(9),_x000D_
钱袋大(9),</t>
    <phoneticPr fontId="1" type="noConversion"/>
  </si>
  <si>
    <t>欠条大(9),_x000D_
庄家令牌大(9),</t>
    <phoneticPr fontId="1" type="noConversion"/>
  </si>
  <si>
    <t>筹码大(10),_x000D_
庄家令牌大(9),</t>
    <phoneticPr fontId="1" type="noConversion"/>
  </si>
  <si>
    <t>钱袋大(9),_x000D_
筹码大(10),</t>
    <phoneticPr fontId="1" type="noConversion"/>
  </si>
  <si>
    <t>钱袋大(9),_x000D_
筹码大(10),</t>
    <phoneticPr fontId="1" type="noConversion"/>
  </si>
  <si>
    <t>技巧符文叉大(38),_x000D_
逆鳞(4),</t>
    <phoneticPr fontId="1" type="noConversion"/>
  </si>
  <si>
    <t>筹码大(2),_x000D_
庄家令牌中(3),_x000D_
庄家令牌大(1),</t>
    <phoneticPr fontId="1" type="noConversion"/>
  </si>
  <si>
    <t>欠条大(9),_x000D_
钱袋大(9),_x000D_
庄家令牌大(9),</t>
    <phoneticPr fontId="1" type="noConversion"/>
  </si>
  <si>
    <t>钱袋大(9),_x000D_
筹码大(10),_x000D_
庄家令牌大(9),</t>
    <phoneticPr fontId="1" type="noConversion"/>
  </si>
  <si>
    <t>欠条大(1),_x000D_
钱袋大(1),_x000D_
庄家令牌中(3),_x000D_
庄家令牌大(1),</t>
    <phoneticPr fontId="1" type="noConversion"/>
  </si>
  <si>
    <t>钱袋大(1),_x000D_
筹码大(2),_x000D_
庄家令牌中(3),_x000D_
庄家令牌大(1),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</si>
</sst>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68</xdr:row>
          <xdr:rowOff>28575</xdr:rowOff>
        </xdr:from>
        <xdr:to>
          <xdr:col>1</xdr:col>
          <xdr:colOff>428625</xdr:colOff>
          <xdr:row>69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69"/>
  <sheetViews>
    <sheetView tabSelected="1" workbookViewId="0">
      <pane xSplit="2" ySplit="1" topLeftCell="AQ62" activePane="bottomRight" state="frozen"/>
      <selection pane="topRight" activeCell="C1" sqref="C1"/>
      <selection pane="bottomLeft" activeCell="A3" sqref="A3"/>
      <selection pane="bottomRight" activeCell="BR58" sqref="BR58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56</v>
      </c>
      <c r="B1" s="8" t="s">
        <v>57</v>
      </c>
      <c r="C1" s="8" t="s">
        <v>59</v>
      </c>
      <c r="D1" s="8" t="s">
        <v>58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55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86</v>
      </c>
      <c r="Q1" s="26" t="s">
        <v>98</v>
      </c>
      <c r="R1" s="26" t="s">
        <v>92</v>
      </c>
      <c r="S1" s="26" t="s">
        <v>87</v>
      </c>
      <c r="T1" s="26" t="s">
        <v>96</v>
      </c>
      <c r="U1" s="26" t="s">
        <v>100</v>
      </c>
      <c r="V1" s="26" t="s">
        <v>88</v>
      </c>
      <c r="W1" s="26" t="s">
        <v>95</v>
      </c>
      <c r="X1" s="26" t="s">
        <v>93</v>
      </c>
      <c r="Y1" s="26" t="s">
        <v>89</v>
      </c>
      <c r="Z1" s="26" t="s">
        <v>97</v>
      </c>
      <c r="AA1" s="26" t="s">
        <v>101</v>
      </c>
      <c r="AB1" s="26" t="s">
        <v>91</v>
      </c>
      <c r="AC1" s="26" t="s">
        <v>90</v>
      </c>
      <c r="AD1" s="26" t="s">
        <v>106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50</v>
      </c>
      <c r="AK1" s="8" t="s">
        <v>51</v>
      </c>
      <c r="AL1" s="8" t="s">
        <v>52</v>
      </c>
      <c r="AM1" s="8" t="s">
        <v>41</v>
      </c>
      <c r="AN1" s="8" t="s">
        <v>42</v>
      </c>
      <c r="AO1" s="8" t="s">
        <v>75</v>
      </c>
      <c r="AP1" s="8" t="s">
        <v>76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73</v>
      </c>
      <c r="BD1" s="8" t="s">
        <v>154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63</v>
      </c>
      <c r="BR1" s="8" t="s">
        <v>64</v>
      </c>
      <c r="BS1" s="16" t="s">
        <v>65</v>
      </c>
      <c r="BT1" s="16"/>
      <c r="BU1" s="13" t="s">
        <v>145</v>
      </c>
    </row>
    <row r="2" spans="1:74">
      <c r="A2" s="18"/>
      <c r="B2" s="18" t="s">
        <v>79</v>
      </c>
      <c r="C2" s="18" t="s">
        <v>77</v>
      </c>
      <c r="D2" s="18" t="s">
        <v>71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8"/>
      <c r="AF2" s="18"/>
      <c r="AG2" s="18"/>
      <c r="AH2" s="18"/>
      <c r="AI2" s="18">
        <v>5</v>
      </c>
      <c r="AJ2" s="18"/>
      <c r="AK2" s="18"/>
      <c r="AL2" s="18"/>
      <c r="AM2" s="18"/>
      <c r="AN2" s="18"/>
      <c r="AO2" s="18"/>
      <c r="AP2" s="1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>
        <f>SUM(E2:BP2)</f>
        <v>5</v>
      </c>
      <c r="BR2" s="18">
        <v>0</v>
      </c>
      <c r="BS2" s="22">
        <v>0</v>
      </c>
      <c r="BT2" s="22"/>
      <c r="BU2">
        <f>SUM(P2:AD2)</f>
        <v>0</v>
      </c>
      <c r="BV2" s="23">
        <f>AF2+AH2+AI2+AJ2+AO2+AP2</f>
        <v>5</v>
      </c>
    </row>
    <row r="3" spans="1:74">
      <c r="A3" s="1"/>
      <c r="B3" s="1" t="s">
        <v>194</v>
      </c>
      <c r="C3" s="1" t="s">
        <v>103</v>
      </c>
      <c r="D3" s="1" t="s">
        <v>84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>
        <v>10</v>
      </c>
      <c r="W3" s="27"/>
      <c r="X3" s="27"/>
      <c r="Y3" s="27">
        <v>10</v>
      </c>
      <c r="Z3" s="27"/>
      <c r="AA3" s="27"/>
      <c r="AB3" s="27">
        <v>10</v>
      </c>
      <c r="AC3" s="27">
        <v>5</v>
      </c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3</v>
      </c>
      <c r="BS3" s="17">
        <v>1</v>
      </c>
      <c r="BT3" s="17" t="s">
        <v>201</v>
      </c>
      <c r="BU3">
        <f>SUM(P3:AD3)</f>
        <v>35</v>
      </c>
      <c r="BV3" s="23">
        <f>AF3+AH3+AI3+AJ3+AO3+AP3</f>
        <v>0</v>
      </c>
    </row>
    <row r="4" spans="1:74">
      <c r="A4" s="1"/>
      <c r="B4" s="1" t="s">
        <v>172</v>
      </c>
      <c r="C4" s="1" t="s">
        <v>45</v>
      </c>
      <c r="D4" s="1" t="s">
        <v>146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7"/>
      <c r="Q4" s="27"/>
      <c r="R4" s="27"/>
      <c r="S4" s="27"/>
      <c r="T4" s="27"/>
      <c r="U4" s="27"/>
      <c r="V4" s="27">
        <v>10</v>
      </c>
      <c r="W4" s="27"/>
      <c r="X4" s="27"/>
      <c r="Y4" s="27">
        <v>10</v>
      </c>
      <c r="Z4" s="27"/>
      <c r="AA4" s="27"/>
      <c r="AB4" s="27">
        <v>10</v>
      </c>
      <c r="AC4" s="27">
        <v>5</v>
      </c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3</v>
      </c>
      <c r="BS4" s="17">
        <v>1</v>
      </c>
      <c r="BT4" s="17" t="s">
        <v>211</v>
      </c>
      <c r="BU4">
        <f>SUM(P4:AD4)</f>
        <v>35</v>
      </c>
      <c r="BV4" s="23">
        <f>AF4+AH4+AI4+AJ4+AO4+AP4</f>
        <v>0</v>
      </c>
    </row>
    <row r="5" spans="1:74">
      <c r="A5" s="18"/>
      <c r="B5" s="18" t="s">
        <v>79</v>
      </c>
      <c r="C5" s="18" t="s">
        <v>77</v>
      </c>
      <c r="D5" s="18" t="s">
        <v>74</v>
      </c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8"/>
      <c r="AF5" s="18"/>
      <c r="AG5" s="18"/>
      <c r="AH5" s="18">
        <v>5</v>
      </c>
      <c r="AI5" s="18"/>
      <c r="AJ5" s="18"/>
      <c r="AK5" s="18"/>
      <c r="AL5" s="18"/>
      <c r="AM5" s="18"/>
      <c r="AN5" s="18"/>
      <c r="AO5" s="18"/>
      <c r="AP5" s="18"/>
      <c r="AQ5" s="20"/>
      <c r="AR5" s="20"/>
      <c r="AS5" s="20"/>
      <c r="AT5" s="20"/>
      <c r="AU5" s="20"/>
      <c r="AV5" s="20"/>
      <c r="AW5" s="21"/>
      <c r="AX5" s="21"/>
      <c r="AY5" s="21"/>
      <c r="AZ5" s="21"/>
      <c r="BA5" s="21"/>
      <c r="BB5" s="21"/>
      <c r="BC5" s="25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>
        <f>SUM(E5:BP5)</f>
        <v>5</v>
      </c>
      <c r="BR5" s="18">
        <v>3</v>
      </c>
      <c r="BS5" s="22">
        <v>1</v>
      </c>
      <c r="BT5" s="22" t="s">
        <v>212</v>
      </c>
      <c r="BU5">
        <f>SUM(P5:AD5)</f>
        <v>0</v>
      </c>
      <c r="BV5" s="23">
        <f>AF5+AH5+AI5+AJ5+AO5+AP5</f>
        <v>5</v>
      </c>
    </row>
    <row r="6" spans="1:74">
      <c r="A6" s="1">
        <v>88</v>
      </c>
      <c r="B6" s="3" t="s">
        <v>53</v>
      </c>
      <c r="C6" s="3" t="s">
        <v>54</v>
      </c>
      <c r="D6" s="1" t="s">
        <v>17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1"/>
      <c r="AF6" s="1"/>
      <c r="AG6" s="1"/>
      <c r="AH6" s="1">
        <v>5</v>
      </c>
      <c r="AI6" s="1">
        <v>5</v>
      </c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10</v>
      </c>
      <c r="BR6" s="1">
        <v>3</v>
      </c>
      <c r="BS6" s="17">
        <v>1</v>
      </c>
      <c r="BT6" s="17" t="s">
        <v>212</v>
      </c>
      <c r="BU6">
        <f>SUM(P6:AD6)</f>
        <v>0</v>
      </c>
      <c r="BV6" s="23">
        <f>AF6+AH6+AI6+AJ6+AO6+AP6</f>
        <v>10</v>
      </c>
    </row>
    <row r="7" spans="1:74">
      <c r="A7" s="1">
        <v>89</v>
      </c>
      <c r="B7" s="3" t="s">
        <v>53</v>
      </c>
      <c r="C7" s="3" t="s">
        <v>54</v>
      </c>
      <c r="D7" s="1" t="s"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1"/>
      <c r="AF7" s="1">
        <v>5</v>
      </c>
      <c r="AG7" s="1"/>
      <c r="AH7" s="1">
        <v>5</v>
      </c>
      <c r="AI7" s="1">
        <v>5</v>
      </c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15</v>
      </c>
      <c r="BR7" s="1">
        <v>3</v>
      </c>
      <c r="BS7" s="17">
        <v>1</v>
      </c>
      <c r="BT7" s="17" t="s">
        <v>212</v>
      </c>
      <c r="BU7">
        <f>SUM(P7:AD7)</f>
        <v>0</v>
      </c>
      <c r="BV7" s="23">
        <f>AF7+AH7+AI7+AJ7+AO7+AP7</f>
        <v>15</v>
      </c>
    </row>
    <row r="8" spans="1:74">
      <c r="A8" s="1"/>
      <c r="B8" s="3" t="s">
        <v>187</v>
      </c>
      <c r="C8" s="3" t="s">
        <v>45</v>
      </c>
      <c r="D8" s="1" t="s">
        <v>188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40</v>
      </c>
      <c r="AS8" s="4"/>
      <c r="AT8" s="4"/>
      <c r="AU8" s="4"/>
      <c r="AV8" s="4"/>
      <c r="AW8" s="2"/>
      <c r="AX8" s="2">
        <v>40</v>
      </c>
      <c r="AY8" s="2"/>
      <c r="AZ8" s="2">
        <v>40</v>
      </c>
      <c r="BA8" s="2"/>
      <c r="BB8" s="2"/>
      <c r="BC8" s="14">
        <v>10</v>
      </c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130</v>
      </c>
      <c r="BR8" s="1">
        <v>4</v>
      </c>
      <c r="BS8" s="17">
        <v>1</v>
      </c>
      <c r="BT8" s="17" t="s">
        <v>213</v>
      </c>
      <c r="BU8">
        <f>SUM(P8:AD8)</f>
        <v>0</v>
      </c>
      <c r="BV8" s="23">
        <f>AF8+AH8+AI8+AJ8+AO8+AP8</f>
        <v>0</v>
      </c>
    </row>
    <row r="9" spans="1:74">
      <c r="A9" s="1"/>
      <c r="B9" s="1" t="s">
        <v>94</v>
      </c>
      <c r="C9" s="1" t="s">
        <v>82</v>
      </c>
      <c r="D9" s="1" t="s">
        <v>83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7">
        <v>10</v>
      </c>
      <c r="Q9" s="27"/>
      <c r="R9" s="27"/>
      <c r="S9" s="27">
        <v>10</v>
      </c>
      <c r="T9" s="27"/>
      <c r="U9" s="27"/>
      <c r="V9" s="27"/>
      <c r="W9" s="27">
        <v>5</v>
      </c>
      <c r="X9" s="27"/>
      <c r="Y9" s="27"/>
      <c r="Z9" s="27"/>
      <c r="AA9" s="27"/>
      <c r="AB9" s="27">
        <v>10</v>
      </c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5</v>
      </c>
      <c r="BS9" s="17">
        <v>1</v>
      </c>
      <c r="BT9" s="17" t="s">
        <v>214</v>
      </c>
      <c r="BU9">
        <f>SUM(P9:AD9)</f>
        <v>35</v>
      </c>
      <c r="BV9" s="23">
        <f>AF9+AH9+AI9+AJ9+AO9+AP9</f>
        <v>0</v>
      </c>
    </row>
    <row r="10" spans="1:74">
      <c r="A10" s="1"/>
      <c r="B10" s="3" t="s">
        <v>142</v>
      </c>
      <c r="C10" s="3" t="s">
        <v>81</v>
      </c>
      <c r="D10" s="1" t="s">
        <v>137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7">
        <v>10</v>
      </c>
      <c r="Q10" s="27"/>
      <c r="R10" s="27"/>
      <c r="S10" s="27">
        <v>10</v>
      </c>
      <c r="T10" s="27"/>
      <c r="U10" s="27"/>
      <c r="V10" s="27"/>
      <c r="W10" s="27">
        <v>5</v>
      </c>
      <c r="X10" s="27"/>
      <c r="Y10" s="27"/>
      <c r="Z10" s="27"/>
      <c r="AA10" s="27"/>
      <c r="AB10" s="27">
        <v>10</v>
      </c>
      <c r="AC10" s="27"/>
      <c r="AD10" s="27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5</v>
      </c>
      <c r="BS10" s="17">
        <v>1</v>
      </c>
      <c r="BT10" s="17" t="s">
        <v>202</v>
      </c>
      <c r="BU10">
        <f>SUM(P10:AD10)</f>
        <v>35</v>
      </c>
      <c r="BV10" s="23">
        <f>AF10+AH10+AI10+AJ10+AO10+AP10</f>
        <v>0</v>
      </c>
    </row>
    <row r="11" spans="1:74">
      <c r="A11" s="1"/>
      <c r="B11" s="1" t="s">
        <v>170</v>
      </c>
      <c r="C11" s="1" t="s">
        <v>105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7"/>
      <c r="Q11" s="27">
        <v>5</v>
      </c>
      <c r="R11" s="27"/>
      <c r="S11" s="27"/>
      <c r="T11" s="27"/>
      <c r="U11" s="27"/>
      <c r="V11" s="27">
        <v>10</v>
      </c>
      <c r="W11" s="27"/>
      <c r="X11" s="27"/>
      <c r="Y11" s="27"/>
      <c r="Z11" s="27">
        <v>5</v>
      </c>
      <c r="AA11" s="27"/>
      <c r="AB11" s="27">
        <v>10</v>
      </c>
      <c r="AC11" s="27"/>
      <c r="AD11" s="27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30</v>
      </c>
      <c r="BR11" s="1">
        <v>5</v>
      </c>
      <c r="BS11" s="17">
        <v>1</v>
      </c>
      <c r="BT11" s="17" t="s">
        <v>206</v>
      </c>
      <c r="BU11">
        <f>SUM(P11:AD11)</f>
        <v>30</v>
      </c>
      <c r="BV11" s="23">
        <f>AF11+AH11+AI11+AJ11+AO11+AP11</f>
        <v>0</v>
      </c>
    </row>
    <row r="12" spans="1:74">
      <c r="A12" s="1"/>
      <c r="B12" s="3" t="s">
        <v>143</v>
      </c>
      <c r="C12" s="3" t="s">
        <v>43</v>
      </c>
      <c r="D12" s="1" t="s"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7"/>
      <c r="Q12" s="27">
        <v>5</v>
      </c>
      <c r="R12" s="27"/>
      <c r="S12" s="27"/>
      <c r="T12" s="27"/>
      <c r="U12" s="27"/>
      <c r="V12" s="27">
        <v>10</v>
      </c>
      <c r="W12" s="27"/>
      <c r="X12" s="27"/>
      <c r="Y12" s="27">
        <v>10</v>
      </c>
      <c r="Z12" s="27"/>
      <c r="AA12" s="27"/>
      <c r="AB12" s="27">
        <v>10</v>
      </c>
      <c r="AC12" s="27"/>
      <c r="AD12" s="27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5</v>
      </c>
      <c r="BS12" s="17">
        <v>1</v>
      </c>
      <c r="BT12" s="17" t="s">
        <v>215</v>
      </c>
      <c r="BU12">
        <f>SUM(P12:AD12)</f>
        <v>35</v>
      </c>
      <c r="BV12" s="23">
        <f>AF12+AH12+AI12+AJ12+AO12+AP12</f>
        <v>0</v>
      </c>
    </row>
    <row r="13" spans="1:74">
      <c r="A13" s="1"/>
      <c r="B13" s="1" t="s">
        <v>151</v>
      </c>
      <c r="C13" s="1" t="s">
        <v>103</v>
      </c>
      <c r="D13" s="1" t="s">
        <v>84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7"/>
      <c r="Q13" s="27">
        <v>5</v>
      </c>
      <c r="R13" s="27"/>
      <c r="S13" s="27"/>
      <c r="T13" s="27">
        <v>5</v>
      </c>
      <c r="U13" s="27"/>
      <c r="V13" s="27"/>
      <c r="W13" s="27"/>
      <c r="X13" s="27">
        <v>2</v>
      </c>
      <c r="Y13" s="27"/>
      <c r="Z13" s="27">
        <v>5</v>
      </c>
      <c r="AA13" s="27"/>
      <c r="AB13" s="27"/>
      <c r="AC13" s="27"/>
      <c r="AD13" s="27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17</v>
      </c>
      <c r="BR13" s="1">
        <v>5</v>
      </c>
      <c r="BS13" s="17">
        <v>1</v>
      </c>
      <c r="BT13" s="17" t="s">
        <v>215</v>
      </c>
      <c r="BU13">
        <f>SUM(P13:AD13)</f>
        <v>17</v>
      </c>
      <c r="BV13" s="23">
        <f>AF13+AH13+AI13+AJ13+AO13+AP13</f>
        <v>0</v>
      </c>
    </row>
    <row r="14" spans="1:74">
      <c r="A14" s="1"/>
      <c r="B14" s="1" t="s">
        <v>151</v>
      </c>
      <c r="C14" s="1" t="s">
        <v>103</v>
      </c>
      <c r="D14" s="1" t="s">
        <v>85</v>
      </c>
      <c r="E14" s="6"/>
      <c r="F14" s="6"/>
      <c r="G14" s="6"/>
      <c r="H14" s="6"/>
      <c r="I14" s="6"/>
      <c r="J14" s="6"/>
      <c r="K14" s="6"/>
      <c r="L14" s="6">
        <v>7</v>
      </c>
      <c r="M14" s="6"/>
      <c r="N14" s="6"/>
      <c r="O14" s="6"/>
      <c r="P14" s="27"/>
      <c r="Q14" s="27">
        <v>7</v>
      </c>
      <c r="R14" s="27"/>
      <c r="S14" s="27"/>
      <c r="T14" s="27">
        <v>7</v>
      </c>
      <c r="U14" s="27"/>
      <c r="V14" s="27"/>
      <c r="W14" s="27"/>
      <c r="X14" s="27">
        <v>7</v>
      </c>
      <c r="Y14" s="27"/>
      <c r="Z14" s="27"/>
      <c r="AA14" s="27"/>
      <c r="AB14" s="27"/>
      <c r="AC14" s="27"/>
      <c r="AD14" s="27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28</v>
      </c>
      <c r="BR14" s="1">
        <v>7</v>
      </c>
      <c r="BS14" s="17">
        <v>1</v>
      </c>
      <c r="BT14" s="17" t="s">
        <v>216</v>
      </c>
      <c r="BU14">
        <f>SUM(P14:AD14)</f>
        <v>21</v>
      </c>
      <c r="BV14" s="23">
        <f>AF14+AH14+AI14+AJ14+AO14+AP14</f>
        <v>0</v>
      </c>
    </row>
    <row r="15" spans="1:74">
      <c r="A15" s="1"/>
      <c r="B15" s="1" t="s">
        <v>94</v>
      </c>
      <c r="C15" s="1" t="s">
        <v>82</v>
      </c>
      <c r="D15" s="1" t="s">
        <v>85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>
        <v>10</v>
      </c>
      <c r="P15" s="27"/>
      <c r="Q15" s="27"/>
      <c r="R15" s="27">
        <v>10</v>
      </c>
      <c r="S15" s="27"/>
      <c r="T15" s="27"/>
      <c r="U15" s="27"/>
      <c r="V15" s="27"/>
      <c r="W15" s="27"/>
      <c r="X15" s="27">
        <v>10</v>
      </c>
      <c r="Y15" s="27"/>
      <c r="Z15" s="27"/>
      <c r="AA15" s="27"/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>
        <v>10</v>
      </c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9</v>
      </c>
      <c r="BS15" s="17">
        <v>1</v>
      </c>
      <c r="BT15" s="17" t="s">
        <v>217</v>
      </c>
      <c r="BU15">
        <f>SUM(P15:AD15)</f>
        <v>20</v>
      </c>
      <c r="BV15" s="23">
        <f>AF15+AH15+AI15+AJ15+AO15+AP15</f>
        <v>0</v>
      </c>
    </row>
    <row r="16" spans="1:74">
      <c r="A16" s="1"/>
      <c r="B16" s="3" t="s">
        <v>171</v>
      </c>
      <c r="C16" s="3" t="s">
        <v>81</v>
      </c>
      <c r="D16" s="1" t="s">
        <v>138</v>
      </c>
      <c r="E16" s="6"/>
      <c r="F16" s="6"/>
      <c r="G16" s="6"/>
      <c r="H16" s="6"/>
      <c r="I16" s="6">
        <v>10</v>
      </c>
      <c r="J16" s="6"/>
      <c r="K16" s="6"/>
      <c r="L16" s="6"/>
      <c r="M16" s="6"/>
      <c r="N16" s="6"/>
      <c r="O16" s="6"/>
      <c r="P16" s="27"/>
      <c r="Q16" s="27"/>
      <c r="R16" s="27">
        <v>10</v>
      </c>
      <c r="S16" s="27"/>
      <c r="T16" s="27"/>
      <c r="U16" s="27"/>
      <c r="V16" s="27"/>
      <c r="W16" s="27"/>
      <c r="X16" s="27">
        <v>10</v>
      </c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>
        <v>10</v>
      </c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9</v>
      </c>
      <c r="BS16" s="17">
        <v>1</v>
      </c>
      <c r="BT16" s="17" t="s">
        <v>217</v>
      </c>
      <c r="BU16">
        <f>SUM(P16:AD16)</f>
        <v>20</v>
      </c>
      <c r="BV16" s="23">
        <f>AF16+AH16+AI16+AJ16+AO16+AP16</f>
        <v>0</v>
      </c>
    </row>
    <row r="17" spans="1:74">
      <c r="A17" s="1"/>
      <c r="B17" s="1" t="s">
        <v>191</v>
      </c>
      <c r="C17" s="1" t="s">
        <v>43</v>
      </c>
      <c r="D17" s="1" t="s">
        <v>147</v>
      </c>
      <c r="E17" s="6"/>
      <c r="F17" s="6"/>
      <c r="G17" s="6"/>
      <c r="H17" s="6"/>
      <c r="I17" s="6">
        <v>10</v>
      </c>
      <c r="J17" s="6"/>
      <c r="K17" s="6"/>
      <c r="L17" s="6"/>
      <c r="M17" s="6"/>
      <c r="N17" s="6"/>
      <c r="O17" s="6"/>
      <c r="P17" s="27"/>
      <c r="Q17" s="27"/>
      <c r="R17" s="27">
        <v>10</v>
      </c>
      <c r="S17" s="27"/>
      <c r="T17" s="27"/>
      <c r="U17" s="27"/>
      <c r="V17" s="27"/>
      <c r="W17" s="27"/>
      <c r="X17" s="27">
        <v>10</v>
      </c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>
        <v>10</v>
      </c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9</v>
      </c>
      <c r="BS17" s="17">
        <v>1</v>
      </c>
      <c r="BT17" s="17" t="s">
        <v>208</v>
      </c>
      <c r="BU17">
        <f>SUM(P17:AD17)</f>
        <v>20</v>
      </c>
      <c r="BV17" s="23">
        <f>AF17+AH17+AI17+AJ17+AO17+AP17</f>
        <v>0</v>
      </c>
    </row>
    <row r="18" spans="1:74">
      <c r="A18" s="1"/>
      <c r="B18" s="1" t="s">
        <v>173</v>
      </c>
      <c r="C18" s="1" t="s">
        <v>45</v>
      </c>
      <c r="D18" s="1" t="s">
        <v>147</v>
      </c>
      <c r="E18" s="6"/>
      <c r="F18" s="6"/>
      <c r="G18" s="6"/>
      <c r="H18" s="6"/>
      <c r="I18" s="6">
        <v>10</v>
      </c>
      <c r="J18" s="6"/>
      <c r="K18" s="6"/>
      <c r="L18" s="6"/>
      <c r="M18" s="6"/>
      <c r="N18" s="6"/>
      <c r="O18" s="6"/>
      <c r="P18" s="27"/>
      <c r="Q18" s="27"/>
      <c r="R18" s="27">
        <v>10</v>
      </c>
      <c r="S18" s="27"/>
      <c r="T18" s="27"/>
      <c r="U18" s="27"/>
      <c r="V18" s="27"/>
      <c r="W18" s="27"/>
      <c r="X18" s="27">
        <v>10</v>
      </c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>
        <v>10</v>
      </c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9</v>
      </c>
      <c r="BS18" s="17">
        <v>1</v>
      </c>
      <c r="BT18" s="17" t="s">
        <v>217</v>
      </c>
      <c r="BU18">
        <f>SUM(P18:AD18)</f>
        <v>20</v>
      </c>
      <c r="BV18" s="23">
        <f>AF18+AH18+AI18+AJ18+AO18+AP18</f>
        <v>0</v>
      </c>
    </row>
    <row r="19" spans="1:74">
      <c r="A19" s="1"/>
      <c r="B19" s="3" t="s">
        <v>193</v>
      </c>
      <c r="C19" s="3" t="s">
        <v>105</v>
      </c>
      <c r="D19" s="1" t="s">
        <v>138</v>
      </c>
      <c r="E19" s="6"/>
      <c r="F19" s="6"/>
      <c r="G19" s="6"/>
      <c r="H19" s="6"/>
      <c r="I19" s="6">
        <v>10</v>
      </c>
      <c r="J19" s="6"/>
      <c r="K19" s="6"/>
      <c r="L19" s="6"/>
      <c r="M19" s="6"/>
      <c r="N19" s="6"/>
      <c r="O19" s="6"/>
      <c r="P19" s="27"/>
      <c r="Q19" s="27"/>
      <c r="R19" s="27">
        <v>10</v>
      </c>
      <c r="S19" s="27"/>
      <c r="T19" s="27"/>
      <c r="U19" s="27"/>
      <c r="V19" s="27"/>
      <c r="W19" s="27"/>
      <c r="X19" s="27">
        <v>10</v>
      </c>
      <c r="Y19" s="27"/>
      <c r="Z19" s="27"/>
      <c r="AA19" s="27"/>
      <c r="AB19" s="27"/>
      <c r="AC19" s="27"/>
      <c r="AD19" s="27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>
        <v>10</v>
      </c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9</v>
      </c>
      <c r="BS19" s="17">
        <v>1</v>
      </c>
      <c r="BT19" s="17" t="s">
        <v>208</v>
      </c>
      <c r="BU19">
        <f>SUM(P19:AD19)</f>
        <v>20</v>
      </c>
      <c r="BV19" s="23">
        <f>AF19+AH19+AI19+AJ19+AO19+AP19</f>
        <v>0</v>
      </c>
    </row>
    <row r="20" spans="1:74">
      <c r="A20" s="1"/>
      <c r="B20" s="3" t="s">
        <v>184</v>
      </c>
      <c r="C20" s="3" t="s">
        <v>179</v>
      </c>
      <c r="D20" s="1" t="s">
        <v>138</v>
      </c>
      <c r="E20" s="6"/>
      <c r="F20" s="6"/>
      <c r="G20" s="6"/>
      <c r="H20" s="6"/>
      <c r="I20" s="6">
        <v>10</v>
      </c>
      <c r="J20" s="6"/>
      <c r="K20" s="6"/>
      <c r="L20" s="6"/>
      <c r="M20" s="6"/>
      <c r="N20" s="6"/>
      <c r="O20" s="6"/>
      <c r="P20" s="27"/>
      <c r="Q20" s="27"/>
      <c r="R20" s="27">
        <v>10</v>
      </c>
      <c r="S20" s="27"/>
      <c r="T20" s="27"/>
      <c r="U20" s="27"/>
      <c r="V20" s="27"/>
      <c r="W20" s="27"/>
      <c r="X20" s="27">
        <v>10</v>
      </c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>
        <v>10</v>
      </c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9</v>
      </c>
      <c r="BS20" s="17">
        <v>1</v>
      </c>
      <c r="BT20" s="17" t="s">
        <v>217</v>
      </c>
      <c r="BU20">
        <f>SUM(P20:AD20)</f>
        <v>20</v>
      </c>
      <c r="BV20" s="23">
        <f>AF20+AH20+AI20+AJ20+AO20+AP20</f>
        <v>0</v>
      </c>
    </row>
    <row r="21" spans="1:74">
      <c r="A21" s="1"/>
      <c r="B21" s="3" t="s">
        <v>142</v>
      </c>
      <c r="C21" s="3" t="s">
        <v>81</v>
      </c>
      <c r="D21" s="1" t="s">
        <v>138</v>
      </c>
      <c r="E21" s="6"/>
      <c r="F21" s="6"/>
      <c r="G21" s="6"/>
      <c r="H21" s="6">
        <v>10</v>
      </c>
      <c r="I21" s="6"/>
      <c r="J21" s="6"/>
      <c r="K21" s="6"/>
      <c r="L21" s="6"/>
      <c r="M21" s="6"/>
      <c r="N21" s="6"/>
      <c r="O21" s="6"/>
      <c r="P21" s="27"/>
      <c r="Q21" s="27"/>
      <c r="R21" s="27">
        <v>10</v>
      </c>
      <c r="S21" s="27"/>
      <c r="T21" s="27"/>
      <c r="U21" s="27"/>
      <c r="V21" s="27"/>
      <c r="W21" s="27"/>
      <c r="X21" s="27">
        <v>10</v>
      </c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>
        <v>10</v>
      </c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9</v>
      </c>
      <c r="BS21" s="17">
        <v>1</v>
      </c>
      <c r="BT21" s="17" t="s">
        <v>208</v>
      </c>
      <c r="BU21">
        <f>SUM(P21:AD21)</f>
        <v>20</v>
      </c>
      <c r="BV21" s="23">
        <f>AF21+AH21+AI21+AJ21+AO21+AP21</f>
        <v>0</v>
      </c>
    </row>
    <row r="22" spans="1:74">
      <c r="A22" s="1">
        <v>98</v>
      </c>
      <c r="B22" s="3" t="s">
        <v>108</v>
      </c>
      <c r="C22" s="3" t="s">
        <v>45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1">
        <v>50</v>
      </c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50</v>
      </c>
      <c r="BR22" s="1">
        <v>12</v>
      </c>
      <c r="BS22" s="17">
        <v>1</v>
      </c>
      <c r="BT22" s="17" t="s">
        <v>218</v>
      </c>
      <c r="BU22">
        <f>SUM(P22:AD22)</f>
        <v>0</v>
      </c>
      <c r="BV22" s="23">
        <f>AF22+AH22+AI22+AJ22+AO22+AP22</f>
        <v>0</v>
      </c>
    </row>
    <row r="23" spans="1:74" s="42" customFormat="1">
      <c r="A23" s="1"/>
      <c r="B23" s="1" t="s">
        <v>174</v>
      </c>
      <c r="C23" s="1" t="s">
        <v>104</v>
      </c>
      <c r="D23" s="1" t="s">
        <v>25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>
        <v>50</v>
      </c>
      <c r="BL23" s="1">
        <v>50</v>
      </c>
      <c r="BM23" s="1"/>
      <c r="BN23" s="1"/>
      <c r="BO23" s="1">
        <v>50</v>
      </c>
      <c r="BP23" s="1">
        <v>50</v>
      </c>
      <c r="BQ23" s="1">
        <f>SUM(E23:BP23)</f>
        <v>200</v>
      </c>
      <c r="BR23" s="1">
        <v>47</v>
      </c>
      <c r="BS23" s="17">
        <v>1</v>
      </c>
      <c r="BT23" s="17" t="s">
        <v>219</v>
      </c>
      <c r="BU23">
        <f>SUM(P23:AD23)</f>
        <v>0</v>
      </c>
      <c r="BV23" s="23">
        <f>AF23+AH23+AI23+AJ23+AO23+AP23</f>
        <v>0</v>
      </c>
    </row>
    <row r="24" spans="1:74" s="42" customFormat="1">
      <c r="A24" s="1">
        <v>85</v>
      </c>
      <c r="B24" s="3" t="s">
        <v>153</v>
      </c>
      <c r="C24" s="3" t="s">
        <v>43</v>
      </c>
      <c r="D24" s="1" t="s">
        <v>25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>
        <v>50</v>
      </c>
      <c r="BN24" s="1">
        <v>50</v>
      </c>
      <c r="BO24" s="1">
        <v>50</v>
      </c>
      <c r="BP24" s="1">
        <v>50</v>
      </c>
      <c r="BQ24" s="1">
        <f>SUM(E24:BP24)</f>
        <v>200</v>
      </c>
      <c r="BR24" s="1">
        <v>47</v>
      </c>
      <c r="BS24" s="17">
        <v>1</v>
      </c>
      <c r="BT24" s="17" t="s">
        <v>205</v>
      </c>
      <c r="BU24">
        <f>SUM(P24:AD24)</f>
        <v>0</v>
      </c>
      <c r="BV24" s="23">
        <f>AF24+AH24+AI24+AJ24+AO24+AP24</f>
        <v>0</v>
      </c>
    </row>
    <row r="25" spans="1:74" s="42" customFormat="1">
      <c r="A25" s="1"/>
      <c r="B25" s="1" t="s">
        <v>175</v>
      </c>
      <c r="C25" s="1" t="s">
        <v>80</v>
      </c>
      <c r="D25" s="1" t="s">
        <v>78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>
        <v>50</v>
      </c>
      <c r="BN25" s="1">
        <v>50</v>
      </c>
      <c r="BO25" s="1">
        <v>50</v>
      </c>
      <c r="BP25" s="1">
        <v>50</v>
      </c>
      <c r="BQ25" s="1">
        <f>SUM(E25:BP25)</f>
        <v>200</v>
      </c>
      <c r="BR25" s="1">
        <v>47</v>
      </c>
      <c r="BS25" s="17">
        <v>1</v>
      </c>
      <c r="BT25" s="17" t="s">
        <v>219</v>
      </c>
      <c r="BU25">
        <f>SUM(P25:AD25)</f>
        <v>0</v>
      </c>
      <c r="BV25" s="23">
        <f>AF25+AH25+AI25+AJ25+AO25+AP25</f>
        <v>0</v>
      </c>
    </row>
    <row r="26" spans="1:74" s="42" customFormat="1">
      <c r="A26" s="1"/>
      <c r="B26" s="3" t="s">
        <v>186</v>
      </c>
      <c r="C26" s="3" t="s">
        <v>54</v>
      </c>
      <c r="D26" s="1" t="s">
        <v>185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>
        <v>50</v>
      </c>
      <c r="BN26" s="1">
        <v>50</v>
      </c>
      <c r="BO26" s="1">
        <v>50</v>
      </c>
      <c r="BP26" s="1">
        <v>50</v>
      </c>
      <c r="BQ26" s="1">
        <f>SUM(E26:BP26)</f>
        <v>200</v>
      </c>
      <c r="BR26" s="1">
        <v>47</v>
      </c>
      <c r="BS26" s="17">
        <v>1</v>
      </c>
      <c r="BT26" s="17" t="s">
        <v>219</v>
      </c>
      <c r="BU26">
        <f>SUM(P26:AD26)</f>
        <v>0</v>
      </c>
      <c r="BV26" s="23">
        <f>AF26+AH26+AI26+AJ26+AO26+AP26</f>
        <v>0</v>
      </c>
    </row>
    <row r="27" spans="1:74" s="42" customFormat="1">
      <c r="A27" s="1">
        <v>99</v>
      </c>
      <c r="B27" s="3" t="s">
        <v>108</v>
      </c>
      <c r="C27" s="3" t="s">
        <v>45</v>
      </c>
      <c r="D27" s="1" t="s">
        <v>8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1">
        <v>200</v>
      </c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200</v>
      </c>
      <c r="BR27" s="1">
        <v>162</v>
      </c>
      <c r="BS27" s="17">
        <v>1</v>
      </c>
      <c r="BT27" s="17" t="s">
        <v>220</v>
      </c>
      <c r="BU27">
        <f>SUM(P27:AD27)</f>
        <v>0</v>
      </c>
      <c r="BV27" s="23">
        <f>AF27+AH27+AI27+AJ27+AO27+AP27</f>
        <v>0</v>
      </c>
    </row>
    <row r="28" spans="1:74" s="42" customFormat="1" ht="27">
      <c r="A28" s="1"/>
      <c r="B28" s="1" t="s">
        <v>190</v>
      </c>
      <c r="C28" s="1" t="s">
        <v>32</v>
      </c>
      <c r="D28" s="1" t="s">
        <v>148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7"/>
      <c r="Q28" s="27"/>
      <c r="R28" s="27">
        <v>2</v>
      </c>
      <c r="S28" s="27"/>
      <c r="T28" s="27">
        <v>5</v>
      </c>
      <c r="U28" s="27"/>
      <c r="V28" s="27"/>
      <c r="W28" s="27"/>
      <c r="X28" s="27">
        <v>2</v>
      </c>
      <c r="Y28" s="27"/>
      <c r="Z28" s="27"/>
      <c r="AA28" s="27"/>
      <c r="AB28" s="27"/>
      <c r="AC28" s="27"/>
      <c r="AD28" s="27">
        <v>2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11</v>
      </c>
      <c r="BR28" s="1">
        <v>2</v>
      </c>
      <c r="BS28" s="17">
        <v>2</v>
      </c>
      <c r="BT28" s="17" t="s">
        <v>221</v>
      </c>
      <c r="BU28">
        <f>SUM(P28:AD28)</f>
        <v>11</v>
      </c>
      <c r="BV28" s="23">
        <f>AF28+AH28+AI28+AJ28+AO28+AP28</f>
        <v>0</v>
      </c>
    </row>
    <row r="29" spans="1:74" s="42" customFormat="1" ht="27">
      <c r="A29" s="1"/>
      <c r="B29" s="3" t="s">
        <v>192</v>
      </c>
      <c r="C29" s="3" t="s">
        <v>43</v>
      </c>
      <c r="D29" s="1" t="s"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/>
      <c r="R29" s="27">
        <v>2</v>
      </c>
      <c r="S29" s="27"/>
      <c r="T29" s="27"/>
      <c r="U29" s="27">
        <v>2</v>
      </c>
      <c r="V29" s="27"/>
      <c r="W29" s="27"/>
      <c r="X29" s="27">
        <v>2</v>
      </c>
      <c r="Y29" s="27"/>
      <c r="Z29" s="27">
        <v>5</v>
      </c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11</v>
      </c>
      <c r="BR29" s="1">
        <v>2</v>
      </c>
      <c r="BS29" s="17">
        <v>2</v>
      </c>
      <c r="BT29" s="17" t="s">
        <v>222</v>
      </c>
      <c r="BU29">
        <f>SUM(P29:AD29)</f>
        <v>11</v>
      </c>
      <c r="BV29" s="23">
        <f>AF29+AH29+AI29+AJ29+AO29+AP29</f>
        <v>0</v>
      </c>
    </row>
    <row r="30" spans="1:74" s="42" customFormat="1" ht="27">
      <c r="A30" s="1"/>
      <c r="B30" s="1" t="s">
        <v>94</v>
      </c>
      <c r="C30" s="1" t="s">
        <v>82</v>
      </c>
      <c r="D30" s="1" t="s">
        <v>84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7"/>
      <c r="Q30" s="27">
        <v>5</v>
      </c>
      <c r="R30" s="27">
        <v>2</v>
      </c>
      <c r="S30" s="27"/>
      <c r="T30" s="27">
        <v>5</v>
      </c>
      <c r="U30" s="27"/>
      <c r="V30" s="27"/>
      <c r="W30" s="27"/>
      <c r="X30" s="27"/>
      <c r="Y30" s="27"/>
      <c r="Z30" s="27">
        <v>5</v>
      </c>
      <c r="AA30" s="27"/>
      <c r="AB30" s="27"/>
      <c r="AC30" s="27"/>
      <c r="AD30" s="27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6</v>
      </c>
      <c r="BS30" s="17">
        <v>2</v>
      </c>
      <c r="BT30" s="17" t="s">
        <v>223</v>
      </c>
      <c r="BU30">
        <f>SUM(P30:AD30)</f>
        <v>17</v>
      </c>
      <c r="BV30" s="23">
        <f>AF30+AH30+AI30+AJ30+AO30+AP30</f>
        <v>0</v>
      </c>
    </row>
    <row r="31" spans="1:74" s="42" customFormat="1" ht="27">
      <c r="A31" s="1"/>
      <c r="B31" s="3" t="s">
        <v>142</v>
      </c>
      <c r="C31" s="3" t="s">
        <v>81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7"/>
      <c r="Q31" s="27">
        <v>5</v>
      </c>
      <c r="R31" s="27">
        <v>2</v>
      </c>
      <c r="S31" s="27"/>
      <c r="T31" s="27">
        <v>5</v>
      </c>
      <c r="U31" s="27"/>
      <c r="V31" s="27"/>
      <c r="W31" s="27"/>
      <c r="X31" s="27"/>
      <c r="Y31" s="27"/>
      <c r="Z31" s="27">
        <v>5</v>
      </c>
      <c r="AA31" s="27"/>
      <c r="AB31" s="27"/>
      <c r="AC31" s="27"/>
      <c r="AD31" s="27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6</v>
      </c>
      <c r="BS31" s="17">
        <v>2</v>
      </c>
      <c r="BT31" s="17" t="s">
        <v>224</v>
      </c>
      <c r="BU31">
        <f>SUM(P31:AD31)</f>
        <v>17</v>
      </c>
      <c r="BV31" s="23">
        <f>AF31+AH31+AI31+AJ31+AO31+AP31</f>
        <v>0</v>
      </c>
    </row>
    <row r="32" spans="1:74" s="42" customFormat="1" ht="27">
      <c r="A32" s="1"/>
      <c r="B32" s="1" t="s">
        <v>168</v>
      </c>
      <c r="C32" s="1" t="s">
        <v>105</v>
      </c>
      <c r="D32" s="1" t="s">
        <v>84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>
        <v>5</v>
      </c>
      <c r="R32" s="27"/>
      <c r="S32" s="27"/>
      <c r="T32" s="27">
        <v>5</v>
      </c>
      <c r="U32" s="27"/>
      <c r="V32" s="27"/>
      <c r="W32" s="27"/>
      <c r="X32" s="27"/>
      <c r="Y32" s="27"/>
      <c r="Z32" s="27">
        <v>5</v>
      </c>
      <c r="AA32" s="27">
        <v>2</v>
      </c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7</v>
      </c>
      <c r="BS32" s="17">
        <v>2</v>
      </c>
      <c r="BT32" s="17" t="s">
        <v>225</v>
      </c>
      <c r="BU32">
        <f>SUM(P32:AD32)</f>
        <v>17</v>
      </c>
      <c r="BV32" s="23">
        <f>AF32+AH32+AI32+AJ32+AO32+AP32</f>
        <v>0</v>
      </c>
    </row>
    <row r="33" spans="1:74" s="42" customFormat="1" ht="27">
      <c r="A33" s="1"/>
      <c r="B33" s="1" t="s">
        <v>164</v>
      </c>
      <c r="C33" s="1" t="s">
        <v>99</v>
      </c>
      <c r="D33" s="1" t="s">
        <v>146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>
        <v>5</v>
      </c>
      <c r="R33" s="27"/>
      <c r="S33" s="27"/>
      <c r="T33" s="27">
        <v>5</v>
      </c>
      <c r="U33" s="27"/>
      <c r="V33" s="27"/>
      <c r="W33" s="27"/>
      <c r="X33" s="27"/>
      <c r="Y33" s="27"/>
      <c r="Z33" s="27">
        <v>5</v>
      </c>
      <c r="AA33" s="27">
        <v>2</v>
      </c>
      <c r="AB33" s="27"/>
      <c r="AC33" s="27"/>
      <c r="AD33" s="27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17</v>
      </c>
      <c r="BR33" s="1">
        <v>7</v>
      </c>
      <c r="BS33" s="17">
        <v>2</v>
      </c>
      <c r="BT33" s="17" t="s">
        <v>203</v>
      </c>
      <c r="BU33">
        <f>SUM(P33:AD33)</f>
        <v>17</v>
      </c>
      <c r="BV33" s="23">
        <f>AF33+AH33+AI33+AJ33+AO33+AP33</f>
        <v>0</v>
      </c>
    </row>
    <row r="34" spans="1:74" s="42" customFormat="1" ht="27">
      <c r="A34" s="1"/>
      <c r="B34" s="1" t="s">
        <v>169</v>
      </c>
      <c r="C34" s="1" t="s">
        <v>105</v>
      </c>
      <c r="D34" s="1" t="s">
        <v>85</v>
      </c>
      <c r="E34" s="6"/>
      <c r="F34" s="6"/>
      <c r="G34" s="6">
        <v>10</v>
      </c>
      <c r="H34" s="6"/>
      <c r="I34" s="6"/>
      <c r="J34" s="6"/>
      <c r="K34" s="6"/>
      <c r="L34" s="6"/>
      <c r="M34" s="6"/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>
        <v>10</v>
      </c>
      <c r="Y34" s="27"/>
      <c r="Z34" s="27"/>
      <c r="AA34" s="27"/>
      <c r="AB34" s="27"/>
      <c r="AC34" s="27"/>
      <c r="AD34" s="27">
        <v>10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>
        <v>10</v>
      </c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40</v>
      </c>
      <c r="BR34" s="1">
        <v>14</v>
      </c>
      <c r="BS34" s="17">
        <v>2</v>
      </c>
      <c r="BT34" s="17" t="s">
        <v>210</v>
      </c>
      <c r="BU34">
        <f>SUM(P34:AD34)</f>
        <v>20</v>
      </c>
      <c r="BV34" s="23">
        <f>AF34+AH34+AI34+AJ34+AO34+AP34</f>
        <v>0</v>
      </c>
    </row>
    <row r="35" spans="1:74" s="42" customFormat="1" ht="27">
      <c r="A35" s="1"/>
      <c r="B35" s="1" t="s">
        <v>150</v>
      </c>
      <c r="C35" s="1" t="s">
        <v>80</v>
      </c>
      <c r="D35" s="1" t="s">
        <v>107</v>
      </c>
      <c r="E35" s="6"/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>
        <v>10</v>
      </c>
      <c r="Y35" s="27"/>
      <c r="Z35" s="27"/>
      <c r="AA35" s="27"/>
      <c r="AB35" s="27"/>
      <c r="AC35" s="27"/>
      <c r="AD35" s="27">
        <v>10</v>
      </c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10</v>
      </c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40</v>
      </c>
      <c r="BR35" s="1">
        <v>14</v>
      </c>
      <c r="BS35" s="17">
        <v>2</v>
      </c>
      <c r="BT35" s="17" t="s">
        <v>226</v>
      </c>
      <c r="BU35">
        <f>SUM(P35:AD35)</f>
        <v>20</v>
      </c>
      <c r="BV35" s="23">
        <f>AF35+AH35+AI35+AJ35+AO35+AP35</f>
        <v>0</v>
      </c>
    </row>
    <row r="36" spans="1:74" s="42" customFormat="1" ht="27">
      <c r="A36" s="1"/>
      <c r="B36" s="3" t="s">
        <v>182</v>
      </c>
      <c r="C36" s="3" t="s">
        <v>141</v>
      </c>
      <c r="D36" s="1" t="s">
        <v>138</v>
      </c>
      <c r="E36" s="6"/>
      <c r="F36" s="6"/>
      <c r="G36" s="6">
        <v>10</v>
      </c>
      <c r="H36" s="6"/>
      <c r="I36" s="6"/>
      <c r="J36" s="6"/>
      <c r="K36" s="6"/>
      <c r="L36" s="6"/>
      <c r="M36" s="6"/>
      <c r="N36" s="6"/>
      <c r="O36" s="6"/>
      <c r="P36" s="27"/>
      <c r="Q36" s="27"/>
      <c r="R36" s="27"/>
      <c r="S36" s="27"/>
      <c r="T36" s="27"/>
      <c r="U36" s="27"/>
      <c r="V36" s="27"/>
      <c r="W36" s="27"/>
      <c r="X36" s="27">
        <v>10</v>
      </c>
      <c r="Y36" s="27"/>
      <c r="Z36" s="27"/>
      <c r="AA36" s="27"/>
      <c r="AB36" s="27"/>
      <c r="AC36" s="27"/>
      <c r="AD36" s="27">
        <v>10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>
        <v>10</v>
      </c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40</v>
      </c>
      <c r="BR36" s="1">
        <v>14</v>
      </c>
      <c r="BS36" s="17">
        <v>2</v>
      </c>
      <c r="BT36" s="17" t="s">
        <v>226</v>
      </c>
      <c r="BU36">
        <f>SUM(P36:AD36)</f>
        <v>20</v>
      </c>
      <c r="BV36" s="23">
        <f>AF36+AH36+AI36+AJ36+AO36+AP36</f>
        <v>0</v>
      </c>
    </row>
    <row r="37" spans="1:74" s="42" customFormat="1" ht="27">
      <c r="A37" s="1"/>
      <c r="B37" s="1" t="s">
        <v>165</v>
      </c>
      <c r="C37" s="1" t="s">
        <v>99</v>
      </c>
      <c r="D37" s="1" t="s">
        <v>147</v>
      </c>
      <c r="E37" s="6"/>
      <c r="F37" s="6"/>
      <c r="G37" s="6">
        <v>10</v>
      </c>
      <c r="H37" s="6"/>
      <c r="I37" s="6"/>
      <c r="J37" s="6"/>
      <c r="K37" s="6"/>
      <c r="L37" s="6"/>
      <c r="M37" s="6"/>
      <c r="N37" s="6"/>
      <c r="O37" s="6"/>
      <c r="P37" s="27"/>
      <c r="Q37" s="27"/>
      <c r="R37" s="27"/>
      <c r="S37" s="27"/>
      <c r="T37" s="27"/>
      <c r="U37" s="27"/>
      <c r="V37" s="27"/>
      <c r="W37" s="27"/>
      <c r="X37" s="27">
        <v>10</v>
      </c>
      <c r="Y37" s="27"/>
      <c r="Z37" s="27"/>
      <c r="AA37" s="27"/>
      <c r="AB37" s="27"/>
      <c r="AC37" s="27"/>
      <c r="AD37" s="27">
        <v>10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>
        <v>10</v>
      </c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40</v>
      </c>
      <c r="BR37" s="1">
        <v>14</v>
      </c>
      <c r="BS37" s="17">
        <v>2</v>
      </c>
      <c r="BT37" s="17" t="s">
        <v>226</v>
      </c>
      <c r="BU37">
        <f>SUM(P37:AD37)</f>
        <v>20</v>
      </c>
      <c r="BV37" s="23">
        <f>AF37+AH37+AI37+AJ37+AO37+AP37</f>
        <v>0</v>
      </c>
    </row>
    <row r="38" spans="1:74" s="42" customFormat="1" ht="27">
      <c r="A38" s="1"/>
      <c r="B38" s="1" t="s">
        <v>161</v>
      </c>
      <c r="C38" s="1" t="s">
        <v>45</v>
      </c>
      <c r="D38" s="1" t="s">
        <v>147</v>
      </c>
      <c r="E38" s="6"/>
      <c r="F38" s="6"/>
      <c r="G38" s="6"/>
      <c r="H38" s="6"/>
      <c r="I38" s="6"/>
      <c r="J38" s="6"/>
      <c r="K38" s="6"/>
      <c r="L38" s="6">
        <v>10</v>
      </c>
      <c r="M38" s="6"/>
      <c r="N38" s="6"/>
      <c r="O38" s="6"/>
      <c r="P38" s="27"/>
      <c r="Q38" s="27"/>
      <c r="R38" s="27">
        <v>10</v>
      </c>
      <c r="S38" s="27"/>
      <c r="T38" s="27"/>
      <c r="U38" s="27">
        <v>10</v>
      </c>
      <c r="V38" s="27"/>
      <c r="W38" s="27"/>
      <c r="X38" s="27"/>
      <c r="Y38" s="27"/>
      <c r="Z38" s="27"/>
      <c r="AA38" s="27"/>
      <c r="AB38" s="27"/>
      <c r="AC38" s="27"/>
      <c r="AD38" s="27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>
        <v>10</v>
      </c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40</v>
      </c>
      <c r="BR38" s="1">
        <v>18</v>
      </c>
      <c r="BS38" s="17">
        <v>2</v>
      </c>
      <c r="BT38" s="17" t="s">
        <v>207</v>
      </c>
      <c r="BU38">
        <f>SUM(P38:AD38)</f>
        <v>20</v>
      </c>
      <c r="BV38" s="23">
        <f>AF38+AH38+AI38+AJ38+AO38+AP38</f>
        <v>0</v>
      </c>
    </row>
    <row r="39" spans="1:74" s="42" customFormat="1" ht="27">
      <c r="A39" s="1"/>
      <c r="B39" s="1" t="s">
        <v>159</v>
      </c>
      <c r="C39" s="1" t="s">
        <v>45</v>
      </c>
      <c r="D39" s="1" t="s">
        <v>149</v>
      </c>
      <c r="E39" s="6"/>
      <c r="F39" s="6"/>
      <c r="G39" s="6"/>
      <c r="H39" s="6"/>
      <c r="I39" s="6"/>
      <c r="J39" s="6"/>
      <c r="K39" s="6"/>
      <c r="L39" s="6">
        <v>10</v>
      </c>
      <c r="M39" s="6"/>
      <c r="N39" s="6"/>
      <c r="O39" s="6"/>
      <c r="P39" s="27"/>
      <c r="Q39" s="27"/>
      <c r="R39" s="27">
        <v>10</v>
      </c>
      <c r="S39" s="27"/>
      <c r="T39" s="27"/>
      <c r="U39" s="27">
        <v>10</v>
      </c>
      <c r="V39" s="27"/>
      <c r="W39" s="27"/>
      <c r="X39" s="27"/>
      <c r="Y39" s="27"/>
      <c r="Z39" s="27"/>
      <c r="AA39" s="27"/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>
        <v>10</v>
      </c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40</v>
      </c>
      <c r="BR39" s="1">
        <v>18</v>
      </c>
      <c r="BS39" s="17">
        <v>2</v>
      </c>
      <c r="BT39" s="17" t="s">
        <v>227</v>
      </c>
      <c r="BU39">
        <f>SUM(P39:AD39)</f>
        <v>20</v>
      </c>
      <c r="BV39" s="23">
        <f>AF39+AH39+AI39+AJ39+AO39+AP39</f>
        <v>0</v>
      </c>
    </row>
    <row r="40" spans="1:74" s="42" customFormat="1" ht="27">
      <c r="A40" s="1"/>
      <c r="B40" s="1" t="s">
        <v>167</v>
      </c>
      <c r="C40" s="1" t="s">
        <v>99</v>
      </c>
      <c r="D40" s="1" t="s">
        <v>85</v>
      </c>
      <c r="E40" s="6">
        <v>10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/>
      <c r="R40" s="27">
        <v>10</v>
      </c>
      <c r="S40" s="27"/>
      <c r="T40" s="27"/>
      <c r="U40" s="27">
        <v>10</v>
      </c>
      <c r="V40" s="27"/>
      <c r="W40" s="27"/>
      <c r="X40" s="27"/>
      <c r="Y40" s="27"/>
      <c r="Z40" s="27"/>
      <c r="AA40" s="27"/>
      <c r="AB40" s="27"/>
      <c r="AC40" s="27"/>
      <c r="AD40" s="27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>
        <v>10</v>
      </c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18</v>
      </c>
      <c r="BS40" s="17">
        <v>2</v>
      </c>
      <c r="BT40" s="17" t="s">
        <v>207</v>
      </c>
      <c r="BU40">
        <f>SUM(P40:AD40)</f>
        <v>20</v>
      </c>
      <c r="BV40" s="23">
        <f>AF40+AH40+AI40+AJ40+AO40+AP40</f>
        <v>0</v>
      </c>
    </row>
    <row r="41" spans="1:74" s="42" customFormat="1" ht="27">
      <c r="A41" s="1"/>
      <c r="B41" s="1" t="s">
        <v>195</v>
      </c>
      <c r="C41" s="1" t="s">
        <v>102</v>
      </c>
      <c r="D41" s="1" t="s">
        <v>85</v>
      </c>
      <c r="E41" s="6">
        <v>10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27"/>
      <c r="Q41" s="27"/>
      <c r="R41" s="27">
        <v>10</v>
      </c>
      <c r="S41" s="27"/>
      <c r="T41" s="27"/>
      <c r="U41" s="27">
        <v>10</v>
      </c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>
        <v>10</v>
      </c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18</v>
      </c>
      <c r="BS41" s="17">
        <v>2</v>
      </c>
      <c r="BT41" s="17" t="s">
        <v>227</v>
      </c>
      <c r="BU41">
        <f>SUM(P41:AD41)</f>
        <v>20</v>
      </c>
      <c r="BV41" s="23">
        <f>AF41+AH41+AI41+AJ41+AO41+AP41</f>
        <v>0</v>
      </c>
    </row>
    <row r="42" spans="1:74" s="42" customFormat="1" ht="27">
      <c r="A42" s="29"/>
      <c r="B42" s="29" t="s">
        <v>158</v>
      </c>
      <c r="C42" s="29" t="s">
        <v>105</v>
      </c>
      <c r="D42" s="29" t="s">
        <v>85</v>
      </c>
      <c r="E42" s="30">
        <v>10</v>
      </c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1"/>
      <c r="Q42" s="31"/>
      <c r="R42" s="31">
        <v>10</v>
      </c>
      <c r="S42" s="31"/>
      <c r="T42" s="31"/>
      <c r="U42" s="31">
        <v>10</v>
      </c>
      <c r="V42" s="31"/>
      <c r="W42" s="31"/>
      <c r="X42" s="31"/>
      <c r="Y42" s="31"/>
      <c r="Z42" s="31"/>
      <c r="AA42" s="31"/>
      <c r="AB42" s="31"/>
      <c r="AC42" s="31"/>
      <c r="AD42" s="31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32"/>
      <c r="AR42" s="32"/>
      <c r="AS42" s="32"/>
      <c r="AT42" s="32"/>
      <c r="AU42" s="32">
        <v>10</v>
      </c>
      <c r="AV42" s="32"/>
      <c r="AW42" s="33"/>
      <c r="AX42" s="33"/>
      <c r="AY42" s="33"/>
      <c r="AZ42" s="33"/>
      <c r="BA42" s="33"/>
      <c r="BB42" s="33"/>
      <c r="BC42" s="34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9"/>
      <c r="BQ42" s="29">
        <f>SUM(E42:BP42)</f>
        <v>40</v>
      </c>
      <c r="BR42" s="29">
        <v>18</v>
      </c>
      <c r="BS42" s="35">
        <v>2</v>
      </c>
      <c r="BT42" s="35" t="s">
        <v>227</v>
      </c>
      <c r="BU42">
        <f>SUM(P42:AD42)</f>
        <v>20</v>
      </c>
      <c r="BV42" s="23">
        <f>AF42+AH42+AI42+AJ42+AO42+AP42</f>
        <v>0</v>
      </c>
    </row>
    <row r="43" spans="1:74" s="42" customFormat="1" ht="27">
      <c r="A43" s="1"/>
      <c r="B43" s="3" t="s">
        <v>144</v>
      </c>
      <c r="C43" s="3" t="s">
        <v>43</v>
      </c>
      <c r="D43" s="1" t="s">
        <v>138</v>
      </c>
      <c r="E43" s="6">
        <v>10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27"/>
      <c r="Q43" s="27"/>
      <c r="R43" s="27">
        <v>10</v>
      </c>
      <c r="S43" s="27"/>
      <c r="T43" s="27"/>
      <c r="U43" s="27">
        <v>10</v>
      </c>
      <c r="V43" s="27"/>
      <c r="W43" s="27"/>
      <c r="X43" s="27"/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>
        <v>10</v>
      </c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18</v>
      </c>
      <c r="BS43" s="17">
        <v>2</v>
      </c>
      <c r="BT43" s="17" t="s">
        <v>227</v>
      </c>
      <c r="BU43">
        <f>SUM(P43:AD43)</f>
        <v>20</v>
      </c>
      <c r="BV43" s="23">
        <f>AF43+AH43+AI43+AJ43+AO43+AP43</f>
        <v>0</v>
      </c>
    </row>
    <row r="44" spans="1:74" s="42" customFormat="1" ht="27">
      <c r="A44" s="1"/>
      <c r="B44" s="1" t="s">
        <v>160</v>
      </c>
      <c r="C44" s="1" t="s">
        <v>45</v>
      </c>
      <c r="D44" s="1" t="s">
        <v>147</v>
      </c>
      <c r="E44" s="6">
        <v>10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>
        <v>10</v>
      </c>
      <c r="S44" s="27"/>
      <c r="T44" s="27"/>
      <c r="U44" s="27">
        <v>10</v>
      </c>
      <c r="V44" s="27"/>
      <c r="W44" s="27"/>
      <c r="X44" s="27"/>
      <c r="Y44" s="27"/>
      <c r="Z44" s="27"/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>
        <v>10</v>
      </c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18</v>
      </c>
      <c r="BS44" s="17">
        <v>2</v>
      </c>
      <c r="BT44" s="17" t="s">
        <v>227</v>
      </c>
      <c r="BU44">
        <f>SUM(P44:AD44)</f>
        <v>20</v>
      </c>
      <c r="BV44" s="23">
        <f>AF44+AH44+AI44+AJ44+AO44+AP44</f>
        <v>0</v>
      </c>
    </row>
    <row r="45" spans="1:74" s="42" customFormat="1" ht="27">
      <c r="A45" s="1"/>
      <c r="B45" s="1" t="s">
        <v>170</v>
      </c>
      <c r="C45" s="1" t="s">
        <v>105</v>
      </c>
      <c r="D45" s="1" t="s">
        <v>85</v>
      </c>
      <c r="E45" s="6"/>
      <c r="F45" s="6"/>
      <c r="G45" s="6"/>
      <c r="H45" s="6">
        <v>10</v>
      </c>
      <c r="I45" s="6"/>
      <c r="J45" s="6"/>
      <c r="K45" s="6"/>
      <c r="L45" s="6"/>
      <c r="M45" s="6"/>
      <c r="N45" s="6"/>
      <c r="O45" s="6"/>
      <c r="P45" s="27"/>
      <c r="Q45" s="27"/>
      <c r="R45" s="27">
        <v>10</v>
      </c>
      <c r="S45" s="27"/>
      <c r="T45" s="27"/>
      <c r="U45" s="27">
        <v>10</v>
      </c>
      <c r="V45" s="27"/>
      <c r="W45" s="27"/>
      <c r="X45" s="27"/>
      <c r="Y45" s="27"/>
      <c r="Z45" s="27"/>
      <c r="AA45" s="27"/>
      <c r="AB45" s="27"/>
      <c r="AC45" s="27"/>
      <c r="AD45" s="27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>
        <v>10</v>
      </c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40</v>
      </c>
      <c r="BR45" s="1">
        <v>18</v>
      </c>
      <c r="BS45" s="17">
        <v>2</v>
      </c>
      <c r="BT45" s="17" t="s">
        <v>227</v>
      </c>
      <c r="BU45">
        <f>SUM(P45:AD45)</f>
        <v>20</v>
      </c>
      <c r="BV45" s="23">
        <f>AF45+AH45+AI45+AJ45+AO45+AP45</f>
        <v>0</v>
      </c>
    </row>
    <row r="46" spans="1:74" s="42" customFormat="1" ht="27">
      <c r="A46" s="1"/>
      <c r="B46" s="3" t="s">
        <v>189</v>
      </c>
      <c r="C46" s="3" t="s">
        <v>178</v>
      </c>
      <c r="D46" s="1" t="s">
        <v>138</v>
      </c>
      <c r="E46" s="6"/>
      <c r="F46" s="6"/>
      <c r="G46" s="6"/>
      <c r="H46" s="6"/>
      <c r="I46" s="6"/>
      <c r="J46" s="6">
        <v>10</v>
      </c>
      <c r="K46" s="6"/>
      <c r="L46" s="6"/>
      <c r="M46" s="6"/>
      <c r="N46" s="6"/>
      <c r="O46" s="6"/>
      <c r="P46" s="27"/>
      <c r="Q46" s="27"/>
      <c r="R46" s="27">
        <v>10</v>
      </c>
      <c r="S46" s="27"/>
      <c r="T46" s="27"/>
      <c r="U46" s="27"/>
      <c r="V46" s="27"/>
      <c r="W46" s="27"/>
      <c r="X46" s="27">
        <v>10</v>
      </c>
      <c r="Y46" s="27"/>
      <c r="Z46" s="27"/>
      <c r="AA46" s="27"/>
      <c r="AB46" s="27"/>
      <c r="AC46" s="27"/>
      <c r="AD46" s="27">
        <v>10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>
        <v>10</v>
      </c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50</v>
      </c>
      <c r="BR46" s="1">
        <v>18</v>
      </c>
      <c r="BS46" s="17">
        <v>2</v>
      </c>
      <c r="BT46" s="17" t="s">
        <v>228</v>
      </c>
      <c r="BU46">
        <f>SUM(P46:AD46)</f>
        <v>30</v>
      </c>
      <c r="BV46" s="23">
        <f>AF46+AH46+AI46+AJ46+AO46+AP46</f>
        <v>0</v>
      </c>
    </row>
    <row r="47" spans="1:74" s="42" customFormat="1" ht="27">
      <c r="A47" s="1"/>
      <c r="B47" s="3" t="s">
        <v>192</v>
      </c>
      <c r="C47" s="3" t="s">
        <v>43</v>
      </c>
      <c r="D47" s="1" t="s">
        <v>138</v>
      </c>
      <c r="E47" s="6"/>
      <c r="F47" s="6"/>
      <c r="G47" s="6"/>
      <c r="H47" s="6"/>
      <c r="I47" s="6"/>
      <c r="J47" s="6"/>
      <c r="K47" s="6"/>
      <c r="L47" s="6"/>
      <c r="M47" s="6">
        <v>10</v>
      </c>
      <c r="N47" s="6"/>
      <c r="O47" s="6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>
        <v>10</v>
      </c>
      <c r="AB47" s="27"/>
      <c r="AC47" s="27"/>
      <c r="AD47" s="27">
        <v>10</v>
      </c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>
        <v>10</v>
      </c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40</v>
      </c>
      <c r="BR47" s="1">
        <v>19</v>
      </c>
      <c r="BS47" s="17">
        <v>2</v>
      </c>
      <c r="BT47" s="17" t="s">
        <v>229</v>
      </c>
      <c r="BU47">
        <f>SUM(P47:AD47)</f>
        <v>20</v>
      </c>
      <c r="BV47" s="23">
        <f>AF47+AH47+AI47+AJ47+AO47+AP47</f>
        <v>0</v>
      </c>
    </row>
    <row r="48" spans="1:74" s="42" customFormat="1" ht="27">
      <c r="A48" s="1"/>
      <c r="B48" s="3" t="s">
        <v>183</v>
      </c>
      <c r="C48" s="3" t="s">
        <v>21</v>
      </c>
      <c r="D48" s="1" t="s">
        <v>138</v>
      </c>
      <c r="E48" s="6"/>
      <c r="F48" s="6"/>
      <c r="G48" s="6"/>
      <c r="H48" s="6"/>
      <c r="I48" s="6"/>
      <c r="J48" s="6"/>
      <c r="K48" s="6"/>
      <c r="L48" s="6"/>
      <c r="M48" s="6">
        <v>10</v>
      </c>
      <c r="N48" s="6"/>
      <c r="O48" s="6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>
        <v>10</v>
      </c>
      <c r="AB48" s="27"/>
      <c r="AC48" s="27"/>
      <c r="AD48" s="27">
        <v>10</v>
      </c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>
        <v>10</v>
      </c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40</v>
      </c>
      <c r="BR48" s="1">
        <v>19</v>
      </c>
      <c r="BS48" s="17">
        <v>2</v>
      </c>
      <c r="BT48" s="17" t="s">
        <v>229</v>
      </c>
      <c r="BU48">
        <f>SUM(P48:AD48)</f>
        <v>20</v>
      </c>
      <c r="BV48" s="23">
        <f>AF48+AH48+AI48+AJ48+AO48+AP48</f>
        <v>0</v>
      </c>
    </row>
    <row r="49" spans="1:74" s="42" customFormat="1" ht="27">
      <c r="A49" s="1"/>
      <c r="B49" s="1" t="s">
        <v>194</v>
      </c>
      <c r="C49" s="1" t="s">
        <v>103</v>
      </c>
      <c r="D49" s="1" t="s">
        <v>85</v>
      </c>
      <c r="E49" s="6"/>
      <c r="F49" s="6"/>
      <c r="G49" s="6"/>
      <c r="H49" s="6"/>
      <c r="I49" s="6"/>
      <c r="J49" s="6">
        <v>10</v>
      </c>
      <c r="K49" s="6"/>
      <c r="L49" s="6"/>
      <c r="M49" s="6"/>
      <c r="N49" s="6"/>
      <c r="O49" s="6"/>
      <c r="P49" s="27"/>
      <c r="Q49" s="27"/>
      <c r="R49" s="27"/>
      <c r="S49" s="27"/>
      <c r="T49" s="27"/>
      <c r="U49" s="27">
        <v>10</v>
      </c>
      <c r="V49" s="27"/>
      <c r="W49" s="27"/>
      <c r="X49" s="27"/>
      <c r="Y49" s="27"/>
      <c r="Z49" s="27"/>
      <c r="AA49" s="27">
        <v>10</v>
      </c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>
        <v>10</v>
      </c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40</v>
      </c>
      <c r="BR49" s="1">
        <v>19</v>
      </c>
      <c r="BS49" s="17">
        <v>2</v>
      </c>
      <c r="BT49" s="17" t="s">
        <v>230</v>
      </c>
      <c r="BU49">
        <f>SUM(P49:AD49)</f>
        <v>20</v>
      </c>
      <c r="BV49" s="23">
        <f>AF49+AH49+AI49+AJ49+AO49+AP49</f>
        <v>0</v>
      </c>
    </row>
    <row r="50" spans="1:74" s="42" customFormat="1" ht="27">
      <c r="A50" s="1"/>
      <c r="B50" s="1" t="s">
        <v>190</v>
      </c>
      <c r="C50" s="1" t="s">
        <v>32</v>
      </c>
      <c r="D50" s="1" t="s">
        <v>149</v>
      </c>
      <c r="E50" s="6"/>
      <c r="F50" s="6"/>
      <c r="G50" s="6"/>
      <c r="H50" s="6"/>
      <c r="I50" s="6"/>
      <c r="J50" s="6">
        <v>10</v>
      </c>
      <c r="K50" s="6"/>
      <c r="L50" s="6"/>
      <c r="M50" s="6"/>
      <c r="N50" s="6"/>
      <c r="O50" s="6"/>
      <c r="P50" s="27"/>
      <c r="Q50" s="27"/>
      <c r="R50" s="27"/>
      <c r="S50" s="27"/>
      <c r="T50" s="27"/>
      <c r="U50" s="27">
        <v>10</v>
      </c>
      <c r="V50" s="27"/>
      <c r="W50" s="27"/>
      <c r="X50" s="27"/>
      <c r="Y50" s="27"/>
      <c r="Z50" s="27"/>
      <c r="AA50" s="27">
        <v>10</v>
      </c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>
        <v>10</v>
      </c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f>SUM(E50:BP50)</f>
        <v>40</v>
      </c>
      <c r="BR50" s="1">
        <v>19</v>
      </c>
      <c r="BS50" s="17">
        <v>2</v>
      </c>
      <c r="BT50" s="17" t="s">
        <v>231</v>
      </c>
      <c r="BU50">
        <f>SUM(P50:AD50)</f>
        <v>20</v>
      </c>
      <c r="BV50" s="23">
        <f>AF50+AH50+AI50+AJ50+AO50+AP50</f>
        <v>0</v>
      </c>
    </row>
    <row r="51" spans="1:74" s="42" customFormat="1" ht="27">
      <c r="A51" s="1"/>
      <c r="B51" s="3" t="s">
        <v>196</v>
      </c>
      <c r="C51" s="3" t="s">
        <v>105</v>
      </c>
      <c r="D51" s="1" t="s">
        <v>138</v>
      </c>
      <c r="E51" s="6"/>
      <c r="F51" s="6"/>
      <c r="G51" s="6"/>
      <c r="H51" s="6"/>
      <c r="I51" s="6"/>
      <c r="J51" s="6">
        <v>10</v>
      </c>
      <c r="K51" s="6"/>
      <c r="L51" s="6"/>
      <c r="M51" s="6"/>
      <c r="N51" s="6"/>
      <c r="O51" s="6"/>
      <c r="P51" s="27"/>
      <c r="Q51" s="27"/>
      <c r="R51" s="27"/>
      <c r="S51" s="27"/>
      <c r="T51" s="27"/>
      <c r="U51" s="27">
        <v>10</v>
      </c>
      <c r="V51" s="27"/>
      <c r="W51" s="27"/>
      <c r="X51" s="27"/>
      <c r="Y51" s="27"/>
      <c r="Z51" s="27"/>
      <c r="AA51" s="27">
        <v>10</v>
      </c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>
        <v>10</v>
      </c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19</v>
      </c>
      <c r="BS51" s="17">
        <v>2</v>
      </c>
      <c r="BT51" s="17" t="s">
        <v>231</v>
      </c>
      <c r="BU51">
        <f>SUM(P51:AD51)</f>
        <v>20</v>
      </c>
      <c r="BV51" s="23">
        <f>AF51+AH51+AI51+AJ51+AO51+AP51</f>
        <v>0</v>
      </c>
    </row>
    <row r="52" spans="1:74" s="42" customFormat="1" ht="27">
      <c r="A52" s="1"/>
      <c r="B52" s="3" t="s">
        <v>152</v>
      </c>
      <c r="C52" s="3" t="s">
        <v>140</v>
      </c>
      <c r="D52" s="1" t="s">
        <v>138</v>
      </c>
      <c r="E52" s="6"/>
      <c r="F52" s="6"/>
      <c r="G52" s="6"/>
      <c r="H52" s="6"/>
      <c r="I52" s="6"/>
      <c r="J52" s="6"/>
      <c r="K52" s="6"/>
      <c r="L52" s="6"/>
      <c r="M52" s="6"/>
      <c r="N52" s="6">
        <v>10</v>
      </c>
      <c r="O52" s="6"/>
      <c r="P52" s="27"/>
      <c r="Q52" s="27"/>
      <c r="R52" s="27"/>
      <c r="S52" s="27"/>
      <c r="T52" s="27"/>
      <c r="U52" s="27"/>
      <c r="V52" s="27"/>
      <c r="W52" s="27"/>
      <c r="X52" s="27">
        <v>10</v>
      </c>
      <c r="Y52" s="27"/>
      <c r="Z52" s="27"/>
      <c r="AA52" s="27">
        <v>10</v>
      </c>
      <c r="AB52" s="27"/>
      <c r="AC52" s="27"/>
      <c r="AD52" s="27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19</v>
      </c>
      <c r="BS52" s="17">
        <v>2</v>
      </c>
      <c r="BT52" s="17" t="s">
        <v>209</v>
      </c>
      <c r="BU52">
        <f>SUM(P52:AD52)</f>
        <v>30</v>
      </c>
      <c r="BV52" s="23">
        <f>AF52+AH52+AI52+AJ52+AO52+AP52</f>
        <v>0</v>
      </c>
    </row>
    <row r="53" spans="1:74" s="42" customFormat="1" ht="27">
      <c r="A53" s="1"/>
      <c r="B53" s="1" t="s">
        <v>199</v>
      </c>
      <c r="C53" s="1" t="s">
        <v>200</v>
      </c>
      <c r="D53" s="1" t="s">
        <v>72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>
        <v>40</v>
      </c>
      <c r="AT53" s="4"/>
      <c r="AU53" s="4"/>
      <c r="AV53" s="4"/>
      <c r="AW53" s="2"/>
      <c r="AX53" s="2">
        <v>40</v>
      </c>
      <c r="AY53" s="2"/>
      <c r="AZ53" s="2"/>
      <c r="BA53" s="2"/>
      <c r="BB53" s="2">
        <v>40</v>
      </c>
      <c r="BC53" s="14">
        <v>10</v>
      </c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130</v>
      </c>
      <c r="BR53" s="1">
        <v>42</v>
      </c>
      <c r="BS53" s="17">
        <v>2</v>
      </c>
      <c r="BT53" s="17" t="s">
        <v>232</v>
      </c>
      <c r="BU53">
        <f>SUM(P53:AD53)</f>
        <v>0</v>
      </c>
      <c r="BV53" s="23">
        <f>AF53+AH53+AI53+AJ53+AO53+AP53</f>
        <v>0</v>
      </c>
    </row>
    <row r="54" spans="1:74" s="42" customFormat="1" ht="40.5">
      <c r="A54" s="1"/>
      <c r="B54" s="3" t="s">
        <v>152</v>
      </c>
      <c r="C54" s="3" t="s">
        <v>140</v>
      </c>
      <c r="D54" s="1" t="s">
        <v>0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7"/>
      <c r="Q54" s="27"/>
      <c r="R54" s="27"/>
      <c r="S54" s="27"/>
      <c r="T54" s="27"/>
      <c r="U54" s="27"/>
      <c r="V54" s="27"/>
      <c r="W54" s="27"/>
      <c r="X54" s="27">
        <v>2</v>
      </c>
      <c r="Y54" s="27"/>
      <c r="Z54" s="27"/>
      <c r="AA54" s="27">
        <v>2</v>
      </c>
      <c r="AB54" s="27"/>
      <c r="AC54" s="27">
        <v>5</v>
      </c>
      <c r="AD54" s="27">
        <v>2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11</v>
      </c>
      <c r="BR54" s="1">
        <v>6</v>
      </c>
      <c r="BS54" s="17">
        <v>3</v>
      </c>
      <c r="BT54" s="17" t="s">
        <v>233</v>
      </c>
      <c r="BU54">
        <f>SUM(P54:AD54)</f>
        <v>11</v>
      </c>
      <c r="BV54" s="23">
        <f>AF54+AH54+AI54+AJ54+AO54+AP54</f>
        <v>0</v>
      </c>
    </row>
    <row r="55" spans="1:74" s="42" customFormat="1" ht="40.5">
      <c r="A55" s="1"/>
      <c r="B55" s="1" t="s">
        <v>161</v>
      </c>
      <c r="C55" s="1" t="s">
        <v>45</v>
      </c>
      <c r="D55" s="1" t="s">
        <v>146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7"/>
      <c r="Q55" s="27"/>
      <c r="R55" s="27"/>
      <c r="S55" s="27"/>
      <c r="T55" s="27"/>
      <c r="U55" s="27"/>
      <c r="V55" s="27"/>
      <c r="W55" s="27"/>
      <c r="X55" s="27">
        <v>2</v>
      </c>
      <c r="Y55" s="27"/>
      <c r="Z55" s="27"/>
      <c r="AA55" s="27">
        <v>2</v>
      </c>
      <c r="AB55" s="27"/>
      <c r="AC55" s="27">
        <v>5</v>
      </c>
      <c r="AD55" s="27">
        <v>2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>SUM(E55:BP55)</f>
        <v>11</v>
      </c>
      <c r="BR55" s="1">
        <v>6</v>
      </c>
      <c r="BS55" s="17">
        <v>3</v>
      </c>
      <c r="BT55" s="17" t="s">
        <v>233</v>
      </c>
      <c r="BU55">
        <f>SUM(P55:AD55)</f>
        <v>11</v>
      </c>
      <c r="BV55" s="23">
        <f>AF55+AH55+AI55+AJ55+AO55+AP55</f>
        <v>0</v>
      </c>
    </row>
    <row r="56" spans="1:74" s="42" customFormat="1" ht="40.5">
      <c r="A56" s="1"/>
      <c r="B56" s="3" t="s">
        <v>163</v>
      </c>
      <c r="C56" s="3" t="s">
        <v>155</v>
      </c>
      <c r="D56" s="1" t="s">
        <v>85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>
        <v>10</v>
      </c>
      <c r="P56" s="27"/>
      <c r="Q56" s="27"/>
      <c r="R56" s="27">
        <v>10</v>
      </c>
      <c r="S56" s="27"/>
      <c r="T56" s="27"/>
      <c r="U56" s="27">
        <v>10</v>
      </c>
      <c r="V56" s="27"/>
      <c r="W56" s="27"/>
      <c r="X56" s="27"/>
      <c r="Y56" s="27"/>
      <c r="Z56" s="27"/>
      <c r="AA56" s="27"/>
      <c r="AB56" s="27"/>
      <c r="AC56" s="27"/>
      <c r="AD56" s="27">
        <v>10</v>
      </c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40</v>
      </c>
      <c r="BR56" s="1">
        <v>27</v>
      </c>
      <c r="BS56" s="17">
        <v>3</v>
      </c>
      <c r="BT56" s="17" t="s">
        <v>234</v>
      </c>
      <c r="BU56">
        <f>SUM(P56:AD56)</f>
        <v>30</v>
      </c>
      <c r="BV56" s="23">
        <f>AF56+AH56+AI56+AJ56+AO56+AP56</f>
        <v>0</v>
      </c>
    </row>
    <row r="57" spans="1:74" s="42" customFormat="1" ht="40.5">
      <c r="A57" s="1"/>
      <c r="B57" s="1" t="s">
        <v>162</v>
      </c>
      <c r="C57" s="1" t="s">
        <v>157</v>
      </c>
      <c r="D57" s="1" t="s">
        <v>156</v>
      </c>
      <c r="E57" s="6"/>
      <c r="F57" s="6"/>
      <c r="G57" s="6"/>
      <c r="H57" s="6"/>
      <c r="I57" s="6"/>
      <c r="J57" s="6"/>
      <c r="K57" s="6"/>
      <c r="L57" s="6"/>
      <c r="M57" s="6">
        <v>10</v>
      </c>
      <c r="N57" s="6"/>
      <c r="O57" s="6"/>
      <c r="P57" s="27"/>
      <c r="Q57" s="27"/>
      <c r="R57" s="27"/>
      <c r="S57" s="27"/>
      <c r="T57" s="27"/>
      <c r="U57" s="27">
        <v>10</v>
      </c>
      <c r="V57" s="27"/>
      <c r="W57" s="27"/>
      <c r="X57" s="27"/>
      <c r="Y57" s="27"/>
      <c r="Z57" s="27"/>
      <c r="AA57" s="27">
        <v>10</v>
      </c>
      <c r="AB57" s="27"/>
      <c r="AC57" s="27"/>
      <c r="AD57" s="27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40</v>
      </c>
      <c r="BR57" s="1">
        <v>28</v>
      </c>
      <c r="BS57" s="17">
        <v>3</v>
      </c>
      <c r="BT57" s="17" t="s">
        <v>235</v>
      </c>
      <c r="BU57">
        <f>SUM(P57:AD57)</f>
        <v>30</v>
      </c>
      <c r="BV57" s="23">
        <f>AF57+AH57+AI57+AJ57+AO57+AP57</f>
        <v>0</v>
      </c>
    </row>
    <row r="58" spans="1:74" s="42" customFormat="1" ht="40.5">
      <c r="A58" s="1"/>
      <c r="B58" s="1" t="s">
        <v>197</v>
      </c>
      <c r="C58" s="1" t="s">
        <v>198</v>
      </c>
      <c r="D58" s="1" t="s">
        <v>72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>
        <v>40</v>
      </c>
      <c r="AU58" s="4"/>
      <c r="AV58" s="4"/>
      <c r="AW58" s="2"/>
      <c r="AX58" s="2"/>
      <c r="AY58" s="2">
        <v>40</v>
      </c>
      <c r="AZ58" s="2"/>
      <c r="BA58" s="2">
        <v>40</v>
      </c>
      <c r="BB58" s="2"/>
      <c r="BC58" s="14">
        <v>10</v>
      </c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130</v>
      </c>
      <c r="BR58" s="1">
        <v>38</v>
      </c>
      <c r="BS58" s="17">
        <v>3</v>
      </c>
      <c r="BT58" s="17" t="s">
        <v>204</v>
      </c>
      <c r="BU58">
        <f>SUM(P58:AD58)</f>
        <v>0</v>
      </c>
      <c r="BV58" s="23">
        <f>AF58+AH58+AI58+AJ58+AO58+AP58</f>
        <v>0</v>
      </c>
    </row>
    <row r="59" spans="1:74" s="42" customFormat="1" ht="54">
      <c r="A59" s="1"/>
      <c r="B59" s="3" t="s">
        <v>163</v>
      </c>
      <c r="C59" s="3" t="s">
        <v>155</v>
      </c>
      <c r="D59" s="1" t="s">
        <v>0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7"/>
      <c r="Q59" s="27"/>
      <c r="R59" s="27">
        <v>2</v>
      </c>
      <c r="S59" s="27"/>
      <c r="T59" s="27"/>
      <c r="U59" s="27">
        <v>2</v>
      </c>
      <c r="V59" s="27"/>
      <c r="W59" s="27"/>
      <c r="X59" s="27"/>
      <c r="Y59" s="27"/>
      <c r="Z59" s="27"/>
      <c r="AA59" s="27"/>
      <c r="AB59" s="27"/>
      <c r="AC59" s="27">
        <v>5</v>
      </c>
      <c r="AD59" s="27">
        <v>2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11</v>
      </c>
      <c r="BR59" s="1">
        <v>6</v>
      </c>
      <c r="BS59" s="17">
        <v>4</v>
      </c>
      <c r="BT59" s="17" t="s">
        <v>236</v>
      </c>
      <c r="BU59">
        <f>SUM(P59:AD59)</f>
        <v>11</v>
      </c>
      <c r="BV59" s="23">
        <f>AF59+AH59+AI59+AJ59+AO59+AP59</f>
        <v>0</v>
      </c>
    </row>
    <row r="60" spans="1:74" s="42" customFormat="1" ht="54">
      <c r="A60" s="1"/>
      <c r="B60" s="3" t="s">
        <v>193</v>
      </c>
      <c r="C60" s="3" t="s">
        <v>105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7"/>
      <c r="Q60" s="27"/>
      <c r="R60" s="27">
        <v>2</v>
      </c>
      <c r="S60" s="27"/>
      <c r="T60" s="27"/>
      <c r="U60" s="27">
        <v>2</v>
      </c>
      <c r="V60" s="27"/>
      <c r="W60" s="27"/>
      <c r="X60" s="27"/>
      <c r="Y60" s="27"/>
      <c r="Z60" s="27"/>
      <c r="AA60" s="27"/>
      <c r="AB60" s="27"/>
      <c r="AC60" s="27">
        <v>5</v>
      </c>
      <c r="AD60" s="27">
        <v>2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11</v>
      </c>
      <c r="BR60" s="1">
        <v>6</v>
      </c>
      <c r="BS60" s="17">
        <v>4</v>
      </c>
      <c r="BT60" s="17" t="s">
        <v>236</v>
      </c>
      <c r="BU60">
        <f>SUM(P60:AD60)</f>
        <v>11</v>
      </c>
      <c r="BV60" s="23">
        <f>AF60+AH60+AI60+AJ60+AO60+AP60</f>
        <v>0</v>
      </c>
    </row>
    <row r="61" spans="1:74" s="42" customFormat="1" ht="54">
      <c r="A61" s="1"/>
      <c r="B61" s="1" t="s">
        <v>162</v>
      </c>
      <c r="C61" s="1" t="s">
        <v>157</v>
      </c>
      <c r="D61" s="1" t="s">
        <v>70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7"/>
      <c r="Q61" s="27"/>
      <c r="R61" s="27"/>
      <c r="S61" s="27"/>
      <c r="T61" s="27"/>
      <c r="U61" s="27">
        <v>2</v>
      </c>
      <c r="V61" s="27"/>
      <c r="W61" s="27"/>
      <c r="X61" s="27"/>
      <c r="Y61" s="27"/>
      <c r="Z61" s="27"/>
      <c r="AA61" s="27">
        <v>2</v>
      </c>
      <c r="AB61" s="27"/>
      <c r="AC61" s="27">
        <v>5</v>
      </c>
      <c r="AD61" s="27">
        <v>2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11</v>
      </c>
      <c r="BR61" s="1">
        <v>7</v>
      </c>
      <c r="BS61" s="17">
        <v>4</v>
      </c>
      <c r="BT61" s="17" t="s">
        <v>237</v>
      </c>
      <c r="BU61">
        <f>SUM(P61:AD61)</f>
        <v>11</v>
      </c>
      <c r="BV61" s="23">
        <f>AF61+AH61+AI61+AJ61+AO61+AP61</f>
        <v>0</v>
      </c>
    </row>
    <row r="62" spans="1:74">
      <c r="A62" s="1"/>
      <c r="B62" s="1" t="s">
        <v>47</v>
      </c>
      <c r="C62" s="1"/>
      <c r="D62" s="1"/>
      <c r="E62" s="6">
        <f>SUM(E2:E61)</f>
        <v>50</v>
      </c>
      <c r="F62" s="6">
        <f>SUM(F2:F61)</f>
        <v>0</v>
      </c>
      <c r="G62" s="6">
        <f>SUM(G2:G61)</f>
        <v>40</v>
      </c>
      <c r="H62" s="6">
        <f>SUM(H2:H61)</f>
        <v>20</v>
      </c>
      <c r="I62" s="6">
        <f>SUM(I2:I61)</f>
        <v>50</v>
      </c>
      <c r="J62" s="6">
        <f>SUM(J2:J61)</f>
        <v>40</v>
      </c>
      <c r="K62" s="6">
        <f>SUM(K2:K61)</f>
        <v>0</v>
      </c>
      <c r="L62" s="6">
        <f>SUM(L2:L61)</f>
        <v>27</v>
      </c>
      <c r="M62" s="6">
        <f>SUM(M2:M61)</f>
        <v>30</v>
      </c>
      <c r="N62" s="6">
        <f>SUM(N2:N61)</f>
        <v>10</v>
      </c>
      <c r="O62" s="6">
        <f>SUM(O2:O61)</f>
        <v>20</v>
      </c>
      <c r="P62" s="27">
        <f>SUM(P2:P61)</f>
        <v>20</v>
      </c>
      <c r="Q62" s="27">
        <f>SUM(Q2:Q61)</f>
        <v>42</v>
      </c>
      <c r="R62" s="27">
        <f>SUM(R2:R61)</f>
        <v>182</v>
      </c>
      <c r="S62" s="27">
        <f>SUM(S2:S61)</f>
        <v>20</v>
      </c>
      <c r="T62" s="27">
        <f>SUM(T2:T61)</f>
        <v>37</v>
      </c>
      <c r="U62" s="27">
        <f>SUM(U2:U61)</f>
        <v>138</v>
      </c>
      <c r="V62" s="27">
        <f>SUM(V2:V61)</f>
        <v>40</v>
      </c>
      <c r="W62" s="27">
        <f>SUM(W2:W61)</f>
        <v>10</v>
      </c>
      <c r="X62" s="27">
        <f>SUM(X2:X61)</f>
        <v>147</v>
      </c>
      <c r="Y62" s="27">
        <f>SUM(Y2:Y61)</f>
        <v>30</v>
      </c>
      <c r="Z62" s="27">
        <f>SUM(Z2:Z61)</f>
        <v>35</v>
      </c>
      <c r="AA62" s="27">
        <f>SUM(AA2:AA61)</f>
        <v>80</v>
      </c>
      <c r="AB62" s="27">
        <f>SUM(AB2:AB61)</f>
        <v>60</v>
      </c>
      <c r="AC62" s="27">
        <f>SUM(AC2:AC61)</f>
        <v>35</v>
      </c>
      <c r="AD62" s="27">
        <f>SUM(AD2:AD61)</f>
        <v>112</v>
      </c>
      <c r="AE62" s="1">
        <f>SUM(AE2:AE61)</f>
        <v>250</v>
      </c>
      <c r="AF62" s="1">
        <f>SUM(AF2:AF61)</f>
        <v>5</v>
      </c>
      <c r="AG62" s="1">
        <f>SUM(AG2:AG61)</f>
        <v>0</v>
      </c>
      <c r="AH62" s="1">
        <f>SUM(AH2:AH61)</f>
        <v>15</v>
      </c>
      <c r="AI62" s="1">
        <f>SUM(AI2:AI61)</f>
        <v>15</v>
      </c>
      <c r="AJ62" s="1">
        <f>SUM(AJ2:AJ61)</f>
        <v>0</v>
      </c>
      <c r="AK62" s="1">
        <f>SUM(AK2:AK61)</f>
        <v>0</v>
      </c>
      <c r="AL62" s="1">
        <f>SUM(AL2:AL61)</f>
        <v>0</v>
      </c>
      <c r="AM62" s="1">
        <f>SUM(AM2:AM61)</f>
        <v>0</v>
      </c>
      <c r="AN62" s="1">
        <f>SUM(AN2:AN61)</f>
        <v>0</v>
      </c>
      <c r="AO62" s="1">
        <f>SUM(AO2:AO61)</f>
        <v>0</v>
      </c>
      <c r="AP62" s="1">
        <f>SUM(AP2:AP61)</f>
        <v>0</v>
      </c>
      <c r="AQ62" s="4">
        <f>SUM(AQ2:AQ61)</f>
        <v>40</v>
      </c>
      <c r="AR62" s="4">
        <f>SUM(AR2:AR61)</f>
        <v>50</v>
      </c>
      <c r="AS62" s="4">
        <f>SUM(AS2:AS61)</f>
        <v>70</v>
      </c>
      <c r="AT62" s="4">
        <f>SUM(AT2:AT61)</f>
        <v>90</v>
      </c>
      <c r="AU62" s="4">
        <f>SUM(AU2:AU61)</f>
        <v>60</v>
      </c>
      <c r="AV62" s="4">
        <f>SUM(AV2:AV61)</f>
        <v>60</v>
      </c>
      <c r="AW62" s="2">
        <f>SUM(AW2:AW61)</f>
        <v>0</v>
      </c>
      <c r="AX62" s="2">
        <f>SUM(AX2:AX61)</f>
        <v>80</v>
      </c>
      <c r="AY62" s="2">
        <f>SUM(AY2:AY61)</f>
        <v>40</v>
      </c>
      <c r="AZ62" s="2">
        <f>SUM(AZ2:AZ61)</f>
        <v>40</v>
      </c>
      <c r="BA62" s="2">
        <f>SUM(BA2:BA61)</f>
        <v>40</v>
      </c>
      <c r="BB62" s="2">
        <f>SUM(BB2:BB61)</f>
        <v>40</v>
      </c>
      <c r="BC62" s="1">
        <f>SUM(BC2:BC61)</f>
        <v>30</v>
      </c>
      <c r="BD62" s="1">
        <f>SUM(BD2:BD61)</f>
        <v>0</v>
      </c>
      <c r="BE62" s="1">
        <f>SUM(BE2:BE61)</f>
        <v>0</v>
      </c>
      <c r="BF62" s="1">
        <f>SUM(BF2:BF61)</f>
        <v>0</v>
      </c>
      <c r="BG62" s="1">
        <f>SUM(BG2:BG61)</f>
        <v>0</v>
      </c>
      <c r="BH62" s="1">
        <f>SUM(BH2:BH61)</f>
        <v>0</v>
      </c>
      <c r="BI62" s="1">
        <f>SUM(BI2:BI61)</f>
        <v>0</v>
      </c>
      <c r="BJ62" s="1">
        <f>SUM(BJ2:BJ61)</f>
        <v>0</v>
      </c>
      <c r="BK62" s="1">
        <f>SUM(BK2:BK61)</f>
        <v>50</v>
      </c>
      <c r="BL62" s="1">
        <f>SUM(BL2:BL61)</f>
        <v>50</v>
      </c>
      <c r="BM62" s="1">
        <f>SUM(BM2:BM61)</f>
        <v>150</v>
      </c>
      <c r="BN62" s="1">
        <f>SUM(BN2:BN61)</f>
        <v>150</v>
      </c>
      <c r="BO62" s="1">
        <f>SUM(BO2:BO61)</f>
        <v>200</v>
      </c>
      <c r="BP62" s="1">
        <f>SUM(BP2:BP61)</f>
        <v>200</v>
      </c>
      <c r="BQ62" s="1"/>
      <c r="BR62" s="1"/>
      <c r="BS62" s="17"/>
      <c r="BT62" s="17"/>
    </row>
    <row r="63" spans="1:74">
      <c r="A63" s="1"/>
      <c r="B63" s="3" t="s">
        <v>62</v>
      </c>
      <c r="C63" s="1"/>
      <c r="D63" s="1"/>
      <c r="E63" s="1">
        <v>52</v>
      </c>
      <c r="F63" s="1">
        <v>155</v>
      </c>
      <c r="G63" s="1">
        <v>5</v>
      </c>
      <c r="H63" s="1">
        <v>15</v>
      </c>
      <c r="I63" s="1">
        <v>208</v>
      </c>
      <c r="J63" s="1">
        <v>167</v>
      </c>
      <c r="K63" s="1">
        <v>126</v>
      </c>
      <c r="L63" s="1">
        <v>146</v>
      </c>
      <c r="M63" s="1">
        <v>149</v>
      </c>
      <c r="N63" s="1">
        <v>219</v>
      </c>
      <c r="O63" s="1">
        <v>139</v>
      </c>
      <c r="P63" s="14">
        <v>178</v>
      </c>
      <c r="Q63" s="14">
        <v>0</v>
      </c>
      <c r="R63" s="14">
        <v>1</v>
      </c>
      <c r="S63" s="14">
        <v>238</v>
      </c>
      <c r="T63" s="14">
        <v>27</v>
      </c>
      <c r="U63" s="14">
        <v>1</v>
      </c>
      <c r="V63" s="14">
        <v>155</v>
      </c>
      <c r="W63" s="14">
        <v>0</v>
      </c>
      <c r="X63" s="14">
        <v>10</v>
      </c>
      <c r="Y63" s="14">
        <v>149</v>
      </c>
      <c r="Z63" s="14">
        <v>8</v>
      </c>
      <c r="AA63" s="14">
        <v>0</v>
      </c>
      <c r="AB63" s="14">
        <v>225</v>
      </c>
      <c r="AC63" s="14">
        <v>2</v>
      </c>
      <c r="AD63" s="14">
        <v>1</v>
      </c>
      <c r="AE63" s="1">
        <v>38</v>
      </c>
      <c r="AF63" s="1">
        <v>5</v>
      </c>
      <c r="AG63" s="1">
        <v>33</v>
      </c>
      <c r="AH63" s="1">
        <v>2</v>
      </c>
      <c r="AI63" s="1">
        <v>6</v>
      </c>
      <c r="AJ63" s="1">
        <v>13</v>
      </c>
      <c r="AK63" s="1">
        <v>23</v>
      </c>
      <c r="AL63" s="1">
        <v>33</v>
      </c>
      <c r="AM63" s="1">
        <v>0</v>
      </c>
      <c r="AN63" s="1">
        <v>11</v>
      </c>
      <c r="AO63" s="1">
        <v>0</v>
      </c>
      <c r="AP63" s="1">
        <v>8</v>
      </c>
      <c r="AQ63" s="14">
        <v>53</v>
      </c>
      <c r="AR63" s="14">
        <v>59</v>
      </c>
      <c r="AS63" s="14">
        <v>63</v>
      </c>
      <c r="AT63" s="14">
        <v>67</v>
      </c>
      <c r="AU63" s="14">
        <v>75</v>
      </c>
      <c r="AV63" s="14">
        <v>84</v>
      </c>
      <c r="AW63" s="14">
        <v>11</v>
      </c>
      <c r="AX63" s="14">
        <v>67</v>
      </c>
      <c r="AY63" s="14">
        <v>36</v>
      </c>
      <c r="AZ63" s="14">
        <v>45</v>
      </c>
      <c r="BA63" s="14">
        <v>10</v>
      </c>
      <c r="BB63" s="14">
        <v>2</v>
      </c>
      <c r="BC63" s="14">
        <v>6</v>
      </c>
      <c r="BD63" s="1">
        <v>49</v>
      </c>
      <c r="BE63" s="1">
        <v>255</v>
      </c>
      <c r="BF63" s="1">
        <v>396</v>
      </c>
      <c r="BG63" s="1">
        <v>312</v>
      </c>
      <c r="BH63" s="1">
        <v>330</v>
      </c>
      <c r="BI63" s="1">
        <v>162</v>
      </c>
      <c r="BJ63" s="1">
        <v>195</v>
      </c>
      <c r="BK63" s="1">
        <v>131</v>
      </c>
      <c r="BL63" s="1">
        <v>127</v>
      </c>
      <c r="BM63" s="1">
        <v>324</v>
      </c>
      <c r="BN63" s="1">
        <v>141</v>
      </c>
      <c r="BO63" s="1">
        <v>3</v>
      </c>
      <c r="BP63" s="1">
        <v>217</v>
      </c>
      <c r="BQ63" s="1"/>
      <c r="BR63" s="1"/>
      <c r="BS63" s="17"/>
      <c r="BT63" s="17"/>
    </row>
    <row r="64" spans="1:74">
      <c r="A64" s="1"/>
      <c r="B64" s="3" t="s">
        <v>69</v>
      </c>
      <c r="C64" s="1"/>
      <c r="D64" s="1"/>
      <c r="E64" s="1">
        <f>E63-E62</f>
        <v>2</v>
      </c>
      <c r="F64" s="1">
        <f>F63-F62</f>
        <v>155</v>
      </c>
      <c r="G64" s="1">
        <f>G63-G62</f>
        <v>-35</v>
      </c>
      <c r="H64" s="1">
        <f>H63-H62</f>
        <v>-5</v>
      </c>
      <c r="I64" s="1">
        <f>I63-I62</f>
        <v>158</v>
      </c>
      <c r="J64" s="1">
        <f>J63-J62</f>
        <v>127</v>
      </c>
      <c r="K64" s="1">
        <f>K63-K62</f>
        <v>126</v>
      </c>
      <c r="L64" s="1">
        <f>L63-L62</f>
        <v>119</v>
      </c>
      <c r="M64" s="1">
        <f>M63-M62</f>
        <v>119</v>
      </c>
      <c r="N64" s="1">
        <f>N63-N62</f>
        <v>209</v>
      </c>
      <c r="O64" s="1">
        <f>O63-O62</f>
        <v>119</v>
      </c>
      <c r="P64" s="1">
        <f>P63-P62</f>
        <v>158</v>
      </c>
      <c r="Q64" s="1">
        <f>Q63-Q62</f>
        <v>-42</v>
      </c>
      <c r="R64" s="1">
        <f>R63-R62</f>
        <v>-181</v>
      </c>
      <c r="S64" s="1">
        <f>S63-S62</f>
        <v>218</v>
      </c>
      <c r="T64" s="1">
        <f>T63-T62</f>
        <v>-10</v>
      </c>
      <c r="U64" s="1">
        <f>U63-U62</f>
        <v>-137</v>
      </c>
      <c r="V64" s="1">
        <f>V63-V62</f>
        <v>115</v>
      </c>
      <c r="W64" s="1">
        <f>W63-W62</f>
        <v>-10</v>
      </c>
      <c r="X64" s="1">
        <f>X63-X62</f>
        <v>-137</v>
      </c>
      <c r="Y64" s="1">
        <f>Y63-Y62</f>
        <v>119</v>
      </c>
      <c r="Z64" s="1">
        <f>Z63-Z62</f>
        <v>-27</v>
      </c>
      <c r="AA64" s="1">
        <f>AA63-AA62</f>
        <v>-80</v>
      </c>
      <c r="AB64" s="1">
        <f>AB63-AB62</f>
        <v>165</v>
      </c>
      <c r="AC64" s="1">
        <f>AC63-AC62</f>
        <v>-33</v>
      </c>
      <c r="AD64" s="1">
        <f>AD63-AD62</f>
        <v>-111</v>
      </c>
      <c r="AE64" s="1">
        <f>AE63-AE62</f>
        <v>-212</v>
      </c>
      <c r="AF64" s="1">
        <f>AF63-AF62</f>
        <v>0</v>
      </c>
      <c r="AG64" s="1">
        <f>AG63-AG62</f>
        <v>33</v>
      </c>
      <c r="AH64" s="1">
        <f>AH63-AH62</f>
        <v>-13</v>
      </c>
      <c r="AI64" s="1">
        <f>AI63-AI62</f>
        <v>-9</v>
      </c>
      <c r="AJ64" s="1">
        <f>AJ63-AJ62</f>
        <v>13</v>
      </c>
      <c r="AK64" s="1">
        <f>AK63-AK62</f>
        <v>23</v>
      </c>
      <c r="AL64" s="1">
        <f>AL63-AL62</f>
        <v>33</v>
      </c>
      <c r="AM64" s="1">
        <f>AM63-AM62</f>
        <v>0</v>
      </c>
      <c r="AN64" s="1">
        <f>AN63-AN62</f>
        <v>11</v>
      </c>
      <c r="AO64" s="1">
        <f>AO63-AO62</f>
        <v>0</v>
      </c>
      <c r="AP64" s="1">
        <f>AP63-AP62</f>
        <v>8</v>
      </c>
      <c r="AQ64" s="1">
        <f>AQ63-AQ62</f>
        <v>13</v>
      </c>
      <c r="AR64" s="1">
        <f>AR63-AR62</f>
        <v>9</v>
      </c>
      <c r="AS64" s="1">
        <f>AS63-AS62</f>
        <v>-7</v>
      </c>
      <c r="AT64" s="1">
        <f>AT63-AT62</f>
        <v>-23</v>
      </c>
      <c r="AU64" s="1">
        <f>AU63-AU62</f>
        <v>15</v>
      </c>
      <c r="AV64" s="1">
        <f>AV63-AV62</f>
        <v>24</v>
      </c>
      <c r="AW64" s="1">
        <f>AW63-AW62</f>
        <v>11</v>
      </c>
      <c r="AX64" s="1">
        <f>AX63-AX62</f>
        <v>-13</v>
      </c>
      <c r="AY64" s="1">
        <f>AY63-AY62</f>
        <v>-4</v>
      </c>
      <c r="AZ64" s="1">
        <f>AZ63-AZ62</f>
        <v>5</v>
      </c>
      <c r="BA64" s="1">
        <f>BA63-BA62</f>
        <v>-30</v>
      </c>
      <c r="BB64" s="1">
        <f>BB63-BB62</f>
        <v>-38</v>
      </c>
      <c r="BC64" s="1">
        <f>BC63-BC62</f>
        <v>-24</v>
      </c>
      <c r="BD64" s="1">
        <f>BD63-BD62</f>
        <v>49</v>
      </c>
      <c r="BE64" s="1">
        <f>BE63-BE62</f>
        <v>255</v>
      </c>
      <c r="BF64" s="1">
        <f>BF63-BF62</f>
        <v>396</v>
      </c>
      <c r="BG64" s="1">
        <f>BG63-BG62</f>
        <v>312</v>
      </c>
      <c r="BH64" s="1">
        <f>BH63-BH62</f>
        <v>330</v>
      </c>
      <c r="BI64" s="1">
        <f>BI63-BI62</f>
        <v>162</v>
      </c>
      <c r="BJ64" s="1">
        <f>BJ63-BJ62</f>
        <v>195</v>
      </c>
      <c r="BK64" s="1">
        <f>BK63-BK62</f>
        <v>81</v>
      </c>
      <c r="BL64" s="1">
        <f>BL63-BL62</f>
        <v>77</v>
      </c>
      <c r="BM64" s="1">
        <f>BM63-BM62</f>
        <v>174</v>
      </c>
      <c r="BN64" s="1">
        <f>BN63-BN62</f>
        <v>-9</v>
      </c>
      <c r="BO64" s="1">
        <f>BO63-BO62</f>
        <v>-197</v>
      </c>
      <c r="BP64" s="1">
        <f>BP63-BP62</f>
        <v>17</v>
      </c>
      <c r="BQ64" s="1"/>
      <c r="BR64" s="1"/>
      <c r="BS64" s="17"/>
      <c r="BT64" s="17"/>
    </row>
    <row r="65" spans="1:72">
      <c r="A65" s="1"/>
      <c r="B65" s="3" t="s">
        <v>109</v>
      </c>
      <c r="C65" s="1"/>
      <c r="D65" s="1"/>
      <c r="E65" s="1">
        <f>MAX(E2:E61)</f>
        <v>10</v>
      </c>
      <c r="F65" s="1">
        <f>MAX(F2:F61)</f>
        <v>0</v>
      </c>
      <c r="G65" s="1">
        <f>MAX(G2:G61)</f>
        <v>10</v>
      </c>
      <c r="H65" s="1">
        <f>MAX(H2:H61)</f>
        <v>10</v>
      </c>
      <c r="I65" s="1">
        <f>MAX(I2:I61)</f>
        <v>10</v>
      </c>
      <c r="J65" s="1">
        <f>MAX(J2:J61)</f>
        <v>10</v>
      </c>
      <c r="K65" s="1">
        <f>MAX(K2:K61)</f>
        <v>0</v>
      </c>
      <c r="L65" s="1">
        <f>MAX(L2:L61)</f>
        <v>10</v>
      </c>
      <c r="M65" s="1">
        <f>MAX(M2:M61)</f>
        <v>10</v>
      </c>
      <c r="N65" s="1">
        <f>MAX(N2:N61)</f>
        <v>10</v>
      </c>
      <c r="O65" s="1">
        <f>MAX(O2:O61)</f>
        <v>10</v>
      </c>
      <c r="P65" s="1">
        <f>MAX(P2:P61)</f>
        <v>10</v>
      </c>
      <c r="Q65" s="1">
        <f>MAX(Q2:Q61)</f>
        <v>7</v>
      </c>
      <c r="R65" s="1">
        <f>MAX(R2:R61)</f>
        <v>10</v>
      </c>
      <c r="S65" s="1">
        <f>MAX(S2:S61)</f>
        <v>10</v>
      </c>
      <c r="T65" s="1">
        <f>MAX(T2:T61)</f>
        <v>7</v>
      </c>
      <c r="U65" s="1">
        <f>MAX(U2:U61)</f>
        <v>10</v>
      </c>
      <c r="V65" s="1">
        <f>MAX(V2:V61)</f>
        <v>10</v>
      </c>
      <c r="W65" s="1">
        <f>MAX(W2:W61)</f>
        <v>5</v>
      </c>
      <c r="X65" s="1">
        <f>MAX(X2:X61)</f>
        <v>10</v>
      </c>
      <c r="Y65" s="1">
        <f>MAX(Y2:Y61)</f>
        <v>10</v>
      </c>
      <c r="Z65" s="1">
        <f>MAX(Z2:Z61)</f>
        <v>5</v>
      </c>
      <c r="AA65" s="1">
        <f>MAX(AA2:AA61)</f>
        <v>10</v>
      </c>
      <c r="AB65" s="1">
        <f>MAX(AB2:AB61)</f>
        <v>10</v>
      </c>
      <c r="AC65" s="1">
        <f>MAX(AC2:AC61)</f>
        <v>5</v>
      </c>
      <c r="AD65" s="1">
        <f>MAX(AD2:AD61)</f>
        <v>10</v>
      </c>
      <c r="AE65" s="1">
        <f>MAX(AE2:AE61)</f>
        <v>200</v>
      </c>
      <c r="AF65" s="1">
        <f>MAX(AF2:AF61)</f>
        <v>5</v>
      </c>
      <c r="AG65" s="1">
        <f>MAX(AG2:AG61)</f>
        <v>0</v>
      </c>
      <c r="AH65" s="1">
        <f>MAX(AH2:AH61)</f>
        <v>5</v>
      </c>
      <c r="AI65" s="1">
        <f>MAX(AI2:AI61)</f>
        <v>5</v>
      </c>
      <c r="AJ65" s="1">
        <f>MAX(AJ2:AJ61)</f>
        <v>0</v>
      </c>
      <c r="AK65" s="1">
        <f>MAX(AK2:AK61)</f>
        <v>0</v>
      </c>
      <c r="AL65" s="1">
        <f>MAX(AL2:AL61)</f>
        <v>0</v>
      </c>
      <c r="AM65" s="1">
        <f>MAX(AM2:AM61)</f>
        <v>0</v>
      </c>
      <c r="AN65" s="1">
        <f>MAX(AN2:AN61)</f>
        <v>0</v>
      </c>
      <c r="AO65" s="1">
        <f>MAX(AO2:AO61)</f>
        <v>0</v>
      </c>
      <c r="AP65" s="1">
        <f>MAX(AP2:AP61)</f>
        <v>0</v>
      </c>
      <c r="AQ65" s="1">
        <f>MAX(AQ2:AQ61)</f>
        <v>10</v>
      </c>
      <c r="AR65" s="1">
        <f>MAX(AR2:AR61)</f>
        <v>40</v>
      </c>
      <c r="AS65" s="1">
        <f>MAX(AS2:AS61)</f>
        <v>40</v>
      </c>
      <c r="AT65" s="1">
        <f>MAX(AT2:AT61)</f>
        <v>40</v>
      </c>
      <c r="AU65" s="1">
        <f>MAX(AU2:AU61)</f>
        <v>10</v>
      </c>
      <c r="AV65" s="1">
        <f>MAX(AV2:AV61)</f>
        <v>10</v>
      </c>
      <c r="AW65" s="1">
        <f>MAX(AW2:AW61)</f>
        <v>0</v>
      </c>
      <c r="AX65" s="1">
        <f>MAX(AX2:AX61)</f>
        <v>40</v>
      </c>
      <c r="AY65" s="1">
        <f>MAX(AY2:AY61)</f>
        <v>40</v>
      </c>
      <c r="AZ65" s="1">
        <f>MAX(AZ2:AZ61)</f>
        <v>40</v>
      </c>
      <c r="BA65" s="1">
        <f>MAX(BA2:BA61)</f>
        <v>40</v>
      </c>
      <c r="BB65" s="1">
        <f>MAX(BB2:BB61)</f>
        <v>40</v>
      </c>
      <c r="BC65" s="1">
        <f>MAX(BC2:BC61)</f>
        <v>10</v>
      </c>
      <c r="BD65" s="1">
        <f>MAX(BD2:BD61)</f>
        <v>0</v>
      </c>
      <c r="BE65" s="1">
        <f>MAX(BE2:BE61)</f>
        <v>0</v>
      </c>
      <c r="BF65" s="1">
        <f>MAX(BF2:BF61)</f>
        <v>0</v>
      </c>
      <c r="BG65" s="1">
        <f>MAX(BG2:BG61)</f>
        <v>0</v>
      </c>
      <c r="BH65" s="1">
        <f>MAX(BH2:BH61)</f>
        <v>0</v>
      </c>
      <c r="BI65" s="1">
        <f>MAX(BI2:BI61)</f>
        <v>0</v>
      </c>
      <c r="BJ65" s="1">
        <f>MAX(BJ2:BJ61)</f>
        <v>0</v>
      </c>
      <c r="BK65" s="1">
        <f>MAX(BK2:BK61)</f>
        <v>50</v>
      </c>
      <c r="BL65" s="1">
        <f>MAX(BL2:BL61)</f>
        <v>50</v>
      </c>
      <c r="BM65" s="1">
        <f>MAX(BM2:BM61)</f>
        <v>50</v>
      </c>
      <c r="BN65" s="1">
        <f>MAX(BN2:BN61)</f>
        <v>50</v>
      </c>
      <c r="BO65" s="1">
        <f>MAX(BO2:BO61)</f>
        <v>50</v>
      </c>
      <c r="BP65" s="1">
        <f>MAX(BP2:BP61)</f>
        <v>50</v>
      </c>
      <c r="BQ65" s="1"/>
      <c r="BR65" s="1"/>
      <c r="BS65" s="17"/>
      <c r="BT65" s="17"/>
    </row>
    <row r="66" spans="1:72">
      <c r="A66" s="1"/>
      <c r="B66" s="3" t="s">
        <v>110</v>
      </c>
      <c r="C66" s="1"/>
      <c r="D66" s="1"/>
      <c r="E66" s="1">
        <f>MIN(E2:E61)</f>
        <v>10</v>
      </c>
      <c r="F66" s="1">
        <f>MIN(F2:F61)</f>
        <v>0</v>
      </c>
      <c r="G66" s="1">
        <f>MIN(G2:G61)</f>
        <v>10</v>
      </c>
      <c r="H66" s="1">
        <f>MIN(H2:H61)</f>
        <v>10</v>
      </c>
      <c r="I66" s="1">
        <f>MIN(I2:I61)</f>
        <v>10</v>
      </c>
      <c r="J66" s="1">
        <f>MIN(J2:J61)</f>
        <v>10</v>
      </c>
      <c r="K66" s="1">
        <f>MIN(K2:K61)</f>
        <v>0</v>
      </c>
      <c r="L66" s="1">
        <f>MIN(L2:L61)</f>
        <v>7</v>
      </c>
      <c r="M66" s="1">
        <f>MIN(M2:M61)</f>
        <v>10</v>
      </c>
      <c r="N66" s="1">
        <f>MIN(N2:N61)</f>
        <v>10</v>
      </c>
      <c r="O66" s="1">
        <f>MIN(O2:O61)</f>
        <v>10</v>
      </c>
      <c r="P66" s="1">
        <f>MIN(P2:P61)</f>
        <v>10</v>
      </c>
      <c r="Q66" s="1">
        <f>MIN(Q2:Q61)</f>
        <v>5</v>
      </c>
      <c r="R66" s="1">
        <f>MIN(R2:R61)</f>
        <v>2</v>
      </c>
      <c r="S66" s="1">
        <f>MIN(S2:S61)</f>
        <v>10</v>
      </c>
      <c r="T66" s="1">
        <f>MIN(T2:T61)</f>
        <v>5</v>
      </c>
      <c r="U66" s="1">
        <f>MIN(U2:U61)</f>
        <v>2</v>
      </c>
      <c r="V66" s="1">
        <f>MIN(V2:V61)</f>
        <v>10</v>
      </c>
      <c r="W66" s="1">
        <f>MIN(W2:W61)</f>
        <v>5</v>
      </c>
      <c r="X66" s="1">
        <f>MIN(X2:X61)</f>
        <v>2</v>
      </c>
      <c r="Y66" s="1">
        <f>MIN(Y2:Y61)</f>
        <v>10</v>
      </c>
      <c r="Z66" s="1">
        <f>MIN(Z2:Z61)</f>
        <v>5</v>
      </c>
      <c r="AA66" s="1">
        <f>MIN(AA2:AA61)</f>
        <v>2</v>
      </c>
      <c r="AB66" s="1">
        <f>MIN(AB2:AB61)</f>
        <v>10</v>
      </c>
      <c r="AC66" s="1">
        <f>MIN(AC2:AC61)</f>
        <v>5</v>
      </c>
      <c r="AD66" s="1">
        <f>MIN(AD2:AD61)</f>
        <v>2</v>
      </c>
      <c r="AE66" s="1">
        <f>MIN(AE2:AE61)</f>
        <v>50</v>
      </c>
      <c r="AF66" s="1">
        <f>MIN(AF2:AF61)</f>
        <v>5</v>
      </c>
      <c r="AG66" s="1">
        <f>MIN(AG2:AG61)</f>
        <v>0</v>
      </c>
      <c r="AH66" s="1">
        <f>MIN(AH2:AH61)</f>
        <v>5</v>
      </c>
      <c r="AI66" s="1">
        <f>MIN(AI2:AI61)</f>
        <v>5</v>
      </c>
      <c r="AJ66" s="1">
        <f>MIN(AJ2:AJ61)</f>
        <v>0</v>
      </c>
      <c r="AK66" s="1">
        <f>MIN(AK2:AK61)</f>
        <v>0</v>
      </c>
      <c r="AL66" s="1">
        <f>MIN(AL2:AL61)</f>
        <v>0</v>
      </c>
      <c r="AM66" s="1">
        <f>MIN(AM2:AM61)</f>
        <v>0</v>
      </c>
      <c r="AN66" s="1">
        <f>MIN(AN2:AN61)</f>
        <v>0</v>
      </c>
      <c r="AO66" s="1">
        <f>MIN(AO2:AO61)</f>
        <v>0</v>
      </c>
      <c r="AP66" s="1">
        <f>MIN(AP2:AP61)</f>
        <v>0</v>
      </c>
      <c r="AQ66" s="1">
        <f>MIN(AQ2:AQ61)</f>
        <v>10</v>
      </c>
      <c r="AR66" s="1">
        <f>MIN(AR2:AR61)</f>
        <v>10</v>
      </c>
      <c r="AS66" s="1">
        <f>MIN(AS2:AS61)</f>
        <v>10</v>
      </c>
      <c r="AT66" s="1">
        <f>MIN(AT2:AT61)</f>
        <v>10</v>
      </c>
      <c r="AU66" s="1">
        <f>MIN(AU2:AU61)</f>
        <v>10</v>
      </c>
      <c r="AV66" s="1">
        <f>MIN(AV2:AV61)</f>
        <v>10</v>
      </c>
      <c r="AW66" s="1">
        <f>MIN(AW2:AW61)</f>
        <v>0</v>
      </c>
      <c r="AX66" s="1">
        <f>MIN(AX2:AX61)</f>
        <v>40</v>
      </c>
      <c r="AY66" s="1">
        <f>MIN(AY2:AY61)</f>
        <v>40</v>
      </c>
      <c r="AZ66" s="1">
        <f>MIN(AZ2:AZ61)</f>
        <v>40</v>
      </c>
      <c r="BA66" s="1">
        <f>MIN(BA2:BA61)</f>
        <v>40</v>
      </c>
      <c r="BB66" s="1">
        <f>MIN(BB2:BB61)</f>
        <v>40</v>
      </c>
      <c r="BC66" s="1">
        <f>MIN(BC2:BC61)</f>
        <v>10</v>
      </c>
      <c r="BD66" s="1">
        <f>MIN(BD2:BD61)</f>
        <v>0</v>
      </c>
      <c r="BE66" s="1">
        <f>MIN(BE2:BE61)</f>
        <v>0</v>
      </c>
      <c r="BF66" s="1">
        <f>MIN(BF2:BF61)</f>
        <v>0</v>
      </c>
      <c r="BG66" s="1">
        <f>MIN(BG2:BG61)</f>
        <v>0</v>
      </c>
      <c r="BH66" s="1">
        <f>MIN(BH2:BH61)</f>
        <v>0</v>
      </c>
      <c r="BI66" s="1">
        <f>MIN(BI2:BI61)</f>
        <v>0</v>
      </c>
      <c r="BJ66" s="1">
        <f>MIN(BJ2:BJ61)</f>
        <v>0</v>
      </c>
      <c r="BK66" s="1">
        <f>MIN(BK2:BK61)</f>
        <v>50</v>
      </c>
      <c r="BL66" s="1">
        <f>MIN(BL2:BL61)</f>
        <v>50</v>
      </c>
      <c r="BM66" s="1">
        <f>MIN(BM2:BM61)</f>
        <v>50</v>
      </c>
      <c r="BN66" s="1">
        <f>MIN(BN2:BN61)</f>
        <v>50</v>
      </c>
      <c r="BO66" s="1">
        <f>MIN(BO2:BO61)</f>
        <v>50</v>
      </c>
      <c r="BP66" s="1">
        <f>MIN(BP2:BP61)</f>
        <v>50</v>
      </c>
      <c r="BQ66" s="1"/>
      <c r="BR66" s="1"/>
      <c r="BS66" s="17"/>
      <c r="BT66" s="17"/>
    </row>
    <row r="67" spans="1:72">
      <c r="A67" s="1"/>
      <c r="B67" s="3" t="s">
        <v>111</v>
      </c>
      <c r="C67" s="1"/>
      <c r="D67" s="1"/>
      <c r="E67" s="1">
        <f>E63-E65</f>
        <v>42</v>
      </c>
      <c r="F67" s="1">
        <f>F63-F65</f>
        <v>155</v>
      </c>
      <c r="G67" s="1">
        <f>G63-G65</f>
        <v>-5</v>
      </c>
      <c r="H67" s="1">
        <f>H63-H65</f>
        <v>5</v>
      </c>
      <c r="I67" s="1">
        <f>I63-I65</f>
        <v>198</v>
      </c>
      <c r="J67" s="1">
        <f>J63-J65</f>
        <v>157</v>
      </c>
      <c r="K67" s="1">
        <f>K63-K65</f>
        <v>126</v>
      </c>
      <c r="L67" s="1">
        <f>L63-L65</f>
        <v>136</v>
      </c>
      <c r="M67" s="1">
        <f>M63-M65</f>
        <v>139</v>
      </c>
      <c r="N67" s="1">
        <f>N63-N65</f>
        <v>209</v>
      </c>
      <c r="O67" s="1">
        <f>O63-O65</f>
        <v>129</v>
      </c>
      <c r="P67" s="1">
        <f>P63-P65</f>
        <v>168</v>
      </c>
      <c r="Q67" s="1">
        <f>Q63-Q65</f>
        <v>-7</v>
      </c>
      <c r="R67" s="1">
        <f>R63-R65</f>
        <v>-9</v>
      </c>
      <c r="S67" s="1">
        <f>S63-S65</f>
        <v>228</v>
      </c>
      <c r="T67" s="1">
        <f>T63-T65</f>
        <v>20</v>
      </c>
      <c r="U67" s="1">
        <f>U63-U65</f>
        <v>-9</v>
      </c>
      <c r="V67" s="1">
        <f>V63-V65</f>
        <v>145</v>
      </c>
      <c r="W67" s="1">
        <f>W63-W65</f>
        <v>-5</v>
      </c>
      <c r="X67" s="1">
        <f>X63-X65</f>
        <v>0</v>
      </c>
      <c r="Y67" s="1">
        <f>Y63-Y65</f>
        <v>139</v>
      </c>
      <c r="Z67" s="1">
        <f>Z63-Z65</f>
        <v>3</v>
      </c>
      <c r="AA67" s="1">
        <f>AA63-AA65</f>
        <v>-10</v>
      </c>
      <c r="AB67" s="1">
        <f>AB63-AB65</f>
        <v>215</v>
      </c>
      <c r="AC67" s="1">
        <f>AC63-AC65</f>
        <v>-3</v>
      </c>
      <c r="AD67" s="1">
        <f>AD63-AD65</f>
        <v>-9</v>
      </c>
      <c r="AE67" s="1">
        <f>AE63-AE65</f>
        <v>-162</v>
      </c>
      <c r="AF67" s="1">
        <f>AF63-AF65</f>
        <v>0</v>
      </c>
      <c r="AG67" s="1">
        <f>AG63-AG65</f>
        <v>33</v>
      </c>
      <c r="AH67" s="1">
        <f>AH63-AH65</f>
        <v>-3</v>
      </c>
      <c r="AI67" s="1">
        <f>AI63-AI65</f>
        <v>1</v>
      </c>
      <c r="AJ67" s="1">
        <f>AJ63-AJ65</f>
        <v>13</v>
      </c>
      <c r="AK67" s="1">
        <f>AK63-AK65</f>
        <v>23</v>
      </c>
      <c r="AL67" s="1">
        <f>AL63-AL65</f>
        <v>33</v>
      </c>
      <c r="AM67" s="1">
        <f>AM63-AM65</f>
        <v>0</v>
      </c>
      <c r="AN67" s="1">
        <f>AN63-AN65</f>
        <v>11</v>
      </c>
      <c r="AO67" s="1">
        <f>AO63-AO65</f>
        <v>0</v>
      </c>
      <c r="AP67" s="1">
        <f>AP63-AP65</f>
        <v>8</v>
      </c>
      <c r="AQ67" s="1">
        <f>AQ63-AQ65</f>
        <v>43</v>
      </c>
      <c r="AR67" s="1">
        <f>AR63-AR65</f>
        <v>19</v>
      </c>
      <c r="AS67" s="1">
        <f>AS63-AS65</f>
        <v>23</v>
      </c>
      <c r="AT67" s="1">
        <f>AT63-AT65</f>
        <v>27</v>
      </c>
      <c r="AU67" s="1">
        <f>AU63-AU65</f>
        <v>65</v>
      </c>
      <c r="AV67" s="1">
        <f>AV63-AV65</f>
        <v>74</v>
      </c>
      <c r="AW67" s="1">
        <f>AW63-AW65</f>
        <v>11</v>
      </c>
      <c r="AX67" s="1">
        <f>AX63-AX65</f>
        <v>27</v>
      </c>
      <c r="AY67" s="1">
        <f>AY63-AY65</f>
        <v>-4</v>
      </c>
      <c r="AZ67" s="1">
        <f>AZ63-AZ65</f>
        <v>5</v>
      </c>
      <c r="BA67" s="1">
        <f>BA63-BA65</f>
        <v>-30</v>
      </c>
      <c r="BB67" s="1">
        <f>BB63-BB65</f>
        <v>-38</v>
      </c>
      <c r="BC67" s="1">
        <f>BC63-BC65</f>
        <v>-4</v>
      </c>
      <c r="BD67" s="1">
        <f>BD63-BD65</f>
        <v>49</v>
      </c>
      <c r="BE67" s="1">
        <f>BE63-BE65</f>
        <v>255</v>
      </c>
      <c r="BF67" s="1">
        <f>BF63-BF65</f>
        <v>396</v>
      </c>
      <c r="BG67" s="1">
        <f>BG63-BG65</f>
        <v>312</v>
      </c>
      <c r="BH67" s="1">
        <f>BH63-BH65</f>
        <v>330</v>
      </c>
      <c r="BI67" s="1">
        <f>BI63-BI65</f>
        <v>162</v>
      </c>
      <c r="BJ67" s="1">
        <f>BJ63-BJ65</f>
        <v>195</v>
      </c>
      <c r="BK67" s="1">
        <f>BK63-BK65</f>
        <v>81</v>
      </c>
      <c r="BL67" s="1">
        <f>BL63-BL65</f>
        <v>77</v>
      </c>
      <c r="BM67" s="1">
        <f>BM63-BM65</f>
        <v>274</v>
      </c>
      <c r="BN67" s="1">
        <f>BN63-BN65</f>
        <v>91</v>
      </c>
      <c r="BO67" s="1">
        <f>BO63-BO65</f>
        <v>-47</v>
      </c>
      <c r="BP67" s="1">
        <f>BP63-BP65</f>
        <v>167</v>
      </c>
      <c r="BQ67" s="1"/>
      <c r="BR67" s="1"/>
      <c r="BS67" s="17"/>
      <c r="BT67" s="17"/>
    </row>
    <row r="68" spans="1:72" s="13" customFormat="1">
      <c r="A68" s="1"/>
      <c r="B68" s="3" t="s">
        <v>112</v>
      </c>
      <c r="C68" s="1"/>
      <c r="D68" s="1"/>
      <c r="E68" s="1">
        <f>E63-E66</f>
        <v>42</v>
      </c>
      <c r="F68" s="1">
        <f>F63-F66</f>
        <v>155</v>
      </c>
      <c r="G68" s="1">
        <f>G63-G66</f>
        <v>-5</v>
      </c>
      <c r="H68" s="1">
        <f>H63-H66</f>
        <v>5</v>
      </c>
      <c r="I68" s="1">
        <f>I63-I66</f>
        <v>198</v>
      </c>
      <c r="J68" s="1">
        <f>J63-J66</f>
        <v>157</v>
      </c>
      <c r="K68" s="1">
        <f>K63-K66</f>
        <v>126</v>
      </c>
      <c r="L68" s="1">
        <f>L63-L66</f>
        <v>139</v>
      </c>
      <c r="M68" s="1">
        <f>M63-M66</f>
        <v>139</v>
      </c>
      <c r="N68" s="1">
        <f>N63-N66</f>
        <v>209</v>
      </c>
      <c r="O68" s="1">
        <f>O63-O66</f>
        <v>129</v>
      </c>
      <c r="P68" s="1">
        <f>P63-P66</f>
        <v>168</v>
      </c>
      <c r="Q68" s="1">
        <f>Q63-Q66</f>
        <v>-5</v>
      </c>
      <c r="R68" s="1">
        <f>R63-R66</f>
        <v>-1</v>
      </c>
      <c r="S68" s="1">
        <f>S63-S66</f>
        <v>228</v>
      </c>
      <c r="T68" s="1">
        <f>T63-T66</f>
        <v>22</v>
      </c>
      <c r="U68" s="1">
        <f>U63-U66</f>
        <v>-1</v>
      </c>
      <c r="V68" s="1">
        <f>V63-V66</f>
        <v>145</v>
      </c>
      <c r="W68" s="1">
        <f>W63-W66</f>
        <v>-5</v>
      </c>
      <c r="X68" s="1">
        <f>X63-X66</f>
        <v>8</v>
      </c>
      <c r="Y68" s="1">
        <f>Y63-Y66</f>
        <v>139</v>
      </c>
      <c r="Z68" s="1">
        <f>Z63-Z66</f>
        <v>3</v>
      </c>
      <c r="AA68" s="1">
        <f>AA63-AA66</f>
        <v>-2</v>
      </c>
      <c r="AB68" s="1">
        <f>AB63-AB66</f>
        <v>215</v>
      </c>
      <c r="AC68" s="1">
        <f>AC63-AC66</f>
        <v>-3</v>
      </c>
      <c r="AD68" s="1">
        <f>AD63-AD66</f>
        <v>-1</v>
      </c>
      <c r="AE68" s="1">
        <f>AE63-AE66</f>
        <v>-12</v>
      </c>
      <c r="AF68" s="1">
        <f>AF63-AF66</f>
        <v>0</v>
      </c>
      <c r="AG68" s="1">
        <f>AG63-AG66</f>
        <v>33</v>
      </c>
      <c r="AH68" s="1">
        <f>AH63-AH66</f>
        <v>-3</v>
      </c>
      <c r="AI68" s="1">
        <f>AI63-AI66</f>
        <v>1</v>
      </c>
      <c r="AJ68" s="1">
        <f>AJ63-AJ66</f>
        <v>13</v>
      </c>
      <c r="AK68" s="1">
        <f>AK63-AK66</f>
        <v>23</v>
      </c>
      <c r="AL68" s="1">
        <f>AL63-AL66</f>
        <v>33</v>
      </c>
      <c r="AM68" s="1">
        <f>AM63-AM66</f>
        <v>0</v>
      </c>
      <c r="AN68" s="1">
        <f>AN63-AN66</f>
        <v>11</v>
      </c>
      <c r="AO68" s="1">
        <f>AO63-AO66</f>
        <v>0</v>
      </c>
      <c r="AP68" s="1">
        <f>AP63-AP66</f>
        <v>8</v>
      </c>
      <c r="AQ68" s="1">
        <f>AQ63-AQ66</f>
        <v>43</v>
      </c>
      <c r="AR68" s="1">
        <f>AR63-AR66</f>
        <v>49</v>
      </c>
      <c r="AS68" s="1">
        <f>AS63-AS66</f>
        <v>53</v>
      </c>
      <c r="AT68" s="1">
        <f>AT63-AT66</f>
        <v>57</v>
      </c>
      <c r="AU68" s="1">
        <f>AU63-AU66</f>
        <v>65</v>
      </c>
      <c r="AV68" s="1">
        <f>AV63-AV66</f>
        <v>74</v>
      </c>
      <c r="AW68" s="1">
        <f>AW63-AW66</f>
        <v>11</v>
      </c>
      <c r="AX68" s="1">
        <f>AX63-AX66</f>
        <v>27</v>
      </c>
      <c r="AY68" s="1">
        <f>AY63-AY66</f>
        <v>-4</v>
      </c>
      <c r="AZ68" s="1">
        <f>AZ63-AZ66</f>
        <v>5</v>
      </c>
      <c r="BA68" s="1">
        <f>BA63-BA66</f>
        <v>-30</v>
      </c>
      <c r="BB68" s="1">
        <f>BB63-BB66</f>
        <v>-38</v>
      </c>
      <c r="BC68" s="1">
        <f>BC63-BC66</f>
        <v>-4</v>
      </c>
      <c r="BD68" s="1">
        <f>BD63-BD66</f>
        <v>49</v>
      </c>
      <c r="BE68" s="1">
        <f>BE63-BE66</f>
        <v>255</v>
      </c>
      <c r="BF68" s="1">
        <f>BF63-BF66</f>
        <v>396</v>
      </c>
      <c r="BG68" s="1">
        <f>BG63-BG66</f>
        <v>312</v>
      </c>
      <c r="BH68" s="1">
        <f>BH63-BH66</f>
        <v>330</v>
      </c>
      <c r="BI68" s="1">
        <f>BI63-BI66</f>
        <v>162</v>
      </c>
      <c r="BJ68" s="1">
        <f>BJ63-BJ66</f>
        <v>195</v>
      </c>
      <c r="BK68" s="1">
        <f>BK63-BK66</f>
        <v>81</v>
      </c>
      <c r="BL68" s="1">
        <f>BL63-BL66</f>
        <v>77</v>
      </c>
      <c r="BM68" s="1">
        <f>BM63-BM66</f>
        <v>274</v>
      </c>
      <c r="BN68" s="1">
        <f>BN63-BN66</f>
        <v>91</v>
      </c>
      <c r="BO68" s="1">
        <f>BO63-BO66</f>
        <v>-47</v>
      </c>
      <c r="BP68" s="1">
        <f>BP63-BP66</f>
        <v>167</v>
      </c>
      <c r="BQ68" s="1"/>
      <c r="BR68" s="1"/>
      <c r="BS68" s="17"/>
      <c r="BT68" s="17"/>
    </row>
    <row r="69" spans="1:72">
      <c r="AQ69" s="7" t="s">
        <v>126</v>
      </c>
      <c r="AR69" s="7" t="s">
        <v>129</v>
      </c>
      <c r="AS69" s="7" t="s">
        <v>130</v>
      </c>
      <c r="AT69" s="7" t="s">
        <v>127</v>
      </c>
      <c r="AU69" s="7" t="s">
        <v>128</v>
      </c>
      <c r="AV69" s="7" t="s">
        <v>125</v>
      </c>
      <c r="AW69" s="7" t="s">
        <v>131</v>
      </c>
      <c r="AX69" s="7" t="s">
        <v>132</v>
      </c>
      <c r="AY69" s="7" t="s">
        <v>133</v>
      </c>
      <c r="AZ69" s="7" t="s">
        <v>134</v>
      </c>
      <c r="BA69" s="7" t="s">
        <v>135</v>
      </c>
      <c r="BB69" s="7" t="s">
        <v>136</v>
      </c>
    </row>
  </sheetData>
  <autoFilter ref="A1:BV69">
    <sortState ref="A2:BV69">
      <sortCondition ref="BS2:BS69"/>
      <sortCondition ref="BR2:BR69"/>
    </sortState>
  </autoFilter>
  <sortState ref="A2:CT148">
    <sortCondition ref="BS2:BS148"/>
    <sortCondition ref="BR2:BR148"/>
  </sortState>
  <phoneticPr fontId="1" type="noConversion"/>
  <conditionalFormatting sqref="E65:BC65 BE65:BP65">
    <cfRule type="expression" dxfId="13" priority="13">
      <formula>"&lt;=$E$135"</formula>
    </cfRule>
  </conditionalFormatting>
  <conditionalFormatting sqref="E67:BC68 BE67:BP68">
    <cfRule type="cellIs" dxfId="12" priority="4" operator="lessThan">
      <formula>0</formula>
    </cfRule>
  </conditionalFormatting>
  <conditionalFormatting sqref="E64:BC64 BE64:BP64">
    <cfRule type="cellIs" dxfId="11" priority="5" operator="lessThan">
      <formula>0</formula>
    </cfRule>
  </conditionalFormatting>
  <conditionalFormatting sqref="BD65">
    <cfRule type="expression" dxfId="10" priority="3">
      <formula>"&lt;=$E$135"</formula>
    </cfRule>
  </conditionalFormatting>
  <conditionalFormatting sqref="BD67:BD68">
    <cfRule type="cellIs" dxfId="9" priority="1" operator="lessThan">
      <formula>0</formula>
    </cfRule>
  </conditionalFormatting>
  <conditionalFormatting sqref="BD64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68</xdr:row>
                    <xdr:rowOff>28575</xdr:rowOff>
                  </from>
                  <to>
                    <xdr:col>1</xdr:col>
                    <xdr:colOff>428625</xdr:colOff>
                    <xdr:row>69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56</v>
      </c>
      <c r="B1" s="45" t="s">
        <v>57</v>
      </c>
      <c r="C1" s="45" t="s">
        <v>59</v>
      </c>
      <c r="D1" s="45" t="s">
        <v>58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55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86</v>
      </c>
      <c r="Q1" s="47" t="s">
        <v>98</v>
      </c>
      <c r="R1" s="47" t="s">
        <v>92</v>
      </c>
      <c r="S1" s="47" t="s">
        <v>87</v>
      </c>
      <c r="T1" s="47" t="s">
        <v>96</v>
      </c>
      <c r="U1" s="47" t="s">
        <v>100</v>
      </c>
      <c r="V1" s="47" t="s">
        <v>88</v>
      </c>
      <c r="W1" s="47" t="s">
        <v>95</v>
      </c>
      <c r="X1" s="47" t="s">
        <v>93</v>
      </c>
      <c r="Y1" s="47" t="s">
        <v>89</v>
      </c>
      <c r="Z1" s="47" t="s">
        <v>97</v>
      </c>
      <c r="AA1" s="47" t="s">
        <v>101</v>
      </c>
      <c r="AB1" s="47" t="s">
        <v>91</v>
      </c>
      <c r="AC1" s="47" t="s">
        <v>90</v>
      </c>
      <c r="AD1" s="47" t="s">
        <v>106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50</v>
      </c>
      <c r="AK1" s="45" t="s">
        <v>51</v>
      </c>
      <c r="AL1" s="45" t="s">
        <v>52</v>
      </c>
      <c r="AM1" s="45" t="s">
        <v>41</v>
      </c>
      <c r="AN1" s="45" t="s">
        <v>42</v>
      </c>
      <c r="AO1" s="45" t="s">
        <v>75</v>
      </c>
      <c r="AP1" s="45" t="s">
        <v>76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73</v>
      </c>
      <c r="BD1" s="45" t="s">
        <v>154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63</v>
      </c>
      <c r="BR1" s="45" t="s">
        <v>64</v>
      </c>
      <c r="BS1" s="52" t="s">
        <v>65</v>
      </c>
      <c r="BT1" s="52"/>
      <c r="BU1" s="53" t="s">
        <v>145</v>
      </c>
      <c r="BV1" s="53"/>
    </row>
    <row r="2" spans="1:74" s="60" customFormat="1">
      <c r="A2" s="58"/>
      <c r="B2" s="59" t="s">
        <v>139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180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139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176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139</v>
      </c>
      <c r="C4" s="59" t="s">
        <v>21</v>
      </c>
      <c r="D4" s="58" t="s">
        <v>138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177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166</v>
      </c>
      <c r="C5" s="59" t="s">
        <v>141</v>
      </c>
      <c r="D5" s="58" t="s">
        <v>138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181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62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69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109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110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111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112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126</v>
      </c>
      <c r="AR13" s="56" t="s">
        <v>129</v>
      </c>
      <c r="AS13" s="56" t="s">
        <v>130</v>
      </c>
      <c r="AT13" s="56" t="s">
        <v>127</v>
      </c>
      <c r="AU13" s="56" t="s">
        <v>128</v>
      </c>
      <c r="AV13" s="56" t="s">
        <v>125</v>
      </c>
      <c r="AW13" s="56" t="s">
        <v>131</v>
      </c>
      <c r="AX13" s="56" t="s">
        <v>132</v>
      </c>
      <c r="AY13" s="56" t="s">
        <v>133</v>
      </c>
      <c r="AZ13" s="56" t="s">
        <v>134</v>
      </c>
      <c r="BA13" s="56" t="s">
        <v>135</v>
      </c>
      <c r="BB13" s="56" t="s">
        <v>136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60</v>
      </c>
      <c r="B1" s="5" t="s">
        <v>57</v>
      </c>
      <c r="C1" s="5" t="s">
        <v>61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113</v>
      </c>
      <c r="D27" t="s">
        <v>114</v>
      </c>
      <c r="E27" t="s">
        <v>115</v>
      </c>
      <c r="F27" t="s">
        <v>116</v>
      </c>
      <c r="G27" t="s">
        <v>117</v>
      </c>
      <c r="H27" t="s">
        <v>118</v>
      </c>
      <c r="I27" t="s">
        <v>119</v>
      </c>
      <c r="J27" t="s">
        <v>120</v>
      </c>
      <c r="K27" t="s">
        <v>121</v>
      </c>
      <c r="L27" t="s">
        <v>122</v>
      </c>
      <c r="M27" t="s">
        <v>123</v>
      </c>
      <c r="N27" t="s">
        <v>124</v>
      </c>
    </row>
    <row r="31" spans="3:18">
      <c r="C31">
        <v>-3</v>
      </c>
      <c r="D31" t="s">
        <v>113</v>
      </c>
    </row>
    <row r="32" spans="3:18">
      <c r="C32">
        <v>-8</v>
      </c>
      <c r="D32" t="s">
        <v>114</v>
      </c>
    </row>
    <row r="33" spans="3:4">
      <c r="C33">
        <v>-3</v>
      </c>
      <c r="D33" t="s">
        <v>115</v>
      </c>
    </row>
    <row r="34" spans="3:4">
      <c r="C34">
        <v>1</v>
      </c>
      <c r="D34" t="s">
        <v>116</v>
      </c>
    </row>
    <row r="35" spans="3:4">
      <c r="C35">
        <v>3</v>
      </c>
      <c r="D35" t="s">
        <v>117</v>
      </c>
    </row>
    <row r="36" spans="3:4">
      <c r="C36">
        <v>0</v>
      </c>
      <c r="D36" t="s">
        <v>118</v>
      </c>
    </row>
    <row r="37" spans="3:4">
      <c r="C37">
        <v>-3</v>
      </c>
      <c r="D37" t="s">
        <v>119</v>
      </c>
    </row>
    <row r="38" spans="3:4">
      <c r="C38">
        <v>30</v>
      </c>
      <c r="D38" t="s">
        <v>120</v>
      </c>
    </row>
    <row r="39" spans="3:4">
      <c r="C39">
        <v>5</v>
      </c>
      <c r="D39" t="s">
        <v>121</v>
      </c>
    </row>
    <row r="40" spans="3:4">
      <c r="C40">
        <v>-10</v>
      </c>
      <c r="D40" t="s">
        <v>122</v>
      </c>
    </row>
    <row r="41" spans="3:4">
      <c r="C41">
        <v>3</v>
      </c>
      <c r="D41" t="s">
        <v>123</v>
      </c>
    </row>
    <row r="42" spans="3:4">
      <c r="C42">
        <v>138</v>
      </c>
      <c r="D42" t="s">
        <v>124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66</v>
      </c>
      <c r="B1" s="8" t="s">
        <v>67</v>
      </c>
      <c r="C1" s="8" t="s">
        <v>68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57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62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69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109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110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111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112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2020-10-09T01:41:10Z</dcterms:modified>
</cp:coreProperties>
</file>