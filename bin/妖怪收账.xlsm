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Sheet1!$A$1:$BP$150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F3" i="1" l="1"/>
  <c r="CF4" i="1"/>
  <c r="CF5" i="1"/>
  <c r="CF6" i="1"/>
  <c r="CF14" i="1"/>
  <c r="CF15" i="1"/>
  <c r="CF16" i="1"/>
  <c r="CF20" i="1"/>
  <c r="CF23" i="1"/>
  <c r="CF24" i="1"/>
  <c r="CF25" i="1"/>
  <c r="CF26" i="1"/>
  <c r="CF27" i="1"/>
  <c r="CF28" i="1"/>
  <c r="CF31" i="1"/>
  <c r="CF32" i="1"/>
  <c r="CF33" i="1"/>
  <c r="CF34" i="1"/>
  <c r="CF35" i="1"/>
  <c r="CF36" i="1"/>
  <c r="CF37" i="1"/>
  <c r="CF40" i="1"/>
  <c r="CF41" i="1"/>
  <c r="CF46" i="1"/>
  <c r="CF47" i="1"/>
  <c r="CF50" i="1"/>
  <c r="CF51" i="1"/>
  <c r="CF52" i="1"/>
  <c r="CF53" i="1"/>
  <c r="CF63" i="1"/>
  <c r="CF64" i="1"/>
  <c r="CF65" i="1"/>
  <c r="CF66" i="1"/>
  <c r="CF67" i="1"/>
  <c r="CF68" i="1"/>
  <c r="CF69" i="1"/>
  <c r="CF73" i="1"/>
  <c r="CF75" i="1"/>
  <c r="CF76" i="1"/>
  <c r="CF85" i="1"/>
  <c r="CF88" i="1"/>
  <c r="CF89" i="1"/>
  <c r="CF90" i="1"/>
  <c r="CF91" i="1"/>
  <c r="CF92" i="1"/>
  <c r="CF94" i="1"/>
  <c r="CF97" i="1"/>
  <c r="CF103" i="1"/>
  <c r="CF107" i="1"/>
  <c r="CF109" i="1"/>
  <c r="CF140" i="1"/>
  <c r="CF141" i="1"/>
  <c r="CF143" i="1"/>
  <c r="CF146" i="1"/>
  <c r="CF147" i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" i="1"/>
  <c r="BU6" i="1"/>
  <c r="BV6" i="1"/>
  <c r="BW6" i="1"/>
  <c r="BX6" i="1"/>
  <c r="BY6" i="1"/>
  <c r="BZ6" i="1"/>
  <c r="CA6" i="1"/>
  <c r="CB6" i="1"/>
  <c r="CC6" i="1"/>
  <c r="CD6" i="1"/>
  <c r="CE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9" i="1"/>
  <c r="BU9" i="1"/>
  <c r="BV9" i="1"/>
  <c r="BW9" i="1"/>
  <c r="BX9" i="1"/>
  <c r="BY9" i="1"/>
  <c r="BZ9" i="1"/>
  <c r="CA9" i="1"/>
  <c r="CB9" i="1"/>
  <c r="CC9" i="1"/>
  <c r="CD9" i="1"/>
  <c r="CE9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26" i="1"/>
  <c r="BP127" i="1"/>
  <c r="BP128" i="1"/>
  <c r="BP129" i="1"/>
  <c r="BP130" i="1"/>
  <c r="BP131" i="1"/>
  <c r="BP132" i="1"/>
  <c r="BP133" i="1"/>
  <c r="BP134" i="1"/>
  <c r="BP135" i="1"/>
  <c r="BP136" i="1"/>
  <c r="BP137" i="1"/>
  <c r="BP138" i="1"/>
  <c r="BP139" i="1"/>
  <c r="BP140" i="1"/>
  <c r="BP141" i="1"/>
  <c r="BP142" i="1"/>
  <c r="BP143" i="1"/>
  <c r="BP144" i="1"/>
  <c r="BP145" i="1"/>
  <c r="BP146" i="1"/>
  <c r="BP147" i="1"/>
  <c r="BP148" i="1"/>
  <c r="BP149" i="1"/>
  <c r="CS146" i="1" l="1"/>
  <c r="CM146" i="1" l="1"/>
  <c r="CO146" i="1" l="1"/>
  <c r="CK146" i="1"/>
  <c r="CI146" i="1"/>
  <c r="CN146" i="1"/>
  <c r="CP146" i="1"/>
  <c r="CJ146" i="1"/>
  <c r="CL146" i="1"/>
  <c r="CG146" i="1"/>
  <c r="CQ146" i="1"/>
  <c r="CH146" i="1"/>
  <c r="CR146" i="1"/>
  <c r="CS3" i="1"/>
  <c r="CS4" i="1"/>
  <c r="CS5" i="1"/>
  <c r="CS90" i="1"/>
  <c r="CS25" i="1"/>
  <c r="CS26" i="1"/>
  <c r="CS16" i="1"/>
  <c r="CS66" i="1"/>
  <c r="CS14" i="1"/>
  <c r="CS31" i="1"/>
  <c r="CS32" i="1"/>
  <c r="CS33" i="1"/>
  <c r="CS34" i="1"/>
  <c r="CS35" i="1"/>
  <c r="CS36" i="1"/>
  <c r="CS37" i="1"/>
  <c r="CS53" i="1"/>
  <c r="CS20" i="1"/>
  <c r="CS69" i="1"/>
  <c r="CS27" i="1"/>
  <c r="CS28" i="1"/>
  <c r="CS65" i="1"/>
  <c r="CS15" i="1"/>
  <c r="CS63" i="1"/>
  <c r="CS41" i="1"/>
  <c r="CS75" i="1"/>
  <c r="CS46" i="1"/>
  <c r="CS50" i="1"/>
  <c r="CS51" i="1"/>
  <c r="CS52" i="1"/>
  <c r="CS6" i="1"/>
  <c r="CS24" i="1"/>
  <c r="CS85" i="1"/>
  <c r="CS91" i="1"/>
  <c r="CS64" i="1"/>
  <c r="CS47" i="1"/>
  <c r="CS40" i="1"/>
  <c r="CS67" i="1"/>
  <c r="CS68" i="1"/>
  <c r="CS92" i="1"/>
  <c r="CS88" i="1"/>
  <c r="CS89" i="1"/>
  <c r="CS94" i="1"/>
  <c r="CS73" i="1"/>
  <c r="CS76" i="1"/>
  <c r="CS141" i="1"/>
  <c r="CS97" i="1"/>
  <c r="CS23" i="1"/>
  <c r="CS103" i="1"/>
  <c r="CS140" i="1"/>
  <c r="CS109" i="1"/>
  <c r="CS107" i="1"/>
  <c r="CS147" i="1"/>
  <c r="CS143" i="1"/>
  <c r="CS2" i="1"/>
  <c r="CS150" i="1" l="1"/>
  <c r="BU2" i="1"/>
  <c r="BV2" i="1"/>
  <c r="BW2" i="1"/>
  <c r="BX2" i="1"/>
  <c r="BY2" i="1"/>
  <c r="BZ2" i="1"/>
  <c r="CA2" i="1"/>
  <c r="CB2" i="1"/>
  <c r="CC2" i="1"/>
  <c r="CD2" i="1"/>
  <c r="CE2" i="1"/>
  <c r="BT2" i="1"/>
  <c r="CR66" i="1" l="1"/>
  <c r="CR32" i="1"/>
  <c r="CN31" i="1"/>
  <c r="CH16" i="1"/>
  <c r="CA150" i="1"/>
  <c r="CC150" i="1"/>
  <c r="BX150" i="1"/>
  <c r="BZ150" i="1"/>
  <c r="BV150" i="1"/>
  <c r="BU150" i="1"/>
  <c r="CD150" i="1"/>
  <c r="BY150" i="1"/>
  <c r="CB150" i="1"/>
  <c r="CE150" i="1"/>
  <c r="CK23" i="1"/>
  <c r="CM20" i="1"/>
  <c r="CI51" i="1"/>
  <c r="CJ47" i="1"/>
  <c r="CG76" i="1"/>
  <c r="CN5" i="1"/>
  <c r="CN4" i="1"/>
  <c r="CN3" i="1"/>
  <c r="CG143" i="1"/>
  <c r="CK103" i="1"/>
  <c r="CK140" i="1"/>
  <c r="CR97" i="1"/>
  <c r="CJ89" i="1"/>
  <c r="CH64" i="1"/>
  <c r="CQ69" i="1"/>
  <c r="CR65" i="1"/>
  <c r="CH27" i="1"/>
  <c r="CN91" i="1"/>
  <c r="CH53" i="1"/>
  <c r="CL50" i="1"/>
  <c r="CH75" i="1"/>
  <c r="CO15" i="1"/>
  <c r="CO14" i="1"/>
  <c r="CH36" i="1"/>
  <c r="CP35" i="1"/>
  <c r="CN34" i="1"/>
  <c r="CR33" i="1"/>
  <c r="CG85" i="1"/>
  <c r="CQ90" i="1"/>
  <c r="CN26" i="1"/>
  <c r="CI25" i="1"/>
  <c r="CR147" i="1"/>
  <c r="CJ63" i="1"/>
  <c r="CO107" i="1"/>
  <c r="CN141" i="1"/>
  <c r="CR88" i="1"/>
  <c r="CP6" i="1"/>
  <c r="CR92" i="1"/>
  <c r="CH41" i="1"/>
  <c r="CK28" i="1"/>
  <c r="CN68" i="1"/>
  <c r="CL67" i="1"/>
  <c r="CN94" i="1"/>
  <c r="CI40" i="1"/>
  <c r="CH24" i="1"/>
  <c r="CO52" i="1"/>
  <c r="CM46" i="1"/>
  <c r="CM37" i="1"/>
  <c r="CF2" i="1"/>
  <c r="CH2" i="1" s="1"/>
  <c r="CK73" i="1"/>
  <c r="CG109" i="1"/>
  <c r="BW150" i="1"/>
  <c r="BT150" i="1"/>
  <c r="BP2" i="1"/>
  <c r="CO16" i="1" l="1"/>
  <c r="CN36" i="1"/>
  <c r="CK36" i="1"/>
  <c r="CP4" i="1"/>
  <c r="CJ65" i="1"/>
  <c r="CI20" i="1"/>
  <c r="CJ5" i="1"/>
  <c r="CQ25" i="1"/>
  <c r="CG16" i="1"/>
  <c r="CH20" i="1"/>
  <c r="CP20" i="1"/>
  <c r="CG20" i="1"/>
  <c r="CR20" i="1"/>
  <c r="CN69" i="1"/>
  <c r="CK20" i="1"/>
  <c r="CI23" i="1"/>
  <c r="CP23" i="1"/>
  <c r="CQ23" i="1"/>
  <c r="CH23" i="1"/>
  <c r="CO23" i="1"/>
  <c r="CG23" i="1"/>
  <c r="CP14" i="1"/>
  <c r="CO92" i="1"/>
  <c r="CR67" i="1"/>
  <c r="CP36" i="1"/>
  <c r="CN25" i="1"/>
  <c r="CQ47" i="1"/>
  <c r="CJ4" i="1"/>
  <c r="CL4" i="1"/>
  <c r="CM23" i="1"/>
  <c r="CM67" i="1"/>
  <c r="CK33" i="1"/>
  <c r="CN97" i="1"/>
  <c r="CN47" i="1"/>
  <c r="CO97" i="1"/>
  <c r="CM47" i="1"/>
  <c r="CI47" i="1"/>
  <c r="CR47" i="1"/>
  <c r="CL53" i="1"/>
  <c r="CN2" i="1"/>
  <c r="CK47" i="1"/>
  <c r="CL103" i="1"/>
  <c r="CQ26" i="1"/>
  <c r="CI91" i="1"/>
  <c r="CQ103" i="1"/>
  <c r="CJ103" i="1"/>
  <c r="CH47" i="1"/>
  <c r="CP47" i="1"/>
  <c r="CH90" i="1"/>
  <c r="CG69" i="1"/>
  <c r="CG47" i="1"/>
  <c r="CO69" i="1"/>
  <c r="CR16" i="1"/>
  <c r="CO47" i="1"/>
  <c r="CL16" i="1"/>
  <c r="CR3" i="1"/>
  <c r="CL47" i="1"/>
  <c r="CI97" i="1"/>
  <c r="CO103" i="1"/>
  <c r="CQ97" i="1"/>
  <c r="CM33" i="1"/>
  <c r="CP90" i="1"/>
  <c r="CJ69" i="1"/>
  <c r="CR76" i="1"/>
  <c r="CQ76" i="1"/>
  <c r="CP76" i="1"/>
  <c r="CM15" i="1"/>
  <c r="CN76" i="1"/>
  <c r="CM76" i="1"/>
  <c r="CJ76" i="1"/>
  <c r="CJ51" i="1"/>
  <c r="CO76" i="1"/>
  <c r="CP46" i="1"/>
  <c r="CH76" i="1"/>
  <c r="CG46" i="1"/>
  <c r="CK76" i="1"/>
  <c r="CI76" i="1"/>
  <c r="CR50" i="1"/>
  <c r="CL89" i="1"/>
  <c r="CQ32" i="1"/>
  <c r="CQ89" i="1"/>
  <c r="CK50" i="1"/>
  <c r="CK63" i="1"/>
  <c r="CN32" i="1"/>
  <c r="CN92" i="1"/>
  <c r="CP32" i="1"/>
  <c r="CL63" i="1"/>
  <c r="CH32" i="1"/>
  <c r="CO63" i="1"/>
  <c r="CO32" i="1"/>
  <c r="CN89" i="1"/>
  <c r="CI63" i="1"/>
  <c r="CK32" i="1"/>
  <c r="CM89" i="1"/>
  <c r="CH63" i="1"/>
  <c r="CO89" i="1"/>
  <c r="CI89" i="1"/>
  <c r="CR63" i="1"/>
  <c r="CI32" i="1"/>
  <c r="CQ50" i="1"/>
  <c r="CH89" i="1"/>
  <c r="CQ63" i="1"/>
  <c r="CP50" i="1"/>
  <c r="CG89" i="1"/>
  <c r="CN63" i="1"/>
  <c r="CR2" i="1"/>
  <c r="CM94" i="1"/>
  <c r="CJ50" i="1"/>
  <c r="CM50" i="1"/>
  <c r="CR89" i="1"/>
  <c r="CI73" i="1"/>
  <c r="CJ32" i="1"/>
  <c r="CR25" i="1"/>
  <c r="CK147" i="1"/>
  <c r="CO90" i="1"/>
  <c r="CR69" i="1"/>
  <c r="CG36" i="1"/>
  <c r="CP15" i="1"/>
  <c r="CL97" i="1"/>
  <c r="CL25" i="1"/>
  <c r="CI14" i="1"/>
  <c r="CR40" i="1"/>
  <c r="CJ23" i="1"/>
  <c r="CL15" i="1"/>
  <c r="CM3" i="1"/>
  <c r="CJ20" i="1"/>
  <c r="CM2" i="1"/>
  <c r="CK107" i="1"/>
  <c r="CJ2" i="1"/>
  <c r="CM27" i="1"/>
  <c r="CP28" i="1"/>
  <c r="CQ88" i="1"/>
  <c r="CI3" i="1"/>
  <c r="CN20" i="1"/>
  <c r="CJ16" i="1"/>
  <c r="CI2" i="1"/>
  <c r="CM147" i="1"/>
  <c r="CP92" i="1"/>
  <c r="CL88" i="1"/>
  <c r="CG3" i="1"/>
  <c r="CM40" i="1"/>
  <c r="CM16" i="1"/>
  <c r="CN90" i="1"/>
  <c r="CK91" i="1"/>
  <c r="CM69" i="1"/>
  <c r="CQ36" i="1"/>
  <c r="CR23" i="1"/>
  <c r="CH97" i="1"/>
  <c r="CP65" i="1"/>
  <c r="CM25" i="1"/>
  <c r="CI109" i="1"/>
  <c r="CO20" i="1"/>
  <c r="CN27" i="1"/>
  <c r="CL109" i="1"/>
  <c r="CL90" i="1"/>
  <c r="CQ91" i="1"/>
  <c r="CO109" i="1"/>
  <c r="CL69" i="1"/>
  <c r="CO40" i="1"/>
  <c r="CI16" i="1"/>
  <c r="CG64" i="1"/>
  <c r="CH4" i="1"/>
  <c r="CG25" i="1"/>
  <c r="CR109" i="1"/>
  <c r="CL20" i="1"/>
  <c r="CK90" i="1"/>
  <c r="CO91" i="1"/>
  <c r="CK69" i="1"/>
  <c r="CL40" i="1"/>
  <c r="CQ16" i="1"/>
  <c r="CI36" i="1"/>
  <c r="CR64" i="1"/>
  <c r="CQ31" i="1"/>
  <c r="CN109" i="1"/>
  <c r="CH40" i="1"/>
  <c r="CI64" i="1"/>
  <c r="CK40" i="1"/>
  <c r="CO64" i="1"/>
  <c r="CO25" i="1"/>
  <c r="CP31" i="1"/>
  <c r="CM109" i="1"/>
  <c r="CN14" i="1"/>
  <c r="CN46" i="1"/>
  <c r="CL76" i="1"/>
  <c r="CR6" i="1"/>
  <c r="CL64" i="1"/>
  <c r="CM31" i="1"/>
  <c r="CJ109" i="1"/>
  <c r="CI46" i="1"/>
  <c r="CK6" i="1"/>
  <c r="CJ31" i="1"/>
  <c r="CQ107" i="1"/>
  <c r="CM75" i="1"/>
  <c r="CI31" i="1"/>
  <c r="CP107" i="1"/>
  <c r="CI75" i="1"/>
  <c r="CG31" i="1"/>
  <c r="CN107" i="1"/>
  <c r="CL31" i="1"/>
  <c r="CK109" i="1"/>
  <c r="CQ40" i="1"/>
  <c r="CJ107" i="1"/>
  <c r="CN64" i="1"/>
  <c r="CQ64" i="1"/>
  <c r="CK31" i="1"/>
  <c r="CN40" i="1"/>
  <c r="CG107" i="1"/>
  <c r="CP64" i="1"/>
  <c r="CJ64" i="1"/>
  <c r="CG40" i="1"/>
  <c r="CL107" i="1"/>
  <c r="CM64" i="1"/>
  <c r="CJ92" i="1"/>
  <c r="CQ4" i="1"/>
  <c r="CO3" i="1"/>
  <c r="CI140" i="1"/>
  <c r="CK25" i="1"/>
  <c r="CM14" i="1"/>
  <c r="CP91" i="1"/>
  <c r="CH46" i="1"/>
  <c r="CN143" i="1"/>
  <c r="CJ67" i="1"/>
  <c r="CM36" i="1"/>
  <c r="CN6" i="1"/>
  <c r="CL26" i="1"/>
  <c r="CQ27" i="1"/>
  <c r="CH92" i="1"/>
  <c r="CK88" i="1"/>
  <c r="CO33" i="1"/>
  <c r="CH25" i="1"/>
  <c r="CG147" i="1"/>
  <c r="CJ14" i="1"/>
  <c r="CG91" i="1"/>
  <c r="CQ46" i="1"/>
  <c r="CQ67" i="1"/>
  <c r="CJ36" i="1"/>
  <c r="CH6" i="1"/>
  <c r="CK26" i="1"/>
  <c r="CP27" i="1"/>
  <c r="CQ147" i="1"/>
  <c r="CJ66" i="1"/>
  <c r="CG92" i="1"/>
  <c r="CL33" i="1"/>
  <c r="CL147" i="1"/>
  <c r="CL2" i="1"/>
  <c r="CG14" i="1"/>
  <c r="CL91" i="1"/>
  <c r="CO46" i="1"/>
  <c r="CK67" i="1"/>
  <c r="CR36" i="1"/>
  <c r="CO6" i="1"/>
  <c r="CJ27" i="1"/>
  <c r="CN23" i="1"/>
  <c r="CP97" i="1"/>
  <c r="CI4" i="1"/>
  <c r="CQ3" i="1"/>
  <c r="CK34" i="1"/>
  <c r="CL6" i="1"/>
  <c r="CI27" i="1"/>
  <c r="CJ3" i="1"/>
  <c r="CJ46" i="1"/>
  <c r="CM92" i="1"/>
  <c r="CJ88" i="1"/>
  <c r="CL3" i="1"/>
  <c r="CQ33" i="1"/>
  <c r="CP25" i="1"/>
  <c r="CH51" i="1"/>
  <c r="CO147" i="1"/>
  <c r="CM90" i="1"/>
  <c r="CL14" i="1"/>
  <c r="CM91" i="1"/>
  <c r="CQ53" i="1"/>
  <c r="CM6" i="1"/>
  <c r="CP67" i="1"/>
  <c r="CK143" i="1"/>
  <c r="CO36" i="1"/>
  <c r="CJ6" i="1"/>
  <c r="CQ2" i="1"/>
  <c r="CG27" i="1"/>
  <c r="CP147" i="1"/>
  <c r="CL23" i="1"/>
  <c r="CG28" i="1"/>
  <c r="CL92" i="1"/>
  <c r="CP88" i="1"/>
  <c r="CM4" i="1"/>
  <c r="CK3" i="1"/>
  <c r="CJ33" i="1"/>
  <c r="CJ25" i="1"/>
  <c r="CO51" i="1"/>
  <c r="CQ20" i="1"/>
  <c r="CP2" i="1"/>
  <c r="CI90" i="1"/>
  <c r="CK14" i="1"/>
  <c r="CJ91" i="1"/>
  <c r="CM53" i="1"/>
  <c r="CN67" i="1"/>
  <c r="CL36" i="1"/>
  <c r="CI6" i="1"/>
  <c r="CO2" i="1"/>
  <c r="CO27" i="1"/>
  <c r="CN147" i="1"/>
  <c r="CR28" i="1"/>
  <c r="CK92" i="1"/>
  <c r="CM88" i="1"/>
  <c r="CR4" i="1"/>
  <c r="CH3" i="1"/>
  <c r="CN33" i="1"/>
  <c r="CH91" i="1"/>
  <c r="CR91" i="1"/>
  <c r="CI67" i="1"/>
  <c r="CQ6" i="1"/>
  <c r="CJ147" i="1"/>
  <c r="CI92" i="1"/>
  <c r="CJ97" i="1"/>
  <c r="CN88" i="1"/>
  <c r="CK4" i="1"/>
  <c r="CP3" i="1"/>
  <c r="CI33" i="1"/>
  <c r="CH67" i="1"/>
  <c r="CG6" i="1"/>
  <c r="CQ92" i="1"/>
  <c r="CO88" i="1"/>
  <c r="CP33" i="1"/>
  <c r="CG2" i="1"/>
  <c r="CI147" i="1"/>
  <c r="CK97" i="1"/>
  <c r="CI88" i="1"/>
  <c r="CR24" i="1"/>
  <c r="CR141" i="1"/>
  <c r="CO24" i="1"/>
  <c r="CO141" i="1"/>
  <c r="CL24" i="1"/>
  <c r="CL141" i="1"/>
  <c r="CI85" i="1"/>
  <c r="CK141" i="1"/>
  <c r="CH85" i="1"/>
  <c r="CP85" i="1"/>
  <c r="CH141" i="1"/>
  <c r="CR85" i="1"/>
  <c r="CM85" i="1"/>
  <c r="CM26" i="1"/>
  <c r="CO85" i="1"/>
  <c r="CP24" i="1"/>
  <c r="CQ52" i="1"/>
  <c r="CJ26" i="1"/>
  <c r="CL85" i="1"/>
  <c r="CM24" i="1"/>
  <c r="CJ52" i="1"/>
  <c r="CM52" i="1"/>
  <c r="CG26" i="1"/>
  <c r="CK85" i="1"/>
  <c r="CI94" i="1"/>
  <c r="CO73" i="1"/>
  <c r="CJ24" i="1"/>
  <c r="CQ141" i="1"/>
  <c r="CN85" i="1"/>
  <c r="CR26" i="1"/>
  <c r="CM34" i="1"/>
  <c r="CI24" i="1"/>
  <c r="CP141" i="1"/>
  <c r="CO26" i="1"/>
  <c r="CH94" i="1"/>
  <c r="CL32" i="1"/>
  <c r="CL34" i="1"/>
  <c r="CP75" i="1"/>
  <c r="CG24" i="1"/>
  <c r="CJ141" i="1"/>
  <c r="CJ41" i="1"/>
  <c r="CO66" i="1"/>
  <c r="CL51" i="1"/>
  <c r="CR41" i="1"/>
  <c r="CK53" i="1"/>
  <c r="CI52" i="1"/>
  <c r="CP103" i="1"/>
  <c r="CK15" i="1"/>
  <c r="CL66" i="1"/>
  <c r="CI28" i="1"/>
  <c r="CI5" i="1"/>
  <c r="CJ34" i="1"/>
  <c r="CO65" i="1"/>
  <c r="CK51" i="1"/>
  <c r="CO41" i="1"/>
  <c r="CG103" i="1"/>
  <c r="CG52" i="1"/>
  <c r="CN103" i="1"/>
  <c r="CK66" i="1"/>
  <c r="CJ28" i="1"/>
  <c r="CR5" i="1"/>
  <c r="CH34" i="1"/>
  <c r="CL65" i="1"/>
  <c r="CQ51" i="1"/>
  <c r="CL41" i="1"/>
  <c r="CL52" i="1"/>
  <c r="CM103" i="1"/>
  <c r="CQ28" i="1"/>
  <c r="CL5" i="1"/>
  <c r="CI34" i="1"/>
  <c r="CK65" i="1"/>
  <c r="CK41" i="1"/>
  <c r="CI143" i="1"/>
  <c r="CK52" i="1"/>
  <c r="CN28" i="1"/>
  <c r="CK5" i="1"/>
  <c r="CG34" i="1"/>
  <c r="CJ53" i="1"/>
  <c r="CH143" i="1"/>
  <c r="CM41" i="1"/>
  <c r="CM28" i="1"/>
  <c r="CH5" i="1"/>
  <c r="CR73" i="1"/>
  <c r="CR34" i="1"/>
  <c r="CM51" i="1"/>
  <c r="CI53" i="1"/>
  <c r="CR143" i="1"/>
  <c r="CN53" i="1"/>
  <c r="CQ15" i="1"/>
  <c r="CQ66" i="1"/>
  <c r="CH28" i="1"/>
  <c r="CO34" i="1"/>
  <c r="CP51" i="1"/>
  <c r="CQ143" i="1"/>
  <c r="CM66" i="1"/>
  <c r="CQ65" i="1"/>
  <c r="CN51" i="1"/>
  <c r="CG53" i="1"/>
  <c r="CI103" i="1"/>
  <c r="CP53" i="1"/>
  <c r="CO143" i="1"/>
  <c r="CJ15" i="1"/>
  <c r="CH66" i="1"/>
  <c r="CO28" i="1"/>
  <c r="CQ5" i="1"/>
  <c r="CP34" i="1"/>
  <c r="CJ35" i="1"/>
  <c r="CN65" i="1"/>
  <c r="CG51" i="1"/>
  <c r="CQ41" i="1"/>
  <c r="CR53" i="1"/>
  <c r="CP52" i="1"/>
  <c r="CH103" i="1"/>
  <c r="CI15" i="1"/>
  <c r="CP66" i="1"/>
  <c r="CL28" i="1"/>
  <c r="CP5" i="1"/>
  <c r="CQ34" i="1"/>
  <c r="CQ35" i="1"/>
  <c r="CM65" i="1"/>
  <c r="CR51" i="1"/>
  <c r="CP41" i="1"/>
  <c r="CO53" i="1"/>
  <c r="CN15" i="1"/>
  <c r="CN52" i="1"/>
  <c r="CR103" i="1"/>
  <c r="CL143" i="1"/>
  <c r="CG15" i="1"/>
  <c r="CI66" i="1"/>
  <c r="CM5" i="1"/>
  <c r="CI35" i="1"/>
  <c r="CI65" i="1"/>
  <c r="CJ37" i="1"/>
  <c r="CH31" i="1"/>
  <c r="CK24" i="1"/>
  <c r="CH109" i="1"/>
  <c r="CG63" i="1"/>
  <c r="CG50" i="1"/>
  <c r="CK89" i="1"/>
  <c r="CI26" i="1"/>
  <c r="CJ90" i="1"/>
  <c r="CH14" i="1"/>
  <c r="CN41" i="1"/>
  <c r="CP63" i="1"/>
  <c r="CR46" i="1"/>
  <c r="CM141" i="1"/>
  <c r="CP143" i="1"/>
  <c r="CH52" i="1"/>
  <c r="CG67" i="1"/>
  <c r="CP40" i="1"/>
  <c r="CI107" i="1"/>
  <c r="CN16" i="1"/>
  <c r="CK2" i="1"/>
  <c r="CQ85" i="1"/>
  <c r="CH15" i="1"/>
  <c r="CR27" i="1"/>
  <c r="CK64" i="1"/>
  <c r="CN66" i="1"/>
  <c r="CM97" i="1"/>
  <c r="CG5" i="1"/>
  <c r="CH37" i="1"/>
  <c r="CJ94" i="1"/>
  <c r="CH88" i="1"/>
  <c r="CH73" i="1"/>
  <c r="CG4" i="1"/>
  <c r="CM32" i="1"/>
  <c r="CH33" i="1"/>
  <c r="CN35" i="1"/>
  <c r="CN75" i="1"/>
  <c r="CH65" i="1"/>
  <c r="CH140" i="1"/>
  <c r="CI68" i="1"/>
  <c r="CN37" i="1"/>
  <c r="CR140" i="1"/>
  <c r="CH50" i="1"/>
  <c r="CR31" i="1"/>
  <c r="CH68" i="1"/>
  <c r="CQ109" i="1"/>
  <c r="CM107" i="1"/>
  <c r="CO50" i="1"/>
  <c r="CH26" i="1"/>
  <c r="CG90" i="1"/>
  <c r="CR14" i="1"/>
  <c r="CI41" i="1"/>
  <c r="CM63" i="1"/>
  <c r="CL46" i="1"/>
  <c r="CI69" i="1"/>
  <c r="CI141" i="1"/>
  <c r="CM143" i="1"/>
  <c r="CR52" i="1"/>
  <c r="CO67" i="1"/>
  <c r="CJ40" i="1"/>
  <c r="CR107" i="1"/>
  <c r="CK16" i="1"/>
  <c r="CN24" i="1"/>
  <c r="CP26" i="1"/>
  <c r="CJ85" i="1"/>
  <c r="CR15" i="1"/>
  <c r="CL27" i="1"/>
  <c r="CH147" i="1"/>
  <c r="CG66" i="1"/>
  <c r="CG97" i="1"/>
  <c r="CO5" i="1"/>
  <c r="CG37" i="1"/>
  <c r="CG94" i="1"/>
  <c r="CG88" i="1"/>
  <c r="CQ73" i="1"/>
  <c r="CO4" i="1"/>
  <c r="CG32" i="1"/>
  <c r="CG33" i="1"/>
  <c r="CG35" i="1"/>
  <c r="CG75" i="1"/>
  <c r="CG65" i="1"/>
  <c r="CQ140" i="1"/>
  <c r="CO31" i="1"/>
  <c r="CQ24" i="1"/>
  <c r="CQ68" i="1"/>
  <c r="CP109" i="1"/>
  <c r="CH107" i="1"/>
  <c r="CP16" i="1"/>
  <c r="CP89" i="1"/>
  <c r="CQ14" i="1"/>
  <c r="CR90" i="1"/>
  <c r="CG41" i="1"/>
  <c r="CK46" i="1"/>
  <c r="CG141" i="1"/>
  <c r="CJ143" i="1"/>
  <c r="CK27" i="1"/>
  <c r="CR37" i="1"/>
  <c r="CR94" i="1"/>
  <c r="CP73" i="1"/>
  <c r="CR35" i="1"/>
  <c r="CR75" i="1"/>
  <c r="CP140" i="1"/>
  <c r="CM68" i="1"/>
  <c r="CP68" i="1"/>
  <c r="CO37" i="1"/>
  <c r="CO94" i="1"/>
  <c r="CN73" i="1"/>
  <c r="CO35" i="1"/>
  <c r="CO75" i="1"/>
  <c r="CN140" i="1"/>
  <c r="CJ68" i="1"/>
  <c r="CL37" i="1"/>
  <c r="CL94" i="1"/>
  <c r="CM73" i="1"/>
  <c r="CL35" i="1"/>
  <c r="CL75" i="1"/>
  <c r="CM140" i="1"/>
  <c r="CG68" i="1"/>
  <c r="CK37" i="1"/>
  <c r="CK94" i="1"/>
  <c r="CJ73" i="1"/>
  <c r="CK35" i="1"/>
  <c r="CK75" i="1"/>
  <c r="CJ140" i="1"/>
  <c r="CH69" i="1"/>
  <c r="CP69" i="1"/>
  <c r="CR68" i="1"/>
  <c r="CQ37" i="1"/>
  <c r="CP94" i="1"/>
  <c r="CG73" i="1"/>
  <c r="CM35" i="1"/>
  <c r="CQ75" i="1"/>
  <c r="CG140" i="1"/>
  <c r="CO68" i="1"/>
  <c r="CP37" i="1"/>
  <c r="CO140" i="1"/>
  <c r="CL68" i="1"/>
  <c r="CI37" i="1"/>
  <c r="CQ94" i="1"/>
  <c r="CL73" i="1"/>
  <c r="CH35" i="1"/>
  <c r="CJ75" i="1"/>
  <c r="CL140" i="1"/>
  <c r="CI50" i="1"/>
  <c r="CN50" i="1"/>
  <c r="CK68" i="1"/>
  <c r="CR150" i="1" l="1"/>
  <c r="CN150" i="1"/>
  <c r="CJ150" i="1"/>
  <c r="CH150" i="1"/>
  <c r="CM150" i="1"/>
  <c r="CL150" i="1"/>
  <c r="CQ150" i="1"/>
  <c r="CG150" i="1"/>
  <c r="CK150" i="1"/>
  <c r="CP150" i="1"/>
  <c r="CO150" i="1"/>
  <c r="CI150" i="1"/>
  <c r="BM150" i="1" l="1"/>
  <c r="BM152" i="1" s="1"/>
  <c r="AM150" i="1"/>
  <c r="AM152" i="1" s="1"/>
  <c r="L150" i="1"/>
  <c r="L152" i="1" s="1"/>
  <c r="AY150" i="1"/>
  <c r="AY152" i="1" s="1"/>
  <c r="BK150" i="1"/>
  <c r="BK152" i="1" s="1"/>
  <c r="AJ150" i="1"/>
  <c r="AJ152" i="1" s="1"/>
  <c r="AW150" i="1"/>
  <c r="AW152" i="1" s="1"/>
  <c r="BH150" i="1"/>
  <c r="BH152" i="1" s="1"/>
  <c r="AU150" i="1"/>
  <c r="AU152" i="1" s="1"/>
  <c r="AH150" i="1"/>
  <c r="AH152" i="1" s="1"/>
  <c r="AL150" i="1"/>
  <c r="AL152" i="1" s="1"/>
  <c r="BD150" i="1"/>
  <c r="BD152" i="1" s="1"/>
  <c r="BA150" i="1"/>
  <c r="BA152" i="1" s="1"/>
  <c r="BL150" i="1"/>
  <c r="BL152" i="1" s="1"/>
  <c r="AZ150" i="1"/>
  <c r="AZ152" i="1" s="1"/>
  <c r="J150" i="1"/>
  <c r="J152" i="1" s="1"/>
  <c r="H150" i="1"/>
  <c r="H152" i="1" s="1"/>
  <c r="G150" i="1"/>
  <c r="G152" i="1" s="1"/>
  <c r="BG150" i="1"/>
  <c r="BG152" i="1" s="1"/>
  <c r="AQ150" i="1"/>
  <c r="AQ152" i="1" s="1"/>
  <c r="AE150" i="1"/>
  <c r="AE152" i="1" s="1"/>
  <c r="F150" i="1"/>
  <c r="F152" i="1" s="1"/>
  <c r="BB150" i="1"/>
  <c r="BB152" i="1" s="1"/>
  <c r="BJ150" i="1"/>
  <c r="BJ152" i="1" s="1"/>
  <c r="AX150" i="1"/>
  <c r="AX152" i="1" s="1"/>
  <c r="AI150" i="1"/>
  <c r="AI152" i="1" s="1"/>
  <c r="I150" i="1"/>
  <c r="I152" i="1" s="1"/>
  <c r="AG150" i="1"/>
  <c r="AG152" i="1" s="1"/>
  <c r="BE150" i="1"/>
  <c r="BE152" i="1" s="1"/>
  <c r="AF150" i="1"/>
  <c r="AF152" i="1" s="1"/>
  <c r="BF150" i="1"/>
  <c r="BF152" i="1" s="1"/>
  <c r="AS150" i="1"/>
  <c r="AS152" i="1" s="1"/>
  <c r="O150" i="1"/>
  <c r="O152" i="1" s="1"/>
  <c r="BO150" i="1"/>
  <c r="BO152" i="1" s="1"/>
  <c r="AR150" i="1"/>
  <c r="AR152" i="1" s="1"/>
  <c r="N150" i="1"/>
  <c r="N152" i="1" s="1"/>
  <c r="K150" i="1"/>
  <c r="K152" i="1" s="1"/>
  <c r="AK150" i="1"/>
  <c r="AK152" i="1" s="1"/>
  <c r="BI150" i="1"/>
  <c r="BI152" i="1" s="1"/>
  <c r="AT150" i="1"/>
  <c r="AT152" i="1" s="1"/>
  <c r="AV150" i="1"/>
  <c r="AV152" i="1" s="1"/>
  <c r="E150" i="1"/>
  <c r="E152" i="1" s="1"/>
  <c r="BN150" i="1"/>
  <c r="BN152" i="1" s="1"/>
  <c r="AN150" i="1"/>
  <c r="AN152" i="1" s="1"/>
  <c r="M150" i="1"/>
  <c r="M152" i="1" s="1"/>
  <c r="AP150" i="1"/>
  <c r="AP152" i="1" s="1"/>
  <c r="BC150" i="1"/>
  <c r="BC152" i="1" s="1"/>
  <c r="AO150" i="1"/>
  <c r="AO152" i="1" s="1"/>
  <c r="V150" i="1"/>
  <c r="V152" i="1" s="1"/>
  <c r="Y150" i="1"/>
  <c r="Y152" i="1" s="1"/>
  <c r="W150" i="1"/>
  <c r="W152" i="1" s="1"/>
  <c r="S150" i="1"/>
  <c r="S152" i="1" s="1"/>
  <c r="X150" i="1"/>
  <c r="X152" i="1" s="1"/>
  <c r="R150" i="1"/>
  <c r="R152" i="1" s="1"/>
  <c r="Z150" i="1"/>
  <c r="Z152" i="1" s="1"/>
  <c r="U150" i="1"/>
  <c r="U152" i="1" s="1"/>
  <c r="T150" i="1"/>
  <c r="T152" i="1" s="1"/>
  <c r="AC150" i="1"/>
  <c r="AC152" i="1" s="1"/>
  <c r="Q150" i="1"/>
  <c r="Q152" i="1" s="1"/>
  <c r="AB150" i="1"/>
  <c r="AB152" i="1" s="1"/>
  <c r="P150" i="1"/>
  <c r="P152" i="1" s="1"/>
  <c r="AA150" i="1"/>
  <c r="AA152" i="1" s="1"/>
  <c r="AD150" i="1"/>
  <c r="AD152" i="1" s="1"/>
</calcChain>
</file>

<file path=xl/sharedStrings.xml><?xml version="1.0" encoding="utf-8"?>
<sst xmlns="http://schemas.openxmlformats.org/spreadsheetml/2006/main" count="726" uniqueCount="310">
  <si>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</si>
  <si>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</si>
  <si>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</si>
  <si>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</si>
  <si>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</si>
  <si>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</si>
  <si>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</si>
  <si>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</si>
  <si>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</si>
  <si>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</si>
  <si>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</si>
  <si>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</si>
  <si>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</si>
  <si>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</si>
  <si>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</si>
  <si>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</si>
  <si>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</si>
  <si>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</si>
  <si>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</si>
  <si>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</si>
  <si>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</si>
  <si>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</si>
  <si>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</si>
  <si>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</si>
  <si>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</si>
  <si>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</si>
  <si>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</si>
  <si>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</si>
  <si>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</si>
  <si>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</si>
  <si>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</si>
  <si>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</si>
  <si>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</si>
  <si>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</si>
  <si>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</si>
  <si>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</si>
  <si>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</si>
  <si>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</si>
  <si>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</si>
  <si>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</si>
  <si>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</si>
  <si>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</si>
  <si>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</si>
  <si>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</si>
  <si>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</si>
  <si>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</si>
  <si>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</si>
  <si>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</si>
  <si>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</si>
  <si>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</si>
  <si>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</si>
  <si>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</si>
  <si>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</si>
  <si>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</si>
  <si>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</si>
  <si>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</si>
  <si>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</si>
  <si>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</si>
  <si>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</si>
  <si>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</si>
  <si>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</si>
  <si>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</si>
  <si>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</si>
  <si>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</si>
  <si>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</si>
  <si>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</si>
  <si>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</si>
  <si>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</si>
  <si>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</si>
  <si>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</si>
  <si>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</si>
  <si>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</si>
  <si>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</si>
  <si>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</si>
  <si>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</si>
  <si>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</si>
  <si>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</si>
  <si>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</si>
  <si>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</si>
  <si>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</si>
  <si>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</si>
  <si>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</si>
  <si>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</si>
  <si>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</si>
  <si>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</si>
  <si>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</si>
  <si>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</si>
  <si>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</si>
  <si>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</si>
  <si>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</si>
  <si>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</si>
  <si>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</si>
  <si>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</si>
  <si>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</si>
  <si>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</si>
  <si>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</si>
  <si>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</si>
  <si>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</si>
  <si>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</si>
  <si>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</si>
  <si>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</si>
  <si>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</si>
  <si>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</si>
  <si>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</si>
  <si>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</si>
  <si>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</si>
  <si>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</si>
  <si>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</si>
  <si>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</si>
  <si>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</si>
  <si>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</si>
  <si>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</si>
  <si>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</si>
  <si>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</si>
  <si>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</si>
  <si>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</si>
  <si>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</si>
  <si>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</si>
  <si>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</si>
  <si>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</si>
  <si>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</si>
  <si>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</si>
  <si>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</si>
  <si>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</si>
  <si>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</si>
  <si>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</si>
  <si>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地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</si>
  <si>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</si>
  <si>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</si>
  <si>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</si>
  <si>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</si>
  <si>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</si>
  <si>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</si>
  <si>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</si>
  <si>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</si>
  <si>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</si>
  <si>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</si>
  <si>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</si>
  <si>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</si>
  <si>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</si>
  <si>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</si>
  <si>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</si>
  <si>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</si>
  <si>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</si>
  <si>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暗</t>
    <phoneticPr fontId="1" type="noConversion"/>
  </si>
  <si>
    <t>羽妖仔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</si>
  <si>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</si>
  <si>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</si>
  <si>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</si>
  <si>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</si>
  <si>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</si>
  <si>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</si>
  <si>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</si>
  <si>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</si>
  <si>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</si>
  <si>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</si>
  <si>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</si>
  <si>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</si>
  <si>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</si>
  <si>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</si>
  <si>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</si>
  <si>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</si>
  <si>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</si>
  <si>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</si>
  <si>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</si>
  <si>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</si>
  <si>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</si>
  <si>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</si>
  <si>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</si>
  <si>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</si>
  <si>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</si>
  <si>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</si>
  <si>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</si>
  <si>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</si>
  <si>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</si>
  <si>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</si>
  <si>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</si>
  <si>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</si>
  <si>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</si>
  <si>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</si>
  <si>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</si>
  <si>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</si>
  <si>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</si>
  <si>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</si>
  <si>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</si>
  <si>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</si>
  <si>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</si>
  <si>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</si>
  <si>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彗星(5),</t>
    <phoneticPr fontId="1" type="noConversion"/>
  </si>
  <si>
    <t>龙灵不朽藤(8),</t>
    <phoneticPr fontId="1" type="noConversion"/>
  </si>
  <si>
    <t>桂花(5),_x000D_
桂花酒(5),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</si>
  <si>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</si>
  <si>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</si>
  <si>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</si>
  <si>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</si>
  <si>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糯米(10),_x000D_
粽叶(10),_x000D_
龙灵不朽藤(3),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</si>
  <si>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</si>
  <si>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</si>
  <si>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</si>
  <si>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</si>
  <si>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龙灵不朽藤(3),</t>
    <phoneticPr fontId="1" type="noConversion"/>
  </si>
  <si>
    <t>螃蟹(5),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</si>
  <si>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</si>
  <si>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</si>
  <si>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</si>
  <si>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</si>
  <si>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</si>
  <si>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</si>
  <si>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</si>
  <si>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</si>
  <si>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</si>
  <si>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</si>
  <si>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</si>
  <si>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</si>
  <si>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</si>
  <si>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</si>
  <si>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</si>
  <si>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太一之轮(4),</t>
  </si>
  <si>
    <t>太一之轮(5),_x000D_
六方天运骰(3),_x000D_
幸运符文叉大(10),</t>
  </si>
  <si>
    <t>六方天运骰(3),_x000D_
魅力符文叉大(10),</t>
  </si>
  <si>
    <t>崆峒印(5),_x000D_
赤焰十字星(3),_x000D_
幸运符文叉大(10),</t>
  </si>
  <si>
    <t>愚山乾坤石(4),</t>
  </si>
  <si>
    <t>幸运符文叉大(10),</t>
  </si>
  <si>
    <t>女娲石(2),</t>
  </si>
  <si>
    <t>太一之轮(5),_x000D_
幸运符文叉大(10),</t>
  </si>
  <si>
    <t>欠条小(8),_x000D_
钱袋小(9),_x000D_
骰子小(8),_x000D_
筹码小(10),</t>
  </si>
  <si>
    <t>女娲石(5),_x000D_
神农鼎(5),_x000D_
幸运符文叉大(5),</t>
    <phoneticPr fontId="1" type="noConversion"/>
  </si>
  <si>
    <t>女娲石(10),_x000D_
愚山乾坤石(4),</t>
    <phoneticPr fontId="1" type="noConversion"/>
  </si>
  <si>
    <t>神农鼎(5),</t>
    <phoneticPr fontId="1" type="noConversion"/>
  </si>
  <si>
    <t>女娲石(10),_x000D_
愚山乾坤石(4),</t>
    <phoneticPr fontId="1" type="noConversion"/>
  </si>
  <si>
    <t>糯米(2),</t>
    <phoneticPr fontId="1" type="noConversion"/>
  </si>
  <si>
    <t>神农鼎(6),_x000D_
赤焰十字星(3),</t>
    <phoneticPr fontId="1" type="noConversion"/>
  </si>
  <si>
    <t>神农鼎(6),_x000D_
愚山乾坤石(4),</t>
    <phoneticPr fontId="1" type="noConversion"/>
  </si>
  <si>
    <t>女娲石(6),_x000D_
神农鼎(6),_x000D_
赤焰十字星(3),</t>
    <phoneticPr fontId="1" type="noConversion"/>
  </si>
  <si>
    <t>神农鼎(6),_x000D_
六方天运骰(1),</t>
    <phoneticPr fontId="1" type="noConversion"/>
  </si>
  <si>
    <t>赤焰十字星(3),</t>
    <phoneticPr fontId="1" type="noConversion"/>
  </si>
  <si>
    <t>太一之轮(5),_x000D_
六方天运骰(3),</t>
    <phoneticPr fontId="1" type="noConversion"/>
  </si>
  <si>
    <t>女娲石(5),_x000D_
骰子小(3),_x000D_
筹码小(5),_x000D_
庄家令牌中(3),</t>
    <phoneticPr fontId="1" type="noConversion"/>
  </si>
  <si>
    <t>金甲虫(11),_x000D_
魅力符文叉大(15),</t>
    <phoneticPr fontId="1" type="noConversion"/>
  </si>
  <si>
    <t>太一之轮(5),_x000D_
秘窟冰晶卵(1),</t>
    <phoneticPr fontId="1" type="noConversion"/>
  </si>
  <si>
    <t>崆峒印(5),_x000D_
秘窟冰晶卵(1),_x000D_
魅力符文叉大(10),</t>
    <phoneticPr fontId="1" type="noConversion"/>
  </si>
  <si>
    <t>秘窟冰晶卵(1),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</si>
  <si>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</si>
  <si>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</si>
  <si>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</si>
  <si>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</si>
  <si>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桂花(5),</t>
    <phoneticPr fontId="1" type="noConversion"/>
  </si>
  <si>
    <t>桂花酒(5),</t>
    <phoneticPr fontId="1" type="noConversion"/>
  </si>
  <si>
    <t>神农鼎(10),_x000D_
六方天运骰(3),</t>
    <phoneticPr fontId="1" type="noConversion"/>
  </si>
  <si>
    <t>秘窟冰晶卵(6),</t>
    <phoneticPr fontId="1" type="noConversion"/>
  </si>
  <si>
    <t>秘窟冰晶卵(6),</t>
    <phoneticPr fontId="1" type="noConversion"/>
  </si>
  <si>
    <t>金钗(9),</t>
    <phoneticPr fontId="1" type="noConversion"/>
  </si>
  <si>
    <t>东皇钟(8),</t>
    <phoneticPr fontId="1" type="noConversion"/>
  </si>
  <si>
    <t>彗星(15),</t>
    <phoneticPr fontId="1" type="noConversion"/>
  </si>
  <si>
    <t>炼妖壶(14),_x000D_
轩辕剑(6),_x000D_
伏羲琴(2),</t>
    <phoneticPr fontId="1" type="noConversion"/>
  </si>
  <si>
    <t>女娲石(10),_x000D_
彗星(25),_x000D_
赤焰十字星(3),_x000D_
魅力符文叉大(10),</t>
    <phoneticPr fontId="1" type="noConversion"/>
  </si>
  <si>
    <t>金甲虫(46),</t>
    <phoneticPr fontId="1" type="noConversion"/>
  </si>
  <si>
    <t>金甲虫(196),</t>
    <phoneticPr fontId="1" type="noConversion"/>
  </si>
  <si>
    <t>女娲石(10),_x000D_
六方天运骰(8),_x000D_
魅力符文叉大(15),_x000D_
幸运符文叉大(15),</t>
    <phoneticPr fontId="1" type="noConversion"/>
  </si>
  <si>
    <t>崆峒印(9),_x000D_
智慧符文叉大(2),_x000D_
魅力符文叉大(15),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</si>
  <si>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</si>
  <si>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</si>
  <si>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</si>
  <si>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</si>
  <si>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</si>
  <si>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糯米(5),_x000D_
粽叶(1),</t>
    <phoneticPr fontId="1" type="noConversion"/>
  </si>
  <si>
    <t>六方天运骰(13),_x000D_
力量符文叉大(1),</t>
    <phoneticPr fontId="1" type="noConversion"/>
  </si>
  <si>
    <t>欠条中(4),_x000D_
骰子小(8),_x000D_
筹码小(10),_x000D_
庄家令牌小(2),</t>
    <phoneticPr fontId="1" type="noConversion"/>
  </si>
  <si>
    <t>欠条小(8),_x000D_
钱袋小(9),_x000D_
筹码中(4),_x000D_
庄家令牌小(2),</t>
    <phoneticPr fontId="1" type="noConversion"/>
  </si>
  <si>
    <t>神农鼎(6),_x000D_
秘窟冰晶卵(1),</t>
    <phoneticPr fontId="1" type="noConversion"/>
  </si>
  <si>
    <t>秘窟冰晶卵(1),</t>
    <phoneticPr fontId="1" type="noConversion"/>
  </si>
  <si>
    <t>仙丹(5),</t>
    <phoneticPr fontId="1" type="noConversion"/>
  </si>
  <si>
    <t>神农鼎(6),_x000D_
月冕霓晴符(4),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</si>
  <si>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</si>
  <si>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</si>
  <si>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欠条中(4),_x000D_
筹码中(4),</t>
    <phoneticPr fontId="1" type="noConversion"/>
  </si>
  <si>
    <t>炼妖壶(4),_x000D_
愚山乾坤石(4),</t>
    <phoneticPr fontId="1" type="noConversion"/>
  </si>
  <si>
    <t>太一之轮(14),_x000D_
幸运符文叉大(15),</t>
    <phoneticPr fontId="1" type="noConversion"/>
  </si>
  <si>
    <t>桂花(5),_x000D_
桂花酒(5),</t>
    <phoneticPr fontId="1" type="noConversion"/>
  </si>
  <si>
    <t>女娲石(10),_x000D_
骰子大(4),_x000D_
庄家令牌大(6),_x000D_
赤焰十字星(3),</t>
    <phoneticPr fontId="1" type="noConversion"/>
  </si>
  <si>
    <t>东皇钟(3),_x000D_
女娲石(15),_x000D_
愚山乾坤石(9),</t>
    <phoneticPr fontId="1" type="noConversion"/>
  </si>
  <si>
    <t>女娲石(6),_x000D_
神农鼎(6),_x000D_
龙灵不朽藤(8),</t>
    <phoneticPr fontId="1" type="noConversion"/>
  </si>
  <si>
    <t>龙灵不朽藤(8),</t>
    <phoneticPr fontId="1" type="noConversion"/>
  </si>
  <si>
    <t>欠条大(8),_x000D_
骰子大(4),_x000D_
六方天运骰(3),</t>
    <phoneticPr fontId="1" type="noConversion"/>
  </si>
  <si>
    <t>太一之轮(4),_x000D_
糯米(5),_x000D_
粽叶(10),</t>
    <phoneticPr fontId="1" type="noConversion"/>
  </si>
  <si>
    <t>太一之轮(19),_x000D_
幸运符文叉大(20),</t>
    <phoneticPr fontId="1" type="noConversion"/>
  </si>
  <si>
    <t>欠条中(4),_x000D_
筹码中(4),_x000D_
筹码大(1),</t>
    <phoneticPr fontId="1" type="noConversion"/>
  </si>
  <si>
    <t>欠条中(4),_x000D_
骰子小(8),_x000D_
筹码中(4),_x000D_
庄家令牌小(2),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</si>
  <si>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</si>
  <si>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</si>
  <si>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东皇钟(3),_x000D_
崆峒印(14),_x000D_
幸运符文叉大(15),</t>
    <phoneticPr fontId="1" type="noConversion"/>
  </si>
  <si>
    <t>女娲石(15),_x000D_
神农鼎(15),_x000D_
幸运符文叉大(15),</t>
    <phoneticPr fontId="1" type="noConversion"/>
  </si>
  <si>
    <t>女娲石(15),_x000D_
神农鼎(15),_x000D_
幸运符文叉大(15),</t>
    <phoneticPr fontId="1" type="noConversion"/>
  </si>
  <si>
    <t>神农鼎(10),_x000D_
欠条大(8),_x000D_
骰子大(4),_x000D_
愚山乾坤石(4),</t>
    <phoneticPr fontId="1" type="noConversion"/>
  </si>
  <si>
    <t>钱袋大(10),_x000D_
筹码大(9),_x000D_
秘窟冰晶卵(1),</t>
    <phoneticPr fontId="1" type="noConversion"/>
  </si>
  <si>
    <t>钱袋大(10),_x000D_
筹码大(9),_x000D_
秘窟冰晶卵(1),</t>
    <phoneticPr fontId="1" type="noConversion"/>
  </si>
  <si>
    <t>炼妖壶(9),_x000D_
神农鼎(15),_x000D_
赤焰十字星(8),_x000D_
幸运符文叉大(15),</t>
    <phoneticPr fontId="1" type="noConversion"/>
  </si>
  <si>
    <t>女娲石(15),_x000D_
神农鼎(15),_x000D_
龙灵不朽藤(13),</t>
    <phoneticPr fontId="1" type="noConversion"/>
  </si>
  <si>
    <t>女娲石(15),_x000D_
神农鼎(15),_x000D_
龙灵不朽藤(13),</t>
    <phoneticPr fontId="1" type="noConversion"/>
  </si>
  <si>
    <t>女娲石(20),_x000D_
神农鼎(20),_x000D_
幸运符文叉大(20),</t>
    <phoneticPr fontId="1" type="noConversion"/>
  </si>
  <si>
    <t>神农鼎(7),_x000D_
欠条中(6),_x000D_
钱袋中(2),_x000D_
筹码大(6),</t>
    <phoneticPr fontId="1" type="noConversion"/>
  </si>
  <si>
    <t>太一之轮(9),_x000D_
欠条大(8),_x000D_
骰子大(4),_x000D_
龙灵不朽藤(8),</t>
    <phoneticPr fontId="1" type="noConversion"/>
  </si>
  <si>
    <t>欠条大(8),_x000D_
钱袋大(10),_x000D_
月冕霓晴符(6),</t>
    <phoneticPr fontId="1" type="noConversion"/>
  </si>
  <si>
    <t>欠条大(8),_x000D_
钱袋大(10),_x000D_
月冕霓晴符(6),</t>
    <phoneticPr fontId="1" type="noConversion"/>
  </si>
  <si>
    <t>神农鼎(10),_x000D_
欠条大(8),_x000D_
钱袋大(10),_x000D_
月冕霓晴符(6),</t>
    <phoneticPr fontId="1" type="noConversion"/>
  </si>
  <si>
    <t>赤焰十字星(33),_x000D_
力量符文叉大(21),_x000D_
逆鳞(10),</t>
    <phoneticPr fontId="1" type="noConversion"/>
  </si>
  <si>
    <t>超进阶素材水(25),_x000D_
超进阶素材火(50),_x000D_
超进阶素材光(50),_x000D_
超进阶素材暗(50),</t>
    <phoneticPr fontId="1" type="noConversion"/>
  </si>
  <si>
    <t>超进阶素材土(37),_x000D_
超进阶素材木(37),_x000D_
超进阶素材光(50),_x000D_
超进阶素材暗(50),</t>
    <phoneticPr fontId="1" type="noConversion"/>
  </si>
  <si>
    <t>超进阶素材水(25),_x000D_
超进阶素材火(50),_x000D_
超进阶素材光(50),_x000D_
超进阶素材暗(50),</t>
    <phoneticPr fontId="1" type="noConversion"/>
  </si>
  <si>
    <t>超进阶素材土(37),_x000D_
超进阶素材木(37),_x000D_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</si>
</sst>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154</xdr:row>
          <xdr:rowOff>28575</xdr:rowOff>
        </xdr:from>
        <xdr:to>
          <xdr:col>1</xdr:col>
          <xdr:colOff>428625</xdr:colOff>
          <xdr:row>155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52"/>
  <sheetViews>
    <sheetView tabSelected="1" workbookViewId="0">
      <pane xSplit="2" ySplit="1" topLeftCell="BS2" activePane="bottomRight" state="frozen"/>
      <selection pane="topRight" activeCell="C1" sqref="C1"/>
      <selection pane="bottomLeft" activeCell="A3" sqref="A3"/>
      <selection pane="bottomRight" activeCell="BS25" sqref="BS25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92</v>
      </c>
      <c r="B1" s="8" t="s">
        <v>93</v>
      </c>
      <c r="C1" s="8" t="s">
        <v>95</v>
      </c>
      <c r="D1" s="8" t="s">
        <v>94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89</v>
      </c>
      <c r="K1" s="9" t="s">
        <v>30</v>
      </c>
      <c r="L1" s="9" t="s">
        <v>54</v>
      </c>
      <c r="M1" s="9" t="s">
        <v>59</v>
      </c>
      <c r="N1" s="9" t="s">
        <v>64</v>
      </c>
      <c r="O1" s="9" t="s">
        <v>58</v>
      </c>
      <c r="P1" s="31" t="s">
        <v>150</v>
      </c>
      <c r="Q1" s="31" t="s">
        <v>162</v>
      </c>
      <c r="R1" s="31" t="s">
        <v>156</v>
      </c>
      <c r="S1" s="31" t="s">
        <v>151</v>
      </c>
      <c r="T1" s="31" t="s">
        <v>160</v>
      </c>
      <c r="U1" s="31" t="s">
        <v>166</v>
      </c>
      <c r="V1" s="31" t="s">
        <v>152</v>
      </c>
      <c r="W1" s="31" t="s">
        <v>159</v>
      </c>
      <c r="X1" s="31" t="s">
        <v>157</v>
      </c>
      <c r="Y1" s="31" t="s">
        <v>153</v>
      </c>
      <c r="Z1" s="31" t="s">
        <v>161</v>
      </c>
      <c r="AA1" s="31" t="s">
        <v>168</v>
      </c>
      <c r="AB1" s="31" t="s">
        <v>155</v>
      </c>
      <c r="AC1" s="31" t="s">
        <v>154</v>
      </c>
      <c r="AD1" s="31" t="s">
        <v>182</v>
      </c>
      <c r="AE1" s="8" t="s">
        <v>10</v>
      </c>
      <c r="AF1" s="8" t="s">
        <v>36</v>
      </c>
      <c r="AG1" s="8" t="s">
        <v>37</v>
      </c>
      <c r="AH1" s="8" t="s">
        <v>78</v>
      </c>
      <c r="AI1" s="8" t="s">
        <v>79</v>
      </c>
      <c r="AJ1" s="8" t="s">
        <v>81</v>
      </c>
      <c r="AK1" s="8" t="s">
        <v>82</v>
      </c>
      <c r="AL1" s="8" t="s">
        <v>84</v>
      </c>
      <c r="AM1" s="8" t="s">
        <v>65</v>
      </c>
      <c r="AN1" s="8" t="s">
        <v>67</v>
      </c>
      <c r="AO1" s="8" t="s">
        <v>122</v>
      </c>
      <c r="AP1" s="8" t="s">
        <v>123</v>
      </c>
      <c r="AQ1" s="10" t="s">
        <v>50</v>
      </c>
      <c r="AR1" s="10" t="s">
        <v>5</v>
      </c>
      <c r="AS1" s="10" t="s">
        <v>34</v>
      </c>
      <c r="AT1" s="10" t="s">
        <v>70</v>
      </c>
      <c r="AU1" s="10" t="s">
        <v>76</v>
      </c>
      <c r="AV1" s="10" t="s">
        <v>63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62</v>
      </c>
      <c r="BB1" s="11" t="s">
        <v>14</v>
      </c>
      <c r="BC1" s="29" t="s">
        <v>119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100</v>
      </c>
      <c r="BQ1" s="8" t="s">
        <v>101</v>
      </c>
      <c r="BR1" s="16" t="s">
        <v>102</v>
      </c>
      <c r="BS1" s="16"/>
      <c r="BT1" s="10" t="s">
        <v>50</v>
      </c>
      <c r="BU1" s="10" t="s">
        <v>5</v>
      </c>
      <c r="BV1" s="10" t="s">
        <v>34</v>
      </c>
      <c r="BW1" s="10" t="s">
        <v>70</v>
      </c>
      <c r="BX1" s="10" t="s">
        <v>76</v>
      </c>
      <c r="BY1" s="10" t="s">
        <v>63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62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70</v>
      </c>
      <c r="CK1" s="10" t="s">
        <v>76</v>
      </c>
      <c r="CL1" s="10" t="s">
        <v>63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62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IF(AQ2&gt;AQ$151, AQ2-AQ$151,"")</f>
        <v/>
      </c>
      <c r="BU2" s="1" t="str">
        <f>IF(AR2&gt;AR$151, AR2-AR$151,"")</f>
        <v/>
      </c>
      <c r="BV2" s="1" t="str">
        <f>IF(AS2&gt;AS$151, AS2-AS$151,"")</f>
        <v/>
      </c>
      <c r="BW2" s="1" t="str">
        <f>IF(AT2&gt;AT$151, AT2-AT$151,"")</f>
        <v/>
      </c>
      <c r="BX2" s="1" t="str">
        <f>IF(AU2&gt;AU$151, AU2-AU$151,"")</f>
        <v/>
      </c>
      <c r="BY2" s="1" t="str">
        <f>IF(AV2&gt;AV$151, AV2-AV$151,"")</f>
        <v/>
      </c>
      <c r="BZ2" s="1" t="str">
        <f>IF(AW2&gt;AW$151, AW2-AW$151,"")</f>
        <v/>
      </c>
      <c r="CA2" s="1" t="str">
        <f>IF(AX2&gt;AX$151, AX2-AX$151,"")</f>
        <v/>
      </c>
      <c r="CB2" s="1" t="str">
        <f>IF(AY2&gt;AY$151, AY2-AY$151,"")</f>
        <v/>
      </c>
      <c r="CC2" s="1" t="str">
        <f>IF(AZ2&gt;AZ$151, AZ2-AZ$151,"")</f>
        <v/>
      </c>
      <c r="CD2" s="1" t="str">
        <f>IF(BA2&gt;BA$151, BA2-BA$151,"")</f>
        <v/>
      </c>
      <c r="CE2" s="1" t="str">
        <f>IF(BB2&gt;BB$151, BB2-BB$151,"")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ref="BP3:BP64" si="0">SUM(E3:BO3)</f>
        <v>80</v>
      </c>
      <c r="BQ3" s="1">
        <v>0</v>
      </c>
      <c r="BR3" s="17">
        <v>0</v>
      </c>
      <c r="BS3" s="17"/>
      <c r="BT3" s="1" t="str">
        <f t="shared" ref="BT3:BT66" si="1">IF(AQ3&gt;AQ$151, AQ3-AQ$151,"")</f>
        <v/>
      </c>
      <c r="BU3" s="1" t="str">
        <f t="shared" ref="BU3:BU66" si="2">IF(AR3&gt;AR$151, AR3-AR$151,"")</f>
        <v/>
      </c>
      <c r="BV3" s="1" t="str">
        <f t="shared" ref="BV3:BV66" si="3">IF(AS3&gt;AS$151, AS3-AS$151,"")</f>
        <v/>
      </c>
      <c r="BW3" s="1" t="str">
        <f t="shared" ref="BW3:BW66" si="4">IF(AT3&gt;AT$151, AT3-AT$151,"")</f>
        <v/>
      </c>
      <c r="BX3" s="1" t="str">
        <f t="shared" ref="BX3:BX66" si="5">IF(AU3&gt;AU$151, AU3-AU$151,"")</f>
        <v/>
      </c>
      <c r="BY3" s="1" t="str">
        <f t="shared" ref="BY3:BY66" si="6">IF(AV3&gt;AV$151, AV3-AV$151,"")</f>
        <v/>
      </c>
      <c r="BZ3" s="1" t="str">
        <f t="shared" ref="BZ3:BZ66" si="7">IF(AW3&gt;AW$151, AW3-AW$151,"")</f>
        <v/>
      </c>
      <c r="CA3" s="1" t="str">
        <f t="shared" ref="CA3:CA66" si="8">IF(AX3&gt;AX$151, AX3-AX$151,"")</f>
        <v/>
      </c>
      <c r="CB3" s="1" t="str">
        <f t="shared" ref="CB3:CB66" si="9">IF(AY3&gt;AY$151, AY3-AY$151,"")</f>
        <v/>
      </c>
      <c r="CC3" s="1" t="str">
        <f t="shared" ref="CC3:CC66" si="10">IF(AZ3&gt;AZ$151, AZ3-AZ$151,"")</f>
        <v/>
      </c>
      <c r="CD3" s="1" t="str">
        <f t="shared" ref="CD3:CD66" si="11">IF(BA3&gt;BA$151, BA3-BA$151,"")</f>
        <v/>
      </c>
      <c r="CE3" s="1" t="str">
        <f t="shared" ref="CE3:CE66" si="12">IF(BB3&gt;BB$151, BB3-BB$151,"")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 t="shared" si="1"/>
        <v/>
      </c>
      <c r="BU4" s="1" t="str">
        <f t="shared" si="2"/>
        <v/>
      </c>
      <c r="BV4" s="1" t="str">
        <f t="shared" si="3"/>
        <v/>
      </c>
      <c r="BW4" s="1" t="str">
        <f t="shared" si="4"/>
        <v/>
      </c>
      <c r="BX4" s="1" t="str">
        <f t="shared" si="5"/>
        <v/>
      </c>
      <c r="BY4" s="1" t="str">
        <f t="shared" si="6"/>
        <v/>
      </c>
      <c r="BZ4" s="1" t="str">
        <f t="shared" si="7"/>
        <v/>
      </c>
      <c r="CA4" s="1" t="str">
        <f t="shared" si="8"/>
        <v/>
      </c>
      <c r="CB4" s="1" t="str">
        <f t="shared" si="9"/>
        <v/>
      </c>
      <c r="CC4" s="1" t="str">
        <f t="shared" si="10"/>
        <v/>
      </c>
      <c r="CD4" s="1" t="str">
        <f t="shared" si="11"/>
        <v/>
      </c>
      <c r="CE4" s="1" t="str">
        <f t="shared" si="12"/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60</v>
      </c>
      <c r="C5" s="1" t="s">
        <v>61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 t="shared" si="1"/>
        <v/>
      </c>
      <c r="BU5" s="1" t="str">
        <f t="shared" si="2"/>
        <v/>
      </c>
      <c r="BV5" s="1" t="str">
        <f t="shared" si="3"/>
        <v/>
      </c>
      <c r="BW5" s="1" t="str">
        <f t="shared" si="4"/>
        <v/>
      </c>
      <c r="BX5" s="1" t="str">
        <f t="shared" si="5"/>
        <v/>
      </c>
      <c r="BY5" s="1" t="str">
        <f t="shared" si="6"/>
        <v/>
      </c>
      <c r="BZ5" s="1" t="str">
        <f t="shared" si="7"/>
        <v/>
      </c>
      <c r="CA5" s="1" t="str">
        <f t="shared" si="8"/>
        <v/>
      </c>
      <c r="CB5" s="1" t="str">
        <f t="shared" si="9"/>
        <v/>
      </c>
      <c r="CC5" s="1" t="str">
        <f t="shared" si="10"/>
        <v/>
      </c>
      <c r="CD5" s="1" t="str">
        <f t="shared" si="11"/>
        <v/>
      </c>
      <c r="CE5" s="1" t="str">
        <f t="shared" si="12"/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s="25" customFormat="1" x14ac:dyDescent="0.15">
      <c r="A6" s="1">
        <v>9</v>
      </c>
      <c r="B6" s="1" t="s">
        <v>28</v>
      </c>
      <c r="C6" s="1" t="s">
        <v>2</v>
      </c>
      <c r="D6" s="1" t="s">
        <v>26</v>
      </c>
      <c r="E6" s="6"/>
      <c r="F6" s="6"/>
      <c r="G6" s="6"/>
      <c r="H6" s="6"/>
      <c r="I6" s="6">
        <v>4</v>
      </c>
      <c r="J6" s="6"/>
      <c r="K6" s="6">
        <v>4</v>
      </c>
      <c r="L6" s="6"/>
      <c r="M6" s="6"/>
      <c r="N6" s="6"/>
      <c r="O6" s="6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>
        <v>5</v>
      </c>
      <c r="AS6" s="4"/>
      <c r="AT6" s="4"/>
      <c r="AU6" s="4"/>
      <c r="AV6" s="4"/>
      <c r="AW6" s="2">
        <v>5</v>
      </c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 t="shared" si="0"/>
        <v>18</v>
      </c>
      <c r="BQ6" s="1">
        <v>0</v>
      </c>
      <c r="BR6" s="17">
        <v>0</v>
      </c>
      <c r="BS6" s="17"/>
      <c r="BT6" s="1" t="str">
        <f t="shared" si="1"/>
        <v/>
      </c>
      <c r="BU6" s="1" t="str">
        <f t="shared" si="2"/>
        <v/>
      </c>
      <c r="BV6" s="1" t="str">
        <f t="shared" si="3"/>
        <v/>
      </c>
      <c r="BW6" s="1" t="str">
        <f t="shared" si="4"/>
        <v/>
      </c>
      <c r="BX6" s="1" t="str">
        <f t="shared" si="5"/>
        <v/>
      </c>
      <c r="BY6" s="1" t="str">
        <f t="shared" si="6"/>
        <v/>
      </c>
      <c r="BZ6" s="1" t="str">
        <f t="shared" si="7"/>
        <v/>
      </c>
      <c r="CA6" s="1" t="str">
        <f t="shared" si="8"/>
        <v/>
      </c>
      <c r="CB6" s="1" t="str">
        <f t="shared" si="9"/>
        <v/>
      </c>
      <c r="CC6" s="1" t="str">
        <f t="shared" si="10"/>
        <v/>
      </c>
      <c r="CD6" s="1" t="str">
        <f t="shared" si="11"/>
        <v/>
      </c>
      <c r="CE6" s="1" t="str">
        <f t="shared" si="12"/>
        <v/>
      </c>
      <c r="CF6" s="1">
        <f>COUNTIF(BT6:CE6, "&gt;0")</f>
        <v>0</v>
      </c>
      <c r="CG6" s="1" t="str">
        <f>IF($CF6=1,BT6,"")</f>
        <v/>
      </c>
      <c r="CH6" s="1" t="str">
        <f>IF($CF6=1,BU6,"")</f>
        <v/>
      </c>
      <c r="CI6" s="1" t="str">
        <f>IF($CF6=1,BV6,"")</f>
        <v/>
      </c>
      <c r="CJ6" s="1" t="str">
        <f>IF($CF6=1,BW6,"")</f>
        <v/>
      </c>
      <c r="CK6" s="1" t="str">
        <f>IF($CF6=1,BX6,"")</f>
        <v/>
      </c>
      <c r="CL6" s="1" t="str">
        <f>IF($CF6=1,BY6,"")</f>
        <v/>
      </c>
      <c r="CM6" s="1" t="str">
        <f>IF($CF6=1,BZ6,"")</f>
        <v/>
      </c>
      <c r="CN6" s="1" t="str">
        <f>IF($CF6=1,CA6,"")</f>
        <v/>
      </c>
      <c r="CO6" s="1" t="str">
        <f>IF($CF6=1,CB6,"")</f>
        <v/>
      </c>
      <c r="CP6" s="1" t="str">
        <f>IF($CF6=1,CC6,"")</f>
        <v/>
      </c>
      <c r="CQ6" s="1" t="str">
        <f>IF($CF6=1,CD6,"")</f>
        <v/>
      </c>
      <c r="CR6" s="1" t="str">
        <f>IF($CF6=1,CE6,"")</f>
        <v/>
      </c>
      <c r="CS6" s="18">
        <f>SUM(AE6:BO6)</f>
        <v>10</v>
      </c>
    </row>
    <row r="7" spans="1:97" s="25" customFormat="1" x14ac:dyDescent="0.15">
      <c r="A7" s="1"/>
      <c r="B7" s="1" t="s">
        <v>116</v>
      </c>
      <c r="C7" s="1" t="s">
        <v>117</v>
      </c>
      <c r="D7" s="1" t="s">
        <v>115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 t="shared" si="0"/>
        <v>80</v>
      </c>
      <c r="BQ7" s="1">
        <v>0</v>
      </c>
      <c r="BR7" s="17">
        <v>0</v>
      </c>
      <c r="BS7" s="17"/>
      <c r="BT7" s="1" t="str">
        <f t="shared" si="1"/>
        <v/>
      </c>
      <c r="BU7" s="1" t="str">
        <f t="shared" si="2"/>
        <v/>
      </c>
      <c r="BV7" s="1" t="str">
        <f t="shared" si="3"/>
        <v/>
      </c>
      <c r="BW7" s="1" t="str">
        <f t="shared" si="4"/>
        <v/>
      </c>
      <c r="BX7" s="1" t="str">
        <f t="shared" si="5"/>
        <v/>
      </c>
      <c r="BY7" s="1" t="str">
        <f t="shared" si="6"/>
        <v/>
      </c>
      <c r="BZ7" s="1" t="str">
        <f t="shared" si="7"/>
        <v/>
      </c>
      <c r="CA7" s="1" t="str">
        <f t="shared" si="8"/>
        <v/>
      </c>
      <c r="CB7" s="1" t="str">
        <f t="shared" si="9"/>
        <v/>
      </c>
      <c r="CC7" s="1" t="str">
        <f t="shared" si="10"/>
        <v/>
      </c>
      <c r="CD7" s="1" t="str">
        <f t="shared" si="11"/>
        <v/>
      </c>
      <c r="CE7" s="1" t="str">
        <f t="shared" si="12"/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8"/>
    </row>
    <row r="8" spans="1:97" s="25" customFormat="1" x14ac:dyDescent="0.15">
      <c r="A8" s="1"/>
      <c r="B8" s="1" t="s">
        <v>213</v>
      </c>
      <c r="C8" s="1" t="s">
        <v>126</v>
      </c>
      <c r="D8" s="1" t="s">
        <v>115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>
        <v>20</v>
      </c>
      <c r="BG8" s="1">
        <v>20</v>
      </c>
      <c r="BH8" s="1">
        <v>20</v>
      </c>
      <c r="BI8" s="1">
        <v>20</v>
      </c>
      <c r="BJ8" s="1"/>
      <c r="BK8" s="1"/>
      <c r="BL8" s="1"/>
      <c r="BM8" s="1"/>
      <c r="BN8" s="1"/>
      <c r="BO8" s="1"/>
      <c r="BP8" s="1">
        <f t="shared" si="0"/>
        <v>80</v>
      </c>
      <c r="BQ8" s="1">
        <v>0</v>
      </c>
      <c r="BR8" s="17">
        <v>0</v>
      </c>
      <c r="BS8" s="17"/>
      <c r="BT8" s="1" t="str">
        <f t="shared" si="1"/>
        <v/>
      </c>
      <c r="BU8" s="1" t="str">
        <f t="shared" si="2"/>
        <v/>
      </c>
      <c r="BV8" s="1" t="str">
        <f t="shared" si="3"/>
        <v/>
      </c>
      <c r="BW8" s="1" t="str">
        <f t="shared" si="4"/>
        <v/>
      </c>
      <c r="BX8" s="1" t="str">
        <f t="shared" si="5"/>
        <v/>
      </c>
      <c r="BY8" s="1" t="str">
        <f t="shared" si="6"/>
        <v/>
      </c>
      <c r="BZ8" s="1" t="str">
        <f t="shared" si="7"/>
        <v/>
      </c>
      <c r="CA8" s="1" t="str">
        <f t="shared" si="8"/>
        <v/>
      </c>
      <c r="CB8" s="1" t="str">
        <f t="shared" si="9"/>
        <v/>
      </c>
      <c r="CC8" s="1" t="str">
        <f t="shared" si="10"/>
        <v/>
      </c>
      <c r="CD8" s="1" t="str">
        <f t="shared" si="11"/>
        <v/>
      </c>
      <c r="CE8" s="1" t="str">
        <f t="shared" si="12"/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8"/>
    </row>
    <row r="9" spans="1:97" x14ac:dyDescent="0.15">
      <c r="A9" s="1"/>
      <c r="B9" s="1" t="s">
        <v>127</v>
      </c>
      <c r="C9" s="1" t="s">
        <v>126</v>
      </c>
      <c r="D9" s="1" t="s">
        <v>114</v>
      </c>
      <c r="E9" s="6"/>
      <c r="F9" s="6"/>
      <c r="G9" s="6"/>
      <c r="H9" s="6"/>
      <c r="I9" s="6"/>
      <c r="J9" s="6"/>
      <c r="K9" s="6"/>
      <c r="L9" s="6"/>
      <c r="M9" s="6"/>
      <c r="N9" s="6">
        <v>5</v>
      </c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5</v>
      </c>
      <c r="BQ9" s="1">
        <v>0</v>
      </c>
      <c r="BR9" s="17">
        <v>0</v>
      </c>
      <c r="BS9" s="17"/>
      <c r="BT9" s="1" t="str">
        <f t="shared" si="1"/>
        <v/>
      </c>
      <c r="BU9" s="1" t="str">
        <f t="shared" si="2"/>
        <v/>
      </c>
      <c r="BV9" s="1" t="str">
        <f t="shared" si="3"/>
        <v/>
      </c>
      <c r="BW9" s="1" t="str">
        <f t="shared" si="4"/>
        <v/>
      </c>
      <c r="BX9" s="1" t="str">
        <f t="shared" si="5"/>
        <v/>
      </c>
      <c r="BY9" s="1" t="str">
        <f t="shared" si="6"/>
        <v/>
      </c>
      <c r="BZ9" s="1" t="str">
        <f t="shared" si="7"/>
        <v/>
      </c>
      <c r="CA9" s="1" t="str">
        <f t="shared" si="8"/>
        <v/>
      </c>
      <c r="CB9" s="1" t="str">
        <f t="shared" si="9"/>
        <v/>
      </c>
      <c r="CC9" s="1" t="str">
        <f t="shared" si="10"/>
        <v/>
      </c>
      <c r="CD9" s="1" t="str">
        <f t="shared" si="11"/>
        <v/>
      </c>
      <c r="CE9" s="1" t="str">
        <f t="shared" si="12"/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8"/>
    </row>
    <row r="10" spans="1:97" x14ac:dyDescent="0.15">
      <c r="A10" s="1"/>
      <c r="B10" s="1" t="s">
        <v>130</v>
      </c>
      <c r="C10" s="1" t="s">
        <v>113</v>
      </c>
      <c r="D10" s="1" t="s">
        <v>115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>
        <v>20</v>
      </c>
      <c r="BE10" s="1">
        <v>20</v>
      </c>
      <c r="BF10" s="1">
        <v>20</v>
      </c>
      <c r="BG10" s="1">
        <v>20</v>
      </c>
      <c r="BH10" s="1"/>
      <c r="BI10" s="1"/>
      <c r="BJ10" s="1"/>
      <c r="BK10" s="1"/>
      <c r="BL10" s="1"/>
      <c r="BM10" s="1"/>
      <c r="BN10" s="1"/>
      <c r="BO10" s="1"/>
      <c r="BP10" s="1">
        <f t="shared" si="0"/>
        <v>80</v>
      </c>
      <c r="BQ10" s="1">
        <v>0</v>
      </c>
      <c r="BR10" s="17">
        <v>0</v>
      </c>
      <c r="BS10" s="17"/>
      <c r="BT10" s="1" t="str">
        <f t="shared" si="1"/>
        <v/>
      </c>
      <c r="BU10" s="1" t="str">
        <f t="shared" si="2"/>
        <v/>
      </c>
      <c r="BV10" s="1" t="str">
        <f t="shared" si="3"/>
        <v/>
      </c>
      <c r="BW10" s="1" t="str">
        <f t="shared" si="4"/>
        <v/>
      </c>
      <c r="BX10" s="1" t="str">
        <f t="shared" si="5"/>
        <v/>
      </c>
      <c r="BY10" s="1" t="str">
        <f t="shared" si="6"/>
        <v/>
      </c>
      <c r="BZ10" s="1" t="str">
        <f t="shared" si="7"/>
        <v/>
      </c>
      <c r="CA10" s="1" t="str">
        <f t="shared" si="8"/>
        <v/>
      </c>
      <c r="CB10" s="1" t="str">
        <f t="shared" si="9"/>
        <v/>
      </c>
      <c r="CC10" s="1" t="str">
        <f t="shared" si="10"/>
        <v/>
      </c>
      <c r="CD10" s="1" t="str">
        <f t="shared" si="11"/>
        <v/>
      </c>
      <c r="CE10" s="1" t="str">
        <f t="shared" si="12"/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8"/>
    </row>
    <row r="11" spans="1:97" x14ac:dyDescent="0.15">
      <c r="A11" s="1"/>
      <c r="B11" s="1" t="s">
        <v>132</v>
      </c>
      <c r="C11" s="1" t="s">
        <v>113</v>
      </c>
      <c r="D11" s="1" t="s">
        <v>114</v>
      </c>
      <c r="E11" s="6"/>
      <c r="F11" s="6"/>
      <c r="G11" s="6"/>
      <c r="H11" s="6"/>
      <c r="I11" s="6"/>
      <c r="J11" s="6"/>
      <c r="K11" s="6">
        <v>5</v>
      </c>
      <c r="L11" s="6"/>
      <c r="M11" s="6"/>
      <c r="N11" s="6"/>
      <c r="O11" s="6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0"/>
        <v>5</v>
      </c>
      <c r="BQ11" s="1">
        <v>0</v>
      </c>
      <c r="BR11" s="17">
        <v>0</v>
      </c>
      <c r="BS11" s="17"/>
      <c r="BT11" s="1" t="str">
        <f t="shared" si="1"/>
        <v/>
      </c>
      <c r="BU11" s="1" t="str">
        <f t="shared" si="2"/>
        <v/>
      </c>
      <c r="BV11" s="1" t="str">
        <f t="shared" si="3"/>
        <v/>
      </c>
      <c r="BW11" s="1" t="str">
        <f t="shared" si="4"/>
        <v/>
      </c>
      <c r="BX11" s="1" t="str">
        <f t="shared" si="5"/>
        <v/>
      </c>
      <c r="BY11" s="1" t="str">
        <f t="shared" si="6"/>
        <v/>
      </c>
      <c r="BZ11" s="1" t="str">
        <f t="shared" si="7"/>
        <v/>
      </c>
      <c r="CA11" s="1" t="str">
        <f t="shared" si="8"/>
        <v/>
      </c>
      <c r="CB11" s="1" t="str">
        <f t="shared" si="9"/>
        <v/>
      </c>
      <c r="CC11" s="1" t="str">
        <f t="shared" si="10"/>
        <v/>
      </c>
      <c r="CD11" s="1" t="str">
        <f t="shared" si="11"/>
        <v/>
      </c>
      <c r="CE11" s="1" t="str">
        <f t="shared" si="12"/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8"/>
    </row>
    <row r="12" spans="1:97" x14ac:dyDescent="0.15">
      <c r="A12" s="1"/>
      <c r="B12" s="1" t="s">
        <v>138</v>
      </c>
      <c r="C12" s="1" t="s">
        <v>136</v>
      </c>
      <c r="D12" s="1" t="s">
        <v>114</v>
      </c>
      <c r="E12" s="6"/>
      <c r="F12" s="6"/>
      <c r="G12" s="6"/>
      <c r="H12" s="6"/>
      <c r="I12" s="6"/>
      <c r="J12" s="6">
        <v>5</v>
      </c>
      <c r="K12" s="6"/>
      <c r="L12" s="6"/>
      <c r="M12" s="6"/>
      <c r="N12" s="6"/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5</v>
      </c>
      <c r="BQ12" s="1">
        <v>0</v>
      </c>
      <c r="BR12" s="17">
        <v>0</v>
      </c>
      <c r="BS12" s="17"/>
      <c r="BT12" s="1" t="str">
        <f t="shared" si="1"/>
        <v/>
      </c>
      <c r="BU12" s="1" t="str">
        <f t="shared" si="2"/>
        <v/>
      </c>
      <c r="BV12" s="1" t="str">
        <f t="shared" si="3"/>
        <v/>
      </c>
      <c r="BW12" s="1" t="str">
        <f t="shared" si="4"/>
        <v/>
      </c>
      <c r="BX12" s="1" t="str">
        <f t="shared" si="5"/>
        <v/>
      </c>
      <c r="BY12" s="1" t="str">
        <f t="shared" si="6"/>
        <v/>
      </c>
      <c r="BZ12" s="1" t="str">
        <f t="shared" si="7"/>
        <v/>
      </c>
      <c r="CA12" s="1" t="str">
        <f t="shared" si="8"/>
        <v/>
      </c>
      <c r="CB12" s="1" t="str">
        <f t="shared" si="9"/>
        <v/>
      </c>
      <c r="CC12" s="1" t="str">
        <f t="shared" si="10"/>
        <v/>
      </c>
      <c r="CD12" s="1" t="str">
        <f t="shared" si="11"/>
        <v/>
      </c>
      <c r="CE12" s="1" t="str">
        <f t="shared" si="12"/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8"/>
    </row>
    <row r="13" spans="1:97" x14ac:dyDescent="0.15">
      <c r="A13" s="1"/>
      <c r="B13" s="1" t="s">
        <v>141</v>
      </c>
      <c r="C13" s="1" t="s">
        <v>136</v>
      </c>
      <c r="D13" s="1" t="s">
        <v>114</v>
      </c>
      <c r="E13" s="6"/>
      <c r="F13" s="6"/>
      <c r="G13" s="6"/>
      <c r="H13" s="6"/>
      <c r="I13" s="6"/>
      <c r="J13" s="6"/>
      <c r="K13" s="6">
        <v>5</v>
      </c>
      <c r="L13" s="6"/>
      <c r="M13" s="6"/>
      <c r="N13" s="6"/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5</v>
      </c>
      <c r="BQ13" s="1">
        <v>0</v>
      </c>
      <c r="BR13" s="17">
        <v>0</v>
      </c>
      <c r="BS13" s="17"/>
      <c r="BT13" s="1" t="str">
        <f t="shared" si="1"/>
        <v/>
      </c>
      <c r="BU13" s="1" t="str">
        <f t="shared" si="2"/>
        <v/>
      </c>
      <c r="BV13" s="1" t="str">
        <f t="shared" si="3"/>
        <v/>
      </c>
      <c r="BW13" s="1" t="str">
        <f t="shared" si="4"/>
        <v/>
      </c>
      <c r="BX13" s="1" t="str">
        <f t="shared" si="5"/>
        <v/>
      </c>
      <c r="BY13" s="1" t="str">
        <f t="shared" si="6"/>
        <v/>
      </c>
      <c r="BZ13" s="1" t="str">
        <f t="shared" si="7"/>
        <v/>
      </c>
      <c r="CA13" s="1" t="str">
        <f t="shared" si="8"/>
        <v/>
      </c>
      <c r="CB13" s="1" t="str">
        <f t="shared" si="9"/>
        <v/>
      </c>
      <c r="CC13" s="1" t="str">
        <f t="shared" si="10"/>
        <v/>
      </c>
      <c r="CD13" s="1" t="str">
        <f t="shared" si="11"/>
        <v/>
      </c>
      <c r="CE13" s="1" t="str">
        <f t="shared" si="12"/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8"/>
    </row>
    <row r="14" spans="1:97" x14ac:dyDescent="0.15">
      <c r="A14" s="1">
        <v>91</v>
      </c>
      <c r="B14" s="3" t="s">
        <v>87</v>
      </c>
      <c r="C14" s="3" t="s">
        <v>86</v>
      </c>
      <c r="D14" s="1" t="s">
        <v>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>
        <v>5</v>
      </c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5</v>
      </c>
      <c r="BQ14" s="1">
        <v>0</v>
      </c>
      <c r="BR14" s="17">
        <v>0</v>
      </c>
      <c r="BS14" s="17"/>
      <c r="BT14" s="1" t="str">
        <f t="shared" si="1"/>
        <v/>
      </c>
      <c r="BU14" s="1" t="str">
        <f t="shared" si="2"/>
        <v/>
      </c>
      <c r="BV14" s="1" t="str">
        <f t="shared" si="3"/>
        <v/>
      </c>
      <c r="BW14" s="1" t="str">
        <f t="shared" si="4"/>
        <v/>
      </c>
      <c r="BX14" s="1" t="str">
        <f t="shared" si="5"/>
        <v/>
      </c>
      <c r="BY14" s="1" t="str">
        <f t="shared" si="6"/>
        <v/>
      </c>
      <c r="BZ14" s="1" t="str">
        <f t="shared" si="7"/>
        <v/>
      </c>
      <c r="CA14" s="1" t="str">
        <f t="shared" si="8"/>
        <v/>
      </c>
      <c r="CB14" s="1" t="str">
        <f t="shared" si="9"/>
        <v/>
      </c>
      <c r="CC14" s="1" t="str">
        <f t="shared" si="10"/>
        <v/>
      </c>
      <c r="CD14" s="1" t="str">
        <f t="shared" si="11"/>
        <v/>
      </c>
      <c r="CE14" s="1" t="str">
        <f t="shared" si="12"/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18">
        <f>SUM(AE14:BO14)</f>
        <v>5</v>
      </c>
    </row>
    <row r="15" spans="1:97" x14ac:dyDescent="0.15">
      <c r="A15" s="19">
        <v>92</v>
      </c>
      <c r="B15" s="27" t="s">
        <v>88</v>
      </c>
      <c r="C15" s="27" t="s">
        <v>86</v>
      </c>
      <c r="D15" s="19" t="s">
        <v>24</v>
      </c>
      <c r="E15" s="20">
        <v>10</v>
      </c>
      <c r="F15" s="20"/>
      <c r="G15" s="20"/>
      <c r="H15" s="20"/>
      <c r="I15" s="20">
        <v>10</v>
      </c>
      <c r="J15" s="20">
        <v>10</v>
      </c>
      <c r="K15" s="20"/>
      <c r="L15" s="20"/>
      <c r="M15" s="20"/>
      <c r="N15" s="20"/>
      <c r="O15" s="20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1"/>
      <c r="AR15" s="21"/>
      <c r="AS15" s="21"/>
      <c r="AT15" s="21"/>
      <c r="AU15" s="21"/>
      <c r="AV15" s="21"/>
      <c r="AW15" s="22"/>
      <c r="AX15" s="22"/>
      <c r="AY15" s="22"/>
      <c r="AZ15" s="22"/>
      <c r="BA15" s="22"/>
      <c r="BB15" s="22"/>
      <c r="BC15" s="30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">
        <f t="shared" si="0"/>
        <v>30</v>
      </c>
      <c r="BQ15" s="19">
        <v>0</v>
      </c>
      <c r="BR15" s="23">
        <v>0</v>
      </c>
      <c r="BS15" s="23"/>
      <c r="BT15" s="1" t="str">
        <f t="shared" si="1"/>
        <v/>
      </c>
      <c r="BU15" s="1" t="str">
        <f t="shared" si="2"/>
        <v/>
      </c>
      <c r="BV15" s="1" t="str">
        <f t="shared" si="3"/>
        <v/>
      </c>
      <c r="BW15" s="1" t="str">
        <f t="shared" si="4"/>
        <v/>
      </c>
      <c r="BX15" s="1" t="str">
        <f t="shared" si="5"/>
        <v/>
      </c>
      <c r="BY15" s="1" t="str">
        <f t="shared" si="6"/>
        <v/>
      </c>
      <c r="BZ15" s="1" t="str">
        <f t="shared" si="7"/>
        <v/>
      </c>
      <c r="CA15" s="1" t="str">
        <f t="shared" si="8"/>
        <v/>
      </c>
      <c r="CB15" s="1" t="str">
        <f t="shared" si="9"/>
        <v/>
      </c>
      <c r="CC15" s="1" t="str">
        <f t="shared" si="10"/>
        <v/>
      </c>
      <c r="CD15" s="1" t="str">
        <f t="shared" si="11"/>
        <v/>
      </c>
      <c r="CE15" s="1" t="str">
        <f t="shared" si="12"/>
        <v/>
      </c>
      <c r="CF15" s="19">
        <f>COUNTIF(BT15:CE15, "&gt;0")</f>
        <v>0</v>
      </c>
      <c r="CG15" s="19" t="str">
        <f>IF($CF15=1,BT15,"")</f>
        <v/>
      </c>
      <c r="CH15" s="19" t="str">
        <f>IF($CF15=1,BU15,"")</f>
        <v/>
      </c>
      <c r="CI15" s="19" t="str">
        <f>IF($CF15=1,BV15,"")</f>
        <v/>
      </c>
      <c r="CJ15" s="19" t="str">
        <f>IF($CF15=1,BW15,"")</f>
        <v/>
      </c>
      <c r="CK15" s="19" t="str">
        <f>IF($CF15=1,BX15,"")</f>
        <v/>
      </c>
      <c r="CL15" s="19" t="str">
        <f>IF($CF15=1,BY15,"")</f>
        <v/>
      </c>
      <c r="CM15" s="19" t="str">
        <f>IF($CF15=1,BZ15,"")</f>
        <v/>
      </c>
      <c r="CN15" s="19" t="str">
        <f>IF($CF15=1,CA15,"")</f>
        <v/>
      </c>
      <c r="CO15" s="19" t="str">
        <f>IF($CF15=1,CB15,"")</f>
        <v/>
      </c>
      <c r="CP15" s="19" t="str">
        <f>IF($CF15=1,CC15,"")</f>
        <v/>
      </c>
      <c r="CQ15" s="19" t="str">
        <f>IF($CF15=1,CD15,"")</f>
        <v/>
      </c>
      <c r="CR15" s="19" t="str">
        <f>IF($CF15=1,CE15,"")</f>
        <v/>
      </c>
      <c r="CS15" s="24">
        <f>SUM(AE15:BO15)</f>
        <v>0</v>
      </c>
    </row>
    <row r="16" spans="1:97" x14ac:dyDescent="0.15">
      <c r="A16" s="19">
        <v>37</v>
      </c>
      <c r="B16" s="19" t="s">
        <v>52</v>
      </c>
      <c r="C16" s="19" t="s">
        <v>49</v>
      </c>
      <c r="D16" s="19" t="s">
        <v>25</v>
      </c>
      <c r="E16" s="20"/>
      <c r="F16" s="20">
        <v>5</v>
      </c>
      <c r="G16" s="20"/>
      <c r="H16" s="20"/>
      <c r="I16" s="20"/>
      <c r="J16" s="20"/>
      <c r="K16" s="20"/>
      <c r="L16" s="20"/>
      <c r="M16" s="20"/>
      <c r="N16" s="20"/>
      <c r="O16" s="20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1"/>
      <c r="AR16" s="21"/>
      <c r="AS16" s="21"/>
      <c r="AT16" s="21"/>
      <c r="AU16" s="21"/>
      <c r="AV16" s="21"/>
      <c r="AW16" s="22"/>
      <c r="AX16" s="22"/>
      <c r="AY16" s="22"/>
      <c r="AZ16" s="22"/>
      <c r="BA16" s="22"/>
      <c r="BB16" s="22"/>
      <c r="BC16" s="30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">
        <f t="shared" si="0"/>
        <v>5</v>
      </c>
      <c r="BQ16" s="19">
        <v>0</v>
      </c>
      <c r="BR16" s="23">
        <v>0</v>
      </c>
      <c r="BS16" s="23"/>
      <c r="BT16" s="1" t="str">
        <f t="shared" si="1"/>
        <v/>
      </c>
      <c r="BU16" s="1" t="str">
        <f t="shared" si="2"/>
        <v/>
      </c>
      <c r="BV16" s="1" t="str">
        <f t="shared" si="3"/>
        <v/>
      </c>
      <c r="BW16" s="1" t="str">
        <f t="shared" si="4"/>
        <v/>
      </c>
      <c r="BX16" s="1" t="str">
        <f t="shared" si="5"/>
        <v/>
      </c>
      <c r="BY16" s="1" t="str">
        <f t="shared" si="6"/>
        <v/>
      </c>
      <c r="BZ16" s="1" t="str">
        <f t="shared" si="7"/>
        <v/>
      </c>
      <c r="CA16" s="1" t="str">
        <f t="shared" si="8"/>
        <v/>
      </c>
      <c r="CB16" s="1" t="str">
        <f t="shared" si="9"/>
        <v/>
      </c>
      <c r="CC16" s="1" t="str">
        <f t="shared" si="10"/>
        <v/>
      </c>
      <c r="CD16" s="1" t="str">
        <f t="shared" si="11"/>
        <v/>
      </c>
      <c r="CE16" s="1" t="str">
        <f t="shared" si="12"/>
        <v/>
      </c>
      <c r="CF16" s="19">
        <f>COUNTIF(BT16:CE16, "&gt;0")</f>
        <v>0</v>
      </c>
      <c r="CG16" s="19" t="str">
        <f>IF($CF16=1,BT16,"")</f>
        <v/>
      </c>
      <c r="CH16" s="19" t="str">
        <f>IF($CF16=1,BU16,"")</f>
        <v/>
      </c>
      <c r="CI16" s="19" t="str">
        <f>IF($CF16=1,BV16,"")</f>
        <v/>
      </c>
      <c r="CJ16" s="19" t="str">
        <f>IF($CF16=1,BW16,"")</f>
        <v/>
      </c>
      <c r="CK16" s="19" t="str">
        <f>IF($CF16=1,BX16,"")</f>
        <v/>
      </c>
      <c r="CL16" s="19" t="str">
        <f>IF($CF16=1,BY16,"")</f>
        <v/>
      </c>
      <c r="CM16" s="19" t="str">
        <f>IF($CF16=1,BZ16,"")</f>
        <v/>
      </c>
      <c r="CN16" s="19" t="str">
        <f>IF($CF16=1,CA16,"")</f>
        <v/>
      </c>
      <c r="CO16" s="19" t="str">
        <f>IF($CF16=1,CB16,"")</f>
        <v/>
      </c>
      <c r="CP16" s="19" t="str">
        <f>IF($CF16=1,CC16,"")</f>
        <v/>
      </c>
      <c r="CQ16" s="19" t="str">
        <f>IF($CF16=1,CD16,"")</f>
        <v/>
      </c>
      <c r="CR16" s="19" t="str">
        <f>IF($CF16=1,CE16,"")</f>
        <v/>
      </c>
      <c r="CS16" s="24">
        <f>SUM(AE16:BO16)</f>
        <v>0</v>
      </c>
    </row>
    <row r="17" spans="1:97" x14ac:dyDescent="0.15">
      <c r="A17" s="1"/>
      <c r="B17" s="1" t="s">
        <v>124</v>
      </c>
      <c r="C17" s="1" t="s">
        <v>117</v>
      </c>
      <c r="D17" s="1" t="s">
        <v>114</v>
      </c>
      <c r="E17" s="6"/>
      <c r="F17" s="6">
        <v>5</v>
      </c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5</v>
      </c>
      <c r="BQ17" s="1">
        <v>0</v>
      </c>
      <c r="BR17" s="17">
        <v>0</v>
      </c>
      <c r="BS17" s="17"/>
      <c r="BT17" s="1" t="str">
        <f t="shared" si="1"/>
        <v/>
      </c>
      <c r="BU17" s="1" t="str">
        <f t="shared" si="2"/>
        <v/>
      </c>
      <c r="BV17" s="1" t="str">
        <f t="shared" si="3"/>
        <v/>
      </c>
      <c r="BW17" s="1" t="str">
        <f t="shared" si="4"/>
        <v/>
      </c>
      <c r="BX17" s="1" t="str">
        <f t="shared" si="5"/>
        <v/>
      </c>
      <c r="BY17" s="1" t="str">
        <f t="shared" si="6"/>
        <v/>
      </c>
      <c r="BZ17" s="1" t="str">
        <f t="shared" si="7"/>
        <v/>
      </c>
      <c r="CA17" s="1" t="str">
        <f t="shared" si="8"/>
        <v/>
      </c>
      <c r="CB17" s="1" t="str">
        <f t="shared" si="9"/>
        <v/>
      </c>
      <c r="CC17" s="1" t="str">
        <f t="shared" si="10"/>
        <v/>
      </c>
      <c r="CD17" s="1" t="str">
        <f t="shared" si="11"/>
        <v/>
      </c>
      <c r="CE17" s="1" t="str">
        <f t="shared" si="12"/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8"/>
    </row>
    <row r="18" spans="1:97" x14ac:dyDescent="0.15">
      <c r="A18" s="1"/>
      <c r="B18" s="1" t="s">
        <v>139</v>
      </c>
      <c r="C18" s="1" t="s">
        <v>136</v>
      </c>
      <c r="D18" s="1" t="s">
        <v>114</v>
      </c>
      <c r="E18" s="6"/>
      <c r="F18" s="6">
        <v>5</v>
      </c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5</v>
      </c>
      <c r="BQ18" s="1">
        <v>0</v>
      </c>
      <c r="BR18" s="17">
        <v>0</v>
      </c>
      <c r="BS18" s="17"/>
      <c r="BT18" s="1" t="str">
        <f t="shared" si="1"/>
        <v/>
      </c>
      <c r="BU18" s="1" t="str">
        <f t="shared" si="2"/>
        <v/>
      </c>
      <c r="BV18" s="1" t="str">
        <f t="shared" si="3"/>
        <v/>
      </c>
      <c r="BW18" s="1" t="str">
        <f t="shared" si="4"/>
        <v/>
      </c>
      <c r="BX18" s="1" t="str">
        <f t="shared" si="5"/>
        <v/>
      </c>
      <c r="BY18" s="1" t="str">
        <f t="shared" si="6"/>
        <v/>
      </c>
      <c r="BZ18" s="1" t="str">
        <f t="shared" si="7"/>
        <v/>
      </c>
      <c r="CA18" s="1" t="str">
        <f t="shared" si="8"/>
        <v/>
      </c>
      <c r="CB18" s="1" t="str">
        <f t="shared" si="9"/>
        <v/>
      </c>
      <c r="CC18" s="1" t="str">
        <f t="shared" si="10"/>
        <v/>
      </c>
      <c r="CD18" s="1" t="str">
        <f t="shared" si="11"/>
        <v/>
      </c>
      <c r="CE18" s="1" t="str">
        <f t="shared" si="12"/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8"/>
    </row>
    <row r="19" spans="1:97" s="25" customFormat="1" x14ac:dyDescent="0.15">
      <c r="A19" s="1"/>
      <c r="B19" s="1" t="s">
        <v>131</v>
      </c>
      <c r="C19" s="1" t="s">
        <v>113</v>
      </c>
      <c r="D19" s="1" t="s">
        <v>114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>
        <v>10</v>
      </c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20</v>
      </c>
      <c r="BQ19" s="1">
        <v>1</v>
      </c>
      <c r="BR19" s="17">
        <v>1</v>
      </c>
      <c r="BS19" s="17" t="s">
        <v>241</v>
      </c>
      <c r="BT19" s="1">
        <f t="shared" si="1"/>
        <v>1</v>
      </c>
      <c r="BU19" s="1" t="str">
        <f t="shared" si="2"/>
        <v/>
      </c>
      <c r="BV19" s="1" t="str">
        <f t="shared" si="3"/>
        <v/>
      </c>
      <c r="BW19" s="1" t="str">
        <f t="shared" si="4"/>
        <v/>
      </c>
      <c r="BX19" s="1" t="str">
        <f t="shared" si="5"/>
        <v/>
      </c>
      <c r="BY19" s="1" t="str">
        <f t="shared" si="6"/>
        <v/>
      </c>
      <c r="BZ19" s="1" t="str">
        <f t="shared" si="7"/>
        <v/>
      </c>
      <c r="CA19" s="1" t="str">
        <f t="shared" si="8"/>
        <v/>
      </c>
      <c r="CB19" s="1" t="str">
        <f t="shared" si="9"/>
        <v/>
      </c>
      <c r="CC19" s="1" t="str">
        <f t="shared" si="10"/>
        <v/>
      </c>
      <c r="CD19" s="1" t="str">
        <f t="shared" si="11"/>
        <v/>
      </c>
      <c r="CE19" s="1" t="str">
        <f t="shared" si="12"/>
        <v/>
      </c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8"/>
    </row>
    <row r="20" spans="1:97" x14ac:dyDescent="0.15">
      <c r="A20" s="1">
        <v>39</v>
      </c>
      <c r="B20" s="1" t="s">
        <v>53</v>
      </c>
      <c r="C20" s="1" t="s">
        <v>49</v>
      </c>
      <c r="D20" s="1" t="s">
        <v>26</v>
      </c>
      <c r="E20" s="6"/>
      <c r="F20" s="6">
        <v>6</v>
      </c>
      <c r="G20" s="6"/>
      <c r="H20" s="6"/>
      <c r="I20" s="6"/>
      <c r="J20" s="6"/>
      <c r="K20" s="6"/>
      <c r="L20" s="6">
        <v>6</v>
      </c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>
        <v>10</v>
      </c>
      <c r="AR20" s="4"/>
      <c r="AS20" s="4"/>
      <c r="AT20" s="4"/>
      <c r="AU20" s="4"/>
      <c r="AV20" s="4"/>
      <c r="AW20" s="2"/>
      <c r="AX20" s="2">
        <v>10</v>
      </c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0"/>
        <v>32</v>
      </c>
      <c r="BQ20" s="1">
        <v>1</v>
      </c>
      <c r="BR20" s="17">
        <v>1</v>
      </c>
      <c r="BS20" s="17" t="s">
        <v>270</v>
      </c>
      <c r="BT20" s="1">
        <f t="shared" si="1"/>
        <v>1</v>
      </c>
      <c r="BU20" s="1" t="str">
        <f t="shared" si="2"/>
        <v/>
      </c>
      <c r="BV20" s="1" t="str">
        <f t="shared" si="3"/>
        <v/>
      </c>
      <c r="BW20" s="1" t="str">
        <f t="shared" si="4"/>
        <v/>
      </c>
      <c r="BX20" s="1" t="str">
        <f t="shared" si="5"/>
        <v/>
      </c>
      <c r="BY20" s="1" t="str">
        <f t="shared" si="6"/>
        <v/>
      </c>
      <c r="BZ20" s="1" t="str">
        <f t="shared" si="7"/>
        <v/>
      </c>
      <c r="CA20" s="1" t="str">
        <f t="shared" si="8"/>
        <v/>
      </c>
      <c r="CB20" s="1" t="str">
        <f t="shared" si="9"/>
        <v/>
      </c>
      <c r="CC20" s="1" t="str">
        <f t="shared" si="10"/>
        <v/>
      </c>
      <c r="CD20" s="1" t="str">
        <f t="shared" si="11"/>
        <v/>
      </c>
      <c r="CE20" s="1" t="str">
        <f t="shared" si="12"/>
        <v/>
      </c>
      <c r="CF20" s="1">
        <f>COUNTIF(BT20:CE20, "&gt;0")</f>
        <v>1</v>
      </c>
      <c r="CG20" s="1">
        <f>IF($CF20=1,BT20,"")</f>
        <v>1</v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18">
        <f>SUM(AE20:BO20)</f>
        <v>20</v>
      </c>
    </row>
    <row r="21" spans="1:97" x14ac:dyDescent="0.15">
      <c r="A21" s="1"/>
      <c r="B21" s="1" t="s">
        <v>133</v>
      </c>
      <c r="C21" s="1" t="s">
        <v>134</v>
      </c>
      <c r="D21" s="1" t="s">
        <v>114</v>
      </c>
      <c r="E21" s="6"/>
      <c r="F21" s="6"/>
      <c r="G21" s="6">
        <v>2</v>
      </c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 t="shared" si="0"/>
        <v>2</v>
      </c>
      <c r="BQ21" s="1">
        <v>2</v>
      </c>
      <c r="BR21" s="17">
        <v>1</v>
      </c>
      <c r="BS21" s="17" t="s">
        <v>223</v>
      </c>
      <c r="BT21" s="1" t="str">
        <f t="shared" si="1"/>
        <v/>
      </c>
      <c r="BU21" s="1" t="str">
        <f t="shared" si="2"/>
        <v/>
      </c>
      <c r="BV21" s="1" t="str">
        <f t="shared" si="3"/>
        <v/>
      </c>
      <c r="BW21" s="1" t="str">
        <f t="shared" si="4"/>
        <v/>
      </c>
      <c r="BX21" s="1" t="str">
        <f t="shared" si="5"/>
        <v/>
      </c>
      <c r="BY21" s="1" t="str">
        <f t="shared" si="6"/>
        <v/>
      </c>
      <c r="BZ21" s="1" t="str">
        <f t="shared" si="7"/>
        <v/>
      </c>
      <c r="CA21" s="1" t="str">
        <f t="shared" si="8"/>
        <v/>
      </c>
      <c r="CB21" s="1" t="str">
        <f t="shared" si="9"/>
        <v/>
      </c>
      <c r="CC21" s="1" t="str">
        <f t="shared" si="10"/>
        <v/>
      </c>
      <c r="CD21" s="1" t="str">
        <f t="shared" si="11"/>
        <v/>
      </c>
      <c r="CE21" s="1" t="str">
        <f t="shared" si="12"/>
        <v/>
      </c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125</v>
      </c>
      <c r="C22" s="1" t="s">
        <v>117</v>
      </c>
      <c r="D22" s="1" t="s">
        <v>121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>
        <v>2</v>
      </c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si="0"/>
        <v>2</v>
      </c>
      <c r="BQ22" s="1">
        <v>2</v>
      </c>
      <c r="BR22" s="17">
        <v>1</v>
      </c>
      <c r="BS22" s="17" t="s">
        <v>230</v>
      </c>
      <c r="BT22" s="1" t="str">
        <f t="shared" si="1"/>
        <v/>
      </c>
      <c r="BU22" s="1" t="str">
        <f t="shared" si="2"/>
        <v/>
      </c>
      <c r="BV22" s="1" t="str">
        <f t="shared" si="3"/>
        <v/>
      </c>
      <c r="BW22" s="1" t="str">
        <f t="shared" si="4"/>
        <v/>
      </c>
      <c r="BX22" s="1" t="str">
        <f t="shared" si="5"/>
        <v/>
      </c>
      <c r="BY22" s="1" t="str">
        <f t="shared" si="6"/>
        <v/>
      </c>
      <c r="BZ22" s="1" t="str">
        <f t="shared" si="7"/>
        <v/>
      </c>
      <c r="CA22" s="1" t="str">
        <f t="shared" si="8"/>
        <v/>
      </c>
      <c r="CB22" s="1" t="str">
        <f t="shared" si="9"/>
        <v/>
      </c>
      <c r="CC22" s="1" t="str">
        <f t="shared" si="10"/>
        <v/>
      </c>
      <c r="CD22" s="1" t="str">
        <f t="shared" si="11"/>
        <v/>
      </c>
      <c r="CE22" s="1" t="str">
        <f t="shared" si="12"/>
        <v/>
      </c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>
        <v>68</v>
      </c>
      <c r="B23" s="3" t="s">
        <v>110</v>
      </c>
      <c r="C23" s="1" t="s">
        <v>61</v>
      </c>
      <c r="D23" s="1" t="s">
        <v>13</v>
      </c>
      <c r="E23" s="6"/>
      <c r="F23" s="6">
        <v>6</v>
      </c>
      <c r="G23" s="6"/>
      <c r="H23" s="6"/>
      <c r="I23" s="6"/>
      <c r="J23" s="6"/>
      <c r="K23" s="6"/>
      <c r="L23" s="6"/>
      <c r="M23" s="6"/>
      <c r="N23" s="6">
        <v>6</v>
      </c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>
        <v>10</v>
      </c>
      <c r="AW23" s="2"/>
      <c r="AX23" s="2"/>
      <c r="AY23" s="2"/>
      <c r="AZ23" s="2"/>
      <c r="BA23" s="2"/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0"/>
        <v>32</v>
      </c>
      <c r="BQ23" s="1">
        <v>3</v>
      </c>
      <c r="BR23" s="17">
        <v>1</v>
      </c>
      <c r="BS23" s="17" t="s">
        <v>235</v>
      </c>
      <c r="BT23" s="1" t="str">
        <f t="shared" si="1"/>
        <v/>
      </c>
      <c r="BU23" s="1" t="str">
        <f t="shared" si="2"/>
        <v/>
      </c>
      <c r="BV23" s="1" t="str">
        <f t="shared" si="3"/>
        <v/>
      </c>
      <c r="BW23" s="1" t="str">
        <f t="shared" si="4"/>
        <v/>
      </c>
      <c r="BX23" s="1" t="str">
        <f t="shared" si="5"/>
        <v/>
      </c>
      <c r="BY23" s="1">
        <f t="shared" si="6"/>
        <v>3</v>
      </c>
      <c r="BZ23" s="1" t="str">
        <f t="shared" si="7"/>
        <v/>
      </c>
      <c r="CA23" s="1" t="str">
        <f t="shared" si="8"/>
        <v/>
      </c>
      <c r="CB23" s="1" t="str">
        <f t="shared" si="9"/>
        <v/>
      </c>
      <c r="CC23" s="1" t="str">
        <f t="shared" si="10"/>
        <v/>
      </c>
      <c r="CD23" s="1" t="str">
        <f t="shared" si="11"/>
        <v/>
      </c>
      <c r="CE23" s="1" t="str">
        <f t="shared" si="12"/>
        <v/>
      </c>
      <c r="CF23" s="1">
        <f>COUNTIF(BT23:CE23, "&gt;0")</f>
        <v>1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>
        <f>IF($CF23=1,BY23,"")</f>
        <v>3</v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18">
        <f>SUM(AE23:BO23)</f>
        <v>20</v>
      </c>
    </row>
    <row r="24" spans="1:97" x14ac:dyDescent="0.15">
      <c r="A24" s="1">
        <v>24</v>
      </c>
      <c r="B24" s="1" t="s">
        <v>47</v>
      </c>
      <c r="C24" s="1" t="s">
        <v>32</v>
      </c>
      <c r="D24" s="1" t="s">
        <v>26</v>
      </c>
      <c r="E24" s="6"/>
      <c r="F24" s="6"/>
      <c r="G24" s="6"/>
      <c r="H24" s="6"/>
      <c r="I24" s="6">
        <v>4</v>
      </c>
      <c r="J24" s="6"/>
      <c r="K24" s="6">
        <v>4</v>
      </c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>
        <v>5</v>
      </c>
      <c r="AT24" s="4"/>
      <c r="AU24" s="4"/>
      <c r="AV24" s="4"/>
      <c r="AW24" s="2">
        <v>5</v>
      </c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 t="shared" si="0"/>
        <v>18</v>
      </c>
      <c r="BQ24" s="1">
        <v>3</v>
      </c>
      <c r="BR24" s="17">
        <v>1</v>
      </c>
      <c r="BS24" s="17" t="s">
        <v>200</v>
      </c>
      <c r="BT24" s="1" t="str">
        <f t="shared" si="1"/>
        <v/>
      </c>
      <c r="BU24" s="1" t="str">
        <f t="shared" si="2"/>
        <v/>
      </c>
      <c r="BV24" s="1">
        <f t="shared" si="3"/>
        <v>3</v>
      </c>
      <c r="BW24" s="1" t="str">
        <f t="shared" si="4"/>
        <v/>
      </c>
      <c r="BX24" s="1" t="str">
        <f t="shared" si="5"/>
        <v/>
      </c>
      <c r="BY24" s="1" t="str">
        <f t="shared" si="6"/>
        <v/>
      </c>
      <c r="BZ24" s="1" t="str">
        <f t="shared" si="7"/>
        <v/>
      </c>
      <c r="CA24" s="1" t="str">
        <f t="shared" si="8"/>
        <v/>
      </c>
      <c r="CB24" s="1" t="str">
        <f t="shared" si="9"/>
        <v/>
      </c>
      <c r="CC24" s="1" t="str">
        <f t="shared" si="10"/>
        <v/>
      </c>
      <c r="CD24" s="1" t="str">
        <f t="shared" si="11"/>
        <v/>
      </c>
      <c r="CE24" s="1" t="str">
        <f t="shared" si="12"/>
        <v/>
      </c>
      <c r="CF24" s="1">
        <f>COUNTIF(BT24:CE24, "&gt;0")</f>
        <v>1</v>
      </c>
      <c r="CG24" s="1" t="str">
        <f>IF($CF24=1,BT24,"")</f>
        <v/>
      </c>
      <c r="CH24" s="1" t="str">
        <f>IF($CF24=1,BU24,"")</f>
        <v/>
      </c>
      <c r="CI24" s="1">
        <f>IF($CF24=1,BV24,"")</f>
        <v>3</v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18">
        <f>SUM(AE24:BO24)</f>
        <v>10</v>
      </c>
    </row>
    <row r="25" spans="1:97" x14ac:dyDescent="0.15">
      <c r="A25" s="19">
        <v>40</v>
      </c>
      <c r="B25" s="19" t="s">
        <v>56</v>
      </c>
      <c r="C25" s="19" t="s">
        <v>49</v>
      </c>
      <c r="D25" s="19" t="s">
        <v>57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>
        <v>5</v>
      </c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1"/>
      <c r="AR25" s="21"/>
      <c r="AS25" s="21"/>
      <c r="AT25" s="21"/>
      <c r="AU25" s="21"/>
      <c r="AV25" s="21"/>
      <c r="AW25" s="22"/>
      <c r="AX25" s="22"/>
      <c r="AY25" s="22"/>
      <c r="AZ25" s="22"/>
      <c r="BA25" s="22"/>
      <c r="BB25" s="22"/>
      <c r="BC25" s="30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">
        <f t="shared" si="0"/>
        <v>5</v>
      </c>
      <c r="BQ25" s="19">
        <v>4</v>
      </c>
      <c r="BR25" s="23">
        <v>1</v>
      </c>
      <c r="BS25" s="23" t="s">
        <v>217</v>
      </c>
      <c r="BT25" s="1" t="str">
        <f t="shared" si="1"/>
        <v/>
      </c>
      <c r="BU25" s="1" t="str">
        <f t="shared" si="2"/>
        <v/>
      </c>
      <c r="BV25" s="1" t="str">
        <f t="shared" si="3"/>
        <v/>
      </c>
      <c r="BW25" s="1" t="str">
        <f t="shared" si="4"/>
        <v/>
      </c>
      <c r="BX25" s="1" t="str">
        <f t="shared" si="5"/>
        <v/>
      </c>
      <c r="BY25" s="1" t="str">
        <f t="shared" si="6"/>
        <v/>
      </c>
      <c r="BZ25" s="1" t="str">
        <f t="shared" si="7"/>
        <v/>
      </c>
      <c r="CA25" s="1" t="str">
        <f t="shared" si="8"/>
        <v/>
      </c>
      <c r="CB25" s="1" t="str">
        <f t="shared" si="9"/>
        <v/>
      </c>
      <c r="CC25" s="1" t="str">
        <f t="shared" si="10"/>
        <v/>
      </c>
      <c r="CD25" s="1" t="str">
        <f t="shared" si="11"/>
        <v/>
      </c>
      <c r="CE25" s="1" t="str">
        <f t="shared" si="12"/>
        <v/>
      </c>
      <c r="CF25" s="19">
        <f>COUNTIF(BT25:CE25, "&gt;0")</f>
        <v>0</v>
      </c>
      <c r="CG25" s="19" t="str">
        <f>IF($CF25=1,BT25,"")</f>
        <v/>
      </c>
      <c r="CH25" s="19" t="str">
        <f>IF($CF25=1,BU25,"")</f>
        <v/>
      </c>
      <c r="CI25" s="19" t="str">
        <f>IF($CF25=1,BV25,"")</f>
        <v/>
      </c>
      <c r="CJ25" s="19" t="str">
        <f>IF($CF25=1,BW25,"")</f>
        <v/>
      </c>
      <c r="CK25" s="19" t="str">
        <f>IF($CF25=1,BX25,"")</f>
        <v/>
      </c>
      <c r="CL25" s="19" t="str">
        <f>IF($CF25=1,BY25,"")</f>
        <v/>
      </c>
      <c r="CM25" s="19" t="str">
        <f>IF($CF25=1,BZ25,"")</f>
        <v/>
      </c>
      <c r="CN25" s="19" t="str">
        <f>IF($CF25=1,CA25,"")</f>
        <v/>
      </c>
      <c r="CO25" s="19" t="str">
        <f>IF($CF25=1,CB25,"")</f>
        <v/>
      </c>
      <c r="CP25" s="19" t="str">
        <f>IF($CF25=1,CC25,"")</f>
        <v/>
      </c>
      <c r="CQ25" s="19" t="str">
        <f>IF($CF25=1,CD25,"")</f>
        <v/>
      </c>
      <c r="CR25" s="19" t="str">
        <f>IF($CF25=1,CE25,"")</f>
        <v/>
      </c>
      <c r="CS25" s="24">
        <f>SUM(AE25:BO25)</f>
        <v>0</v>
      </c>
    </row>
    <row r="26" spans="1:97" x14ac:dyDescent="0.15">
      <c r="A26" s="19">
        <v>83</v>
      </c>
      <c r="B26" s="26" t="s">
        <v>74</v>
      </c>
      <c r="C26" s="26" t="s">
        <v>69</v>
      </c>
      <c r="D26" s="19" t="s">
        <v>1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>
        <v>5</v>
      </c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1"/>
      <c r="AR26" s="21"/>
      <c r="AS26" s="21"/>
      <c r="AT26" s="21"/>
      <c r="AU26" s="21"/>
      <c r="AV26" s="21"/>
      <c r="AW26" s="22"/>
      <c r="AX26" s="22"/>
      <c r="AY26" s="22"/>
      <c r="AZ26" s="22"/>
      <c r="BA26" s="22"/>
      <c r="BB26" s="22"/>
      <c r="BC26" s="30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">
        <f t="shared" si="0"/>
        <v>5</v>
      </c>
      <c r="BQ26" s="19">
        <v>4</v>
      </c>
      <c r="BR26" s="23">
        <v>1</v>
      </c>
      <c r="BS26" s="23" t="s">
        <v>217</v>
      </c>
      <c r="BT26" s="1" t="str">
        <f t="shared" si="1"/>
        <v/>
      </c>
      <c r="BU26" s="1" t="str">
        <f t="shared" si="2"/>
        <v/>
      </c>
      <c r="BV26" s="1" t="str">
        <f t="shared" si="3"/>
        <v/>
      </c>
      <c r="BW26" s="1" t="str">
        <f t="shared" si="4"/>
        <v/>
      </c>
      <c r="BX26" s="1" t="str">
        <f t="shared" si="5"/>
        <v/>
      </c>
      <c r="BY26" s="1" t="str">
        <f t="shared" si="6"/>
        <v/>
      </c>
      <c r="BZ26" s="1" t="str">
        <f t="shared" si="7"/>
        <v/>
      </c>
      <c r="CA26" s="1" t="str">
        <f t="shared" si="8"/>
        <v/>
      </c>
      <c r="CB26" s="1" t="str">
        <f t="shared" si="9"/>
        <v/>
      </c>
      <c r="CC26" s="1" t="str">
        <f t="shared" si="10"/>
        <v/>
      </c>
      <c r="CD26" s="1" t="str">
        <f t="shared" si="11"/>
        <v/>
      </c>
      <c r="CE26" s="1" t="str">
        <f t="shared" si="12"/>
        <v/>
      </c>
      <c r="CF26" s="19">
        <f>COUNTIF(BT26:CE26, "&gt;0")</f>
        <v>0</v>
      </c>
      <c r="CG26" s="19" t="str">
        <f>IF($CF26=1,BT26,"")</f>
        <v/>
      </c>
      <c r="CH26" s="19" t="str">
        <f>IF($CF26=1,BU26,"")</f>
        <v/>
      </c>
      <c r="CI26" s="19" t="str">
        <f>IF($CF26=1,BV26,"")</f>
        <v/>
      </c>
      <c r="CJ26" s="19" t="str">
        <f>IF($CF26=1,BW26,"")</f>
        <v/>
      </c>
      <c r="CK26" s="19" t="str">
        <f>IF($CF26=1,BX26,"")</f>
        <v/>
      </c>
      <c r="CL26" s="19" t="str">
        <f>IF($CF26=1,BY26,"")</f>
        <v/>
      </c>
      <c r="CM26" s="19" t="str">
        <f>IF($CF26=1,BZ26,"")</f>
        <v/>
      </c>
      <c r="CN26" s="19" t="str">
        <f>IF($CF26=1,CA26,"")</f>
        <v/>
      </c>
      <c r="CO26" s="19" t="str">
        <f>IF($CF26=1,CB26,"")</f>
        <v/>
      </c>
      <c r="CP26" s="19" t="str">
        <f>IF($CF26=1,CC26,"")</f>
        <v/>
      </c>
      <c r="CQ26" s="19" t="str">
        <f>IF($CF26=1,CD26,"")</f>
        <v/>
      </c>
      <c r="CR26" s="19" t="str">
        <f>IF($CF26=1,CE26,"")</f>
        <v/>
      </c>
      <c r="CS26" s="24">
        <f>SUM(AE26:BO26)</f>
        <v>0</v>
      </c>
    </row>
    <row r="27" spans="1:97" s="25" customFormat="1" x14ac:dyDescent="0.15">
      <c r="A27" s="1">
        <v>5</v>
      </c>
      <c r="B27" s="1" t="s">
        <v>22</v>
      </c>
      <c r="C27" s="1" t="s">
        <v>2</v>
      </c>
      <c r="D27" s="1" t="s">
        <v>12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 t="shared" si="0"/>
        <v>20</v>
      </c>
      <c r="BQ27" s="1">
        <v>4</v>
      </c>
      <c r="BR27" s="17">
        <v>1</v>
      </c>
      <c r="BS27" s="17" t="s">
        <v>221</v>
      </c>
      <c r="BT27" s="1" t="str">
        <f t="shared" si="1"/>
        <v/>
      </c>
      <c r="BU27" s="1">
        <f t="shared" si="2"/>
        <v>4</v>
      </c>
      <c r="BV27" s="1" t="str">
        <f t="shared" si="3"/>
        <v/>
      </c>
      <c r="BW27" s="1" t="str">
        <f t="shared" si="4"/>
        <v/>
      </c>
      <c r="BX27" s="1" t="str">
        <f t="shared" si="5"/>
        <v/>
      </c>
      <c r="BY27" s="1" t="str">
        <f t="shared" si="6"/>
        <v/>
      </c>
      <c r="BZ27" s="1" t="str">
        <f t="shared" si="7"/>
        <v/>
      </c>
      <c r="CA27" s="1" t="str">
        <f t="shared" si="8"/>
        <v/>
      </c>
      <c r="CB27" s="1" t="str">
        <f t="shared" si="9"/>
        <v/>
      </c>
      <c r="CC27" s="1" t="str">
        <f t="shared" si="10"/>
        <v/>
      </c>
      <c r="CD27" s="1" t="str">
        <f t="shared" si="11"/>
        <v/>
      </c>
      <c r="CE27" s="1" t="str">
        <f t="shared" si="12"/>
        <v/>
      </c>
      <c r="CF27" s="1">
        <f>COUNTIF(BT27:CE27, "&gt;0")</f>
        <v>1</v>
      </c>
      <c r="CG27" s="1" t="str">
        <f>IF($CF27=1,BT27,"")</f>
        <v/>
      </c>
      <c r="CH27" s="1">
        <f>IF($CF27=1,BU27,"")</f>
        <v>4</v>
      </c>
      <c r="CI27" s="1" t="str">
        <f>IF($CF27=1,BV27,"")</f>
        <v/>
      </c>
      <c r="CJ27" s="1" t="str">
        <f>IF($CF27=1,BW27,"")</f>
        <v/>
      </c>
      <c r="CK27" s="1" t="str">
        <f>IF($CF27=1,BX27,"")</f>
        <v/>
      </c>
      <c r="CL27" s="1" t="str">
        <f>IF($CF27=1,BY27,"")</f>
        <v/>
      </c>
      <c r="CM27" s="1" t="str">
        <f>IF($CF27=1,BZ27,"")</f>
        <v/>
      </c>
      <c r="CN27" s="1" t="str">
        <f>IF($CF27=1,CA27,"")</f>
        <v/>
      </c>
      <c r="CO27" s="1" t="str">
        <f>IF($CF27=1,CB27,"")</f>
        <v/>
      </c>
      <c r="CP27" s="1" t="str">
        <f>IF($CF27=1,CC27,"")</f>
        <v/>
      </c>
      <c r="CQ27" s="1" t="str">
        <f>IF($CF27=1,CD27,"")</f>
        <v/>
      </c>
      <c r="CR27" s="1" t="str">
        <f>IF($CF27=1,CE27,"")</f>
        <v/>
      </c>
      <c r="CS27" s="18">
        <f>SUM(AE27:BO27)</f>
        <v>20</v>
      </c>
    </row>
    <row r="28" spans="1:97" x14ac:dyDescent="0.15">
      <c r="A28" s="1">
        <v>6</v>
      </c>
      <c r="B28" s="1" t="s">
        <v>55</v>
      </c>
      <c r="C28" s="1" t="s">
        <v>2</v>
      </c>
      <c r="D28" s="1" t="s">
        <v>23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>
        <v>10</v>
      </c>
      <c r="AS28" s="4"/>
      <c r="AT28" s="4"/>
      <c r="AU28" s="4"/>
      <c r="AV28" s="4"/>
      <c r="AW28" s="2"/>
      <c r="AX28" s="2"/>
      <c r="AY28" s="2"/>
      <c r="AZ28" s="2"/>
      <c r="BA28" s="2"/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 t="shared" si="0"/>
        <v>20</v>
      </c>
      <c r="BQ28" s="1">
        <v>4</v>
      </c>
      <c r="BR28" s="17">
        <v>1</v>
      </c>
      <c r="BS28" s="17" t="s">
        <v>221</v>
      </c>
      <c r="BT28" s="1" t="str">
        <f t="shared" si="1"/>
        <v/>
      </c>
      <c r="BU28" s="1">
        <f t="shared" si="2"/>
        <v>4</v>
      </c>
      <c r="BV28" s="1" t="str">
        <f t="shared" si="3"/>
        <v/>
      </c>
      <c r="BW28" s="1" t="str">
        <f t="shared" si="4"/>
        <v/>
      </c>
      <c r="BX28" s="1" t="str">
        <f t="shared" si="5"/>
        <v/>
      </c>
      <c r="BY28" s="1" t="str">
        <f t="shared" si="6"/>
        <v/>
      </c>
      <c r="BZ28" s="1" t="str">
        <f t="shared" si="7"/>
        <v/>
      </c>
      <c r="CA28" s="1" t="str">
        <f t="shared" si="8"/>
        <v/>
      </c>
      <c r="CB28" s="1" t="str">
        <f t="shared" si="9"/>
        <v/>
      </c>
      <c r="CC28" s="1" t="str">
        <f t="shared" si="10"/>
        <v/>
      </c>
      <c r="CD28" s="1" t="str">
        <f t="shared" si="11"/>
        <v/>
      </c>
      <c r="CE28" s="1" t="str">
        <f t="shared" si="12"/>
        <v/>
      </c>
      <c r="CF28" s="1">
        <f>COUNTIF(BT28:CE28, "&gt;0")</f>
        <v>1</v>
      </c>
      <c r="CG28" s="1" t="str">
        <f>IF($CF28=1,BT28,"")</f>
        <v/>
      </c>
      <c r="CH28" s="1">
        <f>IF($CF28=1,BU28,"")</f>
        <v>4</v>
      </c>
      <c r="CI28" s="1" t="str">
        <f>IF($CF28=1,BV28,"")</f>
        <v/>
      </c>
      <c r="CJ28" s="1" t="str">
        <f>IF($CF28=1,BW28,"")</f>
        <v/>
      </c>
      <c r="CK28" s="1" t="str">
        <f>IF($CF28=1,BX28,"")</f>
        <v/>
      </c>
      <c r="CL28" s="1" t="str">
        <f>IF($CF28=1,BY28,"")</f>
        <v/>
      </c>
      <c r="CM28" s="1" t="str">
        <f>IF($CF28=1,BZ28,"")</f>
        <v/>
      </c>
      <c r="CN28" s="1" t="str">
        <f>IF($CF28=1,CA28,"")</f>
        <v/>
      </c>
      <c r="CO28" s="1" t="str">
        <f>IF($CF28=1,CB28,"")</f>
        <v/>
      </c>
      <c r="CP28" s="1" t="str">
        <f>IF($CF28=1,CC28,"")</f>
        <v/>
      </c>
      <c r="CQ28" s="1" t="str">
        <f>IF($CF28=1,CD28,"")</f>
        <v/>
      </c>
      <c r="CR28" s="1" t="str">
        <f>IF($CF28=1,CE28,"")</f>
        <v/>
      </c>
      <c r="CS28" s="18">
        <f>SUM(AE28:BO28)</f>
        <v>20</v>
      </c>
    </row>
    <row r="29" spans="1:97" x14ac:dyDescent="0.15">
      <c r="A29" s="1"/>
      <c r="B29" s="1" t="s">
        <v>140</v>
      </c>
      <c r="C29" s="1" t="s">
        <v>136</v>
      </c>
      <c r="D29" s="1" t="s">
        <v>114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>
        <v>5</v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 t="shared" si="0"/>
        <v>5</v>
      </c>
      <c r="BQ29" s="1">
        <v>4</v>
      </c>
      <c r="BR29" s="17">
        <v>1</v>
      </c>
      <c r="BS29" s="17" t="s">
        <v>217</v>
      </c>
      <c r="BT29" s="1" t="str">
        <f t="shared" si="1"/>
        <v/>
      </c>
      <c r="BU29" s="1" t="str">
        <f t="shared" si="2"/>
        <v/>
      </c>
      <c r="BV29" s="1" t="str">
        <f t="shared" si="3"/>
        <v/>
      </c>
      <c r="BW29" s="1" t="str">
        <f t="shared" si="4"/>
        <v/>
      </c>
      <c r="BX29" s="1" t="str">
        <f t="shared" si="5"/>
        <v/>
      </c>
      <c r="BY29" s="1" t="str">
        <f t="shared" si="6"/>
        <v/>
      </c>
      <c r="BZ29" s="1" t="str">
        <f t="shared" si="7"/>
        <v/>
      </c>
      <c r="CA29" s="1" t="str">
        <f t="shared" si="8"/>
        <v/>
      </c>
      <c r="CB29" s="1" t="str">
        <f t="shared" si="9"/>
        <v/>
      </c>
      <c r="CC29" s="1" t="str">
        <f t="shared" si="10"/>
        <v/>
      </c>
      <c r="CD29" s="1" t="str">
        <f t="shared" si="11"/>
        <v/>
      </c>
      <c r="CE29" s="1" t="str">
        <f t="shared" si="12"/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142</v>
      </c>
      <c r="C30" s="1" t="s">
        <v>136</v>
      </c>
      <c r="D30" s="1" t="s">
        <v>114</v>
      </c>
      <c r="E30" s="6"/>
      <c r="F30" s="6"/>
      <c r="G30" s="6"/>
      <c r="H30" s="6">
        <v>5</v>
      </c>
      <c r="I30" s="6"/>
      <c r="J30" s="6"/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 t="shared" si="0"/>
        <v>5</v>
      </c>
      <c r="BQ30" s="1">
        <v>5</v>
      </c>
      <c r="BR30" s="17">
        <v>1</v>
      </c>
      <c r="BS30" s="17" t="s">
        <v>228</v>
      </c>
      <c r="BT30" s="1" t="str">
        <f t="shared" si="1"/>
        <v/>
      </c>
      <c r="BU30" s="1" t="str">
        <f t="shared" si="2"/>
        <v/>
      </c>
      <c r="BV30" s="1" t="str">
        <f t="shared" si="3"/>
        <v/>
      </c>
      <c r="BW30" s="1" t="str">
        <f t="shared" si="4"/>
        <v/>
      </c>
      <c r="BX30" s="1" t="str">
        <f t="shared" si="5"/>
        <v/>
      </c>
      <c r="BY30" s="1" t="str">
        <f t="shared" si="6"/>
        <v/>
      </c>
      <c r="BZ30" s="1" t="str">
        <f t="shared" si="7"/>
        <v/>
      </c>
      <c r="CA30" s="1" t="str">
        <f t="shared" si="8"/>
        <v/>
      </c>
      <c r="CB30" s="1" t="str">
        <f t="shared" si="9"/>
        <v/>
      </c>
      <c r="CC30" s="1" t="str">
        <f t="shared" si="10"/>
        <v/>
      </c>
      <c r="CD30" s="1" t="str">
        <f t="shared" si="11"/>
        <v/>
      </c>
      <c r="CE30" s="1" t="str">
        <f t="shared" si="12"/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>
        <v>17</v>
      </c>
      <c r="B31" s="1" t="s">
        <v>35</v>
      </c>
      <c r="C31" s="1" t="s">
        <v>32</v>
      </c>
      <c r="D31" s="1" t="s">
        <v>24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>
        <v>5</v>
      </c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 t="shared" si="0"/>
        <v>5</v>
      </c>
      <c r="BQ31" s="1">
        <v>5</v>
      </c>
      <c r="BR31" s="17">
        <v>1</v>
      </c>
      <c r="BS31" s="17" t="s">
        <v>201</v>
      </c>
      <c r="BT31" s="1" t="str">
        <f t="shared" si="1"/>
        <v/>
      </c>
      <c r="BU31" s="1" t="str">
        <f t="shared" si="2"/>
        <v/>
      </c>
      <c r="BV31" s="1" t="str">
        <f t="shared" si="3"/>
        <v/>
      </c>
      <c r="BW31" s="1" t="str">
        <f t="shared" si="4"/>
        <v/>
      </c>
      <c r="BX31" s="1" t="str">
        <f t="shared" si="5"/>
        <v/>
      </c>
      <c r="BY31" s="1" t="str">
        <f t="shared" si="6"/>
        <v/>
      </c>
      <c r="BZ31" s="1" t="str">
        <f t="shared" si="7"/>
        <v/>
      </c>
      <c r="CA31" s="1" t="str">
        <f t="shared" si="8"/>
        <v/>
      </c>
      <c r="CB31" s="1" t="str">
        <f t="shared" si="9"/>
        <v/>
      </c>
      <c r="CC31" s="1" t="str">
        <f t="shared" si="10"/>
        <v/>
      </c>
      <c r="CD31" s="1" t="str">
        <f t="shared" si="11"/>
        <v/>
      </c>
      <c r="CE31" s="1" t="str">
        <f t="shared" si="12"/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18">
        <f>SUM(AE31:BO31)</f>
        <v>5</v>
      </c>
    </row>
    <row r="32" spans="1:97" x14ac:dyDescent="0.15">
      <c r="A32" s="1">
        <v>18</v>
      </c>
      <c r="B32" s="1" t="s">
        <v>35</v>
      </c>
      <c r="C32" s="1" t="s">
        <v>32</v>
      </c>
      <c r="D32" s="1" t="s">
        <v>25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>
        <v>5</v>
      </c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 t="shared" si="0"/>
        <v>5</v>
      </c>
      <c r="BQ32" s="1">
        <v>5</v>
      </c>
      <c r="BR32" s="17">
        <v>1</v>
      </c>
      <c r="BS32" s="17" t="s">
        <v>242</v>
      </c>
      <c r="BT32" s="1" t="str">
        <f t="shared" si="1"/>
        <v/>
      </c>
      <c r="BU32" s="1" t="str">
        <f t="shared" si="2"/>
        <v/>
      </c>
      <c r="BV32" s="1" t="str">
        <f t="shared" si="3"/>
        <v/>
      </c>
      <c r="BW32" s="1" t="str">
        <f t="shared" si="4"/>
        <v/>
      </c>
      <c r="BX32" s="1" t="str">
        <f t="shared" si="5"/>
        <v/>
      </c>
      <c r="BY32" s="1" t="str">
        <f t="shared" si="6"/>
        <v/>
      </c>
      <c r="BZ32" s="1" t="str">
        <f t="shared" si="7"/>
        <v/>
      </c>
      <c r="CA32" s="1" t="str">
        <f t="shared" si="8"/>
        <v/>
      </c>
      <c r="CB32" s="1" t="str">
        <f t="shared" si="9"/>
        <v/>
      </c>
      <c r="CC32" s="1" t="str">
        <f t="shared" si="10"/>
        <v/>
      </c>
      <c r="CD32" s="1" t="str">
        <f t="shared" si="11"/>
        <v/>
      </c>
      <c r="CE32" s="1" t="str">
        <f t="shared" si="12"/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18">
        <f>SUM(AE32:BO32)</f>
        <v>5</v>
      </c>
    </row>
    <row r="33" spans="1:97" x14ac:dyDescent="0.15">
      <c r="A33" s="1">
        <v>19</v>
      </c>
      <c r="B33" s="1" t="s">
        <v>38</v>
      </c>
      <c r="C33" s="1" t="s">
        <v>32</v>
      </c>
      <c r="D33" s="1" t="s">
        <v>24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 t="shared" si="0"/>
        <v>5</v>
      </c>
      <c r="BQ33" s="1">
        <v>5</v>
      </c>
      <c r="BR33" s="17">
        <v>1</v>
      </c>
      <c r="BS33" s="17" t="s">
        <v>242</v>
      </c>
      <c r="BT33" s="1" t="str">
        <f t="shared" si="1"/>
        <v/>
      </c>
      <c r="BU33" s="1" t="str">
        <f t="shared" si="2"/>
        <v/>
      </c>
      <c r="BV33" s="1" t="str">
        <f t="shared" si="3"/>
        <v/>
      </c>
      <c r="BW33" s="1" t="str">
        <f t="shared" si="4"/>
        <v/>
      </c>
      <c r="BX33" s="1" t="str">
        <f t="shared" si="5"/>
        <v/>
      </c>
      <c r="BY33" s="1" t="str">
        <f t="shared" si="6"/>
        <v/>
      </c>
      <c r="BZ33" s="1" t="str">
        <f t="shared" si="7"/>
        <v/>
      </c>
      <c r="CA33" s="1" t="str">
        <f t="shared" si="8"/>
        <v/>
      </c>
      <c r="CB33" s="1" t="str">
        <f t="shared" si="9"/>
        <v/>
      </c>
      <c r="CC33" s="1" t="str">
        <f t="shared" si="10"/>
        <v/>
      </c>
      <c r="CD33" s="1" t="str">
        <f t="shared" si="11"/>
        <v/>
      </c>
      <c r="CE33" s="1" t="str">
        <f t="shared" si="12"/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18">
        <f>SUM(AE33:BO33)</f>
        <v>5</v>
      </c>
    </row>
    <row r="34" spans="1:97" x14ac:dyDescent="0.15">
      <c r="A34" s="1">
        <v>32</v>
      </c>
      <c r="B34" s="1" t="s">
        <v>83</v>
      </c>
      <c r="C34" s="1" t="s">
        <v>32</v>
      </c>
      <c r="D34" s="1" t="s">
        <v>24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>
        <v>5</v>
      </c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 t="shared" si="0"/>
        <v>5</v>
      </c>
      <c r="BQ34" s="1">
        <v>5</v>
      </c>
      <c r="BR34" s="17">
        <v>1</v>
      </c>
      <c r="BS34" s="17" t="s">
        <v>243</v>
      </c>
      <c r="BT34" s="1" t="str">
        <f t="shared" si="1"/>
        <v/>
      </c>
      <c r="BU34" s="1" t="str">
        <f t="shared" si="2"/>
        <v/>
      </c>
      <c r="BV34" s="1" t="str">
        <f t="shared" si="3"/>
        <v/>
      </c>
      <c r="BW34" s="1" t="str">
        <f t="shared" si="4"/>
        <v/>
      </c>
      <c r="BX34" s="1" t="str">
        <f t="shared" si="5"/>
        <v/>
      </c>
      <c r="BY34" s="1" t="str">
        <f t="shared" si="6"/>
        <v/>
      </c>
      <c r="BZ34" s="1" t="str">
        <f t="shared" si="7"/>
        <v/>
      </c>
      <c r="CA34" s="1" t="str">
        <f t="shared" si="8"/>
        <v/>
      </c>
      <c r="CB34" s="1" t="str">
        <f t="shared" si="9"/>
        <v/>
      </c>
      <c r="CC34" s="1" t="str">
        <f t="shared" si="10"/>
        <v/>
      </c>
      <c r="CD34" s="1" t="str">
        <f t="shared" si="11"/>
        <v/>
      </c>
      <c r="CE34" s="1" t="str">
        <f t="shared" si="12"/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18">
        <f>SUM(AE34:BO34)</f>
        <v>5</v>
      </c>
    </row>
    <row r="35" spans="1:97" x14ac:dyDescent="0.15">
      <c r="A35" s="1">
        <v>33</v>
      </c>
      <c r="B35" s="1" t="s">
        <v>83</v>
      </c>
      <c r="C35" s="1" t="s">
        <v>32</v>
      </c>
      <c r="D35" s="1" t="s">
        <v>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>
        <v>5</v>
      </c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 t="shared" si="0"/>
        <v>5</v>
      </c>
      <c r="BQ35" s="1">
        <v>5</v>
      </c>
      <c r="BR35" s="17">
        <v>1</v>
      </c>
      <c r="BS35" s="17" t="s">
        <v>244</v>
      </c>
      <c r="BT35" s="1" t="str">
        <f t="shared" si="1"/>
        <v/>
      </c>
      <c r="BU35" s="1" t="str">
        <f t="shared" si="2"/>
        <v/>
      </c>
      <c r="BV35" s="1" t="str">
        <f t="shared" si="3"/>
        <v/>
      </c>
      <c r="BW35" s="1" t="str">
        <f t="shared" si="4"/>
        <v/>
      </c>
      <c r="BX35" s="1" t="str">
        <f t="shared" si="5"/>
        <v/>
      </c>
      <c r="BY35" s="1" t="str">
        <f t="shared" si="6"/>
        <v/>
      </c>
      <c r="BZ35" s="1" t="str">
        <f t="shared" si="7"/>
        <v/>
      </c>
      <c r="CA35" s="1" t="str">
        <f t="shared" si="8"/>
        <v/>
      </c>
      <c r="CB35" s="1" t="str">
        <f t="shared" si="9"/>
        <v/>
      </c>
      <c r="CC35" s="1" t="str">
        <f t="shared" si="10"/>
        <v/>
      </c>
      <c r="CD35" s="1" t="str">
        <f t="shared" si="11"/>
        <v/>
      </c>
      <c r="CE35" s="1" t="str">
        <f t="shared" si="12"/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18">
        <f>SUM(AE35:BO35)</f>
        <v>5</v>
      </c>
    </row>
    <row r="36" spans="1:97" x14ac:dyDescent="0.15">
      <c r="A36" s="1">
        <v>63</v>
      </c>
      <c r="B36" s="3" t="s">
        <v>66</v>
      </c>
      <c r="C36" s="1" t="s">
        <v>61</v>
      </c>
      <c r="D36" s="1" t="s">
        <v>24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>
        <v>5</v>
      </c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 t="shared" si="0"/>
        <v>5</v>
      </c>
      <c r="BQ36" s="1">
        <v>5</v>
      </c>
      <c r="BR36" s="17">
        <v>1</v>
      </c>
      <c r="BS36" s="17" t="s">
        <v>245</v>
      </c>
      <c r="BT36" s="1" t="str">
        <f t="shared" si="1"/>
        <v/>
      </c>
      <c r="BU36" s="1" t="str">
        <f t="shared" si="2"/>
        <v/>
      </c>
      <c r="BV36" s="1" t="str">
        <f t="shared" si="3"/>
        <v/>
      </c>
      <c r="BW36" s="1" t="str">
        <f t="shared" si="4"/>
        <v/>
      </c>
      <c r="BX36" s="1" t="str">
        <f t="shared" si="5"/>
        <v/>
      </c>
      <c r="BY36" s="1" t="str">
        <f t="shared" si="6"/>
        <v/>
      </c>
      <c r="BZ36" s="1" t="str">
        <f t="shared" si="7"/>
        <v/>
      </c>
      <c r="CA36" s="1" t="str">
        <f t="shared" si="8"/>
        <v/>
      </c>
      <c r="CB36" s="1" t="str">
        <f t="shared" si="9"/>
        <v/>
      </c>
      <c r="CC36" s="1" t="str">
        <f t="shared" si="10"/>
        <v/>
      </c>
      <c r="CD36" s="1" t="str">
        <f t="shared" si="11"/>
        <v/>
      </c>
      <c r="CE36" s="1" t="str">
        <f t="shared" si="12"/>
        <v/>
      </c>
      <c r="CF36" s="1">
        <f>COUNTIF(BT36:CE36, "&gt;0")</f>
        <v>0</v>
      </c>
      <c r="CG36" s="1" t="str">
        <f>IF($CF36=1,BT36,"")</f>
        <v/>
      </c>
      <c r="CH36" s="1" t="str">
        <f>IF($CF36=1,BU36,"")</f>
        <v/>
      </c>
      <c r="CI36" s="1" t="str">
        <f>IF($CF36=1,BV36,"")</f>
        <v/>
      </c>
      <c r="CJ36" s="1" t="str">
        <f>IF($CF36=1,BW36,"")</f>
        <v/>
      </c>
      <c r="CK36" s="1" t="str">
        <f>IF($CF36=1,BX36,"")</f>
        <v/>
      </c>
      <c r="CL36" s="1" t="str">
        <f>IF($CF36=1,BY36,"")</f>
        <v/>
      </c>
      <c r="CM36" s="1" t="str">
        <f>IF($CF36=1,BZ36,"")</f>
        <v/>
      </c>
      <c r="CN36" s="1" t="str">
        <f>IF($CF36=1,CA36,"")</f>
        <v/>
      </c>
      <c r="CO36" s="1" t="str">
        <f>IF($CF36=1,CB36,"")</f>
        <v/>
      </c>
      <c r="CP36" s="1" t="str">
        <f>IF($CF36=1,CC36,"")</f>
        <v/>
      </c>
      <c r="CQ36" s="1" t="str">
        <f>IF($CF36=1,CD36,"")</f>
        <v/>
      </c>
      <c r="CR36" s="1" t="str">
        <f>IF($CF36=1,CE36,"")</f>
        <v/>
      </c>
      <c r="CS36" s="18">
        <f>SUM(AE36:BO36)</f>
        <v>5</v>
      </c>
    </row>
    <row r="37" spans="1:97" x14ac:dyDescent="0.15">
      <c r="A37" s="1">
        <v>90</v>
      </c>
      <c r="B37" s="3" t="s">
        <v>87</v>
      </c>
      <c r="C37" s="3" t="s">
        <v>86</v>
      </c>
      <c r="D37" s="1" t="s">
        <v>24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>
        <v>5</v>
      </c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 t="shared" si="0"/>
        <v>5</v>
      </c>
      <c r="BQ37" s="1">
        <v>5</v>
      </c>
      <c r="BR37" s="17">
        <v>1</v>
      </c>
      <c r="BS37" s="17" t="s">
        <v>188</v>
      </c>
      <c r="BT37" s="1" t="str">
        <f t="shared" si="1"/>
        <v/>
      </c>
      <c r="BU37" s="1" t="str">
        <f t="shared" si="2"/>
        <v/>
      </c>
      <c r="BV37" s="1" t="str">
        <f t="shared" si="3"/>
        <v/>
      </c>
      <c r="BW37" s="1" t="str">
        <f t="shared" si="4"/>
        <v/>
      </c>
      <c r="BX37" s="1" t="str">
        <f t="shared" si="5"/>
        <v/>
      </c>
      <c r="BY37" s="1" t="str">
        <f t="shared" si="6"/>
        <v/>
      </c>
      <c r="BZ37" s="1" t="str">
        <f t="shared" si="7"/>
        <v/>
      </c>
      <c r="CA37" s="1" t="str">
        <f t="shared" si="8"/>
        <v/>
      </c>
      <c r="CB37" s="1" t="str">
        <f t="shared" si="9"/>
        <v/>
      </c>
      <c r="CC37" s="1" t="str">
        <f t="shared" si="10"/>
        <v/>
      </c>
      <c r="CD37" s="1" t="str">
        <f t="shared" si="11"/>
        <v/>
      </c>
      <c r="CE37" s="1" t="str">
        <f t="shared" si="12"/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18">
        <f>SUM(AE37:BO37)</f>
        <v>5</v>
      </c>
    </row>
    <row r="38" spans="1:97" x14ac:dyDescent="0.15">
      <c r="A38" s="1"/>
      <c r="B38" s="1" t="s">
        <v>129</v>
      </c>
      <c r="C38" s="1" t="s">
        <v>126</v>
      </c>
      <c r="D38" s="1" t="s">
        <v>121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>
        <v>5</v>
      </c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 t="shared" si="0"/>
        <v>5</v>
      </c>
      <c r="BQ38" s="1">
        <v>5</v>
      </c>
      <c r="BR38" s="17">
        <v>1</v>
      </c>
      <c r="BS38" s="17" t="s">
        <v>246</v>
      </c>
      <c r="BT38" s="1" t="str">
        <f t="shared" si="1"/>
        <v/>
      </c>
      <c r="BU38" s="1" t="str">
        <f t="shared" si="2"/>
        <v/>
      </c>
      <c r="BV38" s="1" t="str">
        <f t="shared" si="3"/>
        <v/>
      </c>
      <c r="BW38" s="1" t="str">
        <f t="shared" si="4"/>
        <v/>
      </c>
      <c r="BX38" s="1" t="str">
        <f t="shared" si="5"/>
        <v/>
      </c>
      <c r="BY38" s="1" t="str">
        <f t="shared" si="6"/>
        <v/>
      </c>
      <c r="BZ38" s="1" t="str">
        <f t="shared" si="7"/>
        <v/>
      </c>
      <c r="CA38" s="1" t="str">
        <f t="shared" si="8"/>
        <v/>
      </c>
      <c r="CB38" s="1" t="str">
        <f t="shared" si="9"/>
        <v/>
      </c>
      <c r="CC38" s="1" t="str">
        <f t="shared" si="10"/>
        <v/>
      </c>
      <c r="CD38" s="1" t="str">
        <f t="shared" si="11"/>
        <v/>
      </c>
      <c r="CE38" s="1" t="str">
        <f t="shared" si="12"/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129</v>
      </c>
      <c r="C39" s="1" t="s">
        <v>126</v>
      </c>
      <c r="D39" s="1" t="s">
        <v>115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/>
      <c r="AH39" s="1"/>
      <c r="AI39" s="1">
        <v>5</v>
      </c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 t="shared" si="0"/>
        <v>5</v>
      </c>
      <c r="BQ39" s="1">
        <v>5</v>
      </c>
      <c r="BR39" s="17">
        <v>1</v>
      </c>
      <c r="BS39" s="17" t="s">
        <v>247</v>
      </c>
      <c r="BT39" s="1" t="str">
        <f t="shared" si="1"/>
        <v/>
      </c>
      <c r="BU39" s="1" t="str">
        <f t="shared" si="2"/>
        <v/>
      </c>
      <c r="BV39" s="1" t="str">
        <f t="shared" si="3"/>
        <v/>
      </c>
      <c r="BW39" s="1" t="str">
        <f t="shared" si="4"/>
        <v/>
      </c>
      <c r="BX39" s="1" t="str">
        <f t="shared" si="5"/>
        <v/>
      </c>
      <c r="BY39" s="1" t="str">
        <f t="shared" si="6"/>
        <v/>
      </c>
      <c r="BZ39" s="1" t="str">
        <f t="shared" si="7"/>
        <v/>
      </c>
      <c r="CA39" s="1" t="str">
        <f t="shared" si="8"/>
        <v/>
      </c>
      <c r="CB39" s="1" t="str">
        <f t="shared" si="9"/>
        <v/>
      </c>
      <c r="CC39" s="1" t="str">
        <f t="shared" si="10"/>
        <v/>
      </c>
      <c r="CD39" s="1" t="str">
        <f t="shared" si="11"/>
        <v/>
      </c>
      <c r="CE39" s="1" t="str">
        <f t="shared" si="12"/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s="25" customFormat="1" x14ac:dyDescent="0.15">
      <c r="A40" s="1">
        <v>20</v>
      </c>
      <c r="B40" s="1" t="s">
        <v>38</v>
      </c>
      <c r="C40" s="1" t="s">
        <v>32</v>
      </c>
      <c r="D40" s="1" t="s">
        <v>25</v>
      </c>
      <c r="E40" s="6"/>
      <c r="F40" s="6">
        <v>5</v>
      </c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>
        <v>5</v>
      </c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 t="shared" si="0"/>
        <v>10</v>
      </c>
      <c r="BQ40" s="1">
        <v>5</v>
      </c>
      <c r="BR40" s="17">
        <v>1</v>
      </c>
      <c r="BS40" s="17" t="s">
        <v>271</v>
      </c>
      <c r="BT40" s="1" t="str">
        <f t="shared" si="1"/>
        <v/>
      </c>
      <c r="BU40" s="1" t="str">
        <f t="shared" si="2"/>
        <v/>
      </c>
      <c r="BV40" s="1" t="str">
        <f t="shared" si="3"/>
        <v/>
      </c>
      <c r="BW40" s="1" t="str">
        <f t="shared" si="4"/>
        <v/>
      </c>
      <c r="BX40" s="1" t="str">
        <f t="shared" si="5"/>
        <v/>
      </c>
      <c r="BY40" s="1" t="str">
        <f t="shared" si="6"/>
        <v/>
      </c>
      <c r="BZ40" s="1" t="str">
        <f t="shared" si="7"/>
        <v/>
      </c>
      <c r="CA40" s="1" t="str">
        <f t="shared" si="8"/>
        <v/>
      </c>
      <c r="CB40" s="1" t="str">
        <f t="shared" si="9"/>
        <v/>
      </c>
      <c r="CC40" s="1" t="str">
        <f t="shared" si="10"/>
        <v/>
      </c>
      <c r="CD40" s="1" t="str">
        <f t="shared" si="11"/>
        <v/>
      </c>
      <c r="CE40" s="1" t="str">
        <f t="shared" si="12"/>
        <v/>
      </c>
      <c r="CF40" s="1">
        <f>COUNTIF(BT40:CE40, "&gt;0")</f>
        <v>0</v>
      </c>
      <c r="CG40" s="1" t="str">
        <f>IF($CF40=1,BT40,"")</f>
        <v/>
      </c>
      <c r="CH40" s="1" t="str">
        <f>IF($CF40=1,BU40,"")</f>
        <v/>
      </c>
      <c r="CI40" s="1" t="str">
        <f>IF($CF40=1,BV40,"")</f>
        <v/>
      </c>
      <c r="CJ40" s="1" t="str">
        <f>IF($CF40=1,BW40,"")</f>
        <v/>
      </c>
      <c r="CK40" s="1" t="str">
        <f>IF($CF40=1,BX40,"")</f>
        <v/>
      </c>
      <c r="CL40" s="1" t="str">
        <f>IF($CF40=1,BY40,"")</f>
        <v/>
      </c>
      <c r="CM40" s="1" t="str">
        <f>IF($CF40=1,BZ40,"")</f>
        <v/>
      </c>
      <c r="CN40" s="1" t="str">
        <f>IF($CF40=1,CA40,"")</f>
        <v/>
      </c>
      <c r="CO40" s="1" t="str">
        <f>IF($CF40=1,CB40,"")</f>
        <v/>
      </c>
      <c r="CP40" s="1" t="str">
        <f>IF($CF40=1,CC40,"")</f>
        <v/>
      </c>
      <c r="CQ40" s="1" t="str">
        <f>IF($CF40=1,CD40,"")</f>
        <v/>
      </c>
      <c r="CR40" s="1" t="str">
        <f>IF($CF40=1,CE40,"")</f>
        <v/>
      </c>
      <c r="CS40" s="18">
        <f>SUM(AE40:BO40)</f>
        <v>5</v>
      </c>
    </row>
    <row r="41" spans="1:97" x14ac:dyDescent="0.15">
      <c r="A41" s="1">
        <v>34</v>
      </c>
      <c r="B41" s="1" t="s">
        <v>48</v>
      </c>
      <c r="C41" s="1" t="s">
        <v>49</v>
      </c>
      <c r="D41" s="1" t="s">
        <v>25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>
        <v>15</v>
      </c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>
        <v>15</v>
      </c>
      <c r="BI41" s="1">
        <v>15</v>
      </c>
      <c r="BJ41" s="1"/>
      <c r="BK41" s="1"/>
      <c r="BL41" s="1"/>
      <c r="BM41" s="1"/>
      <c r="BN41" s="1"/>
      <c r="BO41" s="1"/>
      <c r="BP41" s="1">
        <f t="shared" si="0"/>
        <v>60</v>
      </c>
      <c r="BQ41" s="1">
        <v>6</v>
      </c>
      <c r="BR41" s="17">
        <v>1</v>
      </c>
      <c r="BS41" s="17" t="s">
        <v>249</v>
      </c>
      <c r="BT41" s="1">
        <f t="shared" si="1"/>
        <v>6</v>
      </c>
      <c r="BU41" s="1" t="str">
        <f t="shared" si="2"/>
        <v/>
      </c>
      <c r="BV41" s="1" t="str">
        <f t="shared" si="3"/>
        <v/>
      </c>
      <c r="BW41" s="1" t="str">
        <f t="shared" si="4"/>
        <v/>
      </c>
      <c r="BX41" s="1" t="str">
        <f t="shared" si="5"/>
        <v/>
      </c>
      <c r="BY41" s="1" t="str">
        <f t="shared" si="6"/>
        <v/>
      </c>
      <c r="BZ41" s="1" t="str">
        <f t="shared" si="7"/>
        <v/>
      </c>
      <c r="CA41" s="1" t="str">
        <f t="shared" si="8"/>
        <v/>
      </c>
      <c r="CB41" s="1" t="str">
        <f t="shared" si="9"/>
        <v/>
      </c>
      <c r="CC41" s="1" t="str">
        <f t="shared" si="10"/>
        <v/>
      </c>
      <c r="CD41" s="1" t="str">
        <f t="shared" si="11"/>
        <v/>
      </c>
      <c r="CE41" s="1" t="str">
        <f t="shared" si="12"/>
        <v/>
      </c>
      <c r="CF41" s="1">
        <f>COUNTIF(BT41:CE41, "&gt;0")</f>
        <v>1</v>
      </c>
      <c r="CG41" s="1">
        <f>IF($CF41=1,BT41,"")</f>
        <v>6</v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18">
        <f>SUM(AE41:BO41)</f>
        <v>60</v>
      </c>
    </row>
    <row r="42" spans="1:97" x14ac:dyDescent="0.15">
      <c r="A42" s="1"/>
      <c r="B42" s="1" t="s">
        <v>130</v>
      </c>
      <c r="C42" s="1" t="s">
        <v>113</v>
      </c>
      <c r="D42" s="1" t="s">
        <v>114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>
        <v>15</v>
      </c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>
        <v>15</v>
      </c>
      <c r="BC42" s="14"/>
      <c r="BD42" s="1"/>
      <c r="BE42" s="1"/>
      <c r="BF42" s="1"/>
      <c r="BG42" s="1"/>
      <c r="BH42" s="1">
        <v>15</v>
      </c>
      <c r="BI42" s="1">
        <v>15</v>
      </c>
      <c r="BJ42" s="1"/>
      <c r="BK42" s="1"/>
      <c r="BL42" s="1"/>
      <c r="BM42" s="1"/>
      <c r="BN42" s="1"/>
      <c r="BO42" s="1"/>
      <c r="BP42" s="1">
        <f t="shared" si="0"/>
        <v>60</v>
      </c>
      <c r="BQ42" s="1">
        <v>6</v>
      </c>
      <c r="BR42" s="17">
        <v>1</v>
      </c>
      <c r="BS42" s="17" t="s">
        <v>250</v>
      </c>
      <c r="BT42" s="1">
        <f t="shared" si="1"/>
        <v>6</v>
      </c>
      <c r="BU42" s="1" t="str">
        <f t="shared" si="2"/>
        <v/>
      </c>
      <c r="BV42" s="1" t="str">
        <f t="shared" si="3"/>
        <v/>
      </c>
      <c r="BW42" s="1" t="str">
        <f t="shared" si="4"/>
        <v/>
      </c>
      <c r="BX42" s="1" t="str">
        <f t="shared" si="5"/>
        <v/>
      </c>
      <c r="BY42" s="1" t="str">
        <f t="shared" si="6"/>
        <v/>
      </c>
      <c r="BZ42" s="1" t="str">
        <f t="shared" si="7"/>
        <v/>
      </c>
      <c r="CA42" s="1" t="str">
        <f t="shared" si="8"/>
        <v/>
      </c>
      <c r="CB42" s="1" t="str">
        <f t="shared" si="9"/>
        <v/>
      </c>
      <c r="CC42" s="1" t="str">
        <f t="shared" si="10"/>
        <v/>
      </c>
      <c r="CD42" s="1" t="str">
        <f t="shared" si="11"/>
        <v/>
      </c>
      <c r="CE42" s="1" t="str">
        <f t="shared" si="12"/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/>
      <c r="B43" s="1" t="s">
        <v>208</v>
      </c>
      <c r="C43" s="1" t="s">
        <v>117</v>
      </c>
      <c r="D43" s="1" t="s">
        <v>114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>
        <v>10</v>
      </c>
      <c r="AT43" s="4"/>
      <c r="AU43" s="4"/>
      <c r="AV43" s="4"/>
      <c r="AW43" s="2"/>
      <c r="AX43" s="2"/>
      <c r="AY43" s="2"/>
      <c r="AZ43" s="2"/>
      <c r="BA43" s="2"/>
      <c r="BB43" s="2">
        <v>10</v>
      </c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 t="shared" si="0"/>
        <v>20</v>
      </c>
      <c r="BQ43" s="1">
        <v>8</v>
      </c>
      <c r="BR43" s="17">
        <v>1</v>
      </c>
      <c r="BS43" s="17" t="s">
        <v>189</v>
      </c>
      <c r="BT43" s="1" t="str">
        <f t="shared" si="1"/>
        <v/>
      </c>
      <c r="BU43" s="1" t="str">
        <f t="shared" si="2"/>
        <v/>
      </c>
      <c r="BV43" s="1">
        <f t="shared" si="3"/>
        <v>8</v>
      </c>
      <c r="BW43" s="1" t="str">
        <f t="shared" si="4"/>
        <v/>
      </c>
      <c r="BX43" s="1" t="str">
        <f t="shared" si="5"/>
        <v/>
      </c>
      <c r="BY43" s="1" t="str">
        <f t="shared" si="6"/>
        <v/>
      </c>
      <c r="BZ43" s="1" t="str">
        <f t="shared" si="7"/>
        <v/>
      </c>
      <c r="CA43" s="1" t="str">
        <f t="shared" si="8"/>
        <v/>
      </c>
      <c r="CB43" s="1" t="str">
        <f t="shared" si="9"/>
        <v/>
      </c>
      <c r="CC43" s="1" t="str">
        <f t="shared" si="10"/>
        <v/>
      </c>
      <c r="CD43" s="1" t="str">
        <f t="shared" si="11"/>
        <v/>
      </c>
      <c r="CE43" s="1" t="str">
        <f t="shared" si="12"/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/>
      <c r="B44" s="1" t="s">
        <v>203</v>
      </c>
      <c r="C44" s="1" t="s">
        <v>32</v>
      </c>
      <c r="D44" s="1" t="s">
        <v>186</v>
      </c>
      <c r="E44" s="6">
        <v>20</v>
      </c>
      <c r="F44" s="6"/>
      <c r="G44" s="6"/>
      <c r="H44" s="6"/>
      <c r="I44" s="6">
        <v>20</v>
      </c>
      <c r="J44" s="6">
        <v>20</v>
      </c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 t="shared" si="0"/>
        <v>60</v>
      </c>
      <c r="BQ44" s="1">
        <v>8</v>
      </c>
      <c r="BR44" s="17">
        <v>1</v>
      </c>
      <c r="BS44" s="17" t="s">
        <v>252</v>
      </c>
      <c r="BT44" s="1" t="str">
        <f t="shared" si="1"/>
        <v/>
      </c>
      <c r="BU44" s="1" t="str">
        <f t="shared" si="2"/>
        <v/>
      </c>
      <c r="BV44" s="1" t="str">
        <f t="shared" si="3"/>
        <v/>
      </c>
      <c r="BW44" s="1" t="str">
        <f t="shared" si="4"/>
        <v/>
      </c>
      <c r="BX44" s="1" t="str">
        <f t="shared" si="5"/>
        <v/>
      </c>
      <c r="BY44" s="1" t="str">
        <f t="shared" si="6"/>
        <v/>
      </c>
      <c r="BZ44" s="1" t="str">
        <f t="shared" si="7"/>
        <v/>
      </c>
      <c r="CA44" s="1" t="str">
        <f t="shared" si="8"/>
        <v/>
      </c>
      <c r="CB44" s="1" t="str">
        <f t="shared" si="9"/>
        <v/>
      </c>
      <c r="CC44" s="1" t="str">
        <f t="shared" si="10"/>
        <v/>
      </c>
      <c r="CD44" s="1" t="str">
        <f t="shared" si="11"/>
        <v/>
      </c>
      <c r="CE44" s="1" t="str">
        <f t="shared" si="12"/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/>
      <c r="B45" s="1" t="s">
        <v>124</v>
      </c>
      <c r="C45" s="1" t="s">
        <v>117</v>
      </c>
      <c r="D45" s="1" t="s">
        <v>115</v>
      </c>
      <c r="E45" s="6">
        <v>6</v>
      </c>
      <c r="F45" s="6">
        <v>6</v>
      </c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>
        <v>10</v>
      </c>
      <c r="AT45" s="4"/>
      <c r="AU45" s="4"/>
      <c r="AV45" s="4"/>
      <c r="AW45" s="2"/>
      <c r="AX45" s="2">
        <v>10</v>
      </c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 t="shared" si="0"/>
        <v>32</v>
      </c>
      <c r="BQ45" s="1">
        <v>8</v>
      </c>
      <c r="BR45" s="17">
        <v>1</v>
      </c>
      <c r="BS45" s="17" t="s">
        <v>282</v>
      </c>
      <c r="BT45" s="1" t="str">
        <f t="shared" si="1"/>
        <v/>
      </c>
      <c r="BU45" s="1" t="str">
        <f t="shared" si="2"/>
        <v/>
      </c>
      <c r="BV45" s="1">
        <f t="shared" si="3"/>
        <v>8</v>
      </c>
      <c r="BW45" s="1" t="str">
        <f t="shared" si="4"/>
        <v/>
      </c>
      <c r="BX45" s="1" t="str">
        <f t="shared" si="5"/>
        <v/>
      </c>
      <c r="BY45" s="1" t="str">
        <f t="shared" si="6"/>
        <v/>
      </c>
      <c r="BZ45" s="1" t="str">
        <f t="shared" si="7"/>
        <v/>
      </c>
      <c r="CA45" s="1" t="str">
        <f t="shared" si="8"/>
        <v/>
      </c>
      <c r="CB45" s="1" t="str">
        <f t="shared" si="9"/>
        <v/>
      </c>
      <c r="CC45" s="1" t="str">
        <f t="shared" si="10"/>
        <v/>
      </c>
      <c r="CD45" s="1" t="str">
        <f t="shared" si="11"/>
        <v/>
      </c>
      <c r="CE45" s="1" t="str">
        <f t="shared" si="12"/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x14ac:dyDescent="0.15">
      <c r="A46" s="1">
        <v>62</v>
      </c>
      <c r="B46" s="1" t="s">
        <v>111</v>
      </c>
      <c r="C46" s="1" t="s">
        <v>61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>
        <v>15</v>
      </c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 t="shared" si="0"/>
        <v>15</v>
      </c>
      <c r="BQ46" s="1">
        <v>9</v>
      </c>
      <c r="BR46" s="17">
        <v>1</v>
      </c>
      <c r="BS46" s="17" t="s">
        <v>251</v>
      </c>
      <c r="BT46" s="1" t="str">
        <f t="shared" si="1"/>
        <v/>
      </c>
      <c r="BU46" s="1" t="str">
        <f t="shared" si="2"/>
        <v/>
      </c>
      <c r="BV46" s="1" t="str">
        <f t="shared" si="3"/>
        <v/>
      </c>
      <c r="BW46" s="1" t="str">
        <f t="shared" si="4"/>
        <v/>
      </c>
      <c r="BX46" s="1" t="str">
        <f t="shared" si="5"/>
        <v/>
      </c>
      <c r="BY46" s="1" t="str">
        <f t="shared" si="6"/>
        <v/>
      </c>
      <c r="BZ46" s="1" t="str">
        <f t="shared" si="7"/>
        <v/>
      </c>
      <c r="CA46" s="1" t="str">
        <f t="shared" si="8"/>
        <v/>
      </c>
      <c r="CB46" s="1" t="str">
        <f t="shared" si="9"/>
        <v/>
      </c>
      <c r="CC46" s="1" t="str">
        <f t="shared" si="10"/>
        <v/>
      </c>
      <c r="CD46" s="1" t="str">
        <f t="shared" si="11"/>
        <v/>
      </c>
      <c r="CE46" s="1" t="str">
        <f t="shared" si="12"/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18">
        <f>SUM(AE46:BO46)</f>
        <v>15</v>
      </c>
    </row>
    <row r="47" spans="1:97" x14ac:dyDescent="0.15">
      <c r="A47" s="1">
        <v>94</v>
      </c>
      <c r="B47" s="3" t="s">
        <v>90</v>
      </c>
      <c r="C47" s="3" t="s">
        <v>75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>
        <v>10</v>
      </c>
      <c r="BB47" s="2">
        <v>10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 t="shared" si="0"/>
        <v>20</v>
      </c>
      <c r="BQ47" s="1">
        <v>10</v>
      </c>
      <c r="BR47" s="17">
        <v>1</v>
      </c>
      <c r="BS47" s="17" t="s">
        <v>222</v>
      </c>
      <c r="BT47" s="1" t="str">
        <f t="shared" si="1"/>
        <v/>
      </c>
      <c r="BU47" s="1" t="str">
        <f t="shared" si="2"/>
        <v/>
      </c>
      <c r="BV47" s="1" t="str">
        <f t="shared" si="3"/>
        <v/>
      </c>
      <c r="BW47" s="1" t="str">
        <f t="shared" si="4"/>
        <v/>
      </c>
      <c r="BX47" s="1" t="str">
        <f t="shared" si="5"/>
        <v/>
      </c>
      <c r="BY47" s="1" t="str">
        <f t="shared" si="6"/>
        <v/>
      </c>
      <c r="BZ47" s="1" t="str">
        <f t="shared" si="7"/>
        <v/>
      </c>
      <c r="CA47" s="1" t="str">
        <f t="shared" si="8"/>
        <v/>
      </c>
      <c r="CB47" s="1" t="str">
        <f t="shared" si="9"/>
        <v/>
      </c>
      <c r="CC47" s="1" t="str">
        <f t="shared" si="10"/>
        <v/>
      </c>
      <c r="CD47" s="1">
        <f t="shared" si="11"/>
        <v>10</v>
      </c>
      <c r="CE47" s="1" t="str">
        <f t="shared" si="12"/>
        <v/>
      </c>
      <c r="CF47" s="1">
        <f>COUNTIF(BT47:CE47, "&gt;0")</f>
        <v>1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>
        <f>IF($CF47=1,CD47,"")</f>
        <v>10</v>
      </c>
      <c r="CR47" s="1" t="str">
        <f>IF($CF47=1,CE47,"")</f>
        <v/>
      </c>
      <c r="CS47" s="18">
        <f>SUM(AE47:BO47)</f>
        <v>20</v>
      </c>
    </row>
    <row r="48" spans="1:97" x14ac:dyDescent="0.15">
      <c r="A48" s="1"/>
      <c r="B48" s="1" t="s">
        <v>143</v>
      </c>
      <c r="C48" s="1" t="s">
        <v>136</v>
      </c>
      <c r="D48" s="1" t="s">
        <v>114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>
        <v>10</v>
      </c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 t="shared" si="0"/>
        <v>20</v>
      </c>
      <c r="BQ48" s="1">
        <v>10</v>
      </c>
      <c r="BR48" s="17">
        <v>1</v>
      </c>
      <c r="BS48" s="17" t="s">
        <v>222</v>
      </c>
      <c r="BT48" s="1" t="str">
        <f t="shared" si="1"/>
        <v/>
      </c>
      <c r="BU48" s="1" t="str">
        <f t="shared" si="2"/>
        <v/>
      </c>
      <c r="BV48" s="1" t="str">
        <f t="shared" si="3"/>
        <v/>
      </c>
      <c r="BW48" s="1" t="str">
        <f t="shared" si="4"/>
        <v/>
      </c>
      <c r="BX48" s="1" t="str">
        <f t="shared" si="5"/>
        <v/>
      </c>
      <c r="BY48" s="1" t="str">
        <f t="shared" si="6"/>
        <v/>
      </c>
      <c r="BZ48" s="1" t="str">
        <f t="shared" si="7"/>
        <v/>
      </c>
      <c r="CA48" s="1" t="str">
        <f t="shared" si="8"/>
        <v/>
      </c>
      <c r="CB48" s="1" t="str">
        <f t="shared" si="9"/>
        <v/>
      </c>
      <c r="CC48" s="1" t="str">
        <f t="shared" si="10"/>
        <v/>
      </c>
      <c r="CD48" s="1">
        <f t="shared" si="11"/>
        <v>10</v>
      </c>
      <c r="CE48" s="1" t="str">
        <f t="shared" si="12"/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177</v>
      </c>
      <c r="C49" s="1" t="s">
        <v>176</v>
      </c>
      <c r="D49" s="1" t="s">
        <v>148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>
        <v>10</v>
      </c>
      <c r="BB49" s="2">
        <v>10</v>
      </c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 t="shared" si="0"/>
        <v>20</v>
      </c>
      <c r="BQ49" s="1">
        <v>10</v>
      </c>
      <c r="BR49" s="17">
        <v>1</v>
      </c>
      <c r="BS49" s="17" t="s">
        <v>222</v>
      </c>
      <c r="BT49" s="1" t="str">
        <f t="shared" si="1"/>
        <v/>
      </c>
      <c r="BU49" s="1" t="str">
        <f t="shared" si="2"/>
        <v/>
      </c>
      <c r="BV49" s="1" t="str">
        <f t="shared" si="3"/>
        <v/>
      </c>
      <c r="BW49" s="1" t="str">
        <f t="shared" si="4"/>
        <v/>
      </c>
      <c r="BX49" s="1" t="str">
        <f t="shared" si="5"/>
        <v/>
      </c>
      <c r="BY49" s="1" t="str">
        <f t="shared" si="6"/>
        <v/>
      </c>
      <c r="BZ49" s="1" t="str">
        <f t="shared" si="7"/>
        <v/>
      </c>
      <c r="CA49" s="1" t="str">
        <f t="shared" si="8"/>
        <v/>
      </c>
      <c r="CB49" s="1" t="str">
        <f t="shared" si="9"/>
        <v/>
      </c>
      <c r="CC49" s="1" t="str">
        <f t="shared" si="10"/>
        <v/>
      </c>
      <c r="CD49" s="1">
        <f t="shared" si="11"/>
        <v>10</v>
      </c>
      <c r="CE49" s="1" t="str">
        <f t="shared" si="12"/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>
        <v>64</v>
      </c>
      <c r="B50" s="3" t="s">
        <v>66</v>
      </c>
      <c r="C50" s="1" t="s">
        <v>61</v>
      </c>
      <c r="D50" s="1" t="s">
        <v>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>
        <v>15</v>
      </c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 t="shared" si="0"/>
        <v>15</v>
      </c>
      <c r="BQ50" s="1">
        <v>15</v>
      </c>
      <c r="BR50" s="17">
        <v>1</v>
      </c>
      <c r="BS50" s="17" t="s">
        <v>253</v>
      </c>
      <c r="BT50" s="1" t="str">
        <f t="shared" si="1"/>
        <v/>
      </c>
      <c r="BU50" s="1" t="str">
        <f t="shared" si="2"/>
        <v/>
      </c>
      <c r="BV50" s="1" t="str">
        <f t="shared" si="3"/>
        <v/>
      </c>
      <c r="BW50" s="1" t="str">
        <f t="shared" si="4"/>
        <v/>
      </c>
      <c r="BX50" s="1" t="str">
        <f t="shared" si="5"/>
        <v/>
      </c>
      <c r="BY50" s="1" t="str">
        <f t="shared" si="6"/>
        <v/>
      </c>
      <c r="BZ50" s="1" t="str">
        <f t="shared" si="7"/>
        <v/>
      </c>
      <c r="CA50" s="1" t="str">
        <f t="shared" si="8"/>
        <v/>
      </c>
      <c r="CB50" s="1" t="str">
        <f t="shared" si="9"/>
        <v/>
      </c>
      <c r="CC50" s="1" t="str">
        <f t="shared" si="10"/>
        <v/>
      </c>
      <c r="CD50" s="1" t="str">
        <f t="shared" si="11"/>
        <v/>
      </c>
      <c r="CE50" s="1" t="str">
        <f t="shared" si="12"/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18">
        <f>SUM(AE50:BO50)</f>
        <v>15</v>
      </c>
    </row>
    <row r="51" spans="1:97" x14ac:dyDescent="0.15">
      <c r="A51" s="1">
        <v>98</v>
      </c>
      <c r="B51" s="3" t="s">
        <v>209</v>
      </c>
      <c r="C51" s="3" t="s">
        <v>75</v>
      </c>
      <c r="D51" s="1" t="s">
        <v>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>
        <v>50</v>
      </c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 t="shared" si="0"/>
        <v>50</v>
      </c>
      <c r="BQ51" s="1">
        <v>46</v>
      </c>
      <c r="BR51" s="17">
        <v>1</v>
      </c>
      <c r="BS51" s="17" t="s">
        <v>256</v>
      </c>
      <c r="BT51" s="1" t="str">
        <f t="shared" si="1"/>
        <v/>
      </c>
      <c r="BU51" s="1" t="str">
        <f t="shared" si="2"/>
        <v/>
      </c>
      <c r="BV51" s="1" t="str">
        <f t="shared" si="3"/>
        <v/>
      </c>
      <c r="BW51" s="1" t="str">
        <f t="shared" si="4"/>
        <v/>
      </c>
      <c r="BX51" s="1" t="str">
        <f t="shared" si="5"/>
        <v/>
      </c>
      <c r="BY51" s="1" t="str">
        <f t="shared" si="6"/>
        <v/>
      </c>
      <c r="BZ51" s="1" t="str">
        <f t="shared" si="7"/>
        <v/>
      </c>
      <c r="CA51" s="1" t="str">
        <f t="shared" si="8"/>
        <v/>
      </c>
      <c r="CB51" s="1" t="str">
        <f t="shared" si="9"/>
        <v/>
      </c>
      <c r="CC51" s="1" t="str">
        <f t="shared" si="10"/>
        <v/>
      </c>
      <c r="CD51" s="1" t="str">
        <f t="shared" si="11"/>
        <v/>
      </c>
      <c r="CE51" s="1" t="str">
        <f t="shared" si="12"/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18">
        <f>SUM(AE51:BO51)</f>
        <v>50</v>
      </c>
    </row>
    <row r="52" spans="1:97" x14ac:dyDescent="0.15">
      <c r="A52" s="1">
        <v>99</v>
      </c>
      <c r="B52" s="3" t="s">
        <v>209</v>
      </c>
      <c r="C52" s="3" t="s">
        <v>75</v>
      </c>
      <c r="D52" s="1" t="s">
        <v>13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>
        <v>200</v>
      </c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 t="shared" si="0"/>
        <v>200</v>
      </c>
      <c r="BQ52" s="1">
        <v>196</v>
      </c>
      <c r="BR52" s="17">
        <v>1</v>
      </c>
      <c r="BS52" s="17" t="s">
        <v>257</v>
      </c>
      <c r="BT52" s="1" t="str">
        <f t="shared" si="1"/>
        <v/>
      </c>
      <c r="BU52" s="1" t="str">
        <f t="shared" si="2"/>
        <v/>
      </c>
      <c r="BV52" s="1" t="str">
        <f t="shared" si="3"/>
        <v/>
      </c>
      <c r="BW52" s="1" t="str">
        <f t="shared" si="4"/>
        <v/>
      </c>
      <c r="BX52" s="1" t="str">
        <f t="shared" si="5"/>
        <v/>
      </c>
      <c r="BY52" s="1" t="str">
        <f t="shared" si="6"/>
        <v/>
      </c>
      <c r="BZ52" s="1" t="str">
        <f t="shared" si="7"/>
        <v/>
      </c>
      <c r="CA52" s="1" t="str">
        <f t="shared" si="8"/>
        <v/>
      </c>
      <c r="CB52" s="1" t="str">
        <f t="shared" si="9"/>
        <v/>
      </c>
      <c r="CC52" s="1" t="str">
        <f t="shared" si="10"/>
        <v/>
      </c>
      <c r="CD52" s="1" t="str">
        <f t="shared" si="11"/>
        <v/>
      </c>
      <c r="CE52" s="1" t="str">
        <f t="shared" si="12"/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18">
        <f>SUM(AE52:BO52)</f>
        <v>200</v>
      </c>
    </row>
    <row r="53" spans="1:97" ht="27" x14ac:dyDescent="0.15">
      <c r="A53" s="1">
        <v>41</v>
      </c>
      <c r="B53" s="1" t="s">
        <v>56</v>
      </c>
      <c r="C53" s="1" t="s">
        <v>49</v>
      </c>
      <c r="D53" s="1" t="s">
        <v>13</v>
      </c>
      <c r="E53" s="6"/>
      <c r="F53" s="6"/>
      <c r="G53" s="6"/>
      <c r="H53" s="6"/>
      <c r="I53" s="6"/>
      <c r="J53" s="6"/>
      <c r="K53" s="6"/>
      <c r="L53" s="6">
        <v>6</v>
      </c>
      <c r="M53" s="6"/>
      <c r="N53" s="6"/>
      <c r="O53" s="6">
        <v>6</v>
      </c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>
        <v>10</v>
      </c>
      <c r="AR53" s="4"/>
      <c r="AS53" s="4"/>
      <c r="AT53" s="4"/>
      <c r="AU53" s="4"/>
      <c r="AV53" s="4"/>
      <c r="AW53" s="2"/>
      <c r="AX53" s="2">
        <v>10</v>
      </c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 t="shared" si="0"/>
        <v>32</v>
      </c>
      <c r="BQ53" s="1">
        <v>6</v>
      </c>
      <c r="BR53" s="17">
        <v>2</v>
      </c>
      <c r="BS53" s="17" t="s">
        <v>239</v>
      </c>
      <c r="BT53" s="1">
        <f t="shared" si="1"/>
        <v>1</v>
      </c>
      <c r="BU53" s="1" t="str">
        <f t="shared" si="2"/>
        <v/>
      </c>
      <c r="BV53" s="1" t="str">
        <f t="shared" si="3"/>
        <v/>
      </c>
      <c r="BW53" s="1" t="str">
        <f t="shared" si="4"/>
        <v/>
      </c>
      <c r="BX53" s="1" t="str">
        <f t="shared" si="5"/>
        <v/>
      </c>
      <c r="BY53" s="1" t="str">
        <f t="shared" si="6"/>
        <v/>
      </c>
      <c r="BZ53" s="1" t="str">
        <f t="shared" si="7"/>
        <v/>
      </c>
      <c r="CA53" s="1" t="str">
        <f t="shared" si="8"/>
        <v/>
      </c>
      <c r="CB53" s="1" t="str">
        <f t="shared" si="9"/>
        <v/>
      </c>
      <c r="CC53" s="1" t="str">
        <f t="shared" si="10"/>
        <v/>
      </c>
      <c r="CD53" s="1" t="str">
        <f t="shared" si="11"/>
        <v/>
      </c>
      <c r="CE53" s="1" t="str">
        <f t="shared" si="12"/>
        <v/>
      </c>
      <c r="CF53" s="1">
        <f>COUNTIF(BT53:CE53, "&gt;0")</f>
        <v>1</v>
      </c>
      <c r="CG53" s="1">
        <f>IF($CF53=1,BT53,"")</f>
        <v>1</v>
      </c>
      <c r="CH53" s="1" t="str">
        <f>IF($CF53=1,BU53,"")</f>
        <v/>
      </c>
      <c r="CI53" s="1" t="str">
        <f>IF($CF53=1,BV53,"")</f>
        <v/>
      </c>
      <c r="CJ53" s="1" t="str">
        <f>IF($CF53=1,BW53,"")</f>
        <v/>
      </c>
      <c r="CK53" s="1" t="str">
        <f>IF($CF53=1,BX53,"")</f>
        <v/>
      </c>
      <c r="CL53" s="1" t="str">
        <f>IF($CF53=1,BY53,"")</f>
        <v/>
      </c>
      <c r="CM53" s="1" t="str">
        <f>IF($CF53=1,BZ53,"")</f>
        <v/>
      </c>
      <c r="CN53" s="1" t="str">
        <f>IF($CF53=1,CA53,"")</f>
        <v/>
      </c>
      <c r="CO53" s="1" t="str">
        <f>IF($CF53=1,CB53,"")</f>
        <v/>
      </c>
      <c r="CP53" s="1" t="str">
        <f>IF($CF53=1,CC53,"")</f>
        <v/>
      </c>
      <c r="CQ53" s="1" t="str">
        <f>IF($CF53=1,CD53,"")</f>
        <v/>
      </c>
      <c r="CR53" s="1" t="str">
        <f>IF($CF53=1,CE53,"")</f>
        <v/>
      </c>
      <c r="CS53" s="18">
        <f>SUM(AE53:BO53)</f>
        <v>20</v>
      </c>
    </row>
    <row r="54" spans="1:97" ht="27" x14ac:dyDescent="0.15">
      <c r="A54" s="1"/>
      <c r="B54" s="1" t="s">
        <v>125</v>
      </c>
      <c r="C54" s="1" t="s">
        <v>117</v>
      </c>
      <c r="D54" s="1" t="s">
        <v>114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5</v>
      </c>
      <c r="AP54" s="1">
        <v>1</v>
      </c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 t="shared" si="0"/>
        <v>6</v>
      </c>
      <c r="BQ54" s="1">
        <v>6</v>
      </c>
      <c r="BR54" s="17">
        <v>2</v>
      </c>
      <c r="BS54" s="17" t="s">
        <v>265</v>
      </c>
      <c r="BT54" s="1" t="str">
        <f t="shared" si="1"/>
        <v/>
      </c>
      <c r="BU54" s="1" t="str">
        <f t="shared" si="2"/>
        <v/>
      </c>
      <c r="BV54" s="1" t="str">
        <f t="shared" si="3"/>
        <v/>
      </c>
      <c r="BW54" s="1" t="str">
        <f t="shared" si="4"/>
        <v/>
      </c>
      <c r="BX54" s="1" t="str">
        <f t="shared" si="5"/>
        <v/>
      </c>
      <c r="BY54" s="1" t="str">
        <f t="shared" si="6"/>
        <v/>
      </c>
      <c r="BZ54" s="1" t="str">
        <f t="shared" si="7"/>
        <v/>
      </c>
      <c r="CA54" s="1" t="str">
        <f t="shared" si="8"/>
        <v/>
      </c>
      <c r="CB54" s="1" t="str">
        <f t="shared" si="9"/>
        <v/>
      </c>
      <c r="CC54" s="1" t="str">
        <f t="shared" si="10"/>
        <v/>
      </c>
      <c r="CD54" s="1" t="str">
        <f t="shared" si="11"/>
        <v/>
      </c>
      <c r="CE54" s="1" t="str">
        <f t="shared" si="12"/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ht="27" x14ac:dyDescent="0.15">
      <c r="A55" s="1"/>
      <c r="B55" s="1" t="s">
        <v>142</v>
      </c>
      <c r="C55" s="1" t="s">
        <v>136</v>
      </c>
      <c r="D55" s="1" t="s">
        <v>115</v>
      </c>
      <c r="E55" s="6"/>
      <c r="F55" s="6"/>
      <c r="G55" s="6"/>
      <c r="H55" s="6">
        <v>6</v>
      </c>
      <c r="I55" s="6"/>
      <c r="J55" s="6">
        <v>6</v>
      </c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>
        <v>8</v>
      </c>
      <c r="AU55" s="4"/>
      <c r="AV55" s="4"/>
      <c r="AW55" s="2"/>
      <c r="AX55" s="2"/>
      <c r="AY55" s="2">
        <v>8</v>
      </c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 t="shared" si="0"/>
        <v>28</v>
      </c>
      <c r="BQ55" s="1">
        <v>7</v>
      </c>
      <c r="BR55" s="17">
        <v>2</v>
      </c>
      <c r="BS55" s="17" t="s">
        <v>234</v>
      </c>
      <c r="BT55" s="1" t="str">
        <f t="shared" si="1"/>
        <v/>
      </c>
      <c r="BU55" s="1" t="str">
        <f t="shared" si="2"/>
        <v/>
      </c>
      <c r="BV55" s="1" t="str">
        <f t="shared" si="3"/>
        <v/>
      </c>
      <c r="BW55" s="1">
        <f t="shared" si="4"/>
        <v>1</v>
      </c>
      <c r="BX55" s="1" t="str">
        <f t="shared" si="5"/>
        <v/>
      </c>
      <c r="BY55" s="1" t="str">
        <f t="shared" si="6"/>
        <v/>
      </c>
      <c r="BZ55" s="1" t="str">
        <f t="shared" si="7"/>
        <v/>
      </c>
      <c r="CA55" s="1" t="str">
        <f t="shared" si="8"/>
        <v/>
      </c>
      <c r="CB55" s="1" t="str">
        <f t="shared" si="9"/>
        <v/>
      </c>
      <c r="CC55" s="1" t="str">
        <f t="shared" si="10"/>
        <v/>
      </c>
      <c r="CD55" s="1" t="str">
        <f t="shared" si="11"/>
        <v/>
      </c>
      <c r="CE55" s="1" t="str">
        <f t="shared" si="12"/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8"/>
    </row>
    <row r="56" spans="1:97" ht="27" x14ac:dyDescent="0.15">
      <c r="A56" s="1"/>
      <c r="B56" s="1" t="s">
        <v>132</v>
      </c>
      <c r="C56" s="1" t="s">
        <v>113</v>
      </c>
      <c r="D56" s="1" t="s">
        <v>115</v>
      </c>
      <c r="E56" s="6"/>
      <c r="F56" s="6"/>
      <c r="G56" s="6"/>
      <c r="H56" s="6">
        <v>6</v>
      </c>
      <c r="I56" s="6"/>
      <c r="J56" s="6"/>
      <c r="K56" s="6">
        <v>6</v>
      </c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>
        <v>10</v>
      </c>
      <c r="AR56" s="4"/>
      <c r="AS56" s="4"/>
      <c r="AT56" s="4"/>
      <c r="AU56" s="4"/>
      <c r="AV56" s="4"/>
      <c r="AW56" s="2">
        <v>10</v>
      </c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 t="shared" si="0"/>
        <v>32</v>
      </c>
      <c r="BQ56" s="1">
        <v>7</v>
      </c>
      <c r="BR56" s="17">
        <v>2</v>
      </c>
      <c r="BS56" s="17" t="s">
        <v>269</v>
      </c>
      <c r="BT56" s="1">
        <f t="shared" si="1"/>
        <v>1</v>
      </c>
      <c r="BU56" s="1" t="str">
        <f t="shared" si="2"/>
        <v/>
      </c>
      <c r="BV56" s="1" t="str">
        <f t="shared" si="3"/>
        <v/>
      </c>
      <c r="BW56" s="1" t="str">
        <f t="shared" si="4"/>
        <v/>
      </c>
      <c r="BX56" s="1" t="str">
        <f t="shared" si="5"/>
        <v/>
      </c>
      <c r="BY56" s="1" t="str">
        <f t="shared" si="6"/>
        <v/>
      </c>
      <c r="BZ56" s="1" t="str">
        <f t="shared" si="7"/>
        <v/>
      </c>
      <c r="CA56" s="1" t="str">
        <f t="shared" si="8"/>
        <v/>
      </c>
      <c r="CB56" s="1" t="str">
        <f t="shared" si="9"/>
        <v/>
      </c>
      <c r="CC56" s="1" t="str">
        <f t="shared" si="10"/>
        <v/>
      </c>
      <c r="CD56" s="1" t="str">
        <f t="shared" si="11"/>
        <v/>
      </c>
      <c r="CE56" s="1" t="str">
        <f t="shared" si="12"/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ht="27" x14ac:dyDescent="0.15">
      <c r="A57" s="1"/>
      <c r="B57" s="1" t="s">
        <v>140</v>
      </c>
      <c r="C57" s="1" t="s">
        <v>136</v>
      </c>
      <c r="D57" s="1" t="s">
        <v>115</v>
      </c>
      <c r="E57" s="6"/>
      <c r="F57" s="6">
        <v>6</v>
      </c>
      <c r="G57" s="6"/>
      <c r="H57" s="6"/>
      <c r="I57" s="6"/>
      <c r="J57" s="6"/>
      <c r="K57" s="6"/>
      <c r="L57" s="6"/>
      <c r="M57" s="6"/>
      <c r="N57" s="6"/>
      <c r="O57" s="6">
        <v>6</v>
      </c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>
        <v>10</v>
      </c>
      <c r="AU57" s="4"/>
      <c r="AV57" s="4"/>
      <c r="AW57" s="2"/>
      <c r="AX57" s="2"/>
      <c r="AY57" s="2">
        <v>10</v>
      </c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 t="shared" si="0"/>
        <v>32</v>
      </c>
      <c r="BQ57" s="1">
        <v>8</v>
      </c>
      <c r="BR57" s="17">
        <v>2</v>
      </c>
      <c r="BS57" s="17" t="s">
        <v>236</v>
      </c>
      <c r="BT57" s="1" t="str">
        <f t="shared" si="1"/>
        <v/>
      </c>
      <c r="BU57" s="1" t="str">
        <f t="shared" si="2"/>
        <v/>
      </c>
      <c r="BV57" s="1" t="str">
        <f t="shared" si="3"/>
        <v/>
      </c>
      <c r="BW57" s="1">
        <f t="shared" si="4"/>
        <v>3</v>
      </c>
      <c r="BX57" s="1" t="str">
        <f t="shared" si="5"/>
        <v/>
      </c>
      <c r="BY57" s="1" t="str">
        <f t="shared" si="6"/>
        <v/>
      </c>
      <c r="BZ57" s="1" t="str">
        <f t="shared" si="7"/>
        <v/>
      </c>
      <c r="CA57" s="1" t="str">
        <f t="shared" si="8"/>
        <v/>
      </c>
      <c r="CB57" s="1" t="str">
        <f t="shared" si="9"/>
        <v/>
      </c>
      <c r="CC57" s="1" t="str">
        <f t="shared" si="10"/>
        <v/>
      </c>
      <c r="CD57" s="1" t="str">
        <f t="shared" si="11"/>
        <v/>
      </c>
      <c r="CE57" s="1" t="str">
        <f t="shared" si="12"/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ht="27" x14ac:dyDescent="0.15">
      <c r="A58" s="1"/>
      <c r="B58" s="1" t="s">
        <v>120</v>
      </c>
      <c r="C58" s="1" t="s">
        <v>117</v>
      </c>
      <c r="D58" s="1" t="s">
        <v>121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>
        <v>3</v>
      </c>
      <c r="AP58" s="1">
        <v>5</v>
      </c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 t="shared" si="0"/>
        <v>8</v>
      </c>
      <c r="BQ58" s="1">
        <v>8</v>
      </c>
      <c r="BR58" s="17">
        <v>2</v>
      </c>
      <c r="BS58" s="17" t="s">
        <v>273</v>
      </c>
      <c r="BT58" s="1" t="str">
        <f t="shared" si="1"/>
        <v/>
      </c>
      <c r="BU58" s="1" t="str">
        <f t="shared" si="2"/>
        <v/>
      </c>
      <c r="BV58" s="1" t="str">
        <f t="shared" si="3"/>
        <v/>
      </c>
      <c r="BW58" s="1" t="str">
        <f t="shared" si="4"/>
        <v/>
      </c>
      <c r="BX58" s="1" t="str">
        <f t="shared" si="5"/>
        <v/>
      </c>
      <c r="BY58" s="1" t="str">
        <f t="shared" si="6"/>
        <v/>
      </c>
      <c r="BZ58" s="1" t="str">
        <f t="shared" si="7"/>
        <v/>
      </c>
      <c r="CA58" s="1" t="str">
        <f t="shared" si="8"/>
        <v/>
      </c>
      <c r="CB58" s="1" t="str">
        <f t="shared" si="9"/>
        <v/>
      </c>
      <c r="CC58" s="1" t="str">
        <f t="shared" si="10"/>
        <v/>
      </c>
      <c r="CD58" s="1" t="str">
        <f t="shared" si="11"/>
        <v/>
      </c>
      <c r="CE58" s="1" t="str">
        <f t="shared" si="12"/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ht="27" x14ac:dyDescent="0.15">
      <c r="A59" s="1"/>
      <c r="B59" s="1" t="s">
        <v>158</v>
      </c>
      <c r="C59" s="1" t="s">
        <v>146</v>
      </c>
      <c r="D59" s="1" t="s">
        <v>148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32"/>
      <c r="Q59" s="32">
        <v>5</v>
      </c>
      <c r="R59" s="32">
        <v>2</v>
      </c>
      <c r="S59" s="32"/>
      <c r="T59" s="32">
        <v>5</v>
      </c>
      <c r="U59" s="32"/>
      <c r="V59" s="32"/>
      <c r="W59" s="32"/>
      <c r="X59" s="32"/>
      <c r="Y59" s="32"/>
      <c r="Z59" s="32">
        <v>5</v>
      </c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 t="shared" si="0"/>
        <v>17</v>
      </c>
      <c r="BQ59" s="1">
        <v>8</v>
      </c>
      <c r="BR59" s="17">
        <v>2</v>
      </c>
      <c r="BS59" s="17" t="s">
        <v>274</v>
      </c>
      <c r="BT59" s="1" t="str">
        <f t="shared" si="1"/>
        <v/>
      </c>
      <c r="BU59" s="1" t="str">
        <f t="shared" si="2"/>
        <v/>
      </c>
      <c r="BV59" s="1" t="str">
        <f t="shared" si="3"/>
        <v/>
      </c>
      <c r="BW59" s="1" t="str">
        <f t="shared" si="4"/>
        <v/>
      </c>
      <c r="BX59" s="1" t="str">
        <f t="shared" si="5"/>
        <v/>
      </c>
      <c r="BY59" s="1" t="str">
        <f t="shared" si="6"/>
        <v/>
      </c>
      <c r="BZ59" s="1" t="str">
        <f t="shared" si="7"/>
        <v/>
      </c>
      <c r="CA59" s="1" t="str">
        <f t="shared" si="8"/>
        <v/>
      </c>
      <c r="CB59" s="1" t="str">
        <f t="shared" si="9"/>
        <v/>
      </c>
      <c r="CC59" s="1" t="str">
        <f t="shared" si="10"/>
        <v/>
      </c>
      <c r="CD59" s="1" t="str">
        <f t="shared" si="11"/>
        <v/>
      </c>
      <c r="CE59" s="1" t="str">
        <f t="shared" si="12"/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ht="27" x14ac:dyDescent="0.15">
      <c r="A60" s="1"/>
      <c r="B60" s="1" t="s">
        <v>163</v>
      </c>
      <c r="C60" s="1" t="s">
        <v>146</v>
      </c>
      <c r="D60" s="1" t="s">
        <v>148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32"/>
      <c r="Q60" s="32">
        <v>5</v>
      </c>
      <c r="R60" s="32">
        <v>2</v>
      </c>
      <c r="S60" s="32"/>
      <c r="T60" s="32">
        <v>5</v>
      </c>
      <c r="U60" s="32"/>
      <c r="V60" s="32"/>
      <c r="W60" s="32"/>
      <c r="X60" s="32"/>
      <c r="Y60" s="32"/>
      <c r="Z60" s="32">
        <v>5</v>
      </c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 t="shared" si="0"/>
        <v>17</v>
      </c>
      <c r="BQ60" s="1">
        <v>8</v>
      </c>
      <c r="BR60" s="17">
        <v>2</v>
      </c>
      <c r="BS60" s="17" t="s">
        <v>274</v>
      </c>
      <c r="BT60" s="1" t="str">
        <f t="shared" si="1"/>
        <v/>
      </c>
      <c r="BU60" s="1" t="str">
        <f t="shared" si="2"/>
        <v/>
      </c>
      <c r="BV60" s="1" t="str">
        <f t="shared" si="3"/>
        <v/>
      </c>
      <c r="BW60" s="1" t="str">
        <f t="shared" si="4"/>
        <v/>
      </c>
      <c r="BX60" s="1" t="str">
        <f t="shared" si="5"/>
        <v/>
      </c>
      <c r="BY60" s="1" t="str">
        <f t="shared" si="6"/>
        <v/>
      </c>
      <c r="BZ60" s="1" t="str">
        <f t="shared" si="7"/>
        <v/>
      </c>
      <c r="CA60" s="1" t="str">
        <f t="shared" si="8"/>
        <v/>
      </c>
      <c r="CB60" s="1" t="str">
        <f t="shared" si="9"/>
        <v/>
      </c>
      <c r="CC60" s="1" t="str">
        <f t="shared" si="10"/>
        <v/>
      </c>
      <c r="CD60" s="1" t="str">
        <f t="shared" si="11"/>
        <v/>
      </c>
      <c r="CE60" s="1" t="str">
        <f t="shared" si="12"/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8"/>
    </row>
    <row r="61" spans="1:97" ht="27" x14ac:dyDescent="0.15">
      <c r="A61" s="1"/>
      <c r="B61" s="1" t="s">
        <v>173</v>
      </c>
      <c r="C61" s="1" t="s">
        <v>170</v>
      </c>
      <c r="D61" s="1" t="s">
        <v>148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/>
      <c r="Q61" s="32">
        <v>5</v>
      </c>
      <c r="R61" s="32">
        <v>2</v>
      </c>
      <c r="S61" s="32"/>
      <c r="T61" s="32">
        <v>5</v>
      </c>
      <c r="U61" s="32"/>
      <c r="V61" s="32"/>
      <c r="W61" s="32"/>
      <c r="X61" s="32"/>
      <c r="Y61" s="32"/>
      <c r="Z61" s="32">
        <v>5</v>
      </c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 t="shared" si="0"/>
        <v>17</v>
      </c>
      <c r="BQ61" s="1">
        <v>8</v>
      </c>
      <c r="BR61" s="17">
        <v>2</v>
      </c>
      <c r="BS61" s="17" t="s">
        <v>274</v>
      </c>
      <c r="BT61" s="1" t="str">
        <f t="shared" si="1"/>
        <v/>
      </c>
      <c r="BU61" s="1" t="str">
        <f t="shared" si="2"/>
        <v/>
      </c>
      <c r="BV61" s="1" t="str">
        <f t="shared" si="3"/>
        <v/>
      </c>
      <c r="BW61" s="1" t="str">
        <f t="shared" si="4"/>
        <v/>
      </c>
      <c r="BX61" s="1" t="str">
        <f t="shared" si="5"/>
        <v/>
      </c>
      <c r="BY61" s="1" t="str">
        <f t="shared" si="6"/>
        <v/>
      </c>
      <c r="BZ61" s="1" t="str">
        <f t="shared" si="7"/>
        <v/>
      </c>
      <c r="CA61" s="1" t="str">
        <f t="shared" si="8"/>
        <v/>
      </c>
      <c r="CB61" s="1" t="str">
        <f t="shared" si="9"/>
        <v/>
      </c>
      <c r="CC61" s="1" t="str">
        <f t="shared" si="10"/>
        <v/>
      </c>
      <c r="CD61" s="1" t="str">
        <f t="shared" si="11"/>
        <v/>
      </c>
      <c r="CE61" s="1" t="str">
        <f t="shared" si="12"/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ht="27" x14ac:dyDescent="0.15">
      <c r="A62" s="1"/>
      <c r="B62" s="1" t="s">
        <v>175</v>
      </c>
      <c r="C62" s="1" t="s">
        <v>176</v>
      </c>
      <c r="D62" s="1" t="s">
        <v>148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/>
      <c r="Q62" s="32">
        <v>5</v>
      </c>
      <c r="R62" s="32"/>
      <c r="S62" s="32"/>
      <c r="T62" s="32">
        <v>5</v>
      </c>
      <c r="U62" s="32"/>
      <c r="V62" s="32"/>
      <c r="W62" s="32"/>
      <c r="X62" s="32">
        <v>2</v>
      </c>
      <c r="Y62" s="32"/>
      <c r="Z62" s="32">
        <v>5</v>
      </c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 t="shared" si="0"/>
        <v>17</v>
      </c>
      <c r="BQ62" s="1">
        <v>8</v>
      </c>
      <c r="BR62" s="17">
        <v>2</v>
      </c>
      <c r="BS62" s="17" t="s">
        <v>275</v>
      </c>
      <c r="BT62" s="1" t="str">
        <f t="shared" si="1"/>
        <v/>
      </c>
      <c r="BU62" s="1" t="str">
        <f t="shared" si="2"/>
        <v/>
      </c>
      <c r="BV62" s="1" t="str">
        <f t="shared" si="3"/>
        <v/>
      </c>
      <c r="BW62" s="1" t="str">
        <f t="shared" si="4"/>
        <v/>
      </c>
      <c r="BX62" s="1" t="str">
        <f t="shared" si="5"/>
        <v/>
      </c>
      <c r="BY62" s="1" t="str">
        <f t="shared" si="6"/>
        <v/>
      </c>
      <c r="BZ62" s="1" t="str">
        <f t="shared" si="7"/>
        <v/>
      </c>
      <c r="CA62" s="1" t="str">
        <f t="shared" si="8"/>
        <v/>
      </c>
      <c r="CB62" s="1" t="str">
        <f t="shared" si="9"/>
        <v/>
      </c>
      <c r="CC62" s="1" t="str">
        <f t="shared" si="10"/>
        <v/>
      </c>
      <c r="CD62" s="1" t="str">
        <f t="shared" si="11"/>
        <v/>
      </c>
      <c r="CE62" s="1" t="str">
        <f t="shared" si="12"/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ht="27" x14ac:dyDescent="0.15">
      <c r="A63" s="1">
        <v>1</v>
      </c>
      <c r="B63" s="1" t="s">
        <v>0</v>
      </c>
      <c r="C63" s="1" t="s">
        <v>2</v>
      </c>
      <c r="D63" s="1" t="s">
        <v>1</v>
      </c>
      <c r="E63" s="6">
        <v>10</v>
      </c>
      <c r="F63" s="6">
        <v>10</v>
      </c>
      <c r="G63" s="6"/>
      <c r="H63" s="6"/>
      <c r="I63" s="6"/>
      <c r="J63" s="6"/>
      <c r="K63" s="6"/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>
        <v>10</v>
      </c>
      <c r="AS63" s="4"/>
      <c r="AT63" s="4"/>
      <c r="AU63" s="4"/>
      <c r="AV63" s="4"/>
      <c r="AW63" s="2">
        <v>15</v>
      </c>
      <c r="AX63" s="2">
        <v>15</v>
      </c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0"/>
        <v>60</v>
      </c>
      <c r="BQ63" s="1">
        <v>8</v>
      </c>
      <c r="BR63" s="17">
        <v>2</v>
      </c>
      <c r="BS63" s="17" t="s">
        <v>276</v>
      </c>
      <c r="BT63" s="1" t="str">
        <f t="shared" si="1"/>
        <v/>
      </c>
      <c r="BU63" s="1">
        <f t="shared" si="2"/>
        <v>4</v>
      </c>
      <c r="BV63" s="1" t="str">
        <f t="shared" si="3"/>
        <v/>
      </c>
      <c r="BW63" s="1" t="str">
        <f t="shared" si="4"/>
        <v/>
      </c>
      <c r="BX63" s="1" t="str">
        <f t="shared" si="5"/>
        <v/>
      </c>
      <c r="BY63" s="1" t="str">
        <f t="shared" si="6"/>
        <v/>
      </c>
      <c r="BZ63" s="1" t="str">
        <f t="shared" si="7"/>
        <v/>
      </c>
      <c r="CA63" s="1" t="str">
        <f t="shared" si="8"/>
        <v/>
      </c>
      <c r="CB63" s="1" t="str">
        <f t="shared" si="9"/>
        <v/>
      </c>
      <c r="CC63" s="1" t="str">
        <f t="shared" si="10"/>
        <v/>
      </c>
      <c r="CD63" s="1" t="str">
        <f t="shared" si="11"/>
        <v/>
      </c>
      <c r="CE63" s="1" t="str">
        <f t="shared" si="12"/>
        <v/>
      </c>
      <c r="CF63" s="1">
        <f>COUNTIF(BT63:CE63, "&gt;0")</f>
        <v>1</v>
      </c>
      <c r="CG63" s="1" t="str">
        <f>IF($CF63=1,BT63,"")</f>
        <v/>
      </c>
      <c r="CH63" s="1">
        <f>IF($CF63=1,BU63,"")</f>
        <v>4</v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18">
        <f>SUM(AE63:BO63)</f>
        <v>40</v>
      </c>
    </row>
    <row r="64" spans="1:97" ht="27" x14ac:dyDescent="0.15">
      <c r="A64" s="1">
        <v>69</v>
      </c>
      <c r="B64" s="3" t="s">
        <v>68</v>
      </c>
      <c r="C64" s="1" t="s">
        <v>61</v>
      </c>
      <c r="D64" s="1" t="s">
        <v>13</v>
      </c>
      <c r="E64" s="6"/>
      <c r="F64" s="6"/>
      <c r="G64" s="6"/>
      <c r="H64" s="6">
        <v>6</v>
      </c>
      <c r="I64" s="6">
        <v>6</v>
      </c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>
        <v>10</v>
      </c>
      <c r="AW64" s="2"/>
      <c r="AX64" s="2">
        <v>10</v>
      </c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0"/>
        <v>32</v>
      </c>
      <c r="BQ64" s="1">
        <v>9</v>
      </c>
      <c r="BR64" s="17">
        <v>2</v>
      </c>
      <c r="BS64" s="17" t="s">
        <v>231</v>
      </c>
      <c r="BT64" s="1" t="str">
        <f t="shared" si="1"/>
        <v/>
      </c>
      <c r="BU64" s="1" t="str">
        <f t="shared" si="2"/>
        <v/>
      </c>
      <c r="BV64" s="1" t="str">
        <f t="shared" si="3"/>
        <v/>
      </c>
      <c r="BW64" s="1" t="str">
        <f t="shared" si="4"/>
        <v/>
      </c>
      <c r="BX64" s="1" t="str">
        <f t="shared" si="5"/>
        <v/>
      </c>
      <c r="BY64" s="1">
        <f t="shared" si="6"/>
        <v>3</v>
      </c>
      <c r="BZ64" s="1" t="str">
        <f t="shared" si="7"/>
        <v/>
      </c>
      <c r="CA64" s="1" t="str">
        <f t="shared" si="8"/>
        <v/>
      </c>
      <c r="CB64" s="1" t="str">
        <f t="shared" si="9"/>
        <v/>
      </c>
      <c r="CC64" s="1" t="str">
        <f t="shared" si="10"/>
        <v/>
      </c>
      <c r="CD64" s="1" t="str">
        <f t="shared" si="11"/>
        <v/>
      </c>
      <c r="CE64" s="1" t="str">
        <f t="shared" si="12"/>
        <v/>
      </c>
      <c r="CF64" s="1">
        <f>COUNTIF(BT64:CE64, "&gt;0")</f>
        <v>1</v>
      </c>
      <c r="CG64" s="1" t="str">
        <f>IF($CF64=1,BT64,"")</f>
        <v/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>
        <f>IF($CF64=1,BY64,"")</f>
        <v>3</v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 t="str">
        <f>IF($CF64=1,CD64,"")</f>
        <v/>
      </c>
      <c r="CR64" s="1" t="str">
        <f>IF($CF64=1,CE64,"")</f>
        <v/>
      </c>
      <c r="CS64" s="18">
        <f>SUM(AE64:BO64)</f>
        <v>20</v>
      </c>
    </row>
    <row r="65" spans="1:97" ht="27" x14ac:dyDescent="0.15">
      <c r="A65" s="1">
        <v>8</v>
      </c>
      <c r="B65" s="1" t="s">
        <v>211</v>
      </c>
      <c r="C65" s="1" t="s">
        <v>2</v>
      </c>
      <c r="D65" s="1" t="s">
        <v>26</v>
      </c>
      <c r="E65" s="6">
        <v>6</v>
      </c>
      <c r="F65" s="6"/>
      <c r="G65" s="6"/>
      <c r="H65" s="6">
        <v>6</v>
      </c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>
        <v>10</v>
      </c>
      <c r="AS65" s="4"/>
      <c r="AT65" s="4"/>
      <c r="AU65" s="4"/>
      <c r="AV65" s="4"/>
      <c r="AW65" s="2"/>
      <c r="AX65" s="2"/>
      <c r="AY65" s="2"/>
      <c r="AZ65" s="2"/>
      <c r="BA65" s="2"/>
      <c r="BB65" s="2">
        <v>10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ref="BP65:BP128" si="13">SUM(E65:BO65)</f>
        <v>32</v>
      </c>
      <c r="BQ65" s="1">
        <v>10</v>
      </c>
      <c r="BR65" s="17">
        <v>2</v>
      </c>
      <c r="BS65" s="17" t="s">
        <v>232</v>
      </c>
      <c r="BT65" s="1" t="str">
        <f t="shared" si="1"/>
        <v/>
      </c>
      <c r="BU65" s="1">
        <f t="shared" si="2"/>
        <v>4</v>
      </c>
      <c r="BV65" s="1" t="str">
        <f t="shared" si="3"/>
        <v/>
      </c>
      <c r="BW65" s="1" t="str">
        <f t="shared" si="4"/>
        <v/>
      </c>
      <c r="BX65" s="1" t="str">
        <f t="shared" si="5"/>
        <v/>
      </c>
      <c r="BY65" s="1" t="str">
        <f t="shared" si="6"/>
        <v/>
      </c>
      <c r="BZ65" s="1" t="str">
        <f t="shared" si="7"/>
        <v/>
      </c>
      <c r="CA65" s="1" t="str">
        <f t="shared" si="8"/>
        <v/>
      </c>
      <c r="CB65" s="1" t="str">
        <f t="shared" si="9"/>
        <v/>
      </c>
      <c r="CC65" s="1" t="str">
        <f t="shared" si="10"/>
        <v/>
      </c>
      <c r="CD65" s="1" t="str">
        <f t="shared" si="11"/>
        <v/>
      </c>
      <c r="CE65" s="1" t="str">
        <f t="shared" si="12"/>
        <v/>
      </c>
      <c r="CF65" s="1">
        <f>COUNTIF(BT65:CE65, "&gt;0")</f>
        <v>1</v>
      </c>
      <c r="CG65" s="1" t="str">
        <f>IF($CF65=1,BT65,"")</f>
        <v/>
      </c>
      <c r="CH65" s="1">
        <f>IF($CF65=1,BU65,"")</f>
        <v>4</v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18">
        <f>SUM(AE65:BO65)</f>
        <v>20</v>
      </c>
    </row>
    <row r="66" spans="1:97" ht="27" x14ac:dyDescent="0.15">
      <c r="A66" s="1">
        <v>101</v>
      </c>
      <c r="B66" s="3" t="s">
        <v>108</v>
      </c>
      <c r="C66" s="3" t="s">
        <v>75</v>
      </c>
      <c r="D66" s="1" t="s">
        <v>13</v>
      </c>
      <c r="E66" s="6"/>
      <c r="F66" s="6"/>
      <c r="G66" s="6"/>
      <c r="H66" s="6">
        <v>6</v>
      </c>
      <c r="I66" s="6">
        <v>6</v>
      </c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>
        <v>8</v>
      </c>
      <c r="AV66" s="4"/>
      <c r="AW66" s="2">
        <v>8</v>
      </c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13"/>
        <v>28</v>
      </c>
      <c r="BQ66" s="1">
        <v>10</v>
      </c>
      <c r="BR66" s="17">
        <v>2</v>
      </c>
      <c r="BS66" s="17" t="s">
        <v>272</v>
      </c>
      <c r="BT66" s="1" t="str">
        <f t="shared" si="1"/>
        <v/>
      </c>
      <c r="BU66" s="1" t="str">
        <f t="shared" si="2"/>
        <v/>
      </c>
      <c r="BV66" s="1" t="str">
        <f t="shared" si="3"/>
        <v/>
      </c>
      <c r="BW66" s="1" t="str">
        <f t="shared" si="4"/>
        <v/>
      </c>
      <c r="BX66" s="1">
        <f t="shared" si="5"/>
        <v>4</v>
      </c>
      <c r="BY66" s="1" t="str">
        <f t="shared" si="6"/>
        <v/>
      </c>
      <c r="BZ66" s="1" t="str">
        <f t="shared" si="7"/>
        <v/>
      </c>
      <c r="CA66" s="1" t="str">
        <f t="shared" si="8"/>
        <v/>
      </c>
      <c r="CB66" s="1" t="str">
        <f t="shared" si="9"/>
        <v/>
      </c>
      <c r="CC66" s="1" t="str">
        <f t="shared" si="10"/>
        <v/>
      </c>
      <c r="CD66" s="1" t="str">
        <f t="shared" si="11"/>
        <v/>
      </c>
      <c r="CE66" s="1" t="str">
        <f t="shared" si="12"/>
        <v/>
      </c>
      <c r="CF66" s="1">
        <f>COUNTIF(BT66:CE66, "&gt;0")</f>
        <v>1</v>
      </c>
      <c r="CG66" s="1" t="str">
        <f>IF($CF66=1,BT66,"")</f>
        <v/>
      </c>
      <c r="CH66" s="1" t="str">
        <f>IF($CF66=1,BU66,"")</f>
        <v/>
      </c>
      <c r="CI66" s="1" t="str">
        <f>IF($CF66=1,BV66,"")</f>
        <v/>
      </c>
      <c r="CJ66" s="1" t="str">
        <f>IF($CF66=1,BW66,"")</f>
        <v/>
      </c>
      <c r="CK66" s="1">
        <f>IF($CF66=1,BX66,"")</f>
        <v>4</v>
      </c>
      <c r="CL66" s="1" t="str">
        <f>IF($CF66=1,BY66,"")</f>
        <v/>
      </c>
      <c r="CM66" s="1" t="str">
        <f>IF($CF66=1,BZ66,"")</f>
        <v/>
      </c>
      <c r="CN66" s="1" t="str">
        <f>IF($CF66=1,CA66,"")</f>
        <v/>
      </c>
      <c r="CO66" s="1" t="str">
        <f>IF($CF66=1,CB66,"")</f>
        <v/>
      </c>
      <c r="CP66" s="1" t="str">
        <f>IF($CF66=1,CC66,"")</f>
        <v/>
      </c>
      <c r="CQ66" s="1" t="str">
        <f>IF($CF66=1,CD66,"")</f>
        <v/>
      </c>
      <c r="CR66" s="1" t="str">
        <f>IF($CF66=1,CE66,"")</f>
        <v/>
      </c>
      <c r="CS66" s="18">
        <f>SUM(AE66:BO66)</f>
        <v>16</v>
      </c>
    </row>
    <row r="67" spans="1:97" ht="27" x14ac:dyDescent="0.15">
      <c r="A67" s="1">
        <v>27</v>
      </c>
      <c r="B67" s="1" t="s">
        <v>80</v>
      </c>
      <c r="C67" s="1" t="s">
        <v>32</v>
      </c>
      <c r="D67" s="1" t="s">
        <v>24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>
        <v>5</v>
      </c>
      <c r="AI67" s="1">
        <v>5</v>
      </c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13"/>
        <v>10</v>
      </c>
      <c r="BQ67" s="1">
        <v>10</v>
      </c>
      <c r="BR67" s="17">
        <v>2</v>
      </c>
      <c r="BS67" s="17" t="s">
        <v>190</v>
      </c>
      <c r="BT67" s="1" t="str">
        <f t="shared" ref="BT67:BT130" si="14">IF(AQ67&gt;AQ$151, AQ67-AQ$151,"")</f>
        <v/>
      </c>
      <c r="BU67" s="1" t="str">
        <f t="shared" ref="BU67:BU130" si="15">IF(AR67&gt;AR$151, AR67-AR$151,"")</f>
        <v/>
      </c>
      <c r="BV67" s="1" t="str">
        <f t="shared" ref="BV67:BV130" si="16">IF(AS67&gt;AS$151, AS67-AS$151,"")</f>
        <v/>
      </c>
      <c r="BW67" s="1" t="str">
        <f t="shared" ref="BW67:BW130" si="17">IF(AT67&gt;AT$151, AT67-AT$151,"")</f>
        <v/>
      </c>
      <c r="BX67" s="1" t="str">
        <f t="shared" ref="BX67:BX130" si="18">IF(AU67&gt;AU$151, AU67-AU$151,"")</f>
        <v/>
      </c>
      <c r="BY67" s="1" t="str">
        <f t="shared" ref="BY67:BY130" si="19">IF(AV67&gt;AV$151, AV67-AV$151,"")</f>
        <v/>
      </c>
      <c r="BZ67" s="1" t="str">
        <f t="shared" ref="BZ67:BZ130" si="20">IF(AW67&gt;AW$151, AW67-AW$151,"")</f>
        <v/>
      </c>
      <c r="CA67" s="1" t="str">
        <f t="shared" ref="CA67:CA130" si="21">IF(AX67&gt;AX$151, AX67-AX$151,"")</f>
        <v/>
      </c>
      <c r="CB67" s="1" t="str">
        <f t="shared" ref="CB67:CB130" si="22">IF(AY67&gt;AY$151, AY67-AY$151,"")</f>
        <v/>
      </c>
      <c r="CC67" s="1" t="str">
        <f t="shared" ref="CC67:CC130" si="23">IF(AZ67&gt;AZ$151, AZ67-AZ$151,"")</f>
        <v/>
      </c>
      <c r="CD67" s="1" t="str">
        <f t="shared" ref="CD67:CD130" si="24">IF(BA67&gt;BA$151, BA67-BA$151,"")</f>
        <v/>
      </c>
      <c r="CE67" s="1" t="str">
        <f t="shared" ref="CE67:CE130" si="25">IF(BB67&gt;BB$151, BB67-BB$151,"")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18">
        <f>SUM(AE67:BO67)</f>
        <v>10</v>
      </c>
    </row>
    <row r="68" spans="1:97" ht="27" x14ac:dyDescent="0.15">
      <c r="A68" s="1">
        <v>88</v>
      </c>
      <c r="B68" s="3" t="s">
        <v>85</v>
      </c>
      <c r="C68" s="3" t="s">
        <v>86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>
        <v>5</v>
      </c>
      <c r="AI68" s="1">
        <v>5</v>
      </c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13"/>
        <v>10</v>
      </c>
      <c r="BQ68" s="1">
        <v>10</v>
      </c>
      <c r="BR68" s="17">
        <v>2</v>
      </c>
      <c r="BS68" s="17" t="s">
        <v>278</v>
      </c>
      <c r="BT68" s="1" t="str">
        <f t="shared" si="14"/>
        <v/>
      </c>
      <c r="BU68" s="1" t="str">
        <f t="shared" si="15"/>
        <v/>
      </c>
      <c r="BV68" s="1" t="str">
        <f t="shared" si="16"/>
        <v/>
      </c>
      <c r="BW68" s="1" t="str">
        <f t="shared" si="17"/>
        <v/>
      </c>
      <c r="BX68" s="1" t="str">
        <f t="shared" si="18"/>
        <v/>
      </c>
      <c r="BY68" s="1" t="str">
        <f t="shared" si="19"/>
        <v/>
      </c>
      <c r="BZ68" s="1" t="str">
        <f t="shared" si="20"/>
        <v/>
      </c>
      <c r="CA68" s="1" t="str">
        <f t="shared" si="21"/>
        <v/>
      </c>
      <c r="CB68" s="1" t="str">
        <f t="shared" si="22"/>
        <v/>
      </c>
      <c r="CC68" s="1" t="str">
        <f t="shared" si="23"/>
        <v/>
      </c>
      <c r="CD68" s="1" t="str">
        <f t="shared" si="24"/>
        <v/>
      </c>
      <c r="CE68" s="1" t="str">
        <f t="shared" si="25"/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18">
        <f>SUM(AE68:BO68)</f>
        <v>10</v>
      </c>
    </row>
    <row r="69" spans="1:97" ht="27" x14ac:dyDescent="0.15">
      <c r="A69" s="1">
        <v>82</v>
      </c>
      <c r="B69" s="3" t="s">
        <v>73</v>
      </c>
      <c r="C69" s="3" t="s">
        <v>69</v>
      </c>
      <c r="D69" s="1" t="s">
        <v>13</v>
      </c>
      <c r="E69" s="6"/>
      <c r="F69" s="6"/>
      <c r="G69" s="6"/>
      <c r="H69" s="6"/>
      <c r="I69" s="6"/>
      <c r="J69" s="6"/>
      <c r="K69" s="6"/>
      <c r="L69" s="6">
        <v>6</v>
      </c>
      <c r="M69" s="6"/>
      <c r="N69" s="6">
        <v>6</v>
      </c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>
        <v>10</v>
      </c>
      <c r="AU69" s="4"/>
      <c r="AV69" s="4"/>
      <c r="AW69" s="2"/>
      <c r="AX69" s="2"/>
      <c r="AY69" s="2"/>
      <c r="AZ69" s="2">
        <v>10</v>
      </c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13"/>
        <v>32</v>
      </c>
      <c r="BQ69" s="1">
        <v>13</v>
      </c>
      <c r="BR69" s="17">
        <v>2</v>
      </c>
      <c r="BS69" s="17" t="s">
        <v>219</v>
      </c>
      <c r="BT69" s="1" t="str">
        <f t="shared" si="14"/>
        <v/>
      </c>
      <c r="BU69" s="1" t="str">
        <f t="shared" si="15"/>
        <v/>
      </c>
      <c r="BV69" s="1" t="str">
        <f t="shared" si="16"/>
        <v/>
      </c>
      <c r="BW69" s="1">
        <f t="shared" si="17"/>
        <v>3</v>
      </c>
      <c r="BX69" s="1" t="str">
        <f t="shared" si="18"/>
        <v/>
      </c>
      <c r="BY69" s="1" t="str">
        <f t="shared" si="19"/>
        <v/>
      </c>
      <c r="BZ69" s="1" t="str">
        <f t="shared" si="20"/>
        <v/>
      </c>
      <c r="CA69" s="1" t="str">
        <f t="shared" si="21"/>
        <v/>
      </c>
      <c r="CB69" s="1" t="str">
        <f t="shared" si="22"/>
        <v/>
      </c>
      <c r="CC69" s="1">
        <f t="shared" si="23"/>
        <v>10</v>
      </c>
      <c r="CD69" s="1" t="str">
        <f t="shared" si="24"/>
        <v/>
      </c>
      <c r="CE69" s="1" t="str">
        <f t="shared" si="25"/>
        <v/>
      </c>
      <c r="CF69" s="1">
        <f>COUNTIF(BT69:CE69, "&gt;0")</f>
        <v>2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18">
        <f>SUM(AE69:BO69)</f>
        <v>20</v>
      </c>
    </row>
    <row r="70" spans="1:97" ht="27" x14ac:dyDescent="0.15">
      <c r="A70" s="1"/>
      <c r="B70" s="1" t="s">
        <v>141</v>
      </c>
      <c r="C70" s="1" t="s">
        <v>136</v>
      </c>
      <c r="D70" s="1" t="s">
        <v>115</v>
      </c>
      <c r="E70" s="6"/>
      <c r="F70" s="6"/>
      <c r="G70" s="6"/>
      <c r="H70" s="6">
        <v>10</v>
      </c>
      <c r="I70" s="6"/>
      <c r="J70" s="6">
        <v>10</v>
      </c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>
        <v>10</v>
      </c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13"/>
        <v>40</v>
      </c>
      <c r="BQ70" s="1">
        <v>13</v>
      </c>
      <c r="BR70" s="17">
        <v>2</v>
      </c>
      <c r="BS70" s="17" t="s">
        <v>248</v>
      </c>
      <c r="BT70" s="1" t="str">
        <f t="shared" si="14"/>
        <v/>
      </c>
      <c r="BU70" s="1" t="str">
        <f t="shared" si="15"/>
        <v/>
      </c>
      <c r="BV70" s="1" t="str">
        <f t="shared" si="16"/>
        <v/>
      </c>
      <c r="BW70" s="1">
        <f t="shared" si="17"/>
        <v>3</v>
      </c>
      <c r="BX70" s="1" t="str">
        <f t="shared" si="18"/>
        <v/>
      </c>
      <c r="BY70" s="1" t="str">
        <f t="shared" si="19"/>
        <v/>
      </c>
      <c r="BZ70" s="1" t="str">
        <f t="shared" si="20"/>
        <v/>
      </c>
      <c r="CA70" s="1" t="str">
        <f t="shared" si="21"/>
        <v/>
      </c>
      <c r="CB70" s="1" t="str">
        <f t="shared" si="22"/>
        <v/>
      </c>
      <c r="CC70" s="1" t="str">
        <f t="shared" si="23"/>
        <v/>
      </c>
      <c r="CD70" s="1" t="str">
        <f t="shared" si="24"/>
        <v/>
      </c>
      <c r="CE70" s="1" t="str">
        <f t="shared" si="25"/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ht="27" x14ac:dyDescent="0.15">
      <c r="A71" s="1"/>
      <c r="B71" s="1" t="s">
        <v>127</v>
      </c>
      <c r="C71" s="1" t="s">
        <v>126</v>
      </c>
      <c r="D71" s="1" t="s">
        <v>115</v>
      </c>
      <c r="E71" s="6">
        <v>10</v>
      </c>
      <c r="F71" s="6"/>
      <c r="G71" s="6">
        <v>10</v>
      </c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>
        <v>10</v>
      </c>
      <c r="AS71" s="4"/>
      <c r="AT71" s="4"/>
      <c r="AU71" s="4"/>
      <c r="AV71" s="4"/>
      <c r="AW71" s="2"/>
      <c r="AX71" s="2"/>
      <c r="AY71" s="2"/>
      <c r="AZ71" s="2"/>
      <c r="BA71" s="2"/>
      <c r="BB71" s="2">
        <v>10</v>
      </c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13"/>
        <v>40</v>
      </c>
      <c r="BQ71" s="1">
        <v>14</v>
      </c>
      <c r="BR71" s="17">
        <v>2</v>
      </c>
      <c r="BS71" s="17" t="s">
        <v>227</v>
      </c>
      <c r="BT71" s="1" t="str">
        <f t="shared" si="14"/>
        <v/>
      </c>
      <c r="BU71" s="1">
        <f t="shared" si="15"/>
        <v>4</v>
      </c>
      <c r="BV71" s="1" t="str">
        <f t="shared" si="16"/>
        <v/>
      </c>
      <c r="BW71" s="1" t="str">
        <f t="shared" si="17"/>
        <v/>
      </c>
      <c r="BX71" s="1" t="str">
        <f t="shared" si="18"/>
        <v/>
      </c>
      <c r="BY71" s="1" t="str">
        <f t="shared" si="19"/>
        <v/>
      </c>
      <c r="BZ71" s="1" t="str">
        <f t="shared" si="20"/>
        <v/>
      </c>
      <c r="CA71" s="1" t="str">
        <f t="shared" si="21"/>
        <v/>
      </c>
      <c r="CB71" s="1" t="str">
        <f t="shared" si="22"/>
        <v/>
      </c>
      <c r="CC71" s="1" t="str">
        <f t="shared" si="23"/>
        <v/>
      </c>
      <c r="CD71" s="1" t="str">
        <f t="shared" si="24"/>
        <v/>
      </c>
      <c r="CE71" s="1" t="str">
        <f t="shared" si="25"/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ht="27" x14ac:dyDescent="0.15">
      <c r="A72" s="1"/>
      <c r="B72" s="1" t="s">
        <v>216</v>
      </c>
      <c r="C72" s="1" t="s">
        <v>178</v>
      </c>
      <c r="D72" s="1" t="s">
        <v>149</v>
      </c>
      <c r="E72" s="6">
        <v>10</v>
      </c>
      <c r="F72" s="6"/>
      <c r="G72" s="6">
        <v>10</v>
      </c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>
        <v>10</v>
      </c>
      <c r="AS72" s="4"/>
      <c r="AT72" s="4"/>
      <c r="AU72" s="4"/>
      <c r="AV72" s="4"/>
      <c r="AW72" s="2"/>
      <c r="AX72" s="2"/>
      <c r="AY72" s="2"/>
      <c r="AZ72" s="2"/>
      <c r="BA72" s="2"/>
      <c r="BB72" s="2">
        <v>10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 t="shared" si="13"/>
        <v>40</v>
      </c>
      <c r="BQ72" s="1">
        <v>14</v>
      </c>
      <c r="BR72" s="17">
        <v>2</v>
      </c>
      <c r="BS72" s="17" t="s">
        <v>229</v>
      </c>
      <c r="BT72" s="1" t="str">
        <f t="shared" si="14"/>
        <v/>
      </c>
      <c r="BU72" s="1">
        <f t="shared" si="15"/>
        <v>4</v>
      </c>
      <c r="BV72" s="1" t="str">
        <f t="shared" si="16"/>
        <v/>
      </c>
      <c r="BW72" s="1" t="str">
        <f t="shared" si="17"/>
        <v/>
      </c>
      <c r="BX72" s="1" t="str">
        <f t="shared" si="18"/>
        <v/>
      </c>
      <c r="BY72" s="1" t="str">
        <f t="shared" si="19"/>
        <v/>
      </c>
      <c r="BZ72" s="1" t="str">
        <f t="shared" si="20"/>
        <v/>
      </c>
      <c r="CA72" s="1" t="str">
        <f t="shared" si="21"/>
        <v/>
      </c>
      <c r="CB72" s="1" t="str">
        <f t="shared" si="22"/>
        <v/>
      </c>
      <c r="CC72" s="1" t="str">
        <f t="shared" si="23"/>
        <v/>
      </c>
      <c r="CD72" s="1" t="str">
        <f t="shared" si="24"/>
        <v/>
      </c>
      <c r="CE72" s="1" t="str">
        <f t="shared" si="25"/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ht="27" x14ac:dyDescent="0.15">
      <c r="A73" s="1">
        <v>77</v>
      </c>
      <c r="B73" s="3" t="s">
        <v>206</v>
      </c>
      <c r="C73" s="3" t="s">
        <v>69</v>
      </c>
      <c r="D73" s="1" t="s">
        <v>13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>
        <v>20</v>
      </c>
      <c r="AU73" s="4"/>
      <c r="AV73" s="4"/>
      <c r="AW73" s="2">
        <v>20</v>
      </c>
      <c r="AX73" s="2">
        <v>20</v>
      </c>
      <c r="AY73" s="2"/>
      <c r="AZ73" s="2"/>
      <c r="BA73" s="2"/>
      <c r="BB73" s="2">
        <v>10</v>
      </c>
      <c r="BC73" s="14"/>
      <c r="BD73" s="1"/>
      <c r="BE73" s="1"/>
      <c r="BF73" s="1"/>
      <c r="BG73" s="1"/>
      <c r="BH73" s="1">
        <v>20</v>
      </c>
      <c r="BI73" s="1"/>
      <c r="BJ73" s="1"/>
      <c r="BK73" s="1"/>
      <c r="BL73" s="1"/>
      <c r="BM73" s="1"/>
      <c r="BN73" s="1"/>
      <c r="BO73" s="1"/>
      <c r="BP73" s="1">
        <f t="shared" si="13"/>
        <v>90</v>
      </c>
      <c r="BQ73" s="1">
        <v>14</v>
      </c>
      <c r="BR73" s="17">
        <v>2</v>
      </c>
      <c r="BS73" s="17" t="s">
        <v>266</v>
      </c>
      <c r="BT73" s="1" t="str">
        <f t="shared" si="14"/>
        <v/>
      </c>
      <c r="BU73" s="1" t="str">
        <f t="shared" si="15"/>
        <v/>
      </c>
      <c r="BV73" s="1" t="str">
        <f t="shared" si="16"/>
        <v/>
      </c>
      <c r="BW73" s="1">
        <f t="shared" si="17"/>
        <v>13</v>
      </c>
      <c r="BX73" s="1" t="str">
        <f t="shared" si="18"/>
        <v/>
      </c>
      <c r="BY73" s="1" t="str">
        <f t="shared" si="19"/>
        <v/>
      </c>
      <c r="BZ73" s="1">
        <f t="shared" si="20"/>
        <v>1</v>
      </c>
      <c r="CA73" s="1" t="str">
        <f t="shared" si="21"/>
        <v/>
      </c>
      <c r="CB73" s="1" t="str">
        <f t="shared" si="22"/>
        <v/>
      </c>
      <c r="CC73" s="1" t="str">
        <f t="shared" si="23"/>
        <v/>
      </c>
      <c r="CD73" s="1" t="str">
        <f t="shared" si="24"/>
        <v/>
      </c>
      <c r="CE73" s="1" t="str">
        <f t="shared" si="25"/>
        <v/>
      </c>
      <c r="CF73" s="1">
        <f>COUNTIF(BT73:CE73, "&gt;0")</f>
        <v>2</v>
      </c>
      <c r="CG73" s="1" t="str">
        <f>IF($CF73=1,BT73,"")</f>
        <v/>
      </c>
      <c r="CH73" s="1" t="str">
        <f>IF($CF73=1,BU73,"")</f>
        <v/>
      </c>
      <c r="CI73" s="1" t="str">
        <f>IF($CF73=1,BV73,"")</f>
        <v/>
      </c>
      <c r="CJ73" s="1" t="str">
        <f>IF($CF73=1,BW73,"")</f>
        <v/>
      </c>
      <c r="CK73" s="1" t="str">
        <f>IF($CF73=1,BX73,"")</f>
        <v/>
      </c>
      <c r="CL73" s="1" t="str">
        <f>IF($CF73=1,BY73,"")</f>
        <v/>
      </c>
      <c r="CM73" s="1" t="str">
        <f>IF($CF73=1,BZ73,"")</f>
        <v/>
      </c>
      <c r="CN73" s="1" t="str">
        <f>IF($CF73=1,CA73,"")</f>
        <v/>
      </c>
      <c r="CO73" s="1" t="str">
        <f>IF($CF73=1,CB73,"")</f>
        <v/>
      </c>
      <c r="CP73" s="1" t="str">
        <f>IF($CF73=1,CC73,"")</f>
        <v/>
      </c>
      <c r="CQ73" s="1" t="str">
        <f>IF($CF73=1,CD73,"")</f>
        <v/>
      </c>
      <c r="CR73" s="1" t="str">
        <f>IF($CF73=1,CE73,"")</f>
        <v/>
      </c>
      <c r="CS73" s="18">
        <f>SUM(AE73:BO73)</f>
        <v>90</v>
      </c>
    </row>
    <row r="74" spans="1:97" ht="27" x14ac:dyDescent="0.15">
      <c r="A74" s="1"/>
      <c r="B74" s="1" t="s">
        <v>210</v>
      </c>
      <c r="C74" s="1" t="s">
        <v>179</v>
      </c>
      <c r="D74" s="1" t="s">
        <v>149</v>
      </c>
      <c r="E74" s="6"/>
      <c r="F74" s="6"/>
      <c r="G74" s="6"/>
      <c r="H74" s="6"/>
      <c r="I74" s="6"/>
      <c r="J74" s="6"/>
      <c r="K74" s="6"/>
      <c r="L74" s="6">
        <v>6</v>
      </c>
      <c r="M74" s="6"/>
      <c r="N74" s="6"/>
      <c r="O74" s="6">
        <v>6</v>
      </c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>
        <v>10</v>
      </c>
      <c r="BB74" s="2">
        <v>10</v>
      </c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 t="shared" si="13"/>
        <v>32</v>
      </c>
      <c r="BQ74" s="1">
        <v>15</v>
      </c>
      <c r="BR74" s="17">
        <v>2</v>
      </c>
      <c r="BS74" s="17" t="s">
        <v>224</v>
      </c>
      <c r="BT74" s="1" t="str">
        <f t="shared" si="14"/>
        <v/>
      </c>
      <c r="BU74" s="1" t="str">
        <f t="shared" si="15"/>
        <v/>
      </c>
      <c r="BV74" s="1" t="str">
        <f t="shared" si="16"/>
        <v/>
      </c>
      <c r="BW74" s="1" t="str">
        <f t="shared" si="17"/>
        <v/>
      </c>
      <c r="BX74" s="1" t="str">
        <f t="shared" si="18"/>
        <v/>
      </c>
      <c r="BY74" s="1" t="str">
        <f t="shared" si="19"/>
        <v/>
      </c>
      <c r="BZ74" s="1" t="str">
        <f t="shared" si="20"/>
        <v/>
      </c>
      <c r="CA74" s="1" t="str">
        <f t="shared" si="21"/>
        <v/>
      </c>
      <c r="CB74" s="1" t="str">
        <f t="shared" si="22"/>
        <v/>
      </c>
      <c r="CC74" s="1" t="str">
        <f t="shared" si="23"/>
        <v/>
      </c>
      <c r="CD74" s="1">
        <f t="shared" si="24"/>
        <v>10</v>
      </c>
      <c r="CE74" s="1" t="str">
        <f t="shared" si="25"/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ht="27" x14ac:dyDescent="0.15">
      <c r="A75" s="1">
        <v>2</v>
      </c>
      <c r="B75" s="1" t="s">
        <v>8</v>
      </c>
      <c r="C75" s="1" t="s">
        <v>2</v>
      </c>
      <c r="D75" s="1" t="s">
        <v>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>
        <v>15</v>
      </c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>
        <v>15</v>
      </c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 t="shared" si="13"/>
        <v>30</v>
      </c>
      <c r="BQ75" s="1">
        <v>26</v>
      </c>
      <c r="BR75" s="17">
        <v>2</v>
      </c>
      <c r="BS75" s="17" t="s">
        <v>238</v>
      </c>
      <c r="BT75" s="1" t="str">
        <f t="shared" si="14"/>
        <v/>
      </c>
      <c r="BU75" s="1" t="str">
        <f t="shared" si="15"/>
        <v/>
      </c>
      <c r="BV75" s="1" t="str">
        <f t="shared" si="16"/>
        <v/>
      </c>
      <c r="BW75" s="1" t="str">
        <f t="shared" si="17"/>
        <v/>
      </c>
      <c r="BX75" s="1" t="str">
        <f t="shared" si="18"/>
        <v/>
      </c>
      <c r="BY75" s="1" t="str">
        <f t="shared" si="19"/>
        <v/>
      </c>
      <c r="BZ75" s="1" t="str">
        <f t="shared" si="20"/>
        <v/>
      </c>
      <c r="CA75" s="1" t="str">
        <f t="shared" si="21"/>
        <v/>
      </c>
      <c r="CB75" s="1" t="str">
        <f t="shared" si="22"/>
        <v/>
      </c>
      <c r="CC75" s="1">
        <f t="shared" si="23"/>
        <v>15</v>
      </c>
      <c r="CD75" s="1" t="str">
        <f t="shared" si="24"/>
        <v/>
      </c>
      <c r="CE75" s="1" t="str">
        <f t="shared" si="25"/>
        <v/>
      </c>
      <c r="CF75" s="1">
        <f>COUNTIF(BT75:CE75, "&gt;0")</f>
        <v>1</v>
      </c>
      <c r="CG75" s="1" t="str">
        <f>IF($CF75=1,BT75,"")</f>
        <v/>
      </c>
      <c r="CH75" s="1" t="str">
        <f>IF($CF75=1,BU75,"")</f>
        <v/>
      </c>
      <c r="CI75" s="1" t="str">
        <f>IF($CF75=1,BV75,"")</f>
        <v/>
      </c>
      <c r="CJ75" s="1" t="str">
        <f>IF($CF75=1,BW75,"")</f>
        <v/>
      </c>
      <c r="CK75" s="1" t="str">
        <f>IF($CF75=1,BX75,"")</f>
        <v/>
      </c>
      <c r="CL75" s="1" t="str">
        <f>IF($CF75=1,BY75,"")</f>
        <v/>
      </c>
      <c r="CM75" s="1" t="str">
        <f>IF($CF75=1,BZ75,"")</f>
        <v/>
      </c>
      <c r="CN75" s="1" t="str">
        <f>IF($CF75=1,CA75,"")</f>
        <v/>
      </c>
      <c r="CO75" s="1" t="str">
        <f>IF($CF75=1,CB75,"")</f>
        <v/>
      </c>
      <c r="CP75" s="1">
        <f>IF($CF75=1,CC75,"")</f>
        <v>15</v>
      </c>
      <c r="CQ75" s="1" t="str">
        <f>IF($CF75=1,CD75,"")</f>
        <v/>
      </c>
      <c r="CR75" s="1" t="str">
        <f>IF($CF75=1,CE75,"")</f>
        <v/>
      </c>
      <c r="CS75" s="18">
        <f>SUM(AE75:BO75)</f>
        <v>30</v>
      </c>
    </row>
    <row r="76" spans="1:97" ht="27" x14ac:dyDescent="0.15">
      <c r="A76" s="1">
        <v>95</v>
      </c>
      <c r="B76" s="3" t="s">
        <v>91</v>
      </c>
      <c r="C76" s="3" t="s">
        <v>75</v>
      </c>
      <c r="D76" s="1" t="s">
        <v>1</v>
      </c>
      <c r="E76" s="6"/>
      <c r="F76" s="6"/>
      <c r="G76" s="6"/>
      <c r="H76" s="6"/>
      <c r="I76" s="6"/>
      <c r="J76" s="6"/>
      <c r="K76" s="6"/>
      <c r="L76" s="6">
        <v>15</v>
      </c>
      <c r="M76" s="6"/>
      <c r="N76" s="6"/>
      <c r="O76" s="6">
        <v>15</v>
      </c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>
        <v>15</v>
      </c>
      <c r="BB76" s="2">
        <v>15</v>
      </c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 t="shared" si="13"/>
        <v>60</v>
      </c>
      <c r="BQ76" s="1">
        <v>29</v>
      </c>
      <c r="BR76" s="17">
        <v>2</v>
      </c>
      <c r="BS76" s="17" t="s">
        <v>277</v>
      </c>
      <c r="BT76" s="1" t="str">
        <f t="shared" si="14"/>
        <v/>
      </c>
      <c r="BU76" s="1" t="str">
        <f t="shared" si="15"/>
        <v/>
      </c>
      <c r="BV76" s="1" t="str">
        <f t="shared" si="16"/>
        <v/>
      </c>
      <c r="BW76" s="1" t="str">
        <f t="shared" si="17"/>
        <v/>
      </c>
      <c r="BX76" s="1" t="str">
        <f t="shared" si="18"/>
        <v/>
      </c>
      <c r="BY76" s="1" t="str">
        <f t="shared" si="19"/>
        <v/>
      </c>
      <c r="BZ76" s="1" t="str">
        <f t="shared" si="20"/>
        <v/>
      </c>
      <c r="CA76" s="1" t="str">
        <f t="shared" si="21"/>
        <v/>
      </c>
      <c r="CB76" s="1" t="str">
        <f t="shared" si="22"/>
        <v/>
      </c>
      <c r="CC76" s="1" t="str">
        <f t="shared" si="23"/>
        <v/>
      </c>
      <c r="CD76" s="1">
        <f t="shared" si="24"/>
        <v>15</v>
      </c>
      <c r="CE76" s="1" t="str">
        <f t="shared" si="25"/>
        <v/>
      </c>
      <c r="CF76" s="1">
        <f>COUNTIF(BT76:CE76, "&gt;0")</f>
        <v>1</v>
      </c>
      <c r="CG76" s="1" t="str">
        <f>IF($CF76=1,BT76,"")</f>
        <v/>
      </c>
      <c r="CH76" s="1" t="str">
        <f>IF($CF76=1,BU76,"")</f>
        <v/>
      </c>
      <c r="CI76" s="1" t="str">
        <f>IF($CF76=1,BV76,"")</f>
        <v/>
      </c>
      <c r="CJ76" s="1" t="str">
        <f>IF($CF76=1,BW76,"")</f>
        <v/>
      </c>
      <c r="CK76" s="1" t="str">
        <f>IF($CF76=1,BX76,"")</f>
        <v/>
      </c>
      <c r="CL76" s="1" t="str">
        <f>IF($CF76=1,BY76,"")</f>
        <v/>
      </c>
      <c r="CM76" s="1" t="str">
        <f>IF($CF76=1,BZ76,"")</f>
        <v/>
      </c>
      <c r="CN76" s="1" t="str">
        <f>IF($CF76=1,CA76,"")</f>
        <v/>
      </c>
      <c r="CO76" s="1" t="str">
        <f>IF($CF76=1,CB76,"")</f>
        <v/>
      </c>
      <c r="CP76" s="1" t="str">
        <f>IF($CF76=1,CC76,"")</f>
        <v/>
      </c>
      <c r="CQ76" s="1">
        <f>IF($CF76=1,CD76,"")</f>
        <v>15</v>
      </c>
      <c r="CR76" s="1" t="str">
        <f>IF($CF76=1,CE76,"")</f>
        <v/>
      </c>
      <c r="CS76" s="18">
        <f>SUM(AE76:BO76)</f>
        <v>30</v>
      </c>
    </row>
    <row r="77" spans="1:97" ht="27" x14ac:dyDescent="0.15">
      <c r="A77" s="1"/>
      <c r="B77" s="1" t="s">
        <v>207</v>
      </c>
      <c r="C77" s="1" t="s">
        <v>144</v>
      </c>
      <c r="D77" s="1" t="s">
        <v>114</v>
      </c>
      <c r="E77" s="6"/>
      <c r="F77" s="6"/>
      <c r="G77" s="6"/>
      <c r="H77" s="6"/>
      <c r="I77" s="6"/>
      <c r="J77" s="6"/>
      <c r="K77" s="6"/>
      <c r="L77" s="6">
        <v>20</v>
      </c>
      <c r="M77" s="6"/>
      <c r="N77" s="6"/>
      <c r="O77" s="6">
        <v>20</v>
      </c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>
        <v>20</v>
      </c>
      <c r="BB77" s="2">
        <v>20</v>
      </c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 t="shared" si="13"/>
        <v>80</v>
      </c>
      <c r="BQ77" s="1">
        <v>39</v>
      </c>
      <c r="BR77" s="17">
        <v>2</v>
      </c>
      <c r="BS77" s="17" t="s">
        <v>285</v>
      </c>
      <c r="BT77" s="1" t="str">
        <f t="shared" si="14"/>
        <v/>
      </c>
      <c r="BU77" s="1" t="str">
        <f t="shared" si="15"/>
        <v/>
      </c>
      <c r="BV77" s="1" t="str">
        <f t="shared" si="16"/>
        <v/>
      </c>
      <c r="BW77" s="1" t="str">
        <f t="shared" si="17"/>
        <v/>
      </c>
      <c r="BX77" s="1" t="str">
        <f t="shared" si="18"/>
        <v/>
      </c>
      <c r="BY77" s="1" t="str">
        <f t="shared" si="19"/>
        <v/>
      </c>
      <c r="BZ77" s="1" t="str">
        <f t="shared" si="20"/>
        <v/>
      </c>
      <c r="CA77" s="1" t="str">
        <f t="shared" si="21"/>
        <v/>
      </c>
      <c r="CB77" s="1" t="str">
        <f t="shared" si="22"/>
        <v/>
      </c>
      <c r="CC77" s="1" t="str">
        <f t="shared" si="23"/>
        <v/>
      </c>
      <c r="CD77" s="1">
        <f t="shared" si="24"/>
        <v>20</v>
      </c>
      <c r="CE77" s="1" t="str">
        <f t="shared" si="25"/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ht="40.5" x14ac:dyDescent="0.15">
      <c r="A78" s="1"/>
      <c r="B78" s="1" t="s">
        <v>183</v>
      </c>
      <c r="C78" s="1" t="s">
        <v>179</v>
      </c>
      <c r="D78" s="1" t="s">
        <v>148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>
        <v>2</v>
      </c>
      <c r="V78" s="32"/>
      <c r="W78" s="32"/>
      <c r="X78" s="32"/>
      <c r="Y78" s="32"/>
      <c r="Z78" s="32"/>
      <c r="AA78" s="32">
        <v>2</v>
      </c>
      <c r="AB78" s="32"/>
      <c r="AC78" s="32">
        <v>5</v>
      </c>
      <c r="AD78" s="32">
        <v>2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 t="shared" si="13"/>
        <v>11</v>
      </c>
      <c r="BQ78" s="1">
        <v>6</v>
      </c>
      <c r="BR78" s="17">
        <v>3</v>
      </c>
      <c r="BS78" s="17" t="s">
        <v>191</v>
      </c>
      <c r="BT78" s="1" t="str">
        <f t="shared" si="14"/>
        <v/>
      </c>
      <c r="BU78" s="1" t="str">
        <f t="shared" si="15"/>
        <v/>
      </c>
      <c r="BV78" s="1" t="str">
        <f t="shared" si="16"/>
        <v/>
      </c>
      <c r="BW78" s="1" t="str">
        <f t="shared" si="17"/>
        <v/>
      </c>
      <c r="BX78" s="1" t="str">
        <f t="shared" si="18"/>
        <v/>
      </c>
      <c r="BY78" s="1" t="str">
        <f t="shared" si="19"/>
        <v/>
      </c>
      <c r="BZ78" s="1" t="str">
        <f t="shared" si="20"/>
        <v/>
      </c>
      <c r="CA78" s="1" t="str">
        <f t="shared" si="21"/>
        <v/>
      </c>
      <c r="CB78" s="1" t="str">
        <f t="shared" si="22"/>
        <v/>
      </c>
      <c r="CC78" s="1" t="str">
        <f t="shared" si="23"/>
        <v/>
      </c>
      <c r="CD78" s="1" t="str">
        <f t="shared" si="24"/>
        <v/>
      </c>
      <c r="CE78" s="1" t="str">
        <f t="shared" si="25"/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ht="40.5" x14ac:dyDescent="0.15">
      <c r="A79" s="1"/>
      <c r="B79" s="1" t="s">
        <v>175</v>
      </c>
      <c r="C79" s="1" t="s">
        <v>176</v>
      </c>
      <c r="D79" s="1" t="s">
        <v>149</v>
      </c>
      <c r="E79" s="6"/>
      <c r="F79" s="6"/>
      <c r="G79" s="6"/>
      <c r="H79" s="6"/>
      <c r="I79" s="6"/>
      <c r="J79" s="6"/>
      <c r="K79" s="6"/>
      <c r="L79" s="6">
        <v>7</v>
      </c>
      <c r="M79" s="6"/>
      <c r="N79" s="6"/>
      <c r="O79" s="6"/>
      <c r="P79" s="32"/>
      <c r="Q79" s="32">
        <v>7</v>
      </c>
      <c r="R79" s="32"/>
      <c r="S79" s="32"/>
      <c r="T79" s="32">
        <v>7</v>
      </c>
      <c r="U79" s="32"/>
      <c r="V79" s="32"/>
      <c r="W79" s="32"/>
      <c r="X79" s="32">
        <v>7</v>
      </c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 t="shared" si="13"/>
        <v>28</v>
      </c>
      <c r="BQ79" s="1">
        <v>9</v>
      </c>
      <c r="BR79" s="17">
        <v>3</v>
      </c>
      <c r="BS79" s="17" t="s">
        <v>192</v>
      </c>
      <c r="BT79" s="1" t="str">
        <f t="shared" si="14"/>
        <v/>
      </c>
      <c r="BU79" s="1" t="str">
        <f t="shared" si="15"/>
        <v/>
      </c>
      <c r="BV79" s="1" t="str">
        <f t="shared" si="16"/>
        <v/>
      </c>
      <c r="BW79" s="1" t="str">
        <f t="shared" si="17"/>
        <v/>
      </c>
      <c r="BX79" s="1" t="str">
        <f t="shared" si="18"/>
        <v/>
      </c>
      <c r="BY79" s="1" t="str">
        <f t="shared" si="19"/>
        <v/>
      </c>
      <c r="BZ79" s="1" t="str">
        <f t="shared" si="20"/>
        <v/>
      </c>
      <c r="CA79" s="1" t="str">
        <f t="shared" si="21"/>
        <v/>
      </c>
      <c r="CB79" s="1" t="str">
        <f t="shared" si="22"/>
        <v/>
      </c>
      <c r="CC79" s="1" t="str">
        <f t="shared" si="23"/>
        <v/>
      </c>
      <c r="CD79" s="1" t="str">
        <f t="shared" si="24"/>
        <v/>
      </c>
      <c r="CE79" s="1" t="str">
        <f t="shared" si="25"/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8"/>
    </row>
    <row r="80" spans="1:97" ht="40.5" x14ac:dyDescent="0.15">
      <c r="A80" s="1"/>
      <c r="B80" s="1" t="s">
        <v>167</v>
      </c>
      <c r="C80" s="1" t="s">
        <v>165</v>
      </c>
      <c r="D80" s="1" t="s">
        <v>148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>
        <v>5</v>
      </c>
      <c r="R80" s="32"/>
      <c r="S80" s="32"/>
      <c r="T80" s="32">
        <v>5</v>
      </c>
      <c r="U80" s="32"/>
      <c r="V80" s="32"/>
      <c r="W80" s="32"/>
      <c r="X80" s="32"/>
      <c r="Y80" s="32"/>
      <c r="Z80" s="32">
        <v>5</v>
      </c>
      <c r="AA80" s="32">
        <v>2</v>
      </c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 t="shared" si="13"/>
        <v>17</v>
      </c>
      <c r="BQ80" s="1">
        <v>9</v>
      </c>
      <c r="BR80" s="17">
        <v>3</v>
      </c>
      <c r="BS80" s="17" t="s">
        <v>286</v>
      </c>
      <c r="BT80" s="1" t="str">
        <f t="shared" si="14"/>
        <v/>
      </c>
      <c r="BU80" s="1" t="str">
        <f t="shared" si="15"/>
        <v/>
      </c>
      <c r="BV80" s="1" t="str">
        <f t="shared" si="16"/>
        <v/>
      </c>
      <c r="BW80" s="1" t="str">
        <f t="shared" si="17"/>
        <v/>
      </c>
      <c r="BX80" s="1" t="str">
        <f t="shared" si="18"/>
        <v/>
      </c>
      <c r="BY80" s="1" t="str">
        <f t="shared" si="19"/>
        <v/>
      </c>
      <c r="BZ80" s="1" t="str">
        <f t="shared" si="20"/>
        <v/>
      </c>
      <c r="CA80" s="1" t="str">
        <f t="shared" si="21"/>
        <v/>
      </c>
      <c r="CB80" s="1" t="str">
        <f t="shared" si="22"/>
        <v/>
      </c>
      <c r="CC80" s="1" t="str">
        <f t="shared" si="23"/>
        <v/>
      </c>
      <c r="CD80" s="1" t="str">
        <f t="shared" si="24"/>
        <v/>
      </c>
      <c r="CE80" s="1" t="str">
        <f t="shared" si="25"/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8"/>
    </row>
    <row r="81" spans="1:97" ht="40.5" x14ac:dyDescent="0.15">
      <c r="A81" s="1"/>
      <c r="B81" s="1" t="s">
        <v>180</v>
      </c>
      <c r="C81" s="1" t="s">
        <v>179</v>
      </c>
      <c r="D81" s="1" t="s">
        <v>148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>
        <v>5</v>
      </c>
      <c r="R81" s="32"/>
      <c r="S81" s="32"/>
      <c r="T81" s="32">
        <v>5</v>
      </c>
      <c r="U81" s="32"/>
      <c r="V81" s="32"/>
      <c r="W81" s="32"/>
      <c r="X81" s="32"/>
      <c r="Y81" s="32"/>
      <c r="Z81" s="32">
        <v>5</v>
      </c>
      <c r="AA81" s="32">
        <v>2</v>
      </c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 t="shared" si="13"/>
        <v>17</v>
      </c>
      <c r="BQ81" s="1">
        <v>9</v>
      </c>
      <c r="BR81" s="17">
        <v>3</v>
      </c>
      <c r="BS81" s="17" t="s">
        <v>286</v>
      </c>
      <c r="BT81" s="1" t="str">
        <f t="shared" si="14"/>
        <v/>
      </c>
      <c r="BU81" s="1" t="str">
        <f t="shared" si="15"/>
        <v/>
      </c>
      <c r="BV81" s="1" t="str">
        <f t="shared" si="16"/>
        <v/>
      </c>
      <c r="BW81" s="1" t="str">
        <f t="shared" si="17"/>
        <v/>
      </c>
      <c r="BX81" s="1" t="str">
        <f t="shared" si="18"/>
        <v/>
      </c>
      <c r="BY81" s="1" t="str">
        <f t="shared" si="19"/>
        <v/>
      </c>
      <c r="BZ81" s="1" t="str">
        <f t="shared" si="20"/>
        <v/>
      </c>
      <c r="CA81" s="1" t="str">
        <f t="shared" si="21"/>
        <v/>
      </c>
      <c r="CB81" s="1" t="str">
        <f t="shared" si="22"/>
        <v/>
      </c>
      <c r="CC81" s="1" t="str">
        <f t="shared" si="23"/>
        <v/>
      </c>
      <c r="CD81" s="1" t="str">
        <f t="shared" si="24"/>
        <v/>
      </c>
      <c r="CE81" s="1" t="str">
        <f t="shared" si="25"/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ht="40.5" x14ac:dyDescent="0.15">
      <c r="A82" s="1"/>
      <c r="B82" s="1" t="s">
        <v>196</v>
      </c>
      <c r="C82" s="1" t="s">
        <v>136</v>
      </c>
      <c r="D82" s="1" t="s">
        <v>198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32"/>
      <c r="Q82" s="32">
        <v>5</v>
      </c>
      <c r="R82" s="32"/>
      <c r="S82" s="32"/>
      <c r="T82" s="32">
        <v>5</v>
      </c>
      <c r="U82" s="32"/>
      <c r="V82" s="32"/>
      <c r="W82" s="32"/>
      <c r="X82" s="32"/>
      <c r="Y82" s="32"/>
      <c r="Z82" s="32">
        <v>5</v>
      </c>
      <c r="AA82" s="32">
        <v>2</v>
      </c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 t="shared" si="13"/>
        <v>17</v>
      </c>
      <c r="BQ82" s="1">
        <v>9</v>
      </c>
      <c r="BR82" s="17">
        <v>3</v>
      </c>
      <c r="BS82" s="17" t="s">
        <v>286</v>
      </c>
      <c r="BT82" s="1" t="str">
        <f t="shared" si="14"/>
        <v/>
      </c>
      <c r="BU82" s="1" t="str">
        <f t="shared" si="15"/>
        <v/>
      </c>
      <c r="BV82" s="1" t="str">
        <f t="shared" si="16"/>
        <v/>
      </c>
      <c r="BW82" s="1" t="str">
        <f t="shared" si="17"/>
        <v/>
      </c>
      <c r="BX82" s="1" t="str">
        <f t="shared" si="18"/>
        <v/>
      </c>
      <c r="BY82" s="1" t="str">
        <f t="shared" si="19"/>
        <v/>
      </c>
      <c r="BZ82" s="1" t="str">
        <f t="shared" si="20"/>
        <v/>
      </c>
      <c r="CA82" s="1" t="str">
        <f t="shared" si="21"/>
        <v/>
      </c>
      <c r="CB82" s="1" t="str">
        <f t="shared" si="22"/>
        <v/>
      </c>
      <c r="CC82" s="1" t="str">
        <f t="shared" si="23"/>
        <v/>
      </c>
      <c r="CD82" s="1" t="str">
        <f t="shared" si="24"/>
        <v/>
      </c>
      <c r="CE82" s="1" t="str">
        <f t="shared" si="25"/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8"/>
    </row>
    <row r="83" spans="1:97" ht="40.5" x14ac:dyDescent="0.15">
      <c r="A83" s="1"/>
      <c r="B83" s="1" t="s">
        <v>183</v>
      </c>
      <c r="C83" s="1" t="s">
        <v>179</v>
      </c>
      <c r="D83" s="1" t="s">
        <v>147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32"/>
      <c r="Q83" s="32">
        <v>5</v>
      </c>
      <c r="R83" s="32"/>
      <c r="S83" s="32"/>
      <c r="T83" s="32">
        <v>5</v>
      </c>
      <c r="U83" s="32"/>
      <c r="V83" s="32"/>
      <c r="W83" s="32">
        <v>5</v>
      </c>
      <c r="X83" s="32"/>
      <c r="Y83" s="32"/>
      <c r="Z83" s="32">
        <v>5</v>
      </c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 t="shared" si="13"/>
        <v>20</v>
      </c>
      <c r="BQ83" s="1">
        <v>11</v>
      </c>
      <c r="BR83" s="17">
        <v>3</v>
      </c>
      <c r="BS83" s="17" t="s">
        <v>193</v>
      </c>
      <c r="BT83" s="1" t="str">
        <f t="shared" si="14"/>
        <v/>
      </c>
      <c r="BU83" s="1" t="str">
        <f t="shared" si="15"/>
        <v/>
      </c>
      <c r="BV83" s="1" t="str">
        <f t="shared" si="16"/>
        <v/>
      </c>
      <c r="BW83" s="1" t="str">
        <f t="shared" si="17"/>
        <v/>
      </c>
      <c r="BX83" s="1" t="str">
        <f t="shared" si="18"/>
        <v/>
      </c>
      <c r="BY83" s="1" t="str">
        <f t="shared" si="19"/>
        <v/>
      </c>
      <c r="BZ83" s="1" t="str">
        <f t="shared" si="20"/>
        <v/>
      </c>
      <c r="CA83" s="1" t="str">
        <f t="shared" si="21"/>
        <v/>
      </c>
      <c r="CB83" s="1" t="str">
        <f t="shared" si="22"/>
        <v/>
      </c>
      <c r="CC83" s="1" t="str">
        <f t="shared" si="23"/>
        <v/>
      </c>
      <c r="CD83" s="1" t="str">
        <f t="shared" si="24"/>
        <v/>
      </c>
      <c r="CE83" s="1" t="str">
        <f t="shared" si="25"/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40.5" x14ac:dyDescent="0.15">
      <c r="A84" s="1"/>
      <c r="B84" s="1" t="s">
        <v>173</v>
      </c>
      <c r="C84" s="1" t="s">
        <v>170</v>
      </c>
      <c r="D84" s="1" t="s">
        <v>149</v>
      </c>
      <c r="E84" s="6"/>
      <c r="F84" s="6"/>
      <c r="G84" s="6"/>
      <c r="H84" s="6"/>
      <c r="I84" s="6">
        <v>7</v>
      </c>
      <c r="J84" s="6"/>
      <c r="K84" s="6"/>
      <c r="L84" s="6"/>
      <c r="M84" s="6"/>
      <c r="N84" s="6"/>
      <c r="O84" s="6"/>
      <c r="P84" s="32"/>
      <c r="Q84" s="32">
        <v>7</v>
      </c>
      <c r="R84" s="32">
        <v>7</v>
      </c>
      <c r="S84" s="32"/>
      <c r="T84" s="32">
        <v>7</v>
      </c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13"/>
        <v>28</v>
      </c>
      <c r="BQ84" s="1">
        <v>13</v>
      </c>
      <c r="BR84" s="17">
        <v>3</v>
      </c>
      <c r="BS84" s="17" t="s">
        <v>194</v>
      </c>
      <c r="BT84" s="1" t="str">
        <f t="shared" si="14"/>
        <v/>
      </c>
      <c r="BU84" s="1" t="str">
        <f t="shared" si="15"/>
        <v/>
      </c>
      <c r="BV84" s="1" t="str">
        <f t="shared" si="16"/>
        <v/>
      </c>
      <c r="BW84" s="1" t="str">
        <f t="shared" si="17"/>
        <v/>
      </c>
      <c r="BX84" s="1" t="str">
        <f t="shared" si="18"/>
        <v/>
      </c>
      <c r="BY84" s="1" t="str">
        <f t="shared" si="19"/>
        <v/>
      </c>
      <c r="BZ84" s="1" t="str">
        <f t="shared" si="20"/>
        <v/>
      </c>
      <c r="CA84" s="1" t="str">
        <f t="shared" si="21"/>
        <v/>
      </c>
      <c r="CB84" s="1" t="str">
        <f t="shared" si="22"/>
        <v/>
      </c>
      <c r="CC84" s="1" t="str">
        <f t="shared" si="23"/>
        <v/>
      </c>
      <c r="CD84" s="1" t="str">
        <f t="shared" si="24"/>
        <v/>
      </c>
      <c r="CE84" s="1" t="str">
        <f t="shared" si="25"/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8"/>
    </row>
    <row r="85" spans="1:97" ht="40.5" x14ac:dyDescent="0.15">
      <c r="A85" s="1">
        <v>84</v>
      </c>
      <c r="B85" s="3" t="s">
        <v>74</v>
      </c>
      <c r="C85" s="3" t="s">
        <v>69</v>
      </c>
      <c r="D85" s="1" t="s">
        <v>13</v>
      </c>
      <c r="E85" s="6"/>
      <c r="F85" s="6"/>
      <c r="G85" s="6">
        <v>5</v>
      </c>
      <c r="H85" s="6">
        <v>5</v>
      </c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>
        <v>5</v>
      </c>
      <c r="BB85" s="2">
        <v>5</v>
      </c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si="13"/>
        <v>20</v>
      </c>
      <c r="BQ85" s="1">
        <v>15</v>
      </c>
      <c r="BR85" s="17">
        <v>3</v>
      </c>
      <c r="BS85" s="17" t="s">
        <v>226</v>
      </c>
      <c r="BT85" s="1" t="str">
        <f t="shared" si="14"/>
        <v/>
      </c>
      <c r="BU85" s="1" t="str">
        <f t="shared" si="15"/>
        <v/>
      </c>
      <c r="BV85" s="1" t="str">
        <f t="shared" si="16"/>
        <v/>
      </c>
      <c r="BW85" s="1" t="str">
        <f t="shared" si="17"/>
        <v/>
      </c>
      <c r="BX85" s="1" t="str">
        <f t="shared" si="18"/>
        <v/>
      </c>
      <c r="BY85" s="1" t="str">
        <f t="shared" si="19"/>
        <v/>
      </c>
      <c r="BZ85" s="1" t="str">
        <f t="shared" si="20"/>
        <v/>
      </c>
      <c r="CA85" s="1" t="str">
        <f t="shared" si="21"/>
        <v/>
      </c>
      <c r="CB85" s="1" t="str">
        <f t="shared" si="22"/>
        <v/>
      </c>
      <c r="CC85" s="1" t="str">
        <f t="shared" si="23"/>
        <v/>
      </c>
      <c r="CD85" s="1">
        <f t="shared" si="24"/>
        <v>5</v>
      </c>
      <c r="CE85" s="1" t="str">
        <f t="shared" si="25"/>
        <v/>
      </c>
      <c r="CF85" s="1">
        <f>COUNTIF(BT85:CE85, "&gt;0")</f>
        <v>1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>
        <f>IF($CF85=1,CD85,"")</f>
        <v>5</v>
      </c>
      <c r="CR85" s="1" t="str">
        <f>IF($CF85=1,CE85,"")</f>
        <v/>
      </c>
      <c r="CS85" s="18">
        <f>SUM(AE85:BO85)</f>
        <v>10</v>
      </c>
    </row>
    <row r="86" spans="1:97" ht="40.5" x14ac:dyDescent="0.15">
      <c r="A86" s="1"/>
      <c r="B86" s="1" t="s">
        <v>187</v>
      </c>
      <c r="C86" s="1" t="s">
        <v>134</v>
      </c>
      <c r="D86" s="1" t="s">
        <v>115</v>
      </c>
      <c r="E86" s="6"/>
      <c r="F86" s="6"/>
      <c r="G86" s="6">
        <v>6</v>
      </c>
      <c r="H86" s="6">
        <v>6</v>
      </c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>
        <v>10</v>
      </c>
      <c r="AW86" s="2">
        <v>10</v>
      </c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si="13"/>
        <v>32</v>
      </c>
      <c r="BQ86" s="1">
        <v>15</v>
      </c>
      <c r="BR86" s="17">
        <v>3</v>
      </c>
      <c r="BS86" s="17" t="s">
        <v>233</v>
      </c>
      <c r="BT86" s="1" t="str">
        <f t="shared" si="14"/>
        <v/>
      </c>
      <c r="BU86" s="1" t="str">
        <f t="shared" si="15"/>
        <v/>
      </c>
      <c r="BV86" s="1" t="str">
        <f t="shared" si="16"/>
        <v/>
      </c>
      <c r="BW86" s="1" t="str">
        <f t="shared" si="17"/>
        <v/>
      </c>
      <c r="BX86" s="1" t="str">
        <f t="shared" si="18"/>
        <v/>
      </c>
      <c r="BY86" s="1">
        <f t="shared" si="19"/>
        <v>3</v>
      </c>
      <c r="BZ86" s="1" t="str">
        <f t="shared" si="20"/>
        <v/>
      </c>
      <c r="CA86" s="1" t="str">
        <f t="shared" si="21"/>
        <v/>
      </c>
      <c r="CB86" s="1" t="str">
        <f t="shared" si="22"/>
        <v/>
      </c>
      <c r="CC86" s="1" t="str">
        <f t="shared" si="23"/>
        <v/>
      </c>
      <c r="CD86" s="1" t="str">
        <f t="shared" si="24"/>
        <v/>
      </c>
      <c r="CE86" s="1" t="str">
        <f t="shared" si="25"/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40.5" x14ac:dyDescent="0.15">
      <c r="A87" s="1"/>
      <c r="B87" s="1" t="s">
        <v>205</v>
      </c>
      <c r="C87" s="1" t="s">
        <v>146</v>
      </c>
      <c r="D87" s="1" t="s">
        <v>149</v>
      </c>
      <c r="E87" s="6"/>
      <c r="F87" s="6"/>
      <c r="G87" s="6"/>
      <c r="H87" s="6"/>
      <c r="I87" s="6">
        <v>10</v>
      </c>
      <c r="J87" s="6"/>
      <c r="K87" s="6"/>
      <c r="L87" s="6"/>
      <c r="M87" s="6"/>
      <c r="N87" s="6"/>
      <c r="O87" s="6"/>
      <c r="P87" s="32"/>
      <c r="Q87" s="32"/>
      <c r="R87" s="32">
        <v>10</v>
      </c>
      <c r="S87" s="32"/>
      <c r="T87" s="32"/>
      <c r="U87" s="32"/>
      <c r="V87" s="32"/>
      <c r="W87" s="32"/>
      <c r="X87" s="32">
        <v>10</v>
      </c>
      <c r="Y87" s="32"/>
      <c r="Z87" s="32"/>
      <c r="AA87" s="32"/>
      <c r="AB87" s="32"/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>
        <v>10</v>
      </c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 t="shared" si="13"/>
        <v>40</v>
      </c>
      <c r="BQ87" s="1">
        <v>15</v>
      </c>
      <c r="BR87" s="17">
        <v>3</v>
      </c>
      <c r="BS87" s="17" t="s">
        <v>283</v>
      </c>
      <c r="BT87" s="1" t="str">
        <f t="shared" si="14"/>
        <v/>
      </c>
      <c r="BU87" s="1" t="str">
        <f t="shared" si="15"/>
        <v/>
      </c>
      <c r="BV87" s="1" t="str">
        <f t="shared" si="16"/>
        <v/>
      </c>
      <c r="BW87" s="1">
        <f t="shared" si="17"/>
        <v>3</v>
      </c>
      <c r="BX87" s="1" t="str">
        <f t="shared" si="18"/>
        <v/>
      </c>
      <c r="BY87" s="1" t="str">
        <f t="shared" si="19"/>
        <v/>
      </c>
      <c r="BZ87" s="1" t="str">
        <f t="shared" si="20"/>
        <v/>
      </c>
      <c r="CA87" s="1" t="str">
        <f t="shared" si="21"/>
        <v/>
      </c>
      <c r="CB87" s="1" t="str">
        <f t="shared" si="22"/>
        <v/>
      </c>
      <c r="CC87" s="1" t="str">
        <f t="shared" si="23"/>
        <v/>
      </c>
      <c r="CD87" s="1" t="str">
        <f t="shared" si="24"/>
        <v/>
      </c>
      <c r="CE87" s="1" t="str">
        <f t="shared" si="25"/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40.5" x14ac:dyDescent="0.15">
      <c r="A88" s="1">
        <v>28</v>
      </c>
      <c r="B88" s="1" t="s">
        <v>80</v>
      </c>
      <c r="C88" s="1" t="s">
        <v>32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>
        <v>5</v>
      </c>
      <c r="AI88" s="1">
        <v>5</v>
      </c>
      <c r="AJ88" s="1">
        <v>5</v>
      </c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 t="shared" si="13"/>
        <v>15</v>
      </c>
      <c r="BQ88" s="1">
        <v>15</v>
      </c>
      <c r="BR88" s="17">
        <v>3</v>
      </c>
      <c r="BS88" s="17" t="s">
        <v>288</v>
      </c>
      <c r="BT88" s="1" t="str">
        <f t="shared" si="14"/>
        <v/>
      </c>
      <c r="BU88" s="1" t="str">
        <f t="shared" si="15"/>
        <v/>
      </c>
      <c r="BV88" s="1" t="str">
        <f t="shared" si="16"/>
        <v/>
      </c>
      <c r="BW88" s="1" t="str">
        <f t="shared" si="17"/>
        <v/>
      </c>
      <c r="BX88" s="1" t="str">
        <f t="shared" si="18"/>
        <v/>
      </c>
      <c r="BY88" s="1" t="str">
        <f t="shared" si="19"/>
        <v/>
      </c>
      <c r="BZ88" s="1" t="str">
        <f t="shared" si="20"/>
        <v/>
      </c>
      <c r="CA88" s="1" t="str">
        <f t="shared" si="21"/>
        <v/>
      </c>
      <c r="CB88" s="1" t="str">
        <f t="shared" si="22"/>
        <v/>
      </c>
      <c r="CC88" s="1" t="str">
        <f t="shared" si="23"/>
        <v/>
      </c>
      <c r="CD88" s="1" t="str">
        <f t="shared" si="24"/>
        <v/>
      </c>
      <c r="CE88" s="1" t="str">
        <f t="shared" si="25"/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18">
        <f>SUM(AE88:BO88)</f>
        <v>15</v>
      </c>
    </row>
    <row r="89" spans="1:97" ht="40.5" x14ac:dyDescent="0.15">
      <c r="A89" s="1">
        <v>89</v>
      </c>
      <c r="B89" s="3" t="s">
        <v>85</v>
      </c>
      <c r="C89" s="3" t="s">
        <v>86</v>
      </c>
      <c r="D89" s="1" t="s">
        <v>1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>
        <v>5</v>
      </c>
      <c r="AG89" s="1"/>
      <c r="AH89" s="1">
        <v>5</v>
      </c>
      <c r="AI89" s="1">
        <v>5</v>
      </c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 t="shared" si="13"/>
        <v>15</v>
      </c>
      <c r="BQ89" s="1">
        <v>15</v>
      </c>
      <c r="BR89" s="17">
        <v>3</v>
      </c>
      <c r="BS89" s="17" t="s">
        <v>289</v>
      </c>
      <c r="BT89" s="1" t="str">
        <f t="shared" si="14"/>
        <v/>
      </c>
      <c r="BU89" s="1" t="str">
        <f t="shared" si="15"/>
        <v/>
      </c>
      <c r="BV89" s="1" t="str">
        <f t="shared" si="16"/>
        <v/>
      </c>
      <c r="BW89" s="1" t="str">
        <f t="shared" si="17"/>
        <v/>
      </c>
      <c r="BX89" s="1" t="str">
        <f t="shared" si="18"/>
        <v/>
      </c>
      <c r="BY89" s="1" t="str">
        <f t="shared" si="19"/>
        <v/>
      </c>
      <c r="BZ89" s="1" t="str">
        <f t="shared" si="20"/>
        <v/>
      </c>
      <c r="CA89" s="1" t="str">
        <f t="shared" si="21"/>
        <v/>
      </c>
      <c r="CB89" s="1" t="str">
        <f t="shared" si="22"/>
        <v/>
      </c>
      <c r="CC89" s="1" t="str">
        <f t="shared" si="23"/>
        <v/>
      </c>
      <c r="CD89" s="1" t="str">
        <f t="shared" si="24"/>
        <v/>
      </c>
      <c r="CE89" s="1" t="str">
        <f t="shared" si="25"/>
        <v/>
      </c>
      <c r="CF89" s="1">
        <f>COUNTIF(BT89:CE89, "&gt;0")</f>
        <v>0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18">
        <f>SUM(AE89:BO89)</f>
        <v>15</v>
      </c>
    </row>
    <row r="90" spans="1:97" ht="40.5" x14ac:dyDescent="0.15">
      <c r="A90" s="1">
        <v>45</v>
      </c>
      <c r="B90" s="1" t="s">
        <v>112</v>
      </c>
      <c r="C90" s="1" t="s">
        <v>49</v>
      </c>
      <c r="D90" s="1" t="s">
        <v>13</v>
      </c>
      <c r="E90" s="6">
        <v>6</v>
      </c>
      <c r="F90" s="6"/>
      <c r="G90" s="6"/>
      <c r="H90" s="6"/>
      <c r="I90" s="6"/>
      <c r="J90" s="6"/>
      <c r="K90" s="6"/>
      <c r="L90" s="6"/>
      <c r="M90" s="6">
        <v>6</v>
      </c>
      <c r="N90" s="6"/>
      <c r="O90" s="6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>
        <v>10</v>
      </c>
      <c r="AR90" s="4"/>
      <c r="AS90" s="4"/>
      <c r="AT90" s="4"/>
      <c r="AU90" s="4"/>
      <c r="AV90" s="4"/>
      <c r="AW90" s="2"/>
      <c r="AX90" s="2"/>
      <c r="AY90" s="2"/>
      <c r="AZ90" s="2">
        <v>10</v>
      </c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 t="shared" si="13"/>
        <v>32</v>
      </c>
      <c r="BQ90" s="1">
        <v>16</v>
      </c>
      <c r="BR90" s="17">
        <v>3</v>
      </c>
      <c r="BS90" s="17" t="s">
        <v>240</v>
      </c>
      <c r="BT90" s="1">
        <f t="shared" si="14"/>
        <v>1</v>
      </c>
      <c r="BU90" s="1" t="str">
        <f t="shared" si="15"/>
        <v/>
      </c>
      <c r="BV90" s="1" t="str">
        <f t="shared" si="16"/>
        <v/>
      </c>
      <c r="BW90" s="1" t="str">
        <f t="shared" si="17"/>
        <v/>
      </c>
      <c r="BX90" s="1" t="str">
        <f t="shared" si="18"/>
        <v/>
      </c>
      <c r="BY90" s="1" t="str">
        <f t="shared" si="19"/>
        <v/>
      </c>
      <c r="BZ90" s="1" t="str">
        <f t="shared" si="20"/>
        <v/>
      </c>
      <c r="CA90" s="1" t="str">
        <f t="shared" si="21"/>
        <v/>
      </c>
      <c r="CB90" s="1" t="str">
        <f t="shared" si="22"/>
        <v/>
      </c>
      <c r="CC90" s="1">
        <f t="shared" si="23"/>
        <v>10</v>
      </c>
      <c r="CD90" s="1" t="str">
        <f t="shared" si="24"/>
        <v/>
      </c>
      <c r="CE90" s="1" t="str">
        <f t="shared" si="25"/>
        <v/>
      </c>
      <c r="CF90" s="1">
        <f>COUNTIF(BT90:CE90, "&gt;0")</f>
        <v>2</v>
      </c>
      <c r="CG90" s="1" t="str">
        <f>IF($CF90=1,BT90,"")</f>
        <v/>
      </c>
      <c r="CH90" s="1" t="str">
        <f>IF($CF90=1,BU90,"")</f>
        <v/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18">
        <f>SUM(AE90:BO90)</f>
        <v>20</v>
      </c>
    </row>
    <row r="91" spans="1:97" ht="40.5" x14ac:dyDescent="0.15">
      <c r="A91" s="1">
        <v>81</v>
      </c>
      <c r="B91" s="3" t="s">
        <v>72</v>
      </c>
      <c r="C91" s="3" t="s">
        <v>69</v>
      </c>
      <c r="D91" s="1" t="s">
        <v>13</v>
      </c>
      <c r="E91" s="6"/>
      <c r="F91" s="6"/>
      <c r="G91" s="6"/>
      <c r="H91" s="6"/>
      <c r="I91" s="6"/>
      <c r="J91" s="6"/>
      <c r="K91" s="6"/>
      <c r="L91" s="6">
        <v>6</v>
      </c>
      <c r="M91" s="6"/>
      <c r="N91" s="6"/>
      <c r="O91" s="6">
        <v>6</v>
      </c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10</v>
      </c>
      <c r="AU91" s="4"/>
      <c r="AV91" s="4"/>
      <c r="AW91" s="2"/>
      <c r="AX91" s="2"/>
      <c r="AY91" s="2"/>
      <c r="AZ91" s="2"/>
      <c r="BA91" s="2">
        <v>10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 t="shared" si="13"/>
        <v>32</v>
      </c>
      <c r="BQ91" s="1">
        <v>18</v>
      </c>
      <c r="BR91" s="17">
        <v>3</v>
      </c>
      <c r="BS91" s="17" t="s">
        <v>218</v>
      </c>
      <c r="BT91" s="1" t="str">
        <f t="shared" si="14"/>
        <v/>
      </c>
      <c r="BU91" s="1" t="str">
        <f t="shared" si="15"/>
        <v/>
      </c>
      <c r="BV91" s="1" t="str">
        <f t="shared" si="16"/>
        <v/>
      </c>
      <c r="BW91" s="1">
        <f t="shared" si="17"/>
        <v>3</v>
      </c>
      <c r="BX91" s="1" t="str">
        <f t="shared" si="18"/>
        <v/>
      </c>
      <c r="BY91" s="1" t="str">
        <f t="shared" si="19"/>
        <v/>
      </c>
      <c r="BZ91" s="1" t="str">
        <f t="shared" si="20"/>
        <v/>
      </c>
      <c r="CA91" s="1" t="str">
        <f t="shared" si="21"/>
        <v/>
      </c>
      <c r="CB91" s="1" t="str">
        <f t="shared" si="22"/>
        <v/>
      </c>
      <c r="CC91" s="1" t="str">
        <f t="shared" si="23"/>
        <v/>
      </c>
      <c r="CD91" s="1">
        <f t="shared" si="24"/>
        <v>10</v>
      </c>
      <c r="CE91" s="1" t="str">
        <f t="shared" si="25"/>
        <v/>
      </c>
      <c r="CF91" s="1">
        <f>COUNTIF(BT91:CE91, "&gt;0")</f>
        <v>2</v>
      </c>
      <c r="CG91" s="1" t="str">
        <f>IF($CF91=1,BT91,"")</f>
        <v/>
      </c>
      <c r="CH91" s="1" t="str">
        <f>IF($CF91=1,BU91,"")</f>
        <v/>
      </c>
      <c r="CI91" s="1" t="str">
        <f>IF($CF91=1,BV91,"")</f>
        <v/>
      </c>
      <c r="CJ91" s="1" t="str">
        <f>IF($CF91=1,BW91,"")</f>
        <v/>
      </c>
      <c r="CK91" s="1" t="str">
        <f>IF($CF91=1,BX91,"")</f>
        <v/>
      </c>
      <c r="CL91" s="1" t="str">
        <f>IF($CF91=1,BY91,"")</f>
        <v/>
      </c>
      <c r="CM91" s="1" t="str">
        <f>IF($CF91=1,BZ91,"")</f>
        <v/>
      </c>
      <c r="CN91" s="1" t="str">
        <f>IF($CF91=1,CA91,"")</f>
        <v/>
      </c>
      <c r="CO91" s="1" t="str">
        <f>IF($CF91=1,CB91,"")</f>
        <v/>
      </c>
      <c r="CP91" s="1" t="str">
        <f>IF($CF91=1,CC91,"")</f>
        <v/>
      </c>
      <c r="CQ91" s="1" t="str">
        <f>IF($CF91=1,CD91,"")</f>
        <v/>
      </c>
      <c r="CR91" s="1" t="str">
        <f>IF($CF91=1,CE91,"")</f>
        <v/>
      </c>
      <c r="CS91" s="18">
        <f>SUM(AE91:BO91)</f>
        <v>20</v>
      </c>
    </row>
    <row r="92" spans="1:97" ht="40.5" x14ac:dyDescent="0.15">
      <c r="A92" s="1">
        <v>72</v>
      </c>
      <c r="B92" s="3" t="s">
        <v>98</v>
      </c>
      <c r="C92" s="1" t="s">
        <v>61</v>
      </c>
      <c r="D92" s="1" t="s">
        <v>13</v>
      </c>
      <c r="E92" s="6"/>
      <c r="F92" s="6"/>
      <c r="G92" s="6"/>
      <c r="H92" s="6"/>
      <c r="I92" s="6"/>
      <c r="J92" s="6"/>
      <c r="K92" s="6"/>
      <c r="L92" s="6">
        <v>6</v>
      </c>
      <c r="M92" s="6">
        <v>6</v>
      </c>
      <c r="N92" s="6"/>
      <c r="O92" s="6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>
        <v>10</v>
      </c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 t="shared" si="13"/>
        <v>32</v>
      </c>
      <c r="BQ92" s="1">
        <v>18</v>
      </c>
      <c r="BR92" s="17">
        <v>3</v>
      </c>
      <c r="BS92" s="17" t="s">
        <v>220</v>
      </c>
      <c r="BT92" s="1" t="str">
        <f t="shared" si="14"/>
        <v/>
      </c>
      <c r="BU92" s="1" t="str">
        <f t="shared" si="15"/>
        <v/>
      </c>
      <c r="BV92" s="1" t="str">
        <f t="shared" si="16"/>
        <v/>
      </c>
      <c r="BW92" s="1" t="str">
        <f t="shared" si="17"/>
        <v/>
      </c>
      <c r="BX92" s="1" t="str">
        <f t="shared" si="18"/>
        <v/>
      </c>
      <c r="BY92" s="1">
        <f t="shared" si="19"/>
        <v>3</v>
      </c>
      <c r="BZ92" s="1" t="str">
        <f t="shared" si="20"/>
        <v/>
      </c>
      <c r="CA92" s="1" t="str">
        <f t="shared" si="21"/>
        <v/>
      </c>
      <c r="CB92" s="1" t="str">
        <f t="shared" si="22"/>
        <v/>
      </c>
      <c r="CC92" s="1" t="str">
        <f t="shared" si="23"/>
        <v/>
      </c>
      <c r="CD92" s="1">
        <f t="shared" si="24"/>
        <v>10</v>
      </c>
      <c r="CE92" s="1" t="str">
        <f t="shared" si="25"/>
        <v/>
      </c>
      <c r="CF92" s="1">
        <f>COUNTIF(BT92:CE92, "&gt;0")</f>
        <v>2</v>
      </c>
      <c r="CG92" s="1" t="str">
        <f>IF($CF92=1,BT92,"")</f>
        <v/>
      </c>
      <c r="CH92" s="1" t="str">
        <f>IF($CF92=1,BU92,"")</f>
        <v/>
      </c>
      <c r="CI92" s="1" t="str">
        <f>IF($CF92=1,BV92,"")</f>
        <v/>
      </c>
      <c r="CJ92" s="1" t="str">
        <f>IF($CF92=1,BW92,"")</f>
        <v/>
      </c>
      <c r="CK92" s="1" t="str">
        <f>IF($CF92=1,BX92,"")</f>
        <v/>
      </c>
      <c r="CL92" s="1" t="str">
        <f>IF($CF92=1,BY92,"")</f>
        <v/>
      </c>
      <c r="CM92" s="1" t="str">
        <f>IF($CF92=1,BZ92,"")</f>
        <v/>
      </c>
      <c r="CN92" s="1" t="str">
        <f>IF($CF92=1,CA92,"")</f>
        <v/>
      </c>
      <c r="CO92" s="1" t="str">
        <f>IF($CF92=1,CB92,"")</f>
        <v/>
      </c>
      <c r="CP92" s="1" t="str">
        <f>IF($CF92=1,CC92,"")</f>
        <v/>
      </c>
      <c r="CQ92" s="1" t="str">
        <f>IF($CF92=1,CD92,"")</f>
        <v/>
      </c>
      <c r="CR92" s="1" t="str">
        <f>IF($CF92=1,CE92,"")</f>
        <v/>
      </c>
      <c r="CS92" s="18">
        <f>SUM(AE92:BO92)</f>
        <v>20</v>
      </c>
    </row>
    <row r="93" spans="1:97" ht="40.5" x14ac:dyDescent="0.15">
      <c r="A93" s="1"/>
      <c r="B93" s="1" t="s">
        <v>120</v>
      </c>
      <c r="C93" s="1" t="s">
        <v>117</v>
      </c>
      <c r="D93" s="1" t="s">
        <v>114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>
        <v>5</v>
      </c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>
        <v>5</v>
      </c>
      <c r="AP93" s="1">
        <v>10</v>
      </c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 t="shared" si="13"/>
        <v>20</v>
      </c>
      <c r="BQ93" s="1">
        <v>19</v>
      </c>
      <c r="BR93" s="17">
        <v>3</v>
      </c>
      <c r="BS93" s="17" t="s">
        <v>284</v>
      </c>
      <c r="BT93" s="1" t="str">
        <f t="shared" si="14"/>
        <v/>
      </c>
      <c r="BU93" s="1" t="str">
        <f t="shared" si="15"/>
        <v/>
      </c>
      <c r="BV93" s="1" t="str">
        <f t="shared" si="16"/>
        <v/>
      </c>
      <c r="BW93" s="1" t="str">
        <f t="shared" si="17"/>
        <v/>
      </c>
      <c r="BX93" s="1" t="str">
        <f t="shared" si="18"/>
        <v/>
      </c>
      <c r="BY93" s="1" t="str">
        <f t="shared" si="19"/>
        <v/>
      </c>
      <c r="BZ93" s="1" t="str">
        <f t="shared" si="20"/>
        <v/>
      </c>
      <c r="CA93" s="1" t="str">
        <f t="shared" si="21"/>
        <v/>
      </c>
      <c r="CB93" s="1" t="str">
        <f t="shared" si="22"/>
        <v/>
      </c>
      <c r="CC93" s="1" t="str">
        <f t="shared" si="23"/>
        <v/>
      </c>
      <c r="CD93" s="1" t="str">
        <f t="shared" si="24"/>
        <v/>
      </c>
      <c r="CE93" s="1" t="str">
        <f t="shared" si="25"/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40.5" x14ac:dyDescent="0.15">
      <c r="A94" s="1">
        <v>21</v>
      </c>
      <c r="B94" s="1" t="s">
        <v>39</v>
      </c>
      <c r="C94" s="1" t="s">
        <v>32</v>
      </c>
      <c r="D94" s="1" t="s">
        <v>26</v>
      </c>
      <c r="E94" s="6"/>
      <c r="F94" s="6"/>
      <c r="G94" s="6">
        <v>6</v>
      </c>
      <c r="H94" s="6">
        <v>6</v>
      </c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10</v>
      </c>
      <c r="AT94" s="4"/>
      <c r="AU94" s="4"/>
      <c r="AV94" s="4"/>
      <c r="AW94" s="2"/>
      <c r="AX94" s="2"/>
      <c r="AY94" s="2"/>
      <c r="AZ94" s="2"/>
      <c r="BA94" s="2"/>
      <c r="BB94" s="2">
        <v>10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 t="shared" si="13"/>
        <v>32</v>
      </c>
      <c r="BQ94" s="1">
        <v>20</v>
      </c>
      <c r="BR94" s="17">
        <v>3</v>
      </c>
      <c r="BS94" s="17" t="s">
        <v>281</v>
      </c>
      <c r="BT94" s="1" t="str">
        <f t="shared" si="14"/>
        <v/>
      </c>
      <c r="BU94" s="1" t="str">
        <f t="shared" si="15"/>
        <v/>
      </c>
      <c r="BV94" s="1">
        <f t="shared" si="16"/>
        <v>8</v>
      </c>
      <c r="BW94" s="1" t="str">
        <f t="shared" si="17"/>
        <v/>
      </c>
      <c r="BX94" s="1" t="str">
        <f t="shared" si="18"/>
        <v/>
      </c>
      <c r="BY94" s="1" t="str">
        <f t="shared" si="19"/>
        <v/>
      </c>
      <c r="BZ94" s="1" t="str">
        <f t="shared" si="20"/>
        <v/>
      </c>
      <c r="CA94" s="1" t="str">
        <f t="shared" si="21"/>
        <v/>
      </c>
      <c r="CB94" s="1" t="str">
        <f t="shared" si="22"/>
        <v/>
      </c>
      <c r="CC94" s="1" t="str">
        <f t="shared" si="23"/>
        <v/>
      </c>
      <c r="CD94" s="1" t="str">
        <f t="shared" si="24"/>
        <v/>
      </c>
      <c r="CE94" s="1" t="str">
        <f t="shared" si="25"/>
        <v/>
      </c>
      <c r="CF94" s="1">
        <f>COUNTIF(BT94:CE94, "&gt;0")</f>
        <v>1</v>
      </c>
      <c r="CG94" s="1" t="str">
        <f>IF($CF94=1,BT94,"")</f>
        <v/>
      </c>
      <c r="CH94" s="1" t="str">
        <f>IF($CF94=1,BU94,"")</f>
        <v/>
      </c>
      <c r="CI94" s="1">
        <f>IF($CF94=1,BV94,"")</f>
        <v>8</v>
      </c>
      <c r="CJ94" s="1" t="str">
        <f>IF($CF94=1,BW94,"")</f>
        <v/>
      </c>
      <c r="CK94" s="1" t="str">
        <f>IF($CF94=1,BX94,"")</f>
        <v/>
      </c>
      <c r="CL94" s="1" t="str">
        <f>IF($CF94=1,BY94,"")</f>
        <v/>
      </c>
      <c r="CM94" s="1" t="str">
        <f>IF($CF94=1,BZ94,"")</f>
        <v/>
      </c>
      <c r="CN94" s="1" t="str">
        <f>IF($CF94=1,CA94,"")</f>
        <v/>
      </c>
      <c r="CO94" s="1" t="str">
        <f>IF($CF94=1,CB94,"")</f>
        <v/>
      </c>
      <c r="CP94" s="1" t="str">
        <f>IF($CF94=1,CC94,"")</f>
        <v/>
      </c>
      <c r="CQ94" s="1" t="str">
        <f>IF($CF94=1,CD94,"")</f>
        <v/>
      </c>
      <c r="CR94" s="1" t="str">
        <f>IF($CF94=1,CE94,"")</f>
        <v/>
      </c>
      <c r="CS94" s="18">
        <f>SUM(AE94:BO94)</f>
        <v>20</v>
      </c>
    </row>
    <row r="95" spans="1:97" ht="40.5" x14ac:dyDescent="0.15">
      <c r="A95" s="1"/>
      <c r="B95" s="1" t="s">
        <v>174</v>
      </c>
      <c r="C95" s="1" t="s">
        <v>176</v>
      </c>
      <c r="D95" s="1" t="s">
        <v>149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>
        <v>10</v>
      </c>
      <c r="V95" s="32"/>
      <c r="W95" s="32"/>
      <c r="X95" s="32"/>
      <c r="Y95" s="32"/>
      <c r="Z95" s="32"/>
      <c r="AA95" s="32">
        <v>10</v>
      </c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 t="shared" si="13"/>
        <v>40</v>
      </c>
      <c r="BQ95" s="1">
        <v>20</v>
      </c>
      <c r="BR95" s="17">
        <v>3</v>
      </c>
      <c r="BS95" s="17" t="s">
        <v>294</v>
      </c>
      <c r="BT95" s="1">
        <f t="shared" si="14"/>
        <v>1</v>
      </c>
      <c r="BU95" s="1" t="str">
        <f t="shared" si="15"/>
        <v/>
      </c>
      <c r="BV95" s="1" t="str">
        <f t="shared" si="16"/>
        <v/>
      </c>
      <c r="BW95" s="1" t="str">
        <f t="shared" si="17"/>
        <v/>
      </c>
      <c r="BX95" s="1" t="str">
        <f t="shared" si="18"/>
        <v/>
      </c>
      <c r="BY95" s="1" t="str">
        <f t="shared" si="19"/>
        <v/>
      </c>
      <c r="BZ95" s="1" t="str">
        <f t="shared" si="20"/>
        <v/>
      </c>
      <c r="CA95" s="1" t="str">
        <f t="shared" si="21"/>
        <v/>
      </c>
      <c r="CB95" s="1" t="str">
        <f t="shared" si="22"/>
        <v/>
      </c>
      <c r="CC95" s="1" t="str">
        <f t="shared" si="23"/>
        <v/>
      </c>
      <c r="CD95" s="1" t="str">
        <f t="shared" si="24"/>
        <v/>
      </c>
      <c r="CE95" s="1" t="str">
        <f t="shared" si="25"/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40.5" x14ac:dyDescent="0.15">
      <c r="A96" s="1"/>
      <c r="B96" s="1" t="s">
        <v>185</v>
      </c>
      <c r="C96" s="1" t="s">
        <v>179</v>
      </c>
      <c r="D96" s="1" t="s">
        <v>149</v>
      </c>
      <c r="E96" s="6"/>
      <c r="F96" s="6"/>
      <c r="G96" s="6"/>
      <c r="H96" s="6"/>
      <c r="I96" s="6"/>
      <c r="J96" s="6">
        <v>10</v>
      </c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>
        <v>10</v>
      </c>
      <c r="V96" s="32"/>
      <c r="W96" s="32"/>
      <c r="X96" s="32"/>
      <c r="Y96" s="32"/>
      <c r="Z96" s="32"/>
      <c r="AA96" s="32">
        <v>10</v>
      </c>
      <c r="AB96" s="32"/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10</v>
      </c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 t="shared" si="13"/>
        <v>40</v>
      </c>
      <c r="BQ96" s="1">
        <v>20</v>
      </c>
      <c r="BR96" s="17">
        <v>3</v>
      </c>
      <c r="BS96" s="17" t="s">
        <v>295</v>
      </c>
      <c r="BT96" s="1">
        <f t="shared" si="14"/>
        <v>1</v>
      </c>
      <c r="BU96" s="1" t="str">
        <f t="shared" si="15"/>
        <v/>
      </c>
      <c r="BV96" s="1" t="str">
        <f t="shared" si="16"/>
        <v/>
      </c>
      <c r="BW96" s="1" t="str">
        <f t="shared" si="17"/>
        <v/>
      </c>
      <c r="BX96" s="1" t="str">
        <f t="shared" si="18"/>
        <v/>
      </c>
      <c r="BY96" s="1" t="str">
        <f t="shared" si="19"/>
        <v/>
      </c>
      <c r="BZ96" s="1" t="str">
        <f t="shared" si="20"/>
        <v/>
      </c>
      <c r="CA96" s="1" t="str">
        <f t="shared" si="21"/>
        <v/>
      </c>
      <c r="CB96" s="1" t="str">
        <f t="shared" si="22"/>
        <v/>
      </c>
      <c r="CC96" s="1" t="str">
        <f t="shared" si="23"/>
        <v/>
      </c>
      <c r="CD96" s="1" t="str">
        <f t="shared" si="24"/>
        <v/>
      </c>
      <c r="CE96" s="1" t="str">
        <f t="shared" si="25"/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40.5" x14ac:dyDescent="0.15">
      <c r="A97" s="19">
        <v>93</v>
      </c>
      <c r="B97" s="27" t="s">
        <v>88</v>
      </c>
      <c r="C97" s="27" t="s">
        <v>86</v>
      </c>
      <c r="D97" s="19" t="s">
        <v>1</v>
      </c>
      <c r="E97" s="20"/>
      <c r="F97" s="20">
        <v>20</v>
      </c>
      <c r="G97" s="20"/>
      <c r="H97" s="20"/>
      <c r="I97" s="20"/>
      <c r="J97" s="20"/>
      <c r="K97" s="20">
        <v>20</v>
      </c>
      <c r="L97" s="20"/>
      <c r="M97" s="20"/>
      <c r="N97" s="20">
        <v>20</v>
      </c>
      <c r="O97" s="20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21"/>
      <c r="AR97" s="21"/>
      <c r="AS97" s="21"/>
      <c r="AT97" s="21"/>
      <c r="AU97" s="21"/>
      <c r="AV97" s="21"/>
      <c r="AW97" s="22"/>
      <c r="AX97" s="22"/>
      <c r="AY97" s="22"/>
      <c r="AZ97" s="22"/>
      <c r="BA97" s="22"/>
      <c r="BB97" s="22"/>
      <c r="BC97" s="30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">
        <f t="shared" si="13"/>
        <v>60</v>
      </c>
      <c r="BQ97" s="19">
        <v>22</v>
      </c>
      <c r="BR97" s="23">
        <v>3</v>
      </c>
      <c r="BS97" s="23" t="s">
        <v>254</v>
      </c>
      <c r="BT97" s="1" t="str">
        <f t="shared" si="14"/>
        <v/>
      </c>
      <c r="BU97" s="1" t="str">
        <f t="shared" si="15"/>
        <v/>
      </c>
      <c r="BV97" s="1" t="str">
        <f t="shared" si="16"/>
        <v/>
      </c>
      <c r="BW97" s="1" t="str">
        <f t="shared" si="17"/>
        <v/>
      </c>
      <c r="BX97" s="1" t="str">
        <f t="shared" si="18"/>
        <v/>
      </c>
      <c r="BY97" s="1" t="str">
        <f t="shared" si="19"/>
        <v/>
      </c>
      <c r="BZ97" s="1" t="str">
        <f t="shared" si="20"/>
        <v/>
      </c>
      <c r="CA97" s="1" t="str">
        <f t="shared" si="21"/>
        <v/>
      </c>
      <c r="CB97" s="1" t="str">
        <f t="shared" si="22"/>
        <v/>
      </c>
      <c r="CC97" s="1" t="str">
        <f t="shared" si="23"/>
        <v/>
      </c>
      <c r="CD97" s="1" t="str">
        <f t="shared" si="24"/>
        <v/>
      </c>
      <c r="CE97" s="1" t="str">
        <f t="shared" si="25"/>
        <v/>
      </c>
      <c r="CF97" s="19">
        <f>COUNTIF(BT97:CE97, "&gt;0")</f>
        <v>0</v>
      </c>
      <c r="CG97" s="19" t="str">
        <f>IF($CF97=1,BT97,"")</f>
        <v/>
      </c>
      <c r="CH97" s="19" t="str">
        <f>IF($CF97=1,BU97,"")</f>
        <v/>
      </c>
      <c r="CI97" s="19" t="str">
        <f>IF($CF97=1,BV97,"")</f>
        <v/>
      </c>
      <c r="CJ97" s="19" t="str">
        <f>IF($CF97=1,BW97,"")</f>
        <v/>
      </c>
      <c r="CK97" s="19" t="str">
        <f>IF($CF97=1,BX97,"")</f>
        <v/>
      </c>
      <c r="CL97" s="19" t="str">
        <f>IF($CF97=1,BY97,"")</f>
        <v/>
      </c>
      <c r="CM97" s="19" t="str">
        <f>IF($CF97=1,BZ97,"")</f>
        <v/>
      </c>
      <c r="CN97" s="19" t="str">
        <f>IF($CF97=1,CA97,"")</f>
        <v/>
      </c>
      <c r="CO97" s="19" t="str">
        <f>IF($CF97=1,CB97,"")</f>
        <v/>
      </c>
      <c r="CP97" s="19" t="str">
        <f>IF($CF97=1,CC97,"")</f>
        <v/>
      </c>
      <c r="CQ97" s="19" t="str">
        <f>IF($CF97=1,CD97,"")</f>
        <v/>
      </c>
      <c r="CR97" s="19" t="str">
        <f>IF($CF97=1,CE97,"")</f>
        <v/>
      </c>
      <c r="CS97" s="24">
        <f>SUM(AE97:BO97)</f>
        <v>0</v>
      </c>
    </row>
    <row r="98" spans="1:97" ht="40.5" x14ac:dyDescent="0.15">
      <c r="A98" s="1"/>
      <c r="B98" s="1" t="s">
        <v>120</v>
      </c>
      <c r="C98" s="1" t="s">
        <v>117</v>
      </c>
      <c r="D98" s="1" t="s">
        <v>115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>
        <v>10</v>
      </c>
      <c r="AP98" s="1">
        <v>10</v>
      </c>
      <c r="AQ98" s="4"/>
      <c r="AR98" s="4"/>
      <c r="AS98" s="4">
        <v>5</v>
      </c>
      <c r="AT98" s="4"/>
      <c r="AU98" s="4"/>
      <c r="AV98" s="4"/>
      <c r="AW98" s="2"/>
      <c r="AX98" s="2">
        <v>5</v>
      </c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 t="shared" si="13"/>
        <v>30</v>
      </c>
      <c r="BQ98" s="1">
        <v>23</v>
      </c>
      <c r="BR98" s="17">
        <v>3</v>
      </c>
      <c r="BS98" s="17" t="s">
        <v>195</v>
      </c>
      <c r="BT98" s="1" t="str">
        <f t="shared" si="14"/>
        <v/>
      </c>
      <c r="BU98" s="1" t="str">
        <f t="shared" si="15"/>
        <v/>
      </c>
      <c r="BV98" s="1">
        <f t="shared" si="16"/>
        <v>3</v>
      </c>
      <c r="BW98" s="1" t="str">
        <f t="shared" si="17"/>
        <v/>
      </c>
      <c r="BX98" s="1" t="str">
        <f t="shared" si="18"/>
        <v/>
      </c>
      <c r="BY98" s="1" t="str">
        <f t="shared" si="19"/>
        <v/>
      </c>
      <c r="BZ98" s="1" t="str">
        <f t="shared" si="20"/>
        <v/>
      </c>
      <c r="CA98" s="1" t="str">
        <f t="shared" si="21"/>
        <v/>
      </c>
      <c r="CB98" s="1" t="str">
        <f t="shared" si="22"/>
        <v/>
      </c>
      <c r="CC98" s="1" t="str">
        <f t="shared" si="23"/>
        <v/>
      </c>
      <c r="CD98" s="1" t="str">
        <f t="shared" si="24"/>
        <v/>
      </c>
      <c r="CE98" s="1" t="str">
        <f t="shared" si="25"/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40.5" x14ac:dyDescent="0.15">
      <c r="A99" s="1"/>
      <c r="B99" s="1" t="s">
        <v>164</v>
      </c>
      <c r="C99" s="1" t="s">
        <v>165</v>
      </c>
      <c r="D99" s="1" t="s">
        <v>149</v>
      </c>
      <c r="E99" s="6">
        <v>10</v>
      </c>
      <c r="F99" s="6"/>
      <c r="G99" s="6"/>
      <c r="H99" s="6"/>
      <c r="I99" s="6"/>
      <c r="J99" s="6"/>
      <c r="K99" s="6"/>
      <c r="L99" s="6"/>
      <c r="M99" s="6"/>
      <c r="N99" s="6"/>
      <c r="O99" s="6"/>
      <c r="P99" s="32"/>
      <c r="Q99" s="32"/>
      <c r="R99" s="32">
        <v>10</v>
      </c>
      <c r="S99" s="32"/>
      <c r="T99" s="32"/>
      <c r="U99" s="32">
        <v>10</v>
      </c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>
        <v>10</v>
      </c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 t="shared" si="13"/>
        <v>40</v>
      </c>
      <c r="BQ99" s="1">
        <v>24</v>
      </c>
      <c r="BR99" s="17">
        <v>3</v>
      </c>
      <c r="BS99" s="17" t="s">
        <v>302</v>
      </c>
      <c r="BT99" s="1" t="str">
        <f t="shared" si="14"/>
        <v/>
      </c>
      <c r="BU99" s="1" t="str">
        <f t="shared" si="15"/>
        <v/>
      </c>
      <c r="BV99" s="1" t="str">
        <f t="shared" si="16"/>
        <v/>
      </c>
      <c r="BW99" s="1" t="str">
        <f t="shared" si="17"/>
        <v/>
      </c>
      <c r="BX99" s="1">
        <f t="shared" si="18"/>
        <v>6</v>
      </c>
      <c r="BY99" s="1" t="str">
        <f t="shared" si="19"/>
        <v/>
      </c>
      <c r="BZ99" s="1" t="str">
        <f t="shared" si="20"/>
        <v/>
      </c>
      <c r="CA99" s="1" t="str">
        <f t="shared" si="21"/>
        <v/>
      </c>
      <c r="CB99" s="1" t="str">
        <f t="shared" si="22"/>
        <v/>
      </c>
      <c r="CC99" s="1" t="str">
        <f t="shared" si="23"/>
        <v/>
      </c>
      <c r="CD99" s="1" t="str">
        <f t="shared" si="24"/>
        <v/>
      </c>
      <c r="CE99" s="1" t="str">
        <f t="shared" si="25"/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40.5" x14ac:dyDescent="0.15">
      <c r="A100" s="1"/>
      <c r="B100" s="1" t="s">
        <v>172</v>
      </c>
      <c r="C100" s="1" t="s">
        <v>170</v>
      </c>
      <c r="D100" s="1" t="s">
        <v>149</v>
      </c>
      <c r="E100" s="6">
        <v>10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>
        <v>10</v>
      </c>
      <c r="S100" s="32"/>
      <c r="T100" s="32"/>
      <c r="U100" s="32">
        <v>10</v>
      </c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>
        <v>10</v>
      </c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si="13"/>
        <v>40</v>
      </c>
      <c r="BQ100" s="1">
        <v>24</v>
      </c>
      <c r="BR100" s="17">
        <v>3</v>
      </c>
      <c r="BS100" s="17" t="s">
        <v>303</v>
      </c>
      <c r="BT100" s="1" t="str">
        <f t="shared" si="14"/>
        <v/>
      </c>
      <c r="BU100" s="1" t="str">
        <f t="shared" si="15"/>
        <v/>
      </c>
      <c r="BV100" s="1" t="str">
        <f t="shared" si="16"/>
        <v/>
      </c>
      <c r="BW100" s="1" t="str">
        <f t="shared" si="17"/>
        <v/>
      </c>
      <c r="BX100" s="1">
        <f t="shared" si="18"/>
        <v>6</v>
      </c>
      <c r="BY100" s="1" t="str">
        <f t="shared" si="19"/>
        <v/>
      </c>
      <c r="BZ100" s="1" t="str">
        <f t="shared" si="20"/>
        <v/>
      </c>
      <c r="CA100" s="1" t="str">
        <f t="shared" si="21"/>
        <v/>
      </c>
      <c r="CB100" s="1" t="str">
        <f t="shared" si="22"/>
        <v/>
      </c>
      <c r="CC100" s="1" t="str">
        <f t="shared" si="23"/>
        <v/>
      </c>
      <c r="CD100" s="1" t="str">
        <f t="shared" si="24"/>
        <v/>
      </c>
      <c r="CE100" s="1" t="str">
        <f t="shared" si="25"/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40.5" x14ac:dyDescent="0.15">
      <c r="A101" s="1"/>
      <c r="B101" s="1" t="s">
        <v>183</v>
      </c>
      <c r="C101" s="1" t="s">
        <v>179</v>
      </c>
      <c r="D101" s="1" t="s">
        <v>149</v>
      </c>
      <c r="E101" s="6">
        <v>10</v>
      </c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>
        <v>10</v>
      </c>
      <c r="S101" s="32"/>
      <c r="T101" s="32"/>
      <c r="U101" s="32">
        <v>10</v>
      </c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>
        <v>10</v>
      </c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13"/>
        <v>40</v>
      </c>
      <c r="BQ101" s="1">
        <v>24</v>
      </c>
      <c r="BR101" s="17">
        <v>3</v>
      </c>
      <c r="BS101" s="17" t="s">
        <v>303</v>
      </c>
      <c r="BT101" s="1" t="str">
        <f t="shared" si="14"/>
        <v/>
      </c>
      <c r="BU101" s="1" t="str">
        <f t="shared" si="15"/>
        <v/>
      </c>
      <c r="BV101" s="1" t="str">
        <f t="shared" si="16"/>
        <v/>
      </c>
      <c r="BW101" s="1" t="str">
        <f t="shared" si="17"/>
        <v/>
      </c>
      <c r="BX101" s="1">
        <f t="shared" si="18"/>
        <v>6</v>
      </c>
      <c r="BY101" s="1" t="str">
        <f t="shared" si="19"/>
        <v/>
      </c>
      <c r="BZ101" s="1" t="str">
        <f t="shared" si="20"/>
        <v/>
      </c>
      <c r="CA101" s="1" t="str">
        <f t="shared" si="21"/>
        <v/>
      </c>
      <c r="CB101" s="1" t="str">
        <f t="shared" si="22"/>
        <v/>
      </c>
      <c r="CC101" s="1" t="str">
        <f t="shared" si="23"/>
        <v/>
      </c>
      <c r="CD101" s="1" t="str">
        <f t="shared" si="24"/>
        <v/>
      </c>
      <c r="CE101" s="1" t="str">
        <f t="shared" si="25"/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40.5" x14ac:dyDescent="0.15">
      <c r="A102" s="1"/>
      <c r="B102" s="1" t="s">
        <v>169</v>
      </c>
      <c r="C102" s="1" t="s">
        <v>170</v>
      </c>
      <c r="D102" s="1" t="s">
        <v>148</v>
      </c>
      <c r="E102" s="6"/>
      <c r="F102" s="6"/>
      <c r="G102" s="6"/>
      <c r="H102" s="6"/>
      <c r="I102" s="6"/>
      <c r="J102" s="6">
        <v>10</v>
      </c>
      <c r="K102" s="6"/>
      <c r="L102" s="6">
        <v>10</v>
      </c>
      <c r="M102" s="6">
        <v>10</v>
      </c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>
        <v>15</v>
      </c>
      <c r="AZ102" s="2">
        <v>15</v>
      </c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 t="shared" si="13"/>
        <v>60</v>
      </c>
      <c r="BQ102" s="1">
        <v>26</v>
      </c>
      <c r="BR102" s="17">
        <v>3</v>
      </c>
      <c r="BS102" s="17" t="s">
        <v>259</v>
      </c>
      <c r="BT102" s="1" t="str">
        <f t="shared" si="14"/>
        <v/>
      </c>
      <c r="BU102" s="1" t="str">
        <f t="shared" si="15"/>
        <v/>
      </c>
      <c r="BV102" s="1" t="str">
        <f t="shared" si="16"/>
        <v/>
      </c>
      <c r="BW102" s="1" t="str">
        <f t="shared" si="17"/>
        <v/>
      </c>
      <c r="BX102" s="1" t="str">
        <f t="shared" si="18"/>
        <v/>
      </c>
      <c r="BY102" s="1" t="str">
        <f t="shared" si="19"/>
        <v/>
      </c>
      <c r="BZ102" s="1" t="str">
        <f t="shared" si="20"/>
        <v/>
      </c>
      <c r="CA102" s="1" t="str">
        <f t="shared" si="21"/>
        <v/>
      </c>
      <c r="CB102" s="1">
        <f t="shared" si="22"/>
        <v>2</v>
      </c>
      <c r="CC102" s="1">
        <f t="shared" si="23"/>
        <v>15</v>
      </c>
      <c r="CD102" s="1" t="str">
        <f t="shared" si="24"/>
        <v/>
      </c>
      <c r="CE102" s="1" t="str">
        <f t="shared" si="25"/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40.5" x14ac:dyDescent="0.15">
      <c r="A103" s="1">
        <v>3</v>
      </c>
      <c r="B103" s="1" t="s">
        <v>11</v>
      </c>
      <c r="C103" s="1" t="s">
        <v>2</v>
      </c>
      <c r="D103" s="1" t="s">
        <v>12</v>
      </c>
      <c r="E103" s="6">
        <v>15</v>
      </c>
      <c r="F103" s="6"/>
      <c r="G103" s="6">
        <v>15</v>
      </c>
      <c r="H103" s="6"/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>
        <v>15</v>
      </c>
      <c r="AS103" s="4"/>
      <c r="AT103" s="4"/>
      <c r="AU103" s="4"/>
      <c r="AV103" s="4"/>
      <c r="AW103" s="2"/>
      <c r="AX103" s="2"/>
      <c r="AY103" s="2"/>
      <c r="AZ103" s="2"/>
      <c r="BA103" s="2"/>
      <c r="BB103" s="2">
        <v>15</v>
      </c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 t="shared" si="13"/>
        <v>60</v>
      </c>
      <c r="BQ103" s="1">
        <v>27</v>
      </c>
      <c r="BR103" s="17">
        <v>3</v>
      </c>
      <c r="BS103" s="17" t="s">
        <v>280</v>
      </c>
      <c r="BT103" s="1" t="str">
        <f t="shared" si="14"/>
        <v/>
      </c>
      <c r="BU103" s="1">
        <f t="shared" si="15"/>
        <v>9</v>
      </c>
      <c r="BV103" s="1" t="str">
        <f t="shared" si="16"/>
        <v/>
      </c>
      <c r="BW103" s="1" t="str">
        <f t="shared" si="17"/>
        <v/>
      </c>
      <c r="BX103" s="1" t="str">
        <f t="shared" si="18"/>
        <v/>
      </c>
      <c r="BY103" s="1" t="str">
        <f t="shared" si="19"/>
        <v/>
      </c>
      <c r="BZ103" s="1" t="str">
        <f t="shared" si="20"/>
        <v/>
      </c>
      <c r="CA103" s="1" t="str">
        <f t="shared" si="21"/>
        <v/>
      </c>
      <c r="CB103" s="1" t="str">
        <f t="shared" si="22"/>
        <v/>
      </c>
      <c r="CC103" s="1" t="str">
        <f t="shared" si="23"/>
        <v/>
      </c>
      <c r="CD103" s="1" t="str">
        <f t="shared" si="24"/>
        <v/>
      </c>
      <c r="CE103" s="1" t="str">
        <f t="shared" si="25"/>
        <v/>
      </c>
      <c r="CF103" s="1">
        <f>COUNTIF(BT103:CE103, "&gt;0")</f>
        <v>1</v>
      </c>
      <c r="CG103" s="1" t="str">
        <f>IF($CF103=1,BT103,"")</f>
        <v/>
      </c>
      <c r="CH103" s="1">
        <f>IF($CF103=1,BU103,"")</f>
        <v>9</v>
      </c>
      <c r="CI103" s="1" t="str">
        <f>IF($CF103=1,BV103,"")</f>
        <v/>
      </c>
      <c r="CJ103" s="1" t="str">
        <f>IF($CF103=1,BW103,"")</f>
        <v/>
      </c>
      <c r="CK103" s="1" t="str">
        <f>IF($CF103=1,BX103,"")</f>
        <v/>
      </c>
      <c r="CL103" s="1" t="str">
        <f>IF($CF103=1,BY103,"")</f>
        <v/>
      </c>
      <c r="CM103" s="1" t="str">
        <f>IF($CF103=1,BZ103,"")</f>
        <v/>
      </c>
      <c r="CN103" s="1" t="str">
        <f>IF($CF103=1,CA103,"")</f>
        <v/>
      </c>
      <c r="CO103" s="1" t="str">
        <f>IF($CF103=1,CB103,"")</f>
        <v/>
      </c>
      <c r="CP103" s="1" t="str">
        <f>IF($CF103=1,CC103,"")</f>
        <v/>
      </c>
      <c r="CQ103" s="1" t="str">
        <f>IF($CF103=1,CD103,"")</f>
        <v/>
      </c>
      <c r="CR103" s="1" t="str">
        <f>IF($CF103=1,CE103,"")</f>
        <v/>
      </c>
      <c r="CS103" s="18">
        <f>SUM(AE103:BO103)</f>
        <v>30</v>
      </c>
    </row>
    <row r="104" spans="1:97" ht="40.5" x14ac:dyDescent="0.15">
      <c r="A104" s="1"/>
      <c r="B104" s="1" t="s">
        <v>212</v>
      </c>
      <c r="C104" s="1" t="s">
        <v>126</v>
      </c>
      <c r="D104" s="1" t="s">
        <v>114</v>
      </c>
      <c r="E104" s="6">
        <v>15</v>
      </c>
      <c r="F104" s="6"/>
      <c r="G104" s="6">
        <v>15</v>
      </c>
      <c r="H104" s="6"/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>
        <v>15</v>
      </c>
      <c r="AS104" s="4"/>
      <c r="AT104" s="4"/>
      <c r="AU104" s="4"/>
      <c r="AV104" s="4"/>
      <c r="AW104" s="2"/>
      <c r="AX104" s="2"/>
      <c r="AY104" s="2"/>
      <c r="AZ104" s="2"/>
      <c r="BA104" s="2"/>
      <c r="BB104" s="2">
        <v>15</v>
      </c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 t="shared" si="13"/>
        <v>60</v>
      </c>
      <c r="BQ104" s="1">
        <v>27</v>
      </c>
      <c r="BR104" s="17">
        <v>3</v>
      </c>
      <c r="BS104" s="17" t="s">
        <v>280</v>
      </c>
      <c r="BT104" s="1" t="str">
        <f t="shared" si="14"/>
        <v/>
      </c>
      <c r="BU104" s="1">
        <f t="shared" si="15"/>
        <v>9</v>
      </c>
      <c r="BV104" s="1" t="str">
        <f t="shared" si="16"/>
        <v/>
      </c>
      <c r="BW104" s="1" t="str">
        <f t="shared" si="17"/>
        <v/>
      </c>
      <c r="BX104" s="1" t="str">
        <f t="shared" si="18"/>
        <v/>
      </c>
      <c r="BY104" s="1" t="str">
        <f t="shared" si="19"/>
        <v/>
      </c>
      <c r="BZ104" s="1" t="str">
        <f t="shared" si="20"/>
        <v/>
      </c>
      <c r="CA104" s="1" t="str">
        <f t="shared" si="21"/>
        <v/>
      </c>
      <c r="CB104" s="1" t="str">
        <f t="shared" si="22"/>
        <v/>
      </c>
      <c r="CC104" s="1" t="str">
        <f t="shared" si="23"/>
        <v/>
      </c>
      <c r="CD104" s="1" t="str">
        <f t="shared" si="24"/>
        <v/>
      </c>
      <c r="CE104" s="1" t="str">
        <f t="shared" si="25"/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40.5" x14ac:dyDescent="0.15">
      <c r="A105" s="1"/>
      <c r="B105" s="1" t="s">
        <v>214</v>
      </c>
      <c r="C105" s="1" t="s">
        <v>126</v>
      </c>
      <c r="D105" s="1" t="s">
        <v>114</v>
      </c>
      <c r="E105" s="6">
        <v>15</v>
      </c>
      <c r="F105" s="6"/>
      <c r="G105" s="6">
        <v>15</v>
      </c>
      <c r="H105" s="6"/>
      <c r="I105" s="6"/>
      <c r="J105" s="6"/>
      <c r="K105" s="6"/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>
        <v>15</v>
      </c>
      <c r="AS105" s="4"/>
      <c r="AT105" s="4"/>
      <c r="AU105" s="4"/>
      <c r="AV105" s="4"/>
      <c r="AW105" s="2"/>
      <c r="AX105" s="2"/>
      <c r="AY105" s="2"/>
      <c r="AZ105" s="2"/>
      <c r="BA105" s="2"/>
      <c r="BB105" s="2">
        <v>15</v>
      </c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 t="shared" si="13"/>
        <v>60</v>
      </c>
      <c r="BQ105" s="1">
        <v>27</v>
      </c>
      <c r="BR105" s="17">
        <v>3</v>
      </c>
      <c r="BS105" s="17" t="s">
        <v>280</v>
      </c>
      <c r="BT105" s="1" t="str">
        <f t="shared" si="14"/>
        <v/>
      </c>
      <c r="BU105" s="1">
        <f t="shared" si="15"/>
        <v>9</v>
      </c>
      <c r="BV105" s="1" t="str">
        <f t="shared" si="16"/>
        <v/>
      </c>
      <c r="BW105" s="1" t="str">
        <f t="shared" si="17"/>
        <v/>
      </c>
      <c r="BX105" s="1" t="str">
        <f t="shared" si="18"/>
        <v/>
      </c>
      <c r="BY105" s="1" t="str">
        <f t="shared" si="19"/>
        <v/>
      </c>
      <c r="BZ105" s="1" t="str">
        <f t="shared" si="20"/>
        <v/>
      </c>
      <c r="CA105" s="1" t="str">
        <f t="shared" si="21"/>
        <v/>
      </c>
      <c r="CB105" s="1" t="str">
        <f t="shared" si="22"/>
        <v/>
      </c>
      <c r="CC105" s="1" t="str">
        <f t="shared" si="23"/>
        <v/>
      </c>
      <c r="CD105" s="1" t="str">
        <f t="shared" si="24"/>
        <v/>
      </c>
      <c r="CE105" s="1" t="str">
        <f t="shared" si="25"/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40.5" x14ac:dyDescent="0.15">
      <c r="A106" s="1"/>
      <c r="B106" s="1" t="s">
        <v>171</v>
      </c>
      <c r="C106" s="1" t="s">
        <v>170</v>
      </c>
      <c r="D106" s="1" t="s">
        <v>148</v>
      </c>
      <c r="E106" s="6">
        <v>15</v>
      </c>
      <c r="F106" s="6"/>
      <c r="G106" s="6"/>
      <c r="H106" s="6"/>
      <c r="I106" s="6"/>
      <c r="J106" s="6"/>
      <c r="K106" s="6"/>
      <c r="L106" s="6"/>
      <c r="M106" s="6">
        <v>15</v>
      </c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>
        <v>15</v>
      </c>
      <c r="AX106" s="2"/>
      <c r="AY106" s="2"/>
      <c r="AZ106" s="2"/>
      <c r="BA106" s="2">
        <v>15</v>
      </c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 t="shared" si="13"/>
        <v>60</v>
      </c>
      <c r="BQ106" s="1">
        <v>32</v>
      </c>
      <c r="BR106" s="17">
        <v>3</v>
      </c>
      <c r="BS106" s="17" t="s">
        <v>290</v>
      </c>
      <c r="BT106" s="1" t="str">
        <f t="shared" si="14"/>
        <v/>
      </c>
      <c r="BU106" s="1" t="str">
        <f t="shared" si="15"/>
        <v/>
      </c>
      <c r="BV106" s="1" t="str">
        <f t="shared" si="16"/>
        <v/>
      </c>
      <c r="BW106" s="1" t="str">
        <f t="shared" si="17"/>
        <v/>
      </c>
      <c r="BX106" s="1" t="str">
        <f t="shared" si="18"/>
        <v/>
      </c>
      <c r="BY106" s="1" t="str">
        <f t="shared" si="19"/>
        <v/>
      </c>
      <c r="BZ106" s="1" t="str">
        <f t="shared" si="20"/>
        <v/>
      </c>
      <c r="CA106" s="1" t="str">
        <f t="shared" si="21"/>
        <v/>
      </c>
      <c r="CB106" s="1" t="str">
        <f t="shared" si="22"/>
        <v/>
      </c>
      <c r="CC106" s="1" t="str">
        <f t="shared" si="23"/>
        <v/>
      </c>
      <c r="CD106" s="1">
        <f t="shared" si="24"/>
        <v>15</v>
      </c>
      <c r="CE106" s="1" t="str">
        <f t="shared" si="25"/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40.5" x14ac:dyDescent="0.15">
      <c r="A107" s="1">
        <v>14</v>
      </c>
      <c r="B107" s="1" t="s">
        <v>31</v>
      </c>
      <c r="C107" s="1" t="s">
        <v>32</v>
      </c>
      <c r="D107" s="1" t="s">
        <v>33</v>
      </c>
      <c r="E107" s="6"/>
      <c r="F107" s="6"/>
      <c r="G107" s="6">
        <v>15</v>
      </c>
      <c r="H107" s="6">
        <v>15</v>
      </c>
      <c r="I107" s="6"/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>
        <v>15</v>
      </c>
      <c r="AT107" s="4"/>
      <c r="AU107" s="4"/>
      <c r="AV107" s="4"/>
      <c r="AW107" s="2"/>
      <c r="AX107" s="2"/>
      <c r="AY107" s="2"/>
      <c r="AZ107" s="2"/>
      <c r="BA107" s="2"/>
      <c r="BB107" s="2">
        <v>15</v>
      </c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 t="shared" si="13"/>
        <v>60</v>
      </c>
      <c r="BQ107" s="1">
        <v>43</v>
      </c>
      <c r="BR107" s="17">
        <v>3</v>
      </c>
      <c r="BS107" s="17" t="s">
        <v>297</v>
      </c>
      <c r="BT107" s="1" t="str">
        <f t="shared" si="14"/>
        <v/>
      </c>
      <c r="BU107" s="1" t="str">
        <f t="shared" si="15"/>
        <v/>
      </c>
      <c r="BV107" s="1">
        <f t="shared" si="16"/>
        <v>13</v>
      </c>
      <c r="BW107" s="1" t="str">
        <f t="shared" si="17"/>
        <v/>
      </c>
      <c r="BX107" s="1" t="str">
        <f t="shared" si="18"/>
        <v/>
      </c>
      <c r="BY107" s="1" t="str">
        <f t="shared" si="19"/>
        <v/>
      </c>
      <c r="BZ107" s="1" t="str">
        <f t="shared" si="20"/>
        <v/>
      </c>
      <c r="CA107" s="1" t="str">
        <f t="shared" si="21"/>
        <v/>
      </c>
      <c r="CB107" s="1" t="str">
        <f t="shared" si="22"/>
        <v/>
      </c>
      <c r="CC107" s="1" t="str">
        <f t="shared" si="23"/>
        <v/>
      </c>
      <c r="CD107" s="1" t="str">
        <f t="shared" si="24"/>
        <v/>
      </c>
      <c r="CE107" s="1" t="str">
        <f t="shared" si="25"/>
        <v/>
      </c>
      <c r="CF107" s="1">
        <f>COUNTIF(BT107:CE107, "&gt;0")</f>
        <v>1</v>
      </c>
      <c r="CG107" s="1" t="str">
        <f>IF($CF107=1,BT107,"")</f>
        <v/>
      </c>
      <c r="CH107" s="1" t="str">
        <f>IF($CF107=1,BU107,"")</f>
        <v/>
      </c>
      <c r="CI107" s="1">
        <f>IF($CF107=1,BV107,"")</f>
        <v>13</v>
      </c>
      <c r="CJ107" s="1" t="str">
        <f>IF($CF107=1,BW107,"")</f>
        <v/>
      </c>
      <c r="CK107" s="1" t="str">
        <f>IF($CF107=1,BX107,"")</f>
        <v/>
      </c>
      <c r="CL107" s="1" t="str">
        <f>IF($CF107=1,BY107,"")</f>
        <v/>
      </c>
      <c r="CM107" s="1" t="str">
        <f>IF($CF107=1,BZ107,"")</f>
        <v/>
      </c>
      <c r="CN107" s="1" t="str">
        <f>IF($CF107=1,CA107,"")</f>
        <v/>
      </c>
      <c r="CO107" s="1" t="str">
        <f>IF($CF107=1,CB107,"")</f>
        <v/>
      </c>
      <c r="CP107" s="1" t="str">
        <f>IF($CF107=1,CC107,"")</f>
        <v/>
      </c>
      <c r="CQ107" s="1" t="str">
        <f>IF($CF107=1,CD107,"")</f>
        <v/>
      </c>
      <c r="CR107" s="1" t="str">
        <f>IF($CF107=1,CE107,"")</f>
        <v/>
      </c>
      <c r="CS107" s="18">
        <f>SUM(AE107:BO107)</f>
        <v>30</v>
      </c>
    </row>
    <row r="108" spans="1:97" ht="40.5" x14ac:dyDescent="0.15">
      <c r="A108" s="1"/>
      <c r="B108" s="1" t="s">
        <v>116</v>
      </c>
      <c r="C108" s="1" t="s">
        <v>117</v>
      </c>
      <c r="D108" s="1" t="s">
        <v>114</v>
      </c>
      <c r="E108" s="6"/>
      <c r="F108" s="6"/>
      <c r="G108" s="6">
        <v>15</v>
      </c>
      <c r="H108" s="6">
        <v>15</v>
      </c>
      <c r="I108" s="6"/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>
        <v>15</v>
      </c>
      <c r="AT108" s="4"/>
      <c r="AU108" s="4"/>
      <c r="AV108" s="4"/>
      <c r="AW108" s="2"/>
      <c r="AX108" s="2"/>
      <c r="AY108" s="2"/>
      <c r="AZ108" s="2"/>
      <c r="BA108" s="2"/>
      <c r="BB108" s="2">
        <v>15</v>
      </c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 t="shared" si="13"/>
        <v>60</v>
      </c>
      <c r="BQ108" s="1">
        <v>43</v>
      </c>
      <c r="BR108" s="17">
        <v>3</v>
      </c>
      <c r="BS108" s="17" t="s">
        <v>298</v>
      </c>
      <c r="BT108" s="1" t="str">
        <f t="shared" si="14"/>
        <v/>
      </c>
      <c r="BU108" s="1" t="str">
        <f t="shared" si="15"/>
        <v/>
      </c>
      <c r="BV108" s="1">
        <f t="shared" si="16"/>
        <v>13</v>
      </c>
      <c r="BW108" s="1" t="str">
        <f t="shared" si="17"/>
        <v/>
      </c>
      <c r="BX108" s="1" t="str">
        <f t="shared" si="18"/>
        <v/>
      </c>
      <c r="BY108" s="1" t="str">
        <f t="shared" si="19"/>
        <v/>
      </c>
      <c r="BZ108" s="1" t="str">
        <f t="shared" si="20"/>
        <v/>
      </c>
      <c r="CA108" s="1" t="str">
        <f t="shared" si="21"/>
        <v/>
      </c>
      <c r="CB108" s="1" t="str">
        <f t="shared" si="22"/>
        <v/>
      </c>
      <c r="CC108" s="1" t="str">
        <f t="shared" si="23"/>
        <v/>
      </c>
      <c r="CD108" s="1" t="str">
        <f t="shared" si="24"/>
        <v/>
      </c>
      <c r="CE108" s="1" t="str">
        <f t="shared" si="25"/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40.5" x14ac:dyDescent="0.15">
      <c r="A109" s="1">
        <v>78</v>
      </c>
      <c r="B109" s="3" t="s">
        <v>71</v>
      </c>
      <c r="C109" s="3" t="s">
        <v>69</v>
      </c>
      <c r="D109" s="1" t="s">
        <v>1</v>
      </c>
      <c r="E109" s="6"/>
      <c r="F109" s="6"/>
      <c r="G109" s="6">
        <v>15</v>
      </c>
      <c r="H109" s="6">
        <v>15</v>
      </c>
      <c r="I109" s="6"/>
      <c r="J109" s="6"/>
      <c r="K109" s="6"/>
      <c r="L109" s="6"/>
      <c r="M109" s="6"/>
      <c r="N109" s="6"/>
      <c r="O109" s="6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>
        <v>15</v>
      </c>
      <c r="BB109" s="2">
        <v>15</v>
      </c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 t="shared" si="13"/>
        <v>60</v>
      </c>
      <c r="BQ109" s="1">
        <v>45</v>
      </c>
      <c r="BR109" s="17">
        <v>3</v>
      </c>
      <c r="BS109" s="17" t="s">
        <v>291</v>
      </c>
      <c r="BT109" s="1" t="str">
        <f t="shared" si="14"/>
        <v/>
      </c>
      <c r="BU109" s="1" t="str">
        <f t="shared" si="15"/>
        <v/>
      </c>
      <c r="BV109" s="1" t="str">
        <f t="shared" si="16"/>
        <v/>
      </c>
      <c r="BW109" s="1" t="str">
        <f t="shared" si="17"/>
        <v/>
      </c>
      <c r="BX109" s="1" t="str">
        <f t="shared" si="18"/>
        <v/>
      </c>
      <c r="BY109" s="1" t="str">
        <f t="shared" si="19"/>
        <v/>
      </c>
      <c r="BZ109" s="1" t="str">
        <f t="shared" si="20"/>
        <v/>
      </c>
      <c r="CA109" s="1" t="str">
        <f t="shared" si="21"/>
        <v/>
      </c>
      <c r="CB109" s="1" t="str">
        <f t="shared" si="22"/>
        <v/>
      </c>
      <c r="CC109" s="1" t="str">
        <f t="shared" si="23"/>
        <v/>
      </c>
      <c r="CD109" s="1">
        <f t="shared" si="24"/>
        <v>15</v>
      </c>
      <c r="CE109" s="1" t="str">
        <f t="shared" si="25"/>
        <v/>
      </c>
      <c r="CF109" s="1">
        <f>COUNTIF(BT109:CE109, "&gt;0")</f>
        <v>1</v>
      </c>
      <c r="CG109" s="1" t="str">
        <f>IF($CF109=1,BT109,"")</f>
        <v/>
      </c>
      <c r="CH109" s="1" t="str">
        <f>IF($CF109=1,BU109,"")</f>
        <v/>
      </c>
      <c r="CI109" s="1" t="str">
        <f>IF($CF109=1,BV109,"")</f>
        <v/>
      </c>
      <c r="CJ109" s="1" t="str">
        <f>IF($CF109=1,BW109,"")</f>
        <v/>
      </c>
      <c r="CK109" s="1" t="str">
        <f>IF($CF109=1,BX109,"")</f>
        <v/>
      </c>
      <c r="CL109" s="1" t="str">
        <f>IF($CF109=1,BY109,"")</f>
        <v/>
      </c>
      <c r="CM109" s="1" t="str">
        <f>IF($CF109=1,BZ109,"")</f>
        <v/>
      </c>
      <c r="CN109" s="1" t="str">
        <f>IF($CF109=1,CA109,"")</f>
        <v/>
      </c>
      <c r="CO109" s="1" t="str">
        <f>IF($CF109=1,CB109,"")</f>
        <v/>
      </c>
      <c r="CP109" s="1" t="str">
        <f>IF($CF109=1,CC109,"")</f>
        <v/>
      </c>
      <c r="CQ109" s="1">
        <f>IF($CF109=1,CD109,"")</f>
        <v>15</v>
      </c>
      <c r="CR109" s="1" t="str">
        <f>IF($CF109=1,CE109,"")</f>
        <v/>
      </c>
      <c r="CS109" s="18">
        <f>SUM(AE109:BO109)</f>
        <v>30</v>
      </c>
    </row>
    <row r="110" spans="1:97" ht="40.5" x14ac:dyDescent="0.15">
      <c r="A110" s="1"/>
      <c r="B110" s="1" t="s">
        <v>137</v>
      </c>
      <c r="C110" s="1" t="s">
        <v>136</v>
      </c>
      <c r="D110" s="1" t="s">
        <v>114</v>
      </c>
      <c r="E110" s="6"/>
      <c r="F110" s="6"/>
      <c r="G110" s="6">
        <v>15</v>
      </c>
      <c r="H110" s="6">
        <v>15</v>
      </c>
      <c r="I110" s="6"/>
      <c r="J110" s="6"/>
      <c r="K110" s="6"/>
      <c r="L110" s="6"/>
      <c r="M110" s="6"/>
      <c r="N110" s="6"/>
      <c r="O110" s="6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>
        <v>15</v>
      </c>
      <c r="BB110" s="2">
        <v>15</v>
      </c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 t="shared" si="13"/>
        <v>60</v>
      </c>
      <c r="BQ110" s="1">
        <v>45</v>
      </c>
      <c r="BR110" s="17">
        <v>3</v>
      </c>
      <c r="BS110" s="17" t="s">
        <v>292</v>
      </c>
      <c r="BT110" s="1" t="str">
        <f t="shared" si="14"/>
        <v/>
      </c>
      <c r="BU110" s="1" t="str">
        <f t="shared" si="15"/>
        <v/>
      </c>
      <c r="BV110" s="1" t="str">
        <f t="shared" si="16"/>
        <v/>
      </c>
      <c r="BW110" s="1" t="str">
        <f t="shared" si="17"/>
        <v/>
      </c>
      <c r="BX110" s="1" t="str">
        <f t="shared" si="18"/>
        <v/>
      </c>
      <c r="BY110" s="1" t="str">
        <f t="shared" si="19"/>
        <v/>
      </c>
      <c r="BZ110" s="1" t="str">
        <f t="shared" si="20"/>
        <v/>
      </c>
      <c r="CA110" s="1" t="str">
        <f t="shared" si="21"/>
        <v/>
      </c>
      <c r="CB110" s="1" t="str">
        <f t="shared" si="22"/>
        <v/>
      </c>
      <c r="CC110" s="1" t="str">
        <f t="shared" si="23"/>
        <v/>
      </c>
      <c r="CD110" s="1">
        <f t="shared" si="24"/>
        <v>15</v>
      </c>
      <c r="CE110" s="1" t="str">
        <f t="shared" si="25"/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40.5" x14ac:dyDescent="0.15">
      <c r="A111" s="1"/>
      <c r="B111" s="1" t="s">
        <v>135</v>
      </c>
      <c r="C111" s="1" t="s">
        <v>136</v>
      </c>
      <c r="D111" s="1" t="s">
        <v>114</v>
      </c>
      <c r="E111" s="6"/>
      <c r="F111" s="6"/>
      <c r="G111" s="6">
        <v>20</v>
      </c>
      <c r="H111" s="6">
        <v>20</v>
      </c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>
        <v>20</v>
      </c>
      <c r="BB111" s="2">
        <v>20</v>
      </c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 t="shared" si="13"/>
        <v>80</v>
      </c>
      <c r="BQ111" s="1">
        <v>60</v>
      </c>
      <c r="BR111" s="17">
        <v>3</v>
      </c>
      <c r="BS111" s="17" t="s">
        <v>299</v>
      </c>
      <c r="BT111" s="1" t="str">
        <f t="shared" si="14"/>
        <v/>
      </c>
      <c r="BU111" s="1" t="str">
        <f t="shared" si="15"/>
        <v/>
      </c>
      <c r="BV111" s="1" t="str">
        <f t="shared" si="16"/>
        <v/>
      </c>
      <c r="BW111" s="1" t="str">
        <f t="shared" si="17"/>
        <v/>
      </c>
      <c r="BX111" s="1" t="str">
        <f t="shared" si="18"/>
        <v/>
      </c>
      <c r="BY111" s="1" t="str">
        <f t="shared" si="19"/>
        <v/>
      </c>
      <c r="BZ111" s="1" t="str">
        <f t="shared" si="20"/>
        <v/>
      </c>
      <c r="CA111" s="1" t="str">
        <f t="shared" si="21"/>
        <v/>
      </c>
      <c r="CB111" s="1" t="str">
        <f t="shared" si="22"/>
        <v/>
      </c>
      <c r="CC111" s="1" t="str">
        <f t="shared" si="23"/>
        <v/>
      </c>
      <c r="CD111" s="1">
        <f t="shared" si="24"/>
        <v>20</v>
      </c>
      <c r="CE111" s="1" t="str">
        <f t="shared" si="25"/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40.5" x14ac:dyDescent="0.15">
      <c r="A112" s="1"/>
      <c r="B112" s="1" t="s">
        <v>116</v>
      </c>
      <c r="C112" s="1" t="s">
        <v>117</v>
      </c>
      <c r="D112" s="1" t="s">
        <v>118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40</v>
      </c>
      <c r="AW112" s="2">
        <v>40</v>
      </c>
      <c r="AX112" s="2"/>
      <c r="AY112" s="2"/>
      <c r="AZ112" s="2"/>
      <c r="BA112" s="2"/>
      <c r="BB112" s="2">
        <v>40</v>
      </c>
      <c r="BC112" s="14">
        <v>10</v>
      </c>
      <c r="BD112" s="1">
        <v>50</v>
      </c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 t="shared" si="13"/>
        <v>180</v>
      </c>
      <c r="BQ112" s="1">
        <v>64</v>
      </c>
      <c r="BR112" s="17">
        <v>3</v>
      </c>
      <c r="BS112" s="17" t="s">
        <v>305</v>
      </c>
      <c r="BT112" s="1" t="str">
        <f t="shared" si="14"/>
        <v/>
      </c>
      <c r="BU112" s="1" t="str">
        <f t="shared" si="15"/>
        <v/>
      </c>
      <c r="BV112" s="1" t="str">
        <f t="shared" si="16"/>
        <v/>
      </c>
      <c r="BW112" s="1" t="str">
        <f t="shared" si="17"/>
        <v/>
      </c>
      <c r="BX112" s="1" t="str">
        <f t="shared" si="18"/>
        <v/>
      </c>
      <c r="BY112" s="1">
        <f t="shared" si="19"/>
        <v>33</v>
      </c>
      <c r="BZ112" s="1">
        <f t="shared" si="20"/>
        <v>21</v>
      </c>
      <c r="CA112" s="1" t="str">
        <f t="shared" si="21"/>
        <v/>
      </c>
      <c r="CB112" s="1" t="str">
        <f t="shared" si="22"/>
        <v/>
      </c>
      <c r="CC112" s="1" t="str">
        <f t="shared" si="23"/>
        <v/>
      </c>
      <c r="CD112" s="1" t="str">
        <f t="shared" si="24"/>
        <v/>
      </c>
      <c r="CE112" s="1" t="str">
        <f t="shared" si="25"/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54" x14ac:dyDescent="0.15">
      <c r="A113" s="1"/>
      <c r="B113" s="1" t="s">
        <v>184</v>
      </c>
      <c r="C113" s="1" t="s">
        <v>179</v>
      </c>
      <c r="D113" s="1" t="s">
        <v>149</v>
      </c>
      <c r="E113" s="6"/>
      <c r="F113" s="6"/>
      <c r="G113" s="6">
        <v>5</v>
      </c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>
        <v>5</v>
      </c>
      <c r="W113" s="32"/>
      <c r="X113" s="32"/>
      <c r="Y113" s="32">
        <v>5</v>
      </c>
      <c r="Z113" s="32"/>
      <c r="AA113" s="32"/>
      <c r="AB113" s="32"/>
      <c r="AC113" s="32">
        <v>5</v>
      </c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 t="shared" si="13"/>
        <v>20</v>
      </c>
      <c r="BQ113" s="1">
        <v>16</v>
      </c>
      <c r="BR113" s="17">
        <v>4</v>
      </c>
      <c r="BS113" s="17" t="s">
        <v>237</v>
      </c>
      <c r="BT113" s="1" t="str">
        <f t="shared" si="14"/>
        <v/>
      </c>
      <c r="BU113" s="1" t="str">
        <f t="shared" si="15"/>
        <v/>
      </c>
      <c r="BV113" s="1" t="str">
        <f t="shared" si="16"/>
        <v/>
      </c>
      <c r="BW113" s="1" t="str">
        <f t="shared" si="17"/>
        <v/>
      </c>
      <c r="BX113" s="1" t="str">
        <f t="shared" si="18"/>
        <v/>
      </c>
      <c r="BY113" s="1" t="str">
        <f t="shared" si="19"/>
        <v/>
      </c>
      <c r="BZ113" s="1" t="str">
        <f t="shared" si="20"/>
        <v/>
      </c>
      <c r="CA113" s="1" t="str">
        <f t="shared" si="21"/>
        <v/>
      </c>
      <c r="CB113" s="1" t="str">
        <f t="shared" si="22"/>
        <v/>
      </c>
      <c r="CC113" s="1" t="str">
        <f t="shared" si="23"/>
        <v/>
      </c>
      <c r="CD113" s="1" t="str">
        <f t="shared" si="24"/>
        <v/>
      </c>
      <c r="CE113" s="1" t="str">
        <f t="shared" si="25"/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54" x14ac:dyDescent="0.15">
      <c r="A114" s="1"/>
      <c r="B114" s="1" t="s">
        <v>181</v>
      </c>
      <c r="C114" s="1" t="s">
        <v>179</v>
      </c>
      <c r="D114" s="1" t="s">
        <v>148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/>
      <c r="Q114" s="32">
        <v>5</v>
      </c>
      <c r="R114" s="32"/>
      <c r="S114" s="32"/>
      <c r="T114" s="32"/>
      <c r="U114" s="32"/>
      <c r="V114" s="32">
        <v>10</v>
      </c>
      <c r="W114" s="32"/>
      <c r="X114" s="32"/>
      <c r="Y114" s="32"/>
      <c r="Z114" s="32">
        <v>5</v>
      </c>
      <c r="AA114" s="32"/>
      <c r="AB114" s="32">
        <v>10</v>
      </c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 t="shared" si="13"/>
        <v>30</v>
      </c>
      <c r="BQ114" s="1">
        <v>18</v>
      </c>
      <c r="BR114" s="17">
        <v>4</v>
      </c>
      <c r="BS114" s="17" t="s">
        <v>287</v>
      </c>
      <c r="BT114" s="1" t="str">
        <f t="shared" si="14"/>
        <v/>
      </c>
      <c r="BU114" s="1" t="str">
        <f t="shared" si="15"/>
        <v/>
      </c>
      <c r="BV114" s="1" t="str">
        <f t="shared" si="16"/>
        <v/>
      </c>
      <c r="BW114" s="1" t="str">
        <f t="shared" si="17"/>
        <v/>
      </c>
      <c r="BX114" s="1" t="str">
        <f t="shared" si="18"/>
        <v/>
      </c>
      <c r="BY114" s="1" t="str">
        <f t="shared" si="19"/>
        <v/>
      </c>
      <c r="BZ114" s="1" t="str">
        <f t="shared" si="20"/>
        <v/>
      </c>
      <c r="CA114" s="1" t="str">
        <f t="shared" si="21"/>
        <v/>
      </c>
      <c r="CB114" s="1" t="str">
        <f t="shared" si="22"/>
        <v/>
      </c>
      <c r="CC114" s="1" t="str">
        <f t="shared" si="23"/>
        <v/>
      </c>
      <c r="CD114" s="1" t="str">
        <f t="shared" si="24"/>
        <v/>
      </c>
      <c r="CE114" s="1" t="str">
        <f t="shared" si="25"/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54" x14ac:dyDescent="0.15">
      <c r="A115" s="1"/>
      <c r="B115" s="1" t="s">
        <v>167</v>
      </c>
      <c r="C115" s="1" t="s">
        <v>165</v>
      </c>
      <c r="D115" s="1" t="s">
        <v>149</v>
      </c>
      <c r="E115" s="6"/>
      <c r="F115" s="6"/>
      <c r="G115" s="6"/>
      <c r="H115" s="6">
        <v>7</v>
      </c>
      <c r="I115" s="6"/>
      <c r="J115" s="6"/>
      <c r="K115" s="6"/>
      <c r="L115" s="6"/>
      <c r="M115" s="6"/>
      <c r="N115" s="6"/>
      <c r="O115" s="6"/>
      <c r="P115" s="32"/>
      <c r="Q115" s="32">
        <v>7</v>
      </c>
      <c r="R115" s="32"/>
      <c r="S115" s="32"/>
      <c r="T115" s="32">
        <v>7</v>
      </c>
      <c r="U115" s="32"/>
      <c r="V115" s="32"/>
      <c r="W115" s="32"/>
      <c r="X115" s="32"/>
      <c r="Y115" s="32"/>
      <c r="Z115" s="32"/>
      <c r="AA115" s="32">
        <v>7</v>
      </c>
      <c r="AB115" s="32"/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 t="shared" si="13"/>
        <v>28</v>
      </c>
      <c r="BQ115" s="1">
        <v>21</v>
      </c>
      <c r="BR115" s="17">
        <v>4</v>
      </c>
      <c r="BS115" s="17" t="s">
        <v>300</v>
      </c>
      <c r="BT115" s="1" t="str">
        <f t="shared" si="14"/>
        <v/>
      </c>
      <c r="BU115" s="1" t="str">
        <f t="shared" si="15"/>
        <v/>
      </c>
      <c r="BV115" s="1" t="str">
        <f t="shared" si="16"/>
        <v/>
      </c>
      <c r="BW115" s="1" t="str">
        <f t="shared" si="17"/>
        <v/>
      </c>
      <c r="BX115" s="1" t="str">
        <f t="shared" si="18"/>
        <v/>
      </c>
      <c r="BY115" s="1" t="str">
        <f t="shared" si="19"/>
        <v/>
      </c>
      <c r="BZ115" s="1" t="str">
        <f t="shared" si="20"/>
        <v/>
      </c>
      <c r="CA115" s="1" t="str">
        <f t="shared" si="21"/>
        <v/>
      </c>
      <c r="CB115" s="1" t="str">
        <f t="shared" si="22"/>
        <v/>
      </c>
      <c r="CC115" s="1" t="str">
        <f t="shared" si="23"/>
        <v/>
      </c>
      <c r="CD115" s="1" t="str">
        <f t="shared" si="24"/>
        <v/>
      </c>
      <c r="CE115" s="1" t="str">
        <f t="shared" si="25"/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54" x14ac:dyDescent="0.15">
      <c r="A116" s="1"/>
      <c r="B116" s="1" t="s">
        <v>158</v>
      </c>
      <c r="C116" s="1" t="s">
        <v>146</v>
      </c>
      <c r="D116" s="1" t="s">
        <v>147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>
        <v>10</v>
      </c>
      <c r="Q116" s="32"/>
      <c r="R116" s="32"/>
      <c r="S116" s="32">
        <v>10</v>
      </c>
      <c r="T116" s="32"/>
      <c r="U116" s="32"/>
      <c r="V116" s="32"/>
      <c r="W116" s="32">
        <v>5</v>
      </c>
      <c r="X116" s="32"/>
      <c r="Y116" s="32"/>
      <c r="Z116" s="32"/>
      <c r="AA116" s="32"/>
      <c r="AB116" s="32">
        <v>10</v>
      </c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 t="shared" si="13"/>
        <v>35</v>
      </c>
      <c r="BQ116" s="1">
        <v>22</v>
      </c>
      <c r="BR116" s="17">
        <v>4</v>
      </c>
      <c r="BS116" s="17" t="s">
        <v>261</v>
      </c>
      <c r="BT116" s="1" t="str">
        <f t="shared" si="14"/>
        <v/>
      </c>
      <c r="BU116" s="1" t="str">
        <f t="shared" si="15"/>
        <v/>
      </c>
      <c r="BV116" s="1" t="str">
        <f t="shared" si="16"/>
        <v/>
      </c>
      <c r="BW116" s="1" t="str">
        <f t="shared" si="17"/>
        <v/>
      </c>
      <c r="BX116" s="1" t="str">
        <f t="shared" si="18"/>
        <v/>
      </c>
      <c r="BY116" s="1" t="str">
        <f t="shared" si="19"/>
        <v/>
      </c>
      <c r="BZ116" s="1" t="str">
        <f t="shared" si="20"/>
        <v/>
      </c>
      <c r="CA116" s="1" t="str">
        <f t="shared" si="21"/>
        <v/>
      </c>
      <c r="CB116" s="1" t="str">
        <f t="shared" si="22"/>
        <v/>
      </c>
      <c r="CC116" s="1" t="str">
        <f t="shared" si="23"/>
        <v/>
      </c>
      <c r="CD116" s="1" t="str">
        <f t="shared" si="24"/>
        <v/>
      </c>
      <c r="CE116" s="1" t="str">
        <f t="shared" si="25"/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54" x14ac:dyDescent="0.15">
      <c r="A117" s="1"/>
      <c r="B117" s="1" t="s">
        <v>163</v>
      </c>
      <c r="C117" s="1" t="s">
        <v>146</v>
      </c>
      <c r="D117" s="1" t="s">
        <v>147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>
        <v>10</v>
      </c>
      <c r="Q117" s="32"/>
      <c r="R117" s="32"/>
      <c r="S117" s="32">
        <v>10</v>
      </c>
      <c r="T117" s="32"/>
      <c r="U117" s="32"/>
      <c r="V117" s="32"/>
      <c r="W117" s="32">
        <v>5</v>
      </c>
      <c r="X117" s="32"/>
      <c r="Y117" s="32"/>
      <c r="Z117" s="32"/>
      <c r="AA117" s="32"/>
      <c r="AB117" s="32">
        <v>10</v>
      </c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 t="shared" si="13"/>
        <v>35</v>
      </c>
      <c r="BQ117" s="1">
        <v>22</v>
      </c>
      <c r="BR117" s="17">
        <v>4</v>
      </c>
      <c r="BS117" s="17" t="s">
        <v>261</v>
      </c>
      <c r="BT117" s="1" t="str">
        <f t="shared" si="14"/>
        <v/>
      </c>
      <c r="BU117" s="1" t="str">
        <f t="shared" si="15"/>
        <v/>
      </c>
      <c r="BV117" s="1" t="str">
        <f t="shared" si="16"/>
        <v/>
      </c>
      <c r="BW117" s="1" t="str">
        <f t="shared" si="17"/>
        <v/>
      </c>
      <c r="BX117" s="1" t="str">
        <f t="shared" si="18"/>
        <v/>
      </c>
      <c r="BY117" s="1" t="str">
        <f t="shared" si="19"/>
        <v/>
      </c>
      <c r="BZ117" s="1" t="str">
        <f t="shared" si="20"/>
        <v/>
      </c>
      <c r="CA117" s="1" t="str">
        <f t="shared" si="21"/>
        <v/>
      </c>
      <c r="CB117" s="1" t="str">
        <f t="shared" si="22"/>
        <v/>
      </c>
      <c r="CC117" s="1" t="str">
        <f t="shared" si="23"/>
        <v/>
      </c>
      <c r="CD117" s="1" t="str">
        <f t="shared" si="24"/>
        <v/>
      </c>
      <c r="CE117" s="1" t="str">
        <f t="shared" si="25"/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54" x14ac:dyDescent="0.15">
      <c r="A118" s="1"/>
      <c r="B118" s="1" t="s">
        <v>167</v>
      </c>
      <c r="C118" s="1" t="s">
        <v>165</v>
      </c>
      <c r="D118" s="1" t="s">
        <v>147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32">
        <v>10</v>
      </c>
      <c r="Q118" s="32"/>
      <c r="R118" s="32"/>
      <c r="S118" s="32">
        <v>10</v>
      </c>
      <c r="T118" s="32"/>
      <c r="U118" s="32"/>
      <c r="V118" s="32"/>
      <c r="W118" s="32">
        <v>5</v>
      </c>
      <c r="X118" s="32"/>
      <c r="Y118" s="32"/>
      <c r="Z118" s="32"/>
      <c r="AA118" s="32"/>
      <c r="AB118" s="32">
        <v>10</v>
      </c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 t="shared" si="13"/>
        <v>35</v>
      </c>
      <c r="BQ118" s="1">
        <v>22</v>
      </c>
      <c r="BR118" s="17">
        <v>4</v>
      </c>
      <c r="BS118" s="17" t="s">
        <v>262</v>
      </c>
      <c r="BT118" s="1" t="str">
        <f t="shared" si="14"/>
        <v/>
      </c>
      <c r="BU118" s="1" t="str">
        <f t="shared" si="15"/>
        <v/>
      </c>
      <c r="BV118" s="1" t="str">
        <f t="shared" si="16"/>
        <v/>
      </c>
      <c r="BW118" s="1" t="str">
        <f t="shared" si="17"/>
        <v/>
      </c>
      <c r="BX118" s="1" t="str">
        <f t="shared" si="18"/>
        <v/>
      </c>
      <c r="BY118" s="1" t="str">
        <f t="shared" si="19"/>
        <v/>
      </c>
      <c r="BZ118" s="1" t="str">
        <f t="shared" si="20"/>
        <v/>
      </c>
      <c r="CA118" s="1" t="str">
        <f t="shared" si="21"/>
        <v/>
      </c>
      <c r="CB118" s="1" t="str">
        <f t="shared" si="22"/>
        <v/>
      </c>
      <c r="CC118" s="1" t="str">
        <f t="shared" si="23"/>
        <v/>
      </c>
      <c r="CD118" s="1" t="str">
        <f t="shared" si="24"/>
        <v/>
      </c>
      <c r="CE118" s="1" t="str">
        <f t="shared" si="25"/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54" x14ac:dyDescent="0.15">
      <c r="A119" s="1"/>
      <c r="B119" s="1" t="s">
        <v>173</v>
      </c>
      <c r="C119" s="1" t="s">
        <v>170</v>
      </c>
      <c r="D119" s="1" t="s">
        <v>147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32">
        <v>10</v>
      </c>
      <c r="Q119" s="32"/>
      <c r="R119" s="32"/>
      <c r="S119" s="32">
        <v>10</v>
      </c>
      <c r="T119" s="32"/>
      <c r="U119" s="32"/>
      <c r="V119" s="32"/>
      <c r="W119" s="32">
        <v>5</v>
      </c>
      <c r="X119" s="32"/>
      <c r="Y119" s="32"/>
      <c r="Z119" s="32"/>
      <c r="AA119" s="32"/>
      <c r="AB119" s="32">
        <v>10</v>
      </c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 t="shared" si="13"/>
        <v>35</v>
      </c>
      <c r="BQ119" s="1">
        <v>22</v>
      </c>
      <c r="BR119" s="17">
        <v>4</v>
      </c>
      <c r="BS119" s="17" t="s">
        <v>261</v>
      </c>
      <c r="BT119" s="1" t="str">
        <f t="shared" si="14"/>
        <v/>
      </c>
      <c r="BU119" s="1" t="str">
        <f t="shared" si="15"/>
        <v/>
      </c>
      <c r="BV119" s="1" t="str">
        <f t="shared" si="16"/>
        <v/>
      </c>
      <c r="BW119" s="1" t="str">
        <f t="shared" si="17"/>
        <v/>
      </c>
      <c r="BX119" s="1" t="str">
        <f t="shared" si="18"/>
        <v/>
      </c>
      <c r="BY119" s="1" t="str">
        <f t="shared" si="19"/>
        <v/>
      </c>
      <c r="BZ119" s="1" t="str">
        <f t="shared" si="20"/>
        <v/>
      </c>
      <c r="CA119" s="1" t="str">
        <f t="shared" si="21"/>
        <v/>
      </c>
      <c r="CB119" s="1" t="str">
        <f t="shared" si="22"/>
        <v/>
      </c>
      <c r="CC119" s="1" t="str">
        <f t="shared" si="23"/>
        <v/>
      </c>
      <c r="CD119" s="1" t="str">
        <f t="shared" si="24"/>
        <v/>
      </c>
      <c r="CE119" s="1" t="str">
        <f t="shared" si="25"/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54" x14ac:dyDescent="0.15">
      <c r="A120" s="1"/>
      <c r="B120" s="1" t="s">
        <v>180</v>
      </c>
      <c r="C120" s="1" t="s">
        <v>179</v>
      </c>
      <c r="D120" s="1" t="s">
        <v>147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>
        <v>10</v>
      </c>
      <c r="Q120" s="32"/>
      <c r="R120" s="32"/>
      <c r="S120" s="32">
        <v>10</v>
      </c>
      <c r="T120" s="32"/>
      <c r="U120" s="32"/>
      <c r="V120" s="32"/>
      <c r="W120" s="32">
        <v>5</v>
      </c>
      <c r="X120" s="32"/>
      <c r="Y120" s="32"/>
      <c r="Z120" s="32"/>
      <c r="AA120" s="32"/>
      <c r="AB120" s="32">
        <v>10</v>
      </c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 t="shared" si="13"/>
        <v>35</v>
      </c>
      <c r="BQ120" s="1">
        <v>22</v>
      </c>
      <c r="BR120" s="17">
        <v>4</v>
      </c>
      <c r="BS120" s="17" t="s">
        <v>263</v>
      </c>
      <c r="BT120" s="1" t="str">
        <f t="shared" si="14"/>
        <v/>
      </c>
      <c r="BU120" s="1" t="str">
        <f t="shared" si="15"/>
        <v/>
      </c>
      <c r="BV120" s="1" t="str">
        <f t="shared" si="16"/>
        <v/>
      </c>
      <c r="BW120" s="1" t="str">
        <f t="shared" si="17"/>
        <v/>
      </c>
      <c r="BX120" s="1" t="str">
        <f t="shared" si="18"/>
        <v/>
      </c>
      <c r="BY120" s="1" t="str">
        <f t="shared" si="19"/>
        <v/>
      </c>
      <c r="BZ120" s="1" t="str">
        <f t="shared" si="20"/>
        <v/>
      </c>
      <c r="CA120" s="1" t="str">
        <f t="shared" si="21"/>
        <v/>
      </c>
      <c r="CB120" s="1" t="str">
        <f t="shared" si="22"/>
        <v/>
      </c>
      <c r="CC120" s="1" t="str">
        <f t="shared" si="23"/>
        <v/>
      </c>
      <c r="CD120" s="1" t="str">
        <f t="shared" si="24"/>
        <v/>
      </c>
      <c r="CE120" s="1" t="str">
        <f t="shared" si="25"/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54" x14ac:dyDescent="0.15">
      <c r="A121" s="1"/>
      <c r="B121" s="1" t="s">
        <v>196</v>
      </c>
      <c r="C121" s="1" t="s">
        <v>136</v>
      </c>
      <c r="D121" s="1" t="s">
        <v>197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2">
        <v>10</v>
      </c>
      <c r="Q121" s="32"/>
      <c r="R121" s="32"/>
      <c r="S121" s="32">
        <v>10</v>
      </c>
      <c r="T121" s="32"/>
      <c r="U121" s="32"/>
      <c r="V121" s="32"/>
      <c r="W121" s="32">
        <v>5</v>
      </c>
      <c r="X121" s="32"/>
      <c r="Y121" s="32"/>
      <c r="Z121" s="32"/>
      <c r="AA121" s="32"/>
      <c r="AB121" s="32">
        <v>10</v>
      </c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 t="shared" si="13"/>
        <v>35</v>
      </c>
      <c r="BQ121" s="1">
        <v>22</v>
      </c>
      <c r="BR121" s="17">
        <v>4</v>
      </c>
      <c r="BS121" s="17" t="s">
        <v>262</v>
      </c>
      <c r="BT121" s="1" t="str">
        <f t="shared" si="14"/>
        <v/>
      </c>
      <c r="BU121" s="1" t="str">
        <f t="shared" si="15"/>
        <v/>
      </c>
      <c r="BV121" s="1" t="str">
        <f t="shared" si="16"/>
        <v/>
      </c>
      <c r="BW121" s="1" t="str">
        <f t="shared" si="17"/>
        <v/>
      </c>
      <c r="BX121" s="1" t="str">
        <f t="shared" si="18"/>
        <v/>
      </c>
      <c r="BY121" s="1" t="str">
        <f t="shared" si="19"/>
        <v/>
      </c>
      <c r="BZ121" s="1" t="str">
        <f t="shared" si="20"/>
        <v/>
      </c>
      <c r="CA121" s="1" t="str">
        <f t="shared" si="21"/>
        <v/>
      </c>
      <c r="CB121" s="1" t="str">
        <f t="shared" si="22"/>
        <v/>
      </c>
      <c r="CC121" s="1" t="str">
        <f t="shared" si="23"/>
        <v/>
      </c>
      <c r="CD121" s="1" t="str">
        <f t="shared" si="24"/>
        <v/>
      </c>
      <c r="CE121" s="1" t="str">
        <f t="shared" si="25"/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54" x14ac:dyDescent="0.15">
      <c r="A122" s="1"/>
      <c r="B122" s="1" t="s">
        <v>204</v>
      </c>
      <c r="C122" s="1" t="s">
        <v>146</v>
      </c>
      <c r="D122" s="1" t="s">
        <v>148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/>
      <c r="V122" s="32">
        <v>10</v>
      </c>
      <c r="W122" s="32"/>
      <c r="X122" s="32"/>
      <c r="Y122" s="32">
        <v>10</v>
      </c>
      <c r="Z122" s="32"/>
      <c r="AA122" s="32"/>
      <c r="AB122" s="32">
        <v>10</v>
      </c>
      <c r="AC122" s="32">
        <v>5</v>
      </c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 t="shared" si="13"/>
        <v>35</v>
      </c>
      <c r="BQ122" s="1">
        <v>23</v>
      </c>
      <c r="BR122" s="17">
        <v>4</v>
      </c>
      <c r="BS122" s="17" t="s">
        <v>260</v>
      </c>
      <c r="BT122" s="1" t="str">
        <f t="shared" si="14"/>
        <v/>
      </c>
      <c r="BU122" s="1" t="str">
        <f t="shared" si="15"/>
        <v/>
      </c>
      <c r="BV122" s="1" t="str">
        <f t="shared" si="16"/>
        <v/>
      </c>
      <c r="BW122" s="1" t="str">
        <f t="shared" si="17"/>
        <v/>
      </c>
      <c r="BX122" s="1" t="str">
        <f t="shared" si="18"/>
        <v/>
      </c>
      <c r="BY122" s="1" t="str">
        <f t="shared" si="19"/>
        <v/>
      </c>
      <c r="BZ122" s="1" t="str">
        <f t="shared" si="20"/>
        <v/>
      </c>
      <c r="CA122" s="1" t="str">
        <f t="shared" si="21"/>
        <v/>
      </c>
      <c r="CB122" s="1" t="str">
        <f t="shared" si="22"/>
        <v/>
      </c>
      <c r="CC122" s="1" t="str">
        <f t="shared" si="23"/>
        <v/>
      </c>
      <c r="CD122" s="1" t="str">
        <f t="shared" si="24"/>
        <v/>
      </c>
      <c r="CE122" s="1" t="str">
        <f t="shared" si="25"/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54" x14ac:dyDescent="0.15">
      <c r="A123" s="1"/>
      <c r="B123" s="1" t="s">
        <v>174</v>
      </c>
      <c r="C123" s="1" t="s">
        <v>176</v>
      </c>
      <c r="D123" s="1" t="s">
        <v>148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/>
      <c r="V123" s="32">
        <v>10</v>
      </c>
      <c r="W123" s="32"/>
      <c r="X123" s="32"/>
      <c r="Y123" s="32">
        <v>10</v>
      </c>
      <c r="Z123" s="32"/>
      <c r="AA123" s="32"/>
      <c r="AB123" s="32">
        <v>10</v>
      </c>
      <c r="AC123" s="32">
        <v>5</v>
      </c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 t="shared" si="13"/>
        <v>35</v>
      </c>
      <c r="BQ123" s="1">
        <v>23</v>
      </c>
      <c r="BR123" s="17">
        <v>4</v>
      </c>
      <c r="BS123" s="17" t="s">
        <v>260</v>
      </c>
      <c r="BT123" s="1" t="str">
        <f t="shared" si="14"/>
        <v/>
      </c>
      <c r="BU123" s="1" t="str">
        <f t="shared" si="15"/>
        <v/>
      </c>
      <c r="BV123" s="1" t="str">
        <f t="shared" si="16"/>
        <v/>
      </c>
      <c r="BW123" s="1" t="str">
        <f t="shared" si="17"/>
        <v/>
      </c>
      <c r="BX123" s="1" t="str">
        <f t="shared" si="18"/>
        <v/>
      </c>
      <c r="BY123" s="1" t="str">
        <f t="shared" si="19"/>
        <v/>
      </c>
      <c r="BZ123" s="1" t="str">
        <f t="shared" si="20"/>
        <v/>
      </c>
      <c r="CA123" s="1" t="str">
        <f t="shared" si="21"/>
        <v/>
      </c>
      <c r="CB123" s="1" t="str">
        <f t="shared" si="22"/>
        <v/>
      </c>
      <c r="CC123" s="1" t="str">
        <f t="shared" si="23"/>
        <v/>
      </c>
      <c r="CD123" s="1" t="str">
        <f t="shared" si="24"/>
        <v/>
      </c>
      <c r="CE123" s="1" t="str">
        <f t="shared" si="25"/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54" x14ac:dyDescent="0.15">
      <c r="A124" s="1"/>
      <c r="B124" s="1" t="s">
        <v>184</v>
      </c>
      <c r="C124" s="1" t="s">
        <v>179</v>
      </c>
      <c r="D124" s="1" t="s">
        <v>148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/>
      <c r="R124" s="32"/>
      <c r="S124" s="32"/>
      <c r="T124" s="32"/>
      <c r="U124" s="32"/>
      <c r="V124" s="32">
        <v>10</v>
      </c>
      <c r="W124" s="32"/>
      <c r="X124" s="32"/>
      <c r="Y124" s="32">
        <v>10</v>
      </c>
      <c r="Z124" s="32"/>
      <c r="AA124" s="32"/>
      <c r="AB124" s="32">
        <v>10</v>
      </c>
      <c r="AC124" s="32">
        <v>5</v>
      </c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 t="shared" si="13"/>
        <v>35</v>
      </c>
      <c r="BQ124" s="1">
        <v>23</v>
      </c>
      <c r="BR124" s="17">
        <v>4</v>
      </c>
      <c r="BS124" s="17" t="s">
        <v>264</v>
      </c>
      <c r="BT124" s="1" t="str">
        <f t="shared" si="14"/>
        <v/>
      </c>
      <c r="BU124" s="1" t="str">
        <f t="shared" si="15"/>
        <v/>
      </c>
      <c r="BV124" s="1" t="str">
        <f t="shared" si="16"/>
        <v/>
      </c>
      <c r="BW124" s="1" t="str">
        <f t="shared" si="17"/>
        <v/>
      </c>
      <c r="BX124" s="1" t="str">
        <f t="shared" si="18"/>
        <v/>
      </c>
      <c r="BY124" s="1" t="str">
        <f t="shared" si="19"/>
        <v/>
      </c>
      <c r="BZ124" s="1" t="str">
        <f t="shared" si="20"/>
        <v/>
      </c>
      <c r="CA124" s="1" t="str">
        <f t="shared" si="21"/>
        <v/>
      </c>
      <c r="CB124" s="1" t="str">
        <f t="shared" si="22"/>
        <v/>
      </c>
      <c r="CC124" s="1" t="str">
        <f t="shared" si="23"/>
        <v/>
      </c>
      <c r="CD124" s="1" t="str">
        <f t="shared" si="24"/>
        <v/>
      </c>
      <c r="CE124" s="1" t="str">
        <f t="shared" si="25"/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54" x14ac:dyDescent="0.15">
      <c r="A125" s="1"/>
      <c r="B125" s="1" t="s">
        <v>185</v>
      </c>
      <c r="C125" s="1" t="s">
        <v>179</v>
      </c>
      <c r="D125" s="1" t="s">
        <v>148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/>
      <c r="R125" s="32"/>
      <c r="S125" s="32"/>
      <c r="T125" s="32"/>
      <c r="U125" s="32"/>
      <c r="V125" s="32">
        <v>10</v>
      </c>
      <c r="W125" s="32"/>
      <c r="X125" s="32"/>
      <c r="Y125" s="32">
        <v>10</v>
      </c>
      <c r="Z125" s="32"/>
      <c r="AA125" s="32"/>
      <c r="AB125" s="32">
        <v>10</v>
      </c>
      <c r="AC125" s="32">
        <v>5</v>
      </c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 t="shared" si="13"/>
        <v>35</v>
      </c>
      <c r="BQ125" s="1">
        <v>23</v>
      </c>
      <c r="BR125" s="17">
        <v>4</v>
      </c>
      <c r="BS125" s="17" t="s">
        <v>264</v>
      </c>
      <c r="BT125" s="1" t="str">
        <f t="shared" si="14"/>
        <v/>
      </c>
      <c r="BU125" s="1" t="str">
        <f t="shared" si="15"/>
        <v/>
      </c>
      <c r="BV125" s="1" t="str">
        <f t="shared" si="16"/>
        <v/>
      </c>
      <c r="BW125" s="1" t="str">
        <f t="shared" si="17"/>
        <v/>
      </c>
      <c r="BX125" s="1" t="str">
        <f t="shared" si="18"/>
        <v/>
      </c>
      <c r="BY125" s="1" t="str">
        <f t="shared" si="19"/>
        <v/>
      </c>
      <c r="BZ125" s="1" t="str">
        <f t="shared" si="20"/>
        <v/>
      </c>
      <c r="CA125" s="1" t="str">
        <f t="shared" si="21"/>
        <v/>
      </c>
      <c r="CB125" s="1" t="str">
        <f t="shared" si="22"/>
        <v/>
      </c>
      <c r="CC125" s="1" t="str">
        <f t="shared" si="23"/>
        <v/>
      </c>
      <c r="CD125" s="1" t="str">
        <f t="shared" si="24"/>
        <v/>
      </c>
      <c r="CE125" s="1" t="str">
        <f t="shared" si="25"/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54" x14ac:dyDescent="0.15">
      <c r="A126" s="1"/>
      <c r="B126" s="1" t="s">
        <v>175</v>
      </c>
      <c r="C126" s="1" t="s">
        <v>176</v>
      </c>
      <c r="D126" s="1" t="s">
        <v>147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32">
        <v>10</v>
      </c>
      <c r="Q126" s="32"/>
      <c r="R126" s="32"/>
      <c r="S126" s="32">
        <v>10</v>
      </c>
      <c r="T126" s="32"/>
      <c r="U126" s="32"/>
      <c r="V126" s="32"/>
      <c r="W126" s="32"/>
      <c r="X126" s="32"/>
      <c r="Y126" s="32"/>
      <c r="Z126" s="32">
        <v>5</v>
      </c>
      <c r="AA126" s="32"/>
      <c r="AB126" s="32">
        <v>10</v>
      </c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 t="shared" si="13"/>
        <v>35</v>
      </c>
      <c r="BQ126" s="1">
        <v>23</v>
      </c>
      <c r="BR126" s="17">
        <v>4</v>
      </c>
      <c r="BS126" s="17" t="s">
        <v>268</v>
      </c>
      <c r="BT126" s="1" t="str">
        <f t="shared" si="14"/>
        <v/>
      </c>
      <c r="BU126" s="1" t="str">
        <f t="shared" si="15"/>
        <v/>
      </c>
      <c r="BV126" s="1" t="str">
        <f t="shared" si="16"/>
        <v/>
      </c>
      <c r="BW126" s="1" t="str">
        <f t="shared" si="17"/>
        <v/>
      </c>
      <c r="BX126" s="1" t="str">
        <f t="shared" si="18"/>
        <v/>
      </c>
      <c r="BY126" s="1" t="str">
        <f t="shared" si="19"/>
        <v/>
      </c>
      <c r="BZ126" s="1" t="str">
        <f t="shared" si="20"/>
        <v/>
      </c>
      <c r="CA126" s="1" t="str">
        <f t="shared" si="21"/>
        <v/>
      </c>
      <c r="CB126" s="1" t="str">
        <f t="shared" si="22"/>
        <v/>
      </c>
      <c r="CC126" s="1" t="str">
        <f t="shared" si="23"/>
        <v/>
      </c>
      <c r="CD126" s="1" t="str">
        <f t="shared" si="24"/>
        <v/>
      </c>
      <c r="CE126" s="1" t="str">
        <f t="shared" si="25"/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54" x14ac:dyDescent="0.15">
      <c r="A127" s="1"/>
      <c r="B127" s="1" t="s">
        <v>180</v>
      </c>
      <c r="C127" s="1" t="s">
        <v>179</v>
      </c>
      <c r="D127" s="1" t="s">
        <v>149</v>
      </c>
      <c r="E127" s="6"/>
      <c r="F127" s="6"/>
      <c r="G127" s="6">
        <v>10</v>
      </c>
      <c r="H127" s="6"/>
      <c r="I127" s="6"/>
      <c r="J127" s="6"/>
      <c r="K127" s="6"/>
      <c r="L127" s="6"/>
      <c r="M127" s="6"/>
      <c r="N127" s="6"/>
      <c r="O127" s="6"/>
      <c r="P127" s="32"/>
      <c r="Q127" s="32"/>
      <c r="R127" s="32"/>
      <c r="S127" s="32"/>
      <c r="T127" s="32"/>
      <c r="U127" s="32"/>
      <c r="V127" s="32"/>
      <c r="W127" s="32"/>
      <c r="X127" s="32">
        <v>10</v>
      </c>
      <c r="Y127" s="32"/>
      <c r="Z127" s="32"/>
      <c r="AA127" s="32"/>
      <c r="AB127" s="32"/>
      <c r="AC127" s="32"/>
      <c r="AD127" s="32">
        <v>10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10</v>
      </c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 t="shared" si="13"/>
        <v>40</v>
      </c>
      <c r="BQ127" s="1">
        <v>23</v>
      </c>
      <c r="BR127" s="17">
        <v>4</v>
      </c>
      <c r="BS127" s="17" t="s">
        <v>279</v>
      </c>
      <c r="BT127" s="1" t="str">
        <f t="shared" si="14"/>
        <v/>
      </c>
      <c r="BU127" s="1" t="str">
        <f t="shared" si="15"/>
        <v/>
      </c>
      <c r="BV127" s="1" t="str">
        <f t="shared" si="16"/>
        <v/>
      </c>
      <c r="BW127" s="1" t="str">
        <f t="shared" si="17"/>
        <v/>
      </c>
      <c r="BX127" s="1" t="str">
        <f t="shared" si="18"/>
        <v/>
      </c>
      <c r="BY127" s="1">
        <f t="shared" si="19"/>
        <v>3</v>
      </c>
      <c r="BZ127" s="1" t="str">
        <f t="shared" si="20"/>
        <v/>
      </c>
      <c r="CA127" s="1" t="str">
        <f t="shared" si="21"/>
        <v/>
      </c>
      <c r="CB127" s="1" t="str">
        <f t="shared" si="22"/>
        <v/>
      </c>
      <c r="CC127" s="1" t="str">
        <f t="shared" si="23"/>
        <v/>
      </c>
      <c r="CD127" s="1" t="str">
        <f t="shared" si="24"/>
        <v/>
      </c>
      <c r="CE127" s="1" t="str">
        <f t="shared" si="25"/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54" x14ac:dyDescent="0.15">
      <c r="A128" s="1"/>
      <c r="B128" s="1" t="s">
        <v>196</v>
      </c>
      <c r="C128" s="1" t="s">
        <v>136</v>
      </c>
      <c r="D128" s="1" t="s">
        <v>199</v>
      </c>
      <c r="E128" s="6"/>
      <c r="F128" s="6"/>
      <c r="G128" s="6">
        <v>10</v>
      </c>
      <c r="H128" s="6"/>
      <c r="I128" s="6"/>
      <c r="J128" s="6"/>
      <c r="K128" s="6"/>
      <c r="L128" s="6"/>
      <c r="M128" s="6"/>
      <c r="N128" s="6"/>
      <c r="O128" s="6"/>
      <c r="P128" s="32"/>
      <c r="Q128" s="32"/>
      <c r="R128" s="32"/>
      <c r="S128" s="32"/>
      <c r="T128" s="32"/>
      <c r="U128" s="32"/>
      <c r="V128" s="32"/>
      <c r="W128" s="32"/>
      <c r="X128" s="32">
        <v>10</v>
      </c>
      <c r="Y128" s="32"/>
      <c r="Z128" s="32"/>
      <c r="AA128" s="32"/>
      <c r="AB128" s="32"/>
      <c r="AC128" s="32"/>
      <c r="AD128" s="32">
        <v>10</v>
      </c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>
        <v>10</v>
      </c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 t="shared" si="13"/>
        <v>40</v>
      </c>
      <c r="BQ128" s="1">
        <v>23</v>
      </c>
      <c r="BR128" s="17">
        <v>4</v>
      </c>
      <c r="BS128" s="17" t="s">
        <v>279</v>
      </c>
      <c r="BT128" s="1" t="str">
        <f t="shared" si="14"/>
        <v/>
      </c>
      <c r="BU128" s="1" t="str">
        <f t="shared" si="15"/>
        <v/>
      </c>
      <c r="BV128" s="1" t="str">
        <f t="shared" si="16"/>
        <v/>
      </c>
      <c r="BW128" s="1" t="str">
        <f t="shared" si="17"/>
        <v/>
      </c>
      <c r="BX128" s="1" t="str">
        <f t="shared" si="18"/>
        <v/>
      </c>
      <c r="BY128" s="1">
        <f t="shared" si="19"/>
        <v>3</v>
      </c>
      <c r="BZ128" s="1" t="str">
        <f t="shared" si="20"/>
        <v/>
      </c>
      <c r="CA128" s="1" t="str">
        <f t="shared" si="21"/>
        <v/>
      </c>
      <c r="CB128" s="1" t="str">
        <f t="shared" si="22"/>
        <v/>
      </c>
      <c r="CC128" s="1" t="str">
        <f t="shared" si="23"/>
        <v/>
      </c>
      <c r="CD128" s="1" t="str">
        <f t="shared" si="24"/>
        <v/>
      </c>
      <c r="CE128" s="1" t="str">
        <f t="shared" si="25"/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54" x14ac:dyDescent="0.15">
      <c r="A129" s="1"/>
      <c r="B129" s="1" t="s">
        <v>164</v>
      </c>
      <c r="C129" s="1" t="s">
        <v>165</v>
      </c>
      <c r="D129" s="1" t="s">
        <v>148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/>
      <c r="Q129" s="32">
        <v>5</v>
      </c>
      <c r="R129" s="32"/>
      <c r="S129" s="32"/>
      <c r="T129" s="32"/>
      <c r="U129" s="32"/>
      <c r="V129" s="32">
        <v>10</v>
      </c>
      <c r="W129" s="32"/>
      <c r="X129" s="32"/>
      <c r="Y129" s="32">
        <v>10</v>
      </c>
      <c r="Z129" s="32"/>
      <c r="AA129" s="32"/>
      <c r="AB129" s="32">
        <v>10</v>
      </c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 t="shared" ref="BP129:BP149" si="26">SUM(E129:BO129)</f>
        <v>35</v>
      </c>
      <c r="BQ129" s="1">
        <v>24</v>
      </c>
      <c r="BR129" s="17">
        <v>4</v>
      </c>
      <c r="BS129" s="17" t="s">
        <v>267</v>
      </c>
      <c r="BT129" s="1" t="str">
        <f t="shared" si="14"/>
        <v/>
      </c>
      <c r="BU129" s="1" t="str">
        <f t="shared" si="15"/>
        <v/>
      </c>
      <c r="BV129" s="1" t="str">
        <f t="shared" si="16"/>
        <v/>
      </c>
      <c r="BW129" s="1" t="str">
        <f t="shared" si="17"/>
        <v/>
      </c>
      <c r="BX129" s="1" t="str">
        <f t="shared" si="18"/>
        <v/>
      </c>
      <c r="BY129" s="1" t="str">
        <f t="shared" si="19"/>
        <v/>
      </c>
      <c r="BZ129" s="1" t="str">
        <f t="shared" si="20"/>
        <v/>
      </c>
      <c r="CA129" s="1" t="str">
        <f t="shared" si="21"/>
        <v/>
      </c>
      <c r="CB129" s="1" t="str">
        <f t="shared" si="22"/>
        <v/>
      </c>
      <c r="CC129" s="1" t="str">
        <f t="shared" si="23"/>
        <v/>
      </c>
      <c r="CD129" s="1" t="str">
        <f t="shared" si="24"/>
        <v/>
      </c>
      <c r="CE129" s="1" t="str">
        <f t="shared" si="25"/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54" x14ac:dyDescent="0.15">
      <c r="A130" s="1"/>
      <c r="B130" s="1" t="s">
        <v>172</v>
      </c>
      <c r="C130" s="1" t="s">
        <v>170</v>
      </c>
      <c r="D130" s="1" t="s">
        <v>148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>
        <v>5</v>
      </c>
      <c r="R130" s="32"/>
      <c r="S130" s="32"/>
      <c r="T130" s="32"/>
      <c r="U130" s="32"/>
      <c r="V130" s="32">
        <v>10</v>
      </c>
      <c r="W130" s="32"/>
      <c r="X130" s="32"/>
      <c r="Y130" s="32">
        <v>10</v>
      </c>
      <c r="Z130" s="32"/>
      <c r="AA130" s="32"/>
      <c r="AB130" s="32">
        <v>10</v>
      </c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 t="shared" si="26"/>
        <v>35</v>
      </c>
      <c r="BQ130" s="1">
        <v>24</v>
      </c>
      <c r="BR130" s="17">
        <v>4</v>
      </c>
      <c r="BS130" s="17" t="s">
        <v>267</v>
      </c>
      <c r="BT130" s="1" t="str">
        <f t="shared" si="14"/>
        <v/>
      </c>
      <c r="BU130" s="1" t="str">
        <f t="shared" si="15"/>
        <v/>
      </c>
      <c r="BV130" s="1" t="str">
        <f t="shared" si="16"/>
        <v/>
      </c>
      <c r="BW130" s="1" t="str">
        <f t="shared" si="17"/>
        <v/>
      </c>
      <c r="BX130" s="1" t="str">
        <f t="shared" si="18"/>
        <v/>
      </c>
      <c r="BY130" s="1" t="str">
        <f t="shared" si="19"/>
        <v/>
      </c>
      <c r="BZ130" s="1" t="str">
        <f t="shared" si="20"/>
        <v/>
      </c>
      <c r="CA130" s="1" t="str">
        <f t="shared" si="21"/>
        <v/>
      </c>
      <c r="CB130" s="1" t="str">
        <f t="shared" si="22"/>
        <v/>
      </c>
      <c r="CC130" s="1" t="str">
        <f t="shared" si="23"/>
        <v/>
      </c>
      <c r="CD130" s="1" t="str">
        <f t="shared" si="24"/>
        <v/>
      </c>
      <c r="CE130" s="1" t="str">
        <f t="shared" si="25"/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54" x14ac:dyDescent="0.15">
      <c r="A131" s="1"/>
      <c r="B131" s="1" t="s">
        <v>163</v>
      </c>
      <c r="C131" s="1" t="s">
        <v>146</v>
      </c>
      <c r="D131" s="1" t="s">
        <v>149</v>
      </c>
      <c r="E131" s="6"/>
      <c r="F131" s="6"/>
      <c r="G131" s="6"/>
      <c r="H131" s="6">
        <v>10</v>
      </c>
      <c r="I131" s="6"/>
      <c r="J131" s="6"/>
      <c r="K131" s="6"/>
      <c r="L131" s="6"/>
      <c r="M131" s="6"/>
      <c r="N131" s="6"/>
      <c r="O131" s="6"/>
      <c r="P131" s="32"/>
      <c r="Q131" s="32"/>
      <c r="R131" s="32">
        <v>10</v>
      </c>
      <c r="S131" s="32"/>
      <c r="T131" s="32"/>
      <c r="U131" s="32"/>
      <c r="V131" s="32"/>
      <c r="W131" s="32"/>
      <c r="X131" s="32">
        <v>10</v>
      </c>
      <c r="Y131" s="32"/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>
        <v>10</v>
      </c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 t="shared" si="26"/>
        <v>40</v>
      </c>
      <c r="BQ131" s="1">
        <v>26</v>
      </c>
      <c r="BR131" s="17">
        <v>4</v>
      </c>
      <c r="BS131" s="17" t="s">
        <v>293</v>
      </c>
      <c r="BT131" s="1" t="str">
        <f t="shared" ref="BT131:BT149" si="27">IF(AQ131&gt;AQ$151, AQ131-AQ$151,"")</f>
        <v/>
      </c>
      <c r="BU131" s="1">
        <f t="shared" ref="BU131:BU149" si="28">IF(AR131&gt;AR$151, AR131-AR$151,"")</f>
        <v>4</v>
      </c>
      <c r="BV131" s="1" t="str">
        <f t="shared" ref="BV131:BV149" si="29">IF(AS131&gt;AS$151, AS131-AS$151,"")</f>
        <v/>
      </c>
      <c r="BW131" s="1" t="str">
        <f t="shared" ref="BW131:BW149" si="30">IF(AT131&gt;AT$151, AT131-AT$151,"")</f>
        <v/>
      </c>
      <c r="BX131" s="1" t="str">
        <f t="shared" ref="BX131:BX149" si="31">IF(AU131&gt;AU$151, AU131-AU$151,"")</f>
        <v/>
      </c>
      <c r="BY131" s="1" t="str">
        <f t="shared" ref="BY131:BY149" si="32">IF(AV131&gt;AV$151, AV131-AV$151,"")</f>
        <v/>
      </c>
      <c r="BZ131" s="1" t="str">
        <f t="shared" ref="BZ131:BZ149" si="33">IF(AW131&gt;AW$151, AW131-AW$151,"")</f>
        <v/>
      </c>
      <c r="CA131" s="1" t="str">
        <f t="shared" ref="CA131:CA149" si="34">IF(AX131&gt;AX$151, AX131-AX$151,"")</f>
        <v/>
      </c>
      <c r="CB131" s="1" t="str">
        <f t="shared" ref="CB131:CB149" si="35">IF(AY131&gt;AY$151, AY131-AY$151,"")</f>
        <v/>
      </c>
      <c r="CC131" s="1" t="str">
        <f t="shared" ref="CC131:CC149" si="36">IF(AZ131&gt;AZ$151, AZ131-AZ$151,"")</f>
        <v/>
      </c>
      <c r="CD131" s="1" t="str">
        <f t="shared" ref="CD131:CD149" si="37">IF(BA131&gt;BA$151, BA131-BA$151,"")</f>
        <v/>
      </c>
      <c r="CE131" s="1" t="str">
        <f t="shared" ref="CE131:CE149" si="38">IF(BB131&gt;BB$151, BB131-BB$151,"")</f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54" x14ac:dyDescent="0.15">
      <c r="A132" s="1"/>
      <c r="B132" s="1" t="s">
        <v>158</v>
      </c>
      <c r="C132" s="1" t="s">
        <v>146</v>
      </c>
      <c r="D132" s="1" t="s">
        <v>149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>
        <v>10</v>
      </c>
      <c r="P132" s="32"/>
      <c r="Q132" s="32"/>
      <c r="R132" s="32">
        <v>10</v>
      </c>
      <c r="S132" s="32"/>
      <c r="T132" s="32"/>
      <c r="U132" s="32"/>
      <c r="V132" s="32"/>
      <c r="W132" s="32"/>
      <c r="X132" s="32">
        <v>10</v>
      </c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>
        <v>10</v>
      </c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 t="shared" si="26"/>
        <v>40</v>
      </c>
      <c r="BQ132" s="1">
        <v>29</v>
      </c>
      <c r="BR132" s="17">
        <v>4</v>
      </c>
      <c r="BS132" s="17" t="s">
        <v>301</v>
      </c>
      <c r="BT132" s="1" t="str">
        <f t="shared" si="27"/>
        <v/>
      </c>
      <c r="BU132" s="1" t="str">
        <f t="shared" si="28"/>
        <v/>
      </c>
      <c r="BV132" s="1">
        <f t="shared" si="29"/>
        <v>8</v>
      </c>
      <c r="BW132" s="1" t="str">
        <f t="shared" si="30"/>
        <v/>
      </c>
      <c r="BX132" s="1" t="str">
        <f t="shared" si="31"/>
        <v/>
      </c>
      <c r="BY132" s="1" t="str">
        <f t="shared" si="32"/>
        <v/>
      </c>
      <c r="BZ132" s="1" t="str">
        <f t="shared" si="33"/>
        <v/>
      </c>
      <c r="CA132" s="1" t="str">
        <f t="shared" si="34"/>
        <v/>
      </c>
      <c r="CB132" s="1" t="str">
        <f t="shared" si="35"/>
        <v/>
      </c>
      <c r="CC132" s="1" t="str">
        <f t="shared" si="36"/>
        <v/>
      </c>
      <c r="CD132" s="1" t="str">
        <f t="shared" si="37"/>
        <v/>
      </c>
      <c r="CE132" s="1" t="str">
        <f t="shared" si="38"/>
        <v/>
      </c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54" x14ac:dyDescent="0.15">
      <c r="A133" s="1"/>
      <c r="B133" s="1" t="s">
        <v>181</v>
      </c>
      <c r="C133" s="1" t="s">
        <v>179</v>
      </c>
      <c r="D133" s="1" t="s">
        <v>149</v>
      </c>
      <c r="E133" s="6"/>
      <c r="F133" s="6"/>
      <c r="G133" s="6"/>
      <c r="H133" s="6">
        <v>10</v>
      </c>
      <c r="I133" s="6"/>
      <c r="J133" s="6"/>
      <c r="K133" s="6"/>
      <c r="L133" s="6"/>
      <c r="M133" s="6"/>
      <c r="N133" s="6"/>
      <c r="O133" s="6"/>
      <c r="P133" s="32"/>
      <c r="Q133" s="32"/>
      <c r="R133" s="32">
        <v>10</v>
      </c>
      <c r="S133" s="32"/>
      <c r="T133" s="32"/>
      <c r="U133" s="32">
        <v>10</v>
      </c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>
        <v>10</v>
      </c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 t="shared" si="26"/>
        <v>40</v>
      </c>
      <c r="BQ133" s="1">
        <v>34</v>
      </c>
      <c r="BR133" s="17">
        <v>4</v>
      </c>
      <c r="BS133" s="17" t="s">
        <v>304</v>
      </c>
      <c r="BT133" s="1" t="str">
        <f t="shared" si="27"/>
        <v/>
      </c>
      <c r="BU133" s="1" t="str">
        <f t="shared" si="28"/>
        <v/>
      </c>
      <c r="BV133" s="1" t="str">
        <f t="shared" si="29"/>
        <v/>
      </c>
      <c r="BW133" s="1" t="str">
        <f t="shared" si="30"/>
        <v/>
      </c>
      <c r="BX133" s="1">
        <f t="shared" si="31"/>
        <v>6</v>
      </c>
      <c r="BY133" s="1" t="str">
        <f t="shared" si="32"/>
        <v/>
      </c>
      <c r="BZ133" s="1" t="str">
        <f t="shared" si="33"/>
        <v/>
      </c>
      <c r="CA133" s="1" t="str">
        <f t="shared" si="34"/>
        <v/>
      </c>
      <c r="CB133" s="1" t="str">
        <f t="shared" si="35"/>
        <v/>
      </c>
      <c r="CC133" s="1" t="str">
        <f t="shared" si="36"/>
        <v/>
      </c>
      <c r="CD133" s="1" t="str">
        <f t="shared" si="37"/>
        <v/>
      </c>
      <c r="CE133" s="1" t="str">
        <f t="shared" si="38"/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54" x14ac:dyDescent="0.15">
      <c r="A134" s="1"/>
      <c r="B134" s="1" t="s">
        <v>164</v>
      </c>
      <c r="C134" s="1" t="s">
        <v>165</v>
      </c>
      <c r="D134" s="1" t="s">
        <v>147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>
        <v>10</v>
      </c>
      <c r="Q134" s="32"/>
      <c r="R134" s="32"/>
      <c r="S134" s="32">
        <v>10</v>
      </c>
      <c r="T134" s="32"/>
      <c r="U134" s="32"/>
      <c r="V134" s="32">
        <v>10</v>
      </c>
      <c r="W134" s="32"/>
      <c r="X134" s="32"/>
      <c r="Y134" s="32">
        <v>10</v>
      </c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 t="shared" si="26"/>
        <v>40</v>
      </c>
      <c r="BQ134" s="1">
        <v>35</v>
      </c>
      <c r="BR134" s="17">
        <v>4</v>
      </c>
      <c r="BS134" s="17" t="s">
        <v>225</v>
      </c>
      <c r="BT134" s="1" t="str">
        <f t="shared" si="27"/>
        <v/>
      </c>
      <c r="BU134" s="1" t="str">
        <f t="shared" si="28"/>
        <v/>
      </c>
      <c r="BV134" s="1" t="str">
        <f t="shared" si="29"/>
        <v/>
      </c>
      <c r="BW134" s="1" t="str">
        <f t="shared" si="30"/>
        <v/>
      </c>
      <c r="BX134" s="1" t="str">
        <f t="shared" si="31"/>
        <v/>
      </c>
      <c r="BY134" s="1" t="str">
        <f t="shared" si="32"/>
        <v/>
      </c>
      <c r="BZ134" s="1" t="str">
        <f t="shared" si="33"/>
        <v/>
      </c>
      <c r="CA134" s="1" t="str">
        <f t="shared" si="34"/>
        <v/>
      </c>
      <c r="CB134" s="1" t="str">
        <f t="shared" si="35"/>
        <v/>
      </c>
      <c r="CC134" s="1" t="str">
        <f t="shared" si="36"/>
        <v/>
      </c>
      <c r="CD134" s="1" t="str">
        <f t="shared" si="37"/>
        <v/>
      </c>
      <c r="CE134" s="1" t="str">
        <f t="shared" si="38"/>
        <v/>
      </c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54" x14ac:dyDescent="0.15">
      <c r="A135" s="1"/>
      <c r="B135" s="1" t="s">
        <v>172</v>
      </c>
      <c r="C135" s="1" t="s">
        <v>170</v>
      </c>
      <c r="D135" s="1" t="s">
        <v>147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32">
        <v>10</v>
      </c>
      <c r="Q135" s="32"/>
      <c r="R135" s="32"/>
      <c r="S135" s="32">
        <v>10</v>
      </c>
      <c r="T135" s="32"/>
      <c r="U135" s="32"/>
      <c r="V135" s="32">
        <v>10</v>
      </c>
      <c r="W135" s="32"/>
      <c r="X135" s="32"/>
      <c r="Y135" s="32">
        <v>10</v>
      </c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 t="shared" si="26"/>
        <v>40</v>
      </c>
      <c r="BQ135" s="1">
        <v>35</v>
      </c>
      <c r="BR135" s="17">
        <v>4</v>
      </c>
      <c r="BS135" s="17" t="s">
        <v>225</v>
      </c>
      <c r="BT135" s="1" t="str">
        <f t="shared" si="27"/>
        <v/>
      </c>
      <c r="BU135" s="1" t="str">
        <f t="shared" si="28"/>
        <v/>
      </c>
      <c r="BV135" s="1" t="str">
        <f t="shared" si="29"/>
        <v/>
      </c>
      <c r="BW135" s="1" t="str">
        <f t="shared" si="30"/>
        <v/>
      </c>
      <c r="BX135" s="1" t="str">
        <f t="shared" si="31"/>
        <v/>
      </c>
      <c r="BY135" s="1" t="str">
        <f t="shared" si="32"/>
        <v/>
      </c>
      <c r="BZ135" s="1" t="str">
        <f t="shared" si="33"/>
        <v/>
      </c>
      <c r="CA135" s="1" t="str">
        <f t="shared" si="34"/>
        <v/>
      </c>
      <c r="CB135" s="1" t="str">
        <f t="shared" si="35"/>
        <v/>
      </c>
      <c r="CC135" s="1" t="str">
        <f t="shared" si="36"/>
        <v/>
      </c>
      <c r="CD135" s="1" t="str">
        <f t="shared" si="37"/>
        <v/>
      </c>
      <c r="CE135" s="1" t="str">
        <f t="shared" si="38"/>
        <v/>
      </c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54" x14ac:dyDescent="0.15">
      <c r="A136" s="1"/>
      <c r="B136" s="1" t="s">
        <v>174</v>
      </c>
      <c r="C136" s="1" t="s">
        <v>176</v>
      </c>
      <c r="D136" s="1" t="s">
        <v>147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32">
        <v>10</v>
      </c>
      <c r="Q136" s="32"/>
      <c r="R136" s="32"/>
      <c r="S136" s="32">
        <v>10</v>
      </c>
      <c r="T136" s="32"/>
      <c r="U136" s="32"/>
      <c r="V136" s="32">
        <v>10</v>
      </c>
      <c r="W136" s="32"/>
      <c r="X136" s="32"/>
      <c r="Y136" s="32">
        <v>10</v>
      </c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 t="shared" si="26"/>
        <v>40</v>
      </c>
      <c r="BQ136" s="1">
        <v>35</v>
      </c>
      <c r="BR136" s="17">
        <v>4</v>
      </c>
      <c r="BS136" s="17" t="s">
        <v>225</v>
      </c>
      <c r="BT136" s="1" t="str">
        <f t="shared" si="27"/>
        <v/>
      </c>
      <c r="BU136" s="1" t="str">
        <f t="shared" si="28"/>
        <v/>
      </c>
      <c r="BV136" s="1" t="str">
        <f t="shared" si="29"/>
        <v/>
      </c>
      <c r="BW136" s="1" t="str">
        <f t="shared" si="30"/>
        <v/>
      </c>
      <c r="BX136" s="1" t="str">
        <f t="shared" si="31"/>
        <v/>
      </c>
      <c r="BY136" s="1" t="str">
        <f t="shared" si="32"/>
        <v/>
      </c>
      <c r="BZ136" s="1" t="str">
        <f t="shared" si="33"/>
        <v/>
      </c>
      <c r="CA136" s="1" t="str">
        <f t="shared" si="34"/>
        <v/>
      </c>
      <c r="CB136" s="1" t="str">
        <f t="shared" si="35"/>
        <v/>
      </c>
      <c r="CC136" s="1" t="str">
        <f t="shared" si="36"/>
        <v/>
      </c>
      <c r="CD136" s="1" t="str">
        <f t="shared" si="37"/>
        <v/>
      </c>
      <c r="CE136" s="1" t="str">
        <f t="shared" si="38"/>
        <v/>
      </c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54" x14ac:dyDescent="0.15">
      <c r="A137" s="1"/>
      <c r="B137" s="1" t="s">
        <v>181</v>
      </c>
      <c r="C137" s="1" t="s">
        <v>179</v>
      </c>
      <c r="D137" s="1" t="s">
        <v>147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32">
        <v>10</v>
      </c>
      <c r="Q137" s="32"/>
      <c r="R137" s="32"/>
      <c r="S137" s="32">
        <v>10</v>
      </c>
      <c r="T137" s="32"/>
      <c r="U137" s="32"/>
      <c r="V137" s="32">
        <v>10</v>
      </c>
      <c r="W137" s="32"/>
      <c r="X137" s="32"/>
      <c r="Y137" s="32">
        <v>10</v>
      </c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 t="shared" si="26"/>
        <v>40</v>
      </c>
      <c r="BQ137" s="1">
        <v>35</v>
      </c>
      <c r="BR137" s="17">
        <v>4</v>
      </c>
      <c r="BS137" s="17" t="s">
        <v>225</v>
      </c>
      <c r="BT137" s="1" t="str">
        <f t="shared" si="27"/>
        <v/>
      </c>
      <c r="BU137" s="1" t="str">
        <f t="shared" si="28"/>
        <v/>
      </c>
      <c r="BV137" s="1" t="str">
        <f t="shared" si="29"/>
        <v/>
      </c>
      <c r="BW137" s="1" t="str">
        <f t="shared" si="30"/>
        <v/>
      </c>
      <c r="BX137" s="1" t="str">
        <f t="shared" si="31"/>
        <v/>
      </c>
      <c r="BY137" s="1" t="str">
        <f t="shared" si="32"/>
        <v/>
      </c>
      <c r="BZ137" s="1" t="str">
        <f t="shared" si="33"/>
        <v/>
      </c>
      <c r="CA137" s="1" t="str">
        <f t="shared" si="34"/>
        <v/>
      </c>
      <c r="CB137" s="1" t="str">
        <f t="shared" si="35"/>
        <v/>
      </c>
      <c r="CC137" s="1" t="str">
        <f t="shared" si="36"/>
        <v/>
      </c>
      <c r="CD137" s="1" t="str">
        <f t="shared" si="37"/>
        <v/>
      </c>
      <c r="CE137" s="1" t="str">
        <f t="shared" si="38"/>
        <v/>
      </c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54" x14ac:dyDescent="0.15">
      <c r="A138" s="1"/>
      <c r="B138" s="1" t="s">
        <v>184</v>
      </c>
      <c r="C138" s="1" t="s">
        <v>179</v>
      </c>
      <c r="D138" s="1" t="s">
        <v>147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32">
        <v>10</v>
      </c>
      <c r="Q138" s="32"/>
      <c r="R138" s="32"/>
      <c r="S138" s="32">
        <v>10</v>
      </c>
      <c r="T138" s="32"/>
      <c r="U138" s="32"/>
      <c r="V138" s="32">
        <v>10</v>
      </c>
      <c r="W138" s="32"/>
      <c r="X138" s="32"/>
      <c r="Y138" s="32">
        <v>10</v>
      </c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 t="shared" si="26"/>
        <v>40</v>
      </c>
      <c r="BQ138" s="1">
        <v>35</v>
      </c>
      <c r="BR138" s="17">
        <v>4</v>
      </c>
      <c r="BS138" s="17" t="s">
        <v>225</v>
      </c>
      <c r="BT138" s="1" t="str">
        <f t="shared" si="27"/>
        <v/>
      </c>
      <c r="BU138" s="1" t="str">
        <f t="shared" si="28"/>
        <v/>
      </c>
      <c r="BV138" s="1" t="str">
        <f t="shared" si="29"/>
        <v/>
      </c>
      <c r="BW138" s="1" t="str">
        <f t="shared" si="30"/>
        <v/>
      </c>
      <c r="BX138" s="1" t="str">
        <f t="shared" si="31"/>
        <v/>
      </c>
      <c r="BY138" s="1" t="str">
        <f t="shared" si="32"/>
        <v/>
      </c>
      <c r="BZ138" s="1" t="str">
        <f t="shared" si="33"/>
        <v/>
      </c>
      <c r="CA138" s="1" t="str">
        <f t="shared" si="34"/>
        <v/>
      </c>
      <c r="CB138" s="1" t="str">
        <f t="shared" si="35"/>
        <v/>
      </c>
      <c r="CC138" s="1" t="str">
        <f t="shared" si="36"/>
        <v/>
      </c>
      <c r="CD138" s="1" t="str">
        <f t="shared" si="37"/>
        <v/>
      </c>
      <c r="CE138" s="1" t="str">
        <f t="shared" si="38"/>
        <v/>
      </c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54" x14ac:dyDescent="0.15">
      <c r="A139" s="1"/>
      <c r="B139" s="1" t="s">
        <v>185</v>
      </c>
      <c r="C139" s="1" t="s">
        <v>179</v>
      </c>
      <c r="D139" s="1" t="s">
        <v>147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32">
        <v>10</v>
      </c>
      <c r="Q139" s="32"/>
      <c r="R139" s="32"/>
      <c r="S139" s="32">
        <v>10</v>
      </c>
      <c r="T139" s="32"/>
      <c r="U139" s="32"/>
      <c r="V139" s="32">
        <v>10</v>
      </c>
      <c r="W139" s="32"/>
      <c r="X139" s="32"/>
      <c r="Y139" s="32">
        <v>10</v>
      </c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 t="shared" si="26"/>
        <v>40</v>
      </c>
      <c r="BQ139" s="1">
        <v>35</v>
      </c>
      <c r="BR139" s="17">
        <v>4</v>
      </c>
      <c r="BS139" s="17" t="s">
        <v>225</v>
      </c>
      <c r="BT139" s="1" t="str">
        <f t="shared" si="27"/>
        <v/>
      </c>
      <c r="BU139" s="1" t="str">
        <f t="shared" si="28"/>
        <v/>
      </c>
      <c r="BV139" s="1" t="str">
        <f t="shared" si="29"/>
        <v/>
      </c>
      <c r="BW139" s="1" t="str">
        <f t="shared" si="30"/>
        <v/>
      </c>
      <c r="BX139" s="1" t="str">
        <f t="shared" si="31"/>
        <v/>
      </c>
      <c r="BY139" s="1" t="str">
        <f t="shared" si="32"/>
        <v/>
      </c>
      <c r="BZ139" s="1" t="str">
        <f t="shared" si="33"/>
        <v/>
      </c>
      <c r="CA139" s="1" t="str">
        <f t="shared" si="34"/>
        <v/>
      </c>
      <c r="CB139" s="1" t="str">
        <f t="shared" si="35"/>
        <v/>
      </c>
      <c r="CC139" s="1" t="str">
        <f t="shared" si="36"/>
        <v/>
      </c>
      <c r="CD139" s="1" t="str">
        <f t="shared" si="37"/>
        <v/>
      </c>
      <c r="CE139" s="1" t="str">
        <f t="shared" si="38"/>
        <v/>
      </c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54" x14ac:dyDescent="0.15">
      <c r="A140" s="1">
        <v>54</v>
      </c>
      <c r="B140" s="1" t="s">
        <v>60</v>
      </c>
      <c r="C140" s="1" t="s">
        <v>61</v>
      </c>
      <c r="D140" s="1" t="s">
        <v>1</v>
      </c>
      <c r="E140" s="6"/>
      <c r="F140" s="6">
        <v>15</v>
      </c>
      <c r="G140" s="6"/>
      <c r="H140" s="6">
        <v>15</v>
      </c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>
        <v>15</v>
      </c>
      <c r="AW140" s="2"/>
      <c r="AX140" s="2"/>
      <c r="AY140" s="2"/>
      <c r="AZ140" s="2"/>
      <c r="BA140" s="2">
        <v>15</v>
      </c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 t="shared" si="26"/>
        <v>60</v>
      </c>
      <c r="BQ140" s="1">
        <v>47</v>
      </c>
      <c r="BR140" s="17">
        <v>4</v>
      </c>
      <c r="BS140" s="17" t="s">
        <v>296</v>
      </c>
      <c r="BT140" s="1" t="str">
        <f t="shared" si="27"/>
        <v/>
      </c>
      <c r="BU140" s="1" t="str">
        <f t="shared" si="28"/>
        <v/>
      </c>
      <c r="BV140" s="1" t="str">
        <f t="shared" si="29"/>
        <v/>
      </c>
      <c r="BW140" s="1" t="str">
        <f t="shared" si="30"/>
        <v/>
      </c>
      <c r="BX140" s="1" t="str">
        <f t="shared" si="31"/>
        <v/>
      </c>
      <c r="BY140" s="1">
        <f t="shared" si="32"/>
        <v>8</v>
      </c>
      <c r="BZ140" s="1" t="str">
        <f t="shared" si="33"/>
        <v/>
      </c>
      <c r="CA140" s="1" t="str">
        <f t="shared" si="34"/>
        <v/>
      </c>
      <c r="CB140" s="1" t="str">
        <f t="shared" si="35"/>
        <v/>
      </c>
      <c r="CC140" s="1" t="str">
        <f t="shared" si="36"/>
        <v/>
      </c>
      <c r="CD140" s="1">
        <f t="shared" si="37"/>
        <v>15</v>
      </c>
      <c r="CE140" s="1" t="str">
        <f t="shared" si="38"/>
        <v/>
      </c>
      <c r="CF140" s="1">
        <f>COUNTIF(BT140:CE140, "&gt;0")</f>
        <v>2</v>
      </c>
      <c r="CG140" s="1" t="str">
        <f>IF($CF140=1,BT140,"")</f>
        <v/>
      </c>
      <c r="CH140" s="1" t="str">
        <f>IF($CF140=1,BU140,"")</f>
        <v/>
      </c>
      <c r="CI140" s="1" t="str">
        <f>IF($CF140=1,BV140,"")</f>
        <v/>
      </c>
      <c r="CJ140" s="1" t="str">
        <f>IF($CF140=1,BW140,"")</f>
        <v/>
      </c>
      <c r="CK140" s="1" t="str">
        <f>IF($CF140=1,BX140,"")</f>
        <v/>
      </c>
      <c r="CL140" s="1" t="str">
        <f>IF($CF140=1,BY140,"")</f>
        <v/>
      </c>
      <c r="CM140" s="1" t="str">
        <f>IF($CF140=1,BZ140,"")</f>
        <v/>
      </c>
      <c r="CN140" s="1" t="str">
        <f>IF($CF140=1,CA140,"")</f>
        <v/>
      </c>
      <c r="CO140" s="1" t="str">
        <f>IF($CF140=1,CB140,"")</f>
        <v/>
      </c>
      <c r="CP140" s="1" t="str">
        <f>IF($CF140=1,CC140,"")</f>
        <v/>
      </c>
      <c r="CQ140" s="1" t="str">
        <f>IF($CF140=1,CD140,"")</f>
        <v/>
      </c>
      <c r="CR140" s="1" t="str">
        <f>IF($CF140=1,CE140,"")</f>
        <v/>
      </c>
      <c r="CS140" s="18">
        <f>SUM(AE140:BO140)</f>
        <v>30</v>
      </c>
    </row>
    <row r="141" spans="1:97" ht="54" x14ac:dyDescent="0.15">
      <c r="A141" s="1">
        <v>65</v>
      </c>
      <c r="B141" s="3" t="s">
        <v>66</v>
      </c>
      <c r="C141" s="1" t="s">
        <v>61</v>
      </c>
      <c r="D141" s="1" t="s">
        <v>13</v>
      </c>
      <c r="E141" s="6"/>
      <c r="F141" s="6"/>
      <c r="G141" s="6">
        <v>10</v>
      </c>
      <c r="H141" s="6"/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>
        <v>25</v>
      </c>
      <c r="AO141" s="1"/>
      <c r="AP141" s="1"/>
      <c r="AQ141" s="4"/>
      <c r="AR141" s="4"/>
      <c r="AS141" s="4"/>
      <c r="AT141" s="4"/>
      <c r="AU141" s="4"/>
      <c r="AV141" s="4">
        <v>10</v>
      </c>
      <c r="AW141" s="2"/>
      <c r="AX141" s="2"/>
      <c r="AY141" s="2"/>
      <c r="AZ141" s="2">
        <v>10</v>
      </c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 t="shared" si="26"/>
        <v>55</v>
      </c>
      <c r="BQ141" s="1">
        <v>48</v>
      </c>
      <c r="BR141" s="17">
        <v>4</v>
      </c>
      <c r="BS141" s="17" t="s">
        <v>255</v>
      </c>
      <c r="BT141" s="1" t="str">
        <f t="shared" si="27"/>
        <v/>
      </c>
      <c r="BU141" s="1" t="str">
        <f t="shared" si="28"/>
        <v/>
      </c>
      <c r="BV141" s="1" t="str">
        <f t="shared" si="29"/>
        <v/>
      </c>
      <c r="BW141" s="1" t="str">
        <f t="shared" si="30"/>
        <v/>
      </c>
      <c r="BX141" s="1" t="str">
        <f t="shared" si="31"/>
        <v/>
      </c>
      <c r="BY141" s="1">
        <f t="shared" si="32"/>
        <v>3</v>
      </c>
      <c r="BZ141" s="1" t="str">
        <f t="shared" si="33"/>
        <v/>
      </c>
      <c r="CA141" s="1" t="str">
        <f t="shared" si="34"/>
        <v/>
      </c>
      <c r="CB141" s="1" t="str">
        <f t="shared" si="35"/>
        <v/>
      </c>
      <c r="CC141" s="1">
        <f t="shared" si="36"/>
        <v>10</v>
      </c>
      <c r="CD141" s="1" t="str">
        <f t="shared" si="37"/>
        <v/>
      </c>
      <c r="CE141" s="1" t="str">
        <f t="shared" si="38"/>
        <v/>
      </c>
      <c r="CF141" s="1">
        <f>COUNTIF(BT141:CE141, "&gt;0")</f>
        <v>2</v>
      </c>
      <c r="CG141" s="1" t="str">
        <f>IF($CF141=1,BT141,"")</f>
        <v/>
      </c>
      <c r="CH141" s="1" t="str">
        <f>IF($CF141=1,BU141,"")</f>
        <v/>
      </c>
      <c r="CI141" s="1" t="str">
        <f>IF($CF141=1,BV141,"")</f>
        <v/>
      </c>
      <c r="CJ141" s="1" t="str">
        <f>IF($CF141=1,BW141,"")</f>
        <v/>
      </c>
      <c r="CK141" s="1" t="str">
        <f>IF($CF141=1,BX141,"")</f>
        <v/>
      </c>
      <c r="CL141" s="1" t="str">
        <f>IF($CF141=1,BY141,"")</f>
        <v/>
      </c>
      <c r="CM141" s="1" t="str">
        <f>IF($CF141=1,BZ141,"")</f>
        <v/>
      </c>
      <c r="CN141" s="1" t="str">
        <f>IF($CF141=1,CA141,"")</f>
        <v/>
      </c>
      <c r="CO141" s="1" t="str">
        <f>IF($CF141=1,CB141,"")</f>
        <v/>
      </c>
      <c r="CP141" s="1" t="str">
        <f>IF($CF141=1,CC141,"")</f>
        <v/>
      </c>
      <c r="CQ141" s="1" t="str">
        <f>IF($CF141=1,CD141,"")</f>
        <v/>
      </c>
      <c r="CR141" s="1" t="str">
        <f>IF($CF141=1,CE141,"")</f>
        <v/>
      </c>
      <c r="CS141" s="18">
        <f>SUM(AE141:BO141)</f>
        <v>45</v>
      </c>
    </row>
    <row r="142" spans="1:97" ht="54" x14ac:dyDescent="0.15">
      <c r="A142" s="1"/>
      <c r="B142" s="1" t="s">
        <v>202</v>
      </c>
      <c r="C142" s="1" t="s">
        <v>113</v>
      </c>
      <c r="D142" s="1" t="s">
        <v>115</v>
      </c>
      <c r="E142" s="6">
        <v>10</v>
      </c>
      <c r="F142" s="6"/>
      <c r="G142" s="6">
        <v>10</v>
      </c>
      <c r="H142" s="6"/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>
        <v>15</v>
      </c>
      <c r="AU142" s="4"/>
      <c r="AV142" s="4"/>
      <c r="AW142" s="2"/>
      <c r="AX142" s="2"/>
      <c r="AY142" s="2"/>
      <c r="AZ142" s="2">
        <v>15</v>
      </c>
      <c r="BA142" s="2">
        <v>15</v>
      </c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 t="shared" si="26"/>
        <v>65</v>
      </c>
      <c r="BQ142" s="1">
        <v>48</v>
      </c>
      <c r="BR142" s="17">
        <v>4</v>
      </c>
      <c r="BS142" s="17" t="s">
        <v>258</v>
      </c>
      <c r="BT142" s="1" t="str">
        <f t="shared" si="27"/>
        <v/>
      </c>
      <c r="BU142" s="1" t="str">
        <f t="shared" si="28"/>
        <v/>
      </c>
      <c r="BV142" s="1" t="str">
        <f t="shared" si="29"/>
        <v/>
      </c>
      <c r="BW142" s="1">
        <f t="shared" si="30"/>
        <v>8</v>
      </c>
      <c r="BX142" s="1" t="str">
        <f t="shared" si="31"/>
        <v/>
      </c>
      <c r="BY142" s="1" t="str">
        <f t="shared" si="32"/>
        <v/>
      </c>
      <c r="BZ142" s="1" t="str">
        <f t="shared" si="33"/>
        <v/>
      </c>
      <c r="CA142" s="1" t="str">
        <f t="shared" si="34"/>
        <v/>
      </c>
      <c r="CB142" s="1" t="str">
        <f t="shared" si="35"/>
        <v/>
      </c>
      <c r="CC142" s="1">
        <f t="shared" si="36"/>
        <v>15</v>
      </c>
      <c r="CD142" s="1">
        <f t="shared" si="37"/>
        <v>15</v>
      </c>
      <c r="CE142" s="1" t="str">
        <f t="shared" si="38"/>
        <v/>
      </c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54" x14ac:dyDescent="0.15">
      <c r="A143" s="1">
        <v>23</v>
      </c>
      <c r="B143" s="1" t="s">
        <v>109</v>
      </c>
      <c r="C143" s="1" t="s">
        <v>32</v>
      </c>
      <c r="D143" s="1" t="s">
        <v>40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>
        <v>50</v>
      </c>
      <c r="BK143" s="1">
        <v>50</v>
      </c>
      <c r="BL143" s="1"/>
      <c r="BM143" s="1"/>
      <c r="BN143" s="1">
        <v>50</v>
      </c>
      <c r="BO143" s="1">
        <v>50</v>
      </c>
      <c r="BP143" s="1">
        <f t="shared" si="26"/>
        <v>200</v>
      </c>
      <c r="BQ143" s="1">
        <v>174</v>
      </c>
      <c r="BR143" s="17">
        <v>4</v>
      </c>
      <c r="BS143" s="17" t="s">
        <v>307</v>
      </c>
      <c r="BT143" s="1" t="str">
        <f t="shared" si="27"/>
        <v/>
      </c>
      <c r="BU143" s="1" t="str">
        <f t="shared" si="28"/>
        <v/>
      </c>
      <c r="BV143" s="1" t="str">
        <f t="shared" si="29"/>
        <v/>
      </c>
      <c r="BW143" s="1" t="str">
        <f t="shared" si="30"/>
        <v/>
      </c>
      <c r="BX143" s="1" t="str">
        <f t="shared" si="31"/>
        <v/>
      </c>
      <c r="BY143" s="1" t="str">
        <f t="shared" si="32"/>
        <v/>
      </c>
      <c r="BZ143" s="1" t="str">
        <f t="shared" si="33"/>
        <v/>
      </c>
      <c r="CA143" s="1" t="str">
        <f t="shared" si="34"/>
        <v/>
      </c>
      <c r="CB143" s="1" t="str">
        <f t="shared" si="35"/>
        <v/>
      </c>
      <c r="CC143" s="1" t="str">
        <f t="shared" si="36"/>
        <v/>
      </c>
      <c r="CD143" s="1" t="str">
        <f t="shared" si="37"/>
        <v/>
      </c>
      <c r="CE143" s="1" t="str">
        <f t="shared" si="38"/>
        <v/>
      </c>
      <c r="CF143" s="1">
        <f>COUNTIF(BT143:CE143, "&gt;0")</f>
        <v>0</v>
      </c>
      <c r="CG143" s="1" t="str">
        <f>IF($CF143=1,BT143,"")</f>
        <v/>
      </c>
      <c r="CH143" s="1" t="str">
        <f>IF($CF143=1,BU143,"")</f>
        <v/>
      </c>
      <c r="CI143" s="1" t="str">
        <f>IF($CF143=1,BV143,"")</f>
        <v/>
      </c>
      <c r="CJ143" s="1" t="str">
        <f>IF($CF143=1,BW143,"")</f>
        <v/>
      </c>
      <c r="CK143" s="1" t="str">
        <f>IF($CF143=1,BX143,"")</f>
        <v/>
      </c>
      <c r="CL143" s="1" t="str">
        <f>IF($CF143=1,BY143,"")</f>
        <v/>
      </c>
      <c r="CM143" s="1" t="str">
        <f>IF($CF143=1,BZ143,"")</f>
        <v/>
      </c>
      <c r="CN143" s="1" t="str">
        <f>IF($CF143=1,CA143,"")</f>
        <v/>
      </c>
      <c r="CO143" s="1" t="str">
        <f>IF($CF143=1,CB143,"")</f>
        <v/>
      </c>
      <c r="CP143" s="1" t="str">
        <f>IF($CF143=1,CC143,"")</f>
        <v/>
      </c>
      <c r="CQ143" s="1" t="str">
        <f>IF($CF143=1,CD143,"")</f>
        <v/>
      </c>
      <c r="CR143" s="1" t="str">
        <f>IF($CF143=1,CE143,"")</f>
        <v/>
      </c>
      <c r="CS143" s="18">
        <f>SUM(AE143:BO143)</f>
        <v>200</v>
      </c>
    </row>
    <row r="144" spans="1:97" ht="54" x14ac:dyDescent="0.15">
      <c r="A144" s="1"/>
      <c r="B144" s="1" t="s">
        <v>127</v>
      </c>
      <c r="C144" s="1" t="s">
        <v>126</v>
      </c>
      <c r="D144" s="1" t="s">
        <v>128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>
        <v>50</v>
      </c>
      <c r="BK144" s="1">
        <v>50</v>
      </c>
      <c r="BL144" s="1"/>
      <c r="BM144" s="1"/>
      <c r="BN144" s="1">
        <v>50</v>
      </c>
      <c r="BO144" s="1">
        <v>50</v>
      </c>
      <c r="BP144" s="1">
        <f t="shared" si="26"/>
        <v>200</v>
      </c>
      <c r="BQ144" s="1">
        <v>174</v>
      </c>
      <c r="BR144" s="17">
        <v>4</v>
      </c>
      <c r="BS144" s="17" t="s">
        <v>307</v>
      </c>
      <c r="BT144" s="1" t="str">
        <f t="shared" si="27"/>
        <v/>
      </c>
      <c r="BU144" s="1" t="str">
        <f t="shared" si="28"/>
        <v/>
      </c>
      <c r="BV144" s="1" t="str">
        <f t="shared" si="29"/>
        <v/>
      </c>
      <c r="BW144" s="1" t="str">
        <f t="shared" si="30"/>
        <v/>
      </c>
      <c r="BX144" s="1" t="str">
        <f t="shared" si="31"/>
        <v/>
      </c>
      <c r="BY144" s="1" t="str">
        <f t="shared" si="32"/>
        <v/>
      </c>
      <c r="BZ144" s="1" t="str">
        <f t="shared" si="33"/>
        <v/>
      </c>
      <c r="CA144" s="1" t="str">
        <f t="shared" si="34"/>
        <v/>
      </c>
      <c r="CB144" s="1" t="str">
        <f t="shared" si="35"/>
        <v/>
      </c>
      <c r="CC144" s="1" t="str">
        <f t="shared" si="36"/>
        <v/>
      </c>
      <c r="CD144" s="1" t="str">
        <f t="shared" si="37"/>
        <v/>
      </c>
      <c r="CE144" s="1" t="str">
        <f t="shared" si="38"/>
        <v/>
      </c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54" x14ac:dyDescent="0.15">
      <c r="A145" s="1"/>
      <c r="B145" s="1" t="s">
        <v>215</v>
      </c>
      <c r="C145" s="1" t="s">
        <v>178</v>
      </c>
      <c r="D145" s="1" t="s">
        <v>40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>
        <v>50</v>
      </c>
      <c r="BK145" s="1">
        <v>50</v>
      </c>
      <c r="BL145" s="1"/>
      <c r="BM145" s="1"/>
      <c r="BN145" s="1">
        <v>50</v>
      </c>
      <c r="BO145" s="1">
        <v>50</v>
      </c>
      <c r="BP145" s="1">
        <f t="shared" si="26"/>
        <v>200</v>
      </c>
      <c r="BQ145" s="1">
        <v>174</v>
      </c>
      <c r="BR145" s="17">
        <v>4</v>
      </c>
      <c r="BS145" s="17" t="s">
        <v>309</v>
      </c>
      <c r="BT145" s="1" t="str">
        <f t="shared" si="27"/>
        <v/>
      </c>
      <c r="BU145" s="1" t="str">
        <f t="shared" si="28"/>
        <v/>
      </c>
      <c r="BV145" s="1" t="str">
        <f t="shared" si="29"/>
        <v/>
      </c>
      <c r="BW145" s="1" t="str">
        <f t="shared" si="30"/>
        <v/>
      </c>
      <c r="BX145" s="1" t="str">
        <f t="shared" si="31"/>
        <v/>
      </c>
      <c r="BY145" s="1" t="str">
        <f t="shared" si="32"/>
        <v/>
      </c>
      <c r="BZ145" s="1" t="str">
        <f t="shared" si="33"/>
        <v/>
      </c>
      <c r="CA145" s="1" t="str">
        <f t="shared" si="34"/>
        <v/>
      </c>
      <c r="CB145" s="1" t="str">
        <f t="shared" si="35"/>
        <v/>
      </c>
      <c r="CC145" s="1" t="str">
        <f t="shared" si="36"/>
        <v/>
      </c>
      <c r="CD145" s="1" t="str">
        <f t="shared" si="37"/>
        <v/>
      </c>
      <c r="CE145" s="1" t="str">
        <f t="shared" si="38"/>
        <v/>
      </c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54" x14ac:dyDescent="0.15">
      <c r="A146" s="1">
        <v>102</v>
      </c>
      <c r="B146" s="3" t="s">
        <v>107</v>
      </c>
      <c r="C146" s="3" t="s">
        <v>75</v>
      </c>
      <c r="D146" s="1" t="s">
        <v>40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>
        <v>50</v>
      </c>
      <c r="BK146" s="1">
        <v>50</v>
      </c>
      <c r="BL146" s="1"/>
      <c r="BM146" s="1"/>
      <c r="BN146" s="1">
        <v>50</v>
      </c>
      <c r="BO146" s="1">
        <v>50</v>
      </c>
      <c r="BP146" s="1">
        <f t="shared" si="26"/>
        <v>200</v>
      </c>
      <c r="BQ146" s="1">
        <v>174</v>
      </c>
      <c r="BR146" s="17">
        <v>4</v>
      </c>
      <c r="BS146" s="17" t="s">
        <v>309</v>
      </c>
      <c r="BT146" s="1" t="str">
        <f t="shared" si="27"/>
        <v/>
      </c>
      <c r="BU146" s="1" t="str">
        <f t="shared" si="28"/>
        <v/>
      </c>
      <c r="BV146" s="1" t="str">
        <f t="shared" si="29"/>
        <v/>
      </c>
      <c r="BW146" s="1" t="str">
        <f t="shared" si="30"/>
        <v/>
      </c>
      <c r="BX146" s="1" t="str">
        <f t="shared" si="31"/>
        <v/>
      </c>
      <c r="BY146" s="1" t="str">
        <f t="shared" si="32"/>
        <v/>
      </c>
      <c r="BZ146" s="1" t="str">
        <f t="shared" si="33"/>
        <v/>
      </c>
      <c r="CA146" s="1" t="str">
        <f t="shared" si="34"/>
        <v/>
      </c>
      <c r="CB146" s="1" t="str">
        <f t="shared" si="35"/>
        <v/>
      </c>
      <c r="CC146" s="1" t="str">
        <f t="shared" si="36"/>
        <v/>
      </c>
      <c r="CD146" s="1" t="str">
        <f t="shared" si="37"/>
        <v/>
      </c>
      <c r="CE146" s="1" t="str">
        <f t="shared" si="38"/>
        <v/>
      </c>
      <c r="CF146" s="1">
        <f>COUNTIF(BT146:CE146, "&gt;0")</f>
        <v>0</v>
      </c>
      <c r="CG146" s="1" t="str">
        <f>IF($CF146=1,BT146,"")</f>
        <v/>
      </c>
      <c r="CH146" s="1" t="str">
        <f>IF($CF146=1,BU146,"")</f>
        <v/>
      </c>
      <c r="CI146" s="1" t="str">
        <f>IF($CF146=1,BV146,"")</f>
        <v/>
      </c>
      <c r="CJ146" s="1" t="str">
        <f>IF($CF146=1,BW146,"")</f>
        <v/>
      </c>
      <c r="CK146" s="1" t="str">
        <f>IF($CF146=1,BX146,"")</f>
        <v/>
      </c>
      <c r="CL146" s="1" t="str">
        <f>IF($CF146=1,BY146,"")</f>
        <v/>
      </c>
      <c r="CM146" s="1" t="str">
        <f>IF($CF146=1,BZ146,"")</f>
        <v/>
      </c>
      <c r="CN146" s="1" t="str">
        <f>IF($CF146=1,CA146,"")</f>
        <v/>
      </c>
      <c r="CO146" s="1" t="str">
        <f>IF($CF146=1,CB146,"")</f>
        <v/>
      </c>
      <c r="CP146" s="1" t="str">
        <f>IF($CF146=1,CC146,"")</f>
        <v/>
      </c>
      <c r="CQ146" s="1" t="str">
        <f>IF($CF146=1,CD146,"")</f>
        <v/>
      </c>
      <c r="CR146" s="1" t="str">
        <f>IF($CF146=1,CE146,"")</f>
        <v/>
      </c>
      <c r="CS146" s="18">
        <f>SUM(AE146:BO146)</f>
        <v>200</v>
      </c>
    </row>
    <row r="147" spans="1:97" ht="54" x14ac:dyDescent="0.15">
      <c r="A147" s="1">
        <v>85</v>
      </c>
      <c r="B147" s="3" t="s">
        <v>74</v>
      </c>
      <c r="C147" s="3" t="s">
        <v>69</v>
      </c>
      <c r="D147" s="1" t="s">
        <v>40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>
        <v>50</v>
      </c>
      <c r="BM147" s="1">
        <v>50</v>
      </c>
      <c r="BN147" s="1">
        <v>50</v>
      </c>
      <c r="BO147" s="1">
        <v>50</v>
      </c>
      <c r="BP147" s="1">
        <f t="shared" si="26"/>
        <v>200</v>
      </c>
      <c r="BQ147" s="1">
        <v>175</v>
      </c>
      <c r="BR147" s="17">
        <v>4</v>
      </c>
      <c r="BS147" s="17" t="s">
        <v>306</v>
      </c>
      <c r="BT147" s="1" t="str">
        <f t="shared" si="27"/>
        <v/>
      </c>
      <c r="BU147" s="1" t="str">
        <f t="shared" si="28"/>
        <v/>
      </c>
      <c r="BV147" s="1" t="str">
        <f t="shared" si="29"/>
        <v/>
      </c>
      <c r="BW147" s="1" t="str">
        <f t="shared" si="30"/>
        <v/>
      </c>
      <c r="BX147" s="1" t="str">
        <f t="shared" si="31"/>
        <v/>
      </c>
      <c r="BY147" s="1" t="str">
        <f t="shared" si="32"/>
        <v/>
      </c>
      <c r="BZ147" s="1" t="str">
        <f t="shared" si="33"/>
        <v/>
      </c>
      <c r="CA147" s="1" t="str">
        <f t="shared" si="34"/>
        <v/>
      </c>
      <c r="CB147" s="1" t="str">
        <f t="shared" si="35"/>
        <v/>
      </c>
      <c r="CC147" s="1" t="str">
        <f t="shared" si="36"/>
        <v/>
      </c>
      <c r="CD147" s="1" t="str">
        <f t="shared" si="37"/>
        <v/>
      </c>
      <c r="CE147" s="1" t="str">
        <f t="shared" si="38"/>
        <v/>
      </c>
      <c r="CF147" s="1">
        <f>COUNTIF(BT147:CE147, "&gt;0")</f>
        <v>0</v>
      </c>
      <c r="CG147" s="1" t="str">
        <f>IF($CF147=1,BT147,"")</f>
        <v/>
      </c>
      <c r="CH147" s="1" t="str">
        <f>IF($CF147=1,BU147,"")</f>
        <v/>
      </c>
      <c r="CI147" s="1" t="str">
        <f>IF($CF147=1,BV147,"")</f>
        <v/>
      </c>
      <c r="CJ147" s="1" t="str">
        <f>IF($CF147=1,BW147,"")</f>
        <v/>
      </c>
      <c r="CK147" s="1" t="str">
        <f>IF($CF147=1,BX147,"")</f>
        <v/>
      </c>
      <c r="CL147" s="1" t="str">
        <f>IF($CF147=1,BY147,"")</f>
        <v/>
      </c>
      <c r="CM147" s="1" t="str">
        <f>IF($CF147=1,BZ147,"")</f>
        <v/>
      </c>
      <c r="CN147" s="1" t="str">
        <f>IF($CF147=1,CA147,"")</f>
        <v/>
      </c>
      <c r="CO147" s="1" t="str">
        <f>IF($CF147=1,CB147,"")</f>
        <v/>
      </c>
      <c r="CP147" s="1" t="str">
        <f>IF($CF147=1,CC147,"")</f>
        <v/>
      </c>
      <c r="CQ147" s="1" t="str">
        <f>IF($CF147=1,CD147,"")</f>
        <v/>
      </c>
      <c r="CR147" s="1" t="str">
        <f>IF($CF147=1,CE147,"")</f>
        <v/>
      </c>
      <c r="CS147" s="18">
        <f>SUM(AE147:BO147)</f>
        <v>200</v>
      </c>
    </row>
    <row r="148" spans="1:97" ht="54" x14ac:dyDescent="0.15">
      <c r="A148" s="1"/>
      <c r="B148" s="1" t="s">
        <v>141</v>
      </c>
      <c r="C148" s="1" t="s">
        <v>136</v>
      </c>
      <c r="D148" s="1" t="s">
        <v>128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>
        <v>50</v>
      </c>
      <c r="BM148" s="1">
        <v>50</v>
      </c>
      <c r="BN148" s="1">
        <v>50</v>
      </c>
      <c r="BO148" s="1">
        <v>50</v>
      </c>
      <c r="BP148" s="1">
        <f t="shared" si="26"/>
        <v>200</v>
      </c>
      <c r="BQ148" s="1">
        <v>175</v>
      </c>
      <c r="BR148" s="17">
        <v>4</v>
      </c>
      <c r="BS148" s="17" t="s">
        <v>308</v>
      </c>
      <c r="BT148" s="1" t="str">
        <f t="shared" si="27"/>
        <v/>
      </c>
      <c r="BU148" s="1" t="str">
        <f t="shared" si="28"/>
        <v/>
      </c>
      <c r="BV148" s="1" t="str">
        <f t="shared" si="29"/>
        <v/>
      </c>
      <c r="BW148" s="1" t="str">
        <f t="shared" si="30"/>
        <v/>
      </c>
      <c r="BX148" s="1" t="str">
        <f t="shared" si="31"/>
        <v/>
      </c>
      <c r="BY148" s="1" t="str">
        <f t="shared" si="32"/>
        <v/>
      </c>
      <c r="BZ148" s="1" t="str">
        <f t="shared" si="33"/>
        <v/>
      </c>
      <c r="CA148" s="1" t="str">
        <f t="shared" si="34"/>
        <v/>
      </c>
      <c r="CB148" s="1" t="str">
        <f t="shared" si="35"/>
        <v/>
      </c>
      <c r="CC148" s="1" t="str">
        <f t="shared" si="36"/>
        <v/>
      </c>
      <c r="CD148" s="1" t="str">
        <f t="shared" si="37"/>
        <v/>
      </c>
      <c r="CE148" s="1" t="str">
        <f t="shared" si="38"/>
        <v/>
      </c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145</v>
      </c>
      <c r="C149" s="1" t="s">
        <v>136</v>
      </c>
      <c r="D149" s="1" t="s">
        <v>128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>
        <v>50</v>
      </c>
      <c r="BM149" s="1">
        <v>50</v>
      </c>
      <c r="BN149" s="1">
        <v>50</v>
      </c>
      <c r="BO149" s="1">
        <v>50</v>
      </c>
      <c r="BP149" s="1">
        <f t="shared" si="26"/>
        <v>200</v>
      </c>
      <c r="BQ149" s="1">
        <v>175</v>
      </c>
      <c r="BR149" s="17">
        <v>4</v>
      </c>
      <c r="BS149" s="17" t="s">
        <v>308</v>
      </c>
      <c r="BT149" s="1" t="str">
        <f t="shared" si="27"/>
        <v/>
      </c>
      <c r="BU149" s="1" t="str">
        <f t="shared" si="28"/>
        <v/>
      </c>
      <c r="BV149" s="1" t="str">
        <f t="shared" si="29"/>
        <v/>
      </c>
      <c r="BW149" s="1" t="str">
        <f t="shared" si="30"/>
        <v/>
      </c>
      <c r="BX149" s="1" t="str">
        <f t="shared" si="31"/>
        <v/>
      </c>
      <c r="BY149" s="1" t="str">
        <f t="shared" si="32"/>
        <v/>
      </c>
      <c r="BZ149" s="1" t="str">
        <f t="shared" si="33"/>
        <v/>
      </c>
      <c r="CA149" s="1" t="str">
        <f t="shared" si="34"/>
        <v/>
      </c>
      <c r="CB149" s="1" t="str">
        <f t="shared" si="35"/>
        <v/>
      </c>
      <c r="CC149" s="1" t="str">
        <f t="shared" si="36"/>
        <v/>
      </c>
      <c r="CD149" s="1" t="str">
        <f t="shared" si="37"/>
        <v/>
      </c>
      <c r="CE149" s="1" t="str">
        <f t="shared" si="38"/>
        <v/>
      </c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x14ac:dyDescent="0.15">
      <c r="A150" s="1"/>
      <c r="B150" s="1" t="s">
        <v>77</v>
      </c>
      <c r="C150" s="1"/>
      <c r="D150" s="1"/>
      <c r="E150" s="6">
        <f>SUM(E2:E149)</f>
        <v>178</v>
      </c>
      <c r="F150" s="6">
        <f>SUM(F2:F149)</f>
        <v>89</v>
      </c>
      <c r="G150" s="6">
        <f>SUM(G2:G149)</f>
        <v>209</v>
      </c>
      <c r="H150" s="6">
        <f>SUM(H2:H149)</f>
        <v>184</v>
      </c>
      <c r="I150" s="6">
        <f>SUM(I2:I149)</f>
        <v>67</v>
      </c>
      <c r="J150" s="6">
        <f>SUM(J2:J149)</f>
        <v>81</v>
      </c>
      <c r="K150" s="6">
        <f>SUM(K2:K149)</f>
        <v>44</v>
      </c>
      <c r="L150" s="6">
        <f>SUM(L2:L149)</f>
        <v>88</v>
      </c>
      <c r="M150" s="6">
        <f>SUM(M2:M149)</f>
        <v>37</v>
      </c>
      <c r="N150" s="6">
        <f>SUM(N2:N149)</f>
        <v>37</v>
      </c>
      <c r="O150" s="6">
        <f>SUM(O2:O149)</f>
        <v>89</v>
      </c>
      <c r="P150" s="32">
        <f>SUM(P2:P149)</f>
        <v>130</v>
      </c>
      <c r="Q150" s="32">
        <f>SUM(Q2:Q149)</f>
        <v>76</v>
      </c>
      <c r="R150" s="32">
        <f>SUM(R2:R149)</f>
        <v>83</v>
      </c>
      <c r="S150" s="32">
        <f>SUM(S2:S149)</f>
        <v>130</v>
      </c>
      <c r="T150" s="32">
        <f>SUM(T2:T149)</f>
        <v>61</v>
      </c>
      <c r="U150" s="32">
        <f>SUM(U2:U149)</f>
        <v>62</v>
      </c>
      <c r="V150" s="32">
        <f>SUM(V2:V149)</f>
        <v>135</v>
      </c>
      <c r="W150" s="32">
        <f>SUM(W2:W149)</f>
        <v>35</v>
      </c>
      <c r="X150" s="32">
        <f>SUM(X2:X149)</f>
        <v>59</v>
      </c>
      <c r="Y150" s="32">
        <f>SUM(Y2:Y149)</f>
        <v>125</v>
      </c>
      <c r="Z150" s="32">
        <f>SUM(Z2:Z149)</f>
        <v>50</v>
      </c>
      <c r="AA150" s="32">
        <f>SUM(AA2:AA149)</f>
        <v>35</v>
      </c>
      <c r="AB150" s="32">
        <f>SUM(AB2:AB149)</f>
        <v>140</v>
      </c>
      <c r="AC150" s="32">
        <f>SUM(AC2:AC149)</f>
        <v>30</v>
      </c>
      <c r="AD150" s="32">
        <f>SUM(AD2:AD149)</f>
        <v>22</v>
      </c>
      <c r="AE150" s="1">
        <f>SUM(AE2:AE149)</f>
        <v>265</v>
      </c>
      <c r="AF150" s="1">
        <f>SUM(AF2:AF149)</f>
        <v>10</v>
      </c>
      <c r="AG150" s="1">
        <f>SUM(AG2:AG149)</f>
        <v>15</v>
      </c>
      <c r="AH150" s="1">
        <f>SUM(AH2:AH149)</f>
        <v>30</v>
      </c>
      <c r="AI150" s="1">
        <f>SUM(AI2:AI149)</f>
        <v>30</v>
      </c>
      <c r="AJ150" s="1">
        <f>SUM(AJ2:AJ149)</f>
        <v>5</v>
      </c>
      <c r="AK150" s="1">
        <f>SUM(AK2:AK149)</f>
        <v>0</v>
      </c>
      <c r="AL150" s="1">
        <f>SUM(AL2:AL149)</f>
        <v>0</v>
      </c>
      <c r="AM150" s="1">
        <f>SUM(AM2:AM149)</f>
        <v>20</v>
      </c>
      <c r="AN150" s="1">
        <f>SUM(AN2:AN149)</f>
        <v>50</v>
      </c>
      <c r="AO150" s="1">
        <f>SUM(AO2:AO149)</f>
        <v>25</v>
      </c>
      <c r="AP150" s="1">
        <f>SUM(AP2:AP149)</f>
        <v>26</v>
      </c>
      <c r="AQ150" s="4">
        <f>SUM(AQ2:AQ149)</f>
        <v>100</v>
      </c>
      <c r="AR150" s="4">
        <f>SUM(AR2:AR149)</f>
        <v>120</v>
      </c>
      <c r="AS150" s="4">
        <f>SUM(AS2:AS149)</f>
        <v>80</v>
      </c>
      <c r="AT150" s="4">
        <f>SUM(AT2:AT149)</f>
        <v>93</v>
      </c>
      <c r="AU150" s="4">
        <f>SUM(AU2:AU149)</f>
        <v>48</v>
      </c>
      <c r="AV150" s="4">
        <f>SUM(AV2:AV149)</f>
        <v>125</v>
      </c>
      <c r="AW150" s="2">
        <f>SUM(AW2:AW149)</f>
        <v>128</v>
      </c>
      <c r="AX150" s="2">
        <f>SUM(AX2:AX149)</f>
        <v>80</v>
      </c>
      <c r="AY150" s="2">
        <f>SUM(AY2:AY149)</f>
        <v>43</v>
      </c>
      <c r="AZ150" s="2">
        <f>SUM(AZ2:AZ149)</f>
        <v>75</v>
      </c>
      <c r="BA150" s="2">
        <f>SUM(BA2:BA149)</f>
        <v>195</v>
      </c>
      <c r="BB150" s="2">
        <f>SUM(BB2:BB149)</f>
        <v>375</v>
      </c>
      <c r="BC150" s="1">
        <f>SUM(BC2:BC149)</f>
        <v>10</v>
      </c>
      <c r="BD150" s="1">
        <f>SUM(BD2:BD149)</f>
        <v>150</v>
      </c>
      <c r="BE150" s="1">
        <f>SUM(BE2:BE149)</f>
        <v>100</v>
      </c>
      <c r="BF150" s="1">
        <f>SUM(BF2:BF149)</f>
        <v>120</v>
      </c>
      <c r="BG150" s="1">
        <f>SUM(BG2:BG149)</f>
        <v>120</v>
      </c>
      <c r="BH150" s="1">
        <f>SUM(BH2:BH149)</f>
        <v>110</v>
      </c>
      <c r="BI150" s="1">
        <f>SUM(BI2:BI149)</f>
        <v>90</v>
      </c>
      <c r="BJ150" s="1">
        <f>SUM(BJ2:BJ149)</f>
        <v>200</v>
      </c>
      <c r="BK150" s="1">
        <f>SUM(BK2:BK149)</f>
        <v>200</v>
      </c>
      <c r="BL150" s="1">
        <f>SUM(BL2:BL149)</f>
        <v>150</v>
      </c>
      <c r="BM150" s="1">
        <f>SUM(BM2:BM149)</f>
        <v>150</v>
      </c>
      <c r="BN150" s="1">
        <f>SUM(BN2:BN149)</f>
        <v>350</v>
      </c>
      <c r="BO150" s="1">
        <f>SUM(BO2:BO149)</f>
        <v>350</v>
      </c>
      <c r="BP150" s="1"/>
      <c r="BQ150" s="1"/>
      <c r="BR150" s="17"/>
      <c r="BS150" s="17"/>
      <c r="BT150" s="1">
        <f>MIN(BT2:BT149)</f>
        <v>1</v>
      </c>
      <c r="BU150" s="1">
        <f>MIN(BU2:BU149)</f>
        <v>4</v>
      </c>
      <c r="BV150" s="1">
        <f>MIN(BV2:BV149)</f>
        <v>3</v>
      </c>
      <c r="BW150" s="1">
        <f>MIN(BW2:BW149)</f>
        <v>1</v>
      </c>
      <c r="BX150" s="1">
        <f>MIN(BX2:BX149)</f>
        <v>4</v>
      </c>
      <c r="BY150" s="1">
        <f>MIN(BY2:BY149)</f>
        <v>3</v>
      </c>
      <c r="BZ150" s="1">
        <f>MIN(BZ2:BZ149)</f>
        <v>1</v>
      </c>
      <c r="CA150" s="1">
        <f>MIN(CA2:CA149)</f>
        <v>0</v>
      </c>
      <c r="CB150" s="1">
        <f>MIN(CB2:CB149)</f>
        <v>2</v>
      </c>
      <c r="CC150" s="1">
        <f>MIN(CC2:CC149)</f>
        <v>10</v>
      </c>
      <c r="CD150" s="1">
        <f>MIN(CD2:CD149)</f>
        <v>5</v>
      </c>
      <c r="CE150" s="1">
        <f>MIN(CE2:CE149)</f>
        <v>0</v>
      </c>
      <c r="CF150" s="1"/>
      <c r="CG150" s="1">
        <f>MIN(CG2:CG149)</f>
        <v>1</v>
      </c>
      <c r="CH150" s="1">
        <f>MIN(CH2:CH149)</f>
        <v>4</v>
      </c>
      <c r="CI150" s="1">
        <f>MIN(CI2:CI149)</f>
        <v>3</v>
      </c>
      <c r="CJ150" s="1">
        <f>MIN(CJ2:CJ149)</f>
        <v>0</v>
      </c>
      <c r="CK150" s="1">
        <f>MIN(CK2:CK149)</f>
        <v>4</v>
      </c>
      <c r="CL150" s="1">
        <f>MIN(CL2:CL149)</f>
        <v>3</v>
      </c>
      <c r="CM150" s="1">
        <f>MIN(CM2:CM149)</f>
        <v>0</v>
      </c>
      <c r="CN150" s="1">
        <f>MIN(CN2:CN149)</f>
        <v>0</v>
      </c>
      <c r="CO150" s="1">
        <f>MIN(CO2:CO149)</f>
        <v>0</v>
      </c>
      <c r="CP150" s="1">
        <f>MIN(CP2:CP149)</f>
        <v>15</v>
      </c>
      <c r="CQ150" s="1">
        <f>MIN(CQ2:CQ149)</f>
        <v>5</v>
      </c>
      <c r="CR150" s="1">
        <f>MIN(CR2:CR149)</f>
        <v>0</v>
      </c>
      <c r="CS150" s="18">
        <f>COUNTIF(CS2:CS149,"=0")</f>
        <v>5</v>
      </c>
    </row>
    <row r="151" spans="1:97" x14ac:dyDescent="0.15">
      <c r="A151" s="1"/>
      <c r="B151" s="3" t="s">
        <v>99</v>
      </c>
      <c r="C151" s="1"/>
      <c r="D151" s="1"/>
      <c r="E151" s="1">
        <v>12</v>
      </c>
      <c r="F151" s="1">
        <v>6</v>
      </c>
      <c r="G151" s="1">
        <v>0</v>
      </c>
      <c r="H151" s="1">
        <v>0</v>
      </c>
      <c r="I151" s="1">
        <v>28</v>
      </c>
      <c r="J151" s="1">
        <v>32</v>
      </c>
      <c r="K151" s="1">
        <v>14</v>
      </c>
      <c r="L151" s="1">
        <v>35</v>
      </c>
      <c r="M151" s="1">
        <v>1</v>
      </c>
      <c r="N151" s="1">
        <v>18</v>
      </c>
      <c r="O151" s="1">
        <v>1</v>
      </c>
      <c r="P151" s="14">
        <v>2</v>
      </c>
      <c r="Q151" s="14">
        <v>1</v>
      </c>
      <c r="R151" s="14">
        <v>2</v>
      </c>
      <c r="S151" s="14">
        <v>1</v>
      </c>
      <c r="T151" s="14">
        <v>5</v>
      </c>
      <c r="U151" s="14">
        <v>0</v>
      </c>
      <c r="V151" s="14">
        <v>2</v>
      </c>
      <c r="W151" s="14">
        <v>2</v>
      </c>
      <c r="X151" s="14">
        <v>6</v>
      </c>
      <c r="Y151" s="14">
        <v>0</v>
      </c>
      <c r="Z151" s="14">
        <v>1</v>
      </c>
      <c r="AA151" s="14">
        <v>1</v>
      </c>
      <c r="AB151" s="14">
        <v>8</v>
      </c>
      <c r="AC151" s="14">
        <v>2</v>
      </c>
      <c r="AD151" s="14">
        <v>4</v>
      </c>
      <c r="AE151" s="1">
        <v>4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33</v>
      </c>
      <c r="AL151" s="1">
        <v>43</v>
      </c>
      <c r="AM151" s="1">
        <v>6</v>
      </c>
      <c r="AN151" s="1">
        <v>0</v>
      </c>
      <c r="AO151" s="1">
        <v>0</v>
      </c>
      <c r="AP151" s="1">
        <v>0</v>
      </c>
      <c r="AQ151" s="14">
        <v>9</v>
      </c>
      <c r="AR151" s="14">
        <v>6</v>
      </c>
      <c r="AS151" s="14">
        <v>2</v>
      </c>
      <c r="AT151" s="14">
        <v>7</v>
      </c>
      <c r="AU151" s="14">
        <v>4</v>
      </c>
      <c r="AV151" s="14">
        <v>7</v>
      </c>
      <c r="AW151" s="14">
        <v>19</v>
      </c>
      <c r="AX151" s="14">
        <v>25</v>
      </c>
      <c r="AY151" s="14">
        <v>13</v>
      </c>
      <c r="AZ151" s="14">
        <v>0</v>
      </c>
      <c r="BA151" s="14">
        <v>0</v>
      </c>
      <c r="BB151" s="14">
        <v>148</v>
      </c>
      <c r="BC151" s="14"/>
      <c r="BD151" s="1">
        <v>66</v>
      </c>
      <c r="BE151" s="1">
        <v>124</v>
      </c>
      <c r="BF151" s="1">
        <v>133</v>
      </c>
      <c r="BG151" s="1">
        <v>142</v>
      </c>
      <c r="BH151" s="1">
        <v>45</v>
      </c>
      <c r="BI151" s="1">
        <v>53</v>
      </c>
      <c r="BJ151" s="1">
        <v>13</v>
      </c>
      <c r="BK151" s="1">
        <v>13</v>
      </c>
      <c r="BL151" s="1">
        <v>25</v>
      </c>
      <c r="BM151" s="1"/>
      <c r="BN151" s="1"/>
      <c r="BO151" s="1"/>
      <c r="BP151" s="1"/>
      <c r="BQ151" s="1"/>
      <c r="BR151" s="17"/>
      <c r="BS151" s="17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34"/>
    </row>
    <row r="152" spans="1:97" x14ac:dyDescent="0.15">
      <c r="A152" s="1"/>
      <c r="B152" s="3" t="s">
        <v>106</v>
      </c>
      <c r="C152" s="1"/>
      <c r="D152" s="1"/>
      <c r="E152" s="1">
        <f>E151-E150</f>
        <v>-166</v>
      </c>
      <c r="F152" s="1">
        <f>F151-F150</f>
        <v>-83</v>
      </c>
      <c r="G152" s="1">
        <f>G151-G150</f>
        <v>-209</v>
      </c>
      <c r="H152" s="1">
        <f>H151-H150</f>
        <v>-184</v>
      </c>
      <c r="I152" s="1">
        <f>I151-I150</f>
        <v>-39</v>
      </c>
      <c r="J152" s="1">
        <f>J151-J150</f>
        <v>-49</v>
      </c>
      <c r="K152" s="1">
        <f>K151-K150</f>
        <v>-30</v>
      </c>
      <c r="L152" s="1">
        <f>L151-L150</f>
        <v>-53</v>
      </c>
      <c r="M152" s="1">
        <f>M151-M150</f>
        <v>-36</v>
      </c>
      <c r="N152" s="1">
        <f>N151-N150</f>
        <v>-19</v>
      </c>
      <c r="O152" s="1">
        <f>O151-O150</f>
        <v>-88</v>
      </c>
      <c r="P152" s="1">
        <f>P151-P150</f>
        <v>-128</v>
      </c>
      <c r="Q152" s="1">
        <f>Q151-Q150</f>
        <v>-75</v>
      </c>
      <c r="R152" s="1">
        <f>R151-R150</f>
        <v>-81</v>
      </c>
      <c r="S152" s="1">
        <f>S151-S150</f>
        <v>-129</v>
      </c>
      <c r="T152" s="1">
        <f>T151-T150</f>
        <v>-56</v>
      </c>
      <c r="U152" s="1">
        <f>U151-U150</f>
        <v>-62</v>
      </c>
      <c r="V152" s="1">
        <f>V151-V150</f>
        <v>-133</v>
      </c>
      <c r="W152" s="1">
        <f>W151-W150</f>
        <v>-33</v>
      </c>
      <c r="X152" s="1">
        <f>X151-X150</f>
        <v>-53</v>
      </c>
      <c r="Y152" s="1">
        <f>Y151-Y150</f>
        <v>-125</v>
      </c>
      <c r="Z152" s="1">
        <f>Z151-Z150</f>
        <v>-49</v>
      </c>
      <c r="AA152" s="1">
        <f>AA151-AA150</f>
        <v>-34</v>
      </c>
      <c r="AB152" s="1">
        <f>AB151-AB150</f>
        <v>-132</v>
      </c>
      <c r="AC152" s="1">
        <f>AC151-AC150</f>
        <v>-28</v>
      </c>
      <c r="AD152" s="1">
        <f>AD151-AD150</f>
        <v>-18</v>
      </c>
      <c r="AE152" s="1">
        <f>AE151-AE150</f>
        <v>-261</v>
      </c>
      <c r="AF152" s="1">
        <f>AF151-AF150</f>
        <v>-10</v>
      </c>
      <c r="AG152" s="1">
        <f>AG151-AG150</f>
        <v>-15</v>
      </c>
      <c r="AH152" s="1">
        <f>AH151-AH150</f>
        <v>-30</v>
      </c>
      <c r="AI152" s="1">
        <f>AI151-AI150</f>
        <v>-30</v>
      </c>
      <c r="AJ152" s="1">
        <f>AJ151-AJ150</f>
        <v>-5</v>
      </c>
      <c r="AK152" s="1">
        <f>AK151-AK150</f>
        <v>33</v>
      </c>
      <c r="AL152" s="1">
        <f>AL151-AL150</f>
        <v>43</v>
      </c>
      <c r="AM152" s="1">
        <f>AM151-AM150</f>
        <v>-14</v>
      </c>
      <c r="AN152" s="1">
        <f>AN151-AN150</f>
        <v>-50</v>
      </c>
      <c r="AO152" s="1">
        <f>AO151-AO150</f>
        <v>-25</v>
      </c>
      <c r="AP152" s="1">
        <f>AP151-AP150</f>
        <v>-26</v>
      </c>
      <c r="AQ152" s="1">
        <f>AQ151-AQ150</f>
        <v>-91</v>
      </c>
      <c r="AR152" s="1">
        <f>AR151-AR150</f>
        <v>-114</v>
      </c>
      <c r="AS152" s="1">
        <f>AS151-AS150</f>
        <v>-78</v>
      </c>
      <c r="AT152" s="1">
        <f>AT151-AT150</f>
        <v>-86</v>
      </c>
      <c r="AU152" s="1">
        <f>AU151-AU150</f>
        <v>-44</v>
      </c>
      <c r="AV152" s="1">
        <f>AV151-AV150</f>
        <v>-118</v>
      </c>
      <c r="AW152" s="1">
        <f>AW151-AW150</f>
        <v>-109</v>
      </c>
      <c r="AX152" s="1">
        <f>AX151-AX150</f>
        <v>-55</v>
      </c>
      <c r="AY152" s="1">
        <f>AY151-AY150</f>
        <v>-30</v>
      </c>
      <c r="AZ152" s="1">
        <f>AZ151-AZ150</f>
        <v>-75</v>
      </c>
      <c r="BA152" s="1">
        <f>BA151-BA150</f>
        <v>-195</v>
      </c>
      <c r="BB152" s="1">
        <f>BB151-BB150</f>
        <v>-227</v>
      </c>
      <c r="BC152" s="1">
        <f>BC151-BC150</f>
        <v>-10</v>
      </c>
      <c r="BD152" s="1">
        <f>BD151-BD150</f>
        <v>-84</v>
      </c>
      <c r="BE152" s="1">
        <f>BE151-BE150</f>
        <v>24</v>
      </c>
      <c r="BF152" s="1">
        <f>BF151-BF150</f>
        <v>13</v>
      </c>
      <c r="BG152" s="1">
        <f>BG151-BG150</f>
        <v>22</v>
      </c>
      <c r="BH152" s="1">
        <f>BH151-BH150</f>
        <v>-65</v>
      </c>
      <c r="BI152" s="1">
        <f>BI151-BI150</f>
        <v>-37</v>
      </c>
      <c r="BJ152" s="1">
        <f>BJ151-BJ150</f>
        <v>-187</v>
      </c>
      <c r="BK152" s="1">
        <f>BK151-BK150</f>
        <v>-187</v>
      </c>
      <c r="BL152" s="1">
        <f>BL151-BL150</f>
        <v>-125</v>
      </c>
      <c r="BM152" s="1">
        <f>BM151-BM150</f>
        <v>-150</v>
      </c>
      <c r="BN152" s="1">
        <f>BN151-BN150</f>
        <v>-350</v>
      </c>
      <c r="BO152" s="1">
        <f>BO151-BO150</f>
        <v>-350</v>
      </c>
      <c r="BP152" s="1"/>
      <c r="BQ152" s="1"/>
      <c r="BR152" s="17"/>
      <c r="BS152" s="17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34"/>
    </row>
  </sheetData>
  <autoFilter ref="A1:BP150"/>
  <sortState ref="A2:CS154">
    <sortCondition ref="BR2:BR154"/>
    <sortCondition ref="BQ2:BQ154"/>
  </sortState>
  <phoneticPr fontId="1" type="noConversion"/>
  <conditionalFormatting sqref="E41">
    <cfRule type="cellIs" dxfId="2" priority="4" operator="greaterThan">
      <formula>$E$151</formula>
    </cfRule>
  </conditionalFormatting>
  <conditionalFormatting sqref="E150">
    <cfRule type="cellIs" dxfId="1" priority="3" operator="greaterThan">
      <formula>$E$151</formula>
    </cfRule>
  </conditionalFormatting>
  <conditionalFormatting sqref="E152:BO1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154</xdr:row>
                    <xdr:rowOff>28575</xdr:rowOff>
                  </from>
                  <to>
                    <xdr:col>1</xdr:col>
                    <xdr:colOff>428625</xdr:colOff>
                    <xdr:row>155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96</v>
      </c>
      <c r="B1" s="5" t="s">
        <v>93</v>
      </c>
      <c r="C1" s="5" t="s">
        <v>97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62</v>
      </c>
      <c r="C3" s="1">
        <v>120</v>
      </c>
    </row>
    <row r="4" spans="1:3" x14ac:dyDescent="0.15">
      <c r="A4" s="1">
        <v>4</v>
      </c>
      <c r="B4" s="4" t="s">
        <v>63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70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76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70</v>
      </c>
      <c r="K19" s="10" t="s">
        <v>76</v>
      </c>
      <c r="L19" s="10" t="s">
        <v>63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62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103</v>
      </c>
      <c r="B1" s="8" t="s">
        <v>104</v>
      </c>
      <c r="C1" s="8" t="s">
        <v>105</v>
      </c>
    </row>
    <row r="2" spans="1:3" x14ac:dyDescent="0.15">
      <c r="A2" s="1">
        <v>5</v>
      </c>
      <c r="B2" s="10" t="s">
        <v>76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70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62</v>
      </c>
      <c r="C12" s="1">
        <v>5</v>
      </c>
    </row>
    <row r="13" spans="1:3" x14ac:dyDescent="0.15">
      <c r="A13" s="1">
        <v>6</v>
      </c>
      <c r="B13" s="10" t="s">
        <v>63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76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62</v>
      </c>
      <c r="C8">
        <v>0</v>
      </c>
    </row>
    <row r="9" spans="2:3" x14ac:dyDescent="0.15">
      <c r="B9" s="10" t="s">
        <v>70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63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2020-02-06T13:12:47Z</dcterms:modified>
</cp:coreProperties>
</file>