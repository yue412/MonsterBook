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2" i="1" l="1"/>
  <c r="AD164" i="1" s="1"/>
  <c r="BP161" i="1" l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S161" i="1"/>
  <c r="P162" i="1"/>
  <c r="P164" i="1" s="1"/>
  <c r="Q162" i="1"/>
  <c r="Q164" i="1" s="1"/>
  <c r="R162" i="1"/>
  <c r="R164" i="1" s="1"/>
  <c r="S162" i="1"/>
  <c r="S164" i="1" s="1"/>
  <c r="T162" i="1"/>
  <c r="T164" i="1" s="1"/>
  <c r="U162" i="1"/>
  <c r="U164" i="1" s="1"/>
  <c r="V162" i="1"/>
  <c r="V164" i="1" s="1"/>
  <c r="W162" i="1"/>
  <c r="W164" i="1" s="1"/>
  <c r="X162" i="1"/>
  <c r="X164" i="1" s="1"/>
  <c r="Y162" i="1"/>
  <c r="Y164" i="1" s="1"/>
  <c r="Z162" i="1"/>
  <c r="Z164" i="1" s="1"/>
  <c r="AA162" i="1"/>
  <c r="AA164" i="1" s="1"/>
  <c r="AB162" i="1"/>
  <c r="AB164" i="1" s="1"/>
  <c r="AC162" i="1"/>
  <c r="AC164" i="1" s="1"/>
  <c r="CF161" i="1" l="1"/>
  <c r="CM161" i="1" s="1"/>
  <c r="AO162" i="1"/>
  <c r="AO164" i="1" s="1"/>
  <c r="AP162" i="1"/>
  <c r="AP164" i="1" s="1"/>
  <c r="BC162" i="1"/>
  <c r="BC164" i="1" s="1"/>
  <c r="CO161" i="1" l="1"/>
  <c r="CK161" i="1"/>
  <c r="CI161" i="1"/>
  <c r="CN161" i="1"/>
  <c r="CP161" i="1"/>
  <c r="CJ161" i="1"/>
  <c r="CL161" i="1"/>
  <c r="CG161" i="1"/>
  <c r="CQ161" i="1"/>
  <c r="CH161" i="1"/>
  <c r="CR161" i="1"/>
  <c r="CS3" i="1"/>
  <c r="CS4" i="1"/>
  <c r="CS5" i="1"/>
  <c r="CS52" i="1"/>
  <c r="CS6" i="1"/>
  <c r="CS7" i="1"/>
  <c r="CS8" i="1"/>
  <c r="CS67" i="1"/>
  <c r="CS9" i="1"/>
  <c r="CS79" i="1"/>
  <c r="CS80" i="1"/>
  <c r="CS81" i="1"/>
  <c r="CS82" i="1"/>
  <c r="CS83" i="1"/>
  <c r="CS84" i="1"/>
  <c r="CS85" i="1"/>
  <c r="CS86" i="1"/>
  <c r="CS51" i="1"/>
  <c r="CS76" i="1"/>
  <c r="CS13" i="1"/>
  <c r="CS20" i="1"/>
  <c r="CS21" i="1"/>
  <c r="CS22" i="1"/>
  <c r="CS15" i="1"/>
  <c r="CS92" i="1"/>
  <c r="CS91" i="1"/>
  <c r="CS55" i="1"/>
  <c r="CS95" i="1"/>
  <c r="CS96" i="1"/>
  <c r="CS97" i="1"/>
  <c r="CS25" i="1"/>
  <c r="CS100" i="1"/>
  <c r="CS101" i="1"/>
  <c r="CS10" i="1"/>
  <c r="CS78" i="1"/>
  <c r="CS16" i="1"/>
  <c r="CS11" i="1"/>
  <c r="CS14" i="1"/>
  <c r="CS17" i="1"/>
  <c r="CS23" i="1"/>
  <c r="CS24" i="1"/>
  <c r="CS117" i="1"/>
  <c r="CS123" i="1"/>
  <c r="CS124" i="1"/>
  <c r="CS12" i="1"/>
  <c r="CS18" i="1"/>
  <c r="CS146" i="1"/>
  <c r="CS147" i="1"/>
  <c r="CS93" i="1"/>
  <c r="CS113" i="1"/>
  <c r="CS19" i="1"/>
  <c r="CS26" i="1"/>
  <c r="CS99" i="1"/>
  <c r="CS98" i="1"/>
  <c r="CS73" i="1"/>
  <c r="CS64" i="1"/>
  <c r="CS148" i="1"/>
  <c r="CS89" i="1"/>
  <c r="CS135" i="1"/>
  <c r="CS153" i="1"/>
  <c r="CS154" i="1"/>
  <c r="CS2" i="1"/>
  <c r="CS162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6" i="1"/>
  <c r="BU6" i="1"/>
  <c r="BV6" i="1"/>
  <c r="BW6" i="1"/>
  <c r="BX6" i="1"/>
  <c r="BY6" i="1"/>
  <c r="BZ6" i="1"/>
  <c r="CA6" i="1"/>
  <c r="CB6" i="1"/>
  <c r="CC6" i="1"/>
  <c r="CD6" i="1"/>
  <c r="CE6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" i="1"/>
  <c r="BU9" i="1"/>
  <c r="BV9" i="1"/>
  <c r="BW9" i="1"/>
  <c r="BX9" i="1"/>
  <c r="BY9" i="1"/>
  <c r="BZ9" i="1"/>
  <c r="CA9" i="1"/>
  <c r="CB9" i="1"/>
  <c r="CC9" i="1"/>
  <c r="CD9" i="1"/>
  <c r="CE9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BU2" i="1"/>
  <c r="BV2" i="1"/>
  <c r="BW2" i="1"/>
  <c r="BX2" i="1"/>
  <c r="BY2" i="1"/>
  <c r="BZ2" i="1"/>
  <c r="CA2" i="1"/>
  <c r="CB2" i="1"/>
  <c r="CC2" i="1"/>
  <c r="CD2" i="1"/>
  <c r="CE2" i="1"/>
  <c r="BT2" i="1"/>
  <c r="CF9" i="1" l="1"/>
  <c r="CR9" i="1" s="1"/>
  <c r="CF81" i="1"/>
  <c r="CR81" i="1" s="1"/>
  <c r="CF80" i="1"/>
  <c r="CN80" i="1" s="1"/>
  <c r="CF67" i="1"/>
  <c r="CH67" i="1" s="1"/>
  <c r="CA162" i="1"/>
  <c r="CC162" i="1"/>
  <c r="BX162" i="1"/>
  <c r="BZ162" i="1"/>
  <c r="BV162" i="1"/>
  <c r="BU162" i="1"/>
  <c r="CD162" i="1"/>
  <c r="BY162" i="1"/>
  <c r="CB162" i="1"/>
  <c r="CE162" i="1"/>
  <c r="CF73" i="1"/>
  <c r="CK73" i="1" s="1"/>
  <c r="CF76" i="1"/>
  <c r="CM76" i="1" s="1"/>
  <c r="CF100" i="1"/>
  <c r="CI100" i="1" s="1"/>
  <c r="CF23" i="1"/>
  <c r="CJ23" i="1" s="1"/>
  <c r="CF26" i="1"/>
  <c r="CG26" i="1" s="1"/>
  <c r="CF5" i="1"/>
  <c r="CN5" i="1" s="1"/>
  <c r="CF4" i="1"/>
  <c r="CN4" i="1" s="1"/>
  <c r="CF3" i="1"/>
  <c r="CN3" i="1" s="1"/>
  <c r="CF154" i="1"/>
  <c r="CG154" i="1" s="1"/>
  <c r="CF64" i="1"/>
  <c r="CK64" i="1" s="1"/>
  <c r="CF148" i="1"/>
  <c r="CK148" i="1" s="1"/>
  <c r="CF98" i="1"/>
  <c r="CR98" i="1" s="1"/>
  <c r="CF147" i="1"/>
  <c r="CJ147" i="1" s="1"/>
  <c r="CF17" i="1"/>
  <c r="CH17" i="1" s="1"/>
  <c r="CF12" i="1"/>
  <c r="CR12" i="1" s="1"/>
  <c r="CF13" i="1"/>
  <c r="CQ13" i="1" s="1"/>
  <c r="CF22" i="1"/>
  <c r="CR22" i="1" s="1"/>
  <c r="CF20" i="1"/>
  <c r="CH20" i="1" s="1"/>
  <c r="CF11" i="1"/>
  <c r="CN11" i="1" s="1"/>
  <c r="CF51" i="1"/>
  <c r="CH51" i="1" s="1"/>
  <c r="CF14" i="1"/>
  <c r="CN14" i="1" s="1"/>
  <c r="CF97" i="1"/>
  <c r="CL97" i="1" s="1"/>
  <c r="CF95" i="1"/>
  <c r="CH95" i="1" s="1"/>
  <c r="CF25" i="1"/>
  <c r="CK25" i="1" s="1"/>
  <c r="CF15" i="1"/>
  <c r="CO15" i="1" s="1"/>
  <c r="CF79" i="1"/>
  <c r="CO79" i="1" s="1"/>
  <c r="CF85" i="1"/>
  <c r="CH85" i="1" s="1"/>
  <c r="CF84" i="1"/>
  <c r="CP84" i="1" s="1"/>
  <c r="CF83" i="1"/>
  <c r="CN83" i="1" s="1"/>
  <c r="CF82" i="1"/>
  <c r="CR82" i="1" s="1"/>
  <c r="CF16" i="1"/>
  <c r="CG16" i="1" s="1"/>
  <c r="CF52" i="1"/>
  <c r="CQ52" i="1" s="1"/>
  <c r="CF6" i="1"/>
  <c r="CL6" i="1" s="1"/>
  <c r="CF24" i="1"/>
  <c r="CJ24" i="1" s="1"/>
  <c r="CF8" i="1"/>
  <c r="CN8" i="1" s="1"/>
  <c r="CF7" i="1"/>
  <c r="CI7" i="1" s="1"/>
  <c r="CF153" i="1"/>
  <c r="CR153" i="1" s="1"/>
  <c r="CF91" i="1"/>
  <c r="CJ91" i="1" s="1"/>
  <c r="CF135" i="1"/>
  <c r="CO135" i="1" s="1"/>
  <c r="CF99" i="1"/>
  <c r="CN99" i="1" s="1"/>
  <c r="CF19" i="1"/>
  <c r="CK19" i="1" s="1"/>
  <c r="CF146" i="1"/>
  <c r="CR146" i="1" s="1"/>
  <c r="CF10" i="1"/>
  <c r="CP10" i="1" s="1"/>
  <c r="CF18" i="1"/>
  <c r="CR18" i="1" s="1"/>
  <c r="CF55" i="1"/>
  <c r="CH55" i="1" s="1"/>
  <c r="CF21" i="1"/>
  <c r="CK21" i="1" s="1"/>
  <c r="CF124" i="1"/>
  <c r="CN124" i="1" s="1"/>
  <c r="CF123" i="1"/>
  <c r="CL123" i="1" s="1"/>
  <c r="CF93" i="1"/>
  <c r="CN93" i="1" s="1"/>
  <c r="CF117" i="1"/>
  <c r="CI117" i="1" s="1"/>
  <c r="CF78" i="1"/>
  <c r="CH78" i="1" s="1"/>
  <c r="CF101" i="1"/>
  <c r="CO101" i="1" s="1"/>
  <c r="CF96" i="1"/>
  <c r="CM96" i="1" s="1"/>
  <c r="CF92" i="1"/>
  <c r="CR92" i="1" s="1"/>
  <c r="CF86" i="1"/>
  <c r="CM86" i="1" s="1"/>
  <c r="CF2" i="1"/>
  <c r="CH2" i="1" s="1"/>
  <c r="CF113" i="1"/>
  <c r="CK113" i="1" s="1"/>
  <c r="CF89" i="1"/>
  <c r="CG89" i="1" s="1"/>
  <c r="BW162" i="1"/>
  <c r="BT162" i="1"/>
  <c r="BP22" i="1"/>
  <c r="BP10" i="1"/>
  <c r="BP12" i="1"/>
  <c r="BP135" i="1"/>
  <c r="BP3" i="1"/>
  <c r="BP80" i="1"/>
  <c r="BP81" i="1"/>
  <c r="BP82" i="1"/>
  <c r="BP117" i="1"/>
  <c r="BP93" i="1"/>
  <c r="BP154" i="1"/>
  <c r="BP78" i="1"/>
  <c r="BP123" i="1"/>
  <c r="BP146" i="1"/>
  <c r="BP83" i="1"/>
  <c r="BP84" i="1"/>
  <c r="BP55" i="1"/>
  <c r="BP4" i="1"/>
  <c r="BP67" i="1"/>
  <c r="BP76" i="1"/>
  <c r="BP7" i="1"/>
  <c r="BP51" i="1"/>
  <c r="BP52" i="1"/>
  <c r="BP148" i="1"/>
  <c r="BP5" i="1"/>
  <c r="BP19" i="1"/>
  <c r="BP14" i="1"/>
  <c r="BP96" i="1"/>
  <c r="BP85" i="1"/>
  <c r="BP97" i="1"/>
  <c r="BP99" i="1"/>
  <c r="BP73" i="1"/>
  <c r="BP17" i="1"/>
  <c r="BP18" i="1"/>
  <c r="BP25" i="1"/>
  <c r="BP113" i="1"/>
  <c r="BP89" i="1"/>
  <c r="BP11" i="1"/>
  <c r="BP13" i="1"/>
  <c r="BP8" i="1"/>
  <c r="BP16" i="1"/>
  <c r="BP153" i="1"/>
  <c r="BP124" i="1"/>
  <c r="BP147" i="1"/>
  <c r="BP86" i="1"/>
  <c r="BP79" i="1"/>
  <c r="BP15" i="1"/>
  <c r="BP98" i="1"/>
  <c r="BP23" i="1"/>
  <c r="BP26" i="1"/>
  <c r="BP24" i="1"/>
  <c r="BP92" i="1"/>
  <c r="BP100" i="1"/>
  <c r="BP101" i="1"/>
  <c r="J162" i="1"/>
  <c r="J164" i="1" s="1"/>
  <c r="K162" i="1"/>
  <c r="K164" i="1" s="1"/>
  <c r="L162" i="1"/>
  <c r="L164" i="1" s="1"/>
  <c r="M162" i="1"/>
  <c r="M164" i="1" s="1"/>
  <c r="N162" i="1"/>
  <c r="N164" i="1" s="1"/>
  <c r="O162" i="1"/>
  <c r="O164" i="1" s="1"/>
  <c r="AE162" i="1"/>
  <c r="AE164" i="1" s="1"/>
  <c r="AF162" i="1"/>
  <c r="AF164" i="1" s="1"/>
  <c r="AG162" i="1"/>
  <c r="AG164" i="1" s="1"/>
  <c r="AH162" i="1"/>
  <c r="AH164" i="1" s="1"/>
  <c r="AI162" i="1"/>
  <c r="AI164" i="1" s="1"/>
  <c r="AJ162" i="1"/>
  <c r="AJ164" i="1" s="1"/>
  <c r="AK162" i="1"/>
  <c r="AK164" i="1" s="1"/>
  <c r="AL162" i="1"/>
  <c r="AL164" i="1" s="1"/>
  <c r="AM162" i="1"/>
  <c r="AM164" i="1" s="1"/>
  <c r="AN162" i="1"/>
  <c r="AN164" i="1" s="1"/>
  <c r="AR162" i="1"/>
  <c r="AR164" i="1" s="1"/>
  <c r="AS162" i="1"/>
  <c r="AS164" i="1" s="1"/>
  <c r="AQ162" i="1"/>
  <c r="AQ164" i="1" s="1"/>
  <c r="AV162" i="1"/>
  <c r="AV164" i="1" s="1"/>
  <c r="AT162" i="1"/>
  <c r="AT164" i="1" s="1"/>
  <c r="AU162" i="1"/>
  <c r="AU164" i="1" s="1"/>
  <c r="BP95" i="1"/>
  <c r="BP64" i="1"/>
  <c r="BP2" i="1"/>
  <c r="BP20" i="1"/>
  <c r="BP21" i="1"/>
  <c r="BP6" i="1"/>
  <c r="BP9" i="1"/>
  <c r="BP91" i="1"/>
  <c r="BF162" i="1"/>
  <c r="BF164" i="1" s="1"/>
  <c r="BG162" i="1"/>
  <c r="BG164" i="1" s="1"/>
  <c r="BE162" i="1"/>
  <c r="BE164" i="1" s="1"/>
  <c r="BD162" i="1"/>
  <c r="BD164" i="1" s="1"/>
  <c r="BH162" i="1"/>
  <c r="BH164" i="1" s="1"/>
  <c r="BI162" i="1"/>
  <c r="BI164" i="1" s="1"/>
  <c r="BJ162" i="1"/>
  <c r="BJ164" i="1" s="1"/>
  <c r="BK162" i="1"/>
  <c r="BK164" i="1" s="1"/>
  <c r="BL162" i="1"/>
  <c r="BL164" i="1" s="1"/>
  <c r="BM162" i="1"/>
  <c r="BM164" i="1" s="1"/>
  <c r="BN162" i="1"/>
  <c r="BN164" i="1" s="1"/>
  <c r="BO162" i="1"/>
  <c r="BO164" i="1" s="1"/>
  <c r="F162" i="1"/>
  <c r="F164" i="1" s="1"/>
  <c r="G162" i="1"/>
  <c r="G164" i="1" s="1"/>
  <c r="H162" i="1"/>
  <c r="H164" i="1" s="1"/>
  <c r="I162" i="1"/>
  <c r="I164" i="1" s="1"/>
  <c r="AW162" i="1"/>
  <c r="AW164" i="1" s="1"/>
  <c r="AX162" i="1"/>
  <c r="AX164" i="1" s="1"/>
  <c r="AZ162" i="1"/>
  <c r="AZ164" i="1" s="1"/>
  <c r="BB162" i="1"/>
  <c r="BB164" i="1" s="1"/>
  <c r="AY162" i="1"/>
  <c r="AY164" i="1" s="1"/>
  <c r="BA162" i="1"/>
  <c r="BA164" i="1" s="1"/>
  <c r="E162" i="1"/>
  <c r="E164" i="1" s="1"/>
  <c r="CO67" i="1" l="1"/>
  <c r="CN85" i="1"/>
  <c r="CH24" i="1"/>
  <c r="CK85" i="1"/>
  <c r="CP4" i="1"/>
  <c r="CP6" i="1"/>
  <c r="CJ22" i="1"/>
  <c r="CI76" i="1"/>
  <c r="CJ5" i="1"/>
  <c r="CQ7" i="1"/>
  <c r="CG67" i="1"/>
  <c r="CM24" i="1"/>
  <c r="CH76" i="1"/>
  <c r="CP76" i="1"/>
  <c r="CG76" i="1"/>
  <c r="CR76" i="1"/>
  <c r="CN13" i="1"/>
  <c r="CK76" i="1"/>
  <c r="CI73" i="1"/>
  <c r="CP73" i="1"/>
  <c r="CQ73" i="1"/>
  <c r="CH73" i="1"/>
  <c r="CL24" i="1"/>
  <c r="CO73" i="1"/>
  <c r="CQ24" i="1"/>
  <c r="CG73" i="1"/>
  <c r="CP79" i="1"/>
  <c r="CO18" i="1"/>
  <c r="CR123" i="1"/>
  <c r="CP85" i="1"/>
  <c r="CN7" i="1"/>
  <c r="CI24" i="1"/>
  <c r="CQ23" i="1"/>
  <c r="CJ4" i="1"/>
  <c r="CL4" i="1"/>
  <c r="CM73" i="1"/>
  <c r="CM123" i="1"/>
  <c r="CK82" i="1"/>
  <c r="CN98" i="1"/>
  <c r="CN23" i="1"/>
  <c r="CO98" i="1"/>
  <c r="CM23" i="1"/>
  <c r="CI23" i="1"/>
  <c r="CR23" i="1"/>
  <c r="CL51" i="1"/>
  <c r="CN2" i="1"/>
  <c r="CK23" i="1"/>
  <c r="CL64" i="1"/>
  <c r="CQ8" i="1"/>
  <c r="CI11" i="1"/>
  <c r="CQ64" i="1"/>
  <c r="CJ64" i="1"/>
  <c r="CH23" i="1"/>
  <c r="CP23" i="1"/>
  <c r="CL14" i="1"/>
  <c r="CH52" i="1"/>
  <c r="CG13" i="1"/>
  <c r="CG23" i="1"/>
  <c r="CO13" i="1"/>
  <c r="CR67" i="1"/>
  <c r="CO23" i="1"/>
  <c r="CG14" i="1"/>
  <c r="CL67" i="1"/>
  <c r="CR3" i="1"/>
  <c r="CJ14" i="1"/>
  <c r="CL23" i="1"/>
  <c r="CR14" i="1"/>
  <c r="CI98" i="1"/>
  <c r="CO14" i="1"/>
  <c r="CO64" i="1"/>
  <c r="CQ98" i="1"/>
  <c r="CM82" i="1"/>
  <c r="CP52" i="1"/>
  <c r="CJ13" i="1"/>
  <c r="CR26" i="1"/>
  <c r="CQ26" i="1"/>
  <c r="CP26" i="1"/>
  <c r="CM15" i="1"/>
  <c r="CN26" i="1"/>
  <c r="CM26" i="1"/>
  <c r="CJ26" i="1"/>
  <c r="CJ100" i="1"/>
  <c r="CO26" i="1"/>
  <c r="CP96" i="1"/>
  <c r="CH26" i="1"/>
  <c r="CG96" i="1"/>
  <c r="CK26" i="1"/>
  <c r="CI26" i="1"/>
  <c r="CR24" i="1"/>
  <c r="CR97" i="1"/>
  <c r="CL147" i="1"/>
  <c r="CQ81" i="1"/>
  <c r="CQ147" i="1"/>
  <c r="CK97" i="1"/>
  <c r="CK91" i="1"/>
  <c r="CN81" i="1"/>
  <c r="CN18" i="1"/>
  <c r="CP81" i="1"/>
  <c r="CL91" i="1"/>
  <c r="CH81" i="1"/>
  <c r="CO91" i="1"/>
  <c r="CO81" i="1"/>
  <c r="CN147" i="1"/>
  <c r="CI91" i="1"/>
  <c r="CK81" i="1"/>
  <c r="CM147" i="1"/>
  <c r="CH91" i="1"/>
  <c r="CO147" i="1"/>
  <c r="CI147" i="1"/>
  <c r="CR91" i="1"/>
  <c r="CI81" i="1"/>
  <c r="CQ97" i="1"/>
  <c r="CH147" i="1"/>
  <c r="CQ91" i="1"/>
  <c r="CP97" i="1"/>
  <c r="CG147" i="1"/>
  <c r="CN91" i="1"/>
  <c r="CR19" i="1"/>
  <c r="CO6" i="1"/>
  <c r="CR2" i="1"/>
  <c r="CM93" i="1"/>
  <c r="CJ97" i="1"/>
  <c r="CM97" i="1"/>
  <c r="CR147" i="1"/>
  <c r="CI113" i="1"/>
  <c r="CJ81" i="1"/>
  <c r="CR7" i="1"/>
  <c r="CO24" i="1"/>
  <c r="CK153" i="1"/>
  <c r="CO52" i="1"/>
  <c r="CR13" i="1"/>
  <c r="CG85" i="1"/>
  <c r="CP15" i="1"/>
  <c r="CL98" i="1"/>
  <c r="CL7" i="1"/>
  <c r="CI79" i="1"/>
  <c r="CR117" i="1"/>
  <c r="CJ73" i="1"/>
  <c r="CL15" i="1"/>
  <c r="CM3" i="1"/>
  <c r="CJ76" i="1"/>
  <c r="CM2" i="1"/>
  <c r="CH14" i="1"/>
  <c r="CK135" i="1"/>
  <c r="CJ2" i="1"/>
  <c r="CM20" i="1"/>
  <c r="CP21" i="1"/>
  <c r="CQ146" i="1"/>
  <c r="CI3" i="1"/>
  <c r="CN76" i="1"/>
  <c r="CP14" i="1"/>
  <c r="CJ67" i="1"/>
  <c r="CI2" i="1"/>
  <c r="CM153" i="1"/>
  <c r="CP18" i="1"/>
  <c r="CL146" i="1"/>
  <c r="CG3" i="1"/>
  <c r="CM117" i="1"/>
  <c r="CG24" i="1"/>
  <c r="CM67" i="1"/>
  <c r="CN52" i="1"/>
  <c r="CK11" i="1"/>
  <c r="CM13" i="1"/>
  <c r="CQ85" i="1"/>
  <c r="CR73" i="1"/>
  <c r="CH98" i="1"/>
  <c r="CP22" i="1"/>
  <c r="CM7" i="1"/>
  <c r="CI89" i="1"/>
  <c r="CO76" i="1"/>
  <c r="CN20" i="1"/>
  <c r="CL89" i="1"/>
  <c r="CL52" i="1"/>
  <c r="CQ11" i="1"/>
  <c r="CO89" i="1"/>
  <c r="CL13" i="1"/>
  <c r="CM6" i="1"/>
  <c r="CO117" i="1"/>
  <c r="CI67" i="1"/>
  <c r="CG17" i="1"/>
  <c r="CH4" i="1"/>
  <c r="CG7" i="1"/>
  <c r="CR89" i="1"/>
  <c r="CL76" i="1"/>
  <c r="CK52" i="1"/>
  <c r="CO11" i="1"/>
  <c r="CK13" i="1"/>
  <c r="CG6" i="1"/>
  <c r="CL117" i="1"/>
  <c r="CQ67" i="1"/>
  <c r="CI85" i="1"/>
  <c r="CR17" i="1"/>
  <c r="CQ80" i="1"/>
  <c r="CN89" i="1"/>
  <c r="CH117" i="1"/>
  <c r="CI17" i="1"/>
  <c r="CK117" i="1"/>
  <c r="CO17" i="1"/>
  <c r="CO7" i="1"/>
  <c r="CP80" i="1"/>
  <c r="CM89" i="1"/>
  <c r="CN24" i="1"/>
  <c r="CN79" i="1"/>
  <c r="CN96" i="1"/>
  <c r="CL26" i="1"/>
  <c r="CK6" i="1"/>
  <c r="CR10" i="1"/>
  <c r="CL17" i="1"/>
  <c r="CM80" i="1"/>
  <c r="CJ89" i="1"/>
  <c r="CI96" i="1"/>
  <c r="CK10" i="1"/>
  <c r="CJ80" i="1"/>
  <c r="CQ135" i="1"/>
  <c r="CM95" i="1"/>
  <c r="CI80" i="1"/>
  <c r="CP135" i="1"/>
  <c r="CI95" i="1"/>
  <c r="CG80" i="1"/>
  <c r="CN135" i="1"/>
  <c r="CL80" i="1"/>
  <c r="CK89" i="1"/>
  <c r="CQ117" i="1"/>
  <c r="CJ135" i="1"/>
  <c r="CN17" i="1"/>
  <c r="CQ17" i="1"/>
  <c r="CK80" i="1"/>
  <c r="CN117" i="1"/>
  <c r="CG135" i="1"/>
  <c r="CP17" i="1"/>
  <c r="CJ17" i="1"/>
  <c r="CG117" i="1"/>
  <c r="CL135" i="1"/>
  <c r="CM17" i="1"/>
  <c r="CJ18" i="1"/>
  <c r="CQ4" i="1"/>
  <c r="CO3" i="1"/>
  <c r="CI148" i="1"/>
  <c r="CK7" i="1"/>
  <c r="CK24" i="1"/>
  <c r="CM79" i="1"/>
  <c r="CP11" i="1"/>
  <c r="CH96" i="1"/>
  <c r="CN154" i="1"/>
  <c r="CJ123" i="1"/>
  <c r="CM85" i="1"/>
  <c r="CN10" i="1"/>
  <c r="CL8" i="1"/>
  <c r="CQ20" i="1"/>
  <c r="CH18" i="1"/>
  <c r="CK146" i="1"/>
  <c r="CO82" i="1"/>
  <c r="CH7" i="1"/>
  <c r="CG153" i="1"/>
  <c r="CJ79" i="1"/>
  <c r="CG11" i="1"/>
  <c r="CQ96" i="1"/>
  <c r="CQ123" i="1"/>
  <c r="CJ85" i="1"/>
  <c r="CH10" i="1"/>
  <c r="CK8" i="1"/>
  <c r="CP20" i="1"/>
  <c r="CQ153" i="1"/>
  <c r="CJ9" i="1"/>
  <c r="CG18" i="1"/>
  <c r="CL82" i="1"/>
  <c r="CL153" i="1"/>
  <c r="CL2" i="1"/>
  <c r="CG79" i="1"/>
  <c r="CL11" i="1"/>
  <c r="CO96" i="1"/>
  <c r="CK123" i="1"/>
  <c r="CR85" i="1"/>
  <c r="CO10" i="1"/>
  <c r="CJ20" i="1"/>
  <c r="CN73" i="1"/>
  <c r="CP98" i="1"/>
  <c r="CI4" i="1"/>
  <c r="CQ3" i="1"/>
  <c r="CK83" i="1"/>
  <c r="CQ6" i="1"/>
  <c r="CL10" i="1"/>
  <c r="CI20" i="1"/>
  <c r="CJ3" i="1"/>
  <c r="CQ92" i="1"/>
  <c r="CG92" i="1"/>
  <c r="CJ96" i="1"/>
  <c r="CM18" i="1"/>
  <c r="CJ146" i="1"/>
  <c r="CL3" i="1"/>
  <c r="CQ82" i="1"/>
  <c r="CP7" i="1"/>
  <c r="CH100" i="1"/>
  <c r="CO153" i="1"/>
  <c r="CM52" i="1"/>
  <c r="CL79" i="1"/>
  <c r="CM11" i="1"/>
  <c r="CQ51" i="1"/>
  <c r="CM10" i="1"/>
  <c r="CP123" i="1"/>
  <c r="CK154" i="1"/>
  <c r="CN6" i="1"/>
  <c r="CO85" i="1"/>
  <c r="CJ10" i="1"/>
  <c r="CQ2" i="1"/>
  <c r="CG20" i="1"/>
  <c r="CP153" i="1"/>
  <c r="CL73" i="1"/>
  <c r="CG21" i="1"/>
  <c r="CL18" i="1"/>
  <c r="CP146" i="1"/>
  <c r="CM4" i="1"/>
  <c r="CK3" i="1"/>
  <c r="CJ82" i="1"/>
  <c r="CM92" i="1"/>
  <c r="CJ7" i="1"/>
  <c r="CO100" i="1"/>
  <c r="CQ76" i="1"/>
  <c r="CP24" i="1"/>
  <c r="CP2" i="1"/>
  <c r="CI52" i="1"/>
  <c r="CK79" i="1"/>
  <c r="CJ11" i="1"/>
  <c r="CM51" i="1"/>
  <c r="CN123" i="1"/>
  <c r="CJ6" i="1"/>
  <c r="CL85" i="1"/>
  <c r="CI10" i="1"/>
  <c r="CO2" i="1"/>
  <c r="CO20" i="1"/>
  <c r="CN153" i="1"/>
  <c r="CR21" i="1"/>
  <c r="CK18" i="1"/>
  <c r="CM146" i="1"/>
  <c r="CR4" i="1"/>
  <c r="CH3" i="1"/>
  <c r="CN82" i="1"/>
  <c r="CJ92" i="1"/>
  <c r="CH11" i="1"/>
  <c r="CQ14" i="1"/>
  <c r="CR11" i="1"/>
  <c r="CI123" i="1"/>
  <c r="CR6" i="1"/>
  <c r="CQ10" i="1"/>
  <c r="CJ153" i="1"/>
  <c r="CI18" i="1"/>
  <c r="CJ98" i="1"/>
  <c r="CN146" i="1"/>
  <c r="CK4" i="1"/>
  <c r="CP3" i="1"/>
  <c r="CI82" i="1"/>
  <c r="CO92" i="1"/>
  <c r="CH123" i="1"/>
  <c r="CG10" i="1"/>
  <c r="CQ18" i="1"/>
  <c r="CO146" i="1"/>
  <c r="CP82" i="1"/>
  <c r="CL92" i="1"/>
  <c r="CK92" i="1"/>
  <c r="CP92" i="1"/>
  <c r="CG2" i="1"/>
  <c r="CI153" i="1"/>
  <c r="CK98" i="1"/>
  <c r="CI146" i="1"/>
  <c r="CI92" i="1"/>
  <c r="CR78" i="1"/>
  <c r="CR99" i="1"/>
  <c r="CO78" i="1"/>
  <c r="CO99" i="1"/>
  <c r="CL78" i="1"/>
  <c r="CP25" i="1"/>
  <c r="CL99" i="1"/>
  <c r="CI16" i="1"/>
  <c r="CK99" i="1"/>
  <c r="CH16" i="1"/>
  <c r="CQ12" i="1"/>
  <c r="CP16" i="1"/>
  <c r="CM12" i="1"/>
  <c r="CH99" i="1"/>
  <c r="CN25" i="1"/>
  <c r="CJ25" i="1"/>
  <c r="CR16" i="1"/>
  <c r="CJ12" i="1"/>
  <c r="CI25" i="1"/>
  <c r="CM16" i="1"/>
  <c r="CL19" i="1"/>
  <c r="CM8" i="1"/>
  <c r="CO16" i="1"/>
  <c r="CH12" i="1"/>
  <c r="CP78" i="1"/>
  <c r="CQ25" i="1"/>
  <c r="CQ101" i="1"/>
  <c r="CJ8" i="1"/>
  <c r="CL16" i="1"/>
  <c r="CP12" i="1"/>
  <c r="CM78" i="1"/>
  <c r="CM25" i="1"/>
  <c r="CJ101" i="1"/>
  <c r="CM101" i="1"/>
  <c r="CG8" i="1"/>
  <c r="CK16" i="1"/>
  <c r="CI93" i="1"/>
  <c r="CO113" i="1"/>
  <c r="CI12" i="1"/>
  <c r="CJ78" i="1"/>
  <c r="CH25" i="1"/>
  <c r="CG25" i="1"/>
  <c r="CQ99" i="1"/>
  <c r="CN16" i="1"/>
  <c r="CR8" i="1"/>
  <c r="CM83" i="1"/>
  <c r="CO12" i="1"/>
  <c r="CI78" i="1"/>
  <c r="CR25" i="1"/>
  <c r="CP99" i="1"/>
  <c r="CO8" i="1"/>
  <c r="CH93" i="1"/>
  <c r="CL81" i="1"/>
  <c r="CL83" i="1"/>
  <c r="CP95" i="1"/>
  <c r="CL12" i="1"/>
  <c r="CG78" i="1"/>
  <c r="CL25" i="1"/>
  <c r="CJ99" i="1"/>
  <c r="CK12" i="1"/>
  <c r="CJ55" i="1"/>
  <c r="CO9" i="1"/>
  <c r="CL100" i="1"/>
  <c r="CR55" i="1"/>
  <c r="CK51" i="1"/>
  <c r="CI101" i="1"/>
  <c r="CI19" i="1"/>
  <c r="CP64" i="1"/>
  <c r="CK15" i="1"/>
  <c r="CL9" i="1"/>
  <c r="CI21" i="1"/>
  <c r="CI5" i="1"/>
  <c r="CJ83" i="1"/>
  <c r="CO22" i="1"/>
  <c r="CK100" i="1"/>
  <c r="CO55" i="1"/>
  <c r="CG64" i="1"/>
  <c r="CG101" i="1"/>
  <c r="CH19" i="1"/>
  <c r="CN64" i="1"/>
  <c r="CK9" i="1"/>
  <c r="CJ21" i="1"/>
  <c r="CR5" i="1"/>
  <c r="CH83" i="1"/>
  <c r="CL22" i="1"/>
  <c r="CQ100" i="1"/>
  <c r="CL55" i="1"/>
  <c r="CL101" i="1"/>
  <c r="CQ19" i="1"/>
  <c r="CM64" i="1"/>
  <c r="CQ21" i="1"/>
  <c r="CL5" i="1"/>
  <c r="CI83" i="1"/>
  <c r="CK22" i="1"/>
  <c r="CN19" i="1"/>
  <c r="CK55" i="1"/>
  <c r="CI154" i="1"/>
  <c r="CK101" i="1"/>
  <c r="CP19" i="1"/>
  <c r="CN21" i="1"/>
  <c r="CK5" i="1"/>
  <c r="CG83" i="1"/>
  <c r="CJ51" i="1"/>
  <c r="CH154" i="1"/>
  <c r="CJ19" i="1"/>
  <c r="CM55" i="1"/>
  <c r="CM21" i="1"/>
  <c r="CH5" i="1"/>
  <c r="CR113" i="1"/>
  <c r="CR83" i="1"/>
  <c r="CM100" i="1"/>
  <c r="CI51" i="1"/>
  <c r="CR154" i="1"/>
  <c r="CG19" i="1"/>
  <c r="CN51" i="1"/>
  <c r="CQ15" i="1"/>
  <c r="CQ9" i="1"/>
  <c r="CH21" i="1"/>
  <c r="CO83" i="1"/>
  <c r="CN92" i="1"/>
  <c r="CP100" i="1"/>
  <c r="CQ154" i="1"/>
  <c r="CM9" i="1"/>
  <c r="CQ22" i="1"/>
  <c r="CN100" i="1"/>
  <c r="CM19" i="1"/>
  <c r="CG51" i="1"/>
  <c r="CI64" i="1"/>
  <c r="CP51" i="1"/>
  <c r="CO154" i="1"/>
  <c r="CJ15" i="1"/>
  <c r="CH9" i="1"/>
  <c r="CO21" i="1"/>
  <c r="CQ5" i="1"/>
  <c r="CP83" i="1"/>
  <c r="CJ84" i="1"/>
  <c r="CH92" i="1"/>
  <c r="CN22" i="1"/>
  <c r="CG100" i="1"/>
  <c r="CQ55" i="1"/>
  <c r="CR51" i="1"/>
  <c r="CP101" i="1"/>
  <c r="CH64" i="1"/>
  <c r="CI15" i="1"/>
  <c r="CP9" i="1"/>
  <c r="CL21" i="1"/>
  <c r="CP5" i="1"/>
  <c r="CQ83" i="1"/>
  <c r="CQ84" i="1"/>
  <c r="CM22" i="1"/>
  <c r="CR100" i="1"/>
  <c r="CP55" i="1"/>
  <c r="CO51" i="1"/>
  <c r="CN15" i="1"/>
  <c r="CN101" i="1"/>
  <c r="CR64" i="1"/>
  <c r="CL154" i="1"/>
  <c r="CG15" i="1"/>
  <c r="CI9" i="1"/>
  <c r="CM5" i="1"/>
  <c r="CI84" i="1"/>
  <c r="CI22" i="1"/>
  <c r="CJ86" i="1"/>
  <c r="CH80" i="1"/>
  <c r="CK78" i="1"/>
  <c r="CH89" i="1"/>
  <c r="CG91" i="1"/>
  <c r="CG97" i="1"/>
  <c r="CK147" i="1"/>
  <c r="CI8" i="1"/>
  <c r="CJ52" i="1"/>
  <c r="CH79" i="1"/>
  <c r="CO25" i="1"/>
  <c r="CK14" i="1"/>
  <c r="CN55" i="1"/>
  <c r="CP91" i="1"/>
  <c r="CR96" i="1"/>
  <c r="CM99" i="1"/>
  <c r="CP154" i="1"/>
  <c r="CH101" i="1"/>
  <c r="CG123" i="1"/>
  <c r="CO19" i="1"/>
  <c r="CM14" i="1"/>
  <c r="CP117" i="1"/>
  <c r="CI135" i="1"/>
  <c r="CN67" i="1"/>
  <c r="CK2" i="1"/>
  <c r="CQ16" i="1"/>
  <c r="CH15" i="1"/>
  <c r="CR20" i="1"/>
  <c r="CK17" i="1"/>
  <c r="CN9" i="1"/>
  <c r="CM98" i="1"/>
  <c r="CG5" i="1"/>
  <c r="CH86" i="1"/>
  <c r="CJ93" i="1"/>
  <c r="CH146" i="1"/>
  <c r="CH113" i="1"/>
  <c r="CG4" i="1"/>
  <c r="CM81" i="1"/>
  <c r="CH82" i="1"/>
  <c r="CN84" i="1"/>
  <c r="CN95" i="1"/>
  <c r="CH22" i="1"/>
  <c r="CN12" i="1"/>
  <c r="CH148" i="1"/>
  <c r="CI124" i="1"/>
  <c r="CN86" i="1"/>
  <c r="CR148" i="1"/>
  <c r="CH97" i="1"/>
  <c r="CR80" i="1"/>
  <c r="CH124" i="1"/>
  <c r="CQ89" i="1"/>
  <c r="CM135" i="1"/>
  <c r="CO97" i="1"/>
  <c r="CH8" i="1"/>
  <c r="CG52" i="1"/>
  <c r="CR79" i="1"/>
  <c r="CI55" i="1"/>
  <c r="CM91" i="1"/>
  <c r="CL96" i="1"/>
  <c r="CI13" i="1"/>
  <c r="CI99" i="1"/>
  <c r="CM154" i="1"/>
  <c r="CR101" i="1"/>
  <c r="CO123" i="1"/>
  <c r="CJ117" i="1"/>
  <c r="CR135" i="1"/>
  <c r="CK67" i="1"/>
  <c r="CN78" i="1"/>
  <c r="CP8" i="1"/>
  <c r="CJ16" i="1"/>
  <c r="CR15" i="1"/>
  <c r="CL20" i="1"/>
  <c r="CH153" i="1"/>
  <c r="CG9" i="1"/>
  <c r="CG98" i="1"/>
  <c r="CO5" i="1"/>
  <c r="CG86" i="1"/>
  <c r="CG93" i="1"/>
  <c r="CG146" i="1"/>
  <c r="CQ113" i="1"/>
  <c r="CO4" i="1"/>
  <c r="CG81" i="1"/>
  <c r="CG82" i="1"/>
  <c r="CG84" i="1"/>
  <c r="CG95" i="1"/>
  <c r="CG22" i="1"/>
  <c r="CG12" i="1"/>
  <c r="CQ148" i="1"/>
  <c r="CO80" i="1"/>
  <c r="CQ78" i="1"/>
  <c r="CQ124" i="1"/>
  <c r="CP89" i="1"/>
  <c r="CH135" i="1"/>
  <c r="CP67" i="1"/>
  <c r="CP147" i="1"/>
  <c r="CQ79" i="1"/>
  <c r="CR52" i="1"/>
  <c r="CI14" i="1"/>
  <c r="CG55" i="1"/>
  <c r="CK96" i="1"/>
  <c r="CG99" i="1"/>
  <c r="CJ154" i="1"/>
  <c r="CK20" i="1"/>
  <c r="CR86" i="1"/>
  <c r="CR93" i="1"/>
  <c r="CP113" i="1"/>
  <c r="CR84" i="1"/>
  <c r="CR95" i="1"/>
  <c r="CP148" i="1"/>
  <c r="CM124" i="1"/>
  <c r="CP124" i="1"/>
  <c r="CO86" i="1"/>
  <c r="CO93" i="1"/>
  <c r="CN113" i="1"/>
  <c r="CO84" i="1"/>
  <c r="CO95" i="1"/>
  <c r="CN148" i="1"/>
  <c r="CI6" i="1"/>
  <c r="CH6" i="1"/>
  <c r="CJ124" i="1"/>
  <c r="CL86" i="1"/>
  <c r="CL93" i="1"/>
  <c r="CM113" i="1"/>
  <c r="CL84" i="1"/>
  <c r="CL95" i="1"/>
  <c r="CM148" i="1"/>
  <c r="CG124" i="1"/>
  <c r="CK86" i="1"/>
  <c r="CK93" i="1"/>
  <c r="CJ113" i="1"/>
  <c r="CK84" i="1"/>
  <c r="CK95" i="1"/>
  <c r="CJ148" i="1"/>
  <c r="CH13" i="1"/>
  <c r="CP13" i="1"/>
  <c r="CR124" i="1"/>
  <c r="CQ86" i="1"/>
  <c r="CP93" i="1"/>
  <c r="CG113" i="1"/>
  <c r="CM84" i="1"/>
  <c r="CQ95" i="1"/>
  <c r="CG148" i="1"/>
  <c r="CO124" i="1"/>
  <c r="CP86" i="1"/>
  <c r="CO148" i="1"/>
  <c r="CL124" i="1"/>
  <c r="CI86" i="1"/>
  <c r="CQ93" i="1"/>
  <c r="CL113" i="1"/>
  <c r="CH84" i="1"/>
  <c r="CJ95" i="1"/>
  <c r="CL148" i="1"/>
  <c r="CI97" i="1"/>
  <c r="CN97" i="1"/>
  <c r="CK124" i="1"/>
  <c r="CR162" i="1" l="1"/>
  <c r="CN162" i="1"/>
  <c r="CJ162" i="1"/>
  <c r="CH162" i="1"/>
  <c r="CM162" i="1"/>
  <c r="CL162" i="1"/>
  <c r="CQ162" i="1"/>
  <c r="CG162" i="1"/>
  <c r="CK162" i="1"/>
  <c r="CP162" i="1"/>
  <c r="CO162" i="1"/>
  <c r="CI162" i="1"/>
</calcChain>
</file>

<file path=xl/sharedStrings.xml><?xml version="1.0" encoding="utf-8"?>
<sst xmlns="http://schemas.openxmlformats.org/spreadsheetml/2006/main" count="727" uniqueCount="272">
  <si>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</si>
  <si>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</si>
  <si>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</si>
  <si>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</si>
  <si>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</si>
  <si>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</si>
  <si>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</si>
  <si>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</si>
  <si>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</si>
  <si>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</si>
  <si>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</si>
  <si>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</si>
  <si>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</si>
  <si>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</si>
  <si>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</si>
  <si>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</si>
  <si>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</si>
  <si>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</si>
  <si>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</si>
  <si>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</si>
  <si>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</si>
  <si>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</si>
  <si>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</si>
  <si>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</si>
  <si>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</si>
  <si>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</si>
  <si>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</si>
  <si>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</si>
  <si>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</si>
  <si>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</si>
  <si>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</si>
  <si>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</si>
  <si>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</si>
  <si>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</si>
  <si>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</si>
  <si>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</si>
  <si>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</si>
  <si>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</si>
  <si>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</si>
  <si>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</si>
  <si>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</si>
  <si>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</si>
  <si>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</si>
  <si>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</si>
  <si>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</si>
  <si>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</si>
  <si>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</si>
  <si>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</si>
  <si>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</si>
  <si>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</si>
  <si>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</si>
  <si>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</si>
  <si>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</si>
  <si>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</si>
  <si>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</si>
  <si>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</si>
  <si>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</si>
  <si>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</si>
  <si>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</si>
  <si>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</si>
  <si>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</si>
  <si>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</si>
  <si>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</si>
  <si>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</si>
  <si>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</si>
  <si>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</si>
  <si>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</si>
  <si>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</si>
  <si>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</si>
  <si>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</si>
  <si>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</si>
  <si>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</si>
  <si>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</si>
  <si>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</si>
  <si>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</si>
  <si>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</si>
  <si>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</si>
  <si>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</si>
  <si>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</si>
  <si>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</si>
  <si>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</si>
  <si>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</si>
  <si>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</si>
  <si>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</si>
  <si>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</si>
  <si>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</si>
  <si>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</si>
  <si>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</si>
  <si>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</si>
  <si>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</si>
  <si>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</si>
  <si>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</si>
  <si>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</si>
  <si>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</si>
  <si>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</si>
  <si>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</si>
  <si>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</si>
  <si>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</si>
  <si>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</si>
  <si>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</si>
  <si>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</si>
  <si>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</si>
  <si>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</si>
  <si>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</si>
  <si>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</si>
  <si>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</si>
  <si>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</si>
  <si>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</si>
  <si>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</si>
  <si>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</si>
  <si>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</si>
  <si>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</si>
  <si>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</si>
  <si>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</si>
  <si>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</si>
  <si>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</si>
  <si>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</si>
  <si>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</si>
  <si>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</si>
  <si>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</si>
  <si>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</si>
  <si>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</si>
  <si>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</si>
  <si>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</si>
  <si>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</si>
  <si>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</si>
  <si>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</si>
  <si>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</si>
  <si>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</si>
  <si>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</si>
  <si>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</si>
  <si>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</si>
  <si>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</si>
  <si>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</si>
  <si>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</si>
  <si>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</si>
  <si>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金甲虫(8),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</si>
  <si>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</si>
  <si>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</si>
  <si>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</si>
  <si>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</si>
  <si>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</si>
  <si>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</si>
  <si>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</si>
  <si>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</si>
  <si>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</si>
  <si>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</si>
  <si>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</si>
  <si>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</si>
  <si>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</si>
  <si>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</si>
  <si>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</si>
  <si>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</si>
  <si>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</si>
  <si>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</si>
  <si>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</si>
  <si>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</si>
  <si>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</si>
  <si>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</si>
  <si>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</si>
  <si>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</si>
  <si>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</si>
  <si>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</si>
  <si>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</si>
  <si>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</si>
  <si>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</si>
  <si>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</si>
  <si>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</si>
  <si>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</si>
  <si>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</si>
  <si>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</si>
  <si>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</si>
  <si>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</si>
  <si>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</si>
  <si>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</si>
  <si>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彗星(25),</t>
    <phoneticPr fontId="1" type="noConversion"/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</si>
  <si>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</si>
  <si>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</si>
  <si>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</si>
  <si>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</si>
  <si>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</si>
  <si>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</si>
  <si>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</si>
  <si>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</si>
  <si>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</si>
  <si>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</si>
  <si>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</si>
  <si>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</si>
  <si>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</si>
  <si>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</si>
  <si>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</si>
  <si>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</si>
  <si>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</si>
  <si>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</si>
  <si>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</si>
  <si>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</si>
  <si>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</si>
  <si>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</si>
  <si>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</si>
  <si>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</si>
  <si>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</si>
  <si>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</si>
  <si>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</si>
  <si>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</si>
  <si>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</si>
  <si>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</si>
  <si>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</si>
  <si>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</si>
  <si>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</si>
  <si>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</si>
  <si>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</si>
  <si>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</si>
  <si>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</si>
  <si>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</si>
  <si>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</si>
  <si>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</si>
  <si>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</si>
  <si>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</si>
  <si>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</si>
  <si>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</si>
  <si>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</si>
  <si>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糯米(2),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</si>
  <si>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</si>
  <si>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</si>
  <si>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</si>
  <si>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</si>
  <si>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炼妖壶(2),</t>
  </si>
  <si>
    <t>龙灵不朽藤(5),</t>
  </si>
  <si>
    <t>炼妖壶(3),</t>
  </si>
  <si>
    <t>东皇钟(1),</t>
  </si>
  <si>
    <t>神农鼎(7),</t>
  </si>
  <si>
    <t>神农鼎(2),</t>
  </si>
  <si>
    <t>东皇钟(1),_x000D_
崆峒印(3),</t>
  </si>
  <si>
    <t>龙灵不朽藤(10),</t>
    <phoneticPr fontId="1" type="noConversion"/>
  </si>
  <si>
    <t>炼妖壶(3),_x000D_
龙灵不朽藤(10),</t>
    <phoneticPr fontId="1" type="noConversion"/>
  </si>
  <si>
    <t>智慧符文叉大(2),</t>
    <phoneticPr fontId="1" type="noConversion"/>
  </si>
  <si>
    <t>炼妖壶(7),</t>
    <phoneticPr fontId="1" type="noConversion"/>
  </si>
  <si>
    <t>幸运符文叉大(3),</t>
    <phoneticPr fontId="1" type="noConversion"/>
  </si>
  <si>
    <t>炼妖壶(2),_x000D_
仙丹(5),</t>
    <phoneticPr fontId="1" type="noConversion"/>
  </si>
  <si>
    <t>神农鼎(7),_x000D_
龙灵不朽藤(15),</t>
    <phoneticPr fontId="1" type="noConversion"/>
  </si>
  <si>
    <t>炼妖壶(3),</t>
    <phoneticPr fontId="1" type="noConversion"/>
  </si>
  <si>
    <t>炼妖壶(17),</t>
    <phoneticPr fontId="1" type="noConversion"/>
  </si>
  <si>
    <t>神农鼎(12),_x000D_
幸运符文叉大(3),</t>
    <phoneticPr fontId="1" type="noConversion"/>
  </si>
  <si>
    <t>六方天运骰(5),_x000D_
力量符文叉大(1),</t>
    <phoneticPr fontId="1" type="noConversion"/>
  </si>
  <si>
    <t>炼妖壶(12),_x000D_
神农鼎(7),_x000D_
赤焰十字星(1),</t>
    <phoneticPr fontId="1" type="noConversion"/>
  </si>
  <si>
    <t>糯米(10),_x000D_
粽叶(10),_x000D_
龙灵不朽藤(5),</t>
    <phoneticPr fontId="1" type="noConversion"/>
  </si>
  <si>
    <t>欠条大(8),_x000D_
骰子大(4),</t>
    <phoneticPr fontId="1" type="noConversion"/>
  </si>
  <si>
    <t>神农鼎(2),_x000D_
欠条大(8),_x000D_
骰子大(4),</t>
    <phoneticPr fontId="1" type="noConversion"/>
  </si>
  <si>
    <t>欠条大(8),_x000D_
钱袋大(10),</t>
    <phoneticPr fontId="1" type="noConversion"/>
  </si>
  <si>
    <t>骰子大(4),_x000D_
庄家令牌大(6),</t>
    <phoneticPr fontId="1" type="noConversion"/>
  </si>
  <si>
    <t>神农鼎(2),_x000D_
欠条大(8),_x000D_
钱袋大(10),</t>
    <phoneticPr fontId="1" type="noConversion"/>
  </si>
  <si>
    <t>庄家令牌中(3),</t>
    <phoneticPr fontId="1" type="noConversion"/>
  </si>
  <si>
    <t>欠条中(6),_x000D_
钱袋中(2),_x000D_
筹码大(6),</t>
    <phoneticPr fontId="1" type="noConversion"/>
  </si>
  <si>
    <t>欠条中(6),_x000D_
欠条大(5),_x000D_
钱袋中(2),</t>
    <phoneticPr fontId="1" type="noConversion"/>
  </si>
  <si>
    <t>欠条中(6),_x000D_
钱袋中(2),_x000D_
骰子大(1),</t>
    <phoneticPr fontId="1" type="noConversion"/>
  </si>
  <si>
    <t>欠条大(8),_x000D_
骰子大(4),_x000D_
龙灵不朽藤(10),</t>
    <phoneticPr fontId="1" type="noConversion"/>
  </si>
  <si>
    <t>钱袋大(10),_x000D_
筹码大(9),</t>
    <phoneticPr fontId="1" type="noConversion"/>
  </si>
  <si>
    <t>钱袋大(2),_x000D_
筹码大(1),_x000D_
庄家令牌中(3),</t>
    <phoneticPr fontId="1" type="noConversion"/>
  </si>
  <si>
    <t>欠条中(4),_x000D_
筹码中(4),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</si>
  <si>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</si>
  <si>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</si>
  <si>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欠条中(4),_x000D_
筹码中(4),_x000D_
庄家令牌小(2),</t>
    <phoneticPr fontId="1" type="noConversion"/>
  </si>
  <si>
    <t>庄家令牌小(2),_x000D_
庄家令牌中(3),</t>
    <phoneticPr fontId="1" type="noConversion"/>
  </si>
  <si>
    <t>骰子中(3),_x000D_
庄家令牌小(2),</t>
    <phoneticPr fontId="1" type="noConversion"/>
  </si>
  <si>
    <t>欠条中(4),_x000D_
庄家令牌小(2),</t>
    <phoneticPr fontId="1" type="noConversion"/>
  </si>
  <si>
    <t>筹码中(4),_x000D_
庄家令牌小(2),</t>
    <phoneticPr fontId="1" type="noConversion"/>
  </si>
  <si>
    <t>赤焰十字星(26),_x000D_
力量符文叉大(21),_x000D_
逆鳞(10),_x000D_
星座素材火(2),</t>
    <phoneticPr fontId="1" type="noConversion"/>
  </si>
  <si>
    <t>萌极</t>
    <phoneticPr fontId="1" type="noConversion"/>
  </si>
  <si>
    <t>梅花4</t>
    <phoneticPr fontId="1" type="noConversion"/>
  </si>
  <si>
    <t>青年</t>
    <phoneticPr fontId="1" type="noConversion"/>
  </si>
  <si>
    <t>成年</t>
    <phoneticPr fontId="1" type="noConversion"/>
  </si>
  <si>
    <t>敖钦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</si>
</sst>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166</xdr:row>
          <xdr:rowOff>28575</xdr:rowOff>
        </xdr:from>
        <xdr:to>
          <xdr:col>1</xdr:col>
          <xdr:colOff>428625</xdr:colOff>
          <xdr:row>167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4"/>
  <sheetViews>
    <sheetView tabSelected="1" workbookViewId="0">
      <pane xSplit="2" ySplit="1" topLeftCell="C20" activePane="bottomRight" state="frozen"/>
      <selection pane="topRight" activeCell="C1" sqref="C1"/>
      <selection pane="bottomLeft" activeCell="A3" sqref="A3"/>
      <selection pane="bottomRight" activeCell="B36" sqref="B3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182</v>
      </c>
      <c r="Q1" s="31" t="s">
        <v>194</v>
      </c>
      <c r="R1" s="31" t="s">
        <v>188</v>
      </c>
      <c r="S1" s="31" t="s">
        <v>183</v>
      </c>
      <c r="T1" s="31" t="s">
        <v>192</v>
      </c>
      <c r="U1" s="31" t="s">
        <v>198</v>
      </c>
      <c r="V1" s="31" t="s">
        <v>184</v>
      </c>
      <c r="W1" s="31" t="s">
        <v>191</v>
      </c>
      <c r="X1" s="31" t="s">
        <v>189</v>
      </c>
      <c r="Y1" s="31" t="s">
        <v>185</v>
      </c>
      <c r="Z1" s="31" t="s">
        <v>193</v>
      </c>
      <c r="AA1" s="31" t="s">
        <v>200</v>
      </c>
      <c r="AB1" s="31" t="s">
        <v>187</v>
      </c>
      <c r="AC1" s="31" t="s">
        <v>186</v>
      </c>
      <c r="AD1" s="31" t="s">
        <v>216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148</v>
      </c>
      <c r="AP1" s="8" t="s">
        <v>149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144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26" si="0">SUM(E2:BO2)</f>
        <v>80</v>
      </c>
      <c r="BQ2" s="1">
        <v>0</v>
      </c>
      <c r="BR2" s="17">
        <v>0</v>
      </c>
      <c r="BS2" s="17"/>
      <c r="BT2" s="1" t="str">
        <f>IF(AQ2&gt;AQ$163, AQ2-AQ$163,"")</f>
        <v/>
      </c>
      <c r="BU2" s="1" t="str">
        <f>IF(AR2&gt;AR$163, AR2-AR$163,"")</f>
        <v/>
      </c>
      <c r="BV2" s="1" t="str">
        <f>IF(AS2&gt;AS$163, AS2-AS$163,"")</f>
        <v/>
      </c>
      <c r="BW2" s="1" t="str">
        <f>IF(AT2&gt;AT$163, AT2-AT$163,"")</f>
        <v/>
      </c>
      <c r="BX2" s="1" t="str">
        <f>IF(AU2&gt;AU$163, AU2-AU$163,"")</f>
        <v/>
      </c>
      <c r="BY2" s="1" t="str">
        <f>IF(AV2&gt;AV$163, AV2-AV$163,"")</f>
        <v/>
      </c>
      <c r="BZ2" s="1" t="str">
        <f>IF(AW2&gt;AW$163, AW2-AW$163,"")</f>
        <v/>
      </c>
      <c r="CA2" s="1" t="str">
        <f>IF(AX2&gt;AX$163, AX2-AX$163,"")</f>
        <v/>
      </c>
      <c r="CB2" s="1" t="str">
        <f>IF(AY2&gt;AY$163, AY2-AY$163,"")</f>
        <v/>
      </c>
      <c r="CC2" s="1" t="str">
        <f>IF(AZ2&gt;AZ$163, AZ2-AZ$163,"")</f>
        <v/>
      </c>
      <c r="CD2" s="1" t="str">
        <f>IF(BA2&gt;BA$163, BA2-BA$163,"")</f>
        <v/>
      </c>
      <c r="CE2" s="1" t="str">
        <f>IF(BB2&gt;BB$163, BB2-BB$163,"")</f>
        <v/>
      </c>
      <c r="CF2" s="1">
        <f>12-COUNTA(BT2:CE2)</f>
        <v>0</v>
      </c>
      <c r="CG2" s="1" t="str">
        <f t="shared" ref="CG2:CG26" si="1">IF($CF2=1,BT2,"")</f>
        <v/>
      </c>
      <c r="CH2" s="1" t="str">
        <f t="shared" ref="CH2:CH26" si="2">IF($CF2=1,BU2,"")</f>
        <v/>
      </c>
      <c r="CI2" s="1" t="str">
        <f t="shared" ref="CI2:CI26" si="3">IF($CF2=1,BV2,"")</f>
        <v/>
      </c>
      <c r="CJ2" s="1" t="str">
        <f t="shared" ref="CJ2:CJ26" si="4">IF($CF2=1,BW2,"")</f>
        <v/>
      </c>
      <c r="CK2" s="1" t="str">
        <f t="shared" ref="CK2:CK26" si="5">IF($CF2=1,BX2,"")</f>
        <v/>
      </c>
      <c r="CL2" s="1" t="str">
        <f t="shared" ref="CL2:CL26" si="6">IF($CF2=1,BY2,"")</f>
        <v/>
      </c>
      <c r="CM2" s="1" t="str">
        <f t="shared" ref="CM2:CM26" si="7">IF($CF2=1,BZ2,"")</f>
        <v/>
      </c>
      <c r="CN2" s="1" t="str">
        <f t="shared" ref="CN2:CN26" si="8">IF($CF2=1,CA2,"")</f>
        <v/>
      </c>
      <c r="CO2" s="1" t="str">
        <f t="shared" ref="CO2:CO26" si="9">IF($CF2=1,CB2,"")</f>
        <v/>
      </c>
      <c r="CP2" s="1" t="str">
        <f t="shared" ref="CP2:CP26" si="10">IF($CF2=1,CC2,"")</f>
        <v/>
      </c>
      <c r="CQ2" s="1" t="str">
        <f t="shared" ref="CQ2:CQ26" si="11">IF($CF2=1,CD2,"")</f>
        <v/>
      </c>
      <c r="CR2" s="1" t="str">
        <f t="shared" ref="CR2:CR26" si="12">IF($CF2=1,CE2,"")</f>
        <v/>
      </c>
      <c r="CS2" s="18">
        <f t="shared" ref="CS2:CS26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IF(AQ3&gt;AQ$163, AQ3-AQ$163,"")</f>
        <v/>
      </c>
      <c r="BU3" s="1" t="str">
        <f>IF(AR3&gt;AR$163, AR3-AR$163,"")</f>
        <v/>
      </c>
      <c r="BV3" s="1" t="str">
        <f>IF(AS3&gt;AS$163, AS3-AS$163,"")</f>
        <v/>
      </c>
      <c r="BW3" s="1" t="str">
        <f>IF(AT3&gt;AT$163, AT3-AT$163,"")</f>
        <v/>
      </c>
      <c r="BX3" s="1" t="str">
        <f>IF(AU3&gt;AU$163, AU3-AU$163,"")</f>
        <v/>
      </c>
      <c r="BY3" s="1" t="str">
        <f>IF(AV3&gt;AV$163, AV3-AV$163,"")</f>
        <v/>
      </c>
      <c r="BZ3" s="1" t="str">
        <f>IF(AW3&gt;AW$163, AW3-AW$163,"")</f>
        <v/>
      </c>
      <c r="CA3" s="1" t="str">
        <f>IF(AX3&gt;AX$163, AX3-AX$163,"")</f>
        <v/>
      </c>
      <c r="CB3" s="1" t="str">
        <f>IF(AY3&gt;AY$163, AY3-AY$163,"")</f>
        <v/>
      </c>
      <c r="CC3" s="1" t="str">
        <f>IF(AZ3&gt;AZ$163, AZ3-AZ$163,"")</f>
        <v/>
      </c>
      <c r="CD3" s="1" t="str">
        <f>IF(BA3&gt;BA$163, BA3-BA$163,"")</f>
        <v/>
      </c>
      <c r="CE3" s="1" t="str">
        <f>IF(BB3&gt;BB$163, BB3-BB$163,"")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IF(AQ4&gt;AQ$163, AQ4-AQ$163,"")</f>
        <v/>
      </c>
      <c r="BU4" s="1" t="str">
        <f>IF(AR4&gt;AR$163, AR4-AR$163,"")</f>
        <v/>
      </c>
      <c r="BV4" s="1" t="str">
        <f>IF(AS4&gt;AS$163, AS4-AS$163,"")</f>
        <v/>
      </c>
      <c r="BW4" s="1" t="str">
        <f>IF(AT4&gt;AT$163, AT4-AT$163,"")</f>
        <v/>
      </c>
      <c r="BX4" s="1" t="str">
        <f>IF(AU4&gt;AU$163, AU4-AU$163,"")</f>
        <v/>
      </c>
      <c r="BY4" s="1" t="str">
        <f>IF(AV4&gt;AV$163, AV4-AV$163,"")</f>
        <v/>
      </c>
      <c r="BZ4" s="1" t="str">
        <f>IF(AW4&gt;AW$163, AW4-AW$163,"")</f>
        <v/>
      </c>
      <c r="CA4" s="1" t="str">
        <f>IF(AX4&gt;AX$163, AX4-AX$163,"")</f>
        <v/>
      </c>
      <c r="CB4" s="1" t="str">
        <f>IF(AY4&gt;AY$163, AY4-AY$163,"")</f>
        <v/>
      </c>
      <c r="CC4" s="1" t="str">
        <f>IF(AZ4&gt;AZ$163, AZ4-AZ$163,"")</f>
        <v/>
      </c>
      <c r="CD4" s="1" t="str">
        <f>IF(BA4&gt;BA$163, BA4-BA$163,"")</f>
        <v/>
      </c>
      <c r="CE4" s="1" t="str">
        <f>IF(BB4&gt;BB$163, BB4-BB$163,"")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IF(AQ5&gt;AQ$163, AQ5-AQ$163,"")</f>
        <v/>
      </c>
      <c r="BU5" s="1" t="str">
        <f>IF(AR5&gt;AR$163, AR5-AR$163,"")</f>
        <v/>
      </c>
      <c r="BV5" s="1" t="str">
        <f>IF(AS5&gt;AS$163, AS5-AS$163,"")</f>
        <v/>
      </c>
      <c r="BW5" s="1" t="str">
        <f>IF(AT5&gt;AT$163, AT5-AT$163,"")</f>
        <v/>
      </c>
      <c r="BX5" s="1" t="str">
        <f>IF(AU5&gt;AU$163, AU5-AU$163,"")</f>
        <v/>
      </c>
      <c r="BY5" s="1" t="str">
        <f>IF(AV5&gt;AV$163, AV5-AV$163,"")</f>
        <v/>
      </c>
      <c r="BZ5" s="1" t="str">
        <f>IF(AW5&gt;AW$163, AW5-AW$163,"")</f>
        <v/>
      </c>
      <c r="CA5" s="1" t="str">
        <f>IF(AX5&gt;AX$163, AX5-AX$163,"")</f>
        <v/>
      </c>
      <c r="CB5" s="1" t="str">
        <f>IF(AY5&gt;AY$163, AY5-AY$163,"")</f>
        <v/>
      </c>
      <c r="CC5" s="1" t="str">
        <f>IF(AZ5&gt;AZ$163, AZ5-AZ$163,"")</f>
        <v/>
      </c>
      <c r="CD5" s="1" t="str">
        <f>IF(BA5&gt;BA$163, BA5-BA$163,"")</f>
        <v/>
      </c>
      <c r="CE5" s="1" t="str">
        <f>IF(BB5&gt;BB$163, BB5-BB$163,"")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IF(AQ6&gt;AQ$163, AQ6-AQ$163,"")</f>
        <v/>
      </c>
      <c r="BU6" s="19" t="str">
        <f>IF(AR6&gt;AR$163, AR6-AR$163,"")</f>
        <v/>
      </c>
      <c r="BV6" s="19" t="str">
        <f>IF(AS6&gt;AS$163, AS6-AS$163,"")</f>
        <v/>
      </c>
      <c r="BW6" s="19" t="str">
        <f>IF(AT6&gt;AT$163, AT6-AT$163,"")</f>
        <v/>
      </c>
      <c r="BX6" s="19" t="str">
        <f>IF(AU6&gt;AU$163, AU6-AU$163,"")</f>
        <v/>
      </c>
      <c r="BY6" s="19" t="str">
        <f>IF(AV6&gt;AV$163, AV6-AV$163,"")</f>
        <v/>
      </c>
      <c r="BZ6" s="19" t="str">
        <f>IF(AW6&gt;AW$163, AW6-AW$163,"")</f>
        <v/>
      </c>
      <c r="CA6" s="19" t="str">
        <f>IF(AX6&gt;AX$163, AX6-AX$163,"")</f>
        <v/>
      </c>
      <c r="CB6" s="19" t="str">
        <f>IF(AY6&gt;AY$163, AY6-AY$163,"")</f>
        <v/>
      </c>
      <c r="CC6" s="19" t="str">
        <f>IF(AZ6&gt;AZ$163, AZ6-AZ$163,"")</f>
        <v/>
      </c>
      <c r="CD6" s="19" t="str">
        <f>IF(BA6&gt;BA$163, BA6-BA$163,"")</f>
        <v/>
      </c>
      <c r="CE6" s="19" t="str">
        <f>IF(BB6&gt;BB$163, BB6-BB$163,"")</f>
        <v/>
      </c>
      <c r="CF6" s="19">
        <f t="shared" ref="CF6:CF26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IF(AQ7&gt;AQ$163, AQ7-AQ$163,"")</f>
        <v/>
      </c>
      <c r="BU7" s="19" t="str">
        <f>IF(AR7&gt;AR$163, AR7-AR$163,"")</f>
        <v/>
      </c>
      <c r="BV7" s="19" t="str">
        <f>IF(AS7&gt;AS$163, AS7-AS$163,"")</f>
        <v/>
      </c>
      <c r="BW7" s="19" t="str">
        <f>IF(AT7&gt;AT$163, AT7-AT$163,"")</f>
        <v/>
      </c>
      <c r="BX7" s="19" t="str">
        <f>IF(AU7&gt;AU$163, AU7-AU$163,"")</f>
        <v/>
      </c>
      <c r="BY7" s="19" t="str">
        <f>IF(AV7&gt;AV$163, AV7-AV$163,"")</f>
        <v/>
      </c>
      <c r="BZ7" s="19" t="str">
        <f>IF(AW7&gt;AW$163, AW7-AW$163,"")</f>
        <v/>
      </c>
      <c r="CA7" s="19" t="str">
        <f>IF(AX7&gt;AX$163, AX7-AX$163,"")</f>
        <v/>
      </c>
      <c r="CB7" s="19" t="str">
        <f>IF(AY7&gt;AY$163, AY7-AY$163,"")</f>
        <v/>
      </c>
      <c r="CC7" s="19" t="str">
        <f>IF(AZ7&gt;AZ$163, AZ7-AZ$163,"")</f>
        <v/>
      </c>
      <c r="CD7" s="19" t="str">
        <f>IF(BA7&gt;BA$163, BA7-BA$163,"")</f>
        <v/>
      </c>
      <c r="CE7" s="19" t="str">
        <f>IF(BB7&gt;BB$163, BB7-BB$163,"")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IF(AQ8&gt;AQ$163, AQ8-AQ$163,"")</f>
        <v/>
      </c>
      <c r="BU8" s="19" t="str">
        <f>IF(AR8&gt;AR$163, AR8-AR$163,"")</f>
        <v/>
      </c>
      <c r="BV8" s="19" t="str">
        <f>IF(AS8&gt;AS$163, AS8-AS$163,"")</f>
        <v/>
      </c>
      <c r="BW8" s="19" t="str">
        <f>IF(AT8&gt;AT$163, AT8-AT$163,"")</f>
        <v/>
      </c>
      <c r="BX8" s="19" t="str">
        <f>IF(AU8&gt;AU$163, AU8-AU$163,"")</f>
        <v/>
      </c>
      <c r="BY8" s="19" t="str">
        <f>IF(AV8&gt;AV$163, AV8-AV$163,"")</f>
        <v/>
      </c>
      <c r="BZ8" s="19" t="str">
        <f>IF(AW8&gt;AW$163, AW8-AW$163,"")</f>
        <v/>
      </c>
      <c r="CA8" s="19" t="str">
        <f>IF(AX8&gt;AX$163, AX8-AX$163,"")</f>
        <v/>
      </c>
      <c r="CB8" s="19" t="str">
        <f>IF(AY8&gt;AY$163, AY8-AY$163,"")</f>
        <v/>
      </c>
      <c r="CC8" s="19" t="str">
        <f>IF(AZ8&gt;AZ$163, AZ8-AZ$163,"")</f>
        <v/>
      </c>
      <c r="CD8" s="19" t="str">
        <f>IF(BA8&gt;BA$163, BA8-BA$163,"")</f>
        <v/>
      </c>
      <c r="CE8" s="19" t="str">
        <f>IF(BB8&gt;BB$163, BB8-BB$163,"")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101</v>
      </c>
      <c r="B9" s="3" t="s">
        <v>112</v>
      </c>
      <c r="C9" s="3" t="s">
        <v>78</v>
      </c>
      <c r="D9" s="1" t="s">
        <v>13</v>
      </c>
      <c r="E9" s="6"/>
      <c r="F9" s="6"/>
      <c r="G9" s="6"/>
      <c r="H9" s="6">
        <v>6</v>
      </c>
      <c r="I9" s="6">
        <v>6</v>
      </c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>
        <v>8</v>
      </c>
      <c r="AV9" s="4"/>
      <c r="AW9" s="2">
        <v>8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28</v>
      </c>
      <c r="BQ9" s="1">
        <v>0</v>
      </c>
      <c r="BR9" s="17">
        <v>0</v>
      </c>
      <c r="BS9" s="17"/>
      <c r="BT9" s="1" t="str">
        <f>IF(AQ9&gt;AQ$163, AQ9-AQ$163,"")</f>
        <v/>
      </c>
      <c r="BU9" s="1" t="str">
        <f>IF(AR9&gt;AR$163, AR9-AR$163,"")</f>
        <v/>
      </c>
      <c r="BV9" s="1" t="str">
        <f>IF(AS9&gt;AS$163, AS9-AS$163,"")</f>
        <v/>
      </c>
      <c r="BW9" s="1" t="str">
        <f>IF(AT9&gt;AT$163, AT9-AT$163,"")</f>
        <v/>
      </c>
      <c r="BX9" s="1" t="str">
        <f>IF(AU9&gt;AU$163, AU9-AU$163,"")</f>
        <v/>
      </c>
      <c r="BY9" s="1" t="str">
        <f>IF(AV9&gt;AV$163, AV9-AV$163,"")</f>
        <v/>
      </c>
      <c r="BZ9" s="1" t="str">
        <f>IF(AW9&gt;AW$163, AW9-AW$163,"")</f>
        <v/>
      </c>
      <c r="CA9" s="1" t="str">
        <f>IF(AX9&gt;AX$163, AX9-AX$163,"")</f>
        <v/>
      </c>
      <c r="CB9" s="1" t="str">
        <f>IF(AY9&gt;AY$163, AY9-AY$163,"")</f>
        <v/>
      </c>
      <c r="CC9" s="1" t="str">
        <f>IF(AZ9&gt;AZ$163, AZ9-AZ$163,"")</f>
        <v/>
      </c>
      <c r="CD9" s="1" t="str">
        <f>IF(BA9&gt;BA$163, BA9-BA$163,"")</f>
        <v/>
      </c>
      <c r="CE9" s="1" t="str">
        <f>IF(BB9&gt;BB$163, BB9-BB$163,"")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16</v>
      </c>
    </row>
    <row r="10" spans="1:97" s="25" customFormat="1" x14ac:dyDescent="0.15">
      <c r="A10" s="1">
        <v>9</v>
      </c>
      <c r="B10" s="1" t="s">
        <v>28</v>
      </c>
      <c r="C10" s="1" t="s">
        <v>2</v>
      </c>
      <c r="D10" s="1" t="s">
        <v>26</v>
      </c>
      <c r="E10" s="6"/>
      <c r="F10" s="6"/>
      <c r="G10" s="6"/>
      <c r="H10" s="6"/>
      <c r="I10" s="6">
        <v>4</v>
      </c>
      <c r="J10" s="6"/>
      <c r="K10" s="6">
        <v>4</v>
      </c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>
        <v>5</v>
      </c>
      <c r="AS10" s="4"/>
      <c r="AT10" s="4"/>
      <c r="AU10" s="4"/>
      <c r="AV10" s="4"/>
      <c r="AW10" s="2">
        <v>5</v>
      </c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18</v>
      </c>
      <c r="BQ10" s="1">
        <v>0</v>
      </c>
      <c r="BR10" s="17">
        <v>0</v>
      </c>
      <c r="BS10" s="17"/>
      <c r="BT10" s="1" t="str">
        <f>IF(AQ10&gt;AQ$163, AQ10-AQ$163,"")</f>
        <v/>
      </c>
      <c r="BU10" s="1" t="str">
        <f>IF(AR10&gt;AR$163, AR10-AR$163,"")</f>
        <v/>
      </c>
      <c r="BV10" s="1" t="str">
        <f>IF(AS10&gt;AS$163, AS10-AS$163,"")</f>
        <v/>
      </c>
      <c r="BW10" s="1" t="str">
        <f>IF(AT10&gt;AT$163, AT10-AT$163,"")</f>
        <v/>
      </c>
      <c r="BX10" s="1" t="str">
        <f>IF(AU10&gt;AU$163, AU10-AU$163,"")</f>
        <v/>
      </c>
      <c r="BY10" s="1" t="str">
        <f>IF(AV10&gt;AV$163, AV10-AV$163,"")</f>
        <v/>
      </c>
      <c r="BZ10" s="1" t="str">
        <f>IF(AW10&gt;AW$163, AW10-AW$163,"")</f>
        <v/>
      </c>
      <c r="CA10" s="1" t="str">
        <f>IF(AX10&gt;AX$163, AX10-AX$163,"")</f>
        <v/>
      </c>
      <c r="CB10" s="1" t="str">
        <f>IF(AY10&gt;AY$163, AY10-AY$163,"")</f>
        <v/>
      </c>
      <c r="CC10" s="1" t="str">
        <f>IF(AZ10&gt;AZ$163, AZ10-AZ$163,"")</f>
        <v/>
      </c>
      <c r="CD10" s="1" t="str">
        <f>IF(BA10&gt;BA$163, BA10-BA$163,"")</f>
        <v/>
      </c>
      <c r="CE10" s="1" t="str">
        <f>IF(BB10&gt;BB$163, BB10-BB$163,"")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10</v>
      </c>
    </row>
    <row r="11" spans="1:97" x14ac:dyDescent="0.15">
      <c r="A11" s="1">
        <v>81</v>
      </c>
      <c r="B11" s="3" t="s">
        <v>74</v>
      </c>
      <c r="C11" s="3" t="s">
        <v>71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>
        <v>10</v>
      </c>
      <c r="AU11" s="4"/>
      <c r="AV11" s="4"/>
      <c r="AW11" s="2"/>
      <c r="AX11" s="2"/>
      <c r="AY11" s="2"/>
      <c r="AZ11" s="2"/>
      <c r="BA11" s="2">
        <v>10</v>
      </c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32</v>
      </c>
      <c r="BQ11" s="1">
        <v>0</v>
      </c>
      <c r="BR11" s="17">
        <v>0</v>
      </c>
      <c r="BS11" s="17"/>
      <c r="BT11" s="1" t="str">
        <f>IF(AQ11&gt;AQ$163, AQ11-AQ$163,"")</f>
        <v/>
      </c>
      <c r="BU11" s="1" t="str">
        <f>IF(AR11&gt;AR$163, AR11-AR$163,"")</f>
        <v/>
      </c>
      <c r="BV11" s="1" t="str">
        <f>IF(AS11&gt;AS$163, AS11-AS$163,"")</f>
        <v/>
      </c>
      <c r="BW11" s="1" t="str">
        <f>IF(AT11&gt;AT$163, AT11-AT$163,"")</f>
        <v/>
      </c>
      <c r="BX11" s="1" t="str">
        <f>IF(AU11&gt;AU$163, AU11-AU$163,"")</f>
        <v/>
      </c>
      <c r="BY11" s="1" t="str">
        <f>IF(AV11&gt;AV$163, AV11-AV$163,"")</f>
        <v/>
      </c>
      <c r="BZ11" s="1" t="str">
        <f>IF(AW11&gt;AW$163, AW11-AW$163,"")</f>
        <v/>
      </c>
      <c r="CA11" s="1" t="str">
        <f>IF(AX11&gt;AX$163, AX11-AX$163,"")</f>
        <v/>
      </c>
      <c r="CB11" s="1" t="str">
        <f>IF(AY11&gt;AY$163, AY11-AY$163,"")</f>
        <v/>
      </c>
      <c r="CC11" s="1" t="str">
        <f>IF(AZ11&gt;AZ$163, AZ11-AZ$163,"")</f>
        <v/>
      </c>
      <c r="CD11" s="1" t="str">
        <f>IF(BA11&gt;BA$163, BA11-BA$163,"")</f>
        <v/>
      </c>
      <c r="CE11" s="1" t="str">
        <f>IF(BB11&gt;BB$163, BB11-BB$163,"")</f>
        <v/>
      </c>
      <c r="CF11" s="1">
        <f t="shared" si="14"/>
        <v>0</v>
      </c>
      <c r="CG11" s="1" t="str">
        <f t="shared" si="1"/>
        <v/>
      </c>
      <c r="CH11" s="1" t="str">
        <f t="shared" si="2"/>
        <v/>
      </c>
      <c r="CI11" s="1" t="str">
        <f t="shared" si="3"/>
        <v/>
      </c>
      <c r="CJ11" s="1" t="str">
        <f t="shared" si="4"/>
        <v/>
      </c>
      <c r="CK11" s="1" t="str">
        <f t="shared" si="5"/>
        <v/>
      </c>
      <c r="CL11" s="1" t="str">
        <f t="shared" si="6"/>
        <v/>
      </c>
      <c r="CM11" s="1" t="str">
        <f t="shared" si="7"/>
        <v/>
      </c>
      <c r="CN11" s="1" t="str">
        <f t="shared" si="8"/>
        <v/>
      </c>
      <c r="CO11" s="1" t="str">
        <f t="shared" si="9"/>
        <v/>
      </c>
      <c r="CP11" s="1" t="str">
        <f t="shared" si="10"/>
        <v/>
      </c>
      <c r="CQ11" s="1" t="str">
        <f t="shared" si="11"/>
        <v/>
      </c>
      <c r="CR11" s="1" t="str">
        <f t="shared" si="12"/>
        <v/>
      </c>
      <c r="CS11" s="18">
        <f t="shared" si="13"/>
        <v>20</v>
      </c>
    </row>
    <row r="12" spans="1:97" x14ac:dyDescent="0.15">
      <c r="A12" s="19">
        <v>13</v>
      </c>
      <c r="B12" s="19" t="s">
        <v>118</v>
      </c>
      <c r="C12" s="19" t="s">
        <v>2</v>
      </c>
      <c r="D12" s="19" t="s">
        <v>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1"/>
      <c r="AR12" s="21"/>
      <c r="AS12" s="21"/>
      <c r="AT12" s="21"/>
      <c r="AU12" s="21"/>
      <c r="AV12" s="21"/>
      <c r="AW12" s="22"/>
      <c r="AX12" s="22"/>
      <c r="AY12" s="22"/>
      <c r="AZ12" s="22"/>
      <c r="BA12" s="22"/>
      <c r="BB12" s="22"/>
      <c r="BC12" s="30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>
        <f t="shared" si="0"/>
        <v>0</v>
      </c>
      <c r="BQ12" s="19">
        <v>0</v>
      </c>
      <c r="BR12" s="23">
        <v>0</v>
      </c>
      <c r="BS12" s="23"/>
      <c r="BT12" s="19" t="str">
        <f>IF(AQ12&gt;AQ$163, AQ12-AQ$163,"")</f>
        <v/>
      </c>
      <c r="BU12" s="19" t="str">
        <f>IF(AR12&gt;AR$163, AR12-AR$163,"")</f>
        <v/>
      </c>
      <c r="BV12" s="19" t="str">
        <f>IF(AS12&gt;AS$163, AS12-AS$163,"")</f>
        <v/>
      </c>
      <c r="BW12" s="19" t="str">
        <f>IF(AT12&gt;AT$163, AT12-AT$163,"")</f>
        <v/>
      </c>
      <c r="BX12" s="19" t="str">
        <f>IF(AU12&gt;AU$163, AU12-AU$163,"")</f>
        <v/>
      </c>
      <c r="BY12" s="19" t="str">
        <f>IF(AV12&gt;AV$163, AV12-AV$163,"")</f>
        <v/>
      </c>
      <c r="BZ12" s="19" t="str">
        <f>IF(AW12&gt;AW$163, AW12-AW$163,"")</f>
        <v/>
      </c>
      <c r="CA12" s="19" t="str">
        <f>IF(AX12&gt;AX$163, AX12-AX$163,"")</f>
        <v/>
      </c>
      <c r="CB12" s="19" t="str">
        <f>IF(AY12&gt;AY$163, AY12-AY$163,"")</f>
        <v/>
      </c>
      <c r="CC12" s="19" t="str">
        <f>IF(AZ12&gt;AZ$163, AZ12-AZ$163,"")</f>
        <v/>
      </c>
      <c r="CD12" s="19" t="str">
        <f>IF(BA12&gt;BA$163, BA12-BA$163,"")</f>
        <v/>
      </c>
      <c r="CE12" s="19" t="str">
        <f>IF(BB12&gt;BB$163, BB12-BB$163,"")</f>
        <v/>
      </c>
      <c r="CF12" s="19">
        <f t="shared" si="14"/>
        <v>0</v>
      </c>
      <c r="CG12" s="19" t="str">
        <f t="shared" si="1"/>
        <v/>
      </c>
      <c r="CH12" s="19" t="str">
        <f t="shared" si="2"/>
        <v/>
      </c>
      <c r="CI12" s="19" t="str">
        <f t="shared" si="3"/>
        <v/>
      </c>
      <c r="CJ12" s="19" t="str">
        <f t="shared" si="4"/>
        <v/>
      </c>
      <c r="CK12" s="19" t="str">
        <f t="shared" si="5"/>
        <v/>
      </c>
      <c r="CL12" s="19" t="str">
        <f t="shared" si="6"/>
        <v/>
      </c>
      <c r="CM12" s="19" t="str">
        <f t="shared" si="7"/>
        <v/>
      </c>
      <c r="CN12" s="19" t="str">
        <f t="shared" si="8"/>
        <v/>
      </c>
      <c r="CO12" s="19" t="str">
        <f t="shared" si="9"/>
        <v/>
      </c>
      <c r="CP12" s="19" t="str">
        <f t="shared" si="10"/>
        <v/>
      </c>
      <c r="CQ12" s="19" t="str">
        <f t="shared" si="11"/>
        <v/>
      </c>
      <c r="CR12" s="19" t="str">
        <f t="shared" si="12"/>
        <v/>
      </c>
      <c r="CS12" s="24">
        <f t="shared" si="13"/>
        <v>0</v>
      </c>
    </row>
    <row r="13" spans="1:97" x14ac:dyDescent="0.15">
      <c r="A13" s="1">
        <v>82</v>
      </c>
      <c r="B13" s="3" t="s">
        <v>75</v>
      </c>
      <c r="C13" s="3" t="s">
        <v>71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/>
      <c r="N13" s="6">
        <v>6</v>
      </c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>
        <v>10</v>
      </c>
      <c r="AU13" s="4"/>
      <c r="AV13" s="4"/>
      <c r="AW13" s="2"/>
      <c r="AX13" s="2"/>
      <c r="AY13" s="2"/>
      <c r="AZ13" s="2">
        <v>10</v>
      </c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32</v>
      </c>
      <c r="BQ13" s="1">
        <v>0</v>
      </c>
      <c r="BR13" s="17">
        <v>0</v>
      </c>
      <c r="BS13" s="17"/>
      <c r="BT13" s="1" t="str">
        <f>IF(AQ13&gt;AQ$163, AQ13-AQ$163,"")</f>
        <v/>
      </c>
      <c r="BU13" s="1" t="str">
        <f>IF(AR13&gt;AR$163, AR13-AR$163,"")</f>
        <v/>
      </c>
      <c r="BV13" s="1" t="str">
        <f>IF(AS13&gt;AS$163, AS13-AS$163,"")</f>
        <v/>
      </c>
      <c r="BW13" s="1" t="str">
        <f>IF(AT13&gt;AT$163, AT13-AT$163,"")</f>
        <v/>
      </c>
      <c r="BX13" s="1" t="str">
        <f>IF(AU13&gt;AU$163, AU13-AU$163,"")</f>
        <v/>
      </c>
      <c r="BY13" s="1" t="str">
        <f>IF(AV13&gt;AV$163, AV13-AV$163,"")</f>
        <v/>
      </c>
      <c r="BZ13" s="1" t="str">
        <f>IF(AW13&gt;AW$163, AW13-AW$163,"")</f>
        <v/>
      </c>
      <c r="CA13" s="1" t="str">
        <f>IF(AX13&gt;AX$163, AX13-AX$163,"")</f>
        <v/>
      </c>
      <c r="CB13" s="1" t="str">
        <f>IF(AY13&gt;AY$163, AY13-AY$163,"")</f>
        <v/>
      </c>
      <c r="CC13" s="1" t="str">
        <f>IF(AZ13&gt;AZ$163, AZ13-AZ$163,"")</f>
        <v/>
      </c>
      <c r="CD13" s="1" t="str">
        <f>IF(BA13&gt;BA$163, BA13-BA$163,"")</f>
        <v/>
      </c>
      <c r="CE13" s="1" t="str">
        <f>IF(BB13&gt;BB$163, BB13-BB$163,"")</f>
        <v/>
      </c>
      <c r="CF13" s="1">
        <f t="shared" si="14"/>
        <v>0</v>
      </c>
      <c r="CG13" s="1" t="str">
        <f t="shared" si="1"/>
        <v/>
      </c>
      <c r="CH13" s="1" t="str">
        <f t="shared" si="2"/>
        <v/>
      </c>
      <c r="CI13" s="1" t="str">
        <f t="shared" si="3"/>
        <v/>
      </c>
      <c r="CJ13" s="1" t="str">
        <f t="shared" si="4"/>
        <v/>
      </c>
      <c r="CK13" s="1" t="str">
        <f t="shared" si="5"/>
        <v/>
      </c>
      <c r="CL13" s="1" t="str">
        <f t="shared" si="6"/>
        <v/>
      </c>
      <c r="CM13" s="1" t="str">
        <f t="shared" si="7"/>
        <v/>
      </c>
      <c r="CN13" s="1" t="str">
        <f t="shared" si="8"/>
        <v/>
      </c>
      <c r="CO13" s="1" t="str">
        <f t="shared" si="9"/>
        <v/>
      </c>
      <c r="CP13" s="1" t="str">
        <f t="shared" si="10"/>
        <v/>
      </c>
      <c r="CQ13" s="1" t="str">
        <f t="shared" si="11"/>
        <v/>
      </c>
      <c r="CR13" s="1" t="str">
        <f t="shared" si="12"/>
        <v/>
      </c>
      <c r="CS13" s="18">
        <f t="shared" si="13"/>
        <v>20</v>
      </c>
    </row>
    <row r="14" spans="1:97" x14ac:dyDescent="0.15">
      <c r="A14" s="19">
        <v>60</v>
      </c>
      <c r="B14" s="19" t="s">
        <v>113</v>
      </c>
      <c r="C14" s="19" t="s">
        <v>62</v>
      </c>
      <c r="D14" s="19" t="s">
        <v>1</v>
      </c>
      <c r="E14" s="20"/>
      <c r="F14" s="20"/>
      <c r="G14" s="20"/>
      <c r="H14" s="20"/>
      <c r="I14" s="20"/>
      <c r="J14" s="20"/>
      <c r="K14" s="20">
        <v>5</v>
      </c>
      <c r="L14" s="20"/>
      <c r="M14" s="20"/>
      <c r="N14" s="20"/>
      <c r="O14" s="20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1"/>
      <c r="AR14" s="21"/>
      <c r="AS14" s="21"/>
      <c r="AT14" s="21"/>
      <c r="AU14" s="21"/>
      <c r="AV14" s="21"/>
      <c r="AW14" s="22"/>
      <c r="AX14" s="22"/>
      <c r="AY14" s="22"/>
      <c r="AZ14" s="22"/>
      <c r="BA14" s="22"/>
      <c r="BB14" s="22"/>
      <c r="BC14" s="30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>
        <f t="shared" si="0"/>
        <v>5</v>
      </c>
      <c r="BQ14" s="19">
        <v>0</v>
      </c>
      <c r="BR14" s="23">
        <v>0</v>
      </c>
      <c r="BS14" s="23"/>
      <c r="BT14" s="19" t="str">
        <f>IF(AQ14&gt;AQ$163, AQ14-AQ$163,"")</f>
        <v/>
      </c>
      <c r="BU14" s="19" t="str">
        <f>IF(AR14&gt;AR$163, AR14-AR$163,"")</f>
        <v/>
      </c>
      <c r="BV14" s="19" t="str">
        <f>IF(AS14&gt;AS$163, AS14-AS$163,"")</f>
        <v/>
      </c>
      <c r="BW14" s="19" t="str">
        <f>IF(AT14&gt;AT$163, AT14-AT$163,"")</f>
        <v/>
      </c>
      <c r="BX14" s="19" t="str">
        <f>IF(AU14&gt;AU$163, AU14-AU$163,"")</f>
        <v/>
      </c>
      <c r="BY14" s="19" t="str">
        <f>IF(AV14&gt;AV$163, AV14-AV$163,"")</f>
        <v/>
      </c>
      <c r="BZ14" s="19" t="str">
        <f>IF(AW14&gt;AW$163, AW14-AW$163,"")</f>
        <v/>
      </c>
      <c r="CA14" s="19" t="str">
        <f>IF(AX14&gt;AX$163, AX14-AX$163,"")</f>
        <v/>
      </c>
      <c r="CB14" s="19" t="str">
        <f>IF(AY14&gt;AY$163, AY14-AY$163,"")</f>
        <v/>
      </c>
      <c r="CC14" s="19" t="str">
        <f>IF(AZ14&gt;AZ$163, AZ14-AZ$163,"")</f>
        <v/>
      </c>
      <c r="CD14" s="19" t="str">
        <f>IF(BA14&gt;BA$163, BA14-BA$163,"")</f>
        <v/>
      </c>
      <c r="CE14" s="19" t="str">
        <f>IF(BB14&gt;BB$163, BB14-BB$163,"")</f>
        <v/>
      </c>
      <c r="CF14" s="19">
        <f t="shared" si="14"/>
        <v>0</v>
      </c>
      <c r="CG14" s="19" t="str">
        <f t="shared" si="1"/>
        <v/>
      </c>
      <c r="CH14" s="19" t="str">
        <f t="shared" si="2"/>
        <v/>
      </c>
      <c r="CI14" s="19" t="str">
        <f t="shared" si="3"/>
        <v/>
      </c>
      <c r="CJ14" s="19" t="str">
        <f t="shared" si="4"/>
        <v/>
      </c>
      <c r="CK14" s="19" t="str">
        <f t="shared" si="5"/>
        <v/>
      </c>
      <c r="CL14" s="19" t="str">
        <f t="shared" si="6"/>
        <v/>
      </c>
      <c r="CM14" s="19" t="str">
        <f t="shared" si="7"/>
        <v/>
      </c>
      <c r="CN14" s="19" t="str">
        <f t="shared" si="8"/>
        <v/>
      </c>
      <c r="CO14" s="19" t="str">
        <f t="shared" si="9"/>
        <v/>
      </c>
      <c r="CP14" s="19" t="str">
        <f t="shared" si="10"/>
        <v/>
      </c>
      <c r="CQ14" s="19" t="str">
        <f t="shared" si="11"/>
        <v/>
      </c>
      <c r="CR14" s="19" t="str">
        <f t="shared" si="12"/>
        <v/>
      </c>
      <c r="CS14" s="24">
        <f t="shared" si="13"/>
        <v>0</v>
      </c>
    </row>
    <row r="15" spans="1:97" x14ac:dyDescent="0.15">
      <c r="A15" s="19">
        <v>92</v>
      </c>
      <c r="B15" s="27" t="s">
        <v>92</v>
      </c>
      <c r="C15" s="27" t="s">
        <v>90</v>
      </c>
      <c r="D15" s="19" t="s">
        <v>24</v>
      </c>
      <c r="E15" s="20">
        <v>10</v>
      </c>
      <c r="F15" s="20"/>
      <c r="G15" s="20"/>
      <c r="H15" s="20"/>
      <c r="I15" s="20">
        <v>10</v>
      </c>
      <c r="J15" s="20">
        <v>10</v>
      </c>
      <c r="K15" s="20"/>
      <c r="L15" s="20"/>
      <c r="M15" s="20"/>
      <c r="N15" s="20"/>
      <c r="O15" s="20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1"/>
      <c r="AR15" s="21"/>
      <c r="AS15" s="21"/>
      <c r="AT15" s="21"/>
      <c r="AU15" s="21"/>
      <c r="AV15" s="21"/>
      <c r="AW15" s="22"/>
      <c r="AX15" s="22"/>
      <c r="AY15" s="22"/>
      <c r="AZ15" s="22"/>
      <c r="BA15" s="22"/>
      <c r="BB15" s="22"/>
      <c r="BC15" s="30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>
        <f t="shared" si="0"/>
        <v>30</v>
      </c>
      <c r="BQ15" s="19">
        <v>0</v>
      </c>
      <c r="BR15" s="23">
        <v>0</v>
      </c>
      <c r="BS15" s="23"/>
      <c r="BT15" s="19" t="str">
        <f>IF(AQ15&gt;AQ$163, AQ15-AQ$163,"")</f>
        <v/>
      </c>
      <c r="BU15" s="19" t="str">
        <f>IF(AR15&gt;AR$163, AR15-AR$163,"")</f>
        <v/>
      </c>
      <c r="BV15" s="19" t="str">
        <f>IF(AS15&gt;AS$163, AS15-AS$163,"")</f>
        <v/>
      </c>
      <c r="BW15" s="19" t="str">
        <f>IF(AT15&gt;AT$163, AT15-AT$163,"")</f>
        <v/>
      </c>
      <c r="BX15" s="19" t="str">
        <f>IF(AU15&gt;AU$163, AU15-AU$163,"")</f>
        <v/>
      </c>
      <c r="BY15" s="19" t="str">
        <f>IF(AV15&gt;AV$163, AV15-AV$163,"")</f>
        <v/>
      </c>
      <c r="BZ15" s="19" t="str">
        <f>IF(AW15&gt;AW$163, AW15-AW$163,"")</f>
        <v/>
      </c>
      <c r="CA15" s="19" t="str">
        <f>IF(AX15&gt;AX$163, AX15-AX$163,"")</f>
        <v/>
      </c>
      <c r="CB15" s="19" t="str">
        <f>IF(AY15&gt;AY$163, AY15-AY$163,"")</f>
        <v/>
      </c>
      <c r="CC15" s="19" t="str">
        <f>IF(AZ15&gt;AZ$163, AZ15-AZ$163,"")</f>
        <v/>
      </c>
      <c r="CD15" s="19" t="str">
        <f>IF(BA15&gt;BA$163, BA15-BA$163,"")</f>
        <v/>
      </c>
      <c r="CE15" s="19" t="str">
        <f>IF(BB15&gt;BB$163, BB15-BB$163,"")</f>
        <v/>
      </c>
      <c r="CF15" s="19">
        <f t="shared" si="14"/>
        <v>0</v>
      </c>
      <c r="CG15" s="19" t="str">
        <f t="shared" si="1"/>
        <v/>
      </c>
      <c r="CH15" s="19" t="str">
        <f t="shared" si="2"/>
        <v/>
      </c>
      <c r="CI15" s="19" t="str">
        <f t="shared" si="3"/>
        <v/>
      </c>
      <c r="CJ15" s="19" t="str">
        <f t="shared" si="4"/>
        <v/>
      </c>
      <c r="CK15" s="19" t="str">
        <f t="shared" si="5"/>
        <v/>
      </c>
      <c r="CL15" s="19" t="str">
        <f t="shared" si="6"/>
        <v/>
      </c>
      <c r="CM15" s="19" t="str">
        <f t="shared" si="7"/>
        <v/>
      </c>
      <c r="CN15" s="19" t="str">
        <f t="shared" si="8"/>
        <v/>
      </c>
      <c r="CO15" s="19" t="str">
        <f t="shared" si="9"/>
        <v/>
      </c>
      <c r="CP15" s="19" t="str">
        <f t="shared" si="10"/>
        <v/>
      </c>
      <c r="CQ15" s="19" t="str">
        <f t="shared" si="11"/>
        <v/>
      </c>
      <c r="CR15" s="19" t="str">
        <f t="shared" si="12"/>
        <v/>
      </c>
      <c r="CS15" s="24">
        <f t="shared" si="13"/>
        <v>0</v>
      </c>
    </row>
    <row r="16" spans="1:97" x14ac:dyDescent="0.15">
      <c r="A16" s="1">
        <v>84</v>
      </c>
      <c r="B16" s="3" t="s">
        <v>76</v>
      </c>
      <c r="C16" s="3" t="s">
        <v>71</v>
      </c>
      <c r="D16" s="1" t="s">
        <v>13</v>
      </c>
      <c r="E16" s="6"/>
      <c r="F16" s="6"/>
      <c r="G16" s="6">
        <v>5</v>
      </c>
      <c r="H16" s="6">
        <v>5</v>
      </c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5</v>
      </c>
      <c r="BB16" s="2">
        <v>5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IF(AQ16&gt;AQ$163, AQ16-AQ$163,"")</f>
        <v/>
      </c>
      <c r="BU16" s="1" t="str">
        <f>IF(AR16&gt;AR$163, AR16-AR$163,"")</f>
        <v/>
      </c>
      <c r="BV16" s="1" t="str">
        <f>IF(AS16&gt;AS$163, AS16-AS$163,"")</f>
        <v/>
      </c>
      <c r="BW16" s="1" t="str">
        <f>IF(AT16&gt;AT$163, AT16-AT$163,"")</f>
        <v/>
      </c>
      <c r="BX16" s="1" t="str">
        <f>IF(AU16&gt;AU$163, AU16-AU$163,"")</f>
        <v/>
      </c>
      <c r="BY16" s="1" t="str">
        <f>IF(AV16&gt;AV$163, AV16-AV$163,"")</f>
        <v/>
      </c>
      <c r="BZ16" s="1" t="str">
        <f>IF(AW16&gt;AW$163, AW16-AW$163,"")</f>
        <v/>
      </c>
      <c r="CA16" s="1" t="str">
        <f>IF(AX16&gt;AX$163, AX16-AX$163,"")</f>
        <v/>
      </c>
      <c r="CB16" s="1" t="str">
        <f>IF(AY16&gt;AY$163, AY16-AY$163,"")</f>
        <v/>
      </c>
      <c r="CC16" s="1" t="str">
        <f>IF(AZ16&gt;AZ$163, AZ16-AZ$163,"")</f>
        <v/>
      </c>
      <c r="CD16" s="1" t="str">
        <f>IF(BA16&gt;BA$163, BA16-BA$163,"")</f>
        <v/>
      </c>
      <c r="CE16" s="1" t="str">
        <f>IF(BB16&gt;BB$163, BB16-BB$163,"")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10</v>
      </c>
    </row>
    <row r="17" spans="1:97" x14ac:dyDescent="0.15">
      <c r="A17" s="1">
        <v>69</v>
      </c>
      <c r="B17" s="3" t="s">
        <v>70</v>
      </c>
      <c r="C17" s="1" t="s">
        <v>62</v>
      </c>
      <c r="D17" s="1" t="s">
        <v>13</v>
      </c>
      <c r="E17" s="6"/>
      <c r="F17" s="6"/>
      <c r="G17" s="6"/>
      <c r="H17" s="6">
        <v>6</v>
      </c>
      <c r="I17" s="6">
        <v>6</v>
      </c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>
        <v>10</v>
      </c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32</v>
      </c>
      <c r="BQ17" s="1">
        <v>0</v>
      </c>
      <c r="BR17" s="17">
        <v>0</v>
      </c>
      <c r="BS17" s="17"/>
      <c r="BT17" s="1" t="str">
        <f>IF(AQ17&gt;AQ$163, AQ17-AQ$163,"")</f>
        <v/>
      </c>
      <c r="BU17" s="1" t="str">
        <f>IF(AR17&gt;AR$163, AR17-AR$163,"")</f>
        <v/>
      </c>
      <c r="BV17" s="1" t="str">
        <f>IF(AS17&gt;AS$163, AS17-AS$163,"")</f>
        <v/>
      </c>
      <c r="BW17" s="1" t="str">
        <f>IF(AT17&gt;AT$163, AT17-AT$163,"")</f>
        <v/>
      </c>
      <c r="BX17" s="1" t="str">
        <f>IF(AU17&gt;AU$163, AU17-AU$163,"")</f>
        <v/>
      </c>
      <c r="BY17" s="1" t="str">
        <f>IF(AV17&gt;AV$163, AV17-AV$163,"")</f>
        <v/>
      </c>
      <c r="BZ17" s="1" t="str">
        <f>IF(AW17&gt;AW$163, AW17-AW$163,"")</f>
        <v/>
      </c>
      <c r="CA17" s="1" t="str">
        <f>IF(AX17&gt;AX$163, AX17-AX$163,"")</f>
        <v/>
      </c>
      <c r="CB17" s="1" t="str">
        <f>IF(AY17&gt;AY$163, AY17-AY$163,"")</f>
        <v/>
      </c>
      <c r="CC17" s="1" t="str">
        <f>IF(AZ17&gt;AZ$163, AZ17-AZ$163,"")</f>
        <v/>
      </c>
      <c r="CD17" s="1" t="str">
        <f>IF(BA17&gt;BA$163, BA17-BA$163,"")</f>
        <v/>
      </c>
      <c r="CE17" s="1" t="str">
        <f>IF(BB17&gt;BB$163, BB17-BB$163,"")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>
        <v>72</v>
      </c>
      <c r="B18" s="3" t="s">
        <v>102</v>
      </c>
      <c r="C18" s="1" t="s">
        <v>62</v>
      </c>
      <c r="D18" s="1" t="s">
        <v>13</v>
      </c>
      <c r="E18" s="6"/>
      <c r="F18" s="6"/>
      <c r="G18" s="6"/>
      <c r="H18" s="6"/>
      <c r="I18" s="6"/>
      <c r="J18" s="6"/>
      <c r="K18" s="6"/>
      <c r="L18" s="6">
        <v>6</v>
      </c>
      <c r="M18" s="6">
        <v>6</v>
      </c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>
        <v>10</v>
      </c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32</v>
      </c>
      <c r="BQ18" s="1">
        <v>0</v>
      </c>
      <c r="BR18" s="17">
        <v>0</v>
      </c>
      <c r="BS18" s="17"/>
      <c r="BT18" s="1" t="str">
        <f>IF(AQ18&gt;AQ$163, AQ18-AQ$163,"")</f>
        <v/>
      </c>
      <c r="BU18" s="1" t="str">
        <f>IF(AR18&gt;AR$163, AR18-AR$163,"")</f>
        <v/>
      </c>
      <c r="BV18" s="1" t="str">
        <f>IF(AS18&gt;AS$163, AS18-AS$163,"")</f>
        <v/>
      </c>
      <c r="BW18" s="1" t="str">
        <f>IF(AT18&gt;AT$163, AT18-AT$163,"")</f>
        <v/>
      </c>
      <c r="BX18" s="1" t="str">
        <f>IF(AU18&gt;AU$163, AU18-AU$163,"")</f>
        <v/>
      </c>
      <c r="BY18" s="1" t="str">
        <f>IF(AV18&gt;AV$163, AV18-AV$163,"")</f>
        <v/>
      </c>
      <c r="BZ18" s="1" t="str">
        <f>IF(AW18&gt;AW$163, AW18-AW$163,"")</f>
        <v/>
      </c>
      <c r="CA18" s="1" t="str">
        <f>IF(AX18&gt;AX$163, AX18-AX$163,"")</f>
        <v/>
      </c>
      <c r="CB18" s="1" t="str">
        <f>IF(AY18&gt;AY$163, AY18-AY$163,"")</f>
        <v/>
      </c>
      <c r="CC18" s="1" t="str">
        <f>IF(AZ18&gt;AZ$163, AZ18-AZ$163,"")</f>
        <v/>
      </c>
      <c r="CD18" s="1" t="str">
        <f>IF(BA18&gt;BA$163, BA18-BA$163,"")</f>
        <v/>
      </c>
      <c r="CE18" s="1" t="str">
        <f>IF(BB18&gt;BB$163, BB18-BB$163,"")</f>
        <v/>
      </c>
      <c r="CF18" s="1">
        <f t="shared" si="14"/>
        <v>0</v>
      </c>
      <c r="CG18" s="1" t="str">
        <f t="shared" si="1"/>
        <v/>
      </c>
      <c r="CH18" s="1" t="str">
        <f t="shared" si="2"/>
        <v/>
      </c>
      <c r="CI18" s="1" t="str">
        <f t="shared" si="3"/>
        <v/>
      </c>
      <c r="CJ18" s="1" t="str">
        <f t="shared" si="4"/>
        <v/>
      </c>
      <c r="CK18" s="1" t="str">
        <f t="shared" si="5"/>
        <v/>
      </c>
      <c r="CL18" s="1" t="str">
        <f t="shared" si="6"/>
        <v/>
      </c>
      <c r="CM18" s="1" t="str">
        <f t="shared" si="7"/>
        <v/>
      </c>
      <c r="CN18" s="1" t="str">
        <f t="shared" si="8"/>
        <v/>
      </c>
      <c r="CO18" s="1" t="str">
        <f t="shared" si="9"/>
        <v/>
      </c>
      <c r="CP18" s="1" t="str">
        <f t="shared" si="10"/>
        <v/>
      </c>
      <c r="CQ18" s="1" t="str">
        <f t="shared" si="11"/>
        <v/>
      </c>
      <c r="CR18" s="1" t="str">
        <f t="shared" si="12"/>
        <v/>
      </c>
      <c r="CS18" s="18">
        <f t="shared" si="13"/>
        <v>20</v>
      </c>
    </row>
    <row r="19" spans="1:97" x14ac:dyDescent="0.15">
      <c r="A19" s="1">
        <v>58</v>
      </c>
      <c r="B19" s="1" t="s">
        <v>65</v>
      </c>
      <c r="C19" s="1" t="s">
        <v>62</v>
      </c>
      <c r="D19" s="1" t="s">
        <v>13</v>
      </c>
      <c r="E19" s="6"/>
      <c r="F19" s="6"/>
      <c r="G19" s="6">
        <v>10</v>
      </c>
      <c r="H19" s="6"/>
      <c r="I19" s="6"/>
      <c r="J19" s="6"/>
      <c r="K19" s="6"/>
      <c r="L19" s="6"/>
      <c r="M19" s="6"/>
      <c r="N19" s="6">
        <v>10</v>
      </c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>
        <v>10</v>
      </c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40</v>
      </c>
      <c r="BQ19" s="1">
        <v>0</v>
      </c>
      <c r="BR19" s="17">
        <v>0</v>
      </c>
      <c r="BS19" s="17"/>
      <c r="BT19" s="1" t="str">
        <f>IF(AQ19&gt;AQ$163, AQ19-AQ$163,"")</f>
        <v/>
      </c>
      <c r="BU19" s="1" t="str">
        <f>IF(AR19&gt;AR$163, AR19-AR$163,"")</f>
        <v/>
      </c>
      <c r="BV19" s="1" t="str">
        <f>IF(AS19&gt;AS$163, AS19-AS$163,"")</f>
        <v/>
      </c>
      <c r="BW19" s="1" t="str">
        <f>IF(AT19&gt;AT$163, AT19-AT$163,"")</f>
        <v/>
      </c>
      <c r="BX19" s="1" t="str">
        <f>IF(AU19&gt;AU$163, AU19-AU$163,"")</f>
        <v/>
      </c>
      <c r="BY19" s="1" t="str">
        <f>IF(AV19&gt;AV$163, AV19-AV$163,"")</f>
        <v/>
      </c>
      <c r="BZ19" s="1" t="str">
        <f>IF(AW19&gt;AW$163, AW19-AW$163,"")</f>
        <v/>
      </c>
      <c r="CA19" s="1" t="str">
        <f>IF(AX19&gt;AX$163, AX19-AX$163,"")</f>
        <v/>
      </c>
      <c r="CB19" s="1" t="str">
        <f>IF(AY19&gt;AY$163, AY19-AY$163,"")</f>
        <v/>
      </c>
      <c r="CC19" s="1" t="str">
        <f>IF(AZ19&gt;AZ$163, AZ19-AZ$163,"")</f>
        <v/>
      </c>
      <c r="CD19" s="1" t="str">
        <f>IF(BA19&gt;BA$163, BA19-BA$163,"")</f>
        <v/>
      </c>
      <c r="CE19" s="1" t="str">
        <f>IF(BB19&gt;BB$163, BB19-BB$163,"")</f>
        <v/>
      </c>
      <c r="CF19" s="1">
        <f t="shared" si="14"/>
        <v>0</v>
      </c>
      <c r="CG19" s="1" t="str">
        <f t="shared" si="1"/>
        <v/>
      </c>
      <c r="CH19" s="1" t="str">
        <f t="shared" si="2"/>
        <v/>
      </c>
      <c r="CI19" s="1" t="str">
        <f t="shared" si="3"/>
        <v/>
      </c>
      <c r="CJ19" s="1" t="str">
        <f t="shared" si="4"/>
        <v/>
      </c>
      <c r="CK19" s="1" t="str">
        <f t="shared" si="5"/>
        <v/>
      </c>
      <c r="CL19" s="1" t="str">
        <f t="shared" si="6"/>
        <v/>
      </c>
      <c r="CM19" s="1" t="str">
        <f t="shared" si="7"/>
        <v/>
      </c>
      <c r="CN19" s="1" t="str">
        <f t="shared" si="8"/>
        <v/>
      </c>
      <c r="CO19" s="1" t="str">
        <f t="shared" si="9"/>
        <v/>
      </c>
      <c r="CP19" s="1" t="str">
        <f t="shared" si="10"/>
        <v/>
      </c>
      <c r="CQ19" s="1" t="str">
        <f t="shared" si="11"/>
        <v/>
      </c>
      <c r="CR19" s="1" t="str">
        <f t="shared" si="12"/>
        <v/>
      </c>
      <c r="CS19" s="18">
        <f t="shared" si="13"/>
        <v>20</v>
      </c>
    </row>
    <row r="20" spans="1:97" x14ac:dyDescent="0.15">
      <c r="A20" s="1">
        <v>5</v>
      </c>
      <c r="B20" s="1" t="s">
        <v>22</v>
      </c>
      <c r="C20" s="1" t="s">
        <v>2</v>
      </c>
      <c r="D20" s="1" t="s">
        <v>12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>
        <v>10</v>
      </c>
      <c r="AS20" s="4"/>
      <c r="AT20" s="4"/>
      <c r="AU20" s="4"/>
      <c r="AV20" s="4"/>
      <c r="AW20" s="2"/>
      <c r="AX20" s="2"/>
      <c r="AY20" s="2"/>
      <c r="AZ20" s="2"/>
      <c r="BA20" s="2"/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20</v>
      </c>
      <c r="BQ20" s="1">
        <v>0</v>
      </c>
      <c r="BR20" s="17">
        <v>0</v>
      </c>
      <c r="BS20" s="17"/>
      <c r="BT20" s="1" t="str">
        <f>IF(AQ20&gt;AQ$163, AQ20-AQ$163,"")</f>
        <v/>
      </c>
      <c r="BU20" s="1" t="str">
        <f>IF(AR20&gt;AR$163, AR20-AR$163,"")</f>
        <v/>
      </c>
      <c r="BV20" s="1" t="str">
        <f>IF(AS20&gt;AS$163, AS20-AS$163,"")</f>
        <v/>
      </c>
      <c r="BW20" s="1" t="str">
        <f>IF(AT20&gt;AT$163, AT20-AT$163,"")</f>
        <v/>
      </c>
      <c r="BX20" s="1" t="str">
        <f>IF(AU20&gt;AU$163, AU20-AU$163,"")</f>
        <v/>
      </c>
      <c r="BY20" s="1" t="str">
        <f>IF(AV20&gt;AV$163, AV20-AV$163,"")</f>
        <v/>
      </c>
      <c r="BZ20" s="1" t="str">
        <f>IF(AW20&gt;AW$163, AW20-AW$163,"")</f>
        <v/>
      </c>
      <c r="CA20" s="1" t="str">
        <f>IF(AX20&gt;AX$163, AX20-AX$163,"")</f>
        <v/>
      </c>
      <c r="CB20" s="1" t="str">
        <f>IF(AY20&gt;AY$163, AY20-AY$163,"")</f>
        <v/>
      </c>
      <c r="CC20" s="1" t="str">
        <f>IF(AZ20&gt;AZ$163, AZ20-AZ$163,"")</f>
        <v/>
      </c>
      <c r="CD20" s="1" t="str">
        <f>IF(BA20&gt;BA$163, BA20-BA$163,"")</f>
        <v/>
      </c>
      <c r="CE20" s="1" t="str">
        <f>IF(BB20&gt;BB$163, BB20-BB$163,"")</f>
        <v/>
      </c>
      <c r="CF20" s="1">
        <f t="shared" si="14"/>
        <v>0</v>
      </c>
      <c r="CG20" s="1" t="str">
        <f t="shared" si="1"/>
        <v/>
      </c>
      <c r="CH20" s="1" t="str">
        <f t="shared" si="2"/>
        <v/>
      </c>
      <c r="CI20" s="1" t="str">
        <f t="shared" si="3"/>
        <v/>
      </c>
      <c r="CJ20" s="1" t="str">
        <f t="shared" si="4"/>
        <v/>
      </c>
      <c r="CK20" s="1" t="str">
        <f t="shared" si="5"/>
        <v/>
      </c>
      <c r="CL20" s="1" t="str">
        <f t="shared" si="6"/>
        <v/>
      </c>
      <c r="CM20" s="1" t="str">
        <f t="shared" si="7"/>
        <v/>
      </c>
      <c r="CN20" s="1" t="str">
        <f t="shared" si="8"/>
        <v/>
      </c>
      <c r="CO20" s="1" t="str">
        <f t="shared" si="9"/>
        <v/>
      </c>
      <c r="CP20" s="1" t="str">
        <f t="shared" si="10"/>
        <v/>
      </c>
      <c r="CQ20" s="1" t="str">
        <f t="shared" si="11"/>
        <v/>
      </c>
      <c r="CR20" s="1" t="str">
        <f t="shared" si="12"/>
        <v/>
      </c>
      <c r="CS20" s="18">
        <f t="shared" si="13"/>
        <v>20</v>
      </c>
    </row>
    <row r="21" spans="1:97" x14ac:dyDescent="0.15">
      <c r="A21" s="1">
        <v>6</v>
      </c>
      <c r="B21" s="1" t="s">
        <v>55</v>
      </c>
      <c r="C21" s="1" t="s">
        <v>2</v>
      </c>
      <c r="D21" s="1" t="s">
        <v>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>
        <v>10</v>
      </c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0"/>
        <v>20</v>
      </c>
      <c r="BQ21" s="1">
        <v>0</v>
      </c>
      <c r="BR21" s="17">
        <v>0</v>
      </c>
      <c r="BS21" s="17"/>
      <c r="BT21" s="1" t="str">
        <f>IF(AQ21&gt;AQ$163, AQ21-AQ$163,"")</f>
        <v/>
      </c>
      <c r="BU21" s="1" t="str">
        <f>IF(AR21&gt;AR$163, AR21-AR$163,"")</f>
        <v/>
      </c>
      <c r="BV21" s="1" t="str">
        <f>IF(AS21&gt;AS$163, AS21-AS$163,"")</f>
        <v/>
      </c>
      <c r="BW21" s="1" t="str">
        <f>IF(AT21&gt;AT$163, AT21-AT$163,"")</f>
        <v/>
      </c>
      <c r="BX21" s="1" t="str">
        <f>IF(AU21&gt;AU$163, AU21-AU$163,"")</f>
        <v/>
      </c>
      <c r="BY21" s="1" t="str">
        <f>IF(AV21&gt;AV$163, AV21-AV$163,"")</f>
        <v/>
      </c>
      <c r="BZ21" s="1" t="str">
        <f>IF(AW21&gt;AW$163, AW21-AW$163,"")</f>
        <v/>
      </c>
      <c r="CA21" s="1" t="str">
        <f>IF(AX21&gt;AX$163, AX21-AX$163,"")</f>
        <v/>
      </c>
      <c r="CB21" s="1" t="str">
        <f>IF(AY21&gt;AY$163, AY21-AY$163,"")</f>
        <v/>
      </c>
      <c r="CC21" s="1" t="str">
        <f>IF(AZ21&gt;AZ$163, AZ21-AZ$163,"")</f>
        <v/>
      </c>
      <c r="CD21" s="1" t="str">
        <f>IF(BA21&gt;BA$163, BA21-BA$163,"")</f>
        <v/>
      </c>
      <c r="CE21" s="1" t="str">
        <f>IF(BB21&gt;BB$163, BB21-BB$163,"")</f>
        <v/>
      </c>
      <c r="CF21" s="1">
        <f t="shared" si="14"/>
        <v>0</v>
      </c>
      <c r="CG21" s="1" t="str">
        <f t="shared" si="1"/>
        <v/>
      </c>
      <c r="CH21" s="1" t="str">
        <f t="shared" si="2"/>
        <v/>
      </c>
      <c r="CI21" s="1" t="str">
        <f t="shared" si="3"/>
        <v/>
      </c>
      <c r="CJ21" s="1" t="str">
        <f t="shared" si="4"/>
        <v/>
      </c>
      <c r="CK21" s="1" t="str">
        <f t="shared" si="5"/>
        <v/>
      </c>
      <c r="CL21" s="1" t="str">
        <f t="shared" si="6"/>
        <v/>
      </c>
      <c r="CM21" s="1" t="str">
        <f t="shared" si="7"/>
        <v/>
      </c>
      <c r="CN21" s="1" t="str">
        <f t="shared" si="8"/>
        <v/>
      </c>
      <c r="CO21" s="1" t="str">
        <f t="shared" si="9"/>
        <v/>
      </c>
      <c r="CP21" s="1" t="str">
        <f t="shared" si="10"/>
        <v/>
      </c>
      <c r="CQ21" s="1" t="str">
        <f t="shared" si="11"/>
        <v/>
      </c>
      <c r="CR21" s="1" t="str">
        <f t="shared" si="12"/>
        <v/>
      </c>
      <c r="CS21" s="18">
        <f t="shared" si="13"/>
        <v>20</v>
      </c>
    </row>
    <row r="22" spans="1:97" x14ac:dyDescent="0.15">
      <c r="A22" s="1">
        <v>8</v>
      </c>
      <c r="B22" s="1" t="s">
        <v>56</v>
      </c>
      <c r="C22" s="1" t="s">
        <v>2</v>
      </c>
      <c r="D22" s="1" t="s">
        <v>26</v>
      </c>
      <c r="E22" s="6">
        <v>6</v>
      </c>
      <c r="F22" s="6"/>
      <c r="G22" s="6"/>
      <c r="H22" s="6">
        <v>6</v>
      </c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>
        <v>10</v>
      </c>
      <c r="AS22" s="4"/>
      <c r="AT22" s="4"/>
      <c r="AU22" s="4"/>
      <c r="AV22" s="4"/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0"/>
        <v>32</v>
      </c>
      <c r="BQ22" s="1">
        <v>0</v>
      </c>
      <c r="BR22" s="17">
        <v>0</v>
      </c>
      <c r="BS22" s="17"/>
      <c r="BT22" s="1" t="str">
        <f>IF(AQ22&gt;AQ$163, AQ22-AQ$163,"")</f>
        <v/>
      </c>
      <c r="BU22" s="1" t="str">
        <f>IF(AR22&gt;AR$163, AR22-AR$163,"")</f>
        <v/>
      </c>
      <c r="BV22" s="1" t="str">
        <f>IF(AS22&gt;AS$163, AS22-AS$163,"")</f>
        <v/>
      </c>
      <c r="BW22" s="1" t="str">
        <f>IF(AT22&gt;AT$163, AT22-AT$163,"")</f>
        <v/>
      </c>
      <c r="BX22" s="1" t="str">
        <f>IF(AU22&gt;AU$163, AU22-AU$163,"")</f>
        <v/>
      </c>
      <c r="BY22" s="1" t="str">
        <f>IF(AV22&gt;AV$163, AV22-AV$163,"")</f>
        <v/>
      </c>
      <c r="BZ22" s="1" t="str">
        <f>IF(AW22&gt;AW$163, AW22-AW$163,"")</f>
        <v/>
      </c>
      <c r="CA22" s="1" t="str">
        <f>IF(AX22&gt;AX$163, AX22-AX$163,"")</f>
        <v/>
      </c>
      <c r="CB22" s="1" t="str">
        <f>IF(AY22&gt;AY$163, AY22-AY$163,"")</f>
        <v/>
      </c>
      <c r="CC22" s="1" t="str">
        <f>IF(AZ22&gt;AZ$163, AZ22-AZ$163,"")</f>
        <v/>
      </c>
      <c r="CD22" s="1" t="str">
        <f>IF(BA22&gt;BA$163, BA22-BA$163,"")</f>
        <v/>
      </c>
      <c r="CE22" s="1" t="str">
        <f>IF(BB22&gt;BB$163, BB22-BB$163,"")</f>
        <v/>
      </c>
      <c r="CF22" s="1">
        <f t="shared" si="14"/>
        <v>0</v>
      </c>
      <c r="CG22" s="1" t="str">
        <f t="shared" si="1"/>
        <v/>
      </c>
      <c r="CH22" s="1" t="str">
        <f t="shared" si="2"/>
        <v/>
      </c>
      <c r="CI22" s="1" t="str">
        <f t="shared" si="3"/>
        <v/>
      </c>
      <c r="CJ22" s="1" t="str">
        <f t="shared" si="4"/>
        <v/>
      </c>
      <c r="CK22" s="1" t="str">
        <f t="shared" si="5"/>
        <v/>
      </c>
      <c r="CL22" s="1" t="str">
        <f t="shared" si="6"/>
        <v/>
      </c>
      <c r="CM22" s="1" t="str">
        <f t="shared" si="7"/>
        <v/>
      </c>
      <c r="CN22" s="1" t="str">
        <f t="shared" si="8"/>
        <v/>
      </c>
      <c r="CO22" s="1" t="str">
        <f t="shared" si="9"/>
        <v/>
      </c>
      <c r="CP22" s="1" t="str">
        <f t="shared" si="10"/>
        <v/>
      </c>
      <c r="CQ22" s="1" t="str">
        <f t="shared" si="11"/>
        <v/>
      </c>
      <c r="CR22" s="1" t="str">
        <f t="shared" si="12"/>
        <v/>
      </c>
      <c r="CS22" s="18">
        <f t="shared" si="13"/>
        <v>20</v>
      </c>
    </row>
    <row r="23" spans="1:97" x14ac:dyDescent="0.15">
      <c r="A23" s="1">
        <v>94</v>
      </c>
      <c r="B23" s="3" t="s">
        <v>94</v>
      </c>
      <c r="C23" s="3" t="s">
        <v>78</v>
      </c>
      <c r="D23" s="1" t="s">
        <v>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>
        <v>10</v>
      </c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0"/>
        <v>20</v>
      </c>
      <c r="BQ23" s="1">
        <v>0</v>
      </c>
      <c r="BR23" s="17">
        <v>0</v>
      </c>
      <c r="BS23" s="17"/>
      <c r="BT23" s="1" t="str">
        <f>IF(AQ23&gt;AQ$163, AQ23-AQ$163,"")</f>
        <v/>
      </c>
      <c r="BU23" s="1" t="str">
        <f>IF(AR23&gt;AR$163, AR23-AR$163,"")</f>
        <v/>
      </c>
      <c r="BV23" s="1" t="str">
        <f>IF(AS23&gt;AS$163, AS23-AS$163,"")</f>
        <v/>
      </c>
      <c r="BW23" s="1" t="str">
        <f>IF(AT23&gt;AT$163, AT23-AT$163,"")</f>
        <v/>
      </c>
      <c r="BX23" s="1" t="str">
        <f>IF(AU23&gt;AU$163, AU23-AU$163,"")</f>
        <v/>
      </c>
      <c r="BY23" s="1" t="str">
        <f>IF(AV23&gt;AV$163, AV23-AV$163,"")</f>
        <v/>
      </c>
      <c r="BZ23" s="1" t="str">
        <f>IF(AW23&gt;AW$163, AW23-AW$163,"")</f>
        <v/>
      </c>
      <c r="CA23" s="1" t="str">
        <f>IF(AX23&gt;AX$163, AX23-AX$163,"")</f>
        <v/>
      </c>
      <c r="CB23" s="1" t="str">
        <f>IF(AY23&gt;AY$163, AY23-AY$163,"")</f>
        <v/>
      </c>
      <c r="CC23" s="1" t="str">
        <f>IF(AZ23&gt;AZ$163, AZ23-AZ$163,"")</f>
        <v/>
      </c>
      <c r="CD23" s="1" t="str">
        <f>IF(BA23&gt;BA$163, BA23-BA$163,"")</f>
        <v/>
      </c>
      <c r="CE23" s="1" t="str">
        <f>IF(BB23&gt;BB$163, BB23-BB$163,"")</f>
        <v/>
      </c>
      <c r="CF23" s="1">
        <f t="shared" si="14"/>
        <v>0</v>
      </c>
      <c r="CG23" s="1" t="str">
        <f t="shared" si="1"/>
        <v/>
      </c>
      <c r="CH23" s="1" t="str">
        <f t="shared" si="2"/>
        <v/>
      </c>
      <c r="CI23" s="1" t="str">
        <f t="shared" si="3"/>
        <v/>
      </c>
      <c r="CJ23" s="1" t="str">
        <f t="shared" si="4"/>
        <v/>
      </c>
      <c r="CK23" s="1" t="str">
        <f t="shared" si="5"/>
        <v/>
      </c>
      <c r="CL23" s="1" t="str">
        <f t="shared" si="6"/>
        <v/>
      </c>
      <c r="CM23" s="1" t="str">
        <f t="shared" si="7"/>
        <v/>
      </c>
      <c r="CN23" s="1" t="str">
        <f t="shared" si="8"/>
        <v/>
      </c>
      <c r="CO23" s="1" t="str">
        <f t="shared" si="9"/>
        <v/>
      </c>
      <c r="CP23" s="1" t="str">
        <f t="shared" si="10"/>
        <v/>
      </c>
      <c r="CQ23" s="1" t="str">
        <f t="shared" si="11"/>
        <v/>
      </c>
      <c r="CR23" s="1" t="str">
        <f t="shared" si="12"/>
        <v/>
      </c>
      <c r="CS23" s="18">
        <f t="shared" si="13"/>
        <v>20</v>
      </c>
    </row>
    <row r="24" spans="1:97" x14ac:dyDescent="0.15">
      <c r="A24" s="1">
        <v>96</v>
      </c>
      <c r="B24" s="3" t="s">
        <v>77</v>
      </c>
      <c r="C24" s="3" t="s">
        <v>78</v>
      </c>
      <c r="D24" s="1" t="s">
        <v>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>
        <v>10</v>
      </c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0"/>
        <v>20</v>
      </c>
      <c r="BQ24" s="1">
        <v>0</v>
      </c>
      <c r="BR24" s="17">
        <v>0</v>
      </c>
      <c r="BS24" s="17"/>
      <c r="BT24" s="1" t="str">
        <f>IF(AQ24&gt;AQ$163, AQ24-AQ$163,"")</f>
        <v/>
      </c>
      <c r="BU24" s="1" t="str">
        <f>IF(AR24&gt;AR$163, AR24-AR$163,"")</f>
        <v/>
      </c>
      <c r="BV24" s="1" t="str">
        <f>IF(AS24&gt;AS$163, AS24-AS$163,"")</f>
        <v/>
      </c>
      <c r="BW24" s="1" t="str">
        <f>IF(AT24&gt;AT$163, AT24-AT$163,"")</f>
        <v/>
      </c>
      <c r="BX24" s="1" t="str">
        <f>IF(AU24&gt;AU$163, AU24-AU$163,"")</f>
        <v/>
      </c>
      <c r="BY24" s="1" t="str">
        <f>IF(AV24&gt;AV$163, AV24-AV$163,"")</f>
        <v/>
      </c>
      <c r="BZ24" s="1" t="str">
        <f>IF(AW24&gt;AW$163, AW24-AW$163,"")</f>
        <v/>
      </c>
      <c r="CA24" s="1" t="str">
        <f>IF(AX24&gt;AX$163, AX24-AX$163,"")</f>
        <v/>
      </c>
      <c r="CB24" s="1" t="str">
        <f>IF(AY24&gt;AY$163, AY24-AY$163,"")</f>
        <v/>
      </c>
      <c r="CC24" s="1" t="str">
        <f>IF(AZ24&gt;AZ$163, AZ24-AZ$163,"")</f>
        <v/>
      </c>
      <c r="CD24" s="1" t="str">
        <f>IF(BA24&gt;BA$163, BA24-BA$163,"")</f>
        <v/>
      </c>
      <c r="CE24" s="1" t="str">
        <f>IF(BB24&gt;BB$163, BB24-BB$163,"")</f>
        <v/>
      </c>
      <c r="CF24" s="1">
        <f t="shared" si="14"/>
        <v>0</v>
      </c>
      <c r="CG24" s="1" t="str">
        <f t="shared" si="1"/>
        <v/>
      </c>
      <c r="CH24" s="1" t="str">
        <f t="shared" si="2"/>
        <v/>
      </c>
      <c r="CI24" s="1" t="str">
        <f t="shared" si="3"/>
        <v/>
      </c>
      <c r="CJ24" s="1" t="str">
        <f t="shared" si="4"/>
        <v/>
      </c>
      <c r="CK24" s="1" t="str">
        <f t="shared" si="5"/>
        <v/>
      </c>
      <c r="CL24" s="1" t="str">
        <f t="shared" si="6"/>
        <v/>
      </c>
      <c r="CM24" s="1" t="str">
        <f t="shared" si="7"/>
        <v/>
      </c>
      <c r="CN24" s="1" t="str">
        <f t="shared" si="8"/>
        <v/>
      </c>
      <c r="CO24" s="1" t="str">
        <f t="shared" si="9"/>
        <v/>
      </c>
      <c r="CP24" s="1" t="str">
        <f t="shared" si="10"/>
        <v/>
      </c>
      <c r="CQ24" s="1" t="str">
        <f t="shared" si="11"/>
        <v/>
      </c>
      <c r="CR24" s="1" t="str">
        <f t="shared" si="12"/>
        <v/>
      </c>
      <c r="CS24" s="18">
        <f t="shared" si="13"/>
        <v>20</v>
      </c>
    </row>
    <row r="25" spans="1:97" x14ac:dyDescent="0.15">
      <c r="A25" s="1">
        <v>76</v>
      </c>
      <c r="B25" s="3" t="s">
        <v>115</v>
      </c>
      <c r="C25" s="3" t="s">
        <v>71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>
        <v>10</v>
      </c>
      <c r="BI25" s="1"/>
      <c r="BJ25" s="1"/>
      <c r="BK25" s="1"/>
      <c r="BL25" s="1"/>
      <c r="BM25" s="1"/>
      <c r="BN25" s="1"/>
      <c r="BO25" s="1"/>
      <c r="BP25" s="1">
        <f t="shared" si="0"/>
        <v>10</v>
      </c>
      <c r="BQ25" s="1">
        <v>0</v>
      </c>
      <c r="BR25" s="17">
        <v>0</v>
      </c>
      <c r="BS25" s="17"/>
      <c r="BT25" s="1" t="str">
        <f>IF(AQ25&gt;AQ$163, AQ25-AQ$163,"")</f>
        <v/>
      </c>
      <c r="BU25" s="1" t="str">
        <f>IF(AR25&gt;AR$163, AR25-AR$163,"")</f>
        <v/>
      </c>
      <c r="BV25" s="1" t="str">
        <f>IF(AS25&gt;AS$163, AS25-AS$163,"")</f>
        <v/>
      </c>
      <c r="BW25" s="1" t="str">
        <f>IF(AT25&gt;AT$163, AT25-AT$163,"")</f>
        <v/>
      </c>
      <c r="BX25" s="1" t="str">
        <f>IF(AU25&gt;AU$163, AU25-AU$163,"")</f>
        <v/>
      </c>
      <c r="BY25" s="1" t="str">
        <f>IF(AV25&gt;AV$163, AV25-AV$163,"")</f>
        <v/>
      </c>
      <c r="BZ25" s="1" t="str">
        <f>IF(AW25&gt;AW$163, AW25-AW$163,"")</f>
        <v/>
      </c>
      <c r="CA25" s="1" t="str">
        <f>IF(AX25&gt;AX$163, AX25-AX$163,"")</f>
        <v/>
      </c>
      <c r="CB25" s="1" t="str">
        <f>IF(AY25&gt;AY$163, AY25-AY$163,"")</f>
        <v/>
      </c>
      <c r="CC25" s="1" t="str">
        <f>IF(AZ25&gt;AZ$163, AZ25-AZ$163,"")</f>
        <v/>
      </c>
      <c r="CD25" s="1" t="str">
        <f>IF(BA25&gt;BA$163, BA25-BA$163,"")</f>
        <v/>
      </c>
      <c r="CE25" s="1" t="str">
        <f>IF(BB25&gt;BB$163, BB25-BB$163,"")</f>
        <v/>
      </c>
      <c r="CF25" s="1">
        <f t="shared" si="14"/>
        <v>0</v>
      </c>
      <c r="CG25" s="1" t="str">
        <f t="shared" si="1"/>
        <v/>
      </c>
      <c r="CH25" s="1" t="str">
        <f t="shared" si="2"/>
        <v/>
      </c>
      <c r="CI25" s="1" t="str">
        <f t="shared" si="3"/>
        <v/>
      </c>
      <c r="CJ25" s="1" t="str">
        <f t="shared" si="4"/>
        <v/>
      </c>
      <c r="CK25" s="1" t="str">
        <f t="shared" si="5"/>
        <v/>
      </c>
      <c r="CL25" s="1" t="str">
        <f t="shared" si="6"/>
        <v/>
      </c>
      <c r="CM25" s="1" t="str">
        <f t="shared" si="7"/>
        <v/>
      </c>
      <c r="CN25" s="1" t="str">
        <f t="shared" si="8"/>
        <v/>
      </c>
      <c r="CO25" s="1" t="str">
        <f t="shared" si="9"/>
        <v/>
      </c>
      <c r="CP25" s="1" t="str">
        <f t="shared" si="10"/>
        <v/>
      </c>
      <c r="CQ25" s="1" t="str">
        <f t="shared" si="11"/>
        <v/>
      </c>
      <c r="CR25" s="1" t="str">
        <f t="shared" si="12"/>
        <v/>
      </c>
      <c r="CS25" s="18">
        <f t="shared" si="13"/>
        <v>10</v>
      </c>
    </row>
    <row r="26" spans="1:97" x14ac:dyDescent="0.15">
      <c r="A26" s="1">
        <v>95</v>
      </c>
      <c r="B26" s="3" t="s">
        <v>95</v>
      </c>
      <c r="C26" s="3" t="s">
        <v>78</v>
      </c>
      <c r="D26" s="1" t="s">
        <v>1</v>
      </c>
      <c r="E26" s="6"/>
      <c r="F26" s="6"/>
      <c r="G26" s="6"/>
      <c r="H26" s="6"/>
      <c r="I26" s="6"/>
      <c r="J26" s="6"/>
      <c r="K26" s="6"/>
      <c r="L26" s="6">
        <v>15</v>
      </c>
      <c r="M26" s="6"/>
      <c r="N26" s="6"/>
      <c r="O26" s="6">
        <v>15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15</v>
      </c>
      <c r="BB26" s="2">
        <v>15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0"/>
        <v>60</v>
      </c>
      <c r="BQ26" s="1">
        <v>0</v>
      </c>
      <c r="BR26" s="17">
        <v>0</v>
      </c>
      <c r="BS26" s="17"/>
      <c r="BT26" s="1" t="str">
        <f>IF(AQ26&gt;AQ$163, AQ26-AQ$163,"")</f>
        <v/>
      </c>
      <c r="BU26" s="1" t="str">
        <f>IF(AR26&gt;AR$163, AR26-AR$163,"")</f>
        <v/>
      </c>
      <c r="BV26" s="1" t="str">
        <f>IF(AS26&gt;AS$163, AS26-AS$163,"")</f>
        <v/>
      </c>
      <c r="BW26" s="1" t="str">
        <f>IF(AT26&gt;AT$163, AT26-AT$163,"")</f>
        <v/>
      </c>
      <c r="BX26" s="1" t="str">
        <f>IF(AU26&gt;AU$163, AU26-AU$163,"")</f>
        <v/>
      </c>
      <c r="BY26" s="1" t="str">
        <f>IF(AV26&gt;AV$163, AV26-AV$163,"")</f>
        <v/>
      </c>
      <c r="BZ26" s="1" t="str">
        <f>IF(AW26&gt;AW$163, AW26-AW$163,"")</f>
        <v/>
      </c>
      <c r="CA26" s="1" t="str">
        <f>IF(AX26&gt;AX$163, AX26-AX$163,"")</f>
        <v/>
      </c>
      <c r="CB26" s="1" t="str">
        <f>IF(AY26&gt;AY$163, AY26-AY$163,"")</f>
        <v/>
      </c>
      <c r="CC26" s="1" t="str">
        <f>IF(AZ26&gt;AZ$163, AZ26-AZ$163,"")</f>
        <v/>
      </c>
      <c r="CD26" s="1" t="str">
        <f>IF(BA26&gt;BA$163, BA26-BA$163,"")</f>
        <v/>
      </c>
      <c r="CE26" s="1" t="str">
        <f>IF(BB26&gt;BB$163, BB26-BB$163,"")</f>
        <v/>
      </c>
      <c r="CF26" s="1">
        <f t="shared" si="14"/>
        <v>0</v>
      </c>
      <c r="CG26" s="1" t="str">
        <f t="shared" si="1"/>
        <v/>
      </c>
      <c r="CH26" s="1" t="str">
        <f t="shared" si="2"/>
        <v/>
      </c>
      <c r="CI26" s="1" t="str">
        <f t="shared" si="3"/>
        <v/>
      </c>
      <c r="CJ26" s="1" t="str">
        <f t="shared" si="4"/>
        <v/>
      </c>
      <c r="CK26" s="1" t="str">
        <f t="shared" si="5"/>
        <v/>
      </c>
      <c r="CL26" s="1" t="str">
        <f t="shared" si="6"/>
        <v/>
      </c>
      <c r="CM26" s="1" t="str">
        <f t="shared" si="7"/>
        <v/>
      </c>
      <c r="CN26" s="1" t="str">
        <f t="shared" si="8"/>
        <v/>
      </c>
      <c r="CO26" s="1" t="str">
        <f t="shared" si="9"/>
        <v/>
      </c>
      <c r="CP26" s="1" t="str">
        <f t="shared" si="10"/>
        <v/>
      </c>
      <c r="CQ26" s="1" t="str">
        <f t="shared" si="11"/>
        <v/>
      </c>
      <c r="CR26" s="1" t="str">
        <f t="shared" si="12"/>
        <v/>
      </c>
      <c r="CS26" s="18">
        <f t="shared" si="13"/>
        <v>30</v>
      </c>
    </row>
    <row r="27" spans="1:97" s="25" customFormat="1" x14ac:dyDescent="0.15">
      <c r="A27" s="1"/>
      <c r="B27" s="1" t="s">
        <v>137</v>
      </c>
      <c r="C27" s="1" t="s">
        <v>138</v>
      </c>
      <c r="D27" s="1" t="s">
        <v>139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141</v>
      </c>
      <c r="C28" s="1" t="s">
        <v>142</v>
      </c>
      <c r="D28" s="1" t="s">
        <v>140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>
        <v>20</v>
      </c>
      <c r="BE28" s="1">
        <v>20</v>
      </c>
      <c r="BF28" s="1">
        <v>20</v>
      </c>
      <c r="BG28" s="1">
        <v>20</v>
      </c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152</v>
      </c>
      <c r="C29" s="1" t="s">
        <v>153</v>
      </c>
      <c r="D29" s="1" t="s">
        <v>140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>
        <v>20</v>
      </c>
      <c r="BG29" s="1">
        <v>20</v>
      </c>
      <c r="BH29" s="1">
        <v>20</v>
      </c>
      <c r="BI29" s="1">
        <v>20</v>
      </c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155</v>
      </c>
      <c r="C30" s="1" t="s">
        <v>153</v>
      </c>
      <c r="D30" s="1" t="s">
        <v>139</v>
      </c>
      <c r="E30" s="6"/>
      <c r="F30" s="6"/>
      <c r="G30" s="6"/>
      <c r="H30" s="6"/>
      <c r="I30" s="6"/>
      <c r="J30" s="6"/>
      <c r="K30" s="6"/>
      <c r="L30" s="6"/>
      <c r="M30" s="6"/>
      <c r="N30" s="6">
        <v>5</v>
      </c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155</v>
      </c>
      <c r="C31" s="1" t="s">
        <v>153</v>
      </c>
      <c r="D31" s="1" t="s">
        <v>140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158</v>
      </c>
      <c r="C32" s="1" t="s">
        <v>138</v>
      </c>
      <c r="D32" s="1" t="s">
        <v>140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>
        <v>20</v>
      </c>
      <c r="BE32" s="1">
        <v>20</v>
      </c>
      <c r="BF32" s="1">
        <v>20</v>
      </c>
      <c r="BG32" s="1">
        <v>20</v>
      </c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160</v>
      </c>
      <c r="C33" s="1" t="s">
        <v>138</v>
      </c>
      <c r="D33" s="1" t="s">
        <v>139</v>
      </c>
      <c r="E33" s="6"/>
      <c r="F33" s="6"/>
      <c r="G33" s="6"/>
      <c r="H33" s="6"/>
      <c r="I33" s="6"/>
      <c r="J33" s="6"/>
      <c r="K33" s="6">
        <v>5</v>
      </c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161</v>
      </c>
      <c r="C34" s="1" t="s">
        <v>162</v>
      </c>
      <c r="D34" s="1" t="s">
        <v>139</v>
      </c>
      <c r="E34" s="6"/>
      <c r="F34" s="6"/>
      <c r="G34" s="6">
        <v>2</v>
      </c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271</v>
      </c>
      <c r="C35" s="1" t="s">
        <v>162</v>
      </c>
      <c r="D35" s="1" t="s">
        <v>140</v>
      </c>
      <c r="E35" s="6"/>
      <c r="F35" s="6"/>
      <c r="G35" s="6">
        <v>6</v>
      </c>
      <c r="H35" s="6">
        <v>6</v>
      </c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>
        <v>10</v>
      </c>
      <c r="AW35" s="2">
        <v>10</v>
      </c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163</v>
      </c>
      <c r="C36" s="1" t="s">
        <v>162</v>
      </c>
      <c r="D36" s="1" t="s">
        <v>139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267</v>
      </c>
      <c r="C37" s="1" t="s">
        <v>165</v>
      </c>
      <c r="D37" s="1" t="s">
        <v>139</v>
      </c>
      <c r="E37" s="6"/>
      <c r="F37" s="6"/>
      <c r="G37" s="6"/>
      <c r="H37" s="6">
        <v>5</v>
      </c>
      <c r="I37" s="6"/>
      <c r="J37" s="6"/>
      <c r="K37" s="6"/>
      <c r="L37" s="6"/>
      <c r="M37" s="6">
        <v>5</v>
      </c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267</v>
      </c>
      <c r="C38" s="1" t="s">
        <v>165</v>
      </c>
      <c r="D38" s="1" t="s">
        <v>140</v>
      </c>
      <c r="E38" s="6"/>
      <c r="F38" s="6"/>
      <c r="G38" s="6"/>
      <c r="H38" s="6">
        <v>6</v>
      </c>
      <c r="I38" s="6"/>
      <c r="J38" s="6"/>
      <c r="K38" s="6"/>
      <c r="L38" s="6"/>
      <c r="M38" s="6"/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>
        <v>6</v>
      </c>
      <c r="BA38" s="2">
        <v>6</v>
      </c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s="25" customFormat="1" x14ac:dyDescent="0.15">
      <c r="A39" s="1"/>
      <c r="B39" s="1" t="s">
        <v>167</v>
      </c>
      <c r="C39" s="1" t="s">
        <v>165</v>
      </c>
      <c r="D39" s="1" t="s">
        <v>139</v>
      </c>
      <c r="E39" s="6"/>
      <c r="F39" s="6"/>
      <c r="G39" s="6"/>
      <c r="H39" s="6"/>
      <c r="I39" s="6"/>
      <c r="J39" s="6">
        <v>5</v>
      </c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/>
      <c r="B40" s="1" t="s">
        <v>169</v>
      </c>
      <c r="C40" s="1" t="s">
        <v>165</v>
      </c>
      <c r="D40" s="1" t="s">
        <v>139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>
        <v>5</v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170</v>
      </c>
      <c r="C41" s="1" t="s">
        <v>165</v>
      </c>
      <c r="D41" s="1" t="s">
        <v>139</v>
      </c>
      <c r="E41" s="6"/>
      <c r="F41" s="6"/>
      <c r="G41" s="6"/>
      <c r="H41" s="6"/>
      <c r="I41" s="6"/>
      <c r="J41" s="6"/>
      <c r="K41" s="6">
        <v>5</v>
      </c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171</v>
      </c>
      <c r="C42" s="1" t="s">
        <v>165</v>
      </c>
      <c r="D42" s="1" t="s">
        <v>139</v>
      </c>
      <c r="E42" s="6"/>
      <c r="F42" s="6"/>
      <c r="G42" s="6"/>
      <c r="H42" s="6">
        <v>5</v>
      </c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v>0</v>
      </c>
      <c r="BR42" s="17">
        <v>0</v>
      </c>
      <c r="BS42" s="17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171</v>
      </c>
      <c r="C43" s="1" t="s">
        <v>165</v>
      </c>
      <c r="D43" s="1" t="s">
        <v>140</v>
      </c>
      <c r="E43" s="6"/>
      <c r="F43" s="6"/>
      <c r="G43" s="6"/>
      <c r="H43" s="6">
        <v>6</v>
      </c>
      <c r="I43" s="6"/>
      <c r="J43" s="6">
        <v>6</v>
      </c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8</v>
      </c>
      <c r="AU43" s="4"/>
      <c r="AV43" s="4"/>
      <c r="AW43" s="2"/>
      <c r="AX43" s="2"/>
      <c r="AY43" s="2">
        <v>8</v>
      </c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0</v>
      </c>
      <c r="BR43" s="17">
        <v>0</v>
      </c>
      <c r="BS43" s="17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172</v>
      </c>
      <c r="C44" s="1" t="s">
        <v>165</v>
      </c>
      <c r="D44" s="1" t="s">
        <v>139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>
        <v>10</v>
      </c>
      <c r="BB44" s="2">
        <v>10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v>0</v>
      </c>
      <c r="BR44" s="17">
        <v>0</v>
      </c>
      <c r="BS44" s="17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209</v>
      </c>
      <c r="C45" s="1" t="s">
        <v>208</v>
      </c>
      <c r="D45" s="1" t="s">
        <v>180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10</v>
      </c>
      <c r="BB45" s="2">
        <v>10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v>0</v>
      </c>
      <c r="BR45" s="17">
        <v>0</v>
      </c>
      <c r="BS45" s="17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"/>
      <c r="B46" s="1" t="s">
        <v>210</v>
      </c>
      <c r="C46" s="1" t="s">
        <v>211</v>
      </c>
      <c r="D46" s="1" t="s">
        <v>180</v>
      </c>
      <c r="E46" s="6"/>
      <c r="F46" s="6"/>
      <c r="G46" s="6"/>
      <c r="H46" s="6"/>
      <c r="I46" s="6"/>
      <c r="J46" s="6">
        <v>5</v>
      </c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v>0</v>
      </c>
      <c r="BR46" s="17">
        <v>0</v>
      </c>
      <c r="BS46" s="17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8"/>
    </row>
    <row r="47" spans="1:97" x14ac:dyDescent="0.15">
      <c r="A47" s="1"/>
      <c r="B47" s="1" t="s">
        <v>210</v>
      </c>
      <c r="C47" s="1" t="s">
        <v>211</v>
      </c>
      <c r="D47" s="1" t="s">
        <v>181</v>
      </c>
      <c r="E47" s="6">
        <v>10</v>
      </c>
      <c r="F47" s="6"/>
      <c r="G47" s="6">
        <v>10</v>
      </c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>
        <v>10</v>
      </c>
      <c r="AS47" s="4"/>
      <c r="AT47" s="4"/>
      <c r="AU47" s="4"/>
      <c r="AV47" s="4"/>
      <c r="AW47" s="2"/>
      <c r="AX47" s="2"/>
      <c r="AY47" s="2"/>
      <c r="AZ47" s="2"/>
      <c r="BA47" s="2"/>
      <c r="BB47" s="2">
        <v>10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0</v>
      </c>
      <c r="BR47" s="17">
        <v>0</v>
      </c>
      <c r="BS47" s="17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212</v>
      </c>
      <c r="C48" s="1" t="s">
        <v>213</v>
      </c>
      <c r="D48" s="1" t="s">
        <v>181</v>
      </c>
      <c r="E48" s="6"/>
      <c r="F48" s="6"/>
      <c r="G48" s="6"/>
      <c r="H48" s="6"/>
      <c r="I48" s="6"/>
      <c r="J48" s="6"/>
      <c r="K48" s="6"/>
      <c r="L48" s="6">
        <v>6</v>
      </c>
      <c r="M48" s="6"/>
      <c r="N48" s="6"/>
      <c r="O48" s="6">
        <v>6</v>
      </c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>
        <v>10</v>
      </c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0</v>
      </c>
      <c r="BR48" s="17">
        <v>0</v>
      </c>
      <c r="BS48" s="17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219</v>
      </c>
      <c r="C49" s="1" t="s">
        <v>213</v>
      </c>
      <c r="D49" s="1" t="s">
        <v>180</v>
      </c>
      <c r="E49" s="6"/>
      <c r="F49" s="6"/>
      <c r="G49" s="6"/>
      <c r="H49" s="6"/>
      <c r="I49" s="6"/>
      <c r="J49" s="6"/>
      <c r="K49" s="6">
        <v>5</v>
      </c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0</v>
      </c>
      <c r="BR49" s="17">
        <v>0</v>
      </c>
      <c r="BS49" s="17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/>
      <c r="B50" s="1" t="s">
        <v>137</v>
      </c>
      <c r="C50" s="1" t="s">
        <v>138</v>
      </c>
      <c r="D50" s="1" t="s">
        <v>140</v>
      </c>
      <c r="E50" s="6">
        <v>10</v>
      </c>
      <c r="F50" s="6"/>
      <c r="G50" s="6">
        <v>10</v>
      </c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>
        <v>15</v>
      </c>
      <c r="AU50" s="4"/>
      <c r="AV50" s="4"/>
      <c r="AW50" s="2"/>
      <c r="AX50" s="2"/>
      <c r="AY50" s="2"/>
      <c r="AZ50" s="2">
        <v>15</v>
      </c>
      <c r="BA50" s="2">
        <v>15</v>
      </c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0</v>
      </c>
      <c r="BR50" s="17">
        <v>0</v>
      </c>
      <c r="BS50" s="17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">
        <v>41</v>
      </c>
      <c r="B51" s="1" t="s">
        <v>57</v>
      </c>
      <c r="C51" s="1" t="s">
        <v>49</v>
      </c>
      <c r="D51" s="1" t="s">
        <v>13</v>
      </c>
      <c r="E51" s="6"/>
      <c r="F51" s="6"/>
      <c r="G51" s="6"/>
      <c r="H51" s="6"/>
      <c r="I51" s="6"/>
      <c r="J51" s="6"/>
      <c r="K51" s="6"/>
      <c r="L51" s="6">
        <v>6</v>
      </c>
      <c r="M51" s="6"/>
      <c r="N51" s="6"/>
      <c r="O51" s="6">
        <v>6</v>
      </c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>
        <v>10</v>
      </c>
      <c r="AR51" s="4"/>
      <c r="AS51" s="4"/>
      <c r="AT51" s="4"/>
      <c r="AU51" s="4"/>
      <c r="AV51" s="4"/>
      <c r="AW51" s="2"/>
      <c r="AX51" s="2">
        <v>10</v>
      </c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0</v>
      </c>
      <c r="BR51" s="17">
        <v>0</v>
      </c>
      <c r="BS51" s="17"/>
      <c r="BT51" s="1" t="str">
        <f>IF(AQ51&gt;AQ$163, AQ51-AQ$163,"")</f>
        <v/>
      </c>
      <c r="BU51" s="1" t="str">
        <f>IF(AR51&gt;AR$163, AR51-AR$163,"")</f>
        <v/>
      </c>
      <c r="BV51" s="1" t="str">
        <f>IF(AS51&gt;AS$163, AS51-AS$163,"")</f>
        <v/>
      </c>
      <c r="BW51" s="1" t="str">
        <f>IF(AT51&gt;AT$163, AT51-AT$163,"")</f>
        <v/>
      </c>
      <c r="BX51" s="1" t="str">
        <f>IF(AU51&gt;AU$163, AU51-AU$163,"")</f>
        <v/>
      </c>
      <c r="BY51" s="1" t="str">
        <f>IF(AV51&gt;AV$163, AV51-AV$163,"")</f>
        <v/>
      </c>
      <c r="BZ51" s="1" t="str">
        <f>IF(AW51&gt;AW$163, AW51-AW$163,"")</f>
        <v/>
      </c>
      <c r="CA51" s="1" t="str">
        <f>IF(AX51&gt;AX$163, AX51-AX$163,"")</f>
        <v/>
      </c>
      <c r="CB51" s="1" t="str">
        <f>IF(AY51&gt;AY$163, AY51-AY$163,"")</f>
        <v/>
      </c>
      <c r="CC51" s="1" t="str">
        <f>IF(AZ51&gt;AZ$163, AZ51-AZ$163,"")</f>
        <v/>
      </c>
      <c r="CD51" s="1" t="str">
        <f>IF(BA51&gt;BA$163, BA51-BA$163,"")</f>
        <v/>
      </c>
      <c r="CE51" s="1" t="str">
        <f>IF(BB51&gt;BB$163, BB51-BB$163,"")</f>
        <v/>
      </c>
      <c r="CF51" s="1">
        <f>COUNTIF(BT51:CE51, "&gt;0")</f>
        <v>0</v>
      </c>
      <c r="CG51" s="1" t="str">
        <f t="shared" ref="CG51:CR52" si="15">IF($CF51=1,BT51,"")</f>
        <v/>
      </c>
      <c r="CH51" s="1" t="str">
        <f t="shared" si="15"/>
        <v/>
      </c>
      <c r="CI51" s="1" t="str">
        <f t="shared" si="15"/>
        <v/>
      </c>
      <c r="CJ51" s="1" t="str">
        <f t="shared" si="15"/>
        <v/>
      </c>
      <c r="CK51" s="1" t="str">
        <f t="shared" si="15"/>
        <v/>
      </c>
      <c r="CL51" s="1" t="str">
        <f t="shared" si="15"/>
        <v/>
      </c>
      <c r="CM51" s="1" t="str">
        <f t="shared" si="15"/>
        <v/>
      </c>
      <c r="CN51" s="1" t="str">
        <f t="shared" si="15"/>
        <v/>
      </c>
      <c r="CO51" s="1" t="str">
        <f t="shared" si="15"/>
        <v/>
      </c>
      <c r="CP51" s="1" t="str">
        <f t="shared" si="15"/>
        <v/>
      </c>
      <c r="CQ51" s="1" t="str">
        <f t="shared" si="15"/>
        <v/>
      </c>
      <c r="CR51" s="1" t="str">
        <f t="shared" si="15"/>
        <v/>
      </c>
      <c r="CS51" s="18">
        <f>SUM(AE51:BO51)</f>
        <v>20</v>
      </c>
    </row>
    <row r="52" spans="1:97" x14ac:dyDescent="0.15">
      <c r="A52" s="1">
        <v>45</v>
      </c>
      <c r="B52" s="1" t="s">
        <v>120</v>
      </c>
      <c r="C52" s="1" t="s">
        <v>49</v>
      </c>
      <c r="D52" s="1" t="s">
        <v>13</v>
      </c>
      <c r="E52" s="6">
        <v>6</v>
      </c>
      <c r="F52" s="6"/>
      <c r="G52" s="6"/>
      <c r="H52" s="6"/>
      <c r="I52" s="6"/>
      <c r="J52" s="6"/>
      <c r="K52" s="6"/>
      <c r="L52" s="6"/>
      <c r="M52" s="6">
        <v>6</v>
      </c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>
        <v>10</v>
      </c>
      <c r="AR52" s="4"/>
      <c r="AS52" s="4"/>
      <c r="AT52" s="4"/>
      <c r="AU52" s="4"/>
      <c r="AV52" s="4"/>
      <c r="AW52" s="2"/>
      <c r="AX52" s="2"/>
      <c r="AY52" s="2"/>
      <c r="AZ52" s="2">
        <v>10</v>
      </c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0</v>
      </c>
      <c r="BR52" s="17">
        <v>0</v>
      </c>
      <c r="BS52" s="17"/>
      <c r="BT52" s="1" t="str">
        <f>IF(AQ52&gt;AQ$163, AQ52-AQ$163,"")</f>
        <v/>
      </c>
      <c r="BU52" s="1" t="str">
        <f>IF(AR52&gt;AR$163, AR52-AR$163,"")</f>
        <v/>
      </c>
      <c r="BV52" s="1" t="str">
        <f>IF(AS52&gt;AS$163, AS52-AS$163,"")</f>
        <v/>
      </c>
      <c r="BW52" s="1" t="str">
        <f>IF(AT52&gt;AT$163, AT52-AT$163,"")</f>
        <v/>
      </c>
      <c r="BX52" s="1" t="str">
        <f>IF(AU52&gt;AU$163, AU52-AU$163,"")</f>
        <v/>
      </c>
      <c r="BY52" s="1" t="str">
        <f>IF(AV52&gt;AV$163, AV52-AV$163,"")</f>
        <v/>
      </c>
      <c r="BZ52" s="1" t="str">
        <f>IF(AW52&gt;AW$163, AW52-AW$163,"")</f>
        <v/>
      </c>
      <c r="CA52" s="1" t="str">
        <f>IF(AX52&gt;AX$163, AX52-AX$163,"")</f>
        <v/>
      </c>
      <c r="CB52" s="1" t="str">
        <f>IF(AY52&gt;AY$163, AY52-AY$163,"")</f>
        <v/>
      </c>
      <c r="CC52" s="1" t="str">
        <f>IF(AZ52&gt;AZ$163, AZ52-AZ$163,"")</f>
        <v/>
      </c>
      <c r="CD52" s="1" t="str">
        <f>IF(BA52&gt;BA$163, BA52-BA$163,"")</f>
        <v/>
      </c>
      <c r="CE52" s="1" t="str">
        <f>IF(BB52&gt;BB$163, BB52-BB$163,"")</f>
        <v/>
      </c>
      <c r="CF52" s="1">
        <f>COUNTIF(BT52:CE52, "&gt;0")</f>
        <v>0</v>
      </c>
      <c r="CG52" s="1" t="str">
        <f t="shared" si="15"/>
        <v/>
      </c>
      <c r="CH52" s="1" t="str">
        <f t="shared" si="15"/>
        <v/>
      </c>
      <c r="CI52" s="1" t="str">
        <f t="shared" si="15"/>
        <v/>
      </c>
      <c r="CJ52" s="1" t="str">
        <f t="shared" si="15"/>
        <v/>
      </c>
      <c r="CK52" s="1" t="str">
        <f t="shared" si="15"/>
        <v/>
      </c>
      <c r="CL52" s="1" t="str">
        <f t="shared" si="15"/>
        <v/>
      </c>
      <c r="CM52" s="1" t="str">
        <f t="shared" si="15"/>
        <v/>
      </c>
      <c r="CN52" s="1" t="str">
        <f t="shared" si="15"/>
        <v/>
      </c>
      <c r="CO52" s="1" t="str">
        <f t="shared" si="15"/>
        <v/>
      </c>
      <c r="CP52" s="1" t="str">
        <f t="shared" si="15"/>
        <v/>
      </c>
      <c r="CQ52" s="1" t="str">
        <f t="shared" si="15"/>
        <v/>
      </c>
      <c r="CR52" s="1" t="str">
        <f t="shared" si="15"/>
        <v/>
      </c>
      <c r="CS52" s="18">
        <f>SUM(AE52:BO52)</f>
        <v>20</v>
      </c>
    </row>
    <row r="53" spans="1:97" s="25" customFormat="1" x14ac:dyDescent="0.15">
      <c r="A53" s="1"/>
      <c r="B53" s="1" t="s">
        <v>159</v>
      </c>
      <c r="C53" s="1" t="s">
        <v>138</v>
      </c>
      <c r="D53" s="1" t="s">
        <v>139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>
        <v>10</v>
      </c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>
        <v>10</v>
      </c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0</v>
      </c>
      <c r="BR53" s="17">
        <v>0</v>
      </c>
      <c r="BS53" s="17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/>
      <c r="B54" s="1" t="s">
        <v>160</v>
      </c>
      <c r="C54" s="1" t="s">
        <v>138</v>
      </c>
      <c r="D54" s="1" t="s">
        <v>140</v>
      </c>
      <c r="E54" s="6"/>
      <c r="F54" s="6"/>
      <c r="G54" s="6"/>
      <c r="H54" s="6">
        <v>6</v>
      </c>
      <c r="I54" s="6"/>
      <c r="J54" s="6"/>
      <c r="K54" s="6">
        <v>6</v>
      </c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>
        <v>10</v>
      </c>
      <c r="AR54" s="4"/>
      <c r="AS54" s="4"/>
      <c r="AT54" s="4"/>
      <c r="AU54" s="4"/>
      <c r="AV54" s="4"/>
      <c r="AW54" s="2">
        <v>10</v>
      </c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v>0</v>
      </c>
      <c r="BR54" s="17">
        <v>0</v>
      </c>
      <c r="BS54" s="17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x14ac:dyDescent="0.15">
      <c r="A55" s="1">
        <v>34</v>
      </c>
      <c r="B55" s="1" t="s">
        <v>48</v>
      </c>
      <c r="C55" s="1" t="s">
        <v>49</v>
      </c>
      <c r="D55" s="1" t="s">
        <v>25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15</v>
      </c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>
        <v>15</v>
      </c>
      <c r="BC55" s="14"/>
      <c r="BD55" s="1"/>
      <c r="BE55" s="1"/>
      <c r="BF55" s="1"/>
      <c r="BG55" s="1"/>
      <c r="BH55" s="1">
        <v>15</v>
      </c>
      <c r="BI55" s="1">
        <v>15</v>
      </c>
      <c r="BJ55" s="1"/>
      <c r="BK55" s="1"/>
      <c r="BL55" s="1"/>
      <c r="BM55" s="1"/>
      <c r="BN55" s="1"/>
      <c r="BO55" s="1"/>
      <c r="BP55" s="1">
        <f>SUM(E55:BO55)</f>
        <v>60</v>
      </c>
      <c r="BQ55" s="1">
        <v>0</v>
      </c>
      <c r="BR55" s="17">
        <v>0</v>
      </c>
      <c r="BS55" s="17"/>
      <c r="BT55" s="1" t="str">
        <f>IF(AQ55&gt;AQ$163, AQ55-AQ$163,"")</f>
        <v/>
      </c>
      <c r="BU55" s="1" t="str">
        <f>IF(AR55&gt;AR$163, AR55-AR$163,"")</f>
        <v/>
      </c>
      <c r="BV55" s="1" t="str">
        <f>IF(AS55&gt;AS$163, AS55-AS$163,"")</f>
        <v/>
      </c>
      <c r="BW55" s="1" t="str">
        <f>IF(AT55&gt;AT$163, AT55-AT$163,"")</f>
        <v/>
      </c>
      <c r="BX55" s="1" t="str">
        <f>IF(AU55&gt;AU$163, AU55-AU$163,"")</f>
        <v/>
      </c>
      <c r="BY55" s="1" t="str">
        <f>IF(AV55&gt;AV$163, AV55-AV$163,"")</f>
        <v/>
      </c>
      <c r="BZ55" s="1" t="str">
        <f>IF(AW55&gt;AW$163, AW55-AW$163,"")</f>
        <v/>
      </c>
      <c r="CA55" s="1" t="str">
        <f>IF(AX55&gt;AX$163, AX55-AX$163,"")</f>
        <v/>
      </c>
      <c r="CB55" s="1" t="str">
        <f>IF(AY55&gt;AY$163, AY55-AY$163,"")</f>
        <v/>
      </c>
      <c r="CC55" s="1" t="str">
        <f>IF(AZ55&gt;AZ$163, AZ55-AZ$163,"")</f>
        <v/>
      </c>
      <c r="CD55" s="1" t="str">
        <f>IF(BA55&gt;BA$163, BA55-BA$163,"")</f>
        <v/>
      </c>
      <c r="CE55" s="1" t="str">
        <f>IF(BB55&gt;BB$163, BB55-BB$163,"")</f>
        <v/>
      </c>
      <c r="CF55" s="1">
        <f>COUNTIF(BT55:CE55, "&gt;0")</f>
        <v>0</v>
      </c>
      <c r="CG55" s="1" t="str">
        <f t="shared" ref="CG55:CR55" si="16">IF($CF55=1,BT55,"")</f>
        <v/>
      </c>
      <c r="CH55" s="1" t="str">
        <f t="shared" si="16"/>
        <v/>
      </c>
      <c r="CI55" s="1" t="str">
        <f t="shared" si="16"/>
        <v/>
      </c>
      <c r="CJ55" s="1" t="str">
        <f t="shared" si="16"/>
        <v/>
      </c>
      <c r="CK55" s="1" t="str">
        <f t="shared" si="16"/>
        <v/>
      </c>
      <c r="CL55" s="1" t="str">
        <f t="shared" si="16"/>
        <v/>
      </c>
      <c r="CM55" s="1" t="str">
        <f t="shared" si="16"/>
        <v/>
      </c>
      <c r="CN55" s="1" t="str">
        <f t="shared" si="16"/>
        <v/>
      </c>
      <c r="CO55" s="1" t="str">
        <f t="shared" si="16"/>
        <v/>
      </c>
      <c r="CP55" s="1" t="str">
        <f t="shared" si="16"/>
        <v/>
      </c>
      <c r="CQ55" s="1" t="str">
        <f t="shared" si="16"/>
        <v/>
      </c>
      <c r="CR55" s="1" t="str">
        <f t="shared" si="16"/>
        <v/>
      </c>
      <c r="CS55" s="18">
        <f>SUM(AE55:BO55)</f>
        <v>60</v>
      </c>
    </row>
    <row r="56" spans="1:97" x14ac:dyDescent="0.15">
      <c r="A56" s="1"/>
      <c r="B56" s="1" t="s">
        <v>158</v>
      </c>
      <c r="C56" s="1" t="s">
        <v>138</v>
      </c>
      <c r="D56" s="1" t="s">
        <v>139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>
        <v>15</v>
      </c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>
        <v>15</v>
      </c>
      <c r="BC56" s="14"/>
      <c r="BD56" s="1"/>
      <c r="BE56" s="1"/>
      <c r="BF56" s="1"/>
      <c r="BG56" s="1"/>
      <c r="BH56" s="1">
        <v>15</v>
      </c>
      <c r="BI56" s="1">
        <v>15</v>
      </c>
      <c r="BJ56" s="1"/>
      <c r="BK56" s="1"/>
      <c r="BL56" s="1"/>
      <c r="BM56" s="1"/>
      <c r="BN56" s="1"/>
      <c r="BO56" s="1"/>
      <c r="BP56" s="1"/>
      <c r="BQ56" s="1">
        <v>0</v>
      </c>
      <c r="BR56" s="17">
        <v>0</v>
      </c>
      <c r="BS56" s="17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/>
      <c r="B57" s="1" t="s">
        <v>177</v>
      </c>
      <c r="C57" s="1" t="s">
        <v>178</v>
      </c>
      <c r="D57" s="1" t="s">
        <v>179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32">
        <v>10</v>
      </c>
      <c r="Q57" s="32"/>
      <c r="R57" s="32"/>
      <c r="S57" s="32">
        <v>10</v>
      </c>
      <c r="T57" s="32"/>
      <c r="U57" s="32"/>
      <c r="V57" s="32">
        <v>10</v>
      </c>
      <c r="W57" s="32"/>
      <c r="X57" s="32"/>
      <c r="Y57" s="32">
        <v>10</v>
      </c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v>0</v>
      </c>
      <c r="BR57" s="17">
        <v>0</v>
      </c>
      <c r="BS57" s="17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/>
      <c r="B58" s="1" t="s">
        <v>196</v>
      </c>
      <c r="C58" s="1" t="s">
        <v>197</v>
      </c>
      <c r="D58" s="1" t="s">
        <v>179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>
        <v>10</v>
      </c>
      <c r="Q58" s="32"/>
      <c r="R58" s="32"/>
      <c r="S58" s="32">
        <v>10</v>
      </c>
      <c r="T58" s="32"/>
      <c r="U58" s="32"/>
      <c r="V58" s="32">
        <v>10</v>
      </c>
      <c r="W58" s="32"/>
      <c r="X58" s="32"/>
      <c r="Y58" s="32">
        <v>10</v>
      </c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v>0</v>
      </c>
      <c r="BR58" s="17">
        <v>0</v>
      </c>
      <c r="BS58" s="17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x14ac:dyDescent="0.15">
      <c r="A59" s="1"/>
      <c r="B59" s="1" t="s">
        <v>204</v>
      </c>
      <c r="C59" s="1" t="s">
        <v>202</v>
      </c>
      <c r="D59" s="1" t="s">
        <v>179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>
        <v>10</v>
      </c>
      <c r="Q59" s="32"/>
      <c r="R59" s="32"/>
      <c r="S59" s="32">
        <v>10</v>
      </c>
      <c r="T59" s="32"/>
      <c r="U59" s="32"/>
      <c r="V59" s="32">
        <v>10</v>
      </c>
      <c r="W59" s="32"/>
      <c r="X59" s="32"/>
      <c r="Y59" s="32">
        <v>10</v>
      </c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v>0</v>
      </c>
      <c r="BR59" s="17">
        <v>0</v>
      </c>
      <c r="BS59" s="17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x14ac:dyDescent="0.15">
      <c r="A60" s="1"/>
      <c r="B60" s="1" t="s">
        <v>206</v>
      </c>
      <c r="C60" s="1" t="s">
        <v>208</v>
      </c>
      <c r="D60" s="1" t="s">
        <v>179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2">
        <v>10</v>
      </c>
      <c r="Q60" s="32"/>
      <c r="R60" s="32"/>
      <c r="S60" s="32">
        <v>10</v>
      </c>
      <c r="T60" s="32"/>
      <c r="U60" s="32"/>
      <c r="V60" s="32">
        <v>10</v>
      </c>
      <c r="W60" s="32"/>
      <c r="X60" s="32"/>
      <c r="Y60" s="32">
        <v>10</v>
      </c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v>0</v>
      </c>
      <c r="BR60" s="17">
        <v>0</v>
      </c>
      <c r="BS60" s="17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x14ac:dyDescent="0.15">
      <c r="A61" s="1"/>
      <c r="B61" s="1" t="s">
        <v>215</v>
      </c>
      <c r="C61" s="1" t="s">
        <v>213</v>
      </c>
      <c r="D61" s="1" t="s">
        <v>179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>
        <v>10</v>
      </c>
      <c r="Q61" s="32"/>
      <c r="R61" s="32"/>
      <c r="S61" s="32">
        <v>10</v>
      </c>
      <c r="T61" s="32"/>
      <c r="U61" s="32"/>
      <c r="V61" s="32">
        <v>10</v>
      </c>
      <c r="W61" s="32"/>
      <c r="X61" s="32"/>
      <c r="Y61" s="32">
        <v>10</v>
      </c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0</v>
      </c>
      <c r="BR61" s="17">
        <v>0</v>
      </c>
      <c r="BS61" s="17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/>
      <c r="B62" s="1" t="s">
        <v>218</v>
      </c>
      <c r="C62" s="1" t="s">
        <v>213</v>
      </c>
      <c r="D62" s="1" t="s">
        <v>179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>
        <v>10</v>
      </c>
      <c r="Q62" s="32"/>
      <c r="R62" s="32"/>
      <c r="S62" s="32">
        <v>10</v>
      </c>
      <c r="T62" s="32"/>
      <c r="U62" s="32"/>
      <c r="V62" s="32">
        <v>10</v>
      </c>
      <c r="W62" s="32"/>
      <c r="X62" s="32"/>
      <c r="Y62" s="32">
        <v>10</v>
      </c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v>0</v>
      </c>
      <c r="BR62" s="17">
        <v>0</v>
      </c>
      <c r="BS62" s="17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x14ac:dyDescent="0.15">
      <c r="A63" s="1"/>
      <c r="B63" s="1" t="s">
        <v>220</v>
      </c>
      <c r="C63" s="1" t="s">
        <v>213</v>
      </c>
      <c r="D63" s="1" t="s">
        <v>179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>
        <v>10</v>
      </c>
      <c r="Q63" s="32"/>
      <c r="R63" s="32"/>
      <c r="S63" s="32">
        <v>10</v>
      </c>
      <c r="T63" s="32"/>
      <c r="U63" s="32"/>
      <c r="V63" s="32">
        <v>10</v>
      </c>
      <c r="W63" s="32"/>
      <c r="X63" s="32"/>
      <c r="Y63" s="32">
        <v>10</v>
      </c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v>0</v>
      </c>
      <c r="BR63" s="17">
        <v>0</v>
      </c>
      <c r="BS63" s="17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8"/>
    </row>
    <row r="64" spans="1:97" x14ac:dyDescent="0.15">
      <c r="A64" s="1">
        <v>3</v>
      </c>
      <c r="B64" s="1" t="s">
        <v>11</v>
      </c>
      <c r="C64" s="1" t="s">
        <v>2</v>
      </c>
      <c r="D64" s="1" t="s">
        <v>12</v>
      </c>
      <c r="E64" s="6">
        <v>15</v>
      </c>
      <c r="F64" s="6"/>
      <c r="G64" s="6">
        <v>15</v>
      </c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>
        <v>15</v>
      </c>
      <c r="AS64" s="4"/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1</v>
      </c>
      <c r="BR64" s="17">
        <v>1</v>
      </c>
      <c r="BS64" s="17" t="s">
        <v>229</v>
      </c>
      <c r="BT64" s="1" t="str">
        <f>IF(AQ64&gt;AQ$163, AQ64-AQ$163,"")</f>
        <v/>
      </c>
      <c r="BU64" s="1" t="str">
        <f>IF(AR64&gt;AR$163, AR64-AR$163,"")</f>
        <v/>
      </c>
      <c r="BV64" s="1" t="str">
        <f>IF(AS64&gt;AS$163, AS64-AS$163,"")</f>
        <v/>
      </c>
      <c r="BW64" s="1" t="str">
        <f>IF(AT64&gt;AT$163, AT64-AT$163,"")</f>
        <v/>
      </c>
      <c r="BX64" s="1" t="str">
        <f>IF(AU64&gt;AU$163, AU64-AU$163,"")</f>
        <v/>
      </c>
      <c r="BY64" s="1" t="str">
        <f>IF(AV64&gt;AV$163, AV64-AV$163,"")</f>
        <v/>
      </c>
      <c r="BZ64" s="1" t="str">
        <f>IF(AW64&gt;AW$163, AW64-AW$163,"")</f>
        <v/>
      </c>
      <c r="CA64" s="1" t="str">
        <f>IF(AX64&gt;AX$163, AX64-AX$163,"")</f>
        <v/>
      </c>
      <c r="CB64" s="1" t="str">
        <f>IF(AY64&gt;AY$163, AY64-AY$163,"")</f>
        <v/>
      </c>
      <c r="CC64" s="1" t="str">
        <f>IF(AZ64&gt;AZ$163, AZ64-AZ$163,"")</f>
        <v/>
      </c>
      <c r="CD64" s="1" t="str">
        <f>IF(BA64&gt;BA$163, BA64-BA$163,"")</f>
        <v/>
      </c>
      <c r="CE64" s="1" t="str">
        <f>IF(BB64&gt;BB$163, BB64-BB$163,"")</f>
        <v/>
      </c>
      <c r="CF64" s="1">
        <f>COUNTIF(BT64:CE64, "&gt;0")</f>
        <v>0</v>
      </c>
      <c r="CG64" s="1" t="str">
        <f t="shared" ref="CG64:CR64" si="17">IF($CF64=1,BT64,"")</f>
        <v/>
      </c>
      <c r="CH64" s="1" t="str">
        <f t="shared" si="17"/>
        <v/>
      </c>
      <c r="CI64" s="1" t="str">
        <f t="shared" si="17"/>
        <v/>
      </c>
      <c r="CJ64" s="1" t="str">
        <f t="shared" si="17"/>
        <v/>
      </c>
      <c r="CK64" s="1" t="str">
        <f t="shared" si="17"/>
        <v/>
      </c>
      <c r="CL64" s="1" t="str">
        <f t="shared" si="17"/>
        <v/>
      </c>
      <c r="CM64" s="1" t="str">
        <f t="shared" si="17"/>
        <v/>
      </c>
      <c r="CN64" s="1" t="str">
        <f t="shared" si="17"/>
        <v/>
      </c>
      <c r="CO64" s="1" t="str">
        <f t="shared" si="17"/>
        <v/>
      </c>
      <c r="CP64" s="1" t="str">
        <f t="shared" si="17"/>
        <v/>
      </c>
      <c r="CQ64" s="1" t="str">
        <f t="shared" si="17"/>
        <v/>
      </c>
      <c r="CR64" s="1" t="str">
        <f t="shared" si="17"/>
        <v/>
      </c>
      <c r="CS64" s="18">
        <f>SUM(AE64:BO64)</f>
        <v>30</v>
      </c>
    </row>
    <row r="65" spans="1:97" x14ac:dyDescent="0.15">
      <c r="A65" s="1"/>
      <c r="B65" s="1" t="s">
        <v>152</v>
      </c>
      <c r="C65" s="1" t="s">
        <v>153</v>
      </c>
      <c r="D65" s="1" t="s">
        <v>139</v>
      </c>
      <c r="E65" s="6">
        <v>15</v>
      </c>
      <c r="F65" s="6"/>
      <c r="G65" s="6">
        <v>15</v>
      </c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>
        <v>15</v>
      </c>
      <c r="AS65" s="4"/>
      <c r="AT65" s="4"/>
      <c r="AU65" s="4"/>
      <c r="AV65" s="4"/>
      <c r="AW65" s="2"/>
      <c r="AX65" s="2"/>
      <c r="AY65" s="2"/>
      <c r="AZ65" s="2"/>
      <c r="BA65" s="2"/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v>1</v>
      </c>
      <c r="BR65" s="17">
        <v>1</v>
      </c>
      <c r="BS65" s="17" t="s">
        <v>229</v>
      </c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x14ac:dyDescent="0.15">
      <c r="A66" s="1"/>
      <c r="B66" s="1" t="s">
        <v>154</v>
      </c>
      <c r="C66" s="1" t="s">
        <v>153</v>
      </c>
      <c r="D66" s="1" t="s">
        <v>139</v>
      </c>
      <c r="E66" s="6">
        <v>15</v>
      </c>
      <c r="F66" s="6"/>
      <c r="G66" s="6">
        <v>15</v>
      </c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>
        <v>15</v>
      </c>
      <c r="AS66" s="4"/>
      <c r="AT66" s="4"/>
      <c r="AU66" s="4"/>
      <c r="AV66" s="4"/>
      <c r="AW66" s="2"/>
      <c r="AX66" s="2"/>
      <c r="AY66" s="2"/>
      <c r="AZ66" s="2"/>
      <c r="BA66" s="2"/>
      <c r="BB66" s="2">
        <v>15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v>1</v>
      </c>
      <c r="BR66" s="17">
        <v>1</v>
      </c>
      <c r="BS66" s="17" t="s">
        <v>229</v>
      </c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x14ac:dyDescent="0.15">
      <c r="A67" s="19">
        <v>37</v>
      </c>
      <c r="B67" s="19" t="s">
        <v>52</v>
      </c>
      <c r="C67" s="19" t="s">
        <v>49</v>
      </c>
      <c r="D67" s="19" t="s">
        <v>25</v>
      </c>
      <c r="E67" s="20"/>
      <c r="F67" s="20">
        <v>5</v>
      </c>
      <c r="G67" s="20"/>
      <c r="H67" s="20"/>
      <c r="I67" s="20"/>
      <c r="J67" s="20"/>
      <c r="K67" s="20"/>
      <c r="L67" s="20"/>
      <c r="M67" s="20"/>
      <c r="N67" s="20"/>
      <c r="O67" s="20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21"/>
      <c r="AR67" s="21"/>
      <c r="AS67" s="21"/>
      <c r="AT67" s="21"/>
      <c r="AU67" s="21"/>
      <c r="AV67" s="21"/>
      <c r="AW67" s="22"/>
      <c r="AX67" s="22"/>
      <c r="AY67" s="22"/>
      <c r="AZ67" s="22"/>
      <c r="BA67" s="22"/>
      <c r="BB67" s="22"/>
      <c r="BC67" s="30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>
        <f>SUM(E67:BO67)</f>
        <v>5</v>
      </c>
      <c r="BQ67" s="19">
        <v>2</v>
      </c>
      <c r="BR67" s="23">
        <v>1</v>
      </c>
      <c r="BS67" s="23" t="s">
        <v>226</v>
      </c>
      <c r="BT67" s="19" t="str">
        <f>IF(AQ67&gt;AQ$163, AQ67-AQ$163,"")</f>
        <v/>
      </c>
      <c r="BU67" s="19" t="str">
        <f>IF(AR67&gt;AR$163, AR67-AR$163,"")</f>
        <v/>
      </c>
      <c r="BV67" s="19" t="str">
        <f>IF(AS67&gt;AS$163, AS67-AS$163,"")</f>
        <v/>
      </c>
      <c r="BW67" s="19" t="str">
        <f>IF(AT67&gt;AT$163, AT67-AT$163,"")</f>
        <v/>
      </c>
      <c r="BX67" s="19" t="str">
        <f>IF(AU67&gt;AU$163, AU67-AU$163,"")</f>
        <v/>
      </c>
      <c r="BY67" s="19" t="str">
        <f>IF(AV67&gt;AV$163, AV67-AV$163,"")</f>
        <v/>
      </c>
      <c r="BZ67" s="19" t="str">
        <f>IF(AW67&gt;AW$163, AW67-AW$163,"")</f>
        <v/>
      </c>
      <c r="CA67" s="19" t="str">
        <f>IF(AX67&gt;AX$163, AX67-AX$163,"")</f>
        <v/>
      </c>
      <c r="CB67" s="19" t="str">
        <f>IF(AY67&gt;AY$163, AY67-AY$163,"")</f>
        <v/>
      </c>
      <c r="CC67" s="19" t="str">
        <f>IF(AZ67&gt;AZ$163, AZ67-AZ$163,"")</f>
        <v/>
      </c>
      <c r="CD67" s="19" t="str">
        <f>IF(BA67&gt;BA$163, BA67-BA$163,"")</f>
        <v/>
      </c>
      <c r="CE67" s="19" t="str">
        <f>IF(BB67&gt;BB$163, BB67-BB$163,"")</f>
        <v/>
      </c>
      <c r="CF67" s="19">
        <f>COUNTIF(BT67:CE67, "&gt;0")</f>
        <v>0</v>
      </c>
      <c r="CG67" s="19" t="str">
        <f t="shared" ref="CG67:CR67" si="18">IF($CF67=1,BT67,"")</f>
        <v/>
      </c>
      <c r="CH67" s="19" t="str">
        <f t="shared" si="18"/>
        <v/>
      </c>
      <c r="CI67" s="19" t="str">
        <f t="shared" si="18"/>
        <v/>
      </c>
      <c r="CJ67" s="19" t="str">
        <f t="shared" si="18"/>
        <v/>
      </c>
      <c r="CK67" s="19" t="str">
        <f t="shared" si="18"/>
        <v/>
      </c>
      <c r="CL67" s="19" t="str">
        <f t="shared" si="18"/>
        <v/>
      </c>
      <c r="CM67" s="19" t="str">
        <f t="shared" si="18"/>
        <v/>
      </c>
      <c r="CN67" s="19" t="str">
        <f t="shared" si="18"/>
        <v/>
      </c>
      <c r="CO67" s="19" t="str">
        <f t="shared" si="18"/>
        <v/>
      </c>
      <c r="CP67" s="19" t="str">
        <f t="shared" si="18"/>
        <v/>
      </c>
      <c r="CQ67" s="19" t="str">
        <f t="shared" si="18"/>
        <v/>
      </c>
      <c r="CR67" s="19" t="str">
        <f t="shared" si="18"/>
        <v/>
      </c>
      <c r="CS67" s="24">
        <f>SUM(AE67:BO67)</f>
        <v>0</v>
      </c>
    </row>
    <row r="68" spans="1:97" x14ac:dyDescent="0.15">
      <c r="A68" s="1"/>
      <c r="B68" s="1" t="s">
        <v>150</v>
      </c>
      <c r="C68" s="1" t="s">
        <v>142</v>
      </c>
      <c r="D68" s="1" t="s">
        <v>139</v>
      </c>
      <c r="E68" s="6"/>
      <c r="F68" s="6">
        <v>5</v>
      </c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v>2</v>
      </c>
      <c r="BR68" s="17">
        <v>1</v>
      </c>
      <c r="BS68" s="17" t="s">
        <v>226</v>
      </c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8"/>
    </row>
    <row r="69" spans="1:97" x14ac:dyDescent="0.15">
      <c r="A69" s="1"/>
      <c r="B69" s="1" t="s">
        <v>168</v>
      </c>
      <c r="C69" s="1" t="s">
        <v>165</v>
      </c>
      <c r="D69" s="1" t="s">
        <v>139</v>
      </c>
      <c r="E69" s="6"/>
      <c r="F69" s="6">
        <v>5</v>
      </c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v>2</v>
      </c>
      <c r="BR69" s="17">
        <v>1</v>
      </c>
      <c r="BS69" s="17" t="s">
        <v>226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x14ac:dyDescent="0.15">
      <c r="A70" s="1"/>
      <c r="B70" s="1" t="s">
        <v>170</v>
      </c>
      <c r="C70" s="1" t="s">
        <v>165</v>
      </c>
      <c r="D70" s="1" t="s">
        <v>140</v>
      </c>
      <c r="E70" s="6"/>
      <c r="F70" s="6"/>
      <c r="G70" s="6"/>
      <c r="H70" s="6">
        <v>10</v>
      </c>
      <c r="I70" s="6"/>
      <c r="J70" s="6">
        <v>10</v>
      </c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>
        <v>10</v>
      </c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v>2</v>
      </c>
      <c r="BR70" s="17">
        <v>1</v>
      </c>
      <c r="BS70" s="17" t="s">
        <v>231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x14ac:dyDescent="0.15">
      <c r="A71" s="1"/>
      <c r="B71" s="1" t="s">
        <v>151</v>
      </c>
      <c r="C71" s="1" t="s">
        <v>142</v>
      </c>
      <c r="D71" s="1" t="s">
        <v>147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>
        <v>2</v>
      </c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v>2</v>
      </c>
      <c r="BR71" s="17">
        <v>1</v>
      </c>
      <c r="BS71" s="17" t="s">
        <v>221</v>
      </c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x14ac:dyDescent="0.15">
      <c r="A72" s="1"/>
      <c r="B72" s="1" t="s">
        <v>201</v>
      </c>
      <c r="C72" s="1" t="s">
        <v>202</v>
      </c>
      <c r="D72" s="1" t="s">
        <v>180</v>
      </c>
      <c r="E72" s="6"/>
      <c r="F72" s="6"/>
      <c r="G72" s="6"/>
      <c r="H72" s="6"/>
      <c r="I72" s="6"/>
      <c r="J72" s="6">
        <v>10</v>
      </c>
      <c r="K72" s="6"/>
      <c r="L72" s="6">
        <v>10</v>
      </c>
      <c r="M72" s="6">
        <v>10</v>
      </c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>
        <v>15</v>
      </c>
      <c r="AZ72" s="2">
        <v>15</v>
      </c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2</v>
      </c>
      <c r="BR72" s="17">
        <v>1</v>
      </c>
      <c r="BS72" s="17" t="s">
        <v>235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>
        <v>68</v>
      </c>
      <c r="B73" s="3" t="s">
        <v>117</v>
      </c>
      <c r="C73" s="1" t="s">
        <v>62</v>
      </c>
      <c r="D73" s="1" t="s">
        <v>13</v>
      </c>
      <c r="E73" s="6"/>
      <c r="F73" s="6">
        <v>6</v>
      </c>
      <c r="G73" s="6"/>
      <c r="H73" s="6"/>
      <c r="I73" s="6"/>
      <c r="J73" s="6"/>
      <c r="K73" s="6"/>
      <c r="L73" s="6"/>
      <c r="M73" s="6"/>
      <c r="N73" s="6">
        <v>6</v>
      </c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10</v>
      </c>
      <c r="AW73" s="2"/>
      <c r="AX73" s="2"/>
      <c r="AY73" s="2"/>
      <c r="AZ73" s="2"/>
      <c r="BA73" s="2"/>
      <c r="BB73" s="2">
        <v>10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32</v>
      </c>
      <c r="BQ73" s="1">
        <v>3</v>
      </c>
      <c r="BR73" s="17">
        <v>1</v>
      </c>
      <c r="BS73" s="17" t="s">
        <v>228</v>
      </c>
      <c r="BT73" s="1" t="str">
        <f>IF(AQ73&gt;AQ$163, AQ73-AQ$163,"")</f>
        <v/>
      </c>
      <c r="BU73" s="1" t="str">
        <f>IF(AR73&gt;AR$163, AR73-AR$163,"")</f>
        <v/>
      </c>
      <c r="BV73" s="1" t="str">
        <f>IF(AS73&gt;AS$163, AS73-AS$163,"")</f>
        <v/>
      </c>
      <c r="BW73" s="1" t="str">
        <f>IF(AT73&gt;AT$163, AT73-AT$163,"")</f>
        <v/>
      </c>
      <c r="BX73" s="1" t="str">
        <f>IF(AU73&gt;AU$163, AU73-AU$163,"")</f>
        <v/>
      </c>
      <c r="BY73" s="1" t="str">
        <f>IF(AV73&gt;AV$163, AV73-AV$163,"")</f>
        <v/>
      </c>
      <c r="BZ73" s="1" t="str">
        <f>IF(AW73&gt;AW$163, AW73-AW$163,"")</f>
        <v/>
      </c>
      <c r="CA73" s="1" t="str">
        <f>IF(AX73&gt;AX$163, AX73-AX$163,"")</f>
        <v/>
      </c>
      <c r="CB73" s="1" t="str">
        <f>IF(AY73&gt;AY$163, AY73-AY$163,"")</f>
        <v/>
      </c>
      <c r="CC73" s="1" t="str">
        <f>IF(AZ73&gt;AZ$163, AZ73-AZ$163,"")</f>
        <v/>
      </c>
      <c r="CD73" s="1" t="str">
        <f>IF(BA73&gt;BA$163, BA73-BA$163,"")</f>
        <v/>
      </c>
      <c r="CE73" s="1" t="str">
        <f>IF(BB73&gt;BB$163, BB73-BB$163,"")</f>
        <v/>
      </c>
      <c r="CF73" s="1">
        <f>COUNTIF(BT73:CE73, "&gt;0")</f>
        <v>0</v>
      </c>
      <c r="CG73" s="1" t="str">
        <f t="shared" ref="CG73:CR73" si="19">IF($CF73=1,BT73,"")</f>
        <v/>
      </c>
      <c r="CH73" s="1" t="str">
        <f t="shared" si="19"/>
        <v/>
      </c>
      <c r="CI73" s="1" t="str">
        <f t="shared" si="19"/>
        <v/>
      </c>
      <c r="CJ73" s="1" t="str">
        <f t="shared" si="19"/>
        <v/>
      </c>
      <c r="CK73" s="1" t="str">
        <f t="shared" si="19"/>
        <v/>
      </c>
      <c r="CL73" s="1" t="str">
        <f t="shared" si="19"/>
        <v/>
      </c>
      <c r="CM73" s="1" t="str">
        <f t="shared" si="19"/>
        <v/>
      </c>
      <c r="CN73" s="1" t="str">
        <f t="shared" si="19"/>
        <v/>
      </c>
      <c r="CO73" s="1" t="str">
        <f t="shared" si="19"/>
        <v/>
      </c>
      <c r="CP73" s="1" t="str">
        <f t="shared" si="19"/>
        <v/>
      </c>
      <c r="CQ73" s="1" t="str">
        <f t="shared" si="19"/>
        <v/>
      </c>
      <c r="CR73" s="1" t="str">
        <f t="shared" si="19"/>
        <v/>
      </c>
      <c r="CS73" s="18">
        <f>SUM(AE73:BO73)</f>
        <v>20</v>
      </c>
    </row>
    <row r="74" spans="1:97" x14ac:dyDescent="0.15">
      <c r="A74" s="1"/>
      <c r="B74" s="1" t="s">
        <v>169</v>
      </c>
      <c r="C74" s="1" t="s">
        <v>165</v>
      </c>
      <c r="D74" s="1" t="s">
        <v>140</v>
      </c>
      <c r="E74" s="6"/>
      <c r="F74" s="6">
        <v>6</v>
      </c>
      <c r="G74" s="6"/>
      <c r="H74" s="6"/>
      <c r="I74" s="6"/>
      <c r="J74" s="6"/>
      <c r="K74" s="6"/>
      <c r="L74" s="6"/>
      <c r="M74" s="6"/>
      <c r="N74" s="6"/>
      <c r="O74" s="6">
        <v>6</v>
      </c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>
        <v>10</v>
      </c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v>3</v>
      </c>
      <c r="BR74" s="17">
        <v>1</v>
      </c>
      <c r="BS74" s="17" t="s">
        <v>228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/>
      <c r="B75" s="1" t="s">
        <v>173</v>
      </c>
      <c r="C75" s="1" t="s">
        <v>174</v>
      </c>
      <c r="D75" s="1" t="s">
        <v>139</v>
      </c>
      <c r="E75" s="6"/>
      <c r="F75" s="6"/>
      <c r="G75" s="6"/>
      <c r="H75" s="6"/>
      <c r="I75" s="6"/>
      <c r="J75" s="6"/>
      <c r="K75" s="6"/>
      <c r="L75" s="6">
        <v>20</v>
      </c>
      <c r="M75" s="6"/>
      <c r="N75" s="6"/>
      <c r="O75" s="6">
        <v>20</v>
      </c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>
        <v>20</v>
      </c>
      <c r="BB75" s="2">
        <v>20</v>
      </c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3</v>
      </c>
      <c r="BR75" s="17">
        <v>1</v>
      </c>
      <c r="BS75" s="17" t="s">
        <v>237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>
        <v>39</v>
      </c>
      <c r="B76" s="1" t="s">
        <v>53</v>
      </c>
      <c r="C76" s="1" t="s">
        <v>49</v>
      </c>
      <c r="D76" s="1" t="s">
        <v>26</v>
      </c>
      <c r="E76" s="6"/>
      <c r="F76" s="6">
        <v>6</v>
      </c>
      <c r="G76" s="6"/>
      <c r="H76" s="6"/>
      <c r="I76" s="6"/>
      <c r="J76" s="6"/>
      <c r="K76" s="6"/>
      <c r="L76" s="6">
        <v>6</v>
      </c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10</v>
      </c>
      <c r="AR76" s="4"/>
      <c r="AS76" s="4"/>
      <c r="AT76" s="4"/>
      <c r="AU76" s="4"/>
      <c r="AV76" s="4"/>
      <c r="AW76" s="2"/>
      <c r="AX76" s="2">
        <v>10</v>
      </c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32</v>
      </c>
      <c r="BQ76" s="1">
        <v>3</v>
      </c>
      <c r="BR76" s="17">
        <v>1</v>
      </c>
      <c r="BS76" s="17" t="s">
        <v>240</v>
      </c>
      <c r="BT76" s="1" t="str">
        <f>IF(AQ76&gt;AQ$163, AQ76-AQ$163,"")</f>
        <v/>
      </c>
      <c r="BU76" s="1" t="str">
        <f>IF(AR76&gt;AR$163, AR76-AR$163,"")</f>
        <v/>
      </c>
      <c r="BV76" s="1" t="str">
        <f>IF(AS76&gt;AS$163, AS76-AS$163,"")</f>
        <v/>
      </c>
      <c r="BW76" s="1" t="str">
        <f>IF(AT76&gt;AT$163, AT76-AT$163,"")</f>
        <v/>
      </c>
      <c r="BX76" s="1" t="str">
        <f>IF(AU76&gt;AU$163, AU76-AU$163,"")</f>
        <v/>
      </c>
      <c r="BY76" s="1" t="str">
        <f>IF(AV76&gt;AV$163, AV76-AV$163,"")</f>
        <v/>
      </c>
      <c r="BZ76" s="1" t="str">
        <f>IF(AW76&gt;AW$163, AW76-AW$163,"")</f>
        <v/>
      </c>
      <c r="CA76" s="1" t="str">
        <f>IF(AX76&gt;AX$163, AX76-AX$163,"")</f>
        <v/>
      </c>
      <c r="CB76" s="1" t="str">
        <f>IF(AY76&gt;AY$163, AY76-AY$163,"")</f>
        <v/>
      </c>
      <c r="CC76" s="1" t="str">
        <f>IF(AZ76&gt;AZ$163, AZ76-AZ$163,"")</f>
        <v/>
      </c>
      <c r="CD76" s="1" t="str">
        <f>IF(BA76&gt;BA$163, BA76-BA$163,"")</f>
        <v/>
      </c>
      <c r="CE76" s="1" t="str">
        <f>IF(BB76&gt;BB$163, BB76-BB$163,"")</f>
        <v/>
      </c>
      <c r="CF76" s="1">
        <f>COUNTIF(BT76:CE76, "&gt;0")</f>
        <v>0</v>
      </c>
      <c r="CG76" s="1" t="str">
        <f t="shared" ref="CG76:CR76" si="20">IF($CF76=1,BT76,"")</f>
        <v/>
      </c>
      <c r="CH76" s="1" t="str">
        <f t="shared" si="20"/>
        <v/>
      </c>
      <c r="CI76" s="1" t="str">
        <f t="shared" si="20"/>
        <v/>
      </c>
      <c r="CJ76" s="1" t="str">
        <f t="shared" si="20"/>
        <v/>
      </c>
      <c r="CK76" s="1" t="str">
        <f t="shared" si="20"/>
        <v/>
      </c>
      <c r="CL76" s="1" t="str">
        <f t="shared" si="20"/>
        <v/>
      </c>
      <c r="CM76" s="1" t="str">
        <f t="shared" si="20"/>
        <v/>
      </c>
      <c r="CN76" s="1" t="str">
        <f t="shared" si="20"/>
        <v/>
      </c>
      <c r="CO76" s="1" t="str">
        <f t="shared" si="20"/>
        <v/>
      </c>
      <c r="CP76" s="1" t="str">
        <f t="shared" si="20"/>
        <v/>
      </c>
      <c r="CQ76" s="1" t="str">
        <f t="shared" si="20"/>
        <v/>
      </c>
      <c r="CR76" s="1" t="str">
        <f t="shared" si="20"/>
        <v/>
      </c>
      <c r="CS76" s="18">
        <f>SUM(AE76:BO76)</f>
        <v>20</v>
      </c>
    </row>
    <row r="77" spans="1:97" x14ac:dyDescent="0.15">
      <c r="A77" s="1"/>
      <c r="B77" s="1" t="s">
        <v>218</v>
      </c>
      <c r="C77" s="1" t="s">
        <v>213</v>
      </c>
      <c r="D77" s="1" t="s">
        <v>181</v>
      </c>
      <c r="E77" s="6"/>
      <c r="F77" s="6"/>
      <c r="G77" s="6">
        <v>5</v>
      </c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>
        <v>5</v>
      </c>
      <c r="W77" s="32"/>
      <c r="X77" s="32"/>
      <c r="Y77" s="32">
        <v>5</v>
      </c>
      <c r="Z77" s="32"/>
      <c r="AA77" s="32"/>
      <c r="AB77" s="32"/>
      <c r="AC77" s="32">
        <v>5</v>
      </c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v>3</v>
      </c>
      <c r="BR77" s="17">
        <v>1</v>
      </c>
      <c r="BS77" s="17" t="s">
        <v>251</v>
      </c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x14ac:dyDescent="0.15">
      <c r="A78" s="1">
        <v>24</v>
      </c>
      <c r="B78" s="1" t="s">
        <v>47</v>
      </c>
      <c r="C78" s="1" t="s">
        <v>32</v>
      </c>
      <c r="D78" s="1" t="s">
        <v>26</v>
      </c>
      <c r="E78" s="6"/>
      <c r="F78" s="6"/>
      <c r="G78" s="6"/>
      <c r="H78" s="6"/>
      <c r="I78" s="6">
        <v>4</v>
      </c>
      <c r="J78" s="6"/>
      <c r="K78" s="6">
        <v>4</v>
      </c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>
        <v>5</v>
      </c>
      <c r="AT78" s="4"/>
      <c r="AU78" s="4"/>
      <c r="AV78" s="4"/>
      <c r="AW78" s="2">
        <v>5</v>
      </c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 t="shared" ref="BP78:BP86" si="21">SUM(E78:BO78)</f>
        <v>18</v>
      </c>
      <c r="BQ78" s="1">
        <v>5</v>
      </c>
      <c r="BR78" s="17">
        <v>1</v>
      </c>
      <c r="BS78" s="17" t="s">
        <v>227</v>
      </c>
      <c r="BT78" s="1" t="str">
        <f>IF(AQ78&gt;AQ$163, AQ78-AQ$163,"")</f>
        <v/>
      </c>
      <c r="BU78" s="1" t="str">
        <f>IF(AR78&gt;AR$163, AR78-AR$163,"")</f>
        <v/>
      </c>
      <c r="BV78" s="1">
        <f>IF(AS78&gt;AS$163, AS78-AS$163,"")</f>
        <v>5</v>
      </c>
      <c r="BW78" s="1" t="str">
        <f>IF(AT78&gt;AT$163, AT78-AT$163,"")</f>
        <v/>
      </c>
      <c r="BX78" s="1" t="str">
        <f>IF(AU78&gt;AU$163, AU78-AU$163,"")</f>
        <v/>
      </c>
      <c r="BY78" s="1" t="str">
        <f>IF(AV78&gt;AV$163, AV78-AV$163,"")</f>
        <v/>
      </c>
      <c r="BZ78" s="1" t="str">
        <f>IF(AW78&gt;AW$163, AW78-AW$163,"")</f>
        <v/>
      </c>
      <c r="CA78" s="1" t="str">
        <f>IF(AX78&gt;AX$163, AX78-AX$163,"")</f>
        <v/>
      </c>
      <c r="CB78" s="1" t="str">
        <f>IF(AY78&gt;AY$163, AY78-AY$163,"")</f>
        <v/>
      </c>
      <c r="CC78" s="1" t="str">
        <f>IF(AZ78&gt;AZ$163, AZ78-AZ$163,"")</f>
        <v/>
      </c>
      <c r="CD78" s="1" t="str">
        <f>IF(BA78&gt;BA$163, BA78-BA$163,"")</f>
        <v/>
      </c>
      <c r="CE78" s="1" t="str">
        <f>IF(BB78&gt;BB$163, BB78-BB$163,"")</f>
        <v/>
      </c>
      <c r="CF78" s="1">
        <f t="shared" ref="CF78:CF86" si="22">COUNTIF(BT78:CE78, "&gt;0")</f>
        <v>1</v>
      </c>
      <c r="CG78" s="1" t="str">
        <f t="shared" ref="CG78:CG86" si="23">IF($CF78=1,BT78,"")</f>
        <v/>
      </c>
      <c r="CH78" s="1" t="str">
        <f t="shared" ref="CH78:CH86" si="24">IF($CF78=1,BU78,"")</f>
        <v/>
      </c>
      <c r="CI78" s="1">
        <f t="shared" ref="CI78:CI86" si="25">IF($CF78=1,BV78,"")</f>
        <v>5</v>
      </c>
      <c r="CJ78" s="1" t="str">
        <f t="shared" ref="CJ78:CJ86" si="26">IF($CF78=1,BW78,"")</f>
        <v/>
      </c>
      <c r="CK78" s="1" t="str">
        <f t="shared" ref="CK78:CK86" si="27">IF($CF78=1,BX78,"")</f>
        <v/>
      </c>
      <c r="CL78" s="1" t="str">
        <f t="shared" ref="CL78:CL86" si="28">IF($CF78=1,BY78,"")</f>
        <v/>
      </c>
      <c r="CM78" s="1" t="str">
        <f t="shared" ref="CM78:CM86" si="29">IF($CF78=1,BZ78,"")</f>
        <v/>
      </c>
      <c r="CN78" s="1" t="str">
        <f t="shared" ref="CN78:CN86" si="30">IF($CF78=1,CA78,"")</f>
        <v/>
      </c>
      <c r="CO78" s="1" t="str">
        <f t="shared" ref="CO78:CO86" si="31">IF($CF78=1,CB78,"")</f>
        <v/>
      </c>
      <c r="CP78" s="1" t="str">
        <f t="shared" ref="CP78:CP86" si="32">IF($CF78=1,CC78,"")</f>
        <v/>
      </c>
      <c r="CQ78" s="1" t="str">
        <f t="shared" ref="CQ78:CQ86" si="33">IF($CF78=1,CD78,"")</f>
        <v/>
      </c>
      <c r="CR78" s="1" t="str">
        <f t="shared" ref="CR78:CR86" si="34">IF($CF78=1,CE78,"")</f>
        <v/>
      </c>
      <c r="CS78" s="18">
        <f t="shared" ref="CS78:CS86" si="35">SUM(AE78:BO78)</f>
        <v>10</v>
      </c>
    </row>
    <row r="79" spans="1:97" x14ac:dyDescent="0.15">
      <c r="A79" s="1">
        <v>91</v>
      </c>
      <c r="B79" s="3" t="s">
        <v>91</v>
      </c>
      <c r="C79" s="3" t="s">
        <v>90</v>
      </c>
      <c r="D79" s="1" t="s">
        <v>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>
        <v>5</v>
      </c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 t="shared" si="21"/>
        <v>5</v>
      </c>
      <c r="BQ79" s="1">
        <v>5</v>
      </c>
      <c r="BR79" s="17">
        <v>1</v>
      </c>
      <c r="BS79" s="17" t="s">
        <v>122</v>
      </c>
      <c r="BT79" s="1" t="str">
        <f>IF(AQ79&gt;AQ$163, AQ79-AQ$163,"")</f>
        <v/>
      </c>
      <c r="BU79" s="1" t="str">
        <f>IF(AR79&gt;AR$163, AR79-AR$163,"")</f>
        <v/>
      </c>
      <c r="BV79" s="1" t="str">
        <f>IF(AS79&gt;AS$163, AS79-AS$163,"")</f>
        <v/>
      </c>
      <c r="BW79" s="1" t="str">
        <f>IF(AT79&gt;AT$163, AT79-AT$163,"")</f>
        <v/>
      </c>
      <c r="BX79" s="1" t="str">
        <f>IF(AU79&gt;AU$163, AU79-AU$163,"")</f>
        <v/>
      </c>
      <c r="BY79" s="1" t="str">
        <f>IF(AV79&gt;AV$163, AV79-AV$163,"")</f>
        <v/>
      </c>
      <c r="BZ79" s="1" t="str">
        <f>IF(AW79&gt;AW$163, AW79-AW$163,"")</f>
        <v/>
      </c>
      <c r="CA79" s="1" t="str">
        <f>IF(AX79&gt;AX$163, AX79-AX$163,"")</f>
        <v/>
      </c>
      <c r="CB79" s="1" t="str">
        <f>IF(AY79&gt;AY$163, AY79-AY$163,"")</f>
        <v/>
      </c>
      <c r="CC79" s="1" t="str">
        <f>IF(AZ79&gt;AZ$163, AZ79-AZ$163,"")</f>
        <v/>
      </c>
      <c r="CD79" s="1" t="str">
        <f>IF(BA79&gt;BA$163, BA79-BA$163,"")</f>
        <v/>
      </c>
      <c r="CE79" s="1" t="str">
        <f>IF(BB79&gt;BB$163, BB79-BB$163,"")</f>
        <v/>
      </c>
      <c r="CF79" s="1">
        <f t="shared" si="22"/>
        <v>0</v>
      </c>
      <c r="CG79" s="1" t="str">
        <f t="shared" si="23"/>
        <v/>
      </c>
      <c r="CH79" s="1" t="str">
        <f t="shared" si="24"/>
        <v/>
      </c>
      <c r="CI79" s="1" t="str">
        <f t="shared" si="25"/>
        <v/>
      </c>
      <c r="CJ79" s="1" t="str">
        <f t="shared" si="26"/>
        <v/>
      </c>
      <c r="CK79" s="1" t="str">
        <f t="shared" si="27"/>
        <v/>
      </c>
      <c r="CL79" s="1" t="str">
        <f t="shared" si="28"/>
        <v/>
      </c>
      <c r="CM79" s="1" t="str">
        <f t="shared" si="29"/>
        <v/>
      </c>
      <c r="CN79" s="1" t="str">
        <f t="shared" si="30"/>
        <v/>
      </c>
      <c r="CO79" s="1" t="str">
        <f t="shared" si="31"/>
        <v/>
      </c>
      <c r="CP79" s="1" t="str">
        <f t="shared" si="32"/>
        <v/>
      </c>
      <c r="CQ79" s="1" t="str">
        <f t="shared" si="33"/>
        <v/>
      </c>
      <c r="CR79" s="1" t="str">
        <f t="shared" si="34"/>
        <v/>
      </c>
      <c r="CS79" s="18">
        <f t="shared" si="35"/>
        <v>5</v>
      </c>
    </row>
    <row r="80" spans="1:97" x14ac:dyDescent="0.15">
      <c r="A80" s="1">
        <v>17</v>
      </c>
      <c r="B80" s="1" t="s">
        <v>35</v>
      </c>
      <c r="C80" s="1" t="s">
        <v>32</v>
      </c>
      <c r="D80" s="1" t="s">
        <v>24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>
        <v>5</v>
      </c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 t="shared" si="21"/>
        <v>5</v>
      </c>
      <c r="BQ80" s="1">
        <v>5</v>
      </c>
      <c r="BR80" s="17">
        <v>1</v>
      </c>
      <c r="BS80" s="17" t="s">
        <v>121</v>
      </c>
      <c r="BT80" s="1" t="str">
        <f>IF(AQ80&gt;AQ$163, AQ80-AQ$163,"")</f>
        <v/>
      </c>
      <c r="BU80" s="1" t="str">
        <f>IF(AR80&gt;AR$163, AR80-AR$163,"")</f>
        <v/>
      </c>
      <c r="BV80" s="1" t="str">
        <f>IF(AS80&gt;AS$163, AS80-AS$163,"")</f>
        <v/>
      </c>
      <c r="BW80" s="1" t="str">
        <f>IF(AT80&gt;AT$163, AT80-AT$163,"")</f>
        <v/>
      </c>
      <c r="BX80" s="1" t="str">
        <f>IF(AU80&gt;AU$163, AU80-AU$163,"")</f>
        <v/>
      </c>
      <c r="BY80" s="1" t="str">
        <f>IF(AV80&gt;AV$163, AV80-AV$163,"")</f>
        <v/>
      </c>
      <c r="BZ80" s="1" t="str">
        <f>IF(AW80&gt;AW$163, AW80-AW$163,"")</f>
        <v/>
      </c>
      <c r="CA80" s="1" t="str">
        <f>IF(AX80&gt;AX$163, AX80-AX$163,"")</f>
        <v/>
      </c>
      <c r="CB80" s="1" t="str">
        <f>IF(AY80&gt;AY$163, AY80-AY$163,"")</f>
        <v/>
      </c>
      <c r="CC80" s="1" t="str">
        <f>IF(AZ80&gt;AZ$163, AZ80-AZ$163,"")</f>
        <v/>
      </c>
      <c r="CD80" s="1" t="str">
        <f>IF(BA80&gt;BA$163, BA80-BA$163,"")</f>
        <v/>
      </c>
      <c r="CE80" s="1" t="str">
        <f>IF(BB80&gt;BB$163, BB80-BB$163,"")</f>
        <v/>
      </c>
      <c r="CF80" s="1">
        <f t="shared" si="22"/>
        <v>0</v>
      </c>
      <c r="CG80" s="1" t="str">
        <f t="shared" si="23"/>
        <v/>
      </c>
      <c r="CH80" s="1" t="str">
        <f t="shared" si="24"/>
        <v/>
      </c>
      <c r="CI80" s="1" t="str">
        <f t="shared" si="25"/>
        <v/>
      </c>
      <c r="CJ80" s="1" t="str">
        <f t="shared" si="26"/>
        <v/>
      </c>
      <c r="CK80" s="1" t="str">
        <f t="shared" si="27"/>
        <v/>
      </c>
      <c r="CL80" s="1" t="str">
        <f t="shared" si="28"/>
        <v/>
      </c>
      <c r="CM80" s="1" t="str">
        <f t="shared" si="29"/>
        <v/>
      </c>
      <c r="CN80" s="1" t="str">
        <f t="shared" si="30"/>
        <v/>
      </c>
      <c r="CO80" s="1" t="str">
        <f t="shared" si="31"/>
        <v/>
      </c>
      <c r="CP80" s="1" t="str">
        <f t="shared" si="32"/>
        <v/>
      </c>
      <c r="CQ80" s="1" t="str">
        <f t="shared" si="33"/>
        <v/>
      </c>
      <c r="CR80" s="1" t="str">
        <f t="shared" si="34"/>
        <v/>
      </c>
      <c r="CS80" s="18">
        <f t="shared" si="35"/>
        <v>5</v>
      </c>
    </row>
    <row r="81" spans="1:97" x14ac:dyDescent="0.15">
      <c r="A81" s="1">
        <v>18</v>
      </c>
      <c r="B81" s="1" t="s">
        <v>35</v>
      </c>
      <c r="C81" s="1" t="s">
        <v>32</v>
      </c>
      <c r="D81" s="1" t="s">
        <v>25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/>
      <c r="AG81" s="1">
        <v>5</v>
      </c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 t="shared" si="21"/>
        <v>5</v>
      </c>
      <c r="BQ81" s="1">
        <v>5</v>
      </c>
      <c r="BR81" s="17">
        <v>1</v>
      </c>
      <c r="BS81" s="17" t="s">
        <v>123</v>
      </c>
      <c r="BT81" s="1" t="str">
        <f>IF(AQ81&gt;AQ$163, AQ81-AQ$163,"")</f>
        <v/>
      </c>
      <c r="BU81" s="1" t="str">
        <f>IF(AR81&gt;AR$163, AR81-AR$163,"")</f>
        <v/>
      </c>
      <c r="BV81" s="1" t="str">
        <f>IF(AS81&gt;AS$163, AS81-AS$163,"")</f>
        <v/>
      </c>
      <c r="BW81" s="1" t="str">
        <f>IF(AT81&gt;AT$163, AT81-AT$163,"")</f>
        <v/>
      </c>
      <c r="BX81" s="1" t="str">
        <f>IF(AU81&gt;AU$163, AU81-AU$163,"")</f>
        <v/>
      </c>
      <c r="BY81" s="1" t="str">
        <f>IF(AV81&gt;AV$163, AV81-AV$163,"")</f>
        <v/>
      </c>
      <c r="BZ81" s="1" t="str">
        <f>IF(AW81&gt;AW$163, AW81-AW$163,"")</f>
        <v/>
      </c>
      <c r="CA81" s="1" t="str">
        <f>IF(AX81&gt;AX$163, AX81-AX$163,"")</f>
        <v/>
      </c>
      <c r="CB81" s="1" t="str">
        <f>IF(AY81&gt;AY$163, AY81-AY$163,"")</f>
        <v/>
      </c>
      <c r="CC81" s="1" t="str">
        <f>IF(AZ81&gt;AZ$163, AZ81-AZ$163,"")</f>
        <v/>
      </c>
      <c r="CD81" s="1" t="str">
        <f>IF(BA81&gt;BA$163, BA81-BA$163,"")</f>
        <v/>
      </c>
      <c r="CE81" s="1" t="str">
        <f>IF(BB81&gt;BB$163, BB81-BB$163,"")</f>
        <v/>
      </c>
      <c r="CF81" s="1">
        <f t="shared" si="22"/>
        <v>0</v>
      </c>
      <c r="CG81" s="1" t="str">
        <f t="shared" si="23"/>
        <v/>
      </c>
      <c r="CH81" s="1" t="str">
        <f t="shared" si="24"/>
        <v/>
      </c>
      <c r="CI81" s="1" t="str">
        <f t="shared" si="25"/>
        <v/>
      </c>
      <c r="CJ81" s="1" t="str">
        <f t="shared" si="26"/>
        <v/>
      </c>
      <c r="CK81" s="1" t="str">
        <f t="shared" si="27"/>
        <v/>
      </c>
      <c r="CL81" s="1" t="str">
        <f t="shared" si="28"/>
        <v/>
      </c>
      <c r="CM81" s="1" t="str">
        <f t="shared" si="29"/>
        <v/>
      </c>
      <c r="CN81" s="1" t="str">
        <f t="shared" si="30"/>
        <v/>
      </c>
      <c r="CO81" s="1" t="str">
        <f t="shared" si="31"/>
        <v/>
      </c>
      <c r="CP81" s="1" t="str">
        <f t="shared" si="32"/>
        <v/>
      </c>
      <c r="CQ81" s="1" t="str">
        <f t="shared" si="33"/>
        <v/>
      </c>
      <c r="CR81" s="1" t="str">
        <f t="shared" si="34"/>
        <v/>
      </c>
      <c r="CS81" s="18">
        <f t="shared" si="35"/>
        <v>5</v>
      </c>
    </row>
    <row r="82" spans="1:97" x14ac:dyDescent="0.15">
      <c r="A82" s="1">
        <v>19</v>
      </c>
      <c r="B82" s="1" t="s">
        <v>38</v>
      </c>
      <c r="C82" s="1" t="s">
        <v>32</v>
      </c>
      <c r="D82" s="1" t="s">
        <v>24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>
        <v>5</v>
      </c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 t="shared" si="21"/>
        <v>5</v>
      </c>
      <c r="BQ82" s="1">
        <v>5</v>
      </c>
      <c r="BR82" s="17">
        <v>1</v>
      </c>
      <c r="BS82" s="17" t="s">
        <v>123</v>
      </c>
      <c r="BT82" s="1" t="str">
        <f>IF(AQ82&gt;AQ$163, AQ82-AQ$163,"")</f>
        <v/>
      </c>
      <c r="BU82" s="1" t="str">
        <f>IF(AR82&gt;AR$163, AR82-AR$163,"")</f>
        <v/>
      </c>
      <c r="BV82" s="1" t="str">
        <f>IF(AS82&gt;AS$163, AS82-AS$163,"")</f>
        <v/>
      </c>
      <c r="BW82" s="1" t="str">
        <f>IF(AT82&gt;AT$163, AT82-AT$163,"")</f>
        <v/>
      </c>
      <c r="BX82" s="1" t="str">
        <f>IF(AU82&gt;AU$163, AU82-AU$163,"")</f>
        <v/>
      </c>
      <c r="BY82" s="1" t="str">
        <f>IF(AV82&gt;AV$163, AV82-AV$163,"")</f>
        <v/>
      </c>
      <c r="BZ82" s="1" t="str">
        <f>IF(AW82&gt;AW$163, AW82-AW$163,"")</f>
        <v/>
      </c>
      <c r="CA82" s="1" t="str">
        <f>IF(AX82&gt;AX$163, AX82-AX$163,"")</f>
        <v/>
      </c>
      <c r="CB82" s="1" t="str">
        <f>IF(AY82&gt;AY$163, AY82-AY$163,"")</f>
        <v/>
      </c>
      <c r="CC82" s="1" t="str">
        <f>IF(AZ82&gt;AZ$163, AZ82-AZ$163,"")</f>
        <v/>
      </c>
      <c r="CD82" s="1" t="str">
        <f>IF(BA82&gt;BA$163, BA82-BA$163,"")</f>
        <v/>
      </c>
      <c r="CE82" s="1" t="str">
        <f>IF(BB82&gt;BB$163, BB82-BB$163,"")</f>
        <v/>
      </c>
      <c r="CF82" s="1">
        <f t="shared" si="22"/>
        <v>0</v>
      </c>
      <c r="CG82" s="1" t="str">
        <f t="shared" si="23"/>
        <v/>
      </c>
      <c r="CH82" s="1" t="str">
        <f t="shared" si="24"/>
        <v/>
      </c>
      <c r="CI82" s="1" t="str">
        <f t="shared" si="25"/>
        <v/>
      </c>
      <c r="CJ82" s="1" t="str">
        <f t="shared" si="26"/>
        <v/>
      </c>
      <c r="CK82" s="1" t="str">
        <f t="shared" si="27"/>
        <v/>
      </c>
      <c r="CL82" s="1" t="str">
        <f t="shared" si="28"/>
        <v/>
      </c>
      <c r="CM82" s="1" t="str">
        <f t="shared" si="29"/>
        <v/>
      </c>
      <c r="CN82" s="1" t="str">
        <f t="shared" si="30"/>
        <v/>
      </c>
      <c r="CO82" s="1" t="str">
        <f t="shared" si="31"/>
        <v/>
      </c>
      <c r="CP82" s="1" t="str">
        <f t="shared" si="32"/>
        <v/>
      </c>
      <c r="CQ82" s="1" t="str">
        <f t="shared" si="33"/>
        <v/>
      </c>
      <c r="CR82" s="1" t="str">
        <f t="shared" si="34"/>
        <v/>
      </c>
      <c r="CS82" s="18">
        <f t="shared" si="35"/>
        <v>5</v>
      </c>
    </row>
    <row r="83" spans="1:97" x14ac:dyDescent="0.15">
      <c r="A83" s="1">
        <v>32</v>
      </c>
      <c r="B83" s="1" t="s">
        <v>87</v>
      </c>
      <c r="C83" s="1" t="s">
        <v>32</v>
      </c>
      <c r="D83" s="1" t="s">
        <v>24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>
        <v>5</v>
      </c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 t="shared" si="21"/>
        <v>5</v>
      </c>
      <c r="BQ83" s="1">
        <v>5</v>
      </c>
      <c r="BR83" s="17">
        <v>1</v>
      </c>
      <c r="BS83" s="17" t="s">
        <v>124</v>
      </c>
      <c r="BT83" s="1" t="str">
        <f>IF(AQ83&gt;AQ$163, AQ83-AQ$163,"")</f>
        <v/>
      </c>
      <c r="BU83" s="1" t="str">
        <f>IF(AR83&gt;AR$163, AR83-AR$163,"")</f>
        <v/>
      </c>
      <c r="BV83" s="1" t="str">
        <f>IF(AS83&gt;AS$163, AS83-AS$163,"")</f>
        <v/>
      </c>
      <c r="BW83" s="1" t="str">
        <f>IF(AT83&gt;AT$163, AT83-AT$163,"")</f>
        <v/>
      </c>
      <c r="BX83" s="1" t="str">
        <f>IF(AU83&gt;AU$163, AU83-AU$163,"")</f>
        <v/>
      </c>
      <c r="BY83" s="1" t="str">
        <f>IF(AV83&gt;AV$163, AV83-AV$163,"")</f>
        <v/>
      </c>
      <c r="BZ83" s="1" t="str">
        <f>IF(AW83&gt;AW$163, AW83-AW$163,"")</f>
        <v/>
      </c>
      <c r="CA83" s="1" t="str">
        <f>IF(AX83&gt;AX$163, AX83-AX$163,"")</f>
        <v/>
      </c>
      <c r="CB83" s="1" t="str">
        <f>IF(AY83&gt;AY$163, AY83-AY$163,"")</f>
        <v/>
      </c>
      <c r="CC83" s="1" t="str">
        <f>IF(AZ83&gt;AZ$163, AZ83-AZ$163,"")</f>
        <v/>
      </c>
      <c r="CD83" s="1" t="str">
        <f>IF(BA83&gt;BA$163, BA83-BA$163,"")</f>
        <v/>
      </c>
      <c r="CE83" s="1" t="str">
        <f>IF(BB83&gt;BB$163, BB83-BB$163,"")</f>
        <v/>
      </c>
      <c r="CF83" s="1">
        <f t="shared" si="22"/>
        <v>0</v>
      </c>
      <c r="CG83" s="1" t="str">
        <f t="shared" si="23"/>
        <v/>
      </c>
      <c r="CH83" s="1" t="str">
        <f t="shared" si="24"/>
        <v/>
      </c>
      <c r="CI83" s="1" t="str">
        <f t="shared" si="25"/>
        <v/>
      </c>
      <c r="CJ83" s="1" t="str">
        <f t="shared" si="26"/>
        <v/>
      </c>
      <c r="CK83" s="1" t="str">
        <f t="shared" si="27"/>
        <v/>
      </c>
      <c r="CL83" s="1" t="str">
        <f t="shared" si="28"/>
        <v/>
      </c>
      <c r="CM83" s="1" t="str">
        <f t="shared" si="29"/>
        <v/>
      </c>
      <c r="CN83" s="1" t="str">
        <f t="shared" si="30"/>
        <v/>
      </c>
      <c r="CO83" s="1" t="str">
        <f t="shared" si="31"/>
        <v/>
      </c>
      <c r="CP83" s="1" t="str">
        <f t="shared" si="32"/>
        <v/>
      </c>
      <c r="CQ83" s="1" t="str">
        <f t="shared" si="33"/>
        <v/>
      </c>
      <c r="CR83" s="1" t="str">
        <f t="shared" si="34"/>
        <v/>
      </c>
      <c r="CS83" s="18">
        <f t="shared" si="35"/>
        <v>5</v>
      </c>
    </row>
    <row r="84" spans="1:97" x14ac:dyDescent="0.15">
      <c r="A84" s="1">
        <v>33</v>
      </c>
      <c r="B84" s="1" t="s">
        <v>87</v>
      </c>
      <c r="C84" s="1" t="s">
        <v>32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>
        <v>5</v>
      </c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21"/>
        <v>5</v>
      </c>
      <c r="BQ84" s="1">
        <v>5</v>
      </c>
      <c r="BR84" s="17">
        <v>1</v>
      </c>
      <c r="BS84" s="17" t="s">
        <v>125</v>
      </c>
      <c r="BT84" s="1" t="str">
        <f>IF(AQ84&gt;AQ$163, AQ84-AQ$163,"")</f>
        <v/>
      </c>
      <c r="BU84" s="1" t="str">
        <f>IF(AR84&gt;AR$163, AR84-AR$163,"")</f>
        <v/>
      </c>
      <c r="BV84" s="1" t="str">
        <f>IF(AS84&gt;AS$163, AS84-AS$163,"")</f>
        <v/>
      </c>
      <c r="BW84" s="1" t="str">
        <f>IF(AT84&gt;AT$163, AT84-AT$163,"")</f>
        <v/>
      </c>
      <c r="BX84" s="1" t="str">
        <f>IF(AU84&gt;AU$163, AU84-AU$163,"")</f>
        <v/>
      </c>
      <c r="BY84" s="1" t="str">
        <f>IF(AV84&gt;AV$163, AV84-AV$163,"")</f>
        <v/>
      </c>
      <c r="BZ84" s="1" t="str">
        <f>IF(AW84&gt;AW$163, AW84-AW$163,"")</f>
        <v/>
      </c>
      <c r="CA84" s="1" t="str">
        <f>IF(AX84&gt;AX$163, AX84-AX$163,"")</f>
        <v/>
      </c>
      <c r="CB84" s="1" t="str">
        <f>IF(AY84&gt;AY$163, AY84-AY$163,"")</f>
        <v/>
      </c>
      <c r="CC84" s="1" t="str">
        <f>IF(AZ84&gt;AZ$163, AZ84-AZ$163,"")</f>
        <v/>
      </c>
      <c r="CD84" s="1" t="str">
        <f>IF(BA84&gt;BA$163, BA84-BA$163,"")</f>
        <v/>
      </c>
      <c r="CE84" s="1" t="str">
        <f>IF(BB84&gt;BB$163, BB84-BB$163,"")</f>
        <v/>
      </c>
      <c r="CF84" s="1">
        <f t="shared" si="22"/>
        <v>0</v>
      </c>
      <c r="CG84" s="1" t="str">
        <f t="shared" si="23"/>
        <v/>
      </c>
      <c r="CH84" s="1" t="str">
        <f t="shared" si="24"/>
        <v/>
      </c>
      <c r="CI84" s="1" t="str">
        <f t="shared" si="25"/>
        <v/>
      </c>
      <c r="CJ84" s="1" t="str">
        <f t="shared" si="26"/>
        <v/>
      </c>
      <c r="CK84" s="1" t="str">
        <f t="shared" si="27"/>
        <v/>
      </c>
      <c r="CL84" s="1" t="str">
        <f t="shared" si="28"/>
        <v/>
      </c>
      <c r="CM84" s="1" t="str">
        <f t="shared" si="29"/>
        <v/>
      </c>
      <c r="CN84" s="1" t="str">
        <f t="shared" si="30"/>
        <v/>
      </c>
      <c r="CO84" s="1" t="str">
        <f t="shared" si="31"/>
        <v/>
      </c>
      <c r="CP84" s="1" t="str">
        <f t="shared" si="32"/>
        <v/>
      </c>
      <c r="CQ84" s="1" t="str">
        <f t="shared" si="33"/>
        <v/>
      </c>
      <c r="CR84" s="1" t="str">
        <f t="shared" si="34"/>
        <v/>
      </c>
      <c r="CS84" s="18">
        <f t="shared" si="35"/>
        <v>5</v>
      </c>
    </row>
    <row r="85" spans="1:97" x14ac:dyDescent="0.15">
      <c r="A85" s="1">
        <v>63</v>
      </c>
      <c r="B85" s="3" t="s">
        <v>68</v>
      </c>
      <c r="C85" s="1" t="s">
        <v>62</v>
      </c>
      <c r="D85" s="1" t="s">
        <v>24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>
        <v>5</v>
      </c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21"/>
        <v>5</v>
      </c>
      <c r="BQ85" s="1">
        <v>5</v>
      </c>
      <c r="BR85" s="17">
        <v>1</v>
      </c>
      <c r="BS85" s="17" t="s">
        <v>126</v>
      </c>
      <c r="BT85" s="1" t="str">
        <f>IF(AQ85&gt;AQ$163, AQ85-AQ$163,"")</f>
        <v/>
      </c>
      <c r="BU85" s="1" t="str">
        <f>IF(AR85&gt;AR$163, AR85-AR$163,"")</f>
        <v/>
      </c>
      <c r="BV85" s="1" t="str">
        <f>IF(AS85&gt;AS$163, AS85-AS$163,"")</f>
        <v/>
      </c>
      <c r="BW85" s="1" t="str">
        <f>IF(AT85&gt;AT$163, AT85-AT$163,"")</f>
        <v/>
      </c>
      <c r="BX85" s="1" t="str">
        <f>IF(AU85&gt;AU$163, AU85-AU$163,"")</f>
        <v/>
      </c>
      <c r="BY85" s="1" t="str">
        <f>IF(AV85&gt;AV$163, AV85-AV$163,"")</f>
        <v/>
      </c>
      <c r="BZ85" s="1" t="str">
        <f>IF(AW85&gt;AW$163, AW85-AW$163,"")</f>
        <v/>
      </c>
      <c r="CA85" s="1" t="str">
        <f>IF(AX85&gt;AX$163, AX85-AX$163,"")</f>
        <v/>
      </c>
      <c r="CB85" s="1" t="str">
        <f>IF(AY85&gt;AY$163, AY85-AY$163,"")</f>
        <v/>
      </c>
      <c r="CC85" s="1" t="str">
        <f>IF(AZ85&gt;AZ$163, AZ85-AZ$163,"")</f>
        <v/>
      </c>
      <c r="CD85" s="1" t="str">
        <f>IF(BA85&gt;BA$163, BA85-BA$163,"")</f>
        <v/>
      </c>
      <c r="CE85" s="1" t="str">
        <f>IF(BB85&gt;BB$163, BB85-BB$163,"")</f>
        <v/>
      </c>
      <c r="CF85" s="1">
        <f t="shared" si="22"/>
        <v>0</v>
      </c>
      <c r="CG85" s="1" t="str">
        <f t="shared" si="23"/>
        <v/>
      </c>
      <c r="CH85" s="1" t="str">
        <f t="shared" si="24"/>
        <v/>
      </c>
      <c r="CI85" s="1" t="str">
        <f t="shared" si="25"/>
        <v/>
      </c>
      <c r="CJ85" s="1" t="str">
        <f t="shared" si="26"/>
        <v/>
      </c>
      <c r="CK85" s="1" t="str">
        <f t="shared" si="27"/>
        <v/>
      </c>
      <c r="CL85" s="1" t="str">
        <f t="shared" si="28"/>
        <v/>
      </c>
      <c r="CM85" s="1" t="str">
        <f t="shared" si="29"/>
        <v/>
      </c>
      <c r="CN85" s="1" t="str">
        <f t="shared" si="30"/>
        <v/>
      </c>
      <c r="CO85" s="1" t="str">
        <f t="shared" si="31"/>
        <v/>
      </c>
      <c r="CP85" s="1" t="str">
        <f t="shared" si="32"/>
        <v/>
      </c>
      <c r="CQ85" s="1" t="str">
        <f t="shared" si="33"/>
        <v/>
      </c>
      <c r="CR85" s="1" t="str">
        <f t="shared" si="34"/>
        <v/>
      </c>
      <c r="CS85" s="18">
        <f t="shared" si="35"/>
        <v>5</v>
      </c>
    </row>
    <row r="86" spans="1:97" x14ac:dyDescent="0.15">
      <c r="A86" s="1">
        <v>90</v>
      </c>
      <c r="B86" s="3" t="s">
        <v>91</v>
      </c>
      <c r="C86" s="3" t="s">
        <v>90</v>
      </c>
      <c r="D86" s="1" t="s">
        <v>24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>
        <v>5</v>
      </c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21"/>
        <v>5</v>
      </c>
      <c r="BQ86" s="1">
        <v>5</v>
      </c>
      <c r="BR86" s="17">
        <v>1</v>
      </c>
      <c r="BS86" s="17" t="s">
        <v>126</v>
      </c>
      <c r="BT86" s="1" t="str">
        <f>IF(AQ86&gt;AQ$163, AQ86-AQ$163,"")</f>
        <v/>
      </c>
      <c r="BU86" s="1" t="str">
        <f>IF(AR86&gt;AR$163, AR86-AR$163,"")</f>
        <v/>
      </c>
      <c r="BV86" s="1" t="str">
        <f>IF(AS86&gt;AS$163, AS86-AS$163,"")</f>
        <v/>
      </c>
      <c r="BW86" s="1" t="str">
        <f>IF(AT86&gt;AT$163, AT86-AT$163,"")</f>
        <v/>
      </c>
      <c r="BX86" s="1" t="str">
        <f>IF(AU86&gt;AU$163, AU86-AU$163,"")</f>
        <v/>
      </c>
      <c r="BY86" s="1" t="str">
        <f>IF(AV86&gt;AV$163, AV86-AV$163,"")</f>
        <v/>
      </c>
      <c r="BZ86" s="1" t="str">
        <f>IF(AW86&gt;AW$163, AW86-AW$163,"")</f>
        <v/>
      </c>
      <c r="CA86" s="1" t="str">
        <f>IF(AX86&gt;AX$163, AX86-AX$163,"")</f>
        <v/>
      </c>
      <c r="CB86" s="1" t="str">
        <f>IF(AY86&gt;AY$163, AY86-AY$163,"")</f>
        <v/>
      </c>
      <c r="CC86" s="1" t="str">
        <f>IF(AZ86&gt;AZ$163, AZ86-AZ$163,"")</f>
        <v/>
      </c>
      <c r="CD86" s="1" t="str">
        <f>IF(BA86&gt;BA$163, BA86-BA$163,"")</f>
        <v/>
      </c>
      <c r="CE86" s="1" t="str">
        <f>IF(BB86&gt;BB$163, BB86-BB$163,"")</f>
        <v/>
      </c>
      <c r="CF86" s="1">
        <f t="shared" si="22"/>
        <v>0</v>
      </c>
      <c r="CG86" s="1" t="str">
        <f t="shared" si="23"/>
        <v/>
      </c>
      <c r="CH86" s="1" t="str">
        <f t="shared" si="24"/>
        <v/>
      </c>
      <c r="CI86" s="1" t="str">
        <f t="shared" si="25"/>
        <v/>
      </c>
      <c r="CJ86" s="1" t="str">
        <f t="shared" si="26"/>
        <v/>
      </c>
      <c r="CK86" s="1" t="str">
        <f t="shared" si="27"/>
        <v/>
      </c>
      <c r="CL86" s="1" t="str">
        <f t="shared" si="28"/>
        <v/>
      </c>
      <c r="CM86" s="1" t="str">
        <f t="shared" si="29"/>
        <v/>
      </c>
      <c r="CN86" s="1" t="str">
        <f t="shared" si="30"/>
        <v/>
      </c>
      <c r="CO86" s="1" t="str">
        <f t="shared" si="31"/>
        <v/>
      </c>
      <c r="CP86" s="1" t="str">
        <f t="shared" si="32"/>
        <v/>
      </c>
      <c r="CQ86" s="1" t="str">
        <f t="shared" si="33"/>
        <v/>
      </c>
      <c r="CR86" s="1" t="str">
        <f t="shared" si="34"/>
        <v/>
      </c>
      <c r="CS86" s="18">
        <f t="shared" si="35"/>
        <v>5</v>
      </c>
    </row>
    <row r="87" spans="1:97" x14ac:dyDescent="0.15">
      <c r="A87" s="1"/>
      <c r="B87" s="1" t="s">
        <v>157</v>
      </c>
      <c r="C87" s="1" t="s">
        <v>153</v>
      </c>
      <c r="D87" s="1" t="s">
        <v>147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>
        <v>5</v>
      </c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1</v>
      </c>
      <c r="BS87" s="17" t="s">
        <v>125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x14ac:dyDescent="0.15">
      <c r="A88" s="1"/>
      <c r="B88" s="1" t="s">
        <v>157</v>
      </c>
      <c r="C88" s="1" t="s">
        <v>153</v>
      </c>
      <c r="D88" s="1" t="s">
        <v>140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/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1</v>
      </c>
      <c r="BS88" s="17" t="s">
        <v>124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x14ac:dyDescent="0.15">
      <c r="A89" s="1">
        <v>78</v>
      </c>
      <c r="B89" s="3" t="s">
        <v>73</v>
      </c>
      <c r="C89" s="3" t="s">
        <v>71</v>
      </c>
      <c r="D89" s="1" t="s">
        <v>1</v>
      </c>
      <c r="E89" s="6"/>
      <c r="F89" s="6"/>
      <c r="G89" s="6">
        <v>15</v>
      </c>
      <c r="H89" s="6">
        <v>15</v>
      </c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>
        <v>15</v>
      </c>
      <c r="BB89" s="2">
        <v>15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60</v>
      </c>
      <c r="BQ89" s="1">
        <v>7</v>
      </c>
      <c r="BR89" s="17">
        <v>1</v>
      </c>
      <c r="BS89" s="17" t="s">
        <v>230</v>
      </c>
      <c r="BT89" s="1" t="str">
        <f>IF(AQ89&gt;AQ$163, AQ89-AQ$163,"")</f>
        <v/>
      </c>
      <c r="BU89" s="1" t="str">
        <f>IF(AR89&gt;AR$163, AR89-AR$163,"")</f>
        <v/>
      </c>
      <c r="BV89" s="1" t="str">
        <f>IF(AS89&gt;AS$163, AS89-AS$163,"")</f>
        <v/>
      </c>
      <c r="BW89" s="1" t="str">
        <f>IF(AT89&gt;AT$163, AT89-AT$163,"")</f>
        <v/>
      </c>
      <c r="BX89" s="1" t="str">
        <f>IF(AU89&gt;AU$163, AU89-AU$163,"")</f>
        <v/>
      </c>
      <c r="BY89" s="1" t="str">
        <f>IF(AV89&gt;AV$163, AV89-AV$163,"")</f>
        <v/>
      </c>
      <c r="BZ89" s="1" t="str">
        <f>IF(AW89&gt;AW$163, AW89-AW$163,"")</f>
        <v/>
      </c>
      <c r="CA89" s="1" t="str">
        <f>IF(AX89&gt;AX$163, AX89-AX$163,"")</f>
        <v/>
      </c>
      <c r="CB89" s="1" t="str">
        <f>IF(AY89&gt;AY$163, AY89-AY$163,"")</f>
        <v/>
      </c>
      <c r="CC89" s="1" t="str">
        <f>IF(AZ89&gt;AZ$163, AZ89-AZ$163,"")</f>
        <v/>
      </c>
      <c r="CD89" s="1" t="str">
        <f>IF(BA89&gt;BA$163, BA89-BA$163,"")</f>
        <v/>
      </c>
      <c r="CE89" s="1" t="str">
        <f>IF(BB89&gt;BB$163, BB89-BB$163,"")</f>
        <v/>
      </c>
      <c r="CF89" s="1">
        <f>COUNTIF(BT89:CE89, "&gt;0")</f>
        <v>0</v>
      </c>
      <c r="CG89" s="1" t="str">
        <f t="shared" ref="CG89:CR89" si="36">IF($CF89=1,BT89,"")</f>
        <v/>
      </c>
      <c r="CH89" s="1" t="str">
        <f t="shared" si="36"/>
        <v/>
      </c>
      <c r="CI89" s="1" t="str">
        <f t="shared" si="36"/>
        <v/>
      </c>
      <c r="CJ89" s="1" t="str">
        <f t="shared" si="36"/>
        <v/>
      </c>
      <c r="CK89" s="1" t="str">
        <f t="shared" si="36"/>
        <v/>
      </c>
      <c r="CL89" s="1" t="str">
        <f t="shared" si="36"/>
        <v/>
      </c>
      <c r="CM89" s="1" t="str">
        <f t="shared" si="36"/>
        <v/>
      </c>
      <c r="CN89" s="1" t="str">
        <f t="shared" si="36"/>
        <v/>
      </c>
      <c r="CO89" s="1" t="str">
        <f t="shared" si="36"/>
        <v/>
      </c>
      <c r="CP89" s="1" t="str">
        <f t="shared" si="36"/>
        <v/>
      </c>
      <c r="CQ89" s="1" t="str">
        <f t="shared" si="36"/>
        <v/>
      </c>
      <c r="CR89" s="1" t="str">
        <f t="shared" si="36"/>
        <v/>
      </c>
      <c r="CS89" s="18">
        <f>SUM(AE89:BO89)</f>
        <v>30</v>
      </c>
    </row>
    <row r="90" spans="1:97" x14ac:dyDescent="0.15">
      <c r="A90" s="1"/>
      <c r="B90" s="1" t="s">
        <v>166</v>
      </c>
      <c r="C90" s="1" t="s">
        <v>165</v>
      </c>
      <c r="D90" s="1" t="s">
        <v>139</v>
      </c>
      <c r="E90" s="6"/>
      <c r="F90" s="6"/>
      <c r="G90" s="6">
        <v>15</v>
      </c>
      <c r="H90" s="6">
        <v>15</v>
      </c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>
        <v>15</v>
      </c>
      <c r="BB90" s="2">
        <v>15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7</v>
      </c>
      <c r="BR90" s="17">
        <v>1</v>
      </c>
      <c r="BS90" s="17" t="s">
        <v>230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x14ac:dyDescent="0.15">
      <c r="A91" s="1">
        <v>1</v>
      </c>
      <c r="B91" s="1" t="s">
        <v>0</v>
      </c>
      <c r="C91" s="1" t="s">
        <v>2</v>
      </c>
      <c r="D91" s="1" t="s">
        <v>1</v>
      </c>
      <c r="E91" s="6">
        <v>10</v>
      </c>
      <c r="F91" s="6">
        <v>10</v>
      </c>
      <c r="G91" s="6"/>
      <c r="H91" s="6"/>
      <c r="I91" s="6"/>
      <c r="J91" s="6"/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>
        <v>15</v>
      </c>
      <c r="AX91" s="2">
        <v>15</v>
      </c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60</v>
      </c>
      <c r="BQ91" s="1">
        <v>7</v>
      </c>
      <c r="BR91" s="17">
        <v>1</v>
      </c>
      <c r="BS91" s="17" t="s">
        <v>236</v>
      </c>
      <c r="BT91" s="1" t="str">
        <f>IF(AQ91&gt;AQ$163, AQ91-AQ$163,"")</f>
        <v/>
      </c>
      <c r="BU91" s="1" t="str">
        <f>IF(AR91&gt;AR$163, AR91-AR$163,"")</f>
        <v/>
      </c>
      <c r="BV91" s="1" t="str">
        <f>IF(AS91&gt;AS$163, AS91-AS$163,"")</f>
        <v/>
      </c>
      <c r="BW91" s="1" t="str">
        <f>IF(AT91&gt;AT$163, AT91-AT$163,"")</f>
        <v/>
      </c>
      <c r="BX91" s="1" t="str">
        <f>IF(AU91&gt;AU$163, AU91-AU$163,"")</f>
        <v/>
      </c>
      <c r="BY91" s="1" t="str">
        <f>IF(AV91&gt;AV$163, AV91-AV$163,"")</f>
        <v/>
      </c>
      <c r="BZ91" s="1" t="str">
        <f>IF(AW91&gt;AW$163, AW91-AW$163,"")</f>
        <v/>
      </c>
      <c r="CA91" s="1" t="str">
        <f>IF(AX91&gt;AX$163, AX91-AX$163,"")</f>
        <v/>
      </c>
      <c r="CB91" s="1" t="str">
        <f>IF(AY91&gt;AY$163, AY91-AY$163,"")</f>
        <v/>
      </c>
      <c r="CC91" s="1" t="str">
        <f>IF(AZ91&gt;AZ$163, AZ91-AZ$163,"")</f>
        <v/>
      </c>
      <c r="CD91" s="1" t="str">
        <f>IF(BA91&gt;BA$163, BA91-BA$163,"")</f>
        <v/>
      </c>
      <c r="CE91" s="1" t="str">
        <f>IF(BB91&gt;BB$163, BB91-BB$163,"")</f>
        <v/>
      </c>
      <c r="CF91" s="1">
        <f>COUNTIF(BT91:CE91, "&gt;0")</f>
        <v>0</v>
      </c>
      <c r="CG91" s="1" t="str">
        <f t="shared" ref="CG91:CR93" si="37">IF($CF91=1,BT91,"")</f>
        <v/>
      </c>
      <c r="CH91" s="1" t="str">
        <f t="shared" si="37"/>
        <v/>
      </c>
      <c r="CI91" s="1" t="str">
        <f t="shared" si="37"/>
        <v/>
      </c>
      <c r="CJ91" s="1" t="str">
        <f t="shared" si="37"/>
        <v/>
      </c>
      <c r="CK91" s="1" t="str">
        <f t="shared" si="37"/>
        <v/>
      </c>
      <c r="CL91" s="1" t="str">
        <f t="shared" si="37"/>
        <v/>
      </c>
      <c r="CM91" s="1" t="str">
        <f t="shared" si="37"/>
        <v/>
      </c>
      <c r="CN91" s="1" t="str">
        <f t="shared" si="37"/>
        <v/>
      </c>
      <c r="CO91" s="1" t="str">
        <f t="shared" si="37"/>
        <v/>
      </c>
      <c r="CP91" s="1" t="str">
        <f t="shared" si="37"/>
        <v/>
      </c>
      <c r="CQ91" s="1" t="str">
        <f t="shared" si="37"/>
        <v/>
      </c>
      <c r="CR91" s="1" t="str">
        <f t="shared" si="37"/>
        <v/>
      </c>
      <c r="CS91" s="18">
        <f>SUM(AE91:BO91)</f>
        <v>40</v>
      </c>
    </row>
    <row r="92" spans="1:97" x14ac:dyDescent="0.15">
      <c r="A92" s="1">
        <v>97</v>
      </c>
      <c r="B92" s="3" t="s">
        <v>79</v>
      </c>
      <c r="C92" s="3" t="s">
        <v>78</v>
      </c>
      <c r="D92" s="1" t="s">
        <v>24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">
        <v>10</v>
      </c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10</v>
      </c>
      <c r="BQ92" s="1">
        <v>8</v>
      </c>
      <c r="BR92" s="17">
        <v>1</v>
      </c>
      <c r="BS92" s="17" t="s">
        <v>136</v>
      </c>
      <c r="BT92" s="1" t="str">
        <f>IF(AQ92&gt;AQ$163, AQ92-AQ$163,"")</f>
        <v/>
      </c>
      <c r="BU92" s="1" t="str">
        <f>IF(AR92&gt;AR$163, AR92-AR$163,"")</f>
        <v/>
      </c>
      <c r="BV92" s="1" t="str">
        <f>IF(AS92&gt;AS$163, AS92-AS$163,"")</f>
        <v/>
      </c>
      <c r="BW92" s="1" t="str">
        <f>IF(AT92&gt;AT$163, AT92-AT$163,"")</f>
        <v/>
      </c>
      <c r="BX92" s="1" t="str">
        <f>IF(AU92&gt;AU$163, AU92-AU$163,"")</f>
        <v/>
      </c>
      <c r="BY92" s="1" t="str">
        <f>IF(AV92&gt;AV$163, AV92-AV$163,"")</f>
        <v/>
      </c>
      <c r="BZ92" s="1" t="str">
        <f>IF(AW92&gt;AW$163, AW92-AW$163,"")</f>
        <v/>
      </c>
      <c r="CA92" s="1" t="str">
        <f>IF(AX92&gt;AX$163, AX92-AX$163,"")</f>
        <v/>
      </c>
      <c r="CB92" s="1" t="str">
        <f>IF(AY92&gt;AY$163, AY92-AY$163,"")</f>
        <v/>
      </c>
      <c r="CC92" s="1" t="str">
        <f>IF(AZ92&gt;AZ$163, AZ92-AZ$163,"")</f>
        <v/>
      </c>
      <c r="CD92" s="1" t="str">
        <f>IF(BA92&gt;BA$163, BA92-BA$163,"")</f>
        <v/>
      </c>
      <c r="CE92" s="1" t="str">
        <f>IF(BB92&gt;BB$163, BB92-BB$163,"")</f>
        <v/>
      </c>
      <c r="CF92" s="1">
        <f>COUNTIF(BT92:CE92, "&gt;0")</f>
        <v>0</v>
      </c>
      <c r="CG92" s="1" t="str">
        <f t="shared" si="37"/>
        <v/>
      </c>
      <c r="CH92" s="1" t="str">
        <f t="shared" si="37"/>
        <v/>
      </c>
      <c r="CI92" s="1" t="str">
        <f t="shared" si="37"/>
        <v/>
      </c>
      <c r="CJ92" s="1" t="str">
        <f t="shared" si="37"/>
        <v/>
      </c>
      <c r="CK92" s="1" t="str">
        <f t="shared" si="37"/>
        <v/>
      </c>
      <c r="CL92" s="1" t="str">
        <f t="shared" si="37"/>
        <v/>
      </c>
      <c r="CM92" s="1" t="str">
        <f t="shared" si="37"/>
        <v/>
      </c>
      <c r="CN92" s="1" t="str">
        <f t="shared" si="37"/>
        <v/>
      </c>
      <c r="CO92" s="1" t="str">
        <f t="shared" si="37"/>
        <v/>
      </c>
      <c r="CP92" s="1" t="str">
        <f t="shared" si="37"/>
        <v/>
      </c>
      <c r="CQ92" s="1" t="str">
        <f t="shared" si="37"/>
        <v/>
      </c>
      <c r="CR92" s="1" t="str">
        <f t="shared" si="37"/>
        <v/>
      </c>
      <c r="CS92" s="18">
        <f>SUM(AE92:BO92)</f>
        <v>10</v>
      </c>
    </row>
    <row r="93" spans="1:97" x14ac:dyDescent="0.15">
      <c r="A93" s="1">
        <v>21</v>
      </c>
      <c r="B93" s="1" t="s">
        <v>39</v>
      </c>
      <c r="C93" s="1" t="s">
        <v>32</v>
      </c>
      <c r="D93" s="1" t="s">
        <v>26</v>
      </c>
      <c r="E93" s="6"/>
      <c r="F93" s="6"/>
      <c r="G93" s="6">
        <v>6</v>
      </c>
      <c r="H93" s="6">
        <v>6</v>
      </c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10</v>
      </c>
      <c r="AT93" s="4"/>
      <c r="AU93" s="4"/>
      <c r="AV93" s="4"/>
      <c r="AW93" s="2"/>
      <c r="AX93" s="2"/>
      <c r="AY93" s="2"/>
      <c r="AZ93" s="2"/>
      <c r="BA93" s="2"/>
      <c r="BB93" s="2">
        <v>10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32</v>
      </c>
      <c r="BQ93" s="1">
        <v>10</v>
      </c>
      <c r="BR93" s="17">
        <v>1</v>
      </c>
      <c r="BS93" s="17" t="s">
        <v>233</v>
      </c>
      <c r="BT93" s="1" t="str">
        <f>IF(AQ93&gt;AQ$163, AQ93-AQ$163,"")</f>
        <v/>
      </c>
      <c r="BU93" s="1" t="str">
        <f>IF(AR93&gt;AR$163, AR93-AR$163,"")</f>
        <v/>
      </c>
      <c r="BV93" s="1">
        <f>IF(AS93&gt;AS$163, AS93-AS$163,"")</f>
        <v>10</v>
      </c>
      <c r="BW93" s="1" t="str">
        <f>IF(AT93&gt;AT$163, AT93-AT$163,"")</f>
        <v/>
      </c>
      <c r="BX93" s="1" t="str">
        <f>IF(AU93&gt;AU$163, AU93-AU$163,"")</f>
        <v/>
      </c>
      <c r="BY93" s="1" t="str">
        <f>IF(AV93&gt;AV$163, AV93-AV$163,"")</f>
        <v/>
      </c>
      <c r="BZ93" s="1" t="str">
        <f>IF(AW93&gt;AW$163, AW93-AW$163,"")</f>
        <v/>
      </c>
      <c r="CA93" s="1" t="str">
        <f>IF(AX93&gt;AX$163, AX93-AX$163,"")</f>
        <v/>
      </c>
      <c r="CB93" s="1" t="str">
        <f>IF(AY93&gt;AY$163, AY93-AY$163,"")</f>
        <v/>
      </c>
      <c r="CC93" s="1" t="str">
        <f>IF(AZ93&gt;AZ$163, AZ93-AZ$163,"")</f>
        <v/>
      </c>
      <c r="CD93" s="1" t="str">
        <f>IF(BA93&gt;BA$163, BA93-BA$163,"")</f>
        <v/>
      </c>
      <c r="CE93" s="1" t="str">
        <f>IF(BB93&gt;BB$163, BB93-BB$163,"")</f>
        <v/>
      </c>
      <c r="CF93" s="1">
        <f>COUNTIF(BT93:CE93, "&gt;0")</f>
        <v>1</v>
      </c>
      <c r="CG93" s="1" t="str">
        <f t="shared" si="37"/>
        <v/>
      </c>
      <c r="CH93" s="1" t="str">
        <f t="shared" si="37"/>
        <v/>
      </c>
      <c r="CI93" s="1">
        <f t="shared" si="37"/>
        <v>10</v>
      </c>
      <c r="CJ93" s="1" t="str">
        <f t="shared" si="37"/>
        <v/>
      </c>
      <c r="CK93" s="1" t="str">
        <f t="shared" si="37"/>
        <v/>
      </c>
      <c r="CL93" s="1" t="str">
        <f t="shared" si="37"/>
        <v/>
      </c>
      <c r="CM93" s="1" t="str">
        <f t="shared" si="37"/>
        <v/>
      </c>
      <c r="CN93" s="1" t="str">
        <f t="shared" si="37"/>
        <v/>
      </c>
      <c r="CO93" s="1" t="str">
        <f t="shared" si="37"/>
        <v/>
      </c>
      <c r="CP93" s="1" t="str">
        <f t="shared" si="37"/>
        <v/>
      </c>
      <c r="CQ93" s="1" t="str">
        <f t="shared" si="37"/>
        <v/>
      </c>
      <c r="CR93" s="1" t="str">
        <f t="shared" si="37"/>
        <v/>
      </c>
      <c r="CS93" s="18">
        <f>SUM(AE93:BO93)</f>
        <v>20</v>
      </c>
    </row>
    <row r="94" spans="1:97" x14ac:dyDescent="0.15">
      <c r="A94" s="1"/>
      <c r="B94" s="1" t="s">
        <v>145</v>
      </c>
      <c r="C94" s="1" t="s">
        <v>142</v>
      </c>
      <c r="D94" s="1" t="s">
        <v>139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>
        <v>10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10</v>
      </c>
      <c r="BR94" s="17">
        <v>1</v>
      </c>
      <c r="BS94" s="17" t="s">
        <v>233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x14ac:dyDescent="0.15">
      <c r="A95" s="1">
        <v>2</v>
      </c>
      <c r="B95" s="1" t="s">
        <v>8</v>
      </c>
      <c r="C95" s="1" t="s">
        <v>2</v>
      </c>
      <c r="D95" s="1" t="s">
        <v>1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>
        <v>15</v>
      </c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>
        <v>15</v>
      </c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 t="shared" ref="BP95:BP101" si="38">SUM(E95:BO95)</f>
        <v>30</v>
      </c>
      <c r="BQ95" s="1">
        <v>13</v>
      </c>
      <c r="BR95" s="17">
        <v>1</v>
      </c>
      <c r="BS95" s="17" t="s">
        <v>127</v>
      </c>
      <c r="BT95" s="1" t="str">
        <f>IF(AQ95&gt;AQ$163, AQ95-AQ$163,"")</f>
        <v/>
      </c>
      <c r="BU95" s="1" t="str">
        <f>IF(AR95&gt;AR$163, AR95-AR$163,"")</f>
        <v/>
      </c>
      <c r="BV95" s="1" t="str">
        <f>IF(AS95&gt;AS$163, AS95-AS$163,"")</f>
        <v/>
      </c>
      <c r="BW95" s="1" t="str">
        <f>IF(AT95&gt;AT$163, AT95-AT$163,"")</f>
        <v/>
      </c>
      <c r="BX95" s="1" t="str">
        <f>IF(AU95&gt;AU$163, AU95-AU$163,"")</f>
        <v/>
      </c>
      <c r="BY95" s="1" t="str">
        <f>IF(AV95&gt;AV$163, AV95-AV$163,"")</f>
        <v/>
      </c>
      <c r="BZ95" s="1" t="str">
        <f>IF(AW95&gt;AW$163, AW95-AW$163,"")</f>
        <v/>
      </c>
      <c r="CA95" s="1" t="str">
        <f>IF(AX95&gt;AX$163, AX95-AX$163,"")</f>
        <v/>
      </c>
      <c r="CB95" s="1" t="str">
        <f>IF(AY95&gt;AY$163, AY95-AY$163,"")</f>
        <v/>
      </c>
      <c r="CC95" s="1" t="str">
        <f>IF(AZ95&gt;AZ$163, AZ95-AZ$163,"")</f>
        <v/>
      </c>
      <c r="CD95" s="1" t="str">
        <f>IF(BA95&gt;BA$163, BA95-BA$163,"")</f>
        <v/>
      </c>
      <c r="CE95" s="1" t="str">
        <f>IF(BB95&gt;BB$163, BB95-BB$163,"")</f>
        <v/>
      </c>
      <c r="CF95" s="1">
        <f t="shared" ref="CF95:CF101" si="39">COUNTIF(BT95:CE95, "&gt;0")</f>
        <v>0</v>
      </c>
      <c r="CG95" s="1" t="str">
        <f t="shared" ref="CG95:CR101" si="40">IF($CF95=1,BT95,"")</f>
        <v/>
      </c>
      <c r="CH95" s="1" t="str">
        <f t="shared" si="40"/>
        <v/>
      </c>
      <c r="CI95" s="1" t="str">
        <f t="shared" si="40"/>
        <v/>
      </c>
      <c r="CJ95" s="1" t="str">
        <f t="shared" si="40"/>
        <v/>
      </c>
      <c r="CK95" s="1" t="str">
        <f t="shared" si="40"/>
        <v/>
      </c>
      <c r="CL95" s="1" t="str">
        <f t="shared" si="40"/>
        <v/>
      </c>
      <c r="CM95" s="1" t="str">
        <f t="shared" si="40"/>
        <v/>
      </c>
      <c r="CN95" s="1" t="str">
        <f t="shared" si="40"/>
        <v/>
      </c>
      <c r="CO95" s="1" t="str">
        <f t="shared" si="40"/>
        <v/>
      </c>
      <c r="CP95" s="1" t="str">
        <f t="shared" si="40"/>
        <v/>
      </c>
      <c r="CQ95" s="1" t="str">
        <f t="shared" si="40"/>
        <v/>
      </c>
      <c r="CR95" s="1" t="str">
        <f t="shared" si="40"/>
        <v/>
      </c>
      <c r="CS95" s="18">
        <f t="shared" ref="CS95:CS101" si="41">SUM(AE95:BO95)</f>
        <v>30</v>
      </c>
    </row>
    <row r="96" spans="1:97" x14ac:dyDescent="0.15">
      <c r="A96" s="1">
        <v>62</v>
      </c>
      <c r="B96" s="1" t="s">
        <v>119</v>
      </c>
      <c r="C96" s="1" t="s">
        <v>62</v>
      </c>
      <c r="D96" s="1" t="s">
        <v>1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>
        <v>15</v>
      </c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si="38"/>
        <v>15</v>
      </c>
      <c r="BQ96" s="1">
        <v>15</v>
      </c>
      <c r="BR96" s="17">
        <v>1</v>
      </c>
      <c r="BS96" s="17" t="s">
        <v>128</v>
      </c>
      <c r="BT96" s="1" t="str">
        <f>IF(AQ96&gt;AQ$163, AQ96-AQ$163,"")</f>
        <v/>
      </c>
      <c r="BU96" s="1" t="str">
        <f>IF(AR96&gt;AR$163, AR96-AR$163,"")</f>
        <v/>
      </c>
      <c r="BV96" s="1" t="str">
        <f>IF(AS96&gt;AS$163, AS96-AS$163,"")</f>
        <v/>
      </c>
      <c r="BW96" s="1" t="str">
        <f>IF(AT96&gt;AT$163, AT96-AT$163,"")</f>
        <v/>
      </c>
      <c r="BX96" s="1" t="str">
        <f>IF(AU96&gt;AU$163, AU96-AU$163,"")</f>
        <v/>
      </c>
      <c r="BY96" s="1" t="str">
        <f>IF(AV96&gt;AV$163, AV96-AV$163,"")</f>
        <v/>
      </c>
      <c r="BZ96" s="1" t="str">
        <f>IF(AW96&gt;AW$163, AW96-AW$163,"")</f>
        <v/>
      </c>
      <c r="CA96" s="1" t="str">
        <f>IF(AX96&gt;AX$163, AX96-AX$163,"")</f>
        <v/>
      </c>
      <c r="CB96" s="1" t="str">
        <f>IF(AY96&gt;AY$163, AY96-AY$163,"")</f>
        <v/>
      </c>
      <c r="CC96" s="1" t="str">
        <f>IF(AZ96&gt;AZ$163, AZ96-AZ$163,"")</f>
        <v/>
      </c>
      <c r="CD96" s="1" t="str">
        <f>IF(BA96&gt;BA$163, BA96-BA$163,"")</f>
        <v/>
      </c>
      <c r="CE96" s="1" t="str">
        <f>IF(BB96&gt;BB$163, BB96-BB$163,"")</f>
        <v/>
      </c>
      <c r="CF96" s="1">
        <f t="shared" si="39"/>
        <v>0</v>
      </c>
      <c r="CG96" s="1" t="str">
        <f t="shared" si="40"/>
        <v/>
      </c>
      <c r="CH96" s="1" t="str">
        <f t="shared" si="40"/>
        <v/>
      </c>
      <c r="CI96" s="1" t="str">
        <f t="shared" si="40"/>
        <v/>
      </c>
      <c r="CJ96" s="1" t="str">
        <f t="shared" si="40"/>
        <v/>
      </c>
      <c r="CK96" s="1" t="str">
        <f t="shared" si="40"/>
        <v/>
      </c>
      <c r="CL96" s="1" t="str">
        <f t="shared" si="40"/>
        <v/>
      </c>
      <c r="CM96" s="1" t="str">
        <f t="shared" si="40"/>
        <v/>
      </c>
      <c r="CN96" s="1" t="str">
        <f t="shared" si="40"/>
        <v/>
      </c>
      <c r="CO96" s="1" t="str">
        <f t="shared" si="40"/>
        <v/>
      </c>
      <c r="CP96" s="1" t="str">
        <f t="shared" si="40"/>
        <v/>
      </c>
      <c r="CQ96" s="1" t="str">
        <f t="shared" si="40"/>
        <v/>
      </c>
      <c r="CR96" s="1" t="str">
        <f t="shared" si="40"/>
        <v/>
      </c>
      <c r="CS96" s="18">
        <f t="shared" si="41"/>
        <v>15</v>
      </c>
    </row>
    <row r="97" spans="1:97" x14ac:dyDescent="0.15">
      <c r="A97" s="1">
        <v>64</v>
      </c>
      <c r="B97" s="3" t="s">
        <v>68</v>
      </c>
      <c r="C97" s="1" t="s">
        <v>62</v>
      </c>
      <c r="D97" s="1" t="s">
        <v>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>
        <v>15</v>
      </c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 t="shared" si="38"/>
        <v>15</v>
      </c>
      <c r="BQ97" s="1">
        <v>15</v>
      </c>
      <c r="BR97" s="17">
        <v>1</v>
      </c>
      <c r="BS97" s="17" t="s">
        <v>129</v>
      </c>
      <c r="BT97" s="1" t="str">
        <f>IF(AQ97&gt;AQ$163, AQ97-AQ$163,"")</f>
        <v/>
      </c>
      <c r="BU97" s="1" t="str">
        <f>IF(AR97&gt;AR$163, AR97-AR$163,"")</f>
        <v/>
      </c>
      <c r="BV97" s="1" t="str">
        <f>IF(AS97&gt;AS$163, AS97-AS$163,"")</f>
        <v/>
      </c>
      <c r="BW97" s="1" t="str">
        <f>IF(AT97&gt;AT$163, AT97-AT$163,"")</f>
        <v/>
      </c>
      <c r="BX97" s="1" t="str">
        <f>IF(AU97&gt;AU$163, AU97-AU$163,"")</f>
        <v/>
      </c>
      <c r="BY97" s="1" t="str">
        <f>IF(AV97&gt;AV$163, AV97-AV$163,"")</f>
        <v/>
      </c>
      <c r="BZ97" s="1" t="str">
        <f>IF(AW97&gt;AW$163, AW97-AW$163,"")</f>
        <v/>
      </c>
      <c r="CA97" s="1" t="str">
        <f>IF(AX97&gt;AX$163, AX97-AX$163,"")</f>
        <v/>
      </c>
      <c r="CB97" s="1" t="str">
        <f>IF(AY97&gt;AY$163, AY97-AY$163,"")</f>
        <v/>
      </c>
      <c r="CC97" s="1" t="str">
        <f>IF(AZ97&gt;AZ$163, AZ97-AZ$163,"")</f>
        <v/>
      </c>
      <c r="CD97" s="1" t="str">
        <f>IF(BA97&gt;BA$163, BA97-BA$163,"")</f>
        <v/>
      </c>
      <c r="CE97" s="1" t="str">
        <f>IF(BB97&gt;BB$163, BB97-BB$163,"")</f>
        <v/>
      </c>
      <c r="CF97" s="1">
        <f t="shared" si="39"/>
        <v>0</v>
      </c>
      <c r="CG97" s="1" t="str">
        <f t="shared" si="40"/>
        <v/>
      </c>
      <c r="CH97" s="1" t="str">
        <f t="shared" si="40"/>
        <v/>
      </c>
      <c r="CI97" s="1" t="str">
        <f t="shared" si="40"/>
        <v/>
      </c>
      <c r="CJ97" s="1" t="str">
        <f t="shared" si="40"/>
        <v/>
      </c>
      <c r="CK97" s="1" t="str">
        <f t="shared" si="40"/>
        <v/>
      </c>
      <c r="CL97" s="1" t="str">
        <f t="shared" si="40"/>
        <v/>
      </c>
      <c r="CM97" s="1" t="str">
        <f t="shared" si="40"/>
        <v/>
      </c>
      <c r="CN97" s="1" t="str">
        <f t="shared" si="40"/>
        <v/>
      </c>
      <c r="CO97" s="1" t="str">
        <f t="shared" si="40"/>
        <v/>
      </c>
      <c r="CP97" s="1" t="str">
        <f t="shared" si="40"/>
        <v/>
      </c>
      <c r="CQ97" s="1" t="str">
        <f t="shared" si="40"/>
        <v/>
      </c>
      <c r="CR97" s="1" t="str">
        <f t="shared" si="40"/>
        <v/>
      </c>
      <c r="CS97" s="18">
        <f t="shared" si="41"/>
        <v>15</v>
      </c>
    </row>
    <row r="98" spans="1:97" x14ac:dyDescent="0.15">
      <c r="A98" s="19">
        <v>93</v>
      </c>
      <c r="B98" s="27" t="s">
        <v>92</v>
      </c>
      <c r="C98" s="27" t="s">
        <v>90</v>
      </c>
      <c r="D98" s="19" t="s">
        <v>1</v>
      </c>
      <c r="E98" s="20"/>
      <c r="F98" s="20">
        <v>20</v>
      </c>
      <c r="G98" s="20"/>
      <c r="H98" s="20"/>
      <c r="I98" s="20"/>
      <c r="J98" s="20"/>
      <c r="K98" s="20">
        <v>20</v>
      </c>
      <c r="L98" s="20"/>
      <c r="M98" s="20"/>
      <c r="N98" s="20">
        <v>20</v>
      </c>
      <c r="O98" s="20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21"/>
      <c r="AR98" s="21"/>
      <c r="AS98" s="21"/>
      <c r="AT98" s="21"/>
      <c r="AU98" s="21"/>
      <c r="AV98" s="21"/>
      <c r="AW98" s="22"/>
      <c r="AX98" s="22"/>
      <c r="AY98" s="22"/>
      <c r="AZ98" s="22"/>
      <c r="BA98" s="22"/>
      <c r="BB98" s="22"/>
      <c r="BC98" s="30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>
        <f t="shared" si="38"/>
        <v>60</v>
      </c>
      <c r="BQ98" s="19">
        <v>17</v>
      </c>
      <c r="BR98" s="23">
        <v>1</v>
      </c>
      <c r="BS98" s="23" t="s">
        <v>241</v>
      </c>
      <c r="BT98" s="19" t="str">
        <f>IF(AQ98&gt;AQ$163, AQ98-AQ$163,"")</f>
        <v/>
      </c>
      <c r="BU98" s="19" t="str">
        <f>IF(AR98&gt;AR$163, AR98-AR$163,"")</f>
        <v/>
      </c>
      <c r="BV98" s="19" t="str">
        <f>IF(AS98&gt;AS$163, AS98-AS$163,"")</f>
        <v/>
      </c>
      <c r="BW98" s="19" t="str">
        <f>IF(AT98&gt;AT$163, AT98-AT$163,"")</f>
        <v/>
      </c>
      <c r="BX98" s="19" t="str">
        <f>IF(AU98&gt;AU$163, AU98-AU$163,"")</f>
        <v/>
      </c>
      <c r="BY98" s="19" t="str">
        <f>IF(AV98&gt;AV$163, AV98-AV$163,"")</f>
        <v/>
      </c>
      <c r="BZ98" s="19" t="str">
        <f>IF(AW98&gt;AW$163, AW98-AW$163,"")</f>
        <v/>
      </c>
      <c r="CA98" s="19" t="str">
        <f>IF(AX98&gt;AX$163, AX98-AX$163,"")</f>
        <v/>
      </c>
      <c r="CB98" s="19" t="str">
        <f>IF(AY98&gt;AY$163, AY98-AY$163,"")</f>
        <v/>
      </c>
      <c r="CC98" s="19" t="str">
        <f>IF(AZ98&gt;AZ$163, AZ98-AZ$163,"")</f>
        <v/>
      </c>
      <c r="CD98" s="19" t="str">
        <f>IF(BA98&gt;BA$163, BA98-BA$163,"")</f>
        <v/>
      </c>
      <c r="CE98" s="19" t="str">
        <f>IF(BB98&gt;BB$163, BB98-BB$163,"")</f>
        <v/>
      </c>
      <c r="CF98" s="19">
        <f t="shared" si="39"/>
        <v>0</v>
      </c>
      <c r="CG98" s="19" t="str">
        <f t="shared" si="40"/>
        <v/>
      </c>
      <c r="CH98" s="19" t="str">
        <f t="shared" si="40"/>
        <v/>
      </c>
      <c r="CI98" s="19" t="str">
        <f t="shared" si="40"/>
        <v/>
      </c>
      <c r="CJ98" s="19" t="str">
        <f t="shared" si="40"/>
        <v/>
      </c>
      <c r="CK98" s="19" t="str">
        <f t="shared" si="40"/>
        <v/>
      </c>
      <c r="CL98" s="19" t="str">
        <f t="shared" si="40"/>
        <v/>
      </c>
      <c r="CM98" s="19" t="str">
        <f t="shared" si="40"/>
        <v/>
      </c>
      <c r="CN98" s="19" t="str">
        <f t="shared" si="40"/>
        <v/>
      </c>
      <c r="CO98" s="19" t="str">
        <f t="shared" si="40"/>
        <v/>
      </c>
      <c r="CP98" s="19" t="str">
        <f t="shared" si="40"/>
        <v/>
      </c>
      <c r="CQ98" s="19" t="str">
        <f t="shared" si="40"/>
        <v/>
      </c>
      <c r="CR98" s="19" t="str">
        <f t="shared" si="40"/>
        <v/>
      </c>
      <c r="CS98" s="24">
        <f t="shared" si="41"/>
        <v>0</v>
      </c>
    </row>
    <row r="99" spans="1:97" x14ac:dyDescent="0.15">
      <c r="A99" s="1">
        <v>65</v>
      </c>
      <c r="B99" s="3" t="s">
        <v>68</v>
      </c>
      <c r="C99" s="1" t="s">
        <v>62</v>
      </c>
      <c r="D99" s="1" t="s">
        <v>13</v>
      </c>
      <c r="E99" s="6"/>
      <c r="F99" s="6"/>
      <c r="G99" s="6">
        <v>10</v>
      </c>
      <c r="H99" s="6"/>
      <c r="I99" s="6"/>
      <c r="J99" s="6"/>
      <c r="K99" s="6"/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>
        <v>25</v>
      </c>
      <c r="AO99" s="1"/>
      <c r="AP99" s="1"/>
      <c r="AQ99" s="4"/>
      <c r="AR99" s="4"/>
      <c r="AS99" s="4"/>
      <c r="AT99" s="4"/>
      <c r="AU99" s="4"/>
      <c r="AV99" s="4">
        <v>10</v>
      </c>
      <c r="AW99" s="2"/>
      <c r="AX99" s="2"/>
      <c r="AY99" s="2"/>
      <c r="AZ99" s="2">
        <v>10</v>
      </c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38"/>
        <v>55</v>
      </c>
      <c r="BQ99" s="1">
        <v>25</v>
      </c>
      <c r="BR99" s="17">
        <v>1</v>
      </c>
      <c r="BS99" s="17" t="s">
        <v>175</v>
      </c>
      <c r="BT99" s="1" t="str">
        <f>IF(AQ99&gt;AQ$163, AQ99-AQ$163,"")</f>
        <v/>
      </c>
      <c r="BU99" s="1" t="str">
        <f>IF(AR99&gt;AR$163, AR99-AR$163,"")</f>
        <v/>
      </c>
      <c r="BV99" s="1" t="str">
        <f>IF(AS99&gt;AS$163, AS99-AS$163,"")</f>
        <v/>
      </c>
      <c r="BW99" s="1" t="str">
        <f>IF(AT99&gt;AT$163, AT99-AT$163,"")</f>
        <v/>
      </c>
      <c r="BX99" s="1" t="str">
        <f>IF(AU99&gt;AU$163, AU99-AU$163,"")</f>
        <v/>
      </c>
      <c r="BY99" s="1" t="str">
        <f>IF(AV99&gt;AV$163, AV99-AV$163,"")</f>
        <v/>
      </c>
      <c r="BZ99" s="1" t="str">
        <f>IF(AW99&gt;AW$163, AW99-AW$163,"")</f>
        <v/>
      </c>
      <c r="CA99" s="1" t="str">
        <f>IF(AX99&gt;AX$163, AX99-AX$163,"")</f>
        <v/>
      </c>
      <c r="CB99" s="1" t="str">
        <f>IF(AY99&gt;AY$163, AY99-AY$163,"")</f>
        <v/>
      </c>
      <c r="CC99" s="1" t="str">
        <f>IF(AZ99&gt;AZ$163, AZ99-AZ$163,"")</f>
        <v/>
      </c>
      <c r="CD99" s="1" t="str">
        <f>IF(BA99&gt;BA$163, BA99-BA$163,"")</f>
        <v/>
      </c>
      <c r="CE99" s="1" t="str">
        <f>IF(BB99&gt;BB$163, BB99-BB$163,"")</f>
        <v/>
      </c>
      <c r="CF99" s="1">
        <f t="shared" si="39"/>
        <v>0</v>
      </c>
      <c r="CG99" s="1" t="str">
        <f t="shared" si="40"/>
        <v/>
      </c>
      <c r="CH99" s="1" t="str">
        <f t="shared" si="40"/>
        <v/>
      </c>
      <c r="CI99" s="1" t="str">
        <f t="shared" si="40"/>
        <v/>
      </c>
      <c r="CJ99" s="1" t="str">
        <f t="shared" si="40"/>
        <v/>
      </c>
      <c r="CK99" s="1" t="str">
        <f t="shared" si="40"/>
        <v/>
      </c>
      <c r="CL99" s="1" t="str">
        <f t="shared" si="40"/>
        <v/>
      </c>
      <c r="CM99" s="1" t="str">
        <f t="shared" si="40"/>
        <v/>
      </c>
      <c r="CN99" s="1" t="str">
        <f t="shared" si="40"/>
        <v/>
      </c>
      <c r="CO99" s="1" t="str">
        <f t="shared" si="40"/>
        <v/>
      </c>
      <c r="CP99" s="1" t="str">
        <f t="shared" si="40"/>
        <v/>
      </c>
      <c r="CQ99" s="1" t="str">
        <f t="shared" si="40"/>
        <v/>
      </c>
      <c r="CR99" s="1" t="str">
        <f t="shared" si="40"/>
        <v/>
      </c>
      <c r="CS99" s="18">
        <f t="shared" si="41"/>
        <v>45</v>
      </c>
    </row>
    <row r="100" spans="1:97" x14ac:dyDescent="0.15">
      <c r="A100" s="1">
        <v>98</v>
      </c>
      <c r="B100" s="3" t="s">
        <v>79</v>
      </c>
      <c r="C100" s="3" t="s">
        <v>78</v>
      </c>
      <c r="D100" s="1" t="s">
        <v>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>
        <v>50</v>
      </c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38"/>
        <v>50</v>
      </c>
      <c r="BQ100" s="1">
        <v>48</v>
      </c>
      <c r="BR100" s="17">
        <v>1</v>
      </c>
      <c r="BS100" s="17" t="s">
        <v>130</v>
      </c>
      <c r="BT100" s="1" t="str">
        <f>IF(AQ100&gt;AQ$163, AQ100-AQ$163,"")</f>
        <v/>
      </c>
      <c r="BU100" s="1" t="str">
        <f>IF(AR100&gt;AR$163, AR100-AR$163,"")</f>
        <v/>
      </c>
      <c r="BV100" s="1" t="str">
        <f>IF(AS100&gt;AS$163, AS100-AS$163,"")</f>
        <v/>
      </c>
      <c r="BW100" s="1" t="str">
        <f>IF(AT100&gt;AT$163, AT100-AT$163,"")</f>
        <v/>
      </c>
      <c r="BX100" s="1" t="str">
        <f>IF(AU100&gt;AU$163, AU100-AU$163,"")</f>
        <v/>
      </c>
      <c r="BY100" s="1" t="str">
        <f>IF(AV100&gt;AV$163, AV100-AV$163,"")</f>
        <v/>
      </c>
      <c r="BZ100" s="1" t="str">
        <f>IF(AW100&gt;AW$163, AW100-AW$163,"")</f>
        <v/>
      </c>
      <c r="CA100" s="1" t="str">
        <f>IF(AX100&gt;AX$163, AX100-AX$163,"")</f>
        <v/>
      </c>
      <c r="CB100" s="1" t="str">
        <f>IF(AY100&gt;AY$163, AY100-AY$163,"")</f>
        <v/>
      </c>
      <c r="CC100" s="1" t="str">
        <f>IF(AZ100&gt;AZ$163, AZ100-AZ$163,"")</f>
        <v/>
      </c>
      <c r="CD100" s="1" t="str">
        <f>IF(BA100&gt;BA$163, BA100-BA$163,"")</f>
        <v/>
      </c>
      <c r="CE100" s="1" t="str">
        <f>IF(BB100&gt;BB$163, BB100-BB$163,"")</f>
        <v/>
      </c>
      <c r="CF100" s="1">
        <f t="shared" si="39"/>
        <v>0</v>
      </c>
      <c r="CG100" s="1" t="str">
        <f t="shared" si="40"/>
        <v/>
      </c>
      <c r="CH100" s="1" t="str">
        <f t="shared" si="40"/>
        <v/>
      </c>
      <c r="CI100" s="1" t="str">
        <f t="shared" si="40"/>
        <v/>
      </c>
      <c r="CJ100" s="1" t="str">
        <f t="shared" si="40"/>
        <v/>
      </c>
      <c r="CK100" s="1" t="str">
        <f t="shared" si="40"/>
        <v/>
      </c>
      <c r="CL100" s="1" t="str">
        <f t="shared" si="40"/>
        <v/>
      </c>
      <c r="CM100" s="1" t="str">
        <f t="shared" si="40"/>
        <v/>
      </c>
      <c r="CN100" s="1" t="str">
        <f t="shared" si="40"/>
        <v/>
      </c>
      <c r="CO100" s="1" t="str">
        <f t="shared" si="40"/>
        <v/>
      </c>
      <c r="CP100" s="1" t="str">
        <f t="shared" si="40"/>
        <v/>
      </c>
      <c r="CQ100" s="1" t="str">
        <f t="shared" si="40"/>
        <v/>
      </c>
      <c r="CR100" s="1" t="str">
        <f t="shared" si="40"/>
        <v/>
      </c>
      <c r="CS100" s="18">
        <f t="shared" si="41"/>
        <v>50</v>
      </c>
    </row>
    <row r="101" spans="1:97" x14ac:dyDescent="0.15">
      <c r="A101" s="1">
        <v>99</v>
      </c>
      <c r="B101" s="3" t="s">
        <v>79</v>
      </c>
      <c r="C101" s="3" t="s">
        <v>78</v>
      </c>
      <c r="D101" s="1" t="s">
        <v>13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>
        <v>200</v>
      </c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38"/>
        <v>200</v>
      </c>
      <c r="BQ101" s="1">
        <v>198</v>
      </c>
      <c r="BR101" s="17">
        <v>1</v>
      </c>
      <c r="BS101" s="17" t="s">
        <v>131</v>
      </c>
      <c r="BT101" s="1" t="str">
        <f>IF(AQ101&gt;AQ$163, AQ101-AQ$163,"")</f>
        <v/>
      </c>
      <c r="BU101" s="1" t="str">
        <f>IF(AR101&gt;AR$163, AR101-AR$163,"")</f>
        <v/>
      </c>
      <c r="BV101" s="1" t="str">
        <f>IF(AS101&gt;AS$163, AS101-AS$163,"")</f>
        <v/>
      </c>
      <c r="BW101" s="1" t="str">
        <f>IF(AT101&gt;AT$163, AT101-AT$163,"")</f>
        <v/>
      </c>
      <c r="BX101" s="1" t="str">
        <f>IF(AU101&gt;AU$163, AU101-AU$163,"")</f>
        <v/>
      </c>
      <c r="BY101" s="1" t="str">
        <f>IF(AV101&gt;AV$163, AV101-AV$163,"")</f>
        <v/>
      </c>
      <c r="BZ101" s="1" t="str">
        <f>IF(AW101&gt;AW$163, AW101-AW$163,"")</f>
        <v/>
      </c>
      <c r="CA101" s="1" t="str">
        <f>IF(AX101&gt;AX$163, AX101-AX$163,"")</f>
        <v/>
      </c>
      <c r="CB101" s="1" t="str">
        <f>IF(AY101&gt;AY$163, AY101-AY$163,"")</f>
        <v/>
      </c>
      <c r="CC101" s="1" t="str">
        <f>IF(AZ101&gt;AZ$163, AZ101-AZ$163,"")</f>
        <v/>
      </c>
      <c r="CD101" s="1" t="str">
        <f>IF(BA101&gt;BA$163, BA101-BA$163,"")</f>
        <v/>
      </c>
      <c r="CE101" s="1" t="str">
        <f>IF(BB101&gt;BB$163, BB101-BB$163,"")</f>
        <v/>
      </c>
      <c r="CF101" s="1">
        <f t="shared" si="39"/>
        <v>0</v>
      </c>
      <c r="CG101" s="1" t="str">
        <f t="shared" si="40"/>
        <v/>
      </c>
      <c r="CH101" s="1" t="str">
        <f t="shared" si="40"/>
        <v/>
      </c>
      <c r="CI101" s="1" t="str">
        <f t="shared" si="40"/>
        <v/>
      </c>
      <c r="CJ101" s="1" t="str">
        <f t="shared" si="40"/>
        <v/>
      </c>
      <c r="CK101" s="1" t="str">
        <f t="shared" si="40"/>
        <v/>
      </c>
      <c r="CL101" s="1" t="str">
        <f t="shared" si="40"/>
        <v/>
      </c>
      <c r="CM101" s="1" t="str">
        <f t="shared" si="40"/>
        <v/>
      </c>
      <c r="CN101" s="1" t="str">
        <f t="shared" si="40"/>
        <v/>
      </c>
      <c r="CO101" s="1" t="str">
        <f t="shared" si="40"/>
        <v/>
      </c>
      <c r="CP101" s="1" t="str">
        <f t="shared" si="40"/>
        <v/>
      </c>
      <c r="CQ101" s="1" t="str">
        <f t="shared" si="40"/>
        <v/>
      </c>
      <c r="CR101" s="1" t="str">
        <f t="shared" si="40"/>
        <v/>
      </c>
      <c r="CS101" s="18">
        <f t="shared" si="41"/>
        <v>200</v>
      </c>
    </row>
    <row r="102" spans="1:97" ht="27" x14ac:dyDescent="0.15">
      <c r="A102" s="1"/>
      <c r="B102" s="1" t="s">
        <v>203</v>
      </c>
      <c r="C102" s="1" t="s">
        <v>202</v>
      </c>
      <c r="D102" s="1" t="s">
        <v>180</v>
      </c>
      <c r="E102" s="6">
        <v>15</v>
      </c>
      <c r="F102" s="6"/>
      <c r="G102" s="6"/>
      <c r="H102" s="6"/>
      <c r="I102" s="6"/>
      <c r="J102" s="6"/>
      <c r="K102" s="6"/>
      <c r="L102" s="6"/>
      <c r="M102" s="6">
        <v>15</v>
      </c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>
        <v>15</v>
      </c>
      <c r="AX102" s="2"/>
      <c r="AY102" s="2"/>
      <c r="AZ102" s="2"/>
      <c r="BA102" s="2">
        <v>15</v>
      </c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v>4</v>
      </c>
      <c r="BR102" s="17">
        <v>2</v>
      </c>
      <c r="BS102" s="17" t="s">
        <v>232</v>
      </c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27" x14ac:dyDescent="0.15">
      <c r="A103" s="1"/>
      <c r="B103" s="1" t="s">
        <v>177</v>
      </c>
      <c r="C103" s="1" t="s">
        <v>178</v>
      </c>
      <c r="D103" s="1" t="s">
        <v>180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>
        <v>10</v>
      </c>
      <c r="W103" s="32"/>
      <c r="X103" s="32"/>
      <c r="Y103" s="32">
        <v>10</v>
      </c>
      <c r="Z103" s="32"/>
      <c r="AA103" s="32"/>
      <c r="AB103" s="32">
        <v>10</v>
      </c>
      <c r="AC103" s="32">
        <v>5</v>
      </c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5</v>
      </c>
      <c r="BR103" s="17">
        <v>2</v>
      </c>
      <c r="BS103" s="17" t="s">
        <v>262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190</v>
      </c>
      <c r="C104" s="1" t="s">
        <v>178</v>
      </c>
      <c r="D104" s="1" t="s">
        <v>179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>
        <v>10</v>
      </c>
      <c r="Q104" s="32"/>
      <c r="R104" s="32"/>
      <c r="S104" s="32">
        <v>10</v>
      </c>
      <c r="T104" s="32"/>
      <c r="U104" s="32"/>
      <c r="V104" s="32"/>
      <c r="W104" s="32">
        <v>5</v>
      </c>
      <c r="X104" s="32"/>
      <c r="Y104" s="32"/>
      <c r="Z104" s="32"/>
      <c r="AA104" s="32"/>
      <c r="AB104" s="32">
        <v>10</v>
      </c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5</v>
      </c>
      <c r="BR104" s="17">
        <v>2</v>
      </c>
      <c r="BS104" s="17" t="s">
        <v>263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195</v>
      </c>
      <c r="C105" s="1" t="s">
        <v>178</v>
      </c>
      <c r="D105" s="1" t="s">
        <v>179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>
        <v>10</v>
      </c>
      <c r="Q105" s="32"/>
      <c r="R105" s="32"/>
      <c r="S105" s="32">
        <v>10</v>
      </c>
      <c r="T105" s="32"/>
      <c r="U105" s="32"/>
      <c r="V105" s="32"/>
      <c r="W105" s="32">
        <v>5</v>
      </c>
      <c r="X105" s="32"/>
      <c r="Y105" s="32"/>
      <c r="Z105" s="32"/>
      <c r="AA105" s="32"/>
      <c r="AB105" s="32">
        <v>10</v>
      </c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5</v>
      </c>
      <c r="BR105" s="17">
        <v>2</v>
      </c>
      <c r="BS105" s="17" t="s">
        <v>263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/>
      <c r="B106" s="1" t="s">
        <v>199</v>
      </c>
      <c r="C106" s="1" t="s">
        <v>197</v>
      </c>
      <c r="D106" s="1" t="s">
        <v>179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>
        <v>10</v>
      </c>
      <c r="Q106" s="32"/>
      <c r="R106" s="32"/>
      <c r="S106" s="32">
        <v>10</v>
      </c>
      <c r="T106" s="32"/>
      <c r="U106" s="32"/>
      <c r="V106" s="32"/>
      <c r="W106" s="32">
        <v>5</v>
      </c>
      <c r="X106" s="32"/>
      <c r="Y106" s="32"/>
      <c r="Z106" s="32"/>
      <c r="AA106" s="32"/>
      <c r="AB106" s="32">
        <v>10</v>
      </c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5</v>
      </c>
      <c r="BR106" s="17">
        <v>2</v>
      </c>
      <c r="BS106" s="17" t="s">
        <v>263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205</v>
      </c>
      <c r="C107" s="1" t="s">
        <v>202</v>
      </c>
      <c r="D107" s="1" t="s">
        <v>179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>
        <v>10</v>
      </c>
      <c r="Q107" s="32"/>
      <c r="R107" s="32"/>
      <c r="S107" s="32">
        <v>10</v>
      </c>
      <c r="T107" s="32"/>
      <c r="U107" s="32"/>
      <c r="V107" s="32"/>
      <c r="W107" s="32">
        <v>5</v>
      </c>
      <c r="X107" s="32"/>
      <c r="Y107" s="32"/>
      <c r="Z107" s="32"/>
      <c r="AA107" s="32"/>
      <c r="AB107" s="32">
        <v>10</v>
      </c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5</v>
      </c>
      <c r="BR107" s="17">
        <v>2</v>
      </c>
      <c r="BS107" s="17" t="s">
        <v>263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/>
      <c r="B108" s="1" t="s">
        <v>206</v>
      </c>
      <c r="C108" s="1" t="s">
        <v>208</v>
      </c>
      <c r="D108" s="1" t="s">
        <v>180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>
        <v>10</v>
      </c>
      <c r="W108" s="32"/>
      <c r="X108" s="32"/>
      <c r="Y108" s="32">
        <v>10</v>
      </c>
      <c r="Z108" s="32"/>
      <c r="AA108" s="32"/>
      <c r="AB108" s="32">
        <v>10</v>
      </c>
      <c r="AC108" s="32">
        <v>5</v>
      </c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v>5</v>
      </c>
      <c r="BR108" s="17">
        <v>2</v>
      </c>
      <c r="BS108" s="17" t="s">
        <v>262</v>
      </c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27" x14ac:dyDescent="0.15">
      <c r="A109" s="1"/>
      <c r="B109" s="1" t="s">
        <v>214</v>
      </c>
      <c r="C109" s="1" t="s">
        <v>213</v>
      </c>
      <c r="D109" s="1" t="s">
        <v>179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>
        <v>10</v>
      </c>
      <c r="Q109" s="32"/>
      <c r="R109" s="32"/>
      <c r="S109" s="32">
        <v>10</v>
      </c>
      <c r="T109" s="32"/>
      <c r="U109" s="32"/>
      <c r="V109" s="32"/>
      <c r="W109" s="32">
        <v>5</v>
      </c>
      <c r="X109" s="32"/>
      <c r="Y109" s="32"/>
      <c r="Z109" s="32"/>
      <c r="AA109" s="32"/>
      <c r="AB109" s="32">
        <v>10</v>
      </c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5</v>
      </c>
      <c r="BR109" s="17">
        <v>2</v>
      </c>
      <c r="BS109" s="17" t="s">
        <v>263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218</v>
      </c>
      <c r="C110" s="1" t="s">
        <v>213</v>
      </c>
      <c r="D110" s="1" t="s">
        <v>180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/>
      <c r="R110" s="32"/>
      <c r="S110" s="32"/>
      <c r="T110" s="32"/>
      <c r="U110" s="32"/>
      <c r="V110" s="32">
        <v>10</v>
      </c>
      <c r="W110" s="32"/>
      <c r="X110" s="32"/>
      <c r="Y110" s="32">
        <v>10</v>
      </c>
      <c r="Z110" s="32"/>
      <c r="AA110" s="32"/>
      <c r="AB110" s="32">
        <v>10</v>
      </c>
      <c r="AC110" s="32">
        <v>5</v>
      </c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5</v>
      </c>
      <c r="BR110" s="17">
        <v>2</v>
      </c>
      <c r="BS110" s="17" t="s">
        <v>262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/>
      <c r="B111" s="1" t="s">
        <v>220</v>
      </c>
      <c r="C111" s="1" t="s">
        <v>213</v>
      </c>
      <c r="D111" s="1" t="s">
        <v>180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>
        <v>10</v>
      </c>
      <c r="W111" s="32"/>
      <c r="X111" s="32"/>
      <c r="Y111" s="32">
        <v>10</v>
      </c>
      <c r="Z111" s="32"/>
      <c r="AA111" s="32"/>
      <c r="AB111" s="32">
        <v>10</v>
      </c>
      <c r="AC111" s="32">
        <v>5</v>
      </c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v>5</v>
      </c>
      <c r="BR111" s="17">
        <v>2</v>
      </c>
      <c r="BS111" s="17" t="s">
        <v>262</v>
      </c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27" x14ac:dyDescent="0.15">
      <c r="A112" s="1"/>
      <c r="B112" s="1" t="s">
        <v>151</v>
      </c>
      <c r="C112" s="1" t="s">
        <v>142</v>
      </c>
      <c r="D112" s="1" t="s">
        <v>139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>
        <v>5</v>
      </c>
      <c r="AP112" s="1">
        <v>1</v>
      </c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6</v>
      </c>
      <c r="BR112" s="17">
        <v>2</v>
      </c>
      <c r="BS112" s="17" t="s">
        <v>222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>
        <v>77</v>
      </c>
      <c r="B113" s="3" t="s">
        <v>116</v>
      </c>
      <c r="C113" s="3" t="s">
        <v>71</v>
      </c>
      <c r="D113" s="1" t="s">
        <v>13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>
        <v>20</v>
      </c>
      <c r="AU113" s="4"/>
      <c r="AV113" s="4"/>
      <c r="AW113" s="2">
        <v>20</v>
      </c>
      <c r="AX113" s="2">
        <v>20</v>
      </c>
      <c r="AY113" s="2"/>
      <c r="AZ113" s="2"/>
      <c r="BA113" s="2"/>
      <c r="BB113" s="2">
        <v>10</v>
      </c>
      <c r="BC113" s="14"/>
      <c r="BD113" s="1"/>
      <c r="BE113" s="1"/>
      <c r="BF113" s="1"/>
      <c r="BG113" s="1"/>
      <c r="BH113" s="1">
        <v>20</v>
      </c>
      <c r="BI113" s="1"/>
      <c r="BJ113" s="1"/>
      <c r="BK113" s="1"/>
      <c r="BL113" s="1"/>
      <c r="BM113" s="1"/>
      <c r="BN113" s="1"/>
      <c r="BO113" s="1"/>
      <c r="BP113" s="1">
        <f>SUM(E113:BO113)</f>
        <v>90</v>
      </c>
      <c r="BQ113" s="1">
        <v>6</v>
      </c>
      <c r="BR113" s="17">
        <v>2</v>
      </c>
      <c r="BS113" s="17" t="s">
        <v>243</v>
      </c>
      <c r="BT113" s="1" t="str">
        <f>IF(AQ113&gt;AQ$163, AQ113-AQ$163,"")</f>
        <v/>
      </c>
      <c r="BU113" s="1" t="str">
        <f>IF(AR113&gt;AR$163, AR113-AR$163,"")</f>
        <v/>
      </c>
      <c r="BV113" s="1" t="str">
        <f>IF(AS113&gt;AS$163, AS113-AS$163,"")</f>
        <v/>
      </c>
      <c r="BW113" s="1">
        <f>IF(AT113&gt;AT$163, AT113-AT$163,"")</f>
        <v>5</v>
      </c>
      <c r="BX113" s="1" t="str">
        <f>IF(AU113&gt;AU$163, AU113-AU$163,"")</f>
        <v/>
      </c>
      <c r="BY113" s="1" t="str">
        <f>IF(AV113&gt;AV$163, AV113-AV$163,"")</f>
        <v/>
      </c>
      <c r="BZ113" s="1">
        <f>IF(AW113&gt;AW$163, AW113-AW$163,"")</f>
        <v>1</v>
      </c>
      <c r="CA113" s="1" t="str">
        <f>IF(AX113&gt;AX$163, AX113-AX$163,"")</f>
        <v/>
      </c>
      <c r="CB113" s="1" t="str">
        <f>IF(AY113&gt;AY$163, AY113-AY$163,"")</f>
        <v/>
      </c>
      <c r="CC113" s="1" t="str">
        <f>IF(AZ113&gt;AZ$163, AZ113-AZ$163,"")</f>
        <v/>
      </c>
      <c r="CD113" s="1" t="str">
        <f>IF(BA113&gt;BA$163, BA113-BA$163,"")</f>
        <v/>
      </c>
      <c r="CE113" s="1" t="str">
        <f>IF(BB113&gt;BB$163, BB113-BB$163,"")</f>
        <v/>
      </c>
      <c r="CF113" s="1">
        <f>COUNTIF(BT113:CE113, "&gt;0")</f>
        <v>2</v>
      </c>
      <c r="CG113" s="1" t="str">
        <f t="shared" ref="CG113:CR113" si="42">IF($CF113=1,BT113,"")</f>
        <v/>
      </c>
      <c r="CH113" s="1" t="str">
        <f t="shared" si="42"/>
        <v/>
      </c>
      <c r="CI113" s="1" t="str">
        <f t="shared" si="42"/>
        <v/>
      </c>
      <c r="CJ113" s="1" t="str">
        <f t="shared" si="42"/>
        <v/>
      </c>
      <c r="CK113" s="1" t="str">
        <f t="shared" si="42"/>
        <v/>
      </c>
      <c r="CL113" s="1" t="str">
        <f t="shared" si="42"/>
        <v/>
      </c>
      <c r="CM113" s="1" t="str">
        <f t="shared" si="42"/>
        <v/>
      </c>
      <c r="CN113" s="1" t="str">
        <f t="shared" si="42"/>
        <v/>
      </c>
      <c r="CO113" s="1" t="str">
        <f t="shared" si="42"/>
        <v/>
      </c>
      <c r="CP113" s="1" t="str">
        <f t="shared" si="42"/>
        <v/>
      </c>
      <c r="CQ113" s="1" t="str">
        <f t="shared" si="42"/>
        <v/>
      </c>
      <c r="CR113" s="1" t="str">
        <f t="shared" si="42"/>
        <v/>
      </c>
      <c r="CS113" s="18">
        <f>SUM(AE113:BO113)</f>
        <v>90</v>
      </c>
    </row>
    <row r="114" spans="1:97" ht="27" x14ac:dyDescent="0.15">
      <c r="A114" s="1"/>
      <c r="B114" s="1" t="s">
        <v>196</v>
      </c>
      <c r="C114" s="1" t="s">
        <v>197</v>
      </c>
      <c r="D114" s="1" t="s">
        <v>180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>
        <v>5</v>
      </c>
      <c r="R114" s="32"/>
      <c r="S114" s="32"/>
      <c r="T114" s="32"/>
      <c r="U114" s="32"/>
      <c r="V114" s="32">
        <v>10</v>
      </c>
      <c r="W114" s="32"/>
      <c r="X114" s="32"/>
      <c r="Y114" s="32">
        <v>10</v>
      </c>
      <c r="Z114" s="32"/>
      <c r="AA114" s="32"/>
      <c r="AB114" s="32">
        <v>10</v>
      </c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v>6</v>
      </c>
      <c r="BR114" s="17">
        <v>2</v>
      </c>
      <c r="BS114" s="17" t="s">
        <v>264</v>
      </c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27" x14ac:dyDescent="0.15">
      <c r="A115" s="1"/>
      <c r="B115" s="1" t="s">
        <v>204</v>
      </c>
      <c r="C115" s="1" t="s">
        <v>202</v>
      </c>
      <c r="D115" s="1" t="s">
        <v>180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/>
      <c r="Q115" s="32">
        <v>5</v>
      </c>
      <c r="R115" s="32"/>
      <c r="S115" s="32"/>
      <c r="T115" s="32"/>
      <c r="U115" s="32"/>
      <c r="V115" s="32">
        <v>10</v>
      </c>
      <c r="W115" s="32"/>
      <c r="X115" s="32"/>
      <c r="Y115" s="32">
        <v>10</v>
      </c>
      <c r="Z115" s="32"/>
      <c r="AA115" s="32"/>
      <c r="AB115" s="32">
        <v>10</v>
      </c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v>6</v>
      </c>
      <c r="BR115" s="17">
        <v>2</v>
      </c>
      <c r="BS115" s="17" t="s">
        <v>264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27" x14ac:dyDescent="0.15">
      <c r="A116" s="1"/>
      <c r="B116" s="1" t="s">
        <v>207</v>
      </c>
      <c r="C116" s="1" t="s">
        <v>208</v>
      </c>
      <c r="D116" s="1" t="s">
        <v>179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>
        <v>10</v>
      </c>
      <c r="Q116" s="32"/>
      <c r="R116" s="32"/>
      <c r="S116" s="32">
        <v>10</v>
      </c>
      <c r="T116" s="32"/>
      <c r="U116" s="32"/>
      <c r="V116" s="32"/>
      <c r="W116" s="32"/>
      <c r="X116" s="32"/>
      <c r="Y116" s="32"/>
      <c r="Z116" s="32">
        <v>5</v>
      </c>
      <c r="AA116" s="32"/>
      <c r="AB116" s="32">
        <v>10</v>
      </c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6</v>
      </c>
      <c r="BR116" s="17">
        <v>2</v>
      </c>
      <c r="BS116" s="17" t="s">
        <v>265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>
        <v>20</v>
      </c>
      <c r="B117" s="1" t="s">
        <v>38</v>
      </c>
      <c r="C117" s="1" t="s">
        <v>32</v>
      </c>
      <c r="D117" s="1" t="s">
        <v>25</v>
      </c>
      <c r="E117" s="6"/>
      <c r="F117" s="6">
        <v>5</v>
      </c>
      <c r="G117" s="6"/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>
        <v>5</v>
      </c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10</v>
      </c>
      <c r="BQ117" s="1">
        <v>7</v>
      </c>
      <c r="BR117" s="17">
        <v>2</v>
      </c>
      <c r="BS117" s="17" t="s">
        <v>238</v>
      </c>
      <c r="BT117" s="1" t="str">
        <f>IF(AQ117&gt;AQ$163, AQ117-AQ$163,"")</f>
        <v/>
      </c>
      <c r="BU117" s="1" t="str">
        <f>IF(AR117&gt;AR$163, AR117-AR$163,"")</f>
        <v/>
      </c>
      <c r="BV117" s="1" t="str">
        <f>IF(AS117&gt;AS$163, AS117-AS$163,"")</f>
        <v/>
      </c>
      <c r="BW117" s="1" t="str">
        <f>IF(AT117&gt;AT$163, AT117-AT$163,"")</f>
        <v/>
      </c>
      <c r="BX117" s="1" t="str">
        <f>IF(AU117&gt;AU$163, AU117-AU$163,"")</f>
        <v/>
      </c>
      <c r="BY117" s="1" t="str">
        <f>IF(AV117&gt;AV$163, AV117-AV$163,"")</f>
        <v/>
      </c>
      <c r="BZ117" s="1" t="str">
        <f>IF(AW117&gt;AW$163, AW117-AW$163,"")</f>
        <v/>
      </c>
      <c r="CA117" s="1" t="str">
        <f>IF(AX117&gt;AX$163, AX117-AX$163,"")</f>
        <v/>
      </c>
      <c r="CB117" s="1" t="str">
        <f>IF(AY117&gt;AY$163, AY117-AY$163,"")</f>
        <v/>
      </c>
      <c r="CC117" s="1" t="str">
        <f>IF(AZ117&gt;AZ$163, AZ117-AZ$163,"")</f>
        <v/>
      </c>
      <c r="CD117" s="1" t="str">
        <f>IF(BA117&gt;BA$163, BA117-BA$163,"")</f>
        <v/>
      </c>
      <c r="CE117" s="1" t="str">
        <f>IF(BB117&gt;BB$163, BB117-BB$163,"")</f>
        <v/>
      </c>
      <c r="CF117" s="1">
        <f>COUNTIF(BT117:CE117, "&gt;0")</f>
        <v>0</v>
      </c>
      <c r="CG117" s="1" t="str">
        <f t="shared" ref="CG117:CR117" si="43">IF($CF117=1,BT117,"")</f>
        <v/>
      </c>
      <c r="CH117" s="1" t="str">
        <f t="shared" si="43"/>
        <v/>
      </c>
      <c r="CI117" s="1" t="str">
        <f t="shared" si="43"/>
        <v/>
      </c>
      <c r="CJ117" s="1" t="str">
        <f t="shared" si="43"/>
        <v/>
      </c>
      <c r="CK117" s="1" t="str">
        <f t="shared" si="43"/>
        <v/>
      </c>
      <c r="CL117" s="1" t="str">
        <f t="shared" si="43"/>
        <v/>
      </c>
      <c r="CM117" s="1" t="str">
        <f t="shared" si="43"/>
        <v/>
      </c>
      <c r="CN117" s="1" t="str">
        <f t="shared" si="43"/>
        <v/>
      </c>
      <c r="CO117" s="1" t="str">
        <f t="shared" si="43"/>
        <v/>
      </c>
      <c r="CP117" s="1" t="str">
        <f t="shared" si="43"/>
        <v/>
      </c>
      <c r="CQ117" s="1" t="str">
        <f t="shared" si="43"/>
        <v/>
      </c>
      <c r="CR117" s="1" t="str">
        <f t="shared" si="43"/>
        <v/>
      </c>
      <c r="CS117" s="18">
        <f>SUM(AE117:BO117)</f>
        <v>5</v>
      </c>
    </row>
    <row r="118" spans="1:97" ht="27" x14ac:dyDescent="0.15">
      <c r="A118" s="1"/>
      <c r="B118" s="1" t="s">
        <v>146</v>
      </c>
      <c r="C118" s="1" t="s">
        <v>142</v>
      </c>
      <c r="D118" s="1" t="s">
        <v>147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>
        <v>3</v>
      </c>
      <c r="AP118" s="1">
        <v>5</v>
      </c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8</v>
      </c>
      <c r="BR118" s="17">
        <v>2</v>
      </c>
      <c r="BS118" s="17" t="s">
        <v>223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/>
      <c r="B119" s="1" t="s">
        <v>190</v>
      </c>
      <c r="C119" s="1" t="s">
        <v>178</v>
      </c>
      <c r="D119" s="1" t="s">
        <v>180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/>
      <c r="Q119" s="32">
        <v>5</v>
      </c>
      <c r="R119" s="32">
        <v>2</v>
      </c>
      <c r="S119" s="32"/>
      <c r="T119" s="32">
        <v>5</v>
      </c>
      <c r="U119" s="32"/>
      <c r="V119" s="32"/>
      <c r="W119" s="32"/>
      <c r="X119" s="32"/>
      <c r="Y119" s="32"/>
      <c r="Z119" s="32">
        <v>5</v>
      </c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8</v>
      </c>
      <c r="BR119" s="17">
        <v>2</v>
      </c>
      <c r="BS119" s="17" t="s">
        <v>258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/>
      <c r="B120" s="1" t="s">
        <v>195</v>
      </c>
      <c r="C120" s="1" t="s">
        <v>178</v>
      </c>
      <c r="D120" s="1" t="s">
        <v>180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/>
      <c r="Q120" s="32">
        <v>5</v>
      </c>
      <c r="R120" s="32">
        <v>2</v>
      </c>
      <c r="S120" s="32"/>
      <c r="T120" s="32">
        <v>5</v>
      </c>
      <c r="U120" s="32"/>
      <c r="V120" s="32"/>
      <c r="W120" s="32"/>
      <c r="X120" s="32"/>
      <c r="Y120" s="32"/>
      <c r="Z120" s="32">
        <v>5</v>
      </c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8</v>
      </c>
      <c r="BR120" s="17">
        <v>2</v>
      </c>
      <c r="BS120" s="17" t="s">
        <v>258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205</v>
      </c>
      <c r="C121" s="1" t="s">
        <v>202</v>
      </c>
      <c r="D121" s="1" t="s">
        <v>180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>
        <v>5</v>
      </c>
      <c r="R121" s="32">
        <v>2</v>
      </c>
      <c r="S121" s="32"/>
      <c r="T121" s="32">
        <v>5</v>
      </c>
      <c r="U121" s="32"/>
      <c r="V121" s="32"/>
      <c r="W121" s="32"/>
      <c r="X121" s="32"/>
      <c r="Y121" s="32"/>
      <c r="Z121" s="32">
        <v>5</v>
      </c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8</v>
      </c>
      <c r="BR121" s="17">
        <v>2</v>
      </c>
      <c r="BS121" s="17" t="s">
        <v>258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/>
      <c r="B122" s="1" t="s">
        <v>207</v>
      </c>
      <c r="C122" s="1" t="s">
        <v>208</v>
      </c>
      <c r="D122" s="1" t="s">
        <v>180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>
        <v>5</v>
      </c>
      <c r="R122" s="32"/>
      <c r="S122" s="32"/>
      <c r="T122" s="32">
        <v>5</v>
      </c>
      <c r="U122" s="32"/>
      <c r="V122" s="32"/>
      <c r="W122" s="32"/>
      <c r="X122" s="32">
        <v>2</v>
      </c>
      <c r="Y122" s="32"/>
      <c r="Z122" s="32">
        <v>5</v>
      </c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8</v>
      </c>
      <c r="BR122" s="17">
        <v>2</v>
      </c>
      <c r="BS122" s="17" t="s">
        <v>258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27" x14ac:dyDescent="0.15">
      <c r="A123" s="1">
        <v>27</v>
      </c>
      <c r="B123" s="1" t="s">
        <v>84</v>
      </c>
      <c r="C123" s="1" t="s">
        <v>32</v>
      </c>
      <c r="D123" s="1" t="s">
        <v>24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1"/>
      <c r="AF123" s="1"/>
      <c r="AG123" s="1"/>
      <c r="AH123" s="1">
        <v>5</v>
      </c>
      <c r="AI123" s="1">
        <v>5</v>
      </c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10</v>
      </c>
      <c r="BQ123" s="1">
        <v>10</v>
      </c>
      <c r="BR123" s="17">
        <v>2</v>
      </c>
      <c r="BS123" s="17" t="s">
        <v>224</v>
      </c>
      <c r="BT123" s="1" t="str">
        <f>IF(AQ123&gt;AQ$163, AQ123-AQ$163,"")</f>
        <v/>
      </c>
      <c r="BU123" s="1" t="str">
        <f>IF(AR123&gt;AR$163, AR123-AR$163,"")</f>
        <v/>
      </c>
      <c r="BV123" s="1" t="str">
        <f>IF(AS123&gt;AS$163, AS123-AS$163,"")</f>
        <v/>
      </c>
      <c r="BW123" s="1" t="str">
        <f>IF(AT123&gt;AT$163, AT123-AT$163,"")</f>
        <v/>
      </c>
      <c r="BX123" s="1" t="str">
        <f>IF(AU123&gt;AU$163, AU123-AU$163,"")</f>
        <v/>
      </c>
      <c r="BY123" s="1" t="str">
        <f>IF(AV123&gt;AV$163, AV123-AV$163,"")</f>
        <v/>
      </c>
      <c r="BZ123" s="1" t="str">
        <f>IF(AW123&gt;AW$163, AW123-AW$163,"")</f>
        <v/>
      </c>
      <c r="CA123" s="1" t="str">
        <f>IF(AX123&gt;AX$163, AX123-AX$163,"")</f>
        <v/>
      </c>
      <c r="CB123" s="1" t="str">
        <f>IF(AY123&gt;AY$163, AY123-AY$163,"")</f>
        <v/>
      </c>
      <c r="CC123" s="1" t="str">
        <f>IF(AZ123&gt;AZ$163, AZ123-AZ$163,"")</f>
        <v/>
      </c>
      <c r="CD123" s="1" t="str">
        <f>IF(BA123&gt;BA$163, BA123-BA$163,"")</f>
        <v/>
      </c>
      <c r="CE123" s="1" t="str">
        <f>IF(BB123&gt;BB$163, BB123-BB$163,"")</f>
        <v/>
      </c>
      <c r="CF123" s="1">
        <f>COUNTIF(BT123:CE123, "&gt;0")</f>
        <v>0</v>
      </c>
      <c r="CG123" s="1" t="str">
        <f t="shared" ref="CG123:CR124" si="44">IF($CF123=1,BT123,"")</f>
        <v/>
      </c>
      <c r="CH123" s="1" t="str">
        <f t="shared" si="44"/>
        <v/>
      </c>
      <c r="CI123" s="1" t="str">
        <f t="shared" si="44"/>
        <v/>
      </c>
      <c r="CJ123" s="1" t="str">
        <f t="shared" si="44"/>
        <v/>
      </c>
      <c r="CK123" s="1" t="str">
        <f t="shared" si="44"/>
        <v/>
      </c>
      <c r="CL123" s="1" t="str">
        <f t="shared" si="44"/>
        <v/>
      </c>
      <c r="CM123" s="1" t="str">
        <f t="shared" si="44"/>
        <v/>
      </c>
      <c r="CN123" s="1" t="str">
        <f t="shared" si="44"/>
        <v/>
      </c>
      <c r="CO123" s="1" t="str">
        <f t="shared" si="44"/>
        <v/>
      </c>
      <c r="CP123" s="1" t="str">
        <f t="shared" si="44"/>
        <v/>
      </c>
      <c r="CQ123" s="1" t="str">
        <f t="shared" si="44"/>
        <v/>
      </c>
      <c r="CR123" s="1" t="str">
        <f t="shared" si="44"/>
        <v/>
      </c>
      <c r="CS123" s="18">
        <f>SUM(AE123:BO123)</f>
        <v>10</v>
      </c>
    </row>
    <row r="124" spans="1:97" ht="27" x14ac:dyDescent="0.15">
      <c r="A124" s="1">
        <v>88</v>
      </c>
      <c r="B124" s="3" t="s">
        <v>89</v>
      </c>
      <c r="C124" s="3" t="s">
        <v>90</v>
      </c>
      <c r="D124" s="1" t="s">
        <v>24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1"/>
      <c r="AF124" s="1"/>
      <c r="AG124" s="1"/>
      <c r="AH124" s="1">
        <v>5</v>
      </c>
      <c r="AI124" s="1">
        <v>5</v>
      </c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10</v>
      </c>
      <c r="BQ124" s="1">
        <v>10</v>
      </c>
      <c r="BR124" s="17">
        <v>2</v>
      </c>
      <c r="BS124" s="17" t="s">
        <v>224</v>
      </c>
      <c r="BT124" s="1" t="str">
        <f>IF(AQ124&gt;AQ$163, AQ124-AQ$163,"")</f>
        <v/>
      </c>
      <c r="BU124" s="1" t="str">
        <f>IF(AR124&gt;AR$163, AR124-AR$163,"")</f>
        <v/>
      </c>
      <c r="BV124" s="1" t="str">
        <f>IF(AS124&gt;AS$163, AS124-AS$163,"")</f>
        <v/>
      </c>
      <c r="BW124" s="1" t="str">
        <f>IF(AT124&gt;AT$163, AT124-AT$163,"")</f>
        <v/>
      </c>
      <c r="BX124" s="1" t="str">
        <f>IF(AU124&gt;AU$163, AU124-AU$163,"")</f>
        <v/>
      </c>
      <c r="BY124" s="1" t="str">
        <f>IF(AV124&gt;AV$163, AV124-AV$163,"")</f>
        <v/>
      </c>
      <c r="BZ124" s="1" t="str">
        <f>IF(AW124&gt;AW$163, AW124-AW$163,"")</f>
        <v/>
      </c>
      <c r="CA124" s="1" t="str">
        <f>IF(AX124&gt;AX$163, AX124-AX$163,"")</f>
        <v/>
      </c>
      <c r="CB124" s="1" t="str">
        <f>IF(AY124&gt;AY$163, AY124-AY$163,"")</f>
        <v/>
      </c>
      <c r="CC124" s="1" t="str">
        <f>IF(AZ124&gt;AZ$163, AZ124-AZ$163,"")</f>
        <v/>
      </c>
      <c r="CD124" s="1" t="str">
        <f>IF(BA124&gt;BA$163, BA124-BA$163,"")</f>
        <v/>
      </c>
      <c r="CE124" s="1" t="str">
        <f>IF(BB124&gt;BB$163, BB124-BB$163,"")</f>
        <v/>
      </c>
      <c r="CF124" s="1">
        <f>COUNTIF(BT124:CE124, "&gt;0")</f>
        <v>0</v>
      </c>
      <c r="CG124" s="1" t="str">
        <f t="shared" si="44"/>
        <v/>
      </c>
      <c r="CH124" s="1" t="str">
        <f t="shared" si="44"/>
        <v/>
      </c>
      <c r="CI124" s="1" t="str">
        <f t="shared" si="44"/>
        <v/>
      </c>
      <c r="CJ124" s="1" t="str">
        <f t="shared" si="44"/>
        <v/>
      </c>
      <c r="CK124" s="1" t="str">
        <f t="shared" si="44"/>
        <v/>
      </c>
      <c r="CL124" s="1" t="str">
        <f t="shared" si="44"/>
        <v/>
      </c>
      <c r="CM124" s="1" t="str">
        <f t="shared" si="44"/>
        <v/>
      </c>
      <c r="CN124" s="1" t="str">
        <f t="shared" si="44"/>
        <v/>
      </c>
      <c r="CO124" s="1" t="str">
        <f t="shared" si="44"/>
        <v/>
      </c>
      <c r="CP124" s="1" t="str">
        <f t="shared" si="44"/>
        <v/>
      </c>
      <c r="CQ124" s="1" t="str">
        <f t="shared" si="44"/>
        <v/>
      </c>
      <c r="CR124" s="1" t="str">
        <f t="shared" si="44"/>
        <v/>
      </c>
      <c r="CS124" s="18">
        <f>SUM(AE124:BO124)</f>
        <v>10</v>
      </c>
    </row>
    <row r="125" spans="1:97" ht="27" x14ac:dyDescent="0.15">
      <c r="A125" s="1"/>
      <c r="B125" s="1" t="s">
        <v>214</v>
      </c>
      <c r="C125" s="1" t="s">
        <v>213</v>
      </c>
      <c r="D125" s="1" t="s">
        <v>181</v>
      </c>
      <c r="E125" s="6"/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32"/>
      <c r="Q125" s="32"/>
      <c r="R125" s="32"/>
      <c r="S125" s="32"/>
      <c r="T125" s="32"/>
      <c r="U125" s="32"/>
      <c r="V125" s="32"/>
      <c r="W125" s="32"/>
      <c r="X125" s="32">
        <v>10</v>
      </c>
      <c r="Y125" s="32"/>
      <c r="Z125" s="32"/>
      <c r="AA125" s="32"/>
      <c r="AB125" s="32"/>
      <c r="AC125" s="32"/>
      <c r="AD125" s="32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10</v>
      </c>
      <c r="BR125" s="17">
        <v>2</v>
      </c>
      <c r="BS125" s="17" t="s">
        <v>249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27" x14ac:dyDescent="0.15">
      <c r="A126" s="1"/>
      <c r="B126" s="1" t="s">
        <v>177</v>
      </c>
      <c r="C126" s="1" t="s">
        <v>178</v>
      </c>
      <c r="D126" s="1" t="s">
        <v>181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32"/>
      <c r="Q126" s="32"/>
      <c r="R126" s="32">
        <v>10</v>
      </c>
      <c r="S126" s="32"/>
      <c r="T126" s="32"/>
      <c r="U126" s="32"/>
      <c r="V126" s="32"/>
      <c r="W126" s="32"/>
      <c r="X126" s="32">
        <v>10</v>
      </c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12</v>
      </c>
      <c r="BR126" s="17">
        <v>2</v>
      </c>
      <c r="BS126" s="17" t="s">
        <v>246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27" x14ac:dyDescent="0.15">
      <c r="A127" s="1"/>
      <c r="B127" s="1" t="s">
        <v>150</v>
      </c>
      <c r="C127" s="1" t="s">
        <v>142</v>
      </c>
      <c r="D127" s="1" t="s">
        <v>140</v>
      </c>
      <c r="E127" s="6">
        <v>6</v>
      </c>
      <c r="F127" s="6">
        <v>6</v>
      </c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>
        <v>10</v>
      </c>
      <c r="AT127" s="4"/>
      <c r="AU127" s="4"/>
      <c r="AV127" s="4"/>
      <c r="AW127" s="2"/>
      <c r="AX127" s="2">
        <v>10</v>
      </c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13</v>
      </c>
      <c r="BR127" s="17">
        <v>2</v>
      </c>
      <c r="BS127" s="17" t="s">
        <v>234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27" x14ac:dyDescent="0.15">
      <c r="A128" s="1"/>
      <c r="B128" s="1" t="s">
        <v>164</v>
      </c>
      <c r="C128" s="1" t="s">
        <v>165</v>
      </c>
      <c r="D128" s="1" t="s">
        <v>139</v>
      </c>
      <c r="E128" s="6"/>
      <c r="F128" s="6"/>
      <c r="G128" s="6">
        <v>20</v>
      </c>
      <c r="H128" s="6">
        <v>20</v>
      </c>
      <c r="I128" s="6"/>
      <c r="J128" s="6"/>
      <c r="K128" s="6"/>
      <c r="L128" s="6"/>
      <c r="M128" s="6"/>
      <c r="N128" s="6"/>
      <c r="O128" s="6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>
        <v>20</v>
      </c>
      <c r="BB128" s="2">
        <v>20</v>
      </c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15</v>
      </c>
      <c r="BR128" s="17">
        <v>2</v>
      </c>
      <c r="BS128" s="17" t="s">
        <v>242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27" x14ac:dyDescent="0.15">
      <c r="A129" s="1"/>
      <c r="B129" s="1" t="s">
        <v>146</v>
      </c>
      <c r="C129" s="1" t="s">
        <v>142</v>
      </c>
      <c r="D129" s="1" t="s">
        <v>139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>
        <v>5</v>
      </c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>
        <v>5</v>
      </c>
      <c r="AP129" s="1">
        <v>10</v>
      </c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15</v>
      </c>
      <c r="BR129" s="17">
        <v>2</v>
      </c>
      <c r="BS129" s="17" t="s">
        <v>225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27" x14ac:dyDescent="0.15">
      <c r="A130" s="1"/>
      <c r="B130" s="1" t="s">
        <v>196</v>
      </c>
      <c r="C130" s="1" t="s">
        <v>197</v>
      </c>
      <c r="D130" s="1" t="s">
        <v>181</v>
      </c>
      <c r="E130" s="6">
        <v>10</v>
      </c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/>
      <c r="R130" s="32">
        <v>10</v>
      </c>
      <c r="S130" s="32"/>
      <c r="T130" s="32"/>
      <c r="U130" s="32">
        <v>10</v>
      </c>
      <c r="V130" s="32"/>
      <c r="W130" s="32"/>
      <c r="X130" s="32"/>
      <c r="Y130" s="32"/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>
        <v>10</v>
      </c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18</v>
      </c>
      <c r="BR130" s="17">
        <v>2</v>
      </c>
      <c r="BS130" s="17" t="s">
        <v>248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27" x14ac:dyDescent="0.15">
      <c r="A131" s="1"/>
      <c r="B131" s="1" t="s">
        <v>204</v>
      </c>
      <c r="C131" s="1" t="s">
        <v>202</v>
      </c>
      <c r="D131" s="1" t="s">
        <v>181</v>
      </c>
      <c r="E131" s="6">
        <v>10</v>
      </c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/>
      <c r="R131" s="32">
        <v>10</v>
      </c>
      <c r="S131" s="32"/>
      <c r="T131" s="32"/>
      <c r="U131" s="32">
        <v>10</v>
      </c>
      <c r="V131" s="32"/>
      <c r="W131" s="32"/>
      <c r="X131" s="32"/>
      <c r="Y131" s="32"/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>
        <v>10</v>
      </c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18</v>
      </c>
      <c r="BR131" s="17">
        <v>2</v>
      </c>
      <c r="BS131" s="17" t="s">
        <v>248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27" x14ac:dyDescent="0.15">
      <c r="A132" s="1"/>
      <c r="B132" s="1" t="s">
        <v>217</v>
      </c>
      <c r="C132" s="1" t="s">
        <v>213</v>
      </c>
      <c r="D132" s="1" t="s">
        <v>181</v>
      </c>
      <c r="E132" s="6">
        <v>10</v>
      </c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/>
      <c r="Q132" s="32"/>
      <c r="R132" s="32">
        <v>10</v>
      </c>
      <c r="S132" s="32"/>
      <c r="T132" s="32"/>
      <c r="U132" s="32">
        <v>10</v>
      </c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>
        <v>10</v>
      </c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18</v>
      </c>
      <c r="BR132" s="17">
        <v>2</v>
      </c>
      <c r="BS132" s="17" t="s">
        <v>248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27" x14ac:dyDescent="0.15">
      <c r="A133" s="1"/>
      <c r="B133" s="1" t="s">
        <v>206</v>
      </c>
      <c r="C133" s="1" t="s">
        <v>208</v>
      </c>
      <c r="D133" s="1" t="s">
        <v>181</v>
      </c>
      <c r="E133" s="6"/>
      <c r="F133" s="6"/>
      <c r="G133" s="6"/>
      <c r="H133" s="6"/>
      <c r="I133" s="6"/>
      <c r="J133" s="6">
        <v>10</v>
      </c>
      <c r="K133" s="6"/>
      <c r="L133" s="6"/>
      <c r="M133" s="6"/>
      <c r="N133" s="6"/>
      <c r="O133" s="6"/>
      <c r="P133" s="32"/>
      <c r="Q133" s="32"/>
      <c r="R133" s="32"/>
      <c r="S133" s="32"/>
      <c r="T133" s="32"/>
      <c r="U133" s="32">
        <v>10</v>
      </c>
      <c r="V133" s="32"/>
      <c r="W133" s="32"/>
      <c r="X133" s="32"/>
      <c r="Y133" s="32"/>
      <c r="Z133" s="32"/>
      <c r="AA133" s="32">
        <v>10</v>
      </c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>
        <v>10</v>
      </c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19</v>
      </c>
      <c r="BR133" s="17">
        <v>2</v>
      </c>
      <c r="BS133" s="17" t="s">
        <v>256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27" x14ac:dyDescent="0.15">
      <c r="A134" s="1"/>
      <c r="B134" s="1" t="s">
        <v>220</v>
      </c>
      <c r="C134" s="1" t="s">
        <v>213</v>
      </c>
      <c r="D134" s="1" t="s">
        <v>181</v>
      </c>
      <c r="E134" s="6"/>
      <c r="F134" s="6"/>
      <c r="G134" s="6"/>
      <c r="H134" s="6"/>
      <c r="I134" s="6"/>
      <c r="J134" s="6">
        <v>10</v>
      </c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>
        <v>10</v>
      </c>
      <c r="V134" s="32"/>
      <c r="W134" s="32"/>
      <c r="X134" s="32"/>
      <c r="Y134" s="32"/>
      <c r="Z134" s="32"/>
      <c r="AA134" s="32">
        <v>10</v>
      </c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>
        <v>10</v>
      </c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19</v>
      </c>
      <c r="BR134" s="17">
        <v>2</v>
      </c>
      <c r="BS134" s="17" t="s">
        <v>256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27" x14ac:dyDescent="0.15">
      <c r="A135" s="1">
        <v>14</v>
      </c>
      <c r="B135" s="1" t="s">
        <v>31</v>
      </c>
      <c r="C135" s="1" t="s">
        <v>32</v>
      </c>
      <c r="D135" s="1" t="s">
        <v>33</v>
      </c>
      <c r="E135" s="6"/>
      <c r="F135" s="6"/>
      <c r="G135" s="6">
        <v>15</v>
      </c>
      <c r="H135" s="6">
        <v>15</v>
      </c>
      <c r="I135" s="6"/>
      <c r="J135" s="6"/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>
        <v>15</v>
      </c>
      <c r="AT135" s="4"/>
      <c r="AU135" s="4"/>
      <c r="AV135" s="4"/>
      <c r="AW135" s="2"/>
      <c r="AX135" s="2"/>
      <c r="AY135" s="2"/>
      <c r="AZ135" s="2"/>
      <c r="BA135" s="2"/>
      <c r="BB135" s="2">
        <v>15</v>
      </c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60</v>
      </c>
      <c r="BQ135" s="1">
        <v>22</v>
      </c>
      <c r="BR135" s="17">
        <v>2</v>
      </c>
      <c r="BS135" s="17" t="s">
        <v>239</v>
      </c>
      <c r="BT135" s="1" t="str">
        <f>IF(AQ135&gt;AQ$163, AQ135-AQ$163,"")</f>
        <v/>
      </c>
      <c r="BU135" s="1" t="str">
        <f>IF(AR135&gt;AR$163, AR135-AR$163,"")</f>
        <v/>
      </c>
      <c r="BV135" s="1">
        <f>IF(AS135&gt;AS$163, AS135-AS$163,"")</f>
        <v>15</v>
      </c>
      <c r="BW135" s="1" t="str">
        <f>IF(AT135&gt;AT$163, AT135-AT$163,"")</f>
        <v/>
      </c>
      <c r="BX135" s="1" t="str">
        <f>IF(AU135&gt;AU$163, AU135-AU$163,"")</f>
        <v/>
      </c>
      <c r="BY135" s="1" t="str">
        <f>IF(AV135&gt;AV$163, AV135-AV$163,"")</f>
        <v/>
      </c>
      <c r="BZ135" s="1" t="str">
        <f>IF(AW135&gt;AW$163, AW135-AW$163,"")</f>
        <v/>
      </c>
      <c r="CA135" s="1" t="str">
        <f>IF(AX135&gt;AX$163, AX135-AX$163,"")</f>
        <v/>
      </c>
      <c r="CB135" s="1" t="str">
        <f>IF(AY135&gt;AY$163, AY135-AY$163,"")</f>
        <v/>
      </c>
      <c r="CC135" s="1" t="str">
        <f>IF(AZ135&gt;AZ$163, AZ135-AZ$163,"")</f>
        <v/>
      </c>
      <c r="CD135" s="1" t="str">
        <f>IF(BA135&gt;BA$163, BA135-BA$163,"")</f>
        <v/>
      </c>
      <c r="CE135" s="1" t="str">
        <f>IF(BB135&gt;BB$163, BB135-BB$163,"")</f>
        <v/>
      </c>
      <c r="CF135" s="1">
        <f>COUNTIF(BT135:CE135, "&gt;0")</f>
        <v>1</v>
      </c>
      <c r="CG135" s="1" t="str">
        <f t="shared" ref="CG135:CR135" si="45">IF($CF135=1,BT135,"")</f>
        <v/>
      </c>
      <c r="CH135" s="1" t="str">
        <f t="shared" si="45"/>
        <v/>
      </c>
      <c r="CI135" s="1">
        <f t="shared" si="45"/>
        <v>15</v>
      </c>
      <c r="CJ135" s="1" t="str">
        <f t="shared" si="45"/>
        <v/>
      </c>
      <c r="CK135" s="1" t="str">
        <f t="shared" si="45"/>
        <v/>
      </c>
      <c r="CL135" s="1" t="str">
        <f t="shared" si="45"/>
        <v/>
      </c>
      <c r="CM135" s="1" t="str">
        <f t="shared" si="45"/>
        <v/>
      </c>
      <c r="CN135" s="1" t="str">
        <f t="shared" si="45"/>
        <v/>
      </c>
      <c r="CO135" s="1" t="str">
        <f t="shared" si="45"/>
        <v/>
      </c>
      <c r="CP135" s="1" t="str">
        <f t="shared" si="45"/>
        <v/>
      </c>
      <c r="CQ135" s="1" t="str">
        <f t="shared" si="45"/>
        <v/>
      </c>
      <c r="CR135" s="1" t="str">
        <f t="shared" si="45"/>
        <v/>
      </c>
      <c r="CS135" s="18">
        <f>SUM(AE135:BO135)</f>
        <v>30</v>
      </c>
    </row>
    <row r="136" spans="1:97" ht="27" x14ac:dyDescent="0.15">
      <c r="A136" s="1"/>
      <c r="B136" s="1" t="s">
        <v>141</v>
      </c>
      <c r="C136" s="1" t="s">
        <v>142</v>
      </c>
      <c r="D136" s="1" t="s">
        <v>139</v>
      </c>
      <c r="E136" s="6"/>
      <c r="F136" s="6"/>
      <c r="G136" s="6">
        <v>15</v>
      </c>
      <c r="H136" s="6">
        <v>15</v>
      </c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>
        <v>15</v>
      </c>
      <c r="AT136" s="4"/>
      <c r="AU136" s="4"/>
      <c r="AV136" s="4"/>
      <c r="AW136" s="2"/>
      <c r="AX136" s="2"/>
      <c r="AY136" s="2"/>
      <c r="AZ136" s="2"/>
      <c r="BA136" s="2"/>
      <c r="BB136" s="2">
        <v>15</v>
      </c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v>22</v>
      </c>
      <c r="BR136" s="17">
        <v>2</v>
      </c>
      <c r="BS136" s="17" t="s">
        <v>239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40.5" x14ac:dyDescent="0.15">
      <c r="A137" s="1"/>
      <c r="B137" s="1" t="s">
        <v>217</v>
      </c>
      <c r="C137" s="1" t="s">
        <v>213</v>
      </c>
      <c r="D137" s="1" t="s">
        <v>180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>
        <v>2</v>
      </c>
      <c r="V137" s="32"/>
      <c r="W137" s="32"/>
      <c r="X137" s="32"/>
      <c r="Y137" s="32"/>
      <c r="Z137" s="32"/>
      <c r="AA137" s="32">
        <v>2</v>
      </c>
      <c r="AB137" s="32"/>
      <c r="AC137" s="32">
        <v>5</v>
      </c>
      <c r="AD137" s="32">
        <v>2</v>
      </c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6</v>
      </c>
      <c r="BR137" s="17">
        <v>3</v>
      </c>
      <c r="BS137" s="17" t="s">
        <v>257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/>
      <c r="B138" s="1" t="s">
        <v>207</v>
      </c>
      <c r="C138" s="1" t="s">
        <v>208</v>
      </c>
      <c r="D138" s="1" t="s">
        <v>181</v>
      </c>
      <c r="E138" s="6"/>
      <c r="F138" s="6"/>
      <c r="G138" s="6"/>
      <c r="H138" s="6"/>
      <c r="I138" s="6"/>
      <c r="J138" s="6"/>
      <c r="K138" s="6"/>
      <c r="L138" s="6">
        <v>7</v>
      </c>
      <c r="M138" s="6"/>
      <c r="N138" s="6"/>
      <c r="O138" s="6"/>
      <c r="P138" s="32"/>
      <c r="Q138" s="32">
        <v>7</v>
      </c>
      <c r="R138" s="32"/>
      <c r="S138" s="32"/>
      <c r="T138" s="32">
        <v>7</v>
      </c>
      <c r="U138" s="32"/>
      <c r="V138" s="32"/>
      <c r="W138" s="32"/>
      <c r="X138" s="32">
        <v>7</v>
      </c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9</v>
      </c>
      <c r="BR138" s="17">
        <v>3</v>
      </c>
      <c r="BS138" s="17" t="s">
        <v>254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/>
      <c r="B139" s="1" t="s">
        <v>199</v>
      </c>
      <c r="C139" s="1" t="s">
        <v>197</v>
      </c>
      <c r="D139" s="1" t="s">
        <v>180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32"/>
      <c r="Q139" s="32">
        <v>5</v>
      </c>
      <c r="R139" s="32"/>
      <c r="S139" s="32"/>
      <c r="T139" s="32">
        <v>5</v>
      </c>
      <c r="U139" s="32"/>
      <c r="V139" s="32"/>
      <c r="W139" s="32"/>
      <c r="X139" s="32"/>
      <c r="Y139" s="32"/>
      <c r="Z139" s="32">
        <v>5</v>
      </c>
      <c r="AA139" s="32">
        <v>2</v>
      </c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v>9</v>
      </c>
      <c r="BR139" s="17">
        <v>3</v>
      </c>
      <c r="BS139" s="17" t="s">
        <v>259</v>
      </c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40.5" x14ac:dyDescent="0.15">
      <c r="A140" s="1"/>
      <c r="B140" s="1" t="s">
        <v>214</v>
      </c>
      <c r="C140" s="1" t="s">
        <v>213</v>
      </c>
      <c r="D140" s="1" t="s">
        <v>180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32"/>
      <c r="Q140" s="32">
        <v>5</v>
      </c>
      <c r="R140" s="32"/>
      <c r="S140" s="32"/>
      <c r="T140" s="32">
        <v>5</v>
      </c>
      <c r="U140" s="32"/>
      <c r="V140" s="32"/>
      <c r="W140" s="32"/>
      <c r="X140" s="32"/>
      <c r="Y140" s="32"/>
      <c r="Z140" s="32">
        <v>5</v>
      </c>
      <c r="AA140" s="32">
        <v>2</v>
      </c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9</v>
      </c>
      <c r="BR140" s="17">
        <v>3</v>
      </c>
      <c r="BS140" s="17" t="s">
        <v>259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215</v>
      </c>
      <c r="C141" s="1" t="s">
        <v>213</v>
      </c>
      <c r="D141" s="1" t="s">
        <v>180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>
        <v>5</v>
      </c>
      <c r="R141" s="32"/>
      <c r="S141" s="32"/>
      <c r="T141" s="32"/>
      <c r="U141" s="32"/>
      <c r="V141" s="32">
        <v>10</v>
      </c>
      <c r="W141" s="32"/>
      <c r="X141" s="32"/>
      <c r="Y141" s="32"/>
      <c r="Z141" s="32">
        <v>5</v>
      </c>
      <c r="AA141" s="32"/>
      <c r="AB141" s="32">
        <v>10</v>
      </c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10</v>
      </c>
      <c r="BR141" s="17">
        <v>3</v>
      </c>
      <c r="BS141" s="17" t="s">
        <v>261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217</v>
      </c>
      <c r="C142" s="1" t="s">
        <v>213</v>
      </c>
      <c r="D142" s="1" t="s">
        <v>179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>
        <v>5</v>
      </c>
      <c r="R142" s="32"/>
      <c r="S142" s="32"/>
      <c r="T142" s="32">
        <v>5</v>
      </c>
      <c r="U142" s="32"/>
      <c r="V142" s="32"/>
      <c r="W142" s="32">
        <v>5</v>
      </c>
      <c r="X142" s="32"/>
      <c r="Y142" s="32"/>
      <c r="Z142" s="32">
        <v>5</v>
      </c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11</v>
      </c>
      <c r="BR142" s="17">
        <v>3</v>
      </c>
      <c r="BS142" s="17" t="s">
        <v>260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/>
      <c r="B143" s="1" t="s">
        <v>205</v>
      </c>
      <c r="C143" s="1" t="s">
        <v>202</v>
      </c>
      <c r="D143" s="1" t="s">
        <v>181</v>
      </c>
      <c r="E143" s="6"/>
      <c r="F143" s="6"/>
      <c r="G143" s="6"/>
      <c r="H143" s="6"/>
      <c r="I143" s="6">
        <v>7</v>
      </c>
      <c r="J143" s="6"/>
      <c r="K143" s="6"/>
      <c r="L143" s="6"/>
      <c r="M143" s="6"/>
      <c r="N143" s="6"/>
      <c r="O143" s="6"/>
      <c r="P143" s="32"/>
      <c r="Q143" s="32">
        <v>7</v>
      </c>
      <c r="R143" s="32">
        <v>7</v>
      </c>
      <c r="S143" s="32"/>
      <c r="T143" s="32">
        <v>7</v>
      </c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13</v>
      </c>
      <c r="BR143" s="17">
        <v>3</v>
      </c>
      <c r="BS143" s="17" t="s">
        <v>253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40.5" x14ac:dyDescent="0.15">
      <c r="A144" s="1"/>
      <c r="B144" s="1" t="s">
        <v>195</v>
      </c>
      <c r="C144" s="1" t="s">
        <v>178</v>
      </c>
      <c r="D144" s="1" t="s">
        <v>181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32"/>
      <c r="Q144" s="32"/>
      <c r="R144" s="32">
        <v>10</v>
      </c>
      <c r="S144" s="32"/>
      <c r="T144" s="32"/>
      <c r="U144" s="32"/>
      <c r="V144" s="32"/>
      <c r="W144" s="32"/>
      <c r="X144" s="32">
        <v>10</v>
      </c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>
        <v>10</v>
      </c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14</v>
      </c>
      <c r="BR144" s="17">
        <v>3</v>
      </c>
      <c r="BS144" s="17" t="s">
        <v>247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40.5" x14ac:dyDescent="0.15">
      <c r="A145" s="1"/>
      <c r="B145" s="1" t="s">
        <v>199</v>
      </c>
      <c r="C145" s="1" t="s">
        <v>197</v>
      </c>
      <c r="D145" s="1" t="s">
        <v>181</v>
      </c>
      <c r="E145" s="6"/>
      <c r="F145" s="6"/>
      <c r="G145" s="6"/>
      <c r="H145" s="6">
        <v>7</v>
      </c>
      <c r="I145" s="6"/>
      <c r="J145" s="6"/>
      <c r="K145" s="6"/>
      <c r="L145" s="6"/>
      <c r="M145" s="6"/>
      <c r="N145" s="6"/>
      <c r="O145" s="6"/>
      <c r="P145" s="32"/>
      <c r="Q145" s="32">
        <v>7</v>
      </c>
      <c r="R145" s="32"/>
      <c r="S145" s="32"/>
      <c r="T145" s="32">
        <v>7</v>
      </c>
      <c r="U145" s="32"/>
      <c r="V145" s="32"/>
      <c r="W145" s="32"/>
      <c r="X145" s="32"/>
      <c r="Y145" s="32"/>
      <c r="Z145" s="32"/>
      <c r="AA145" s="32">
        <v>7</v>
      </c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14</v>
      </c>
      <c r="BR145" s="17">
        <v>3</v>
      </c>
      <c r="BS145" s="17" t="s">
        <v>252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40.5" x14ac:dyDescent="0.15">
      <c r="A146" s="1">
        <v>28</v>
      </c>
      <c r="B146" s="1" t="s">
        <v>84</v>
      </c>
      <c r="C146" s="1" t="s">
        <v>32</v>
      </c>
      <c r="D146" s="1" t="s">
        <v>1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>
        <v>5</v>
      </c>
      <c r="AI146" s="1">
        <v>5</v>
      </c>
      <c r="AJ146" s="1">
        <v>5</v>
      </c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15</v>
      </c>
      <c r="BQ146" s="1">
        <v>15</v>
      </c>
      <c r="BR146" s="17">
        <v>3</v>
      </c>
      <c r="BS146" s="17" t="s">
        <v>132</v>
      </c>
      <c r="BT146" s="1" t="str">
        <f>IF(AQ146&gt;AQ$163, AQ146-AQ$163,"")</f>
        <v/>
      </c>
      <c r="BU146" s="1" t="str">
        <f>IF(AR146&gt;AR$163, AR146-AR$163,"")</f>
        <v/>
      </c>
      <c r="BV146" s="1" t="str">
        <f>IF(AS146&gt;AS$163, AS146-AS$163,"")</f>
        <v/>
      </c>
      <c r="BW146" s="1" t="str">
        <f>IF(AT146&gt;AT$163, AT146-AT$163,"")</f>
        <v/>
      </c>
      <c r="BX146" s="1" t="str">
        <f>IF(AU146&gt;AU$163, AU146-AU$163,"")</f>
        <v/>
      </c>
      <c r="BY146" s="1" t="str">
        <f>IF(AV146&gt;AV$163, AV146-AV$163,"")</f>
        <v/>
      </c>
      <c r="BZ146" s="1" t="str">
        <f>IF(AW146&gt;AW$163, AW146-AW$163,"")</f>
        <v/>
      </c>
      <c r="CA146" s="1" t="str">
        <f>IF(AX146&gt;AX$163, AX146-AX$163,"")</f>
        <v/>
      </c>
      <c r="CB146" s="1" t="str">
        <f>IF(AY146&gt;AY$163, AY146-AY$163,"")</f>
        <v/>
      </c>
      <c r="CC146" s="1" t="str">
        <f>IF(AZ146&gt;AZ$163, AZ146-AZ$163,"")</f>
        <v/>
      </c>
      <c r="CD146" s="1" t="str">
        <f>IF(BA146&gt;BA$163, BA146-BA$163,"")</f>
        <v/>
      </c>
      <c r="CE146" s="1" t="str">
        <f>IF(BB146&gt;BB$163, BB146-BB$163,"")</f>
        <v/>
      </c>
      <c r="CF146" s="1">
        <f>COUNTIF(BT146:CE146, "&gt;0")</f>
        <v>0</v>
      </c>
      <c r="CG146" s="1" t="str">
        <f t="shared" ref="CG146:CR148" si="46">IF($CF146=1,BT146,"")</f>
        <v/>
      </c>
      <c r="CH146" s="1" t="str">
        <f t="shared" si="46"/>
        <v/>
      </c>
      <c r="CI146" s="1" t="str">
        <f t="shared" si="46"/>
        <v/>
      </c>
      <c r="CJ146" s="1" t="str">
        <f t="shared" si="46"/>
        <v/>
      </c>
      <c r="CK146" s="1" t="str">
        <f t="shared" si="46"/>
        <v/>
      </c>
      <c r="CL146" s="1" t="str">
        <f t="shared" si="46"/>
        <v/>
      </c>
      <c r="CM146" s="1" t="str">
        <f t="shared" si="46"/>
        <v/>
      </c>
      <c r="CN146" s="1" t="str">
        <f t="shared" si="46"/>
        <v/>
      </c>
      <c r="CO146" s="1" t="str">
        <f t="shared" si="46"/>
        <v/>
      </c>
      <c r="CP146" s="1" t="str">
        <f t="shared" si="46"/>
        <v/>
      </c>
      <c r="CQ146" s="1" t="str">
        <f t="shared" si="46"/>
        <v/>
      </c>
      <c r="CR146" s="1" t="str">
        <f t="shared" si="46"/>
        <v/>
      </c>
      <c r="CS146" s="18">
        <f>SUM(AE146:BO146)</f>
        <v>15</v>
      </c>
    </row>
    <row r="147" spans="1:97" ht="40.5" x14ac:dyDescent="0.15">
      <c r="A147" s="1">
        <v>89</v>
      </c>
      <c r="B147" s="3" t="s">
        <v>89</v>
      </c>
      <c r="C147" s="3" t="s">
        <v>90</v>
      </c>
      <c r="D147" s="1" t="s">
        <v>1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>
        <v>5</v>
      </c>
      <c r="AG147" s="1"/>
      <c r="AH147" s="1">
        <v>5</v>
      </c>
      <c r="AI147" s="1">
        <v>5</v>
      </c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15</v>
      </c>
      <c r="BQ147" s="1">
        <v>15</v>
      </c>
      <c r="BR147" s="17">
        <v>3</v>
      </c>
      <c r="BS147" s="17" t="s">
        <v>133</v>
      </c>
      <c r="BT147" s="1" t="str">
        <f>IF(AQ147&gt;AQ$163, AQ147-AQ$163,"")</f>
        <v/>
      </c>
      <c r="BU147" s="1" t="str">
        <f>IF(AR147&gt;AR$163, AR147-AR$163,"")</f>
        <v/>
      </c>
      <c r="BV147" s="1" t="str">
        <f>IF(AS147&gt;AS$163, AS147-AS$163,"")</f>
        <v/>
      </c>
      <c r="BW147" s="1" t="str">
        <f>IF(AT147&gt;AT$163, AT147-AT$163,"")</f>
        <v/>
      </c>
      <c r="BX147" s="1" t="str">
        <f>IF(AU147&gt;AU$163, AU147-AU$163,"")</f>
        <v/>
      </c>
      <c r="BY147" s="1" t="str">
        <f>IF(AV147&gt;AV$163, AV147-AV$163,"")</f>
        <v/>
      </c>
      <c r="BZ147" s="1" t="str">
        <f>IF(AW147&gt;AW$163, AW147-AW$163,"")</f>
        <v/>
      </c>
      <c r="CA147" s="1" t="str">
        <f>IF(AX147&gt;AX$163, AX147-AX$163,"")</f>
        <v/>
      </c>
      <c r="CB147" s="1" t="str">
        <f>IF(AY147&gt;AY$163, AY147-AY$163,"")</f>
        <v/>
      </c>
      <c r="CC147" s="1" t="str">
        <f>IF(AZ147&gt;AZ$163, AZ147-AZ$163,"")</f>
        <v/>
      </c>
      <c r="CD147" s="1" t="str">
        <f>IF(BA147&gt;BA$163, BA147-BA$163,"")</f>
        <v/>
      </c>
      <c r="CE147" s="1" t="str">
        <f>IF(BB147&gt;BB$163, BB147-BB$163,"")</f>
        <v/>
      </c>
      <c r="CF147" s="1">
        <f>COUNTIF(BT147:CE147, "&gt;0")</f>
        <v>0</v>
      </c>
      <c r="CG147" s="1" t="str">
        <f t="shared" si="46"/>
        <v/>
      </c>
      <c r="CH147" s="1" t="str">
        <f t="shared" si="46"/>
        <v/>
      </c>
      <c r="CI147" s="1" t="str">
        <f t="shared" si="46"/>
        <v/>
      </c>
      <c r="CJ147" s="1" t="str">
        <f t="shared" si="46"/>
        <v/>
      </c>
      <c r="CK147" s="1" t="str">
        <f t="shared" si="46"/>
        <v/>
      </c>
      <c r="CL147" s="1" t="str">
        <f t="shared" si="46"/>
        <v/>
      </c>
      <c r="CM147" s="1" t="str">
        <f t="shared" si="46"/>
        <v/>
      </c>
      <c r="CN147" s="1" t="str">
        <f t="shared" si="46"/>
        <v/>
      </c>
      <c r="CO147" s="1" t="str">
        <f t="shared" si="46"/>
        <v/>
      </c>
      <c r="CP147" s="1" t="str">
        <f t="shared" si="46"/>
        <v/>
      </c>
      <c r="CQ147" s="1" t="str">
        <f t="shared" si="46"/>
        <v/>
      </c>
      <c r="CR147" s="1" t="str">
        <f t="shared" si="46"/>
        <v/>
      </c>
      <c r="CS147" s="18">
        <f>SUM(AE147:BO147)</f>
        <v>15</v>
      </c>
    </row>
    <row r="148" spans="1:97" ht="40.5" x14ac:dyDescent="0.15">
      <c r="A148" s="1">
        <v>54</v>
      </c>
      <c r="B148" s="1" t="s">
        <v>61</v>
      </c>
      <c r="C148" s="1" t="s">
        <v>62</v>
      </c>
      <c r="D148" s="1" t="s">
        <v>1</v>
      </c>
      <c r="E148" s="6"/>
      <c r="F148" s="6">
        <v>15</v>
      </c>
      <c r="G148" s="6"/>
      <c r="H148" s="6">
        <v>15</v>
      </c>
      <c r="I148" s="6"/>
      <c r="J148" s="6"/>
      <c r="K148" s="6"/>
      <c r="L148" s="6"/>
      <c r="M148" s="6"/>
      <c r="N148" s="6"/>
      <c r="O148" s="6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>
        <v>15</v>
      </c>
      <c r="AW148" s="2"/>
      <c r="AX148" s="2"/>
      <c r="AY148" s="2"/>
      <c r="AZ148" s="2"/>
      <c r="BA148" s="2">
        <v>15</v>
      </c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>
        <f>SUM(E148:BO148)</f>
        <v>60</v>
      </c>
      <c r="BQ148" s="1">
        <v>20</v>
      </c>
      <c r="BR148" s="17">
        <v>3</v>
      </c>
      <c r="BS148" s="17" t="s">
        <v>244</v>
      </c>
      <c r="BT148" s="1" t="str">
        <f>IF(AQ148&gt;AQ$163, AQ148-AQ$163,"")</f>
        <v/>
      </c>
      <c r="BU148" s="1" t="str">
        <f>IF(AR148&gt;AR$163, AR148-AR$163,"")</f>
        <v/>
      </c>
      <c r="BV148" s="1" t="str">
        <f>IF(AS148&gt;AS$163, AS148-AS$163,"")</f>
        <v/>
      </c>
      <c r="BW148" s="1" t="str">
        <f>IF(AT148&gt;AT$163, AT148-AT$163,"")</f>
        <v/>
      </c>
      <c r="BX148" s="1" t="str">
        <f>IF(AU148&gt;AU$163, AU148-AU$163,"")</f>
        <v/>
      </c>
      <c r="BY148" s="1">
        <f>IF(AV148&gt;AV$163, AV148-AV$163,"")</f>
        <v>1</v>
      </c>
      <c r="BZ148" s="1" t="str">
        <f>IF(AW148&gt;AW$163, AW148-AW$163,"")</f>
        <v/>
      </c>
      <c r="CA148" s="1" t="str">
        <f>IF(AX148&gt;AX$163, AX148-AX$163,"")</f>
        <v/>
      </c>
      <c r="CB148" s="1" t="str">
        <f>IF(AY148&gt;AY$163, AY148-AY$163,"")</f>
        <v/>
      </c>
      <c r="CC148" s="1" t="str">
        <f>IF(AZ148&gt;AZ$163, AZ148-AZ$163,"")</f>
        <v/>
      </c>
      <c r="CD148" s="1" t="str">
        <f>IF(BA148&gt;BA$163, BA148-BA$163,"")</f>
        <v/>
      </c>
      <c r="CE148" s="1" t="str">
        <f>IF(BB148&gt;BB$163, BB148-BB$163,"")</f>
        <v/>
      </c>
      <c r="CF148" s="1">
        <f>COUNTIF(BT148:CE148, "&gt;0")</f>
        <v>1</v>
      </c>
      <c r="CG148" s="1" t="str">
        <f t="shared" si="46"/>
        <v/>
      </c>
      <c r="CH148" s="1" t="str">
        <f t="shared" si="46"/>
        <v/>
      </c>
      <c r="CI148" s="1" t="str">
        <f t="shared" si="46"/>
        <v/>
      </c>
      <c r="CJ148" s="1" t="str">
        <f t="shared" si="46"/>
        <v/>
      </c>
      <c r="CK148" s="1" t="str">
        <f t="shared" si="46"/>
        <v/>
      </c>
      <c r="CL148" s="1">
        <f t="shared" si="46"/>
        <v>1</v>
      </c>
      <c r="CM148" s="1" t="str">
        <f t="shared" si="46"/>
        <v/>
      </c>
      <c r="CN148" s="1" t="str">
        <f t="shared" si="46"/>
        <v/>
      </c>
      <c r="CO148" s="1" t="str">
        <f t="shared" si="46"/>
        <v/>
      </c>
      <c r="CP148" s="1" t="str">
        <f t="shared" si="46"/>
        <v/>
      </c>
      <c r="CQ148" s="1" t="str">
        <f t="shared" si="46"/>
        <v/>
      </c>
      <c r="CR148" s="1" t="str">
        <f t="shared" si="46"/>
        <v/>
      </c>
      <c r="CS148" s="18">
        <f>SUM(AE148:BO148)</f>
        <v>30</v>
      </c>
    </row>
    <row r="149" spans="1:97" ht="40.5" x14ac:dyDescent="0.15">
      <c r="A149" s="1"/>
      <c r="B149" s="1" t="s">
        <v>215</v>
      </c>
      <c r="C149" s="1" t="s">
        <v>213</v>
      </c>
      <c r="D149" s="1" t="s">
        <v>181</v>
      </c>
      <c r="E149" s="6"/>
      <c r="F149" s="6"/>
      <c r="G149" s="6"/>
      <c r="H149" s="6">
        <v>10</v>
      </c>
      <c r="I149" s="6"/>
      <c r="J149" s="6"/>
      <c r="K149" s="6"/>
      <c r="L149" s="6"/>
      <c r="M149" s="6"/>
      <c r="N149" s="6"/>
      <c r="O149" s="6"/>
      <c r="P149" s="32"/>
      <c r="Q149" s="32"/>
      <c r="R149" s="32">
        <v>10</v>
      </c>
      <c r="S149" s="32"/>
      <c r="T149" s="32"/>
      <c r="U149" s="32">
        <v>10</v>
      </c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>
        <v>10</v>
      </c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20</v>
      </c>
      <c r="BR149" s="17">
        <v>3</v>
      </c>
      <c r="BS149" s="17" t="s">
        <v>250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40.5" x14ac:dyDescent="0.15">
      <c r="A150" s="1"/>
      <c r="B150" s="1" t="s">
        <v>190</v>
      </c>
      <c r="C150" s="1" t="s">
        <v>178</v>
      </c>
      <c r="D150" s="1" t="s">
        <v>181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>
        <v>10</v>
      </c>
      <c r="P150" s="32"/>
      <c r="Q150" s="32"/>
      <c r="R150" s="32">
        <v>10</v>
      </c>
      <c r="S150" s="32"/>
      <c r="T150" s="32"/>
      <c r="U150" s="32"/>
      <c r="V150" s="32"/>
      <c r="W150" s="32"/>
      <c r="X150" s="32">
        <v>10</v>
      </c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>
        <v>10</v>
      </c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22</v>
      </c>
      <c r="BR150" s="17">
        <v>3</v>
      </c>
      <c r="BS150" s="17" t="s">
        <v>255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40.5" x14ac:dyDescent="0.15">
      <c r="A151" s="1"/>
      <c r="B151" s="1" t="s">
        <v>146</v>
      </c>
      <c r="C151" s="1" t="s">
        <v>142</v>
      </c>
      <c r="D151" s="1" t="s">
        <v>140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>
        <v>10</v>
      </c>
      <c r="AP151" s="1">
        <v>10</v>
      </c>
      <c r="AQ151" s="4"/>
      <c r="AR151" s="4"/>
      <c r="AS151" s="4">
        <v>5</v>
      </c>
      <c r="AT151" s="4"/>
      <c r="AU151" s="4"/>
      <c r="AV151" s="4"/>
      <c r="AW151" s="2"/>
      <c r="AX151" s="2">
        <v>5</v>
      </c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v>25</v>
      </c>
      <c r="BR151" s="17">
        <v>3</v>
      </c>
      <c r="BS151" s="17" t="s">
        <v>245</v>
      </c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8"/>
    </row>
    <row r="152" spans="1:97" ht="54" x14ac:dyDescent="0.15">
      <c r="A152" s="1"/>
      <c r="B152" s="1" t="s">
        <v>141</v>
      </c>
      <c r="C152" s="1" t="s">
        <v>142</v>
      </c>
      <c r="D152" s="1" t="s">
        <v>143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>
        <v>40</v>
      </c>
      <c r="AW152" s="2">
        <v>40</v>
      </c>
      <c r="AX152" s="2"/>
      <c r="AY152" s="2"/>
      <c r="AZ152" s="2"/>
      <c r="BA152" s="2"/>
      <c r="BB152" s="2">
        <v>40</v>
      </c>
      <c r="BC152" s="14">
        <v>10</v>
      </c>
      <c r="BD152" s="1">
        <v>50</v>
      </c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v>59</v>
      </c>
      <c r="BR152" s="17">
        <v>4</v>
      </c>
      <c r="BS152" s="17" t="s">
        <v>266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>
        <v>85</v>
      </c>
      <c r="B153" s="3" t="s">
        <v>76</v>
      </c>
      <c r="C153" s="3" t="s">
        <v>71</v>
      </c>
      <c r="D153" s="1" t="s">
        <v>40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>
        <v>50</v>
      </c>
      <c r="BM153" s="1">
        <v>50</v>
      </c>
      <c r="BN153" s="1">
        <v>50</v>
      </c>
      <c r="BO153" s="1">
        <v>50</v>
      </c>
      <c r="BP153" s="1">
        <f>SUM(E153:BO153)</f>
        <v>200</v>
      </c>
      <c r="BQ153" s="1">
        <v>195</v>
      </c>
      <c r="BR153" s="17">
        <v>4</v>
      </c>
      <c r="BS153" s="17" t="s">
        <v>134</v>
      </c>
      <c r="BT153" s="1" t="str">
        <f>IF(AQ153&gt;AQ$163, AQ153-AQ$163,"")</f>
        <v/>
      </c>
      <c r="BU153" s="1" t="str">
        <f>IF(AR153&gt;AR$163, AR153-AR$163,"")</f>
        <v/>
      </c>
      <c r="BV153" s="1" t="str">
        <f>IF(AS153&gt;AS$163, AS153-AS$163,"")</f>
        <v/>
      </c>
      <c r="BW153" s="1" t="str">
        <f>IF(AT153&gt;AT$163, AT153-AT$163,"")</f>
        <v/>
      </c>
      <c r="BX153" s="1" t="str">
        <f>IF(AU153&gt;AU$163, AU153-AU$163,"")</f>
        <v/>
      </c>
      <c r="BY153" s="1" t="str">
        <f>IF(AV153&gt;AV$163, AV153-AV$163,"")</f>
        <v/>
      </c>
      <c r="BZ153" s="1" t="str">
        <f>IF(AW153&gt;AW$163, AW153-AW$163,"")</f>
        <v/>
      </c>
      <c r="CA153" s="1" t="str">
        <f>IF(AX153&gt;AX$163, AX153-AX$163,"")</f>
        <v/>
      </c>
      <c r="CB153" s="1" t="str">
        <f>IF(AY153&gt;AY$163, AY153-AY$163,"")</f>
        <v/>
      </c>
      <c r="CC153" s="1" t="str">
        <f>IF(AZ153&gt;AZ$163, AZ153-AZ$163,"")</f>
        <v/>
      </c>
      <c r="CD153" s="1" t="str">
        <f>IF(BA153&gt;BA$163, BA153-BA$163,"")</f>
        <v/>
      </c>
      <c r="CE153" s="1" t="str">
        <f>IF(BB153&gt;BB$163, BB153-BB$163,"")</f>
        <v/>
      </c>
      <c r="CF153" s="1">
        <f>COUNTIF(BT153:CE153, "&gt;0")</f>
        <v>0</v>
      </c>
      <c r="CG153" s="1" t="str">
        <f t="shared" ref="CG153:CR154" si="47">IF($CF153=1,BT153,"")</f>
        <v/>
      </c>
      <c r="CH153" s="1" t="str">
        <f t="shared" si="47"/>
        <v/>
      </c>
      <c r="CI153" s="1" t="str">
        <f t="shared" si="47"/>
        <v/>
      </c>
      <c r="CJ153" s="1" t="str">
        <f t="shared" si="47"/>
        <v/>
      </c>
      <c r="CK153" s="1" t="str">
        <f t="shared" si="47"/>
        <v/>
      </c>
      <c r="CL153" s="1" t="str">
        <f t="shared" si="47"/>
        <v/>
      </c>
      <c r="CM153" s="1" t="str">
        <f t="shared" si="47"/>
        <v/>
      </c>
      <c r="CN153" s="1" t="str">
        <f t="shared" si="47"/>
        <v/>
      </c>
      <c r="CO153" s="1" t="str">
        <f t="shared" si="47"/>
        <v/>
      </c>
      <c r="CP153" s="1" t="str">
        <f t="shared" si="47"/>
        <v/>
      </c>
      <c r="CQ153" s="1" t="str">
        <f t="shared" si="47"/>
        <v/>
      </c>
      <c r="CR153" s="1" t="str">
        <f t="shared" si="47"/>
        <v/>
      </c>
      <c r="CS153" s="18">
        <f>SUM(AE153:BO153)</f>
        <v>200</v>
      </c>
    </row>
    <row r="154" spans="1:97" ht="54" x14ac:dyDescent="0.15">
      <c r="A154" s="1">
        <v>23</v>
      </c>
      <c r="B154" s="1" t="s">
        <v>114</v>
      </c>
      <c r="C154" s="1" t="s">
        <v>32</v>
      </c>
      <c r="D154" s="1" t="s">
        <v>40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>
        <v>50</v>
      </c>
      <c r="BK154" s="1">
        <v>50</v>
      </c>
      <c r="BL154" s="1"/>
      <c r="BM154" s="1"/>
      <c r="BN154" s="1">
        <v>50</v>
      </c>
      <c r="BO154" s="1">
        <v>50</v>
      </c>
      <c r="BP154" s="1">
        <f>SUM(E154:BO154)</f>
        <v>200</v>
      </c>
      <c r="BQ154" s="1">
        <v>195</v>
      </c>
      <c r="BR154" s="17">
        <v>4</v>
      </c>
      <c r="BS154" s="17" t="s">
        <v>135</v>
      </c>
      <c r="BT154" s="1" t="str">
        <f>IF(AQ154&gt;AQ$163, AQ154-AQ$163,"")</f>
        <v/>
      </c>
      <c r="BU154" s="1" t="str">
        <f>IF(AR154&gt;AR$163, AR154-AR$163,"")</f>
        <v/>
      </c>
      <c r="BV154" s="1" t="str">
        <f>IF(AS154&gt;AS$163, AS154-AS$163,"")</f>
        <v/>
      </c>
      <c r="BW154" s="1" t="str">
        <f>IF(AT154&gt;AT$163, AT154-AT$163,"")</f>
        <v/>
      </c>
      <c r="BX154" s="1" t="str">
        <f>IF(AU154&gt;AU$163, AU154-AU$163,"")</f>
        <v/>
      </c>
      <c r="BY154" s="1" t="str">
        <f>IF(AV154&gt;AV$163, AV154-AV$163,"")</f>
        <v/>
      </c>
      <c r="BZ154" s="1" t="str">
        <f>IF(AW154&gt;AW$163, AW154-AW$163,"")</f>
        <v/>
      </c>
      <c r="CA154" s="1" t="str">
        <f>IF(AX154&gt;AX$163, AX154-AX$163,"")</f>
        <v/>
      </c>
      <c r="CB154" s="1" t="str">
        <f>IF(AY154&gt;AY$163, AY154-AY$163,"")</f>
        <v/>
      </c>
      <c r="CC154" s="1" t="str">
        <f>IF(AZ154&gt;AZ$163, AZ154-AZ$163,"")</f>
        <v/>
      </c>
      <c r="CD154" s="1" t="str">
        <f>IF(BA154&gt;BA$163, BA154-BA$163,"")</f>
        <v/>
      </c>
      <c r="CE154" s="1" t="str">
        <f>IF(BB154&gt;BB$163, BB154-BB$163,"")</f>
        <v/>
      </c>
      <c r="CF154" s="1">
        <f>COUNTIF(BT154:CE154, "&gt;0")</f>
        <v>0</v>
      </c>
      <c r="CG154" s="1" t="str">
        <f t="shared" si="47"/>
        <v/>
      </c>
      <c r="CH154" s="1" t="str">
        <f t="shared" si="47"/>
        <v/>
      </c>
      <c r="CI154" s="1" t="str">
        <f t="shared" si="47"/>
        <v/>
      </c>
      <c r="CJ154" s="1" t="str">
        <f t="shared" si="47"/>
        <v/>
      </c>
      <c r="CK154" s="1" t="str">
        <f t="shared" si="47"/>
        <v/>
      </c>
      <c r="CL154" s="1" t="str">
        <f t="shared" si="47"/>
        <v/>
      </c>
      <c r="CM154" s="1" t="str">
        <f t="shared" si="47"/>
        <v/>
      </c>
      <c r="CN154" s="1" t="str">
        <f t="shared" si="47"/>
        <v/>
      </c>
      <c r="CO154" s="1" t="str">
        <f t="shared" si="47"/>
        <v/>
      </c>
      <c r="CP154" s="1" t="str">
        <f t="shared" si="47"/>
        <v/>
      </c>
      <c r="CQ154" s="1" t="str">
        <f t="shared" si="47"/>
        <v/>
      </c>
      <c r="CR154" s="1" t="str">
        <f t="shared" si="47"/>
        <v/>
      </c>
      <c r="CS154" s="18">
        <f>SUM(AE154:BO154)</f>
        <v>200</v>
      </c>
    </row>
    <row r="155" spans="1:97" ht="54" x14ac:dyDescent="0.15">
      <c r="A155" s="1"/>
      <c r="B155" s="1" t="s">
        <v>155</v>
      </c>
      <c r="C155" s="1" t="s">
        <v>153</v>
      </c>
      <c r="D155" s="1" t="s">
        <v>156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/>
      <c r="BQ155" s="1">
        <v>195</v>
      </c>
      <c r="BR155" s="17">
        <v>4</v>
      </c>
      <c r="BS155" s="17" t="s">
        <v>135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/>
      <c r="B156" s="1" t="s">
        <v>170</v>
      </c>
      <c r="C156" s="1" t="s">
        <v>165</v>
      </c>
      <c r="D156" s="1" t="s">
        <v>156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>
        <v>50</v>
      </c>
      <c r="BM156" s="1">
        <v>50</v>
      </c>
      <c r="BN156" s="1">
        <v>50</v>
      </c>
      <c r="BO156" s="1">
        <v>50</v>
      </c>
      <c r="BP156" s="1"/>
      <c r="BQ156" s="1">
        <v>195</v>
      </c>
      <c r="BR156" s="17">
        <v>4</v>
      </c>
      <c r="BS156" s="17" t="s">
        <v>134</v>
      </c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8"/>
    </row>
    <row r="157" spans="1:97" ht="54" x14ac:dyDescent="0.15">
      <c r="A157" s="1"/>
      <c r="B157" s="1" t="s">
        <v>176</v>
      </c>
      <c r="C157" s="1" t="s">
        <v>165</v>
      </c>
      <c r="D157" s="1" t="s">
        <v>156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>
        <v>50</v>
      </c>
      <c r="BM157" s="1">
        <v>50</v>
      </c>
      <c r="BN157" s="1">
        <v>50</v>
      </c>
      <c r="BO157" s="1">
        <v>50</v>
      </c>
      <c r="BP157" s="1"/>
      <c r="BQ157" s="1">
        <v>195</v>
      </c>
      <c r="BR157" s="17">
        <v>4</v>
      </c>
      <c r="BS157" s="17" t="s">
        <v>134</v>
      </c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8"/>
    </row>
    <row r="158" spans="1:97" ht="54" x14ac:dyDescent="0.15">
      <c r="A158" s="1"/>
      <c r="B158" s="1" t="s">
        <v>210</v>
      </c>
      <c r="C158" s="1" t="s">
        <v>211</v>
      </c>
      <c r="D158" s="1" t="s">
        <v>40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>
        <v>50</v>
      </c>
      <c r="BK158" s="1">
        <v>50</v>
      </c>
      <c r="BL158" s="1"/>
      <c r="BM158" s="1"/>
      <c r="BN158" s="1">
        <v>50</v>
      </c>
      <c r="BO158" s="1">
        <v>50</v>
      </c>
      <c r="BP158" s="1"/>
      <c r="BQ158" s="1">
        <v>195</v>
      </c>
      <c r="BR158" s="17">
        <v>4</v>
      </c>
      <c r="BS158" s="17" t="s">
        <v>135</v>
      </c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8"/>
    </row>
    <row r="159" spans="1:97" x14ac:dyDescent="0.15">
      <c r="A159" s="1"/>
      <c r="B159" s="1" t="s">
        <v>268</v>
      </c>
      <c r="C159" s="1" t="s">
        <v>32</v>
      </c>
      <c r="D159" s="1" t="s">
        <v>269</v>
      </c>
      <c r="E159" s="6"/>
      <c r="F159" s="6"/>
      <c r="G159" s="6"/>
      <c r="H159" s="6"/>
      <c r="I159" s="6"/>
      <c r="J159" s="6"/>
      <c r="K159" s="6"/>
      <c r="L159" s="6">
        <v>10</v>
      </c>
      <c r="M159" s="6">
        <v>10</v>
      </c>
      <c r="N159" s="6"/>
      <c r="O159" s="6">
        <v>10</v>
      </c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7"/>
      <c r="BS159" s="17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8"/>
    </row>
    <row r="160" spans="1:97" x14ac:dyDescent="0.15">
      <c r="A160" s="1"/>
      <c r="B160" s="1" t="s">
        <v>268</v>
      </c>
      <c r="C160" s="1" t="s">
        <v>32</v>
      </c>
      <c r="D160" s="1" t="s">
        <v>270</v>
      </c>
      <c r="E160" s="6">
        <v>20</v>
      </c>
      <c r="F160" s="6"/>
      <c r="G160" s="6"/>
      <c r="H160" s="6"/>
      <c r="I160" s="6">
        <v>20</v>
      </c>
      <c r="J160" s="6">
        <v>20</v>
      </c>
      <c r="K160" s="6"/>
      <c r="L160" s="6"/>
      <c r="M160" s="6"/>
      <c r="N160" s="6"/>
      <c r="O160" s="6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7"/>
      <c r="BS160" s="17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8"/>
    </row>
    <row r="161" spans="1:97" ht="54" x14ac:dyDescent="0.15">
      <c r="A161" s="1">
        <v>102</v>
      </c>
      <c r="B161" s="3" t="s">
        <v>111</v>
      </c>
      <c r="C161" s="3" t="s">
        <v>78</v>
      </c>
      <c r="D161" s="1" t="s">
        <v>40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>
        <v>50</v>
      </c>
      <c r="BK161" s="1">
        <v>50</v>
      </c>
      <c r="BL161" s="1"/>
      <c r="BM161" s="1"/>
      <c r="BN161" s="1">
        <v>50</v>
      </c>
      <c r="BO161" s="1">
        <v>50</v>
      </c>
      <c r="BP161" s="1">
        <f>SUM(E161:BO161)</f>
        <v>200</v>
      </c>
      <c r="BQ161" s="1">
        <v>195</v>
      </c>
      <c r="BR161" s="17">
        <v>4</v>
      </c>
      <c r="BS161" s="17" t="s">
        <v>135</v>
      </c>
      <c r="BT161" s="1" t="str">
        <f>IF(AQ161&gt;AQ$163, AQ161-AQ$163,"")</f>
        <v/>
      </c>
      <c r="BU161" s="1" t="str">
        <f>IF(AR161&gt;AR$163, AR161-AR$163,"")</f>
        <v/>
      </c>
      <c r="BV161" s="1" t="str">
        <f>IF(AS161&gt;AS$163, AS161-AS$163,"")</f>
        <v/>
      </c>
      <c r="BW161" s="1" t="str">
        <f>IF(AT161&gt;AT$163, AT161-AT$163,"")</f>
        <v/>
      </c>
      <c r="BX161" s="1" t="str">
        <f>IF(AU161&gt;AU$163, AU161-AU$163,"")</f>
        <v/>
      </c>
      <c r="BY161" s="1" t="str">
        <f>IF(AV161&gt;AV$163, AV161-AV$163,"")</f>
        <v/>
      </c>
      <c r="BZ161" s="1" t="str">
        <f>IF(AW161&gt;AW$163, AW161-AW$163,"")</f>
        <v/>
      </c>
      <c r="CA161" s="1" t="str">
        <f>IF(AX161&gt;AX$163, AX161-AX$163,"")</f>
        <v/>
      </c>
      <c r="CB161" s="1" t="str">
        <f>IF(AY161&gt;AY$163, AY161-AY$163,"")</f>
        <v/>
      </c>
      <c r="CC161" s="1" t="str">
        <f>IF(AZ161&gt;AZ$163, AZ161-AZ$163,"")</f>
        <v/>
      </c>
      <c r="CD161" s="1" t="str">
        <f>IF(BA161&gt;BA$163, BA161-BA$163,"")</f>
        <v/>
      </c>
      <c r="CE161" s="1" t="str">
        <f>IF(BB161&gt;BB$163, BB161-BB$163,"")</f>
        <v/>
      </c>
      <c r="CF161" s="1">
        <f>COUNTIF(BT161:CE161, "&gt;0")</f>
        <v>0</v>
      </c>
      <c r="CG161" s="1" t="str">
        <f t="shared" ref="CG161:CR161" si="48">IF($CF161=1,BT161,"")</f>
        <v/>
      </c>
      <c r="CH161" s="1" t="str">
        <f t="shared" si="48"/>
        <v/>
      </c>
      <c r="CI161" s="1" t="str">
        <f t="shared" si="48"/>
        <v/>
      </c>
      <c r="CJ161" s="1" t="str">
        <f t="shared" si="48"/>
        <v/>
      </c>
      <c r="CK161" s="1" t="str">
        <f t="shared" si="48"/>
        <v/>
      </c>
      <c r="CL161" s="1" t="str">
        <f t="shared" si="48"/>
        <v/>
      </c>
      <c r="CM161" s="1" t="str">
        <f t="shared" si="48"/>
        <v/>
      </c>
      <c r="CN161" s="1" t="str">
        <f t="shared" si="48"/>
        <v/>
      </c>
      <c r="CO161" s="1" t="str">
        <f t="shared" si="48"/>
        <v/>
      </c>
      <c r="CP161" s="1" t="str">
        <f t="shared" si="48"/>
        <v/>
      </c>
      <c r="CQ161" s="1" t="str">
        <f t="shared" si="48"/>
        <v/>
      </c>
      <c r="CR161" s="1" t="str">
        <f t="shared" si="48"/>
        <v/>
      </c>
      <c r="CS161" s="18">
        <f>SUM(AE161:BO161)</f>
        <v>200</v>
      </c>
    </row>
    <row r="162" spans="1:97" x14ac:dyDescent="0.15">
      <c r="A162" s="1"/>
      <c r="B162" s="1" t="s">
        <v>81</v>
      </c>
      <c r="C162" s="1"/>
      <c r="D162" s="1"/>
      <c r="E162" s="6">
        <f>SUM(E2:E161)</f>
        <v>178</v>
      </c>
      <c r="F162" s="6">
        <f>SUM(F2:F161)</f>
        <v>89</v>
      </c>
      <c r="G162" s="6">
        <f>SUM(G2:G161)</f>
        <v>214</v>
      </c>
      <c r="H162" s="6">
        <f>SUM(H2:H161)</f>
        <v>195</v>
      </c>
      <c r="I162" s="6">
        <f>SUM(I2:I161)</f>
        <v>67</v>
      </c>
      <c r="J162" s="6">
        <f>SUM(J2:J161)</f>
        <v>86</v>
      </c>
      <c r="K162" s="6">
        <f>SUM(K2:K161)</f>
        <v>54</v>
      </c>
      <c r="L162" s="6">
        <f>SUM(L2:L161)</f>
        <v>98</v>
      </c>
      <c r="M162" s="6">
        <f>SUM(M2:M161)</f>
        <v>52</v>
      </c>
      <c r="N162" s="6">
        <f>SUM(N2:N161)</f>
        <v>47</v>
      </c>
      <c r="O162" s="6">
        <f>SUM(O2:O161)</f>
        <v>99</v>
      </c>
      <c r="P162" s="32">
        <f>SUM(P2:P161)</f>
        <v>130</v>
      </c>
      <c r="Q162" s="32">
        <f>SUM(Q2:Q161)</f>
        <v>71</v>
      </c>
      <c r="R162" s="32">
        <f>SUM(R2:R161)</f>
        <v>83</v>
      </c>
      <c r="S162" s="32">
        <f>SUM(S2:S161)</f>
        <v>130</v>
      </c>
      <c r="T162" s="32">
        <f>SUM(T2:T161)</f>
        <v>56</v>
      </c>
      <c r="U162" s="32">
        <f>SUM(U2:U161)</f>
        <v>62</v>
      </c>
      <c r="V162" s="32">
        <f>SUM(V2:V161)</f>
        <v>145</v>
      </c>
      <c r="W162" s="32">
        <f>SUM(W2:W161)</f>
        <v>30</v>
      </c>
      <c r="X162" s="32">
        <f>SUM(X2:X161)</f>
        <v>49</v>
      </c>
      <c r="Y162" s="32">
        <f>SUM(Y2:Y161)</f>
        <v>135</v>
      </c>
      <c r="Z162" s="32">
        <f>SUM(Z2:Z161)</f>
        <v>45</v>
      </c>
      <c r="AA162" s="32">
        <f>SUM(AA2:AA161)</f>
        <v>33</v>
      </c>
      <c r="AB162" s="32">
        <f>SUM(AB2:AB161)</f>
        <v>130</v>
      </c>
      <c r="AC162" s="32">
        <f>SUM(AC2:AC161)</f>
        <v>30</v>
      </c>
      <c r="AD162" s="32">
        <f>SUM(AD2:AD161)</f>
        <v>12</v>
      </c>
      <c r="AE162" s="1">
        <f>SUM(AE2:AE161)</f>
        <v>275</v>
      </c>
      <c r="AF162" s="1">
        <f>SUM(AF2:AF161)</f>
        <v>10</v>
      </c>
      <c r="AG162" s="1">
        <f>SUM(AG2:AG161)</f>
        <v>15</v>
      </c>
      <c r="AH162" s="1">
        <f>SUM(AH2:AH161)</f>
        <v>30</v>
      </c>
      <c r="AI162" s="1">
        <f>SUM(AI2:AI161)</f>
        <v>30</v>
      </c>
      <c r="AJ162" s="1">
        <f>SUM(AJ2:AJ161)</f>
        <v>5</v>
      </c>
      <c r="AK162" s="1">
        <f>SUM(AK2:AK161)</f>
        <v>0</v>
      </c>
      <c r="AL162" s="1">
        <f>SUM(AL2:AL161)</f>
        <v>0</v>
      </c>
      <c r="AM162" s="1">
        <f>SUM(AM2:AM161)</f>
        <v>20</v>
      </c>
      <c r="AN162" s="1">
        <f>SUM(AN2:AN161)</f>
        <v>50</v>
      </c>
      <c r="AO162" s="1">
        <f>SUM(AO2:AO161)</f>
        <v>25</v>
      </c>
      <c r="AP162" s="1">
        <f>SUM(AP2:AP161)</f>
        <v>26</v>
      </c>
      <c r="AQ162" s="4">
        <f>SUM(AQ2:AQ161)</f>
        <v>100</v>
      </c>
      <c r="AR162" s="4">
        <f>SUM(AR2:AR161)</f>
        <v>130</v>
      </c>
      <c r="AS162" s="4">
        <f>SUM(AS2:AS161)</f>
        <v>80</v>
      </c>
      <c r="AT162" s="4">
        <f>SUM(AT2:AT161)</f>
        <v>103</v>
      </c>
      <c r="AU162" s="4">
        <f>SUM(AU2:AU161)</f>
        <v>48</v>
      </c>
      <c r="AV162" s="4">
        <f>SUM(AV2:AV161)</f>
        <v>125</v>
      </c>
      <c r="AW162" s="2">
        <f>SUM(AW2:AW161)</f>
        <v>128</v>
      </c>
      <c r="AX162" s="2">
        <f>SUM(AX2:AX161)</f>
        <v>80</v>
      </c>
      <c r="AY162" s="2">
        <f>SUM(AY2:AY161)</f>
        <v>43</v>
      </c>
      <c r="AZ162" s="2">
        <f>SUM(AZ2:AZ161)</f>
        <v>91</v>
      </c>
      <c r="BA162" s="2">
        <f>SUM(BA2:BA161)</f>
        <v>211</v>
      </c>
      <c r="BB162" s="2">
        <f>SUM(BB2:BB161)</f>
        <v>385</v>
      </c>
      <c r="BC162" s="1">
        <f>SUM(BC2:BC161)</f>
        <v>10</v>
      </c>
      <c r="BD162" s="1">
        <f>SUM(BD2:BD161)</f>
        <v>150</v>
      </c>
      <c r="BE162" s="1">
        <f>SUM(BE2:BE161)</f>
        <v>100</v>
      </c>
      <c r="BF162" s="1">
        <f>SUM(BF2:BF161)</f>
        <v>120</v>
      </c>
      <c r="BG162" s="1">
        <f>SUM(BG2:BG161)</f>
        <v>120</v>
      </c>
      <c r="BH162" s="1">
        <f>SUM(BH2:BH161)</f>
        <v>120</v>
      </c>
      <c r="BI162" s="1">
        <f>SUM(BI2:BI161)</f>
        <v>90</v>
      </c>
      <c r="BJ162" s="1">
        <f>SUM(BJ2:BJ161)</f>
        <v>200</v>
      </c>
      <c r="BK162" s="1">
        <f>SUM(BK2:BK161)</f>
        <v>200</v>
      </c>
      <c r="BL162" s="1">
        <f>SUM(BL2:BL161)</f>
        <v>150</v>
      </c>
      <c r="BM162" s="1">
        <f>SUM(BM2:BM161)</f>
        <v>150</v>
      </c>
      <c r="BN162" s="1">
        <f>SUM(BN2:BN161)</f>
        <v>350</v>
      </c>
      <c r="BO162" s="1">
        <f>SUM(BO2:BO161)</f>
        <v>350</v>
      </c>
      <c r="BP162" s="1"/>
      <c r="BQ162" s="1"/>
      <c r="BR162" s="17"/>
      <c r="BS162" s="17"/>
      <c r="BT162" s="1">
        <f>MIN(BT2:BT161)</f>
        <v>0</v>
      </c>
      <c r="BU162" s="1">
        <f>MIN(BU2:BU161)</f>
        <v>0</v>
      </c>
      <c r="BV162" s="1">
        <f>MIN(BV2:BV161)</f>
        <v>5</v>
      </c>
      <c r="BW162" s="1">
        <f>MIN(BW2:BW161)</f>
        <v>5</v>
      </c>
      <c r="BX162" s="1">
        <f>MIN(BX2:BX161)</f>
        <v>0</v>
      </c>
      <c r="BY162" s="1">
        <f>MIN(BY2:BY161)</f>
        <v>1</v>
      </c>
      <c r="BZ162" s="1">
        <f>MIN(BZ2:BZ161)</f>
        <v>1</v>
      </c>
      <c r="CA162" s="1">
        <f>MIN(CA2:CA161)</f>
        <v>0</v>
      </c>
      <c r="CB162" s="1">
        <f>MIN(CB2:CB161)</f>
        <v>0</v>
      </c>
      <c r="CC162" s="1">
        <f>MIN(CC2:CC161)</f>
        <v>0</v>
      </c>
      <c r="CD162" s="1">
        <f>MIN(CD2:CD161)</f>
        <v>0</v>
      </c>
      <c r="CE162" s="1">
        <f>MIN(CE2:CE161)</f>
        <v>0</v>
      </c>
      <c r="CF162" s="1"/>
      <c r="CG162" s="1">
        <f>MIN(CG2:CG161)</f>
        <v>0</v>
      </c>
      <c r="CH162" s="1">
        <f>MIN(CH2:CH161)</f>
        <v>0</v>
      </c>
      <c r="CI162" s="1">
        <f>MIN(CI2:CI161)</f>
        <v>5</v>
      </c>
      <c r="CJ162" s="1">
        <f>MIN(CJ2:CJ161)</f>
        <v>0</v>
      </c>
      <c r="CK162" s="1">
        <f>MIN(CK2:CK161)</f>
        <v>0</v>
      </c>
      <c r="CL162" s="1">
        <f>MIN(CL2:CL161)</f>
        <v>1</v>
      </c>
      <c r="CM162" s="1">
        <f>MIN(CM2:CM161)</f>
        <v>0</v>
      </c>
      <c r="CN162" s="1">
        <f>MIN(CN2:CN161)</f>
        <v>0</v>
      </c>
      <c r="CO162" s="1">
        <f>MIN(CO2:CO161)</f>
        <v>0</v>
      </c>
      <c r="CP162" s="1">
        <f>MIN(CP2:CP161)</f>
        <v>0</v>
      </c>
      <c r="CQ162" s="1">
        <f>MIN(CQ2:CQ161)</f>
        <v>0</v>
      </c>
      <c r="CR162" s="1">
        <f>MIN(CR2:CR161)</f>
        <v>0</v>
      </c>
      <c r="CS162" s="18">
        <f>COUNTIF(CS2:CS161,"=0")</f>
        <v>8</v>
      </c>
    </row>
    <row r="163" spans="1:97" x14ac:dyDescent="0.15">
      <c r="A163" s="1"/>
      <c r="B163" s="3" t="s">
        <v>103</v>
      </c>
      <c r="C163" s="1"/>
      <c r="D163" s="1"/>
      <c r="E163" s="1">
        <v>14</v>
      </c>
      <c r="F163" s="1">
        <v>3</v>
      </c>
      <c r="G163" s="1">
        <v>21</v>
      </c>
      <c r="H163" s="1">
        <v>8</v>
      </c>
      <c r="I163" s="1">
        <v>26</v>
      </c>
      <c r="J163" s="1">
        <v>35</v>
      </c>
      <c r="K163" s="1">
        <v>22</v>
      </c>
      <c r="L163" s="1">
        <v>43</v>
      </c>
      <c r="M163" s="1">
        <v>12</v>
      </c>
      <c r="N163" s="1">
        <v>25</v>
      </c>
      <c r="O163" s="1">
        <v>25</v>
      </c>
      <c r="P163" s="14">
        <v>12</v>
      </c>
      <c r="Q163" s="14">
        <v>1</v>
      </c>
      <c r="R163" s="14">
        <v>2</v>
      </c>
      <c r="S163" s="14">
        <v>11</v>
      </c>
      <c r="T163" s="14">
        <v>5</v>
      </c>
      <c r="U163" s="14">
        <v>0</v>
      </c>
      <c r="V163" s="14">
        <v>12</v>
      </c>
      <c r="W163" s="14">
        <v>2</v>
      </c>
      <c r="X163" s="14">
        <v>6</v>
      </c>
      <c r="Y163" s="14">
        <v>10</v>
      </c>
      <c r="Z163" s="14">
        <v>1</v>
      </c>
      <c r="AA163" s="14">
        <v>1</v>
      </c>
      <c r="AB163" s="14">
        <v>8</v>
      </c>
      <c r="AC163" s="14">
        <v>2</v>
      </c>
      <c r="AD163" s="14">
        <v>4</v>
      </c>
      <c r="AE163" s="1">
        <v>2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33</v>
      </c>
      <c r="AL163" s="1">
        <v>43</v>
      </c>
      <c r="AM163" s="1">
        <v>0</v>
      </c>
      <c r="AN163" s="1">
        <v>0</v>
      </c>
      <c r="AO163" s="1">
        <v>0</v>
      </c>
      <c r="AP163" s="1">
        <v>0</v>
      </c>
      <c r="AQ163" s="14">
        <v>15</v>
      </c>
      <c r="AR163" s="14">
        <v>16</v>
      </c>
      <c r="AS163" s="14">
        <v>0</v>
      </c>
      <c r="AT163" s="14">
        <v>15</v>
      </c>
      <c r="AU163" s="14">
        <v>12</v>
      </c>
      <c r="AV163" s="14">
        <v>14</v>
      </c>
      <c r="AW163" s="14">
        <v>19</v>
      </c>
      <c r="AX163" s="14">
        <v>25</v>
      </c>
      <c r="AY163" s="14">
        <v>13</v>
      </c>
      <c r="AZ163" s="14">
        <v>22</v>
      </c>
      <c r="BA163" s="14">
        <v>17</v>
      </c>
      <c r="BB163" s="14">
        <v>138</v>
      </c>
      <c r="BC163" s="14"/>
      <c r="BD163" s="1">
        <v>48</v>
      </c>
      <c r="BE163" s="1">
        <v>48</v>
      </c>
      <c r="BF163" s="1">
        <v>81</v>
      </c>
      <c r="BG163" s="1">
        <v>90</v>
      </c>
      <c r="BH163" s="1">
        <v>48</v>
      </c>
      <c r="BI163" s="1">
        <v>44</v>
      </c>
      <c r="BJ163" s="1">
        <v>5</v>
      </c>
      <c r="BK163" s="1"/>
      <c r="BL163" s="1">
        <v>5</v>
      </c>
      <c r="BM163" s="1"/>
      <c r="BN163" s="1"/>
      <c r="BO163" s="1"/>
      <c r="BP163" s="1"/>
      <c r="BQ163" s="1"/>
      <c r="BR163" s="17"/>
      <c r="BS163" s="17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</row>
    <row r="164" spans="1:97" x14ac:dyDescent="0.15">
      <c r="A164" s="1"/>
      <c r="B164" s="3" t="s">
        <v>110</v>
      </c>
      <c r="C164" s="1"/>
      <c r="D164" s="1"/>
      <c r="E164" s="1">
        <f t="shared" ref="E164:AJ164" si="49">E163-E162</f>
        <v>-164</v>
      </c>
      <c r="F164" s="1">
        <f t="shared" si="49"/>
        <v>-86</v>
      </c>
      <c r="G164" s="1">
        <f t="shared" si="49"/>
        <v>-193</v>
      </c>
      <c r="H164" s="1">
        <f t="shared" si="49"/>
        <v>-187</v>
      </c>
      <c r="I164" s="1">
        <f t="shared" si="49"/>
        <v>-41</v>
      </c>
      <c r="J164" s="1">
        <f t="shared" si="49"/>
        <v>-51</v>
      </c>
      <c r="K164" s="1">
        <f t="shared" si="49"/>
        <v>-32</v>
      </c>
      <c r="L164" s="1">
        <f t="shared" si="49"/>
        <v>-55</v>
      </c>
      <c r="M164" s="1">
        <f t="shared" si="49"/>
        <v>-40</v>
      </c>
      <c r="N164" s="1">
        <f t="shared" si="49"/>
        <v>-22</v>
      </c>
      <c r="O164" s="1">
        <f t="shared" si="49"/>
        <v>-74</v>
      </c>
      <c r="P164" s="1">
        <f t="shared" si="49"/>
        <v>-118</v>
      </c>
      <c r="Q164" s="1">
        <f t="shared" si="49"/>
        <v>-70</v>
      </c>
      <c r="R164" s="1">
        <f t="shared" si="49"/>
        <v>-81</v>
      </c>
      <c r="S164" s="1">
        <f t="shared" si="49"/>
        <v>-119</v>
      </c>
      <c r="T164" s="1">
        <f t="shared" si="49"/>
        <v>-51</v>
      </c>
      <c r="U164" s="1">
        <f t="shared" si="49"/>
        <v>-62</v>
      </c>
      <c r="V164" s="1">
        <f t="shared" si="49"/>
        <v>-133</v>
      </c>
      <c r="W164" s="1">
        <f t="shared" si="49"/>
        <v>-28</v>
      </c>
      <c r="X164" s="1">
        <f t="shared" si="49"/>
        <v>-43</v>
      </c>
      <c r="Y164" s="1">
        <f t="shared" si="49"/>
        <v>-125</v>
      </c>
      <c r="Z164" s="1">
        <f t="shared" si="49"/>
        <v>-44</v>
      </c>
      <c r="AA164" s="1">
        <f t="shared" si="49"/>
        <v>-32</v>
      </c>
      <c r="AB164" s="1">
        <f t="shared" si="49"/>
        <v>-122</v>
      </c>
      <c r="AC164" s="1">
        <f t="shared" si="49"/>
        <v>-28</v>
      </c>
      <c r="AD164" s="1">
        <f t="shared" si="49"/>
        <v>-8</v>
      </c>
      <c r="AE164" s="1">
        <f t="shared" si="49"/>
        <v>-273</v>
      </c>
      <c r="AF164" s="1">
        <f t="shared" si="49"/>
        <v>-10</v>
      </c>
      <c r="AG164" s="1">
        <f t="shared" si="49"/>
        <v>-15</v>
      </c>
      <c r="AH164" s="1">
        <f t="shared" si="49"/>
        <v>-30</v>
      </c>
      <c r="AI164" s="1">
        <f t="shared" si="49"/>
        <v>-30</v>
      </c>
      <c r="AJ164" s="1">
        <f t="shared" si="49"/>
        <v>-5</v>
      </c>
      <c r="AK164" s="1">
        <f t="shared" ref="AK164:BO164" si="50">AK163-AK162</f>
        <v>33</v>
      </c>
      <c r="AL164" s="1">
        <f t="shared" si="50"/>
        <v>43</v>
      </c>
      <c r="AM164" s="1">
        <f t="shared" si="50"/>
        <v>-20</v>
      </c>
      <c r="AN164" s="1">
        <f t="shared" si="50"/>
        <v>-50</v>
      </c>
      <c r="AO164" s="1">
        <f t="shared" si="50"/>
        <v>-25</v>
      </c>
      <c r="AP164" s="1">
        <f t="shared" si="50"/>
        <v>-26</v>
      </c>
      <c r="AQ164" s="1">
        <f t="shared" si="50"/>
        <v>-85</v>
      </c>
      <c r="AR164" s="1">
        <f t="shared" si="50"/>
        <v>-114</v>
      </c>
      <c r="AS164" s="1">
        <f t="shared" si="50"/>
        <v>-80</v>
      </c>
      <c r="AT164" s="1">
        <f t="shared" si="50"/>
        <v>-88</v>
      </c>
      <c r="AU164" s="1">
        <f t="shared" si="50"/>
        <v>-36</v>
      </c>
      <c r="AV164" s="1">
        <f t="shared" si="50"/>
        <v>-111</v>
      </c>
      <c r="AW164" s="1">
        <f t="shared" si="50"/>
        <v>-109</v>
      </c>
      <c r="AX164" s="1">
        <f t="shared" si="50"/>
        <v>-55</v>
      </c>
      <c r="AY164" s="1">
        <f t="shared" si="50"/>
        <v>-30</v>
      </c>
      <c r="AZ164" s="1">
        <f t="shared" si="50"/>
        <v>-69</v>
      </c>
      <c r="BA164" s="1">
        <f t="shared" si="50"/>
        <v>-194</v>
      </c>
      <c r="BB164" s="1">
        <f t="shared" si="50"/>
        <v>-247</v>
      </c>
      <c r="BC164" s="1">
        <f t="shared" si="50"/>
        <v>-10</v>
      </c>
      <c r="BD164" s="1">
        <f t="shared" si="50"/>
        <v>-102</v>
      </c>
      <c r="BE164" s="1">
        <f t="shared" si="50"/>
        <v>-52</v>
      </c>
      <c r="BF164" s="1">
        <f t="shared" si="50"/>
        <v>-39</v>
      </c>
      <c r="BG164" s="1">
        <f t="shared" si="50"/>
        <v>-30</v>
      </c>
      <c r="BH164" s="1">
        <f t="shared" si="50"/>
        <v>-72</v>
      </c>
      <c r="BI164" s="1">
        <f t="shared" si="50"/>
        <v>-46</v>
      </c>
      <c r="BJ164" s="1">
        <f t="shared" si="50"/>
        <v>-195</v>
      </c>
      <c r="BK164" s="1">
        <f t="shared" si="50"/>
        <v>-200</v>
      </c>
      <c r="BL164" s="1">
        <f t="shared" si="50"/>
        <v>-145</v>
      </c>
      <c r="BM164" s="1">
        <f t="shared" si="50"/>
        <v>-150</v>
      </c>
      <c r="BN164" s="1">
        <f t="shared" si="50"/>
        <v>-350</v>
      </c>
      <c r="BO164" s="1">
        <f t="shared" si="50"/>
        <v>-350</v>
      </c>
      <c r="BP164" s="1"/>
      <c r="BQ164" s="1"/>
      <c r="BR164" s="17"/>
      <c r="BS164" s="17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</row>
  </sheetData>
  <autoFilter ref="A1:BP162"/>
  <sortState ref="A2:CS166">
    <sortCondition ref="BR2:BR166"/>
    <sortCondition ref="BQ2:BQ166"/>
  </sortState>
  <phoneticPr fontId="1" type="noConversion"/>
  <conditionalFormatting sqref="E54">
    <cfRule type="cellIs" dxfId="2" priority="4" operator="greaterThan">
      <formula>$E$163</formula>
    </cfRule>
  </conditionalFormatting>
  <conditionalFormatting sqref="E162">
    <cfRule type="cellIs" dxfId="1" priority="3" operator="greaterThan">
      <formula>$E$163</formula>
    </cfRule>
  </conditionalFormatting>
  <conditionalFormatting sqref="E164:BO16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166</xdr:row>
                    <xdr:rowOff>28575</xdr:rowOff>
                  </from>
                  <to>
                    <xdr:col>1</xdr:col>
                    <xdr:colOff>428625</xdr:colOff>
                    <xdr:row>167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2020-01-31T12:17:27Z</dcterms:modified>
</cp:coreProperties>
</file>