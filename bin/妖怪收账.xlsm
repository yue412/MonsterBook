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Sheet1!$A$1:$BU$163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145" i="1"/>
  <c r="BU145" i="1"/>
  <c r="BT45" i="1"/>
  <c r="BU45" i="1"/>
  <c r="BT46" i="1"/>
  <c r="BU46" i="1"/>
  <c r="BT47" i="1"/>
  <c r="BU47" i="1"/>
  <c r="BT48" i="1"/>
  <c r="BU48" i="1"/>
  <c r="BT65" i="1"/>
  <c r="BU65" i="1"/>
  <c r="BT49" i="1"/>
  <c r="BU49" i="1"/>
  <c r="BT74" i="1"/>
  <c r="BU74" i="1"/>
  <c r="BT50" i="1"/>
  <c r="BU50" i="1"/>
  <c r="BT51" i="1"/>
  <c r="BU51" i="1"/>
  <c r="BT52" i="1"/>
  <c r="BU52" i="1"/>
  <c r="BT53" i="1"/>
  <c r="BU53" i="1"/>
  <c r="BT12" i="1"/>
  <c r="BU12" i="1"/>
  <c r="BT13" i="1"/>
  <c r="BU13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21" i="1"/>
  <c r="BU21" i="1"/>
  <c r="BT66" i="1"/>
  <c r="BU66" i="1"/>
  <c r="BT67" i="1"/>
  <c r="BU67" i="1"/>
  <c r="BT68" i="1"/>
  <c r="BU68" i="1"/>
  <c r="BT75" i="1"/>
  <c r="BU75" i="1"/>
  <c r="BT22" i="1"/>
  <c r="BU22" i="1"/>
  <c r="BT76" i="1"/>
  <c r="BU76" i="1"/>
  <c r="BT23" i="1"/>
  <c r="BU23" i="1"/>
  <c r="BT77" i="1"/>
  <c r="BU77" i="1"/>
  <c r="BT78" i="1"/>
  <c r="BU78" i="1"/>
  <c r="BT69" i="1"/>
  <c r="BU69" i="1"/>
  <c r="BT24" i="1"/>
  <c r="BU24" i="1"/>
  <c r="BT25" i="1"/>
  <c r="BU25" i="1"/>
  <c r="BT26" i="1"/>
  <c r="BU26" i="1"/>
  <c r="BT27" i="1"/>
  <c r="BU27" i="1"/>
  <c r="BT28" i="1"/>
  <c r="BU28" i="1"/>
  <c r="BT29" i="1"/>
  <c r="BU29" i="1"/>
  <c r="BT30" i="1"/>
  <c r="BU30" i="1"/>
  <c r="BT31" i="1"/>
  <c r="BU31" i="1"/>
  <c r="BT54" i="1"/>
  <c r="BU54" i="1"/>
  <c r="BT55" i="1"/>
  <c r="BU55" i="1"/>
  <c r="BT56" i="1"/>
  <c r="BU56" i="1"/>
  <c r="BT57" i="1"/>
  <c r="BU57" i="1"/>
  <c r="BT111" i="1"/>
  <c r="BU111" i="1"/>
  <c r="BT112" i="1"/>
  <c r="BU112" i="1"/>
  <c r="BT113" i="1"/>
  <c r="BU113" i="1"/>
  <c r="BT114" i="1"/>
  <c r="BU114" i="1"/>
  <c r="BT58" i="1"/>
  <c r="BU58" i="1"/>
  <c r="BT32" i="1"/>
  <c r="BU32" i="1"/>
  <c r="BT33" i="1"/>
  <c r="BU33" i="1"/>
  <c r="BT34" i="1"/>
  <c r="BU34" i="1"/>
  <c r="BT35" i="1"/>
  <c r="BU35" i="1"/>
  <c r="BT36" i="1"/>
  <c r="BU36" i="1"/>
  <c r="BT59" i="1"/>
  <c r="BU59" i="1"/>
  <c r="BT37" i="1"/>
  <c r="BU37" i="1"/>
  <c r="BT38" i="1"/>
  <c r="BU38" i="1"/>
  <c r="BT39" i="1"/>
  <c r="BU39" i="1"/>
  <c r="BT115" i="1"/>
  <c r="BU115" i="1"/>
  <c r="BT40" i="1"/>
  <c r="BU40" i="1"/>
  <c r="BT105" i="1"/>
  <c r="BU105" i="1"/>
  <c r="BT60" i="1"/>
  <c r="BU60" i="1"/>
  <c r="BT41" i="1"/>
  <c r="BU41" i="1"/>
  <c r="BT61" i="1"/>
  <c r="BU61" i="1"/>
  <c r="BT70" i="1"/>
  <c r="BU70" i="1"/>
  <c r="BT62" i="1"/>
  <c r="BU62" i="1"/>
  <c r="BT79" i="1"/>
  <c r="BU79" i="1"/>
  <c r="BT63" i="1"/>
  <c r="BU63" i="1"/>
  <c r="BT80" i="1"/>
  <c r="BU80" i="1"/>
  <c r="BT42" i="1"/>
  <c r="BU42" i="1"/>
  <c r="BT43" i="1"/>
  <c r="BU43" i="1"/>
  <c r="BT81" i="1"/>
  <c r="BU81" i="1"/>
  <c r="BT64" i="1"/>
  <c r="BU64" i="1"/>
  <c r="BT106" i="1"/>
  <c r="BU106" i="1"/>
  <c r="BT116" i="1"/>
  <c r="BU116" i="1"/>
  <c r="BT71" i="1"/>
  <c r="BU71" i="1"/>
  <c r="BT72" i="1"/>
  <c r="BU72" i="1"/>
  <c r="BT44" i="1"/>
  <c r="BU44" i="1"/>
  <c r="BT82" i="1"/>
  <c r="BU82" i="1"/>
  <c r="BT73" i="1"/>
  <c r="BU73" i="1"/>
  <c r="BT83" i="1"/>
  <c r="BU83" i="1"/>
  <c r="BT90" i="1"/>
  <c r="BU90" i="1"/>
  <c r="BT95" i="1"/>
  <c r="BU95" i="1"/>
  <c r="BT96" i="1"/>
  <c r="BU96" i="1"/>
  <c r="BT93" i="1"/>
  <c r="BU93" i="1"/>
  <c r="BT85" i="1"/>
  <c r="BU85" i="1"/>
  <c r="BT86" i="1"/>
  <c r="BU86" i="1"/>
  <c r="BT87" i="1"/>
  <c r="BU87" i="1"/>
  <c r="BT88" i="1"/>
  <c r="BU88" i="1"/>
  <c r="BT89" i="1"/>
  <c r="BU89" i="1"/>
  <c r="BT110" i="1"/>
  <c r="BU110" i="1"/>
  <c r="BT91" i="1"/>
  <c r="BU91" i="1"/>
  <c r="BT92" i="1"/>
  <c r="BU92" i="1"/>
  <c r="BT121" i="1"/>
  <c r="BU121" i="1"/>
  <c r="BT122" i="1"/>
  <c r="BU122" i="1"/>
  <c r="BT123" i="1"/>
  <c r="BU123" i="1"/>
  <c r="BT124" i="1"/>
  <c r="BU124" i="1"/>
  <c r="BT125" i="1"/>
  <c r="BU125" i="1"/>
  <c r="BT126" i="1"/>
  <c r="BU126" i="1"/>
  <c r="BT94" i="1"/>
  <c r="BU94" i="1"/>
  <c r="BT127" i="1"/>
  <c r="BU127" i="1"/>
  <c r="BT119" i="1"/>
  <c r="BU119" i="1"/>
  <c r="BT98" i="1"/>
  <c r="BU98" i="1"/>
  <c r="BT84" i="1"/>
  <c r="BU84" i="1"/>
  <c r="BT101" i="1"/>
  <c r="BU101" i="1"/>
  <c r="BT99" i="1"/>
  <c r="BU99" i="1"/>
  <c r="BT100" i="1"/>
  <c r="BU100" i="1"/>
  <c r="BT102" i="1"/>
  <c r="BU102" i="1"/>
  <c r="BT103" i="1"/>
  <c r="BU103" i="1"/>
  <c r="BT104" i="1"/>
  <c r="BU104" i="1"/>
  <c r="BT107" i="1"/>
  <c r="BU107" i="1"/>
  <c r="BT108" i="1"/>
  <c r="BU108" i="1"/>
  <c r="BT97" i="1"/>
  <c r="BU97" i="1"/>
  <c r="BT109" i="1"/>
  <c r="BU109" i="1"/>
  <c r="BT117" i="1"/>
  <c r="BU117" i="1"/>
  <c r="BT118" i="1"/>
  <c r="BU118" i="1"/>
  <c r="BT128" i="1"/>
  <c r="BU128" i="1"/>
  <c r="BT129" i="1"/>
  <c r="BU129" i="1"/>
  <c r="BT130" i="1"/>
  <c r="BU130" i="1"/>
  <c r="BT131" i="1"/>
  <c r="BU131" i="1"/>
  <c r="BT132" i="1"/>
  <c r="BU132" i="1"/>
  <c r="BT133" i="1"/>
  <c r="BU133" i="1"/>
  <c r="BT134" i="1"/>
  <c r="BU134" i="1"/>
  <c r="BT135" i="1"/>
  <c r="BU135" i="1"/>
  <c r="BT120" i="1"/>
  <c r="BU120" i="1"/>
  <c r="BT149" i="1"/>
  <c r="BU149" i="1"/>
  <c r="BT136" i="1"/>
  <c r="BU136" i="1"/>
  <c r="BT138" i="1"/>
  <c r="BU138" i="1"/>
  <c r="BT139" i="1"/>
  <c r="BU139" i="1"/>
  <c r="BT137" i="1"/>
  <c r="BU137" i="1"/>
  <c r="BT141" i="1"/>
  <c r="BU141" i="1"/>
  <c r="BT142" i="1"/>
  <c r="BU142" i="1"/>
  <c r="BT143" i="1"/>
  <c r="BU143" i="1"/>
  <c r="BT144" i="1"/>
  <c r="BU144" i="1"/>
  <c r="BT146" i="1"/>
  <c r="BU146" i="1"/>
  <c r="BT147" i="1"/>
  <c r="BU147" i="1"/>
  <c r="BT150" i="1"/>
  <c r="BU150" i="1"/>
  <c r="BT151" i="1"/>
  <c r="BU151" i="1"/>
  <c r="BT152" i="1"/>
  <c r="BU152" i="1"/>
  <c r="BT148" i="1"/>
  <c r="BU148" i="1"/>
  <c r="BT140" i="1"/>
  <c r="BU140" i="1"/>
  <c r="BT153" i="1"/>
  <c r="BU153" i="1"/>
  <c r="BT154" i="1"/>
  <c r="BU154" i="1"/>
  <c r="BT155" i="1"/>
  <c r="BU155" i="1"/>
  <c r="BP81" i="1"/>
  <c r="BP127" i="1"/>
  <c r="BP64" i="1"/>
  <c r="BP106" i="1"/>
  <c r="BP116" i="1"/>
  <c r="BP34" i="1" l="1"/>
  <c r="BP35" i="1"/>
  <c r="BP36" i="1"/>
  <c r="BP59" i="1"/>
  <c r="BP37" i="1"/>
  <c r="BP131" i="1"/>
  <c r="BP38" i="1"/>
  <c r="BP39" i="1"/>
  <c r="BP115" i="1"/>
  <c r="BP40" i="1"/>
  <c r="BP105" i="1"/>
  <c r="BP134" i="1"/>
  <c r="BP60" i="1"/>
  <c r="BP41" i="1"/>
  <c r="BP98" i="1"/>
  <c r="BP61" i="1"/>
  <c r="BP70" i="1"/>
  <c r="BP152" i="1"/>
  <c r="BP62" i="1"/>
  <c r="BP79" i="1"/>
  <c r="BP125" i="1"/>
  <c r="BP63" i="1"/>
  <c r="BP80" i="1"/>
  <c r="BP126" i="1"/>
  <c r="BP42" i="1"/>
  <c r="BP43" i="1"/>
  <c r="BP135" i="1"/>
  <c r="BP84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51" i="1" l="1"/>
  <c r="BP58" i="1"/>
  <c r="BP119" i="1"/>
  <c r="BP124" i="1"/>
  <c r="BP112" i="1"/>
  <c r="BP113" i="1"/>
  <c r="BP114" i="1"/>
  <c r="BP111" i="1"/>
  <c r="BP120" i="1"/>
  <c r="BP136" i="1"/>
  <c r="BP133" i="1"/>
  <c r="BP54" i="1"/>
  <c r="BP55" i="1"/>
  <c r="BP56" i="1"/>
  <c r="BP57" i="1"/>
  <c r="BP128" i="1"/>
  <c r="BP129" i="1"/>
  <c r="BP13" i="1"/>
  <c r="BP97" i="1"/>
  <c r="BP130" i="1"/>
  <c r="BP82" i="1"/>
  <c r="BP30" i="1"/>
  <c r="BP76" i="1"/>
  <c r="BP23" i="1"/>
  <c r="BP77" i="1"/>
  <c r="BP78" i="1"/>
  <c r="BP69" i="1"/>
  <c r="BP26" i="1"/>
  <c r="BP49" i="1"/>
  <c r="BP74" i="1"/>
  <c r="BP50" i="1"/>
  <c r="BP51" i="1"/>
  <c r="BP32" i="1"/>
  <c r="BP52" i="1"/>
  <c r="BP27" i="1"/>
  <c r="BP53" i="1"/>
  <c r="BP18" i="1"/>
  <c r="BP145" i="1"/>
  <c r="BP19" i="1"/>
  <c r="BP20" i="1"/>
  <c r="BP2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E160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E159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C156" i="1"/>
  <c r="AX156" i="1"/>
  <c r="AY156" i="1"/>
  <c r="AZ156" i="1"/>
  <c r="BA156" i="1"/>
  <c r="BB156" i="1"/>
  <c r="AW156" i="1"/>
  <c r="AR156" i="1"/>
  <c r="AS156" i="1"/>
  <c r="AT156" i="1"/>
  <c r="AU156" i="1"/>
  <c r="AV156" i="1"/>
  <c r="AQ156" i="1"/>
  <c r="AF156" i="1"/>
  <c r="AG156" i="1"/>
  <c r="AH156" i="1"/>
  <c r="AI156" i="1"/>
  <c r="AJ156" i="1"/>
  <c r="AK156" i="1"/>
  <c r="AL156" i="1"/>
  <c r="AM156" i="1"/>
  <c r="AN156" i="1"/>
  <c r="AO156" i="1"/>
  <c r="AP156" i="1"/>
  <c r="AE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P156" i="1"/>
  <c r="F156" i="1"/>
  <c r="G156" i="1"/>
  <c r="H156" i="1"/>
  <c r="I156" i="1"/>
  <c r="J156" i="1"/>
  <c r="K156" i="1"/>
  <c r="L156" i="1"/>
  <c r="M156" i="1"/>
  <c r="N156" i="1"/>
  <c r="O156" i="1"/>
  <c r="E15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8" i="1"/>
  <c r="BP8" i="1"/>
  <c r="BP83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A161" i="1"/>
  <c r="BB161" i="1"/>
  <c r="BA162" i="1"/>
  <c r="BB162" i="1"/>
  <c r="AQ161" i="1"/>
  <c r="AR161" i="1"/>
  <c r="AS161" i="1"/>
  <c r="AT161" i="1"/>
  <c r="AU161" i="1"/>
  <c r="AV161" i="1"/>
  <c r="AW161" i="1"/>
  <c r="AX161" i="1"/>
  <c r="AY161" i="1"/>
  <c r="AZ161" i="1"/>
  <c r="AQ162" i="1"/>
  <c r="AR162" i="1"/>
  <c r="AS162" i="1"/>
  <c r="AT162" i="1"/>
  <c r="AU162" i="1"/>
  <c r="AV162" i="1"/>
  <c r="AW162" i="1"/>
  <c r="AX162" i="1"/>
  <c r="AY162" i="1"/>
  <c r="AZ162" i="1"/>
  <c r="AI161" i="1"/>
  <c r="AJ161" i="1"/>
  <c r="AK161" i="1"/>
  <c r="AL161" i="1"/>
  <c r="AM161" i="1"/>
  <c r="AN161" i="1"/>
  <c r="AO161" i="1"/>
  <c r="AP161" i="1"/>
  <c r="AI162" i="1"/>
  <c r="AJ162" i="1"/>
  <c r="AK162" i="1"/>
  <c r="AL162" i="1"/>
  <c r="AM162" i="1"/>
  <c r="AN162" i="1"/>
  <c r="AO162" i="1"/>
  <c r="AP162" i="1"/>
  <c r="AC161" i="1"/>
  <c r="AD161" i="1"/>
  <c r="AE161" i="1"/>
  <c r="AF161" i="1"/>
  <c r="AG161" i="1"/>
  <c r="AH161" i="1"/>
  <c r="AC162" i="1"/>
  <c r="AD162" i="1"/>
  <c r="AE162" i="1"/>
  <c r="AF162" i="1"/>
  <c r="AG162" i="1"/>
  <c r="AH162" i="1"/>
  <c r="W161" i="1"/>
  <c r="X161" i="1"/>
  <c r="Y161" i="1"/>
  <c r="Z161" i="1"/>
  <c r="AA161" i="1"/>
  <c r="AB161" i="1"/>
  <c r="W162" i="1"/>
  <c r="X162" i="1"/>
  <c r="Y162" i="1"/>
  <c r="Z162" i="1"/>
  <c r="AA162" i="1"/>
  <c r="AB162" i="1"/>
  <c r="P161" i="1"/>
  <c r="Q161" i="1"/>
  <c r="R161" i="1"/>
  <c r="S161" i="1"/>
  <c r="T161" i="1"/>
  <c r="U161" i="1"/>
  <c r="V161" i="1"/>
  <c r="P162" i="1"/>
  <c r="Q162" i="1"/>
  <c r="R162" i="1"/>
  <c r="S162" i="1"/>
  <c r="T162" i="1"/>
  <c r="U162" i="1"/>
  <c r="V162" i="1"/>
  <c r="G161" i="1"/>
  <c r="H161" i="1"/>
  <c r="I161" i="1"/>
  <c r="J161" i="1"/>
  <c r="K161" i="1"/>
  <c r="L161" i="1"/>
  <c r="M161" i="1"/>
  <c r="N161" i="1"/>
  <c r="O161" i="1"/>
  <c r="G162" i="1"/>
  <c r="H162" i="1"/>
  <c r="I162" i="1"/>
  <c r="J162" i="1"/>
  <c r="K162" i="1"/>
  <c r="L162" i="1"/>
  <c r="M162" i="1"/>
  <c r="N162" i="1"/>
  <c r="O162" i="1"/>
  <c r="F161" i="1"/>
  <c r="F162" i="1"/>
  <c r="E162" i="1"/>
  <c r="E161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85" i="1"/>
  <c r="BP73" i="1"/>
  <c r="BP86" i="1"/>
  <c r="BP87" i="1"/>
  <c r="BP71" i="1"/>
  <c r="BP72" i="1"/>
  <c r="BP88" i="1"/>
  <c r="BP89" i="1"/>
  <c r="BP12" i="1"/>
  <c r="BP6" i="1"/>
  <c r="BP11" i="1"/>
  <c r="BP100" i="1"/>
  <c r="BP103" i="1"/>
  <c r="BP104" i="1"/>
  <c r="BP107" i="1"/>
  <c r="BP91" i="1"/>
  <c r="BP9" i="1"/>
  <c r="BP109" i="1"/>
  <c r="BP66" i="1"/>
  <c r="BP67" i="1"/>
  <c r="BP68" i="1"/>
  <c r="BP75" i="1"/>
  <c r="BP92" i="1"/>
  <c r="BP117" i="1"/>
  <c r="BP118" i="1"/>
  <c r="BP99" i="1"/>
  <c r="BP95" i="1"/>
  <c r="BP96" i="1"/>
  <c r="BP31" i="1"/>
  <c r="BP44" i="1"/>
  <c r="BP65" i="1"/>
  <c r="BP93" i="1"/>
  <c r="BP22" i="1"/>
  <c r="BP90" i="1"/>
  <c r="BP110" i="1"/>
  <c r="BP146" i="1"/>
  <c r="BP147" i="1"/>
  <c r="BP7" i="1"/>
  <c r="BP121" i="1"/>
  <c r="BP122" i="1"/>
  <c r="BP123" i="1"/>
  <c r="BP101" i="1"/>
  <c r="BP138" i="1"/>
  <c r="BP140" i="1"/>
  <c r="BP137" i="1"/>
  <c r="BP33" i="1"/>
  <c r="BP94" i="1"/>
  <c r="BP45" i="1"/>
  <c r="BP46" i="1"/>
  <c r="BP47" i="1"/>
  <c r="BP48" i="1"/>
  <c r="BP24" i="1"/>
  <c r="BP25" i="1"/>
  <c r="BP28" i="1"/>
  <c r="BP29" i="1"/>
  <c r="BP150" i="1"/>
  <c r="BP132" i="1"/>
  <c r="BP149" i="1"/>
  <c r="BP14" i="1"/>
  <c r="BP15" i="1"/>
  <c r="BP16" i="1"/>
  <c r="BP17" i="1"/>
  <c r="BP102" i="1"/>
  <c r="BP139" i="1"/>
  <c r="BP141" i="1"/>
  <c r="BP142" i="1"/>
  <c r="BP143" i="1"/>
  <c r="BP144" i="1"/>
  <c r="BP153" i="1"/>
  <c r="BP154" i="1"/>
  <c r="BP155" i="1"/>
  <c r="BP148" i="1" l="1"/>
  <c r="BM158" i="1" l="1"/>
  <c r="AM158" i="1"/>
  <c r="L158" i="1"/>
  <c r="BK158" i="1"/>
  <c r="AJ158" i="1"/>
  <c r="BH158" i="1"/>
  <c r="AH158" i="1"/>
  <c r="AL158" i="1"/>
  <c r="BD158" i="1"/>
  <c r="BL158" i="1"/>
  <c r="J158" i="1"/>
  <c r="H158" i="1"/>
  <c r="G158" i="1"/>
  <c r="BG158" i="1"/>
  <c r="AE158" i="1"/>
  <c r="F158" i="1"/>
  <c r="BJ158" i="1"/>
  <c r="AI158" i="1"/>
  <c r="I158" i="1"/>
  <c r="AG158" i="1"/>
  <c r="BE158" i="1"/>
  <c r="AF158" i="1"/>
  <c r="BF158" i="1"/>
  <c r="O158" i="1"/>
  <c r="BO158" i="1"/>
  <c r="N158" i="1"/>
  <c r="K158" i="1"/>
  <c r="AK158" i="1"/>
  <c r="BI158" i="1"/>
  <c r="E158" i="1"/>
  <c r="BN158" i="1"/>
  <c r="AN158" i="1"/>
  <c r="M158" i="1"/>
  <c r="AP158" i="1"/>
  <c r="BC158" i="1"/>
  <c r="AO158" i="1"/>
  <c r="V158" i="1"/>
  <c r="Y158" i="1"/>
  <c r="W158" i="1"/>
  <c r="S158" i="1"/>
  <c r="X158" i="1"/>
  <c r="R158" i="1"/>
  <c r="Z158" i="1"/>
  <c r="U158" i="1"/>
  <c r="T158" i="1"/>
  <c r="AC158" i="1"/>
  <c r="Q158" i="1"/>
  <c r="AB158" i="1"/>
  <c r="P158" i="1"/>
  <c r="AA158" i="1"/>
  <c r="AD158" i="1"/>
  <c r="AR158" i="1" l="1"/>
  <c r="AU158" i="1"/>
  <c r="BB158" i="1"/>
  <c r="AS158" i="1"/>
  <c r="AW158" i="1"/>
  <c r="AT158" i="1"/>
  <c r="AY158" i="1"/>
  <c r="AZ158" i="1"/>
  <c r="AV158" i="1"/>
  <c r="AQ158" i="1"/>
  <c r="AX158" i="1"/>
  <c r="BA158" i="1"/>
</calcChain>
</file>

<file path=xl/sharedStrings.xml><?xml version="1.0" encoding="utf-8"?>
<sst xmlns="http://schemas.openxmlformats.org/spreadsheetml/2006/main" count="886" uniqueCount="315">
  <si>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</si>
  <si>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</si>
  <si>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</si>
  <si>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</si>
  <si>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</si>
  <si>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</si>
  <si>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</si>
  <si>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</si>
  <si>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</si>
  <si>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</si>
  <si>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</si>
  <si>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</si>
  <si>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</si>
  <si>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</si>
  <si>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</si>
  <si>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</si>
  <si>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</si>
  <si>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</si>
  <si>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</si>
  <si>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</si>
  <si>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</si>
  <si>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</si>
  <si>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</si>
  <si>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</si>
  <si>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</si>
  <si>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</si>
  <si>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</si>
  <si>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</si>
  <si>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</si>
  <si>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</si>
  <si>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</si>
  <si>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</si>
  <si>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</si>
  <si>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</si>
  <si>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</si>
  <si>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</si>
  <si>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</si>
  <si>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</si>
  <si>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</si>
  <si>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</si>
  <si>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</si>
  <si>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</si>
  <si>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</si>
  <si>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</si>
  <si>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</si>
  <si>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</si>
  <si>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</si>
  <si>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</si>
  <si>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</si>
  <si>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</si>
  <si>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</si>
  <si>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</si>
  <si>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</si>
  <si>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</si>
  <si>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</si>
  <si>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</si>
  <si>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</si>
  <si>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</si>
  <si>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</si>
  <si>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</si>
  <si>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</si>
  <si>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</si>
  <si>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</si>
  <si>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</si>
  <si>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</si>
  <si>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</si>
  <si>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</si>
  <si>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</si>
  <si>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</si>
  <si>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</si>
  <si>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</si>
  <si>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</si>
  <si>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</si>
  <si>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</si>
  <si>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</si>
  <si>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</si>
  <si>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</si>
  <si>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</si>
  <si>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</si>
  <si>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</si>
  <si>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</si>
  <si>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</si>
  <si>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</si>
  <si>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</si>
  <si>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</si>
  <si>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</si>
  <si>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</si>
  <si>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</si>
  <si>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</si>
  <si>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</si>
  <si>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</si>
  <si>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</si>
  <si>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</si>
  <si>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</si>
  <si>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</si>
  <si>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</si>
  <si>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</si>
  <si>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</si>
  <si>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</si>
  <si>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</si>
  <si>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</si>
  <si>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</si>
  <si>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</si>
  <si>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</si>
  <si>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</si>
  <si>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</si>
  <si>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</si>
  <si>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</si>
  <si>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</si>
  <si>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</si>
  <si>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</si>
  <si>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</si>
  <si>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</si>
  <si>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</si>
  <si>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</si>
  <si>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</si>
  <si>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</si>
  <si>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</si>
  <si>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</si>
  <si>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</si>
  <si>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</si>
  <si>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</si>
  <si>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</si>
  <si>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</si>
  <si>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</si>
  <si>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</si>
  <si>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</si>
  <si>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</si>
  <si>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</si>
  <si>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</si>
  <si>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</si>
  <si>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</si>
  <si>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</si>
  <si>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</si>
  <si>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</si>
  <si>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</si>
  <si>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</si>
  <si>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</si>
  <si>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</si>
  <si>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</si>
  <si>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</si>
  <si>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</si>
  <si>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</si>
  <si>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</si>
  <si>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</si>
  <si>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</si>
  <si>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</si>
  <si>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</si>
  <si>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</si>
  <si>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</si>
  <si>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</si>
  <si>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</si>
  <si>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</si>
  <si>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</si>
  <si>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</si>
  <si>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</si>
  <si>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</si>
  <si>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</si>
  <si>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</si>
  <si>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</si>
  <si>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</si>
  <si>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</si>
  <si>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</si>
  <si>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</si>
  <si>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</si>
  <si>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</si>
  <si>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</si>
  <si>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</si>
  <si>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</si>
  <si>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</si>
  <si>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</si>
  <si>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</si>
  <si>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</si>
  <si>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</si>
  <si>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</si>
  <si>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</si>
  <si>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</si>
  <si>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</si>
  <si>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</si>
  <si>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</si>
  <si>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</si>
  <si>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</si>
  <si>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</si>
  <si>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</si>
  <si>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</si>
  <si>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</si>
  <si>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</si>
  <si>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</si>
  <si>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</si>
  <si>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</si>
  <si>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</si>
  <si>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</si>
  <si>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</si>
  <si>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</si>
  <si>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</si>
  <si>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</si>
  <si>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</si>
  <si>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</si>
  <si>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</si>
  <si>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</si>
  <si>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</si>
  <si>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</si>
  <si>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</si>
  <si>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</si>
  <si>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</si>
  <si>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</si>
  <si>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</si>
  <si>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</si>
  <si>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</si>
  <si>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</si>
  <si>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</si>
  <si>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</si>
  <si>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</si>
  <si>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</si>
  <si>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</si>
  <si>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</si>
  <si>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</si>
  <si>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</si>
  <si>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</si>
  <si>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</si>
  <si>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</si>
  <si>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</si>
  <si>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</si>
  <si>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</si>
  <si>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</si>
  <si>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</si>
  <si>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</si>
  <si>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</si>
  <si>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</si>
  <si>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</si>
  <si>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</si>
  <si>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</si>
  <si>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</si>
  <si>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</si>
  <si>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</si>
  <si>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</si>
  <si>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桂花(5),</t>
    <phoneticPr fontId="1" type="noConversion"/>
  </si>
  <si>
    <t>无双小狮妹</t>
    <phoneticPr fontId="1" type="noConversion"/>
  </si>
  <si>
    <t>幻</t>
    <phoneticPr fontId="1" type="noConversion"/>
  </si>
  <si>
    <t>螃蟹(5),</t>
    <phoneticPr fontId="1" type="noConversion"/>
  </si>
  <si>
    <t>神农鼎(10),</t>
    <phoneticPr fontId="1" type="noConversion"/>
  </si>
  <si>
    <t>超进阶素材光(45),_x000D_
超进阶素材暗(45),</t>
    <phoneticPr fontId="1" type="noConversion"/>
  </si>
  <si>
    <t>糯米(10),_x000D_
粽叶(10),</t>
    <phoneticPr fontId="1" type="noConversion"/>
  </si>
  <si>
    <t>糯米(3),</t>
    <phoneticPr fontId="1" type="noConversion"/>
  </si>
  <si>
    <t>桂花酒(5),</t>
    <phoneticPr fontId="1" type="noConversion"/>
  </si>
  <si>
    <t>神农鼎(6),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</si>
  <si>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</si>
  <si>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</si>
  <si>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</si>
  <si>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</si>
  <si>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</si>
  <si>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</si>
  <si>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</si>
  <si>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</si>
  <si>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</si>
  <si>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</si>
  <si>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</si>
  <si>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</si>
  <si>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</si>
  <si>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</si>
  <si>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</si>
  <si>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</si>
  <si>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彗星(1),</t>
    <phoneticPr fontId="1" type="noConversion"/>
  </si>
  <si>
    <t>彗星(11),</t>
    <phoneticPr fontId="1" type="noConversion"/>
  </si>
  <si>
    <t>糯米(3),_x000D_
粽叶(5),</t>
    <phoneticPr fontId="1" type="noConversion"/>
  </si>
  <si>
    <t>女娲石(9),</t>
    <phoneticPr fontId="1" type="noConversion"/>
  </si>
  <si>
    <t>神农鼎(15),</t>
    <phoneticPr fontId="1" type="noConversion"/>
  </si>
  <si>
    <t>神农鼎(7),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</si>
  <si>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</si>
  <si>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</si>
  <si>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超进阶素材火(13),_x000D_
超进阶素材光(45),_x000D_
超进阶素材暗(45),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</si>
  <si>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</si>
  <si>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</si>
  <si>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</si>
  <si>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</si>
  <si>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骰子大(7),</t>
    <phoneticPr fontId="1" type="noConversion"/>
  </si>
  <si>
    <t>欠条大(9),_x000D_
钱袋大(9),</t>
    <phoneticPr fontId="1" type="noConversion"/>
  </si>
  <si>
    <t>骰子大(10),</t>
    <phoneticPr fontId="1" type="noConversion"/>
  </si>
  <si>
    <t>金甲虫(40),</t>
    <phoneticPr fontId="1" type="noConversion"/>
  </si>
  <si>
    <t>欠条大(9),_x000D_
骰子大(10),</t>
    <phoneticPr fontId="1" type="noConversion"/>
  </si>
  <si>
    <t>神农鼎(10),_x000D_
欠条大(9),_x000D_
钱袋大(9),</t>
    <phoneticPr fontId="1" type="noConversion"/>
  </si>
  <si>
    <t>神农鼎(10),_x000D_
欠条大(9),_x000D_
骰子大(10),</t>
    <phoneticPr fontId="1" type="noConversion"/>
  </si>
  <si>
    <t>冲霸</t>
    <phoneticPr fontId="1" type="noConversion"/>
  </si>
  <si>
    <t>欠条大(1),</t>
    <phoneticPr fontId="1" type="noConversion"/>
  </si>
  <si>
    <t>骰子大(2),</t>
    <phoneticPr fontId="1" type="noConversion"/>
  </si>
  <si>
    <t>欠条大(1),_x000D_
骰子大(2),</t>
    <phoneticPr fontId="1" type="noConversion"/>
  </si>
  <si>
    <t>武仔</t>
    <phoneticPr fontId="1" type="noConversion"/>
  </si>
  <si>
    <t>钱袋大(1),</t>
    <phoneticPr fontId="1" type="noConversion"/>
  </si>
  <si>
    <t>糯米(2),</t>
    <phoneticPr fontId="1" type="noConversion"/>
  </si>
  <si>
    <t>金甲虫(190),</t>
    <phoneticPr fontId="1" type="noConversion"/>
  </si>
  <si>
    <t>欠条大(1),_x000D_
钱袋大(1),_x000D_
骰子大(2),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</si>
  <si>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</si>
  <si>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</si>
  <si>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</si>
  <si>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</si>
  <si>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骰子中(1),</t>
  </si>
  <si>
    <t>筹码大(1),</t>
  </si>
  <si>
    <t>钱袋大(1),_x000D_
骰子中(1),</t>
    <phoneticPr fontId="1" type="noConversion"/>
  </si>
  <si>
    <t>欠条大(1),</t>
    <phoneticPr fontId="1" type="noConversion"/>
  </si>
  <si>
    <t>仙丹(1),</t>
    <phoneticPr fontId="1" type="noConversion"/>
  </si>
  <si>
    <t>女娲石(4),_x000D_
神农鼎(5),</t>
    <phoneticPr fontId="1" type="noConversion"/>
  </si>
  <si>
    <t>欠条大(6),</t>
    <phoneticPr fontId="1" type="noConversion"/>
  </si>
  <si>
    <t>魅力符文叉大(4),</t>
    <phoneticPr fontId="1" type="noConversion"/>
  </si>
  <si>
    <t>钱袋大(9),_x000D_
筹码大(1),</t>
    <phoneticPr fontId="1" type="noConversion"/>
  </si>
  <si>
    <t>钱袋大(9),_x000D_
筹码大(1),</t>
    <phoneticPr fontId="1" type="noConversion"/>
  </si>
  <si>
    <t>钱袋大(9),_x000D_
筹码大(1),</t>
    <phoneticPr fontId="1" type="noConversion"/>
  </si>
  <si>
    <t>女娲石(14),</t>
    <phoneticPr fontId="1" type="noConversion"/>
  </si>
  <si>
    <t>骰子大(10),_x000D_
筹码大(1),</t>
    <phoneticPr fontId="1" type="noConversion"/>
  </si>
  <si>
    <t>糯米(5),_x000D_
粽叶(1),</t>
    <phoneticPr fontId="1" type="noConversion"/>
  </si>
  <si>
    <t>女娲石(9),_x000D_
骰子大(10),</t>
    <phoneticPr fontId="1" type="noConversion"/>
  </si>
  <si>
    <t>女娲石(14),_x000D_
神农鼎(15),</t>
    <phoneticPr fontId="1" type="noConversion"/>
  </si>
  <si>
    <t>女娲石(9),_x000D_
彗星(21),</t>
    <phoneticPr fontId="1" type="noConversion"/>
  </si>
  <si>
    <t>力量符文叉大(8),_x000D_
技巧符文叉大(13),</t>
    <phoneticPr fontId="1" type="noConversion"/>
  </si>
  <si>
    <t>女娲石(19),_x000D_
神农鼎(20),</t>
    <phoneticPr fontId="1" type="noConversion"/>
  </si>
  <si>
    <t>秘窟冰晶卵(10),_x000D_
力量符文叉大(8),_x000D_
速度符文叉大(5),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</si>
</sst>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162</xdr:row>
          <xdr:rowOff>28575</xdr:rowOff>
        </xdr:from>
        <xdr:to>
          <xdr:col>1</xdr:col>
          <xdr:colOff>428625</xdr:colOff>
          <xdr:row>163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63"/>
  <sheetViews>
    <sheetView tabSelected="1" workbookViewId="0">
      <pane xSplit="2" ySplit="1" topLeftCell="BL31" activePane="bottomRight" state="frozen"/>
      <selection pane="topRight" activeCell="C1" sqref="C1"/>
      <selection pane="bottomLeft" activeCell="A3" sqref="A3"/>
      <selection pane="bottomRight" activeCell="BS71" sqref="BS71:BS104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121</v>
      </c>
      <c r="AB1" s="27" t="s">
        <v>109</v>
      </c>
      <c r="AC1" s="27" t="s">
        <v>108</v>
      </c>
      <c r="AD1" s="27" t="s">
        <v>131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234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145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152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176</v>
      </c>
      <c r="C8" s="1" t="s">
        <v>1</v>
      </c>
      <c r="D8" s="1" t="s">
        <v>175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170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177</v>
      </c>
      <c r="C10" s="1" t="s">
        <v>178</v>
      </c>
      <c r="D10" s="1" t="s">
        <v>179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151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146</v>
      </c>
      <c r="C12" s="1" t="s">
        <v>83</v>
      </c>
      <c r="D12" s="1" t="s">
        <v>84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>
        <v>15</v>
      </c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>
        <v>15</v>
      </c>
      <c r="BC12" s="14"/>
      <c r="BD12" s="1"/>
      <c r="BE12" s="1"/>
      <c r="BF12" s="1"/>
      <c r="BG12" s="1"/>
      <c r="BH12" s="1">
        <v>15</v>
      </c>
      <c r="BI12" s="1">
        <v>15</v>
      </c>
      <c r="BJ12" s="1"/>
      <c r="BK12" s="1"/>
      <c r="BL12" s="1"/>
      <c r="BM12" s="1"/>
      <c r="BN12" s="1"/>
      <c r="BO12" s="1"/>
      <c r="BP12" s="1">
        <f>SUM(E12:BO12)</f>
        <v>60</v>
      </c>
      <c r="BQ12" s="1">
        <v>0</v>
      </c>
      <c r="BR12" s="17">
        <v>0</v>
      </c>
      <c r="BS12" s="17"/>
      <c r="BT12">
        <f>SUM(P12:AD12)</f>
        <v>0</v>
      </c>
      <c r="BU12" s="23">
        <f>AF12+AH12+AI12+AJ12+AO12+AP12</f>
        <v>0</v>
      </c>
    </row>
    <row r="13" spans="1:73">
      <c r="A13" s="1"/>
      <c r="B13" s="1" t="s">
        <v>144</v>
      </c>
      <c r="C13" s="1" t="s">
        <v>122</v>
      </c>
      <c r="D13" s="1" t="s">
        <v>102</v>
      </c>
      <c r="E13" s="6">
        <v>15</v>
      </c>
      <c r="F13" s="6"/>
      <c r="G13" s="6"/>
      <c r="H13" s="6"/>
      <c r="I13" s="6"/>
      <c r="J13" s="6"/>
      <c r="K13" s="6"/>
      <c r="L13" s="6"/>
      <c r="M13" s="6">
        <v>15</v>
      </c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>
        <v>15</v>
      </c>
      <c r="AX13" s="2"/>
      <c r="AY13" s="2"/>
      <c r="AZ13" s="2"/>
      <c r="BA13" s="2">
        <v>15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60</v>
      </c>
      <c r="BQ13" s="1">
        <v>0</v>
      </c>
      <c r="BR13" s="17">
        <v>0</v>
      </c>
      <c r="BS13" s="17"/>
      <c r="BT13">
        <f>SUM(P13:AD13)</f>
        <v>0</v>
      </c>
      <c r="BU13" s="23">
        <f>AF13+AH13+AI13+AJ13+AO13+AP13</f>
        <v>0</v>
      </c>
    </row>
    <row r="14" spans="1:73" hidden="1">
      <c r="A14" s="1"/>
      <c r="B14" s="1" t="s">
        <v>118</v>
      </c>
      <c r="C14" s="1" t="s">
        <v>119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0</v>
      </c>
      <c r="BR14" s="17">
        <v>0</v>
      </c>
      <c r="BS14" s="17"/>
      <c r="BT14">
        <f>SUM(P14:AD14)</f>
        <v>40</v>
      </c>
      <c r="BU14" s="23">
        <f>AF14+AH14+AI14+AJ14+AO14+AP14</f>
        <v>0</v>
      </c>
    </row>
    <row r="15" spans="1:73" hidden="1">
      <c r="A15" s="1"/>
      <c r="B15" s="1" t="s">
        <v>123</v>
      </c>
      <c r="C15" s="1" t="s">
        <v>122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>
        <f>SUM(P15:AD15)</f>
        <v>40</v>
      </c>
      <c r="BU15" s="23">
        <f>AF15+AH15+AI15+AJ15+AO15+AP15</f>
        <v>0</v>
      </c>
    </row>
    <row r="16" spans="1:73" hidden="1">
      <c r="A16" s="1"/>
      <c r="B16" s="1" t="s">
        <v>125</v>
      </c>
      <c r="C16" s="1" t="s">
        <v>126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0</v>
      </c>
      <c r="BR16" s="17">
        <v>0</v>
      </c>
      <c r="BS16" s="17"/>
      <c r="BT16">
        <f>SUM(P16:AD16)</f>
        <v>40</v>
      </c>
      <c r="BU16" s="23">
        <f>AF16+AH16+AI16+AJ16+AO16+AP16</f>
        <v>0</v>
      </c>
    </row>
    <row r="17" spans="1:73" hidden="1">
      <c r="A17" s="1"/>
      <c r="B17" s="1" t="s">
        <v>130</v>
      </c>
      <c r="C17" s="1" t="s">
        <v>128</v>
      </c>
      <c r="D17" s="1" t="s">
        <v>101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40</v>
      </c>
      <c r="BQ17" s="1">
        <v>0</v>
      </c>
      <c r="BR17" s="17">
        <v>0</v>
      </c>
      <c r="BS17" s="17"/>
      <c r="BT17">
        <f>SUM(P17:AD17)</f>
        <v>40</v>
      </c>
      <c r="BU17" s="23">
        <f>AF17+AH17+AI17+AJ17+AO17+AP17</f>
        <v>0</v>
      </c>
    </row>
    <row r="18" spans="1:73" s="23" customFormat="1" hidden="1">
      <c r="A18" s="1"/>
      <c r="B18" s="1" t="s">
        <v>132</v>
      </c>
      <c r="C18" s="1" t="s">
        <v>128</v>
      </c>
      <c r="D18" s="1" t="s">
        <v>101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40</v>
      </c>
      <c r="BQ18" s="1">
        <v>0</v>
      </c>
      <c r="BR18" s="17">
        <v>0</v>
      </c>
      <c r="BS18" s="17"/>
      <c r="BT18">
        <f>SUM(P18:AD18)</f>
        <v>40</v>
      </c>
      <c r="BU18" s="23">
        <f>AF18+AH18+AI18+AJ18+AO18+AP18</f>
        <v>0</v>
      </c>
    </row>
    <row r="19" spans="1:73" hidden="1">
      <c r="A19" s="1"/>
      <c r="B19" s="3" t="s">
        <v>202</v>
      </c>
      <c r="C19" s="3" t="s">
        <v>50</v>
      </c>
      <c r="D19" s="1" t="s">
        <v>200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40</v>
      </c>
      <c r="BQ19" s="1">
        <v>0</v>
      </c>
      <c r="BR19" s="17">
        <v>0</v>
      </c>
      <c r="BS19" s="17"/>
      <c r="BT19">
        <f>SUM(P19:AD19)</f>
        <v>40</v>
      </c>
      <c r="BU19" s="23">
        <f>AF19+AH19+AI19+AJ19+AO19+AP19</f>
        <v>0</v>
      </c>
    </row>
    <row r="20" spans="1:73" hidden="1">
      <c r="A20" s="1"/>
      <c r="B20" s="3" t="s">
        <v>208</v>
      </c>
      <c r="C20" s="3" t="s">
        <v>206</v>
      </c>
      <c r="D20" s="1" t="s">
        <v>200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40</v>
      </c>
      <c r="BQ20" s="1">
        <v>0</v>
      </c>
      <c r="BR20" s="17">
        <v>0</v>
      </c>
      <c r="BS20" s="17"/>
      <c r="BT20">
        <f>SUM(P20:AD20)</f>
        <v>40</v>
      </c>
      <c r="BU20" s="23">
        <f>AF20+AH20+AI20+AJ20+AO20+AP20</f>
        <v>0</v>
      </c>
    </row>
    <row r="21" spans="1:73" hidden="1">
      <c r="A21" s="1"/>
      <c r="B21" s="3" t="s">
        <v>210</v>
      </c>
      <c r="C21" s="3" t="s">
        <v>99</v>
      </c>
      <c r="D21" s="1" t="s">
        <v>200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40</v>
      </c>
      <c r="BQ21" s="1">
        <v>0</v>
      </c>
      <c r="BR21" s="17">
        <v>0</v>
      </c>
      <c r="BS21" s="17"/>
      <c r="BT21">
        <f>SUM(P21:AD21)</f>
        <v>40</v>
      </c>
      <c r="BU21" s="23">
        <f>AF21+AH21+AI21+AJ21+AO21+AP21</f>
        <v>0</v>
      </c>
    </row>
    <row r="22" spans="1:73" s="48" customFormat="1" hidden="1">
      <c r="A22" s="1"/>
      <c r="B22" s="1" t="s">
        <v>129</v>
      </c>
      <c r="C22" s="1" t="s">
        <v>128</v>
      </c>
      <c r="D22" s="1" t="s">
        <v>102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>
        <v>5</v>
      </c>
      <c r="U22" s="28"/>
      <c r="V22" s="28"/>
      <c r="W22" s="28"/>
      <c r="X22" s="28"/>
      <c r="Y22" s="28"/>
      <c r="Z22" s="28">
        <v>5</v>
      </c>
      <c r="AA22" s="28">
        <v>2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17</v>
      </c>
      <c r="BQ22" s="1">
        <v>0</v>
      </c>
      <c r="BR22" s="17">
        <v>0</v>
      </c>
      <c r="BS22" s="17"/>
      <c r="BT22">
        <f>SUM(P22:AD22)</f>
        <v>17</v>
      </c>
      <c r="BU22" s="23">
        <f>AF22+AH22+AI22+AJ22+AO22+AP22</f>
        <v>0</v>
      </c>
    </row>
    <row r="23" spans="1:73" hidden="1">
      <c r="A23" s="1"/>
      <c r="B23" s="3" t="s">
        <v>205</v>
      </c>
      <c r="C23" s="3" t="s">
        <v>206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>
        <v>5</v>
      </c>
      <c r="R23" s="28"/>
      <c r="S23" s="28"/>
      <c r="T23" s="28">
        <v>5</v>
      </c>
      <c r="U23" s="28"/>
      <c r="V23" s="28"/>
      <c r="W23" s="28"/>
      <c r="X23" s="28"/>
      <c r="Y23" s="28"/>
      <c r="Z23" s="28">
        <v>5</v>
      </c>
      <c r="AA23" s="28">
        <v>2</v>
      </c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17</v>
      </c>
      <c r="BQ23" s="1">
        <v>0</v>
      </c>
      <c r="BR23" s="17">
        <v>0</v>
      </c>
      <c r="BS23" s="17"/>
      <c r="BT23">
        <f>SUM(P23:AD23)</f>
        <v>17</v>
      </c>
      <c r="BU23" s="23">
        <f>AF23+AH23+AI23+AJ23+AO23+AP23</f>
        <v>0</v>
      </c>
    </row>
    <row r="24" spans="1:73" hidden="1">
      <c r="A24" s="1"/>
      <c r="B24" s="1" t="s">
        <v>125</v>
      </c>
      <c r="C24" s="1" t="s">
        <v>126</v>
      </c>
      <c r="D24" s="1" t="s">
        <v>102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1" t="s">
        <v>132</v>
      </c>
      <c r="C25" s="1" t="s">
        <v>128</v>
      </c>
      <c r="D25" s="1" t="s">
        <v>102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 s="66" customFormat="1" hidden="1">
      <c r="A26" s="1"/>
      <c r="B26" s="3" t="s">
        <v>202</v>
      </c>
      <c r="C26" s="3" t="s">
        <v>50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>
        <v>10</v>
      </c>
      <c r="AC26" s="28">
        <v>5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0</v>
      </c>
      <c r="BR26" s="17">
        <v>0</v>
      </c>
      <c r="BS26" s="17"/>
      <c r="BT26">
        <f>SUM(P26:AD26)</f>
        <v>35</v>
      </c>
      <c r="BU26" s="23">
        <f>AF26+AH26+AI26+AJ26+AO26+AP26</f>
        <v>0</v>
      </c>
    </row>
    <row r="27" spans="1:73" hidden="1">
      <c r="A27" s="1"/>
      <c r="B27" s="3" t="s">
        <v>210</v>
      </c>
      <c r="C27" s="3" t="s">
        <v>99</v>
      </c>
      <c r="D27" s="1" t="s"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>
        <v>10</v>
      </c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0</v>
      </c>
      <c r="BR27" s="17">
        <v>0</v>
      </c>
      <c r="BS27" s="17"/>
      <c r="BT27">
        <f>SUM(P27:AD27)</f>
        <v>35</v>
      </c>
      <c r="BU27" s="23">
        <f>AF27+AH27+AI27+AJ27+AO27+AP27</f>
        <v>0</v>
      </c>
    </row>
    <row r="28" spans="1:73" hidden="1">
      <c r="A28" s="1"/>
      <c r="B28" s="1" t="s">
        <v>118</v>
      </c>
      <c r="C28" s="1" t="s">
        <v>119</v>
      </c>
      <c r="D28" s="1" t="s">
        <v>102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s="58" customFormat="1" hidden="1">
      <c r="A29" s="1"/>
      <c r="B29" s="1" t="s">
        <v>123</v>
      </c>
      <c r="C29" s="1" t="s">
        <v>122</v>
      </c>
      <c r="D29" s="1" t="s">
        <v>102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35</v>
      </c>
      <c r="BQ29" s="1">
        <v>0</v>
      </c>
      <c r="BR29" s="17">
        <v>0</v>
      </c>
      <c r="BS29" s="17"/>
      <c r="BT29">
        <f>SUM(P29:AD29)</f>
        <v>35</v>
      </c>
      <c r="BU29" s="23">
        <f>AF29+AH29+AI29+AJ29+AO29+AP29</f>
        <v>0</v>
      </c>
    </row>
    <row r="30" spans="1:73" hidden="1">
      <c r="A30" s="1"/>
      <c r="B30" s="3" t="s">
        <v>232</v>
      </c>
      <c r="C30" s="3" t="s">
        <v>50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35</v>
      </c>
      <c r="BQ30" s="1">
        <v>0</v>
      </c>
      <c r="BR30" s="17">
        <v>0</v>
      </c>
      <c r="BS30" s="17"/>
      <c r="BT30">
        <f>SUM(P30:AD30)</f>
        <v>35</v>
      </c>
      <c r="BU30" s="23">
        <f>AF30+AH30+AI30+AJ30+AO30+AP30</f>
        <v>0</v>
      </c>
    </row>
    <row r="31" spans="1:73">
      <c r="A31" s="1">
        <v>95</v>
      </c>
      <c r="B31" s="3" t="s">
        <v>66</v>
      </c>
      <c r="C31" s="3" t="s">
        <v>52</v>
      </c>
      <c r="D31" s="1" t="s">
        <v>0</v>
      </c>
      <c r="E31" s="6"/>
      <c r="F31" s="6"/>
      <c r="G31" s="6"/>
      <c r="H31" s="6"/>
      <c r="I31" s="6"/>
      <c r="J31" s="6"/>
      <c r="K31" s="6"/>
      <c r="L31" s="6">
        <v>15</v>
      </c>
      <c r="M31" s="6"/>
      <c r="N31" s="6"/>
      <c r="O31" s="6">
        <v>15</v>
      </c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>
        <v>15</v>
      </c>
      <c r="BB31" s="2">
        <v>15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60</v>
      </c>
      <c r="BQ31" s="1">
        <v>0</v>
      </c>
      <c r="BR31" s="17">
        <v>0</v>
      </c>
      <c r="BS31" s="17"/>
      <c r="BT31">
        <f>SUM(P31:AD31)</f>
        <v>0</v>
      </c>
      <c r="BU31" s="23">
        <f>AF31+AH31+AI31+AJ31+AO31+AP31</f>
        <v>0</v>
      </c>
    </row>
    <row r="32" spans="1:73" hidden="1">
      <c r="A32" s="1"/>
      <c r="B32" s="3" t="s">
        <v>208</v>
      </c>
      <c r="C32" s="3" t="s">
        <v>206</v>
      </c>
      <c r="D32" s="1" t="s"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/>
      <c r="Z32" s="28">
        <v>5</v>
      </c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30</v>
      </c>
      <c r="BQ32" s="1">
        <v>0</v>
      </c>
      <c r="BR32" s="17">
        <v>0</v>
      </c>
      <c r="BS32" s="17"/>
      <c r="BT32">
        <f>SUM(P32:AD32)</f>
        <v>30</v>
      </c>
      <c r="BU32" s="23">
        <f>AF32+AH32+AI32+AJ32+AO32+AP32</f>
        <v>0</v>
      </c>
    </row>
    <row r="33" spans="1:73" hidden="1">
      <c r="A33" s="1"/>
      <c r="B33" s="1" t="s">
        <v>130</v>
      </c>
      <c r="C33" s="1" t="s">
        <v>128</v>
      </c>
      <c r="D33" s="1" t="s">
        <v>102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/>
      <c r="S33" s="28"/>
      <c r="T33" s="28"/>
      <c r="U33" s="28"/>
      <c r="V33" s="28">
        <v>10</v>
      </c>
      <c r="W33" s="28"/>
      <c r="X33" s="28"/>
      <c r="Y33" s="28"/>
      <c r="Z33" s="28">
        <v>5</v>
      </c>
      <c r="AA33" s="28"/>
      <c r="AB33" s="28">
        <v>10</v>
      </c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30</v>
      </c>
      <c r="BQ33" s="1">
        <v>0</v>
      </c>
      <c r="BR33" s="17">
        <v>0</v>
      </c>
      <c r="BS33" s="17"/>
      <c r="BT33">
        <f>SUM(P33:AD33)</f>
        <v>30</v>
      </c>
      <c r="BU33" s="23">
        <f>AF33+AH33+AI33+AJ33+AO33+AP33</f>
        <v>0</v>
      </c>
    </row>
    <row r="34" spans="1:73" hidden="1">
      <c r="A34" s="1"/>
      <c r="B34" s="1" t="s">
        <v>294</v>
      </c>
      <c r="C34" s="1" t="s">
        <v>250</v>
      </c>
      <c r="D34" s="1" t="s">
        <v>251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 s="48" customFormat="1" hidden="1">
      <c r="A35" s="1"/>
      <c r="B35" s="1" t="s">
        <v>249</v>
      </c>
      <c r="C35" s="1" t="s">
        <v>250</v>
      </c>
      <c r="D35" s="1" t="s">
        <v>252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>
        <v>10</v>
      </c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0</v>
      </c>
      <c r="BR35" s="17">
        <v>0</v>
      </c>
      <c r="BS35" s="17"/>
      <c r="BT35">
        <f>SUM(P35:AD35)</f>
        <v>35</v>
      </c>
      <c r="BU35" s="23">
        <f>AF35+AH35+AI35+AJ35+AO35+AP35</f>
        <v>0</v>
      </c>
    </row>
    <row r="36" spans="1:73" hidden="1">
      <c r="A36" s="1"/>
      <c r="B36" s="1" t="s">
        <v>249</v>
      </c>
      <c r="C36" s="1" t="s">
        <v>250</v>
      </c>
      <c r="D36" s="1" t="s">
        <v>253</v>
      </c>
      <c r="E36" s="6">
        <v>5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>
        <v>5</v>
      </c>
      <c r="W36" s="28"/>
      <c r="X36" s="28"/>
      <c r="Y36" s="28">
        <v>5</v>
      </c>
      <c r="Z36" s="28"/>
      <c r="AA36" s="28"/>
      <c r="AB36" s="28"/>
      <c r="AC36" s="28">
        <v>5</v>
      </c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20</v>
      </c>
      <c r="BQ36" s="1">
        <v>0</v>
      </c>
      <c r="BR36" s="17">
        <v>0</v>
      </c>
      <c r="BS36" s="17"/>
      <c r="BT36">
        <f>SUM(P36:AD36)</f>
        <v>15</v>
      </c>
      <c r="BU36" s="23">
        <f>AF36+AH36+AI36+AJ36+AO36+AP36</f>
        <v>0</v>
      </c>
    </row>
    <row r="37" spans="1:73" hidden="1">
      <c r="A37" s="1"/>
      <c r="B37" s="1" t="s">
        <v>254</v>
      </c>
      <c r="C37" s="1" t="s">
        <v>119</v>
      </c>
      <c r="D37" s="1" t="s">
        <v>252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17</v>
      </c>
      <c r="BQ37" s="1">
        <v>0</v>
      </c>
      <c r="BR37" s="17">
        <v>0</v>
      </c>
      <c r="BS37" s="17"/>
      <c r="BT37">
        <f>SUM(P37:AD37)</f>
        <v>17</v>
      </c>
      <c r="BU37" s="23">
        <f>AF37+AH37+AI37+AJ37+AO37+AP37</f>
        <v>0</v>
      </c>
    </row>
    <row r="38" spans="1:73" hidden="1">
      <c r="A38" s="1"/>
      <c r="B38" s="1" t="s">
        <v>255</v>
      </c>
      <c r="C38" s="1" t="s">
        <v>119</v>
      </c>
      <c r="D38" s="1" t="s">
        <v>251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0</v>
      </c>
      <c r="BR38" s="17">
        <v>0</v>
      </c>
      <c r="BS38" s="17"/>
      <c r="BT38">
        <f>SUM(P38:AD38)</f>
        <v>40</v>
      </c>
      <c r="BU38" s="23">
        <f>AF38+AH38+AI38+AJ38+AO38+AP38</f>
        <v>0</v>
      </c>
    </row>
    <row r="39" spans="1:73" hidden="1">
      <c r="A39" s="1"/>
      <c r="B39" s="1" t="s">
        <v>255</v>
      </c>
      <c r="C39" s="1" t="s">
        <v>119</v>
      </c>
      <c r="D39" s="1" t="s">
        <v>252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>
        <v>10</v>
      </c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0</v>
      </c>
      <c r="BR39" s="17">
        <v>0</v>
      </c>
      <c r="BS39" s="17"/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256</v>
      </c>
      <c r="C40" s="1" t="s">
        <v>50</v>
      </c>
      <c r="D40" s="1" t="s">
        <v>251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/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>
        <v>5</v>
      </c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20</v>
      </c>
      <c r="BQ40" s="1">
        <v>0</v>
      </c>
      <c r="BR40" s="17">
        <v>0</v>
      </c>
      <c r="BS40" s="17"/>
      <c r="BT40">
        <f>SUM(P40:AD40)</f>
        <v>20</v>
      </c>
      <c r="BU40" s="23">
        <f>AF40+AH40+AI40+AJ40+AO40+AP40</f>
        <v>0</v>
      </c>
    </row>
    <row r="41" spans="1:73" hidden="1">
      <c r="A41" s="1"/>
      <c r="B41" s="1" t="s">
        <v>257</v>
      </c>
      <c r="C41" s="1" t="s">
        <v>50</v>
      </c>
      <c r="D41" s="1" t="s">
        <v>252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/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>
        <v>2</v>
      </c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0</v>
      </c>
      <c r="BR41" s="17">
        <v>0</v>
      </c>
      <c r="BS41" s="17"/>
      <c r="BT41">
        <f>SUM(P41:AD41)</f>
        <v>17</v>
      </c>
      <c r="BU41" s="23">
        <f>AF41+AH41+AI41+AJ41+AO41+AP41</f>
        <v>0</v>
      </c>
    </row>
    <row r="42" spans="1:73" hidden="1">
      <c r="A42" s="1"/>
      <c r="B42" s="1" t="s">
        <v>261</v>
      </c>
      <c r="C42" s="1" t="s">
        <v>52</v>
      </c>
      <c r="D42" s="1" t="s">
        <v>251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40</v>
      </c>
      <c r="BQ42" s="1">
        <v>0</v>
      </c>
      <c r="BR42" s="17">
        <v>0</v>
      </c>
      <c r="BS42" s="17"/>
      <c r="BT42">
        <f>SUM(P42:AD42)</f>
        <v>40</v>
      </c>
      <c r="BU42" s="23">
        <f>AF42+AH42+AI42+AJ42+AO42+AP42</f>
        <v>0</v>
      </c>
    </row>
    <row r="43" spans="1:73" hidden="1">
      <c r="A43" s="1"/>
      <c r="B43" s="1" t="s">
        <v>261</v>
      </c>
      <c r="C43" s="1" t="s">
        <v>52</v>
      </c>
      <c r="D43" s="1" t="s">
        <v>252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>
        <v>10</v>
      </c>
      <c r="AC43" s="28">
        <v>5</v>
      </c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0</v>
      </c>
      <c r="BR43" s="17">
        <v>0</v>
      </c>
      <c r="BS43" s="17"/>
      <c r="BT43">
        <f>SUM(P43:AD43)</f>
        <v>35</v>
      </c>
      <c r="BU43" s="23">
        <f>AF43+AH43+AI43+AJ43+AO43+AP43</f>
        <v>0</v>
      </c>
    </row>
    <row r="44" spans="1:73">
      <c r="A44" s="59"/>
      <c r="B44" s="59" t="s">
        <v>136</v>
      </c>
      <c r="C44" s="59" t="s">
        <v>99</v>
      </c>
      <c r="D44" s="59" t="s">
        <v>84</v>
      </c>
      <c r="E44" s="60"/>
      <c r="F44" s="60"/>
      <c r="G44" s="60"/>
      <c r="H44" s="60"/>
      <c r="I44" s="60"/>
      <c r="J44" s="60"/>
      <c r="K44" s="60"/>
      <c r="L44" s="60">
        <v>20</v>
      </c>
      <c r="M44" s="60"/>
      <c r="N44" s="60"/>
      <c r="O44" s="60">
        <v>20</v>
      </c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62"/>
      <c r="AR44" s="62"/>
      <c r="AS44" s="62"/>
      <c r="AT44" s="62"/>
      <c r="AU44" s="62"/>
      <c r="AV44" s="62"/>
      <c r="AW44" s="63"/>
      <c r="AX44" s="63"/>
      <c r="AY44" s="63"/>
      <c r="AZ44" s="63"/>
      <c r="BA44" s="63">
        <v>20</v>
      </c>
      <c r="BB44" s="63">
        <v>20</v>
      </c>
      <c r="BC44" s="64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>
        <f>SUM(E44:BO44)</f>
        <v>80</v>
      </c>
      <c r="BQ44" s="59">
        <v>0</v>
      </c>
      <c r="BR44" s="65">
        <v>0</v>
      </c>
      <c r="BS44" s="65"/>
      <c r="BT44">
        <f>SUM(P44:AD44)</f>
        <v>0</v>
      </c>
      <c r="BU44" s="23">
        <f>AF44+AH44+AI44+AJ44+AO44+AP44</f>
        <v>0</v>
      </c>
    </row>
    <row r="45" spans="1:73" hidden="1">
      <c r="A45" s="1"/>
      <c r="B45" s="1" t="s">
        <v>112</v>
      </c>
      <c r="C45" s="1" t="s">
        <v>100</v>
      </c>
      <c r="D45" s="1" t="s">
        <v>101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295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1" t="s">
        <v>117</v>
      </c>
      <c r="C46" s="1" t="s">
        <v>100</v>
      </c>
      <c r="D46" s="1" t="s">
        <v>101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295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1" t="s">
        <v>124</v>
      </c>
      <c r="C47" s="1" t="s">
        <v>122</v>
      </c>
      <c r="D47" s="1" t="s">
        <v>101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295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1" t="s">
        <v>129</v>
      </c>
      <c r="C48" s="1" t="s">
        <v>128</v>
      </c>
      <c r="D48" s="1" t="s">
        <v>101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1</v>
      </c>
      <c r="BR48" s="17">
        <v>1</v>
      </c>
      <c r="BS48" s="17" t="s">
        <v>295</v>
      </c>
      <c r="BT48">
        <f>SUM(P48:AD48)</f>
        <v>35</v>
      </c>
      <c r="BU48" s="23">
        <f>AF48+AH48+AI48+AJ48+AO48+AP48</f>
        <v>0</v>
      </c>
    </row>
    <row r="49" spans="1:73" hidden="1">
      <c r="A49" s="1"/>
      <c r="B49" s="3" t="s">
        <v>203</v>
      </c>
      <c r="C49" s="3" t="s">
        <v>24</v>
      </c>
      <c r="D49" s="1" t="s">
        <v>200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35</v>
      </c>
      <c r="BQ49" s="1">
        <v>1</v>
      </c>
      <c r="BR49" s="17">
        <v>1</v>
      </c>
      <c r="BS49" s="17" t="s">
        <v>295</v>
      </c>
      <c r="BT49">
        <f>SUM(P49:AD49)</f>
        <v>35</v>
      </c>
      <c r="BU49" s="23">
        <f>AF49+AH49+AI49+AJ49+AO49+AP49</f>
        <v>0</v>
      </c>
    </row>
    <row r="50" spans="1:73" hidden="1">
      <c r="A50" s="1"/>
      <c r="B50" s="3" t="s">
        <v>205</v>
      </c>
      <c r="C50" s="3" t="s">
        <v>206</v>
      </c>
      <c r="D50" s="1" t="s">
        <v>200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35</v>
      </c>
      <c r="BQ50" s="1">
        <v>1</v>
      </c>
      <c r="BR50" s="17">
        <v>1</v>
      </c>
      <c r="BS50" s="17" t="s">
        <v>295</v>
      </c>
      <c r="BT50">
        <f>SUM(P50:AD50)</f>
        <v>35</v>
      </c>
      <c r="BU50" s="23">
        <f>AF50+AH50+AI50+AJ50+AO50+AP50</f>
        <v>0</v>
      </c>
    </row>
    <row r="51" spans="1:73" hidden="1">
      <c r="A51" s="1"/>
      <c r="B51" s="3" t="s">
        <v>207</v>
      </c>
      <c r="C51" s="3" t="s">
        <v>206</v>
      </c>
      <c r="D51" s="1" t="s">
        <v>200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35</v>
      </c>
      <c r="BQ51" s="1">
        <v>1</v>
      </c>
      <c r="BR51" s="17">
        <v>1</v>
      </c>
      <c r="BS51" s="17" t="s">
        <v>295</v>
      </c>
      <c r="BT51">
        <f>SUM(P51:AD51)</f>
        <v>35</v>
      </c>
      <c r="BU51" s="23">
        <f>AF51+AH51+AI51+AJ51+AO51+AP51</f>
        <v>0</v>
      </c>
    </row>
    <row r="52" spans="1:73" hidden="1">
      <c r="A52" s="1"/>
      <c r="B52" s="3" t="s">
        <v>209</v>
      </c>
      <c r="C52" s="3" t="s">
        <v>99</v>
      </c>
      <c r="D52" s="1" t="s">
        <v>200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35</v>
      </c>
      <c r="BQ52" s="1">
        <v>1</v>
      </c>
      <c r="BR52" s="17">
        <v>1</v>
      </c>
      <c r="BS52" s="17" t="s">
        <v>295</v>
      </c>
      <c r="BT52">
        <f>SUM(P52:AD52)</f>
        <v>35</v>
      </c>
      <c r="BU52" s="23">
        <f>AF52+AH52+AI52+AJ52+AO52+AP52</f>
        <v>0</v>
      </c>
    </row>
    <row r="53" spans="1:73" hidden="1">
      <c r="A53" s="1"/>
      <c r="B53" s="3" t="s">
        <v>211</v>
      </c>
      <c r="C53" s="3" t="s">
        <v>99</v>
      </c>
      <c r="D53" s="1" t="s">
        <v>200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35</v>
      </c>
      <c r="BQ53" s="1">
        <v>1</v>
      </c>
      <c r="BR53" s="17">
        <v>1</v>
      </c>
      <c r="BS53" s="17" t="s">
        <v>295</v>
      </c>
      <c r="BT53">
        <f>SUM(P53:AD53)</f>
        <v>35</v>
      </c>
      <c r="BU53" s="23">
        <f>AF53+AH53+AI53+AJ53+AO53+AP53</f>
        <v>0</v>
      </c>
    </row>
    <row r="54" spans="1:73" hidden="1">
      <c r="A54" s="1"/>
      <c r="B54" s="3" t="s">
        <v>199</v>
      </c>
      <c r="C54" s="3" t="s">
        <v>50</v>
      </c>
      <c r="D54" s="1" t="s">
        <v>201</v>
      </c>
      <c r="E54" s="6"/>
      <c r="F54" s="6"/>
      <c r="G54" s="6"/>
      <c r="H54" s="6"/>
      <c r="I54" s="6"/>
      <c r="J54" s="6"/>
      <c r="K54" s="6"/>
      <c r="L54" s="6"/>
      <c r="M54" s="6">
        <v>10</v>
      </c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>
        <v>10</v>
      </c>
      <c r="AB54" s="28"/>
      <c r="AC54" s="28"/>
      <c r="AD54" s="28">
        <v>10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>
        <v>10</v>
      </c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40</v>
      </c>
      <c r="BQ54" s="1">
        <v>1</v>
      </c>
      <c r="BR54" s="17">
        <v>1</v>
      </c>
      <c r="BS54" s="17" t="s">
        <v>296</v>
      </c>
      <c r="BT54">
        <f>SUM(P54:AD54)</f>
        <v>20</v>
      </c>
      <c r="BU54" s="23">
        <f>AF54+AH54+AI54+AJ54+AO54+AP54</f>
        <v>0</v>
      </c>
    </row>
    <row r="55" spans="1:73" hidden="1">
      <c r="A55" s="1"/>
      <c r="B55" s="3" t="s">
        <v>203</v>
      </c>
      <c r="C55" s="3" t="s">
        <v>24</v>
      </c>
      <c r="D55" s="1" t="s">
        <v>201</v>
      </c>
      <c r="E55" s="6"/>
      <c r="F55" s="6"/>
      <c r="G55" s="6"/>
      <c r="H55" s="6"/>
      <c r="I55" s="6"/>
      <c r="J55" s="6"/>
      <c r="K55" s="6"/>
      <c r="L55" s="6"/>
      <c r="M55" s="6">
        <v>10</v>
      </c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>
        <v>10</v>
      </c>
      <c r="AB55" s="28"/>
      <c r="AC55" s="28"/>
      <c r="AD55" s="28">
        <v>10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10</v>
      </c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40</v>
      </c>
      <c r="BQ55" s="1">
        <v>1</v>
      </c>
      <c r="BR55" s="17">
        <v>1</v>
      </c>
      <c r="BS55" s="17" t="s">
        <v>296</v>
      </c>
      <c r="BT55">
        <f>SUM(P55:AD55)</f>
        <v>20</v>
      </c>
      <c r="BU55" s="23">
        <f>AF55+AH55+AI55+AJ55+AO55+AP55</f>
        <v>0</v>
      </c>
    </row>
    <row r="56" spans="1:73" hidden="1">
      <c r="A56" s="1"/>
      <c r="B56" s="3" t="s">
        <v>207</v>
      </c>
      <c r="C56" s="3" t="s">
        <v>206</v>
      </c>
      <c r="D56" s="1" t="s">
        <v>201</v>
      </c>
      <c r="E56" s="6"/>
      <c r="F56" s="6"/>
      <c r="G56" s="6"/>
      <c r="H56" s="6"/>
      <c r="I56" s="6"/>
      <c r="J56" s="6"/>
      <c r="K56" s="6"/>
      <c r="L56" s="6"/>
      <c r="M56" s="6">
        <v>10</v>
      </c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>
        <v>10</v>
      </c>
      <c r="AB56" s="28"/>
      <c r="AC56" s="28"/>
      <c r="AD56" s="28">
        <v>10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>
        <v>10</v>
      </c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40</v>
      </c>
      <c r="BQ56" s="1">
        <v>1</v>
      </c>
      <c r="BR56" s="17">
        <v>1</v>
      </c>
      <c r="BS56" s="17" t="s">
        <v>296</v>
      </c>
      <c r="BT56">
        <f>SUM(P56:AD56)</f>
        <v>20</v>
      </c>
      <c r="BU56" s="23">
        <f>AF56+AH56+AI56+AJ56+AO56+AP56</f>
        <v>0</v>
      </c>
    </row>
    <row r="57" spans="1:73" hidden="1">
      <c r="A57" s="1"/>
      <c r="B57" s="3" t="s">
        <v>209</v>
      </c>
      <c r="C57" s="3" t="s">
        <v>99</v>
      </c>
      <c r="D57" s="1" t="s">
        <v>201</v>
      </c>
      <c r="E57" s="6"/>
      <c r="F57" s="6"/>
      <c r="G57" s="6"/>
      <c r="H57" s="6"/>
      <c r="I57" s="6"/>
      <c r="J57" s="6"/>
      <c r="K57" s="6"/>
      <c r="L57" s="6"/>
      <c r="M57" s="6">
        <v>10</v>
      </c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>
        <v>10</v>
      </c>
      <c r="AB57" s="28"/>
      <c r="AC57" s="28"/>
      <c r="AD57" s="28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>
        <v>10</v>
      </c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</v>
      </c>
      <c r="BR57" s="17">
        <v>1</v>
      </c>
      <c r="BS57" s="17" t="s">
        <v>296</v>
      </c>
      <c r="BT57">
        <f>SUM(P57:AD57)</f>
        <v>20</v>
      </c>
      <c r="BU57" s="23">
        <f>AF57+AH57+AI57+AJ57+AO57+AP57</f>
        <v>0</v>
      </c>
    </row>
    <row r="58" spans="1:73" hidden="1">
      <c r="A58" s="1"/>
      <c r="B58" s="3" t="s">
        <v>199</v>
      </c>
      <c r="C58" s="3" t="s">
        <v>50</v>
      </c>
      <c r="D58" s="1" t="s">
        <v>200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>
        <v>5</v>
      </c>
      <c r="X58" s="28"/>
      <c r="Y58" s="28"/>
      <c r="Z58" s="28"/>
      <c r="AA58" s="28"/>
      <c r="AB58" s="28"/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20</v>
      </c>
      <c r="BQ58" s="1">
        <v>1</v>
      </c>
      <c r="BR58" s="17">
        <v>1</v>
      </c>
      <c r="BS58" s="17" t="s">
        <v>295</v>
      </c>
      <c r="BT58">
        <f>SUM(P58:AD58)</f>
        <v>20</v>
      </c>
      <c r="BU58" s="23">
        <f>AF58+AH58+AI58+AJ58+AO58+AP58</f>
        <v>0</v>
      </c>
    </row>
    <row r="59" spans="1:73" hidden="1">
      <c r="A59" s="1"/>
      <c r="B59" s="1" t="s">
        <v>254</v>
      </c>
      <c r="C59" s="1" t="s">
        <v>119</v>
      </c>
      <c r="D59" s="1" t="s">
        <v>251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>
        <v>10</v>
      </c>
      <c r="Q59" s="28"/>
      <c r="R59" s="28"/>
      <c r="S59" s="28">
        <v>10</v>
      </c>
      <c r="T59" s="28"/>
      <c r="U59" s="28"/>
      <c r="V59" s="28"/>
      <c r="W59" s="28">
        <v>5</v>
      </c>
      <c r="X59" s="28"/>
      <c r="Y59" s="28"/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35</v>
      </c>
      <c r="BQ59" s="1">
        <v>1</v>
      </c>
      <c r="BR59" s="17">
        <v>1</v>
      </c>
      <c r="BS59" s="17" t="s">
        <v>295</v>
      </c>
      <c r="BT59">
        <f>SUM(P59:AD59)</f>
        <v>35</v>
      </c>
      <c r="BU59" s="23">
        <f>AF59+AH59+AI59+AJ59+AO59+AP59</f>
        <v>0</v>
      </c>
    </row>
    <row r="60" spans="1:73" hidden="1">
      <c r="A60" s="1"/>
      <c r="B60" s="1" t="s">
        <v>257</v>
      </c>
      <c r="C60" s="1" t="s">
        <v>50</v>
      </c>
      <c r="D60" s="1" t="s">
        <v>251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>
        <v>10</v>
      </c>
      <c r="Q60" s="28"/>
      <c r="R60" s="28"/>
      <c r="S60" s="28">
        <v>10</v>
      </c>
      <c r="T60" s="28"/>
      <c r="U60" s="28"/>
      <c r="V60" s="28"/>
      <c r="W60" s="28">
        <v>5</v>
      </c>
      <c r="X60" s="28"/>
      <c r="Y60" s="28"/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35</v>
      </c>
      <c r="BQ60" s="1">
        <v>1</v>
      </c>
      <c r="BR60" s="17">
        <v>1</v>
      </c>
      <c r="BS60" s="17" t="s">
        <v>295</v>
      </c>
      <c r="BT60">
        <f>SUM(P60:AD60)</f>
        <v>35</v>
      </c>
      <c r="BU60" s="23">
        <f>AF60+AH60+AI60+AJ60+AO60+AP60</f>
        <v>0</v>
      </c>
    </row>
    <row r="61" spans="1:73" hidden="1">
      <c r="A61" s="1"/>
      <c r="B61" s="1" t="s">
        <v>258</v>
      </c>
      <c r="C61" s="1" t="s">
        <v>50</v>
      </c>
      <c r="D61" s="1" t="s">
        <v>251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35</v>
      </c>
      <c r="BQ61" s="1">
        <v>1</v>
      </c>
      <c r="BR61" s="17">
        <v>1</v>
      </c>
      <c r="BS61" s="17" t="s">
        <v>295</v>
      </c>
      <c r="BT61">
        <f>SUM(P61:AD61)</f>
        <v>35</v>
      </c>
      <c r="BU61" s="23">
        <f>AF61+AH61+AI61+AJ61+AO61+AP61</f>
        <v>0</v>
      </c>
    </row>
    <row r="62" spans="1:73" hidden="1">
      <c r="A62" s="1"/>
      <c r="B62" s="1" t="s">
        <v>259</v>
      </c>
      <c r="C62" s="1" t="s">
        <v>52</v>
      </c>
      <c r="D62" s="1" t="s">
        <v>251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>
        <v>5</v>
      </c>
      <c r="U62" s="28"/>
      <c r="V62" s="28"/>
      <c r="W62" s="28">
        <v>5</v>
      </c>
      <c r="X62" s="28"/>
      <c r="Y62" s="28"/>
      <c r="Z62" s="28">
        <v>5</v>
      </c>
      <c r="AA62" s="28"/>
      <c r="AB62" s="28"/>
      <c r="AC62" s="28">
        <v>5</v>
      </c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20</v>
      </c>
      <c r="BQ62" s="1">
        <v>1</v>
      </c>
      <c r="BR62" s="17">
        <v>1</v>
      </c>
      <c r="BS62" s="17" t="s">
        <v>295</v>
      </c>
      <c r="BT62">
        <f>SUM(P62:AD62)</f>
        <v>20</v>
      </c>
      <c r="BU62" s="23">
        <f>AF62+AH62+AI62+AJ62+AO62+AP62</f>
        <v>0</v>
      </c>
    </row>
    <row r="63" spans="1:73" hidden="1">
      <c r="A63" s="1"/>
      <c r="B63" s="1" t="s">
        <v>260</v>
      </c>
      <c r="C63" s="1" t="s">
        <v>52</v>
      </c>
      <c r="D63" s="1" t="s">
        <v>251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>
        <v>5</v>
      </c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</v>
      </c>
      <c r="BQ63" s="1">
        <v>1</v>
      </c>
      <c r="BR63" s="17">
        <v>1</v>
      </c>
      <c r="BS63" s="17" t="s">
        <v>295</v>
      </c>
      <c r="BT63">
        <f>SUM(P63:AD63)</f>
        <v>20</v>
      </c>
      <c r="BU63" s="23">
        <f>AF63+AH63+AI63+AJ63+AO63+AP63</f>
        <v>0</v>
      </c>
    </row>
    <row r="64" spans="1:73" s="66" customFormat="1" hidden="1">
      <c r="A64" s="1"/>
      <c r="B64" s="1" t="s">
        <v>274</v>
      </c>
      <c r="C64" s="1" t="s">
        <v>36</v>
      </c>
      <c r="D64" s="1" t="s">
        <v>271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/>
      <c r="W64" s="28">
        <v>5</v>
      </c>
      <c r="X64" s="28"/>
      <c r="Y64" s="28"/>
      <c r="Z64" s="28">
        <v>5</v>
      </c>
      <c r="AA64" s="28"/>
      <c r="AB64" s="28"/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20</v>
      </c>
      <c r="BQ64" s="1">
        <v>1</v>
      </c>
      <c r="BR64" s="17">
        <v>1</v>
      </c>
      <c r="BS64" s="17" t="s">
        <v>295</v>
      </c>
      <c r="BT64">
        <f>SUM(P64:AD64)</f>
        <v>20</v>
      </c>
      <c r="BU64" s="23">
        <f>AF64+AH64+AI64+AJ64+AO64+AP64</f>
        <v>0</v>
      </c>
    </row>
    <row r="65" spans="1:73" hidden="1">
      <c r="A65" s="59"/>
      <c r="B65" s="59" t="s">
        <v>197</v>
      </c>
      <c r="C65" s="59" t="s">
        <v>128</v>
      </c>
      <c r="D65" s="59" t="s">
        <v>102</v>
      </c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1"/>
      <c r="Q65" s="61"/>
      <c r="R65" s="61"/>
      <c r="S65" s="61"/>
      <c r="T65" s="61"/>
      <c r="U65" s="61">
        <v>2</v>
      </c>
      <c r="V65" s="61"/>
      <c r="W65" s="61"/>
      <c r="X65" s="61"/>
      <c r="Y65" s="61"/>
      <c r="Z65" s="61"/>
      <c r="AA65" s="61">
        <v>2</v>
      </c>
      <c r="AB65" s="61"/>
      <c r="AC65" s="61">
        <v>5</v>
      </c>
      <c r="AD65" s="61">
        <v>2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62"/>
      <c r="AR65" s="62"/>
      <c r="AS65" s="62"/>
      <c r="AT65" s="62"/>
      <c r="AU65" s="62"/>
      <c r="AV65" s="62"/>
      <c r="AW65" s="63"/>
      <c r="AX65" s="63"/>
      <c r="AY65" s="63"/>
      <c r="AZ65" s="63"/>
      <c r="BA65" s="63"/>
      <c r="BB65" s="63"/>
      <c r="BC65" s="64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>
        <f>SUM(E65:BO65)</f>
        <v>11</v>
      </c>
      <c r="BQ65" s="59">
        <v>1</v>
      </c>
      <c r="BR65" s="65">
        <v>1</v>
      </c>
      <c r="BS65" s="65" t="s">
        <v>287</v>
      </c>
      <c r="BT65">
        <f>SUM(P65:AD65)</f>
        <v>11</v>
      </c>
      <c r="BU65" s="23">
        <f>AF65+AH65+AI65+AJ65+AO65+AP65</f>
        <v>0</v>
      </c>
    </row>
    <row r="66" spans="1:73" hidden="1">
      <c r="A66" s="1"/>
      <c r="B66" s="1" t="s">
        <v>112</v>
      </c>
      <c r="C66" s="1" t="s">
        <v>100</v>
      </c>
      <c r="D66" s="1" t="s">
        <v>102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>
        <v>2</v>
      </c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1</v>
      </c>
      <c r="BR66" s="17">
        <v>1</v>
      </c>
      <c r="BS66" s="17" t="s">
        <v>283</v>
      </c>
      <c r="BT66">
        <f>SUM(P66:AD66)</f>
        <v>17</v>
      </c>
      <c r="BU66" s="23">
        <f>AF66+AH66+AI66+AJ66+AO66+AP66</f>
        <v>0</v>
      </c>
    </row>
    <row r="67" spans="1:73" hidden="1">
      <c r="A67" s="1"/>
      <c r="B67" s="1" t="s">
        <v>117</v>
      </c>
      <c r="C67" s="1" t="s">
        <v>100</v>
      </c>
      <c r="D67" s="1" t="s">
        <v>102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>
        <v>2</v>
      </c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1</v>
      </c>
      <c r="BR67" s="17">
        <v>1</v>
      </c>
      <c r="BS67" s="17" t="s">
        <v>283</v>
      </c>
      <c r="BT67">
        <f>SUM(P67:AD67)</f>
        <v>17</v>
      </c>
      <c r="BU67" s="23">
        <f>AF67+AH67+AI67+AJ67+AO67+AP67</f>
        <v>0</v>
      </c>
    </row>
    <row r="68" spans="1:73" hidden="1">
      <c r="A68" s="1"/>
      <c r="B68" s="1" t="s">
        <v>124</v>
      </c>
      <c r="C68" s="1" t="s">
        <v>122</v>
      </c>
      <c r="D68" s="1" t="s">
        <v>102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1</v>
      </c>
      <c r="BR68" s="17">
        <v>1</v>
      </c>
      <c r="BS68" s="17" t="s">
        <v>283</v>
      </c>
      <c r="BT68">
        <f>SUM(P68:AD68)</f>
        <v>17</v>
      </c>
      <c r="BU68" s="23">
        <f>AF68+AH68+AI68+AJ68+AO68+AP68</f>
        <v>0</v>
      </c>
    </row>
    <row r="69" spans="1:73" hidden="1">
      <c r="A69" s="1"/>
      <c r="B69" s="3" t="s">
        <v>211</v>
      </c>
      <c r="C69" s="3" t="s">
        <v>99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>
        <v>2</v>
      </c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1</v>
      </c>
      <c r="BR69" s="17">
        <v>1</v>
      </c>
      <c r="BS69" s="17" t="s">
        <v>283</v>
      </c>
      <c r="BT69">
        <f>SUM(P69:AD69)</f>
        <v>17</v>
      </c>
      <c r="BU69" s="23">
        <f>AF69+AH69+AI69+AJ69+AO69+AP69</f>
        <v>0</v>
      </c>
    </row>
    <row r="70" spans="1:73" hidden="1">
      <c r="A70" s="1"/>
      <c r="B70" s="1" t="s">
        <v>258</v>
      </c>
      <c r="C70" s="1" t="s">
        <v>50</v>
      </c>
      <c r="D70" s="1" t="s">
        <v>252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>
        <v>2</v>
      </c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1</v>
      </c>
      <c r="BR70" s="17">
        <v>1</v>
      </c>
      <c r="BS70" s="17" t="s">
        <v>298</v>
      </c>
      <c r="BT70">
        <f>SUM(P70:AD70)</f>
        <v>17</v>
      </c>
      <c r="BU70" s="23">
        <f>AF70+AH70+AI70+AJ70+AO70+AP70</f>
        <v>0</v>
      </c>
    </row>
    <row r="71" spans="1:73">
      <c r="A71" s="18">
        <v>63</v>
      </c>
      <c r="B71" s="30" t="s">
        <v>48</v>
      </c>
      <c r="C71" s="18" t="s">
        <v>43</v>
      </c>
      <c r="D71" s="18" t="s">
        <v>18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/>
      <c r="AG71" s="18"/>
      <c r="AH71" s="18"/>
      <c r="AI71" s="18"/>
      <c r="AJ71" s="18"/>
      <c r="AK71" s="18"/>
      <c r="AL71" s="18"/>
      <c r="AM71" s="18"/>
      <c r="AN71" s="18">
        <v>5</v>
      </c>
      <c r="AO71" s="18"/>
      <c r="AP71" s="18"/>
      <c r="AQ71" s="20"/>
      <c r="AR71" s="20"/>
      <c r="AS71" s="20"/>
      <c r="AT71" s="20"/>
      <c r="AU71" s="20"/>
      <c r="AV71" s="20"/>
      <c r="AW71" s="21"/>
      <c r="AX71" s="21"/>
      <c r="AY71" s="21"/>
      <c r="AZ71" s="21"/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>
        <f>SUM(E71:BO71)</f>
        <v>5</v>
      </c>
      <c r="BQ71" s="18">
        <v>1</v>
      </c>
      <c r="BR71" s="22">
        <v>1</v>
      </c>
      <c r="BS71" s="22" t="s">
        <v>262</v>
      </c>
      <c r="BT71">
        <f>SUM(P71:AD71)</f>
        <v>0</v>
      </c>
      <c r="BU71" s="23">
        <f>AF71+AH71+AI71+AJ71+AO71+AP71</f>
        <v>0</v>
      </c>
    </row>
    <row r="72" spans="1:73">
      <c r="A72" s="18">
        <v>90</v>
      </c>
      <c r="B72" s="30" t="s">
        <v>64</v>
      </c>
      <c r="C72" s="30" t="s">
        <v>63</v>
      </c>
      <c r="D72" s="18" t="s">
        <v>18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/>
      <c r="AJ72" s="18"/>
      <c r="AK72" s="18"/>
      <c r="AL72" s="18"/>
      <c r="AM72" s="18"/>
      <c r="AN72" s="18">
        <v>5</v>
      </c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>
        <f>SUM(E72:BO72)</f>
        <v>5</v>
      </c>
      <c r="BQ72" s="18">
        <v>1</v>
      </c>
      <c r="BR72" s="22">
        <v>1</v>
      </c>
      <c r="BS72" s="22" t="s">
        <v>262</v>
      </c>
      <c r="BT72">
        <f>SUM(P72:AD72)</f>
        <v>0</v>
      </c>
      <c r="BU72" s="23">
        <f>AF72+AH72+AI72+AJ72+AO72+AP72</f>
        <v>0</v>
      </c>
    </row>
    <row r="73" spans="1:73">
      <c r="A73" s="1">
        <v>18</v>
      </c>
      <c r="B73" s="1" t="s">
        <v>26</v>
      </c>
      <c r="C73" s="1" t="s">
        <v>24</v>
      </c>
      <c r="D73" s="1" t="s">
        <v>19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>
        <v>5</v>
      </c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5</v>
      </c>
      <c r="BQ73" s="1">
        <v>1</v>
      </c>
      <c r="BR73" s="17">
        <v>1</v>
      </c>
      <c r="BS73" s="17" t="s">
        <v>299</v>
      </c>
      <c r="BT73">
        <f>SUM(P73:AD73)</f>
        <v>0</v>
      </c>
      <c r="BU73" s="23">
        <f>AF73+AH73+AI73+AJ73+AO73+AP73</f>
        <v>0</v>
      </c>
    </row>
    <row r="74" spans="1:73" hidden="1">
      <c r="A74" s="1"/>
      <c r="B74" s="3" t="s">
        <v>292</v>
      </c>
      <c r="C74" s="3" t="s">
        <v>204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2</v>
      </c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11</v>
      </c>
      <c r="BQ74" s="1">
        <v>2</v>
      </c>
      <c r="BR74" s="17">
        <v>1</v>
      </c>
      <c r="BS74" s="17" t="s">
        <v>284</v>
      </c>
      <c r="BT74">
        <f>SUM(P74:AD74)</f>
        <v>11</v>
      </c>
      <c r="BU74" s="23">
        <f>AF74+AH74+AI74+AJ74+AO74+AP74</f>
        <v>0</v>
      </c>
    </row>
    <row r="75" spans="1:73" hidden="1">
      <c r="A75" s="1"/>
      <c r="B75" s="1" t="s">
        <v>286</v>
      </c>
      <c r="C75" s="1" t="s">
        <v>126</v>
      </c>
      <c r="D75" s="1" t="s">
        <v>102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>
        <v>2</v>
      </c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2</v>
      </c>
      <c r="BR75" s="17">
        <v>1</v>
      </c>
      <c r="BS75" s="17" t="s">
        <v>284</v>
      </c>
      <c r="BT75">
        <f>SUM(P75:AD75)</f>
        <v>17</v>
      </c>
      <c r="BU75" s="23">
        <f>AF75+AH75+AI75+AJ75+AO75+AP75</f>
        <v>0</v>
      </c>
    </row>
    <row r="76" spans="1:73" hidden="1">
      <c r="A76" s="1"/>
      <c r="B76" s="3" t="s">
        <v>203</v>
      </c>
      <c r="C76" s="3" t="s">
        <v>24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>
        <v>2</v>
      </c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2</v>
      </c>
      <c r="BR76" s="17">
        <v>1</v>
      </c>
      <c r="BS76" s="17" t="s">
        <v>284</v>
      </c>
      <c r="BT76">
        <f>SUM(P76:AD76)</f>
        <v>17</v>
      </c>
      <c r="BU76" s="23">
        <f>AF76+AH76+AI76+AJ76+AO76+AP76</f>
        <v>0</v>
      </c>
    </row>
    <row r="77" spans="1:73" hidden="1">
      <c r="A77" s="1"/>
      <c r="B77" s="3" t="s">
        <v>207</v>
      </c>
      <c r="C77" s="3" t="s">
        <v>206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>
        <v>2</v>
      </c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2</v>
      </c>
      <c r="BR77" s="17">
        <v>1</v>
      </c>
      <c r="BS77" s="17" t="s">
        <v>284</v>
      </c>
      <c r="BT77">
        <f>SUM(P77:AD77)</f>
        <v>17</v>
      </c>
      <c r="BU77" s="23">
        <f>AF77+AH77+AI77+AJ77+AO77+AP77</f>
        <v>0</v>
      </c>
    </row>
    <row r="78" spans="1:73" s="58" customFormat="1" hidden="1">
      <c r="A78" s="1"/>
      <c r="B78" s="3" t="s">
        <v>209</v>
      </c>
      <c r="C78" s="3" t="s">
        <v>99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>
        <v>2</v>
      </c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2</v>
      </c>
      <c r="BR78" s="17">
        <v>1</v>
      </c>
      <c r="BS78" s="17" t="s">
        <v>284</v>
      </c>
      <c r="BT78">
        <f>SUM(P78:AD78)</f>
        <v>17</v>
      </c>
      <c r="BU78" s="23">
        <f>AF78+AH78+AI78+AJ78+AO78+AP78</f>
        <v>0</v>
      </c>
    </row>
    <row r="79" spans="1:73" hidden="1">
      <c r="A79" s="1"/>
      <c r="B79" s="1" t="s">
        <v>259</v>
      </c>
      <c r="C79" s="1" t="s">
        <v>52</v>
      </c>
      <c r="D79" s="1" t="s">
        <v>252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/>
      <c r="U79" s="28"/>
      <c r="V79" s="28"/>
      <c r="W79" s="28"/>
      <c r="X79" s="28">
        <v>2</v>
      </c>
      <c r="Y79" s="28"/>
      <c r="Z79" s="28"/>
      <c r="AA79" s="28">
        <v>2</v>
      </c>
      <c r="AB79" s="28"/>
      <c r="AC79" s="28"/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11</v>
      </c>
      <c r="BQ79" s="1">
        <v>2</v>
      </c>
      <c r="BR79" s="17">
        <v>1</v>
      </c>
      <c r="BS79" s="17" t="s">
        <v>284</v>
      </c>
      <c r="BT79">
        <f>SUM(P79:AD79)</f>
        <v>11</v>
      </c>
      <c r="BU79" s="23">
        <f>AF79+AH79+AI79+AJ79+AO79+AP79</f>
        <v>0</v>
      </c>
    </row>
    <row r="80" spans="1:73" hidden="1">
      <c r="A80" s="1"/>
      <c r="B80" s="1" t="s">
        <v>260</v>
      </c>
      <c r="C80" s="1" t="s">
        <v>52</v>
      </c>
      <c r="D80" s="1" t="s">
        <v>252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2</v>
      </c>
      <c r="Y80" s="28"/>
      <c r="Z80" s="28"/>
      <c r="AA80" s="28">
        <v>2</v>
      </c>
      <c r="AB80" s="28"/>
      <c r="AC80" s="28">
        <v>5</v>
      </c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11</v>
      </c>
      <c r="BQ80" s="1">
        <v>2</v>
      </c>
      <c r="BR80" s="17">
        <v>1</v>
      </c>
      <c r="BS80" s="17" t="s">
        <v>284</v>
      </c>
      <c r="BT80">
        <f>SUM(P80:AD80)</f>
        <v>11</v>
      </c>
      <c r="BU80" s="23">
        <f>AF80+AH80+AI80+AJ80+AO80+AP80</f>
        <v>0</v>
      </c>
    </row>
    <row r="81" spans="1:73" hidden="1">
      <c r="A81" s="1"/>
      <c r="B81" s="1" t="s">
        <v>293</v>
      </c>
      <c r="C81" s="1" t="s">
        <v>52</v>
      </c>
      <c r="D81" s="1" t="s">
        <v>272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2</v>
      </c>
      <c r="Y81" s="28"/>
      <c r="Z81" s="28"/>
      <c r="AA81" s="28">
        <v>2</v>
      </c>
      <c r="AB81" s="28"/>
      <c r="AC81" s="28">
        <v>5</v>
      </c>
      <c r="AD81" s="28">
        <v>2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11</v>
      </c>
      <c r="BQ81" s="1">
        <v>2</v>
      </c>
      <c r="BR81" s="17">
        <v>1</v>
      </c>
      <c r="BS81" s="17" t="s">
        <v>284</v>
      </c>
      <c r="BT81">
        <f>SUM(P81:AD81)</f>
        <v>11</v>
      </c>
      <c r="BU81" s="23">
        <f>AF81+AH81+AI81+AJ81+AO81+AP81</f>
        <v>0</v>
      </c>
    </row>
    <row r="82" spans="1:73" hidden="1">
      <c r="A82" s="18"/>
      <c r="B82" s="18" t="s">
        <v>94</v>
      </c>
      <c r="C82" s="18" t="s">
        <v>87</v>
      </c>
      <c r="D82" s="18" t="s">
        <v>91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>
        <v>2</v>
      </c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">
        <f>SUM(E82:BO82)</f>
        <v>2</v>
      </c>
      <c r="BQ82" s="18">
        <v>2</v>
      </c>
      <c r="BR82" s="22">
        <v>1</v>
      </c>
      <c r="BS82" s="22" t="s">
        <v>288</v>
      </c>
      <c r="BT82">
        <f>SUM(P82:AD82)</f>
        <v>0</v>
      </c>
      <c r="BU82" s="23">
        <f>AF82+AH82+AI82+AJ82+AO82+AP82</f>
        <v>2</v>
      </c>
    </row>
    <row r="83" spans="1:73" hidden="1">
      <c r="A83" s="18"/>
      <c r="B83" s="18" t="s">
        <v>173</v>
      </c>
      <c r="C83" s="18" t="s">
        <v>24</v>
      </c>
      <c r="D83" s="18" t="s">
        <v>174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>
        <v>3</v>
      </c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3</v>
      </c>
      <c r="BQ83" s="18">
        <v>3</v>
      </c>
      <c r="BR83" s="22">
        <v>1</v>
      </c>
      <c r="BS83" s="22" t="s">
        <v>243</v>
      </c>
      <c r="BT83">
        <f>SUM(P83:AD83)</f>
        <v>0</v>
      </c>
      <c r="BU83" s="23">
        <f>AF83+AH83+AI83+AJ83+AO83+AP83</f>
        <v>3</v>
      </c>
    </row>
    <row r="84" spans="1:73">
      <c r="A84" s="1"/>
      <c r="B84" s="1" t="s">
        <v>237</v>
      </c>
      <c r="C84" s="1" t="s">
        <v>95</v>
      </c>
      <c r="D84" s="1" t="s">
        <v>238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>
        <v>40</v>
      </c>
      <c r="AV84" s="4"/>
      <c r="AW84" s="2"/>
      <c r="AX84" s="2"/>
      <c r="AY84" s="2">
        <v>40</v>
      </c>
      <c r="AZ84" s="2">
        <v>40</v>
      </c>
      <c r="BA84" s="2"/>
      <c r="BB84" s="2"/>
      <c r="BC84" s="14">
        <v>10</v>
      </c>
      <c r="BD84" s="1"/>
      <c r="BE84" s="1"/>
      <c r="BF84" s="1"/>
      <c r="BG84" s="1"/>
      <c r="BH84" s="1"/>
      <c r="BI84" s="1">
        <v>50</v>
      </c>
      <c r="BJ84" s="1"/>
      <c r="BK84" s="1"/>
      <c r="BL84" s="1"/>
      <c r="BM84" s="1"/>
      <c r="BN84" s="1"/>
      <c r="BO84" s="1"/>
      <c r="BP84" s="1">
        <f>SUM(E84:BO84)</f>
        <v>180</v>
      </c>
      <c r="BQ84" s="1">
        <v>4</v>
      </c>
      <c r="BR84" s="17">
        <v>1</v>
      </c>
      <c r="BS84" s="17" t="s">
        <v>302</v>
      </c>
      <c r="BT84">
        <f>SUM(P84:AD84)</f>
        <v>0</v>
      </c>
      <c r="BU84" s="23">
        <f>AF84+AH84+AI84+AJ84+AO84+AP84</f>
        <v>0</v>
      </c>
    </row>
    <row r="85" spans="1:73" hidden="1">
      <c r="A85" s="18">
        <v>17</v>
      </c>
      <c r="B85" s="18" t="s">
        <v>26</v>
      </c>
      <c r="C85" s="18" t="s">
        <v>24</v>
      </c>
      <c r="D85" s="18" t="s">
        <v>18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18"/>
      <c r="AF85" s="18">
        <v>5</v>
      </c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20"/>
      <c r="AR85" s="20"/>
      <c r="AS85" s="20"/>
      <c r="AT85" s="20"/>
      <c r="AU85" s="20"/>
      <c r="AV85" s="20"/>
      <c r="AW85" s="21"/>
      <c r="AX85" s="21"/>
      <c r="AY85" s="21"/>
      <c r="AZ85" s="21"/>
      <c r="BA85" s="21"/>
      <c r="BB85" s="21"/>
      <c r="BC85" s="26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>
        <f>SUM(E85:BO85)</f>
        <v>5</v>
      </c>
      <c r="BQ85" s="18">
        <v>5</v>
      </c>
      <c r="BR85" s="22">
        <v>1</v>
      </c>
      <c r="BS85" s="22" t="s">
        <v>239</v>
      </c>
      <c r="BT85">
        <f>SUM(P85:AD85)</f>
        <v>0</v>
      </c>
      <c r="BU85" s="23">
        <f>AF85+AH85+AI85+AJ85+AO85+AP85</f>
        <v>5</v>
      </c>
    </row>
    <row r="86" spans="1:73" hidden="1">
      <c r="A86" s="18">
        <v>32</v>
      </c>
      <c r="B86" s="18" t="s">
        <v>60</v>
      </c>
      <c r="C86" s="18" t="s">
        <v>24</v>
      </c>
      <c r="D86" s="18" t="s">
        <v>18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18"/>
      <c r="AF86" s="18"/>
      <c r="AG86" s="18"/>
      <c r="AH86" s="18"/>
      <c r="AI86" s="18">
        <v>5</v>
      </c>
      <c r="AJ86" s="18"/>
      <c r="AK86" s="18"/>
      <c r="AL86" s="18"/>
      <c r="AM86" s="18"/>
      <c r="AN86" s="18"/>
      <c r="AO86" s="18"/>
      <c r="AP86" s="18"/>
      <c r="AQ86" s="20"/>
      <c r="AR86" s="20"/>
      <c r="AS86" s="20"/>
      <c r="AT86" s="20"/>
      <c r="AU86" s="20"/>
      <c r="AV86" s="20"/>
      <c r="AW86" s="21"/>
      <c r="AX86" s="21"/>
      <c r="AY86" s="21"/>
      <c r="AZ86" s="21"/>
      <c r="BA86" s="21"/>
      <c r="BB86" s="21"/>
      <c r="BC86" s="26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>
        <f>SUM(E86:BO86)</f>
        <v>5</v>
      </c>
      <c r="BQ86" s="18">
        <v>5</v>
      </c>
      <c r="BR86" s="22">
        <v>1</v>
      </c>
      <c r="BS86" s="22" t="s">
        <v>244</v>
      </c>
      <c r="BT86">
        <f>SUM(P86:AD86)</f>
        <v>0</v>
      </c>
      <c r="BU86" s="23">
        <f>AF86+AH86+AI86+AJ86+AO86+AP86</f>
        <v>5</v>
      </c>
    </row>
    <row r="87" spans="1:73" hidden="1">
      <c r="A87" s="18">
        <v>33</v>
      </c>
      <c r="B87" s="18" t="s">
        <v>60</v>
      </c>
      <c r="C87" s="18" t="s">
        <v>24</v>
      </c>
      <c r="D87" s="18" t="s">
        <v>0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18"/>
      <c r="AF87" s="18"/>
      <c r="AG87" s="18"/>
      <c r="AH87" s="18">
        <v>5</v>
      </c>
      <c r="AI87" s="18"/>
      <c r="AJ87" s="18"/>
      <c r="AK87" s="18"/>
      <c r="AL87" s="18"/>
      <c r="AM87" s="18"/>
      <c r="AN87" s="18"/>
      <c r="AO87" s="18"/>
      <c r="AP87" s="18"/>
      <c r="AQ87" s="20"/>
      <c r="AR87" s="20"/>
      <c r="AS87" s="20"/>
      <c r="AT87" s="20"/>
      <c r="AU87" s="20"/>
      <c r="AV87" s="20"/>
      <c r="AW87" s="21"/>
      <c r="AX87" s="21"/>
      <c r="AY87" s="21"/>
      <c r="AZ87" s="21"/>
      <c r="BA87" s="21"/>
      <c r="BB87" s="21"/>
      <c r="BC87" s="26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>
        <f>SUM(E87:BO87)</f>
        <v>5</v>
      </c>
      <c r="BQ87" s="18">
        <v>5</v>
      </c>
      <c r="BR87" s="22">
        <v>1</v>
      </c>
      <c r="BS87" s="22" t="s">
        <v>236</v>
      </c>
      <c r="BT87">
        <f>SUM(P87:AD87)</f>
        <v>0</v>
      </c>
      <c r="BU87" s="23">
        <f>AF87+AH87+AI87+AJ87+AO87+AP87</f>
        <v>5</v>
      </c>
    </row>
    <row r="88" spans="1:73" hidden="1">
      <c r="A88" s="18"/>
      <c r="B88" s="18" t="s">
        <v>97</v>
      </c>
      <c r="C88" s="18" t="s">
        <v>95</v>
      </c>
      <c r="D88" s="18" t="s">
        <v>91</v>
      </c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18"/>
      <c r="AF88" s="18"/>
      <c r="AG88" s="18"/>
      <c r="AH88" s="18">
        <v>5</v>
      </c>
      <c r="AI88" s="18"/>
      <c r="AJ88" s="18"/>
      <c r="AK88" s="18"/>
      <c r="AL88" s="18"/>
      <c r="AM88" s="18"/>
      <c r="AN88" s="18"/>
      <c r="AO88" s="18"/>
      <c r="AP88" s="18"/>
      <c r="AQ88" s="20"/>
      <c r="AR88" s="20"/>
      <c r="AS88" s="20"/>
      <c r="AT88" s="20"/>
      <c r="AU88" s="20"/>
      <c r="AV88" s="20"/>
      <c r="AW88" s="21"/>
      <c r="AX88" s="21"/>
      <c r="AY88" s="21"/>
      <c r="AZ88" s="21"/>
      <c r="BA88" s="21"/>
      <c r="BB88" s="21"/>
      <c r="BC88" s="26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>
        <f>SUM(E88:BO88)</f>
        <v>5</v>
      </c>
      <c r="BQ88" s="18">
        <v>5</v>
      </c>
      <c r="BR88" s="22">
        <v>1</v>
      </c>
      <c r="BS88" s="22" t="s">
        <v>236</v>
      </c>
      <c r="BT88">
        <f>SUM(P88:AD88)</f>
        <v>0</v>
      </c>
      <c r="BU88" s="23">
        <f>AF88+AH88+AI88+AJ88+AO88+AP88</f>
        <v>5</v>
      </c>
    </row>
    <row r="89" spans="1:73" hidden="1">
      <c r="A89" s="18"/>
      <c r="B89" s="18" t="s">
        <v>97</v>
      </c>
      <c r="C89" s="18" t="s">
        <v>95</v>
      </c>
      <c r="D89" s="18" t="s">
        <v>85</v>
      </c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18"/>
      <c r="AF89" s="18"/>
      <c r="AG89" s="18"/>
      <c r="AH89" s="18"/>
      <c r="AI89" s="18">
        <v>5</v>
      </c>
      <c r="AJ89" s="18"/>
      <c r="AK89" s="18"/>
      <c r="AL89" s="18"/>
      <c r="AM89" s="18"/>
      <c r="AN89" s="18"/>
      <c r="AO89" s="18"/>
      <c r="AP89" s="18"/>
      <c r="AQ89" s="20"/>
      <c r="AR89" s="20"/>
      <c r="AS89" s="20"/>
      <c r="AT89" s="20"/>
      <c r="AU89" s="20"/>
      <c r="AV89" s="20"/>
      <c r="AW89" s="21"/>
      <c r="AX89" s="21"/>
      <c r="AY89" s="21"/>
      <c r="AZ89" s="21"/>
      <c r="BA89" s="21"/>
      <c r="BB89" s="21"/>
      <c r="BC89" s="26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>
        <f>SUM(E89:BO89)</f>
        <v>5</v>
      </c>
      <c r="BQ89" s="18">
        <v>5</v>
      </c>
      <c r="BR89" s="22">
        <v>1</v>
      </c>
      <c r="BS89" s="22" t="s">
        <v>244</v>
      </c>
      <c r="BT89">
        <f>SUM(P89:AD89)</f>
        <v>0</v>
      </c>
      <c r="BU89" s="23">
        <f>AF89+AH89+AI89+AJ89+AO89+AP89</f>
        <v>5</v>
      </c>
    </row>
    <row r="90" spans="1:73" hidden="1">
      <c r="A90" s="1"/>
      <c r="B90" s="1" t="s">
        <v>124</v>
      </c>
      <c r="C90" s="1" t="s">
        <v>122</v>
      </c>
      <c r="D90" s="1" t="s">
        <v>103</v>
      </c>
      <c r="E90" s="6"/>
      <c r="F90" s="6"/>
      <c r="G90" s="6"/>
      <c r="H90" s="6"/>
      <c r="I90" s="6">
        <v>7</v>
      </c>
      <c r="J90" s="6"/>
      <c r="K90" s="6"/>
      <c r="L90" s="6"/>
      <c r="M90" s="6"/>
      <c r="N90" s="6"/>
      <c r="O90" s="6"/>
      <c r="P90" s="28"/>
      <c r="Q90" s="28">
        <v>7</v>
      </c>
      <c r="R90" s="28">
        <v>7</v>
      </c>
      <c r="S90" s="28"/>
      <c r="T90" s="28">
        <v>7</v>
      </c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28</v>
      </c>
      <c r="BQ90" s="1">
        <v>6</v>
      </c>
      <c r="BR90" s="17">
        <v>1</v>
      </c>
      <c r="BS90" s="17" t="s">
        <v>301</v>
      </c>
      <c r="BT90">
        <f>SUM(P90:AD90)</f>
        <v>21</v>
      </c>
      <c r="BU90" s="23">
        <f>AF90+AH90+AI90+AJ90+AO90+AP90</f>
        <v>0</v>
      </c>
    </row>
    <row r="91" spans="1:73">
      <c r="A91" s="1"/>
      <c r="B91" s="1" t="s">
        <v>148</v>
      </c>
      <c r="C91" s="1" t="s">
        <v>83</v>
      </c>
      <c r="D91" s="1" t="s">
        <v>85</v>
      </c>
      <c r="E91" s="6"/>
      <c r="F91" s="6"/>
      <c r="G91" s="6"/>
      <c r="H91" s="6">
        <v>6</v>
      </c>
      <c r="I91" s="6"/>
      <c r="J91" s="6"/>
      <c r="K91" s="6">
        <v>6</v>
      </c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>
        <v>10</v>
      </c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32</v>
      </c>
      <c r="BQ91" s="1">
        <v>6</v>
      </c>
      <c r="BR91" s="17">
        <v>1</v>
      </c>
      <c r="BS91" s="17" t="s">
        <v>245</v>
      </c>
      <c r="BT91">
        <f>SUM(P91:AD91)</f>
        <v>0</v>
      </c>
      <c r="BU91" s="23">
        <f>AF91+AH91+AI91+AJ91+AO91+AP91</f>
        <v>0</v>
      </c>
    </row>
    <row r="92" spans="1:73">
      <c r="A92" s="1">
        <v>8</v>
      </c>
      <c r="B92" s="1" t="s">
        <v>138</v>
      </c>
      <c r="C92" s="1" t="s">
        <v>1</v>
      </c>
      <c r="D92" s="1" t="s">
        <v>20</v>
      </c>
      <c r="E92" s="6">
        <v>6</v>
      </c>
      <c r="F92" s="6"/>
      <c r="G92" s="6"/>
      <c r="H92" s="6">
        <v>6</v>
      </c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>
        <v>10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32</v>
      </c>
      <c r="BQ92" s="1">
        <v>6</v>
      </c>
      <c r="BR92" s="17">
        <v>1</v>
      </c>
      <c r="BS92" s="17" t="s">
        <v>245</v>
      </c>
      <c r="BT92">
        <f>SUM(P92:AD92)</f>
        <v>0</v>
      </c>
      <c r="BU92" s="23">
        <f>AF92+AH92+AI92+AJ92+AO92+AP92</f>
        <v>0</v>
      </c>
    </row>
    <row r="93" spans="1:73" hidden="1">
      <c r="A93" s="1"/>
      <c r="B93" s="1" t="s">
        <v>286</v>
      </c>
      <c r="C93" s="1" t="s">
        <v>126</v>
      </c>
      <c r="D93" s="1" t="s">
        <v>103</v>
      </c>
      <c r="E93" s="6"/>
      <c r="F93" s="6"/>
      <c r="G93" s="6"/>
      <c r="H93" s="6"/>
      <c r="I93" s="6"/>
      <c r="J93" s="6"/>
      <c r="K93" s="6"/>
      <c r="L93" s="6">
        <v>7</v>
      </c>
      <c r="M93" s="6"/>
      <c r="N93" s="6"/>
      <c r="O93" s="6"/>
      <c r="P93" s="28"/>
      <c r="Q93" s="28">
        <v>7</v>
      </c>
      <c r="R93" s="28"/>
      <c r="S93" s="28"/>
      <c r="T93" s="28">
        <v>7</v>
      </c>
      <c r="U93" s="28"/>
      <c r="V93" s="28"/>
      <c r="W93" s="28"/>
      <c r="X93" s="28">
        <v>7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28</v>
      </c>
      <c r="BQ93" s="1">
        <v>7</v>
      </c>
      <c r="BR93" s="17">
        <v>1</v>
      </c>
      <c r="BS93" s="17" t="s">
        <v>275</v>
      </c>
      <c r="BT93">
        <f>SUM(P93:AD93)</f>
        <v>21</v>
      </c>
      <c r="BU93" s="23">
        <f>AF93+AH93+AI93+AJ93+AO93+AP93</f>
        <v>0</v>
      </c>
    </row>
    <row r="94" spans="1:73" s="66" customFormat="1" hidden="1">
      <c r="A94" s="1"/>
      <c r="B94" s="1" t="s">
        <v>291</v>
      </c>
      <c r="C94" s="1" t="s">
        <v>119</v>
      </c>
      <c r="D94" s="1" t="s">
        <v>103</v>
      </c>
      <c r="E94" s="6"/>
      <c r="F94" s="6"/>
      <c r="G94" s="6"/>
      <c r="H94" s="6">
        <v>7</v>
      </c>
      <c r="I94" s="6"/>
      <c r="J94" s="6"/>
      <c r="K94" s="6"/>
      <c r="L94" s="6"/>
      <c r="M94" s="6"/>
      <c r="N94" s="6"/>
      <c r="O94" s="6"/>
      <c r="P94" s="28"/>
      <c r="Q94" s="28">
        <v>7</v>
      </c>
      <c r="R94" s="28"/>
      <c r="S94" s="28"/>
      <c r="T94" s="28">
        <v>7</v>
      </c>
      <c r="U94" s="28"/>
      <c r="V94" s="28"/>
      <c r="W94" s="28"/>
      <c r="X94" s="28"/>
      <c r="Y94" s="28"/>
      <c r="Z94" s="28"/>
      <c r="AA94" s="28">
        <v>7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28</v>
      </c>
      <c r="BQ94" s="1">
        <v>7</v>
      </c>
      <c r="BR94" s="17">
        <v>1</v>
      </c>
      <c r="BS94" s="17" t="s">
        <v>267</v>
      </c>
      <c r="BT94">
        <f>SUM(P94:AD94)</f>
        <v>21</v>
      </c>
      <c r="BU94" s="23">
        <f>AF94+AH94+AI94+AJ94+AO94+AP94</f>
        <v>0</v>
      </c>
    </row>
    <row r="95" spans="1:73">
      <c r="A95" s="1"/>
      <c r="B95" s="1" t="s">
        <v>143</v>
      </c>
      <c r="C95" s="1" t="s">
        <v>95</v>
      </c>
      <c r="D95" s="1" t="s">
        <v>85</v>
      </c>
      <c r="E95" s="6">
        <v>10</v>
      </c>
      <c r="F95" s="6"/>
      <c r="G95" s="6">
        <v>10</v>
      </c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/>
      <c r="AX95" s="2"/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9</v>
      </c>
      <c r="BR95" s="17">
        <v>1</v>
      </c>
      <c r="BS95" s="17" t="s">
        <v>265</v>
      </c>
      <c r="BT95">
        <f>SUM(P95:AD95)</f>
        <v>0</v>
      </c>
      <c r="BU95" s="23">
        <f>AF95+AH95+AI95+AJ95+AO95+AP95</f>
        <v>0</v>
      </c>
    </row>
    <row r="96" spans="1:73">
      <c r="A96" s="1"/>
      <c r="B96" s="1" t="s">
        <v>141</v>
      </c>
      <c r="C96" s="1" t="s">
        <v>127</v>
      </c>
      <c r="D96" s="1" t="s">
        <v>103</v>
      </c>
      <c r="E96" s="6">
        <v>10</v>
      </c>
      <c r="F96" s="6"/>
      <c r="G96" s="6">
        <v>10</v>
      </c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/>
      <c r="AX96" s="2"/>
      <c r="AY96" s="2"/>
      <c r="AZ96" s="2"/>
      <c r="BA96" s="2"/>
      <c r="BB96" s="2">
        <v>10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9</v>
      </c>
      <c r="BR96" s="17">
        <v>1</v>
      </c>
      <c r="BS96" s="17" t="s">
        <v>265</v>
      </c>
      <c r="BT96">
        <f>SUM(P96:AD96)</f>
        <v>0</v>
      </c>
      <c r="BU96" s="23">
        <f>AF96+AH96+AI96+AJ96+AO96+AP96</f>
        <v>0</v>
      </c>
    </row>
    <row r="97" spans="1:73">
      <c r="A97" s="1"/>
      <c r="B97" s="1" t="s">
        <v>134</v>
      </c>
      <c r="C97" s="1" t="s">
        <v>83</v>
      </c>
      <c r="D97" s="1" t="s">
        <v>85</v>
      </c>
      <c r="E97" s="6">
        <v>10</v>
      </c>
      <c r="F97" s="6"/>
      <c r="G97" s="6">
        <v>10</v>
      </c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15</v>
      </c>
      <c r="AU97" s="4"/>
      <c r="AV97" s="4"/>
      <c r="AW97" s="2"/>
      <c r="AX97" s="2"/>
      <c r="AY97" s="2"/>
      <c r="AZ97" s="2">
        <v>15</v>
      </c>
      <c r="BA97" s="2">
        <v>15</v>
      </c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65</v>
      </c>
      <c r="BQ97" s="1">
        <v>9</v>
      </c>
      <c r="BR97" s="17">
        <v>1</v>
      </c>
      <c r="BS97" s="17" t="s">
        <v>265</v>
      </c>
      <c r="BT97">
        <f>SUM(P97:AD97)</f>
        <v>0</v>
      </c>
      <c r="BU97" s="23">
        <f>AF97+AH97+AI97+AJ97+AO97+AP97</f>
        <v>0</v>
      </c>
    </row>
    <row r="98" spans="1:73" hidden="1">
      <c r="A98" s="1"/>
      <c r="B98" s="1" t="s">
        <v>257</v>
      </c>
      <c r="C98" s="1" t="s">
        <v>50</v>
      </c>
      <c r="D98" s="1" t="s">
        <v>253</v>
      </c>
      <c r="E98" s="6"/>
      <c r="F98" s="6"/>
      <c r="G98" s="6"/>
      <c r="H98" s="6"/>
      <c r="I98" s="6"/>
      <c r="J98" s="6"/>
      <c r="K98" s="6"/>
      <c r="L98" s="6">
        <v>10</v>
      </c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10</v>
      </c>
      <c r="BR98" s="17">
        <v>1</v>
      </c>
      <c r="BS98" s="17" t="s">
        <v>277</v>
      </c>
      <c r="BT98">
        <f>SUM(P98:AD98)</f>
        <v>20</v>
      </c>
      <c r="BU98" s="23">
        <f>AF98+AH98+AI98+AJ98+AO98+AP98</f>
        <v>0</v>
      </c>
    </row>
    <row r="99" spans="1:73">
      <c r="A99" s="1"/>
      <c r="B99" s="1" t="s">
        <v>149</v>
      </c>
      <c r="C99" s="1" t="s">
        <v>98</v>
      </c>
      <c r="D99" s="1" t="s">
        <v>85</v>
      </c>
      <c r="E99" s="6"/>
      <c r="F99" s="6"/>
      <c r="G99" s="6"/>
      <c r="H99" s="6">
        <v>10</v>
      </c>
      <c r="I99" s="6"/>
      <c r="J99" s="6">
        <v>10</v>
      </c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>
        <v>10</v>
      </c>
      <c r="AU99" s="4"/>
      <c r="AV99" s="4"/>
      <c r="AW99" s="2"/>
      <c r="AX99" s="2"/>
      <c r="AY99" s="2">
        <v>10</v>
      </c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10</v>
      </c>
      <c r="BR99" s="17">
        <v>1</v>
      </c>
      <c r="BS99" s="17" t="s">
        <v>240</v>
      </c>
      <c r="BT99">
        <f>SUM(P99:AD99)</f>
        <v>0</v>
      </c>
      <c r="BU99" s="23">
        <f>AF99+AH99+AI99+AJ99+AO99+AP99</f>
        <v>0</v>
      </c>
    </row>
    <row r="100" spans="1:73">
      <c r="A100" s="18">
        <v>64</v>
      </c>
      <c r="B100" s="24" t="s">
        <v>48</v>
      </c>
      <c r="C100" s="18" t="s">
        <v>43</v>
      </c>
      <c r="D100" s="18" t="s">
        <v>0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>
        <v>15</v>
      </c>
      <c r="AO100" s="18"/>
      <c r="AP100" s="18"/>
      <c r="AQ100" s="20"/>
      <c r="AR100" s="20"/>
      <c r="AS100" s="20"/>
      <c r="AT100" s="20"/>
      <c r="AU100" s="20"/>
      <c r="AV100" s="20"/>
      <c r="AW100" s="21"/>
      <c r="AX100" s="21"/>
      <c r="AY100" s="21"/>
      <c r="AZ100" s="21"/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>
        <f>SUM(E100:BO100)</f>
        <v>15</v>
      </c>
      <c r="BQ100" s="18">
        <v>11</v>
      </c>
      <c r="BR100" s="22">
        <v>1</v>
      </c>
      <c r="BS100" s="22" t="s">
        <v>263</v>
      </c>
      <c r="BT100">
        <f>SUM(P100:AD100)</f>
        <v>0</v>
      </c>
      <c r="BU100" s="23">
        <f>AF100+AH100+AI100+AJ100+AO100+AP100</f>
        <v>0</v>
      </c>
    </row>
    <row r="101" spans="1:73">
      <c r="A101" s="59"/>
      <c r="B101" s="59" t="s">
        <v>139</v>
      </c>
      <c r="C101" s="59" t="s">
        <v>95</v>
      </c>
      <c r="D101" s="59" t="s">
        <v>84</v>
      </c>
      <c r="E101" s="60">
        <v>15</v>
      </c>
      <c r="F101" s="60"/>
      <c r="G101" s="60">
        <v>15</v>
      </c>
      <c r="H101" s="60"/>
      <c r="I101" s="60"/>
      <c r="J101" s="60"/>
      <c r="K101" s="60"/>
      <c r="L101" s="60"/>
      <c r="M101" s="60"/>
      <c r="N101" s="60"/>
      <c r="O101" s="60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62"/>
      <c r="AR101" s="62">
        <v>15</v>
      </c>
      <c r="AS101" s="62"/>
      <c r="AT101" s="62"/>
      <c r="AU101" s="62"/>
      <c r="AV101" s="62"/>
      <c r="AW101" s="63"/>
      <c r="AX101" s="63"/>
      <c r="AY101" s="63"/>
      <c r="AZ101" s="63"/>
      <c r="BA101" s="63"/>
      <c r="BB101" s="63">
        <v>15</v>
      </c>
      <c r="BC101" s="64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>
        <f>SUM(E101:BO101)</f>
        <v>60</v>
      </c>
      <c r="BQ101" s="59">
        <v>14</v>
      </c>
      <c r="BR101" s="65">
        <v>1</v>
      </c>
      <c r="BS101" s="65" t="s">
        <v>306</v>
      </c>
      <c r="BT101">
        <f>SUM(P101:AD101)</f>
        <v>0</v>
      </c>
      <c r="BU101" s="23">
        <f>AF101+AH101+AI101+AJ101+AO101+AP101</f>
        <v>0</v>
      </c>
    </row>
    <row r="102" spans="1:73">
      <c r="A102" s="1">
        <v>54</v>
      </c>
      <c r="B102" s="1" t="s">
        <v>42</v>
      </c>
      <c r="C102" s="1" t="s">
        <v>43</v>
      </c>
      <c r="D102" s="1" t="s">
        <v>0</v>
      </c>
      <c r="E102" s="6"/>
      <c r="F102" s="6">
        <v>15</v>
      </c>
      <c r="G102" s="6"/>
      <c r="H102" s="6">
        <v>15</v>
      </c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15</v>
      </c>
      <c r="AW102" s="2"/>
      <c r="AX102" s="2"/>
      <c r="AY102" s="2"/>
      <c r="AZ102" s="2"/>
      <c r="BA102" s="2">
        <v>15</v>
      </c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60</v>
      </c>
      <c r="BQ102" s="1">
        <v>15</v>
      </c>
      <c r="BR102" s="17">
        <v>1</v>
      </c>
      <c r="BS102" s="17" t="s">
        <v>266</v>
      </c>
      <c r="BT102">
        <f>SUM(P102:AD102)</f>
        <v>0</v>
      </c>
      <c r="BU102" s="23">
        <f>AF102+AH102+AI102+AJ102+AO102+AP102</f>
        <v>0</v>
      </c>
    </row>
    <row r="103" spans="1:73">
      <c r="A103" s="1">
        <v>98</v>
      </c>
      <c r="B103" s="3" t="s">
        <v>137</v>
      </c>
      <c r="C103" s="3" t="s">
        <v>52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>
        <v>50</v>
      </c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50</v>
      </c>
      <c r="BQ103" s="1">
        <v>40</v>
      </c>
      <c r="BR103" s="17">
        <v>1</v>
      </c>
      <c r="BS103" s="17" t="s">
        <v>278</v>
      </c>
      <c r="BT103">
        <f>SUM(P103:AD103)</f>
        <v>0</v>
      </c>
      <c r="BU103" s="23">
        <f>AF103+AH103+AI103+AJ103+AO103+AP103</f>
        <v>0</v>
      </c>
    </row>
    <row r="104" spans="1:73">
      <c r="A104" s="1">
        <v>99</v>
      </c>
      <c r="B104" s="3" t="s">
        <v>137</v>
      </c>
      <c r="C104" s="3" t="s">
        <v>52</v>
      </c>
      <c r="D104" s="1" t="s">
        <v>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>
        <v>200</v>
      </c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200</v>
      </c>
      <c r="BQ104" s="1">
        <v>190</v>
      </c>
      <c r="BR104" s="17">
        <v>1</v>
      </c>
      <c r="BS104" s="17" t="s">
        <v>289</v>
      </c>
      <c r="BT104">
        <f>SUM(P104:AD104)</f>
        <v>0</v>
      </c>
      <c r="BU104" s="23">
        <f>AF104+AH104+AI104+AJ104+AO104+AP104</f>
        <v>0</v>
      </c>
    </row>
    <row r="105" spans="1:73" ht="27" hidden="1">
      <c r="A105" s="1"/>
      <c r="B105" s="1" t="s">
        <v>256</v>
      </c>
      <c r="C105" s="1" t="s">
        <v>50</v>
      </c>
      <c r="D105" s="1" t="s">
        <v>252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2</v>
      </c>
      <c r="V105" s="28"/>
      <c r="W105" s="28">
        <v>5</v>
      </c>
      <c r="X105" s="28"/>
      <c r="Y105" s="28"/>
      <c r="Z105" s="28"/>
      <c r="AA105" s="28">
        <v>2</v>
      </c>
      <c r="AB105" s="28"/>
      <c r="AC105" s="28"/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11</v>
      </c>
      <c r="BQ105" s="1">
        <v>2</v>
      </c>
      <c r="BR105" s="17">
        <v>2</v>
      </c>
      <c r="BS105" s="17" t="s">
        <v>297</v>
      </c>
      <c r="BT105">
        <f>SUM(P105:AD105)</f>
        <v>11</v>
      </c>
      <c r="BU105" s="23">
        <f>AF105+AH105+AI105+AJ105+AO105+AP105</f>
        <v>0</v>
      </c>
    </row>
    <row r="106" spans="1:73" ht="27" hidden="1">
      <c r="A106" s="1"/>
      <c r="B106" s="1" t="s">
        <v>274</v>
      </c>
      <c r="C106" s="1" t="s">
        <v>36</v>
      </c>
      <c r="D106" s="1" t="s">
        <v>272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>
        <v>2</v>
      </c>
      <c r="S106" s="28"/>
      <c r="T106" s="28">
        <v>5</v>
      </c>
      <c r="U106" s="28"/>
      <c r="V106" s="28"/>
      <c r="W106" s="28"/>
      <c r="X106" s="28">
        <v>2</v>
      </c>
      <c r="Y106" s="28"/>
      <c r="Z106" s="28"/>
      <c r="AA106" s="28"/>
      <c r="AB106" s="28"/>
      <c r="AC106" s="28"/>
      <c r="AD106" s="28">
        <v>2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11</v>
      </c>
      <c r="BQ106" s="1">
        <v>3</v>
      </c>
      <c r="BR106" s="17">
        <v>2</v>
      </c>
      <c r="BS106" s="17" t="s">
        <v>285</v>
      </c>
      <c r="BT106">
        <f>SUM(P106:AD106)</f>
        <v>11</v>
      </c>
      <c r="BU106" s="23">
        <f>AF106+AH106+AI106+AJ106+AO106+AP106</f>
        <v>0</v>
      </c>
    </row>
    <row r="107" spans="1:73" ht="27" hidden="1">
      <c r="A107" s="1"/>
      <c r="B107" s="1" t="s">
        <v>94</v>
      </c>
      <c r="C107" s="1" t="s">
        <v>87</v>
      </c>
      <c r="D107" s="1" t="s">
        <v>84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>
        <v>5</v>
      </c>
      <c r="AP107" s="1">
        <v>1</v>
      </c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6</v>
      </c>
      <c r="BQ107" s="1">
        <v>6</v>
      </c>
      <c r="BR107" s="17">
        <v>2</v>
      </c>
      <c r="BS107" s="17" t="s">
        <v>308</v>
      </c>
      <c r="BT107">
        <f>SUM(P107:AD107)</f>
        <v>0</v>
      </c>
      <c r="BU107" s="23">
        <f>AF107+AH107+AI107+AJ107+AO107+AP107</f>
        <v>6</v>
      </c>
    </row>
    <row r="108" spans="1:73" ht="27" hidden="1">
      <c r="A108" s="1"/>
      <c r="B108" s="1" t="s">
        <v>173</v>
      </c>
      <c r="C108" s="1" t="s">
        <v>24</v>
      </c>
      <c r="D108" s="1" t="s">
        <v>19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>
        <v>5</v>
      </c>
      <c r="AP108" s="1">
        <v>1</v>
      </c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6</v>
      </c>
      <c r="BQ108" s="1">
        <v>6</v>
      </c>
      <c r="BR108" s="17">
        <v>2</v>
      </c>
      <c r="BS108" s="17" t="s">
        <v>246</v>
      </c>
      <c r="BT108">
        <f>SUM(P108:AD108)</f>
        <v>0</v>
      </c>
      <c r="BU108" s="23">
        <f>AF108+AH108+AI108+AJ108+AO108+AP108</f>
        <v>6</v>
      </c>
    </row>
    <row r="109" spans="1:73" ht="27" hidden="1">
      <c r="A109" s="1"/>
      <c r="B109" s="1" t="s">
        <v>90</v>
      </c>
      <c r="C109" s="1" t="s">
        <v>87</v>
      </c>
      <c r="D109" s="1" t="s">
        <v>91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>
        <v>3</v>
      </c>
      <c r="AP109" s="1">
        <v>5</v>
      </c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8</v>
      </c>
      <c r="BQ109" s="1">
        <v>8</v>
      </c>
      <c r="BR109" s="17">
        <v>2</v>
      </c>
      <c r="BS109" s="17" t="s">
        <v>264</v>
      </c>
      <c r="BT109">
        <f>SUM(P109:AD109)</f>
        <v>0</v>
      </c>
      <c r="BU109" s="23">
        <f>AF109+AH109+AI109+AJ109+AO109+AP109</f>
        <v>8</v>
      </c>
    </row>
    <row r="110" spans="1:73" ht="27">
      <c r="A110" s="31">
        <v>84</v>
      </c>
      <c r="B110" s="32" t="s">
        <v>153</v>
      </c>
      <c r="C110" s="32" t="s">
        <v>50</v>
      </c>
      <c r="D110" s="31" t="s">
        <v>9</v>
      </c>
      <c r="E110" s="33"/>
      <c r="F110" s="33"/>
      <c r="G110" s="33">
        <v>5</v>
      </c>
      <c r="H110" s="33">
        <v>5</v>
      </c>
      <c r="I110" s="33"/>
      <c r="J110" s="33"/>
      <c r="K110" s="33"/>
      <c r="L110" s="33"/>
      <c r="M110" s="33"/>
      <c r="N110" s="33"/>
      <c r="O110" s="33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5"/>
      <c r="AR110" s="35"/>
      <c r="AS110" s="35"/>
      <c r="AT110" s="35"/>
      <c r="AU110" s="35"/>
      <c r="AV110" s="35"/>
      <c r="AW110" s="36"/>
      <c r="AX110" s="36"/>
      <c r="AY110" s="36"/>
      <c r="AZ110" s="36"/>
      <c r="BA110" s="36">
        <v>5</v>
      </c>
      <c r="BB110" s="36">
        <v>5</v>
      </c>
      <c r="BC110" s="37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>
        <f>SUM(E110:BO110)</f>
        <v>20</v>
      </c>
      <c r="BQ110" s="31">
        <v>9</v>
      </c>
      <c r="BR110" s="38">
        <v>2</v>
      </c>
      <c r="BS110" s="38" t="s">
        <v>300</v>
      </c>
      <c r="BT110">
        <f>SUM(P110:AD110)</f>
        <v>0</v>
      </c>
      <c r="BU110" s="23">
        <f>AF110+AH110+AI110+AJ110+AO110+AP110</f>
        <v>0</v>
      </c>
    </row>
    <row r="111" spans="1:73" ht="27" hidden="1">
      <c r="A111" s="1"/>
      <c r="B111" s="3" t="s">
        <v>208</v>
      </c>
      <c r="C111" s="3" t="s">
        <v>206</v>
      </c>
      <c r="D111" s="1" t="s">
        <v>201</v>
      </c>
      <c r="E111" s="6"/>
      <c r="F111" s="6"/>
      <c r="G111" s="6"/>
      <c r="H111" s="6"/>
      <c r="I111" s="6"/>
      <c r="J111" s="6"/>
      <c r="K111" s="6">
        <v>10</v>
      </c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10</v>
      </c>
      <c r="BR111" s="17">
        <v>2</v>
      </c>
      <c r="BS111" s="17" t="s">
        <v>303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1" t="s">
        <v>125</v>
      </c>
      <c r="C112" s="1" t="s">
        <v>126</v>
      </c>
      <c r="D112" s="1" t="s">
        <v>103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10</v>
      </c>
      <c r="BR112" s="17">
        <v>2</v>
      </c>
      <c r="BS112" s="17" t="s">
        <v>303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132</v>
      </c>
      <c r="C113" s="1" t="s">
        <v>128</v>
      </c>
      <c r="D113" s="1" t="s">
        <v>103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10</v>
      </c>
      <c r="BR113" s="17">
        <v>2</v>
      </c>
      <c r="BS113" s="17" t="s">
        <v>304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3" t="s">
        <v>202</v>
      </c>
      <c r="C114" s="3" t="s">
        <v>50</v>
      </c>
      <c r="D114" s="1" t="s">
        <v>201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10</v>
      </c>
      <c r="BR114" s="17">
        <v>2</v>
      </c>
      <c r="BS114" s="17" t="s">
        <v>305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1" t="s">
        <v>255</v>
      </c>
      <c r="C115" s="1" t="s">
        <v>119</v>
      </c>
      <c r="D115" s="1" t="s">
        <v>253</v>
      </c>
      <c r="E115" s="6"/>
      <c r="F115" s="6"/>
      <c r="G115" s="6"/>
      <c r="H115" s="6"/>
      <c r="I115" s="6"/>
      <c r="J115" s="6">
        <v>10</v>
      </c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>
        <v>10</v>
      </c>
      <c r="V115" s="28"/>
      <c r="W115" s="28"/>
      <c r="X115" s="28"/>
      <c r="Y115" s="28"/>
      <c r="Z115" s="28"/>
      <c r="AA115" s="28">
        <v>10</v>
      </c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10</v>
      </c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10</v>
      </c>
      <c r="BR115" s="17">
        <v>2</v>
      </c>
      <c r="BS115" s="17" t="s">
        <v>303</v>
      </c>
      <c r="BT115">
        <f>SUM(P115:AD115)</f>
        <v>20</v>
      </c>
      <c r="BU115" s="23">
        <f>AF115+AH115+AI115+AJ115+AO115+AP115</f>
        <v>0</v>
      </c>
    </row>
    <row r="116" spans="1:73" ht="27" hidden="1">
      <c r="A116" s="1"/>
      <c r="B116" s="1" t="s">
        <v>274</v>
      </c>
      <c r="C116" s="1" t="s">
        <v>36</v>
      </c>
      <c r="D116" s="1" t="s">
        <v>273</v>
      </c>
      <c r="E116" s="6"/>
      <c r="F116" s="6"/>
      <c r="G116" s="6"/>
      <c r="H116" s="6"/>
      <c r="I116" s="6"/>
      <c r="J116" s="6">
        <v>10</v>
      </c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>
        <v>10</v>
      </c>
      <c r="V116" s="28"/>
      <c r="W116" s="28"/>
      <c r="X116" s="28"/>
      <c r="Y116" s="28"/>
      <c r="Z116" s="28"/>
      <c r="AA116" s="28">
        <v>10</v>
      </c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>
        <v>10</v>
      </c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10</v>
      </c>
      <c r="BR116" s="17">
        <v>2</v>
      </c>
      <c r="BS116" s="17" t="s">
        <v>305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>
        <v>27</v>
      </c>
      <c r="B117" s="1" t="s">
        <v>57</v>
      </c>
      <c r="C117" s="1" t="s">
        <v>24</v>
      </c>
      <c r="D117" s="1" t="s">
        <v>18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>
        <v>5</v>
      </c>
      <c r="AI117" s="1">
        <v>5</v>
      </c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10</v>
      </c>
      <c r="BQ117" s="1">
        <v>10</v>
      </c>
      <c r="BR117" s="17">
        <v>2</v>
      </c>
      <c r="BS117" s="17" t="s">
        <v>247</v>
      </c>
      <c r="BT117">
        <f>SUM(P117:AD117)</f>
        <v>0</v>
      </c>
      <c r="BU117" s="23">
        <f>AF117+AH117+AI117+AJ117+AO117+AP117</f>
        <v>10</v>
      </c>
    </row>
    <row r="118" spans="1:73" ht="27" hidden="1">
      <c r="A118" s="1">
        <v>88</v>
      </c>
      <c r="B118" s="3" t="s">
        <v>62</v>
      </c>
      <c r="C118" s="3" t="s">
        <v>63</v>
      </c>
      <c r="D118" s="1" t="s">
        <v>18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>
        <v>5</v>
      </c>
      <c r="AI118" s="1">
        <v>5</v>
      </c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10</v>
      </c>
      <c r="BQ118" s="1">
        <v>10</v>
      </c>
      <c r="BR118" s="17">
        <v>2</v>
      </c>
      <c r="BS118" s="17" t="s">
        <v>247</v>
      </c>
      <c r="BT118">
        <f>SUM(P118:AD118)</f>
        <v>0</v>
      </c>
      <c r="BU118" s="23">
        <f>AF118+AH118+AI118+AJ118+AO118+AP118</f>
        <v>10</v>
      </c>
    </row>
    <row r="119" spans="1:73" ht="27" hidden="1">
      <c r="A119" s="1"/>
      <c r="B119" s="3" t="s">
        <v>292</v>
      </c>
      <c r="C119" s="3" t="s">
        <v>204</v>
      </c>
      <c r="D119" s="1" t="s">
        <v>201</v>
      </c>
      <c r="E119" s="6"/>
      <c r="F119" s="6"/>
      <c r="G119" s="6"/>
      <c r="H119" s="6"/>
      <c r="I119" s="6"/>
      <c r="J119" s="6"/>
      <c r="K119" s="6"/>
      <c r="L119" s="6"/>
      <c r="M119" s="6"/>
      <c r="N119" s="6">
        <v>10</v>
      </c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10</v>
      </c>
      <c r="Y119" s="28"/>
      <c r="Z119" s="28"/>
      <c r="AA119" s="28">
        <v>10</v>
      </c>
      <c r="AB119" s="28"/>
      <c r="AC119" s="28"/>
      <c r="AD119" s="28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11</v>
      </c>
      <c r="BR119" s="17">
        <v>2</v>
      </c>
      <c r="BS119" s="17" t="s">
        <v>307</v>
      </c>
      <c r="BT119">
        <f>SUM(P119:AD119)</f>
        <v>30</v>
      </c>
      <c r="BU119" s="23">
        <f>AF119+AH119+AI119+AJ119+AO119+AP119</f>
        <v>0</v>
      </c>
    </row>
    <row r="120" spans="1:73" ht="27" hidden="1">
      <c r="A120" s="1"/>
      <c r="B120" s="1" t="s">
        <v>90</v>
      </c>
      <c r="C120" s="1" t="s">
        <v>87</v>
      </c>
      <c r="D120" s="1" t="s">
        <v>84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>
        <v>5</v>
      </c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>
        <v>5</v>
      </c>
      <c r="AP120" s="1">
        <v>10</v>
      </c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20</v>
      </c>
      <c r="BQ120" s="1">
        <v>15</v>
      </c>
      <c r="BR120" s="17">
        <v>2</v>
      </c>
      <c r="BS120" s="17" t="s">
        <v>248</v>
      </c>
      <c r="BT120">
        <f>SUM(P120:AD120)</f>
        <v>0</v>
      </c>
      <c r="BU120" s="23">
        <f>AF120+AH120+AI120+AJ120+AO120+AP120</f>
        <v>15</v>
      </c>
    </row>
    <row r="121" spans="1:73" ht="27" hidden="1">
      <c r="A121" s="1"/>
      <c r="B121" s="1" t="s">
        <v>118</v>
      </c>
      <c r="C121" s="1" t="s">
        <v>119</v>
      </c>
      <c r="D121" s="1" t="s">
        <v>103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276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1" t="s">
        <v>123</v>
      </c>
      <c r="C122" s="1" t="s">
        <v>122</v>
      </c>
      <c r="D122" s="1" t="s">
        <v>103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276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59"/>
      <c r="B123" s="59" t="s">
        <v>198</v>
      </c>
      <c r="C123" s="59" t="s">
        <v>128</v>
      </c>
      <c r="D123" s="59" t="s">
        <v>103</v>
      </c>
      <c r="E123" s="60">
        <v>10</v>
      </c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1"/>
      <c r="Q123" s="61"/>
      <c r="R123" s="61">
        <v>10</v>
      </c>
      <c r="S123" s="61"/>
      <c r="T123" s="61"/>
      <c r="U123" s="61">
        <v>10</v>
      </c>
      <c r="V123" s="61"/>
      <c r="W123" s="61"/>
      <c r="X123" s="61"/>
      <c r="Y123" s="61"/>
      <c r="Z123" s="61"/>
      <c r="AA123" s="61"/>
      <c r="AB123" s="61"/>
      <c r="AC123" s="61"/>
      <c r="AD123" s="61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62"/>
      <c r="AR123" s="62"/>
      <c r="AS123" s="62"/>
      <c r="AT123" s="62"/>
      <c r="AU123" s="62">
        <v>10</v>
      </c>
      <c r="AV123" s="62"/>
      <c r="AW123" s="63"/>
      <c r="AX123" s="63"/>
      <c r="AY123" s="63"/>
      <c r="AZ123" s="63"/>
      <c r="BA123" s="63"/>
      <c r="BB123" s="63"/>
      <c r="BC123" s="64"/>
      <c r="BD123" s="59"/>
      <c r="BE123" s="59"/>
      <c r="BF123" s="59"/>
      <c r="BG123" s="59"/>
      <c r="BH123" s="59"/>
      <c r="BI123" s="59"/>
      <c r="BJ123" s="59"/>
      <c r="BK123" s="59"/>
      <c r="BL123" s="59"/>
      <c r="BM123" s="59"/>
      <c r="BN123" s="59"/>
      <c r="BO123" s="59"/>
      <c r="BP123" s="59">
        <f>SUM(E123:BO123)</f>
        <v>40</v>
      </c>
      <c r="BQ123" s="59">
        <v>18</v>
      </c>
      <c r="BR123" s="65">
        <v>2</v>
      </c>
      <c r="BS123" s="65" t="s">
        <v>276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3" t="s">
        <v>233</v>
      </c>
      <c r="C124" s="3" t="s">
        <v>50</v>
      </c>
      <c r="D124" s="1" t="s">
        <v>201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18</v>
      </c>
      <c r="BR124" s="17">
        <v>2</v>
      </c>
      <c r="BS124" s="17" t="s">
        <v>276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259</v>
      </c>
      <c r="C125" s="1" t="s">
        <v>52</v>
      </c>
      <c r="D125" s="1" t="s">
        <v>253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18</v>
      </c>
      <c r="BR125" s="17">
        <v>2</v>
      </c>
      <c r="BS125" s="17" t="s">
        <v>276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260</v>
      </c>
      <c r="C126" s="1" t="s">
        <v>52</v>
      </c>
      <c r="D126" s="1" t="s">
        <v>253</v>
      </c>
      <c r="E126" s="6"/>
      <c r="F126" s="6"/>
      <c r="G126" s="6"/>
      <c r="H126" s="6"/>
      <c r="I126" s="6"/>
      <c r="J126" s="6"/>
      <c r="K126" s="6"/>
      <c r="L126" s="6">
        <v>10</v>
      </c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18</v>
      </c>
      <c r="BR126" s="17">
        <v>2</v>
      </c>
      <c r="BS126" s="17" t="s">
        <v>276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293</v>
      </c>
      <c r="C127" s="1" t="s">
        <v>52</v>
      </c>
      <c r="D127" s="1" t="s">
        <v>273</v>
      </c>
      <c r="E127" s="6"/>
      <c r="F127" s="6"/>
      <c r="G127" s="6"/>
      <c r="H127" s="6"/>
      <c r="I127" s="6"/>
      <c r="J127" s="6"/>
      <c r="K127" s="6"/>
      <c r="L127" s="6">
        <v>10</v>
      </c>
      <c r="M127" s="6"/>
      <c r="N127" s="6"/>
      <c r="O127" s="6"/>
      <c r="P127" s="28"/>
      <c r="Q127" s="28"/>
      <c r="R127" s="28">
        <v>10</v>
      </c>
      <c r="S127" s="28"/>
      <c r="T127" s="28"/>
      <c r="U127" s="28">
        <v>10</v>
      </c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18</v>
      </c>
      <c r="BR127" s="17">
        <v>2</v>
      </c>
      <c r="BS127" s="17" t="s">
        <v>276</v>
      </c>
      <c r="BT127">
        <f>SUM(P127:AD127)</f>
        <v>20</v>
      </c>
      <c r="BU127" s="23">
        <f>AF127+AH127+AI127+AJ127+AO127+AP127</f>
        <v>0</v>
      </c>
    </row>
    <row r="128" spans="1:73" ht="27" hidden="1">
      <c r="A128" s="1"/>
      <c r="B128" s="1" t="s">
        <v>129</v>
      </c>
      <c r="C128" s="1" t="s">
        <v>128</v>
      </c>
      <c r="D128" s="1" t="s">
        <v>103</v>
      </c>
      <c r="E128" s="6"/>
      <c r="F128" s="6"/>
      <c r="G128" s="6">
        <v>10</v>
      </c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>
        <v>10</v>
      </c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10</v>
      </c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19</v>
      </c>
      <c r="BR128" s="17">
        <v>2</v>
      </c>
      <c r="BS128" s="17" t="s">
        <v>309</v>
      </c>
      <c r="BT128">
        <f>SUM(P128:AD128)</f>
        <v>20</v>
      </c>
      <c r="BU128" s="23">
        <f>AF128+AH128+AI128+AJ128+AO128+AP128</f>
        <v>0</v>
      </c>
    </row>
    <row r="129" spans="1:73" ht="27" hidden="1">
      <c r="A129" s="1"/>
      <c r="B129" s="1" t="s">
        <v>282</v>
      </c>
      <c r="C129" s="1" t="s">
        <v>98</v>
      </c>
      <c r="D129" s="1" t="s">
        <v>133</v>
      </c>
      <c r="E129" s="6"/>
      <c r="F129" s="6"/>
      <c r="G129" s="6">
        <v>10</v>
      </c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>
        <v>10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10</v>
      </c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40</v>
      </c>
      <c r="BQ129" s="1">
        <v>19</v>
      </c>
      <c r="BR129" s="17">
        <v>2</v>
      </c>
      <c r="BS129" s="17" t="s">
        <v>309</v>
      </c>
      <c r="BT129">
        <f>SUM(P129:AD129)</f>
        <v>20</v>
      </c>
      <c r="BU129" s="23">
        <f>AF129+AH129+AI129+AJ129+AO129+AP129</f>
        <v>0</v>
      </c>
    </row>
    <row r="130" spans="1:73" ht="27" hidden="1">
      <c r="A130" s="1"/>
      <c r="B130" s="3" t="s">
        <v>205</v>
      </c>
      <c r="C130" s="3" t="s">
        <v>206</v>
      </c>
      <c r="D130" s="1" t="s">
        <v>201</v>
      </c>
      <c r="E130" s="6"/>
      <c r="F130" s="6"/>
      <c r="G130" s="6">
        <v>10</v>
      </c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>
        <v>10</v>
      </c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19</v>
      </c>
      <c r="BR130" s="17">
        <v>2</v>
      </c>
      <c r="BS130" s="17" t="s">
        <v>309</v>
      </c>
      <c r="BT130">
        <f>SUM(P130:AD130)</f>
        <v>20</v>
      </c>
      <c r="BU130" s="23">
        <f>AF130+AH130+AI130+AJ130+AO130+AP130</f>
        <v>0</v>
      </c>
    </row>
    <row r="131" spans="1:73" ht="27" hidden="1">
      <c r="A131" s="1"/>
      <c r="B131" s="1" t="s">
        <v>254</v>
      </c>
      <c r="C131" s="1" t="s">
        <v>119</v>
      </c>
      <c r="D131" s="1" t="s">
        <v>253</v>
      </c>
      <c r="E131" s="6"/>
      <c r="F131" s="6"/>
      <c r="G131" s="6">
        <v>10</v>
      </c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>
        <v>10</v>
      </c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19</v>
      </c>
      <c r="BR131" s="17">
        <v>2</v>
      </c>
      <c r="BS131" s="17" t="s">
        <v>309</v>
      </c>
      <c r="BT131">
        <f>SUM(P131:AD131)</f>
        <v>20</v>
      </c>
      <c r="BU131" s="23">
        <f>AF131+AH131+AI131+AJ131+AO131+AP131</f>
        <v>0</v>
      </c>
    </row>
    <row r="132" spans="1:73" ht="27" hidden="1">
      <c r="A132" s="1"/>
      <c r="B132" s="1" t="s">
        <v>112</v>
      </c>
      <c r="C132" s="1" t="s">
        <v>100</v>
      </c>
      <c r="D132" s="1" t="s">
        <v>103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>
        <v>10</v>
      </c>
      <c r="P132" s="28"/>
      <c r="Q132" s="28"/>
      <c r="R132" s="28">
        <v>10</v>
      </c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>
        <v>10</v>
      </c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19</v>
      </c>
      <c r="BR132" s="17">
        <v>2</v>
      </c>
      <c r="BS132" s="17" t="s">
        <v>279</v>
      </c>
      <c r="BT132">
        <f>SUM(P132:AD132)</f>
        <v>20</v>
      </c>
      <c r="BU132" s="23">
        <f>AF132+AH132+AI132+AJ132+AO132+AP132</f>
        <v>0</v>
      </c>
    </row>
    <row r="133" spans="1:73" ht="27" hidden="1">
      <c r="A133" s="1"/>
      <c r="B133" s="3" t="s">
        <v>210</v>
      </c>
      <c r="C133" s="3" t="s">
        <v>99</v>
      </c>
      <c r="D133" s="1" t="s">
        <v>201</v>
      </c>
      <c r="E133" s="6"/>
      <c r="F133" s="6"/>
      <c r="G133" s="6"/>
      <c r="H133" s="6"/>
      <c r="I133" s="6">
        <v>10</v>
      </c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>
        <v>10</v>
      </c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19</v>
      </c>
      <c r="BR133" s="17">
        <v>2</v>
      </c>
      <c r="BS133" s="17" t="s">
        <v>279</v>
      </c>
      <c r="BT133">
        <f>SUM(P133:AD133)</f>
        <v>20</v>
      </c>
      <c r="BU133" s="23">
        <f>AF133+AH133+AI133+AJ133+AO133+AP133</f>
        <v>0</v>
      </c>
    </row>
    <row r="134" spans="1:73" ht="27" hidden="1">
      <c r="A134" s="1"/>
      <c r="B134" s="1" t="s">
        <v>256</v>
      </c>
      <c r="C134" s="1" t="s">
        <v>50</v>
      </c>
      <c r="D134" s="1" t="s">
        <v>253</v>
      </c>
      <c r="E134" s="6"/>
      <c r="F134" s="6"/>
      <c r="G134" s="6"/>
      <c r="H134" s="6"/>
      <c r="I134" s="6">
        <v>10</v>
      </c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/>
      <c r="V134" s="28"/>
      <c r="W134" s="28"/>
      <c r="X134" s="28">
        <v>10</v>
      </c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>
        <v>10</v>
      </c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19</v>
      </c>
      <c r="BR134" s="17">
        <v>2</v>
      </c>
      <c r="BS134" s="17" t="s">
        <v>279</v>
      </c>
      <c r="BT134">
        <f>SUM(P134:AD134)</f>
        <v>20</v>
      </c>
      <c r="BU134" s="23">
        <f>AF134+AH134+AI134+AJ134+AO134+AP134</f>
        <v>0</v>
      </c>
    </row>
    <row r="135" spans="1:73" ht="27" hidden="1">
      <c r="A135" s="1"/>
      <c r="B135" s="1" t="s">
        <v>261</v>
      </c>
      <c r="C135" s="1" t="s">
        <v>52</v>
      </c>
      <c r="D135" s="1" t="s">
        <v>253</v>
      </c>
      <c r="E135" s="6"/>
      <c r="F135" s="6"/>
      <c r="G135" s="6"/>
      <c r="H135" s="6"/>
      <c r="I135" s="6">
        <v>10</v>
      </c>
      <c r="J135" s="6"/>
      <c r="K135" s="6"/>
      <c r="L135" s="6"/>
      <c r="M135" s="6"/>
      <c r="N135" s="6"/>
      <c r="O135" s="6"/>
      <c r="P135" s="28"/>
      <c r="Q135" s="28"/>
      <c r="R135" s="28">
        <v>10</v>
      </c>
      <c r="S135" s="28"/>
      <c r="T135" s="28"/>
      <c r="U135" s="28"/>
      <c r="V135" s="28"/>
      <c r="W135" s="28"/>
      <c r="X135" s="28">
        <v>10</v>
      </c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>
        <v>10</v>
      </c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19</v>
      </c>
      <c r="BR135" s="17">
        <v>2</v>
      </c>
      <c r="BS135" s="17" t="s">
        <v>279</v>
      </c>
      <c r="BT135">
        <f>SUM(P135:AD135)</f>
        <v>20</v>
      </c>
      <c r="BU135" s="23">
        <f>AF135+AH135+AI135+AJ135+AO135+AP135</f>
        <v>0</v>
      </c>
    </row>
    <row r="136" spans="1:73" ht="27" hidden="1">
      <c r="A136" s="1"/>
      <c r="B136" s="1" t="s">
        <v>90</v>
      </c>
      <c r="C136" s="1" t="s">
        <v>87</v>
      </c>
      <c r="D136" s="1" t="s">
        <v>85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>
        <v>10</v>
      </c>
      <c r="AP136" s="1">
        <v>10</v>
      </c>
      <c r="AQ136" s="4"/>
      <c r="AR136" s="4"/>
      <c r="AS136" s="4">
        <v>5</v>
      </c>
      <c r="AT136" s="4"/>
      <c r="AU136" s="4"/>
      <c r="AV136" s="4"/>
      <c r="AW136" s="2"/>
      <c r="AX136" s="2">
        <v>5</v>
      </c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30</v>
      </c>
      <c r="BQ136" s="1">
        <v>20</v>
      </c>
      <c r="BR136" s="17">
        <v>2</v>
      </c>
      <c r="BS136" s="17" t="s">
        <v>242</v>
      </c>
      <c r="BT136">
        <f>SUM(P136:AD136)</f>
        <v>0</v>
      </c>
      <c r="BU136" s="23">
        <f>AF136+AH136+AI136+AJ136+AO136+AP136</f>
        <v>20</v>
      </c>
    </row>
    <row r="137" spans="1:73" ht="27">
      <c r="A137" s="1"/>
      <c r="B137" s="1" t="s">
        <v>86</v>
      </c>
      <c r="C137" s="1" t="s">
        <v>87</v>
      </c>
      <c r="D137" s="1" t="s">
        <v>88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>
        <v>40</v>
      </c>
      <c r="AW137" s="2">
        <v>40</v>
      </c>
      <c r="AX137" s="2"/>
      <c r="AY137" s="2"/>
      <c r="AZ137" s="2"/>
      <c r="BA137" s="2"/>
      <c r="BB137" s="2">
        <v>40</v>
      </c>
      <c r="BC137" s="14">
        <v>10</v>
      </c>
      <c r="BD137" s="1">
        <v>50</v>
      </c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180</v>
      </c>
      <c r="BQ137" s="1">
        <v>21</v>
      </c>
      <c r="BR137" s="17">
        <v>2</v>
      </c>
      <c r="BS137" s="17" t="s">
        <v>312</v>
      </c>
      <c r="BT137">
        <f>SUM(P137:AD137)</f>
        <v>0</v>
      </c>
      <c r="BU137" s="23">
        <f>AF137+AH137+AI137+AJ137+AO137+AP137</f>
        <v>0</v>
      </c>
    </row>
    <row r="138" spans="1:73" ht="27">
      <c r="A138" s="1"/>
      <c r="B138" s="1" t="s">
        <v>86</v>
      </c>
      <c r="C138" s="1" t="s">
        <v>87</v>
      </c>
      <c r="D138" s="1" t="s">
        <v>84</v>
      </c>
      <c r="E138" s="6"/>
      <c r="F138" s="6"/>
      <c r="G138" s="6">
        <v>15</v>
      </c>
      <c r="H138" s="6">
        <v>15</v>
      </c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>
        <v>15</v>
      </c>
      <c r="AT138" s="4"/>
      <c r="AU138" s="4"/>
      <c r="AV138" s="4"/>
      <c r="AW138" s="2"/>
      <c r="AX138" s="2"/>
      <c r="AY138" s="2"/>
      <c r="AZ138" s="2"/>
      <c r="BA138" s="2"/>
      <c r="BB138" s="2">
        <v>15</v>
      </c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60</v>
      </c>
      <c r="BQ138" s="1">
        <v>29</v>
      </c>
      <c r="BR138" s="17">
        <v>2</v>
      </c>
      <c r="BS138" s="17" t="s">
        <v>310</v>
      </c>
      <c r="BT138">
        <f>SUM(P138:AD138)</f>
        <v>0</v>
      </c>
      <c r="BU138" s="23">
        <f>AF138+AH138+AI138+AJ138+AO138+AP138</f>
        <v>0</v>
      </c>
    </row>
    <row r="139" spans="1:73" ht="27">
      <c r="A139" s="18">
        <v>65</v>
      </c>
      <c r="B139" s="24" t="s">
        <v>48</v>
      </c>
      <c r="C139" s="18" t="s">
        <v>43</v>
      </c>
      <c r="D139" s="18" t="s">
        <v>9</v>
      </c>
      <c r="E139" s="19"/>
      <c r="F139" s="19"/>
      <c r="G139" s="19">
        <v>10</v>
      </c>
      <c r="H139" s="19"/>
      <c r="I139" s="19"/>
      <c r="J139" s="19"/>
      <c r="K139" s="19"/>
      <c r="L139" s="19"/>
      <c r="M139" s="19"/>
      <c r="N139" s="19"/>
      <c r="O139" s="1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>
        <v>25</v>
      </c>
      <c r="AO139" s="18"/>
      <c r="AP139" s="18"/>
      <c r="AQ139" s="20"/>
      <c r="AR139" s="20"/>
      <c r="AS139" s="20"/>
      <c r="AT139" s="20"/>
      <c r="AU139" s="20"/>
      <c r="AV139" s="20">
        <v>10</v>
      </c>
      <c r="AW139" s="21"/>
      <c r="AX139" s="21"/>
      <c r="AY139" s="21"/>
      <c r="AZ139" s="21">
        <v>10</v>
      </c>
      <c r="BA139" s="21"/>
      <c r="BB139" s="21"/>
      <c r="BC139" s="26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>
        <f>SUM(E139:BO139)</f>
        <v>55</v>
      </c>
      <c r="BQ139" s="18">
        <v>30</v>
      </c>
      <c r="BR139" s="22">
        <v>2</v>
      </c>
      <c r="BS139" s="22" t="s">
        <v>311</v>
      </c>
      <c r="BT139">
        <f>SUM(P139:AD139)</f>
        <v>0</v>
      </c>
      <c r="BU139" s="23">
        <f>AF139+AH139+AI139+AJ139+AO139+AP139</f>
        <v>0</v>
      </c>
    </row>
    <row r="140" spans="1:73" ht="27">
      <c r="A140" s="1"/>
      <c r="B140" s="1" t="s">
        <v>147</v>
      </c>
      <c r="C140" s="1" t="s">
        <v>98</v>
      </c>
      <c r="D140" s="1" t="s">
        <v>84</v>
      </c>
      <c r="E140" s="6"/>
      <c r="F140" s="6"/>
      <c r="G140" s="6">
        <v>20</v>
      </c>
      <c r="H140" s="6">
        <v>20</v>
      </c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>
        <v>20</v>
      </c>
      <c r="BB140" s="2">
        <v>20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80</v>
      </c>
      <c r="BQ140" s="1">
        <v>39</v>
      </c>
      <c r="BR140" s="17">
        <v>2</v>
      </c>
      <c r="BS140" s="17" t="s">
        <v>313</v>
      </c>
      <c r="BT140">
        <f>SUM(P140:AD140)</f>
        <v>0</v>
      </c>
      <c r="BU140" s="23">
        <f>AF140+AH140+AI140+AJ140+AO140+AP140</f>
        <v>0</v>
      </c>
    </row>
    <row r="141" spans="1:73" ht="27">
      <c r="A141" s="1">
        <v>23</v>
      </c>
      <c r="B141" s="1" t="s">
        <v>81</v>
      </c>
      <c r="C141" s="1" t="s">
        <v>24</v>
      </c>
      <c r="D141" s="1" t="s">
        <v>29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>
        <v>50</v>
      </c>
      <c r="BK141" s="1">
        <v>50</v>
      </c>
      <c r="BL141" s="1"/>
      <c r="BM141" s="1"/>
      <c r="BN141" s="1">
        <v>50</v>
      </c>
      <c r="BO141" s="1">
        <v>50</v>
      </c>
      <c r="BP141" s="1">
        <f>SUM(E141:BO141)</f>
        <v>200</v>
      </c>
      <c r="BQ141" s="1">
        <v>90</v>
      </c>
      <c r="BR141" s="17">
        <v>2</v>
      </c>
      <c r="BS141" s="17" t="s">
        <v>241</v>
      </c>
      <c r="BT141">
        <f>SUM(P141:AD141)</f>
        <v>0</v>
      </c>
      <c r="BU141" s="23">
        <f>AF141+AH141+AI141+AJ141+AO141+AP141</f>
        <v>0</v>
      </c>
    </row>
    <row r="142" spans="1:73" ht="27">
      <c r="A142" s="1"/>
      <c r="B142" s="1" t="s">
        <v>142</v>
      </c>
      <c r="C142" s="1" t="s">
        <v>95</v>
      </c>
      <c r="D142" s="1" t="s">
        <v>96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>
        <v>50</v>
      </c>
      <c r="BK142" s="1">
        <v>50</v>
      </c>
      <c r="BL142" s="1"/>
      <c r="BM142" s="1"/>
      <c r="BN142" s="1">
        <v>50</v>
      </c>
      <c r="BO142" s="1">
        <v>50</v>
      </c>
      <c r="BP142" s="1">
        <f>SUM(E142:BO142)</f>
        <v>200</v>
      </c>
      <c r="BQ142" s="1">
        <v>90</v>
      </c>
      <c r="BR142" s="17">
        <v>2</v>
      </c>
      <c r="BS142" s="17" t="s">
        <v>241</v>
      </c>
      <c r="BT142">
        <f>SUM(P142:AD142)</f>
        <v>0</v>
      </c>
      <c r="BU142" s="23">
        <f>AF142+AH142+AI142+AJ142+AO142+AP142</f>
        <v>0</v>
      </c>
    </row>
    <row r="143" spans="1:73" ht="27">
      <c r="A143" s="1"/>
      <c r="B143" s="1" t="s">
        <v>140</v>
      </c>
      <c r="C143" s="1" t="s">
        <v>127</v>
      </c>
      <c r="D143" s="1" t="s">
        <v>29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>
        <v>50</v>
      </c>
      <c r="BK143" s="1">
        <v>50</v>
      </c>
      <c r="BL143" s="1"/>
      <c r="BM143" s="1"/>
      <c r="BN143" s="1">
        <v>50</v>
      </c>
      <c r="BO143" s="1">
        <v>50</v>
      </c>
      <c r="BP143" s="1">
        <f>SUM(E143:BO143)</f>
        <v>200</v>
      </c>
      <c r="BQ143" s="1">
        <v>90</v>
      </c>
      <c r="BR143" s="17">
        <v>2</v>
      </c>
      <c r="BS143" s="17" t="s">
        <v>241</v>
      </c>
      <c r="BT143">
        <f>SUM(P143:AD143)</f>
        <v>0</v>
      </c>
      <c r="BU143" s="23">
        <f>AF143+AH143+AI143+AJ143+AO143+AP143</f>
        <v>0</v>
      </c>
    </row>
    <row r="144" spans="1:73" ht="27">
      <c r="A144" s="1">
        <v>102</v>
      </c>
      <c r="B144" s="3" t="s">
        <v>172</v>
      </c>
      <c r="C144" s="3" t="s">
        <v>52</v>
      </c>
      <c r="D144" s="1" t="s">
        <v>29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>
        <v>50</v>
      </c>
      <c r="BK144" s="1">
        <v>50</v>
      </c>
      <c r="BL144" s="1"/>
      <c r="BM144" s="1"/>
      <c r="BN144" s="1">
        <v>50</v>
      </c>
      <c r="BO144" s="1">
        <v>50</v>
      </c>
      <c r="BP144" s="1">
        <f>SUM(E144:BO144)</f>
        <v>200</v>
      </c>
      <c r="BQ144" s="1">
        <v>90</v>
      </c>
      <c r="BR144" s="17">
        <v>2</v>
      </c>
      <c r="BS144" s="17" t="s">
        <v>241</v>
      </c>
      <c r="BT144">
        <f>SUM(P144:AD144)</f>
        <v>0</v>
      </c>
      <c r="BU144" s="23">
        <f>AF144+AH144+AI144+AJ144+AO144+AP144</f>
        <v>0</v>
      </c>
    </row>
    <row r="145" spans="1:73" ht="40.5" hidden="1">
      <c r="A145" s="1"/>
      <c r="B145" s="3" t="s">
        <v>199</v>
      </c>
      <c r="C145" s="3" t="s">
        <v>50</v>
      </c>
      <c r="D145" s="1" t="s">
        <v>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>
        <v>2</v>
      </c>
      <c r="S145" s="28"/>
      <c r="T145" s="28"/>
      <c r="U145" s="28">
        <v>2</v>
      </c>
      <c r="V145" s="28"/>
      <c r="W145" s="28"/>
      <c r="X145" s="28">
        <v>2</v>
      </c>
      <c r="Y145" s="28"/>
      <c r="Z145" s="28">
        <v>5</v>
      </c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11</v>
      </c>
      <c r="BQ145" s="1">
        <v>4</v>
      </c>
      <c r="BR145" s="17">
        <v>3</v>
      </c>
      <c r="BS145" s="17" t="s">
        <v>290</v>
      </c>
      <c r="BT145">
        <f>SUM(P145:AD145)</f>
        <v>11</v>
      </c>
      <c r="BU145" s="23">
        <f>AF145+AH145+AI145+AJ145+AO145+AP145</f>
        <v>0</v>
      </c>
    </row>
    <row r="146" spans="1:73" ht="40.5" hidden="1">
      <c r="A146" s="1">
        <v>28</v>
      </c>
      <c r="B146" s="1" t="s">
        <v>57</v>
      </c>
      <c r="C146" s="1" t="s">
        <v>24</v>
      </c>
      <c r="D146" s="1" t="s">
        <v>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>
        <v>5</v>
      </c>
      <c r="AI146" s="1">
        <v>5</v>
      </c>
      <c r="AJ146" s="1">
        <v>5</v>
      </c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15</v>
      </c>
      <c r="BQ146" s="1">
        <v>15</v>
      </c>
      <c r="BR146" s="17">
        <v>3</v>
      </c>
      <c r="BS146" s="17" t="s">
        <v>268</v>
      </c>
      <c r="BT146">
        <f>SUM(P146:AD146)</f>
        <v>0</v>
      </c>
      <c r="BU146" s="23">
        <f>AF146+AH146+AI146+AJ146+AO146+AP146</f>
        <v>15</v>
      </c>
    </row>
    <row r="147" spans="1:73" ht="40.5" hidden="1">
      <c r="A147" s="1">
        <v>89</v>
      </c>
      <c r="B147" s="3" t="s">
        <v>62</v>
      </c>
      <c r="C147" s="3" t="s">
        <v>63</v>
      </c>
      <c r="D147" s="1" t="s">
        <v>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>
        <v>5</v>
      </c>
      <c r="AG147" s="1"/>
      <c r="AH147" s="1">
        <v>5</v>
      </c>
      <c r="AI147" s="1">
        <v>5</v>
      </c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15</v>
      </c>
      <c r="BQ147" s="1">
        <v>15</v>
      </c>
      <c r="BR147" s="17">
        <v>3</v>
      </c>
      <c r="BS147" s="17" t="s">
        <v>269</v>
      </c>
      <c r="BT147">
        <f>SUM(P147:AD147)</f>
        <v>0</v>
      </c>
      <c r="BU147" s="23">
        <f>AF147+AH147+AI147+AJ147+AO147+AP147</f>
        <v>15</v>
      </c>
    </row>
    <row r="148" spans="1:73" ht="40.5">
      <c r="A148" s="59">
        <v>4</v>
      </c>
      <c r="B148" s="59" t="s">
        <v>235</v>
      </c>
      <c r="C148" s="59" t="s">
        <v>1</v>
      </c>
      <c r="D148" s="59" t="s">
        <v>181</v>
      </c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62">
        <v>40</v>
      </c>
      <c r="AR148" s="62"/>
      <c r="AS148" s="62"/>
      <c r="AT148" s="62"/>
      <c r="AU148" s="62"/>
      <c r="AV148" s="62"/>
      <c r="AW148" s="63">
        <v>40</v>
      </c>
      <c r="AX148" s="63">
        <v>40</v>
      </c>
      <c r="AY148" s="63"/>
      <c r="AZ148" s="63"/>
      <c r="BA148" s="63"/>
      <c r="BB148" s="63"/>
      <c r="BC148" s="64">
        <v>10</v>
      </c>
      <c r="BD148" s="59"/>
      <c r="BE148" s="59">
        <v>50</v>
      </c>
      <c r="BF148" s="59"/>
      <c r="BG148" s="59"/>
      <c r="BH148" s="59"/>
      <c r="BI148" s="59"/>
      <c r="BJ148" s="59"/>
      <c r="BK148" s="59"/>
      <c r="BL148" s="59"/>
      <c r="BM148" s="59"/>
      <c r="BN148" s="59"/>
      <c r="BO148" s="59"/>
      <c r="BP148" s="59">
        <f>SUM(E148:BO148)</f>
        <v>180</v>
      </c>
      <c r="BQ148" s="59">
        <v>23</v>
      </c>
      <c r="BR148" s="65">
        <v>3</v>
      </c>
      <c r="BS148" s="65" t="s">
        <v>314</v>
      </c>
      <c r="BT148">
        <f>SUM(P148:AD148)</f>
        <v>0</v>
      </c>
      <c r="BU148" s="23">
        <f>AF148+AH148+AI148+AJ148+AO148+AP148</f>
        <v>0</v>
      </c>
    </row>
    <row r="149" spans="1:73" ht="40.5" hidden="1">
      <c r="A149" s="1"/>
      <c r="B149" s="1" t="s">
        <v>130</v>
      </c>
      <c r="C149" s="1" t="s">
        <v>128</v>
      </c>
      <c r="D149" s="1" t="s">
        <v>103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28"/>
      <c r="Q149" s="28"/>
      <c r="R149" s="28">
        <v>10</v>
      </c>
      <c r="S149" s="28"/>
      <c r="T149" s="28"/>
      <c r="U149" s="28">
        <v>10</v>
      </c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>
        <v>10</v>
      </c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40</v>
      </c>
      <c r="BQ149" s="1">
        <v>28</v>
      </c>
      <c r="BR149" s="17">
        <v>3</v>
      </c>
      <c r="BS149" s="17" t="s">
        <v>280</v>
      </c>
      <c r="BT149">
        <f>SUM(P149:AD149)</f>
        <v>20</v>
      </c>
      <c r="BU149" s="23">
        <f>AF149+AH149+AI149+AJ149+AO149+AP149</f>
        <v>0</v>
      </c>
    </row>
    <row r="150" spans="1:73" ht="40.5" hidden="1">
      <c r="A150" s="1"/>
      <c r="B150" s="1" t="s">
        <v>117</v>
      </c>
      <c r="C150" s="1" t="s">
        <v>100</v>
      </c>
      <c r="D150" s="1" t="s">
        <v>103</v>
      </c>
      <c r="E150" s="6"/>
      <c r="F150" s="6"/>
      <c r="G150" s="6"/>
      <c r="H150" s="6">
        <v>10</v>
      </c>
      <c r="I150" s="6"/>
      <c r="J150" s="6"/>
      <c r="K150" s="6"/>
      <c r="L150" s="6"/>
      <c r="M150" s="6"/>
      <c r="N150" s="6"/>
      <c r="O150" s="6"/>
      <c r="P150" s="28"/>
      <c r="Q150" s="28"/>
      <c r="R150" s="28">
        <v>10</v>
      </c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>
        <v>10</v>
      </c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40</v>
      </c>
      <c r="BQ150" s="1">
        <v>29</v>
      </c>
      <c r="BR150" s="17">
        <v>3</v>
      </c>
      <c r="BS150" s="17" t="s">
        <v>281</v>
      </c>
      <c r="BT150">
        <f>SUM(P150:AD150)</f>
        <v>20</v>
      </c>
      <c r="BU150" s="23">
        <f>AF150+AH150+AI150+AJ150+AO150+AP150</f>
        <v>0</v>
      </c>
    </row>
    <row r="151" spans="1:73" ht="40.5" hidden="1">
      <c r="A151" s="1"/>
      <c r="B151" s="3" t="s">
        <v>211</v>
      </c>
      <c r="C151" s="3" t="s">
        <v>99</v>
      </c>
      <c r="D151" s="1" t="s">
        <v>201</v>
      </c>
      <c r="E151" s="6"/>
      <c r="F151" s="6"/>
      <c r="G151" s="6"/>
      <c r="H151" s="6">
        <v>10</v>
      </c>
      <c r="I151" s="6"/>
      <c r="J151" s="6"/>
      <c r="K151" s="6"/>
      <c r="L151" s="6"/>
      <c r="M151" s="6"/>
      <c r="N151" s="6"/>
      <c r="O151" s="6"/>
      <c r="P151" s="28"/>
      <c r="Q151" s="28"/>
      <c r="R151" s="28">
        <v>10</v>
      </c>
      <c r="S151" s="28"/>
      <c r="T151" s="28"/>
      <c r="U151" s="28"/>
      <c r="V151" s="28"/>
      <c r="W151" s="28"/>
      <c r="X151" s="28">
        <v>10</v>
      </c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>
        <v>10</v>
      </c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>
        <f>SUM(E151:BO151)</f>
        <v>40</v>
      </c>
      <c r="BQ151" s="1">
        <v>29</v>
      </c>
      <c r="BR151" s="17">
        <v>3</v>
      </c>
      <c r="BS151" s="17" t="s">
        <v>281</v>
      </c>
      <c r="BT151">
        <f>SUM(P151:AD151)</f>
        <v>20</v>
      </c>
      <c r="BU151" s="23">
        <f>AF151+AH151+AI151+AJ151+AO151+AP151</f>
        <v>0</v>
      </c>
    </row>
    <row r="152" spans="1:73" ht="40.5" hidden="1">
      <c r="A152" s="1"/>
      <c r="B152" s="1" t="s">
        <v>258</v>
      </c>
      <c r="C152" s="1" t="s">
        <v>50</v>
      </c>
      <c r="D152" s="1" t="s">
        <v>253</v>
      </c>
      <c r="E152" s="6"/>
      <c r="F152" s="6"/>
      <c r="G152" s="6"/>
      <c r="H152" s="6">
        <v>10</v>
      </c>
      <c r="I152" s="6"/>
      <c r="J152" s="6"/>
      <c r="K152" s="6"/>
      <c r="L152" s="6"/>
      <c r="M152" s="6"/>
      <c r="N152" s="6"/>
      <c r="O152" s="6"/>
      <c r="P152" s="28"/>
      <c r="Q152" s="28"/>
      <c r="R152" s="28">
        <v>10</v>
      </c>
      <c r="S152" s="28"/>
      <c r="T152" s="28"/>
      <c r="U152" s="28"/>
      <c r="V152" s="28"/>
      <c r="W152" s="28"/>
      <c r="X152" s="28">
        <v>10</v>
      </c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>
        <v>10</v>
      </c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>
        <f>SUM(E152:BO152)</f>
        <v>40</v>
      </c>
      <c r="BQ152" s="1">
        <v>29</v>
      </c>
      <c r="BR152" s="17">
        <v>3</v>
      </c>
      <c r="BS152" s="17" t="s">
        <v>281</v>
      </c>
      <c r="BT152">
        <f>SUM(P152:AD152)</f>
        <v>20</v>
      </c>
      <c r="BU152" s="23">
        <f>AF152+AH152+AI152+AJ152+AO152+AP152</f>
        <v>0</v>
      </c>
    </row>
    <row r="153" spans="1:73" ht="40.5">
      <c r="A153" s="1">
        <v>85</v>
      </c>
      <c r="B153" s="3" t="s">
        <v>153</v>
      </c>
      <c r="C153" s="3" t="s">
        <v>50</v>
      </c>
      <c r="D153" s="1" t="s">
        <v>29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>
        <v>50</v>
      </c>
      <c r="BM153" s="1">
        <v>50</v>
      </c>
      <c r="BN153" s="1">
        <v>50</v>
      </c>
      <c r="BO153" s="1">
        <v>50</v>
      </c>
      <c r="BP153" s="1">
        <f>SUM(E153:BO153)</f>
        <v>200</v>
      </c>
      <c r="BQ153" s="1">
        <v>103</v>
      </c>
      <c r="BR153" s="17">
        <v>3</v>
      </c>
      <c r="BS153" s="17" t="s">
        <v>270</v>
      </c>
      <c r="BT153">
        <f>SUM(P153:AD153)</f>
        <v>0</v>
      </c>
      <c r="BU153" s="23">
        <f>AF153+AH153+AI153+AJ153+AO153+AP153</f>
        <v>0</v>
      </c>
    </row>
    <row r="154" spans="1:73" ht="40.5">
      <c r="A154" s="1"/>
      <c r="B154" s="1" t="s">
        <v>150</v>
      </c>
      <c r="C154" s="1" t="s">
        <v>98</v>
      </c>
      <c r="D154" s="1" t="s">
        <v>96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>
        <f>SUM(E154:BO154)</f>
        <v>200</v>
      </c>
      <c r="BQ154" s="1">
        <v>103</v>
      </c>
      <c r="BR154" s="17">
        <v>3</v>
      </c>
      <c r="BS154" s="17" t="s">
        <v>270</v>
      </c>
      <c r="BT154">
        <f>SUM(P154:AD154)</f>
        <v>0</v>
      </c>
      <c r="BU154" s="23">
        <f>AF154+AH154+AI154+AJ154+AO154+AP154</f>
        <v>0</v>
      </c>
    </row>
    <row r="155" spans="1:73" ht="40.5">
      <c r="A155" s="1"/>
      <c r="B155" s="1" t="s">
        <v>171</v>
      </c>
      <c r="C155" s="1" t="s">
        <v>98</v>
      </c>
      <c r="D155" s="1" t="s">
        <v>96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>
        <v>50</v>
      </c>
      <c r="BM155" s="1">
        <v>50</v>
      </c>
      <c r="BN155" s="1">
        <v>50</v>
      </c>
      <c r="BO155" s="1">
        <v>50</v>
      </c>
      <c r="BP155" s="1">
        <f>SUM(E155:BO155)</f>
        <v>200</v>
      </c>
      <c r="BQ155" s="1">
        <v>103</v>
      </c>
      <c r="BR155" s="17">
        <v>3</v>
      </c>
      <c r="BS155" s="17" t="s">
        <v>270</v>
      </c>
      <c r="BT155">
        <f>SUM(P155:AD155)</f>
        <v>0</v>
      </c>
      <c r="BU155" s="23">
        <f>AF155+AH155+AI155+AJ155+AO155+AP155</f>
        <v>0</v>
      </c>
    </row>
    <row r="156" spans="1:73">
      <c r="A156" s="1"/>
      <c r="B156" s="1" t="s">
        <v>54</v>
      </c>
      <c r="C156" s="1"/>
      <c r="D156" s="1"/>
      <c r="E156" s="6">
        <f>SUM(E2:E155)</f>
        <v>133</v>
      </c>
      <c r="F156" s="6">
        <f>SUM(F2:F155)</f>
        <v>27</v>
      </c>
      <c r="G156" s="6">
        <f>SUM(G2:G155)</f>
        <v>135</v>
      </c>
      <c r="H156" s="6">
        <f>SUM(H2:H155)</f>
        <v>124</v>
      </c>
      <c r="I156" s="6">
        <f>SUM(I2:I155)</f>
        <v>37</v>
      </c>
      <c r="J156" s="6">
        <f>SUM(J2:J155)</f>
        <v>60</v>
      </c>
      <c r="K156" s="6">
        <f>SUM(K2:K155)</f>
        <v>16</v>
      </c>
      <c r="L156" s="6">
        <f>SUM(L2:L155)</f>
        <v>72</v>
      </c>
      <c r="M156" s="6">
        <f>SUM(M2:M155)</f>
        <v>61</v>
      </c>
      <c r="N156" s="6">
        <f>SUM(N2:N155)</f>
        <v>10</v>
      </c>
      <c r="O156" s="6">
        <f>SUM(O2:O155)</f>
        <v>56</v>
      </c>
      <c r="P156" s="28">
        <f>SUM(P2:P155)</f>
        <v>230</v>
      </c>
      <c r="Q156" s="28">
        <f>SUM(Q2:Q155)</f>
        <v>131</v>
      </c>
      <c r="R156" s="28">
        <f>SUM(R2:R155)</f>
        <v>171</v>
      </c>
      <c r="S156" s="28">
        <f>SUM(S2:S155)</f>
        <v>230</v>
      </c>
      <c r="T156" s="28">
        <f>SUM(T2:T155)</f>
        <v>111</v>
      </c>
      <c r="U156" s="28">
        <f>SUM(U2:U155)</f>
        <v>146</v>
      </c>
      <c r="V156" s="28">
        <f>SUM(V2:V155)</f>
        <v>235</v>
      </c>
      <c r="W156" s="28">
        <f>SUM(W2:W155)</f>
        <v>85</v>
      </c>
      <c r="X156" s="28">
        <f>SUM(X2:X155)</f>
        <v>157</v>
      </c>
      <c r="Y156" s="28">
        <f>SUM(Y2:Y155)</f>
        <v>215</v>
      </c>
      <c r="Z156" s="28">
        <f>SUM(Z2:Z155)</f>
        <v>100</v>
      </c>
      <c r="AA156" s="28">
        <f>SUM(AA2:AA155)</f>
        <v>137</v>
      </c>
      <c r="AB156" s="28">
        <f>SUM(AB2:AB155)</f>
        <v>240</v>
      </c>
      <c r="AC156" s="28">
        <f>SUM(AC2:AC155)</f>
        <v>85</v>
      </c>
      <c r="AD156" s="28">
        <f>SUM(AD2:AD155)</f>
        <v>114</v>
      </c>
      <c r="AE156" s="1">
        <f>SUM(AE2:AE155)</f>
        <v>250</v>
      </c>
      <c r="AF156" s="1">
        <f>SUM(AF2:AF155)</f>
        <v>10</v>
      </c>
      <c r="AG156" s="1">
        <f>SUM(AG2:AG155)</f>
        <v>5</v>
      </c>
      <c r="AH156" s="1">
        <f>SUM(AH2:AH155)</f>
        <v>30</v>
      </c>
      <c r="AI156" s="1">
        <f>SUM(AI2:AI155)</f>
        <v>30</v>
      </c>
      <c r="AJ156" s="1">
        <f>SUM(AJ2:AJ155)</f>
        <v>5</v>
      </c>
      <c r="AK156" s="1">
        <f>SUM(AK2:AK155)</f>
        <v>0</v>
      </c>
      <c r="AL156" s="1">
        <f>SUM(AL2:AL155)</f>
        <v>0</v>
      </c>
      <c r="AM156" s="1">
        <f>SUM(AM2:AM155)</f>
        <v>5</v>
      </c>
      <c r="AN156" s="1">
        <f>SUM(AN2:AN155)</f>
        <v>50</v>
      </c>
      <c r="AO156" s="1">
        <f>SUM(AO2:AO155)</f>
        <v>33</v>
      </c>
      <c r="AP156" s="1">
        <f>SUM(AP2:AP155)</f>
        <v>27</v>
      </c>
      <c r="AQ156" s="4">
        <f>SUM(AQ2:AQ155)</f>
        <v>125</v>
      </c>
      <c r="AR156" s="4">
        <f>SUM(AR2:AR155)</f>
        <v>85</v>
      </c>
      <c r="AS156" s="4">
        <f>SUM(AS2:AS155)</f>
        <v>80</v>
      </c>
      <c r="AT156" s="4">
        <f>SUM(AT2:AT155)</f>
        <v>75</v>
      </c>
      <c r="AU156" s="4">
        <f>SUM(AU2:AU155)</f>
        <v>115</v>
      </c>
      <c r="AV156" s="4">
        <f>SUM(AV2:AV155)</f>
        <v>135</v>
      </c>
      <c r="AW156" s="2">
        <f>SUM(AW2:AW155)</f>
        <v>105</v>
      </c>
      <c r="AX156" s="2">
        <f>SUM(AX2:AX155)</f>
        <v>55</v>
      </c>
      <c r="AY156" s="2">
        <f>SUM(AY2:AY155)</f>
        <v>75</v>
      </c>
      <c r="AZ156" s="2">
        <f>SUM(AZ2:AZ155)</f>
        <v>85</v>
      </c>
      <c r="BA156" s="2">
        <f>SUM(BA2:BA155)</f>
        <v>125</v>
      </c>
      <c r="BB156" s="2">
        <f>SUM(BB2:BB155)</f>
        <v>185</v>
      </c>
      <c r="BC156" s="1">
        <f>SUM(BC2:BC155)</f>
        <v>30</v>
      </c>
      <c r="BD156" s="1">
        <f>SUM(BD2:BD155)</f>
        <v>110</v>
      </c>
      <c r="BE156" s="1">
        <f>SUM(BE2:BE155)</f>
        <v>110</v>
      </c>
      <c r="BF156" s="1">
        <f>SUM(BF2:BF155)</f>
        <v>40</v>
      </c>
      <c r="BG156" s="1">
        <f>SUM(BG2:BG155)</f>
        <v>40</v>
      </c>
      <c r="BH156" s="1">
        <f>SUM(BH2:BH155)</f>
        <v>35</v>
      </c>
      <c r="BI156" s="1">
        <f>SUM(BI2:BI155)</f>
        <v>85</v>
      </c>
      <c r="BJ156" s="1">
        <f>SUM(BJ2:BJ155)</f>
        <v>200</v>
      </c>
      <c r="BK156" s="1">
        <f>SUM(BK2:BK155)</f>
        <v>200</v>
      </c>
      <c r="BL156" s="1">
        <f>SUM(BL2:BL155)</f>
        <v>150</v>
      </c>
      <c r="BM156" s="1">
        <f>SUM(BM2:BM155)</f>
        <v>150</v>
      </c>
      <c r="BN156" s="1">
        <f>SUM(BN2:BN155)</f>
        <v>350</v>
      </c>
      <c r="BO156" s="1">
        <f>SUM(BO2:BO155)</f>
        <v>350</v>
      </c>
      <c r="BP156" s="1"/>
      <c r="BQ156" s="1"/>
      <c r="BR156" s="17"/>
      <c r="BS156" s="17"/>
    </row>
    <row r="157" spans="1:73">
      <c r="A157" s="1"/>
      <c r="B157" s="3" t="s">
        <v>73</v>
      </c>
      <c r="C157" s="1"/>
      <c r="D157" s="1"/>
      <c r="E157" s="1">
        <v>28</v>
      </c>
      <c r="F157" s="1">
        <v>25</v>
      </c>
      <c r="G157" s="1">
        <v>1</v>
      </c>
      <c r="H157" s="1">
        <v>0</v>
      </c>
      <c r="I157" s="1">
        <v>59</v>
      </c>
      <c r="J157" s="1">
        <v>59</v>
      </c>
      <c r="K157" s="1">
        <v>53</v>
      </c>
      <c r="L157" s="1">
        <v>58</v>
      </c>
      <c r="M157" s="1">
        <v>45</v>
      </c>
      <c r="N157" s="1">
        <v>65</v>
      </c>
      <c r="O157" s="1">
        <v>29</v>
      </c>
      <c r="P157" s="14">
        <v>42</v>
      </c>
      <c r="Q157" s="14">
        <v>19</v>
      </c>
      <c r="R157" s="14">
        <v>1</v>
      </c>
      <c r="S157" s="14">
        <v>72</v>
      </c>
      <c r="T157" s="14">
        <v>23</v>
      </c>
      <c r="U157" s="14">
        <v>1</v>
      </c>
      <c r="V157" s="14">
        <v>39</v>
      </c>
      <c r="W157" s="14">
        <v>4</v>
      </c>
      <c r="X157" s="14">
        <v>0</v>
      </c>
      <c r="Y157" s="14">
        <v>41</v>
      </c>
      <c r="Z157" s="14">
        <v>15</v>
      </c>
      <c r="AA157" s="14">
        <v>9</v>
      </c>
      <c r="AB157" s="14">
        <v>67</v>
      </c>
      <c r="AC157" s="14">
        <v>11</v>
      </c>
      <c r="AD157" s="14">
        <v>12</v>
      </c>
      <c r="AE157" s="1">
        <v>10</v>
      </c>
      <c r="AF157" s="1">
        <v>0</v>
      </c>
      <c r="AG157" s="1">
        <v>4</v>
      </c>
      <c r="AH157" s="1">
        <v>0</v>
      </c>
      <c r="AI157" s="1">
        <v>0</v>
      </c>
      <c r="AJ157" s="1">
        <v>0</v>
      </c>
      <c r="AK157" s="1">
        <v>33</v>
      </c>
      <c r="AL157" s="1">
        <v>43</v>
      </c>
      <c r="AM157" s="1">
        <v>5</v>
      </c>
      <c r="AN157" s="1">
        <v>4</v>
      </c>
      <c r="AO157" s="1">
        <v>0</v>
      </c>
      <c r="AP157" s="1">
        <v>0</v>
      </c>
      <c r="AQ157" s="14">
        <v>30</v>
      </c>
      <c r="AR157" s="14">
        <v>31</v>
      </c>
      <c r="AS157" s="14">
        <v>36</v>
      </c>
      <c r="AT157" s="14">
        <v>15</v>
      </c>
      <c r="AU157" s="14">
        <v>59</v>
      </c>
      <c r="AV157" s="14">
        <v>57</v>
      </c>
      <c r="AW157" s="14">
        <v>32</v>
      </c>
      <c r="AX157" s="14">
        <v>35</v>
      </c>
      <c r="AY157" s="14">
        <v>49</v>
      </c>
      <c r="AZ157" s="14">
        <v>36</v>
      </c>
      <c r="BA157" s="14">
        <v>25</v>
      </c>
      <c r="BB157" s="14">
        <v>27</v>
      </c>
      <c r="BC157" s="14">
        <v>12</v>
      </c>
      <c r="BD157" s="1">
        <v>255</v>
      </c>
      <c r="BE157" s="1">
        <v>396</v>
      </c>
      <c r="BF157" s="1">
        <v>312</v>
      </c>
      <c r="BG157" s="1">
        <v>330</v>
      </c>
      <c r="BH157" s="1">
        <v>162</v>
      </c>
      <c r="BI157" s="1">
        <v>195</v>
      </c>
      <c r="BJ157" s="1">
        <v>80</v>
      </c>
      <c r="BK157" s="1">
        <v>89</v>
      </c>
      <c r="BL157" s="1">
        <v>140</v>
      </c>
      <c r="BM157" s="1">
        <v>37</v>
      </c>
      <c r="BN157" s="1">
        <v>5</v>
      </c>
      <c r="BO157" s="1">
        <v>5</v>
      </c>
      <c r="BP157" s="1"/>
      <c r="BQ157" s="1"/>
      <c r="BR157" s="17"/>
      <c r="BS157" s="17"/>
    </row>
    <row r="158" spans="1:73">
      <c r="A158" s="1"/>
      <c r="B158" s="3" t="s">
        <v>80</v>
      </c>
      <c r="C158" s="1"/>
      <c r="D158" s="1"/>
      <c r="E158" s="1">
        <f>E157-E156</f>
        <v>-105</v>
      </c>
      <c r="F158" s="1">
        <f>F157-F156</f>
        <v>-2</v>
      </c>
      <c r="G158" s="1">
        <f>G157-G156</f>
        <v>-134</v>
      </c>
      <c r="H158" s="1">
        <f>H157-H156</f>
        <v>-124</v>
      </c>
      <c r="I158" s="1">
        <f>I157-I156</f>
        <v>22</v>
      </c>
      <c r="J158" s="1">
        <f>J157-J156</f>
        <v>-1</v>
      </c>
      <c r="K158" s="1">
        <f>K157-K156</f>
        <v>37</v>
      </c>
      <c r="L158" s="1">
        <f>L157-L156</f>
        <v>-14</v>
      </c>
      <c r="M158" s="1">
        <f>M157-M156</f>
        <v>-16</v>
      </c>
      <c r="N158" s="1">
        <f>N157-N156</f>
        <v>55</v>
      </c>
      <c r="O158" s="1">
        <f>O157-O156</f>
        <v>-27</v>
      </c>
      <c r="P158" s="1">
        <f>P157-P156</f>
        <v>-188</v>
      </c>
      <c r="Q158" s="1">
        <f>Q157-Q156</f>
        <v>-112</v>
      </c>
      <c r="R158" s="1">
        <f>R157-R156</f>
        <v>-170</v>
      </c>
      <c r="S158" s="1">
        <f>S157-S156</f>
        <v>-158</v>
      </c>
      <c r="T158" s="1">
        <f>T157-T156</f>
        <v>-88</v>
      </c>
      <c r="U158" s="1">
        <f>U157-U156</f>
        <v>-145</v>
      </c>
      <c r="V158" s="1">
        <f>V157-V156</f>
        <v>-196</v>
      </c>
      <c r="W158" s="1">
        <f>W157-W156</f>
        <v>-81</v>
      </c>
      <c r="X158" s="1">
        <f>X157-X156</f>
        <v>-157</v>
      </c>
      <c r="Y158" s="1">
        <f>Y157-Y156</f>
        <v>-174</v>
      </c>
      <c r="Z158" s="1">
        <f>Z157-Z156</f>
        <v>-85</v>
      </c>
      <c r="AA158" s="1">
        <f>AA157-AA156</f>
        <v>-128</v>
      </c>
      <c r="AB158" s="1">
        <f>AB157-AB156</f>
        <v>-173</v>
      </c>
      <c r="AC158" s="1">
        <f>AC157-AC156</f>
        <v>-74</v>
      </c>
      <c r="AD158" s="1">
        <f>AD157-AD156</f>
        <v>-102</v>
      </c>
      <c r="AE158" s="1">
        <f>AE157-AE156</f>
        <v>-240</v>
      </c>
      <c r="AF158" s="1">
        <f>AF157-AF156</f>
        <v>-10</v>
      </c>
      <c r="AG158" s="1">
        <f>AG157-AG156</f>
        <v>-1</v>
      </c>
      <c r="AH158" s="1">
        <f>AH157-AH156</f>
        <v>-30</v>
      </c>
      <c r="AI158" s="1">
        <f>AI157-AI156</f>
        <v>-30</v>
      </c>
      <c r="AJ158" s="1">
        <f>AJ157-AJ156</f>
        <v>-5</v>
      </c>
      <c r="AK158" s="1">
        <f>AK157-AK156</f>
        <v>33</v>
      </c>
      <c r="AL158" s="1">
        <f>AL157-AL156</f>
        <v>43</v>
      </c>
      <c r="AM158" s="1">
        <f>AM157-AM156</f>
        <v>0</v>
      </c>
      <c r="AN158" s="1">
        <f>AN157-AN156</f>
        <v>-46</v>
      </c>
      <c r="AO158" s="1">
        <f>AO157-AO156</f>
        <v>-33</v>
      </c>
      <c r="AP158" s="1">
        <f>AP157-AP156</f>
        <v>-27</v>
      </c>
      <c r="AQ158" s="1">
        <f>AQ157-AQ156</f>
        <v>-95</v>
      </c>
      <c r="AR158" s="1">
        <f>AR157-AR156</f>
        <v>-54</v>
      </c>
      <c r="AS158" s="1">
        <f>AS157-AS156</f>
        <v>-44</v>
      </c>
      <c r="AT158" s="1">
        <f>AT157-AT156</f>
        <v>-60</v>
      </c>
      <c r="AU158" s="1">
        <f>AU157-AU156</f>
        <v>-56</v>
      </c>
      <c r="AV158" s="1">
        <f>AV157-AV156</f>
        <v>-78</v>
      </c>
      <c r="AW158" s="1">
        <f>AW157-AW156</f>
        <v>-73</v>
      </c>
      <c r="AX158" s="1">
        <f>AX157-AX156</f>
        <v>-20</v>
      </c>
      <c r="AY158" s="1">
        <f>AY157-AY156</f>
        <v>-26</v>
      </c>
      <c r="AZ158" s="1">
        <f>AZ157-AZ156</f>
        <v>-49</v>
      </c>
      <c r="BA158" s="1">
        <f>BA157-BA156</f>
        <v>-100</v>
      </c>
      <c r="BB158" s="1">
        <f>BB157-BB156</f>
        <v>-158</v>
      </c>
      <c r="BC158" s="1">
        <f>BC157-BC156</f>
        <v>-18</v>
      </c>
      <c r="BD158" s="1">
        <f>BD157-BD156</f>
        <v>145</v>
      </c>
      <c r="BE158" s="1">
        <f>BE157-BE156</f>
        <v>286</v>
      </c>
      <c r="BF158" s="1">
        <f>BF157-BF156</f>
        <v>272</v>
      </c>
      <c r="BG158" s="1">
        <f>BG157-BG156</f>
        <v>290</v>
      </c>
      <c r="BH158" s="1">
        <f>BH157-BH156</f>
        <v>127</v>
      </c>
      <c r="BI158" s="1">
        <f>BI157-BI156</f>
        <v>110</v>
      </c>
      <c r="BJ158" s="1">
        <f>BJ157-BJ156</f>
        <v>-120</v>
      </c>
      <c r="BK158" s="1">
        <f>BK157-BK156</f>
        <v>-111</v>
      </c>
      <c r="BL158" s="1">
        <f>BL157-BL156</f>
        <v>-10</v>
      </c>
      <c r="BM158" s="1">
        <f>BM157-BM156</f>
        <v>-113</v>
      </c>
      <c r="BN158" s="1">
        <f>BN157-BN156</f>
        <v>-345</v>
      </c>
      <c r="BO158" s="1">
        <f>BO157-BO156</f>
        <v>-345</v>
      </c>
      <c r="BP158" s="1"/>
      <c r="BQ158" s="1"/>
      <c r="BR158" s="17"/>
      <c r="BS158" s="17"/>
    </row>
    <row r="159" spans="1:73">
      <c r="A159" s="1"/>
      <c r="B159" s="3" t="s">
        <v>154</v>
      </c>
      <c r="C159" s="1"/>
      <c r="D159" s="1"/>
      <c r="E159" s="1">
        <f>MAX(E2:E155)</f>
        <v>15</v>
      </c>
      <c r="F159" s="1">
        <f>MAX(F2:F155)</f>
        <v>15</v>
      </c>
      <c r="G159" s="1">
        <f>MAX(G2:G155)</f>
        <v>20</v>
      </c>
      <c r="H159" s="1">
        <f>MAX(H2:H155)</f>
        <v>20</v>
      </c>
      <c r="I159" s="1">
        <f>MAX(I2:I155)</f>
        <v>10</v>
      </c>
      <c r="J159" s="1">
        <f>MAX(J2:J155)</f>
        <v>10</v>
      </c>
      <c r="K159" s="1">
        <f>MAX(K2:K155)</f>
        <v>10</v>
      </c>
      <c r="L159" s="1">
        <f>MAX(L2:L155)</f>
        <v>20</v>
      </c>
      <c r="M159" s="1">
        <f>MAX(M2:M155)</f>
        <v>15</v>
      </c>
      <c r="N159" s="1">
        <f>MAX(N2:N155)</f>
        <v>10</v>
      </c>
      <c r="O159" s="1">
        <f>MAX(O2:O155)</f>
        <v>20</v>
      </c>
      <c r="P159" s="1">
        <f>MAX(P2:P155)</f>
        <v>10</v>
      </c>
      <c r="Q159" s="1">
        <f>MAX(Q2:Q155)</f>
        <v>7</v>
      </c>
      <c r="R159" s="1">
        <f>MAX(R2:R155)</f>
        <v>10</v>
      </c>
      <c r="S159" s="1">
        <f>MAX(S2:S155)</f>
        <v>10</v>
      </c>
      <c r="T159" s="1">
        <f>MAX(T2:T155)</f>
        <v>7</v>
      </c>
      <c r="U159" s="1">
        <f>MAX(U2:U155)</f>
        <v>10</v>
      </c>
      <c r="V159" s="1">
        <f>MAX(V2:V155)</f>
        <v>10</v>
      </c>
      <c r="W159" s="1">
        <f>MAX(W2:W155)</f>
        <v>5</v>
      </c>
      <c r="X159" s="1">
        <f>MAX(X2:X155)</f>
        <v>10</v>
      </c>
      <c r="Y159" s="1">
        <f>MAX(Y2:Y155)</f>
        <v>10</v>
      </c>
      <c r="Z159" s="1">
        <f>MAX(Z2:Z155)</f>
        <v>5</v>
      </c>
      <c r="AA159" s="1">
        <f>MAX(AA2:AA155)</f>
        <v>10</v>
      </c>
      <c r="AB159" s="1">
        <f>MAX(AB2:AB155)</f>
        <v>10</v>
      </c>
      <c r="AC159" s="1">
        <f>MAX(AC2:AC155)</f>
        <v>5</v>
      </c>
      <c r="AD159" s="1">
        <f>MAX(AD2:AD155)</f>
        <v>10</v>
      </c>
      <c r="AE159" s="1">
        <f>MAX(AE2:AE155)</f>
        <v>200</v>
      </c>
      <c r="AF159" s="1">
        <f>MAX(AF2:AF155)</f>
        <v>5</v>
      </c>
      <c r="AG159" s="1">
        <f>MAX(AG2:AG155)</f>
        <v>5</v>
      </c>
      <c r="AH159" s="1">
        <f>MAX(AH2:AH155)</f>
        <v>5</v>
      </c>
      <c r="AI159" s="1">
        <f>MAX(AI2:AI155)</f>
        <v>5</v>
      </c>
      <c r="AJ159" s="1">
        <f>MAX(AJ2:AJ155)</f>
        <v>5</v>
      </c>
      <c r="AK159" s="1">
        <f>MAX(AK2:AK155)</f>
        <v>0</v>
      </c>
      <c r="AL159" s="1">
        <f>MAX(AL2:AL155)</f>
        <v>0</v>
      </c>
      <c r="AM159" s="1">
        <f>MAX(AM2:AM155)</f>
        <v>5</v>
      </c>
      <c r="AN159" s="1">
        <f>MAX(AN2:AN155)</f>
        <v>25</v>
      </c>
      <c r="AO159" s="1">
        <f>MAX(AO2:AO155)</f>
        <v>10</v>
      </c>
      <c r="AP159" s="1">
        <f>MAX(AP2:AP155)</f>
        <v>10</v>
      </c>
      <c r="AQ159" s="1">
        <f>MAX(AQ2:AQ155)</f>
        <v>40</v>
      </c>
      <c r="AR159" s="1">
        <f>MAX(AR2:AR155)</f>
        <v>15</v>
      </c>
      <c r="AS159" s="1">
        <f>MAX(AS2:AS155)</f>
        <v>15</v>
      </c>
      <c r="AT159" s="1">
        <f>MAX(AT2:AT155)</f>
        <v>15</v>
      </c>
      <c r="AU159" s="1">
        <f>MAX(AU2:AU155)</f>
        <v>40</v>
      </c>
      <c r="AV159" s="1">
        <f>MAX(AV2:AV155)</f>
        <v>40</v>
      </c>
      <c r="AW159" s="1">
        <f>MAX(AW2:AW155)</f>
        <v>40</v>
      </c>
      <c r="AX159" s="1">
        <f>MAX(AX2:AX155)</f>
        <v>40</v>
      </c>
      <c r="AY159" s="1">
        <f>MAX(AY2:AY155)</f>
        <v>40</v>
      </c>
      <c r="AZ159" s="1">
        <f>MAX(AZ2:AZ155)</f>
        <v>40</v>
      </c>
      <c r="BA159" s="1">
        <f>MAX(BA2:BA155)</f>
        <v>20</v>
      </c>
      <c r="BB159" s="1">
        <f>MAX(BB2:BB155)</f>
        <v>40</v>
      </c>
      <c r="BC159" s="1">
        <f>MAX(BC2:BC155)</f>
        <v>10</v>
      </c>
      <c r="BD159" s="1">
        <f>MAX(BD2:BD155)</f>
        <v>50</v>
      </c>
      <c r="BE159" s="1">
        <f>MAX(BE2:BE155)</f>
        <v>50</v>
      </c>
      <c r="BF159" s="1">
        <f>MAX(BF2:BF155)</f>
        <v>20</v>
      </c>
      <c r="BG159" s="1">
        <f>MAX(BG2:BG155)</f>
        <v>20</v>
      </c>
      <c r="BH159" s="1">
        <f>MAX(BH2:BH155)</f>
        <v>20</v>
      </c>
      <c r="BI159" s="1">
        <f>MAX(BI2:BI155)</f>
        <v>50</v>
      </c>
      <c r="BJ159" s="1">
        <f>MAX(BJ2:BJ155)</f>
        <v>50</v>
      </c>
      <c r="BK159" s="1">
        <f>MAX(BK2:BK155)</f>
        <v>50</v>
      </c>
      <c r="BL159" s="1">
        <f>MAX(BL2:BL155)</f>
        <v>50</v>
      </c>
      <c r="BM159" s="1">
        <f>MAX(BM2:BM155)</f>
        <v>50</v>
      </c>
      <c r="BN159" s="1">
        <f>MAX(BN2:BN155)</f>
        <v>50</v>
      </c>
      <c r="BO159" s="1">
        <f>MAX(BO2:BO155)</f>
        <v>50</v>
      </c>
      <c r="BP159" s="1"/>
      <c r="BQ159" s="1"/>
      <c r="BR159" s="17"/>
      <c r="BS159" s="17"/>
    </row>
    <row r="160" spans="1:73">
      <c r="A160" s="1"/>
      <c r="B160" s="3" t="s">
        <v>155</v>
      </c>
      <c r="C160" s="1"/>
      <c r="D160" s="1"/>
      <c r="E160" s="1">
        <f>MIN(E2:E155)</f>
        <v>5</v>
      </c>
      <c r="F160" s="1">
        <f>MIN(F2:F155)</f>
        <v>6</v>
      </c>
      <c r="G160" s="1">
        <f>MIN(G2:G155)</f>
        <v>5</v>
      </c>
      <c r="H160" s="1">
        <f>MIN(H2:H155)</f>
        <v>5</v>
      </c>
      <c r="I160" s="1">
        <f>MIN(I2:I155)</f>
        <v>7</v>
      </c>
      <c r="J160" s="1">
        <f>MIN(J2:J155)</f>
        <v>10</v>
      </c>
      <c r="K160" s="1">
        <f>MIN(K2:K155)</f>
        <v>6</v>
      </c>
      <c r="L160" s="1">
        <f>MIN(L2:L155)</f>
        <v>7</v>
      </c>
      <c r="M160" s="1">
        <f>MIN(M2:M155)</f>
        <v>6</v>
      </c>
      <c r="N160" s="1">
        <f>MIN(N2:N155)</f>
        <v>10</v>
      </c>
      <c r="O160" s="1">
        <f>MIN(O2:O155)</f>
        <v>5</v>
      </c>
      <c r="P160" s="1">
        <f>MIN(P2:P155)</f>
        <v>10</v>
      </c>
      <c r="Q160" s="1">
        <f>MIN(Q2:Q155)</f>
        <v>5</v>
      </c>
      <c r="R160" s="1">
        <f>MIN(R2:R155)</f>
        <v>2</v>
      </c>
      <c r="S160" s="1">
        <f>MIN(S2:S155)</f>
        <v>10</v>
      </c>
      <c r="T160" s="1">
        <f>MIN(T2:T155)</f>
        <v>5</v>
      </c>
      <c r="U160" s="1">
        <f>MIN(U2:U155)</f>
        <v>2</v>
      </c>
      <c r="V160" s="1">
        <f>MIN(V2:V155)</f>
        <v>5</v>
      </c>
      <c r="W160" s="1">
        <f>MIN(W2:W155)</f>
        <v>5</v>
      </c>
      <c r="X160" s="1">
        <f>MIN(X2:X155)</f>
        <v>2</v>
      </c>
      <c r="Y160" s="1">
        <f>MIN(Y2:Y155)</f>
        <v>5</v>
      </c>
      <c r="Z160" s="1">
        <f>MIN(Z2:Z155)</f>
        <v>5</v>
      </c>
      <c r="AA160" s="1">
        <f>MIN(AA2:AA155)</f>
        <v>2</v>
      </c>
      <c r="AB160" s="1">
        <f>MIN(AB2:AB155)</f>
        <v>10</v>
      </c>
      <c r="AC160" s="1">
        <f>MIN(AC2:AC155)</f>
        <v>5</v>
      </c>
      <c r="AD160" s="1">
        <f>MIN(AD2:AD155)</f>
        <v>2</v>
      </c>
      <c r="AE160" s="1">
        <f>MIN(AE2:AE155)</f>
        <v>50</v>
      </c>
      <c r="AF160" s="1">
        <f>MIN(AF2:AF155)</f>
        <v>5</v>
      </c>
      <c r="AG160" s="1">
        <f>MIN(AG2:AG155)</f>
        <v>5</v>
      </c>
      <c r="AH160" s="1">
        <f>MIN(AH2:AH155)</f>
        <v>5</v>
      </c>
      <c r="AI160" s="1">
        <f>MIN(AI2:AI155)</f>
        <v>5</v>
      </c>
      <c r="AJ160" s="1">
        <f>MIN(AJ2:AJ155)</f>
        <v>5</v>
      </c>
      <c r="AK160" s="1">
        <f>MIN(AK2:AK155)</f>
        <v>0</v>
      </c>
      <c r="AL160" s="1">
        <f>MIN(AL2:AL155)</f>
        <v>0</v>
      </c>
      <c r="AM160" s="1">
        <f>MIN(AM2:AM155)</f>
        <v>5</v>
      </c>
      <c r="AN160" s="1">
        <f>MIN(AN2:AN155)</f>
        <v>5</v>
      </c>
      <c r="AO160" s="1">
        <f>MIN(AO2:AO155)</f>
        <v>2</v>
      </c>
      <c r="AP160" s="1">
        <f>MIN(AP2:AP155)</f>
        <v>1</v>
      </c>
      <c r="AQ160" s="1">
        <f>MIN(AQ2:AQ155)</f>
        <v>10</v>
      </c>
      <c r="AR160" s="1">
        <f>MIN(AR2:AR155)</f>
        <v>10</v>
      </c>
      <c r="AS160" s="1">
        <f>MIN(AS2:AS155)</f>
        <v>5</v>
      </c>
      <c r="AT160" s="1">
        <f>MIN(AT2:AT155)</f>
        <v>10</v>
      </c>
      <c r="AU160" s="1">
        <f>MIN(AU2:AU155)</f>
        <v>10</v>
      </c>
      <c r="AV160" s="1">
        <f>MIN(AV2:AV155)</f>
        <v>10</v>
      </c>
      <c r="AW160" s="1">
        <f>MIN(AW2:AW155)</f>
        <v>10</v>
      </c>
      <c r="AX160" s="1">
        <f>MIN(AX2:AX155)</f>
        <v>5</v>
      </c>
      <c r="AY160" s="1">
        <f>MIN(AY2:AY155)</f>
        <v>10</v>
      </c>
      <c r="AZ160" s="1">
        <f>MIN(AZ2:AZ155)</f>
        <v>10</v>
      </c>
      <c r="BA160" s="1">
        <f>MIN(BA2:BA155)</f>
        <v>5</v>
      </c>
      <c r="BB160" s="1">
        <f>MIN(BB2:BB155)</f>
        <v>5</v>
      </c>
      <c r="BC160" s="1">
        <f>MIN(BC2:BC155)</f>
        <v>10</v>
      </c>
      <c r="BD160" s="1">
        <f>MIN(BD2:BD155)</f>
        <v>20</v>
      </c>
      <c r="BE160" s="1">
        <f>MIN(BE2:BE155)</f>
        <v>20</v>
      </c>
      <c r="BF160" s="1">
        <f>MIN(BF2:BF155)</f>
        <v>20</v>
      </c>
      <c r="BG160" s="1">
        <f>MIN(BG2:BG155)</f>
        <v>20</v>
      </c>
      <c r="BH160" s="1">
        <f>MIN(BH2:BH155)</f>
        <v>15</v>
      </c>
      <c r="BI160" s="1">
        <f>MIN(BI2:BI155)</f>
        <v>15</v>
      </c>
      <c r="BJ160" s="1">
        <f>MIN(BJ2:BJ155)</f>
        <v>50</v>
      </c>
      <c r="BK160" s="1">
        <f>MIN(BK2:BK155)</f>
        <v>50</v>
      </c>
      <c r="BL160" s="1">
        <f>MIN(BL2:BL155)</f>
        <v>50</v>
      </c>
      <c r="BM160" s="1">
        <f>MIN(BM2:BM155)</f>
        <v>50</v>
      </c>
      <c r="BN160" s="1">
        <f>MIN(BN2:BN155)</f>
        <v>50</v>
      </c>
      <c r="BO160" s="1">
        <f>MIN(BO2:BO155)</f>
        <v>50</v>
      </c>
      <c r="BP160" s="1"/>
      <c r="BQ160" s="1"/>
      <c r="BR160" s="17"/>
      <c r="BS160" s="17"/>
    </row>
    <row r="161" spans="1:71">
      <c r="A161" s="1"/>
      <c r="B161" s="3" t="s">
        <v>156</v>
      </c>
      <c r="C161" s="1"/>
      <c r="D161" s="1"/>
      <c r="E161" s="1">
        <f>E157-E159</f>
        <v>13</v>
      </c>
      <c r="F161" s="1">
        <f>F157-F159</f>
        <v>10</v>
      </c>
      <c r="G161" s="1">
        <f>G157-G159</f>
        <v>-19</v>
      </c>
      <c r="H161" s="1">
        <f>H157-H159</f>
        <v>-20</v>
      </c>
      <c r="I161" s="1">
        <f>I157-I159</f>
        <v>49</v>
      </c>
      <c r="J161" s="1">
        <f>J157-J159</f>
        <v>49</v>
      </c>
      <c r="K161" s="1">
        <f>K157-K159</f>
        <v>43</v>
      </c>
      <c r="L161" s="1">
        <f>L157-L159</f>
        <v>38</v>
      </c>
      <c r="M161" s="1">
        <f>M157-M159</f>
        <v>30</v>
      </c>
      <c r="N161" s="1">
        <f>N157-N159</f>
        <v>55</v>
      </c>
      <c r="O161" s="1">
        <f>O157-O159</f>
        <v>9</v>
      </c>
      <c r="P161" s="1">
        <f>P157-P159</f>
        <v>32</v>
      </c>
      <c r="Q161" s="1">
        <f>Q157-Q159</f>
        <v>12</v>
      </c>
      <c r="R161" s="1">
        <f>R157-R159</f>
        <v>-9</v>
      </c>
      <c r="S161" s="1">
        <f>S157-S159</f>
        <v>62</v>
      </c>
      <c r="T161" s="1">
        <f>T157-T159</f>
        <v>16</v>
      </c>
      <c r="U161" s="1">
        <f>U157-U159</f>
        <v>-9</v>
      </c>
      <c r="V161" s="1">
        <f>V157-V159</f>
        <v>29</v>
      </c>
      <c r="W161" s="1">
        <f>W157-W159</f>
        <v>-1</v>
      </c>
      <c r="X161" s="1">
        <f>X157-X159</f>
        <v>-10</v>
      </c>
      <c r="Y161" s="1">
        <f>Y157-Y159</f>
        <v>31</v>
      </c>
      <c r="Z161" s="1">
        <f>Z157-Z159</f>
        <v>10</v>
      </c>
      <c r="AA161" s="1">
        <f>AA157-AA159</f>
        <v>-1</v>
      </c>
      <c r="AB161" s="1">
        <f>AB157-AB159</f>
        <v>57</v>
      </c>
      <c r="AC161" s="1">
        <f>AC157-AC159</f>
        <v>6</v>
      </c>
      <c r="AD161" s="1">
        <f>AD157-AD159</f>
        <v>2</v>
      </c>
      <c r="AE161" s="1">
        <f>AE157-AE159</f>
        <v>-190</v>
      </c>
      <c r="AF161" s="1">
        <f>AF157-AF159</f>
        <v>-5</v>
      </c>
      <c r="AG161" s="1">
        <f>AG157-AG159</f>
        <v>-1</v>
      </c>
      <c r="AH161" s="1">
        <f>AH157-AH159</f>
        <v>-5</v>
      </c>
      <c r="AI161" s="1">
        <f>AI157-AI159</f>
        <v>-5</v>
      </c>
      <c r="AJ161" s="1">
        <f>AJ157-AJ159</f>
        <v>-5</v>
      </c>
      <c r="AK161" s="1">
        <f>AK157-AK159</f>
        <v>33</v>
      </c>
      <c r="AL161" s="1">
        <f>AL157-AL159</f>
        <v>43</v>
      </c>
      <c r="AM161" s="1">
        <f>AM157-AM159</f>
        <v>0</v>
      </c>
      <c r="AN161" s="1">
        <f>AN157-AN159</f>
        <v>-21</v>
      </c>
      <c r="AO161" s="1">
        <f>AO157-AO159</f>
        <v>-10</v>
      </c>
      <c r="AP161" s="1">
        <f>AP157-AP159</f>
        <v>-10</v>
      </c>
      <c r="AQ161" s="1">
        <f>AQ157-AQ159</f>
        <v>-10</v>
      </c>
      <c r="AR161" s="1">
        <f>AR157-AR159</f>
        <v>16</v>
      </c>
      <c r="AS161" s="1">
        <f>AS157-AS159</f>
        <v>21</v>
      </c>
      <c r="AT161" s="1">
        <f>AT157-AT159</f>
        <v>0</v>
      </c>
      <c r="AU161" s="1">
        <f>AU157-AU159</f>
        <v>19</v>
      </c>
      <c r="AV161" s="1">
        <f>AV157-AV159</f>
        <v>17</v>
      </c>
      <c r="AW161" s="1">
        <f>AW157-AW159</f>
        <v>-8</v>
      </c>
      <c r="AX161" s="1">
        <f>AX157-AX159</f>
        <v>-5</v>
      </c>
      <c r="AY161" s="1">
        <f>AY157-AY159</f>
        <v>9</v>
      </c>
      <c r="AZ161" s="1">
        <f>AZ157-AZ159</f>
        <v>-4</v>
      </c>
      <c r="BA161" s="1">
        <f>BA157-BA159</f>
        <v>5</v>
      </c>
      <c r="BB161" s="1">
        <f>BB157-BB159</f>
        <v>-13</v>
      </c>
      <c r="BC161" s="1">
        <f>BC157-BC159</f>
        <v>2</v>
      </c>
      <c r="BD161" s="1">
        <f>BD157-BD159</f>
        <v>205</v>
      </c>
      <c r="BE161" s="1">
        <f>BE157-BE159</f>
        <v>346</v>
      </c>
      <c r="BF161" s="1">
        <f>BF157-BF159</f>
        <v>292</v>
      </c>
      <c r="BG161" s="1">
        <f>BG157-BG159</f>
        <v>310</v>
      </c>
      <c r="BH161" s="1">
        <f>BH157-BH159</f>
        <v>142</v>
      </c>
      <c r="BI161" s="1">
        <f>BI157-BI159</f>
        <v>145</v>
      </c>
      <c r="BJ161" s="1">
        <f>BJ157-BJ159</f>
        <v>30</v>
      </c>
      <c r="BK161" s="1">
        <f>BK157-BK159</f>
        <v>39</v>
      </c>
      <c r="BL161" s="1">
        <f>BL157-BL159</f>
        <v>90</v>
      </c>
      <c r="BM161" s="1">
        <f>BM157-BM159</f>
        <v>-13</v>
      </c>
      <c r="BN161" s="1">
        <f>BN157-BN159</f>
        <v>-45</v>
      </c>
      <c r="BO161" s="1">
        <f>BO157-BO159</f>
        <v>-45</v>
      </c>
      <c r="BP161" s="1"/>
      <c r="BQ161" s="1"/>
      <c r="BR161" s="17"/>
      <c r="BS161" s="17"/>
    </row>
    <row r="162" spans="1:71" s="13" customFormat="1">
      <c r="A162" s="1"/>
      <c r="B162" s="3" t="s">
        <v>157</v>
      </c>
      <c r="C162" s="1"/>
      <c r="D162" s="1"/>
      <c r="E162" s="1">
        <f>E157-E160</f>
        <v>23</v>
      </c>
      <c r="F162" s="1">
        <f>F157-F160</f>
        <v>19</v>
      </c>
      <c r="G162" s="1">
        <f>G157-G160</f>
        <v>-4</v>
      </c>
      <c r="H162" s="1">
        <f>H157-H160</f>
        <v>-5</v>
      </c>
      <c r="I162" s="1">
        <f>I157-I160</f>
        <v>52</v>
      </c>
      <c r="J162" s="1">
        <f>J157-J160</f>
        <v>49</v>
      </c>
      <c r="K162" s="1">
        <f>K157-K160</f>
        <v>47</v>
      </c>
      <c r="L162" s="1">
        <f>L157-L160</f>
        <v>51</v>
      </c>
      <c r="M162" s="1">
        <f>M157-M160</f>
        <v>39</v>
      </c>
      <c r="N162" s="1">
        <f>N157-N160</f>
        <v>55</v>
      </c>
      <c r="O162" s="1">
        <f>O157-O160</f>
        <v>24</v>
      </c>
      <c r="P162" s="1">
        <f>P157-P160</f>
        <v>32</v>
      </c>
      <c r="Q162" s="1">
        <f>Q157-Q160</f>
        <v>14</v>
      </c>
      <c r="R162" s="1">
        <f>R157-R160</f>
        <v>-1</v>
      </c>
      <c r="S162" s="1">
        <f>S157-S160</f>
        <v>62</v>
      </c>
      <c r="T162" s="1">
        <f>T157-T160</f>
        <v>18</v>
      </c>
      <c r="U162" s="1">
        <f>U157-U160</f>
        <v>-1</v>
      </c>
      <c r="V162" s="1">
        <f>V157-V160</f>
        <v>34</v>
      </c>
      <c r="W162" s="1">
        <f>W157-W160</f>
        <v>-1</v>
      </c>
      <c r="X162" s="1">
        <f>X157-X160</f>
        <v>-2</v>
      </c>
      <c r="Y162" s="1">
        <f>Y157-Y160</f>
        <v>36</v>
      </c>
      <c r="Z162" s="1">
        <f>Z157-Z160</f>
        <v>10</v>
      </c>
      <c r="AA162" s="1">
        <f>AA157-AA160</f>
        <v>7</v>
      </c>
      <c r="AB162" s="1">
        <f>AB157-AB160</f>
        <v>57</v>
      </c>
      <c r="AC162" s="1">
        <f>AC157-AC160</f>
        <v>6</v>
      </c>
      <c r="AD162" s="1">
        <f>AD157-AD160</f>
        <v>10</v>
      </c>
      <c r="AE162" s="1">
        <f>AE157-AE160</f>
        <v>-40</v>
      </c>
      <c r="AF162" s="1">
        <f>AF157-AF160</f>
        <v>-5</v>
      </c>
      <c r="AG162" s="1">
        <f>AG157-AG160</f>
        <v>-1</v>
      </c>
      <c r="AH162" s="1">
        <f>AH157-AH160</f>
        <v>-5</v>
      </c>
      <c r="AI162" s="1">
        <f>AI157-AI160</f>
        <v>-5</v>
      </c>
      <c r="AJ162" s="1">
        <f>AJ157-AJ160</f>
        <v>-5</v>
      </c>
      <c r="AK162" s="1">
        <f>AK157-AK160</f>
        <v>33</v>
      </c>
      <c r="AL162" s="1">
        <f>AL157-AL160</f>
        <v>43</v>
      </c>
      <c r="AM162" s="1">
        <f>AM157-AM160</f>
        <v>0</v>
      </c>
      <c r="AN162" s="1">
        <f>AN157-AN160</f>
        <v>-1</v>
      </c>
      <c r="AO162" s="1">
        <f>AO157-AO160</f>
        <v>-2</v>
      </c>
      <c r="AP162" s="1">
        <f>AP157-AP160</f>
        <v>-1</v>
      </c>
      <c r="AQ162" s="1">
        <f>AQ157-AQ160</f>
        <v>20</v>
      </c>
      <c r="AR162" s="1">
        <f>AR157-AR160</f>
        <v>21</v>
      </c>
      <c r="AS162" s="1">
        <f>AS157-AS160</f>
        <v>31</v>
      </c>
      <c r="AT162" s="1">
        <f>AT157-AT160</f>
        <v>5</v>
      </c>
      <c r="AU162" s="1">
        <f>AU157-AU160</f>
        <v>49</v>
      </c>
      <c r="AV162" s="1">
        <f>AV157-AV160</f>
        <v>47</v>
      </c>
      <c r="AW162" s="1">
        <f>AW157-AW160</f>
        <v>22</v>
      </c>
      <c r="AX162" s="1">
        <f>AX157-AX160</f>
        <v>30</v>
      </c>
      <c r="AY162" s="1">
        <f>AY157-AY160</f>
        <v>39</v>
      </c>
      <c r="AZ162" s="1">
        <f>AZ157-AZ160</f>
        <v>26</v>
      </c>
      <c r="BA162" s="1">
        <f>BA157-BA160</f>
        <v>20</v>
      </c>
      <c r="BB162" s="1">
        <f>BB157-BB160</f>
        <v>22</v>
      </c>
      <c r="BC162" s="1">
        <f>BC157-BC160</f>
        <v>2</v>
      </c>
      <c r="BD162" s="1">
        <f>BD157-BD160</f>
        <v>235</v>
      </c>
      <c r="BE162" s="1">
        <f>BE157-BE160</f>
        <v>376</v>
      </c>
      <c r="BF162" s="1">
        <f>BF157-BF160</f>
        <v>292</v>
      </c>
      <c r="BG162" s="1">
        <f>BG157-BG160</f>
        <v>310</v>
      </c>
      <c r="BH162" s="1">
        <f>BH157-BH160</f>
        <v>147</v>
      </c>
      <c r="BI162" s="1">
        <f>BI157-BI160</f>
        <v>180</v>
      </c>
      <c r="BJ162" s="1">
        <f>BJ157-BJ160</f>
        <v>30</v>
      </c>
      <c r="BK162" s="1">
        <f>BK157-BK160</f>
        <v>39</v>
      </c>
      <c r="BL162" s="1">
        <f>BL157-BL160</f>
        <v>90</v>
      </c>
      <c r="BM162" s="1">
        <f>BM157-BM160</f>
        <v>-13</v>
      </c>
      <c r="BN162" s="1">
        <f>BN157-BN160</f>
        <v>-45</v>
      </c>
      <c r="BO162" s="1">
        <f>BO157-BO160</f>
        <v>-45</v>
      </c>
      <c r="BP162" s="1"/>
      <c r="BQ162" s="1"/>
      <c r="BR162" s="17"/>
      <c r="BS162" s="17"/>
    </row>
    <row r="163" spans="1:71">
      <c r="AQ163" s="7" t="s">
        <v>183</v>
      </c>
      <c r="AR163" s="7" t="s">
        <v>186</v>
      </c>
      <c r="AS163" s="7" t="s">
        <v>187</v>
      </c>
      <c r="AT163" s="7" t="s">
        <v>184</v>
      </c>
      <c r="AU163" s="7" t="s">
        <v>185</v>
      </c>
      <c r="AV163" s="7" t="s">
        <v>182</v>
      </c>
      <c r="AW163" s="7" t="s">
        <v>188</v>
      </c>
      <c r="AX163" s="7" t="s">
        <v>189</v>
      </c>
      <c r="AY163" s="7" t="s">
        <v>190</v>
      </c>
      <c r="AZ163" s="7" t="s">
        <v>191</v>
      </c>
      <c r="BA163" s="7" t="s">
        <v>192</v>
      </c>
      <c r="BB163" s="7" t="s">
        <v>193</v>
      </c>
    </row>
  </sheetData>
  <autoFilter ref="A1:BU163">
    <filterColumn colId="71">
      <filters blank="1">
        <filter val="0"/>
      </filters>
    </filterColumn>
    <filterColumn colId="72">
      <filters blank="1">
        <filter val="0"/>
      </filters>
    </filterColumn>
    <sortState ref="A2:BU163">
      <sortCondition ref="BR2:BR163"/>
      <sortCondition ref="BQ2:BQ163"/>
    </sortState>
  </autoFilter>
  <sortState ref="A2:CS148">
    <sortCondition ref="BR2:BR148"/>
    <sortCondition ref="BQ2:BQ148"/>
  </sortState>
  <phoneticPr fontId="1" type="noConversion"/>
  <conditionalFormatting sqref="E159:BO159">
    <cfRule type="expression" dxfId="5" priority="10">
      <formula>"&lt;=$E$135"</formula>
    </cfRule>
  </conditionalFormatting>
  <conditionalFormatting sqref="E161:BO162">
    <cfRule type="cellIs" dxfId="4" priority="1" operator="lessThan">
      <formula>0</formula>
    </cfRule>
  </conditionalFormatting>
  <conditionalFormatting sqref="E158:BO15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162</xdr:row>
                    <xdr:rowOff>28575</xdr:rowOff>
                  </from>
                  <to>
                    <xdr:col>1</xdr:col>
                    <xdr:colOff>428625</xdr:colOff>
                    <xdr:row>163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121</v>
      </c>
      <c r="AB1" s="27" t="s">
        <v>109</v>
      </c>
      <c r="AC1" s="27" t="s">
        <v>108</v>
      </c>
      <c r="AD1" s="27" t="s">
        <v>131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135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180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196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212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154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155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156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157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194</v>
      </c>
      <c r="AQ11" s="7" t="s">
        <v>183</v>
      </c>
      <c r="AR11" s="7" t="s">
        <v>186</v>
      </c>
      <c r="AS11" s="7" t="s">
        <v>187</v>
      </c>
      <c r="AT11" s="7" t="s">
        <v>184</v>
      </c>
      <c r="AU11" s="7" t="s">
        <v>185</v>
      </c>
      <c r="AV11" s="7" t="s">
        <v>182</v>
      </c>
      <c r="AW11" s="7" t="s">
        <v>188</v>
      </c>
      <c r="AX11" s="7" t="s">
        <v>189</v>
      </c>
      <c r="AY11" s="7" t="s">
        <v>190</v>
      </c>
      <c r="AZ11" s="7" t="s">
        <v>191</v>
      </c>
      <c r="BA11" s="7" t="s">
        <v>192</v>
      </c>
      <c r="BB11" s="7" t="s">
        <v>193</v>
      </c>
    </row>
    <row r="12" spans="1:97">
      <c r="R12" s="7" t="s">
        <v>195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158</v>
      </c>
      <c r="D27" t="s">
        <v>159</v>
      </c>
      <c r="E27" t="s">
        <v>160</v>
      </c>
      <c r="F27" t="s">
        <v>161</v>
      </c>
      <c r="G27" t="s">
        <v>162</v>
      </c>
      <c r="H27" t="s">
        <v>163</v>
      </c>
      <c r="I27" t="s">
        <v>164</v>
      </c>
      <c r="J27" t="s">
        <v>165</v>
      </c>
      <c r="K27" t="s">
        <v>166</v>
      </c>
      <c r="L27" t="s">
        <v>167</v>
      </c>
      <c r="M27" t="s">
        <v>168</v>
      </c>
      <c r="N27" t="s">
        <v>169</v>
      </c>
    </row>
    <row r="31" spans="3:18">
      <c r="C31">
        <v>-3</v>
      </c>
      <c r="D31" t="s">
        <v>158</v>
      </c>
    </row>
    <row r="32" spans="3:18">
      <c r="C32">
        <v>-8</v>
      </c>
      <c r="D32" t="s">
        <v>159</v>
      </c>
    </row>
    <row r="33" spans="3:4">
      <c r="C33">
        <v>-3</v>
      </c>
      <c r="D33" t="s">
        <v>160</v>
      </c>
    </row>
    <row r="34" spans="3:4">
      <c r="C34">
        <v>1</v>
      </c>
      <c r="D34" t="s">
        <v>161</v>
      </c>
    </row>
    <row r="35" spans="3:4">
      <c r="C35">
        <v>3</v>
      </c>
      <c r="D35" t="s">
        <v>162</v>
      </c>
    </row>
    <row r="36" spans="3:4">
      <c r="C36">
        <v>0</v>
      </c>
      <c r="D36" t="s">
        <v>163</v>
      </c>
    </row>
    <row r="37" spans="3:4">
      <c r="C37">
        <v>-3</v>
      </c>
      <c r="D37" t="s">
        <v>164</v>
      </c>
    </row>
    <row r="38" spans="3:4">
      <c r="C38">
        <v>30</v>
      </c>
      <c r="D38" t="s">
        <v>165</v>
      </c>
    </row>
    <row r="39" spans="3:4">
      <c r="C39">
        <v>5</v>
      </c>
      <c r="D39" t="s">
        <v>166</v>
      </c>
    </row>
    <row r="40" spans="3:4">
      <c r="C40">
        <v>-10</v>
      </c>
      <c r="D40" t="s">
        <v>167</v>
      </c>
    </row>
    <row r="41" spans="3:4">
      <c r="C41">
        <v>3</v>
      </c>
      <c r="D41" t="s">
        <v>168</v>
      </c>
    </row>
    <row r="42" spans="3:4">
      <c r="C42">
        <v>138</v>
      </c>
      <c r="D42" t="s">
        <v>169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213</v>
      </c>
      <c r="F3" t="s">
        <v>214</v>
      </c>
      <c r="G3" t="s">
        <v>215</v>
      </c>
      <c r="H3" t="s">
        <v>216</v>
      </c>
      <c r="I3" t="s">
        <v>217</v>
      </c>
      <c r="J3" t="s">
        <v>218</v>
      </c>
    </row>
    <row r="4" spans="3:10">
      <c r="C4" s="67" t="s">
        <v>219</v>
      </c>
      <c r="D4" t="s">
        <v>220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221</v>
      </c>
      <c r="D5" t="s">
        <v>222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223</v>
      </c>
      <c r="D6" t="s">
        <v>222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224</v>
      </c>
      <c r="D7" t="s">
        <v>222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225</v>
      </c>
      <c r="D8" t="s">
        <v>226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227</v>
      </c>
      <c r="D9" t="s">
        <v>226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228</v>
      </c>
      <c r="D10" t="s">
        <v>226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231</v>
      </c>
      <c r="D11" t="s">
        <v>222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229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229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229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229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230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226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226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226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2020-05-05T13:10:04Z</dcterms:modified>
</cp:coreProperties>
</file>