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 activeTab="4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Sheet1!$A$1:$BV$122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1" i="1" l="1"/>
  <c r="BV111" i="1"/>
  <c r="BU96" i="1"/>
  <c r="BV96" i="1"/>
  <c r="BQ96" i="1"/>
  <c r="BQ111" i="1"/>
  <c r="BU103" i="1" l="1"/>
  <c r="BV103" i="1"/>
  <c r="BU11" i="1"/>
  <c r="BV11" i="1"/>
  <c r="BU92" i="1"/>
  <c r="BV92" i="1"/>
  <c r="BU100" i="1"/>
  <c r="BV100" i="1"/>
  <c r="BU106" i="1"/>
  <c r="BV106" i="1"/>
  <c r="BQ103" i="1"/>
  <c r="BQ11" i="1"/>
  <c r="BQ92" i="1"/>
  <c r="BQ100" i="1"/>
  <c r="BQ106" i="1"/>
  <c r="BU12" i="1" l="1"/>
  <c r="BV12" i="1"/>
  <c r="BU13" i="1"/>
  <c r="BV13" i="1"/>
  <c r="BU55" i="1"/>
  <c r="BV55" i="1"/>
  <c r="BU56" i="1"/>
  <c r="BV56" i="1"/>
  <c r="BU62" i="1"/>
  <c r="BV62" i="1"/>
  <c r="BU63" i="1"/>
  <c r="BV63" i="1"/>
  <c r="BU68" i="1"/>
  <c r="BV68" i="1"/>
  <c r="BU69" i="1"/>
  <c r="BV69" i="1"/>
  <c r="BU26" i="1"/>
  <c r="BV26" i="1"/>
  <c r="BU14" i="1"/>
  <c r="BV14" i="1"/>
  <c r="BU64" i="1"/>
  <c r="BV64" i="1"/>
  <c r="BU20" i="1"/>
  <c r="BV20" i="1"/>
  <c r="BU57" i="1"/>
  <c r="BV57" i="1"/>
  <c r="BU71" i="1"/>
  <c r="BV71" i="1"/>
  <c r="BU58" i="1"/>
  <c r="BV58" i="1"/>
  <c r="BU65" i="1"/>
  <c r="BV65" i="1"/>
  <c r="BU16" i="1"/>
  <c r="BV16" i="1"/>
  <c r="BU17" i="1"/>
  <c r="BV17" i="1"/>
  <c r="BU2" i="1"/>
  <c r="BV2" i="1"/>
  <c r="BU3" i="1"/>
  <c r="BV3" i="1"/>
  <c r="BU4" i="1"/>
  <c r="BV4" i="1"/>
  <c r="BU5" i="1"/>
  <c r="BV5" i="1"/>
  <c r="BU6" i="1"/>
  <c r="BV6" i="1"/>
  <c r="BU101" i="1"/>
  <c r="BV101" i="1"/>
  <c r="BU7" i="1"/>
  <c r="BV7" i="1"/>
  <c r="BU8" i="1"/>
  <c r="BV8" i="1"/>
  <c r="BU102" i="1"/>
  <c r="BV102" i="1"/>
  <c r="BU27" i="1"/>
  <c r="BV27" i="1"/>
  <c r="BU28" i="1"/>
  <c r="BV28" i="1"/>
  <c r="BU29" i="1"/>
  <c r="BV29" i="1"/>
  <c r="BU30" i="1"/>
  <c r="BV30" i="1"/>
  <c r="BU31" i="1"/>
  <c r="BV31" i="1"/>
  <c r="BU113" i="1"/>
  <c r="BV113" i="1"/>
  <c r="BU66" i="1"/>
  <c r="BV66" i="1"/>
  <c r="BU67" i="1"/>
  <c r="BV67" i="1"/>
  <c r="BU114" i="1"/>
  <c r="BV114" i="1"/>
  <c r="BU89" i="1"/>
  <c r="BV89" i="1"/>
  <c r="BU90" i="1"/>
  <c r="BV90" i="1"/>
  <c r="BU91" i="1"/>
  <c r="BV91" i="1"/>
  <c r="BU99" i="1"/>
  <c r="BV99" i="1"/>
  <c r="BU54" i="1"/>
  <c r="BV54" i="1"/>
  <c r="BU10" i="1"/>
  <c r="BV10" i="1"/>
  <c r="BU59" i="1"/>
  <c r="BV59" i="1"/>
  <c r="BU98" i="1"/>
  <c r="BV98" i="1"/>
  <c r="BU75" i="1"/>
  <c r="BV75" i="1"/>
  <c r="BU76" i="1"/>
  <c r="BV76" i="1"/>
  <c r="BU77" i="1"/>
  <c r="BV77" i="1"/>
  <c r="BU78" i="1"/>
  <c r="BV78" i="1"/>
  <c r="BU79" i="1"/>
  <c r="BV79" i="1"/>
  <c r="BU80" i="1"/>
  <c r="BV80" i="1"/>
  <c r="BU9" i="1"/>
  <c r="BV9" i="1"/>
  <c r="BU37" i="1"/>
  <c r="BV37" i="1"/>
  <c r="BU15" i="1"/>
  <c r="BV15" i="1"/>
  <c r="BU81" i="1"/>
  <c r="BV81" i="1"/>
  <c r="BU32" i="1"/>
  <c r="BV32" i="1"/>
  <c r="BU33" i="1"/>
  <c r="BV33" i="1"/>
  <c r="BU34" i="1"/>
  <c r="BV34" i="1"/>
  <c r="BU35" i="1"/>
  <c r="BV35" i="1"/>
  <c r="BU93" i="1"/>
  <c r="BV93" i="1"/>
  <c r="BU107" i="1"/>
  <c r="BV107" i="1"/>
  <c r="BU108" i="1"/>
  <c r="BV108" i="1"/>
  <c r="BU109" i="1"/>
  <c r="BV109" i="1"/>
  <c r="BU110" i="1"/>
  <c r="BV110" i="1"/>
  <c r="BU112" i="1"/>
  <c r="BV112" i="1"/>
  <c r="BU38" i="1"/>
  <c r="BV38" i="1"/>
  <c r="BU44" i="1"/>
  <c r="BV44" i="1"/>
  <c r="BU52" i="1"/>
  <c r="BV52" i="1"/>
  <c r="BU53" i="1"/>
  <c r="BV53" i="1"/>
  <c r="BU60" i="1"/>
  <c r="BV60" i="1"/>
  <c r="BU61" i="1"/>
  <c r="BV61" i="1"/>
  <c r="BU18" i="1"/>
  <c r="BV18" i="1"/>
  <c r="BU19" i="1"/>
  <c r="BV19" i="1"/>
  <c r="BU21" i="1"/>
  <c r="BV21" i="1"/>
  <c r="BU22" i="1"/>
  <c r="BV22" i="1"/>
  <c r="BU23" i="1"/>
  <c r="BV23" i="1"/>
  <c r="BU24" i="1"/>
  <c r="BV24" i="1"/>
  <c r="BU25" i="1"/>
  <c r="BV25" i="1"/>
  <c r="BU82" i="1"/>
  <c r="BV82" i="1"/>
  <c r="BU70" i="1"/>
  <c r="BV70" i="1"/>
  <c r="BU72" i="1"/>
  <c r="BV72" i="1"/>
  <c r="BU73" i="1"/>
  <c r="BV73" i="1"/>
  <c r="BU39" i="1"/>
  <c r="BV39" i="1"/>
  <c r="BU40" i="1"/>
  <c r="BV40" i="1"/>
  <c r="BU41" i="1"/>
  <c r="BV41" i="1"/>
  <c r="BU42" i="1"/>
  <c r="BV42" i="1"/>
  <c r="BU43" i="1"/>
  <c r="BV43" i="1"/>
  <c r="BU83" i="1"/>
  <c r="BV83" i="1"/>
  <c r="BU94" i="1"/>
  <c r="BV94" i="1"/>
  <c r="BU84" i="1"/>
  <c r="BV84" i="1"/>
  <c r="BU95" i="1"/>
  <c r="BV95" i="1"/>
  <c r="BU36" i="1"/>
  <c r="BV36" i="1"/>
  <c r="BU87" i="1"/>
  <c r="BV87" i="1"/>
  <c r="BQ87" i="1"/>
  <c r="BQ98" i="1"/>
  <c r="BQ43" i="1"/>
  <c r="BQ36" i="1"/>
  <c r="BQ59" i="1" l="1"/>
  <c r="BQ82" i="1"/>
  <c r="BQ16" i="1" l="1"/>
  <c r="BQ17" i="1"/>
  <c r="BD119" i="1"/>
  <c r="BD121" i="1" s="1"/>
  <c r="BD118" i="1"/>
  <c r="BD120" i="1" s="1"/>
  <c r="BD115" i="1"/>
  <c r="BD117" i="1" s="1"/>
  <c r="BE115" i="1" l="1"/>
  <c r="BE117" i="1" s="1"/>
  <c r="BF115" i="1"/>
  <c r="BF117" i="1" s="1"/>
  <c r="BG115" i="1"/>
  <c r="BG117" i="1" s="1"/>
  <c r="BH115" i="1"/>
  <c r="BH117" i="1" s="1"/>
  <c r="BI115" i="1"/>
  <c r="BI117" i="1" s="1"/>
  <c r="BJ115" i="1"/>
  <c r="BJ117" i="1" s="1"/>
  <c r="BE118" i="1"/>
  <c r="BE120" i="1" s="1"/>
  <c r="BF118" i="1"/>
  <c r="BF120" i="1" s="1"/>
  <c r="BG118" i="1"/>
  <c r="BG120" i="1" s="1"/>
  <c r="BH118" i="1"/>
  <c r="BH120" i="1" s="1"/>
  <c r="BI118" i="1"/>
  <c r="BI120" i="1" s="1"/>
  <c r="BJ118" i="1"/>
  <c r="BJ120" i="1" s="1"/>
  <c r="BE119" i="1"/>
  <c r="BE121" i="1" s="1"/>
  <c r="BF119" i="1"/>
  <c r="BF121" i="1" s="1"/>
  <c r="BG119" i="1"/>
  <c r="BG121" i="1" s="1"/>
  <c r="BH119" i="1"/>
  <c r="BH121" i="1" s="1"/>
  <c r="BI119" i="1"/>
  <c r="BI121" i="1" s="1"/>
  <c r="BJ119" i="1"/>
  <c r="BJ121" i="1" s="1"/>
  <c r="BU74" i="1" l="1"/>
  <c r="BV74" i="1"/>
  <c r="BU45" i="1"/>
  <c r="BV45" i="1"/>
  <c r="BU46" i="1"/>
  <c r="BV46" i="1"/>
  <c r="BU47" i="1"/>
  <c r="BV47" i="1"/>
  <c r="BU48" i="1"/>
  <c r="BV48" i="1"/>
  <c r="BU105" i="1"/>
  <c r="BV105" i="1"/>
  <c r="BU104" i="1"/>
  <c r="BV104" i="1"/>
  <c r="BU85" i="1"/>
  <c r="BV85" i="1"/>
  <c r="BU86" i="1"/>
  <c r="BV86" i="1"/>
  <c r="BU88" i="1"/>
  <c r="BV88" i="1"/>
  <c r="BU97" i="1"/>
  <c r="BV97" i="1"/>
  <c r="BU49" i="1"/>
  <c r="BV49" i="1"/>
  <c r="BU50" i="1"/>
  <c r="BV50" i="1"/>
  <c r="BU51" i="1"/>
  <c r="BV51" i="1"/>
  <c r="BQ19" i="1"/>
  <c r="BQ102" i="1"/>
  <c r="BQ54" i="1"/>
  <c r="BQ80" i="1"/>
  <c r="BQ14" i="1" l="1"/>
  <c r="BQ64" i="1"/>
  <c r="BQ20" i="1"/>
  <c r="BQ57" i="1"/>
  <c r="BQ110" i="1"/>
  <c r="BQ79" i="1"/>
  <c r="BQ71" i="1"/>
  <c r="BQ99" i="1"/>
  <c r="BQ41" i="1"/>
  <c r="BQ7" i="1"/>
  <c r="BQ58" i="1"/>
  <c r="BQ93" i="1"/>
  <c r="BQ8" i="1"/>
  <c r="BQ31" i="1"/>
  <c r="BQ88" i="1"/>
  <c r="BQ25" i="1"/>
  <c r="BQ114" i="1"/>
  <c r="BQ18" i="1"/>
  <c r="BQ65" i="1"/>
  <c r="BQ42" i="1"/>
  <c r="CE3" i="8" l="1"/>
  <c r="CD3" i="8"/>
  <c r="CC3" i="8"/>
  <c r="CB3" i="8"/>
  <c r="CA3" i="8"/>
  <c r="BZ3" i="8"/>
  <c r="BY3" i="8"/>
  <c r="BX3" i="8"/>
  <c r="BW3" i="8"/>
  <c r="BV3" i="8"/>
  <c r="BU3" i="8"/>
  <c r="BT3" i="8"/>
  <c r="BP3" i="8"/>
  <c r="BQ86" i="1" l="1"/>
  <c r="BQ101" i="1"/>
  <c r="BQ112" i="1"/>
  <c r="BQ24" i="1"/>
  <c r="BQ76" i="1"/>
  <c r="BQ77" i="1"/>
  <c r="BQ78" i="1"/>
  <c r="BQ75" i="1"/>
  <c r="BQ83" i="1"/>
  <c r="BQ94" i="1"/>
  <c r="BQ40" i="1"/>
  <c r="BQ89" i="1"/>
  <c r="BQ90" i="1"/>
  <c r="BQ91" i="1"/>
  <c r="BQ107" i="1"/>
  <c r="BQ108" i="1"/>
  <c r="BQ109" i="1"/>
  <c r="BQ9" i="1"/>
  <c r="BQ69" i="1"/>
  <c r="BQ67" i="1"/>
  <c r="BQ56" i="1"/>
  <c r="BQ30" i="1"/>
  <c r="BQ63" i="1"/>
  <c r="BQ5" i="1"/>
  <c r="BQ113" i="1"/>
  <c r="BQ6" i="1"/>
  <c r="BQ1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K119" i="1"/>
  <c r="BL119" i="1"/>
  <c r="BM119" i="1"/>
  <c r="BN119" i="1"/>
  <c r="BO119" i="1"/>
  <c r="BP119" i="1"/>
  <c r="E119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K118" i="1"/>
  <c r="BL118" i="1"/>
  <c r="BM118" i="1"/>
  <c r="BN118" i="1"/>
  <c r="BO118" i="1"/>
  <c r="BP118" i="1"/>
  <c r="E118" i="1"/>
  <c r="BK115" i="1"/>
  <c r="BL115" i="1"/>
  <c r="BM115" i="1"/>
  <c r="BN115" i="1"/>
  <c r="BO115" i="1"/>
  <c r="BP115" i="1"/>
  <c r="BC115" i="1"/>
  <c r="AX115" i="1"/>
  <c r="AY115" i="1"/>
  <c r="AZ115" i="1"/>
  <c r="BA115" i="1"/>
  <c r="BB115" i="1"/>
  <c r="AW115" i="1"/>
  <c r="AR115" i="1"/>
  <c r="AS115" i="1"/>
  <c r="AT115" i="1"/>
  <c r="AU115" i="1"/>
  <c r="AV115" i="1"/>
  <c r="AQ115" i="1"/>
  <c r="AF115" i="1"/>
  <c r="AG115" i="1"/>
  <c r="AH115" i="1"/>
  <c r="AI115" i="1"/>
  <c r="AJ115" i="1"/>
  <c r="AK115" i="1"/>
  <c r="AL115" i="1"/>
  <c r="AM115" i="1"/>
  <c r="AN115" i="1"/>
  <c r="AO115" i="1"/>
  <c r="AP115" i="1"/>
  <c r="AE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P115" i="1"/>
  <c r="F115" i="1"/>
  <c r="G115" i="1"/>
  <c r="H115" i="1"/>
  <c r="I115" i="1"/>
  <c r="J115" i="1"/>
  <c r="K115" i="1"/>
  <c r="L115" i="1"/>
  <c r="M115" i="1"/>
  <c r="N115" i="1"/>
  <c r="O115" i="1"/>
  <c r="E115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1" i="1"/>
  <c r="BQ15" i="1"/>
  <c r="CJ2" i="8" l="1"/>
  <c r="CK2" i="8"/>
  <c r="CR4" i="8"/>
  <c r="CN2" i="8"/>
  <c r="CM2" i="8"/>
  <c r="CG2" i="8"/>
  <c r="CH2" i="8"/>
  <c r="CL2" i="8"/>
  <c r="CQ2" i="8"/>
  <c r="CI2" i="8"/>
  <c r="CO2" i="8"/>
  <c r="CP2" i="8"/>
  <c r="BC120" i="1"/>
  <c r="BK120" i="1"/>
  <c r="BL120" i="1"/>
  <c r="BM120" i="1"/>
  <c r="BN120" i="1"/>
  <c r="BO120" i="1"/>
  <c r="BP120" i="1"/>
  <c r="BC121" i="1"/>
  <c r="BK121" i="1"/>
  <c r="BL121" i="1"/>
  <c r="BM121" i="1"/>
  <c r="BN121" i="1"/>
  <c r="BO121" i="1"/>
  <c r="BP121" i="1"/>
  <c r="BA120" i="1"/>
  <c r="BB120" i="1"/>
  <c r="BA121" i="1"/>
  <c r="BB121" i="1"/>
  <c r="AQ120" i="1"/>
  <c r="AR120" i="1"/>
  <c r="AS120" i="1"/>
  <c r="AT120" i="1"/>
  <c r="AU120" i="1"/>
  <c r="AV120" i="1"/>
  <c r="AW120" i="1"/>
  <c r="AX120" i="1"/>
  <c r="AY120" i="1"/>
  <c r="AZ120" i="1"/>
  <c r="AQ121" i="1"/>
  <c r="AR121" i="1"/>
  <c r="AS121" i="1"/>
  <c r="AT121" i="1"/>
  <c r="AU121" i="1"/>
  <c r="AV121" i="1"/>
  <c r="AW121" i="1"/>
  <c r="AX121" i="1"/>
  <c r="AY121" i="1"/>
  <c r="AZ121" i="1"/>
  <c r="AI120" i="1"/>
  <c r="AJ120" i="1"/>
  <c r="AK120" i="1"/>
  <c r="AL120" i="1"/>
  <c r="AM120" i="1"/>
  <c r="AN120" i="1"/>
  <c r="AO120" i="1"/>
  <c r="AP120" i="1"/>
  <c r="AI121" i="1"/>
  <c r="AJ121" i="1"/>
  <c r="AK121" i="1"/>
  <c r="AL121" i="1"/>
  <c r="AM121" i="1"/>
  <c r="AN121" i="1"/>
  <c r="AO121" i="1"/>
  <c r="AP121" i="1"/>
  <c r="AC120" i="1"/>
  <c r="AD120" i="1"/>
  <c r="AE120" i="1"/>
  <c r="AF120" i="1"/>
  <c r="AG120" i="1"/>
  <c r="AH120" i="1"/>
  <c r="AC121" i="1"/>
  <c r="AD121" i="1"/>
  <c r="AE121" i="1"/>
  <c r="AF121" i="1"/>
  <c r="AG121" i="1"/>
  <c r="AH121" i="1"/>
  <c r="W120" i="1"/>
  <c r="X120" i="1"/>
  <c r="Y120" i="1"/>
  <c r="Z120" i="1"/>
  <c r="AA120" i="1"/>
  <c r="AB120" i="1"/>
  <c r="W121" i="1"/>
  <c r="X121" i="1"/>
  <c r="Y121" i="1"/>
  <c r="Z121" i="1"/>
  <c r="AA121" i="1"/>
  <c r="AB121" i="1"/>
  <c r="P120" i="1"/>
  <c r="Q120" i="1"/>
  <c r="R120" i="1"/>
  <c r="S120" i="1"/>
  <c r="T120" i="1"/>
  <c r="U120" i="1"/>
  <c r="V120" i="1"/>
  <c r="P121" i="1"/>
  <c r="Q121" i="1"/>
  <c r="R121" i="1"/>
  <c r="S121" i="1"/>
  <c r="T121" i="1"/>
  <c r="U121" i="1"/>
  <c r="V121" i="1"/>
  <c r="G120" i="1"/>
  <c r="H120" i="1"/>
  <c r="I120" i="1"/>
  <c r="J120" i="1"/>
  <c r="K120" i="1"/>
  <c r="L120" i="1"/>
  <c r="M120" i="1"/>
  <c r="N120" i="1"/>
  <c r="O120" i="1"/>
  <c r="G121" i="1"/>
  <c r="H121" i="1"/>
  <c r="I121" i="1"/>
  <c r="J121" i="1"/>
  <c r="K121" i="1"/>
  <c r="L121" i="1"/>
  <c r="M121" i="1"/>
  <c r="N121" i="1"/>
  <c r="O121" i="1"/>
  <c r="F120" i="1"/>
  <c r="F121" i="1"/>
  <c r="E121" i="1"/>
  <c r="E120" i="1"/>
  <c r="CH4" i="8" l="1"/>
  <c r="CI4" i="8"/>
  <c r="CK4" i="8"/>
  <c r="CJ4" i="8"/>
  <c r="CL4" i="8"/>
  <c r="CM4" i="8"/>
  <c r="CQ4" i="8"/>
  <c r="CN4" i="8"/>
  <c r="CG4" i="8"/>
  <c r="CO4" i="8"/>
  <c r="CP4" i="8"/>
  <c r="BQ32" i="1"/>
  <c r="BQ33" i="1"/>
  <c r="BQ34" i="1"/>
  <c r="BQ35" i="1"/>
  <c r="BQ44" i="1"/>
  <c r="BQ52" i="1"/>
  <c r="BQ53" i="1"/>
  <c r="BQ60" i="1"/>
  <c r="BQ70" i="1"/>
  <c r="BQ27" i="1"/>
  <c r="BQ28" i="1"/>
  <c r="BQ29" i="1"/>
  <c r="BQ66" i="1"/>
  <c r="BQ72" i="1"/>
  <c r="BQ73" i="1"/>
  <c r="BQ38" i="1"/>
  <c r="BQ81" i="1"/>
  <c r="BQ55" i="1"/>
  <c r="BQ37" i="1"/>
  <c r="BQ105" i="1"/>
  <c r="BQ104" i="1"/>
  <c r="BQ21" i="1"/>
  <c r="BQ22" i="1"/>
  <c r="BQ23" i="1"/>
  <c r="BQ97" i="1"/>
  <c r="BQ84" i="1"/>
  <c r="BQ26" i="1"/>
  <c r="BQ2" i="1"/>
  <c r="BQ3" i="1"/>
  <c r="BQ4" i="1"/>
  <c r="BQ62" i="1"/>
  <c r="BQ68" i="1"/>
  <c r="BQ85" i="1"/>
  <c r="BQ39" i="1"/>
  <c r="BQ74" i="1"/>
  <c r="BQ12" i="1"/>
  <c r="BQ13" i="1"/>
  <c r="BQ95" i="1"/>
  <c r="BQ45" i="1"/>
  <c r="BQ46" i="1"/>
  <c r="BQ47" i="1"/>
  <c r="BQ48" i="1"/>
  <c r="BQ49" i="1"/>
  <c r="BQ50" i="1"/>
  <c r="BQ51" i="1"/>
  <c r="BN117" i="1" l="1"/>
  <c r="AM117" i="1"/>
  <c r="L117" i="1"/>
  <c r="BL117" i="1"/>
  <c r="AJ117" i="1"/>
  <c r="AH117" i="1"/>
  <c r="AL117" i="1"/>
  <c r="BM117" i="1"/>
  <c r="J117" i="1"/>
  <c r="H117" i="1"/>
  <c r="G117" i="1"/>
  <c r="AE117" i="1"/>
  <c r="F117" i="1"/>
  <c r="BK117" i="1"/>
  <c r="AI117" i="1"/>
  <c r="I117" i="1"/>
  <c r="AG117" i="1"/>
  <c r="AF117" i="1"/>
  <c r="O117" i="1"/>
  <c r="BP117" i="1"/>
  <c r="N117" i="1"/>
  <c r="K117" i="1"/>
  <c r="AK117" i="1"/>
  <c r="E117" i="1"/>
  <c r="BO117" i="1"/>
  <c r="AN117" i="1"/>
  <c r="M117" i="1"/>
  <c r="AP117" i="1"/>
  <c r="BC117" i="1"/>
  <c r="AO117" i="1"/>
  <c r="V117" i="1"/>
  <c r="Y117" i="1"/>
  <c r="W117" i="1"/>
  <c r="S117" i="1"/>
  <c r="X117" i="1"/>
  <c r="R117" i="1"/>
  <c r="Z117" i="1"/>
  <c r="U117" i="1"/>
  <c r="T117" i="1"/>
  <c r="AC117" i="1"/>
  <c r="Q117" i="1"/>
  <c r="AB117" i="1"/>
  <c r="P117" i="1"/>
  <c r="AA117" i="1"/>
  <c r="AD117" i="1"/>
  <c r="AR117" i="1" l="1"/>
  <c r="AU117" i="1"/>
  <c r="BB117" i="1"/>
  <c r="AS117" i="1"/>
  <c r="AW117" i="1"/>
  <c r="AT117" i="1"/>
  <c r="AY117" i="1"/>
  <c r="AZ117" i="1"/>
  <c r="AV117" i="1"/>
  <c r="AQ117" i="1"/>
  <c r="AX117" i="1"/>
  <c r="BA117" i="1"/>
</calcChain>
</file>

<file path=xl/sharedStrings.xml><?xml version="1.0" encoding="utf-8"?>
<sst xmlns="http://schemas.openxmlformats.org/spreadsheetml/2006/main" count="752" uniqueCount="292">
  <si>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</si>
  <si>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</si>
  <si>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</si>
  <si>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</si>
  <si>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</si>
  <si>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</si>
  <si>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</si>
  <si>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</si>
  <si>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</si>
  <si>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</si>
  <si>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</si>
  <si>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</si>
  <si>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</si>
  <si>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</si>
  <si>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</si>
  <si>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</si>
  <si>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</si>
  <si>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</si>
  <si>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</si>
  <si>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</si>
  <si>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</si>
  <si>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</si>
  <si>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</si>
  <si>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</si>
  <si>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</si>
  <si>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</si>
  <si>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</si>
  <si>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</si>
  <si>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</si>
  <si>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</si>
  <si>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</si>
  <si>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</si>
  <si>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</si>
  <si>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</si>
  <si>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</si>
  <si>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</si>
  <si>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</si>
  <si>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</si>
  <si>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</si>
  <si>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</si>
  <si>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</si>
  <si>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</si>
  <si>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</si>
  <si>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</si>
  <si>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</si>
  <si>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</si>
  <si>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</si>
  <si>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</si>
  <si>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</si>
  <si>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</si>
  <si>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</si>
  <si>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</si>
  <si>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</si>
  <si>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</si>
  <si>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</si>
  <si>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</si>
  <si>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</si>
  <si>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</si>
  <si>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</si>
  <si>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</si>
  <si>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</si>
  <si>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</si>
  <si>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</si>
  <si>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</si>
  <si>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</si>
  <si>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</si>
  <si>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</si>
  <si>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</si>
  <si>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</si>
  <si>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</si>
  <si>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</si>
  <si>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</si>
  <si>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</si>
  <si>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</si>
  <si>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</si>
  <si>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</si>
  <si>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</si>
  <si>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</si>
  <si>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</si>
  <si>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</si>
  <si>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</si>
  <si>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</si>
  <si>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</si>
  <si>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</si>
  <si>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</si>
  <si>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</si>
  <si>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</si>
  <si>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</si>
  <si>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</si>
  <si>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</si>
  <si>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</si>
  <si>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</si>
  <si>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</si>
  <si>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</si>
  <si>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</si>
  <si>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</si>
  <si>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</si>
  <si>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</si>
  <si>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</si>
  <si>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</si>
  <si>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</si>
  <si>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</si>
  <si>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</si>
  <si>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</si>
  <si>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</si>
  <si>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</si>
  <si>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</si>
  <si>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</si>
  <si>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</si>
  <si>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</si>
  <si>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</si>
  <si>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</si>
  <si>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</si>
  <si>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</si>
  <si>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</si>
  <si>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</si>
  <si>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</si>
  <si>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</si>
  <si>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</si>
  <si>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</si>
  <si>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</si>
  <si>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</si>
  <si>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赛亚罗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</si>
  <si>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</si>
  <si>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</si>
  <si>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</si>
  <si>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</si>
  <si>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</si>
  <si>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</si>
  <si>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</si>
  <si>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</si>
  <si>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</si>
  <si>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</si>
  <si>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</si>
  <si>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</si>
  <si>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</si>
  <si>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</si>
  <si>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</si>
  <si>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</si>
  <si>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</si>
  <si>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</si>
  <si>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</si>
  <si>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</si>
  <si>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</si>
  <si>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</si>
  <si>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</si>
  <si>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</si>
  <si>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</si>
  <si>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</si>
  <si>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</si>
  <si>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</si>
  <si>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</si>
  <si>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</si>
  <si>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</si>
  <si>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</si>
  <si>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</si>
  <si>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</si>
  <si>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</si>
  <si>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</si>
  <si>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</si>
  <si>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</si>
  <si>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</si>
  <si>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</si>
  <si>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</si>
  <si>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</si>
  <si>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</si>
  <si>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</si>
  <si>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</si>
  <si>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</si>
  <si>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</si>
  <si>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</si>
  <si>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</si>
  <si>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</si>
  <si>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</si>
  <si>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</si>
  <si>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</si>
  <si>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</si>
  <si>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</si>
  <si>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</si>
  <si>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</si>
  <si>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</si>
  <si>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</si>
  <si>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</si>
  <si>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</si>
  <si>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</si>
  <si>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</si>
  <si>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</si>
  <si>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</si>
  <si>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</si>
  <si>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</si>
  <si>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</si>
  <si>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</si>
  <si>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</si>
  <si>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</si>
  <si>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</si>
  <si>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</si>
  <si>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</si>
  <si>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</si>
  <si>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</si>
  <si>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</si>
  <si>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</si>
  <si>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</si>
  <si>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</si>
  <si>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</si>
  <si>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</si>
  <si>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</si>
  <si>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</si>
  <si>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</si>
  <si>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</si>
  <si>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</si>
  <si>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</si>
  <si>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</si>
  <si>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</si>
  <si>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</si>
  <si>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</si>
  <si>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</si>
  <si>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</si>
  <si>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</si>
  <si>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</si>
  <si>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</si>
  <si>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</si>
  <si>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</si>
  <si>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</si>
  <si>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</si>
  <si>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</si>
  <si>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</si>
  <si>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</si>
  <si>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</si>
  <si>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</si>
  <si>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</si>
  <si>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</si>
  <si>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</si>
  <si>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</si>
  <si>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</si>
  <si>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巨蟹小当家</t>
    <phoneticPr fontId="1" type="noConversion"/>
  </si>
  <si>
    <t>双戟洪少侠</t>
    <phoneticPr fontId="1" type="noConversion"/>
  </si>
  <si>
    <t>筹码小(3),</t>
    <phoneticPr fontId="1" type="noConversion"/>
  </si>
  <si>
    <t>欠条中(5),</t>
    <phoneticPr fontId="1" type="noConversion"/>
  </si>
  <si>
    <t>骰子大(2),</t>
    <phoneticPr fontId="1" type="noConversion"/>
  </si>
  <si>
    <t>超进阶素材光(13),</t>
    <phoneticPr fontId="1" type="noConversion"/>
  </si>
  <si>
    <t>糯米(3),</t>
    <phoneticPr fontId="1" type="noConversion"/>
  </si>
  <si>
    <t>桂花(5),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</si>
  <si>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</si>
  <si>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</si>
  <si>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骰子中(2),</t>
    <phoneticPr fontId="1" type="noConversion"/>
  </si>
  <si>
    <t>星络典(3),</t>
    <phoneticPr fontId="1" type="noConversion"/>
  </si>
  <si>
    <t>金甲虫(25),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</si>
  <si>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</si>
  <si>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</si>
  <si>
    <t>六味地糖丸</t>
    <phoneticPr fontId="1" type="noConversion"/>
  </si>
  <si>
    <t>钱袋大(4),</t>
    <phoneticPr fontId="1" type="noConversion"/>
  </si>
  <si>
    <t>桂花酒(5),</t>
    <phoneticPr fontId="1" type="noConversion"/>
  </si>
  <si>
    <t>欠条中(5),_x000D_
筹码大(1),</t>
    <phoneticPr fontId="1" type="noConversion"/>
  </si>
  <si>
    <t>钱袋大(4),_x000D_
筹码大(9),</t>
    <phoneticPr fontId="1" type="noConversion"/>
  </si>
  <si>
    <t>女娲石(10),_x000D_
骰子大(10),_x000D_
庄家令牌大(10),</t>
    <phoneticPr fontId="1" type="noConversion"/>
  </si>
  <si>
    <t>庄家令牌中(4),</t>
    <phoneticPr fontId="1" type="noConversion"/>
  </si>
  <si>
    <t>欠条中(7),</t>
    <phoneticPr fontId="1" type="noConversion"/>
  </si>
  <si>
    <t>神农鼎(1),_x000D_
智慧符文叉大(1),</t>
    <phoneticPr fontId="1" type="noConversion"/>
  </si>
  <si>
    <t>彗星(10),</t>
    <phoneticPr fontId="1" type="noConversion"/>
  </si>
  <si>
    <t>骰子大(2),_x000D_
庄家令牌大(2),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</si>
  <si>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</si>
  <si>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</si>
  <si>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筹码小(3),_x000D_
庄家令牌中(4),</t>
    <phoneticPr fontId="1" type="noConversion"/>
  </si>
  <si>
    <t>糯米(3),_x000D_
粽叶(5),</t>
    <phoneticPr fontId="1" type="noConversion"/>
  </si>
  <si>
    <t>欠条中(5),_x000D_
庄家令牌中(4),</t>
    <phoneticPr fontId="1" type="noConversion"/>
  </si>
  <si>
    <t>桂花(5),_x000D_
桂花酒(5),</t>
    <phoneticPr fontId="1" type="noConversion"/>
  </si>
  <si>
    <t>神农鼎(1),_x000D_
钱袋大(4),</t>
    <phoneticPr fontId="1" type="noConversion"/>
  </si>
  <si>
    <t>欠条中(7),_x000D_
骰子大(7),</t>
    <phoneticPr fontId="1" type="noConversion"/>
  </si>
  <si>
    <t>钱袋大(4),_x000D_
庄家令牌大(10),</t>
    <phoneticPr fontId="1" type="noConversion"/>
  </si>
  <si>
    <t>糯米(5),_x000D_
粽叶(10),</t>
    <phoneticPr fontId="1" type="noConversion"/>
  </si>
  <si>
    <t>技巧符文叉大(32),_x000D_
逆鳞(7),</t>
    <phoneticPr fontId="1" type="noConversion"/>
  </si>
  <si>
    <t>神农鼎(1),_x000D_
骰子大(10),</t>
    <phoneticPr fontId="1" type="noConversion"/>
  </si>
  <si>
    <t>骰子大(10),_x000D_
庄家令牌大(10),</t>
    <phoneticPr fontId="1" type="noConversion"/>
  </si>
  <si>
    <t>糯米(10),_x000D_
粽叶(10),</t>
    <phoneticPr fontId="1" type="noConversion"/>
  </si>
  <si>
    <t>女娲石(10),_x000D_
彗星(20),</t>
    <phoneticPr fontId="1" type="noConversion"/>
  </si>
  <si>
    <t>骰子中(17),_x000D_
庄家令牌中(19),</t>
    <phoneticPr fontId="1" type="noConversion"/>
  </si>
  <si>
    <t>骰子中(2),_x000D_
筹码大(1),_x000D_
庄家令牌大(2),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</si>
  <si>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</si>
  <si>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</si>
  <si>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螃蟹(4),_x000D_
桂花(5),_x000D_
桂花酒(5),</t>
    <phoneticPr fontId="1" type="noConversion"/>
  </si>
  <si>
    <t>桂花(5),_x000D_
桂花酒(5),_x000D_
灯笼(5),</t>
    <phoneticPr fontId="1" type="noConversion"/>
  </si>
  <si>
    <t>钱袋大(4),_x000D_
筹码大(9),_x000D_
庄家令牌大(10),</t>
    <phoneticPr fontId="1" type="noConversion"/>
  </si>
  <si>
    <t>骰子中(2),</t>
    <phoneticPr fontId="1" type="noConversion"/>
  </si>
  <si>
    <t>糯米(2),</t>
    <phoneticPr fontId="1" type="noConversion"/>
  </si>
  <si>
    <t>筹码小(3),</t>
    <phoneticPr fontId="1" type="noConversion"/>
  </si>
  <si>
    <t>钱袋大(4),</t>
    <phoneticPr fontId="1" type="noConversion"/>
  </si>
  <si>
    <t>魅力符文叉大(2),</t>
    <phoneticPr fontId="1" type="noConversion"/>
  </si>
  <si>
    <t>超进阶素材光(13),</t>
    <phoneticPr fontId="1" type="noConversion"/>
  </si>
  <si>
    <t>金甲虫(175),</t>
    <phoneticPr fontId="1" type="noConversion"/>
  </si>
  <si>
    <t>钱袋大(4),_x000D_
筹码大(9),</t>
    <phoneticPr fontId="1" type="noConversion"/>
  </si>
  <si>
    <t>幸运符文叉大(30),_x000D_
逆鳞(7),</t>
    <phoneticPr fontId="1" type="noConversion"/>
  </si>
  <si>
    <t>女娲石(20),_x000D_
神农鼎(11),_x000D_
幸运符文叉大(10),_x000D_
技巧符文叉大(12),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</si>
</sst>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121</xdr:row>
          <xdr:rowOff>28575</xdr:rowOff>
        </xdr:from>
        <xdr:to>
          <xdr:col>1</xdr:col>
          <xdr:colOff>428625</xdr:colOff>
          <xdr:row>122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22"/>
  <sheetViews>
    <sheetView workbookViewId="0">
      <pane xSplit="2" ySplit="1" topLeftCell="AY115" activePane="bottomRight" state="frozen"/>
      <selection pane="topRight" activeCell="C1" sqref="C1"/>
      <selection pane="bottomLeft" activeCell="A3" sqref="A3"/>
      <selection pane="bottomRight" activeCell="B1" sqref="B1:BB121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190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27</v>
      </c>
      <c r="BL1" s="8" t="s">
        <v>28</v>
      </c>
      <c r="BM1" s="8" t="s">
        <v>29</v>
      </c>
      <c r="BN1" s="8" t="s">
        <v>30</v>
      </c>
      <c r="BO1" s="8" t="s">
        <v>31</v>
      </c>
      <c r="BP1" s="8" t="s">
        <v>32</v>
      </c>
      <c r="BQ1" s="12" t="s">
        <v>67</v>
      </c>
      <c r="BR1" s="8" t="s">
        <v>68</v>
      </c>
      <c r="BS1" s="16" t="s">
        <v>69</v>
      </c>
      <c r="BT1" s="16"/>
      <c r="BU1" s="13" t="s">
        <v>171</v>
      </c>
    </row>
    <row r="2" spans="1:74" hidden="1">
      <c r="A2" s="1"/>
      <c r="B2" s="1" t="s">
        <v>102</v>
      </c>
      <c r="C2" s="1" t="s">
        <v>90</v>
      </c>
      <c r="D2" s="1" t="s">
        <v>91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2" si="0">SUM(E2:BP2)</f>
        <v>35</v>
      </c>
      <c r="BR2" s="1">
        <v>2</v>
      </c>
      <c r="BS2" s="17">
        <v>1</v>
      </c>
      <c r="BT2" s="17" t="s">
        <v>282</v>
      </c>
      <c r="BU2">
        <f t="shared" ref="BU2:BU32" si="1">SUM(P2:AD2)</f>
        <v>35</v>
      </c>
      <c r="BV2" s="23">
        <f t="shared" ref="BV2:BV32" si="2">AF2+AH2+AI2+AJ2+AO2+AP2</f>
        <v>0</v>
      </c>
    </row>
    <row r="3" spans="1:74" hidden="1">
      <c r="A3" s="1"/>
      <c r="B3" s="1" t="s">
        <v>107</v>
      </c>
      <c r="C3" s="1" t="s">
        <v>90</v>
      </c>
      <c r="D3" s="1" t="s">
        <v>91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2</v>
      </c>
      <c r="BS3" s="17">
        <v>1</v>
      </c>
      <c r="BT3" s="17" t="s">
        <v>244</v>
      </c>
      <c r="BU3">
        <f t="shared" si="1"/>
        <v>35</v>
      </c>
      <c r="BV3" s="23">
        <f t="shared" si="2"/>
        <v>0</v>
      </c>
    </row>
    <row r="4" spans="1:74" hidden="1">
      <c r="A4" s="1"/>
      <c r="B4" s="1" t="s">
        <v>113</v>
      </c>
      <c r="C4" s="1" t="s">
        <v>111</v>
      </c>
      <c r="D4" s="1" t="s">
        <v>91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2</v>
      </c>
      <c r="BS4" s="17">
        <v>1</v>
      </c>
      <c r="BT4" s="17" t="s">
        <v>282</v>
      </c>
      <c r="BU4">
        <f t="shared" si="1"/>
        <v>35</v>
      </c>
      <c r="BV4" s="23">
        <f t="shared" si="2"/>
        <v>0</v>
      </c>
    </row>
    <row r="5" spans="1:74" s="46" customFormat="1" hidden="1">
      <c r="A5" s="1"/>
      <c r="B5" s="3" t="s">
        <v>164</v>
      </c>
      <c r="C5" s="3" t="s">
        <v>22</v>
      </c>
      <c r="D5" s="1" t="s">
        <v>162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35</v>
      </c>
      <c r="BR5" s="1">
        <v>2</v>
      </c>
      <c r="BS5" s="17">
        <v>1</v>
      </c>
      <c r="BT5" s="17" t="s">
        <v>282</v>
      </c>
      <c r="BU5">
        <f t="shared" si="1"/>
        <v>35</v>
      </c>
      <c r="BV5" s="23">
        <f t="shared" si="2"/>
        <v>0</v>
      </c>
    </row>
    <row r="6" spans="1:74" hidden="1">
      <c r="A6" s="1"/>
      <c r="B6" s="3" t="s">
        <v>167</v>
      </c>
      <c r="C6" s="3" t="s">
        <v>89</v>
      </c>
      <c r="D6" s="1" t="s">
        <v>162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35</v>
      </c>
      <c r="BR6" s="1">
        <v>2</v>
      </c>
      <c r="BS6" s="17">
        <v>1</v>
      </c>
      <c r="BT6" s="17" t="s">
        <v>244</v>
      </c>
      <c r="BU6">
        <f t="shared" si="1"/>
        <v>35</v>
      </c>
      <c r="BV6" s="23">
        <f t="shared" si="2"/>
        <v>0</v>
      </c>
    </row>
    <row r="7" spans="1:74" hidden="1">
      <c r="A7" s="1"/>
      <c r="B7" s="1" t="s">
        <v>178</v>
      </c>
      <c r="C7" s="1" t="s">
        <v>45</v>
      </c>
      <c r="D7" s="1" t="s">
        <v>174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35</v>
      </c>
      <c r="BR7" s="1">
        <v>2</v>
      </c>
      <c r="BS7" s="17">
        <v>1</v>
      </c>
      <c r="BT7" s="17" t="s">
        <v>244</v>
      </c>
      <c r="BU7">
        <f t="shared" si="1"/>
        <v>35</v>
      </c>
      <c r="BV7" s="23">
        <f t="shared" si="2"/>
        <v>0</v>
      </c>
    </row>
    <row r="8" spans="1:74" hidden="1">
      <c r="A8" s="1"/>
      <c r="B8" s="1" t="s">
        <v>179</v>
      </c>
      <c r="C8" s="1" t="s">
        <v>45</v>
      </c>
      <c r="D8" s="1" t="s">
        <v>174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35</v>
      </c>
      <c r="BR8" s="1">
        <v>2</v>
      </c>
      <c r="BS8" s="17">
        <v>1</v>
      </c>
      <c r="BT8" s="17" t="s">
        <v>282</v>
      </c>
      <c r="BU8">
        <f t="shared" si="1"/>
        <v>35</v>
      </c>
      <c r="BV8" s="23">
        <f t="shared" si="2"/>
        <v>0</v>
      </c>
    </row>
    <row r="9" spans="1:74" hidden="1">
      <c r="A9" s="18"/>
      <c r="B9" s="18" t="s">
        <v>84</v>
      </c>
      <c r="C9" s="18" t="s">
        <v>77</v>
      </c>
      <c r="D9" s="18" t="s">
        <v>81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>
        <v>2</v>
      </c>
      <c r="AP9" s="18"/>
      <c r="AQ9" s="20"/>
      <c r="AR9" s="20"/>
      <c r="AS9" s="20"/>
      <c r="AT9" s="20"/>
      <c r="AU9" s="20"/>
      <c r="AV9" s="20"/>
      <c r="AW9" s="21"/>
      <c r="AX9" s="21"/>
      <c r="AY9" s="21"/>
      <c r="AZ9" s="21"/>
      <c r="BA9" s="21"/>
      <c r="BB9" s="21"/>
      <c r="BC9" s="26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">
        <f t="shared" si="0"/>
        <v>2</v>
      </c>
      <c r="BR9" s="18">
        <v>2</v>
      </c>
      <c r="BS9" s="22">
        <v>1</v>
      </c>
      <c r="BT9" s="22" t="s">
        <v>283</v>
      </c>
      <c r="BU9">
        <f t="shared" si="1"/>
        <v>0</v>
      </c>
      <c r="BV9" s="23">
        <f t="shared" si="2"/>
        <v>2</v>
      </c>
    </row>
    <row r="10" spans="1:74" hidden="1">
      <c r="A10" s="1"/>
      <c r="B10" s="3" t="s">
        <v>161</v>
      </c>
      <c r="C10" s="3" t="s">
        <v>45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>
        <v>2</v>
      </c>
      <c r="S10" s="28"/>
      <c r="T10" s="28"/>
      <c r="U10" s="28">
        <v>2</v>
      </c>
      <c r="V10" s="28"/>
      <c r="W10" s="28"/>
      <c r="X10" s="28">
        <v>2</v>
      </c>
      <c r="Y10" s="28"/>
      <c r="Z10" s="28">
        <v>5</v>
      </c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11</v>
      </c>
      <c r="BR10" s="1">
        <v>2</v>
      </c>
      <c r="BS10" s="17">
        <v>1</v>
      </c>
      <c r="BT10" s="17" t="s">
        <v>238</v>
      </c>
      <c r="BU10">
        <f t="shared" si="1"/>
        <v>11</v>
      </c>
      <c r="BV10" s="23">
        <f t="shared" si="2"/>
        <v>0</v>
      </c>
    </row>
    <row r="11" spans="1:74" hidden="1">
      <c r="A11" s="1"/>
      <c r="B11" s="1" t="s">
        <v>195</v>
      </c>
      <c r="C11" s="1" t="s">
        <v>90</v>
      </c>
      <c r="D11" s="1" t="s">
        <v>75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>
        <v>2</v>
      </c>
      <c r="S11" s="28"/>
      <c r="T11" s="28"/>
      <c r="U11" s="28">
        <v>2</v>
      </c>
      <c r="V11" s="28"/>
      <c r="W11" s="28"/>
      <c r="X11" s="28">
        <v>2</v>
      </c>
      <c r="Y11" s="28"/>
      <c r="Z11" s="28">
        <v>5</v>
      </c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11</v>
      </c>
      <c r="BR11" s="1">
        <v>2</v>
      </c>
      <c r="BS11" s="17">
        <v>1</v>
      </c>
      <c r="BT11" s="17" t="s">
        <v>238</v>
      </c>
      <c r="BU11">
        <f t="shared" si="1"/>
        <v>11</v>
      </c>
      <c r="BV11" s="23">
        <f t="shared" si="2"/>
        <v>0</v>
      </c>
    </row>
    <row r="12" spans="1:74" hidden="1">
      <c r="A12" s="1"/>
      <c r="B12" s="1" t="s">
        <v>112</v>
      </c>
      <c r="C12" s="1" t="s">
        <v>111</v>
      </c>
      <c r="D12" s="1" t="s">
        <v>91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40</v>
      </c>
      <c r="BR12" s="1">
        <v>3</v>
      </c>
      <c r="BS12" s="17">
        <v>1</v>
      </c>
      <c r="BT12" s="17" t="s">
        <v>284</v>
      </c>
      <c r="BU12">
        <f t="shared" si="1"/>
        <v>40</v>
      </c>
      <c r="BV12" s="23">
        <f t="shared" si="2"/>
        <v>0</v>
      </c>
    </row>
    <row r="13" spans="1:74" hidden="1">
      <c r="A13" s="1"/>
      <c r="B13" s="1" t="s">
        <v>114</v>
      </c>
      <c r="C13" s="1" t="s">
        <v>115</v>
      </c>
      <c r="D13" s="1" t="s">
        <v>91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40</v>
      </c>
      <c r="BR13" s="1">
        <v>3</v>
      </c>
      <c r="BS13" s="17">
        <v>1</v>
      </c>
      <c r="BT13" s="17" t="s">
        <v>236</v>
      </c>
      <c r="BU13">
        <f t="shared" si="1"/>
        <v>40</v>
      </c>
      <c r="BV13" s="23">
        <f t="shared" si="2"/>
        <v>0</v>
      </c>
    </row>
    <row r="14" spans="1:74" hidden="1">
      <c r="A14" s="1"/>
      <c r="B14" s="1" t="s">
        <v>187</v>
      </c>
      <c r="C14" s="1" t="s">
        <v>173</v>
      </c>
      <c r="D14" s="1" t="s">
        <v>174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40</v>
      </c>
      <c r="BR14" s="1">
        <v>3</v>
      </c>
      <c r="BS14" s="17">
        <v>1</v>
      </c>
      <c r="BT14" s="17" t="s">
        <v>236</v>
      </c>
      <c r="BU14">
        <f t="shared" si="1"/>
        <v>40</v>
      </c>
      <c r="BV14" s="23">
        <f t="shared" si="2"/>
        <v>0</v>
      </c>
    </row>
    <row r="15" spans="1:74" hidden="1">
      <c r="A15" s="18"/>
      <c r="B15" s="18" t="s">
        <v>143</v>
      </c>
      <c r="C15" s="18" t="s">
        <v>22</v>
      </c>
      <c r="D15" s="18" t="s">
        <v>144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>
        <v>3</v>
      </c>
      <c r="AP15" s="18"/>
      <c r="AQ15" s="20"/>
      <c r="AR15" s="20"/>
      <c r="AS15" s="20"/>
      <c r="AT15" s="20"/>
      <c r="AU15" s="20"/>
      <c r="AV15" s="20"/>
      <c r="AW15" s="21"/>
      <c r="AX15" s="21"/>
      <c r="AY15" s="21"/>
      <c r="AZ15" s="21"/>
      <c r="BA15" s="21"/>
      <c r="BB15" s="21"/>
      <c r="BC15" s="26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>
        <f t="shared" si="0"/>
        <v>3</v>
      </c>
      <c r="BR15" s="18">
        <v>3</v>
      </c>
      <c r="BS15" s="22">
        <v>1</v>
      </c>
      <c r="BT15" s="22" t="s">
        <v>240</v>
      </c>
      <c r="BU15">
        <f t="shared" si="1"/>
        <v>0</v>
      </c>
      <c r="BV15" s="23">
        <f t="shared" si="2"/>
        <v>3</v>
      </c>
    </row>
    <row r="16" spans="1:74">
      <c r="A16" s="55"/>
      <c r="B16" s="56" t="s">
        <v>221</v>
      </c>
      <c r="C16" s="55" t="s">
        <v>33</v>
      </c>
      <c r="D16" s="1" t="s">
        <v>176</v>
      </c>
      <c r="E16" s="57"/>
      <c r="F16" s="57"/>
      <c r="G16" s="57"/>
      <c r="H16" s="57"/>
      <c r="I16" s="57"/>
      <c r="J16" s="57"/>
      <c r="K16" s="57"/>
      <c r="L16" s="57"/>
      <c r="M16" s="57"/>
      <c r="N16" s="57">
        <v>10</v>
      </c>
      <c r="O16" s="57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9">
        <v>10</v>
      </c>
      <c r="AR16" s="59"/>
      <c r="AS16" s="59"/>
      <c r="AT16" s="59"/>
      <c r="AU16" s="59"/>
      <c r="AV16" s="59"/>
      <c r="AW16" s="60"/>
      <c r="AX16" s="60"/>
      <c r="AY16" s="60"/>
      <c r="AZ16" s="60"/>
      <c r="BA16" s="60"/>
      <c r="BB16" s="60"/>
      <c r="BC16" s="61"/>
      <c r="BD16" s="55">
        <v>10</v>
      </c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47">
        <f t="shared" si="0"/>
        <v>30</v>
      </c>
      <c r="BR16" s="55">
        <v>3</v>
      </c>
      <c r="BS16" s="62">
        <v>1</v>
      </c>
      <c r="BT16" s="62" t="s">
        <v>245</v>
      </c>
      <c r="BU16">
        <f t="shared" si="1"/>
        <v>0</v>
      </c>
      <c r="BV16" s="23">
        <f t="shared" si="2"/>
        <v>0</v>
      </c>
    </row>
    <row r="17" spans="1:74">
      <c r="A17" s="55"/>
      <c r="B17" s="56" t="s">
        <v>194</v>
      </c>
      <c r="C17" s="55" t="s">
        <v>39</v>
      </c>
      <c r="D17" s="1" t="s">
        <v>176</v>
      </c>
      <c r="E17" s="57"/>
      <c r="F17" s="57"/>
      <c r="G17" s="57"/>
      <c r="H17" s="57"/>
      <c r="I17" s="57"/>
      <c r="J17" s="57"/>
      <c r="K17" s="57">
        <v>10</v>
      </c>
      <c r="L17" s="57"/>
      <c r="M17" s="57"/>
      <c r="N17" s="57"/>
      <c r="O17" s="57"/>
      <c r="P17" s="58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9"/>
      <c r="AR17" s="59"/>
      <c r="AS17" s="59"/>
      <c r="AT17" s="59"/>
      <c r="AU17" s="59"/>
      <c r="AV17" s="59">
        <v>10</v>
      </c>
      <c r="AW17" s="60"/>
      <c r="AX17" s="60"/>
      <c r="AY17" s="60"/>
      <c r="AZ17" s="60"/>
      <c r="BA17" s="60"/>
      <c r="BB17" s="60"/>
      <c r="BC17" s="61"/>
      <c r="BD17" s="55">
        <v>10</v>
      </c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47">
        <f t="shared" si="0"/>
        <v>30</v>
      </c>
      <c r="BR17" s="55">
        <v>3</v>
      </c>
      <c r="BS17" s="62">
        <v>1</v>
      </c>
      <c r="BT17" s="62" t="s">
        <v>245</v>
      </c>
      <c r="BU17">
        <f t="shared" si="1"/>
        <v>0</v>
      </c>
      <c r="BV17" s="23">
        <f t="shared" si="2"/>
        <v>0</v>
      </c>
    </row>
    <row r="18" spans="1:74" hidden="1">
      <c r="A18" s="1"/>
      <c r="B18" s="1" t="s">
        <v>208</v>
      </c>
      <c r="C18" s="1" t="s">
        <v>47</v>
      </c>
      <c r="D18" s="1" t="s">
        <v>176</v>
      </c>
      <c r="E18" s="6"/>
      <c r="F18" s="6"/>
      <c r="G18" s="6"/>
      <c r="H18" s="6"/>
      <c r="I18" s="6"/>
      <c r="J18" s="6"/>
      <c r="K18" s="6"/>
      <c r="L18" s="6">
        <v>10</v>
      </c>
      <c r="M18" s="6"/>
      <c r="N18" s="6"/>
      <c r="O18" s="6"/>
      <c r="P18" s="28"/>
      <c r="Q18" s="28"/>
      <c r="R18" s="28">
        <v>10</v>
      </c>
      <c r="S18" s="28"/>
      <c r="T18" s="28"/>
      <c r="U18" s="28">
        <v>10</v>
      </c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40</v>
      </c>
      <c r="BR18" s="1">
        <v>4</v>
      </c>
      <c r="BS18" s="17">
        <v>1</v>
      </c>
      <c r="BT18" s="17" t="s">
        <v>250</v>
      </c>
      <c r="BU18">
        <f t="shared" si="1"/>
        <v>20</v>
      </c>
      <c r="BV18" s="23">
        <f t="shared" si="2"/>
        <v>0</v>
      </c>
    </row>
    <row r="19" spans="1:74" hidden="1">
      <c r="A19" s="1"/>
      <c r="B19" s="1" t="s">
        <v>206</v>
      </c>
      <c r="C19" s="1" t="s">
        <v>47</v>
      </c>
      <c r="D19" s="1" t="s">
        <v>182</v>
      </c>
      <c r="E19" s="6"/>
      <c r="F19" s="6"/>
      <c r="G19" s="6"/>
      <c r="H19" s="6"/>
      <c r="I19" s="6"/>
      <c r="J19" s="6"/>
      <c r="K19" s="6"/>
      <c r="L19" s="6">
        <v>10</v>
      </c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40</v>
      </c>
      <c r="BR19" s="1">
        <v>4</v>
      </c>
      <c r="BS19" s="17">
        <v>1</v>
      </c>
      <c r="BT19" s="17" t="s">
        <v>285</v>
      </c>
      <c r="BU19">
        <f t="shared" si="1"/>
        <v>20</v>
      </c>
      <c r="BV19" s="23">
        <f t="shared" si="2"/>
        <v>0</v>
      </c>
    </row>
    <row r="20" spans="1:74" hidden="1">
      <c r="A20" s="1"/>
      <c r="B20" s="1" t="s">
        <v>172</v>
      </c>
      <c r="C20" s="1" t="s">
        <v>173</v>
      </c>
      <c r="D20" s="1" t="s">
        <v>176</v>
      </c>
      <c r="E20" s="6">
        <v>5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5</v>
      </c>
      <c r="W20" s="28"/>
      <c r="X20" s="28"/>
      <c r="Y20" s="28">
        <v>5</v>
      </c>
      <c r="Z20" s="28"/>
      <c r="AA20" s="28"/>
      <c r="AB20" s="28"/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20</v>
      </c>
      <c r="BR20" s="1">
        <v>4</v>
      </c>
      <c r="BS20" s="17">
        <v>1</v>
      </c>
      <c r="BT20" s="17" t="s">
        <v>255</v>
      </c>
      <c r="BU20">
        <f t="shared" si="1"/>
        <v>15</v>
      </c>
      <c r="BV20" s="23">
        <f t="shared" si="2"/>
        <v>0</v>
      </c>
    </row>
    <row r="21" spans="1:74" hidden="1">
      <c r="A21" s="1"/>
      <c r="B21" s="1" t="s">
        <v>220</v>
      </c>
      <c r="C21" s="1" t="s">
        <v>108</v>
      </c>
      <c r="D21" s="1" t="s">
        <v>93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>
        <v>10</v>
      </c>
      <c r="S21" s="28"/>
      <c r="T21" s="28"/>
      <c r="U21" s="28">
        <v>10</v>
      </c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4</v>
      </c>
      <c r="BS21" s="17">
        <v>1</v>
      </c>
      <c r="BT21" s="17" t="s">
        <v>250</v>
      </c>
      <c r="BU21">
        <f t="shared" si="1"/>
        <v>20</v>
      </c>
      <c r="BV21" s="23">
        <f t="shared" si="2"/>
        <v>0</v>
      </c>
    </row>
    <row r="22" spans="1:74" hidden="1">
      <c r="A22" s="1"/>
      <c r="B22" s="1" t="s">
        <v>112</v>
      </c>
      <c r="C22" s="1" t="s">
        <v>111</v>
      </c>
      <c r="D22" s="1" t="s">
        <v>93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40</v>
      </c>
      <c r="BR22" s="1">
        <v>4</v>
      </c>
      <c r="BS22" s="17">
        <v>1</v>
      </c>
      <c r="BT22" s="17" t="s">
        <v>250</v>
      </c>
      <c r="BU22">
        <f t="shared" si="1"/>
        <v>20</v>
      </c>
      <c r="BV22" s="23">
        <f t="shared" si="2"/>
        <v>0</v>
      </c>
    </row>
    <row r="23" spans="1:74" hidden="1">
      <c r="A23" s="47"/>
      <c r="B23" s="47" t="s">
        <v>201</v>
      </c>
      <c r="C23" s="47" t="s">
        <v>117</v>
      </c>
      <c r="D23" s="47" t="s">
        <v>93</v>
      </c>
      <c r="E23" s="48">
        <v>10</v>
      </c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9"/>
      <c r="Q23" s="49"/>
      <c r="R23" s="49">
        <v>10</v>
      </c>
      <c r="S23" s="49"/>
      <c r="T23" s="49"/>
      <c r="U23" s="49">
        <v>10</v>
      </c>
      <c r="V23" s="49"/>
      <c r="W23" s="49"/>
      <c r="X23" s="49"/>
      <c r="Y23" s="49"/>
      <c r="Z23" s="49"/>
      <c r="AA23" s="49"/>
      <c r="AB23" s="49"/>
      <c r="AC23" s="49"/>
      <c r="AD23" s="49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50"/>
      <c r="AR23" s="50"/>
      <c r="AS23" s="50"/>
      <c r="AT23" s="50"/>
      <c r="AU23" s="50">
        <v>10</v>
      </c>
      <c r="AV23" s="50"/>
      <c r="AW23" s="51"/>
      <c r="AX23" s="51"/>
      <c r="AY23" s="51"/>
      <c r="AZ23" s="51"/>
      <c r="BA23" s="51"/>
      <c r="BB23" s="51"/>
      <c r="BC23" s="52"/>
      <c r="BD23" s="47"/>
      <c r="BE23" s="47"/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>
        <f t="shared" si="0"/>
        <v>40</v>
      </c>
      <c r="BR23" s="47">
        <v>4</v>
      </c>
      <c r="BS23" s="53">
        <v>1</v>
      </c>
      <c r="BT23" s="53" t="s">
        <v>250</v>
      </c>
      <c r="BU23">
        <f t="shared" si="1"/>
        <v>20</v>
      </c>
      <c r="BV23" s="23">
        <f t="shared" si="2"/>
        <v>0</v>
      </c>
    </row>
    <row r="24" spans="1:74" hidden="1">
      <c r="A24" s="1"/>
      <c r="B24" s="3" t="s">
        <v>170</v>
      </c>
      <c r="C24" s="3" t="s">
        <v>45</v>
      </c>
      <c r="D24" s="1" t="s">
        <v>163</v>
      </c>
      <c r="E24" s="6">
        <v>10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>
        <v>10</v>
      </c>
      <c r="S24" s="28"/>
      <c r="T24" s="28"/>
      <c r="U24" s="28">
        <v>10</v>
      </c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>
        <v>10</v>
      </c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4</v>
      </c>
      <c r="BS24" s="17">
        <v>1</v>
      </c>
      <c r="BT24" s="17" t="s">
        <v>250</v>
      </c>
      <c r="BU24">
        <f t="shared" si="1"/>
        <v>20</v>
      </c>
      <c r="BV24" s="23">
        <f t="shared" si="2"/>
        <v>0</v>
      </c>
    </row>
    <row r="25" spans="1:74" hidden="1">
      <c r="A25" s="1"/>
      <c r="B25" s="1" t="s">
        <v>207</v>
      </c>
      <c r="C25" s="1" t="s">
        <v>47</v>
      </c>
      <c r="D25" s="1" t="s">
        <v>176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40</v>
      </c>
      <c r="BR25" s="1">
        <v>4</v>
      </c>
      <c r="BS25" s="17">
        <v>1</v>
      </c>
      <c r="BT25" s="17" t="s">
        <v>285</v>
      </c>
      <c r="BU25">
        <f t="shared" si="1"/>
        <v>20</v>
      </c>
      <c r="BV25" s="23">
        <f t="shared" si="2"/>
        <v>0</v>
      </c>
    </row>
    <row r="26" spans="1:74" hidden="1">
      <c r="A26" s="1"/>
      <c r="B26" s="1" t="s">
        <v>225</v>
      </c>
      <c r="C26" s="1" t="s">
        <v>117</v>
      </c>
      <c r="D26" s="1" t="s">
        <v>92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/>
      <c r="Z26" s="28">
        <v>5</v>
      </c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30</v>
      </c>
      <c r="BR26" s="1">
        <v>5</v>
      </c>
      <c r="BS26" s="17">
        <v>1</v>
      </c>
      <c r="BT26" s="17" t="s">
        <v>237</v>
      </c>
      <c r="BU26">
        <f t="shared" si="1"/>
        <v>30</v>
      </c>
      <c r="BV26" s="23">
        <f t="shared" si="2"/>
        <v>0</v>
      </c>
    </row>
    <row r="27" spans="1:74" s="54" customFormat="1" hidden="1">
      <c r="A27" s="1"/>
      <c r="B27" s="1" t="s">
        <v>102</v>
      </c>
      <c r="C27" s="1" t="s">
        <v>90</v>
      </c>
      <c r="D27" s="1" t="s">
        <v>92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>
        <v>2</v>
      </c>
      <c r="S27" s="28"/>
      <c r="T27" s="28">
        <v>5</v>
      </c>
      <c r="U27" s="28"/>
      <c r="V27" s="28"/>
      <c r="W27" s="28"/>
      <c r="X27" s="28"/>
      <c r="Y27" s="28"/>
      <c r="Z27" s="28">
        <v>5</v>
      </c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17</v>
      </c>
      <c r="BR27" s="1">
        <v>5</v>
      </c>
      <c r="BS27" s="17">
        <v>1</v>
      </c>
      <c r="BT27" s="17" t="s">
        <v>237</v>
      </c>
      <c r="BU27">
        <f t="shared" si="1"/>
        <v>17</v>
      </c>
      <c r="BV27" s="23">
        <f t="shared" si="2"/>
        <v>0</v>
      </c>
    </row>
    <row r="28" spans="1:74" hidden="1">
      <c r="A28" s="1"/>
      <c r="B28" s="1" t="s">
        <v>107</v>
      </c>
      <c r="C28" s="1" t="s">
        <v>90</v>
      </c>
      <c r="D28" s="1" t="s">
        <v>92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17</v>
      </c>
      <c r="BR28" s="1">
        <v>5</v>
      </c>
      <c r="BS28" s="17">
        <v>1</v>
      </c>
      <c r="BT28" s="17" t="s">
        <v>237</v>
      </c>
      <c r="BU28">
        <f t="shared" si="1"/>
        <v>17</v>
      </c>
      <c r="BV28" s="23">
        <f t="shared" si="2"/>
        <v>0</v>
      </c>
    </row>
    <row r="29" spans="1:74" hidden="1">
      <c r="A29" s="1"/>
      <c r="B29" s="1" t="s">
        <v>113</v>
      </c>
      <c r="C29" s="1" t="s">
        <v>111</v>
      </c>
      <c r="D29" s="1" t="s">
        <v>92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17</v>
      </c>
      <c r="BR29" s="1">
        <v>5</v>
      </c>
      <c r="BS29" s="17">
        <v>1</v>
      </c>
      <c r="BT29" s="17" t="s">
        <v>237</v>
      </c>
      <c r="BU29">
        <f t="shared" si="1"/>
        <v>17</v>
      </c>
      <c r="BV29" s="23">
        <f t="shared" si="2"/>
        <v>0</v>
      </c>
    </row>
    <row r="30" spans="1:74" hidden="1">
      <c r="A30" s="1"/>
      <c r="B30" s="3" t="s">
        <v>167</v>
      </c>
      <c r="C30" s="3" t="s">
        <v>89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17</v>
      </c>
      <c r="BR30" s="1">
        <v>5</v>
      </c>
      <c r="BS30" s="17">
        <v>1</v>
      </c>
      <c r="BT30" s="17" t="s">
        <v>237</v>
      </c>
      <c r="BU30">
        <f t="shared" si="1"/>
        <v>17</v>
      </c>
      <c r="BV30" s="23">
        <f t="shared" si="2"/>
        <v>0</v>
      </c>
    </row>
    <row r="31" spans="1:74" hidden="1">
      <c r="A31" s="1"/>
      <c r="B31" s="1" t="s">
        <v>179</v>
      </c>
      <c r="C31" s="1" t="s">
        <v>45</v>
      </c>
      <c r="D31" s="1" t="s">
        <v>175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17</v>
      </c>
      <c r="BR31" s="1">
        <v>5</v>
      </c>
      <c r="BS31" s="17">
        <v>1</v>
      </c>
      <c r="BT31" s="17" t="s">
        <v>237</v>
      </c>
      <c r="BU31">
        <f t="shared" si="1"/>
        <v>17</v>
      </c>
      <c r="BV31" s="23">
        <f t="shared" si="2"/>
        <v>0</v>
      </c>
    </row>
    <row r="32" spans="1:74" hidden="1">
      <c r="A32" s="18">
        <v>32</v>
      </c>
      <c r="B32" s="18" t="s">
        <v>55</v>
      </c>
      <c r="C32" s="18" t="s">
        <v>22</v>
      </c>
      <c r="D32" s="18" t="s">
        <v>17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18"/>
      <c r="AF32" s="18"/>
      <c r="AG32" s="18"/>
      <c r="AH32" s="18"/>
      <c r="AI32" s="18">
        <v>5</v>
      </c>
      <c r="AJ32" s="18"/>
      <c r="AK32" s="18"/>
      <c r="AL32" s="18"/>
      <c r="AM32" s="18"/>
      <c r="AN32" s="18"/>
      <c r="AO32" s="18"/>
      <c r="AP32" s="18"/>
      <c r="AQ32" s="20"/>
      <c r="AR32" s="20"/>
      <c r="AS32" s="20"/>
      <c r="AT32" s="20"/>
      <c r="AU32" s="20"/>
      <c r="AV32" s="20"/>
      <c r="AW32" s="21"/>
      <c r="AX32" s="21"/>
      <c r="AY32" s="21"/>
      <c r="AZ32" s="21"/>
      <c r="BA32" s="21"/>
      <c r="BB32" s="21"/>
      <c r="BC32" s="26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>
        <f t="shared" si="0"/>
        <v>5</v>
      </c>
      <c r="BR32" s="18">
        <v>5</v>
      </c>
      <c r="BS32" s="22">
        <v>1</v>
      </c>
      <c r="BT32" s="22" t="s">
        <v>251</v>
      </c>
      <c r="BU32">
        <f t="shared" si="1"/>
        <v>0</v>
      </c>
      <c r="BV32" s="23">
        <f t="shared" si="2"/>
        <v>5</v>
      </c>
    </row>
    <row r="33" spans="1:74" hidden="1">
      <c r="A33" s="18">
        <v>33</v>
      </c>
      <c r="B33" s="18" t="s">
        <v>55</v>
      </c>
      <c r="C33" s="18" t="s">
        <v>22</v>
      </c>
      <c r="D33" s="18" t="s">
        <v>0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>
        <v>5</v>
      </c>
      <c r="AI33" s="18"/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 t="shared" ref="BQ33:BQ60" si="3">SUM(E33:BP33)</f>
        <v>5</v>
      </c>
      <c r="BR33" s="18">
        <v>5</v>
      </c>
      <c r="BS33" s="22">
        <v>1</v>
      </c>
      <c r="BT33" s="22" t="s">
        <v>241</v>
      </c>
      <c r="BU33">
        <f t="shared" ref="BU33:BU60" si="4">SUM(P33:AD33)</f>
        <v>0</v>
      </c>
      <c r="BV33" s="23">
        <f t="shared" ref="BV33:BV60" si="5">AF33+AH33+AI33+AJ33+AO33+AP33</f>
        <v>5</v>
      </c>
    </row>
    <row r="34" spans="1:74" hidden="1">
      <c r="A34" s="18"/>
      <c r="B34" s="18" t="s">
        <v>87</v>
      </c>
      <c r="C34" s="18" t="s">
        <v>85</v>
      </c>
      <c r="D34" s="18" t="s">
        <v>81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 t="shared" si="3"/>
        <v>5</v>
      </c>
      <c r="BR34" s="18">
        <v>5</v>
      </c>
      <c r="BS34" s="22">
        <v>1</v>
      </c>
      <c r="BT34" s="22" t="s">
        <v>241</v>
      </c>
      <c r="BU34">
        <f t="shared" si="4"/>
        <v>0</v>
      </c>
      <c r="BV34" s="23">
        <f t="shared" si="5"/>
        <v>5</v>
      </c>
    </row>
    <row r="35" spans="1:74" hidden="1">
      <c r="A35" s="18"/>
      <c r="B35" s="18" t="s">
        <v>87</v>
      </c>
      <c r="C35" s="18" t="s">
        <v>85</v>
      </c>
      <c r="D35" s="18" t="s">
        <v>76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/>
      <c r="AI35" s="18">
        <v>5</v>
      </c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 t="shared" si="3"/>
        <v>5</v>
      </c>
      <c r="BR35" s="18">
        <v>5</v>
      </c>
      <c r="BS35" s="22">
        <v>1</v>
      </c>
      <c r="BT35" s="22" t="s">
        <v>251</v>
      </c>
      <c r="BU35">
        <f t="shared" si="4"/>
        <v>0</v>
      </c>
      <c r="BV35" s="23">
        <f t="shared" si="5"/>
        <v>5</v>
      </c>
    </row>
    <row r="36" spans="1:74">
      <c r="A36" s="1"/>
      <c r="B36" s="3" t="s">
        <v>230</v>
      </c>
      <c r="C36" s="1" t="s">
        <v>45</v>
      </c>
      <c r="D36" s="1" t="s">
        <v>93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>
        <v>50</v>
      </c>
      <c r="AX36" s="2"/>
      <c r="AY36" s="2"/>
      <c r="AZ36" s="2">
        <v>50</v>
      </c>
      <c r="BA36" s="2"/>
      <c r="BB36" s="2"/>
      <c r="BC36" s="14"/>
      <c r="BD36" s="1"/>
      <c r="BE36" s="1"/>
      <c r="BF36" s="1"/>
      <c r="BG36" s="1"/>
      <c r="BH36" s="1"/>
      <c r="BI36" s="1">
        <v>50</v>
      </c>
      <c r="BJ36" s="1">
        <v>50</v>
      </c>
      <c r="BK36" s="1"/>
      <c r="BL36" s="1"/>
      <c r="BM36" s="1"/>
      <c r="BN36" s="1"/>
      <c r="BO36" s="1"/>
      <c r="BP36" s="1"/>
      <c r="BQ36" s="1">
        <f t="shared" si="3"/>
        <v>200</v>
      </c>
      <c r="BR36" s="1">
        <v>2</v>
      </c>
      <c r="BS36" s="17">
        <v>1</v>
      </c>
      <c r="BT36" s="17" t="s">
        <v>286</v>
      </c>
      <c r="BU36">
        <f t="shared" si="4"/>
        <v>0</v>
      </c>
      <c r="BV36" s="23">
        <f t="shared" si="5"/>
        <v>0</v>
      </c>
    </row>
    <row r="37" spans="1:74" hidden="1">
      <c r="A37" s="1"/>
      <c r="B37" s="1" t="s">
        <v>113</v>
      </c>
      <c r="C37" s="1" t="s">
        <v>111</v>
      </c>
      <c r="D37" s="1" t="s">
        <v>93</v>
      </c>
      <c r="E37" s="6"/>
      <c r="F37" s="6"/>
      <c r="G37" s="6"/>
      <c r="H37" s="6"/>
      <c r="I37" s="6">
        <v>7</v>
      </c>
      <c r="J37" s="6"/>
      <c r="K37" s="6"/>
      <c r="L37" s="6"/>
      <c r="M37" s="6"/>
      <c r="N37" s="6"/>
      <c r="O37" s="6"/>
      <c r="P37" s="28"/>
      <c r="Q37" s="28">
        <v>7</v>
      </c>
      <c r="R37" s="28">
        <v>7</v>
      </c>
      <c r="S37" s="28"/>
      <c r="T37" s="28">
        <v>7</v>
      </c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28</v>
      </c>
      <c r="BR37" s="1">
        <v>7</v>
      </c>
      <c r="BS37" s="17">
        <v>1</v>
      </c>
      <c r="BT37" s="17" t="s">
        <v>256</v>
      </c>
      <c r="BU37">
        <f t="shared" si="4"/>
        <v>21</v>
      </c>
      <c r="BV37" s="23">
        <f t="shared" si="5"/>
        <v>0</v>
      </c>
    </row>
    <row r="38" spans="1:74" ht="27">
      <c r="A38" s="1"/>
      <c r="B38" s="1" t="s">
        <v>123</v>
      </c>
      <c r="C38" s="1" t="s">
        <v>88</v>
      </c>
      <c r="D38" s="1" t="s">
        <v>76</v>
      </c>
      <c r="E38" s="6"/>
      <c r="F38" s="6"/>
      <c r="G38" s="6"/>
      <c r="H38" s="6">
        <v>10</v>
      </c>
      <c r="I38" s="6"/>
      <c r="J38" s="6">
        <v>10</v>
      </c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>
        <v>10</v>
      </c>
      <c r="AU38" s="4"/>
      <c r="AV38" s="4"/>
      <c r="AW38" s="2"/>
      <c r="AX38" s="2"/>
      <c r="AY38" s="2">
        <v>10</v>
      </c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40</v>
      </c>
      <c r="BR38" s="1">
        <v>2</v>
      </c>
      <c r="BS38" s="17">
        <v>2</v>
      </c>
      <c r="BT38" s="17" t="s">
        <v>257</v>
      </c>
      <c r="BU38">
        <f t="shared" si="4"/>
        <v>0</v>
      </c>
      <c r="BV38" s="23">
        <f t="shared" si="5"/>
        <v>0</v>
      </c>
    </row>
    <row r="39" spans="1:74" hidden="1">
      <c r="A39" s="1"/>
      <c r="B39" s="1" t="s">
        <v>102</v>
      </c>
      <c r="C39" s="1" t="s">
        <v>90</v>
      </c>
      <c r="D39" s="1" t="s">
        <v>93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>
        <v>10</v>
      </c>
      <c r="P39" s="28"/>
      <c r="Q39" s="28"/>
      <c r="R39" s="28">
        <v>10</v>
      </c>
      <c r="S39" s="28"/>
      <c r="T39" s="28"/>
      <c r="U39" s="28"/>
      <c r="V39" s="28"/>
      <c r="W39" s="28"/>
      <c r="X39" s="28">
        <v>10</v>
      </c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>
        <v>10</v>
      </c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40</v>
      </c>
      <c r="BR39" s="1">
        <v>10</v>
      </c>
      <c r="BS39" s="17">
        <v>1</v>
      </c>
      <c r="BT39" s="17" t="s">
        <v>233</v>
      </c>
      <c r="BU39">
        <f t="shared" si="4"/>
        <v>20</v>
      </c>
      <c r="BV39" s="23">
        <f t="shared" si="5"/>
        <v>0</v>
      </c>
    </row>
    <row r="40" spans="1:74" hidden="1">
      <c r="A40" s="1"/>
      <c r="B40" s="3" t="s">
        <v>227</v>
      </c>
      <c r="C40" s="3" t="s">
        <v>89</v>
      </c>
      <c r="D40" s="1" t="s">
        <v>163</v>
      </c>
      <c r="E40" s="6"/>
      <c r="F40" s="6"/>
      <c r="G40" s="6"/>
      <c r="H40" s="6"/>
      <c r="I40" s="6">
        <v>10</v>
      </c>
      <c r="J40" s="6"/>
      <c r="K40" s="6"/>
      <c r="L40" s="6"/>
      <c r="M40" s="6"/>
      <c r="N40" s="6"/>
      <c r="O40" s="6"/>
      <c r="P40" s="28"/>
      <c r="Q40" s="28"/>
      <c r="R40" s="28">
        <v>10</v>
      </c>
      <c r="S40" s="28"/>
      <c r="T40" s="28"/>
      <c r="U40" s="28"/>
      <c r="V40" s="28"/>
      <c r="W40" s="28"/>
      <c r="X40" s="28">
        <v>10</v>
      </c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>
        <v>10</v>
      </c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40</v>
      </c>
      <c r="BR40" s="1">
        <v>10</v>
      </c>
      <c r="BS40" s="17">
        <v>1</v>
      </c>
      <c r="BT40" s="17" t="s">
        <v>233</v>
      </c>
      <c r="BU40">
        <f t="shared" si="4"/>
        <v>20</v>
      </c>
      <c r="BV40" s="23">
        <f t="shared" si="5"/>
        <v>0</v>
      </c>
    </row>
    <row r="41" spans="1:74" hidden="1">
      <c r="A41" s="1"/>
      <c r="B41" s="1" t="s">
        <v>177</v>
      </c>
      <c r="C41" s="1" t="s">
        <v>45</v>
      </c>
      <c r="D41" s="1" t="s">
        <v>176</v>
      </c>
      <c r="E41" s="6"/>
      <c r="F41" s="6"/>
      <c r="G41" s="6"/>
      <c r="H41" s="6"/>
      <c r="I41" s="6">
        <v>10</v>
      </c>
      <c r="J41" s="6"/>
      <c r="K41" s="6"/>
      <c r="L41" s="6"/>
      <c r="M41" s="6"/>
      <c r="N41" s="6"/>
      <c r="O41" s="6"/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>
        <v>10</v>
      </c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40</v>
      </c>
      <c r="BR41" s="1">
        <v>10</v>
      </c>
      <c r="BS41" s="17">
        <v>1</v>
      </c>
      <c r="BT41" s="17" t="s">
        <v>233</v>
      </c>
      <c r="BU41">
        <f t="shared" si="4"/>
        <v>20</v>
      </c>
      <c r="BV41" s="23">
        <f t="shared" si="5"/>
        <v>0</v>
      </c>
    </row>
    <row r="42" spans="1:74" hidden="1">
      <c r="A42" s="1"/>
      <c r="B42" s="1" t="s">
        <v>229</v>
      </c>
      <c r="C42" s="1" t="s">
        <v>47</v>
      </c>
      <c r="D42" s="1" t="s">
        <v>176</v>
      </c>
      <c r="E42" s="6"/>
      <c r="F42" s="6"/>
      <c r="G42" s="6"/>
      <c r="H42" s="6"/>
      <c r="I42" s="6">
        <v>10</v>
      </c>
      <c r="J42" s="6"/>
      <c r="K42" s="6"/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40</v>
      </c>
      <c r="BR42" s="1">
        <v>10</v>
      </c>
      <c r="BS42" s="17">
        <v>1</v>
      </c>
      <c r="BT42" s="17" t="s">
        <v>233</v>
      </c>
      <c r="BU42">
        <f t="shared" si="4"/>
        <v>20</v>
      </c>
      <c r="BV42" s="23">
        <f t="shared" si="5"/>
        <v>0</v>
      </c>
    </row>
    <row r="43" spans="1:74" hidden="1">
      <c r="A43" s="1"/>
      <c r="B43" s="3" t="s">
        <v>211</v>
      </c>
      <c r="C43" s="3" t="s">
        <v>39</v>
      </c>
      <c r="D43" s="1" t="s">
        <v>93</v>
      </c>
      <c r="E43" s="6"/>
      <c r="F43" s="6"/>
      <c r="G43" s="6"/>
      <c r="H43" s="6"/>
      <c r="I43" s="6"/>
      <c r="J43" s="6"/>
      <c r="K43" s="6">
        <v>15</v>
      </c>
      <c r="L43" s="6"/>
      <c r="M43" s="6"/>
      <c r="N43" s="6"/>
      <c r="O43" s="6"/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>
        <v>15</v>
      </c>
      <c r="AX43" s="2">
        <v>15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65</v>
      </c>
      <c r="BR43" s="1">
        <v>10</v>
      </c>
      <c r="BS43" s="17">
        <v>1</v>
      </c>
      <c r="BT43" s="17" t="s">
        <v>233</v>
      </c>
      <c r="BU43">
        <f t="shared" si="4"/>
        <v>20</v>
      </c>
      <c r="BV43" s="23">
        <f t="shared" si="5"/>
        <v>0</v>
      </c>
    </row>
    <row r="44" spans="1:74">
      <c r="A44" s="18">
        <v>64</v>
      </c>
      <c r="B44" s="24" t="s">
        <v>199</v>
      </c>
      <c r="C44" s="18" t="s">
        <v>39</v>
      </c>
      <c r="D44" s="18" t="s">
        <v>0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18"/>
      <c r="AF44" s="18"/>
      <c r="AG44" s="18"/>
      <c r="AH44" s="18"/>
      <c r="AI44" s="18"/>
      <c r="AJ44" s="18"/>
      <c r="AK44" s="18"/>
      <c r="AL44" s="18"/>
      <c r="AM44" s="18"/>
      <c r="AN44" s="18">
        <v>15</v>
      </c>
      <c r="AO44" s="18"/>
      <c r="AP44" s="18"/>
      <c r="AQ44" s="20"/>
      <c r="AR44" s="20"/>
      <c r="AS44" s="20"/>
      <c r="AT44" s="20"/>
      <c r="AU44" s="20"/>
      <c r="AV44" s="20"/>
      <c r="AW44" s="21"/>
      <c r="AX44" s="21"/>
      <c r="AY44" s="21"/>
      <c r="AZ44" s="21"/>
      <c r="BA44" s="21"/>
      <c r="BB44" s="21"/>
      <c r="BC44" s="26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>
        <f t="shared" si="3"/>
        <v>15</v>
      </c>
      <c r="BR44" s="18">
        <v>10</v>
      </c>
      <c r="BS44" s="22">
        <v>1</v>
      </c>
      <c r="BT44" s="22" t="s">
        <v>258</v>
      </c>
      <c r="BU44">
        <f t="shared" si="4"/>
        <v>0</v>
      </c>
      <c r="BV44" s="23">
        <f t="shared" si="5"/>
        <v>0</v>
      </c>
    </row>
    <row r="45" spans="1:74">
      <c r="A45" s="1">
        <v>23</v>
      </c>
      <c r="B45" s="1" t="s">
        <v>74</v>
      </c>
      <c r="C45" s="1" t="s">
        <v>22</v>
      </c>
      <c r="D45" s="1" t="s">
        <v>26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>
        <v>50</v>
      </c>
      <c r="BL45" s="1">
        <v>50</v>
      </c>
      <c r="BM45" s="1"/>
      <c r="BN45" s="1"/>
      <c r="BO45" s="1">
        <v>50</v>
      </c>
      <c r="BP45" s="1">
        <v>50</v>
      </c>
      <c r="BQ45" s="1">
        <f t="shared" si="3"/>
        <v>200</v>
      </c>
      <c r="BR45" s="1">
        <v>13</v>
      </c>
      <c r="BS45" s="17">
        <v>1</v>
      </c>
      <c r="BT45" s="17" t="s">
        <v>239</v>
      </c>
      <c r="BU45">
        <f t="shared" si="4"/>
        <v>0</v>
      </c>
      <c r="BV45" s="23">
        <f t="shared" si="5"/>
        <v>0</v>
      </c>
    </row>
    <row r="46" spans="1:74">
      <c r="A46" s="1"/>
      <c r="B46" s="1" t="s">
        <v>235</v>
      </c>
      <c r="C46" s="1" t="s">
        <v>85</v>
      </c>
      <c r="D46" s="1" t="s">
        <v>86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>
        <v>50</v>
      </c>
      <c r="BL46" s="1">
        <v>50</v>
      </c>
      <c r="BM46" s="1"/>
      <c r="BN46" s="1"/>
      <c r="BO46" s="1">
        <v>50</v>
      </c>
      <c r="BP46" s="1">
        <v>50</v>
      </c>
      <c r="BQ46" s="1">
        <f t="shared" si="3"/>
        <v>200</v>
      </c>
      <c r="BR46" s="1">
        <v>13</v>
      </c>
      <c r="BS46" s="17">
        <v>1</v>
      </c>
      <c r="BT46" s="17" t="s">
        <v>239</v>
      </c>
      <c r="BU46">
        <f t="shared" si="4"/>
        <v>0</v>
      </c>
      <c r="BV46" s="23">
        <f t="shared" si="5"/>
        <v>0</v>
      </c>
    </row>
    <row r="47" spans="1:74">
      <c r="A47" s="1"/>
      <c r="B47" s="1" t="s">
        <v>249</v>
      </c>
      <c r="C47" s="1" t="s">
        <v>116</v>
      </c>
      <c r="D47" s="1" t="s">
        <v>26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>
        <v>50</v>
      </c>
      <c r="BL47" s="1">
        <v>50</v>
      </c>
      <c r="BM47" s="1"/>
      <c r="BN47" s="1"/>
      <c r="BO47" s="1">
        <v>50</v>
      </c>
      <c r="BP47" s="1">
        <v>50</v>
      </c>
      <c r="BQ47" s="1">
        <f t="shared" si="3"/>
        <v>200</v>
      </c>
      <c r="BR47" s="1">
        <v>13</v>
      </c>
      <c r="BS47" s="17">
        <v>1</v>
      </c>
      <c r="BT47" s="17" t="s">
        <v>287</v>
      </c>
      <c r="BU47">
        <f t="shared" si="4"/>
        <v>0</v>
      </c>
      <c r="BV47" s="23">
        <f t="shared" si="5"/>
        <v>0</v>
      </c>
    </row>
    <row r="48" spans="1:74">
      <c r="A48" s="1">
        <v>102</v>
      </c>
      <c r="B48" s="3" t="s">
        <v>142</v>
      </c>
      <c r="C48" s="3" t="s">
        <v>47</v>
      </c>
      <c r="D48" s="1" t="s">
        <v>26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>
        <v>50</v>
      </c>
      <c r="BL48" s="1">
        <v>50</v>
      </c>
      <c r="BM48" s="1"/>
      <c r="BN48" s="1"/>
      <c r="BO48" s="1">
        <v>50</v>
      </c>
      <c r="BP48" s="1">
        <v>50</v>
      </c>
      <c r="BQ48" s="1">
        <f t="shared" si="3"/>
        <v>200</v>
      </c>
      <c r="BR48" s="1">
        <v>13</v>
      </c>
      <c r="BS48" s="17">
        <v>1</v>
      </c>
      <c r="BT48" s="17" t="s">
        <v>239</v>
      </c>
      <c r="BU48">
        <f t="shared" si="4"/>
        <v>0</v>
      </c>
      <c r="BV48" s="23">
        <f t="shared" si="5"/>
        <v>0</v>
      </c>
    </row>
    <row r="49" spans="1:74">
      <c r="A49" s="1">
        <v>85</v>
      </c>
      <c r="B49" s="3" t="s">
        <v>189</v>
      </c>
      <c r="C49" s="3" t="s">
        <v>45</v>
      </c>
      <c r="D49" s="1" t="s">
        <v>26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>
        <v>50</v>
      </c>
      <c r="BN49" s="1">
        <v>50</v>
      </c>
      <c r="BO49" s="1">
        <v>50</v>
      </c>
      <c r="BP49" s="1">
        <v>50</v>
      </c>
      <c r="BQ49" s="1">
        <f t="shared" si="3"/>
        <v>200</v>
      </c>
      <c r="BR49" s="1">
        <v>13</v>
      </c>
      <c r="BS49" s="17">
        <v>1</v>
      </c>
      <c r="BT49" s="17" t="s">
        <v>239</v>
      </c>
      <c r="BU49">
        <f t="shared" si="4"/>
        <v>0</v>
      </c>
      <c r="BV49" s="23">
        <f t="shared" si="5"/>
        <v>0</v>
      </c>
    </row>
    <row r="50" spans="1:74">
      <c r="A50" s="1"/>
      <c r="B50" s="1" t="s">
        <v>124</v>
      </c>
      <c r="C50" s="1" t="s">
        <v>88</v>
      </c>
      <c r="D50" s="1" t="s">
        <v>86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>
        <v>50</v>
      </c>
      <c r="BN50" s="1">
        <v>50</v>
      </c>
      <c r="BO50" s="1">
        <v>50</v>
      </c>
      <c r="BP50" s="1">
        <v>50</v>
      </c>
      <c r="BQ50" s="1">
        <f t="shared" si="3"/>
        <v>200</v>
      </c>
      <c r="BR50" s="1">
        <v>13</v>
      </c>
      <c r="BS50" s="17">
        <v>1</v>
      </c>
      <c r="BT50" s="17" t="s">
        <v>239</v>
      </c>
      <c r="BU50">
        <f t="shared" si="4"/>
        <v>0</v>
      </c>
      <c r="BV50" s="23">
        <f t="shared" si="5"/>
        <v>0</v>
      </c>
    </row>
    <row r="51" spans="1:74">
      <c r="A51" s="1"/>
      <c r="B51" s="1" t="s">
        <v>141</v>
      </c>
      <c r="C51" s="1" t="s">
        <v>88</v>
      </c>
      <c r="D51" s="1" t="s">
        <v>86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>
        <v>50</v>
      </c>
      <c r="BN51" s="1">
        <v>50</v>
      </c>
      <c r="BO51" s="1">
        <v>50</v>
      </c>
      <c r="BP51" s="1">
        <v>50</v>
      </c>
      <c r="BQ51" s="1">
        <f t="shared" si="3"/>
        <v>200</v>
      </c>
      <c r="BR51" s="1">
        <v>13</v>
      </c>
      <c r="BS51" s="17">
        <v>1</v>
      </c>
      <c r="BT51" s="17" t="s">
        <v>239</v>
      </c>
      <c r="BU51">
        <f t="shared" si="4"/>
        <v>0</v>
      </c>
      <c r="BV51" s="23">
        <f t="shared" si="5"/>
        <v>0</v>
      </c>
    </row>
    <row r="52" spans="1:74">
      <c r="A52" s="1">
        <v>98</v>
      </c>
      <c r="B52" s="3" t="s">
        <v>121</v>
      </c>
      <c r="C52" s="3" t="s">
        <v>47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>
        <v>50</v>
      </c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50</v>
      </c>
      <c r="BR52" s="1">
        <v>25</v>
      </c>
      <c r="BS52" s="17">
        <v>1</v>
      </c>
      <c r="BT52" s="17" t="s">
        <v>246</v>
      </c>
      <c r="BU52">
        <f t="shared" si="4"/>
        <v>0</v>
      </c>
      <c r="BV52" s="23">
        <f t="shared" si="5"/>
        <v>0</v>
      </c>
    </row>
    <row r="53" spans="1:74">
      <c r="A53" s="1">
        <v>99</v>
      </c>
      <c r="B53" s="3" t="s">
        <v>121</v>
      </c>
      <c r="C53" s="3" t="s">
        <v>47</v>
      </c>
      <c r="D53" s="1" t="s">
        <v>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>
        <v>200</v>
      </c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200</v>
      </c>
      <c r="BR53" s="1">
        <v>175</v>
      </c>
      <c r="BS53" s="17">
        <v>1</v>
      </c>
      <c r="BT53" s="17" t="s">
        <v>288</v>
      </c>
      <c r="BU53">
        <f t="shared" si="4"/>
        <v>0</v>
      </c>
      <c r="BV53" s="23">
        <f t="shared" si="5"/>
        <v>0</v>
      </c>
    </row>
    <row r="54" spans="1:74" ht="27" hidden="1">
      <c r="A54" s="1"/>
      <c r="B54" s="1" t="s">
        <v>183</v>
      </c>
      <c r="C54" s="1" t="s">
        <v>33</v>
      </c>
      <c r="D54" s="1" t="s">
        <v>181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2</v>
      </c>
      <c r="S54" s="28"/>
      <c r="T54" s="28">
        <v>5</v>
      </c>
      <c r="U54" s="28"/>
      <c r="V54" s="28"/>
      <c r="W54" s="28"/>
      <c r="X54" s="28">
        <v>2</v>
      </c>
      <c r="Y54" s="28"/>
      <c r="Z54" s="28"/>
      <c r="AA54" s="28"/>
      <c r="AB54" s="28"/>
      <c r="AC54" s="28"/>
      <c r="AD54" s="28">
        <v>2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11</v>
      </c>
      <c r="BR54" s="1">
        <v>4</v>
      </c>
      <c r="BS54" s="17">
        <v>2</v>
      </c>
      <c r="BT54" s="17" t="s">
        <v>259</v>
      </c>
      <c r="BU54">
        <f t="shared" si="4"/>
        <v>11</v>
      </c>
      <c r="BV54" s="23">
        <f t="shared" si="5"/>
        <v>0</v>
      </c>
    </row>
    <row r="55" spans="1:74" ht="27" hidden="1">
      <c r="A55" s="1"/>
      <c r="B55" s="1" t="s">
        <v>223</v>
      </c>
      <c r="C55" s="1" t="s">
        <v>117</v>
      </c>
      <c r="D55" s="1" t="s">
        <v>92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/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>
        <v>2</v>
      </c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17</v>
      </c>
      <c r="BR55" s="1">
        <v>6</v>
      </c>
      <c r="BS55" s="17">
        <v>2</v>
      </c>
      <c r="BT55" s="17" t="s">
        <v>252</v>
      </c>
      <c r="BU55">
        <f t="shared" si="4"/>
        <v>17</v>
      </c>
      <c r="BV55" s="23">
        <f t="shared" si="5"/>
        <v>0</v>
      </c>
    </row>
    <row r="56" spans="1:74" ht="27" hidden="1">
      <c r="A56" s="1"/>
      <c r="B56" s="3" t="s">
        <v>216</v>
      </c>
      <c r="C56" s="3" t="s">
        <v>166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/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>
        <v>2</v>
      </c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 t="shared" si="3"/>
        <v>17</v>
      </c>
      <c r="BR56" s="1">
        <v>6</v>
      </c>
      <c r="BS56" s="17">
        <v>2</v>
      </c>
      <c r="BT56" s="17" t="s">
        <v>252</v>
      </c>
      <c r="BU56">
        <f t="shared" si="4"/>
        <v>17</v>
      </c>
      <c r="BV56" s="23">
        <f t="shared" si="5"/>
        <v>0</v>
      </c>
    </row>
    <row r="57" spans="1:74" ht="27" hidden="1">
      <c r="A57" s="1"/>
      <c r="B57" s="1" t="s">
        <v>214</v>
      </c>
      <c r="C57" s="1" t="s">
        <v>108</v>
      </c>
      <c r="D57" s="1" t="s">
        <v>175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/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>
        <v>2</v>
      </c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17</v>
      </c>
      <c r="BR57" s="1">
        <v>6</v>
      </c>
      <c r="BS57" s="17">
        <v>2</v>
      </c>
      <c r="BT57" s="17" t="s">
        <v>252</v>
      </c>
      <c r="BU57">
        <f t="shared" si="4"/>
        <v>17</v>
      </c>
      <c r="BV57" s="23">
        <f t="shared" si="5"/>
        <v>0</v>
      </c>
    </row>
    <row r="58" spans="1:74" ht="27" hidden="1">
      <c r="A58" s="1"/>
      <c r="B58" s="1" t="s">
        <v>178</v>
      </c>
      <c r="C58" s="1" t="s">
        <v>45</v>
      </c>
      <c r="D58" s="1" t="s">
        <v>175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/>
      <c r="X58" s="28"/>
      <c r="Y58" s="28"/>
      <c r="Z58" s="28">
        <v>5</v>
      </c>
      <c r="AA58" s="28">
        <v>2</v>
      </c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17</v>
      </c>
      <c r="BR58" s="1">
        <v>6</v>
      </c>
      <c r="BS58" s="17">
        <v>2</v>
      </c>
      <c r="BT58" s="17" t="s">
        <v>252</v>
      </c>
      <c r="BU58">
        <f t="shared" si="4"/>
        <v>17</v>
      </c>
      <c r="BV58" s="23">
        <f t="shared" si="5"/>
        <v>0</v>
      </c>
    </row>
    <row r="59" spans="1:74" ht="27" hidden="1">
      <c r="A59" s="1"/>
      <c r="B59" s="3" t="s">
        <v>213</v>
      </c>
      <c r="C59" s="3" t="s">
        <v>191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2</v>
      </c>
      <c r="S59" s="28"/>
      <c r="T59" s="28"/>
      <c r="U59" s="28">
        <v>2</v>
      </c>
      <c r="V59" s="28"/>
      <c r="W59" s="28"/>
      <c r="X59" s="28"/>
      <c r="Y59" s="28"/>
      <c r="Z59" s="28"/>
      <c r="AA59" s="28"/>
      <c r="AB59" s="28"/>
      <c r="AC59" s="28">
        <v>5</v>
      </c>
      <c r="AD59" s="28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11</v>
      </c>
      <c r="BR59" s="1">
        <v>6</v>
      </c>
      <c r="BS59" s="17">
        <v>2</v>
      </c>
      <c r="BT59" s="17" t="s">
        <v>260</v>
      </c>
      <c r="BU59">
        <f t="shared" si="4"/>
        <v>11</v>
      </c>
      <c r="BV59" s="23">
        <f t="shared" si="5"/>
        <v>0</v>
      </c>
    </row>
    <row r="60" spans="1:74" ht="27" hidden="1">
      <c r="A60" s="1"/>
      <c r="B60" s="1" t="s">
        <v>84</v>
      </c>
      <c r="C60" s="1" t="s">
        <v>77</v>
      </c>
      <c r="D60" s="1" t="s">
        <v>75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>
        <v>5</v>
      </c>
      <c r="AP60" s="1">
        <v>1</v>
      </c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6</v>
      </c>
      <c r="BR60" s="1">
        <v>6</v>
      </c>
      <c r="BS60" s="17">
        <v>2</v>
      </c>
      <c r="BT60" s="17" t="s">
        <v>261</v>
      </c>
      <c r="BU60">
        <f t="shared" si="4"/>
        <v>0</v>
      </c>
      <c r="BV60" s="23">
        <f t="shared" si="5"/>
        <v>6</v>
      </c>
    </row>
    <row r="61" spans="1:74" ht="27" hidden="1">
      <c r="A61" s="1"/>
      <c r="B61" s="1" t="s">
        <v>143</v>
      </c>
      <c r="C61" s="1" t="s">
        <v>22</v>
      </c>
      <c r="D61" s="1" t="s">
        <v>18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>
        <v>5</v>
      </c>
      <c r="AP61" s="1">
        <v>1</v>
      </c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ref="BQ61:BQ92" si="6">SUM(E61:BP61)</f>
        <v>6</v>
      </c>
      <c r="BR61" s="1">
        <v>6</v>
      </c>
      <c r="BS61" s="17">
        <v>2</v>
      </c>
      <c r="BT61" s="17" t="s">
        <v>261</v>
      </c>
      <c r="BU61">
        <f t="shared" ref="BU61:BU92" si="7">SUM(P61:AD61)</f>
        <v>0</v>
      </c>
      <c r="BV61" s="23">
        <f t="shared" ref="BV61:BV92" si="8">AF61+AH61+AI61+AJ61+AO61+AP61</f>
        <v>6</v>
      </c>
    </row>
    <row r="62" spans="1:74" ht="27" hidden="1">
      <c r="A62" s="1"/>
      <c r="B62" s="1" t="s">
        <v>114</v>
      </c>
      <c r="C62" s="1" t="s">
        <v>115</v>
      </c>
      <c r="D62" s="1" t="s">
        <v>92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>
        <v>10</v>
      </c>
      <c r="AC62" s="28">
        <v>5</v>
      </c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6"/>
        <v>35</v>
      </c>
      <c r="BR62" s="1">
        <v>7</v>
      </c>
      <c r="BS62" s="17">
        <v>2</v>
      </c>
      <c r="BT62" s="17" t="s">
        <v>262</v>
      </c>
      <c r="BU62">
        <f t="shared" si="7"/>
        <v>35</v>
      </c>
      <c r="BV62" s="23">
        <f t="shared" si="8"/>
        <v>0</v>
      </c>
    </row>
    <row r="63" spans="1:74" ht="27" hidden="1">
      <c r="A63" s="1"/>
      <c r="B63" s="3" t="s">
        <v>231</v>
      </c>
      <c r="C63" s="3" t="s">
        <v>45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>
        <v>10</v>
      </c>
      <c r="W63" s="28"/>
      <c r="X63" s="28"/>
      <c r="Y63" s="28">
        <v>10</v>
      </c>
      <c r="Z63" s="28"/>
      <c r="AA63" s="28"/>
      <c r="AB63" s="28">
        <v>10</v>
      </c>
      <c r="AC63" s="28">
        <v>5</v>
      </c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6"/>
        <v>35</v>
      </c>
      <c r="BR63" s="1">
        <v>7</v>
      </c>
      <c r="BS63" s="17">
        <v>2</v>
      </c>
      <c r="BT63" s="17" t="s">
        <v>262</v>
      </c>
      <c r="BU63">
        <f t="shared" si="7"/>
        <v>35</v>
      </c>
      <c r="BV63" s="23">
        <f t="shared" si="8"/>
        <v>0</v>
      </c>
    </row>
    <row r="64" spans="1:74" ht="27" hidden="1">
      <c r="A64" s="1"/>
      <c r="B64" s="1" t="s">
        <v>172</v>
      </c>
      <c r="C64" s="1" t="s">
        <v>173</v>
      </c>
      <c r="D64" s="1" t="s">
        <v>175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>
        <v>10</v>
      </c>
      <c r="W64" s="28"/>
      <c r="X64" s="28"/>
      <c r="Y64" s="28">
        <v>10</v>
      </c>
      <c r="Z64" s="28"/>
      <c r="AA64" s="28"/>
      <c r="AB64" s="28">
        <v>10</v>
      </c>
      <c r="AC64" s="28">
        <v>5</v>
      </c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6"/>
        <v>35</v>
      </c>
      <c r="BR64" s="1">
        <v>7</v>
      </c>
      <c r="BS64" s="17">
        <v>2</v>
      </c>
      <c r="BT64" s="17" t="s">
        <v>262</v>
      </c>
      <c r="BU64">
        <f t="shared" si="7"/>
        <v>35</v>
      </c>
      <c r="BV64" s="23">
        <f t="shared" si="8"/>
        <v>0</v>
      </c>
    </row>
    <row r="65" spans="1:74" ht="27" hidden="1">
      <c r="A65" s="1"/>
      <c r="B65" s="1" t="s">
        <v>228</v>
      </c>
      <c r="C65" s="1" t="s">
        <v>47</v>
      </c>
      <c r="D65" s="1" t="s">
        <v>175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>
        <v>10</v>
      </c>
      <c r="W65" s="28"/>
      <c r="X65" s="28"/>
      <c r="Y65" s="28">
        <v>10</v>
      </c>
      <c r="Z65" s="28"/>
      <c r="AA65" s="28"/>
      <c r="AB65" s="28">
        <v>10</v>
      </c>
      <c r="AC65" s="28">
        <v>5</v>
      </c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6"/>
        <v>35</v>
      </c>
      <c r="BR65" s="1">
        <v>7</v>
      </c>
      <c r="BS65" s="17">
        <v>2</v>
      </c>
      <c r="BT65" s="17" t="s">
        <v>262</v>
      </c>
      <c r="BU65">
        <f t="shared" si="7"/>
        <v>35</v>
      </c>
      <c r="BV65" s="23">
        <f t="shared" si="8"/>
        <v>0</v>
      </c>
    </row>
    <row r="66" spans="1:74" ht="27" hidden="1">
      <c r="A66" s="1"/>
      <c r="B66" s="1" t="s">
        <v>185</v>
      </c>
      <c r="C66" s="1" t="s">
        <v>115</v>
      </c>
      <c r="D66" s="1" t="s">
        <v>92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>
        <v>5</v>
      </c>
      <c r="R66" s="28"/>
      <c r="S66" s="28"/>
      <c r="T66" s="28">
        <v>5</v>
      </c>
      <c r="U66" s="28"/>
      <c r="V66" s="28"/>
      <c r="W66" s="28"/>
      <c r="X66" s="28">
        <v>2</v>
      </c>
      <c r="Y66" s="28"/>
      <c r="Z66" s="28">
        <v>5</v>
      </c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si="6"/>
        <v>17</v>
      </c>
      <c r="BR66" s="1">
        <v>7</v>
      </c>
      <c r="BS66" s="17">
        <v>2</v>
      </c>
      <c r="BT66" s="17" t="s">
        <v>242</v>
      </c>
      <c r="BU66">
        <f t="shared" si="7"/>
        <v>17</v>
      </c>
      <c r="BV66" s="23">
        <f t="shared" si="8"/>
        <v>0</v>
      </c>
    </row>
    <row r="67" spans="1:74" ht="27" hidden="1">
      <c r="A67" s="1"/>
      <c r="B67" s="3" t="s">
        <v>164</v>
      </c>
      <c r="C67" s="3" t="s">
        <v>22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/>
      <c r="S67" s="28"/>
      <c r="T67" s="28">
        <v>5</v>
      </c>
      <c r="U67" s="28"/>
      <c r="V67" s="28"/>
      <c r="W67" s="28"/>
      <c r="X67" s="28">
        <v>2</v>
      </c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17</v>
      </c>
      <c r="BR67" s="1">
        <v>7</v>
      </c>
      <c r="BS67" s="17">
        <v>2</v>
      </c>
      <c r="BT67" s="17" t="s">
        <v>242</v>
      </c>
      <c r="BU67">
        <f t="shared" si="7"/>
        <v>17</v>
      </c>
      <c r="BV67" s="23">
        <f t="shared" si="8"/>
        <v>0</v>
      </c>
    </row>
    <row r="68" spans="1:74" ht="27" hidden="1">
      <c r="A68" s="1"/>
      <c r="B68" s="1" t="s">
        <v>112</v>
      </c>
      <c r="C68" s="1" t="s">
        <v>111</v>
      </c>
      <c r="D68" s="1" t="s">
        <v>92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35</v>
      </c>
      <c r="BR68" s="1">
        <v>8</v>
      </c>
      <c r="BS68" s="17">
        <v>2</v>
      </c>
      <c r="BT68" s="17" t="s">
        <v>243</v>
      </c>
      <c r="BU68">
        <f t="shared" si="7"/>
        <v>35</v>
      </c>
      <c r="BV68" s="23">
        <f t="shared" si="8"/>
        <v>0</v>
      </c>
    </row>
    <row r="69" spans="1:74" ht="27" hidden="1">
      <c r="A69" s="1"/>
      <c r="B69" s="3" t="s">
        <v>169</v>
      </c>
      <c r="C69" s="3" t="s">
        <v>45</v>
      </c>
      <c r="D69" s="1" t="s">
        <v>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35</v>
      </c>
      <c r="BR69" s="1">
        <v>8</v>
      </c>
      <c r="BS69" s="17">
        <v>2</v>
      </c>
      <c r="BT69" s="17" t="s">
        <v>243</v>
      </c>
      <c r="BU69">
        <f t="shared" si="7"/>
        <v>35</v>
      </c>
      <c r="BV69" s="23">
        <f t="shared" si="8"/>
        <v>0</v>
      </c>
    </row>
    <row r="70" spans="1:74" ht="27" hidden="1">
      <c r="A70" s="1"/>
      <c r="B70" s="1" t="s">
        <v>80</v>
      </c>
      <c r="C70" s="1" t="s">
        <v>77</v>
      </c>
      <c r="D70" s="1" t="s">
        <v>81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>
        <v>3</v>
      </c>
      <c r="AP70" s="1">
        <v>5</v>
      </c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8</v>
      </c>
      <c r="BR70" s="1">
        <v>8</v>
      </c>
      <c r="BS70" s="17">
        <v>2</v>
      </c>
      <c r="BT70" s="17" t="s">
        <v>263</v>
      </c>
      <c r="BU70">
        <f t="shared" si="7"/>
        <v>0</v>
      </c>
      <c r="BV70" s="23">
        <f t="shared" si="8"/>
        <v>8</v>
      </c>
    </row>
    <row r="71" spans="1:74" ht="27" hidden="1">
      <c r="A71" s="1"/>
      <c r="B71" s="1" t="s">
        <v>177</v>
      </c>
      <c r="C71" s="1" t="s">
        <v>45</v>
      </c>
      <c r="D71" s="1" t="s">
        <v>174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/>
      <c r="Y71" s="28"/>
      <c r="Z71" s="28">
        <v>5</v>
      </c>
      <c r="AA71" s="28"/>
      <c r="AB71" s="28"/>
      <c r="AC71" s="28">
        <v>5</v>
      </c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20</v>
      </c>
      <c r="BR71" s="1">
        <v>9</v>
      </c>
      <c r="BS71" s="17">
        <v>2</v>
      </c>
      <c r="BT71" s="17" t="s">
        <v>264</v>
      </c>
      <c r="BU71">
        <f t="shared" si="7"/>
        <v>20</v>
      </c>
      <c r="BV71" s="23">
        <f t="shared" si="8"/>
        <v>0</v>
      </c>
    </row>
    <row r="72" spans="1:74" ht="27" hidden="1">
      <c r="A72" s="1">
        <v>27</v>
      </c>
      <c r="B72" s="1" t="s">
        <v>52</v>
      </c>
      <c r="C72" s="1" t="s">
        <v>22</v>
      </c>
      <c r="D72" s="1" t="s">
        <v>17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>
        <v>5</v>
      </c>
      <c r="AI72" s="1">
        <v>5</v>
      </c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10</v>
      </c>
      <c r="BR72" s="1">
        <v>10</v>
      </c>
      <c r="BS72" s="17">
        <v>2</v>
      </c>
      <c r="BT72" s="17" t="s">
        <v>265</v>
      </c>
      <c r="BU72">
        <f t="shared" si="7"/>
        <v>0</v>
      </c>
      <c r="BV72" s="23">
        <f t="shared" si="8"/>
        <v>10</v>
      </c>
    </row>
    <row r="73" spans="1:74" s="63" customFormat="1" ht="27" hidden="1">
      <c r="A73" s="1">
        <v>88</v>
      </c>
      <c r="B73" s="3" t="s">
        <v>57</v>
      </c>
      <c r="C73" s="3" t="s">
        <v>58</v>
      </c>
      <c r="D73" s="1" t="s">
        <v>17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>
        <v>5</v>
      </c>
      <c r="AI73" s="1">
        <v>5</v>
      </c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10</v>
      </c>
      <c r="BR73" s="1">
        <v>10</v>
      </c>
      <c r="BS73" s="17">
        <v>2</v>
      </c>
      <c r="BT73" s="17" t="s">
        <v>265</v>
      </c>
      <c r="BU73">
        <f t="shared" si="7"/>
        <v>0</v>
      </c>
      <c r="BV73" s="23">
        <f t="shared" si="8"/>
        <v>10</v>
      </c>
    </row>
    <row r="74" spans="1:74" s="63" customFormat="1" ht="27" hidden="1">
      <c r="A74" s="1"/>
      <c r="B74" s="1" t="s">
        <v>225</v>
      </c>
      <c r="C74" s="1" t="s">
        <v>117</v>
      </c>
      <c r="D74" s="1" t="s">
        <v>93</v>
      </c>
      <c r="E74" s="6"/>
      <c r="F74" s="6"/>
      <c r="G74" s="6"/>
      <c r="H74" s="6">
        <v>10</v>
      </c>
      <c r="I74" s="6"/>
      <c r="J74" s="6"/>
      <c r="K74" s="6"/>
      <c r="L74" s="6"/>
      <c r="M74" s="6"/>
      <c r="N74" s="6"/>
      <c r="O74" s="6"/>
      <c r="P74" s="28"/>
      <c r="Q74" s="28"/>
      <c r="R74" s="28">
        <v>10</v>
      </c>
      <c r="S74" s="28"/>
      <c r="T74" s="28"/>
      <c r="U74" s="28">
        <v>10</v>
      </c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>
        <v>10</v>
      </c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5</v>
      </c>
      <c r="BS74" s="17">
        <v>2</v>
      </c>
      <c r="BT74" s="17" t="s">
        <v>266</v>
      </c>
      <c r="BU74">
        <f t="shared" si="7"/>
        <v>20</v>
      </c>
      <c r="BV74" s="23">
        <f t="shared" si="8"/>
        <v>0</v>
      </c>
    </row>
    <row r="75" spans="1:74" s="63" customFormat="1" ht="27" hidden="1">
      <c r="A75" s="1"/>
      <c r="B75" s="3" t="s">
        <v>209</v>
      </c>
      <c r="C75" s="3" t="s">
        <v>166</v>
      </c>
      <c r="D75" s="1" t="s">
        <v>163</v>
      </c>
      <c r="E75" s="6"/>
      <c r="F75" s="6"/>
      <c r="G75" s="6"/>
      <c r="H75" s="6"/>
      <c r="I75" s="6"/>
      <c r="J75" s="6"/>
      <c r="K75" s="6">
        <v>10</v>
      </c>
      <c r="L75" s="6"/>
      <c r="M75" s="6"/>
      <c r="N75" s="6"/>
      <c r="O75" s="6"/>
      <c r="P75" s="28"/>
      <c r="Q75" s="28"/>
      <c r="R75" s="28"/>
      <c r="S75" s="28"/>
      <c r="T75" s="28"/>
      <c r="U75" s="28">
        <v>10</v>
      </c>
      <c r="V75" s="28"/>
      <c r="W75" s="28"/>
      <c r="X75" s="28"/>
      <c r="Y75" s="28"/>
      <c r="Z75" s="28"/>
      <c r="AA75" s="28">
        <v>10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10</v>
      </c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13</v>
      </c>
      <c r="BS75" s="17">
        <v>2</v>
      </c>
      <c r="BT75" s="17" t="s">
        <v>253</v>
      </c>
      <c r="BU75">
        <f t="shared" si="7"/>
        <v>20</v>
      </c>
      <c r="BV75" s="23">
        <f t="shared" si="8"/>
        <v>0</v>
      </c>
    </row>
    <row r="76" spans="1:74" s="63" customFormat="1" ht="27" hidden="1">
      <c r="A76" s="1"/>
      <c r="B76" s="1" t="s">
        <v>114</v>
      </c>
      <c r="C76" s="1" t="s">
        <v>115</v>
      </c>
      <c r="D76" s="1" t="s">
        <v>93</v>
      </c>
      <c r="E76" s="6"/>
      <c r="F76" s="6"/>
      <c r="G76" s="6"/>
      <c r="H76" s="6"/>
      <c r="I76" s="6"/>
      <c r="J76" s="6">
        <v>10</v>
      </c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>
        <v>10</v>
      </c>
      <c r="V76" s="28"/>
      <c r="W76" s="28"/>
      <c r="X76" s="28"/>
      <c r="Y76" s="28"/>
      <c r="Z76" s="28"/>
      <c r="AA76" s="28">
        <v>10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>
        <v>10</v>
      </c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40</v>
      </c>
      <c r="BR76" s="1">
        <v>13</v>
      </c>
      <c r="BS76" s="17">
        <v>2</v>
      </c>
      <c r="BT76" s="17" t="s">
        <v>253</v>
      </c>
      <c r="BU76">
        <f t="shared" si="7"/>
        <v>20</v>
      </c>
      <c r="BV76" s="23">
        <f t="shared" si="8"/>
        <v>0</v>
      </c>
    </row>
    <row r="77" spans="1:74" s="63" customFormat="1" ht="27" hidden="1">
      <c r="A77" s="1"/>
      <c r="B77" s="1" t="s">
        <v>226</v>
      </c>
      <c r="C77" s="1" t="s">
        <v>117</v>
      </c>
      <c r="D77" s="1" t="s">
        <v>93</v>
      </c>
      <c r="E77" s="6"/>
      <c r="F77" s="6"/>
      <c r="G77" s="6"/>
      <c r="H77" s="6"/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>
        <v>10</v>
      </c>
      <c r="V77" s="28"/>
      <c r="W77" s="28"/>
      <c r="X77" s="28"/>
      <c r="Y77" s="28"/>
      <c r="Z77" s="28"/>
      <c r="AA77" s="28">
        <v>10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13</v>
      </c>
      <c r="BS77" s="17">
        <v>2</v>
      </c>
      <c r="BT77" s="17" t="s">
        <v>253</v>
      </c>
      <c r="BU77">
        <f t="shared" si="7"/>
        <v>20</v>
      </c>
      <c r="BV77" s="23">
        <f t="shared" si="8"/>
        <v>0</v>
      </c>
    </row>
    <row r="78" spans="1:74" s="63" customFormat="1" ht="27" hidden="1">
      <c r="A78" s="1"/>
      <c r="B78" s="3" t="s">
        <v>232</v>
      </c>
      <c r="C78" s="3" t="s">
        <v>45</v>
      </c>
      <c r="D78" s="1" t="s">
        <v>163</v>
      </c>
      <c r="E78" s="6"/>
      <c r="F78" s="6"/>
      <c r="G78" s="6"/>
      <c r="H78" s="6"/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10</v>
      </c>
      <c r="V78" s="28"/>
      <c r="W78" s="28"/>
      <c r="X78" s="28"/>
      <c r="Y78" s="28"/>
      <c r="Z78" s="28"/>
      <c r="AA78" s="28">
        <v>10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10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 t="shared" si="6"/>
        <v>40</v>
      </c>
      <c r="BR78" s="1">
        <v>13</v>
      </c>
      <c r="BS78" s="17">
        <v>2</v>
      </c>
      <c r="BT78" s="17" t="s">
        <v>289</v>
      </c>
      <c r="BU78">
        <f t="shared" si="7"/>
        <v>20</v>
      </c>
      <c r="BV78" s="23">
        <f t="shared" si="8"/>
        <v>0</v>
      </c>
    </row>
    <row r="79" spans="1:74" s="63" customFormat="1" ht="27" hidden="1">
      <c r="A79" s="1"/>
      <c r="B79" s="1" t="s">
        <v>219</v>
      </c>
      <c r="C79" s="1" t="s">
        <v>108</v>
      </c>
      <c r="D79" s="1" t="s">
        <v>176</v>
      </c>
      <c r="E79" s="6"/>
      <c r="F79" s="6"/>
      <c r="G79" s="6"/>
      <c r="H79" s="6"/>
      <c r="I79" s="6"/>
      <c r="J79" s="6">
        <v>10</v>
      </c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>
        <v>10</v>
      </c>
      <c r="V79" s="28"/>
      <c r="W79" s="28"/>
      <c r="X79" s="28"/>
      <c r="Y79" s="28"/>
      <c r="Z79" s="28"/>
      <c r="AA79" s="28">
        <v>10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10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40</v>
      </c>
      <c r="BR79" s="1">
        <v>13</v>
      </c>
      <c r="BS79" s="17">
        <v>2</v>
      </c>
      <c r="BT79" s="17" t="s">
        <v>253</v>
      </c>
      <c r="BU79">
        <f t="shared" si="7"/>
        <v>20</v>
      </c>
      <c r="BV79" s="23">
        <f t="shared" si="8"/>
        <v>0</v>
      </c>
    </row>
    <row r="80" spans="1:74" s="63" customFormat="1" ht="27" hidden="1">
      <c r="A80" s="1"/>
      <c r="B80" s="1" t="s">
        <v>183</v>
      </c>
      <c r="C80" s="1" t="s">
        <v>33</v>
      </c>
      <c r="D80" s="1" t="s">
        <v>182</v>
      </c>
      <c r="E80" s="6"/>
      <c r="F80" s="6"/>
      <c r="G80" s="6"/>
      <c r="H80" s="6"/>
      <c r="I80" s="6"/>
      <c r="J80" s="6">
        <v>10</v>
      </c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10</v>
      </c>
      <c r="V80" s="28"/>
      <c r="W80" s="28"/>
      <c r="X80" s="28"/>
      <c r="Y80" s="28"/>
      <c r="Z80" s="28"/>
      <c r="AA80" s="28">
        <v>10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40</v>
      </c>
      <c r="BR80" s="1">
        <v>13</v>
      </c>
      <c r="BS80" s="17">
        <v>2</v>
      </c>
      <c r="BT80" s="17" t="s">
        <v>253</v>
      </c>
      <c r="BU80">
        <f t="shared" si="7"/>
        <v>20</v>
      </c>
      <c r="BV80" s="23">
        <f t="shared" si="8"/>
        <v>0</v>
      </c>
    </row>
    <row r="81" spans="1:74" s="63" customFormat="1" ht="27" hidden="1">
      <c r="A81" s="1"/>
      <c r="B81" s="1" t="s">
        <v>185</v>
      </c>
      <c r="C81" s="1" t="s">
        <v>115</v>
      </c>
      <c r="D81" s="1" t="s">
        <v>93</v>
      </c>
      <c r="E81" s="6"/>
      <c r="F81" s="6"/>
      <c r="G81" s="6"/>
      <c r="H81" s="6"/>
      <c r="I81" s="6"/>
      <c r="J81" s="6"/>
      <c r="K81" s="6"/>
      <c r="L81" s="6">
        <v>7</v>
      </c>
      <c r="M81" s="6"/>
      <c r="N81" s="6"/>
      <c r="O81" s="6"/>
      <c r="P81" s="28"/>
      <c r="Q81" s="28">
        <v>7</v>
      </c>
      <c r="R81" s="28"/>
      <c r="S81" s="28"/>
      <c r="T81" s="28">
        <v>7</v>
      </c>
      <c r="U81" s="28"/>
      <c r="V81" s="28"/>
      <c r="W81" s="28"/>
      <c r="X81" s="28">
        <v>7</v>
      </c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28</v>
      </c>
      <c r="BR81" s="1">
        <v>14</v>
      </c>
      <c r="BS81" s="17">
        <v>2</v>
      </c>
      <c r="BT81" s="17" t="s">
        <v>267</v>
      </c>
      <c r="BU81">
        <f t="shared" si="7"/>
        <v>21</v>
      </c>
      <c r="BV81" s="23">
        <f t="shared" si="8"/>
        <v>0</v>
      </c>
    </row>
    <row r="82" spans="1:74" s="63" customFormat="1" ht="27" hidden="1">
      <c r="A82" s="1"/>
      <c r="B82" s="3" t="s">
        <v>213</v>
      </c>
      <c r="C82" s="3" t="s">
        <v>191</v>
      </c>
      <c r="D82" s="1" t="s">
        <v>93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>
        <v>10</v>
      </c>
      <c r="P82" s="28"/>
      <c r="Q82" s="28"/>
      <c r="R82" s="28">
        <v>10</v>
      </c>
      <c r="S82" s="28"/>
      <c r="T82" s="28"/>
      <c r="U82" s="28">
        <v>10</v>
      </c>
      <c r="V82" s="28"/>
      <c r="W82" s="28"/>
      <c r="X82" s="28"/>
      <c r="Y82" s="28"/>
      <c r="Z82" s="28"/>
      <c r="AA82" s="28"/>
      <c r="AB82" s="28"/>
      <c r="AC82" s="28"/>
      <c r="AD82" s="28">
        <v>10</v>
      </c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 t="shared" si="6"/>
        <v>40</v>
      </c>
      <c r="BR82" s="1">
        <v>14</v>
      </c>
      <c r="BS82" s="17">
        <v>2</v>
      </c>
      <c r="BT82" s="17" t="s">
        <v>268</v>
      </c>
      <c r="BU82">
        <f t="shared" si="7"/>
        <v>30</v>
      </c>
      <c r="BV82" s="23">
        <f t="shared" si="8"/>
        <v>0</v>
      </c>
    </row>
    <row r="83" spans="1:74" s="63" customFormat="1" ht="27" hidden="1">
      <c r="A83" s="1"/>
      <c r="B83" s="1" t="s">
        <v>80</v>
      </c>
      <c r="C83" s="1" t="s">
        <v>77</v>
      </c>
      <c r="D83" s="1" t="s">
        <v>75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>
        <v>5</v>
      </c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>
        <v>5</v>
      </c>
      <c r="AP83" s="1">
        <v>10</v>
      </c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 t="shared" si="6"/>
        <v>20</v>
      </c>
      <c r="BR83" s="1">
        <v>15</v>
      </c>
      <c r="BS83" s="17">
        <v>2</v>
      </c>
      <c r="BT83" s="17" t="s">
        <v>269</v>
      </c>
      <c r="BU83">
        <f t="shared" si="7"/>
        <v>0</v>
      </c>
      <c r="BV83" s="23">
        <f t="shared" si="8"/>
        <v>15</v>
      </c>
    </row>
    <row r="84" spans="1:74" s="63" customFormat="1" ht="27">
      <c r="A84" s="1"/>
      <c r="B84" s="1" t="s">
        <v>188</v>
      </c>
      <c r="C84" s="1" t="s">
        <v>77</v>
      </c>
      <c r="D84" s="1" t="s">
        <v>78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>
        <v>40</v>
      </c>
      <c r="AW84" s="2">
        <v>40</v>
      </c>
      <c r="AX84" s="2"/>
      <c r="AY84" s="2"/>
      <c r="AZ84" s="2"/>
      <c r="BA84" s="2"/>
      <c r="BB84" s="2">
        <v>40</v>
      </c>
      <c r="BC84" s="14">
        <v>10</v>
      </c>
      <c r="BD84" s="1"/>
      <c r="BE84" s="1">
        <v>50</v>
      </c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 t="shared" si="6"/>
        <v>180</v>
      </c>
      <c r="BR84" s="1">
        <v>39</v>
      </c>
      <c r="BS84" s="17">
        <v>2</v>
      </c>
      <c r="BT84" s="17" t="s">
        <v>270</v>
      </c>
      <c r="BU84">
        <f t="shared" si="7"/>
        <v>0</v>
      </c>
      <c r="BV84" s="23">
        <f t="shared" si="8"/>
        <v>0</v>
      </c>
    </row>
    <row r="85" spans="1:74" s="63" customFormat="1" ht="27" hidden="1">
      <c r="A85" s="1"/>
      <c r="B85" s="1" t="s">
        <v>107</v>
      </c>
      <c r="C85" s="1" t="s">
        <v>90</v>
      </c>
      <c r="D85" s="1" t="s">
        <v>93</v>
      </c>
      <c r="E85" s="6"/>
      <c r="F85" s="6"/>
      <c r="G85" s="6"/>
      <c r="H85" s="6">
        <v>10</v>
      </c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 t="shared" si="6"/>
        <v>40</v>
      </c>
      <c r="BR85" s="1">
        <v>11</v>
      </c>
      <c r="BS85" s="17">
        <v>2</v>
      </c>
      <c r="BT85" s="17" t="s">
        <v>271</v>
      </c>
      <c r="BU85">
        <f t="shared" si="7"/>
        <v>20</v>
      </c>
      <c r="BV85" s="23">
        <f t="shared" si="8"/>
        <v>0</v>
      </c>
    </row>
    <row r="86" spans="1:74" s="63" customFormat="1" ht="27" hidden="1">
      <c r="A86" s="1"/>
      <c r="B86" s="3" t="s">
        <v>167</v>
      </c>
      <c r="C86" s="3" t="s">
        <v>89</v>
      </c>
      <c r="D86" s="1" t="s">
        <v>163</v>
      </c>
      <c r="E86" s="6"/>
      <c r="F86" s="6"/>
      <c r="G86" s="6"/>
      <c r="H86" s="6">
        <v>10</v>
      </c>
      <c r="I86" s="6"/>
      <c r="J86" s="6"/>
      <c r="K86" s="6"/>
      <c r="L86" s="6"/>
      <c r="M86" s="6"/>
      <c r="N86" s="6"/>
      <c r="O86" s="6"/>
      <c r="P86" s="28"/>
      <c r="Q86" s="28"/>
      <c r="R86" s="28">
        <v>10</v>
      </c>
      <c r="S86" s="28"/>
      <c r="T86" s="28"/>
      <c r="U86" s="28"/>
      <c r="V86" s="28"/>
      <c r="W86" s="28"/>
      <c r="X86" s="28">
        <v>10</v>
      </c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10</v>
      </c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 t="shared" si="6"/>
        <v>40</v>
      </c>
      <c r="BR86" s="1">
        <v>11</v>
      </c>
      <c r="BS86" s="17">
        <v>2</v>
      </c>
      <c r="BT86" s="17" t="s">
        <v>271</v>
      </c>
      <c r="BU86">
        <f t="shared" si="7"/>
        <v>20</v>
      </c>
      <c r="BV86" s="23">
        <f t="shared" si="8"/>
        <v>0</v>
      </c>
    </row>
    <row r="87" spans="1:74" s="63" customFormat="1" ht="27" hidden="1">
      <c r="A87" s="1"/>
      <c r="B87" s="3" t="s">
        <v>193</v>
      </c>
      <c r="C87" s="3" t="s">
        <v>192</v>
      </c>
      <c r="D87" s="1" t="s">
        <v>8</v>
      </c>
      <c r="E87" s="6"/>
      <c r="F87" s="6"/>
      <c r="G87" s="6"/>
      <c r="H87" s="6">
        <v>10</v>
      </c>
      <c r="I87" s="6"/>
      <c r="J87" s="6"/>
      <c r="K87" s="6"/>
      <c r="L87" s="6"/>
      <c r="M87" s="6"/>
      <c r="N87" s="6"/>
      <c r="O87" s="6"/>
      <c r="P87" s="28"/>
      <c r="Q87" s="28"/>
      <c r="R87" s="28">
        <v>10</v>
      </c>
      <c r="S87" s="28"/>
      <c r="T87" s="28"/>
      <c r="U87" s="28"/>
      <c r="V87" s="28"/>
      <c r="W87" s="28"/>
      <c r="X87" s="28">
        <v>10</v>
      </c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10</v>
      </c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 t="shared" si="6"/>
        <v>40</v>
      </c>
      <c r="BR87" s="1">
        <v>11</v>
      </c>
      <c r="BS87" s="17">
        <v>2</v>
      </c>
      <c r="BT87" s="17" t="s">
        <v>271</v>
      </c>
      <c r="BU87">
        <f t="shared" si="7"/>
        <v>20</v>
      </c>
      <c r="BV87" s="23">
        <f t="shared" si="8"/>
        <v>0</v>
      </c>
    </row>
    <row r="88" spans="1:74" s="63" customFormat="1" ht="27" hidden="1">
      <c r="A88" s="1"/>
      <c r="B88" s="1" t="s">
        <v>179</v>
      </c>
      <c r="C88" s="1" t="s">
        <v>45</v>
      </c>
      <c r="D88" s="1" t="s">
        <v>176</v>
      </c>
      <c r="E88" s="6"/>
      <c r="F88" s="6"/>
      <c r="G88" s="6"/>
      <c r="H88" s="6">
        <v>10</v>
      </c>
      <c r="I88" s="6"/>
      <c r="J88" s="6"/>
      <c r="K88" s="6"/>
      <c r="L88" s="6"/>
      <c r="M88" s="6"/>
      <c r="N88" s="6"/>
      <c r="O88" s="6"/>
      <c r="P88" s="28"/>
      <c r="Q88" s="28"/>
      <c r="R88" s="28">
        <v>10</v>
      </c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10</v>
      </c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40</v>
      </c>
      <c r="BR88" s="1">
        <v>11</v>
      </c>
      <c r="BS88" s="17">
        <v>2</v>
      </c>
      <c r="BT88" s="17" t="s">
        <v>271</v>
      </c>
      <c r="BU88">
        <f t="shared" si="7"/>
        <v>20</v>
      </c>
      <c r="BV88" s="23">
        <f t="shared" si="8"/>
        <v>0</v>
      </c>
    </row>
    <row r="89" spans="1:74" s="63" customFormat="1" ht="27" hidden="1">
      <c r="A89" s="1"/>
      <c r="B89" s="3" t="s">
        <v>161</v>
      </c>
      <c r="C89" s="3" t="s">
        <v>45</v>
      </c>
      <c r="D89" s="1" t="s">
        <v>163</v>
      </c>
      <c r="E89" s="6"/>
      <c r="F89" s="6"/>
      <c r="G89" s="6"/>
      <c r="H89" s="6"/>
      <c r="I89" s="6"/>
      <c r="J89" s="6"/>
      <c r="K89" s="6"/>
      <c r="L89" s="6"/>
      <c r="M89" s="6">
        <v>10</v>
      </c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>
        <v>10</v>
      </c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>
        <v>10</v>
      </c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40</v>
      </c>
      <c r="BR89" s="1">
        <v>19</v>
      </c>
      <c r="BS89" s="17">
        <v>2</v>
      </c>
      <c r="BT89" s="17" t="s">
        <v>222</v>
      </c>
      <c r="BU89">
        <f t="shared" si="7"/>
        <v>20</v>
      </c>
      <c r="BV89" s="23">
        <f t="shared" si="8"/>
        <v>0</v>
      </c>
    </row>
    <row r="90" spans="1:74" s="63" customFormat="1" ht="27" hidden="1">
      <c r="A90" s="1"/>
      <c r="B90" s="3" t="s">
        <v>164</v>
      </c>
      <c r="C90" s="3" t="s">
        <v>22</v>
      </c>
      <c r="D90" s="1" t="s">
        <v>163</v>
      </c>
      <c r="E90" s="6"/>
      <c r="F90" s="6"/>
      <c r="G90" s="6"/>
      <c r="H90" s="6"/>
      <c r="I90" s="6"/>
      <c r="J90" s="6"/>
      <c r="K90" s="6"/>
      <c r="L90" s="6"/>
      <c r="M90" s="6">
        <v>10</v>
      </c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>
        <v>10</v>
      </c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>
        <v>10</v>
      </c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40</v>
      </c>
      <c r="BR90" s="1">
        <v>19</v>
      </c>
      <c r="BS90" s="17">
        <v>2</v>
      </c>
      <c r="BT90" s="17" t="s">
        <v>222</v>
      </c>
      <c r="BU90">
        <f t="shared" si="7"/>
        <v>20</v>
      </c>
      <c r="BV90" s="23">
        <f t="shared" si="8"/>
        <v>0</v>
      </c>
    </row>
    <row r="91" spans="1:74" s="63" customFormat="1" ht="27" hidden="1">
      <c r="A91" s="1"/>
      <c r="B91" s="3" t="s">
        <v>218</v>
      </c>
      <c r="C91" s="3" t="s">
        <v>166</v>
      </c>
      <c r="D91" s="1" t="s">
        <v>163</v>
      </c>
      <c r="E91" s="6"/>
      <c r="F91" s="6"/>
      <c r="G91" s="6"/>
      <c r="H91" s="6"/>
      <c r="I91" s="6"/>
      <c r="J91" s="6"/>
      <c r="K91" s="6"/>
      <c r="L91" s="6"/>
      <c r="M91" s="6">
        <v>10</v>
      </c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>
        <v>10</v>
      </c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>
        <v>10</v>
      </c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40</v>
      </c>
      <c r="BR91" s="1">
        <v>19</v>
      </c>
      <c r="BS91" s="17">
        <v>2</v>
      </c>
      <c r="BT91" s="17" t="s">
        <v>222</v>
      </c>
      <c r="BU91">
        <f t="shared" si="7"/>
        <v>20</v>
      </c>
      <c r="BV91" s="23">
        <f t="shared" si="8"/>
        <v>0</v>
      </c>
    </row>
    <row r="92" spans="1:74" s="63" customFormat="1" ht="27" hidden="1">
      <c r="A92" s="1"/>
      <c r="B92" s="1" t="s">
        <v>195</v>
      </c>
      <c r="C92" s="1" t="s">
        <v>90</v>
      </c>
      <c r="D92" s="1" t="s">
        <v>197</v>
      </c>
      <c r="E92" s="6"/>
      <c r="F92" s="6"/>
      <c r="G92" s="6"/>
      <c r="H92" s="6"/>
      <c r="I92" s="6"/>
      <c r="J92" s="6"/>
      <c r="K92" s="6"/>
      <c r="L92" s="6"/>
      <c r="M92" s="6">
        <v>10</v>
      </c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>
        <v>10</v>
      </c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>
        <v>10</v>
      </c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6"/>
        <v>40</v>
      </c>
      <c r="BR92" s="1">
        <v>19</v>
      </c>
      <c r="BS92" s="17">
        <v>2</v>
      </c>
      <c r="BT92" s="17" t="s">
        <v>222</v>
      </c>
      <c r="BU92">
        <f t="shared" si="7"/>
        <v>20</v>
      </c>
      <c r="BV92" s="23">
        <f t="shared" si="8"/>
        <v>0</v>
      </c>
    </row>
    <row r="93" spans="1:74" s="63" customFormat="1" ht="27" hidden="1">
      <c r="A93" s="1"/>
      <c r="B93" s="1" t="s">
        <v>178</v>
      </c>
      <c r="C93" s="1" t="s">
        <v>45</v>
      </c>
      <c r="D93" s="1" t="s">
        <v>176</v>
      </c>
      <c r="E93" s="6"/>
      <c r="F93" s="6"/>
      <c r="G93" s="6"/>
      <c r="H93" s="6"/>
      <c r="I93" s="6"/>
      <c r="J93" s="6"/>
      <c r="K93" s="6"/>
      <c r="L93" s="6">
        <v>10</v>
      </c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>
        <v>10</v>
      </c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ref="BQ93:BQ114" si="9">SUM(E93:BP93)</f>
        <v>40</v>
      </c>
      <c r="BR93" s="1">
        <v>20</v>
      </c>
      <c r="BS93" s="17">
        <v>2</v>
      </c>
      <c r="BT93" s="17" t="s">
        <v>272</v>
      </c>
      <c r="BU93">
        <f t="shared" ref="BU93:BU114" si="10">SUM(P93:AD93)</f>
        <v>20</v>
      </c>
      <c r="BV93" s="23">
        <f t="shared" ref="BV93:BV114" si="11">AF93+AH93+AI93+AJ93+AO93+AP93</f>
        <v>0</v>
      </c>
    </row>
    <row r="94" spans="1:74" s="63" customFormat="1" ht="27" hidden="1">
      <c r="A94" s="1"/>
      <c r="B94" s="1" t="s">
        <v>80</v>
      </c>
      <c r="C94" s="1" t="s">
        <v>77</v>
      </c>
      <c r="D94" s="1" t="s">
        <v>76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>
        <v>10</v>
      </c>
      <c r="AP94" s="1">
        <v>10</v>
      </c>
      <c r="AQ94" s="4"/>
      <c r="AR94" s="4"/>
      <c r="AS94" s="4">
        <v>5</v>
      </c>
      <c r="AT94" s="4"/>
      <c r="AU94" s="4"/>
      <c r="AV94" s="4"/>
      <c r="AW94" s="2"/>
      <c r="AX94" s="2">
        <v>5</v>
      </c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9"/>
        <v>30</v>
      </c>
      <c r="BR94" s="1">
        <v>20</v>
      </c>
      <c r="BS94" s="17">
        <v>2</v>
      </c>
      <c r="BT94" s="17" t="s">
        <v>273</v>
      </c>
      <c r="BU94">
        <f t="shared" si="10"/>
        <v>0</v>
      </c>
      <c r="BV94" s="23">
        <f t="shared" si="11"/>
        <v>20</v>
      </c>
    </row>
    <row r="95" spans="1:74" s="63" customFormat="1" ht="27">
      <c r="A95" s="18">
        <v>65</v>
      </c>
      <c r="B95" s="24" t="s">
        <v>200</v>
      </c>
      <c r="C95" s="18" t="s">
        <v>39</v>
      </c>
      <c r="D95" s="18" t="s">
        <v>8</v>
      </c>
      <c r="E95" s="19"/>
      <c r="F95" s="19"/>
      <c r="G95" s="19">
        <v>10</v>
      </c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>
        <v>25</v>
      </c>
      <c r="AO95" s="18"/>
      <c r="AP95" s="18"/>
      <c r="AQ95" s="20"/>
      <c r="AR95" s="20"/>
      <c r="AS95" s="20"/>
      <c r="AT95" s="20"/>
      <c r="AU95" s="20"/>
      <c r="AV95" s="20">
        <v>10</v>
      </c>
      <c r="AW95" s="21"/>
      <c r="AX95" s="21"/>
      <c r="AY95" s="21"/>
      <c r="AZ95" s="21">
        <v>10</v>
      </c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>
        <f t="shared" si="9"/>
        <v>55</v>
      </c>
      <c r="BR95" s="18">
        <v>30</v>
      </c>
      <c r="BS95" s="22">
        <v>2</v>
      </c>
      <c r="BT95" s="22" t="s">
        <v>274</v>
      </c>
      <c r="BU95">
        <f t="shared" si="10"/>
        <v>0</v>
      </c>
      <c r="BV95" s="23">
        <f t="shared" si="11"/>
        <v>0</v>
      </c>
    </row>
    <row r="96" spans="1:74" s="63" customFormat="1" ht="27">
      <c r="A96" s="1"/>
      <c r="B96" s="1" t="s">
        <v>234</v>
      </c>
      <c r="C96" s="1" t="s">
        <v>22</v>
      </c>
      <c r="D96" s="1" t="s">
        <v>202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>
        <v>40</v>
      </c>
      <c r="AR96" s="4"/>
      <c r="AS96" s="4"/>
      <c r="AT96" s="4"/>
      <c r="AU96" s="4"/>
      <c r="AV96" s="4"/>
      <c r="AW96" s="2">
        <v>40</v>
      </c>
      <c r="AX96" s="2"/>
      <c r="AY96" s="2"/>
      <c r="AZ96" s="2"/>
      <c r="BA96" s="2">
        <v>40</v>
      </c>
      <c r="BB96" s="2"/>
      <c r="BC96" s="14">
        <v>10</v>
      </c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9"/>
        <v>130</v>
      </c>
      <c r="BR96" s="1">
        <v>37</v>
      </c>
      <c r="BS96" s="17">
        <v>2</v>
      </c>
      <c r="BT96" s="17" t="s">
        <v>290</v>
      </c>
      <c r="BU96">
        <f t="shared" si="10"/>
        <v>0</v>
      </c>
      <c r="BV96" s="23">
        <f t="shared" si="11"/>
        <v>0</v>
      </c>
    </row>
    <row r="97" spans="1:74" s="63" customFormat="1" ht="54">
      <c r="A97" s="1"/>
      <c r="B97" s="1" t="s">
        <v>122</v>
      </c>
      <c r="C97" s="1" t="s">
        <v>88</v>
      </c>
      <c r="D97" s="1" t="s">
        <v>75</v>
      </c>
      <c r="E97" s="6"/>
      <c r="F97" s="6"/>
      <c r="G97" s="6">
        <v>20</v>
      </c>
      <c r="H97" s="6">
        <v>20</v>
      </c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>
        <v>20</v>
      </c>
      <c r="BB97" s="2">
        <v>20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si="9"/>
        <v>80</v>
      </c>
      <c r="BR97" s="1">
        <v>53</v>
      </c>
      <c r="BS97" s="17">
        <v>4</v>
      </c>
      <c r="BT97" s="17" t="s">
        <v>291</v>
      </c>
      <c r="BU97">
        <f t="shared" si="10"/>
        <v>0</v>
      </c>
      <c r="BV97" s="23">
        <f t="shared" si="11"/>
        <v>0</v>
      </c>
    </row>
    <row r="98" spans="1:74" s="63" customFormat="1" ht="27" hidden="1">
      <c r="A98" s="1"/>
      <c r="B98" s="3" t="s">
        <v>210</v>
      </c>
      <c r="C98" s="3" t="s">
        <v>39</v>
      </c>
      <c r="D98" s="1" t="s">
        <v>0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>
        <v>20</v>
      </c>
      <c r="X98" s="28"/>
      <c r="Y98" s="28"/>
      <c r="Z98" s="28">
        <v>20</v>
      </c>
      <c r="AA98" s="28"/>
      <c r="AB98" s="28"/>
      <c r="AC98" s="28">
        <v>20</v>
      </c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60</v>
      </c>
      <c r="BR98" s="1">
        <v>36</v>
      </c>
      <c r="BS98" s="17">
        <v>2</v>
      </c>
      <c r="BT98" s="17" t="s">
        <v>275</v>
      </c>
      <c r="BU98">
        <f t="shared" si="10"/>
        <v>60</v>
      </c>
      <c r="BV98" s="23">
        <f t="shared" si="11"/>
        <v>0</v>
      </c>
    </row>
    <row r="99" spans="1:74" s="63" customFormat="1" ht="40.5" hidden="1">
      <c r="A99" s="1"/>
      <c r="B99" s="1" t="s">
        <v>177</v>
      </c>
      <c r="C99" s="1" t="s">
        <v>45</v>
      </c>
      <c r="D99" s="1" t="s">
        <v>175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>
        <v>2</v>
      </c>
      <c r="V99" s="28"/>
      <c r="W99" s="28">
        <v>5</v>
      </c>
      <c r="X99" s="28"/>
      <c r="Y99" s="28"/>
      <c r="Z99" s="28"/>
      <c r="AA99" s="28">
        <v>2</v>
      </c>
      <c r="AB99" s="28"/>
      <c r="AC99" s="28"/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11</v>
      </c>
      <c r="BR99" s="1">
        <v>5</v>
      </c>
      <c r="BS99" s="17">
        <v>3</v>
      </c>
      <c r="BT99" s="17" t="s">
        <v>276</v>
      </c>
      <c r="BU99">
        <f t="shared" si="10"/>
        <v>11</v>
      </c>
      <c r="BV99" s="23">
        <f t="shared" si="11"/>
        <v>0</v>
      </c>
    </row>
    <row r="100" spans="1:74" s="63" customFormat="1" ht="40.5" hidden="1">
      <c r="A100" s="1"/>
      <c r="B100" s="1" t="s">
        <v>212</v>
      </c>
      <c r="C100" s="1" t="s">
        <v>198</v>
      </c>
      <c r="D100" s="1" t="s">
        <v>75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>
        <v>2</v>
      </c>
      <c r="V100" s="28"/>
      <c r="W100" s="28"/>
      <c r="X100" s="28"/>
      <c r="Y100" s="28"/>
      <c r="Z100" s="28"/>
      <c r="AA100" s="28">
        <v>2</v>
      </c>
      <c r="AB100" s="28"/>
      <c r="AC100" s="28">
        <v>5</v>
      </c>
      <c r="AD100" s="28">
        <v>2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11</v>
      </c>
      <c r="BR100" s="1">
        <v>7</v>
      </c>
      <c r="BS100" s="17">
        <v>3</v>
      </c>
      <c r="BT100" s="17" t="s">
        <v>277</v>
      </c>
      <c r="BU100">
        <f t="shared" si="10"/>
        <v>11</v>
      </c>
      <c r="BV100" s="23">
        <f t="shared" si="11"/>
        <v>0</v>
      </c>
    </row>
    <row r="101" spans="1:74" s="63" customFormat="1" ht="40.5" hidden="1">
      <c r="A101" s="1"/>
      <c r="B101" s="3" t="s">
        <v>161</v>
      </c>
      <c r="C101" s="3" t="s">
        <v>45</v>
      </c>
      <c r="D101" s="1" t="s">
        <v>162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>
        <v>5</v>
      </c>
      <c r="R101" s="28"/>
      <c r="S101" s="28"/>
      <c r="T101" s="28">
        <v>5</v>
      </c>
      <c r="U101" s="28"/>
      <c r="V101" s="28"/>
      <c r="W101" s="28">
        <v>5</v>
      </c>
      <c r="X101" s="28"/>
      <c r="Y101" s="28"/>
      <c r="Z101" s="28"/>
      <c r="AA101" s="28"/>
      <c r="AB101" s="28"/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20</v>
      </c>
      <c r="BR101" s="1">
        <v>11</v>
      </c>
      <c r="BS101" s="17">
        <v>3</v>
      </c>
      <c r="BT101" s="17" t="s">
        <v>278</v>
      </c>
      <c r="BU101">
        <f t="shared" si="10"/>
        <v>20</v>
      </c>
      <c r="BV101" s="23">
        <f t="shared" si="11"/>
        <v>0</v>
      </c>
    </row>
    <row r="102" spans="1:74" s="63" customFormat="1" ht="40.5" hidden="1">
      <c r="A102" s="1"/>
      <c r="B102" s="1" t="s">
        <v>183</v>
      </c>
      <c r="C102" s="1" t="s">
        <v>33</v>
      </c>
      <c r="D102" s="1" t="s">
        <v>180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>
        <v>5</v>
      </c>
      <c r="R102" s="28"/>
      <c r="S102" s="28"/>
      <c r="T102" s="28"/>
      <c r="U102" s="28"/>
      <c r="V102" s="28"/>
      <c r="W102" s="28">
        <v>5</v>
      </c>
      <c r="X102" s="28"/>
      <c r="Y102" s="28"/>
      <c r="Z102" s="28">
        <v>5</v>
      </c>
      <c r="AA102" s="28"/>
      <c r="AB102" s="28"/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20</v>
      </c>
      <c r="BR102" s="1">
        <v>11</v>
      </c>
      <c r="BS102" s="17">
        <v>3</v>
      </c>
      <c r="BT102" s="17" t="s">
        <v>278</v>
      </c>
      <c r="BU102">
        <f t="shared" si="10"/>
        <v>20</v>
      </c>
      <c r="BV102" s="23">
        <f t="shared" si="11"/>
        <v>0</v>
      </c>
    </row>
    <row r="103" spans="1:74" s="63" customFormat="1" ht="40.5" hidden="1">
      <c r="A103" s="1"/>
      <c r="B103" s="1" t="s">
        <v>195</v>
      </c>
      <c r="C103" s="1" t="s">
        <v>90</v>
      </c>
      <c r="D103" s="1" t="s">
        <v>196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>
        <v>5</v>
      </c>
      <c r="R103" s="28"/>
      <c r="S103" s="28"/>
      <c r="T103" s="28">
        <v>5</v>
      </c>
      <c r="U103" s="28"/>
      <c r="V103" s="28"/>
      <c r="W103" s="28">
        <v>5</v>
      </c>
      <c r="X103" s="28"/>
      <c r="Y103" s="28"/>
      <c r="Z103" s="28"/>
      <c r="AA103" s="28"/>
      <c r="AB103" s="28"/>
      <c r="AC103" s="28">
        <v>5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 t="shared" si="9"/>
        <v>20</v>
      </c>
      <c r="BR103" s="1">
        <v>11</v>
      </c>
      <c r="BS103" s="17">
        <v>3</v>
      </c>
      <c r="BT103" s="17" t="s">
        <v>278</v>
      </c>
      <c r="BU103">
        <f t="shared" si="10"/>
        <v>20</v>
      </c>
      <c r="BV103" s="23">
        <f t="shared" si="11"/>
        <v>0</v>
      </c>
    </row>
    <row r="104" spans="1:74" s="63" customFormat="1" ht="40.5" hidden="1">
      <c r="A104" s="1">
        <v>89</v>
      </c>
      <c r="B104" s="3" t="s">
        <v>57</v>
      </c>
      <c r="C104" s="3" t="s">
        <v>58</v>
      </c>
      <c r="D104" s="1" t="s">
        <v>0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>
        <v>5</v>
      </c>
      <c r="AG104" s="1"/>
      <c r="AH104" s="1">
        <v>5</v>
      </c>
      <c r="AI104" s="1">
        <v>5</v>
      </c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 t="shared" si="9"/>
        <v>15</v>
      </c>
      <c r="BR104" s="1">
        <v>14</v>
      </c>
      <c r="BS104" s="17">
        <v>3</v>
      </c>
      <c r="BT104" s="17" t="s">
        <v>279</v>
      </c>
      <c r="BU104">
        <f t="shared" si="10"/>
        <v>0</v>
      </c>
      <c r="BV104" s="23">
        <f t="shared" si="11"/>
        <v>15</v>
      </c>
    </row>
    <row r="105" spans="1:74" s="63" customFormat="1" ht="40.5" hidden="1">
      <c r="A105" s="1">
        <v>28</v>
      </c>
      <c r="B105" s="1" t="s">
        <v>52</v>
      </c>
      <c r="C105" s="1" t="s">
        <v>22</v>
      </c>
      <c r="D105" s="1" t="s">
        <v>0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>
        <v>5</v>
      </c>
      <c r="AI105" s="1">
        <v>5</v>
      </c>
      <c r="AJ105" s="1">
        <v>5</v>
      </c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 t="shared" si="9"/>
        <v>15</v>
      </c>
      <c r="BR105" s="1">
        <v>15</v>
      </c>
      <c r="BS105" s="17">
        <v>3</v>
      </c>
      <c r="BT105" s="17" t="s">
        <v>280</v>
      </c>
      <c r="BU105">
        <f t="shared" si="10"/>
        <v>0</v>
      </c>
      <c r="BV105" s="23">
        <f t="shared" si="11"/>
        <v>15</v>
      </c>
    </row>
    <row r="106" spans="1:74" s="63" customFormat="1" ht="40.5" hidden="1">
      <c r="A106" s="1"/>
      <c r="B106" s="1" t="s">
        <v>212</v>
      </c>
      <c r="C106" s="1" t="s">
        <v>198</v>
      </c>
      <c r="D106" s="1" t="s">
        <v>197</v>
      </c>
      <c r="E106" s="6"/>
      <c r="F106" s="6"/>
      <c r="G106" s="6"/>
      <c r="H106" s="6"/>
      <c r="I106" s="6"/>
      <c r="J106" s="6"/>
      <c r="K106" s="6"/>
      <c r="L106" s="6"/>
      <c r="M106" s="6">
        <v>10</v>
      </c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>
        <v>10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 t="shared" si="9"/>
        <v>40</v>
      </c>
      <c r="BR106" s="1">
        <v>23</v>
      </c>
      <c r="BS106" s="17">
        <v>3</v>
      </c>
      <c r="BT106" s="17" t="s">
        <v>281</v>
      </c>
      <c r="BU106">
        <f t="shared" si="10"/>
        <v>30</v>
      </c>
      <c r="BV106" s="23">
        <f t="shared" si="11"/>
        <v>0</v>
      </c>
    </row>
    <row r="107" spans="1:74" s="63" customFormat="1" ht="40.5" hidden="1">
      <c r="A107" s="1"/>
      <c r="B107" s="1" t="s">
        <v>224</v>
      </c>
      <c r="C107" s="1" t="s">
        <v>117</v>
      </c>
      <c r="D107" s="1" t="s">
        <v>93</v>
      </c>
      <c r="E107" s="6"/>
      <c r="F107" s="6"/>
      <c r="G107" s="6">
        <v>10</v>
      </c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>
        <v>10</v>
      </c>
      <c r="Y107" s="28"/>
      <c r="Z107" s="28"/>
      <c r="AA107" s="28"/>
      <c r="AB107" s="28"/>
      <c r="AC107" s="28"/>
      <c r="AD107" s="28">
        <v>10</v>
      </c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>
        <v>10</v>
      </c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 t="shared" si="9"/>
        <v>40</v>
      </c>
      <c r="BR107" s="1">
        <v>30</v>
      </c>
      <c r="BS107" s="17">
        <v>3</v>
      </c>
      <c r="BT107" s="17" t="s">
        <v>254</v>
      </c>
      <c r="BU107">
        <f t="shared" si="10"/>
        <v>20</v>
      </c>
      <c r="BV107" s="23">
        <f t="shared" si="11"/>
        <v>0</v>
      </c>
    </row>
    <row r="108" spans="1:74" s="63" customFormat="1" ht="40.5" hidden="1">
      <c r="A108" s="1"/>
      <c r="B108" s="1" t="s">
        <v>184</v>
      </c>
      <c r="C108" s="1" t="s">
        <v>88</v>
      </c>
      <c r="D108" s="1" t="s">
        <v>119</v>
      </c>
      <c r="E108" s="6"/>
      <c r="F108" s="6"/>
      <c r="G108" s="6">
        <v>10</v>
      </c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10</v>
      </c>
      <c r="Y108" s="28"/>
      <c r="Z108" s="28"/>
      <c r="AA108" s="28"/>
      <c r="AB108" s="28"/>
      <c r="AC108" s="28"/>
      <c r="AD108" s="28">
        <v>10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>
        <v>10</v>
      </c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 t="shared" si="9"/>
        <v>40</v>
      </c>
      <c r="BR108" s="1">
        <v>30</v>
      </c>
      <c r="BS108" s="17">
        <v>3</v>
      </c>
      <c r="BT108" s="17" t="s">
        <v>254</v>
      </c>
      <c r="BU108">
        <f t="shared" si="10"/>
        <v>20</v>
      </c>
      <c r="BV108" s="23">
        <f t="shared" si="11"/>
        <v>0</v>
      </c>
    </row>
    <row r="109" spans="1:74" s="63" customFormat="1" ht="40.5" hidden="1">
      <c r="A109" s="1"/>
      <c r="B109" s="3" t="s">
        <v>217</v>
      </c>
      <c r="C109" s="3" t="s">
        <v>166</v>
      </c>
      <c r="D109" s="1" t="s">
        <v>163</v>
      </c>
      <c r="E109" s="6"/>
      <c r="F109" s="6"/>
      <c r="G109" s="6">
        <v>10</v>
      </c>
      <c r="H109" s="6"/>
      <c r="I109" s="6"/>
      <c r="J109" s="6"/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/>
      <c r="V109" s="28"/>
      <c r="W109" s="28"/>
      <c r="X109" s="28">
        <v>10</v>
      </c>
      <c r="Y109" s="28"/>
      <c r="Z109" s="28"/>
      <c r="AA109" s="28"/>
      <c r="AB109" s="28"/>
      <c r="AC109" s="28"/>
      <c r="AD109" s="28">
        <v>10</v>
      </c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 t="shared" si="9"/>
        <v>40</v>
      </c>
      <c r="BR109" s="1">
        <v>30</v>
      </c>
      <c r="BS109" s="17">
        <v>3</v>
      </c>
      <c r="BT109" s="17" t="s">
        <v>254</v>
      </c>
      <c r="BU109">
        <f t="shared" si="10"/>
        <v>20</v>
      </c>
      <c r="BV109" s="23">
        <f t="shared" si="11"/>
        <v>0</v>
      </c>
    </row>
    <row r="110" spans="1:74" s="63" customFormat="1" ht="40.5" hidden="1">
      <c r="A110" s="1"/>
      <c r="B110" s="1" t="s">
        <v>215</v>
      </c>
      <c r="C110" s="1" t="s">
        <v>108</v>
      </c>
      <c r="D110" s="1" t="s">
        <v>176</v>
      </c>
      <c r="E110" s="6"/>
      <c r="F110" s="6"/>
      <c r="G110" s="6">
        <v>10</v>
      </c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>
        <v>10</v>
      </c>
      <c r="Y110" s="28"/>
      <c r="Z110" s="28"/>
      <c r="AA110" s="28"/>
      <c r="AB110" s="28"/>
      <c r="AC110" s="28"/>
      <c r="AD110" s="28">
        <v>10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>
        <v>10</v>
      </c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 t="shared" si="9"/>
        <v>40</v>
      </c>
      <c r="BR110" s="1">
        <v>30</v>
      </c>
      <c r="BS110" s="17">
        <v>3</v>
      </c>
      <c r="BT110" s="17" t="s">
        <v>254</v>
      </c>
      <c r="BU110">
        <f t="shared" si="10"/>
        <v>20</v>
      </c>
      <c r="BV110" s="23">
        <f t="shared" si="11"/>
        <v>0</v>
      </c>
    </row>
    <row r="111" spans="1:74" s="63" customFormat="1" ht="40.5" hidden="1">
      <c r="A111" s="1"/>
      <c r="B111" s="1" t="s">
        <v>203</v>
      </c>
      <c r="C111" s="1" t="s">
        <v>204</v>
      </c>
      <c r="D111" s="1" t="s">
        <v>205</v>
      </c>
      <c r="E111" s="6"/>
      <c r="F111" s="6"/>
      <c r="G111" s="6">
        <v>10</v>
      </c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>
        <v>10</v>
      </c>
      <c r="Y111" s="28"/>
      <c r="Z111" s="28"/>
      <c r="AA111" s="28"/>
      <c r="AB111" s="28"/>
      <c r="AC111" s="28"/>
      <c r="AD111" s="28">
        <v>10</v>
      </c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>
        <v>10</v>
      </c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 t="shared" si="9"/>
        <v>40</v>
      </c>
      <c r="BR111" s="1">
        <v>30</v>
      </c>
      <c r="BS111" s="17">
        <v>3</v>
      </c>
      <c r="BT111" s="17" t="s">
        <v>254</v>
      </c>
      <c r="BU111">
        <f t="shared" si="10"/>
        <v>20</v>
      </c>
      <c r="BV111" s="23">
        <f t="shared" si="11"/>
        <v>0</v>
      </c>
    </row>
    <row r="112" spans="1:74" s="63" customFormat="1" ht="40.5" hidden="1">
      <c r="A112" s="1"/>
      <c r="B112" s="3" t="s">
        <v>186</v>
      </c>
      <c r="C112" s="3" t="s">
        <v>165</v>
      </c>
      <c r="D112" s="1" t="s">
        <v>163</v>
      </c>
      <c r="E112" s="6"/>
      <c r="F112" s="6"/>
      <c r="G112" s="6"/>
      <c r="H112" s="6"/>
      <c r="I112" s="6"/>
      <c r="J112" s="6"/>
      <c r="K112" s="6"/>
      <c r="L112" s="6"/>
      <c r="M112" s="6"/>
      <c r="N112" s="6">
        <v>10</v>
      </c>
      <c r="O112" s="6"/>
      <c r="P112" s="28"/>
      <c r="Q112" s="28"/>
      <c r="R112" s="28"/>
      <c r="S112" s="28"/>
      <c r="T112" s="28"/>
      <c r="U112" s="28"/>
      <c r="V112" s="28"/>
      <c r="W112" s="28"/>
      <c r="X112" s="28">
        <v>10</v>
      </c>
      <c r="Y112" s="28"/>
      <c r="Z112" s="28"/>
      <c r="AA112" s="28">
        <v>10</v>
      </c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 t="shared" si="9"/>
        <v>40</v>
      </c>
      <c r="BR112" s="1">
        <v>29</v>
      </c>
      <c r="BS112" s="17">
        <v>3</v>
      </c>
      <c r="BT112" s="17" t="s">
        <v>247</v>
      </c>
      <c r="BU112">
        <f t="shared" si="10"/>
        <v>30</v>
      </c>
      <c r="BV112" s="23">
        <f t="shared" si="11"/>
        <v>0</v>
      </c>
    </row>
    <row r="113" spans="1:74" s="63" customFormat="1" ht="54" hidden="1">
      <c r="A113" s="1"/>
      <c r="B113" s="3" t="s">
        <v>186</v>
      </c>
      <c r="C113" s="3" t="s">
        <v>165</v>
      </c>
      <c r="D113" s="1" t="s">
        <v>0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2</v>
      </c>
      <c r="Y113" s="28"/>
      <c r="Z113" s="28"/>
      <c r="AA113" s="28">
        <v>2</v>
      </c>
      <c r="AB113" s="28"/>
      <c r="AC113" s="28">
        <v>5</v>
      </c>
      <c r="AD113" s="28">
        <v>2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 t="shared" si="9"/>
        <v>11</v>
      </c>
      <c r="BR113" s="1">
        <v>9</v>
      </c>
      <c r="BS113" s="17">
        <v>4</v>
      </c>
      <c r="BT113" s="17" t="s">
        <v>248</v>
      </c>
      <c r="BU113">
        <f t="shared" si="10"/>
        <v>11</v>
      </c>
      <c r="BV113" s="23">
        <f t="shared" si="11"/>
        <v>0</v>
      </c>
    </row>
    <row r="114" spans="1:74" ht="54" hidden="1">
      <c r="A114" s="1"/>
      <c r="B114" s="1" t="s">
        <v>208</v>
      </c>
      <c r="C114" s="1" t="s">
        <v>47</v>
      </c>
      <c r="D114" s="1" t="s">
        <v>175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2</v>
      </c>
      <c r="Y114" s="28"/>
      <c r="Z114" s="28"/>
      <c r="AA114" s="28">
        <v>2</v>
      </c>
      <c r="AB114" s="28"/>
      <c r="AC114" s="28">
        <v>5</v>
      </c>
      <c r="AD114" s="28">
        <v>2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 t="shared" si="9"/>
        <v>11</v>
      </c>
      <c r="BR114" s="1">
        <v>9</v>
      </c>
      <c r="BS114" s="17">
        <v>4</v>
      </c>
      <c r="BT114" s="17" t="s">
        <v>248</v>
      </c>
      <c r="BU114">
        <f t="shared" si="10"/>
        <v>11</v>
      </c>
      <c r="BV114" s="23">
        <f t="shared" si="11"/>
        <v>0</v>
      </c>
    </row>
    <row r="115" spans="1:74">
      <c r="A115" s="1"/>
      <c r="B115" s="1" t="s">
        <v>49</v>
      </c>
      <c r="C115" s="1"/>
      <c r="D115" s="1"/>
      <c r="E115" s="6">
        <f t="shared" ref="E115:AJ115" si="12">SUM(E2:E114)</f>
        <v>55</v>
      </c>
      <c r="F115" s="6">
        <f t="shared" si="12"/>
        <v>0</v>
      </c>
      <c r="G115" s="6">
        <f t="shared" si="12"/>
        <v>80</v>
      </c>
      <c r="H115" s="6">
        <f t="shared" si="12"/>
        <v>80</v>
      </c>
      <c r="I115" s="6">
        <f t="shared" si="12"/>
        <v>37</v>
      </c>
      <c r="J115" s="6">
        <f t="shared" si="12"/>
        <v>60</v>
      </c>
      <c r="K115" s="6">
        <f t="shared" si="12"/>
        <v>35</v>
      </c>
      <c r="L115" s="6">
        <f t="shared" si="12"/>
        <v>37</v>
      </c>
      <c r="M115" s="6">
        <f t="shared" si="12"/>
        <v>50</v>
      </c>
      <c r="N115" s="6">
        <f t="shared" si="12"/>
        <v>20</v>
      </c>
      <c r="O115" s="6">
        <f t="shared" si="12"/>
        <v>25</v>
      </c>
      <c r="P115" s="28">
        <f t="shared" si="12"/>
        <v>100</v>
      </c>
      <c r="Q115" s="28">
        <f t="shared" si="12"/>
        <v>104</v>
      </c>
      <c r="R115" s="28">
        <f t="shared" si="12"/>
        <v>205</v>
      </c>
      <c r="S115" s="28">
        <f t="shared" si="12"/>
        <v>100</v>
      </c>
      <c r="T115" s="28">
        <f t="shared" si="12"/>
        <v>89</v>
      </c>
      <c r="U115" s="28">
        <f t="shared" si="12"/>
        <v>170</v>
      </c>
      <c r="V115" s="28">
        <f t="shared" si="12"/>
        <v>105</v>
      </c>
      <c r="W115" s="28">
        <f t="shared" si="12"/>
        <v>75</v>
      </c>
      <c r="X115" s="28">
        <f t="shared" si="12"/>
        <v>181</v>
      </c>
      <c r="Y115" s="28">
        <f t="shared" si="12"/>
        <v>95</v>
      </c>
      <c r="Z115" s="28">
        <f t="shared" si="12"/>
        <v>100</v>
      </c>
      <c r="AA115" s="28">
        <f t="shared" si="12"/>
        <v>136</v>
      </c>
      <c r="AB115" s="28">
        <f t="shared" si="12"/>
        <v>140</v>
      </c>
      <c r="AC115" s="28">
        <f t="shared" si="12"/>
        <v>85</v>
      </c>
      <c r="AD115" s="28">
        <f t="shared" si="12"/>
        <v>142</v>
      </c>
      <c r="AE115" s="1">
        <f t="shared" si="12"/>
        <v>250</v>
      </c>
      <c r="AF115" s="1">
        <f t="shared" si="12"/>
        <v>5</v>
      </c>
      <c r="AG115" s="1">
        <f t="shared" si="12"/>
        <v>0</v>
      </c>
      <c r="AH115" s="1">
        <f t="shared" si="12"/>
        <v>30</v>
      </c>
      <c r="AI115" s="1">
        <f t="shared" si="12"/>
        <v>30</v>
      </c>
      <c r="AJ115" s="1">
        <f t="shared" si="12"/>
        <v>5</v>
      </c>
      <c r="AK115" s="1">
        <f t="shared" ref="AK115:BP115" si="13">SUM(AK2:AK114)</f>
        <v>0</v>
      </c>
      <c r="AL115" s="1">
        <f t="shared" si="13"/>
        <v>0</v>
      </c>
      <c r="AM115" s="1">
        <f t="shared" si="13"/>
        <v>0</v>
      </c>
      <c r="AN115" s="1">
        <f t="shared" si="13"/>
        <v>40</v>
      </c>
      <c r="AO115" s="1">
        <f t="shared" si="13"/>
        <v>33</v>
      </c>
      <c r="AP115" s="1">
        <f t="shared" si="13"/>
        <v>27</v>
      </c>
      <c r="AQ115" s="4">
        <f t="shared" si="13"/>
        <v>100</v>
      </c>
      <c r="AR115" s="4">
        <f t="shared" si="13"/>
        <v>40</v>
      </c>
      <c r="AS115" s="4">
        <f t="shared" si="13"/>
        <v>55</v>
      </c>
      <c r="AT115" s="4">
        <f t="shared" si="13"/>
        <v>50</v>
      </c>
      <c r="AU115" s="4">
        <f t="shared" si="13"/>
        <v>60</v>
      </c>
      <c r="AV115" s="4">
        <f t="shared" si="13"/>
        <v>140</v>
      </c>
      <c r="AW115" s="2">
        <f t="shared" si="13"/>
        <v>145</v>
      </c>
      <c r="AX115" s="2">
        <f t="shared" si="13"/>
        <v>20</v>
      </c>
      <c r="AY115" s="2">
        <f t="shared" si="13"/>
        <v>10</v>
      </c>
      <c r="AZ115" s="2">
        <f t="shared" si="13"/>
        <v>60</v>
      </c>
      <c r="BA115" s="2">
        <f t="shared" si="13"/>
        <v>60</v>
      </c>
      <c r="BB115" s="2">
        <f t="shared" si="13"/>
        <v>60</v>
      </c>
      <c r="BC115" s="1">
        <f t="shared" si="13"/>
        <v>20</v>
      </c>
      <c r="BD115" s="1">
        <f t="shared" si="13"/>
        <v>20</v>
      </c>
      <c r="BE115" s="1">
        <f t="shared" si="13"/>
        <v>50</v>
      </c>
      <c r="BF115" s="1">
        <f t="shared" si="13"/>
        <v>0</v>
      </c>
      <c r="BG115" s="1">
        <f t="shared" si="13"/>
        <v>0</v>
      </c>
      <c r="BH115" s="1">
        <f t="shared" si="13"/>
        <v>0</v>
      </c>
      <c r="BI115" s="1">
        <f t="shared" si="13"/>
        <v>50</v>
      </c>
      <c r="BJ115" s="1">
        <f t="shared" si="13"/>
        <v>50</v>
      </c>
      <c r="BK115" s="1">
        <f t="shared" si="13"/>
        <v>200</v>
      </c>
      <c r="BL115" s="1">
        <f t="shared" si="13"/>
        <v>200</v>
      </c>
      <c r="BM115" s="1">
        <f t="shared" si="13"/>
        <v>150</v>
      </c>
      <c r="BN115" s="1">
        <f t="shared" si="13"/>
        <v>150</v>
      </c>
      <c r="BO115" s="1">
        <f t="shared" si="13"/>
        <v>350</v>
      </c>
      <c r="BP115" s="1">
        <f t="shared" si="13"/>
        <v>350</v>
      </c>
      <c r="BQ115" s="1"/>
      <c r="BR115" s="1"/>
      <c r="BS115" s="17"/>
      <c r="BT115" s="17"/>
    </row>
    <row r="116" spans="1:74">
      <c r="A116" s="1"/>
      <c r="B116" s="3" t="s">
        <v>66</v>
      </c>
      <c r="C116" s="1"/>
      <c r="D116" s="1"/>
      <c r="E116" s="1">
        <v>14</v>
      </c>
      <c r="F116" s="1">
        <v>67</v>
      </c>
      <c r="G116" s="1">
        <v>0</v>
      </c>
      <c r="H116" s="1">
        <v>9</v>
      </c>
      <c r="I116" s="1">
        <v>130</v>
      </c>
      <c r="J116" s="1">
        <v>130</v>
      </c>
      <c r="K116" s="1">
        <v>102</v>
      </c>
      <c r="L116" s="1">
        <v>86</v>
      </c>
      <c r="M116" s="1">
        <v>93</v>
      </c>
      <c r="N116" s="1">
        <v>153</v>
      </c>
      <c r="O116" s="1">
        <v>77</v>
      </c>
      <c r="P116" s="14">
        <v>43</v>
      </c>
      <c r="Q116" s="14">
        <v>0</v>
      </c>
      <c r="R116" s="14">
        <v>12</v>
      </c>
      <c r="S116" s="14">
        <v>103</v>
      </c>
      <c r="T116" s="14">
        <v>26</v>
      </c>
      <c r="U116" s="14">
        <v>6</v>
      </c>
      <c r="V116" s="14">
        <v>25</v>
      </c>
      <c r="W116" s="14">
        <v>3</v>
      </c>
      <c r="X116" s="14">
        <v>0</v>
      </c>
      <c r="Y116" s="14">
        <v>7</v>
      </c>
      <c r="Z116" s="14">
        <v>32</v>
      </c>
      <c r="AA116" s="14">
        <v>1</v>
      </c>
      <c r="AB116" s="14">
        <v>58</v>
      </c>
      <c r="AC116" s="14">
        <v>1</v>
      </c>
      <c r="AD116" s="14">
        <v>0</v>
      </c>
      <c r="AE116" s="1">
        <v>25</v>
      </c>
      <c r="AF116" s="1">
        <v>1</v>
      </c>
      <c r="AG116" s="1">
        <v>3</v>
      </c>
      <c r="AH116" s="1">
        <v>0</v>
      </c>
      <c r="AI116" s="1">
        <v>0</v>
      </c>
      <c r="AJ116" s="1">
        <v>0</v>
      </c>
      <c r="AK116" s="1">
        <v>23</v>
      </c>
      <c r="AL116" s="1">
        <v>33</v>
      </c>
      <c r="AM116" s="1">
        <v>0</v>
      </c>
      <c r="AN116" s="1">
        <v>5</v>
      </c>
      <c r="AO116" s="1">
        <v>0</v>
      </c>
      <c r="AP116" s="1">
        <v>0</v>
      </c>
      <c r="AQ116" s="14">
        <v>59</v>
      </c>
      <c r="AR116" s="14">
        <v>18</v>
      </c>
      <c r="AS116" s="14">
        <v>56</v>
      </c>
      <c r="AT116" s="14">
        <v>48</v>
      </c>
      <c r="AU116" s="14">
        <v>25</v>
      </c>
      <c r="AV116" s="14">
        <v>142</v>
      </c>
      <c r="AW116" s="14">
        <v>78</v>
      </c>
      <c r="AX116" s="14">
        <v>58</v>
      </c>
      <c r="AY116" s="14">
        <v>9</v>
      </c>
      <c r="AZ116" s="14">
        <v>48</v>
      </c>
      <c r="BA116" s="14">
        <v>10</v>
      </c>
      <c r="BB116" s="14">
        <v>8</v>
      </c>
      <c r="BC116" s="14">
        <v>3</v>
      </c>
      <c r="BD116" s="1">
        <v>7</v>
      </c>
      <c r="BE116" s="1">
        <v>255</v>
      </c>
      <c r="BF116" s="1">
        <v>396</v>
      </c>
      <c r="BG116" s="1">
        <v>312</v>
      </c>
      <c r="BH116" s="1">
        <v>330</v>
      </c>
      <c r="BI116" s="1">
        <v>162</v>
      </c>
      <c r="BJ116" s="1">
        <v>195</v>
      </c>
      <c r="BK116" s="1">
        <v>112</v>
      </c>
      <c r="BL116" s="1">
        <v>121</v>
      </c>
      <c r="BM116" s="1">
        <v>193</v>
      </c>
      <c r="BN116" s="1">
        <v>69</v>
      </c>
      <c r="BO116" s="1">
        <v>37</v>
      </c>
      <c r="BP116" s="1">
        <v>51</v>
      </c>
      <c r="BQ116" s="1"/>
      <c r="BR116" s="1"/>
      <c r="BS116" s="17"/>
      <c r="BT116" s="17"/>
    </row>
    <row r="117" spans="1:74">
      <c r="A117" s="1"/>
      <c r="B117" s="3" t="s">
        <v>73</v>
      </c>
      <c r="C117" s="1"/>
      <c r="D117" s="1"/>
      <c r="E117" s="1">
        <f t="shared" ref="E117:AJ117" si="14">E116-E115</f>
        <v>-41</v>
      </c>
      <c r="F117" s="1">
        <f t="shared" si="14"/>
        <v>67</v>
      </c>
      <c r="G117" s="1">
        <f t="shared" si="14"/>
        <v>-80</v>
      </c>
      <c r="H117" s="1">
        <f t="shared" si="14"/>
        <v>-71</v>
      </c>
      <c r="I117" s="1">
        <f t="shared" si="14"/>
        <v>93</v>
      </c>
      <c r="J117" s="1">
        <f t="shared" si="14"/>
        <v>70</v>
      </c>
      <c r="K117" s="1">
        <f t="shared" si="14"/>
        <v>67</v>
      </c>
      <c r="L117" s="1">
        <f t="shared" si="14"/>
        <v>49</v>
      </c>
      <c r="M117" s="1">
        <f t="shared" si="14"/>
        <v>43</v>
      </c>
      <c r="N117" s="1">
        <f t="shared" si="14"/>
        <v>133</v>
      </c>
      <c r="O117" s="1">
        <f t="shared" si="14"/>
        <v>52</v>
      </c>
      <c r="P117" s="1">
        <f t="shared" si="14"/>
        <v>-57</v>
      </c>
      <c r="Q117" s="1">
        <f t="shared" si="14"/>
        <v>-104</v>
      </c>
      <c r="R117" s="1">
        <f t="shared" si="14"/>
        <v>-193</v>
      </c>
      <c r="S117" s="1">
        <f t="shared" si="14"/>
        <v>3</v>
      </c>
      <c r="T117" s="1">
        <f t="shared" si="14"/>
        <v>-63</v>
      </c>
      <c r="U117" s="1">
        <f t="shared" si="14"/>
        <v>-164</v>
      </c>
      <c r="V117" s="1">
        <f t="shared" si="14"/>
        <v>-80</v>
      </c>
      <c r="W117" s="1">
        <f t="shared" si="14"/>
        <v>-72</v>
      </c>
      <c r="X117" s="1">
        <f t="shared" si="14"/>
        <v>-181</v>
      </c>
      <c r="Y117" s="1">
        <f t="shared" si="14"/>
        <v>-88</v>
      </c>
      <c r="Z117" s="1">
        <f t="shared" si="14"/>
        <v>-68</v>
      </c>
      <c r="AA117" s="1">
        <f t="shared" si="14"/>
        <v>-135</v>
      </c>
      <c r="AB117" s="1">
        <f t="shared" si="14"/>
        <v>-82</v>
      </c>
      <c r="AC117" s="1">
        <f t="shared" si="14"/>
        <v>-84</v>
      </c>
      <c r="AD117" s="1">
        <f t="shared" si="14"/>
        <v>-142</v>
      </c>
      <c r="AE117" s="1">
        <f t="shared" si="14"/>
        <v>-225</v>
      </c>
      <c r="AF117" s="1">
        <f t="shared" si="14"/>
        <v>-4</v>
      </c>
      <c r="AG117" s="1">
        <f t="shared" si="14"/>
        <v>3</v>
      </c>
      <c r="AH117" s="1">
        <f t="shared" si="14"/>
        <v>-30</v>
      </c>
      <c r="AI117" s="1">
        <f t="shared" si="14"/>
        <v>-30</v>
      </c>
      <c r="AJ117" s="1">
        <f t="shared" si="14"/>
        <v>-5</v>
      </c>
      <c r="AK117" s="1">
        <f t="shared" ref="AK117:BP117" si="15">AK116-AK115</f>
        <v>23</v>
      </c>
      <c r="AL117" s="1">
        <f t="shared" si="15"/>
        <v>33</v>
      </c>
      <c r="AM117" s="1">
        <f t="shared" si="15"/>
        <v>0</v>
      </c>
      <c r="AN117" s="1">
        <f t="shared" si="15"/>
        <v>-35</v>
      </c>
      <c r="AO117" s="1">
        <f t="shared" si="15"/>
        <v>-33</v>
      </c>
      <c r="AP117" s="1">
        <f t="shared" si="15"/>
        <v>-27</v>
      </c>
      <c r="AQ117" s="1">
        <f t="shared" si="15"/>
        <v>-41</v>
      </c>
      <c r="AR117" s="1">
        <f t="shared" si="15"/>
        <v>-22</v>
      </c>
      <c r="AS117" s="1">
        <f t="shared" si="15"/>
        <v>1</v>
      </c>
      <c r="AT117" s="1">
        <f t="shared" si="15"/>
        <v>-2</v>
      </c>
      <c r="AU117" s="1">
        <f t="shared" si="15"/>
        <v>-35</v>
      </c>
      <c r="AV117" s="1">
        <f t="shared" si="15"/>
        <v>2</v>
      </c>
      <c r="AW117" s="1">
        <f t="shared" si="15"/>
        <v>-67</v>
      </c>
      <c r="AX117" s="1">
        <f t="shared" si="15"/>
        <v>38</v>
      </c>
      <c r="AY117" s="1">
        <f t="shared" si="15"/>
        <v>-1</v>
      </c>
      <c r="AZ117" s="1">
        <f t="shared" si="15"/>
        <v>-12</v>
      </c>
      <c r="BA117" s="1">
        <f t="shared" si="15"/>
        <v>-50</v>
      </c>
      <c r="BB117" s="1">
        <f t="shared" si="15"/>
        <v>-52</v>
      </c>
      <c r="BC117" s="1">
        <f t="shared" si="15"/>
        <v>-17</v>
      </c>
      <c r="BD117" s="1">
        <f t="shared" si="15"/>
        <v>-13</v>
      </c>
      <c r="BE117" s="1">
        <f t="shared" si="15"/>
        <v>205</v>
      </c>
      <c r="BF117" s="1">
        <f t="shared" si="15"/>
        <v>396</v>
      </c>
      <c r="BG117" s="1">
        <f t="shared" si="15"/>
        <v>312</v>
      </c>
      <c r="BH117" s="1">
        <f t="shared" si="15"/>
        <v>330</v>
      </c>
      <c r="BI117" s="1">
        <f t="shared" si="15"/>
        <v>112</v>
      </c>
      <c r="BJ117" s="1">
        <f t="shared" si="15"/>
        <v>145</v>
      </c>
      <c r="BK117" s="1">
        <f t="shared" si="15"/>
        <v>-88</v>
      </c>
      <c r="BL117" s="1">
        <f t="shared" si="15"/>
        <v>-79</v>
      </c>
      <c r="BM117" s="1">
        <f t="shared" si="15"/>
        <v>43</v>
      </c>
      <c r="BN117" s="1">
        <f t="shared" si="15"/>
        <v>-81</v>
      </c>
      <c r="BO117" s="1">
        <f t="shared" si="15"/>
        <v>-313</v>
      </c>
      <c r="BP117" s="1">
        <f t="shared" si="15"/>
        <v>-299</v>
      </c>
      <c r="BQ117" s="1"/>
      <c r="BR117" s="1"/>
      <c r="BS117" s="17"/>
      <c r="BT117" s="17"/>
    </row>
    <row r="118" spans="1:74">
      <c r="A118" s="1"/>
      <c r="B118" s="3" t="s">
        <v>125</v>
      </c>
      <c r="C118" s="1"/>
      <c r="D118" s="1"/>
      <c r="E118" s="1">
        <f t="shared" ref="E118:AJ118" si="16">MAX(E2:E114)</f>
        <v>10</v>
      </c>
      <c r="F118" s="1">
        <f t="shared" si="16"/>
        <v>0</v>
      </c>
      <c r="G118" s="1">
        <f t="shared" si="16"/>
        <v>20</v>
      </c>
      <c r="H118" s="1">
        <f t="shared" si="16"/>
        <v>20</v>
      </c>
      <c r="I118" s="1">
        <f t="shared" si="16"/>
        <v>10</v>
      </c>
      <c r="J118" s="1">
        <f t="shared" si="16"/>
        <v>10</v>
      </c>
      <c r="K118" s="1">
        <f t="shared" si="16"/>
        <v>15</v>
      </c>
      <c r="L118" s="1">
        <f t="shared" si="16"/>
        <v>10</v>
      </c>
      <c r="M118" s="1">
        <f t="shared" si="16"/>
        <v>10</v>
      </c>
      <c r="N118" s="1">
        <f t="shared" si="16"/>
        <v>10</v>
      </c>
      <c r="O118" s="1">
        <f t="shared" si="16"/>
        <v>10</v>
      </c>
      <c r="P118" s="1">
        <f t="shared" si="16"/>
        <v>10</v>
      </c>
      <c r="Q118" s="1">
        <f t="shared" si="16"/>
        <v>7</v>
      </c>
      <c r="R118" s="1">
        <f t="shared" si="16"/>
        <v>10</v>
      </c>
      <c r="S118" s="1">
        <f t="shared" si="16"/>
        <v>10</v>
      </c>
      <c r="T118" s="1">
        <f t="shared" si="16"/>
        <v>7</v>
      </c>
      <c r="U118" s="1">
        <f t="shared" si="16"/>
        <v>10</v>
      </c>
      <c r="V118" s="1">
        <f t="shared" si="16"/>
        <v>10</v>
      </c>
      <c r="W118" s="1">
        <f t="shared" si="16"/>
        <v>20</v>
      </c>
      <c r="X118" s="1">
        <f t="shared" si="16"/>
        <v>10</v>
      </c>
      <c r="Y118" s="1">
        <f t="shared" si="16"/>
        <v>10</v>
      </c>
      <c r="Z118" s="1">
        <f t="shared" si="16"/>
        <v>20</v>
      </c>
      <c r="AA118" s="1">
        <f t="shared" si="16"/>
        <v>10</v>
      </c>
      <c r="AB118" s="1">
        <f t="shared" si="16"/>
        <v>10</v>
      </c>
      <c r="AC118" s="1">
        <f t="shared" si="16"/>
        <v>20</v>
      </c>
      <c r="AD118" s="1">
        <f t="shared" si="16"/>
        <v>10</v>
      </c>
      <c r="AE118" s="1">
        <f t="shared" si="16"/>
        <v>200</v>
      </c>
      <c r="AF118" s="1">
        <f t="shared" si="16"/>
        <v>5</v>
      </c>
      <c r="AG118" s="1">
        <f t="shared" si="16"/>
        <v>0</v>
      </c>
      <c r="AH118" s="1">
        <f t="shared" si="16"/>
        <v>5</v>
      </c>
      <c r="AI118" s="1">
        <f t="shared" si="16"/>
        <v>5</v>
      </c>
      <c r="AJ118" s="1">
        <f t="shared" si="16"/>
        <v>5</v>
      </c>
      <c r="AK118" s="1">
        <f t="shared" ref="AK118:BP118" si="17">MAX(AK2:AK114)</f>
        <v>0</v>
      </c>
      <c r="AL118" s="1">
        <f t="shared" si="17"/>
        <v>0</v>
      </c>
      <c r="AM118" s="1">
        <f t="shared" si="17"/>
        <v>0</v>
      </c>
      <c r="AN118" s="1">
        <f t="shared" si="17"/>
        <v>25</v>
      </c>
      <c r="AO118" s="1">
        <f t="shared" si="17"/>
        <v>10</v>
      </c>
      <c r="AP118" s="1">
        <f t="shared" si="17"/>
        <v>10</v>
      </c>
      <c r="AQ118" s="1">
        <f t="shared" si="17"/>
        <v>40</v>
      </c>
      <c r="AR118" s="1">
        <f t="shared" si="17"/>
        <v>10</v>
      </c>
      <c r="AS118" s="1">
        <f t="shared" si="17"/>
        <v>10</v>
      </c>
      <c r="AT118" s="1">
        <f t="shared" si="17"/>
        <v>10</v>
      </c>
      <c r="AU118" s="1">
        <f t="shared" si="17"/>
        <v>10</v>
      </c>
      <c r="AV118" s="1">
        <f t="shared" si="17"/>
        <v>40</v>
      </c>
      <c r="AW118" s="1">
        <f t="shared" si="17"/>
        <v>50</v>
      </c>
      <c r="AX118" s="1">
        <f t="shared" si="17"/>
        <v>15</v>
      </c>
      <c r="AY118" s="1">
        <f t="shared" si="17"/>
        <v>10</v>
      </c>
      <c r="AZ118" s="1">
        <f t="shared" si="17"/>
        <v>50</v>
      </c>
      <c r="BA118" s="1">
        <f t="shared" si="17"/>
        <v>40</v>
      </c>
      <c r="BB118" s="1">
        <f t="shared" si="17"/>
        <v>40</v>
      </c>
      <c r="BC118" s="1">
        <f t="shared" si="17"/>
        <v>10</v>
      </c>
      <c r="BD118" s="1">
        <f t="shared" si="17"/>
        <v>10</v>
      </c>
      <c r="BE118" s="1">
        <f t="shared" si="17"/>
        <v>50</v>
      </c>
      <c r="BF118" s="1">
        <f t="shared" si="17"/>
        <v>0</v>
      </c>
      <c r="BG118" s="1">
        <f t="shared" si="17"/>
        <v>0</v>
      </c>
      <c r="BH118" s="1">
        <f t="shared" si="17"/>
        <v>0</v>
      </c>
      <c r="BI118" s="1">
        <f t="shared" si="17"/>
        <v>50</v>
      </c>
      <c r="BJ118" s="1">
        <f t="shared" si="17"/>
        <v>50</v>
      </c>
      <c r="BK118" s="1">
        <f t="shared" si="17"/>
        <v>50</v>
      </c>
      <c r="BL118" s="1">
        <f t="shared" si="17"/>
        <v>50</v>
      </c>
      <c r="BM118" s="1">
        <f t="shared" si="17"/>
        <v>50</v>
      </c>
      <c r="BN118" s="1">
        <f t="shared" si="17"/>
        <v>50</v>
      </c>
      <c r="BO118" s="1">
        <f t="shared" si="17"/>
        <v>50</v>
      </c>
      <c r="BP118" s="1">
        <f t="shared" si="17"/>
        <v>50</v>
      </c>
      <c r="BQ118" s="1"/>
      <c r="BR118" s="1"/>
      <c r="BS118" s="17"/>
      <c r="BT118" s="17"/>
    </row>
    <row r="119" spans="1:74">
      <c r="A119" s="1"/>
      <c r="B119" s="3" t="s">
        <v>126</v>
      </c>
      <c r="C119" s="1"/>
      <c r="D119" s="1"/>
      <c r="E119" s="1">
        <f t="shared" ref="E119:AJ119" si="18">MIN(E2:E114)</f>
        <v>5</v>
      </c>
      <c r="F119" s="1">
        <f t="shared" si="18"/>
        <v>0</v>
      </c>
      <c r="G119" s="1">
        <f t="shared" si="18"/>
        <v>10</v>
      </c>
      <c r="H119" s="1">
        <f t="shared" si="18"/>
        <v>10</v>
      </c>
      <c r="I119" s="1">
        <f t="shared" si="18"/>
        <v>7</v>
      </c>
      <c r="J119" s="1">
        <f t="shared" si="18"/>
        <v>10</v>
      </c>
      <c r="K119" s="1">
        <f t="shared" si="18"/>
        <v>10</v>
      </c>
      <c r="L119" s="1">
        <f t="shared" si="18"/>
        <v>7</v>
      </c>
      <c r="M119" s="1">
        <f t="shared" si="18"/>
        <v>10</v>
      </c>
      <c r="N119" s="1">
        <f t="shared" si="18"/>
        <v>10</v>
      </c>
      <c r="O119" s="1">
        <f t="shared" si="18"/>
        <v>5</v>
      </c>
      <c r="P119" s="1">
        <f t="shared" si="18"/>
        <v>10</v>
      </c>
      <c r="Q119" s="1">
        <f t="shared" si="18"/>
        <v>5</v>
      </c>
      <c r="R119" s="1">
        <f t="shared" si="18"/>
        <v>2</v>
      </c>
      <c r="S119" s="1">
        <f t="shared" si="18"/>
        <v>10</v>
      </c>
      <c r="T119" s="1">
        <f t="shared" si="18"/>
        <v>5</v>
      </c>
      <c r="U119" s="1">
        <f t="shared" si="18"/>
        <v>2</v>
      </c>
      <c r="V119" s="1">
        <f t="shared" si="18"/>
        <v>5</v>
      </c>
      <c r="W119" s="1">
        <f t="shared" si="18"/>
        <v>5</v>
      </c>
      <c r="X119" s="1">
        <f t="shared" si="18"/>
        <v>2</v>
      </c>
      <c r="Y119" s="1">
        <f t="shared" si="18"/>
        <v>5</v>
      </c>
      <c r="Z119" s="1">
        <f t="shared" si="18"/>
        <v>5</v>
      </c>
      <c r="AA119" s="1">
        <f t="shared" si="18"/>
        <v>2</v>
      </c>
      <c r="AB119" s="1">
        <f t="shared" si="18"/>
        <v>10</v>
      </c>
      <c r="AC119" s="1">
        <f t="shared" si="18"/>
        <v>5</v>
      </c>
      <c r="AD119" s="1">
        <f t="shared" si="18"/>
        <v>2</v>
      </c>
      <c r="AE119" s="1">
        <f t="shared" si="18"/>
        <v>50</v>
      </c>
      <c r="AF119" s="1">
        <f t="shared" si="18"/>
        <v>5</v>
      </c>
      <c r="AG119" s="1">
        <f t="shared" si="18"/>
        <v>0</v>
      </c>
      <c r="AH119" s="1">
        <f t="shared" si="18"/>
        <v>5</v>
      </c>
      <c r="AI119" s="1">
        <f t="shared" si="18"/>
        <v>5</v>
      </c>
      <c r="AJ119" s="1">
        <f t="shared" si="18"/>
        <v>5</v>
      </c>
      <c r="AK119" s="1">
        <f t="shared" ref="AK119:BP119" si="19">MIN(AK2:AK114)</f>
        <v>0</v>
      </c>
      <c r="AL119" s="1">
        <f t="shared" si="19"/>
        <v>0</v>
      </c>
      <c r="AM119" s="1">
        <f t="shared" si="19"/>
        <v>0</v>
      </c>
      <c r="AN119" s="1">
        <f t="shared" si="19"/>
        <v>15</v>
      </c>
      <c r="AO119" s="1">
        <f t="shared" si="19"/>
        <v>2</v>
      </c>
      <c r="AP119" s="1">
        <f t="shared" si="19"/>
        <v>1</v>
      </c>
      <c r="AQ119" s="1">
        <f t="shared" si="19"/>
        <v>10</v>
      </c>
      <c r="AR119" s="1">
        <f t="shared" si="19"/>
        <v>10</v>
      </c>
      <c r="AS119" s="1">
        <f t="shared" si="19"/>
        <v>5</v>
      </c>
      <c r="AT119" s="1">
        <f t="shared" si="19"/>
        <v>10</v>
      </c>
      <c r="AU119" s="1">
        <f t="shared" si="19"/>
        <v>10</v>
      </c>
      <c r="AV119" s="1">
        <f t="shared" si="19"/>
        <v>10</v>
      </c>
      <c r="AW119" s="1">
        <f t="shared" si="19"/>
        <v>15</v>
      </c>
      <c r="AX119" s="1">
        <f t="shared" si="19"/>
        <v>5</v>
      </c>
      <c r="AY119" s="1">
        <f t="shared" si="19"/>
        <v>10</v>
      </c>
      <c r="AZ119" s="1">
        <f t="shared" si="19"/>
        <v>10</v>
      </c>
      <c r="BA119" s="1">
        <f t="shared" si="19"/>
        <v>20</v>
      </c>
      <c r="BB119" s="1">
        <f t="shared" si="19"/>
        <v>20</v>
      </c>
      <c r="BC119" s="1">
        <f t="shared" si="19"/>
        <v>10</v>
      </c>
      <c r="BD119" s="1">
        <f t="shared" si="19"/>
        <v>10</v>
      </c>
      <c r="BE119" s="1">
        <f t="shared" si="19"/>
        <v>50</v>
      </c>
      <c r="BF119" s="1">
        <f t="shared" si="19"/>
        <v>0</v>
      </c>
      <c r="BG119" s="1">
        <f t="shared" si="19"/>
        <v>0</v>
      </c>
      <c r="BH119" s="1">
        <f t="shared" si="19"/>
        <v>0</v>
      </c>
      <c r="BI119" s="1">
        <f t="shared" si="19"/>
        <v>50</v>
      </c>
      <c r="BJ119" s="1">
        <f t="shared" si="19"/>
        <v>50</v>
      </c>
      <c r="BK119" s="1">
        <f t="shared" si="19"/>
        <v>50</v>
      </c>
      <c r="BL119" s="1">
        <f t="shared" si="19"/>
        <v>50</v>
      </c>
      <c r="BM119" s="1">
        <f t="shared" si="19"/>
        <v>50</v>
      </c>
      <c r="BN119" s="1">
        <f t="shared" si="19"/>
        <v>50</v>
      </c>
      <c r="BO119" s="1">
        <f t="shared" si="19"/>
        <v>50</v>
      </c>
      <c r="BP119" s="1">
        <f t="shared" si="19"/>
        <v>50</v>
      </c>
      <c r="BQ119" s="1"/>
      <c r="BR119" s="1"/>
      <c r="BS119" s="17"/>
      <c r="BT119" s="17"/>
    </row>
    <row r="120" spans="1:74">
      <c r="A120" s="1"/>
      <c r="B120" s="3" t="s">
        <v>127</v>
      </c>
      <c r="C120" s="1"/>
      <c r="D120" s="1"/>
      <c r="E120" s="1">
        <f t="shared" ref="E120:AJ120" si="20">E116-E118</f>
        <v>4</v>
      </c>
      <c r="F120" s="1">
        <f t="shared" si="20"/>
        <v>67</v>
      </c>
      <c r="G120" s="1">
        <f t="shared" si="20"/>
        <v>-20</v>
      </c>
      <c r="H120" s="1">
        <f t="shared" si="20"/>
        <v>-11</v>
      </c>
      <c r="I120" s="1">
        <f t="shared" si="20"/>
        <v>120</v>
      </c>
      <c r="J120" s="1">
        <f t="shared" si="20"/>
        <v>120</v>
      </c>
      <c r="K120" s="1">
        <f t="shared" si="20"/>
        <v>87</v>
      </c>
      <c r="L120" s="1">
        <f t="shared" si="20"/>
        <v>76</v>
      </c>
      <c r="M120" s="1">
        <f t="shared" si="20"/>
        <v>83</v>
      </c>
      <c r="N120" s="1">
        <f t="shared" si="20"/>
        <v>143</v>
      </c>
      <c r="O120" s="1">
        <f t="shared" si="20"/>
        <v>67</v>
      </c>
      <c r="P120" s="1">
        <f t="shared" si="20"/>
        <v>33</v>
      </c>
      <c r="Q120" s="1">
        <f t="shared" si="20"/>
        <v>-7</v>
      </c>
      <c r="R120" s="1">
        <f t="shared" si="20"/>
        <v>2</v>
      </c>
      <c r="S120" s="1">
        <f t="shared" si="20"/>
        <v>93</v>
      </c>
      <c r="T120" s="1">
        <f t="shared" si="20"/>
        <v>19</v>
      </c>
      <c r="U120" s="1">
        <f t="shared" si="20"/>
        <v>-4</v>
      </c>
      <c r="V120" s="1">
        <f t="shared" si="20"/>
        <v>15</v>
      </c>
      <c r="W120" s="1">
        <f t="shared" si="20"/>
        <v>-17</v>
      </c>
      <c r="X120" s="1">
        <f t="shared" si="20"/>
        <v>-10</v>
      </c>
      <c r="Y120" s="1">
        <f t="shared" si="20"/>
        <v>-3</v>
      </c>
      <c r="Z120" s="1">
        <f t="shared" si="20"/>
        <v>12</v>
      </c>
      <c r="AA120" s="1">
        <f t="shared" si="20"/>
        <v>-9</v>
      </c>
      <c r="AB120" s="1">
        <f t="shared" si="20"/>
        <v>48</v>
      </c>
      <c r="AC120" s="1">
        <f t="shared" si="20"/>
        <v>-19</v>
      </c>
      <c r="AD120" s="1">
        <f t="shared" si="20"/>
        <v>-10</v>
      </c>
      <c r="AE120" s="1">
        <f t="shared" si="20"/>
        <v>-175</v>
      </c>
      <c r="AF120" s="1">
        <f t="shared" si="20"/>
        <v>-4</v>
      </c>
      <c r="AG120" s="1">
        <f t="shared" si="20"/>
        <v>3</v>
      </c>
      <c r="AH120" s="1">
        <f t="shared" si="20"/>
        <v>-5</v>
      </c>
      <c r="AI120" s="1">
        <f t="shared" si="20"/>
        <v>-5</v>
      </c>
      <c r="AJ120" s="1">
        <f t="shared" si="20"/>
        <v>-5</v>
      </c>
      <c r="AK120" s="1">
        <f t="shared" ref="AK120:BP120" si="21">AK116-AK118</f>
        <v>23</v>
      </c>
      <c r="AL120" s="1">
        <f t="shared" si="21"/>
        <v>33</v>
      </c>
      <c r="AM120" s="1">
        <f t="shared" si="21"/>
        <v>0</v>
      </c>
      <c r="AN120" s="1">
        <f t="shared" si="21"/>
        <v>-20</v>
      </c>
      <c r="AO120" s="1">
        <f t="shared" si="21"/>
        <v>-10</v>
      </c>
      <c r="AP120" s="1">
        <f t="shared" si="21"/>
        <v>-10</v>
      </c>
      <c r="AQ120" s="1">
        <f t="shared" si="21"/>
        <v>19</v>
      </c>
      <c r="AR120" s="1">
        <f t="shared" si="21"/>
        <v>8</v>
      </c>
      <c r="AS120" s="1">
        <f t="shared" si="21"/>
        <v>46</v>
      </c>
      <c r="AT120" s="1">
        <f t="shared" si="21"/>
        <v>38</v>
      </c>
      <c r="AU120" s="1">
        <f t="shared" si="21"/>
        <v>15</v>
      </c>
      <c r="AV120" s="1">
        <f t="shared" si="21"/>
        <v>102</v>
      </c>
      <c r="AW120" s="1">
        <f t="shared" si="21"/>
        <v>28</v>
      </c>
      <c r="AX120" s="1">
        <f t="shared" si="21"/>
        <v>43</v>
      </c>
      <c r="AY120" s="1">
        <f t="shared" si="21"/>
        <v>-1</v>
      </c>
      <c r="AZ120" s="1">
        <f t="shared" si="21"/>
        <v>-2</v>
      </c>
      <c r="BA120" s="1">
        <f t="shared" si="21"/>
        <v>-30</v>
      </c>
      <c r="BB120" s="1">
        <f t="shared" si="21"/>
        <v>-32</v>
      </c>
      <c r="BC120" s="1">
        <f t="shared" si="21"/>
        <v>-7</v>
      </c>
      <c r="BD120" s="1">
        <f t="shared" si="21"/>
        <v>-3</v>
      </c>
      <c r="BE120" s="1">
        <f t="shared" si="21"/>
        <v>205</v>
      </c>
      <c r="BF120" s="1">
        <f t="shared" si="21"/>
        <v>396</v>
      </c>
      <c r="BG120" s="1">
        <f t="shared" si="21"/>
        <v>312</v>
      </c>
      <c r="BH120" s="1">
        <f t="shared" si="21"/>
        <v>330</v>
      </c>
      <c r="BI120" s="1">
        <f t="shared" si="21"/>
        <v>112</v>
      </c>
      <c r="BJ120" s="1">
        <f t="shared" si="21"/>
        <v>145</v>
      </c>
      <c r="BK120" s="1">
        <f t="shared" si="21"/>
        <v>62</v>
      </c>
      <c r="BL120" s="1">
        <f t="shared" si="21"/>
        <v>71</v>
      </c>
      <c r="BM120" s="1">
        <f t="shared" si="21"/>
        <v>143</v>
      </c>
      <c r="BN120" s="1">
        <f t="shared" si="21"/>
        <v>19</v>
      </c>
      <c r="BO120" s="1">
        <f t="shared" si="21"/>
        <v>-13</v>
      </c>
      <c r="BP120" s="1">
        <f t="shared" si="21"/>
        <v>1</v>
      </c>
      <c r="BQ120" s="1"/>
      <c r="BR120" s="1"/>
      <c r="BS120" s="17"/>
      <c r="BT120" s="17"/>
    </row>
    <row r="121" spans="1:74" s="13" customFormat="1">
      <c r="A121" s="1"/>
      <c r="B121" s="3" t="s">
        <v>128</v>
      </c>
      <c r="C121" s="1"/>
      <c r="D121" s="1"/>
      <c r="E121" s="1">
        <f t="shared" ref="E121:AJ121" si="22">E116-E119</f>
        <v>9</v>
      </c>
      <c r="F121" s="1">
        <f t="shared" si="22"/>
        <v>67</v>
      </c>
      <c r="G121" s="1">
        <f t="shared" si="22"/>
        <v>-10</v>
      </c>
      <c r="H121" s="1">
        <f t="shared" si="22"/>
        <v>-1</v>
      </c>
      <c r="I121" s="1">
        <f t="shared" si="22"/>
        <v>123</v>
      </c>
      <c r="J121" s="1">
        <f t="shared" si="22"/>
        <v>120</v>
      </c>
      <c r="K121" s="1">
        <f t="shared" si="22"/>
        <v>92</v>
      </c>
      <c r="L121" s="1">
        <f t="shared" si="22"/>
        <v>79</v>
      </c>
      <c r="M121" s="1">
        <f t="shared" si="22"/>
        <v>83</v>
      </c>
      <c r="N121" s="1">
        <f t="shared" si="22"/>
        <v>143</v>
      </c>
      <c r="O121" s="1">
        <f t="shared" si="22"/>
        <v>72</v>
      </c>
      <c r="P121" s="1">
        <f t="shared" si="22"/>
        <v>33</v>
      </c>
      <c r="Q121" s="1">
        <f t="shared" si="22"/>
        <v>-5</v>
      </c>
      <c r="R121" s="1">
        <f t="shared" si="22"/>
        <v>10</v>
      </c>
      <c r="S121" s="1">
        <f t="shared" si="22"/>
        <v>93</v>
      </c>
      <c r="T121" s="1">
        <f t="shared" si="22"/>
        <v>21</v>
      </c>
      <c r="U121" s="1">
        <f t="shared" si="22"/>
        <v>4</v>
      </c>
      <c r="V121" s="1">
        <f t="shared" si="22"/>
        <v>20</v>
      </c>
      <c r="W121" s="1">
        <f t="shared" si="22"/>
        <v>-2</v>
      </c>
      <c r="X121" s="1">
        <f t="shared" si="22"/>
        <v>-2</v>
      </c>
      <c r="Y121" s="1">
        <f t="shared" si="22"/>
        <v>2</v>
      </c>
      <c r="Z121" s="1">
        <f t="shared" si="22"/>
        <v>27</v>
      </c>
      <c r="AA121" s="1">
        <f t="shared" si="22"/>
        <v>-1</v>
      </c>
      <c r="AB121" s="1">
        <f t="shared" si="22"/>
        <v>48</v>
      </c>
      <c r="AC121" s="1">
        <f t="shared" si="22"/>
        <v>-4</v>
      </c>
      <c r="AD121" s="1">
        <f t="shared" si="22"/>
        <v>-2</v>
      </c>
      <c r="AE121" s="1">
        <f t="shared" si="22"/>
        <v>-25</v>
      </c>
      <c r="AF121" s="1">
        <f t="shared" si="22"/>
        <v>-4</v>
      </c>
      <c r="AG121" s="1">
        <f t="shared" si="22"/>
        <v>3</v>
      </c>
      <c r="AH121" s="1">
        <f t="shared" si="22"/>
        <v>-5</v>
      </c>
      <c r="AI121" s="1">
        <f t="shared" si="22"/>
        <v>-5</v>
      </c>
      <c r="AJ121" s="1">
        <f t="shared" si="22"/>
        <v>-5</v>
      </c>
      <c r="AK121" s="1">
        <f t="shared" ref="AK121:BP121" si="23">AK116-AK119</f>
        <v>23</v>
      </c>
      <c r="AL121" s="1">
        <f t="shared" si="23"/>
        <v>33</v>
      </c>
      <c r="AM121" s="1">
        <f t="shared" si="23"/>
        <v>0</v>
      </c>
      <c r="AN121" s="1">
        <f t="shared" si="23"/>
        <v>-10</v>
      </c>
      <c r="AO121" s="1">
        <f t="shared" si="23"/>
        <v>-2</v>
      </c>
      <c r="AP121" s="1">
        <f t="shared" si="23"/>
        <v>-1</v>
      </c>
      <c r="AQ121" s="1">
        <f t="shared" si="23"/>
        <v>49</v>
      </c>
      <c r="AR121" s="1">
        <f t="shared" si="23"/>
        <v>8</v>
      </c>
      <c r="AS121" s="1">
        <f t="shared" si="23"/>
        <v>51</v>
      </c>
      <c r="AT121" s="1">
        <f t="shared" si="23"/>
        <v>38</v>
      </c>
      <c r="AU121" s="1">
        <f t="shared" si="23"/>
        <v>15</v>
      </c>
      <c r="AV121" s="1">
        <f t="shared" si="23"/>
        <v>132</v>
      </c>
      <c r="AW121" s="1">
        <f t="shared" si="23"/>
        <v>63</v>
      </c>
      <c r="AX121" s="1">
        <f t="shared" si="23"/>
        <v>53</v>
      </c>
      <c r="AY121" s="1">
        <f t="shared" si="23"/>
        <v>-1</v>
      </c>
      <c r="AZ121" s="1">
        <f t="shared" si="23"/>
        <v>38</v>
      </c>
      <c r="BA121" s="1">
        <f t="shared" si="23"/>
        <v>-10</v>
      </c>
      <c r="BB121" s="1">
        <f t="shared" si="23"/>
        <v>-12</v>
      </c>
      <c r="BC121" s="1">
        <f t="shared" si="23"/>
        <v>-7</v>
      </c>
      <c r="BD121" s="1">
        <f t="shared" si="23"/>
        <v>-3</v>
      </c>
      <c r="BE121" s="1">
        <f t="shared" si="23"/>
        <v>205</v>
      </c>
      <c r="BF121" s="1">
        <f t="shared" si="23"/>
        <v>396</v>
      </c>
      <c r="BG121" s="1">
        <f t="shared" si="23"/>
        <v>312</v>
      </c>
      <c r="BH121" s="1">
        <f t="shared" si="23"/>
        <v>330</v>
      </c>
      <c r="BI121" s="1">
        <f t="shared" si="23"/>
        <v>112</v>
      </c>
      <c r="BJ121" s="1">
        <f t="shared" si="23"/>
        <v>145</v>
      </c>
      <c r="BK121" s="1">
        <f t="shared" si="23"/>
        <v>62</v>
      </c>
      <c r="BL121" s="1">
        <f t="shared" si="23"/>
        <v>71</v>
      </c>
      <c r="BM121" s="1">
        <f t="shared" si="23"/>
        <v>143</v>
      </c>
      <c r="BN121" s="1">
        <f t="shared" si="23"/>
        <v>19</v>
      </c>
      <c r="BO121" s="1">
        <f t="shared" si="23"/>
        <v>-13</v>
      </c>
      <c r="BP121" s="1">
        <f t="shared" si="23"/>
        <v>1</v>
      </c>
      <c r="BQ121" s="1"/>
      <c r="BR121" s="1"/>
      <c r="BS121" s="17"/>
      <c r="BT121" s="17"/>
    </row>
    <row r="122" spans="1:74">
      <c r="AQ122" s="7" t="s">
        <v>147</v>
      </c>
      <c r="AR122" s="7" t="s">
        <v>150</v>
      </c>
      <c r="AS122" s="7" t="s">
        <v>151</v>
      </c>
      <c r="AT122" s="7" t="s">
        <v>148</v>
      </c>
      <c r="AU122" s="7" t="s">
        <v>149</v>
      </c>
      <c r="AV122" s="7" t="s">
        <v>146</v>
      </c>
      <c r="AW122" s="7" t="s">
        <v>152</v>
      </c>
      <c r="AX122" s="7" t="s">
        <v>153</v>
      </c>
      <c r="AY122" s="7" t="s">
        <v>154</v>
      </c>
      <c r="AZ122" s="7" t="s">
        <v>155</v>
      </c>
      <c r="BA122" s="7" t="s">
        <v>156</v>
      </c>
      <c r="BB122" s="7" t="s">
        <v>157</v>
      </c>
    </row>
  </sheetData>
  <autoFilter ref="A1:BV122">
    <filterColumn colId="72">
      <filters>
        <filter val="0"/>
      </filters>
    </filterColumn>
    <filterColumn colId="73">
      <filters>
        <filter val="0"/>
      </filters>
    </filterColumn>
    <sortState ref="A2:BV127">
      <sortCondition ref="BS2:BS127"/>
      <sortCondition ref="BR2:BR127"/>
    </sortState>
  </autoFilter>
  <sortState ref="A2:CT148">
    <sortCondition ref="BS2:BS148"/>
    <sortCondition ref="BR2:BR148"/>
  </sortState>
  <phoneticPr fontId="1" type="noConversion"/>
  <conditionalFormatting sqref="E118:BC118 BE118:BP118">
    <cfRule type="expression" dxfId="10" priority="13">
      <formula>"&lt;=$E$135"</formula>
    </cfRule>
  </conditionalFormatting>
  <conditionalFormatting sqref="E120:BC121 BE120:BP121">
    <cfRule type="cellIs" dxfId="9" priority="4" operator="lessThan">
      <formula>0</formula>
    </cfRule>
  </conditionalFormatting>
  <conditionalFormatting sqref="E117:BC117 BE117:BP117">
    <cfRule type="cellIs" dxfId="8" priority="5" operator="lessThan">
      <formula>0</formula>
    </cfRule>
  </conditionalFormatting>
  <conditionalFormatting sqref="BD118">
    <cfRule type="expression" dxfId="7" priority="3">
      <formula>"&lt;=$E$135"</formula>
    </cfRule>
  </conditionalFormatting>
  <conditionalFormatting sqref="BD120:BD121">
    <cfRule type="cellIs" dxfId="6" priority="1" operator="lessThan">
      <formula>0</formula>
    </cfRule>
  </conditionalFormatting>
  <conditionalFormatting sqref="BD117">
    <cfRule type="cellIs" dxfId="5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121</xdr:row>
                    <xdr:rowOff>28575</xdr:rowOff>
                  </from>
                  <to>
                    <xdr:col>1</xdr:col>
                    <xdr:colOff>428625</xdr:colOff>
                    <xdr:row>122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60</v>
      </c>
      <c r="B1" s="8" t="s">
        <v>61</v>
      </c>
      <c r="C1" s="8" t="s">
        <v>63</v>
      </c>
      <c r="D1" s="8" t="s">
        <v>62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59</v>
      </c>
      <c r="K1" s="9" t="s">
        <v>21</v>
      </c>
      <c r="L1" s="9" t="s">
        <v>36</v>
      </c>
      <c r="M1" s="9" t="s">
        <v>38</v>
      </c>
      <c r="N1" s="9" t="s">
        <v>42</v>
      </c>
      <c r="O1" s="9" t="s">
        <v>37</v>
      </c>
      <c r="P1" s="27" t="s">
        <v>94</v>
      </c>
      <c r="Q1" s="27" t="s">
        <v>106</v>
      </c>
      <c r="R1" s="27" t="s">
        <v>100</v>
      </c>
      <c r="S1" s="27" t="s">
        <v>95</v>
      </c>
      <c r="T1" s="27" t="s">
        <v>104</v>
      </c>
      <c r="U1" s="27" t="s">
        <v>109</v>
      </c>
      <c r="V1" s="27" t="s">
        <v>96</v>
      </c>
      <c r="W1" s="27" t="s">
        <v>103</v>
      </c>
      <c r="X1" s="27" t="s">
        <v>101</v>
      </c>
      <c r="Y1" s="27" t="s">
        <v>97</v>
      </c>
      <c r="Z1" s="27" t="s">
        <v>105</v>
      </c>
      <c r="AA1" s="27" t="s">
        <v>110</v>
      </c>
      <c r="AB1" s="27" t="s">
        <v>99</v>
      </c>
      <c r="AC1" s="27" t="s">
        <v>98</v>
      </c>
      <c r="AD1" s="27" t="s">
        <v>118</v>
      </c>
      <c r="AE1" s="8" t="s">
        <v>7</v>
      </c>
      <c r="AF1" s="8" t="s">
        <v>24</v>
      </c>
      <c r="AG1" s="8" t="s">
        <v>25</v>
      </c>
      <c r="AH1" s="8" t="s">
        <v>50</v>
      </c>
      <c r="AI1" s="8" t="s">
        <v>51</v>
      </c>
      <c r="AJ1" s="8" t="s">
        <v>53</v>
      </c>
      <c r="AK1" s="8" t="s">
        <v>54</v>
      </c>
      <c r="AL1" s="8" t="s">
        <v>56</v>
      </c>
      <c r="AM1" s="8" t="s">
        <v>43</v>
      </c>
      <c r="AN1" s="8" t="s">
        <v>44</v>
      </c>
      <c r="AO1" s="8" t="s">
        <v>82</v>
      </c>
      <c r="AP1" s="8" t="s">
        <v>83</v>
      </c>
      <c r="AQ1" s="10" t="s">
        <v>34</v>
      </c>
      <c r="AR1" s="10" t="s">
        <v>3</v>
      </c>
      <c r="AS1" s="10" t="s">
        <v>23</v>
      </c>
      <c r="AT1" s="10" t="s">
        <v>46</v>
      </c>
      <c r="AU1" s="10" t="s">
        <v>48</v>
      </c>
      <c r="AV1" s="10" t="s">
        <v>41</v>
      </c>
      <c r="AW1" s="11" t="s">
        <v>4</v>
      </c>
      <c r="AX1" s="11" t="s">
        <v>5</v>
      </c>
      <c r="AY1" s="11" t="s">
        <v>35</v>
      </c>
      <c r="AZ1" s="11" t="s">
        <v>6</v>
      </c>
      <c r="BA1" s="11" t="s">
        <v>40</v>
      </c>
      <c r="BB1" s="11" t="s">
        <v>9</v>
      </c>
      <c r="BC1" s="25" t="s">
        <v>79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27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12" t="s">
        <v>49</v>
      </c>
      <c r="BQ1" s="8" t="s">
        <v>68</v>
      </c>
      <c r="BR1" s="16" t="s">
        <v>69</v>
      </c>
      <c r="BS1" s="16"/>
      <c r="BT1" s="10" t="s">
        <v>34</v>
      </c>
      <c r="BU1" s="10" t="s">
        <v>3</v>
      </c>
      <c r="BV1" s="10" t="s">
        <v>23</v>
      </c>
      <c r="BW1" s="10" t="s">
        <v>46</v>
      </c>
      <c r="BX1" s="10" t="s">
        <v>48</v>
      </c>
      <c r="BY1" s="10" t="s">
        <v>41</v>
      </c>
      <c r="BZ1" s="11" t="s">
        <v>4</v>
      </c>
      <c r="CA1" s="11" t="s">
        <v>5</v>
      </c>
      <c r="CB1" s="11" t="s">
        <v>35</v>
      </c>
      <c r="CC1" s="11" t="s">
        <v>6</v>
      </c>
      <c r="CD1" s="11" t="s">
        <v>40</v>
      </c>
      <c r="CE1" s="11" t="s">
        <v>9</v>
      </c>
      <c r="CF1" s="8"/>
      <c r="CG1" s="10" t="s">
        <v>34</v>
      </c>
      <c r="CH1" s="10" t="s">
        <v>3</v>
      </c>
      <c r="CI1" s="10" t="s">
        <v>23</v>
      </c>
      <c r="CJ1" s="10" t="s">
        <v>46</v>
      </c>
      <c r="CK1" s="10" t="s">
        <v>48</v>
      </c>
      <c r="CL1" s="10" t="s">
        <v>41</v>
      </c>
      <c r="CM1" s="11" t="s">
        <v>4</v>
      </c>
      <c r="CN1" s="11" t="s">
        <v>5</v>
      </c>
      <c r="CO1" s="11" t="s">
        <v>35</v>
      </c>
      <c r="CP1" s="11" t="s">
        <v>6</v>
      </c>
      <c r="CQ1" s="11" t="s">
        <v>40</v>
      </c>
      <c r="CR1" s="11" t="s">
        <v>9</v>
      </c>
      <c r="CS1" s="8"/>
    </row>
    <row r="2" spans="1:97">
      <c r="A2" s="30">
        <v>77</v>
      </c>
      <c r="B2" s="37" t="s">
        <v>120</v>
      </c>
      <c r="C2" s="37" t="s">
        <v>45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145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160</v>
      </c>
      <c r="C3" s="38" t="s">
        <v>77</v>
      </c>
      <c r="D3" s="38" t="s">
        <v>93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168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49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66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73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125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126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127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128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158</v>
      </c>
      <c r="AQ11" s="7" t="s">
        <v>147</v>
      </c>
      <c r="AR11" s="7" t="s">
        <v>150</v>
      </c>
      <c r="AS11" s="7" t="s">
        <v>151</v>
      </c>
      <c r="AT11" s="7" t="s">
        <v>148</v>
      </c>
      <c r="AU11" s="7" t="s">
        <v>149</v>
      </c>
      <c r="AV11" s="7" t="s">
        <v>146</v>
      </c>
      <c r="AW11" s="7" t="s">
        <v>152</v>
      </c>
      <c r="AX11" s="7" t="s">
        <v>153</v>
      </c>
      <c r="AY11" s="7" t="s">
        <v>154</v>
      </c>
      <c r="AZ11" s="7" t="s">
        <v>155</v>
      </c>
      <c r="BA11" s="7" t="s">
        <v>156</v>
      </c>
      <c r="BB11" s="7" t="s">
        <v>157</v>
      </c>
    </row>
    <row r="12" spans="1:97">
      <c r="R12" s="7" t="s">
        <v>159</v>
      </c>
    </row>
  </sheetData>
  <autoFilter ref="A1:BP3"/>
  <phoneticPr fontId="1" type="noConversion"/>
  <conditionalFormatting sqref="E7:BO7">
    <cfRule type="expression" dxfId="4" priority="3">
      <formula>"&lt;=$E$135"</formula>
    </cfRule>
  </conditionalFormatting>
  <conditionalFormatting sqref="E9:BO10">
    <cfRule type="cellIs" dxfId="3" priority="1" operator="lessThan">
      <formula>0</formula>
    </cfRule>
  </conditionalFormatting>
  <conditionalFormatting sqref="E6:BO6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64</v>
      </c>
      <c r="B1" s="5" t="s">
        <v>61</v>
      </c>
      <c r="C1" s="5" t="s">
        <v>65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40</v>
      </c>
      <c r="C3" s="1">
        <v>120</v>
      </c>
    </row>
    <row r="4" spans="1:3">
      <c r="A4" s="1">
        <v>4</v>
      </c>
      <c r="B4" s="4" t="s">
        <v>41</v>
      </c>
      <c r="C4" s="1">
        <v>85</v>
      </c>
    </row>
    <row r="5" spans="1:3">
      <c r="A5" s="1">
        <v>3</v>
      </c>
      <c r="B5" s="4" t="s">
        <v>34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46</v>
      </c>
      <c r="C11" s="1">
        <v>45</v>
      </c>
    </row>
    <row r="12" spans="1:3">
      <c r="A12" s="1">
        <v>11</v>
      </c>
      <c r="B12" s="2" t="s">
        <v>35</v>
      </c>
      <c r="C12" s="1">
        <v>10</v>
      </c>
    </row>
    <row r="13" spans="1:3">
      <c r="A13" s="1">
        <v>6</v>
      </c>
      <c r="B13" s="4" t="s">
        <v>48</v>
      </c>
      <c r="C13" s="1">
        <v>8</v>
      </c>
    </row>
    <row r="19" spans="3:18">
      <c r="G19" s="10" t="s">
        <v>34</v>
      </c>
      <c r="H19" s="10" t="s">
        <v>3</v>
      </c>
      <c r="I19" s="10" t="s">
        <v>23</v>
      </c>
      <c r="J19" s="10" t="s">
        <v>46</v>
      </c>
      <c r="K19" s="10" t="s">
        <v>48</v>
      </c>
      <c r="L19" s="10" t="s">
        <v>41</v>
      </c>
      <c r="M19" s="11" t="s">
        <v>4</v>
      </c>
      <c r="N19" s="11" t="s">
        <v>5</v>
      </c>
      <c r="O19" s="11" t="s">
        <v>35</v>
      </c>
      <c r="P19" s="11" t="s">
        <v>6</v>
      </c>
      <c r="Q19" s="11" t="s">
        <v>40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129</v>
      </c>
      <c r="D27" t="s">
        <v>130</v>
      </c>
      <c r="E27" t="s">
        <v>131</v>
      </c>
      <c r="F27" t="s">
        <v>132</v>
      </c>
      <c r="G27" t="s">
        <v>133</v>
      </c>
      <c r="H27" t="s">
        <v>134</v>
      </c>
      <c r="I27" t="s">
        <v>135</v>
      </c>
      <c r="J27" t="s">
        <v>136</v>
      </c>
      <c r="K27" t="s">
        <v>137</v>
      </c>
      <c r="L27" t="s">
        <v>138</v>
      </c>
      <c r="M27" t="s">
        <v>139</v>
      </c>
      <c r="N27" t="s">
        <v>140</v>
      </c>
    </row>
    <row r="31" spans="3:18">
      <c r="C31">
        <v>-3</v>
      </c>
      <c r="D31" t="s">
        <v>129</v>
      </c>
    </row>
    <row r="32" spans="3:18">
      <c r="C32">
        <v>-8</v>
      </c>
      <c r="D32" t="s">
        <v>130</v>
      </c>
    </row>
    <row r="33" spans="3:4">
      <c r="C33">
        <v>-3</v>
      </c>
      <c r="D33" t="s">
        <v>131</v>
      </c>
    </row>
    <row r="34" spans="3:4">
      <c r="C34">
        <v>1</v>
      </c>
      <c r="D34" t="s">
        <v>132</v>
      </c>
    </row>
    <row r="35" spans="3:4">
      <c r="C35">
        <v>3</v>
      </c>
      <c r="D35" t="s">
        <v>133</v>
      </c>
    </row>
    <row r="36" spans="3:4">
      <c r="C36">
        <v>0</v>
      </c>
      <c r="D36" t="s">
        <v>134</v>
      </c>
    </row>
    <row r="37" spans="3:4">
      <c r="C37">
        <v>-3</v>
      </c>
      <c r="D37" t="s">
        <v>135</v>
      </c>
    </row>
    <row r="38" spans="3:4">
      <c r="C38">
        <v>30</v>
      </c>
      <c r="D38" t="s">
        <v>136</v>
      </c>
    </row>
    <row r="39" spans="3:4">
      <c r="C39">
        <v>5</v>
      </c>
      <c r="D39" t="s">
        <v>137</v>
      </c>
    </row>
    <row r="40" spans="3:4">
      <c r="C40">
        <v>-10</v>
      </c>
      <c r="D40" t="s">
        <v>138</v>
      </c>
    </row>
    <row r="41" spans="3:4">
      <c r="C41">
        <v>3</v>
      </c>
      <c r="D41" t="s">
        <v>139</v>
      </c>
    </row>
    <row r="42" spans="3:4">
      <c r="C42">
        <v>138</v>
      </c>
      <c r="D42" t="s">
        <v>140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70</v>
      </c>
      <c r="B1" s="8" t="s">
        <v>71</v>
      </c>
      <c r="C1" s="8" t="s">
        <v>72</v>
      </c>
    </row>
    <row r="2" spans="1:3">
      <c r="A2" s="1">
        <v>5</v>
      </c>
      <c r="B2" s="10" t="s">
        <v>48</v>
      </c>
      <c r="C2" s="1">
        <v>0</v>
      </c>
    </row>
    <row r="3" spans="1:3">
      <c r="A3" s="1">
        <v>9</v>
      </c>
      <c r="B3" s="11" t="s">
        <v>35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46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34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40</v>
      </c>
      <c r="C12" s="1">
        <v>5</v>
      </c>
    </row>
    <row r="13" spans="1:3">
      <c r="A13" s="1">
        <v>6</v>
      </c>
      <c r="B13" s="10" t="s">
        <v>41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abSelected="1"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61</v>
      </c>
      <c r="C40" s="64" t="s">
        <v>34</v>
      </c>
      <c r="D40" s="64" t="s">
        <v>3</v>
      </c>
      <c r="E40" s="64" t="s">
        <v>23</v>
      </c>
      <c r="F40" s="64" t="s">
        <v>46</v>
      </c>
      <c r="G40" s="64" t="s">
        <v>48</v>
      </c>
      <c r="H40" s="64" t="s">
        <v>41</v>
      </c>
      <c r="I40" s="65" t="s">
        <v>4</v>
      </c>
      <c r="J40" s="65" t="s">
        <v>5</v>
      </c>
      <c r="K40" s="65" t="s">
        <v>35</v>
      </c>
      <c r="L40" s="65" t="s">
        <v>6</v>
      </c>
      <c r="M40" s="65" t="s">
        <v>40</v>
      </c>
      <c r="N40" s="65" t="s">
        <v>9</v>
      </c>
    </row>
    <row r="41" spans="2:14">
      <c r="B41" s="1" t="s">
        <v>49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66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73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125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126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127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128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2020-06-20T13:13:48Z</dcterms:modified>
</cp:coreProperties>
</file>