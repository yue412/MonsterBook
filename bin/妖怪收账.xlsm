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Sheet1!$A$1:$BP$160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60" i="1" l="1"/>
  <c r="AD162" i="1" s="1"/>
  <c r="BP159" i="1" l="1"/>
  <c r="BT159" i="1"/>
  <c r="BU159" i="1"/>
  <c r="BV159" i="1"/>
  <c r="BW159" i="1"/>
  <c r="BX159" i="1"/>
  <c r="BY159" i="1"/>
  <c r="BZ159" i="1"/>
  <c r="CA159" i="1"/>
  <c r="CB159" i="1"/>
  <c r="CC159" i="1"/>
  <c r="CD159" i="1"/>
  <c r="CE159" i="1"/>
  <c r="CS159" i="1"/>
  <c r="P160" i="1"/>
  <c r="P162" i="1" s="1"/>
  <c r="Q160" i="1"/>
  <c r="Q162" i="1" s="1"/>
  <c r="R160" i="1"/>
  <c r="R162" i="1" s="1"/>
  <c r="S160" i="1"/>
  <c r="S162" i="1" s="1"/>
  <c r="T160" i="1"/>
  <c r="T162" i="1" s="1"/>
  <c r="U160" i="1"/>
  <c r="U162" i="1" s="1"/>
  <c r="V160" i="1"/>
  <c r="V162" i="1" s="1"/>
  <c r="W160" i="1"/>
  <c r="W162" i="1" s="1"/>
  <c r="X160" i="1"/>
  <c r="X162" i="1" s="1"/>
  <c r="Y160" i="1"/>
  <c r="Y162" i="1" s="1"/>
  <c r="Z160" i="1"/>
  <c r="Z162" i="1" s="1"/>
  <c r="AA160" i="1"/>
  <c r="AA162" i="1" s="1"/>
  <c r="AB160" i="1"/>
  <c r="AB162" i="1" s="1"/>
  <c r="AC160" i="1"/>
  <c r="AC162" i="1" s="1"/>
  <c r="CF159" i="1" l="1"/>
  <c r="CM159" i="1" s="1"/>
  <c r="AO160" i="1"/>
  <c r="AO162" i="1" s="1"/>
  <c r="AP160" i="1"/>
  <c r="AP162" i="1" s="1"/>
  <c r="BC160" i="1"/>
  <c r="BC162" i="1" s="1"/>
  <c r="CO159" i="1" l="1"/>
  <c r="CK159" i="1"/>
  <c r="CI159" i="1"/>
  <c r="CN159" i="1"/>
  <c r="CP159" i="1"/>
  <c r="CJ159" i="1"/>
  <c r="CL159" i="1"/>
  <c r="CG159" i="1"/>
  <c r="CQ159" i="1"/>
  <c r="CH159" i="1"/>
  <c r="CR159" i="1"/>
  <c r="CS3" i="1"/>
  <c r="CS4" i="1"/>
  <c r="CS5" i="1"/>
  <c r="CS63" i="1"/>
  <c r="CS6" i="1"/>
  <c r="CS7" i="1"/>
  <c r="CS8" i="1"/>
  <c r="CS49" i="1"/>
  <c r="CS105" i="1"/>
  <c r="CS43" i="1"/>
  <c r="CS65" i="1"/>
  <c r="CS66" i="1"/>
  <c r="CS67" i="1"/>
  <c r="CS68" i="1"/>
  <c r="CS69" i="1"/>
  <c r="CS70" i="1"/>
  <c r="CS71" i="1"/>
  <c r="CS62" i="1"/>
  <c r="CS103" i="1"/>
  <c r="CS12" i="1"/>
  <c r="CS16" i="1"/>
  <c r="CS17" i="1"/>
  <c r="CS54" i="1"/>
  <c r="CS44" i="1"/>
  <c r="CS42" i="1"/>
  <c r="CS111" i="1"/>
  <c r="CS76" i="1"/>
  <c r="CS61" i="1"/>
  <c r="CS78" i="1"/>
  <c r="CS80" i="1"/>
  <c r="CS20" i="1"/>
  <c r="CS83" i="1"/>
  <c r="CS84" i="1"/>
  <c r="CS9" i="1"/>
  <c r="CS60" i="1"/>
  <c r="CS45" i="1"/>
  <c r="CS10" i="1"/>
  <c r="CS13" i="1"/>
  <c r="CS53" i="1"/>
  <c r="CS18" i="1"/>
  <c r="CS19" i="1"/>
  <c r="CS104" i="1"/>
  <c r="CS113" i="1"/>
  <c r="CS114" i="1"/>
  <c r="CS11" i="1"/>
  <c r="CS14" i="1"/>
  <c r="CS133" i="1"/>
  <c r="CS134" i="1"/>
  <c r="CS120" i="1"/>
  <c r="CS98" i="1"/>
  <c r="CS15" i="1"/>
  <c r="CS112" i="1"/>
  <c r="CS82" i="1"/>
  <c r="CS81" i="1"/>
  <c r="CS57" i="1"/>
  <c r="CS117" i="1"/>
  <c r="CS142" i="1"/>
  <c r="CS136" i="1"/>
  <c r="CS143" i="1"/>
  <c r="CS153" i="1"/>
  <c r="CS154" i="1"/>
  <c r="CS2" i="1"/>
  <c r="CS160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6" i="1"/>
  <c r="BU6" i="1"/>
  <c r="BV6" i="1"/>
  <c r="BW6" i="1"/>
  <c r="BX6" i="1"/>
  <c r="BY6" i="1"/>
  <c r="BZ6" i="1"/>
  <c r="CA6" i="1"/>
  <c r="CB6" i="1"/>
  <c r="CC6" i="1"/>
  <c r="CD6" i="1"/>
  <c r="CE6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9" i="1"/>
  <c r="BU9" i="1"/>
  <c r="BV9" i="1"/>
  <c r="BW9" i="1"/>
  <c r="BX9" i="1"/>
  <c r="BY9" i="1"/>
  <c r="BZ9" i="1"/>
  <c r="CA9" i="1"/>
  <c r="CB9" i="1"/>
  <c r="CC9" i="1"/>
  <c r="CD9" i="1"/>
  <c r="CE9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BU2" i="1"/>
  <c r="BV2" i="1"/>
  <c r="BW2" i="1"/>
  <c r="BX2" i="1"/>
  <c r="BY2" i="1"/>
  <c r="BZ2" i="1"/>
  <c r="CA2" i="1"/>
  <c r="CB2" i="1"/>
  <c r="CC2" i="1"/>
  <c r="CD2" i="1"/>
  <c r="CE2" i="1"/>
  <c r="BT2" i="1"/>
  <c r="CF105" i="1" l="1"/>
  <c r="CR105" i="1" s="1"/>
  <c r="CF66" i="1"/>
  <c r="CR66" i="1" s="1"/>
  <c r="CF65" i="1"/>
  <c r="CN65" i="1" s="1"/>
  <c r="CF49" i="1"/>
  <c r="CH49" i="1" s="1"/>
  <c r="CA160" i="1"/>
  <c r="CC160" i="1"/>
  <c r="BX160" i="1"/>
  <c r="BZ160" i="1"/>
  <c r="BV160" i="1"/>
  <c r="BU160" i="1"/>
  <c r="CD160" i="1"/>
  <c r="BY160" i="1"/>
  <c r="CB160" i="1"/>
  <c r="CE160" i="1"/>
  <c r="CF57" i="1"/>
  <c r="CK57" i="1" s="1"/>
  <c r="CF103" i="1"/>
  <c r="CM103" i="1" s="1"/>
  <c r="CF83" i="1"/>
  <c r="CI83" i="1" s="1"/>
  <c r="CF18" i="1"/>
  <c r="CJ18" i="1" s="1"/>
  <c r="CF112" i="1"/>
  <c r="CG112" i="1" s="1"/>
  <c r="CF5" i="1"/>
  <c r="CN5" i="1" s="1"/>
  <c r="CF4" i="1"/>
  <c r="CN4" i="1" s="1"/>
  <c r="CF3" i="1"/>
  <c r="CN3" i="1" s="1"/>
  <c r="CF154" i="1"/>
  <c r="CG154" i="1" s="1"/>
  <c r="CF117" i="1"/>
  <c r="CK117" i="1" s="1"/>
  <c r="CF142" i="1"/>
  <c r="CK142" i="1" s="1"/>
  <c r="CF81" i="1"/>
  <c r="CR81" i="1" s="1"/>
  <c r="CF134" i="1"/>
  <c r="CJ134" i="1" s="1"/>
  <c r="CF53" i="1"/>
  <c r="CH53" i="1" s="1"/>
  <c r="CF11" i="1"/>
  <c r="CR11" i="1" s="1"/>
  <c r="CF12" i="1"/>
  <c r="CQ12" i="1" s="1"/>
  <c r="CF54" i="1"/>
  <c r="CR54" i="1" s="1"/>
  <c r="CF16" i="1"/>
  <c r="CH16" i="1" s="1"/>
  <c r="CF10" i="1"/>
  <c r="CN10" i="1" s="1"/>
  <c r="CF62" i="1"/>
  <c r="CH62" i="1" s="1"/>
  <c r="CF13" i="1"/>
  <c r="CN13" i="1" s="1"/>
  <c r="CF80" i="1"/>
  <c r="CL80" i="1" s="1"/>
  <c r="CF61" i="1"/>
  <c r="CH61" i="1" s="1"/>
  <c r="CF20" i="1"/>
  <c r="CK20" i="1" s="1"/>
  <c r="CF44" i="1"/>
  <c r="CO44" i="1" s="1"/>
  <c r="CF43" i="1"/>
  <c r="CO43" i="1" s="1"/>
  <c r="CF70" i="1"/>
  <c r="CH70" i="1" s="1"/>
  <c r="CF69" i="1"/>
  <c r="CP69" i="1" s="1"/>
  <c r="CF68" i="1"/>
  <c r="CN68" i="1" s="1"/>
  <c r="CF67" i="1"/>
  <c r="CR67" i="1" s="1"/>
  <c r="CF45" i="1"/>
  <c r="CG45" i="1" s="1"/>
  <c r="CF63" i="1"/>
  <c r="CQ63" i="1" s="1"/>
  <c r="CF6" i="1"/>
  <c r="CL6" i="1" s="1"/>
  <c r="CF19" i="1"/>
  <c r="CJ19" i="1" s="1"/>
  <c r="CF8" i="1"/>
  <c r="CN8" i="1" s="1"/>
  <c r="CF7" i="1"/>
  <c r="CI7" i="1" s="1"/>
  <c r="CF153" i="1"/>
  <c r="CR153" i="1" s="1"/>
  <c r="CF111" i="1"/>
  <c r="CJ111" i="1" s="1"/>
  <c r="CF143" i="1"/>
  <c r="CO143" i="1" s="1"/>
  <c r="CF82" i="1"/>
  <c r="CN82" i="1" s="1"/>
  <c r="CF15" i="1"/>
  <c r="CK15" i="1" s="1"/>
  <c r="CF133" i="1"/>
  <c r="CR133" i="1" s="1"/>
  <c r="CF9" i="1"/>
  <c r="CP9" i="1" s="1"/>
  <c r="CF14" i="1"/>
  <c r="CR14" i="1" s="1"/>
  <c r="CF76" i="1"/>
  <c r="CH76" i="1" s="1"/>
  <c r="CF17" i="1"/>
  <c r="CK17" i="1" s="1"/>
  <c r="CF114" i="1"/>
  <c r="CN114" i="1" s="1"/>
  <c r="CF113" i="1"/>
  <c r="CL113" i="1" s="1"/>
  <c r="CF120" i="1"/>
  <c r="CN120" i="1" s="1"/>
  <c r="CF104" i="1"/>
  <c r="CI104" i="1" s="1"/>
  <c r="CF60" i="1"/>
  <c r="CH60" i="1" s="1"/>
  <c r="CF84" i="1"/>
  <c r="CO84" i="1" s="1"/>
  <c r="CF78" i="1"/>
  <c r="CM78" i="1" s="1"/>
  <c r="CF42" i="1"/>
  <c r="CR42" i="1" s="1"/>
  <c r="CF71" i="1"/>
  <c r="CM71" i="1" s="1"/>
  <c r="CF2" i="1"/>
  <c r="CH2" i="1" s="1"/>
  <c r="CF98" i="1"/>
  <c r="CK98" i="1" s="1"/>
  <c r="CF136" i="1"/>
  <c r="CG136" i="1" s="1"/>
  <c r="BW160" i="1"/>
  <c r="BT160" i="1"/>
  <c r="BP54" i="1"/>
  <c r="BP9" i="1"/>
  <c r="BP11" i="1"/>
  <c r="BP143" i="1"/>
  <c r="BP3" i="1"/>
  <c r="BP65" i="1"/>
  <c r="BP66" i="1"/>
  <c r="BP67" i="1"/>
  <c r="BP104" i="1"/>
  <c r="BP120" i="1"/>
  <c r="BP154" i="1"/>
  <c r="BP60" i="1"/>
  <c r="BP113" i="1"/>
  <c r="BP133" i="1"/>
  <c r="BP68" i="1"/>
  <c r="BP69" i="1"/>
  <c r="BP76" i="1"/>
  <c r="BP4" i="1"/>
  <c r="BP49" i="1"/>
  <c r="BP103" i="1"/>
  <c r="BP7" i="1"/>
  <c r="BP62" i="1"/>
  <c r="BP63" i="1"/>
  <c r="BP142" i="1"/>
  <c r="BP5" i="1"/>
  <c r="BP15" i="1"/>
  <c r="BP13" i="1"/>
  <c r="BP78" i="1"/>
  <c r="BP70" i="1"/>
  <c r="BP80" i="1"/>
  <c r="BP82" i="1"/>
  <c r="BP57" i="1"/>
  <c r="BP53" i="1"/>
  <c r="BP14" i="1"/>
  <c r="BP20" i="1"/>
  <c r="BP98" i="1"/>
  <c r="BP136" i="1"/>
  <c r="BP10" i="1"/>
  <c r="BP12" i="1"/>
  <c r="BP8" i="1"/>
  <c r="BP45" i="1"/>
  <c r="BP153" i="1"/>
  <c r="BP114" i="1"/>
  <c r="BP134" i="1"/>
  <c r="BP71" i="1"/>
  <c r="BP43" i="1"/>
  <c r="BP44" i="1"/>
  <c r="BP81" i="1"/>
  <c r="BP18" i="1"/>
  <c r="BP112" i="1"/>
  <c r="BP19" i="1"/>
  <c r="BP42" i="1"/>
  <c r="BP83" i="1"/>
  <c r="BP84" i="1"/>
  <c r="J160" i="1"/>
  <c r="J162" i="1" s="1"/>
  <c r="K160" i="1"/>
  <c r="K162" i="1" s="1"/>
  <c r="L160" i="1"/>
  <c r="L162" i="1" s="1"/>
  <c r="M160" i="1"/>
  <c r="M162" i="1" s="1"/>
  <c r="N160" i="1"/>
  <c r="N162" i="1" s="1"/>
  <c r="O160" i="1"/>
  <c r="O162" i="1" s="1"/>
  <c r="AE160" i="1"/>
  <c r="AE162" i="1" s="1"/>
  <c r="AF160" i="1"/>
  <c r="AF162" i="1" s="1"/>
  <c r="AG160" i="1"/>
  <c r="AG162" i="1" s="1"/>
  <c r="AH160" i="1"/>
  <c r="AH162" i="1" s="1"/>
  <c r="AI160" i="1"/>
  <c r="AI162" i="1" s="1"/>
  <c r="AJ160" i="1"/>
  <c r="AJ162" i="1" s="1"/>
  <c r="AK160" i="1"/>
  <c r="AK162" i="1" s="1"/>
  <c r="AL160" i="1"/>
  <c r="AL162" i="1" s="1"/>
  <c r="AM160" i="1"/>
  <c r="AM162" i="1" s="1"/>
  <c r="AN160" i="1"/>
  <c r="AN162" i="1" s="1"/>
  <c r="AR160" i="1"/>
  <c r="AR162" i="1" s="1"/>
  <c r="AS160" i="1"/>
  <c r="AS162" i="1" s="1"/>
  <c r="AQ160" i="1"/>
  <c r="AQ162" i="1" s="1"/>
  <c r="AV160" i="1"/>
  <c r="AV162" i="1" s="1"/>
  <c r="AT160" i="1"/>
  <c r="AT162" i="1" s="1"/>
  <c r="AU160" i="1"/>
  <c r="AU162" i="1" s="1"/>
  <c r="BP61" i="1"/>
  <c r="BP117" i="1"/>
  <c r="BP2" i="1"/>
  <c r="BP16" i="1"/>
  <c r="BP17" i="1"/>
  <c r="BP6" i="1"/>
  <c r="BP105" i="1"/>
  <c r="BP111" i="1"/>
  <c r="BF160" i="1"/>
  <c r="BF162" i="1" s="1"/>
  <c r="BG160" i="1"/>
  <c r="BG162" i="1" s="1"/>
  <c r="BE160" i="1"/>
  <c r="BE162" i="1" s="1"/>
  <c r="BD160" i="1"/>
  <c r="BD162" i="1" s="1"/>
  <c r="BH160" i="1"/>
  <c r="BH162" i="1" s="1"/>
  <c r="BI160" i="1"/>
  <c r="BI162" i="1" s="1"/>
  <c r="BJ160" i="1"/>
  <c r="BJ162" i="1" s="1"/>
  <c r="BK160" i="1"/>
  <c r="BK162" i="1" s="1"/>
  <c r="BL160" i="1"/>
  <c r="BL162" i="1" s="1"/>
  <c r="BM160" i="1"/>
  <c r="BM162" i="1" s="1"/>
  <c r="BN160" i="1"/>
  <c r="BN162" i="1" s="1"/>
  <c r="BO160" i="1"/>
  <c r="BO162" i="1" s="1"/>
  <c r="F160" i="1"/>
  <c r="F162" i="1" s="1"/>
  <c r="G160" i="1"/>
  <c r="G162" i="1" s="1"/>
  <c r="H160" i="1"/>
  <c r="H162" i="1" s="1"/>
  <c r="I160" i="1"/>
  <c r="I162" i="1" s="1"/>
  <c r="AW160" i="1"/>
  <c r="AW162" i="1" s="1"/>
  <c r="AX160" i="1"/>
  <c r="AX162" i="1" s="1"/>
  <c r="AZ160" i="1"/>
  <c r="AZ162" i="1" s="1"/>
  <c r="BB160" i="1"/>
  <c r="BB162" i="1" s="1"/>
  <c r="AY160" i="1"/>
  <c r="AY162" i="1" s="1"/>
  <c r="BA160" i="1"/>
  <c r="BA162" i="1" s="1"/>
  <c r="E160" i="1"/>
  <c r="E162" i="1" s="1"/>
  <c r="CO49" i="1" l="1"/>
  <c r="CN70" i="1"/>
  <c r="CH19" i="1"/>
  <c r="CK70" i="1"/>
  <c r="CP4" i="1"/>
  <c r="CP6" i="1"/>
  <c r="CJ54" i="1"/>
  <c r="CI103" i="1"/>
  <c r="CJ5" i="1"/>
  <c r="CQ7" i="1"/>
  <c r="CG49" i="1"/>
  <c r="CM19" i="1"/>
  <c r="CH103" i="1"/>
  <c r="CP103" i="1"/>
  <c r="CG103" i="1"/>
  <c r="CR103" i="1"/>
  <c r="CN12" i="1"/>
  <c r="CK103" i="1"/>
  <c r="CI57" i="1"/>
  <c r="CP57" i="1"/>
  <c r="CQ57" i="1"/>
  <c r="CH57" i="1"/>
  <c r="CL19" i="1"/>
  <c r="CO57" i="1"/>
  <c r="CQ19" i="1"/>
  <c r="CG57" i="1"/>
  <c r="CP43" i="1"/>
  <c r="CO14" i="1"/>
  <c r="CR113" i="1"/>
  <c r="CP70" i="1"/>
  <c r="CN7" i="1"/>
  <c r="CI19" i="1"/>
  <c r="CQ18" i="1"/>
  <c r="CJ4" i="1"/>
  <c r="CL4" i="1"/>
  <c r="CM57" i="1"/>
  <c r="CM113" i="1"/>
  <c r="CK67" i="1"/>
  <c r="CN81" i="1"/>
  <c r="CN18" i="1"/>
  <c r="CO81" i="1"/>
  <c r="CM18" i="1"/>
  <c r="CI18" i="1"/>
  <c r="CR18" i="1"/>
  <c r="CL62" i="1"/>
  <c r="CN2" i="1"/>
  <c r="CK18" i="1"/>
  <c r="CL117" i="1"/>
  <c r="CQ8" i="1"/>
  <c r="CI10" i="1"/>
  <c r="CQ117" i="1"/>
  <c r="CJ117" i="1"/>
  <c r="CH18" i="1"/>
  <c r="CP18" i="1"/>
  <c r="CL13" i="1"/>
  <c r="CH63" i="1"/>
  <c r="CG12" i="1"/>
  <c r="CG18" i="1"/>
  <c r="CO12" i="1"/>
  <c r="CR49" i="1"/>
  <c r="CO18" i="1"/>
  <c r="CG13" i="1"/>
  <c r="CL49" i="1"/>
  <c r="CR3" i="1"/>
  <c r="CJ13" i="1"/>
  <c r="CL18" i="1"/>
  <c r="CR13" i="1"/>
  <c r="CI81" i="1"/>
  <c r="CO13" i="1"/>
  <c r="CO117" i="1"/>
  <c r="CQ81" i="1"/>
  <c r="CM67" i="1"/>
  <c r="CP63" i="1"/>
  <c r="CJ12" i="1"/>
  <c r="CR112" i="1"/>
  <c r="CQ112" i="1"/>
  <c r="CP112" i="1"/>
  <c r="CM44" i="1"/>
  <c r="CN112" i="1"/>
  <c r="CM112" i="1"/>
  <c r="CJ112" i="1"/>
  <c r="CJ83" i="1"/>
  <c r="CO112" i="1"/>
  <c r="CP78" i="1"/>
  <c r="CH112" i="1"/>
  <c r="CG78" i="1"/>
  <c r="CK112" i="1"/>
  <c r="CI112" i="1"/>
  <c r="CR19" i="1"/>
  <c r="CR80" i="1"/>
  <c r="CL134" i="1"/>
  <c r="CQ66" i="1"/>
  <c r="CQ134" i="1"/>
  <c r="CK80" i="1"/>
  <c r="CK111" i="1"/>
  <c r="CN66" i="1"/>
  <c r="CN14" i="1"/>
  <c r="CP66" i="1"/>
  <c r="CL111" i="1"/>
  <c r="CH66" i="1"/>
  <c r="CO111" i="1"/>
  <c r="CO66" i="1"/>
  <c r="CN134" i="1"/>
  <c r="CI111" i="1"/>
  <c r="CK66" i="1"/>
  <c r="CM134" i="1"/>
  <c r="CH111" i="1"/>
  <c r="CO134" i="1"/>
  <c r="CI134" i="1"/>
  <c r="CR111" i="1"/>
  <c r="CI66" i="1"/>
  <c r="CQ80" i="1"/>
  <c r="CH134" i="1"/>
  <c r="CQ111" i="1"/>
  <c r="CP80" i="1"/>
  <c r="CG134" i="1"/>
  <c r="CN111" i="1"/>
  <c r="CR15" i="1"/>
  <c r="CO6" i="1"/>
  <c r="CR2" i="1"/>
  <c r="CM120" i="1"/>
  <c r="CJ80" i="1"/>
  <c r="CM80" i="1"/>
  <c r="CR134" i="1"/>
  <c r="CI98" i="1"/>
  <c r="CJ66" i="1"/>
  <c r="CR7" i="1"/>
  <c r="CO19" i="1"/>
  <c r="CK153" i="1"/>
  <c r="CO63" i="1"/>
  <c r="CR12" i="1"/>
  <c r="CG70" i="1"/>
  <c r="CP44" i="1"/>
  <c r="CL81" i="1"/>
  <c r="CL7" i="1"/>
  <c r="CI43" i="1"/>
  <c r="CR104" i="1"/>
  <c r="CJ57" i="1"/>
  <c r="CL44" i="1"/>
  <c r="CM3" i="1"/>
  <c r="CJ103" i="1"/>
  <c r="CM2" i="1"/>
  <c r="CH13" i="1"/>
  <c r="CK143" i="1"/>
  <c r="CJ2" i="1"/>
  <c r="CM16" i="1"/>
  <c r="CP17" i="1"/>
  <c r="CQ133" i="1"/>
  <c r="CI3" i="1"/>
  <c r="CN103" i="1"/>
  <c r="CP13" i="1"/>
  <c r="CJ49" i="1"/>
  <c r="CI2" i="1"/>
  <c r="CM153" i="1"/>
  <c r="CP14" i="1"/>
  <c r="CL133" i="1"/>
  <c r="CG3" i="1"/>
  <c r="CM104" i="1"/>
  <c r="CG19" i="1"/>
  <c r="CM49" i="1"/>
  <c r="CN63" i="1"/>
  <c r="CK10" i="1"/>
  <c r="CM12" i="1"/>
  <c r="CQ70" i="1"/>
  <c r="CR57" i="1"/>
  <c r="CH81" i="1"/>
  <c r="CP54" i="1"/>
  <c r="CM7" i="1"/>
  <c r="CI136" i="1"/>
  <c r="CO103" i="1"/>
  <c r="CN16" i="1"/>
  <c r="CL136" i="1"/>
  <c r="CL63" i="1"/>
  <c r="CQ10" i="1"/>
  <c r="CO136" i="1"/>
  <c r="CL12" i="1"/>
  <c r="CM6" i="1"/>
  <c r="CO104" i="1"/>
  <c r="CI49" i="1"/>
  <c r="CG53" i="1"/>
  <c r="CH4" i="1"/>
  <c r="CG7" i="1"/>
  <c r="CR136" i="1"/>
  <c r="CL103" i="1"/>
  <c r="CK63" i="1"/>
  <c r="CO10" i="1"/>
  <c r="CK12" i="1"/>
  <c r="CG6" i="1"/>
  <c r="CL104" i="1"/>
  <c r="CQ49" i="1"/>
  <c r="CI70" i="1"/>
  <c r="CR53" i="1"/>
  <c r="CQ65" i="1"/>
  <c r="CN136" i="1"/>
  <c r="CH104" i="1"/>
  <c r="CI53" i="1"/>
  <c r="CK104" i="1"/>
  <c r="CO53" i="1"/>
  <c r="CO7" i="1"/>
  <c r="CP65" i="1"/>
  <c r="CM136" i="1"/>
  <c r="CN19" i="1"/>
  <c r="CN43" i="1"/>
  <c r="CN78" i="1"/>
  <c r="CL112" i="1"/>
  <c r="CK6" i="1"/>
  <c r="CR9" i="1"/>
  <c r="CL53" i="1"/>
  <c r="CM65" i="1"/>
  <c r="CJ136" i="1"/>
  <c r="CI78" i="1"/>
  <c r="CK9" i="1"/>
  <c r="CJ65" i="1"/>
  <c r="CQ143" i="1"/>
  <c r="CM61" i="1"/>
  <c r="CI65" i="1"/>
  <c r="CP143" i="1"/>
  <c r="CI61" i="1"/>
  <c r="CG65" i="1"/>
  <c r="CN143" i="1"/>
  <c r="CL65" i="1"/>
  <c r="CK136" i="1"/>
  <c r="CQ104" i="1"/>
  <c r="CJ143" i="1"/>
  <c r="CN53" i="1"/>
  <c r="CQ53" i="1"/>
  <c r="CK65" i="1"/>
  <c r="CN104" i="1"/>
  <c r="CG143" i="1"/>
  <c r="CP53" i="1"/>
  <c r="CJ53" i="1"/>
  <c r="CG104" i="1"/>
  <c r="CL143" i="1"/>
  <c r="CM53" i="1"/>
  <c r="CJ14" i="1"/>
  <c r="CQ4" i="1"/>
  <c r="CO3" i="1"/>
  <c r="CI142" i="1"/>
  <c r="CK7" i="1"/>
  <c r="CK19" i="1"/>
  <c r="CM43" i="1"/>
  <c r="CP10" i="1"/>
  <c r="CH78" i="1"/>
  <c r="CN154" i="1"/>
  <c r="CJ113" i="1"/>
  <c r="CM70" i="1"/>
  <c r="CN9" i="1"/>
  <c r="CL8" i="1"/>
  <c r="CQ16" i="1"/>
  <c r="CH14" i="1"/>
  <c r="CK133" i="1"/>
  <c r="CO67" i="1"/>
  <c r="CH7" i="1"/>
  <c r="CG153" i="1"/>
  <c r="CJ43" i="1"/>
  <c r="CG10" i="1"/>
  <c r="CQ78" i="1"/>
  <c r="CQ113" i="1"/>
  <c r="CJ70" i="1"/>
  <c r="CH9" i="1"/>
  <c r="CK8" i="1"/>
  <c r="CP16" i="1"/>
  <c r="CQ153" i="1"/>
  <c r="CJ105" i="1"/>
  <c r="CG14" i="1"/>
  <c r="CL67" i="1"/>
  <c r="CL153" i="1"/>
  <c r="CL2" i="1"/>
  <c r="CG43" i="1"/>
  <c r="CL10" i="1"/>
  <c r="CO78" i="1"/>
  <c r="CK113" i="1"/>
  <c r="CR70" i="1"/>
  <c r="CO9" i="1"/>
  <c r="CJ16" i="1"/>
  <c r="CN57" i="1"/>
  <c r="CP81" i="1"/>
  <c r="CI4" i="1"/>
  <c r="CQ3" i="1"/>
  <c r="CK68" i="1"/>
  <c r="CQ6" i="1"/>
  <c r="CL9" i="1"/>
  <c r="CI16" i="1"/>
  <c r="CJ3" i="1"/>
  <c r="CQ42" i="1"/>
  <c r="CG42" i="1"/>
  <c r="CJ78" i="1"/>
  <c r="CM14" i="1"/>
  <c r="CJ133" i="1"/>
  <c r="CL3" i="1"/>
  <c r="CQ67" i="1"/>
  <c r="CP7" i="1"/>
  <c r="CH83" i="1"/>
  <c r="CO153" i="1"/>
  <c r="CM63" i="1"/>
  <c r="CL43" i="1"/>
  <c r="CM10" i="1"/>
  <c r="CQ62" i="1"/>
  <c r="CM9" i="1"/>
  <c r="CP113" i="1"/>
  <c r="CK154" i="1"/>
  <c r="CN6" i="1"/>
  <c r="CO70" i="1"/>
  <c r="CJ9" i="1"/>
  <c r="CQ2" i="1"/>
  <c r="CG16" i="1"/>
  <c r="CP153" i="1"/>
  <c r="CL57" i="1"/>
  <c r="CG17" i="1"/>
  <c r="CL14" i="1"/>
  <c r="CP133" i="1"/>
  <c r="CM4" i="1"/>
  <c r="CK3" i="1"/>
  <c r="CJ67" i="1"/>
  <c r="CM42" i="1"/>
  <c r="CJ7" i="1"/>
  <c r="CO83" i="1"/>
  <c r="CQ103" i="1"/>
  <c r="CP19" i="1"/>
  <c r="CP2" i="1"/>
  <c r="CI63" i="1"/>
  <c r="CK43" i="1"/>
  <c r="CJ10" i="1"/>
  <c r="CM62" i="1"/>
  <c r="CN113" i="1"/>
  <c r="CJ6" i="1"/>
  <c r="CL70" i="1"/>
  <c r="CI9" i="1"/>
  <c r="CO2" i="1"/>
  <c r="CO16" i="1"/>
  <c r="CN153" i="1"/>
  <c r="CR17" i="1"/>
  <c r="CK14" i="1"/>
  <c r="CM133" i="1"/>
  <c r="CR4" i="1"/>
  <c r="CH3" i="1"/>
  <c r="CN67" i="1"/>
  <c r="CJ42" i="1"/>
  <c r="CH10" i="1"/>
  <c r="CQ13" i="1"/>
  <c r="CR10" i="1"/>
  <c r="CI113" i="1"/>
  <c r="CR6" i="1"/>
  <c r="CQ9" i="1"/>
  <c r="CJ153" i="1"/>
  <c r="CI14" i="1"/>
  <c r="CJ81" i="1"/>
  <c r="CN133" i="1"/>
  <c r="CK4" i="1"/>
  <c r="CP3" i="1"/>
  <c r="CI67" i="1"/>
  <c r="CO42" i="1"/>
  <c r="CH113" i="1"/>
  <c r="CG9" i="1"/>
  <c r="CQ14" i="1"/>
  <c r="CO133" i="1"/>
  <c r="CP67" i="1"/>
  <c r="CL42" i="1"/>
  <c r="CK42" i="1"/>
  <c r="CP42" i="1"/>
  <c r="CG2" i="1"/>
  <c r="CI153" i="1"/>
  <c r="CK81" i="1"/>
  <c r="CI133" i="1"/>
  <c r="CI42" i="1"/>
  <c r="CR60" i="1"/>
  <c r="CR82" i="1"/>
  <c r="CO60" i="1"/>
  <c r="CO82" i="1"/>
  <c r="CL60" i="1"/>
  <c r="CP20" i="1"/>
  <c r="CL82" i="1"/>
  <c r="CI45" i="1"/>
  <c r="CK82" i="1"/>
  <c r="CH45" i="1"/>
  <c r="CQ11" i="1"/>
  <c r="CP45" i="1"/>
  <c r="CM11" i="1"/>
  <c r="CH82" i="1"/>
  <c r="CN20" i="1"/>
  <c r="CJ20" i="1"/>
  <c r="CR45" i="1"/>
  <c r="CJ11" i="1"/>
  <c r="CI20" i="1"/>
  <c r="CM45" i="1"/>
  <c r="CL15" i="1"/>
  <c r="CM8" i="1"/>
  <c r="CO45" i="1"/>
  <c r="CH11" i="1"/>
  <c r="CP60" i="1"/>
  <c r="CQ20" i="1"/>
  <c r="CQ84" i="1"/>
  <c r="CJ8" i="1"/>
  <c r="CL45" i="1"/>
  <c r="CP11" i="1"/>
  <c r="CM60" i="1"/>
  <c r="CM20" i="1"/>
  <c r="CJ84" i="1"/>
  <c r="CM84" i="1"/>
  <c r="CG8" i="1"/>
  <c r="CK45" i="1"/>
  <c r="CI120" i="1"/>
  <c r="CO98" i="1"/>
  <c r="CI11" i="1"/>
  <c r="CJ60" i="1"/>
  <c r="CH20" i="1"/>
  <c r="CG20" i="1"/>
  <c r="CQ82" i="1"/>
  <c r="CN45" i="1"/>
  <c r="CR8" i="1"/>
  <c r="CM68" i="1"/>
  <c r="CO11" i="1"/>
  <c r="CI60" i="1"/>
  <c r="CR20" i="1"/>
  <c r="CP82" i="1"/>
  <c r="CO8" i="1"/>
  <c r="CH120" i="1"/>
  <c r="CL66" i="1"/>
  <c r="CL68" i="1"/>
  <c r="CP61" i="1"/>
  <c r="CL11" i="1"/>
  <c r="CG60" i="1"/>
  <c r="CL20" i="1"/>
  <c r="CJ82" i="1"/>
  <c r="CK11" i="1"/>
  <c r="CJ76" i="1"/>
  <c r="CO105" i="1"/>
  <c r="CL83" i="1"/>
  <c r="CR76" i="1"/>
  <c r="CK62" i="1"/>
  <c r="CI84" i="1"/>
  <c r="CI15" i="1"/>
  <c r="CP117" i="1"/>
  <c r="CK44" i="1"/>
  <c r="CL105" i="1"/>
  <c r="CI17" i="1"/>
  <c r="CI5" i="1"/>
  <c r="CJ68" i="1"/>
  <c r="CO54" i="1"/>
  <c r="CK83" i="1"/>
  <c r="CO76" i="1"/>
  <c r="CG117" i="1"/>
  <c r="CG84" i="1"/>
  <c r="CH15" i="1"/>
  <c r="CN117" i="1"/>
  <c r="CK105" i="1"/>
  <c r="CJ17" i="1"/>
  <c r="CR5" i="1"/>
  <c r="CH68" i="1"/>
  <c r="CL54" i="1"/>
  <c r="CQ83" i="1"/>
  <c r="CL76" i="1"/>
  <c r="CL84" i="1"/>
  <c r="CQ15" i="1"/>
  <c r="CM117" i="1"/>
  <c r="CQ17" i="1"/>
  <c r="CL5" i="1"/>
  <c r="CI68" i="1"/>
  <c r="CK54" i="1"/>
  <c r="CN15" i="1"/>
  <c r="CK76" i="1"/>
  <c r="CI154" i="1"/>
  <c r="CK84" i="1"/>
  <c r="CP15" i="1"/>
  <c r="CN17" i="1"/>
  <c r="CK5" i="1"/>
  <c r="CG68" i="1"/>
  <c r="CJ62" i="1"/>
  <c r="CH154" i="1"/>
  <c r="CJ15" i="1"/>
  <c r="CM76" i="1"/>
  <c r="CM17" i="1"/>
  <c r="CH5" i="1"/>
  <c r="CR98" i="1"/>
  <c r="CR68" i="1"/>
  <c r="CM83" i="1"/>
  <c r="CI62" i="1"/>
  <c r="CR154" i="1"/>
  <c r="CG15" i="1"/>
  <c r="CN62" i="1"/>
  <c r="CQ44" i="1"/>
  <c r="CQ105" i="1"/>
  <c r="CH17" i="1"/>
  <c r="CO68" i="1"/>
  <c r="CN42" i="1"/>
  <c r="CP83" i="1"/>
  <c r="CQ154" i="1"/>
  <c r="CM105" i="1"/>
  <c r="CQ54" i="1"/>
  <c r="CN83" i="1"/>
  <c r="CM15" i="1"/>
  <c r="CG62" i="1"/>
  <c r="CI117" i="1"/>
  <c r="CP62" i="1"/>
  <c r="CO154" i="1"/>
  <c r="CJ44" i="1"/>
  <c r="CH105" i="1"/>
  <c r="CO17" i="1"/>
  <c r="CQ5" i="1"/>
  <c r="CP68" i="1"/>
  <c r="CJ69" i="1"/>
  <c r="CH42" i="1"/>
  <c r="CN54" i="1"/>
  <c r="CG83" i="1"/>
  <c r="CQ76" i="1"/>
  <c r="CR62" i="1"/>
  <c r="CP84" i="1"/>
  <c r="CH117" i="1"/>
  <c r="CI44" i="1"/>
  <c r="CP105" i="1"/>
  <c r="CL17" i="1"/>
  <c r="CP5" i="1"/>
  <c r="CQ68" i="1"/>
  <c r="CQ69" i="1"/>
  <c r="CM54" i="1"/>
  <c r="CR83" i="1"/>
  <c r="CP76" i="1"/>
  <c r="CO62" i="1"/>
  <c r="CN44" i="1"/>
  <c r="CN84" i="1"/>
  <c r="CR117" i="1"/>
  <c r="CL154" i="1"/>
  <c r="CG44" i="1"/>
  <c r="CI105" i="1"/>
  <c r="CM5" i="1"/>
  <c r="CI69" i="1"/>
  <c r="CI54" i="1"/>
  <c r="CJ71" i="1"/>
  <c r="CH65" i="1"/>
  <c r="CK60" i="1"/>
  <c r="CH136" i="1"/>
  <c r="CG111" i="1"/>
  <c r="CG80" i="1"/>
  <c r="CK134" i="1"/>
  <c r="CI8" i="1"/>
  <c r="CJ63" i="1"/>
  <c r="CH43" i="1"/>
  <c r="CO20" i="1"/>
  <c r="CK13" i="1"/>
  <c r="CN76" i="1"/>
  <c r="CP111" i="1"/>
  <c r="CR78" i="1"/>
  <c r="CM82" i="1"/>
  <c r="CP154" i="1"/>
  <c r="CH84" i="1"/>
  <c r="CG113" i="1"/>
  <c r="CO15" i="1"/>
  <c r="CM13" i="1"/>
  <c r="CP104" i="1"/>
  <c r="CI143" i="1"/>
  <c r="CN49" i="1"/>
  <c r="CK2" i="1"/>
  <c r="CQ45" i="1"/>
  <c r="CH44" i="1"/>
  <c r="CR16" i="1"/>
  <c r="CK53" i="1"/>
  <c r="CN105" i="1"/>
  <c r="CM81" i="1"/>
  <c r="CG5" i="1"/>
  <c r="CH71" i="1"/>
  <c r="CJ120" i="1"/>
  <c r="CH133" i="1"/>
  <c r="CH98" i="1"/>
  <c r="CG4" i="1"/>
  <c r="CM66" i="1"/>
  <c r="CH67" i="1"/>
  <c r="CN69" i="1"/>
  <c r="CN61" i="1"/>
  <c r="CH54" i="1"/>
  <c r="CN11" i="1"/>
  <c r="CH142" i="1"/>
  <c r="CI114" i="1"/>
  <c r="CN71" i="1"/>
  <c r="CR142" i="1"/>
  <c r="CH80" i="1"/>
  <c r="CR65" i="1"/>
  <c r="CH114" i="1"/>
  <c r="CQ136" i="1"/>
  <c r="CM143" i="1"/>
  <c r="CO80" i="1"/>
  <c r="CH8" i="1"/>
  <c r="CG63" i="1"/>
  <c r="CR43" i="1"/>
  <c r="CI76" i="1"/>
  <c r="CM111" i="1"/>
  <c r="CL78" i="1"/>
  <c r="CI12" i="1"/>
  <c r="CI82" i="1"/>
  <c r="CM154" i="1"/>
  <c r="CR84" i="1"/>
  <c r="CO113" i="1"/>
  <c r="CJ104" i="1"/>
  <c r="CR143" i="1"/>
  <c r="CK49" i="1"/>
  <c r="CN60" i="1"/>
  <c r="CP8" i="1"/>
  <c r="CJ45" i="1"/>
  <c r="CR44" i="1"/>
  <c r="CL16" i="1"/>
  <c r="CH153" i="1"/>
  <c r="CG105" i="1"/>
  <c r="CG81" i="1"/>
  <c r="CO5" i="1"/>
  <c r="CG71" i="1"/>
  <c r="CG120" i="1"/>
  <c r="CG133" i="1"/>
  <c r="CQ98" i="1"/>
  <c r="CO4" i="1"/>
  <c r="CG66" i="1"/>
  <c r="CG67" i="1"/>
  <c r="CG69" i="1"/>
  <c r="CG61" i="1"/>
  <c r="CG54" i="1"/>
  <c r="CG11" i="1"/>
  <c r="CQ142" i="1"/>
  <c r="CO65" i="1"/>
  <c r="CQ60" i="1"/>
  <c r="CQ114" i="1"/>
  <c r="CP136" i="1"/>
  <c r="CH143" i="1"/>
  <c r="CP49" i="1"/>
  <c r="CP134" i="1"/>
  <c r="CQ43" i="1"/>
  <c r="CR63" i="1"/>
  <c r="CI13" i="1"/>
  <c r="CG76" i="1"/>
  <c r="CK78" i="1"/>
  <c r="CG82" i="1"/>
  <c r="CJ154" i="1"/>
  <c r="CK16" i="1"/>
  <c r="CR71" i="1"/>
  <c r="CR120" i="1"/>
  <c r="CP98" i="1"/>
  <c r="CR69" i="1"/>
  <c r="CR61" i="1"/>
  <c r="CP142" i="1"/>
  <c r="CM114" i="1"/>
  <c r="CP114" i="1"/>
  <c r="CO71" i="1"/>
  <c r="CO120" i="1"/>
  <c r="CN98" i="1"/>
  <c r="CO69" i="1"/>
  <c r="CO61" i="1"/>
  <c r="CN142" i="1"/>
  <c r="CI6" i="1"/>
  <c r="CH6" i="1"/>
  <c r="CJ114" i="1"/>
  <c r="CL71" i="1"/>
  <c r="CL120" i="1"/>
  <c r="CM98" i="1"/>
  <c r="CL69" i="1"/>
  <c r="CL61" i="1"/>
  <c r="CM142" i="1"/>
  <c r="CG114" i="1"/>
  <c r="CK71" i="1"/>
  <c r="CK120" i="1"/>
  <c r="CJ98" i="1"/>
  <c r="CK69" i="1"/>
  <c r="CK61" i="1"/>
  <c r="CJ142" i="1"/>
  <c r="CH12" i="1"/>
  <c r="CP12" i="1"/>
  <c r="CR114" i="1"/>
  <c r="CQ71" i="1"/>
  <c r="CP120" i="1"/>
  <c r="CG98" i="1"/>
  <c r="CM69" i="1"/>
  <c r="CQ61" i="1"/>
  <c r="CG142" i="1"/>
  <c r="CO114" i="1"/>
  <c r="CP71" i="1"/>
  <c r="CO142" i="1"/>
  <c r="CL114" i="1"/>
  <c r="CI71" i="1"/>
  <c r="CQ120" i="1"/>
  <c r="CL98" i="1"/>
  <c r="CH69" i="1"/>
  <c r="CJ61" i="1"/>
  <c r="CL142" i="1"/>
  <c r="CI80" i="1"/>
  <c r="CN80" i="1"/>
  <c r="CK114" i="1"/>
  <c r="CR160" i="1" l="1"/>
  <c r="CN160" i="1"/>
  <c r="CJ160" i="1"/>
  <c r="CH160" i="1"/>
  <c r="CM160" i="1"/>
  <c r="CL160" i="1"/>
  <c r="CQ160" i="1"/>
  <c r="CG160" i="1"/>
  <c r="CK160" i="1"/>
  <c r="CP160" i="1"/>
  <c r="CO160" i="1"/>
  <c r="CI160" i="1"/>
</calcChain>
</file>

<file path=xl/sharedStrings.xml><?xml version="1.0" encoding="utf-8"?>
<sst xmlns="http://schemas.openxmlformats.org/spreadsheetml/2006/main" count="742" uniqueCount="288">
  <si>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</si>
  <si>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</si>
  <si>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</si>
  <si>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</si>
  <si>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</si>
  <si>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</si>
  <si>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</si>
  <si>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</si>
  <si>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</si>
  <si>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</si>
  <si>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</si>
  <si>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</si>
  <si>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</si>
  <si>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</si>
  <si>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</si>
  <si>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</si>
  <si>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</si>
  <si>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</si>
  <si>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</si>
  <si>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</si>
  <si>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</si>
  <si>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</si>
  <si>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</si>
  <si>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</si>
  <si>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</si>
  <si>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</si>
  <si>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</si>
  <si>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</si>
  <si>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</si>
  <si>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</si>
  <si>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</si>
  <si>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</si>
  <si>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</si>
  <si>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</si>
  <si>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</si>
  <si>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</si>
  <si>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</si>
  <si>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</si>
  <si>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</si>
  <si>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</si>
  <si>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</si>
  <si>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</si>
  <si>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</si>
  <si>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</si>
  <si>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</si>
  <si>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</si>
  <si>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</si>
  <si>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</si>
  <si>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</si>
  <si>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</si>
  <si>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</si>
  <si>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</si>
  <si>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</si>
  <si>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</si>
  <si>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</si>
  <si>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</si>
  <si>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</si>
  <si>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</si>
  <si>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</si>
  <si>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</si>
  <si>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</si>
  <si>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</si>
  <si>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</si>
  <si>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</si>
  <si>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</si>
  <si>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</si>
  <si>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</si>
  <si>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</si>
  <si>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</si>
  <si>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</si>
  <si>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</si>
  <si>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</si>
  <si>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</si>
  <si>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</si>
  <si>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</si>
  <si>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</si>
  <si>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</si>
  <si>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</si>
  <si>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</si>
  <si>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</si>
  <si>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</si>
  <si>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</si>
  <si>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</si>
  <si>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</si>
  <si>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</si>
  <si>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</si>
  <si>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</si>
  <si>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</si>
  <si>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</si>
  <si>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</si>
  <si>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</si>
  <si>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</si>
  <si>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</si>
  <si>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</si>
  <si>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</si>
  <si>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</si>
  <si>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</si>
  <si>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</si>
  <si>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</si>
  <si>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</si>
  <si>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</si>
  <si>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</si>
  <si>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</si>
  <si>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</si>
  <si>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</si>
  <si>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</si>
  <si>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</si>
  <si>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</si>
  <si>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</si>
  <si>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</si>
  <si>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</si>
  <si>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</si>
  <si>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</si>
  <si>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</si>
  <si>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</si>
  <si>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</si>
  <si>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</si>
  <si>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</si>
  <si>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</si>
  <si>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</si>
  <si>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</si>
  <si>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</si>
  <si>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</si>
  <si>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</si>
  <si>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</si>
  <si>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</si>
  <si>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</si>
  <si>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</si>
  <si>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</si>
  <si>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</si>
  <si>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</si>
  <si>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</si>
  <si>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</si>
  <si>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</si>
  <si>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</si>
  <si>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</si>
  <si>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</si>
  <si>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</si>
  <si>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</si>
  <si>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</si>
  <si>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</si>
  <si>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</si>
  <si>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</si>
  <si>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</si>
  <si>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</si>
  <si>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</si>
  <si>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</si>
  <si>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</si>
  <si>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</si>
  <si>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</si>
  <si>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</si>
  <si>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</si>
  <si>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</si>
  <si>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</si>
  <si>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</si>
  <si>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</si>
  <si>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</si>
  <si>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</si>
  <si>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羽妖仔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</si>
  <si>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</si>
  <si>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</si>
  <si>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</si>
  <si>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</si>
  <si>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</si>
  <si>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</si>
  <si>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</si>
  <si>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</si>
  <si>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</si>
  <si>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</si>
  <si>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</si>
  <si>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</si>
  <si>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</si>
  <si>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</si>
  <si>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</si>
  <si>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</si>
  <si>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</si>
  <si>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</si>
  <si>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</si>
  <si>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</si>
  <si>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</si>
  <si>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</si>
  <si>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</si>
  <si>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</si>
  <si>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</si>
  <si>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</si>
  <si>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</si>
  <si>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</si>
  <si>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</si>
  <si>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</si>
  <si>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</si>
  <si>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</si>
  <si>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</si>
  <si>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</si>
  <si>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</si>
  <si>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</si>
  <si>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</si>
  <si>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</si>
  <si>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</si>
  <si>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</si>
  <si>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</si>
  <si>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</si>
  <si>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</si>
  <si>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</si>
  <si>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</si>
  <si>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糯米(2),</t>
    <phoneticPr fontId="1" type="noConversion"/>
  </si>
  <si>
    <t>崆峒印(3),_x000D_
智慧符文叉大(2),</t>
    <phoneticPr fontId="1" type="noConversion"/>
  </si>
  <si>
    <t>炼妖壶(3),</t>
    <phoneticPr fontId="1" type="noConversion"/>
  </si>
  <si>
    <t>太一之轮(12),_x000D_
幸运符文叉大(8),</t>
    <phoneticPr fontId="1" type="noConversion"/>
  </si>
  <si>
    <t>金钗(1),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</si>
  <si>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</si>
  <si>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</si>
  <si>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</si>
  <si>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女娲石(4),_x000D_
神农鼎(12),_x000D_
幸运符文叉大(3),</t>
    <phoneticPr fontId="1" type="noConversion"/>
  </si>
  <si>
    <t>神农鼎(3),_x000D_
龙灵不朽藤(8),</t>
    <phoneticPr fontId="1" type="noConversion"/>
  </si>
  <si>
    <t>龙灵不朽藤(8),</t>
    <phoneticPr fontId="1" type="noConversion"/>
  </si>
  <si>
    <t>金甲虫(3),</t>
    <phoneticPr fontId="1" type="noConversion"/>
  </si>
  <si>
    <t>金钗(11),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</si>
  <si>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</si>
  <si>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</si>
  <si>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</si>
  <si>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庄家令牌小(2),_x000D_
庄家令牌中(3),</t>
    <phoneticPr fontId="1" type="noConversion"/>
  </si>
  <si>
    <t>糯米(5),_x000D_
粽叶(1),</t>
    <phoneticPr fontId="1" type="noConversion"/>
  </si>
  <si>
    <t>六方天运骰(5),_x000D_
力量符文叉大(1),</t>
    <phoneticPr fontId="1" type="noConversion"/>
  </si>
  <si>
    <t>筹码中(4),_x000D_
庄家令牌小(2),</t>
    <phoneticPr fontId="1" type="noConversion"/>
  </si>
  <si>
    <t>炼妖壶(2),_x000D_
仙丹(5),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</si>
  <si>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</si>
  <si>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</si>
  <si>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</si>
  <si>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钱袋大(10),_x000D_
筹码大(9),_x000D_
秘窟冰晶卵(4),</t>
    <phoneticPr fontId="1" type="noConversion"/>
  </si>
  <si>
    <t>女娲石(4),_x000D_
神农鼎(12),_x000D_
龙灵不朽藤(13),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</si>
  <si>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</si>
  <si>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</si>
  <si>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</si>
  <si>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庄家令牌小(2),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</si>
  <si>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</si>
  <si>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</si>
  <si>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神农鼎(7),_x000D_
欠条大(8),_x000D_
骰子大(4),</t>
    <phoneticPr fontId="1" type="noConversion"/>
  </si>
  <si>
    <t>炼妖壶(12),_x000D_
神农鼎(12),_x000D_
幸运符文叉大(3),</t>
    <phoneticPr fontId="1" type="noConversion"/>
  </si>
  <si>
    <t>神农鼎(7),_x000D_
欠条大(8),_x000D_
钱袋大(10),_x000D_
月冕霓晴符(7),</t>
    <phoneticPr fontId="1" type="noConversion"/>
  </si>
  <si>
    <t>太一之轮(2),_x000D_
欠条大(8),_x000D_
骰子大(4),_x000D_
龙灵不朽藤(8),</t>
    <phoneticPr fontId="1" type="noConversion"/>
  </si>
  <si>
    <t>糯米(10),_x000D_
粽叶(10),_x000D_
龙灵不朽藤(3),</t>
    <phoneticPr fontId="1" type="noConversion"/>
  </si>
  <si>
    <t>赤焰十字星(25),_x000D_
力量符文叉大(21),_x000D_
逆鳞(10),_x000D_
星座素材火(2),</t>
    <phoneticPr fontId="1" type="noConversion"/>
  </si>
  <si>
    <t>超进阶素材土(45),_x000D_
超进阶素材木(50),_x000D_
超进阶素材光(50),_x000D_
超进阶素材暗(50),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</si>
  <si>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</si>
  <si>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</si>
  <si>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</si>
  <si>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</si>
  <si>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东皇钟(2),</t>
    <phoneticPr fontId="1" type="noConversion"/>
  </si>
  <si>
    <t>神农鼎(2),</t>
    <phoneticPr fontId="1" type="noConversion"/>
  </si>
  <si>
    <t>炼妖壶(2),</t>
    <phoneticPr fontId="1" type="noConversion"/>
  </si>
  <si>
    <t>神农鼎(3),</t>
    <phoneticPr fontId="1" type="noConversion"/>
  </si>
  <si>
    <t>庄家令牌中(3),</t>
    <phoneticPr fontId="1" type="noConversion"/>
  </si>
  <si>
    <t>龙灵不朽藤(3),</t>
    <phoneticPr fontId="1" type="noConversion"/>
  </si>
  <si>
    <t>秘窟冰晶卵(4),</t>
    <phoneticPr fontId="1" type="noConversion"/>
  </si>
  <si>
    <t>螃蟹(5),</t>
    <phoneticPr fontId="1" type="noConversion"/>
  </si>
  <si>
    <t>桂花(5),</t>
    <phoneticPr fontId="1" type="noConversion"/>
  </si>
  <si>
    <t>神农鼎(7),</t>
    <phoneticPr fontId="1" type="noConversion"/>
  </si>
  <si>
    <t>秘窟冰晶卵(9),</t>
    <phoneticPr fontId="1" type="noConversion"/>
  </si>
  <si>
    <t>东皇钟(12),</t>
    <phoneticPr fontId="1" type="noConversion"/>
  </si>
  <si>
    <t>炼妖壶(17),</t>
    <phoneticPr fontId="1" type="noConversion"/>
  </si>
  <si>
    <t>彗星(25),</t>
    <phoneticPr fontId="1" type="noConversion"/>
  </si>
  <si>
    <t>东皇钟(2),_x000D_
幸运符文叉大(3),</t>
    <phoneticPr fontId="1" type="noConversion"/>
  </si>
  <si>
    <t>骰子中(3),_x000D_
庄家令牌小(2),</t>
  </si>
  <si>
    <t>骰子中(3),_x000D_
庄家令牌小(2),</t>
    <phoneticPr fontId="1" type="noConversion"/>
  </si>
  <si>
    <t>欠条中(4),_x000D_
庄家令牌小(2),</t>
    <phoneticPr fontId="1" type="noConversion"/>
  </si>
  <si>
    <t>神农鼎(3),_x000D_
秘窟冰晶卵(4),</t>
    <phoneticPr fontId="1" type="noConversion"/>
  </si>
  <si>
    <t>炼妖壶(3),_x000D_
秘窟冰晶卵(4),</t>
    <phoneticPr fontId="1" type="noConversion"/>
  </si>
  <si>
    <t>神农鼎(3),_x000D_
月冕霓晴符(5),</t>
    <phoneticPr fontId="1" type="noConversion"/>
  </si>
  <si>
    <t>糯米(3),_x000D_
粽叶(5),</t>
    <phoneticPr fontId="1" type="noConversion"/>
  </si>
  <si>
    <t>东皇钟(2),_x000D_
炼妖壶(7),</t>
    <phoneticPr fontId="1" type="noConversion"/>
  </si>
  <si>
    <t>太一之轮(7),_x000D_
幸运符文叉大(3),</t>
    <phoneticPr fontId="1" type="noConversion"/>
  </si>
  <si>
    <t>骰子大(4),_x000D_
庄家令牌大(6),</t>
  </si>
  <si>
    <t>骰子大(4),_x000D_
庄家令牌大(6),</t>
    <phoneticPr fontId="1" type="noConversion"/>
  </si>
  <si>
    <t>东皇钟(7),_x000D_
女娲石(4),</t>
    <phoneticPr fontId="1" type="noConversion"/>
  </si>
  <si>
    <t>炼妖壶(3),_x000D_
龙灵不朽藤(8),</t>
    <phoneticPr fontId="1" type="noConversion"/>
  </si>
  <si>
    <t>糯米(5),_x000D_
粽叶(10),</t>
    <phoneticPr fontId="1" type="noConversion"/>
  </si>
  <si>
    <t>欠条中(4),_x000D_
筹码中(4),_x000D_
筹码大(1),</t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</si>
  <si>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</si>
  <si>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</si>
  <si>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东皇钟(7),_x000D_
崆峒印(8),_x000D_
幸运符文叉大(3),</t>
    <phoneticPr fontId="1" type="noConversion"/>
  </si>
  <si>
    <t>女娲石(9),_x000D_
神农鼎(17),_x000D_
幸运符文叉大(8),</t>
    <phoneticPr fontId="1" type="noConversion"/>
  </si>
  <si>
    <t>神农鼎(4),_x000D_
欠条中(6),_x000D_
钱袋中(2),_x000D_
筹码大(6),</t>
    <phoneticPr fontId="1" type="noConversion"/>
  </si>
  <si>
    <t>东皇钟(2),_x000D_
欠条大(8),_x000D_
钱袋大(10),_x000D_
月冕霓晴符(7),</t>
    <phoneticPr fontId="1" type="noConversion"/>
  </si>
  <si>
    <t>超进阶素材水(45),_x000D_
超进阶素材火(50),_x000D_
超进阶素材光(50),_x000D_
超进阶素材暗(50),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</si>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</sst>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164</xdr:row>
          <xdr:rowOff>28575</xdr:rowOff>
        </xdr:from>
        <xdr:to>
          <xdr:col>1</xdr:col>
          <xdr:colOff>428625</xdr:colOff>
          <xdr:row>165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2"/>
  <sheetViews>
    <sheetView tabSelected="1" workbookViewId="0">
      <pane xSplit="2" ySplit="1" topLeftCell="C116" activePane="bottomRight" state="frozen"/>
      <selection pane="topRight" activeCell="C1" sqref="C1"/>
      <selection pane="bottomLeft" activeCell="A3" sqref="A3"/>
      <selection pane="bottomRight" activeCell="B122" sqref="B12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96</v>
      </c>
      <c r="B1" s="8" t="s">
        <v>97</v>
      </c>
      <c r="C1" s="8" t="s">
        <v>99</v>
      </c>
      <c r="D1" s="8" t="s">
        <v>98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93</v>
      </c>
      <c r="K1" s="9" t="s">
        <v>30</v>
      </c>
      <c r="L1" s="9" t="s">
        <v>54</v>
      </c>
      <c r="M1" s="9" t="s">
        <v>60</v>
      </c>
      <c r="N1" s="9" t="s">
        <v>66</v>
      </c>
      <c r="O1" s="9" t="s">
        <v>59</v>
      </c>
      <c r="P1" s="31" t="s">
        <v>163</v>
      </c>
      <c r="Q1" s="31" t="s">
        <v>175</v>
      </c>
      <c r="R1" s="31" t="s">
        <v>169</v>
      </c>
      <c r="S1" s="31" t="s">
        <v>164</v>
      </c>
      <c r="T1" s="31" t="s">
        <v>173</v>
      </c>
      <c r="U1" s="31" t="s">
        <v>179</v>
      </c>
      <c r="V1" s="31" t="s">
        <v>165</v>
      </c>
      <c r="W1" s="31" t="s">
        <v>172</v>
      </c>
      <c r="X1" s="31" t="s">
        <v>170</v>
      </c>
      <c r="Y1" s="31" t="s">
        <v>166</v>
      </c>
      <c r="Z1" s="31" t="s">
        <v>174</v>
      </c>
      <c r="AA1" s="31" t="s">
        <v>181</v>
      </c>
      <c r="AB1" s="31" t="s">
        <v>168</v>
      </c>
      <c r="AC1" s="31" t="s">
        <v>167</v>
      </c>
      <c r="AD1" s="31" t="s">
        <v>197</v>
      </c>
      <c r="AE1" s="8" t="s">
        <v>10</v>
      </c>
      <c r="AF1" s="8" t="s">
        <v>36</v>
      </c>
      <c r="AG1" s="8" t="s">
        <v>37</v>
      </c>
      <c r="AH1" s="8" t="s">
        <v>82</v>
      </c>
      <c r="AI1" s="8" t="s">
        <v>83</v>
      </c>
      <c r="AJ1" s="8" t="s">
        <v>85</v>
      </c>
      <c r="AK1" s="8" t="s">
        <v>86</v>
      </c>
      <c r="AL1" s="8" t="s">
        <v>88</v>
      </c>
      <c r="AM1" s="8" t="s">
        <v>67</v>
      </c>
      <c r="AN1" s="8" t="s">
        <v>69</v>
      </c>
      <c r="AO1" s="8" t="s">
        <v>131</v>
      </c>
      <c r="AP1" s="8" t="s">
        <v>132</v>
      </c>
      <c r="AQ1" s="10" t="s">
        <v>50</v>
      </c>
      <c r="AR1" s="10" t="s">
        <v>5</v>
      </c>
      <c r="AS1" s="10" t="s">
        <v>34</v>
      </c>
      <c r="AT1" s="10" t="s">
        <v>72</v>
      </c>
      <c r="AU1" s="10" t="s">
        <v>80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127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104</v>
      </c>
      <c r="BQ1" s="8" t="s">
        <v>105</v>
      </c>
      <c r="BR1" s="16" t="s">
        <v>106</v>
      </c>
      <c r="BS1" s="16"/>
      <c r="BT1" s="10" t="s">
        <v>50</v>
      </c>
      <c r="BU1" s="10" t="s">
        <v>5</v>
      </c>
      <c r="BV1" s="10" t="s">
        <v>34</v>
      </c>
      <c r="BW1" s="10" t="s">
        <v>72</v>
      </c>
      <c r="BX1" s="10" t="s">
        <v>80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72</v>
      </c>
      <c r="CK1" s="10" t="s">
        <v>80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20" si="0">SUM(E2:BO2)</f>
        <v>80</v>
      </c>
      <c r="BQ2" s="1">
        <v>0</v>
      </c>
      <c r="BR2" s="17">
        <v>0</v>
      </c>
      <c r="BS2" s="17"/>
      <c r="BT2" s="1" t="str">
        <f>IF(AQ2&gt;AQ$161, AQ2-AQ$161,"")</f>
        <v/>
      </c>
      <c r="BU2" s="1" t="str">
        <f>IF(AR2&gt;AR$161, AR2-AR$161,"")</f>
        <v/>
      </c>
      <c r="BV2" s="1" t="str">
        <f>IF(AS2&gt;AS$161, AS2-AS$161,"")</f>
        <v/>
      </c>
      <c r="BW2" s="1" t="str">
        <f>IF(AT2&gt;AT$161, AT2-AT$161,"")</f>
        <v/>
      </c>
      <c r="BX2" s="1" t="str">
        <f>IF(AU2&gt;AU$161, AU2-AU$161,"")</f>
        <v/>
      </c>
      <c r="BY2" s="1" t="str">
        <f>IF(AV2&gt;AV$161, AV2-AV$161,"")</f>
        <v/>
      </c>
      <c r="BZ2" s="1" t="str">
        <f>IF(AW2&gt;AW$161, AW2-AW$161,"")</f>
        <v/>
      </c>
      <c r="CA2" s="1" t="str">
        <f>IF(AX2&gt;AX$161, AX2-AX$161,"")</f>
        <v/>
      </c>
      <c r="CB2" s="1" t="str">
        <f>IF(AY2&gt;AY$161, AY2-AY$161,"")</f>
        <v/>
      </c>
      <c r="CC2" s="1" t="str">
        <f>IF(AZ2&gt;AZ$161, AZ2-AZ$161,"")</f>
        <v/>
      </c>
      <c r="CD2" s="1" t="str">
        <f>IF(BA2&gt;BA$161, BA2-BA$161,"")</f>
        <v/>
      </c>
      <c r="CE2" s="1" t="str">
        <f>IF(BB2&gt;BB$161, BB2-BB$161,"")</f>
        <v/>
      </c>
      <c r="CF2" s="1">
        <f>12-COUNTA(BT2:CE2)</f>
        <v>0</v>
      </c>
      <c r="CG2" s="1" t="str">
        <f t="shared" ref="CG2:CG20" si="1">IF($CF2=1,BT2,"")</f>
        <v/>
      </c>
      <c r="CH2" s="1" t="str">
        <f t="shared" ref="CH2:CH20" si="2">IF($CF2=1,BU2,"")</f>
        <v/>
      </c>
      <c r="CI2" s="1" t="str">
        <f t="shared" ref="CI2:CI20" si="3">IF($CF2=1,BV2,"")</f>
        <v/>
      </c>
      <c r="CJ2" s="1" t="str">
        <f t="shared" ref="CJ2:CJ20" si="4">IF($CF2=1,BW2,"")</f>
        <v/>
      </c>
      <c r="CK2" s="1" t="str">
        <f t="shared" ref="CK2:CK20" si="5">IF($CF2=1,BX2,"")</f>
        <v/>
      </c>
      <c r="CL2" s="1" t="str">
        <f t="shared" ref="CL2:CL20" si="6">IF($CF2=1,BY2,"")</f>
        <v/>
      </c>
      <c r="CM2" s="1" t="str">
        <f t="shared" ref="CM2:CM20" si="7">IF($CF2=1,BZ2,"")</f>
        <v/>
      </c>
      <c r="CN2" s="1" t="str">
        <f t="shared" ref="CN2:CN20" si="8">IF($CF2=1,CA2,"")</f>
        <v/>
      </c>
      <c r="CO2" s="1" t="str">
        <f t="shared" ref="CO2:CO20" si="9">IF($CF2=1,CB2,"")</f>
        <v/>
      </c>
      <c r="CP2" s="1" t="str">
        <f t="shared" ref="CP2:CP20" si="10">IF($CF2=1,CC2,"")</f>
        <v/>
      </c>
      <c r="CQ2" s="1" t="str">
        <f t="shared" ref="CQ2:CQ20" si="11">IF($CF2=1,CD2,"")</f>
        <v/>
      </c>
      <c r="CR2" s="1" t="str">
        <f t="shared" ref="CR2:CR20" si="12">IF($CF2=1,CE2,"")</f>
        <v/>
      </c>
      <c r="CS2" s="18">
        <f t="shared" ref="CS2:CS20" si="13"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IF(AQ3&gt;AQ$161, AQ3-AQ$161,"")</f>
        <v/>
      </c>
      <c r="BU3" s="1" t="str">
        <f>IF(AR3&gt;AR$161, AR3-AR$161,"")</f>
        <v/>
      </c>
      <c r="BV3" s="1" t="str">
        <f>IF(AS3&gt;AS$161, AS3-AS$161,"")</f>
        <v/>
      </c>
      <c r="BW3" s="1" t="str">
        <f>IF(AT3&gt;AT$161, AT3-AT$161,"")</f>
        <v/>
      </c>
      <c r="BX3" s="1" t="str">
        <f>IF(AU3&gt;AU$161, AU3-AU$161,"")</f>
        <v/>
      </c>
      <c r="BY3" s="1" t="str">
        <f>IF(AV3&gt;AV$161, AV3-AV$161,"")</f>
        <v/>
      </c>
      <c r="BZ3" s="1" t="str">
        <f>IF(AW3&gt;AW$161, AW3-AW$161,"")</f>
        <v/>
      </c>
      <c r="CA3" s="1" t="str">
        <f>IF(AX3&gt;AX$161, AX3-AX$161,"")</f>
        <v/>
      </c>
      <c r="CB3" s="1" t="str">
        <f>IF(AY3&gt;AY$161, AY3-AY$161,"")</f>
        <v/>
      </c>
      <c r="CC3" s="1" t="str">
        <f>IF(AZ3&gt;AZ$161, AZ3-AZ$161,"")</f>
        <v/>
      </c>
      <c r="CD3" s="1" t="str">
        <f>IF(BA3&gt;BA$161, BA3-BA$161,"")</f>
        <v/>
      </c>
      <c r="CE3" s="1" t="str">
        <f>IF(BB3&gt;BB$161, BB3-BB$161,"")</f>
        <v/>
      </c>
      <c r="CF3" s="1">
        <f>12-COUNTA(BT3:CE3)</f>
        <v>0</v>
      </c>
      <c r="CG3" s="1" t="str">
        <f t="shared" si="1"/>
        <v/>
      </c>
      <c r="CH3" s="1" t="str">
        <f t="shared" si="2"/>
        <v/>
      </c>
      <c r="CI3" s="1" t="str">
        <f t="shared" si="3"/>
        <v/>
      </c>
      <c r="CJ3" s="1" t="str">
        <f t="shared" si="4"/>
        <v/>
      </c>
      <c r="CK3" s="1" t="str">
        <f t="shared" si="5"/>
        <v/>
      </c>
      <c r="CL3" s="1" t="str">
        <f t="shared" si="6"/>
        <v/>
      </c>
      <c r="CM3" s="1" t="str">
        <f t="shared" si="7"/>
        <v/>
      </c>
      <c r="CN3" s="1" t="str">
        <f t="shared" si="8"/>
        <v/>
      </c>
      <c r="CO3" s="1" t="str">
        <f t="shared" si="9"/>
        <v/>
      </c>
      <c r="CP3" s="1" t="str">
        <f t="shared" si="10"/>
        <v/>
      </c>
      <c r="CQ3" s="1" t="str">
        <f t="shared" si="11"/>
        <v/>
      </c>
      <c r="CR3" s="1" t="str">
        <f t="shared" si="12"/>
        <v/>
      </c>
      <c r="CS3" s="18">
        <f t="shared" si="13"/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IF(AQ4&gt;AQ$161, AQ4-AQ$161,"")</f>
        <v/>
      </c>
      <c r="BU4" s="1" t="str">
        <f>IF(AR4&gt;AR$161, AR4-AR$161,"")</f>
        <v/>
      </c>
      <c r="BV4" s="1" t="str">
        <f>IF(AS4&gt;AS$161, AS4-AS$161,"")</f>
        <v/>
      </c>
      <c r="BW4" s="1" t="str">
        <f>IF(AT4&gt;AT$161, AT4-AT$161,"")</f>
        <v/>
      </c>
      <c r="BX4" s="1" t="str">
        <f>IF(AU4&gt;AU$161, AU4-AU$161,"")</f>
        <v/>
      </c>
      <c r="BY4" s="1" t="str">
        <f>IF(AV4&gt;AV$161, AV4-AV$161,"")</f>
        <v/>
      </c>
      <c r="BZ4" s="1" t="str">
        <f>IF(AW4&gt;AW$161, AW4-AW$161,"")</f>
        <v/>
      </c>
      <c r="CA4" s="1" t="str">
        <f>IF(AX4&gt;AX$161, AX4-AX$161,"")</f>
        <v/>
      </c>
      <c r="CB4" s="1" t="str">
        <f>IF(AY4&gt;AY$161, AY4-AY$161,"")</f>
        <v/>
      </c>
      <c r="CC4" s="1" t="str">
        <f>IF(AZ4&gt;AZ$161, AZ4-AZ$161,"")</f>
        <v/>
      </c>
      <c r="CD4" s="1" t="str">
        <f>IF(BA4&gt;BA$161, BA4-BA$161,"")</f>
        <v/>
      </c>
      <c r="CE4" s="1" t="str">
        <f>IF(BB4&gt;BB$161, BB4-BB$161,"")</f>
        <v/>
      </c>
      <c r="CF4" s="1">
        <f>12-COUNTA(BT4:CE4)</f>
        <v>0</v>
      </c>
      <c r="CG4" s="1" t="str">
        <f t="shared" si="1"/>
        <v/>
      </c>
      <c r="CH4" s="1" t="str">
        <f t="shared" si="2"/>
        <v/>
      </c>
      <c r="CI4" s="1" t="str">
        <f t="shared" si="3"/>
        <v/>
      </c>
      <c r="CJ4" s="1" t="str">
        <f t="shared" si="4"/>
        <v/>
      </c>
      <c r="CK4" s="1" t="str">
        <f t="shared" si="5"/>
        <v/>
      </c>
      <c r="CL4" s="1" t="str">
        <f t="shared" si="6"/>
        <v/>
      </c>
      <c r="CM4" s="1" t="str">
        <f t="shared" si="7"/>
        <v/>
      </c>
      <c r="CN4" s="1" t="str">
        <f t="shared" si="8"/>
        <v/>
      </c>
      <c r="CO4" s="1" t="str">
        <f t="shared" si="9"/>
        <v/>
      </c>
      <c r="CP4" s="1" t="str">
        <f t="shared" si="10"/>
        <v/>
      </c>
      <c r="CQ4" s="1" t="str">
        <f t="shared" si="11"/>
        <v/>
      </c>
      <c r="CR4" s="1" t="str">
        <f t="shared" si="12"/>
        <v/>
      </c>
      <c r="CS4" s="18">
        <f t="shared" si="13"/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IF(AQ5&gt;AQ$161, AQ5-AQ$161,"")</f>
        <v/>
      </c>
      <c r="BU5" s="1" t="str">
        <f>IF(AR5&gt;AR$161, AR5-AR$161,"")</f>
        <v/>
      </c>
      <c r="BV5" s="1" t="str">
        <f>IF(AS5&gt;AS$161, AS5-AS$161,"")</f>
        <v/>
      </c>
      <c r="BW5" s="1" t="str">
        <f>IF(AT5&gt;AT$161, AT5-AT$161,"")</f>
        <v/>
      </c>
      <c r="BX5" s="1" t="str">
        <f>IF(AU5&gt;AU$161, AU5-AU$161,"")</f>
        <v/>
      </c>
      <c r="BY5" s="1" t="str">
        <f>IF(AV5&gt;AV$161, AV5-AV$161,"")</f>
        <v/>
      </c>
      <c r="BZ5" s="1" t="str">
        <f>IF(AW5&gt;AW$161, AW5-AW$161,"")</f>
        <v/>
      </c>
      <c r="CA5" s="1" t="str">
        <f>IF(AX5&gt;AX$161, AX5-AX$161,"")</f>
        <v/>
      </c>
      <c r="CB5" s="1" t="str">
        <f>IF(AY5&gt;AY$161, AY5-AY$161,"")</f>
        <v/>
      </c>
      <c r="CC5" s="1" t="str">
        <f>IF(AZ5&gt;AZ$161, AZ5-AZ$161,"")</f>
        <v/>
      </c>
      <c r="CD5" s="1" t="str">
        <f>IF(BA5&gt;BA$161, BA5-BA$161,"")</f>
        <v/>
      </c>
      <c r="CE5" s="1" t="str">
        <f>IF(BB5&gt;BB$161, BB5-BB$161,"")</f>
        <v/>
      </c>
      <c r="CF5" s="1">
        <f>12-COUNTA(BT5:CE5)</f>
        <v>0</v>
      </c>
      <c r="CG5" s="1" t="str">
        <f t="shared" si="1"/>
        <v/>
      </c>
      <c r="CH5" s="1" t="str">
        <f t="shared" si="2"/>
        <v/>
      </c>
      <c r="CI5" s="1" t="str">
        <f t="shared" si="3"/>
        <v/>
      </c>
      <c r="CJ5" s="1" t="str">
        <f t="shared" si="4"/>
        <v/>
      </c>
      <c r="CK5" s="1" t="str">
        <f t="shared" si="5"/>
        <v/>
      </c>
      <c r="CL5" s="1" t="str">
        <f t="shared" si="6"/>
        <v/>
      </c>
      <c r="CM5" s="1" t="str">
        <f t="shared" si="7"/>
        <v/>
      </c>
      <c r="CN5" s="1" t="str">
        <f t="shared" si="8"/>
        <v/>
      </c>
      <c r="CO5" s="1" t="str">
        <f t="shared" si="9"/>
        <v/>
      </c>
      <c r="CP5" s="1" t="str">
        <f t="shared" si="10"/>
        <v/>
      </c>
      <c r="CQ5" s="1" t="str">
        <f t="shared" si="11"/>
        <v/>
      </c>
      <c r="CR5" s="1" t="str">
        <f t="shared" si="12"/>
        <v/>
      </c>
      <c r="CS5" s="18">
        <f t="shared" si="13"/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 t="shared" si="0"/>
        <v>5</v>
      </c>
      <c r="BQ6" s="19">
        <v>0</v>
      </c>
      <c r="BR6" s="23">
        <v>0</v>
      </c>
      <c r="BS6" s="23"/>
      <c r="BT6" s="19" t="str">
        <f>IF(AQ6&gt;AQ$161, AQ6-AQ$161,"")</f>
        <v/>
      </c>
      <c r="BU6" s="19" t="str">
        <f>IF(AR6&gt;AR$161, AR6-AR$161,"")</f>
        <v/>
      </c>
      <c r="BV6" s="19" t="str">
        <f>IF(AS6&gt;AS$161, AS6-AS$161,"")</f>
        <v/>
      </c>
      <c r="BW6" s="19" t="str">
        <f>IF(AT6&gt;AT$161, AT6-AT$161,"")</f>
        <v/>
      </c>
      <c r="BX6" s="19" t="str">
        <f>IF(AU6&gt;AU$161, AU6-AU$161,"")</f>
        <v/>
      </c>
      <c r="BY6" s="19" t="str">
        <f>IF(AV6&gt;AV$161, AV6-AV$161,"")</f>
        <v/>
      </c>
      <c r="BZ6" s="19" t="str">
        <f>IF(AW6&gt;AW$161, AW6-AW$161,"")</f>
        <v/>
      </c>
      <c r="CA6" s="19" t="str">
        <f>IF(AX6&gt;AX$161, AX6-AX$161,"")</f>
        <v/>
      </c>
      <c r="CB6" s="19" t="str">
        <f>IF(AY6&gt;AY$161, AY6-AY$161,"")</f>
        <v/>
      </c>
      <c r="CC6" s="19" t="str">
        <f>IF(AZ6&gt;AZ$161, AZ6-AZ$161,"")</f>
        <v/>
      </c>
      <c r="CD6" s="19" t="str">
        <f>IF(BA6&gt;BA$161, BA6-BA$161,"")</f>
        <v/>
      </c>
      <c r="CE6" s="19" t="str">
        <f>IF(BB6&gt;BB$161, BB6-BB$161,"")</f>
        <v/>
      </c>
      <c r="CF6" s="19">
        <f t="shared" ref="CF6:CF20" si="14">COUNTIF(BT6:CE6, "&gt;0")</f>
        <v>0</v>
      </c>
      <c r="CG6" s="19" t="str">
        <f t="shared" si="1"/>
        <v/>
      </c>
      <c r="CH6" s="19" t="str">
        <f t="shared" si="2"/>
        <v/>
      </c>
      <c r="CI6" s="19" t="str">
        <f t="shared" si="3"/>
        <v/>
      </c>
      <c r="CJ6" s="19" t="str">
        <f t="shared" si="4"/>
        <v/>
      </c>
      <c r="CK6" s="19" t="str">
        <f t="shared" si="5"/>
        <v/>
      </c>
      <c r="CL6" s="19" t="str">
        <f t="shared" si="6"/>
        <v/>
      </c>
      <c r="CM6" s="19" t="str">
        <f t="shared" si="7"/>
        <v/>
      </c>
      <c r="CN6" s="19" t="str">
        <f t="shared" si="8"/>
        <v/>
      </c>
      <c r="CO6" s="19" t="str">
        <f t="shared" si="9"/>
        <v/>
      </c>
      <c r="CP6" s="19" t="str">
        <f t="shared" si="10"/>
        <v/>
      </c>
      <c r="CQ6" s="19" t="str">
        <f t="shared" si="11"/>
        <v/>
      </c>
      <c r="CR6" s="19" t="str">
        <f t="shared" si="12"/>
        <v/>
      </c>
      <c r="CS6" s="24">
        <f t="shared" si="13"/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 t="shared" si="0"/>
        <v>5</v>
      </c>
      <c r="BQ7" s="19">
        <v>0</v>
      </c>
      <c r="BR7" s="23">
        <v>0</v>
      </c>
      <c r="BS7" s="23"/>
      <c r="BT7" s="19" t="str">
        <f>IF(AQ7&gt;AQ$161, AQ7-AQ$161,"")</f>
        <v/>
      </c>
      <c r="BU7" s="19" t="str">
        <f>IF(AR7&gt;AR$161, AR7-AR$161,"")</f>
        <v/>
      </c>
      <c r="BV7" s="19" t="str">
        <f>IF(AS7&gt;AS$161, AS7-AS$161,"")</f>
        <v/>
      </c>
      <c r="BW7" s="19" t="str">
        <f>IF(AT7&gt;AT$161, AT7-AT$161,"")</f>
        <v/>
      </c>
      <c r="BX7" s="19" t="str">
        <f>IF(AU7&gt;AU$161, AU7-AU$161,"")</f>
        <v/>
      </c>
      <c r="BY7" s="19" t="str">
        <f>IF(AV7&gt;AV$161, AV7-AV$161,"")</f>
        <v/>
      </c>
      <c r="BZ7" s="19" t="str">
        <f>IF(AW7&gt;AW$161, AW7-AW$161,"")</f>
        <v/>
      </c>
      <c r="CA7" s="19" t="str">
        <f>IF(AX7&gt;AX$161, AX7-AX$161,"")</f>
        <v/>
      </c>
      <c r="CB7" s="19" t="str">
        <f>IF(AY7&gt;AY$161, AY7-AY$161,"")</f>
        <v/>
      </c>
      <c r="CC7" s="19" t="str">
        <f>IF(AZ7&gt;AZ$161, AZ7-AZ$161,"")</f>
        <v/>
      </c>
      <c r="CD7" s="19" t="str">
        <f>IF(BA7&gt;BA$161, BA7-BA$161,"")</f>
        <v/>
      </c>
      <c r="CE7" s="19" t="str">
        <f>IF(BB7&gt;BB$161, BB7-BB$161,"")</f>
        <v/>
      </c>
      <c r="CF7" s="19">
        <f t="shared" si="14"/>
        <v>0</v>
      </c>
      <c r="CG7" s="19" t="str">
        <f t="shared" si="1"/>
        <v/>
      </c>
      <c r="CH7" s="19" t="str">
        <f t="shared" si="2"/>
        <v/>
      </c>
      <c r="CI7" s="19" t="str">
        <f t="shared" si="3"/>
        <v/>
      </c>
      <c r="CJ7" s="19" t="str">
        <f t="shared" si="4"/>
        <v/>
      </c>
      <c r="CK7" s="19" t="str">
        <f t="shared" si="5"/>
        <v/>
      </c>
      <c r="CL7" s="19" t="str">
        <f t="shared" si="6"/>
        <v/>
      </c>
      <c r="CM7" s="19" t="str">
        <f t="shared" si="7"/>
        <v/>
      </c>
      <c r="CN7" s="19" t="str">
        <f t="shared" si="8"/>
        <v/>
      </c>
      <c r="CO7" s="19" t="str">
        <f t="shared" si="9"/>
        <v/>
      </c>
      <c r="CP7" s="19" t="str">
        <f t="shared" si="10"/>
        <v/>
      </c>
      <c r="CQ7" s="19" t="str">
        <f t="shared" si="11"/>
        <v/>
      </c>
      <c r="CR7" s="19" t="str">
        <f t="shared" si="12"/>
        <v/>
      </c>
      <c r="CS7" s="24">
        <f t="shared" si="13"/>
        <v>0</v>
      </c>
    </row>
    <row r="8" spans="1:97" s="25" customFormat="1" x14ac:dyDescent="0.15">
      <c r="A8" s="19">
        <v>83</v>
      </c>
      <c r="B8" s="26" t="s">
        <v>76</v>
      </c>
      <c r="C8" s="26" t="s">
        <v>71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 t="shared" si="0"/>
        <v>5</v>
      </c>
      <c r="BQ8" s="19">
        <v>0</v>
      </c>
      <c r="BR8" s="23">
        <v>0</v>
      </c>
      <c r="BS8" s="23"/>
      <c r="BT8" s="19" t="str">
        <f>IF(AQ8&gt;AQ$161, AQ8-AQ$161,"")</f>
        <v/>
      </c>
      <c r="BU8" s="19" t="str">
        <f>IF(AR8&gt;AR$161, AR8-AR$161,"")</f>
        <v/>
      </c>
      <c r="BV8" s="19" t="str">
        <f>IF(AS8&gt;AS$161, AS8-AS$161,"")</f>
        <v/>
      </c>
      <c r="BW8" s="19" t="str">
        <f>IF(AT8&gt;AT$161, AT8-AT$161,"")</f>
        <v/>
      </c>
      <c r="BX8" s="19" t="str">
        <f>IF(AU8&gt;AU$161, AU8-AU$161,"")</f>
        <v/>
      </c>
      <c r="BY8" s="19" t="str">
        <f>IF(AV8&gt;AV$161, AV8-AV$161,"")</f>
        <v/>
      </c>
      <c r="BZ8" s="19" t="str">
        <f>IF(AW8&gt;AW$161, AW8-AW$161,"")</f>
        <v/>
      </c>
      <c r="CA8" s="19" t="str">
        <f>IF(AX8&gt;AX$161, AX8-AX$161,"")</f>
        <v/>
      </c>
      <c r="CB8" s="19" t="str">
        <f>IF(AY8&gt;AY$161, AY8-AY$161,"")</f>
        <v/>
      </c>
      <c r="CC8" s="19" t="str">
        <f>IF(AZ8&gt;AZ$161, AZ8-AZ$161,"")</f>
        <v/>
      </c>
      <c r="CD8" s="19" t="str">
        <f>IF(BA8&gt;BA$161, BA8-BA$161,"")</f>
        <v/>
      </c>
      <c r="CE8" s="19" t="str">
        <f>IF(BB8&gt;BB$161, BB8-BB$161,"")</f>
        <v/>
      </c>
      <c r="CF8" s="19">
        <f t="shared" si="14"/>
        <v>0</v>
      </c>
      <c r="CG8" s="19" t="str">
        <f t="shared" si="1"/>
        <v/>
      </c>
      <c r="CH8" s="19" t="str">
        <f t="shared" si="2"/>
        <v/>
      </c>
      <c r="CI8" s="19" t="str">
        <f t="shared" si="3"/>
        <v/>
      </c>
      <c r="CJ8" s="19" t="str">
        <f t="shared" si="4"/>
        <v/>
      </c>
      <c r="CK8" s="19" t="str">
        <f t="shared" si="5"/>
        <v/>
      </c>
      <c r="CL8" s="19" t="str">
        <f t="shared" si="6"/>
        <v/>
      </c>
      <c r="CM8" s="19" t="str">
        <f t="shared" si="7"/>
        <v/>
      </c>
      <c r="CN8" s="19" t="str">
        <f t="shared" si="8"/>
        <v/>
      </c>
      <c r="CO8" s="19" t="str">
        <f t="shared" si="9"/>
        <v/>
      </c>
      <c r="CP8" s="19" t="str">
        <f t="shared" si="10"/>
        <v/>
      </c>
      <c r="CQ8" s="19" t="str">
        <f t="shared" si="11"/>
        <v/>
      </c>
      <c r="CR8" s="19" t="str">
        <f t="shared" si="12"/>
        <v/>
      </c>
      <c r="CS8" s="24">
        <f t="shared" si="13"/>
        <v>0</v>
      </c>
    </row>
    <row r="9" spans="1:97" s="25" customFormat="1" x14ac:dyDescent="0.15">
      <c r="A9" s="1">
        <v>9</v>
      </c>
      <c r="B9" s="1" t="s">
        <v>28</v>
      </c>
      <c r="C9" s="1" t="s">
        <v>2</v>
      </c>
      <c r="D9" s="1" t="s">
        <v>26</v>
      </c>
      <c r="E9" s="6"/>
      <c r="F9" s="6"/>
      <c r="G9" s="6"/>
      <c r="H9" s="6"/>
      <c r="I9" s="6">
        <v>4</v>
      </c>
      <c r="J9" s="6"/>
      <c r="K9" s="6">
        <v>4</v>
      </c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5</v>
      </c>
      <c r="AS9" s="4"/>
      <c r="AT9" s="4"/>
      <c r="AU9" s="4"/>
      <c r="AV9" s="4"/>
      <c r="AW9" s="2">
        <v>5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18</v>
      </c>
      <c r="BQ9" s="1">
        <v>0</v>
      </c>
      <c r="BR9" s="17">
        <v>0</v>
      </c>
      <c r="BS9" s="17"/>
      <c r="BT9" s="1" t="str">
        <f>IF(AQ9&gt;AQ$161, AQ9-AQ$161,"")</f>
        <v/>
      </c>
      <c r="BU9" s="1" t="str">
        <f>IF(AR9&gt;AR$161, AR9-AR$161,"")</f>
        <v/>
      </c>
      <c r="BV9" s="1" t="str">
        <f>IF(AS9&gt;AS$161, AS9-AS$161,"")</f>
        <v/>
      </c>
      <c r="BW9" s="1" t="str">
        <f>IF(AT9&gt;AT$161, AT9-AT$161,"")</f>
        <v/>
      </c>
      <c r="BX9" s="1" t="str">
        <f>IF(AU9&gt;AU$161, AU9-AU$161,"")</f>
        <v/>
      </c>
      <c r="BY9" s="1" t="str">
        <f>IF(AV9&gt;AV$161, AV9-AV$161,"")</f>
        <v/>
      </c>
      <c r="BZ9" s="1" t="str">
        <f>IF(AW9&gt;AW$161, AW9-AW$161,"")</f>
        <v/>
      </c>
      <c r="CA9" s="1" t="str">
        <f>IF(AX9&gt;AX$161, AX9-AX$161,"")</f>
        <v/>
      </c>
      <c r="CB9" s="1" t="str">
        <f>IF(AY9&gt;AY$161, AY9-AY$161,"")</f>
        <v/>
      </c>
      <c r="CC9" s="1" t="str">
        <f>IF(AZ9&gt;AZ$161, AZ9-AZ$161,"")</f>
        <v/>
      </c>
      <c r="CD9" s="1" t="str">
        <f>IF(BA9&gt;BA$161, BA9-BA$161,"")</f>
        <v/>
      </c>
      <c r="CE9" s="1" t="str">
        <f>IF(BB9&gt;BB$161, BB9-BB$161,"")</f>
        <v/>
      </c>
      <c r="CF9" s="1">
        <f t="shared" si="14"/>
        <v>0</v>
      </c>
      <c r="CG9" s="1" t="str">
        <f t="shared" si="1"/>
        <v/>
      </c>
      <c r="CH9" s="1" t="str">
        <f t="shared" si="2"/>
        <v/>
      </c>
      <c r="CI9" s="1" t="str">
        <f t="shared" si="3"/>
        <v/>
      </c>
      <c r="CJ9" s="1" t="str">
        <f t="shared" si="4"/>
        <v/>
      </c>
      <c r="CK9" s="1" t="str">
        <f t="shared" si="5"/>
        <v/>
      </c>
      <c r="CL9" s="1" t="str">
        <f t="shared" si="6"/>
        <v/>
      </c>
      <c r="CM9" s="1" t="str">
        <f t="shared" si="7"/>
        <v/>
      </c>
      <c r="CN9" s="1" t="str">
        <f t="shared" si="8"/>
        <v/>
      </c>
      <c r="CO9" s="1" t="str">
        <f t="shared" si="9"/>
        <v/>
      </c>
      <c r="CP9" s="1" t="str">
        <f t="shared" si="10"/>
        <v/>
      </c>
      <c r="CQ9" s="1" t="str">
        <f t="shared" si="11"/>
        <v/>
      </c>
      <c r="CR9" s="1" t="str">
        <f t="shared" si="12"/>
        <v/>
      </c>
      <c r="CS9" s="18">
        <f t="shared" si="13"/>
        <v>10</v>
      </c>
    </row>
    <row r="10" spans="1:97" s="25" customFormat="1" x14ac:dyDescent="0.15">
      <c r="A10" s="1">
        <v>81</v>
      </c>
      <c r="B10" s="3" t="s">
        <v>74</v>
      </c>
      <c r="C10" s="3" t="s">
        <v>71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/>
      <c r="O10" s="6">
        <v>6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32</v>
      </c>
      <c r="BQ10" s="1">
        <v>0</v>
      </c>
      <c r="BR10" s="17">
        <v>0</v>
      </c>
      <c r="BS10" s="17"/>
      <c r="BT10" s="1" t="str">
        <f>IF(AQ10&gt;AQ$161, AQ10-AQ$161,"")</f>
        <v/>
      </c>
      <c r="BU10" s="1" t="str">
        <f>IF(AR10&gt;AR$161, AR10-AR$161,"")</f>
        <v/>
      </c>
      <c r="BV10" s="1" t="str">
        <f>IF(AS10&gt;AS$161, AS10-AS$161,"")</f>
        <v/>
      </c>
      <c r="BW10" s="1" t="str">
        <f>IF(AT10&gt;AT$161, AT10-AT$161,"")</f>
        <v/>
      </c>
      <c r="BX10" s="1" t="str">
        <f>IF(AU10&gt;AU$161, AU10-AU$161,"")</f>
        <v/>
      </c>
      <c r="BY10" s="1" t="str">
        <f>IF(AV10&gt;AV$161, AV10-AV$161,"")</f>
        <v/>
      </c>
      <c r="BZ10" s="1" t="str">
        <f>IF(AW10&gt;AW$161, AW10-AW$161,"")</f>
        <v/>
      </c>
      <c r="CA10" s="1" t="str">
        <f>IF(AX10&gt;AX$161, AX10-AX$161,"")</f>
        <v/>
      </c>
      <c r="CB10" s="1" t="str">
        <f>IF(AY10&gt;AY$161, AY10-AY$161,"")</f>
        <v/>
      </c>
      <c r="CC10" s="1" t="str">
        <f>IF(AZ10&gt;AZ$161, AZ10-AZ$161,"")</f>
        <v/>
      </c>
      <c r="CD10" s="1" t="str">
        <f>IF(BA10&gt;BA$161, BA10-BA$161,"")</f>
        <v/>
      </c>
      <c r="CE10" s="1" t="str">
        <f>IF(BB10&gt;BB$161, BB10-BB$161,"")</f>
        <v/>
      </c>
      <c r="CF10" s="1">
        <f t="shared" si="14"/>
        <v>0</v>
      </c>
      <c r="CG10" s="1" t="str">
        <f t="shared" si="1"/>
        <v/>
      </c>
      <c r="CH10" s="1" t="str">
        <f t="shared" si="2"/>
        <v/>
      </c>
      <c r="CI10" s="1" t="str">
        <f t="shared" si="3"/>
        <v/>
      </c>
      <c r="CJ10" s="1" t="str">
        <f t="shared" si="4"/>
        <v/>
      </c>
      <c r="CK10" s="1" t="str">
        <f t="shared" si="5"/>
        <v/>
      </c>
      <c r="CL10" s="1" t="str">
        <f t="shared" si="6"/>
        <v/>
      </c>
      <c r="CM10" s="1" t="str">
        <f t="shared" si="7"/>
        <v/>
      </c>
      <c r="CN10" s="1" t="str">
        <f t="shared" si="8"/>
        <v/>
      </c>
      <c r="CO10" s="1" t="str">
        <f t="shared" si="9"/>
        <v/>
      </c>
      <c r="CP10" s="1" t="str">
        <f t="shared" si="10"/>
        <v/>
      </c>
      <c r="CQ10" s="1" t="str">
        <f t="shared" si="11"/>
        <v/>
      </c>
      <c r="CR10" s="1" t="str">
        <f t="shared" si="12"/>
        <v/>
      </c>
      <c r="CS10" s="18">
        <f t="shared" si="13"/>
        <v>20</v>
      </c>
    </row>
    <row r="11" spans="1:97" x14ac:dyDescent="0.15">
      <c r="A11" s="19">
        <v>13</v>
      </c>
      <c r="B11" s="19" t="s">
        <v>118</v>
      </c>
      <c r="C11" s="19" t="s">
        <v>2</v>
      </c>
      <c r="D11" s="19" t="s">
        <v>1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>
        <f t="shared" si="0"/>
        <v>0</v>
      </c>
      <c r="BQ11" s="19">
        <v>0</v>
      </c>
      <c r="BR11" s="23">
        <v>0</v>
      </c>
      <c r="BS11" s="23"/>
      <c r="BT11" s="19" t="str">
        <f>IF(AQ11&gt;AQ$161, AQ11-AQ$161,"")</f>
        <v/>
      </c>
      <c r="BU11" s="19" t="str">
        <f>IF(AR11&gt;AR$161, AR11-AR$161,"")</f>
        <v/>
      </c>
      <c r="BV11" s="19" t="str">
        <f>IF(AS11&gt;AS$161, AS11-AS$161,"")</f>
        <v/>
      </c>
      <c r="BW11" s="19" t="str">
        <f>IF(AT11&gt;AT$161, AT11-AT$161,"")</f>
        <v/>
      </c>
      <c r="BX11" s="19" t="str">
        <f>IF(AU11&gt;AU$161, AU11-AU$161,"")</f>
        <v/>
      </c>
      <c r="BY11" s="19" t="str">
        <f>IF(AV11&gt;AV$161, AV11-AV$161,"")</f>
        <v/>
      </c>
      <c r="BZ11" s="19" t="str">
        <f>IF(AW11&gt;AW$161, AW11-AW$161,"")</f>
        <v/>
      </c>
      <c r="CA11" s="19" t="str">
        <f>IF(AX11&gt;AX$161, AX11-AX$161,"")</f>
        <v/>
      </c>
      <c r="CB11" s="19" t="str">
        <f>IF(AY11&gt;AY$161, AY11-AY$161,"")</f>
        <v/>
      </c>
      <c r="CC11" s="19" t="str">
        <f>IF(AZ11&gt;AZ$161, AZ11-AZ$161,"")</f>
        <v/>
      </c>
      <c r="CD11" s="19" t="str">
        <f>IF(BA11&gt;BA$161, BA11-BA$161,"")</f>
        <v/>
      </c>
      <c r="CE11" s="19" t="str">
        <f>IF(BB11&gt;BB$161, BB11-BB$161,"")</f>
        <v/>
      </c>
      <c r="CF11" s="19">
        <f t="shared" si="14"/>
        <v>0</v>
      </c>
      <c r="CG11" s="19" t="str">
        <f t="shared" si="1"/>
        <v/>
      </c>
      <c r="CH11" s="19" t="str">
        <f t="shared" si="2"/>
        <v/>
      </c>
      <c r="CI11" s="19" t="str">
        <f t="shared" si="3"/>
        <v/>
      </c>
      <c r="CJ11" s="19" t="str">
        <f t="shared" si="4"/>
        <v/>
      </c>
      <c r="CK11" s="19" t="str">
        <f t="shared" si="5"/>
        <v/>
      </c>
      <c r="CL11" s="19" t="str">
        <f t="shared" si="6"/>
        <v/>
      </c>
      <c r="CM11" s="19" t="str">
        <f t="shared" si="7"/>
        <v/>
      </c>
      <c r="CN11" s="19" t="str">
        <f t="shared" si="8"/>
        <v/>
      </c>
      <c r="CO11" s="19" t="str">
        <f t="shared" si="9"/>
        <v/>
      </c>
      <c r="CP11" s="19" t="str">
        <f t="shared" si="10"/>
        <v/>
      </c>
      <c r="CQ11" s="19" t="str">
        <f t="shared" si="11"/>
        <v/>
      </c>
      <c r="CR11" s="19" t="str">
        <f t="shared" si="12"/>
        <v/>
      </c>
      <c r="CS11" s="24">
        <f t="shared" si="13"/>
        <v>0</v>
      </c>
    </row>
    <row r="12" spans="1:97" x14ac:dyDescent="0.15">
      <c r="A12" s="1">
        <v>82</v>
      </c>
      <c r="B12" s="3" t="s">
        <v>75</v>
      </c>
      <c r="C12" s="3" t="s">
        <v>71</v>
      </c>
      <c r="D12" s="1" t="s">
        <v>13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32</v>
      </c>
      <c r="BQ12" s="1">
        <v>0</v>
      </c>
      <c r="BR12" s="17">
        <v>0</v>
      </c>
      <c r="BS12" s="17"/>
      <c r="BT12" s="1" t="str">
        <f>IF(AQ12&gt;AQ$161, AQ12-AQ$161,"")</f>
        <v/>
      </c>
      <c r="BU12" s="1" t="str">
        <f>IF(AR12&gt;AR$161, AR12-AR$161,"")</f>
        <v/>
      </c>
      <c r="BV12" s="1" t="str">
        <f>IF(AS12&gt;AS$161, AS12-AS$161,"")</f>
        <v/>
      </c>
      <c r="BW12" s="1" t="str">
        <f>IF(AT12&gt;AT$161, AT12-AT$161,"")</f>
        <v/>
      </c>
      <c r="BX12" s="1" t="str">
        <f>IF(AU12&gt;AU$161, AU12-AU$161,"")</f>
        <v/>
      </c>
      <c r="BY12" s="1" t="str">
        <f>IF(AV12&gt;AV$161, AV12-AV$161,"")</f>
        <v/>
      </c>
      <c r="BZ12" s="1" t="str">
        <f>IF(AW12&gt;AW$161, AW12-AW$161,"")</f>
        <v/>
      </c>
      <c r="CA12" s="1" t="str">
        <f>IF(AX12&gt;AX$161, AX12-AX$161,"")</f>
        <v/>
      </c>
      <c r="CB12" s="1" t="str">
        <f>IF(AY12&gt;AY$161, AY12-AY$161,"")</f>
        <v/>
      </c>
      <c r="CC12" s="1" t="str">
        <f>IF(AZ12&gt;AZ$161, AZ12-AZ$161,"")</f>
        <v/>
      </c>
      <c r="CD12" s="1" t="str">
        <f>IF(BA12&gt;BA$161, BA12-BA$161,"")</f>
        <v/>
      </c>
      <c r="CE12" s="1" t="str">
        <f>IF(BB12&gt;BB$161, BB12-BB$161,"")</f>
        <v/>
      </c>
      <c r="CF12" s="1">
        <f t="shared" si="14"/>
        <v>0</v>
      </c>
      <c r="CG12" s="1" t="str">
        <f t="shared" si="1"/>
        <v/>
      </c>
      <c r="CH12" s="1" t="str">
        <f t="shared" si="2"/>
        <v/>
      </c>
      <c r="CI12" s="1" t="str">
        <f t="shared" si="3"/>
        <v/>
      </c>
      <c r="CJ12" s="1" t="str">
        <f t="shared" si="4"/>
        <v/>
      </c>
      <c r="CK12" s="1" t="str">
        <f t="shared" si="5"/>
        <v/>
      </c>
      <c r="CL12" s="1" t="str">
        <f t="shared" si="6"/>
        <v/>
      </c>
      <c r="CM12" s="1" t="str">
        <f t="shared" si="7"/>
        <v/>
      </c>
      <c r="CN12" s="1" t="str">
        <f t="shared" si="8"/>
        <v/>
      </c>
      <c r="CO12" s="1" t="str">
        <f t="shared" si="9"/>
        <v/>
      </c>
      <c r="CP12" s="1" t="str">
        <f t="shared" si="10"/>
        <v/>
      </c>
      <c r="CQ12" s="1" t="str">
        <f t="shared" si="11"/>
        <v/>
      </c>
      <c r="CR12" s="1" t="str">
        <f t="shared" si="12"/>
        <v/>
      </c>
      <c r="CS12" s="18">
        <f t="shared" si="13"/>
        <v>20</v>
      </c>
    </row>
    <row r="13" spans="1:97" x14ac:dyDescent="0.15">
      <c r="A13" s="19">
        <v>60</v>
      </c>
      <c r="B13" s="19" t="s">
        <v>113</v>
      </c>
      <c r="C13" s="19" t="s">
        <v>62</v>
      </c>
      <c r="D13" s="19" t="s">
        <v>1</v>
      </c>
      <c r="E13" s="20"/>
      <c r="F13" s="20"/>
      <c r="G13" s="20"/>
      <c r="H13" s="20"/>
      <c r="I13" s="20"/>
      <c r="J13" s="20"/>
      <c r="K13" s="20">
        <v>5</v>
      </c>
      <c r="L13" s="20"/>
      <c r="M13" s="20"/>
      <c r="N13" s="20"/>
      <c r="O13" s="20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1"/>
      <c r="AR13" s="21"/>
      <c r="AS13" s="21"/>
      <c r="AT13" s="21"/>
      <c r="AU13" s="21"/>
      <c r="AV13" s="21"/>
      <c r="AW13" s="22"/>
      <c r="AX13" s="22"/>
      <c r="AY13" s="22"/>
      <c r="AZ13" s="22"/>
      <c r="BA13" s="22"/>
      <c r="BB13" s="22"/>
      <c r="BC13" s="30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>
        <f t="shared" si="0"/>
        <v>5</v>
      </c>
      <c r="BQ13" s="19">
        <v>0</v>
      </c>
      <c r="BR13" s="23">
        <v>0</v>
      </c>
      <c r="BS13" s="23"/>
      <c r="BT13" s="19" t="str">
        <f>IF(AQ13&gt;AQ$161, AQ13-AQ$161,"")</f>
        <v/>
      </c>
      <c r="BU13" s="19" t="str">
        <f>IF(AR13&gt;AR$161, AR13-AR$161,"")</f>
        <v/>
      </c>
      <c r="BV13" s="19" t="str">
        <f>IF(AS13&gt;AS$161, AS13-AS$161,"")</f>
        <v/>
      </c>
      <c r="BW13" s="19" t="str">
        <f>IF(AT13&gt;AT$161, AT13-AT$161,"")</f>
        <v/>
      </c>
      <c r="BX13" s="19" t="str">
        <f>IF(AU13&gt;AU$161, AU13-AU$161,"")</f>
        <v/>
      </c>
      <c r="BY13" s="19" t="str">
        <f>IF(AV13&gt;AV$161, AV13-AV$161,"")</f>
        <v/>
      </c>
      <c r="BZ13" s="19" t="str">
        <f>IF(AW13&gt;AW$161, AW13-AW$161,"")</f>
        <v/>
      </c>
      <c r="CA13" s="19" t="str">
        <f>IF(AX13&gt;AX$161, AX13-AX$161,"")</f>
        <v/>
      </c>
      <c r="CB13" s="19" t="str">
        <f>IF(AY13&gt;AY$161, AY13-AY$161,"")</f>
        <v/>
      </c>
      <c r="CC13" s="19" t="str">
        <f>IF(AZ13&gt;AZ$161, AZ13-AZ$161,"")</f>
        <v/>
      </c>
      <c r="CD13" s="19" t="str">
        <f>IF(BA13&gt;BA$161, BA13-BA$161,"")</f>
        <v/>
      </c>
      <c r="CE13" s="19" t="str">
        <f>IF(BB13&gt;BB$161, BB13-BB$161,"")</f>
        <v/>
      </c>
      <c r="CF13" s="19">
        <f t="shared" si="14"/>
        <v>0</v>
      </c>
      <c r="CG13" s="19" t="str">
        <f t="shared" si="1"/>
        <v/>
      </c>
      <c r="CH13" s="19" t="str">
        <f t="shared" si="2"/>
        <v/>
      </c>
      <c r="CI13" s="19" t="str">
        <f t="shared" si="3"/>
        <v/>
      </c>
      <c r="CJ13" s="19" t="str">
        <f t="shared" si="4"/>
        <v/>
      </c>
      <c r="CK13" s="19" t="str">
        <f t="shared" si="5"/>
        <v/>
      </c>
      <c r="CL13" s="19" t="str">
        <f t="shared" si="6"/>
        <v/>
      </c>
      <c r="CM13" s="19" t="str">
        <f t="shared" si="7"/>
        <v/>
      </c>
      <c r="CN13" s="19" t="str">
        <f t="shared" si="8"/>
        <v/>
      </c>
      <c r="CO13" s="19" t="str">
        <f t="shared" si="9"/>
        <v/>
      </c>
      <c r="CP13" s="19" t="str">
        <f t="shared" si="10"/>
        <v/>
      </c>
      <c r="CQ13" s="19" t="str">
        <f t="shared" si="11"/>
        <v/>
      </c>
      <c r="CR13" s="19" t="str">
        <f t="shared" si="12"/>
        <v/>
      </c>
      <c r="CS13" s="24">
        <f t="shared" si="13"/>
        <v>0</v>
      </c>
    </row>
    <row r="14" spans="1:97" x14ac:dyDescent="0.15">
      <c r="A14" s="1">
        <v>72</v>
      </c>
      <c r="B14" s="3" t="s">
        <v>102</v>
      </c>
      <c r="C14" s="1" t="s">
        <v>62</v>
      </c>
      <c r="D14" s="1" t="s">
        <v>13</v>
      </c>
      <c r="E14" s="6"/>
      <c r="F14" s="6"/>
      <c r="G14" s="6"/>
      <c r="H14" s="6"/>
      <c r="I14" s="6"/>
      <c r="J14" s="6"/>
      <c r="K14" s="6"/>
      <c r="L14" s="6">
        <v>6</v>
      </c>
      <c r="M14" s="6">
        <v>6</v>
      </c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>
        <v>10</v>
      </c>
      <c r="AW14" s="2"/>
      <c r="AX14" s="2"/>
      <c r="AY14" s="2"/>
      <c r="AZ14" s="2"/>
      <c r="BA14" s="2">
        <v>10</v>
      </c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32</v>
      </c>
      <c r="BQ14" s="1">
        <v>0</v>
      </c>
      <c r="BR14" s="17">
        <v>0</v>
      </c>
      <c r="BS14" s="17"/>
      <c r="BT14" s="1" t="str">
        <f>IF(AQ14&gt;AQ$161, AQ14-AQ$161,"")</f>
        <v/>
      </c>
      <c r="BU14" s="1" t="str">
        <f>IF(AR14&gt;AR$161, AR14-AR$161,"")</f>
        <v/>
      </c>
      <c r="BV14" s="1" t="str">
        <f>IF(AS14&gt;AS$161, AS14-AS$161,"")</f>
        <v/>
      </c>
      <c r="BW14" s="1" t="str">
        <f>IF(AT14&gt;AT$161, AT14-AT$161,"")</f>
        <v/>
      </c>
      <c r="BX14" s="1" t="str">
        <f>IF(AU14&gt;AU$161, AU14-AU$161,"")</f>
        <v/>
      </c>
      <c r="BY14" s="1" t="str">
        <f>IF(AV14&gt;AV$161, AV14-AV$161,"")</f>
        <v/>
      </c>
      <c r="BZ14" s="1" t="str">
        <f>IF(AW14&gt;AW$161, AW14-AW$161,"")</f>
        <v/>
      </c>
      <c r="CA14" s="1" t="str">
        <f>IF(AX14&gt;AX$161, AX14-AX$161,"")</f>
        <v/>
      </c>
      <c r="CB14" s="1" t="str">
        <f>IF(AY14&gt;AY$161, AY14-AY$161,"")</f>
        <v/>
      </c>
      <c r="CC14" s="1" t="str">
        <f>IF(AZ14&gt;AZ$161, AZ14-AZ$161,"")</f>
        <v/>
      </c>
      <c r="CD14" s="1" t="str">
        <f>IF(BA14&gt;BA$161, BA14-BA$161,"")</f>
        <v/>
      </c>
      <c r="CE14" s="1" t="str">
        <f>IF(BB14&gt;BB$161, BB14-BB$161,"")</f>
        <v/>
      </c>
      <c r="CF14" s="1">
        <f t="shared" si="14"/>
        <v>0</v>
      </c>
      <c r="CG14" s="1" t="str">
        <f t="shared" si="1"/>
        <v/>
      </c>
      <c r="CH14" s="1" t="str">
        <f t="shared" si="2"/>
        <v/>
      </c>
      <c r="CI14" s="1" t="str">
        <f t="shared" si="3"/>
        <v/>
      </c>
      <c r="CJ14" s="1" t="str">
        <f t="shared" si="4"/>
        <v/>
      </c>
      <c r="CK14" s="1" t="str">
        <f t="shared" si="5"/>
        <v/>
      </c>
      <c r="CL14" s="1" t="str">
        <f t="shared" si="6"/>
        <v/>
      </c>
      <c r="CM14" s="1" t="str">
        <f t="shared" si="7"/>
        <v/>
      </c>
      <c r="CN14" s="1" t="str">
        <f t="shared" si="8"/>
        <v/>
      </c>
      <c r="CO14" s="1" t="str">
        <f t="shared" si="9"/>
        <v/>
      </c>
      <c r="CP14" s="1" t="str">
        <f t="shared" si="10"/>
        <v/>
      </c>
      <c r="CQ14" s="1" t="str">
        <f t="shared" si="11"/>
        <v/>
      </c>
      <c r="CR14" s="1" t="str">
        <f t="shared" si="12"/>
        <v/>
      </c>
      <c r="CS14" s="18">
        <f t="shared" si="13"/>
        <v>20</v>
      </c>
    </row>
    <row r="15" spans="1:97" x14ac:dyDescent="0.15">
      <c r="A15" s="1">
        <v>58</v>
      </c>
      <c r="B15" s="1" t="s">
        <v>65</v>
      </c>
      <c r="C15" s="1" t="s">
        <v>62</v>
      </c>
      <c r="D15" s="1" t="s">
        <v>13</v>
      </c>
      <c r="E15" s="6"/>
      <c r="F15" s="6"/>
      <c r="G15" s="6">
        <v>10</v>
      </c>
      <c r="H15" s="6"/>
      <c r="I15" s="6"/>
      <c r="J15" s="6"/>
      <c r="K15" s="6"/>
      <c r="L15" s="6"/>
      <c r="M15" s="6"/>
      <c r="N15" s="6">
        <v>10</v>
      </c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>
        <v>10</v>
      </c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40</v>
      </c>
      <c r="BQ15" s="1">
        <v>0</v>
      </c>
      <c r="BR15" s="17">
        <v>0</v>
      </c>
      <c r="BS15" s="17"/>
      <c r="BT15" s="1" t="str">
        <f>IF(AQ15&gt;AQ$161, AQ15-AQ$161,"")</f>
        <v/>
      </c>
      <c r="BU15" s="1" t="str">
        <f>IF(AR15&gt;AR$161, AR15-AR$161,"")</f>
        <v/>
      </c>
      <c r="BV15" s="1" t="str">
        <f>IF(AS15&gt;AS$161, AS15-AS$161,"")</f>
        <v/>
      </c>
      <c r="BW15" s="1" t="str">
        <f>IF(AT15&gt;AT$161, AT15-AT$161,"")</f>
        <v/>
      </c>
      <c r="BX15" s="1" t="str">
        <f>IF(AU15&gt;AU$161, AU15-AU$161,"")</f>
        <v/>
      </c>
      <c r="BY15" s="1" t="str">
        <f>IF(AV15&gt;AV$161, AV15-AV$161,"")</f>
        <v/>
      </c>
      <c r="BZ15" s="1" t="str">
        <f>IF(AW15&gt;AW$161, AW15-AW$161,"")</f>
        <v/>
      </c>
      <c r="CA15" s="1" t="str">
        <f>IF(AX15&gt;AX$161, AX15-AX$161,"")</f>
        <v/>
      </c>
      <c r="CB15" s="1" t="str">
        <f>IF(AY15&gt;AY$161, AY15-AY$161,"")</f>
        <v/>
      </c>
      <c r="CC15" s="1" t="str">
        <f>IF(AZ15&gt;AZ$161, AZ15-AZ$161,"")</f>
        <v/>
      </c>
      <c r="CD15" s="1" t="str">
        <f>IF(BA15&gt;BA$161, BA15-BA$161,"")</f>
        <v/>
      </c>
      <c r="CE15" s="1" t="str">
        <f>IF(BB15&gt;BB$161, BB15-BB$161,"")</f>
        <v/>
      </c>
      <c r="CF15" s="1">
        <f t="shared" si="14"/>
        <v>0</v>
      </c>
      <c r="CG15" s="1" t="str">
        <f t="shared" si="1"/>
        <v/>
      </c>
      <c r="CH15" s="1" t="str">
        <f t="shared" si="2"/>
        <v/>
      </c>
      <c r="CI15" s="1" t="str">
        <f t="shared" si="3"/>
        <v/>
      </c>
      <c r="CJ15" s="1" t="str">
        <f t="shared" si="4"/>
        <v/>
      </c>
      <c r="CK15" s="1" t="str">
        <f t="shared" si="5"/>
        <v/>
      </c>
      <c r="CL15" s="1" t="str">
        <f t="shared" si="6"/>
        <v/>
      </c>
      <c r="CM15" s="1" t="str">
        <f t="shared" si="7"/>
        <v/>
      </c>
      <c r="CN15" s="1" t="str">
        <f t="shared" si="8"/>
        <v/>
      </c>
      <c r="CO15" s="1" t="str">
        <f t="shared" si="9"/>
        <v/>
      </c>
      <c r="CP15" s="1" t="str">
        <f t="shared" si="10"/>
        <v/>
      </c>
      <c r="CQ15" s="1" t="str">
        <f t="shared" si="11"/>
        <v/>
      </c>
      <c r="CR15" s="1" t="str">
        <f t="shared" si="12"/>
        <v/>
      </c>
      <c r="CS15" s="18">
        <f t="shared" si="13"/>
        <v>20</v>
      </c>
    </row>
    <row r="16" spans="1:97" x14ac:dyDescent="0.15">
      <c r="A16" s="1">
        <v>5</v>
      </c>
      <c r="B16" s="1" t="s">
        <v>22</v>
      </c>
      <c r="C16" s="1" t="s">
        <v>2</v>
      </c>
      <c r="D16" s="1" t="s">
        <v>12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>
        <v>10</v>
      </c>
      <c r="AS16" s="4"/>
      <c r="AT16" s="4"/>
      <c r="AU16" s="4"/>
      <c r="AV16" s="4"/>
      <c r="AW16" s="2"/>
      <c r="AX16" s="2"/>
      <c r="AY16" s="2"/>
      <c r="AZ16" s="2"/>
      <c r="BA16" s="2"/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20</v>
      </c>
      <c r="BQ16" s="1">
        <v>0</v>
      </c>
      <c r="BR16" s="17">
        <v>0</v>
      </c>
      <c r="BS16" s="17"/>
      <c r="BT16" s="1" t="str">
        <f>IF(AQ16&gt;AQ$161, AQ16-AQ$161,"")</f>
        <v/>
      </c>
      <c r="BU16" s="1" t="str">
        <f>IF(AR16&gt;AR$161, AR16-AR$161,"")</f>
        <v/>
      </c>
      <c r="BV16" s="1" t="str">
        <f>IF(AS16&gt;AS$161, AS16-AS$161,"")</f>
        <v/>
      </c>
      <c r="BW16" s="1" t="str">
        <f>IF(AT16&gt;AT$161, AT16-AT$161,"")</f>
        <v/>
      </c>
      <c r="BX16" s="1" t="str">
        <f>IF(AU16&gt;AU$161, AU16-AU$161,"")</f>
        <v/>
      </c>
      <c r="BY16" s="1" t="str">
        <f>IF(AV16&gt;AV$161, AV16-AV$161,"")</f>
        <v/>
      </c>
      <c r="BZ16" s="1" t="str">
        <f>IF(AW16&gt;AW$161, AW16-AW$161,"")</f>
        <v/>
      </c>
      <c r="CA16" s="1" t="str">
        <f>IF(AX16&gt;AX$161, AX16-AX$161,"")</f>
        <v/>
      </c>
      <c r="CB16" s="1" t="str">
        <f>IF(AY16&gt;AY$161, AY16-AY$161,"")</f>
        <v/>
      </c>
      <c r="CC16" s="1" t="str">
        <f>IF(AZ16&gt;AZ$161, AZ16-AZ$161,"")</f>
        <v/>
      </c>
      <c r="CD16" s="1" t="str">
        <f>IF(BA16&gt;BA$161, BA16-BA$161,"")</f>
        <v/>
      </c>
      <c r="CE16" s="1" t="str">
        <f>IF(BB16&gt;BB$161, BB16-BB$161,"")</f>
        <v/>
      </c>
      <c r="CF16" s="1">
        <f t="shared" si="14"/>
        <v>0</v>
      </c>
      <c r="CG16" s="1" t="str">
        <f t="shared" si="1"/>
        <v/>
      </c>
      <c r="CH16" s="1" t="str">
        <f t="shared" si="2"/>
        <v/>
      </c>
      <c r="CI16" s="1" t="str">
        <f t="shared" si="3"/>
        <v/>
      </c>
      <c r="CJ16" s="1" t="str">
        <f t="shared" si="4"/>
        <v/>
      </c>
      <c r="CK16" s="1" t="str">
        <f t="shared" si="5"/>
        <v/>
      </c>
      <c r="CL16" s="1" t="str">
        <f t="shared" si="6"/>
        <v/>
      </c>
      <c r="CM16" s="1" t="str">
        <f t="shared" si="7"/>
        <v/>
      </c>
      <c r="CN16" s="1" t="str">
        <f t="shared" si="8"/>
        <v/>
      </c>
      <c r="CO16" s="1" t="str">
        <f t="shared" si="9"/>
        <v/>
      </c>
      <c r="CP16" s="1" t="str">
        <f t="shared" si="10"/>
        <v/>
      </c>
      <c r="CQ16" s="1" t="str">
        <f t="shared" si="11"/>
        <v/>
      </c>
      <c r="CR16" s="1" t="str">
        <f t="shared" si="12"/>
        <v/>
      </c>
      <c r="CS16" s="18">
        <f t="shared" si="13"/>
        <v>20</v>
      </c>
    </row>
    <row r="17" spans="1:97" x14ac:dyDescent="0.15">
      <c r="A17" s="1">
        <v>6</v>
      </c>
      <c r="B17" s="1" t="s">
        <v>55</v>
      </c>
      <c r="C17" s="1" t="s">
        <v>2</v>
      </c>
      <c r="D17" s="1" t="s">
        <v>23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>
        <v>10</v>
      </c>
      <c r="AS17" s="4"/>
      <c r="AT17" s="4"/>
      <c r="AU17" s="4"/>
      <c r="AV17" s="4"/>
      <c r="AW17" s="2"/>
      <c r="AX17" s="2"/>
      <c r="AY17" s="2"/>
      <c r="AZ17" s="2"/>
      <c r="BA17" s="2"/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20</v>
      </c>
      <c r="BQ17" s="1">
        <v>0</v>
      </c>
      <c r="BR17" s="17">
        <v>0</v>
      </c>
      <c r="BS17" s="17"/>
      <c r="BT17" s="1" t="str">
        <f>IF(AQ17&gt;AQ$161, AQ17-AQ$161,"")</f>
        <v/>
      </c>
      <c r="BU17" s="1" t="str">
        <f>IF(AR17&gt;AR$161, AR17-AR$161,"")</f>
        <v/>
      </c>
      <c r="BV17" s="1" t="str">
        <f>IF(AS17&gt;AS$161, AS17-AS$161,"")</f>
        <v/>
      </c>
      <c r="BW17" s="1" t="str">
        <f>IF(AT17&gt;AT$161, AT17-AT$161,"")</f>
        <v/>
      </c>
      <c r="BX17" s="1" t="str">
        <f>IF(AU17&gt;AU$161, AU17-AU$161,"")</f>
        <v/>
      </c>
      <c r="BY17" s="1" t="str">
        <f>IF(AV17&gt;AV$161, AV17-AV$161,"")</f>
        <v/>
      </c>
      <c r="BZ17" s="1" t="str">
        <f>IF(AW17&gt;AW$161, AW17-AW$161,"")</f>
        <v/>
      </c>
      <c r="CA17" s="1" t="str">
        <f>IF(AX17&gt;AX$161, AX17-AX$161,"")</f>
        <v/>
      </c>
      <c r="CB17" s="1" t="str">
        <f>IF(AY17&gt;AY$161, AY17-AY$161,"")</f>
        <v/>
      </c>
      <c r="CC17" s="1" t="str">
        <f>IF(AZ17&gt;AZ$161, AZ17-AZ$161,"")</f>
        <v/>
      </c>
      <c r="CD17" s="1" t="str">
        <f>IF(BA17&gt;BA$161, BA17-BA$161,"")</f>
        <v/>
      </c>
      <c r="CE17" s="1" t="str">
        <f>IF(BB17&gt;BB$161, BB17-BB$161,"")</f>
        <v/>
      </c>
      <c r="CF17" s="1">
        <f t="shared" si="14"/>
        <v>0</v>
      </c>
      <c r="CG17" s="1" t="str">
        <f t="shared" si="1"/>
        <v/>
      </c>
      <c r="CH17" s="1" t="str">
        <f t="shared" si="2"/>
        <v/>
      </c>
      <c r="CI17" s="1" t="str">
        <f t="shared" si="3"/>
        <v/>
      </c>
      <c r="CJ17" s="1" t="str">
        <f t="shared" si="4"/>
        <v/>
      </c>
      <c r="CK17" s="1" t="str">
        <f t="shared" si="5"/>
        <v/>
      </c>
      <c r="CL17" s="1" t="str">
        <f t="shared" si="6"/>
        <v/>
      </c>
      <c r="CM17" s="1" t="str">
        <f t="shared" si="7"/>
        <v/>
      </c>
      <c r="CN17" s="1" t="str">
        <f t="shared" si="8"/>
        <v/>
      </c>
      <c r="CO17" s="1" t="str">
        <f t="shared" si="9"/>
        <v/>
      </c>
      <c r="CP17" s="1" t="str">
        <f t="shared" si="10"/>
        <v/>
      </c>
      <c r="CQ17" s="1" t="str">
        <f t="shared" si="11"/>
        <v/>
      </c>
      <c r="CR17" s="1" t="str">
        <f t="shared" si="12"/>
        <v/>
      </c>
      <c r="CS17" s="18">
        <f t="shared" si="13"/>
        <v>20</v>
      </c>
    </row>
    <row r="18" spans="1:97" x14ac:dyDescent="0.15">
      <c r="A18" s="1">
        <v>94</v>
      </c>
      <c r="B18" s="3" t="s">
        <v>94</v>
      </c>
      <c r="C18" s="3" t="s">
        <v>78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>
        <v>10</v>
      </c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20</v>
      </c>
      <c r="BQ18" s="1">
        <v>0</v>
      </c>
      <c r="BR18" s="17">
        <v>0</v>
      </c>
      <c r="BS18" s="17"/>
      <c r="BT18" s="1" t="str">
        <f>IF(AQ18&gt;AQ$161, AQ18-AQ$161,"")</f>
        <v/>
      </c>
      <c r="BU18" s="1" t="str">
        <f>IF(AR18&gt;AR$161, AR18-AR$161,"")</f>
        <v/>
      </c>
      <c r="BV18" s="1" t="str">
        <f>IF(AS18&gt;AS$161, AS18-AS$161,"")</f>
        <v/>
      </c>
      <c r="BW18" s="1" t="str">
        <f>IF(AT18&gt;AT$161, AT18-AT$161,"")</f>
        <v/>
      </c>
      <c r="BX18" s="1" t="str">
        <f>IF(AU18&gt;AU$161, AU18-AU$161,"")</f>
        <v/>
      </c>
      <c r="BY18" s="1" t="str">
        <f>IF(AV18&gt;AV$161, AV18-AV$161,"")</f>
        <v/>
      </c>
      <c r="BZ18" s="1" t="str">
        <f>IF(AW18&gt;AW$161, AW18-AW$161,"")</f>
        <v/>
      </c>
      <c r="CA18" s="1" t="str">
        <f>IF(AX18&gt;AX$161, AX18-AX$161,"")</f>
        <v/>
      </c>
      <c r="CB18" s="1" t="str">
        <f>IF(AY18&gt;AY$161, AY18-AY$161,"")</f>
        <v/>
      </c>
      <c r="CC18" s="1" t="str">
        <f>IF(AZ18&gt;AZ$161, AZ18-AZ$161,"")</f>
        <v/>
      </c>
      <c r="CD18" s="1" t="str">
        <f>IF(BA18&gt;BA$161, BA18-BA$161,"")</f>
        <v/>
      </c>
      <c r="CE18" s="1" t="str">
        <f>IF(BB18&gt;BB$161, BB18-BB$161,"")</f>
        <v/>
      </c>
      <c r="CF18" s="1">
        <f t="shared" si="14"/>
        <v>0</v>
      </c>
      <c r="CG18" s="1" t="str">
        <f t="shared" si="1"/>
        <v/>
      </c>
      <c r="CH18" s="1" t="str">
        <f t="shared" si="2"/>
        <v/>
      </c>
      <c r="CI18" s="1" t="str">
        <f t="shared" si="3"/>
        <v/>
      </c>
      <c r="CJ18" s="1" t="str">
        <f t="shared" si="4"/>
        <v/>
      </c>
      <c r="CK18" s="1" t="str">
        <f t="shared" si="5"/>
        <v/>
      </c>
      <c r="CL18" s="1" t="str">
        <f t="shared" si="6"/>
        <v/>
      </c>
      <c r="CM18" s="1" t="str">
        <f t="shared" si="7"/>
        <v/>
      </c>
      <c r="CN18" s="1" t="str">
        <f t="shared" si="8"/>
        <v/>
      </c>
      <c r="CO18" s="1" t="str">
        <f t="shared" si="9"/>
        <v/>
      </c>
      <c r="CP18" s="1" t="str">
        <f t="shared" si="10"/>
        <v/>
      </c>
      <c r="CQ18" s="1" t="str">
        <f t="shared" si="11"/>
        <v/>
      </c>
      <c r="CR18" s="1" t="str">
        <f t="shared" si="12"/>
        <v/>
      </c>
      <c r="CS18" s="18">
        <f t="shared" si="13"/>
        <v>20</v>
      </c>
    </row>
    <row r="19" spans="1:97" x14ac:dyDescent="0.15">
      <c r="A19" s="1">
        <v>96</v>
      </c>
      <c r="B19" s="3" t="s">
        <v>77</v>
      </c>
      <c r="C19" s="3" t="s">
        <v>78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>
        <v>10</v>
      </c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20</v>
      </c>
      <c r="BQ19" s="1">
        <v>0</v>
      </c>
      <c r="BR19" s="17">
        <v>0</v>
      </c>
      <c r="BS19" s="17"/>
      <c r="BT19" s="1" t="str">
        <f>IF(AQ19&gt;AQ$161, AQ19-AQ$161,"")</f>
        <v/>
      </c>
      <c r="BU19" s="1" t="str">
        <f>IF(AR19&gt;AR$161, AR19-AR$161,"")</f>
        <v/>
      </c>
      <c r="BV19" s="1" t="str">
        <f>IF(AS19&gt;AS$161, AS19-AS$161,"")</f>
        <v/>
      </c>
      <c r="BW19" s="1" t="str">
        <f>IF(AT19&gt;AT$161, AT19-AT$161,"")</f>
        <v/>
      </c>
      <c r="BX19" s="1" t="str">
        <f>IF(AU19&gt;AU$161, AU19-AU$161,"")</f>
        <v/>
      </c>
      <c r="BY19" s="1" t="str">
        <f>IF(AV19&gt;AV$161, AV19-AV$161,"")</f>
        <v/>
      </c>
      <c r="BZ19" s="1" t="str">
        <f>IF(AW19&gt;AW$161, AW19-AW$161,"")</f>
        <v/>
      </c>
      <c r="CA19" s="1" t="str">
        <f>IF(AX19&gt;AX$161, AX19-AX$161,"")</f>
        <v/>
      </c>
      <c r="CB19" s="1" t="str">
        <f>IF(AY19&gt;AY$161, AY19-AY$161,"")</f>
        <v/>
      </c>
      <c r="CC19" s="1" t="str">
        <f>IF(AZ19&gt;AZ$161, AZ19-AZ$161,"")</f>
        <v/>
      </c>
      <c r="CD19" s="1" t="str">
        <f>IF(BA19&gt;BA$161, BA19-BA$161,"")</f>
        <v/>
      </c>
      <c r="CE19" s="1" t="str">
        <f>IF(BB19&gt;BB$161, BB19-BB$161,"")</f>
        <v/>
      </c>
      <c r="CF19" s="1">
        <f t="shared" si="14"/>
        <v>0</v>
      </c>
      <c r="CG19" s="1" t="str">
        <f t="shared" si="1"/>
        <v/>
      </c>
      <c r="CH19" s="1" t="str">
        <f t="shared" si="2"/>
        <v/>
      </c>
      <c r="CI19" s="1" t="str">
        <f t="shared" si="3"/>
        <v/>
      </c>
      <c r="CJ19" s="1" t="str">
        <f t="shared" si="4"/>
        <v/>
      </c>
      <c r="CK19" s="1" t="str">
        <f t="shared" si="5"/>
        <v/>
      </c>
      <c r="CL19" s="1" t="str">
        <f t="shared" si="6"/>
        <v/>
      </c>
      <c r="CM19" s="1" t="str">
        <f t="shared" si="7"/>
        <v/>
      </c>
      <c r="CN19" s="1" t="str">
        <f t="shared" si="8"/>
        <v/>
      </c>
      <c r="CO19" s="1" t="str">
        <f t="shared" si="9"/>
        <v/>
      </c>
      <c r="CP19" s="1" t="str">
        <f t="shared" si="10"/>
        <v/>
      </c>
      <c r="CQ19" s="1" t="str">
        <f t="shared" si="11"/>
        <v/>
      </c>
      <c r="CR19" s="1" t="str">
        <f t="shared" si="12"/>
        <v/>
      </c>
      <c r="CS19" s="18">
        <f t="shared" si="13"/>
        <v>20</v>
      </c>
    </row>
    <row r="20" spans="1:97" x14ac:dyDescent="0.15">
      <c r="A20" s="1">
        <v>76</v>
      </c>
      <c r="B20" s="3" t="s">
        <v>115</v>
      </c>
      <c r="C20" s="3" t="s">
        <v>71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>
        <v>10</v>
      </c>
      <c r="BI20" s="1"/>
      <c r="BJ20" s="1"/>
      <c r="BK20" s="1"/>
      <c r="BL20" s="1"/>
      <c r="BM20" s="1"/>
      <c r="BN20" s="1"/>
      <c r="BO20" s="1"/>
      <c r="BP20" s="1">
        <f t="shared" si="0"/>
        <v>10</v>
      </c>
      <c r="BQ20" s="1">
        <v>0</v>
      </c>
      <c r="BR20" s="17">
        <v>0</v>
      </c>
      <c r="BS20" s="17"/>
      <c r="BT20" s="1" t="str">
        <f>IF(AQ20&gt;AQ$161, AQ20-AQ$161,"")</f>
        <v/>
      </c>
      <c r="BU20" s="1" t="str">
        <f>IF(AR20&gt;AR$161, AR20-AR$161,"")</f>
        <v/>
      </c>
      <c r="BV20" s="1" t="str">
        <f>IF(AS20&gt;AS$161, AS20-AS$161,"")</f>
        <v/>
      </c>
      <c r="BW20" s="1" t="str">
        <f>IF(AT20&gt;AT$161, AT20-AT$161,"")</f>
        <v/>
      </c>
      <c r="BX20" s="1" t="str">
        <f>IF(AU20&gt;AU$161, AU20-AU$161,"")</f>
        <v/>
      </c>
      <c r="BY20" s="1" t="str">
        <f>IF(AV20&gt;AV$161, AV20-AV$161,"")</f>
        <v/>
      </c>
      <c r="BZ20" s="1" t="str">
        <f>IF(AW20&gt;AW$161, AW20-AW$161,"")</f>
        <v/>
      </c>
      <c r="CA20" s="1" t="str">
        <f>IF(AX20&gt;AX$161, AX20-AX$161,"")</f>
        <v/>
      </c>
      <c r="CB20" s="1" t="str">
        <f>IF(AY20&gt;AY$161, AY20-AY$161,"")</f>
        <v/>
      </c>
      <c r="CC20" s="1" t="str">
        <f>IF(AZ20&gt;AZ$161, AZ20-AZ$161,"")</f>
        <v/>
      </c>
      <c r="CD20" s="1" t="str">
        <f>IF(BA20&gt;BA$161, BA20-BA$161,"")</f>
        <v/>
      </c>
      <c r="CE20" s="1" t="str">
        <f>IF(BB20&gt;BB$161, BB20-BB$161,"")</f>
        <v/>
      </c>
      <c r="CF20" s="1">
        <f t="shared" si="14"/>
        <v>0</v>
      </c>
      <c r="CG20" s="1" t="str">
        <f t="shared" si="1"/>
        <v/>
      </c>
      <c r="CH20" s="1" t="str">
        <f t="shared" si="2"/>
        <v/>
      </c>
      <c r="CI20" s="1" t="str">
        <f t="shared" si="3"/>
        <v/>
      </c>
      <c r="CJ20" s="1" t="str">
        <f t="shared" si="4"/>
        <v/>
      </c>
      <c r="CK20" s="1" t="str">
        <f t="shared" si="5"/>
        <v/>
      </c>
      <c r="CL20" s="1" t="str">
        <f t="shared" si="6"/>
        <v/>
      </c>
      <c r="CM20" s="1" t="str">
        <f t="shared" si="7"/>
        <v/>
      </c>
      <c r="CN20" s="1" t="str">
        <f t="shared" si="8"/>
        <v/>
      </c>
      <c r="CO20" s="1" t="str">
        <f t="shared" si="9"/>
        <v/>
      </c>
      <c r="CP20" s="1" t="str">
        <f t="shared" si="10"/>
        <v/>
      </c>
      <c r="CQ20" s="1" t="str">
        <f t="shared" si="11"/>
        <v/>
      </c>
      <c r="CR20" s="1" t="str">
        <f t="shared" si="12"/>
        <v/>
      </c>
      <c r="CS20" s="18">
        <f t="shared" si="13"/>
        <v>10</v>
      </c>
    </row>
    <row r="21" spans="1:97" x14ac:dyDescent="0.15">
      <c r="A21" s="1"/>
      <c r="B21" s="1" t="s">
        <v>124</v>
      </c>
      <c r="C21" s="1" t="s">
        <v>125</v>
      </c>
      <c r="D21" s="1" t="s">
        <v>123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>
        <v>20</v>
      </c>
      <c r="BE21" s="1">
        <v>20</v>
      </c>
      <c r="BF21" s="1">
        <v>20</v>
      </c>
      <c r="BG21" s="1">
        <v>20</v>
      </c>
      <c r="BH21" s="1"/>
      <c r="BI21" s="1"/>
      <c r="BJ21" s="1"/>
      <c r="BK21" s="1"/>
      <c r="BL21" s="1"/>
      <c r="BM21" s="1"/>
      <c r="BN21" s="1"/>
      <c r="BO21" s="1"/>
      <c r="BP21" s="1"/>
      <c r="BQ21" s="1">
        <v>0</v>
      </c>
      <c r="BR21" s="17">
        <v>0</v>
      </c>
      <c r="BS21" s="17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135</v>
      </c>
      <c r="C22" s="1" t="s">
        <v>136</v>
      </c>
      <c r="D22" s="1" t="s">
        <v>123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>
        <v>20</v>
      </c>
      <c r="BG22" s="1">
        <v>20</v>
      </c>
      <c r="BH22" s="1">
        <v>20</v>
      </c>
      <c r="BI22" s="1">
        <v>20</v>
      </c>
      <c r="BJ22" s="1"/>
      <c r="BK22" s="1"/>
      <c r="BL22" s="1"/>
      <c r="BM22" s="1"/>
      <c r="BN22" s="1"/>
      <c r="BO22" s="1"/>
      <c r="BP22" s="1"/>
      <c r="BQ22" s="1">
        <v>0</v>
      </c>
      <c r="BR22" s="17">
        <v>0</v>
      </c>
      <c r="BS22" s="17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/>
      <c r="B23" s="1" t="s">
        <v>138</v>
      </c>
      <c r="C23" s="1" t="s">
        <v>136</v>
      </c>
      <c r="D23" s="1" t="s">
        <v>122</v>
      </c>
      <c r="E23" s="6"/>
      <c r="F23" s="6"/>
      <c r="G23" s="6"/>
      <c r="H23" s="6"/>
      <c r="I23" s="6"/>
      <c r="J23" s="6"/>
      <c r="K23" s="6"/>
      <c r="L23" s="6"/>
      <c r="M23" s="6"/>
      <c r="N23" s="6">
        <v>5</v>
      </c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v>0</v>
      </c>
      <c r="BR23" s="17">
        <v>0</v>
      </c>
      <c r="BS23" s="17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141</v>
      </c>
      <c r="C24" s="1" t="s">
        <v>121</v>
      </c>
      <c r="D24" s="1" t="s">
        <v>123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>
        <v>20</v>
      </c>
      <c r="BE24" s="1">
        <v>20</v>
      </c>
      <c r="BF24" s="1">
        <v>20</v>
      </c>
      <c r="BG24" s="1">
        <v>20</v>
      </c>
      <c r="BH24" s="1"/>
      <c r="BI24" s="1"/>
      <c r="BJ24" s="1"/>
      <c r="BK24" s="1"/>
      <c r="BL24" s="1"/>
      <c r="BM24" s="1"/>
      <c r="BN24" s="1"/>
      <c r="BO24" s="1"/>
      <c r="BP24" s="1"/>
      <c r="BQ24" s="1">
        <v>0</v>
      </c>
      <c r="BR24" s="17">
        <v>0</v>
      </c>
      <c r="BS24" s="17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/>
      <c r="B25" s="1" t="s">
        <v>143</v>
      </c>
      <c r="C25" s="1" t="s">
        <v>121</v>
      </c>
      <c r="D25" s="1" t="s">
        <v>122</v>
      </c>
      <c r="E25" s="6"/>
      <c r="F25" s="6"/>
      <c r="G25" s="6"/>
      <c r="H25" s="6"/>
      <c r="I25" s="6"/>
      <c r="J25" s="6"/>
      <c r="K25" s="6">
        <v>5</v>
      </c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v>0</v>
      </c>
      <c r="BR25" s="17">
        <v>0</v>
      </c>
      <c r="BS25" s="17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s="25" customFormat="1" x14ac:dyDescent="0.15">
      <c r="A26" s="1"/>
      <c r="B26" s="1" t="s">
        <v>144</v>
      </c>
      <c r="C26" s="1" t="s">
        <v>145</v>
      </c>
      <c r="D26" s="1" t="s">
        <v>122</v>
      </c>
      <c r="E26" s="6"/>
      <c r="F26" s="6"/>
      <c r="G26" s="6">
        <v>2</v>
      </c>
      <c r="H26" s="6"/>
      <c r="I26" s="6"/>
      <c r="J26" s="6"/>
      <c r="K26" s="6"/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v>0</v>
      </c>
      <c r="BR26" s="17">
        <v>0</v>
      </c>
      <c r="BS26" s="17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x14ac:dyDescent="0.15">
      <c r="A27" s="1"/>
      <c r="B27" s="1" t="s">
        <v>146</v>
      </c>
      <c r="C27" s="1" t="s">
        <v>145</v>
      </c>
      <c r="D27" s="1" t="s">
        <v>122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150</v>
      </c>
      <c r="C28" s="1" t="s">
        <v>148</v>
      </c>
      <c r="D28" s="1" t="s">
        <v>122</v>
      </c>
      <c r="E28" s="6"/>
      <c r="F28" s="6"/>
      <c r="G28" s="6"/>
      <c r="H28" s="6"/>
      <c r="I28" s="6"/>
      <c r="J28" s="6">
        <v>5</v>
      </c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152</v>
      </c>
      <c r="C29" s="1" t="s">
        <v>148</v>
      </c>
      <c r="D29" s="1" t="s">
        <v>122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>
        <v>5</v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153</v>
      </c>
      <c r="C30" s="1" t="s">
        <v>148</v>
      </c>
      <c r="D30" s="1" t="s">
        <v>122</v>
      </c>
      <c r="E30" s="6"/>
      <c r="F30" s="6"/>
      <c r="G30" s="6"/>
      <c r="H30" s="6"/>
      <c r="I30" s="6"/>
      <c r="J30" s="6"/>
      <c r="K30" s="6">
        <v>5</v>
      </c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155</v>
      </c>
      <c r="C31" s="1" t="s">
        <v>148</v>
      </c>
      <c r="D31" s="1" t="s">
        <v>122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>
        <v>10</v>
      </c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190</v>
      </c>
      <c r="C32" s="1" t="s">
        <v>189</v>
      </c>
      <c r="D32" s="1" t="s">
        <v>161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191</v>
      </c>
      <c r="C33" s="1" t="s">
        <v>192</v>
      </c>
      <c r="D33" s="1" t="s">
        <v>161</v>
      </c>
      <c r="E33" s="6"/>
      <c r="F33" s="6"/>
      <c r="G33" s="6"/>
      <c r="H33" s="6"/>
      <c r="I33" s="6"/>
      <c r="J33" s="6">
        <v>5</v>
      </c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193</v>
      </c>
      <c r="C34" s="1" t="s">
        <v>194</v>
      </c>
      <c r="D34" s="1" t="s">
        <v>162</v>
      </c>
      <c r="E34" s="6"/>
      <c r="F34" s="6"/>
      <c r="G34" s="6"/>
      <c r="H34" s="6"/>
      <c r="I34" s="6"/>
      <c r="J34" s="6"/>
      <c r="K34" s="6"/>
      <c r="L34" s="6">
        <v>6</v>
      </c>
      <c r="M34" s="6"/>
      <c r="N34" s="6"/>
      <c r="O34" s="6">
        <v>6</v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10</v>
      </c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200</v>
      </c>
      <c r="C35" s="1" t="s">
        <v>194</v>
      </c>
      <c r="D35" s="1" t="s">
        <v>161</v>
      </c>
      <c r="E35" s="6"/>
      <c r="F35" s="6"/>
      <c r="G35" s="6"/>
      <c r="H35" s="6"/>
      <c r="I35" s="6"/>
      <c r="J35" s="6"/>
      <c r="K35" s="6">
        <v>5</v>
      </c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s="25" customFormat="1" x14ac:dyDescent="0.15">
      <c r="A36" s="1"/>
      <c r="B36" s="1" t="s">
        <v>177</v>
      </c>
      <c r="C36" s="1" t="s">
        <v>178</v>
      </c>
      <c r="D36" s="1" t="s">
        <v>160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>
        <v>10</v>
      </c>
      <c r="Q36" s="32"/>
      <c r="R36" s="32"/>
      <c r="S36" s="32">
        <v>10</v>
      </c>
      <c r="T36" s="32"/>
      <c r="U36" s="32"/>
      <c r="V36" s="32">
        <v>10</v>
      </c>
      <c r="W36" s="32"/>
      <c r="X36" s="32"/>
      <c r="Y36" s="32">
        <v>10</v>
      </c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185</v>
      </c>
      <c r="C37" s="1" t="s">
        <v>183</v>
      </c>
      <c r="D37" s="1" t="s">
        <v>160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>
        <v>10</v>
      </c>
      <c r="Q37" s="32"/>
      <c r="R37" s="32"/>
      <c r="S37" s="32">
        <v>10</v>
      </c>
      <c r="T37" s="32"/>
      <c r="U37" s="32"/>
      <c r="V37" s="32">
        <v>10</v>
      </c>
      <c r="W37" s="32"/>
      <c r="X37" s="32"/>
      <c r="Y37" s="32">
        <v>10</v>
      </c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187</v>
      </c>
      <c r="C38" s="1" t="s">
        <v>189</v>
      </c>
      <c r="D38" s="1" t="s">
        <v>160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>
        <v>10</v>
      </c>
      <c r="Q38" s="32"/>
      <c r="R38" s="32"/>
      <c r="S38" s="32">
        <v>10</v>
      </c>
      <c r="T38" s="32"/>
      <c r="U38" s="32"/>
      <c r="V38" s="32">
        <v>10</v>
      </c>
      <c r="W38" s="32"/>
      <c r="X38" s="32"/>
      <c r="Y38" s="32">
        <v>10</v>
      </c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196</v>
      </c>
      <c r="C39" s="1" t="s">
        <v>194</v>
      </c>
      <c r="D39" s="1" t="s">
        <v>160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>
        <v>10</v>
      </c>
      <c r="Q39" s="32"/>
      <c r="R39" s="32"/>
      <c r="S39" s="32">
        <v>10</v>
      </c>
      <c r="T39" s="32"/>
      <c r="U39" s="32"/>
      <c r="V39" s="32">
        <v>10</v>
      </c>
      <c r="W39" s="32"/>
      <c r="X39" s="32"/>
      <c r="Y39" s="32">
        <v>10</v>
      </c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x14ac:dyDescent="0.15">
      <c r="A40" s="1"/>
      <c r="B40" s="1" t="s">
        <v>199</v>
      </c>
      <c r="C40" s="1" t="s">
        <v>194</v>
      </c>
      <c r="D40" s="1" t="s">
        <v>160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>
        <v>10</v>
      </c>
      <c r="Q40" s="32"/>
      <c r="R40" s="32"/>
      <c r="S40" s="32">
        <v>10</v>
      </c>
      <c r="T40" s="32"/>
      <c r="U40" s="32"/>
      <c r="V40" s="32">
        <v>10</v>
      </c>
      <c r="W40" s="32"/>
      <c r="X40" s="32"/>
      <c r="Y40" s="32">
        <v>10</v>
      </c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v>0</v>
      </c>
      <c r="BR40" s="17">
        <v>0</v>
      </c>
      <c r="BS40" s="17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201</v>
      </c>
      <c r="C41" s="1" t="s">
        <v>194</v>
      </c>
      <c r="D41" s="1" t="s">
        <v>160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>
        <v>10</v>
      </c>
      <c r="Q41" s="32"/>
      <c r="R41" s="32"/>
      <c r="S41" s="32">
        <v>10</v>
      </c>
      <c r="T41" s="32"/>
      <c r="U41" s="32"/>
      <c r="V41" s="32">
        <v>10</v>
      </c>
      <c r="W41" s="32"/>
      <c r="X41" s="32"/>
      <c r="Y41" s="32">
        <v>10</v>
      </c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v>0</v>
      </c>
      <c r="BR41" s="17">
        <v>0</v>
      </c>
      <c r="BS41" s="17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>
        <v>97</v>
      </c>
      <c r="B42" s="3" t="s">
        <v>79</v>
      </c>
      <c r="C42" s="3" t="s">
        <v>78</v>
      </c>
      <c r="D42" s="1" t="s">
        <v>24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>
        <v>10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10</v>
      </c>
      <c r="BQ42" s="1">
        <v>0</v>
      </c>
      <c r="BR42" s="17">
        <v>0</v>
      </c>
      <c r="BS42" s="17"/>
      <c r="BT42" s="1" t="str">
        <f>IF(AQ42&gt;AQ$161, AQ42-AQ$161,"")</f>
        <v/>
      </c>
      <c r="BU42" s="1" t="str">
        <f>IF(AR42&gt;AR$161, AR42-AR$161,"")</f>
        <v/>
      </c>
      <c r="BV42" s="1" t="str">
        <f>IF(AS42&gt;AS$161, AS42-AS$161,"")</f>
        <v/>
      </c>
      <c r="BW42" s="1" t="str">
        <f>IF(AT42&gt;AT$161, AT42-AT$161,"")</f>
        <v/>
      </c>
      <c r="BX42" s="1" t="str">
        <f>IF(AU42&gt;AU$161, AU42-AU$161,"")</f>
        <v/>
      </c>
      <c r="BY42" s="1" t="str">
        <f>IF(AV42&gt;AV$161, AV42-AV$161,"")</f>
        <v/>
      </c>
      <c r="BZ42" s="1" t="str">
        <f>IF(AW42&gt;AW$161, AW42-AW$161,"")</f>
        <v/>
      </c>
      <c r="CA42" s="1" t="str">
        <f>IF(AX42&gt;AX$161, AX42-AX$161,"")</f>
        <v/>
      </c>
      <c r="CB42" s="1" t="str">
        <f>IF(AY42&gt;AY$161, AY42-AY$161,"")</f>
        <v/>
      </c>
      <c r="CC42" s="1" t="str">
        <f>IF(AZ42&gt;AZ$161, AZ42-AZ$161,"")</f>
        <v/>
      </c>
      <c r="CD42" s="1" t="str">
        <f>IF(BA42&gt;BA$161, BA42-BA$161,"")</f>
        <v/>
      </c>
      <c r="CE42" s="1" t="str">
        <f>IF(BB42&gt;BB$161, BB42-BB$161,"")</f>
        <v/>
      </c>
      <c r="CF42" s="1">
        <f>COUNTIF(BT42:CE42, "&gt;0")</f>
        <v>0</v>
      </c>
      <c r="CG42" s="1" t="str">
        <f t="shared" ref="CG42:CR45" si="15">IF($CF42=1,BT42,"")</f>
        <v/>
      </c>
      <c r="CH42" s="1" t="str">
        <f t="shared" si="15"/>
        <v/>
      </c>
      <c r="CI42" s="1" t="str">
        <f t="shared" si="15"/>
        <v/>
      </c>
      <c r="CJ42" s="1" t="str">
        <f t="shared" si="15"/>
        <v/>
      </c>
      <c r="CK42" s="1" t="str">
        <f t="shared" si="15"/>
        <v/>
      </c>
      <c r="CL42" s="1" t="str">
        <f t="shared" si="15"/>
        <v/>
      </c>
      <c r="CM42" s="1" t="str">
        <f t="shared" si="15"/>
        <v/>
      </c>
      <c r="CN42" s="1" t="str">
        <f t="shared" si="15"/>
        <v/>
      </c>
      <c r="CO42" s="1" t="str">
        <f t="shared" si="15"/>
        <v/>
      </c>
      <c r="CP42" s="1" t="str">
        <f t="shared" si="15"/>
        <v/>
      </c>
      <c r="CQ42" s="1" t="str">
        <f t="shared" si="15"/>
        <v/>
      </c>
      <c r="CR42" s="1" t="str">
        <f t="shared" si="15"/>
        <v/>
      </c>
      <c r="CS42" s="18">
        <f>SUM(AE42:BO42)</f>
        <v>10</v>
      </c>
    </row>
    <row r="43" spans="1:97" x14ac:dyDescent="0.15">
      <c r="A43" s="1">
        <v>91</v>
      </c>
      <c r="B43" s="3" t="s">
        <v>91</v>
      </c>
      <c r="C43" s="3" t="s">
        <v>90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>
        <v>5</v>
      </c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5</v>
      </c>
      <c r="BQ43" s="1">
        <v>1</v>
      </c>
      <c r="BR43" s="17">
        <v>1</v>
      </c>
      <c r="BS43" s="17" t="s">
        <v>208</v>
      </c>
      <c r="BT43" s="1" t="str">
        <f>IF(AQ43&gt;AQ$161, AQ43-AQ$161,"")</f>
        <v/>
      </c>
      <c r="BU43" s="1" t="str">
        <f>IF(AR43&gt;AR$161, AR43-AR$161,"")</f>
        <v/>
      </c>
      <c r="BV43" s="1" t="str">
        <f>IF(AS43&gt;AS$161, AS43-AS$161,"")</f>
        <v/>
      </c>
      <c r="BW43" s="1" t="str">
        <f>IF(AT43&gt;AT$161, AT43-AT$161,"")</f>
        <v/>
      </c>
      <c r="BX43" s="1" t="str">
        <f>IF(AU43&gt;AU$161, AU43-AU$161,"")</f>
        <v/>
      </c>
      <c r="BY43" s="1" t="str">
        <f>IF(AV43&gt;AV$161, AV43-AV$161,"")</f>
        <v/>
      </c>
      <c r="BZ43" s="1" t="str">
        <f>IF(AW43&gt;AW$161, AW43-AW$161,"")</f>
        <v/>
      </c>
      <c r="CA43" s="1" t="str">
        <f>IF(AX43&gt;AX$161, AX43-AX$161,"")</f>
        <v/>
      </c>
      <c r="CB43" s="1" t="str">
        <f>IF(AY43&gt;AY$161, AY43-AY$161,"")</f>
        <v/>
      </c>
      <c r="CC43" s="1" t="str">
        <f>IF(AZ43&gt;AZ$161, AZ43-AZ$161,"")</f>
        <v/>
      </c>
      <c r="CD43" s="1" t="str">
        <f>IF(BA43&gt;BA$161, BA43-BA$161,"")</f>
        <v/>
      </c>
      <c r="CE43" s="1" t="str">
        <f>IF(BB43&gt;BB$161, BB43-BB$161,"")</f>
        <v/>
      </c>
      <c r="CF43" s="1">
        <f>COUNTIF(BT43:CE43, "&gt;0")</f>
        <v>0</v>
      </c>
      <c r="CG43" s="1" t="str">
        <f t="shared" si="15"/>
        <v/>
      </c>
      <c r="CH43" s="1" t="str">
        <f t="shared" si="15"/>
        <v/>
      </c>
      <c r="CI43" s="1" t="str">
        <f t="shared" si="15"/>
        <v/>
      </c>
      <c r="CJ43" s="1" t="str">
        <f t="shared" si="15"/>
        <v/>
      </c>
      <c r="CK43" s="1" t="str">
        <f t="shared" si="15"/>
        <v/>
      </c>
      <c r="CL43" s="1" t="str">
        <f t="shared" si="15"/>
        <v/>
      </c>
      <c r="CM43" s="1" t="str">
        <f t="shared" si="15"/>
        <v/>
      </c>
      <c r="CN43" s="1" t="str">
        <f t="shared" si="15"/>
        <v/>
      </c>
      <c r="CO43" s="1" t="str">
        <f t="shared" si="15"/>
        <v/>
      </c>
      <c r="CP43" s="1" t="str">
        <f t="shared" si="15"/>
        <v/>
      </c>
      <c r="CQ43" s="1" t="str">
        <f t="shared" si="15"/>
        <v/>
      </c>
      <c r="CR43" s="1" t="str">
        <f t="shared" si="15"/>
        <v/>
      </c>
      <c r="CS43" s="18">
        <f>SUM(AE43:BO43)</f>
        <v>5</v>
      </c>
    </row>
    <row r="44" spans="1:97" x14ac:dyDescent="0.15">
      <c r="A44" s="19">
        <v>92</v>
      </c>
      <c r="B44" s="27" t="s">
        <v>92</v>
      </c>
      <c r="C44" s="27" t="s">
        <v>90</v>
      </c>
      <c r="D44" s="19" t="s">
        <v>24</v>
      </c>
      <c r="E44" s="20">
        <v>10</v>
      </c>
      <c r="F44" s="20"/>
      <c r="G44" s="20"/>
      <c r="H44" s="20"/>
      <c r="I44" s="20">
        <v>10</v>
      </c>
      <c r="J44" s="20">
        <v>10</v>
      </c>
      <c r="K44" s="20"/>
      <c r="L44" s="20"/>
      <c r="M44" s="20"/>
      <c r="N44" s="20"/>
      <c r="O44" s="20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21"/>
      <c r="AR44" s="21"/>
      <c r="AS44" s="21"/>
      <c r="AT44" s="21"/>
      <c r="AU44" s="21"/>
      <c r="AV44" s="21"/>
      <c r="AW44" s="22"/>
      <c r="AX44" s="22"/>
      <c r="AY44" s="22"/>
      <c r="AZ44" s="22"/>
      <c r="BA44" s="22"/>
      <c r="BB44" s="22"/>
      <c r="BC44" s="30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>
        <f>SUM(E44:BO44)</f>
        <v>30</v>
      </c>
      <c r="BQ44" s="19">
        <v>2</v>
      </c>
      <c r="BR44" s="23">
        <v>1</v>
      </c>
      <c r="BS44" s="23" t="s">
        <v>247</v>
      </c>
      <c r="BT44" s="19" t="str">
        <f>IF(AQ44&gt;AQ$161, AQ44-AQ$161,"")</f>
        <v/>
      </c>
      <c r="BU44" s="19" t="str">
        <f>IF(AR44&gt;AR$161, AR44-AR$161,"")</f>
        <v/>
      </c>
      <c r="BV44" s="19" t="str">
        <f>IF(AS44&gt;AS$161, AS44-AS$161,"")</f>
        <v/>
      </c>
      <c r="BW44" s="19" t="str">
        <f>IF(AT44&gt;AT$161, AT44-AT$161,"")</f>
        <v/>
      </c>
      <c r="BX44" s="19" t="str">
        <f>IF(AU44&gt;AU$161, AU44-AU$161,"")</f>
        <v/>
      </c>
      <c r="BY44" s="19" t="str">
        <f>IF(AV44&gt;AV$161, AV44-AV$161,"")</f>
        <v/>
      </c>
      <c r="BZ44" s="19" t="str">
        <f>IF(AW44&gt;AW$161, AW44-AW$161,"")</f>
        <v/>
      </c>
      <c r="CA44" s="19" t="str">
        <f>IF(AX44&gt;AX$161, AX44-AX$161,"")</f>
        <v/>
      </c>
      <c r="CB44" s="19" t="str">
        <f>IF(AY44&gt;AY$161, AY44-AY$161,"")</f>
        <v/>
      </c>
      <c r="CC44" s="19" t="str">
        <f>IF(AZ44&gt;AZ$161, AZ44-AZ$161,"")</f>
        <v/>
      </c>
      <c r="CD44" s="19" t="str">
        <f>IF(BA44&gt;BA$161, BA44-BA$161,"")</f>
        <v/>
      </c>
      <c r="CE44" s="19" t="str">
        <f>IF(BB44&gt;BB$161, BB44-BB$161,"")</f>
        <v/>
      </c>
      <c r="CF44" s="19">
        <f>COUNTIF(BT44:CE44, "&gt;0")</f>
        <v>0</v>
      </c>
      <c r="CG44" s="19" t="str">
        <f t="shared" si="15"/>
        <v/>
      </c>
      <c r="CH44" s="19" t="str">
        <f t="shared" si="15"/>
        <v/>
      </c>
      <c r="CI44" s="19" t="str">
        <f t="shared" si="15"/>
        <v/>
      </c>
      <c r="CJ44" s="19" t="str">
        <f t="shared" si="15"/>
        <v/>
      </c>
      <c r="CK44" s="19" t="str">
        <f t="shared" si="15"/>
        <v/>
      </c>
      <c r="CL44" s="19" t="str">
        <f t="shared" si="15"/>
        <v/>
      </c>
      <c r="CM44" s="19" t="str">
        <f t="shared" si="15"/>
        <v/>
      </c>
      <c r="CN44" s="19" t="str">
        <f t="shared" si="15"/>
        <v/>
      </c>
      <c r="CO44" s="19" t="str">
        <f t="shared" si="15"/>
        <v/>
      </c>
      <c r="CP44" s="19" t="str">
        <f t="shared" si="15"/>
        <v/>
      </c>
      <c r="CQ44" s="19" t="str">
        <f t="shared" si="15"/>
        <v/>
      </c>
      <c r="CR44" s="19" t="str">
        <f t="shared" si="15"/>
        <v/>
      </c>
      <c r="CS44" s="24">
        <f>SUM(AE44:BO44)</f>
        <v>0</v>
      </c>
    </row>
    <row r="45" spans="1:97" x14ac:dyDescent="0.15">
      <c r="A45" s="1">
        <v>84</v>
      </c>
      <c r="B45" s="3" t="s">
        <v>76</v>
      </c>
      <c r="C45" s="3" t="s">
        <v>71</v>
      </c>
      <c r="D45" s="1" t="s">
        <v>13</v>
      </c>
      <c r="E45" s="6"/>
      <c r="F45" s="6"/>
      <c r="G45" s="6">
        <v>5</v>
      </c>
      <c r="H45" s="6">
        <v>5</v>
      </c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5</v>
      </c>
      <c r="BB45" s="2">
        <v>5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20</v>
      </c>
      <c r="BQ45" s="1">
        <v>2</v>
      </c>
      <c r="BR45" s="17">
        <v>1</v>
      </c>
      <c r="BS45" s="17" t="s">
        <v>248</v>
      </c>
      <c r="BT45" s="1" t="str">
        <f>IF(AQ45&gt;AQ$161, AQ45-AQ$161,"")</f>
        <v/>
      </c>
      <c r="BU45" s="1" t="str">
        <f>IF(AR45&gt;AR$161, AR45-AR$161,"")</f>
        <v/>
      </c>
      <c r="BV45" s="1" t="str">
        <f>IF(AS45&gt;AS$161, AS45-AS$161,"")</f>
        <v/>
      </c>
      <c r="BW45" s="1" t="str">
        <f>IF(AT45&gt;AT$161, AT45-AT$161,"")</f>
        <v/>
      </c>
      <c r="BX45" s="1" t="str">
        <f>IF(AU45&gt;AU$161, AU45-AU$161,"")</f>
        <v/>
      </c>
      <c r="BY45" s="1" t="str">
        <f>IF(AV45&gt;AV$161, AV45-AV$161,"")</f>
        <v/>
      </c>
      <c r="BZ45" s="1" t="str">
        <f>IF(AW45&gt;AW$161, AW45-AW$161,"")</f>
        <v/>
      </c>
      <c r="CA45" s="1" t="str">
        <f>IF(AX45&gt;AX$161, AX45-AX$161,"")</f>
        <v/>
      </c>
      <c r="CB45" s="1" t="str">
        <f>IF(AY45&gt;AY$161, AY45-AY$161,"")</f>
        <v/>
      </c>
      <c r="CC45" s="1" t="str">
        <f>IF(AZ45&gt;AZ$161, AZ45-AZ$161,"")</f>
        <v/>
      </c>
      <c r="CD45" s="1" t="str">
        <f>IF(BA45&gt;BA$161, BA45-BA$161,"")</f>
        <v/>
      </c>
      <c r="CE45" s="1" t="str">
        <f>IF(BB45&gt;BB$161, BB45-BB$161,"")</f>
        <v/>
      </c>
      <c r="CF45" s="1">
        <f>COUNTIF(BT45:CE45, "&gt;0")</f>
        <v>0</v>
      </c>
      <c r="CG45" s="1" t="str">
        <f t="shared" si="15"/>
        <v/>
      </c>
      <c r="CH45" s="1" t="str">
        <f t="shared" si="15"/>
        <v/>
      </c>
      <c r="CI45" s="1" t="str">
        <f t="shared" si="15"/>
        <v/>
      </c>
      <c r="CJ45" s="1" t="str">
        <f t="shared" si="15"/>
        <v/>
      </c>
      <c r="CK45" s="1" t="str">
        <f t="shared" si="15"/>
        <v/>
      </c>
      <c r="CL45" s="1" t="str">
        <f t="shared" si="15"/>
        <v/>
      </c>
      <c r="CM45" s="1" t="str">
        <f t="shared" si="15"/>
        <v/>
      </c>
      <c r="CN45" s="1" t="str">
        <f t="shared" si="15"/>
        <v/>
      </c>
      <c r="CO45" s="1" t="str">
        <f t="shared" si="15"/>
        <v/>
      </c>
      <c r="CP45" s="1" t="str">
        <f t="shared" si="15"/>
        <v/>
      </c>
      <c r="CQ45" s="1" t="str">
        <f t="shared" si="15"/>
        <v/>
      </c>
      <c r="CR45" s="1" t="str">
        <f t="shared" si="15"/>
        <v/>
      </c>
      <c r="CS45" s="18">
        <f>SUM(AE45:BO45)</f>
        <v>10</v>
      </c>
    </row>
    <row r="46" spans="1:97" x14ac:dyDescent="0.15">
      <c r="A46" s="1"/>
      <c r="B46" s="1" t="s">
        <v>138</v>
      </c>
      <c r="C46" s="1" t="s">
        <v>136</v>
      </c>
      <c r="D46" s="1" t="s">
        <v>123</v>
      </c>
      <c r="E46" s="6">
        <v>10</v>
      </c>
      <c r="F46" s="6"/>
      <c r="G46" s="6">
        <v>10</v>
      </c>
      <c r="H46" s="6"/>
      <c r="I46" s="6"/>
      <c r="J46" s="6"/>
      <c r="K46" s="6"/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>
        <v>10</v>
      </c>
      <c r="AS46" s="4"/>
      <c r="AT46" s="4"/>
      <c r="AU46" s="4"/>
      <c r="AV46" s="4"/>
      <c r="AW46" s="2"/>
      <c r="AX46" s="2"/>
      <c r="AY46" s="2"/>
      <c r="AZ46" s="2"/>
      <c r="BA46" s="2"/>
      <c r="BB46" s="2">
        <v>10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v>2</v>
      </c>
      <c r="BR46" s="17">
        <v>1</v>
      </c>
      <c r="BS46" s="17" t="s">
        <v>247</v>
      </c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8"/>
    </row>
    <row r="47" spans="1:97" x14ac:dyDescent="0.15">
      <c r="A47" s="1"/>
      <c r="B47" s="1" t="s">
        <v>154</v>
      </c>
      <c r="C47" s="1" t="s">
        <v>148</v>
      </c>
      <c r="D47" s="1" t="s">
        <v>122</v>
      </c>
      <c r="E47" s="6"/>
      <c r="F47" s="6"/>
      <c r="G47" s="6"/>
      <c r="H47" s="6">
        <v>5</v>
      </c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v>2</v>
      </c>
      <c r="BR47" s="17">
        <v>1</v>
      </c>
      <c r="BS47" s="17" t="s">
        <v>248</v>
      </c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191</v>
      </c>
      <c r="C48" s="1" t="s">
        <v>192</v>
      </c>
      <c r="D48" s="1" t="s">
        <v>162</v>
      </c>
      <c r="E48" s="6">
        <v>10</v>
      </c>
      <c r="F48" s="6"/>
      <c r="G48" s="6">
        <v>10</v>
      </c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>
        <v>10</v>
      </c>
      <c r="AS48" s="4"/>
      <c r="AT48" s="4"/>
      <c r="AU48" s="4"/>
      <c r="AV48" s="4"/>
      <c r="AW48" s="2"/>
      <c r="AX48" s="2"/>
      <c r="AY48" s="2"/>
      <c r="AZ48" s="2"/>
      <c r="BA48" s="2"/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2</v>
      </c>
      <c r="BR48" s="17">
        <v>1</v>
      </c>
      <c r="BS48" s="17" t="s">
        <v>247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9">
        <v>37</v>
      </c>
      <c r="B49" s="19" t="s">
        <v>52</v>
      </c>
      <c r="C49" s="19" t="s">
        <v>49</v>
      </c>
      <c r="D49" s="19" t="s">
        <v>25</v>
      </c>
      <c r="E49" s="20"/>
      <c r="F49" s="20">
        <v>5</v>
      </c>
      <c r="G49" s="20"/>
      <c r="H49" s="20"/>
      <c r="I49" s="20"/>
      <c r="J49" s="20"/>
      <c r="K49" s="20"/>
      <c r="L49" s="20"/>
      <c r="M49" s="20"/>
      <c r="N49" s="20"/>
      <c r="O49" s="20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21"/>
      <c r="AR49" s="21"/>
      <c r="AS49" s="21"/>
      <c r="AT49" s="21"/>
      <c r="AU49" s="21"/>
      <c r="AV49" s="21"/>
      <c r="AW49" s="22"/>
      <c r="AX49" s="22"/>
      <c r="AY49" s="22"/>
      <c r="AZ49" s="22"/>
      <c r="BA49" s="22"/>
      <c r="BB49" s="22"/>
      <c r="BC49" s="30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>
        <f>SUM(E49:BO49)</f>
        <v>5</v>
      </c>
      <c r="BQ49" s="19">
        <v>2</v>
      </c>
      <c r="BR49" s="23">
        <v>1</v>
      </c>
      <c r="BS49" s="23" t="s">
        <v>249</v>
      </c>
      <c r="BT49" s="19" t="str">
        <f>IF(AQ49&gt;AQ$161, AQ49-AQ$161,"")</f>
        <v/>
      </c>
      <c r="BU49" s="19" t="str">
        <f>IF(AR49&gt;AR$161, AR49-AR$161,"")</f>
        <v/>
      </c>
      <c r="BV49" s="19" t="str">
        <f>IF(AS49&gt;AS$161, AS49-AS$161,"")</f>
        <v/>
      </c>
      <c r="BW49" s="19" t="str">
        <f>IF(AT49&gt;AT$161, AT49-AT$161,"")</f>
        <v/>
      </c>
      <c r="BX49" s="19" t="str">
        <f>IF(AU49&gt;AU$161, AU49-AU$161,"")</f>
        <v/>
      </c>
      <c r="BY49" s="19" t="str">
        <f>IF(AV49&gt;AV$161, AV49-AV$161,"")</f>
        <v/>
      </c>
      <c r="BZ49" s="19" t="str">
        <f>IF(AW49&gt;AW$161, AW49-AW$161,"")</f>
        <v/>
      </c>
      <c r="CA49" s="19" t="str">
        <f>IF(AX49&gt;AX$161, AX49-AX$161,"")</f>
        <v/>
      </c>
      <c r="CB49" s="19" t="str">
        <f>IF(AY49&gt;AY$161, AY49-AY$161,"")</f>
        <v/>
      </c>
      <c r="CC49" s="19" t="str">
        <f>IF(AZ49&gt;AZ$161, AZ49-AZ$161,"")</f>
        <v/>
      </c>
      <c r="CD49" s="19" t="str">
        <f>IF(BA49&gt;BA$161, BA49-BA$161,"")</f>
        <v/>
      </c>
      <c r="CE49" s="19" t="str">
        <f>IF(BB49&gt;BB$161, BB49-BB$161,"")</f>
        <v/>
      </c>
      <c r="CF49" s="19">
        <f>COUNTIF(BT49:CE49, "&gt;0")</f>
        <v>0</v>
      </c>
      <c r="CG49" s="19" t="str">
        <f t="shared" ref="CG49:CR49" si="16">IF($CF49=1,BT49,"")</f>
        <v/>
      </c>
      <c r="CH49" s="19" t="str">
        <f t="shared" si="16"/>
        <v/>
      </c>
      <c r="CI49" s="19" t="str">
        <f t="shared" si="16"/>
        <v/>
      </c>
      <c r="CJ49" s="19" t="str">
        <f t="shared" si="16"/>
        <v/>
      </c>
      <c r="CK49" s="19" t="str">
        <f t="shared" si="16"/>
        <v/>
      </c>
      <c r="CL49" s="19" t="str">
        <f t="shared" si="16"/>
        <v/>
      </c>
      <c r="CM49" s="19" t="str">
        <f t="shared" si="16"/>
        <v/>
      </c>
      <c r="CN49" s="19" t="str">
        <f t="shared" si="16"/>
        <v/>
      </c>
      <c r="CO49" s="19" t="str">
        <f t="shared" si="16"/>
        <v/>
      </c>
      <c r="CP49" s="19" t="str">
        <f t="shared" si="16"/>
        <v/>
      </c>
      <c r="CQ49" s="19" t="str">
        <f t="shared" si="16"/>
        <v/>
      </c>
      <c r="CR49" s="19" t="str">
        <f t="shared" si="16"/>
        <v/>
      </c>
      <c r="CS49" s="24">
        <f>SUM(AE49:BO49)</f>
        <v>0</v>
      </c>
    </row>
    <row r="50" spans="1:97" s="25" customFormat="1" x14ac:dyDescent="0.15">
      <c r="A50" s="1"/>
      <c r="B50" s="1" t="s">
        <v>133</v>
      </c>
      <c r="C50" s="1" t="s">
        <v>125</v>
      </c>
      <c r="D50" s="1" t="s">
        <v>122</v>
      </c>
      <c r="E50" s="6"/>
      <c r="F50" s="6">
        <v>5</v>
      </c>
      <c r="G50" s="6"/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v>2</v>
      </c>
      <c r="BR50" s="17">
        <v>1</v>
      </c>
      <c r="BS50" s="17" t="s">
        <v>249</v>
      </c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x14ac:dyDescent="0.15">
      <c r="A51" s="1"/>
      <c r="B51" s="1" t="s">
        <v>151</v>
      </c>
      <c r="C51" s="1" t="s">
        <v>148</v>
      </c>
      <c r="D51" s="1" t="s">
        <v>122</v>
      </c>
      <c r="E51" s="6"/>
      <c r="F51" s="6">
        <v>5</v>
      </c>
      <c r="G51" s="6"/>
      <c r="H51" s="6"/>
      <c r="I51" s="6"/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v>2</v>
      </c>
      <c r="BR51" s="17">
        <v>1</v>
      </c>
      <c r="BS51" s="17" t="s">
        <v>249</v>
      </c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8"/>
    </row>
    <row r="52" spans="1:97" x14ac:dyDescent="0.15">
      <c r="A52" s="1"/>
      <c r="B52" s="1" t="s">
        <v>134</v>
      </c>
      <c r="C52" s="1" t="s">
        <v>125</v>
      </c>
      <c r="D52" s="1" t="s">
        <v>130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>
        <v>2</v>
      </c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v>2</v>
      </c>
      <c r="BR52" s="17">
        <v>1</v>
      </c>
      <c r="BS52" s="17" t="s">
        <v>204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x14ac:dyDescent="0.15">
      <c r="A53" s="1">
        <v>69</v>
      </c>
      <c r="B53" s="3" t="s">
        <v>70</v>
      </c>
      <c r="C53" s="1" t="s">
        <v>62</v>
      </c>
      <c r="D53" s="1" t="s">
        <v>13</v>
      </c>
      <c r="E53" s="6"/>
      <c r="F53" s="6"/>
      <c r="G53" s="6"/>
      <c r="H53" s="6">
        <v>6</v>
      </c>
      <c r="I53" s="6">
        <v>6</v>
      </c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/>
      <c r="AX53" s="2">
        <v>10</v>
      </c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3</v>
      </c>
      <c r="BR53" s="17">
        <v>1</v>
      </c>
      <c r="BS53" s="17" t="s">
        <v>250</v>
      </c>
      <c r="BT53" s="1" t="str">
        <f>IF(AQ53&gt;AQ$161, AQ53-AQ$161,"")</f>
        <v/>
      </c>
      <c r="BU53" s="1" t="str">
        <f>IF(AR53&gt;AR$161, AR53-AR$161,"")</f>
        <v/>
      </c>
      <c r="BV53" s="1" t="str">
        <f>IF(AS53&gt;AS$161, AS53-AS$161,"")</f>
        <v/>
      </c>
      <c r="BW53" s="1" t="str">
        <f>IF(AT53&gt;AT$161, AT53-AT$161,"")</f>
        <v/>
      </c>
      <c r="BX53" s="1" t="str">
        <f>IF(AU53&gt;AU$161, AU53-AU$161,"")</f>
        <v/>
      </c>
      <c r="BY53" s="1" t="str">
        <f>IF(AV53&gt;AV$161, AV53-AV$161,"")</f>
        <v/>
      </c>
      <c r="BZ53" s="1" t="str">
        <f>IF(AW53&gt;AW$161, AW53-AW$161,"")</f>
        <v/>
      </c>
      <c r="CA53" s="1" t="str">
        <f>IF(AX53&gt;AX$161, AX53-AX$161,"")</f>
        <v/>
      </c>
      <c r="CB53" s="1" t="str">
        <f>IF(AY53&gt;AY$161, AY53-AY$161,"")</f>
        <v/>
      </c>
      <c r="CC53" s="1" t="str">
        <f>IF(AZ53&gt;AZ$161, AZ53-AZ$161,"")</f>
        <v/>
      </c>
      <c r="CD53" s="1" t="str">
        <f>IF(BA53&gt;BA$161, BA53-BA$161,"")</f>
        <v/>
      </c>
      <c r="CE53" s="1" t="str">
        <f>IF(BB53&gt;BB$161, BB53-BB$161,"")</f>
        <v/>
      </c>
      <c r="CF53" s="1">
        <f>COUNTIF(BT53:CE53, "&gt;0")</f>
        <v>0</v>
      </c>
      <c r="CG53" s="1" t="str">
        <f t="shared" ref="CG53:CR54" si="17">IF($CF53=1,BT53,"")</f>
        <v/>
      </c>
      <c r="CH53" s="1" t="str">
        <f t="shared" si="17"/>
        <v/>
      </c>
      <c r="CI53" s="1" t="str">
        <f t="shared" si="17"/>
        <v/>
      </c>
      <c r="CJ53" s="1" t="str">
        <f t="shared" si="17"/>
        <v/>
      </c>
      <c r="CK53" s="1" t="str">
        <f t="shared" si="17"/>
        <v/>
      </c>
      <c r="CL53" s="1" t="str">
        <f t="shared" si="17"/>
        <v/>
      </c>
      <c r="CM53" s="1" t="str">
        <f t="shared" si="17"/>
        <v/>
      </c>
      <c r="CN53" s="1" t="str">
        <f t="shared" si="17"/>
        <v/>
      </c>
      <c r="CO53" s="1" t="str">
        <f t="shared" si="17"/>
        <v/>
      </c>
      <c r="CP53" s="1" t="str">
        <f t="shared" si="17"/>
        <v/>
      </c>
      <c r="CQ53" s="1" t="str">
        <f t="shared" si="17"/>
        <v/>
      </c>
      <c r="CR53" s="1" t="str">
        <f t="shared" si="17"/>
        <v/>
      </c>
      <c r="CS53" s="18">
        <f>SUM(AE53:BO53)</f>
        <v>20</v>
      </c>
    </row>
    <row r="54" spans="1:97" x14ac:dyDescent="0.15">
      <c r="A54" s="1">
        <v>8</v>
      </c>
      <c r="B54" s="1" t="s">
        <v>56</v>
      </c>
      <c r="C54" s="1" t="s">
        <v>2</v>
      </c>
      <c r="D54" s="1" t="s">
        <v>26</v>
      </c>
      <c r="E54" s="6">
        <v>6</v>
      </c>
      <c r="F54" s="6"/>
      <c r="G54" s="6"/>
      <c r="H54" s="6">
        <v>6</v>
      </c>
      <c r="I54" s="6"/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10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3</v>
      </c>
      <c r="BR54" s="17">
        <v>1</v>
      </c>
      <c r="BS54" s="17" t="s">
        <v>250</v>
      </c>
      <c r="BT54" s="1" t="str">
        <f>IF(AQ54&gt;AQ$161, AQ54-AQ$161,"")</f>
        <v/>
      </c>
      <c r="BU54" s="1" t="str">
        <f>IF(AR54&gt;AR$161, AR54-AR$161,"")</f>
        <v/>
      </c>
      <c r="BV54" s="1" t="str">
        <f>IF(AS54&gt;AS$161, AS54-AS$161,"")</f>
        <v/>
      </c>
      <c r="BW54" s="1" t="str">
        <f>IF(AT54&gt;AT$161, AT54-AT$161,"")</f>
        <v/>
      </c>
      <c r="BX54" s="1" t="str">
        <f>IF(AU54&gt;AU$161, AU54-AU$161,"")</f>
        <v/>
      </c>
      <c r="BY54" s="1" t="str">
        <f>IF(AV54&gt;AV$161, AV54-AV$161,"")</f>
        <v/>
      </c>
      <c r="BZ54" s="1" t="str">
        <f>IF(AW54&gt;AW$161, AW54-AW$161,"")</f>
        <v/>
      </c>
      <c r="CA54" s="1" t="str">
        <f>IF(AX54&gt;AX$161, AX54-AX$161,"")</f>
        <v/>
      </c>
      <c r="CB54" s="1" t="str">
        <f>IF(AY54&gt;AY$161, AY54-AY$161,"")</f>
        <v/>
      </c>
      <c r="CC54" s="1" t="str">
        <f>IF(AZ54&gt;AZ$161, AZ54-AZ$161,"")</f>
        <v/>
      </c>
      <c r="CD54" s="1" t="str">
        <f>IF(BA54&gt;BA$161, BA54-BA$161,"")</f>
        <v/>
      </c>
      <c r="CE54" s="1" t="str">
        <f>IF(BB54&gt;BB$161, BB54-BB$161,"")</f>
        <v/>
      </c>
      <c r="CF54" s="1">
        <f>COUNTIF(BT54:CE54, "&gt;0")</f>
        <v>0</v>
      </c>
      <c r="CG54" s="1" t="str">
        <f t="shared" si="17"/>
        <v/>
      </c>
      <c r="CH54" s="1" t="str">
        <f t="shared" si="17"/>
        <v/>
      </c>
      <c r="CI54" s="1" t="str">
        <f t="shared" si="17"/>
        <v/>
      </c>
      <c r="CJ54" s="1" t="str">
        <f t="shared" si="17"/>
        <v/>
      </c>
      <c r="CK54" s="1" t="str">
        <f t="shared" si="17"/>
        <v/>
      </c>
      <c r="CL54" s="1" t="str">
        <f t="shared" si="17"/>
        <v/>
      </c>
      <c r="CM54" s="1" t="str">
        <f t="shared" si="17"/>
        <v/>
      </c>
      <c r="CN54" s="1" t="str">
        <f t="shared" si="17"/>
        <v/>
      </c>
      <c r="CO54" s="1" t="str">
        <f t="shared" si="17"/>
        <v/>
      </c>
      <c r="CP54" s="1" t="str">
        <f t="shared" si="17"/>
        <v/>
      </c>
      <c r="CQ54" s="1" t="str">
        <f t="shared" si="17"/>
        <v/>
      </c>
      <c r="CR54" s="1" t="str">
        <f t="shared" si="17"/>
        <v/>
      </c>
      <c r="CS54" s="18">
        <f>SUM(AE54:BO54)</f>
        <v>20</v>
      </c>
    </row>
    <row r="55" spans="1:97" x14ac:dyDescent="0.15">
      <c r="A55" s="1"/>
      <c r="B55" s="1" t="s">
        <v>203</v>
      </c>
      <c r="C55" s="1" t="s">
        <v>145</v>
      </c>
      <c r="D55" s="1" t="s">
        <v>123</v>
      </c>
      <c r="E55" s="6"/>
      <c r="F55" s="6"/>
      <c r="G55" s="6">
        <v>6</v>
      </c>
      <c r="H55" s="6">
        <v>6</v>
      </c>
      <c r="I55" s="6"/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>
        <v>10</v>
      </c>
      <c r="AW55" s="2">
        <v>10</v>
      </c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v>3</v>
      </c>
      <c r="BR55" s="17">
        <v>1</v>
      </c>
      <c r="BS55" s="17" t="s">
        <v>250</v>
      </c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8"/>
    </row>
    <row r="56" spans="1:97" x14ac:dyDescent="0.15">
      <c r="A56" s="1"/>
      <c r="B56" s="1" t="s">
        <v>154</v>
      </c>
      <c r="C56" s="1" t="s">
        <v>148</v>
      </c>
      <c r="D56" s="1" t="s">
        <v>123</v>
      </c>
      <c r="E56" s="6"/>
      <c r="F56" s="6"/>
      <c r="G56" s="6"/>
      <c r="H56" s="6">
        <v>6</v>
      </c>
      <c r="I56" s="6"/>
      <c r="J56" s="6">
        <v>6</v>
      </c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8</v>
      </c>
      <c r="AU56" s="4"/>
      <c r="AV56" s="4"/>
      <c r="AW56" s="2"/>
      <c r="AX56" s="2"/>
      <c r="AY56" s="2">
        <v>8</v>
      </c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v>3</v>
      </c>
      <c r="BR56" s="17">
        <v>1</v>
      </c>
      <c r="BS56" s="17" t="s">
        <v>250</v>
      </c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x14ac:dyDescent="0.15">
      <c r="A57" s="1">
        <v>68</v>
      </c>
      <c r="B57" s="3" t="s">
        <v>117</v>
      </c>
      <c r="C57" s="1" t="s">
        <v>62</v>
      </c>
      <c r="D57" s="1" t="s">
        <v>13</v>
      </c>
      <c r="E57" s="6"/>
      <c r="F57" s="6">
        <v>6</v>
      </c>
      <c r="G57" s="6"/>
      <c r="H57" s="6"/>
      <c r="I57" s="6"/>
      <c r="J57" s="6"/>
      <c r="K57" s="6"/>
      <c r="L57" s="6"/>
      <c r="M57" s="6"/>
      <c r="N57" s="6">
        <v>6</v>
      </c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>
        <v>10</v>
      </c>
      <c r="AW57" s="2"/>
      <c r="AX57" s="2"/>
      <c r="AY57" s="2"/>
      <c r="AZ57" s="2"/>
      <c r="BA57" s="2"/>
      <c r="BB57" s="2">
        <v>10</v>
      </c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32</v>
      </c>
      <c r="BQ57" s="1">
        <v>3</v>
      </c>
      <c r="BR57" s="17">
        <v>1</v>
      </c>
      <c r="BS57" s="17" t="s">
        <v>206</v>
      </c>
      <c r="BT57" s="1" t="str">
        <f>IF(AQ57&gt;AQ$161, AQ57-AQ$161,"")</f>
        <v/>
      </c>
      <c r="BU57" s="1" t="str">
        <f>IF(AR57&gt;AR$161, AR57-AR$161,"")</f>
        <v/>
      </c>
      <c r="BV57" s="1" t="str">
        <f>IF(AS57&gt;AS$161, AS57-AS$161,"")</f>
        <v/>
      </c>
      <c r="BW57" s="1" t="str">
        <f>IF(AT57&gt;AT$161, AT57-AT$161,"")</f>
        <v/>
      </c>
      <c r="BX57" s="1" t="str">
        <f>IF(AU57&gt;AU$161, AU57-AU$161,"")</f>
        <v/>
      </c>
      <c r="BY57" s="1" t="str">
        <f>IF(AV57&gt;AV$161, AV57-AV$161,"")</f>
        <v/>
      </c>
      <c r="BZ57" s="1" t="str">
        <f>IF(AW57&gt;AW$161, AW57-AW$161,"")</f>
        <v/>
      </c>
      <c r="CA57" s="1" t="str">
        <f>IF(AX57&gt;AX$161, AX57-AX$161,"")</f>
        <v/>
      </c>
      <c r="CB57" s="1" t="str">
        <f>IF(AY57&gt;AY$161, AY57-AY$161,"")</f>
        <v/>
      </c>
      <c r="CC57" s="1" t="str">
        <f>IF(AZ57&gt;AZ$161, AZ57-AZ$161,"")</f>
        <v/>
      </c>
      <c r="CD57" s="1" t="str">
        <f>IF(BA57&gt;BA$161, BA57-BA$161,"")</f>
        <v/>
      </c>
      <c r="CE57" s="1" t="str">
        <f>IF(BB57&gt;BB$161, BB57-BB$161,"")</f>
        <v/>
      </c>
      <c r="CF57" s="1">
        <f>COUNTIF(BT57:CE57, "&gt;0")</f>
        <v>0</v>
      </c>
      <c r="CG57" s="1" t="str">
        <f t="shared" ref="CG57:CR57" si="18">IF($CF57=1,BT57,"")</f>
        <v/>
      </c>
      <c r="CH57" s="1" t="str">
        <f t="shared" si="18"/>
        <v/>
      </c>
      <c r="CI57" s="1" t="str">
        <f t="shared" si="18"/>
        <v/>
      </c>
      <c r="CJ57" s="1" t="str">
        <f t="shared" si="18"/>
        <v/>
      </c>
      <c r="CK57" s="1" t="str">
        <f t="shared" si="18"/>
        <v/>
      </c>
      <c r="CL57" s="1" t="str">
        <f t="shared" si="18"/>
        <v/>
      </c>
      <c r="CM57" s="1" t="str">
        <f t="shared" si="18"/>
        <v/>
      </c>
      <c r="CN57" s="1" t="str">
        <f t="shared" si="18"/>
        <v/>
      </c>
      <c r="CO57" s="1" t="str">
        <f t="shared" si="18"/>
        <v/>
      </c>
      <c r="CP57" s="1" t="str">
        <f t="shared" si="18"/>
        <v/>
      </c>
      <c r="CQ57" s="1" t="str">
        <f t="shared" si="18"/>
        <v/>
      </c>
      <c r="CR57" s="1" t="str">
        <f t="shared" si="18"/>
        <v/>
      </c>
      <c r="CS57" s="18">
        <f>SUM(AE57:BO57)</f>
        <v>20</v>
      </c>
    </row>
    <row r="58" spans="1:97" x14ac:dyDescent="0.15">
      <c r="A58" s="1"/>
      <c r="B58" s="1" t="s">
        <v>152</v>
      </c>
      <c r="C58" s="1" t="s">
        <v>148</v>
      </c>
      <c r="D58" s="1" t="s">
        <v>123</v>
      </c>
      <c r="E58" s="6"/>
      <c r="F58" s="6">
        <v>6</v>
      </c>
      <c r="G58" s="6"/>
      <c r="H58" s="6"/>
      <c r="I58" s="6"/>
      <c r="J58" s="6"/>
      <c r="K58" s="6"/>
      <c r="L58" s="6"/>
      <c r="M58" s="6"/>
      <c r="N58" s="6"/>
      <c r="O58" s="6">
        <v>6</v>
      </c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>
        <v>10</v>
      </c>
      <c r="AU58" s="4"/>
      <c r="AV58" s="4"/>
      <c r="AW58" s="2"/>
      <c r="AX58" s="2"/>
      <c r="AY58" s="2">
        <v>10</v>
      </c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v>3</v>
      </c>
      <c r="BR58" s="17">
        <v>1</v>
      </c>
      <c r="BS58" s="17" t="s">
        <v>206</v>
      </c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x14ac:dyDescent="0.15">
      <c r="A59" s="1"/>
      <c r="B59" s="1" t="s">
        <v>199</v>
      </c>
      <c r="C59" s="1" t="s">
        <v>194</v>
      </c>
      <c r="D59" s="1" t="s">
        <v>162</v>
      </c>
      <c r="E59" s="6"/>
      <c r="F59" s="6"/>
      <c r="G59" s="6">
        <v>5</v>
      </c>
      <c r="H59" s="6"/>
      <c r="I59" s="6"/>
      <c r="J59" s="6"/>
      <c r="K59" s="6"/>
      <c r="L59" s="6"/>
      <c r="M59" s="6"/>
      <c r="N59" s="6"/>
      <c r="O59" s="6"/>
      <c r="P59" s="32"/>
      <c r="Q59" s="32"/>
      <c r="R59" s="32"/>
      <c r="S59" s="32"/>
      <c r="T59" s="32"/>
      <c r="U59" s="32"/>
      <c r="V59" s="32">
        <v>5</v>
      </c>
      <c r="W59" s="32"/>
      <c r="X59" s="32"/>
      <c r="Y59" s="32">
        <v>5</v>
      </c>
      <c r="Z59" s="32"/>
      <c r="AA59" s="32"/>
      <c r="AB59" s="32"/>
      <c r="AC59" s="32">
        <v>5</v>
      </c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v>3</v>
      </c>
      <c r="BR59" s="17">
        <v>1</v>
      </c>
      <c r="BS59" s="17" t="s">
        <v>251</v>
      </c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x14ac:dyDescent="0.15">
      <c r="A60" s="1">
        <v>24</v>
      </c>
      <c r="B60" s="1" t="s">
        <v>47</v>
      </c>
      <c r="C60" s="1" t="s">
        <v>32</v>
      </c>
      <c r="D60" s="1" t="s">
        <v>26</v>
      </c>
      <c r="E60" s="6"/>
      <c r="F60" s="6"/>
      <c r="G60" s="6"/>
      <c r="H60" s="6"/>
      <c r="I60" s="6">
        <v>4</v>
      </c>
      <c r="J60" s="6"/>
      <c r="K60" s="6">
        <v>4</v>
      </c>
      <c r="L60" s="6"/>
      <c r="M60" s="6"/>
      <c r="N60" s="6"/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5</v>
      </c>
      <c r="AT60" s="4"/>
      <c r="AU60" s="4"/>
      <c r="AV60" s="4"/>
      <c r="AW60" s="2">
        <v>5</v>
      </c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18</v>
      </c>
      <c r="BQ60" s="1">
        <v>3</v>
      </c>
      <c r="BR60" s="17">
        <v>1</v>
      </c>
      <c r="BS60" s="17" t="s">
        <v>252</v>
      </c>
      <c r="BT60" s="1" t="str">
        <f>IF(AQ60&gt;AQ$161, AQ60-AQ$161,"")</f>
        <v/>
      </c>
      <c r="BU60" s="1" t="str">
        <f>IF(AR60&gt;AR$161, AR60-AR$161,"")</f>
        <v/>
      </c>
      <c r="BV60" s="1">
        <f>IF(AS60&gt;AS$161, AS60-AS$161,"")</f>
        <v>3</v>
      </c>
      <c r="BW60" s="1" t="str">
        <f>IF(AT60&gt;AT$161, AT60-AT$161,"")</f>
        <v/>
      </c>
      <c r="BX60" s="1" t="str">
        <f>IF(AU60&gt;AU$161, AU60-AU$161,"")</f>
        <v/>
      </c>
      <c r="BY60" s="1" t="str">
        <f>IF(AV60&gt;AV$161, AV60-AV$161,"")</f>
        <v/>
      </c>
      <c r="BZ60" s="1" t="str">
        <f>IF(AW60&gt;AW$161, AW60-AW$161,"")</f>
        <v/>
      </c>
      <c r="CA60" s="1" t="str">
        <f>IF(AX60&gt;AX$161, AX60-AX$161,"")</f>
        <v/>
      </c>
      <c r="CB60" s="1" t="str">
        <f>IF(AY60&gt;AY$161, AY60-AY$161,"")</f>
        <v/>
      </c>
      <c r="CC60" s="1" t="str">
        <f>IF(AZ60&gt;AZ$161, AZ60-AZ$161,"")</f>
        <v/>
      </c>
      <c r="CD60" s="1" t="str">
        <f>IF(BA60&gt;BA$161, BA60-BA$161,"")</f>
        <v/>
      </c>
      <c r="CE60" s="1" t="str">
        <f>IF(BB60&gt;BB$161, BB60-BB$161,"")</f>
        <v/>
      </c>
      <c r="CF60" s="1">
        <f>COUNTIF(BT60:CE60, "&gt;0")</f>
        <v>1</v>
      </c>
      <c r="CG60" s="1" t="str">
        <f t="shared" ref="CG60:CR63" si="19">IF($CF60=1,BT60,"")</f>
        <v/>
      </c>
      <c r="CH60" s="1" t="str">
        <f t="shared" si="19"/>
        <v/>
      </c>
      <c r="CI60" s="1">
        <f t="shared" si="19"/>
        <v>3</v>
      </c>
      <c r="CJ60" s="1" t="str">
        <f t="shared" si="19"/>
        <v/>
      </c>
      <c r="CK60" s="1" t="str">
        <f t="shared" si="19"/>
        <v/>
      </c>
      <c r="CL60" s="1" t="str">
        <f t="shared" si="19"/>
        <v/>
      </c>
      <c r="CM60" s="1" t="str">
        <f t="shared" si="19"/>
        <v/>
      </c>
      <c r="CN60" s="1" t="str">
        <f t="shared" si="19"/>
        <v/>
      </c>
      <c r="CO60" s="1" t="str">
        <f t="shared" si="19"/>
        <v/>
      </c>
      <c r="CP60" s="1" t="str">
        <f t="shared" si="19"/>
        <v/>
      </c>
      <c r="CQ60" s="1" t="str">
        <f t="shared" si="19"/>
        <v/>
      </c>
      <c r="CR60" s="1" t="str">
        <f t="shared" si="19"/>
        <v/>
      </c>
      <c r="CS60" s="18">
        <f>SUM(AE60:BO60)</f>
        <v>10</v>
      </c>
    </row>
    <row r="61" spans="1:97" x14ac:dyDescent="0.15">
      <c r="A61" s="1">
        <v>2</v>
      </c>
      <c r="B61" s="1" t="s">
        <v>8</v>
      </c>
      <c r="C61" s="1" t="s">
        <v>2</v>
      </c>
      <c r="D61" s="1" t="s">
        <v>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>
        <v>15</v>
      </c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>
        <v>15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30</v>
      </c>
      <c r="BQ61" s="1">
        <v>3</v>
      </c>
      <c r="BR61" s="17">
        <v>1</v>
      </c>
      <c r="BS61" s="17" t="s">
        <v>215</v>
      </c>
      <c r="BT61" s="1" t="str">
        <f>IF(AQ61&gt;AQ$161, AQ61-AQ$161,"")</f>
        <v/>
      </c>
      <c r="BU61" s="1" t="str">
        <f>IF(AR61&gt;AR$161, AR61-AR$161,"")</f>
        <v/>
      </c>
      <c r="BV61" s="1" t="str">
        <f>IF(AS61&gt;AS$161, AS61-AS$161,"")</f>
        <v/>
      </c>
      <c r="BW61" s="1" t="str">
        <f>IF(AT61&gt;AT$161, AT61-AT$161,"")</f>
        <v/>
      </c>
      <c r="BX61" s="1" t="str">
        <f>IF(AU61&gt;AU$161, AU61-AU$161,"")</f>
        <v/>
      </c>
      <c r="BY61" s="1" t="str">
        <f>IF(AV61&gt;AV$161, AV61-AV$161,"")</f>
        <v/>
      </c>
      <c r="BZ61" s="1" t="str">
        <f>IF(AW61&gt;AW$161, AW61-AW$161,"")</f>
        <v/>
      </c>
      <c r="CA61" s="1" t="str">
        <f>IF(AX61&gt;AX$161, AX61-AX$161,"")</f>
        <v/>
      </c>
      <c r="CB61" s="1" t="str">
        <f>IF(AY61&gt;AY$161, AY61-AY$161,"")</f>
        <v/>
      </c>
      <c r="CC61" s="1" t="str">
        <f>IF(AZ61&gt;AZ$161, AZ61-AZ$161,"")</f>
        <v/>
      </c>
      <c r="CD61" s="1" t="str">
        <f>IF(BA61&gt;BA$161, BA61-BA$161,"")</f>
        <v/>
      </c>
      <c r="CE61" s="1" t="str">
        <f>IF(BB61&gt;BB$161, BB61-BB$161,"")</f>
        <v/>
      </c>
      <c r="CF61" s="1">
        <f>COUNTIF(BT61:CE61, "&gt;0")</f>
        <v>0</v>
      </c>
      <c r="CG61" s="1" t="str">
        <f t="shared" si="19"/>
        <v/>
      </c>
      <c r="CH61" s="1" t="str">
        <f t="shared" si="19"/>
        <v/>
      </c>
      <c r="CI61" s="1" t="str">
        <f t="shared" si="19"/>
        <v/>
      </c>
      <c r="CJ61" s="1" t="str">
        <f t="shared" si="19"/>
        <v/>
      </c>
      <c r="CK61" s="1" t="str">
        <f t="shared" si="19"/>
        <v/>
      </c>
      <c r="CL61" s="1" t="str">
        <f t="shared" si="19"/>
        <v/>
      </c>
      <c r="CM61" s="1" t="str">
        <f t="shared" si="19"/>
        <v/>
      </c>
      <c r="CN61" s="1" t="str">
        <f t="shared" si="19"/>
        <v/>
      </c>
      <c r="CO61" s="1" t="str">
        <f t="shared" si="19"/>
        <v/>
      </c>
      <c r="CP61" s="1" t="str">
        <f t="shared" si="19"/>
        <v/>
      </c>
      <c r="CQ61" s="1" t="str">
        <f t="shared" si="19"/>
        <v/>
      </c>
      <c r="CR61" s="1" t="str">
        <f t="shared" si="19"/>
        <v/>
      </c>
      <c r="CS61" s="18">
        <f>SUM(AE61:BO61)</f>
        <v>30</v>
      </c>
    </row>
    <row r="62" spans="1:97" x14ac:dyDescent="0.15">
      <c r="A62" s="1">
        <v>41</v>
      </c>
      <c r="B62" s="1" t="s">
        <v>57</v>
      </c>
      <c r="C62" s="1" t="s">
        <v>49</v>
      </c>
      <c r="D62" s="1" t="s">
        <v>13</v>
      </c>
      <c r="E62" s="6"/>
      <c r="F62" s="6"/>
      <c r="G62" s="6"/>
      <c r="H62" s="6"/>
      <c r="I62" s="6"/>
      <c r="J62" s="6"/>
      <c r="K62" s="6"/>
      <c r="L62" s="6">
        <v>6</v>
      </c>
      <c r="M62" s="6"/>
      <c r="N62" s="6"/>
      <c r="O62" s="6">
        <v>6</v>
      </c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>
        <v>10</v>
      </c>
      <c r="AR62" s="4"/>
      <c r="AS62" s="4"/>
      <c r="AT62" s="4"/>
      <c r="AU62" s="4"/>
      <c r="AV62" s="4"/>
      <c r="AW62" s="2"/>
      <c r="AX62" s="2">
        <v>10</v>
      </c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32</v>
      </c>
      <c r="BQ62" s="1">
        <v>4</v>
      </c>
      <c r="BR62" s="17">
        <v>1</v>
      </c>
      <c r="BS62" s="17" t="s">
        <v>253</v>
      </c>
      <c r="BT62" s="1">
        <f>IF(AQ62&gt;AQ$161, AQ62-AQ$161,"")</f>
        <v>4</v>
      </c>
      <c r="BU62" s="1" t="str">
        <f>IF(AR62&gt;AR$161, AR62-AR$161,"")</f>
        <v/>
      </c>
      <c r="BV62" s="1" t="str">
        <f>IF(AS62&gt;AS$161, AS62-AS$161,"")</f>
        <v/>
      </c>
      <c r="BW62" s="1" t="str">
        <f>IF(AT62&gt;AT$161, AT62-AT$161,"")</f>
        <v/>
      </c>
      <c r="BX62" s="1" t="str">
        <f>IF(AU62&gt;AU$161, AU62-AU$161,"")</f>
        <v/>
      </c>
      <c r="BY62" s="1" t="str">
        <f>IF(AV62&gt;AV$161, AV62-AV$161,"")</f>
        <v/>
      </c>
      <c r="BZ62" s="1" t="str">
        <f>IF(AW62&gt;AW$161, AW62-AW$161,"")</f>
        <v/>
      </c>
      <c r="CA62" s="1" t="str">
        <f>IF(AX62&gt;AX$161, AX62-AX$161,"")</f>
        <v/>
      </c>
      <c r="CB62" s="1" t="str">
        <f>IF(AY62&gt;AY$161, AY62-AY$161,"")</f>
        <v/>
      </c>
      <c r="CC62" s="1" t="str">
        <f>IF(AZ62&gt;AZ$161, AZ62-AZ$161,"")</f>
        <v/>
      </c>
      <c r="CD62" s="1" t="str">
        <f>IF(BA62&gt;BA$161, BA62-BA$161,"")</f>
        <v/>
      </c>
      <c r="CE62" s="1" t="str">
        <f>IF(BB62&gt;BB$161, BB62-BB$161,"")</f>
        <v/>
      </c>
      <c r="CF62" s="1">
        <f>COUNTIF(BT62:CE62, "&gt;0")</f>
        <v>1</v>
      </c>
      <c r="CG62" s="1">
        <f t="shared" si="19"/>
        <v>4</v>
      </c>
      <c r="CH62" s="1" t="str">
        <f t="shared" si="19"/>
        <v/>
      </c>
      <c r="CI62" s="1" t="str">
        <f t="shared" si="19"/>
        <v/>
      </c>
      <c r="CJ62" s="1" t="str">
        <f t="shared" si="19"/>
        <v/>
      </c>
      <c r="CK62" s="1" t="str">
        <f t="shared" si="19"/>
        <v/>
      </c>
      <c r="CL62" s="1" t="str">
        <f t="shared" si="19"/>
        <v/>
      </c>
      <c r="CM62" s="1" t="str">
        <f t="shared" si="19"/>
        <v/>
      </c>
      <c r="CN62" s="1" t="str">
        <f t="shared" si="19"/>
        <v/>
      </c>
      <c r="CO62" s="1" t="str">
        <f t="shared" si="19"/>
        <v/>
      </c>
      <c r="CP62" s="1" t="str">
        <f t="shared" si="19"/>
        <v/>
      </c>
      <c r="CQ62" s="1" t="str">
        <f t="shared" si="19"/>
        <v/>
      </c>
      <c r="CR62" s="1" t="str">
        <f t="shared" si="19"/>
        <v/>
      </c>
      <c r="CS62" s="18">
        <f>SUM(AE62:BO62)</f>
        <v>20</v>
      </c>
    </row>
    <row r="63" spans="1:97" x14ac:dyDescent="0.15">
      <c r="A63" s="1">
        <v>45</v>
      </c>
      <c r="B63" s="1" t="s">
        <v>120</v>
      </c>
      <c r="C63" s="1" t="s">
        <v>49</v>
      </c>
      <c r="D63" s="1" t="s">
        <v>13</v>
      </c>
      <c r="E63" s="6">
        <v>6</v>
      </c>
      <c r="F63" s="6"/>
      <c r="G63" s="6"/>
      <c r="H63" s="6"/>
      <c r="I63" s="6"/>
      <c r="J63" s="6"/>
      <c r="K63" s="6"/>
      <c r="L63" s="6"/>
      <c r="M63" s="6">
        <v>6</v>
      </c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>
        <v>10</v>
      </c>
      <c r="AR63" s="4"/>
      <c r="AS63" s="4"/>
      <c r="AT63" s="4"/>
      <c r="AU63" s="4"/>
      <c r="AV63" s="4"/>
      <c r="AW63" s="2"/>
      <c r="AX63" s="2"/>
      <c r="AY63" s="2"/>
      <c r="AZ63" s="2">
        <v>10</v>
      </c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32</v>
      </c>
      <c r="BQ63" s="1">
        <v>4</v>
      </c>
      <c r="BR63" s="17">
        <v>1</v>
      </c>
      <c r="BS63" s="17" t="s">
        <v>253</v>
      </c>
      <c r="BT63" s="1">
        <f>IF(AQ63&gt;AQ$161, AQ63-AQ$161,"")</f>
        <v>4</v>
      </c>
      <c r="BU63" s="1" t="str">
        <f>IF(AR63&gt;AR$161, AR63-AR$161,"")</f>
        <v/>
      </c>
      <c r="BV63" s="1" t="str">
        <f>IF(AS63&gt;AS$161, AS63-AS$161,"")</f>
        <v/>
      </c>
      <c r="BW63" s="1" t="str">
        <f>IF(AT63&gt;AT$161, AT63-AT$161,"")</f>
        <v/>
      </c>
      <c r="BX63" s="1" t="str">
        <f>IF(AU63&gt;AU$161, AU63-AU$161,"")</f>
        <v/>
      </c>
      <c r="BY63" s="1" t="str">
        <f>IF(AV63&gt;AV$161, AV63-AV$161,"")</f>
        <v/>
      </c>
      <c r="BZ63" s="1" t="str">
        <f>IF(AW63&gt;AW$161, AW63-AW$161,"")</f>
        <v/>
      </c>
      <c r="CA63" s="1" t="str">
        <f>IF(AX63&gt;AX$161, AX63-AX$161,"")</f>
        <v/>
      </c>
      <c r="CB63" s="1" t="str">
        <f>IF(AY63&gt;AY$161, AY63-AY$161,"")</f>
        <v/>
      </c>
      <c r="CC63" s="1" t="str">
        <f>IF(AZ63&gt;AZ$161, AZ63-AZ$161,"")</f>
        <v/>
      </c>
      <c r="CD63" s="1" t="str">
        <f>IF(BA63&gt;BA$161, BA63-BA$161,"")</f>
        <v/>
      </c>
      <c r="CE63" s="1" t="str">
        <f>IF(BB63&gt;BB$161, BB63-BB$161,"")</f>
        <v/>
      </c>
      <c r="CF63" s="1">
        <f>COUNTIF(BT63:CE63, "&gt;0")</f>
        <v>1</v>
      </c>
      <c r="CG63" s="1">
        <f t="shared" si="19"/>
        <v>4</v>
      </c>
      <c r="CH63" s="1" t="str">
        <f t="shared" si="19"/>
        <v/>
      </c>
      <c r="CI63" s="1" t="str">
        <f t="shared" si="19"/>
        <v/>
      </c>
      <c r="CJ63" s="1" t="str">
        <f t="shared" si="19"/>
        <v/>
      </c>
      <c r="CK63" s="1" t="str">
        <f t="shared" si="19"/>
        <v/>
      </c>
      <c r="CL63" s="1" t="str">
        <f t="shared" si="19"/>
        <v/>
      </c>
      <c r="CM63" s="1" t="str">
        <f t="shared" si="19"/>
        <v/>
      </c>
      <c r="CN63" s="1" t="str">
        <f t="shared" si="19"/>
        <v/>
      </c>
      <c r="CO63" s="1" t="str">
        <f t="shared" si="19"/>
        <v/>
      </c>
      <c r="CP63" s="1" t="str">
        <f t="shared" si="19"/>
        <v/>
      </c>
      <c r="CQ63" s="1" t="str">
        <f t="shared" si="19"/>
        <v/>
      </c>
      <c r="CR63" s="1" t="str">
        <f t="shared" si="19"/>
        <v/>
      </c>
      <c r="CS63" s="18">
        <f>SUM(AE63:BO63)</f>
        <v>20</v>
      </c>
    </row>
    <row r="64" spans="1:97" x14ac:dyDescent="0.15">
      <c r="A64" s="1"/>
      <c r="B64" s="1" t="s">
        <v>142</v>
      </c>
      <c r="C64" s="1" t="s">
        <v>121</v>
      </c>
      <c r="D64" s="1" t="s">
        <v>122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>
        <v>10</v>
      </c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>
        <v>10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v>4</v>
      </c>
      <c r="BR64" s="17">
        <v>1</v>
      </c>
      <c r="BS64" s="17" t="s">
        <v>253</v>
      </c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8"/>
    </row>
    <row r="65" spans="1:97" x14ac:dyDescent="0.15">
      <c r="A65" s="1">
        <v>17</v>
      </c>
      <c r="B65" s="1" t="s">
        <v>35</v>
      </c>
      <c r="C65" s="1" t="s">
        <v>32</v>
      </c>
      <c r="D65" s="1" t="s">
        <v>24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>
        <v>5</v>
      </c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ref="BP65:BP71" si="20">SUM(E65:BO65)</f>
        <v>5</v>
      </c>
      <c r="BQ65" s="1">
        <v>5</v>
      </c>
      <c r="BR65" s="17">
        <v>1</v>
      </c>
      <c r="BS65" s="17" t="s">
        <v>254</v>
      </c>
      <c r="BT65" s="1" t="str">
        <f>IF(AQ65&gt;AQ$161, AQ65-AQ$161,"")</f>
        <v/>
      </c>
      <c r="BU65" s="1" t="str">
        <f>IF(AR65&gt;AR$161, AR65-AR$161,"")</f>
        <v/>
      </c>
      <c r="BV65" s="1" t="str">
        <f>IF(AS65&gt;AS$161, AS65-AS$161,"")</f>
        <v/>
      </c>
      <c r="BW65" s="1" t="str">
        <f>IF(AT65&gt;AT$161, AT65-AT$161,"")</f>
        <v/>
      </c>
      <c r="BX65" s="1" t="str">
        <f>IF(AU65&gt;AU$161, AU65-AU$161,"")</f>
        <v/>
      </c>
      <c r="BY65" s="1" t="str">
        <f>IF(AV65&gt;AV$161, AV65-AV$161,"")</f>
        <v/>
      </c>
      <c r="BZ65" s="1" t="str">
        <f>IF(AW65&gt;AW$161, AW65-AW$161,"")</f>
        <v/>
      </c>
      <c r="CA65" s="1" t="str">
        <f>IF(AX65&gt;AX$161, AX65-AX$161,"")</f>
        <v/>
      </c>
      <c r="CB65" s="1" t="str">
        <f>IF(AY65&gt;AY$161, AY65-AY$161,"")</f>
        <v/>
      </c>
      <c r="CC65" s="1" t="str">
        <f>IF(AZ65&gt;AZ$161, AZ65-AZ$161,"")</f>
        <v/>
      </c>
      <c r="CD65" s="1" t="str">
        <f>IF(BA65&gt;BA$161, BA65-BA$161,"")</f>
        <v/>
      </c>
      <c r="CE65" s="1" t="str">
        <f>IF(BB65&gt;BB$161, BB65-BB$161,"")</f>
        <v/>
      </c>
      <c r="CF65" s="1">
        <f t="shared" ref="CF65:CF71" si="21">COUNTIF(BT65:CE65, "&gt;0")</f>
        <v>0</v>
      </c>
      <c r="CG65" s="1" t="str">
        <f t="shared" ref="CG65:CR71" si="22">IF($CF65=1,BT65,"")</f>
        <v/>
      </c>
      <c r="CH65" s="1" t="str">
        <f t="shared" si="22"/>
        <v/>
      </c>
      <c r="CI65" s="1" t="str">
        <f t="shared" si="22"/>
        <v/>
      </c>
      <c r="CJ65" s="1" t="str">
        <f t="shared" si="22"/>
        <v/>
      </c>
      <c r="CK65" s="1" t="str">
        <f t="shared" si="22"/>
        <v/>
      </c>
      <c r="CL65" s="1" t="str">
        <f t="shared" si="22"/>
        <v/>
      </c>
      <c r="CM65" s="1" t="str">
        <f t="shared" si="22"/>
        <v/>
      </c>
      <c r="CN65" s="1" t="str">
        <f t="shared" si="22"/>
        <v/>
      </c>
      <c r="CO65" s="1" t="str">
        <f t="shared" si="22"/>
        <v/>
      </c>
      <c r="CP65" s="1" t="str">
        <f t="shared" si="22"/>
        <v/>
      </c>
      <c r="CQ65" s="1" t="str">
        <f t="shared" si="22"/>
        <v/>
      </c>
      <c r="CR65" s="1" t="str">
        <f t="shared" si="22"/>
        <v/>
      </c>
      <c r="CS65" s="18">
        <f t="shared" ref="CS65:CS71" si="23">SUM(AE65:BO65)</f>
        <v>5</v>
      </c>
    </row>
    <row r="66" spans="1:97" x14ac:dyDescent="0.15">
      <c r="A66" s="1">
        <v>18</v>
      </c>
      <c r="B66" s="1" t="s">
        <v>35</v>
      </c>
      <c r="C66" s="1" t="s">
        <v>32</v>
      </c>
      <c r="D66" s="1" t="s">
        <v>25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>
        <v>5</v>
      </c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20"/>
        <v>5</v>
      </c>
      <c r="BQ66" s="1">
        <v>5</v>
      </c>
      <c r="BR66" s="17">
        <v>1</v>
      </c>
      <c r="BS66" s="17" t="s">
        <v>209</v>
      </c>
      <c r="BT66" s="1" t="str">
        <f>IF(AQ66&gt;AQ$161, AQ66-AQ$161,"")</f>
        <v/>
      </c>
      <c r="BU66" s="1" t="str">
        <f>IF(AR66&gt;AR$161, AR66-AR$161,"")</f>
        <v/>
      </c>
      <c r="BV66" s="1" t="str">
        <f>IF(AS66&gt;AS$161, AS66-AS$161,"")</f>
        <v/>
      </c>
      <c r="BW66" s="1" t="str">
        <f>IF(AT66&gt;AT$161, AT66-AT$161,"")</f>
        <v/>
      </c>
      <c r="BX66" s="1" t="str">
        <f>IF(AU66&gt;AU$161, AU66-AU$161,"")</f>
        <v/>
      </c>
      <c r="BY66" s="1" t="str">
        <f>IF(AV66&gt;AV$161, AV66-AV$161,"")</f>
        <v/>
      </c>
      <c r="BZ66" s="1" t="str">
        <f>IF(AW66&gt;AW$161, AW66-AW$161,"")</f>
        <v/>
      </c>
      <c r="CA66" s="1" t="str">
        <f>IF(AX66&gt;AX$161, AX66-AX$161,"")</f>
        <v/>
      </c>
      <c r="CB66" s="1" t="str">
        <f>IF(AY66&gt;AY$161, AY66-AY$161,"")</f>
        <v/>
      </c>
      <c r="CC66" s="1" t="str">
        <f>IF(AZ66&gt;AZ$161, AZ66-AZ$161,"")</f>
        <v/>
      </c>
      <c r="CD66" s="1" t="str">
        <f>IF(BA66&gt;BA$161, BA66-BA$161,"")</f>
        <v/>
      </c>
      <c r="CE66" s="1" t="str">
        <f>IF(BB66&gt;BB$161, BB66-BB$161,"")</f>
        <v/>
      </c>
      <c r="CF66" s="1">
        <f t="shared" si="21"/>
        <v>0</v>
      </c>
      <c r="CG66" s="1" t="str">
        <f t="shared" si="22"/>
        <v/>
      </c>
      <c r="CH66" s="1" t="str">
        <f t="shared" si="22"/>
        <v/>
      </c>
      <c r="CI66" s="1" t="str">
        <f t="shared" si="22"/>
        <v/>
      </c>
      <c r="CJ66" s="1" t="str">
        <f t="shared" si="22"/>
        <v/>
      </c>
      <c r="CK66" s="1" t="str">
        <f t="shared" si="22"/>
        <v/>
      </c>
      <c r="CL66" s="1" t="str">
        <f t="shared" si="22"/>
        <v/>
      </c>
      <c r="CM66" s="1" t="str">
        <f t="shared" si="22"/>
        <v/>
      </c>
      <c r="CN66" s="1" t="str">
        <f t="shared" si="22"/>
        <v/>
      </c>
      <c r="CO66" s="1" t="str">
        <f t="shared" si="22"/>
        <v/>
      </c>
      <c r="CP66" s="1" t="str">
        <f t="shared" si="22"/>
        <v/>
      </c>
      <c r="CQ66" s="1" t="str">
        <f t="shared" si="22"/>
        <v/>
      </c>
      <c r="CR66" s="1" t="str">
        <f t="shared" si="22"/>
        <v/>
      </c>
      <c r="CS66" s="18">
        <f t="shared" si="23"/>
        <v>5</v>
      </c>
    </row>
    <row r="67" spans="1:97" x14ac:dyDescent="0.15">
      <c r="A67" s="1">
        <v>19</v>
      </c>
      <c r="B67" s="1" t="s">
        <v>38</v>
      </c>
      <c r="C67" s="1" t="s">
        <v>32</v>
      </c>
      <c r="D67" s="1" t="s">
        <v>24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>
        <v>5</v>
      </c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20"/>
        <v>5</v>
      </c>
      <c r="BQ67" s="1">
        <v>5</v>
      </c>
      <c r="BR67" s="17">
        <v>1</v>
      </c>
      <c r="BS67" s="17" t="s">
        <v>209</v>
      </c>
      <c r="BT67" s="1" t="str">
        <f>IF(AQ67&gt;AQ$161, AQ67-AQ$161,"")</f>
        <v/>
      </c>
      <c r="BU67" s="1" t="str">
        <f>IF(AR67&gt;AR$161, AR67-AR$161,"")</f>
        <v/>
      </c>
      <c r="BV67" s="1" t="str">
        <f>IF(AS67&gt;AS$161, AS67-AS$161,"")</f>
        <v/>
      </c>
      <c r="BW67" s="1" t="str">
        <f>IF(AT67&gt;AT$161, AT67-AT$161,"")</f>
        <v/>
      </c>
      <c r="BX67" s="1" t="str">
        <f>IF(AU67&gt;AU$161, AU67-AU$161,"")</f>
        <v/>
      </c>
      <c r="BY67" s="1" t="str">
        <f>IF(AV67&gt;AV$161, AV67-AV$161,"")</f>
        <v/>
      </c>
      <c r="BZ67" s="1" t="str">
        <f>IF(AW67&gt;AW$161, AW67-AW$161,"")</f>
        <v/>
      </c>
      <c r="CA67" s="1" t="str">
        <f>IF(AX67&gt;AX$161, AX67-AX$161,"")</f>
        <v/>
      </c>
      <c r="CB67" s="1" t="str">
        <f>IF(AY67&gt;AY$161, AY67-AY$161,"")</f>
        <v/>
      </c>
      <c r="CC67" s="1" t="str">
        <f>IF(AZ67&gt;AZ$161, AZ67-AZ$161,"")</f>
        <v/>
      </c>
      <c r="CD67" s="1" t="str">
        <f>IF(BA67&gt;BA$161, BA67-BA$161,"")</f>
        <v/>
      </c>
      <c r="CE67" s="1" t="str">
        <f>IF(BB67&gt;BB$161, BB67-BB$161,"")</f>
        <v/>
      </c>
      <c r="CF67" s="1">
        <f t="shared" si="21"/>
        <v>0</v>
      </c>
      <c r="CG67" s="1" t="str">
        <f t="shared" si="22"/>
        <v/>
      </c>
      <c r="CH67" s="1" t="str">
        <f t="shared" si="22"/>
        <v/>
      </c>
      <c r="CI67" s="1" t="str">
        <f t="shared" si="22"/>
        <v/>
      </c>
      <c r="CJ67" s="1" t="str">
        <f t="shared" si="22"/>
        <v/>
      </c>
      <c r="CK67" s="1" t="str">
        <f t="shared" si="22"/>
        <v/>
      </c>
      <c r="CL67" s="1" t="str">
        <f t="shared" si="22"/>
        <v/>
      </c>
      <c r="CM67" s="1" t="str">
        <f t="shared" si="22"/>
        <v/>
      </c>
      <c r="CN67" s="1" t="str">
        <f t="shared" si="22"/>
        <v/>
      </c>
      <c r="CO67" s="1" t="str">
        <f t="shared" si="22"/>
        <v/>
      </c>
      <c r="CP67" s="1" t="str">
        <f t="shared" si="22"/>
        <v/>
      </c>
      <c r="CQ67" s="1" t="str">
        <f t="shared" si="22"/>
        <v/>
      </c>
      <c r="CR67" s="1" t="str">
        <f t="shared" si="22"/>
        <v/>
      </c>
      <c r="CS67" s="18">
        <f t="shared" si="23"/>
        <v>5</v>
      </c>
    </row>
    <row r="68" spans="1:97" x14ac:dyDescent="0.15">
      <c r="A68" s="1">
        <v>32</v>
      </c>
      <c r="B68" s="1" t="s">
        <v>87</v>
      </c>
      <c r="C68" s="1" t="s">
        <v>32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>
        <v>5</v>
      </c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20"/>
        <v>5</v>
      </c>
      <c r="BQ68" s="1">
        <v>5</v>
      </c>
      <c r="BR68" s="17">
        <v>1</v>
      </c>
      <c r="BS68" s="17" t="s">
        <v>210</v>
      </c>
      <c r="BT68" s="1" t="str">
        <f>IF(AQ68&gt;AQ$161, AQ68-AQ$161,"")</f>
        <v/>
      </c>
      <c r="BU68" s="1" t="str">
        <f>IF(AR68&gt;AR$161, AR68-AR$161,"")</f>
        <v/>
      </c>
      <c r="BV68" s="1" t="str">
        <f>IF(AS68&gt;AS$161, AS68-AS$161,"")</f>
        <v/>
      </c>
      <c r="BW68" s="1" t="str">
        <f>IF(AT68&gt;AT$161, AT68-AT$161,"")</f>
        <v/>
      </c>
      <c r="BX68" s="1" t="str">
        <f>IF(AU68&gt;AU$161, AU68-AU$161,"")</f>
        <v/>
      </c>
      <c r="BY68" s="1" t="str">
        <f>IF(AV68&gt;AV$161, AV68-AV$161,"")</f>
        <v/>
      </c>
      <c r="BZ68" s="1" t="str">
        <f>IF(AW68&gt;AW$161, AW68-AW$161,"")</f>
        <v/>
      </c>
      <c r="CA68" s="1" t="str">
        <f>IF(AX68&gt;AX$161, AX68-AX$161,"")</f>
        <v/>
      </c>
      <c r="CB68" s="1" t="str">
        <f>IF(AY68&gt;AY$161, AY68-AY$161,"")</f>
        <v/>
      </c>
      <c r="CC68" s="1" t="str">
        <f>IF(AZ68&gt;AZ$161, AZ68-AZ$161,"")</f>
        <v/>
      </c>
      <c r="CD68" s="1" t="str">
        <f>IF(BA68&gt;BA$161, BA68-BA$161,"")</f>
        <v/>
      </c>
      <c r="CE68" s="1" t="str">
        <f>IF(BB68&gt;BB$161, BB68-BB$161,"")</f>
        <v/>
      </c>
      <c r="CF68" s="1">
        <f t="shared" si="21"/>
        <v>0</v>
      </c>
      <c r="CG68" s="1" t="str">
        <f t="shared" si="22"/>
        <v/>
      </c>
      <c r="CH68" s="1" t="str">
        <f t="shared" si="22"/>
        <v/>
      </c>
      <c r="CI68" s="1" t="str">
        <f t="shared" si="22"/>
        <v/>
      </c>
      <c r="CJ68" s="1" t="str">
        <f t="shared" si="22"/>
        <v/>
      </c>
      <c r="CK68" s="1" t="str">
        <f t="shared" si="22"/>
        <v/>
      </c>
      <c r="CL68" s="1" t="str">
        <f t="shared" si="22"/>
        <v/>
      </c>
      <c r="CM68" s="1" t="str">
        <f t="shared" si="22"/>
        <v/>
      </c>
      <c r="CN68" s="1" t="str">
        <f t="shared" si="22"/>
        <v/>
      </c>
      <c r="CO68" s="1" t="str">
        <f t="shared" si="22"/>
        <v/>
      </c>
      <c r="CP68" s="1" t="str">
        <f t="shared" si="22"/>
        <v/>
      </c>
      <c r="CQ68" s="1" t="str">
        <f t="shared" si="22"/>
        <v/>
      </c>
      <c r="CR68" s="1" t="str">
        <f t="shared" si="22"/>
        <v/>
      </c>
      <c r="CS68" s="18">
        <f t="shared" si="23"/>
        <v>5</v>
      </c>
    </row>
    <row r="69" spans="1:97" x14ac:dyDescent="0.15">
      <c r="A69" s="1">
        <v>33</v>
      </c>
      <c r="B69" s="1" t="s">
        <v>87</v>
      </c>
      <c r="C69" s="1" t="s">
        <v>32</v>
      </c>
      <c r="D69" s="1" t="s">
        <v>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>
        <v>5</v>
      </c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20"/>
        <v>5</v>
      </c>
      <c r="BQ69" s="1">
        <v>5</v>
      </c>
      <c r="BR69" s="17">
        <v>1</v>
      </c>
      <c r="BS69" s="17" t="s">
        <v>255</v>
      </c>
      <c r="BT69" s="1" t="str">
        <f>IF(AQ69&gt;AQ$161, AQ69-AQ$161,"")</f>
        <v/>
      </c>
      <c r="BU69" s="1" t="str">
        <f>IF(AR69&gt;AR$161, AR69-AR$161,"")</f>
        <v/>
      </c>
      <c r="BV69" s="1" t="str">
        <f>IF(AS69&gt;AS$161, AS69-AS$161,"")</f>
        <v/>
      </c>
      <c r="BW69" s="1" t="str">
        <f>IF(AT69&gt;AT$161, AT69-AT$161,"")</f>
        <v/>
      </c>
      <c r="BX69" s="1" t="str">
        <f>IF(AU69&gt;AU$161, AU69-AU$161,"")</f>
        <v/>
      </c>
      <c r="BY69" s="1" t="str">
        <f>IF(AV69&gt;AV$161, AV69-AV$161,"")</f>
        <v/>
      </c>
      <c r="BZ69" s="1" t="str">
        <f>IF(AW69&gt;AW$161, AW69-AW$161,"")</f>
        <v/>
      </c>
      <c r="CA69" s="1" t="str">
        <f>IF(AX69&gt;AX$161, AX69-AX$161,"")</f>
        <v/>
      </c>
      <c r="CB69" s="1" t="str">
        <f>IF(AY69&gt;AY$161, AY69-AY$161,"")</f>
        <v/>
      </c>
      <c r="CC69" s="1" t="str">
        <f>IF(AZ69&gt;AZ$161, AZ69-AZ$161,"")</f>
        <v/>
      </c>
      <c r="CD69" s="1" t="str">
        <f>IF(BA69&gt;BA$161, BA69-BA$161,"")</f>
        <v/>
      </c>
      <c r="CE69" s="1" t="str">
        <f>IF(BB69&gt;BB$161, BB69-BB$161,"")</f>
        <v/>
      </c>
      <c r="CF69" s="1">
        <f t="shared" si="21"/>
        <v>0</v>
      </c>
      <c r="CG69" s="1" t="str">
        <f t="shared" si="22"/>
        <v/>
      </c>
      <c r="CH69" s="1" t="str">
        <f t="shared" si="22"/>
        <v/>
      </c>
      <c r="CI69" s="1" t="str">
        <f t="shared" si="22"/>
        <v/>
      </c>
      <c r="CJ69" s="1" t="str">
        <f t="shared" si="22"/>
        <v/>
      </c>
      <c r="CK69" s="1" t="str">
        <f t="shared" si="22"/>
        <v/>
      </c>
      <c r="CL69" s="1" t="str">
        <f t="shared" si="22"/>
        <v/>
      </c>
      <c r="CM69" s="1" t="str">
        <f t="shared" si="22"/>
        <v/>
      </c>
      <c r="CN69" s="1" t="str">
        <f t="shared" si="22"/>
        <v/>
      </c>
      <c r="CO69" s="1" t="str">
        <f t="shared" si="22"/>
        <v/>
      </c>
      <c r="CP69" s="1" t="str">
        <f t="shared" si="22"/>
        <v/>
      </c>
      <c r="CQ69" s="1" t="str">
        <f t="shared" si="22"/>
        <v/>
      </c>
      <c r="CR69" s="1" t="str">
        <f t="shared" si="22"/>
        <v/>
      </c>
      <c r="CS69" s="18">
        <f t="shared" si="23"/>
        <v>5</v>
      </c>
    </row>
    <row r="70" spans="1:97" x14ac:dyDescent="0.15">
      <c r="A70" s="1">
        <v>63</v>
      </c>
      <c r="B70" s="3" t="s">
        <v>68</v>
      </c>
      <c r="C70" s="1" t="s">
        <v>62</v>
      </c>
      <c r="D70" s="1" t="s">
        <v>24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>
        <v>5</v>
      </c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20"/>
        <v>5</v>
      </c>
      <c r="BQ70" s="1">
        <v>5</v>
      </c>
      <c r="BR70" s="17">
        <v>1</v>
      </c>
      <c r="BS70" s="17" t="s">
        <v>211</v>
      </c>
      <c r="BT70" s="1" t="str">
        <f>IF(AQ70&gt;AQ$161, AQ70-AQ$161,"")</f>
        <v/>
      </c>
      <c r="BU70" s="1" t="str">
        <f>IF(AR70&gt;AR$161, AR70-AR$161,"")</f>
        <v/>
      </c>
      <c r="BV70" s="1" t="str">
        <f>IF(AS70&gt;AS$161, AS70-AS$161,"")</f>
        <v/>
      </c>
      <c r="BW70" s="1" t="str">
        <f>IF(AT70&gt;AT$161, AT70-AT$161,"")</f>
        <v/>
      </c>
      <c r="BX70" s="1" t="str">
        <f>IF(AU70&gt;AU$161, AU70-AU$161,"")</f>
        <v/>
      </c>
      <c r="BY70" s="1" t="str">
        <f>IF(AV70&gt;AV$161, AV70-AV$161,"")</f>
        <v/>
      </c>
      <c r="BZ70" s="1" t="str">
        <f>IF(AW70&gt;AW$161, AW70-AW$161,"")</f>
        <v/>
      </c>
      <c r="CA70" s="1" t="str">
        <f>IF(AX70&gt;AX$161, AX70-AX$161,"")</f>
        <v/>
      </c>
      <c r="CB70" s="1" t="str">
        <f>IF(AY70&gt;AY$161, AY70-AY$161,"")</f>
        <v/>
      </c>
      <c r="CC70" s="1" t="str">
        <f>IF(AZ70&gt;AZ$161, AZ70-AZ$161,"")</f>
        <v/>
      </c>
      <c r="CD70" s="1" t="str">
        <f>IF(BA70&gt;BA$161, BA70-BA$161,"")</f>
        <v/>
      </c>
      <c r="CE70" s="1" t="str">
        <f>IF(BB70&gt;BB$161, BB70-BB$161,"")</f>
        <v/>
      </c>
      <c r="CF70" s="1">
        <f t="shared" si="21"/>
        <v>0</v>
      </c>
      <c r="CG70" s="1" t="str">
        <f t="shared" si="22"/>
        <v/>
      </c>
      <c r="CH70" s="1" t="str">
        <f t="shared" si="22"/>
        <v/>
      </c>
      <c r="CI70" s="1" t="str">
        <f t="shared" si="22"/>
        <v/>
      </c>
      <c r="CJ70" s="1" t="str">
        <f t="shared" si="22"/>
        <v/>
      </c>
      <c r="CK70" s="1" t="str">
        <f t="shared" si="22"/>
        <v/>
      </c>
      <c r="CL70" s="1" t="str">
        <f t="shared" si="22"/>
        <v/>
      </c>
      <c r="CM70" s="1" t="str">
        <f t="shared" si="22"/>
        <v/>
      </c>
      <c r="CN70" s="1" t="str">
        <f t="shared" si="22"/>
        <v/>
      </c>
      <c r="CO70" s="1" t="str">
        <f t="shared" si="22"/>
        <v/>
      </c>
      <c r="CP70" s="1" t="str">
        <f t="shared" si="22"/>
        <v/>
      </c>
      <c r="CQ70" s="1" t="str">
        <f t="shared" si="22"/>
        <v/>
      </c>
      <c r="CR70" s="1" t="str">
        <f t="shared" si="22"/>
        <v/>
      </c>
      <c r="CS70" s="18">
        <f t="shared" si="23"/>
        <v>5</v>
      </c>
    </row>
    <row r="71" spans="1:97" x14ac:dyDescent="0.15">
      <c r="A71" s="1">
        <v>90</v>
      </c>
      <c r="B71" s="3" t="s">
        <v>91</v>
      </c>
      <c r="C71" s="3" t="s">
        <v>90</v>
      </c>
      <c r="D71" s="1" t="s">
        <v>24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>
        <v>5</v>
      </c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20"/>
        <v>5</v>
      </c>
      <c r="BQ71" s="1">
        <v>5</v>
      </c>
      <c r="BR71" s="17">
        <v>1</v>
      </c>
      <c r="BS71" s="17" t="s">
        <v>211</v>
      </c>
      <c r="BT71" s="1" t="str">
        <f>IF(AQ71&gt;AQ$161, AQ71-AQ$161,"")</f>
        <v/>
      </c>
      <c r="BU71" s="1" t="str">
        <f>IF(AR71&gt;AR$161, AR71-AR$161,"")</f>
        <v/>
      </c>
      <c r="BV71" s="1" t="str">
        <f>IF(AS71&gt;AS$161, AS71-AS$161,"")</f>
        <v/>
      </c>
      <c r="BW71" s="1" t="str">
        <f>IF(AT71&gt;AT$161, AT71-AT$161,"")</f>
        <v/>
      </c>
      <c r="BX71" s="1" t="str">
        <f>IF(AU71&gt;AU$161, AU71-AU$161,"")</f>
        <v/>
      </c>
      <c r="BY71" s="1" t="str">
        <f>IF(AV71&gt;AV$161, AV71-AV$161,"")</f>
        <v/>
      </c>
      <c r="BZ71" s="1" t="str">
        <f>IF(AW71&gt;AW$161, AW71-AW$161,"")</f>
        <v/>
      </c>
      <c r="CA71" s="1" t="str">
        <f>IF(AX71&gt;AX$161, AX71-AX$161,"")</f>
        <v/>
      </c>
      <c r="CB71" s="1" t="str">
        <f>IF(AY71&gt;AY$161, AY71-AY$161,"")</f>
        <v/>
      </c>
      <c r="CC71" s="1" t="str">
        <f>IF(AZ71&gt;AZ$161, AZ71-AZ$161,"")</f>
        <v/>
      </c>
      <c r="CD71" s="1" t="str">
        <f>IF(BA71&gt;BA$161, BA71-BA$161,"")</f>
        <v/>
      </c>
      <c r="CE71" s="1" t="str">
        <f>IF(BB71&gt;BB$161, BB71-BB$161,"")</f>
        <v/>
      </c>
      <c r="CF71" s="1">
        <f t="shared" si="21"/>
        <v>0</v>
      </c>
      <c r="CG71" s="1" t="str">
        <f t="shared" si="22"/>
        <v/>
      </c>
      <c r="CH71" s="1" t="str">
        <f t="shared" si="22"/>
        <v/>
      </c>
      <c r="CI71" s="1" t="str">
        <f t="shared" si="22"/>
        <v/>
      </c>
      <c r="CJ71" s="1" t="str">
        <f t="shared" si="22"/>
        <v/>
      </c>
      <c r="CK71" s="1" t="str">
        <f t="shared" si="22"/>
        <v/>
      </c>
      <c r="CL71" s="1" t="str">
        <f t="shared" si="22"/>
        <v/>
      </c>
      <c r="CM71" s="1" t="str">
        <f t="shared" si="22"/>
        <v/>
      </c>
      <c r="CN71" s="1" t="str">
        <f t="shared" si="22"/>
        <v/>
      </c>
      <c r="CO71" s="1" t="str">
        <f t="shared" si="22"/>
        <v/>
      </c>
      <c r="CP71" s="1" t="str">
        <f t="shared" si="22"/>
        <v/>
      </c>
      <c r="CQ71" s="1" t="str">
        <f t="shared" si="22"/>
        <v/>
      </c>
      <c r="CR71" s="1" t="str">
        <f t="shared" si="22"/>
        <v/>
      </c>
      <c r="CS71" s="18">
        <f t="shared" si="23"/>
        <v>5</v>
      </c>
    </row>
    <row r="72" spans="1:97" x14ac:dyDescent="0.15">
      <c r="A72" s="1"/>
      <c r="B72" s="1" t="s">
        <v>140</v>
      </c>
      <c r="C72" s="1" t="s">
        <v>136</v>
      </c>
      <c r="D72" s="1" t="s">
        <v>130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>
        <v>5</v>
      </c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v>5</v>
      </c>
      <c r="BR72" s="17">
        <v>1</v>
      </c>
      <c r="BS72" s="17" t="s">
        <v>255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x14ac:dyDescent="0.15">
      <c r="A73" s="1"/>
      <c r="B73" s="1" t="s">
        <v>140</v>
      </c>
      <c r="C73" s="1" t="s">
        <v>136</v>
      </c>
      <c r="D73" s="1" t="s">
        <v>123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>
        <v>5</v>
      </c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v>5</v>
      </c>
      <c r="BR73" s="17">
        <v>1</v>
      </c>
      <c r="BS73" s="17" t="s">
        <v>210</v>
      </c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x14ac:dyDescent="0.15">
      <c r="A74" s="1"/>
      <c r="B74" s="1" t="s">
        <v>153</v>
      </c>
      <c r="C74" s="1" t="s">
        <v>148</v>
      </c>
      <c r="D74" s="1" t="s">
        <v>123</v>
      </c>
      <c r="E74" s="6"/>
      <c r="F74" s="6"/>
      <c r="G74" s="6"/>
      <c r="H74" s="6">
        <v>10</v>
      </c>
      <c r="I74" s="6"/>
      <c r="J74" s="6">
        <v>10</v>
      </c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10</v>
      </c>
      <c r="AU74" s="4"/>
      <c r="AV74" s="4"/>
      <c r="AW74" s="2"/>
      <c r="AX74" s="2"/>
      <c r="AY74" s="2">
        <v>10</v>
      </c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v>7</v>
      </c>
      <c r="BR74" s="17">
        <v>1</v>
      </c>
      <c r="BS74" s="17" t="s">
        <v>256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x14ac:dyDescent="0.15">
      <c r="A75" s="1"/>
      <c r="B75" s="1" t="s">
        <v>128</v>
      </c>
      <c r="C75" s="1" t="s">
        <v>125</v>
      </c>
      <c r="D75" s="1" t="s">
        <v>122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>
        <v>10</v>
      </c>
      <c r="AT75" s="4"/>
      <c r="AU75" s="4"/>
      <c r="AV75" s="4"/>
      <c r="AW75" s="2"/>
      <c r="AX75" s="2"/>
      <c r="AY75" s="2"/>
      <c r="AZ75" s="2"/>
      <c r="BA75" s="2"/>
      <c r="BB75" s="2">
        <v>10</v>
      </c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v>8</v>
      </c>
      <c r="BR75" s="17">
        <v>1</v>
      </c>
      <c r="BS75" s="17" t="s">
        <v>214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>
        <v>34</v>
      </c>
      <c r="B76" s="1" t="s">
        <v>48</v>
      </c>
      <c r="C76" s="1" t="s">
        <v>49</v>
      </c>
      <c r="D76" s="1" t="s">
        <v>25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>
        <v>15</v>
      </c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>
        <v>15</v>
      </c>
      <c r="BC76" s="14"/>
      <c r="BD76" s="1"/>
      <c r="BE76" s="1"/>
      <c r="BF76" s="1"/>
      <c r="BG76" s="1"/>
      <c r="BH76" s="1">
        <v>15</v>
      </c>
      <c r="BI76" s="1">
        <v>15</v>
      </c>
      <c r="BJ76" s="1"/>
      <c r="BK76" s="1"/>
      <c r="BL76" s="1"/>
      <c r="BM76" s="1"/>
      <c r="BN76" s="1"/>
      <c r="BO76" s="1"/>
      <c r="BP76" s="1">
        <f>SUM(E76:BO76)</f>
        <v>60</v>
      </c>
      <c r="BQ76" s="1">
        <v>9</v>
      </c>
      <c r="BR76" s="17">
        <v>1</v>
      </c>
      <c r="BS76" s="17" t="s">
        <v>257</v>
      </c>
      <c r="BT76" s="1">
        <f>IF(AQ76&gt;AQ$161, AQ76-AQ$161,"")</f>
        <v>9</v>
      </c>
      <c r="BU76" s="1" t="str">
        <f>IF(AR76&gt;AR$161, AR76-AR$161,"")</f>
        <v/>
      </c>
      <c r="BV76" s="1" t="str">
        <f>IF(AS76&gt;AS$161, AS76-AS$161,"")</f>
        <v/>
      </c>
      <c r="BW76" s="1" t="str">
        <f>IF(AT76&gt;AT$161, AT76-AT$161,"")</f>
        <v/>
      </c>
      <c r="BX76" s="1" t="str">
        <f>IF(AU76&gt;AU$161, AU76-AU$161,"")</f>
        <v/>
      </c>
      <c r="BY76" s="1" t="str">
        <f>IF(AV76&gt;AV$161, AV76-AV$161,"")</f>
        <v/>
      </c>
      <c r="BZ76" s="1" t="str">
        <f>IF(AW76&gt;AW$161, AW76-AW$161,"")</f>
        <v/>
      </c>
      <c r="CA76" s="1" t="str">
        <f>IF(AX76&gt;AX$161, AX76-AX$161,"")</f>
        <v/>
      </c>
      <c r="CB76" s="1" t="str">
        <f>IF(AY76&gt;AY$161, AY76-AY$161,"")</f>
        <v/>
      </c>
      <c r="CC76" s="1" t="str">
        <f>IF(AZ76&gt;AZ$161, AZ76-AZ$161,"")</f>
        <v/>
      </c>
      <c r="CD76" s="1" t="str">
        <f>IF(BA76&gt;BA$161, BA76-BA$161,"")</f>
        <v/>
      </c>
      <c r="CE76" s="1" t="str">
        <f>IF(BB76&gt;BB$161, BB76-BB$161,"")</f>
        <v/>
      </c>
      <c r="CF76" s="1">
        <f>COUNTIF(BT76:CE76, "&gt;0")</f>
        <v>1</v>
      </c>
      <c r="CG76" s="1">
        <f t="shared" ref="CG76:CR76" si="24">IF($CF76=1,BT76,"")</f>
        <v>9</v>
      </c>
      <c r="CH76" s="1" t="str">
        <f t="shared" si="24"/>
        <v/>
      </c>
      <c r="CI76" s="1" t="str">
        <f t="shared" si="24"/>
        <v/>
      </c>
      <c r="CJ76" s="1" t="str">
        <f t="shared" si="24"/>
        <v/>
      </c>
      <c r="CK76" s="1" t="str">
        <f t="shared" si="24"/>
        <v/>
      </c>
      <c r="CL76" s="1" t="str">
        <f t="shared" si="24"/>
        <v/>
      </c>
      <c r="CM76" s="1" t="str">
        <f t="shared" si="24"/>
        <v/>
      </c>
      <c r="CN76" s="1" t="str">
        <f t="shared" si="24"/>
        <v/>
      </c>
      <c r="CO76" s="1" t="str">
        <f t="shared" si="24"/>
        <v/>
      </c>
      <c r="CP76" s="1" t="str">
        <f t="shared" si="24"/>
        <v/>
      </c>
      <c r="CQ76" s="1" t="str">
        <f t="shared" si="24"/>
        <v/>
      </c>
      <c r="CR76" s="1" t="str">
        <f t="shared" si="24"/>
        <v/>
      </c>
      <c r="CS76" s="18">
        <f>SUM(AE76:BO76)</f>
        <v>60</v>
      </c>
    </row>
    <row r="77" spans="1:97" x14ac:dyDescent="0.15">
      <c r="A77" s="1"/>
      <c r="B77" s="1" t="s">
        <v>141</v>
      </c>
      <c r="C77" s="1" t="s">
        <v>121</v>
      </c>
      <c r="D77" s="1" t="s">
        <v>122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15</v>
      </c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>
        <v>15</v>
      </c>
      <c r="BC77" s="14"/>
      <c r="BD77" s="1"/>
      <c r="BE77" s="1"/>
      <c r="BF77" s="1"/>
      <c r="BG77" s="1"/>
      <c r="BH77" s="1">
        <v>15</v>
      </c>
      <c r="BI77" s="1">
        <v>15</v>
      </c>
      <c r="BJ77" s="1"/>
      <c r="BK77" s="1"/>
      <c r="BL77" s="1"/>
      <c r="BM77" s="1"/>
      <c r="BN77" s="1"/>
      <c r="BO77" s="1"/>
      <c r="BP77" s="1"/>
      <c r="BQ77" s="1">
        <v>9</v>
      </c>
      <c r="BR77" s="17">
        <v>1</v>
      </c>
      <c r="BS77" s="17" t="s">
        <v>257</v>
      </c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x14ac:dyDescent="0.15">
      <c r="A78" s="1">
        <v>62</v>
      </c>
      <c r="B78" s="1" t="s">
        <v>119</v>
      </c>
      <c r="C78" s="1" t="s">
        <v>62</v>
      </c>
      <c r="D78" s="1" t="s">
        <v>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>
        <v>15</v>
      </c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15</v>
      </c>
      <c r="BQ78" s="1">
        <v>11</v>
      </c>
      <c r="BR78" s="17">
        <v>1</v>
      </c>
      <c r="BS78" s="17" t="s">
        <v>216</v>
      </c>
      <c r="BT78" s="1" t="str">
        <f>IF(AQ78&gt;AQ$161, AQ78-AQ$161,"")</f>
        <v/>
      </c>
      <c r="BU78" s="1" t="str">
        <f>IF(AR78&gt;AR$161, AR78-AR$161,"")</f>
        <v/>
      </c>
      <c r="BV78" s="1" t="str">
        <f>IF(AS78&gt;AS$161, AS78-AS$161,"")</f>
        <v/>
      </c>
      <c r="BW78" s="1" t="str">
        <f>IF(AT78&gt;AT$161, AT78-AT$161,"")</f>
        <v/>
      </c>
      <c r="BX78" s="1" t="str">
        <f>IF(AU78&gt;AU$161, AU78-AU$161,"")</f>
        <v/>
      </c>
      <c r="BY78" s="1" t="str">
        <f>IF(AV78&gt;AV$161, AV78-AV$161,"")</f>
        <v/>
      </c>
      <c r="BZ78" s="1" t="str">
        <f>IF(AW78&gt;AW$161, AW78-AW$161,"")</f>
        <v/>
      </c>
      <c r="CA78" s="1" t="str">
        <f>IF(AX78&gt;AX$161, AX78-AX$161,"")</f>
        <v/>
      </c>
      <c r="CB78" s="1" t="str">
        <f>IF(AY78&gt;AY$161, AY78-AY$161,"")</f>
        <v/>
      </c>
      <c r="CC78" s="1" t="str">
        <f>IF(AZ78&gt;AZ$161, AZ78-AZ$161,"")</f>
        <v/>
      </c>
      <c r="CD78" s="1" t="str">
        <f>IF(BA78&gt;BA$161, BA78-BA$161,"")</f>
        <v/>
      </c>
      <c r="CE78" s="1" t="str">
        <f>IF(BB78&gt;BB$161, BB78-BB$161,"")</f>
        <v/>
      </c>
      <c r="CF78" s="1">
        <f>COUNTIF(BT78:CE78, "&gt;0")</f>
        <v>0</v>
      </c>
      <c r="CG78" s="1" t="str">
        <f t="shared" ref="CG78:CR78" si="25">IF($CF78=1,BT78,"")</f>
        <v/>
      </c>
      <c r="CH78" s="1" t="str">
        <f t="shared" si="25"/>
        <v/>
      </c>
      <c r="CI78" s="1" t="str">
        <f t="shared" si="25"/>
        <v/>
      </c>
      <c r="CJ78" s="1" t="str">
        <f t="shared" si="25"/>
        <v/>
      </c>
      <c r="CK78" s="1" t="str">
        <f t="shared" si="25"/>
        <v/>
      </c>
      <c r="CL78" s="1" t="str">
        <f t="shared" si="25"/>
        <v/>
      </c>
      <c r="CM78" s="1" t="str">
        <f t="shared" si="25"/>
        <v/>
      </c>
      <c r="CN78" s="1" t="str">
        <f t="shared" si="25"/>
        <v/>
      </c>
      <c r="CO78" s="1" t="str">
        <f t="shared" si="25"/>
        <v/>
      </c>
      <c r="CP78" s="1" t="str">
        <f t="shared" si="25"/>
        <v/>
      </c>
      <c r="CQ78" s="1" t="str">
        <f t="shared" si="25"/>
        <v/>
      </c>
      <c r="CR78" s="1" t="str">
        <f t="shared" si="25"/>
        <v/>
      </c>
      <c r="CS78" s="18">
        <f>SUM(AE78:BO78)</f>
        <v>15</v>
      </c>
    </row>
    <row r="79" spans="1:97" x14ac:dyDescent="0.15">
      <c r="A79" s="1"/>
      <c r="B79" s="1" t="s">
        <v>285</v>
      </c>
      <c r="C79" s="1" t="s">
        <v>32</v>
      </c>
      <c r="D79" s="1" t="s">
        <v>202</v>
      </c>
      <c r="E79" s="6">
        <v>20</v>
      </c>
      <c r="F79" s="6"/>
      <c r="G79" s="6"/>
      <c r="H79" s="6"/>
      <c r="I79" s="6">
        <v>20</v>
      </c>
      <c r="J79" s="6">
        <v>20</v>
      </c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v>12</v>
      </c>
      <c r="BR79" s="17">
        <v>1</v>
      </c>
      <c r="BS79" s="17" t="s">
        <v>258</v>
      </c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8"/>
    </row>
    <row r="80" spans="1:97" x14ac:dyDescent="0.15">
      <c r="A80" s="1">
        <v>64</v>
      </c>
      <c r="B80" s="3" t="s">
        <v>68</v>
      </c>
      <c r="C80" s="1" t="s">
        <v>62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>
        <v>15</v>
      </c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15</v>
      </c>
      <c r="BQ80" s="1">
        <v>15</v>
      </c>
      <c r="BR80" s="17">
        <v>1</v>
      </c>
      <c r="BS80" s="17" t="s">
        <v>217</v>
      </c>
      <c r="BT80" s="1" t="str">
        <f>IF(AQ80&gt;AQ$161, AQ80-AQ$161,"")</f>
        <v/>
      </c>
      <c r="BU80" s="1" t="str">
        <f>IF(AR80&gt;AR$161, AR80-AR$161,"")</f>
        <v/>
      </c>
      <c r="BV80" s="1" t="str">
        <f>IF(AS80&gt;AS$161, AS80-AS$161,"")</f>
        <v/>
      </c>
      <c r="BW80" s="1" t="str">
        <f>IF(AT80&gt;AT$161, AT80-AT$161,"")</f>
        <v/>
      </c>
      <c r="BX80" s="1" t="str">
        <f>IF(AU80&gt;AU$161, AU80-AU$161,"")</f>
        <v/>
      </c>
      <c r="BY80" s="1" t="str">
        <f>IF(AV80&gt;AV$161, AV80-AV$161,"")</f>
        <v/>
      </c>
      <c r="BZ80" s="1" t="str">
        <f>IF(AW80&gt;AW$161, AW80-AW$161,"")</f>
        <v/>
      </c>
      <c r="CA80" s="1" t="str">
        <f>IF(AX80&gt;AX$161, AX80-AX$161,"")</f>
        <v/>
      </c>
      <c r="CB80" s="1" t="str">
        <f>IF(AY80&gt;AY$161, AY80-AY$161,"")</f>
        <v/>
      </c>
      <c r="CC80" s="1" t="str">
        <f>IF(AZ80&gt;AZ$161, AZ80-AZ$161,"")</f>
        <v/>
      </c>
      <c r="CD80" s="1" t="str">
        <f>IF(BA80&gt;BA$161, BA80-BA$161,"")</f>
        <v/>
      </c>
      <c r="CE80" s="1" t="str">
        <f>IF(BB80&gt;BB$161, BB80-BB$161,"")</f>
        <v/>
      </c>
      <c r="CF80" s="1">
        <f>COUNTIF(BT80:CE80, "&gt;0")</f>
        <v>0</v>
      </c>
      <c r="CG80" s="1" t="str">
        <f t="shared" ref="CG80:CR84" si="26">IF($CF80=1,BT80,"")</f>
        <v/>
      </c>
      <c r="CH80" s="1" t="str">
        <f t="shared" si="26"/>
        <v/>
      </c>
      <c r="CI80" s="1" t="str">
        <f t="shared" si="26"/>
        <v/>
      </c>
      <c r="CJ80" s="1" t="str">
        <f t="shared" si="26"/>
        <v/>
      </c>
      <c r="CK80" s="1" t="str">
        <f t="shared" si="26"/>
        <v/>
      </c>
      <c r="CL80" s="1" t="str">
        <f t="shared" si="26"/>
        <v/>
      </c>
      <c r="CM80" s="1" t="str">
        <f t="shared" si="26"/>
        <v/>
      </c>
      <c r="CN80" s="1" t="str">
        <f t="shared" si="26"/>
        <v/>
      </c>
      <c r="CO80" s="1" t="str">
        <f t="shared" si="26"/>
        <v/>
      </c>
      <c r="CP80" s="1" t="str">
        <f t="shared" si="26"/>
        <v/>
      </c>
      <c r="CQ80" s="1" t="str">
        <f t="shared" si="26"/>
        <v/>
      </c>
      <c r="CR80" s="1" t="str">
        <f t="shared" si="26"/>
        <v/>
      </c>
      <c r="CS80" s="18">
        <f>SUM(AE80:BO80)</f>
        <v>15</v>
      </c>
    </row>
    <row r="81" spans="1:97" x14ac:dyDescent="0.15">
      <c r="A81" s="19">
        <v>93</v>
      </c>
      <c r="B81" s="27" t="s">
        <v>92</v>
      </c>
      <c r="C81" s="27" t="s">
        <v>90</v>
      </c>
      <c r="D81" s="19" t="s">
        <v>1</v>
      </c>
      <c r="E81" s="20"/>
      <c r="F81" s="20">
        <v>20</v>
      </c>
      <c r="G81" s="20"/>
      <c r="H81" s="20"/>
      <c r="I81" s="20"/>
      <c r="J81" s="20"/>
      <c r="K81" s="20">
        <v>20</v>
      </c>
      <c r="L81" s="20"/>
      <c r="M81" s="20"/>
      <c r="N81" s="20">
        <v>20</v>
      </c>
      <c r="O81" s="20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21"/>
      <c r="AR81" s="21"/>
      <c r="AS81" s="21"/>
      <c r="AT81" s="21"/>
      <c r="AU81" s="21"/>
      <c r="AV81" s="21"/>
      <c r="AW81" s="22"/>
      <c r="AX81" s="22"/>
      <c r="AY81" s="22"/>
      <c r="AZ81" s="22"/>
      <c r="BA81" s="22"/>
      <c r="BB81" s="22"/>
      <c r="BC81" s="30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>
        <f>SUM(E81:BO81)</f>
        <v>60</v>
      </c>
      <c r="BQ81" s="19">
        <v>17</v>
      </c>
      <c r="BR81" s="23">
        <v>1</v>
      </c>
      <c r="BS81" s="23" t="s">
        <v>259</v>
      </c>
      <c r="BT81" s="19" t="str">
        <f>IF(AQ81&gt;AQ$161, AQ81-AQ$161,"")</f>
        <v/>
      </c>
      <c r="BU81" s="19" t="str">
        <f>IF(AR81&gt;AR$161, AR81-AR$161,"")</f>
        <v/>
      </c>
      <c r="BV81" s="19" t="str">
        <f>IF(AS81&gt;AS$161, AS81-AS$161,"")</f>
        <v/>
      </c>
      <c r="BW81" s="19" t="str">
        <f>IF(AT81&gt;AT$161, AT81-AT$161,"")</f>
        <v/>
      </c>
      <c r="BX81" s="19" t="str">
        <f>IF(AU81&gt;AU$161, AU81-AU$161,"")</f>
        <v/>
      </c>
      <c r="BY81" s="19" t="str">
        <f>IF(AV81&gt;AV$161, AV81-AV$161,"")</f>
        <v/>
      </c>
      <c r="BZ81" s="19" t="str">
        <f>IF(AW81&gt;AW$161, AW81-AW$161,"")</f>
        <v/>
      </c>
      <c r="CA81" s="19" t="str">
        <f>IF(AX81&gt;AX$161, AX81-AX$161,"")</f>
        <v/>
      </c>
      <c r="CB81" s="19" t="str">
        <f>IF(AY81&gt;AY$161, AY81-AY$161,"")</f>
        <v/>
      </c>
      <c r="CC81" s="19" t="str">
        <f>IF(AZ81&gt;AZ$161, AZ81-AZ$161,"")</f>
        <v/>
      </c>
      <c r="CD81" s="19" t="str">
        <f>IF(BA81&gt;BA$161, BA81-BA$161,"")</f>
        <v/>
      </c>
      <c r="CE81" s="19" t="str">
        <f>IF(BB81&gt;BB$161, BB81-BB$161,"")</f>
        <v/>
      </c>
      <c r="CF81" s="19">
        <f>COUNTIF(BT81:CE81, "&gt;0")</f>
        <v>0</v>
      </c>
      <c r="CG81" s="19" t="str">
        <f t="shared" si="26"/>
        <v/>
      </c>
      <c r="CH81" s="19" t="str">
        <f t="shared" si="26"/>
        <v/>
      </c>
      <c r="CI81" s="19" t="str">
        <f t="shared" si="26"/>
        <v/>
      </c>
      <c r="CJ81" s="19" t="str">
        <f t="shared" si="26"/>
        <v/>
      </c>
      <c r="CK81" s="19" t="str">
        <f t="shared" si="26"/>
        <v/>
      </c>
      <c r="CL81" s="19" t="str">
        <f t="shared" si="26"/>
        <v/>
      </c>
      <c r="CM81" s="19" t="str">
        <f t="shared" si="26"/>
        <v/>
      </c>
      <c r="CN81" s="19" t="str">
        <f t="shared" si="26"/>
        <v/>
      </c>
      <c r="CO81" s="19" t="str">
        <f t="shared" si="26"/>
        <v/>
      </c>
      <c r="CP81" s="19" t="str">
        <f t="shared" si="26"/>
        <v/>
      </c>
      <c r="CQ81" s="19" t="str">
        <f t="shared" si="26"/>
        <v/>
      </c>
      <c r="CR81" s="19" t="str">
        <f t="shared" si="26"/>
        <v/>
      </c>
      <c r="CS81" s="24">
        <f>SUM(AE81:BO81)</f>
        <v>0</v>
      </c>
    </row>
    <row r="82" spans="1:97" x14ac:dyDescent="0.15">
      <c r="A82" s="1">
        <v>65</v>
      </c>
      <c r="B82" s="3" t="s">
        <v>68</v>
      </c>
      <c r="C82" s="1" t="s">
        <v>62</v>
      </c>
      <c r="D82" s="1" t="s">
        <v>13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>
        <v>25</v>
      </c>
      <c r="AO82" s="1"/>
      <c r="AP82" s="1"/>
      <c r="AQ82" s="4"/>
      <c r="AR82" s="4"/>
      <c r="AS82" s="4"/>
      <c r="AT82" s="4"/>
      <c r="AU82" s="4"/>
      <c r="AV82" s="4">
        <v>10</v>
      </c>
      <c r="AW82" s="2"/>
      <c r="AX82" s="2"/>
      <c r="AY82" s="2"/>
      <c r="AZ82" s="2">
        <v>10</v>
      </c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55</v>
      </c>
      <c r="BQ82" s="1">
        <v>25</v>
      </c>
      <c r="BR82" s="17">
        <v>1</v>
      </c>
      <c r="BS82" s="17" t="s">
        <v>260</v>
      </c>
      <c r="BT82" s="1" t="str">
        <f>IF(AQ82&gt;AQ$161, AQ82-AQ$161,"")</f>
        <v/>
      </c>
      <c r="BU82" s="1" t="str">
        <f>IF(AR82&gt;AR$161, AR82-AR$161,"")</f>
        <v/>
      </c>
      <c r="BV82" s="1" t="str">
        <f>IF(AS82&gt;AS$161, AS82-AS$161,"")</f>
        <v/>
      </c>
      <c r="BW82" s="1" t="str">
        <f>IF(AT82&gt;AT$161, AT82-AT$161,"")</f>
        <v/>
      </c>
      <c r="BX82" s="1" t="str">
        <f>IF(AU82&gt;AU$161, AU82-AU$161,"")</f>
        <v/>
      </c>
      <c r="BY82" s="1" t="str">
        <f>IF(AV82&gt;AV$161, AV82-AV$161,"")</f>
        <v/>
      </c>
      <c r="BZ82" s="1" t="str">
        <f>IF(AW82&gt;AW$161, AW82-AW$161,"")</f>
        <v/>
      </c>
      <c r="CA82" s="1" t="str">
        <f>IF(AX82&gt;AX$161, AX82-AX$161,"")</f>
        <v/>
      </c>
      <c r="CB82" s="1" t="str">
        <f>IF(AY82&gt;AY$161, AY82-AY$161,"")</f>
        <v/>
      </c>
      <c r="CC82" s="1" t="str">
        <f>IF(AZ82&gt;AZ$161, AZ82-AZ$161,"")</f>
        <v/>
      </c>
      <c r="CD82" s="1" t="str">
        <f>IF(BA82&gt;BA$161, BA82-BA$161,"")</f>
        <v/>
      </c>
      <c r="CE82" s="1" t="str">
        <f>IF(BB82&gt;BB$161, BB82-BB$161,"")</f>
        <v/>
      </c>
      <c r="CF82" s="1">
        <f>COUNTIF(BT82:CE82, "&gt;0")</f>
        <v>0</v>
      </c>
      <c r="CG82" s="1" t="str">
        <f t="shared" si="26"/>
        <v/>
      </c>
      <c r="CH82" s="1" t="str">
        <f t="shared" si="26"/>
        <v/>
      </c>
      <c r="CI82" s="1" t="str">
        <f t="shared" si="26"/>
        <v/>
      </c>
      <c r="CJ82" s="1" t="str">
        <f t="shared" si="26"/>
        <v/>
      </c>
      <c r="CK82" s="1" t="str">
        <f t="shared" si="26"/>
        <v/>
      </c>
      <c r="CL82" s="1" t="str">
        <f t="shared" si="26"/>
        <v/>
      </c>
      <c r="CM82" s="1" t="str">
        <f t="shared" si="26"/>
        <v/>
      </c>
      <c r="CN82" s="1" t="str">
        <f t="shared" si="26"/>
        <v/>
      </c>
      <c r="CO82" s="1" t="str">
        <f t="shared" si="26"/>
        <v/>
      </c>
      <c r="CP82" s="1" t="str">
        <f t="shared" si="26"/>
        <v/>
      </c>
      <c r="CQ82" s="1" t="str">
        <f t="shared" si="26"/>
        <v/>
      </c>
      <c r="CR82" s="1" t="str">
        <f t="shared" si="26"/>
        <v/>
      </c>
      <c r="CS82" s="18">
        <f>SUM(AE82:BO82)</f>
        <v>45</v>
      </c>
    </row>
    <row r="83" spans="1:97" x14ac:dyDescent="0.15">
      <c r="A83" s="1">
        <v>98</v>
      </c>
      <c r="B83" s="3" t="s">
        <v>79</v>
      </c>
      <c r="C83" s="3" t="s">
        <v>78</v>
      </c>
      <c r="D83" s="1" t="s">
        <v>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>
        <v>50</v>
      </c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50</v>
      </c>
      <c r="BQ83" s="1">
        <v>38</v>
      </c>
      <c r="BR83" s="17">
        <v>1</v>
      </c>
      <c r="BS83" s="17" t="s">
        <v>218</v>
      </c>
      <c r="BT83" s="1" t="str">
        <f>IF(AQ83&gt;AQ$161, AQ83-AQ$161,"")</f>
        <v/>
      </c>
      <c r="BU83" s="1" t="str">
        <f>IF(AR83&gt;AR$161, AR83-AR$161,"")</f>
        <v/>
      </c>
      <c r="BV83" s="1" t="str">
        <f>IF(AS83&gt;AS$161, AS83-AS$161,"")</f>
        <v/>
      </c>
      <c r="BW83" s="1" t="str">
        <f>IF(AT83&gt;AT$161, AT83-AT$161,"")</f>
        <v/>
      </c>
      <c r="BX83" s="1" t="str">
        <f>IF(AU83&gt;AU$161, AU83-AU$161,"")</f>
        <v/>
      </c>
      <c r="BY83" s="1" t="str">
        <f>IF(AV83&gt;AV$161, AV83-AV$161,"")</f>
        <v/>
      </c>
      <c r="BZ83" s="1" t="str">
        <f>IF(AW83&gt;AW$161, AW83-AW$161,"")</f>
        <v/>
      </c>
      <c r="CA83" s="1" t="str">
        <f>IF(AX83&gt;AX$161, AX83-AX$161,"")</f>
        <v/>
      </c>
      <c r="CB83" s="1" t="str">
        <f>IF(AY83&gt;AY$161, AY83-AY$161,"")</f>
        <v/>
      </c>
      <c r="CC83" s="1" t="str">
        <f>IF(AZ83&gt;AZ$161, AZ83-AZ$161,"")</f>
        <v/>
      </c>
      <c r="CD83" s="1" t="str">
        <f>IF(BA83&gt;BA$161, BA83-BA$161,"")</f>
        <v/>
      </c>
      <c r="CE83" s="1" t="str">
        <f>IF(BB83&gt;BB$161, BB83-BB$161,"")</f>
        <v/>
      </c>
      <c r="CF83" s="1">
        <f>COUNTIF(BT83:CE83, "&gt;0")</f>
        <v>0</v>
      </c>
      <c r="CG83" s="1" t="str">
        <f t="shared" si="26"/>
        <v/>
      </c>
      <c r="CH83" s="1" t="str">
        <f t="shared" si="26"/>
        <v/>
      </c>
      <c r="CI83" s="1" t="str">
        <f t="shared" si="26"/>
        <v/>
      </c>
      <c r="CJ83" s="1" t="str">
        <f t="shared" si="26"/>
        <v/>
      </c>
      <c r="CK83" s="1" t="str">
        <f t="shared" si="26"/>
        <v/>
      </c>
      <c r="CL83" s="1" t="str">
        <f t="shared" si="26"/>
        <v/>
      </c>
      <c r="CM83" s="1" t="str">
        <f t="shared" si="26"/>
        <v/>
      </c>
      <c r="CN83" s="1" t="str">
        <f t="shared" si="26"/>
        <v/>
      </c>
      <c r="CO83" s="1" t="str">
        <f t="shared" si="26"/>
        <v/>
      </c>
      <c r="CP83" s="1" t="str">
        <f t="shared" si="26"/>
        <v/>
      </c>
      <c r="CQ83" s="1" t="str">
        <f t="shared" si="26"/>
        <v/>
      </c>
      <c r="CR83" s="1" t="str">
        <f t="shared" si="26"/>
        <v/>
      </c>
      <c r="CS83" s="18">
        <f>SUM(AE83:BO83)</f>
        <v>50</v>
      </c>
    </row>
    <row r="84" spans="1:97" x14ac:dyDescent="0.15">
      <c r="A84" s="1">
        <v>99</v>
      </c>
      <c r="B84" s="3" t="s">
        <v>79</v>
      </c>
      <c r="C84" s="3" t="s">
        <v>78</v>
      </c>
      <c r="D84" s="1" t="s">
        <v>13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>
        <v>200</v>
      </c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200</v>
      </c>
      <c r="BQ84" s="1">
        <v>188</v>
      </c>
      <c r="BR84" s="17">
        <v>1</v>
      </c>
      <c r="BS84" s="17" t="s">
        <v>219</v>
      </c>
      <c r="BT84" s="1" t="str">
        <f>IF(AQ84&gt;AQ$161, AQ84-AQ$161,"")</f>
        <v/>
      </c>
      <c r="BU84" s="1" t="str">
        <f>IF(AR84&gt;AR$161, AR84-AR$161,"")</f>
        <v/>
      </c>
      <c r="BV84" s="1" t="str">
        <f>IF(AS84&gt;AS$161, AS84-AS$161,"")</f>
        <v/>
      </c>
      <c r="BW84" s="1" t="str">
        <f>IF(AT84&gt;AT$161, AT84-AT$161,"")</f>
        <v/>
      </c>
      <c r="BX84" s="1" t="str">
        <f>IF(AU84&gt;AU$161, AU84-AU$161,"")</f>
        <v/>
      </c>
      <c r="BY84" s="1" t="str">
        <f>IF(AV84&gt;AV$161, AV84-AV$161,"")</f>
        <v/>
      </c>
      <c r="BZ84" s="1" t="str">
        <f>IF(AW84&gt;AW$161, AW84-AW$161,"")</f>
        <v/>
      </c>
      <c r="CA84" s="1" t="str">
        <f>IF(AX84&gt;AX$161, AX84-AX$161,"")</f>
        <v/>
      </c>
      <c r="CB84" s="1" t="str">
        <f>IF(AY84&gt;AY$161, AY84-AY$161,"")</f>
        <v/>
      </c>
      <c r="CC84" s="1" t="str">
        <f>IF(AZ84&gt;AZ$161, AZ84-AZ$161,"")</f>
        <v/>
      </c>
      <c r="CD84" s="1" t="str">
        <f>IF(BA84&gt;BA$161, BA84-BA$161,"")</f>
        <v/>
      </c>
      <c r="CE84" s="1" t="str">
        <f>IF(BB84&gt;BB$161, BB84-BB$161,"")</f>
        <v/>
      </c>
      <c r="CF84" s="1">
        <f>COUNTIF(BT84:CE84, "&gt;0")</f>
        <v>0</v>
      </c>
      <c r="CG84" s="1" t="str">
        <f t="shared" si="26"/>
        <v/>
      </c>
      <c r="CH84" s="1" t="str">
        <f t="shared" si="26"/>
        <v/>
      </c>
      <c r="CI84" s="1" t="str">
        <f t="shared" si="26"/>
        <v/>
      </c>
      <c r="CJ84" s="1" t="str">
        <f t="shared" si="26"/>
        <v/>
      </c>
      <c r="CK84" s="1" t="str">
        <f t="shared" si="26"/>
        <v/>
      </c>
      <c r="CL84" s="1" t="str">
        <f t="shared" si="26"/>
        <v/>
      </c>
      <c r="CM84" s="1" t="str">
        <f t="shared" si="26"/>
        <v/>
      </c>
      <c r="CN84" s="1" t="str">
        <f t="shared" si="26"/>
        <v/>
      </c>
      <c r="CO84" s="1" t="str">
        <f t="shared" si="26"/>
        <v/>
      </c>
      <c r="CP84" s="1" t="str">
        <f t="shared" si="26"/>
        <v/>
      </c>
      <c r="CQ84" s="1" t="str">
        <f t="shared" si="26"/>
        <v/>
      </c>
      <c r="CR84" s="1" t="str">
        <f t="shared" si="26"/>
        <v/>
      </c>
      <c r="CS84" s="18">
        <f>SUM(AE84:BO84)</f>
        <v>200</v>
      </c>
    </row>
    <row r="85" spans="1:97" ht="27" x14ac:dyDescent="0.15">
      <c r="A85" s="1"/>
      <c r="B85" s="1" t="s">
        <v>284</v>
      </c>
      <c r="C85" s="1" t="s">
        <v>121</v>
      </c>
      <c r="D85" s="1" t="s">
        <v>123</v>
      </c>
      <c r="E85" s="6">
        <v>10</v>
      </c>
      <c r="F85" s="6"/>
      <c r="G85" s="6">
        <v>10</v>
      </c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>
        <v>15</v>
      </c>
      <c r="AU85" s="4"/>
      <c r="AV85" s="4"/>
      <c r="AW85" s="2"/>
      <c r="AX85" s="2"/>
      <c r="AY85" s="2"/>
      <c r="AZ85" s="2">
        <v>15</v>
      </c>
      <c r="BA85" s="2">
        <v>15</v>
      </c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v>5</v>
      </c>
      <c r="BR85" s="17">
        <v>2</v>
      </c>
      <c r="BS85" s="17" t="s">
        <v>261</v>
      </c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8"/>
    </row>
    <row r="86" spans="1:97" ht="27" x14ac:dyDescent="0.15">
      <c r="A86" s="1"/>
      <c r="B86" s="1" t="s">
        <v>182</v>
      </c>
      <c r="C86" s="1" t="s">
        <v>183</v>
      </c>
      <c r="D86" s="1" t="s">
        <v>161</v>
      </c>
      <c r="E86" s="6"/>
      <c r="F86" s="6"/>
      <c r="G86" s="6"/>
      <c r="H86" s="6"/>
      <c r="I86" s="6"/>
      <c r="J86" s="6">
        <v>10</v>
      </c>
      <c r="K86" s="6"/>
      <c r="L86" s="6">
        <v>10</v>
      </c>
      <c r="M86" s="6">
        <v>10</v>
      </c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>
        <v>15</v>
      </c>
      <c r="AZ86" s="2">
        <v>15</v>
      </c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v>5</v>
      </c>
      <c r="BR86" s="17">
        <v>2</v>
      </c>
      <c r="BS86" s="17" t="s">
        <v>205</v>
      </c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27" x14ac:dyDescent="0.15">
      <c r="A87" s="1"/>
      <c r="B87" s="1" t="s">
        <v>286</v>
      </c>
      <c r="C87" s="1" t="s">
        <v>159</v>
      </c>
      <c r="D87" s="1" t="s">
        <v>161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>
        <v>10</v>
      </c>
      <c r="W87" s="32"/>
      <c r="X87" s="32"/>
      <c r="Y87" s="32">
        <v>10</v>
      </c>
      <c r="Z87" s="32"/>
      <c r="AA87" s="32"/>
      <c r="AB87" s="32">
        <v>10</v>
      </c>
      <c r="AC87" s="32">
        <v>5</v>
      </c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v>5</v>
      </c>
      <c r="BR87" s="17">
        <v>2</v>
      </c>
      <c r="BS87" s="17" t="s">
        <v>220</v>
      </c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27" x14ac:dyDescent="0.15">
      <c r="A88" s="1"/>
      <c r="B88" s="1" t="s">
        <v>171</v>
      </c>
      <c r="C88" s="1" t="s">
        <v>159</v>
      </c>
      <c r="D88" s="1" t="s">
        <v>160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>
        <v>10</v>
      </c>
      <c r="Q88" s="32"/>
      <c r="R88" s="32"/>
      <c r="S88" s="32">
        <v>10</v>
      </c>
      <c r="T88" s="32"/>
      <c r="U88" s="32"/>
      <c r="V88" s="32"/>
      <c r="W88" s="32">
        <v>5</v>
      </c>
      <c r="X88" s="32"/>
      <c r="Y88" s="32"/>
      <c r="Z88" s="32"/>
      <c r="AA88" s="32"/>
      <c r="AB88" s="32">
        <v>10</v>
      </c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2</v>
      </c>
      <c r="BS88" s="17" t="s">
        <v>263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27" x14ac:dyDescent="0.15">
      <c r="A89" s="1"/>
      <c r="B89" s="1" t="s">
        <v>176</v>
      </c>
      <c r="C89" s="1" t="s">
        <v>159</v>
      </c>
      <c r="D89" s="1" t="s">
        <v>160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>
        <v>10</v>
      </c>
      <c r="Q89" s="32"/>
      <c r="R89" s="32"/>
      <c r="S89" s="32">
        <v>10</v>
      </c>
      <c r="T89" s="32"/>
      <c r="U89" s="32"/>
      <c r="V89" s="32"/>
      <c r="W89" s="32">
        <v>5</v>
      </c>
      <c r="X89" s="32"/>
      <c r="Y89" s="32"/>
      <c r="Z89" s="32"/>
      <c r="AA89" s="32"/>
      <c r="AB89" s="32">
        <v>10</v>
      </c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2</v>
      </c>
      <c r="BS89" s="17" t="s">
        <v>263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27" x14ac:dyDescent="0.15">
      <c r="A90" s="1"/>
      <c r="B90" s="1" t="s">
        <v>180</v>
      </c>
      <c r="C90" s="1" t="s">
        <v>178</v>
      </c>
      <c r="D90" s="1" t="s">
        <v>160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>
        <v>10</v>
      </c>
      <c r="Q90" s="32"/>
      <c r="R90" s="32"/>
      <c r="S90" s="32">
        <v>10</v>
      </c>
      <c r="T90" s="32"/>
      <c r="U90" s="32"/>
      <c r="V90" s="32"/>
      <c r="W90" s="32">
        <v>5</v>
      </c>
      <c r="X90" s="32"/>
      <c r="Y90" s="32"/>
      <c r="Z90" s="32"/>
      <c r="AA90" s="32"/>
      <c r="AB90" s="32">
        <v>10</v>
      </c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5</v>
      </c>
      <c r="BR90" s="17">
        <v>2</v>
      </c>
      <c r="BS90" s="17" t="s">
        <v>263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27" x14ac:dyDescent="0.15">
      <c r="A91" s="1"/>
      <c r="B91" s="1" t="s">
        <v>186</v>
      </c>
      <c r="C91" s="1" t="s">
        <v>183</v>
      </c>
      <c r="D91" s="1" t="s">
        <v>160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>
        <v>10</v>
      </c>
      <c r="Q91" s="32"/>
      <c r="R91" s="32"/>
      <c r="S91" s="32">
        <v>10</v>
      </c>
      <c r="T91" s="32"/>
      <c r="U91" s="32"/>
      <c r="V91" s="32"/>
      <c r="W91" s="32">
        <v>5</v>
      </c>
      <c r="X91" s="32"/>
      <c r="Y91" s="32"/>
      <c r="Z91" s="32"/>
      <c r="AA91" s="32"/>
      <c r="AB91" s="32">
        <v>10</v>
      </c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2</v>
      </c>
      <c r="BS91" s="17" t="s">
        <v>263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27" x14ac:dyDescent="0.15">
      <c r="A92" s="1"/>
      <c r="B92" s="1" t="s">
        <v>187</v>
      </c>
      <c r="C92" s="1" t="s">
        <v>189</v>
      </c>
      <c r="D92" s="1" t="s">
        <v>161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>
        <v>10</v>
      </c>
      <c r="W92" s="32"/>
      <c r="X92" s="32"/>
      <c r="Y92" s="32">
        <v>10</v>
      </c>
      <c r="Z92" s="32"/>
      <c r="AA92" s="32"/>
      <c r="AB92" s="32">
        <v>10</v>
      </c>
      <c r="AC92" s="32">
        <v>5</v>
      </c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2</v>
      </c>
      <c r="BS92" s="17" t="s">
        <v>220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27" x14ac:dyDescent="0.15">
      <c r="A93" s="1"/>
      <c r="B93" s="1" t="s">
        <v>195</v>
      </c>
      <c r="C93" s="1" t="s">
        <v>194</v>
      </c>
      <c r="D93" s="1" t="s">
        <v>160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>
        <v>10</v>
      </c>
      <c r="Q93" s="32"/>
      <c r="R93" s="32"/>
      <c r="S93" s="32">
        <v>10</v>
      </c>
      <c r="T93" s="32"/>
      <c r="U93" s="32"/>
      <c r="V93" s="32"/>
      <c r="W93" s="32">
        <v>5</v>
      </c>
      <c r="X93" s="32"/>
      <c r="Y93" s="32"/>
      <c r="Z93" s="32"/>
      <c r="AA93" s="32"/>
      <c r="AB93" s="32">
        <v>10</v>
      </c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5</v>
      </c>
      <c r="BR93" s="17">
        <v>2</v>
      </c>
      <c r="BS93" s="17" t="s">
        <v>263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27" x14ac:dyDescent="0.15">
      <c r="A94" s="1"/>
      <c r="B94" s="1" t="s">
        <v>199</v>
      </c>
      <c r="C94" s="1" t="s">
        <v>194</v>
      </c>
      <c r="D94" s="1" t="s">
        <v>161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>
        <v>10</v>
      </c>
      <c r="W94" s="32"/>
      <c r="X94" s="32"/>
      <c r="Y94" s="32">
        <v>10</v>
      </c>
      <c r="Z94" s="32"/>
      <c r="AA94" s="32"/>
      <c r="AB94" s="32">
        <v>10</v>
      </c>
      <c r="AC94" s="32">
        <v>5</v>
      </c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5</v>
      </c>
      <c r="BR94" s="17">
        <v>2</v>
      </c>
      <c r="BS94" s="17" t="s">
        <v>220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27" x14ac:dyDescent="0.15">
      <c r="A95" s="1"/>
      <c r="B95" s="1" t="s">
        <v>201</v>
      </c>
      <c r="C95" s="1" t="s">
        <v>194</v>
      </c>
      <c r="D95" s="1" t="s">
        <v>161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>
        <v>10</v>
      </c>
      <c r="W95" s="32"/>
      <c r="X95" s="32"/>
      <c r="Y95" s="32">
        <v>10</v>
      </c>
      <c r="Z95" s="32"/>
      <c r="AA95" s="32"/>
      <c r="AB95" s="32">
        <v>10</v>
      </c>
      <c r="AC95" s="32">
        <v>5</v>
      </c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v>5</v>
      </c>
      <c r="BR95" s="17">
        <v>2</v>
      </c>
      <c r="BS95" s="17" t="s">
        <v>220</v>
      </c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27" x14ac:dyDescent="0.15">
      <c r="A96" s="1"/>
      <c r="B96" s="1" t="s">
        <v>243</v>
      </c>
      <c r="C96" s="1" t="s">
        <v>148</v>
      </c>
      <c r="D96" s="1" t="s">
        <v>244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>
        <v>10</v>
      </c>
      <c r="Q96" s="32"/>
      <c r="R96" s="32"/>
      <c r="S96" s="32">
        <v>10</v>
      </c>
      <c r="T96" s="32"/>
      <c r="U96" s="32"/>
      <c r="V96" s="32"/>
      <c r="W96" s="32">
        <v>5</v>
      </c>
      <c r="X96" s="32"/>
      <c r="Y96" s="32"/>
      <c r="Z96" s="32"/>
      <c r="AA96" s="32"/>
      <c r="AB96" s="32">
        <v>10</v>
      </c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v>5</v>
      </c>
      <c r="BR96" s="17">
        <v>2</v>
      </c>
      <c r="BS96" s="17" t="s">
        <v>262</v>
      </c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27" x14ac:dyDescent="0.15">
      <c r="A97" s="1"/>
      <c r="B97" s="1" t="s">
        <v>134</v>
      </c>
      <c r="C97" s="1" t="s">
        <v>125</v>
      </c>
      <c r="D97" s="1" t="s">
        <v>122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5</v>
      </c>
      <c r="AP97" s="1">
        <v>1</v>
      </c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v>6</v>
      </c>
      <c r="BR97" s="17">
        <v>2</v>
      </c>
      <c r="BS97" s="17" t="s">
        <v>221</v>
      </c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27" x14ac:dyDescent="0.15">
      <c r="A98" s="1">
        <v>77</v>
      </c>
      <c r="B98" s="3" t="s">
        <v>116</v>
      </c>
      <c r="C98" s="3" t="s">
        <v>71</v>
      </c>
      <c r="D98" s="1" t="s">
        <v>13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>
        <v>20</v>
      </c>
      <c r="AU98" s="4"/>
      <c r="AV98" s="4"/>
      <c r="AW98" s="2">
        <v>20</v>
      </c>
      <c r="AX98" s="2">
        <v>20</v>
      </c>
      <c r="AY98" s="2"/>
      <c r="AZ98" s="2"/>
      <c r="BA98" s="2"/>
      <c r="BB98" s="2">
        <v>10</v>
      </c>
      <c r="BC98" s="14"/>
      <c r="BD98" s="1"/>
      <c r="BE98" s="1"/>
      <c r="BF98" s="1"/>
      <c r="BG98" s="1"/>
      <c r="BH98" s="1">
        <v>20</v>
      </c>
      <c r="BI98" s="1"/>
      <c r="BJ98" s="1"/>
      <c r="BK98" s="1"/>
      <c r="BL98" s="1"/>
      <c r="BM98" s="1"/>
      <c r="BN98" s="1"/>
      <c r="BO98" s="1"/>
      <c r="BP98" s="1">
        <f>SUM(E98:BO98)</f>
        <v>90</v>
      </c>
      <c r="BQ98" s="1">
        <v>6</v>
      </c>
      <c r="BR98" s="17">
        <v>2</v>
      </c>
      <c r="BS98" s="17" t="s">
        <v>222</v>
      </c>
      <c r="BT98" s="1" t="str">
        <f t="shared" ref="BT98:CE98" si="27">IF(AQ98&gt;AQ$161, AQ98-AQ$161,"")</f>
        <v/>
      </c>
      <c r="BU98" s="1" t="str">
        <f t="shared" si="27"/>
        <v/>
      </c>
      <c r="BV98" s="1" t="str">
        <f t="shared" si="27"/>
        <v/>
      </c>
      <c r="BW98" s="1">
        <f t="shared" si="27"/>
        <v>5</v>
      </c>
      <c r="BX98" s="1" t="str">
        <f t="shared" si="27"/>
        <v/>
      </c>
      <c r="BY98" s="1" t="str">
        <f t="shared" si="27"/>
        <v/>
      </c>
      <c r="BZ98" s="1">
        <f t="shared" si="27"/>
        <v>1</v>
      </c>
      <c r="CA98" s="1" t="str">
        <f t="shared" si="27"/>
        <v/>
      </c>
      <c r="CB98" s="1" t="str">
        <f t="shared" si="27"/>
        <v/>
      </c>
      <c r="CC98" s="1" t="str">
        <f t="shared" si="27"/>
        <v/>
      </c>
      <c r="CD98" s="1" t="str">
        <f t="shared" si="27"/>
        <v/>
      </c>
      <c r="CE98" s="1" t="str">
        <f t="shared" si="27"/>
        <v/>
      </c>
      <c r="CF98" s="1">
        <f>COUNTIF(BT98:CE98, "&gt;0")</f>
        <v>2</v>
      </c>
      <c r="CG98" s="1" t="str">
        <f t="shared" ref="CG98:CR98" si="28">IF($CF98=1,BT98,"")</f>
        <v/>
      </c>
      <c r="CH98" s="1" t="str">
        <f t="shared" si="28"/>
        <v/>
      </c>
      <c r="CI98" s="1" t="str">
        <f t="shared" si="28"/>
        <v/>
      </c>
      <c r="CJ98" s="1" t="str">
        <f t="shared" si="28"/>
        <v/>
      </c>
      <c r="CK98" s="1" t="str">
        <f t="shared" si="28"/>
        <v/>
      </c>
      <c r="CL98" s="1" t="str">
        <f t="shared" si="28"/>
        <v/>
      </c>
      <c r="CM98" s="1" t="str">
        <f t="shared" si="28"/>
        <v/>
      </c>
      <c r="CN98" s="1" t="str">
        <f t="shared" si="28"/>
        <v/>
      </c>
      <c r="CO98" s="1" t="str">
        <f t="shared" si="28"/>
        <v/>
      </c>
      <c r="CP98" s="1" t="str">
        <f t="shared" si="28"/>
        <v/>
      </c>
      <c r="CQ98" s="1" t="str">
        <f t="shared" si="28"/>
        <v/>
      </c>
      <c r="CR98" s="1" t="str">
        <f t="shared" si="28"/>
        <v/>
      </c>
      <c r="CS98" s="18">
        <f>SUM(AE98:BO98)</f>
        <v>90</v>
      </c>
    </row>
    <row r="99" spans="1:97" ht="27" x14ac:dyDescent="0.15">
      <c r="A99" s="1"/>
      <c r="B99" s="1" t="s">
        <v>177</v>
      </c>
      <c r="C99" s="1" t="s">
        <v>178</v>
      </c>
      <c r="D99" s="1" t="s">
        <v>161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32"/>
      <c r="Q99" s="32">
        <v>5</v>
      </c>
      <c r="R99" s="32"/>
      <c r="S99" s="32"/>
      <c r="T99" s="32"/>
      <c r="U99" s="32"/>
      <c r="V99" s="32">
        <v>10</v>
      </c>
      <c r="W99" s="32"/>
      <c r="X99" s="32"/>
      <c r="Y99" s="32">
        <v>10</v>
      </c>
      <c r="Z99" s="32"/>
      <c r="AA99" s="32"/>
      <c r="AB99" s="32">
        <v>10</v>
      </c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v>6</v>
      </c>
      <c r="BR99" s="17">
        <v>2</v>
      </c>
      <c r="BS99" s="17" t="s">
        <v>264</v>
      </c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27" x14ac:dyDescent="0.15">
      <c r="A100" s="1"/>
      <c r="B100" s="1" t="s">
        <v>185</v>
      </c>
      <c r="C100" s="1" t="s">
        <v>183</v>
      </c>
      <c r="D100" s="1" t="s">
        <v>161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>
        <v>5</v>
      </c>
      <c r="R100" s="32"/>
      <c r="S100" s="32"/>
      <c r="T100" s="32"/>
      <c r="U100" s="32"/>
      <c r="V100" s="32">
        <v>10</v>
      </c>
      <c r="W100" s="32"/>
      <c r="X100" s="32"/>
      <c r="Y100" s="32">
        <v>10</v>
      </c>
      <c r="Z100" s="32"/>
      <c r="AA100" s="32"/>
      <c r="AB100" s="32">
        <v>10</v>
      </c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v>6</v>
      </c>
      <c r="BR100" s="17">
        <v>2</v>
      </c>
      <c r="BS100" s="17" t="s">
        <v>264</v>
      </c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27" x14ac:dyDescent="0.15">
      <c r="A101" s="1"/>
      <c r="B101" s="1" t="s">
        <v>188</v>
      </c>
      <c r="C101" s="1" t="s">
        <v>189</v>
      </c>
      <c r="D101" s="1" t="s">
        <v>160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>
        <v>10</v>
      </c>
      <c r="Q101" s="32"/>
      <c r="R101" s="32"/>
      <c r="S101" s="32">
        <v>10</v>
      </c>
      <c r="T101" s="32"/>
      <c r="U101" s="32"/>
      <c r="V101" s="32"/>
      <c r="W101" s="32"/>
      <c r="X101" s="32"/>
      <c r="Y101" s="32"/>
      <c r="Z101" s="32">
        <v>5</v>
      </c>
      <c r="AA101" s="32"/>
      <c r="AB101" s="32">
        <v>10</v>
      </c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v>6</v>
      </c>
      <c r="BR101" s="17">
        <v>2</v>
      </c>
      <c r="BS101" s="17" t="s">
        <v>223</v>
      </c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27" x14ac:dyDescent="0.15">
      <c r="A102" s="1"/>
      <c r="B102" s="1" t="s">
        <v>143</v>
      </c>
      <c r="C102" s="1" t="s">
        <v>121</v>
      </c>
      <c r="D102" s="1" t="s">
        <v>123</v>
      </c>
      <c r="E102" s="6"/>
      <c r="F102" s="6"/>
      <c r="G102" s="6"/>
      <c r="H102" s="6">
        <v>6</v>
      </c>
      <c r="I102" s="6"/>
      <c r="J102" s="6"/>
      <c r="K102" s="6">
        <v>6</v>
      </c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>
        <v>10</v>
      </c>
      <c r="AR102" s="4"/>
      <c r="AS102" s="4"/>
      <c r="AT102" s="4"/>
      <c r="AU102" s="4"/>
      <c r="AV102" s="4"/>
      <c r="AW102" s="2">
        <v>10</v>
      </c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v>7</v>
      </c>
      <c r="BR102" s="17">
        <v>2</v>
      </c>
      <c r="BS102" s="17" t="s">
        <v>265</v>
      </c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27" x14ac:dyDescent="0.15">
      <c r="A103" s="1">
        <v>39</v>
      </c>
      <c r="B103" s="1" t="s">
        <v>53</v>
      </c>
      <c r="C103" s="1" t="s">
        <v>49</v>
      </c>
      <c r="D103" s="1" t="s">
        <v>26</v>
      </c>
      <c r="E103" s="6"/>
      <c r="F103" s="6">
        <v>6</v>
      </c>
      <c r="G103" s="6"/>
      <c r="H103" s="6"/>
      <c r="I103" s="6"/>
      <c r="J103" s="6"/>
      <c r="K103" s="6"/>
      <c r="L103" s="6">
        <v>6</v>
      </c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>
        <v>10</v>
      </c>
      <c r="AR103" s="4"/>
      <c r="AS103" s="4"/>
      <c r="AT103" s="4"/>
      <c r="AU103" s="4"/>
      <c r="AV103" s="4"/>
      <c r="AW103" s="2"/>
      <c r="AX103" s="2">
        <v>10</v>
      </c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32</v>
      </c>
      <c r="BQ103" s="1">
        <v>7</v>
      </c>
      <c r="BR103" s="17">
        <v>2</v>
      </c>
      <c r="BS103" s="17" t="s">
        <v>266</v>
      </c>
      <c r="BT103" s="1">
        <f t="shared" ref="BT103:CE105" si="29">IF(AQ103&gt;AQ$161, AQ103-AQ$161,"")</f>
        <v>4</v>
      </c>
      <c r="BU103" s="1" t="str">
        <f t="shared" si="29"/>
        <v/>
      </c>
      <c r="BV103" s="1" t="str">
        <f t="shared" si="29"/>
        <v/>
      </c>
      <c r="BW103" s="1" t="str">
        <f t="shared" si="29"/>
        <v/>
      </c>
      <c r="BX103" s="1" t="str">
        <f t="shared" si="29"/>
        <v/>
      </c>
      <c r="BY103" s="1" t="str">
        <f t="shared" si="29"/>
        <v/>
      </c>
      <c r="BZ103" s="1" t="str">
        <f t="shared" si="29"/>
        <v/>
      </c>
      <c r="CA103" s="1" t="str">
        <f t="shared" si="29"/>
        <v/>
      </c>
      <c r="CB103" s="1" t="str">
        <f t="shared" si="29"/>
        <v/>
      </c>
      <c r="CC103" s="1" t="str">
        <f t="shared" si="29"/>
        <v/>
      </c>
      <c r="CD103" s="1" t="str">
        <f t="shared" si="29"/>
        <v/>
      </c>
      <c r="CE103" s="1" t="str">
        <f t="shared" si="29"/>
        <v/>
      </c>
      <c r="CF103" s="1">
        <f>COUNTIF(BT103:CE103, "&gt;0")</f>
        <v>1</v>
      </c>
      <c r="CG103" s="1">
        <f t="shared" ref="CG103:CR105" si="30">IF($CF103=1,BT103,"")</f>
        <v>4</v>
      </c>
      <c r="CH103" s="1" t="str">
        <f t="shared" si="30"/>
        <v/>
      </c>
      <c r="CI103" s="1" t="str">
        <f t="shared" si="30"/>
        <v/>
      </c>
      <c r="CJ103" s="1" t="str">
        <f t="shared" si="30"/>
        <v/>
      </c>
      <c r="CK103" s="1" t="str">
        <f t="shared" si="30"/>
        <v/>
      </c>
      <c r="CL103" s="1" t="str">
        <f t="shared" si="30"/>
        <v/>
      </c>
      <c r="CM103" s="1" t="str">
        <f t="shared" si="30"/>
        <v/>
      </c>
      <c r="CN103" s="1" t="str">
        <f t="shared" si="30"/>
        <v/>
      </c>
      <c r="CO103" s="1" t="str">
        <f t="shared" si="30"/>
        <v/>
      </c>
      <c r="CP103" s="1" t="str">
        <f t="shared" si="30"/>
        <v/>
      </c>
      <c r="CQ103" s="1" t="str">
        <f t="shared" si="30"/>
        <v/>
      </c>
      <c r="CR103" s="1" t="str">
        <f t="shared" si="30"/>
        <v/>
      </c>
      <c r="CS103" s="18">
        <f>SUM(AE103:BO103)</f>
        <v>20</v>
      </c>
    </row>
    <row r="104" spans="1:97" ht="27" x14ac:dyDescent="0.15">
      <c r="A104" s="1">
        <v>20</v>
      </c>
      <c r="B104" s="1" t="s">
        <v>38</v>
      </c>
      <c r="C104" s="1" t="s">
        <v>32</v>
      </c>
      <c r="D104" s="1" t="s">
        <v>25</v>
      </c>
      <c r="E104" s="6"/>
      <c r="F104" s="6">
        <v>5</v>
      </c>
      <c r="G104" s="6"/>
      <c r="H104" s="6"/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>
        <v>5</v>
      </c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10</v>
      </c>
      <c r="BQ104" s="1">
        <v>7</v>
      </c>
      <c r="BR104" s="17">
        <v>2</v>
      </c>
      <c r="BS104" s="17" t="s">
        <v>224</v>
      </c>
      <c r="BT104" s="1" t="str">
        <f t="shared" si="29"/>
        <v/>
      </c>
      <c r="BU104" s="1" t="str">
        <f t="shared" si="29"/>
        <v/>
      </c>
      <c r="BV104" s="1" t="str">
        <f t="shared" si="29"/>
        <v/>
      </c>
      <c r="BW104" s="1" t="str">
        <f t="shared" si="29"/>
        <v/>
      </c>
      <c r="BX104" s="1" t="str">
        <f t="shared" si="29"/>
        <v/>
      </c>
      <c r="BY104" s="1" t="str">
        <f t="shared" si="29"/>
        <v/>
      </c>
      <c r="BZ104" s="1" t="str">
        <f t="shared" si="29"/>
        <v/>
      </c>
      <c r="CA104" s="1" t="str">
        <f t="shared" si="29"/>
        <v/>
      </c>
      <c r="CB104" s="1" t="str">
        <f t="shared" si="29"/>
        <v/>
      </c>
      <c r="CC104" s="1" t="str">
        <f t="shared" si="29"/>
        <v/>
      </c>
      <c r="CD104" s="1" t="str">
        <f t="shared" si="29"/>
        <v/>
      </c>
      <c r="CE104" s="1" t="str">
        <f t="shared" si="29"/>
        <v/>
      </c>
      <c r="CF104" s="1">
        <f>COUNTIF(BT104:CE104, "&gt;0")</f>
        <v>0</v>
      </c>
      <c r="CG104" s="1" t="str">
        <f t="shared" si="30"/>
        <v/>
      </c>
      <c r="CH104" s="1" t="str">
        <f t="shared" si="30"/>
        <v/>
      </c>
      <c r="CI104" s="1" t="str">
        <f t="shared" si="30"/>
        <v/>
      </c>
      <c r="CJ104" s="1" t="str">
        <f t="shared" si="30"/>
        <v/>
      </c>
      <c r="CK104" s="1" t="str">
        <f t="shared" si="30"/>
        <v/>
      </c>
      <c r="CL104" s="1" t="str">
        <f t="shared" si="30"/>
        <v/>
      </c>
      <c r="CM104" s="1" t="str">
        <f t="shared" si="30"/>
        <v/>
      </c>
      <c r="CN104" s="1" t="str">
        <f t="shared" si="30"/>
        <v/>
      </c>
      <c r="CO104" s="1" t="str">
        <f t="shared" si="30"/>
        <v/>
      </c>
      <c r="CP104" s="1" t="str">
        <f t="shared" si="30"/>
        <v/>
      </c>
      <c r="CQ104" s="1" t="str">
        <f t="shared" si="30"/>
        <v/>
      </c>
      <c r="CR104" s="1" t="str">
        <f t="shared" si="30"/>
        <v/>
      </c>
      <c r="CS104" s="18">
        <f>SUM(AE104:BO104)</f>
        <v>5</v>
      </c>
    </row>
    <row r="105" spans="1:97" ht="27" x14ac:dyDescent="0.15">
      <c r="A105" s="1">
        <v>101</v>
      </c>
      <c r="B105" s="3" t="s">
        <v>112</v>
      </c>
      <c r="C105" s="3" t="s">
        <v>78</v>
      </c>
      <c r="D105" s="1" t="s">
        <v>13</v>
      </c>
      <c r="E105" s="6"/>
      <c r="F105" s="6"/>
      <c r="G105" s="6"/>
      <c r="H105" s="6">
        <v>6</v>
      </c>
      <c r="I105" s="6">
        <v>6</v>
      </c>
      <c r="J105" s="6"/>
      <c r="K105" s="6"/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>
        <v>8</v>
      </c>
      <c r="AV105" s="4"/>
      <c r="AW105" s="2">
        <v>8</v>
      </c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28</v>
      </c>
      <c r="BQ105" s="1">
        <v>8</v>
      </c>
      <c r="BR105" s="17">
        <v>2</v>
      </c>
      <c r="BS105" s="17" t="s">
        <v>267</v>
      </c>
      <c r="BT105" s="1" t="str">
        <f t="shared" si="29"/>
        <v/>
      </c>
      <c r="BU105" s="1" t="str">
        <f t="shared" si="29"/>
        <v/>
      </c>
      <c r="BV105" s="1" t="str">
        <f t="shared" si="29"/>
        <v/>
      </c>
      <c r="BW105" s="1" t="str">
        <f t="shared" si="29"/>
        <v/>
      </c>
      <c r="BX105" s="1">
        <f t="shared" si="29"/>
        <v>5</v>
      </c>
      <c r="BY105" s="1" t="str">
        <f t="shared" si="29"/>
        <v/>
      </c>
      <c r="BZ105" s="1" t="str">
        <f t="shared" si="29"/>
        <v/>
      </c>
      <c r="CA105" s="1" t="str">
        <f t="shared" si="29"/>
        <v/>
      </c>
      <c r="CB105" s="1" t="str">
        <f t="shared" si="29"/>
        <v/>
      </c>
      <c r="CC105" s="1" t="str">
        <f t="shared" si="29"/>
        <v/>
      </c>
      <c r="CD105" s="1" t="str">
        <f t="shared" si="29"/>
        <v/>
      </c>
      <c r="CE105" s="1" t="str">
        <f t="shared" si="29"/>
        <v/>
      </c>
      <c r="CF105" s="1">
        <f>COUNTIF(BT105:CE105, "&gt;0")</f>
        <v>1</v>
      </c>
      <c r="CG105" s="1" t="str">
        <f t="shared" si="30"/>
        <v/>
      </c>
      <c r="CH105" s="1" t="str">
        <f t="shared" si="30"/>
        <v/>
      </c>
      <c r="CI105" s="1" t="str">
        <f t="shared" si="30"/>
        <v/>
      </c>
      <c r="CJ105" s="1" t="str">
        <f t="shared" si="30"/>
        <v/>
      </c>
      <c r="CK105" s="1">
        <f t="shared" si="30"/>
        <v>5</v>
      </c>
      <c r="CL105" s="1" t="str">
        <f t="shared" si="30"/>
        <v/>
      </c>
      <c r="CM105" s="1" t="str">
        <f t="shared" si="30"/>
        <v/>
      </c>
      <c r="CN105" s="1" t="str">
        <f t="shared" si="30"/>
        <v/>
      </c>
      <c r="CO105" s="1" t="str">
        <f t="shared" si="30"/>
        <v/>
      </c>
      <c r="CP105" s="1" t="str">
        <f t="shared" si="30"/>
        <v/>
      </c>
      <c r="CQ105" s="1" t="str">
        <f t="shared" si="30"/>
        <v/>
      </c>
      <c r="CR105" s="1" t="str">
        <f t="shared" si="30"/>
        <v/>
      </c>
      <c r="CS105" s="18">
        <f>SUM(AE105:BO105)</f>
        <v>16</v>
      </c>
    </row>
    <row r="106" spans="1:97" ht="27" x14ac:dyDescent="0.15">
      <c r="A106" s="1"/>
      <c r="B106" s="1" t="s">
        <v>129</v>
      </c>
      <c r="C106" s="1" t="s">
        <v>125</v>
      </c>
      <c r="D106" s="1" t="s">
        <v>130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>
        <v>3</v>
      </c>
      <c r="AP106" s="1">
        <v>5</v>
      </c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v>8</v>
      </c>
      <c r="BR106" s="17">
        <v>2</v>
      </c>
      <c r="BS106" s="17" t="s">
        <v>268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27" x14ac:dyDescent="0.15">
      <c r="A107" s="1"/>
      <c r="B107" s="1" t="s">
        <v>171</v>
      </c>
      <c r="C107" s="1" t="s">
        <v>159</v>
      </c>
      <c r="D107" s="1" t="s">
        <v>161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>
        <v>5</v>
      </c>
      <c r="R107" s="32">
        <v>2</v>
      </c>
      <c r="S107" s="32"/>
      <c r="T107" s="32">
        <v>5</v>
      </c>
      <c r="U107" s="32"/>
      <c r="V107" s="32"/>
      <c r="W107" s="32"/>
      <c r="X107" s="32"/>
      <c r="Y107" s="32"/>
      <c r="Z107" s="32">
        <v>5</v>
      </c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v>8</v>
      </c>
      <c r="BR107" s="17">
        <v>2</v>
      </c>
      <c r="BS107" s="17" t="s">
        <v>225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27" x14ac:dyDescent="0.15">
      <c r="A108" s="1"/>
      <c r="B108" s="1" t="s">
        <v>176</v>
      </c>
      <c r="C108" s="1" t="s">
        <v>159</v>
      </c>
      <c r="D108" s="1" t="s">
        <v>161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>
        <v>5</v>
      </c>
      <c r="R108" s="32">
        <v>2</v>
      </c>
      <c r="S108" s="32"/>
      <c r="T108" s="32">
        <v>5</v>
      </c>
      <c r="U108" s="32"/>
      <c r="V108" s="32"/>
      <c r="W108" s="32"/>
      <c r="X108" s="32"/>
      <c r="Y108" s="32"/>
      <c r="Z108" s="32">
        <v>5</v>
      </c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v>8</v>
      </c>
      <c r="BR108" s="17">
        <v>2</v>
      </c>
      <c r="BS108" s="17" t="s">
        <v>225</v>
      </c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27" x14ac:dyDescent="0.15">
      <c r="A109" s="1"/>
      <c r="B109" s="1" t="s">
        <v>186</v>
      </c>
      <c r="C109" s="1" t="s">
        <v>183</v>
      </c>
      <c r="D109" s="1" t="s">
        <v>161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2"/>
      <c r="Q109" s="32">
        <v>5</v>
      </c>
      <c r="R109" s="32">
        <v>2</v>
      </c>
      <c r="S109" s="32"/>
      <c r="T109" s="32">
        <v>5</v>
      </c>
      <c r="U109" s="32"/>
      <c r="V109" s="32"/>
      <c r="W109" s="32"/>
      <c r="X109" s="32"/>
      <c r="Y109" s="32"/>
      <c r="Z109" s="32">
        <v>5</v>
      </c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v>8</v>
      </c>
      <c r="BR109" s="17">
        <v>2</v>
      </c>
      <c r="BS109" s="17" t="s">
        <v>225</v>
      </c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27" x14ac:dyDescent="0.15">
      <c r="A110" s="1"/>
      <c r="B110" s="1" t="s">
        <v>188</v>
      </c>
      <c r="C110" s="1" t="s">
        <v>189</v>
      </c>
      <c r="D110" s="1" t="s">
        <v>161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>
        <v>5</v>
      </c>
      <c r="R110" s="32"/>
      <c r="S110" s="32"/>
      <c r="T110" s="32">
        <v>5</v>
      </c>
      <c r="U110" s="32"/>
      <c r="V110" s="32"/>
      <c r="W110" s="32"/>
      <c r="X110" s="32">
        <v>2</v>
      </c>
      <c r="Y110" s="32"/>
      <c r="Z110" s="32">
        <v>5</v>
      </c>
      <c r="AA110" s="32"/>
      <c r="AB110" s="32"/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v>8</v>
      </c>
      <c r="BR110" s="17">
        <v>2</v>
      </c>
      <c r="BS110" s="17" t="s">
        <v>225</v>
      </c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27" x14ac:dyDescent="0.15">
      <c r="A111" s="1">
        <v>1</v>
      </c>
      <c r="B111" s="1" t="s">
        <v>0</v>
      </c>
      <c r="C111" s="1" t="s">
        <v>2</v>
      </c>
      <c r="D111" s="1" t="s">
        <v>1</v>
      </c>
      <c r="E111" s="6">
        <v>10</v>
      </c>
      <c r="F111" s="6">
        <v>10</v>
      </c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>
        <v>10</v>
      </c>
      <c r="AS111" s="4"/>
      <c r="AT111" s="4"/>
      <c r="AU111" s="4"/>
      <c r="AV111" s="4"/>
      <c r="AW111" s="2">
        <v>15</v>
      </c>
      <c r="AX111" s="2">
        <v>15</v>
      </c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60</v>
      </c>
      <c r="BQ111" s="1">
        <v>9</v>
      </c>
      <c r="BR111" s="17">
        <v>2</v>
      </c>
      <c r="BS111" s="17" t="s">
        <v>269</v>
      </c>
      <c r="BT111" s="1" t="str">
        <f t="shared" ref="BT111:CE114" si="31">IF(AQ111&gt;AQ$161, AQ111-AQ$161,"")</f>
        <v/>
      </c>
      <c r="BU111" s="1" t="str">
        <f t="shared" si="31"/>
        <v/>
      </c>
      <c r="BV111" s="1" t="str">
        <f t="shared" si="31"/>
        <v/>
      </c>
      <c r="BW111" s="1" t="str">
        <f t="shared" si="31"/>
        <v/>
      </c>
      <c r="BX111" s="1" t="str">
        <f t="shared" si="31"/>
        <v/>
      </c>
      <c r="BY111" s="1" t="str">
        <f t="shared" si="31"/>
        <v/>
      </c>
      <c r="BZ111" s="1" t="str">
        <f t="shared" si="31"/>
        <v/>
      </c>
      <c r="CA111" s="1" t="str">
        <f t="shared" si="31"/>
        <v/>
      </c>
      <c r="CB111" s="1" t="str">
        <f t="shared" si="31"/>
        <v/>
      </c>
      <c r="CC111" s="1" t="str">
        <f t="shared" si="31"/>
        <v/>
      </c>
      <c r="CD111" s="1" t="str">
        <f t="shared" si="31"/>
        <v/>
      </c>
      <c r="CE111" s="1" t="str">
        <f t="shared" si="31"/>
        <v/>
      </c>
      <c r="CF111" s="1">
        <f>COUNTIF(BT111:CE111, "&gt;0")</f>
        <v>0</v>
      </c>
      <c r="CG111" s="1" t="str">
        <f t="shared" ref="CG111:CR114" si="32">IF($CF111=1,BT111,"")</f>
        <v/>
      </c>
      <c r="CH111" s="1" t="str">
        <f t="shared" si="32"/>
        <v/>
      </c>
      <c r="CI111" s="1" t="str">
        <f t="shared" si="32"/>
        <v/>
      </c>
      <c r="CJ111" s="1" t="str">
        <f t="shared" si="32"/>
        <v/>
      </c>
      <c r="CK111" s="1" t="str">
        <f t="shared" si="32"/>
        <v/>
      </c>
      <c r="CL111" s="1" t="str">
        <f t="shared" si="32"/>
        <v/>
      </c>
      <c r="CM111" s="1" t="str">
        <f t="shared" si="32"/>
        <v/>
      </c>
      <c r="CN111" s="1" t="str">
        <f t="shared" si="32"/>
        <v/>
      </c>
      <c r="CO111" s="1" t="str">
        <f t="shared" si="32"/>
        <v/>
      </c>
      <c r="CP111" s="1" t="str">
        <f t="shared" si="32"/>
        <v/>
      </c>
      <c r="CQ111" s="1" t="str">
        <f t="shared" si="32"/>
        <v/>
      </c>
      <c r="CR111" s="1" t="str">
        <f t="shared" si="32"/>
        <v/>
      </c>
      <c r="CS111" s="18">
        <f>SUM(AE111:BO111)</f>
        <v>40</v>
      </c>
    </row>
    <row r="112" spans="1:97" ht="27" x14ac:dyDescent="0.15">
      <c r="A112" s="1">
        <v>95</v>
      </c>
      <c r="B112" s="3" t="s">
        <v>95</v>
      </c>
      <c r="C112" s="3" t="s">
        <v>78</v>
      </c>
      <c r="D112" s="1" t="s">
        <v>1</v>
      </c>
      <c r="E112" s="6"/>
      <c r="F112" s="6"/>
      <c r="G112" s="6"/>
      <c r="H112" s="6"/>
      <c r="I112" s="6"/>
      <c r="J112" s="6"/>
      <c r="K112" s="6"/>
      <c r="L112" s="6">
        <v>15</v>
      </c>
      <c r="M112" s="6"/>
      <c r="N112" s="6"/>
      <c r="O112" s="6">
        <v>15</v>
      </c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>
        <v>15</v>
      </c>
      <c r="BB112" s="2">
        <v>15</v>
      </c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60</v>
      </c>
      <c r="BQ112" s="1">
        <v>10</v>
      </c>
      <c r="BR112" s="17">
        <v>2</v>
      </c>
      <c r="BS112" s="17" t="s">
        <v>270</v>
      </c>
      <c r="BT112" s="1" t="str">
        <f t="shared" si="31"/>
        <v/>
      </c>
      <c r="BU112" s="1" t="str">
        <f t="shared" si="31"/>
        <v/>
      </c>
      <c r="BV112" s="1" t="str">
        <f t="shared" si="31"/>
        <v/>
      </c>
      <c r="BW112" s="1" t="str">
        <f t="shared" si="31"/>
        <v/>
      </c>
      <c r="BX112" s="1" t="str">
        <f t="shared" si="31"/>
        <v/>
      </c>
      <c r="BY112" s="1" t="str">
        <f t="shared" si="31"/>
        <v/>
      </c>
      <c r="BZ112" s="1" t="str">
        <f t="shared" si="31"/>
        <v/>
      </c>
      <c r="CA112" s="1" t="str">
        <f t="shared" si="31"/>
        <v/>
      </c>
      <c r="CB112" s="1" t="str">
        <f t="shared" si="31"/>
        <v/>
      </c>
      <c r="CC112" s="1" t="str">
        <f t="shared" si="31"/>
        <v/>
      </c>
      <c r="CD112" s="1">
        <f t="shared" si="31"/>
        <v>3</v>
      </c>
      <c r="CE112" s="1" t="str">
        <f t="shared" si="31"/>
        <v/>
      </c>
      <c r="CF112" s="1">
        <f>COUNTIF(BT112:CE112, "&gt;0")</f>
        <v>1</v>
      </c>
      <c r="CG112" s="1" t="str">
        <f t="shared" si="32"/>
        <v/>
      </c>
      <c r="CH112" s="1" t="str">
        <f t="shared" si="32"/>
        <v/>
      </c>
      <c r="CI112" s="1" t="str">
        <f t="shared" si="32"/>
        <v/>
      </c>
      <c r="CJ112" s="1" t="str">
        <f t="shared" si="32"/>
        <v/>
      </c>
      <c r="CK112" s="1" t="str">
        <f t="shared" si="32"/>
        <v/>
      </c>
      <c r="CL112" s="1" t="str">
        <f t="shared" si="32"/>
        <v/>
      </c>
      <c r="CM112" s="1" t="str">
        <f t="shared" si="32"/>
        <v/>
      </c>
      <c r="CN112" s="1" t="str">
        <f t="shared" si="32"/>
        <v/>
      </c>
      <c r="CO112" s="1" t="str">
        <f t="shared" si="32"/>
        <v/>
      </c>
      <c r="CP112" s="1" t="str">
        <f t="shared" si="32"/>
        <v/>
      </c>
      <c r="CQ112" s="1">
        <f t="shared" si="32"/>
        <v>3</v>
      </c>
      <c r="CR112" s="1" t="str">
        <f t="shared" si="32"/>
        <v/>
      </c>
      <c r="CS112" s="18">
        <f>SUM(AE112:BO112)</f>
        <v>30</v>
      </c>
    </row>
    <row r="113" spans="1:97" ht="27" x14ac:dyDescent="0.15">
      <c r="A113" s="1">
        <v>27</v>
      </c>
      <c r="B113" s="1" t="s">
        <v>84</v>
      </c>
      <c r="C113" s="1" t="s">
        <v>32</v>
      </c>
      <c r="D113" s="1" t="s">
        <v>24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1"/>
      <c r="AF113" s="1"/>
      <c r="AG113" s="1"/>
      <c r="AH113" s="1">
        <v>5</v>
      </c>
      <c r="AI113" s="1">
        <v>5</v>
      </c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10</v>
      </c>
      <c r="BQ113" s="1">
        <v>10</v>
      </c>
      <c r="BR113" s="17">
        <v>2</v>
      </c>
      <c r="BS113" s="17" t="s">
        <v>226</v>
      </c>
      <c r="BT113" s="1" t="str">
        <f t="shared" si="31"/>
        <v/>
      </c>
      <c r="BU113" s="1" t="str">
        <f t="shared" si="31"/>
        <v/>
      </c>
      <c r="BV113" s="1" t="str">
        <f t="shared" si="31"/>
        <v/>
      </c>
      <c r="BW113" s="1" t="str">
        <f t="shared" si="31"/>
        <v/>
      </c>
      <c r="BX113" s="1" t="str">
        <f t="shared" si="31"/>
        <v/>
      </c>
      <c r="BY113" s="1" t="str">
        <f t="shared" si="31"/>
        <v/>
      </c>
      <c r="BZ113" s="1" t="str">
        <f t="shared" si="31"/>
        <v/>
      </c>
      <c r="CA113" s="1" t="str">
        <f t="shared" si="31"/>
        <v/>
      </c>
      <c r="CB113" s="1" t="str">
        <f t="shared" si="31"/>
        <v/>
      </c>
      <c r="CC113" s="1" t="str">
        <f t="shared" si="31"/>
        <v/>
      </c>
      <c r="CD113" s="1" t="str">
        <f t="shared" si="31"/>
        <v/>
      </c>
      <c r="CE113" s="1" t="str">
        <f t="shared" si="31"/>
        <v/>
      </c>
      <c r="CF113" s="1">
        <f>COUNTIF(BT113:CE113, "&gt;0")</f>
        <v>0</v>
      </c>
      <c r="CG113" s="1" t="str">
        <f t="shared" si="32"/>
        <v/>
      </c>
      <c r="CH113" s="1" t="str">
        <f t="shared" si="32"/>
        <v/>
      </c>
      <c r="CI113" s="1" t="str">
        <f t="shared" si="32"/>
        <v/>
      </c>
      <c r="CJ113" s="1" t="str">
        <f t="shared" si="32"/>
        <v/>
      </c>
      <c r="CK113" s="1" t="str">
        <f t="shared" si="32"/>
        <v/>
      </c>
      <c r="CL113" s="1" t="str">
        <f t="shared" si="32"/>
        <v/>
      </c>
      <c r="CM113" s="1" t="str">
        <f t="shared" si="32"/>
        <v/>
      </c>
      <c r="CN113" s="1" t="str">
        <f t="shared" si="32"/>
        <v/>
      </c>
      <c r="CO113" s="1" t="str">
        <f t="shared" si="32"/>
        <v/>
      </c>
      <c r="CP113" s="1" t="str">
        <f t="shared" si="32"/>
        <v/>
      </c>
      <c r="CQ113" s="1" t="str">
        <f t="shared" si="32"/>
        <v/>
      </c>
      <c r="CR113" s="1" t="str">
        <f t="shared" si="32"/>
        <v/>
      </c>
      <c r="CS113" s="18">
        <f>SUM(AE113:BO113)</f>
        <v>10</v>
      </c>
    </row>
    <row r="114" spans="1:97" ht="27" x14ac:dyDescent="0.15">
      <c r="A114" s="1">
        <v>88</v>
      </c>
      <c r="B114" s="3" t="s">
        <v>89</v>
      </c>
      <c r="C114" s="3" t="s">
        <v>90</v>
      </c>
      <c r="D114" s="1" t="s">
        <v>24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"/>
      <c r="AF114" s="1"/>
      <c r="AG114" s="1"/>
      <c r="AH114" s="1">
        <v>5</v>
      </c>
      <c r="AI114" s="1">
        <v>5</v>
      </c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10</v>
      </c>
      <c r="BQ114" s="1">
        <v>10</v>
      </c>
      <c r="BR114" s="17">
        <v>2</v>
      </c>
      <c r="BS114" s="17" t="s">
        <v>226</v>
      </c>
      <c r="BT114" s="1" t="str">
        <f t="shared" si="31"/>
        <v/>
      </c>
      <c r="BU114" s="1" t="str">
        <f t="shared" si="31"/>
        <v/>
      </c>
      <c r="BV114" s="1" t="str">
        <f t="shared" si="31"/>
        <v/>
      </c>
      <c r="BW114" s="1" t="str">
        <f t="shared" si="31"/>
        <v/>
      </c>
      <c r="BX114" s="1" t="str">
        <f t="shared" si="31"/>
        <v/>
      </c>
      <c r="BY114" s="1" t="str">
        <f t="shared" si="31"/>
        <v/>
      </c>
      <c r="BZ114" s="1" t="str">
        <f t="shared" si="31"/>
        <v/>
      </c>
      <c r="CA114" s="1" t="str">
        <f t="shared" si="31"/>
        <v/>
      </c>
      <c r="CB114" s="1" t="str">
        <f t="shared" si="31"/>
        <v/>
      </c>
      <c r="CC114" s="1" t="str">
        <f t="shared" si="31"/>
        <v/>
      </c>
      <c r="CD114" s="1" t="str">
        <f t="shared" si="31"/>
        <v/>
      </c>
      <c r="CE114" s="1" t="str">
        <f t="shared" si="31"/>
        <v/>
      </c>
      <c r="CF114" s="1">
        <f>COUNTIF(BT114:CE114, "&gt;0")</f>
        <v>0</v>
      </c>
      <c r="CG114" s="1" t="str">
        <f t="shared" si="32"/>
        <v/>
      </c>
      <c r="CH114" s="1" t="str">
        <f t="shared" si="32"/>
        <v/>
      </c>
      <c r="CI114" s="1" t="str">
        <f t="shared" si="32"/>
        <v/>
      </c>
      <c r="CJ114" s="1" t="str">
        <f t="shared" si="32"/>
        <v/>
      </c>
      <c r="CK114" s="1" t="str">
        <f t="shared" si="32"/>
        <v/>
      </c>
      <c r="CL114" s="1" t="str">
        <f t="shared" si="32"/>
        <v/>
      </c>
      <c r="CM114" s="1" t="str">
        <f t="shared" si="32"/>
        <v/>
      </c>
      <c r="CN114" s="1" t="str">
        <f t="shared" si="32"/>
        <v/>
      </c>
      <c r="CO114" s="1" t="str">
        <f t="shared" si="32"/>
        <v/>
      </c>
      <c r="CP114" s="1" t="str">
        <f t="shared" si="32"/>
        <v/>
      </c>
      <c r="CQ114" s="1" t="str">
        <f t="shared" si="32"/>
        <v/>
      </c>
      <c r="CR114" s="1" t="str">
        <f t="shared" si="32"/>
        <v/>
      </c>
      <c r="CS114" s="18">
        <f>SUM(AE114:BO114)</f>
        <v>10</v>
      </c>
    </row>
    <row r="115" spans="1:97" ht="27" x14ac:dyDescent="0.15">
      <c r="A115" s="1"/>
      <c r="B115" s="1" t="s">
        <v>195</v>
      </c>
      <c r="C115" s="1" t="s">
        <v>194</v>
      </c>
      <c r="D115" s="1" t="s">
        <v>162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32"/>
      <c r="Q115" s="32"/>
      <c r="R115" s="32"/>
      <c r="S115" s="32"/>
      <c r="T115" s="32"/>
      <c r="U115" s="32"/>
      <c r="V115" s="32"/>
      <c r="W115" s="32"/>
      <c r="X115" s="32">
        <v>10</v>
      </c>
      <c r="Y115" s="32"/>
      <c r="Z115" s="32"/>
      <c r="AA115" s="32"/>
      <c r="AB115" s="32"/>
      <c r="AC115" s="32"/>
      <c r="AD115" s="32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v>10</v>
      </c>
      <c r="BR115" s="17">
        <v>2</v>
      </c>
      <c r="BS115" s="17" t="s">
        <v>272</v>
      </c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27" x14ac:dyDescent="0.15">
      <c r="A116" s="1"/>
      <c r="B116" s="1" t="s">
        <v>243</v>
      </c>
      <c r="C116" s="1" t="s">
        <v>148</v>
      </c>
      <c r="D116" s="1" t="s">
        <v>246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>
        <v>10</v>
      </c>
      <c r="Y116" s="32"/>
      <c r="Z116" s="32"/>
      <c r="AA116" s="32"/>
      <c r="AB116" s="32"/>
      <c r="AC116" s="32"/>
      <c r="AD116" s="32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v>10</v>
      </c>
      <c r="BR116" s="17">
        <v>2</v>
      </c>
      <c r="BS116" s="17" t="s">
        <v>271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27" x14ac:dyDescent="0.15">
      <c r="A117" s="1">
        <v>3</v>
      </c>
      <c r="B117" s="1" t="s">
        <v>11</v>
      </c>
      <c r="C117" s="1" t="s">
        <v>2</v>
      </c>
      <c r="D117" s="1" t="s">
        <v>12</v>
      </c>
      <c r="E117" s="6">
        <v>15</v>
      </c>
      <c r="F117" s="6"/>
      <c r="G117" s="6">
        <v>15</v>
      </c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>
        <v>15</v>
      </c>
      <c r="AS117" s="4"/>
      <c r="AT117" s="4"/>
      <c r="AU117" s="4"/>
      <c r="AV117" s="4"/>
      <c r="AW117" s="2"/>
      <c r="AX117" s="2"/>
      <c r="AY117" s="2"/>
      <c r="AZ117" s="2"/>
      <c r="BA117" s="2"/>
      <c r="BB117" s="2">
        <v>15</v>
      </c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60</v>
      </c>
      <c r="BQ117" s="1">
        <v>11</v>
      </c>
      <c r="BR117" s="17">
        <v>2</v>
      </c>
      <c r="BS117" s="17" t="s">
        <v>273</v>
      </c>
      <c r="BT117" s="1" t="str">
        <f t="shared" ref="BT117:CE117" si="33">IF(AQ117&gt;AQ$161, AQ117-AQ$161,"")</f>
        <v/>
      </c>
      <c r="BU117" s="1" t="str">
        <f t="shared" si="33"/>
        <v/>
      </c>
      <c r="BV117" s="1" t="str">
        <f t="shared" si="33"/>
        <v/>
      </c>
      <c r="BW117" s="1" t="str">
        <f t="shared" si="33"/>
        <v/>
      </c>
      <c r="BX117" s="1" t="str">
        <f t="shared" si="33"/>
        <v/>
      </c>
      <c r="BY117" s="1" t="str">
        <f t="shared" si="33"/>
        <v/>
      </c>
      <c r="BZ117" s="1" t="str">
        <f t="shared" si="33"/>
        <v/>
      </c>
      <c r="CA117" s="1" t="str">
        <f t="shared" si="33"/>
        <v/>
      </c>
      <c r="CB117" s="1" t="str">
        <f t="shared" si="33"/>
        <v/>
      </c>
      <c r="CC117" s="1" t="str">
        <f t="shared" si="33"/>
        <v/>
      </c>
      <c r="CD117" s="1" t="str">
        <f t="shared" si="33"/>
        <v/>
      </c>
      <c r="CE117" s="1" t="str">
        <f t="shared" si="33"/>
        <v/>
      </c>
      <c r="CF117" s="1">
        <f>COUNTIF(BT117:CE117, "&gt;0")</f>
        <v>0</v>
      </c>
      <c r="CG117" s="1" t="str">
        <f t="shared" ref="CG117:CR117" si="34">IF($CF117=1,BT117,"")</f>
        <v/>
      </c>
      <c r="CH117" s="1" t="str">
        <f t="shared" si="34"/>
        <v/>
      </c>
      <c r="CI117" s="1" t="str">
        <f t="shared" si="34"/>
        <v/>
      </c>
      <c r="CJ117" s="1" t="str">
        <f t="shared" si="34"/>
        <v/>
      </c>
      <c r="CK117" s="1" t="str">
        <f t="shared" si="34"/>
        <v/>
      </c>
      <c r="CL117" s="1" t="str">
        <f t="shared" si="34"/>
        <v/>
      </c>
      <c r="CM117" s="1" t="str">
        <f t="shared" si="34"/>
        <v/>
      </c>
      <c r="CN117" s="1" t="str">
        <f t="shared" si="34"/>
        <v/>
      </c>
      <c r="CO117" s="1" t="str">
        <f t="shared" si="34"/>
        <v/>
      </c>
      <c r="CP117" s="1" t="str">
        <f t="shared" si="34"/>
        <v/>
      </c>
      <c r="CQ117" s="1" t="str">
        <f t="shared" si="34"/>
        <v/>
      </c>
      <c r="CR117" s="1" t="str">
        <f t="shared" si="34"/>
        <v/>
      </c>
      <c r="CS117" s="18">
        <f>SUM(AE117:BO117)</f>
        <v>30</v>
      </c>
    </row>
    <row r="118" spans="1:97" ht="27" x14ac:dyDescent="0.15">
      <c r="A118" s="1"/>
      <c r="B118" s="1" t="s">
        <v>135</v>
      </c>
      <c r="C118" s="1" t="s">
        <v>136</v>
      </c>
      <c r="D118" s="1" t="s">
        <v>122</v>
      </c>
      <c r="E118" s="6">
        <v>15</v>
      </c>
      <c r="F118" s="6"/>
      <c r="G118" s="6">
        <v>15</v>
      </c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>
        <v>15</v>
      </c>
      <c r="AS118" s="4"/>
      <c r="AT118" s="4"/>
      <c r="AU118" s="4"/>
      <c r="AV118" s="4"/>
      <c r="AW118" s="2"/>
      <c r="AX118" s="2"/>
      <c r="AY118" s="2"/>
      <c r="AZ118" s="2"/>
      <c r="BA118" s="2"/>
      <c r="BB118" s="2">
        <v>15</v>
      </c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11</v>
      </c>
      <c r="BR118" s="17">
        <v>2</v>
      </c>
      <c r="BS118" s="17" t="s">
        <v>273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/>
      <c r="B119" s="1" t="s">
        <v>137</v>
      </c>
      <c r="C119" s="1" t="s">
        <v>136</v>
      </c>
      <c r="D119" s="1" t="s">
        <v>122</v>
      </c>
      <c r="E119" s="6">
        <v>15</v>
      </c>
      <c r="F119" s="6"/>
      <c r="G119" s="6">
        <v>15</v>
      </c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>
        <v>15</v>
      </c>
      <c r="AS119" s="4"/>
      <c r="AT119" s="4"/>
      <c r="AU119" s="4"/>
      <c r="AV119" s="4"/>
      <c r="AW119" s="2"/>
      <c r="AX119" s="2"/>
      <c r="AY119" s="2"/>
      <c r="AZ119" s="2"/>
      <c r="BA119" s="2"/>
      <c r="BB119" s="2">
        <v>15</v>
      </c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11</v>
      </c>
      <c r="BR119" s="17">
        <v>2</v>
      </c>
      <c r="BS119" s="17" t="s">
        <v>273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>
        <v>21</v>
      </c>
      <c r="B120" s="1" t="s">
        <v>39</v>
      </c>
      <c r="C120" s="1" t="s">
        <v>32</v>
      </c>
      <c r="D120" s="1" t="s">
        <v>26</v>
      </c>
      <c r="E120" s="6"/>
      <c r="F120" s="6"/>
      <c r="G120" s="6">
        <v>6</v>
      </c>
      <c r="H120" s="6">
        <v>6</v>
      </c>
      <c r="I120" s="6"/>
      <c r="J120" s="6"/>
      <c r="K120" s="6"/>
      <c r="L120" s="6"/>
      <c r="M120" s="6"/>
      <c r="N120" s="6"/>
      <c r="O120" s="6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>
        <v>10</v>
      </c>
      <c r="AT120" s="4"/>
      <c r="AU120" s="4"/>
      <c r="AV120" s="4"/>
      <c r="AW120" s="2"/>
      <c r="AX120" s="2"/>
      <c r="AY120" s="2"/>
      <c r="AZ120" s="2"/>
      <c r="BA120" s="2"/>
      <c r="BB120" s="2">
        <v>10</v>
      </c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32</v>
      </c>
      <c r="BQ120" s="1">
        <v>11</v>
      </c>
      <c r="BR120" s="17">
        <v>2</v>
      </c>
      <c r="BS120" s="17" t="s">
        <v>213</v>
      </c>
      <c r="BT120" s="1" t="str">
        <f t="shared" ref="BT120:CE120" si="35">IF(AQ120&gt;AQ$161, AQ120-AQ$161,"")</f>
        <v/>
      </c>
      <c r="BU120" s="1" t="str">
        <f t="shared" si="35"/>
        <v/>
      </c>
      <c r="BV120" s="1">
        <f t="shared" si="35"/>
        <v>8</v>
      </c>
      <c r="BW120" s="1" t="str">
        <f t="shared" si="35"/>
        <v/>
      </c>
      <c r="BX120" s="1" t="str">
        <f t="shared" si="35"/>
        <v/>
      </c>
      <c r="BY120" s="1" t="str">
        <f t="shared" si="35"/>
        <v/>
      </c>
      <c r="BZ120" s="1" t="str">
        <f t="shared" si="35"/>
        <v/>
      </c>
      <c r="CA120" s="1" t="str">
        <f t="shared" si="35"/>
        <v/>
      </c>
      <c r="CB120" s="1" t="str">
        <f t="shared" si="35"/>
        <v/>
      </c>
      <c r="CC120" s="1" t="str">
        <f t="shared" si="35"/>
        <v/>
      </c>
      <c r="CD120" s="1" t="str">
        <f t="shared" si="35"/>
        <v/>
      </c>
      <c r="CE120" s="1" t="str">
        <f t="shared" si="35"/>
        <v/>
      </c>
      <c r="CF120" s="1">
        <f>COUNTIF(BT120:CE120, "&gt;0")</f>
        <v>1</v>
      </c>
      <c r="CG120" s="1" t="str">
        <f t="shared" ref="CG120:CR120" si="36">IF($CF120=1,BT120,"")</f>
        <v/>
      </c>
      <c r="CH120" s="1" t="str">
        <f t="shared" si="36"/>
        <v/>
      </c>
      <c r="CI120" s="1">
        <f t="shared" si="36"/>
        <v>8</v>
      </c>
      <c r="CJ120" s="1" t="str">
        <f t="shared" si="36"/>
        <v/>
      </c>
      <c r="CK120" s="1" t="str">
        <f t="shared" si="36"/>
        <v/>
      </c>
      <c r="CL120" s="1" t="str">
        <f t="shared" si="36"/>
        <v/>
      </c>
      <c r="CM120" s="1" t="str">
        <f t="shared" si="36"/>
        <v/>
      </c>
      <c r="CN120" s="1" t="str">
        <f t="shared" si="36"/>
        <v/>
      </c>
      <c r="CO120" s="1" t="str">
        <f t="shared" si="36"/>
        <v/>
      </c>
      <c r="CP120" s="1" t="str">
        <f t="shared" si="36"/>
        <v/>
      </c>
      <c r="CQ120" s="1" t="str">
        <f t="shared" si="36"/>
        <v/>
      </c>
      <c r="CR120" s="1" t="str">
        <f t="shared" si="36"/>
        <v/>
      </c>
      <c r="CS120" s="18">
        <f>SUM(AE120:BO120)</f>
        <v>20</v>
      </c>
    </row>
    <row r="121" spans="1:97" ht="27" x14ac:dyDescent="0.15">
      <c r="A121" s="1"/>
      <c r="B121" s="1" t="s">
        <v>133</v>
      </c>
      <c r="C121" s="1" t="s">
        <v>125</v>
      </c>
      <c r="D121" s="1" t="s">
        <v>123</v>
      </c>
      <c r="E121" s="6">
        <v>6</v>
      </c>
      <c r="F121" s="6">
        <v>6</v>
      </c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>
        <v>10</v>
      </c>
      <c r="AT121" s="4"/>
      <c r="AU121" s="4"/>
      <c r="AV121" s="4"/>
      <c r="AW121" s="2"/>
      <c r="AX121" s="2">
        <v>10</v>
      </c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11</v>
      </c>
      <c r="BR121" s="17">
        <v>2</v>
      </c>
      <c r="BS121" s="17" t="s">
        <v>274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27" x14ac:dyDescent="0.15">
      <c r="A122" s="1"/>
      <c r="B122" s="1" t="s">
        <v>287</v>
      </c>
      <c r="C122" s="1" t="s">
        <v>159</v>
      </c>
      <c r="D122" s="1" t="s">
        <v>162</v>
      </c>
      <c r="E122" s="6"/>
      <c r="F122" s="6"/>
      <c r="G122" s="6"/>
      <c r="H122" s="6"/>
      <c r="I122" s="6">
        <v>10</v>
      </c>
      <c r="J122" s="6"/>
      <c r="K122" s="6"/>
      <c r="L122" s="6"/>
      <c r="M122" s="6"/>
      <c r="N122" s="6"/>
      <c r="O122" s="6"/>
      <c r="P122" s="32"/>
      <c r="Q122" s="32"/>
      <c r="R122" s="32">
        <v>10</v>
      </c>
      <c r="S122" s="32"/>
      <c r="T122" s="32"/>
      <c r="U122" s="32"/>
      <c r="V122" s="32"/>
      <c r="W122" s="32"/>
      <c r="X122" s="32">
        <v>10</v>
      </c>
      <c r="Y122" s="32"/>
      <c r="Z122" s="32"/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>
        <v>10</v>
      </c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12</v>
      </c>
      <c r="BR122" s="17">
        <v>2</v>
      </c>
      <c r="BS122" s="17" t="s">
        <v>227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27" x14ac:dyDescent="0.15">
      <c r="A123" s="1"/>
      <c r="B123" s="1" t="s">
        <v>129</v>
      </c>
      <c r="C123" s="1" t="s">
        <v>125</v>
      </c>
      <c r="D123" s="1" t="s">
        <v>122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>
        <v>5</v>
      </c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>
        <v>5</v>
      </c>
      <c r="AP123" s="1">
        <v>10</v>
      </c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15</v>
      </c>
      <c r="BR123" s="17">
        <v>2</v>
      </c>
      <c r="BS123" s="17" t="s">
        <v>275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27" x14ac:dyDescent="0.15">
      <c r="A124" s="1"/>
      <c r="B124" s="1" t="s">
        <v>156</v>
      </c>
      <c r="C124" s="1" t="s">
        <v>157</v>
      </c>
      <c r="D124" s="1" t="s">
        <v>122</v>
      </c>
      <c r="E124" s="6"/>
      <c r="F124" s="6"/>
      <c r="G124" s="6"/>
      <c r="H124" s="6"/>
      <c r="I124" s="6"/>
      <c r="J124" s="6"/>
      <c r="K124" s="6"/>
      <c r="L124" s="6">
        <v>20</v>
      </c>
      <c r="M124" s="6"/>
      <c r="N124" s="6"/>
      <c r="O124" s="6">
        <v>20</v>
      </c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>
        <v>20</v>
      </c>
      <c r="BB124" s="2">
        <v>20</v>
      </c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20</v>
      </c>
      <c r="BR124" s="17">
        <v>2</v>
      </c>
      <c r="BS124" s="17" t="s">
        <v>207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40.5" x14ac:dyDescent="0.15">
      <c r="A125" s="1"/>
      <c r="B125" s="1" t="s">
        <v>198</v>
      </c>
      <c r="C125" s="1" t="s">
        <v>194</v>
      </c>
      <c r="D125" s="1" t="s">
        <v>161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/>
      <c r="R125" s="32"/>
      <c r="S125" s="32"/>
      <c r="T125" s="32"/>
      <c r="U125" s="32">
        <v>2</v>
      </c>
      <c r="V125" s="32"/>
      <c r="W125" s="32"/>
      <c r="X125" s="32"/>
      <c r="Y125" s="32"/>
      <c r="Z125" s="32"/>
      <c r="AA125" s="32">
        <v>2</v>
      </c>
      <c r="AB125" s="32"/>
      <c r="AC125" s="32">
        <v>5</v>
      </c>
      <c r="AD125" s="32">
        <v>2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6</v>
      </c>
      <c r="BR125" s="17">
        <v>3</v>
      </c>
      <c r="BS125" s="17" t="s">
        <v>230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40.5" x14ac:dyDescent="0.15">
      <c r="A126" s="1"/>
      <c r="B126" s="1" t="s">
        <v>188</v>
      </c>
      <c r="C126" s="1" t="s">
        <v>189</v>
      </c>
      <c r="D126" s="1" t="s">
        <v>162</v>
      </c>
      <c r="E126" s="6"/>
      <c r="F126" s="6"/>
      <c r="G126" s="6"/>
      <c r="H126" s="6"/>
      <c r="I126" s="6"/>
      <c r="J126" s="6"/>
      <c r="K126" s="6"/>
      <c r="L126" s="6">
        <v>7</v>
      </c>
      <c r="M126" s="6"/>
      <c r="N126" s="6"/>
      <c r="O126" s="6"/>
      <c r="P126" s="32"/>
      <c r="Q126" s="32">
        <v>7</v>
      </c>
      <c r="R126" s="32"/>
      <c r="S126" s="32"/>
      <c r="T126" s="32">
        <v>7</v>
      </c>
      <c r="U126" s="32"/>
      <c r="V126" s="32"/>
      <c r="W126" s="32"/>
      <c r="X126" s="32">
        <v>7</v>
      </c>
      <c r="Y126" s="32"/>
      <c r="Z126" s="32"/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9</v>
      </c>
      <c r="BR126" s="17">
        <v>3</v>
      </c>
      <c r="BS126" s="17" t="s">
        <v>231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40.5" x14ac:dyDescent="0.15">
      <c r="A127" s="1"/>
      <c r="B127" s="1" t="s">
        <v>180</v>
      </c>
      <c r="C127" s="1" t="s">
        <v>178</v>
      </c>
      <c r="D127" s="1" t="s">
        <v>161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>
        <v>5</v>
      </c>
      <c r="R127" s="32"/>
      <c r="S127" s="32"/>
      <c r="T127" s="32">
        <v>5</v>
      </c>
      <c r="U127" s="32"/>
      <c r="V127" s="32"/>
      <c r="W127" s="32"/>
      <c r="X127" s="32"/>
      <c r="Y127" s="32"/>
      <c r="Z127" s="32">
        <v>5</v>
      </c>
      <c r="AA127" s="32">
        <v>2</v>
      </c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9</v>
      </c>
      <c r="BR127" s="17">
        <v>3</v>
      </c>
      <c r="BS127" s="17" t="s">
        <v>232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40.5" x14ac:dyDescent="0.15">
      <c r="A128" s="1"/>
      <c r="B128" s="1" t="s">
        <v>195</v>
      </c>
      <c r="C128" s="1" t="s">
        <v>194</v>
      </c>
      <c r="D128" s="1" t="s">
        <v>161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>
        <v>5</v>
      </c>
      <c r="R128" s="32"/>
      <c r="S128" s="32"/>
      <c r="T128" s="32">
        <v>5</v>
      </c>
      <c r="U128" s="32"/>
      <c r="V128" s="32"/>
      <c r="W128" s="32"/>
      <c r="X128" s="32"/>
      <c r="Y128" s="32"/>
      <c r="Z128" s="32">
        <v>5</v>
      </c>
      <c r="AA128" s="32">
        <v>2</v>
      </c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9</v>
      </c>
      <c r="BR128" s="17">
        <v>3</v>
      </c>
      <c r="BS128" s="17" t="s">
        <v>232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40.5" x14ac:dyDescent="0.15">
      <c r="A129" s="1"/>
      <c r="B129" s="1" t="s">
        <v>243</v>
      </c>
      <c r="C129" s="1" t="s">
        <v>148</v>
      </c>
      <c r="D129" s="1" t="s">
        <v>245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/>
      <c r="Q129" s="32">
        <v>5</v>
      </c>
      <c r="R129" s="32"/>
      <c r="S129" s="32"/>
      <c r="T129" s="32">
        <v>5</v>
      </c>
      <c r="U129" s="32"/>
      <c r="V129" s="32"/>
      <c r="W129" s="32"/>
      <c r="X129" s="32"/>
      <c r="Y129" s="32"/>
      <c r="Z129" s="32">
        <v>5</v>
      </c>
      <c r="AA129" s="32">
        <v>2</v>
      </c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9</v>
      </c>
      <c r="BR129" s="17">
        <v>3</v>
      </c>
      <c r="BS129" s="17" t="s">
        <v>276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40.5" x14ac:dyDescent="0.15">
      <c r="A130" s="1"/>
      <c r="B130" s="1" t="s">
        <v>196</v>
      </c>
      <c r="C130" s="1" t="s">
        <v>194</v>
      </c>
      <c r="D130" s="1" t="s">
        <v>161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>
        <v>5</v>
      </c>
      <c r="R130" s="32"/>
      <c r="S130" s="32"/>
      <c r="T130" s="32"/>
      <c r="U130" s="32"/>
      <c r="V130" s="32">
        <v>10</v>
      </c>
      <c r="W130" s="32"/>
      <c r="X130" s="32"/>
      <c r="Y130" s="32"/>
      <c r="Z130" s="32">
        <v>5</v>
      </c>
      <c r="AA130" s="32"/>
      <c r="AB130" s="32">
        <v>10</v>
      </c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10</v>
      </c>
      <c r="BR130" s="17">
        <v>3</v>
      </c>
      <c r="BS130" s="17" t="s">
        <v>233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40.5" x14ac:dyDescent="0.15">
      <c r="A131" s="1"/>
      <c r="B131" s="1" t="s">
        <v>198</v>
      </c>
      <c r="C131" s="1" t="s">
        <v>194</v>
      </c>
      <c r="D131" s="1" t="s">
        <v>160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>
        <v>5</v>
      </c>
      <c r="R131" s="32"/>
      <c r="S131" s="32"/>
      <c r="T131" s="32">
        <v>5</v>
      </c>
      <c r="U131" s="32"/>
      <c r="V131" s="32"/>
      <c r="W131" s="32">
        <v>5</v>
      </c>
      <c r="X131" s="32"/>
      <c r="Y131" s="32"/>
      <c r="Z131" s="32">
        <v>5</v>
      </c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v>11</v>
      </c>
      <c r="BR131" s="17">
        <v>3</v>
      </c>
      <c r="BS131" s="17" t="s">
        <v>234</v>
      </c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40.5" x14ac:dyDescent="0.15">
      <c r="A132" s="1"/>
      <c r="B132" s="1" t="s">
        <v>186</v>
      </c>
      <c r="C132" s="1" t="s">
        <v>183</v>
      </c>
      <c r="D132" s="1" t="s">
        <v>162</v>
      </c>
      <c r="E132" s="6"/>
      <c r="F132" s="6"/>
      <c r="G132" s="6"/>
      <c r="H132" s="6"/>
      <c r="I132" s="6">
        <v>7</v>
      </c>
      <c r="J132" s="6"/>
      <c r="K132" s="6"/>
      <c r="L132" s="6"/>
      <c r="M132" s="6"/>
      <c r="N132" s="6"/>
      <c r="O132" s="6"/>
      <c r="P132" s="32"/>
      <c r="Q132" s="32">
        <v>7</v>
      </c>
      <c r="R132" s="32">
        <v>7</v>
      </c>
      <c r="S132" s="32"/>
      <c r="T132" s="32">
        <v>7</v>
      </c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13</v>
      </c>
      <c r="BR132" s="17">
        <v>3</v>
      </c>
      <c r="BS132" s="17" t="s">
        <v>235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40.5" x14ac:dyDescent="0.15">
      <c r="A133" s="1">
        <v>28</v>
      </c>
      <c r="B133" s="1" t="s">
        <v>84</v>
      </c>
      <c r="C133" s="1" t="s">
        <v>32</v>
      </c>
      <c r="D133" s="1" t="s">
        <v>1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>
        <v>5</v>
      </c>
      <c r="AI133" s="1">
        <v>5</v>
      </c>
      <c r="AJ133" s="1">
        <v>5</v>
      </c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15</v>
      </c>
      <c r="BQ133" s="1">
        <v>15</v>
      </c>
      <c r="BR133" s="17">
        <v>3</v>
      </c>
      <c r="BS133" s="17" t="s">
        <v>277</v>
      </c>
      <c r="BT133" s="1" t="str">
        <f t="shared" ref="BT133:CE134" si="37">IF(AQ133&gt;AQ$161, AQ133-AQ$161,"")</f>
        <v/>
      </c>
      <c r="BU133" s="1" t="str">
        <f t="shared" si="37"/>
        <v/>
      </c>
      <c r="BV133" s="1" t="str">
        <f t="shared" si="37"/>
        <v/>
      </c>
      <c r="BW133" s="1" t="str">
        <f t="shared" si="37"/>
        <v/>
      </c>
      <c r="BX133" s="1" t="str">
        <f t="shared" si="37"/>
        <v/>
      </c>
      <c r="BY133" s="1" t="str">
        <f t="shared" si="37"/>
        <v/>
      </c>
      <c r="BZ133" s="1" t="str">
        <f t="shared" si="37"/>
        <v/>
      </c>
      <c r="CA133" s="1" t="str">
        <f t="shared" si="37"/>
        <v/>
      </c>
      <c r="CB133" s="1" t="str">
        <f t="shared" si="37"/>
        <v/>
      </c>
      <c r="CC133" s="1" t="str">
        <f t="shared" si="37"/>
        <v/>
      </c>
      <c r="CD133" s="1" t="str">
        <f t="shared" si="37"/>
        <v/>
      </c>
      <c r="CE133" s="1" t="str">
        <f t="shared" si="37"/>
        <v/>
      </c>
      <c r="CF133" s="1">
        <f>COUNTIF(BT133:CE133, "&gt;0")</f>
        <v>0</v>
      </c>
      <c r="CG133" s="1" t="str">
        <f t="shared" ref="CG133:CR134" si="38">IF($CF133=1,BT133,"")</f>
        <v/>
      </c>
      <c r="CH133" s="1" t="str">
        <f t="shared" si="38"/>
        <v/>
      </c>
      <c r="CI133" s="1" t="str">
        <f t="shared" si="38"/>
        <v/>
      </c>
      <c r="CJ133" s="1" t="str">
        <f t="shared" si="38"/>
        <v/>
      </c>
      <c r="CK133" s="1" t="str">
        <f t="shared" si="38"/>
        <v/>
      </c>
      <c r="CL133" s="1" t="str">
        <f t="shared" si="38"/>
        <v/>
      </c>
      <c r="CM133" s="1" t="str">
        <f t="shared" si="38"/>
        <v/>
      </c>
      <c r="CN133" s="1" t="str">
        <f t="shared" si="38"/>
        <v/>
      </c>
      <c r="CO133" s="1" t="str">
        <f t="shared" si="38"/>
        <v/>
      </c>
      <c r="CP133" s="1" t="str">
        <f t="shared" si="38"/>
        <v/>
      </c>
      <c r="CQ133" s="1" t="str">
        <f t="shared" si="38"/>
        <v/>
      </c>
      <c r="CR133" s="1" t="str">
        <f t="shared" si="38"/>
        <v/>
      </c>
      <c r="CS133" s="18">
        <f>SUM(AE133:BO133)</f>
        <v>15</v>
      </c>
    </row>
    <row r="134" spans="1:97" ht="40.5" x14ac:dyDescent="0.15">
      <c r="A134" s="1">
        <v>89</v>
      </c>
      <c r="B134" s="3" t="s">
        <v>89</v>
      </c>
      <c r="C134" s="3" t="s">
        <v>90</v>
      </c>
      <c r="D134" s="1" t="s">
        <v>1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>
        <v>5</v>
      </c>
      <c r="AG134" s="1"/>
      <c r="AH134" s="1">
        <v>5</v>
      </c>
      <c r="AI134" s="1">
        <v>5</v>
      </c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15</v>
      </c>
      <c r="BQ134" s="1">
        <v>15</v>
      </c>
      <c r="BR134" s="17">
        <v>3</v>
      </c>
      <c r="BS134" s="17" t="s">
        <v>278</v>
      </c>
      <c r="BT134" s="1" t="str">
        <f t="shared" si="37"/>
        <v/>
      </c>
      <c r="BU134" s="1" t="str">
        <f t="shared" si="37"/>
        <v/>
      </c>
      <c r="BV134" s="1" t="str">
        <f t="shared" si="37"/>
        <v/>
      </c>
      <c r="BW134" s="1" t="str">
        <f t="shared" si="37"/>
        <v/>
      </c>
      <c r="BX134" s="1" t="str">
        <f t="shared" si="37"/>
        <v/>
      </c>
      <c r="BY134" s="1" t="str">
        <f t="shared" si="37"/>
        <v/>
      </c>
      <c r="BZ134" s="1" t="str">
        <f t="shared" si="37"/>
        <v/>
      </c>
      <c r="CA134" s="1" t="str">
        <f t="shared" si="37"/>
        <v/>
      </c>
      <c r="CB134" s="1" t="str">
        <f t="shared" si="37"/>
        <v/>
      </c>
      <c r="CC134" s="1" t="str">
        <f t="shared" si="37"/>
        <v/>
      </c>
      <c r="CD134" s="1" t="str">
        <f t="shared" si="37"/>
        <v/>
      </c>
      <c r="CE134" s="1" t="str">
        <f t="shared" si="37"/>
        <v/>
      </c>
      <c r="CF134" s="1">
        <f>COUNTIF(BT134:CE134, "&gt;0")</f>
        <v>0</v>
      </c>
      <c r="CG134" s="1" t="str">
        <f t="shared" si="38"/>
        <v/>
      </c>
      <c r="CH134" s="1" t="str">
        <f t="shared" si="38"/>
        <v/>
      </c>
      <c r="CI134" s="1" t="str">
        <f t="shared" si="38"/>
        <v/>
      </c>
      <c r="CJ134" s="1" t="str">
        <f t="shared" si="38"/>
        <v/>
      </c>
      <c r="CK134" s="1" t="str">
        <f t="shared" si="38"/>
        <v/>
      </c>
      <c r="CL134" s="1" t="str">
        <f t="shared" si="38"/>
        <v/>
      </c>
      <c r="CM134" s="1" t="str">
        <f t="shared" si="38"/>
        <v/>
      </c>
      <c r="CN134" s="1" t="str">
        <f t="shared" si="38"/>
        <v/>
      </c>
      <c r="CO134" s="1" t="str">
        <f t="shared" si="38"/>
        <v/>
      </c>
      <c r="CP134" s="1" t="str">
        <f t="shared" si="38"/>
        <v/>
      </c>
      <c r="CQ134" s="1" t="str">
        <f t="shared" si="38"/>
        <v/>
      </c>
      <c r="CR134" s="1" t="str">
        <f t="shared" si="38"/>
        <v/>
      </c>
      <c r="CS134" s="18">
        <f>SUM(AE134:BO134)</f>
        <v>15</v>
      </c>
    </row>
    <row r="135" spans="1:97" ht="40.5" x14ac:dyDescent="0.15">
      <c r="A135" s="1"/>
      <c r="B135" s="1" t="s">
        <v>184</v>
      </c>
      <c r="C135" s="1" t="s">
        <v>183</v>
      </c>
      <c r="D135" s="1" t="s">
        <v>161</v>
      </c>
      <c r="E135" s="6">
        <v>15</v>
      </c>
      <c r="F135" s="6"/>
      <c r="G135" s="6"/>
      <c r="H135" s="6"/>
      <c r="I135" s="6"/>
      <c r="J135" s="6"/>
      <c r="K135" s="6"/>
      <c r="L135" s="6"/>
      <c r="M135" s="6">
        <v>15</v>
      </c>
      <c r="N135" s="6"/>
      <c r="O135" s="6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>
        <v>15</v>
      </c>
      <c r="AX135" s="2"/>
      <c r="AY135" s="2"/>
      <c r="AZ135" s="2"/>
      <c r="BA135" s="2">
        <v>15</v>
      </c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v>18</v>
      </c>
      <c r="BR135" s="17">
        <v>3</v>
      </c>
      <c r="BS135" s="17" t="s">
        <v>279</v>
      </c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40.5" x14ac:dyDescent="0.15">
      <c r="A136" s="1">
        <v>78</v>
      </c>
      <c r="B136" s="3" t="s">
        <v>73</v>
      </c>
      <c r="C136" s="3" t="s">
        <v>71</v>
      </c>
      <c r="D136" s="1" t="s">
        <v>1</v>
      </c>
      <c r="E136" s="6"/>
      <c r="F136" s="6"/>
      <c r="G136" s="6">
        <v>15</v>
      </c>
      <c r="H136" s="6">
        <v>15</v>
      </c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>
        <v>15</v>
      </c>
      <c r="BB136" s="2">
        <v>15</v>
      </c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60</v>
      </c>
      <c r="BQ136" s="1">
        <v>19</v>
      </c>
      <c r="BR136" s="17">
        <v>3</v>
      </c>
      <c r="BS136" s="17" t="s">
        <v>212</v>
      </c>
      <c r="BT136" s="1" t="str">
        <f t="shared" ref="BT136:CE136" si="39">IF(AQ136&gt;AQ$161, AQ136-AQ$161,"")</f>
        <v/>
      </c>
      <c r="BU136" s="1" t="str">
        <f t="shared" si="39"/>
        <v/>
      </c>
      <c r="BV136" s="1" t="str">
        <f t="shared" si="39"/>
        <v/>
      </c>
      <c r="BW136" s="1" t="str">
        <f t="shared" si="39"/>
        <v/>
      </c>
      <c r="BX136" s="1" t="str">
        <f t="shared" si="39"/>
        <v/>
      </c>
      <c r="BY136" s="1" t="str">
        <f t="shared" si="39"/>
        <v/>
      </c>
      <c r="BZ136" s="1" t="str">
        <f t="shared" si="39"/>
        <v/>
      </c>
      <c r="CA136" s="1" t="str">
        <f t="shared" si="39"/>
        <v/>
      </c>
      <c r="CB136" s="1" t="str">
        <f t="shared" si="39"/>
        <v/>
      </c>
      <c r="CC136" s="1" t="str">
        <f t="shared" si="39"/>
        <v/>
      </c>
      <c r="CD136" s="1">
        <f t="shared" si="39"/>
        <v>3</v>
      </c>
      <c r="CE136" s="1" t="str">
        <f t="shared" si="39"/>
        <v/>
      </c>
      <c r="CF136" s="1">
        <f>COUNTIF(BT136:CE136, "&gt;0")</f>
        <v>1</v>
      </c>
      <c r="CG136" s="1" t="str">
        <f t="shared" ref="CG136:CR136" si="40">IF($CF136=1,BT136,"")</f>
        <v/>
      </c>
      <c r="CH136" s="1" t="str">
        <f t="shared" si="40"/>
        <v/>
      </c>
      <c r="CI136" s="1" t="str">
        <f t="shared" si="40"/>
        <v/>
      </c>
      <c r="CJ136" s="1" t="str">
        <f t="shared" si="40"/>
        <v/>
      </c>
      <c r="CK136" s="1" t="str">
        <f t="shared" si="40"/>
        <v/>
      </c>
      <c r="CL136" s="1" t="str">
        <f t="shared" si="40"/>
        <v/>
      </c>
      <c r="CM136" s="1" t="str">
        <f t="shared" si="40"/>
        <v/>
      </c>
      <c r="CN136" s="1" t="str">
        <f t="shared" si="40"/>
        <v/>
      </c>
      <c r="CO136" s="1" t="str">
        <f t="shared" si="40"/>
        <v/>
      </c>
      <c r="CP136" s="1" t="str">
        <f t="shared" si="40"/>
        <v/>
      </c>
      <c r="CQ136" s="1">
        <f t="shared" si="40"/>
        <v>3</v>
      </c>
      <c r="CR136" s="1" t="str">
        <f t="shared" si="40"/>
        <v/>
      </c>
      <c r="CS136" s="18">
        <f>SUM(AE136:BO136)</f>
        <v>30</v>
      </c>
    </row>
    <row r="137" spans="1:97" ht="40.5" x14ac:dyDescent="0.15">
      <c r="A137" s="1"/>
      <c r="B137" s="1" t="s">
        <v>149</v>
      </c>
      <c r="C137" s="1" t="s">
        <v>148</v>
      </c>
      <c r="D137" s="1" t="s">
        <v>122</v>
      </c>
      <c r="E137" s="6"/>
      <c r="F137" s="6"/>
      <c r="G137" s="6">
        <v>15</v>
      </c>
      <c r="H137" s="6">
        <v>15</v>
      </c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>
        <v>15</v>
      </c>
      <c r="BB137" s="2">
        <v>15</v>
      </c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19</v>
      </c>
      <c r="BR137" s="17">
        <v>3</v>
      </c>
      <c r="BS137" s="17" t="s">
        <v>212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40.5" x14ac:dyDescent="0.15">
      <c r="A138" s="1"/>
      <c r="B138" s="1" t="s">
        <v>176</v>
      </c>
      <c r="C138" s="1" t="s">
        <v>159</v>
      </c>
      <c r="D138" s="1" t="s">
        <v>162</v>
      </c>
      <c r="E138" s="6"/>
      <c r="F138" s="6"/>
      <c r="G138" s="6"/>
      <c r="H138" s="6">
        <v>10</v>
      </c>
      <c r="I138" s="6"/>
      <c r="J138" s="6"/>
      <c r="K138" s="6"/>
      <c r="L138" s="6"/>
      <c r="M138" s="6"/>
      <c r="N138" s="6"/>
      <c r="O138" s="6"/>
      <c r="P138" s="32"/>
      <c r="Q138" s="32"/>
      <c r="R138" s="32">
        <v>10</v>
      </c>
      <c r="S138" s="32"/>
      <c r="T138" s="32"/>
      <c r="U138" s="32"/>
      <c r="V138" s="32"/>
      <c r="W138" s="32"/>
      <c r="X138" s="32">
        <v>10</v>
      </c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>
        <v>10</v>
      </c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19</v>
      </c>
      <c r="BR138" s="17">
        <v>3</v>
      </c>
      <c r="BS138" s="17" t="s">
        <v>236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/>
      <c r="B139" s="1" t="s">
        <v>187</v>
      </c>
      <c r="C139" s="1" t="s">
        <v>189</v>
      </c>
      <c r="D139" s="1" t="s">
        <v>162</v>
      </c>
      <c r="E139" s="6"/>
      <c r="F139" s="6"/>
      <c r="G139" s="6"/>
      <c r="H139" s="6"/>
      <c r="I139" s="6"/>
      <c r="J139" s="6">
        <v>10</v>
      </c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>
        <v>10</v>
      </c>
      <c r="V139" s="32"/>
      <c r="W139" s="32"/>
      <c r="X139" s="32"/>
      <c r="Y139" s="32"/>
      <c r="Z139" s="32"/>
      <c r="AA139" s="32">
        <v>10</v>
      </c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>
        <v>10</v>
      </c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v>23</v>
      </c>
      <c r="BR139" s="17">
        <v>3</v>
      </c>
      <c r="BS139" s="17" t="s">
        <v>228</v>
      </c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40.5" x14ac:dyDescent="0.15">
      <c r="A140" s="1"/>
      <c r="B140" s="1" t="s">
        <v>201</v>
      </c>
      <c r="C140" s="1" t="s">
        <v>194</v>
      </c>
      <c r="D140" s="1" t="s">
        <v>162</v>
      </c>
      <c r="E140" s="6"/>
      <c r="F140" s="6"/>
      <c r="G140" s="6"/>
      <c r="H140" s="6"/>
      <c r="I140" s="6"/>
      <c r="J140" s="6">
        <v>10</v>
      </c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>
        <v>10</v>
      </c>
      <c r="V140" s="32"/>
      <c r="W140" s="32"/>
      <c r="X140" s="32"/>
      <c r="Y140" s="32"/>
      <c r="Z140" s="32"/>
      <c r="AA140" s="32">
        <v>10</v>
      </c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>
        <v>10</v>
      </c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v>23</v>
      </c>
      <c r="BR140" s="17">
        <v>3</v>
      </c>
      <c r="BS140" s="17" t="s">
        <v>228</v>
      </c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40.5" x14ac:dyDescent="0.15">
      <c r="A141" s="1"/>
      <c r="B141" s="1" t="s">
        <v>129</v>
      </c>
      <c r="C141" s="1" t="s">
        <v>125</v>
      </c>
      <c r="D141" s="1" t="s">
        <v>123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>
        <v>10</v>
      </c>
      <c r="AP141" s="1">
        <v>10</v>
      </c>
      <c r="AQ141" s="4"/>
      <c r="AR141" s="4"/>
      <c r="AS141" s="4">
        <v>5</v>
      </c>
      <c r="AT141" s="4"/>
      <c r="AU141" s="4"/>
      <c r="AV141" s="4"/>
      <c r="AW141" s="2"/>
      <c r="AX141" s="2">
        <v>5</v>
      </c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23</v>
      </c>
      <c r="BR141" s="17">
        <v>3</v>
      </c>
      <c r="BS141" s="17" t="s">
        <v>240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>
        <v>54</v>
      </c>
      <c r="B142" s="1" t="s">
        <v>61</v>
      </c>
      <c r="C142" s="1" t="s">
        <v>62</v>
      </c>
      <c r="D142" s="1" t="s">
        <v>1</v>
      </c>
      <c r="E142" s="6"/>
      <c r="F142" s="6">
        <v>15</v>
      </c>
      <c r="G142" s="6"/>
      <c r="H142" s="6">
        <v>15</v>
      </c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>
        <v>15</v>
      </c>
      <c r="AW142" s="2"/>
      <c r="AX142" s="2"/>
      <c r="AY142" s="2"/>
      <c r="AZ142" s="2"/>
      <c r="BA142" s="2">
        <v>15</v>
      </c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60</v>
      </c>
      <c r="BQ142" s="1">
        <v>27</v>
      </c>
      <c r="BR142" s="17">
        <v>3</v>
      </c>
      <c r="BS142" s="17" t="s">
        <v>237</v>
      </c>
      <c r="BT142" s="1" t="str">
        <f t="shared" ref="BT142:CE143" si="41">IF(AQ142&gt;AQ$161, AQ142-AQ$161,"")</f>
        <v/>
      </c>
      <c r="BU142" s="1" t="str">
        <f t="shared" si="41"/>
        <v/>
      </c>
      <c r="BV142" s="1" t="str">
        <f t="shared" si="41"/>
        <v/>
      </c>
      <c r="BW142" s="1" t="str">
        <f t="shared" si="41"/>
        <v/>
      </c>
      <c r="BX142" s="1" t="str">
        <f t="shared" si="41"/>
        <v/>
      </c>
      <c r="BY142" s="1" t="str">
        <f t="shared" si="41"/>
        <v/>
      </c>
      <c r="BZ142" s="1" t="str">
        <f t="shared" si="41"/>
        <v/>
      </c>
      <c r="CA142" s="1" t="str">
        <f t="shared" si="41"/>
        <v/>
      </c>
      <c r="CB142" s="1" t="str">
        <f t="shared" si="41"/>
        <v/>
      </c>
      <c r="CC142" s="1" t="str">
        <f t="shared" si="41"/>
        <v/>
      </c>
      <c r="CD142" s="1">
        <f t="shared" si="41"/>
        <v>3</v>
      </c>
      <c r="CE142" s="1" t="str">
        <f t="shared" si="41"/>
        <v/>
      </c>
      <c r="CF142" s="1">
        <f>COUNTIF(BT142:CE142, "&gt;0")</f>
        <v>1</v>
      </c>
      <c r="CG142" s="1" t="str">
        <f t="shared" ref="CG142:CR143" si="42">IF($CF142=1,BT142,"")</f>
        <v/>
      </c>
      <c r="CH142" s="1" t="str">
        <f t="shared" si="42"/>
        <v/>
      </c>
      <c r="CI142" s="1" t="str">
        <f t="shared" si="42"/>
        <v/>
      </c>
      <c r="CJ142" s="1" t="str">
        <f t="shared" si="42"/>
        <v/>
      </c>
      <c r="CK142" s="1" t="str">
        <f t="shared" si="42"/>
        <v/>
      </c>
      <c r="CL142" s="1" t="str">
        <f t="shared" si="42"/>
        <v/>
      </c>
      <c r="CM142" s="1" t="str">
        <f t="shared" si="42"/>
        <v/>
      </c>
      <c r="CN142" s="1" t="str">
        <f t="shared" si="42"/>
        <v/>
      </c>
      <c r="CO142" s="1" t="str">
        <f t="shared" si="42"/>
        <v/>
      </c>
      <c r="CP142" s="1" t="str">
        <f t="shared" si="42"/>
        <v/>
      </c>
      <c r="CQ142" s="1">
        <f t="shared" si="42"/>
        <v>3</v>
      </c>
      <c r="CR142" s="1" t="str">
        <f t="shared" si="42"/>
        <v/>
      </c>
      <c r="CS142" s="18">
        <f>SUM(AE142:BO142)</f>
        <v>30</v>
      </c>
    </row>
    <row r="143" spans="1:97" ht="40.5" x14ac:dyDescent="0.15">
      <c r="A143" s="1">
        <v>14</v>
      </c>
      <c r="B143" s="1" t="s">
        <v>31</v>
      </c>
      <c r="C143" s="1" t="s">
        <v>32</v>
      </c>
      <c r="D143" s="1" t="s">
        <v>33</v>
      </c>
      <c r="E143" s="6"/>
      <c r="F143" s="6"/>
      <c r="G143" s="6">
        <v>15</v>
      </c>
      <c r="H143" s="6">
        <v>15</v>
      </c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>
        <v>15</v>
      </c>
      <c r="AT143" s="4"/>
      <c r="AU143" s="4"/>
      <c r="AV143" s="4"/>
      <c r="AW143" s="2"/>
      <c r="AX143" s="2"/>
      <c r="AY143" s="2"/>
      <c r="AZ143" s="2"/>
      <c r="BA143" s="2"/>
      <c r="BB143" s="2">
        <v>15</v>
      </c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60</v>
      </c>
      <c r="BQ143" s="1">
        <v>29</v>
      </c>
      <c r="BR143" s="17">
        <v>3</v>
      </c>
      <c r="BS143" s="17" t="s">
        <v>229</v>
      </c>
      <c r="BT143" s="1" t="str">
        <f t="shared" si="41"/>
        <v/>
      </c>
      <c r="BU143" s="1" t="str">
        <f t="shared" si="41"/>
        <v/>
      </c>
      <c r="BV143" s="1">
        <f t="shared" si="41"/>
        <v>13</v>
      </c>
      <c r="BW143" s="1" t="str">
        <f t="shared" si="41"/>
        <v/>
      </c>
      <c r="BX143" s="1" t="str">
        <f t="shared" si="41"/>
        <v/>
      </c>
      <c r="BY143" s="1" t="str">
        <f t="shared" si="41"/>
        <v/>
      </c>
      <c r="BZ143" s="1" t="str">
        <f t="shared" si="41"/>
        <v/>
      </c>
      <c r="CA143" s="1" t="str">
        <f t="shared" si="41"/>
        <v/>
      </c>
      <c r="CB143" s="1" t="str">
        <f t="shared" si="41"/>
        <v/>
      </c>
      <c r="CC143" s="1" t="str">
        <f t="shared" si="41"/>
        <v/>
      </c>
      <c r="CD143" s="1" t="str">
        <f t="shared" si="41"/>
        <v/>
      </c>
      <c r="CE143" s="1" t="str">
        <f t="shared" si="41"/>
        <v/>
      </c>
      <c r="CF143" s="1">
        <f>COUNTIF(BT143:CE143, "&gt;0")</f>
        <v>1</v>
      </c>
      <c r="CG143" s="1" t="str">
        <f t="shared" si="42"/>
        <v/>
      </c>
      <c r="CH143" s="1" t="str">
        <f t="shared" si="42"/>
        <v/>
      </c>
      <c r="CI143" s="1">
        <f t="shared" si="42"/>
        <v>13</v>
      </c>
      <c r="CJ143" s="1" t="str">
        <f t="shared" si="42"/>
        <v/>
      </c>
      <c r="CK143" s="1" t="str">
        <f t="shared" si="42"/>
        <v/>
      </c>
      <c r="CL143" s="1" t="str">
        <f t="shared" si="42"/>
        <v/>
      </c>
      <c r="CM143" s="1" t="str">
        <f t="shared" si="42"/>
        <v/>
      </c>
      <c r="CN143" s="1" t="str">
        <f t="shared" si="42"/>
        <v/>
      </c>
      <c r="CO143" s="1" t="str">
        <f t="shared" si="42"/>
        <v/>
      </c>
      <c r="CP143" s="1" t="str">
        <f t="shared" si="42"/>
        <v/>
      </c>
      <c r="CQ143" s="1" t="str">
        <f t="shared" si="42"/>
        <v/>
      </c>
      <c r="CR143" s="1" t="str">
        <f t="shared" si="42"/>
        <v/>
      </c>
      <c r="CS143" s="18">
        <f>SUM(AE143:BO143)</f>
        <v>30</v>
      </c>
    </row>
    <row r="144" spans="1:97" ht="40.5" x14ac:dyDescent="0.15">
      <c r="A144" s="1"/>
      <c r="B144" s="1" t="s">
        <v>124</v>
      </c>
      <c r="C144" s="1" t="s">
        <v>125</v>
      </c>
      <c r="D144" s="1" t="s">
        <v>122</v>
      </c>
      <c r="E144" s="6"/>
      <c r="F144" s="6"/>
      <c r="G144" s="6">
        <v>15</v>
      </c>
      <c r="H144" s="6">
        <v>15</v>
      </c>
      <c r="I144" s="6"/>
      <c r="J144" s="6"/>
      <c r="K144" s="6"/>
      <c r="L144" s="6"/>
      <c r="M144" s="6"/>
      <c r="N144" s="6"/>
      <c r="O144" s="6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>
        <v>15</v>
      </c>
      <c r="AT144" s="4"/>
      <c r="AU144" s="4"/>
      <c r="AV144" s="4"/>
      <c r="AW144" s="2"/>
      <c r="AX144" s="2"/>
      <c r="AY144" s="2"/>
      <c r="AZ144" s="2"/>
      <c r="BA144" s="2"/>
      <c r="BB144" s="2">
        <v>15</v>
      </c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29</v>
      </c>
      <c r="BR144" s="17">
        <v>3</v>
      </c>
      <c r="BS144" s="17" t="s">
        <v>229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40.5" x14ac:dyDescent="0.15">
      <c r="A145" s="1"/>
      <c r="B145" s="1" t="s">
        <v>147</v>
      </c>
      <c r="C145" s="1" t="s">
        <v>148</v>
      </c>
      <c r="D145" s="1" t="s">
        <v>122</v>
      </c>
      <c r="E145" s="6"/>
      <c r="F145" s="6"/>
      <c r="G145" s="6">
        <v>20</v>
      </c>
      <c r="H145" s="6">
        <v>20</v>
      </c>
      <c r="I145" s="6"/>
      <c r="J145" s="6"/>
      <c r="K145" s="6"/>
      <c r="L145" s="6"/>
      <c r="M145" s="6"/>
      <c r="N145" s="6"/>
      <c r="O145" s="6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>
        <v>20</v>
      </c>
      <c r="BB145" s="2">
        <v>20</v>
      </c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34</v>
      </c>
      <c r="BR145" s="17">
        <v>3</v>
      </c>
      <c r="BS145" s="17" t="s">
        <v>280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54" x14ac:dyDescent="0.15">
      <c r="A146" s="1"/>
      <c r="B146" s="1" t="s">
        <v>180</v>
      </c>
      <c r="C146" s="1" t="s">
        <v>178</v>
      </c>
      <c r="D146" s="1" t="s">
        <v>162</v>
      </c>
      <c r="E146" s="6"/>
      <c r="F146" s="6"/>
      <c r="G146" s="6"/>
      <c r="H146" s="6">
        <v>7</v>
      </c>
      <c r="I146" s="6"/>
      <c r="J146" s="6"/>
      <c r="K146" s="6"/>
      <c r="L146" s="6"/>
      <c r="M146" s="6"/>
      <c r="N146" s="6"/>
      <c r="O146" s="6"/>
      <c r="P146" s="32"/>
      <c r="Q146" s="32">
        <v>7</v>
      </c>
      <c r="R146" s="32"/>
      <c r="S146" s="32"/>
      <c r="T146" s="32">
        <v>7</v>
      </c>
      <c r="U146" s="32"/>
      <c r="V146" s="32"/>
      <c r="W146" s="32"/>
      <c r="X146" s="32"/>
      <c r="Y146" s="32"/>
      <c r="Z146" s="32"/>
      <c r="AA146" s="32">
        <v>7</v>
      </c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18</v>
      </c>
      <c r="BR146" s="17">
        <v>4</v>
      </c>
      <c r="BS146" s="17" t="s">
        <v>281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54" x14ac:dyDescent="0.15">
      <c r="A147" s="1"/>
      <c r="B147" s="1" t="s">
        <v>171</v>
      </c>
      <c r="C147" s="1" t="s">
        <v>159</v>
      </c>
      <c r="D147" s="1" t="s">
        <v>162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>
        <v>10</v>
      </c>
      <c r="P147" s="32"/>
      <c r="Q147" s="32"/>
      <c r="R147" s="32">
        <v>10</v>
      </c>
      <c r="S147" s="32"/>
      <c r="T147" s="32"/>
      <c r="U147" s="32"/>
      <c r="V147" s="32"/>
      <c r="W147" s="32"/>
      <c r="X147" s="32">
        <v>10</v>
      </c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>
        <v>10</v>
      </c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22</v>
      </c>
      <c r="BR147" s="17">
        <v>4</v>
      </c>
      <c r="BS147" s="17" t="s">
        <v>239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54" x14ac:dyDescent="0.15">
      <c r="A148" s="1"/>
      <c r="B148" s="1" t="s">
        <v>177</v>
      </c>
      <c r="C148" s="1" t="s">
        <v>178</v>
      </c>
      <c r="D148" s="1" t="s">
        <v>162</v>
      </c>
      <c r="E148" s="6">
        <v>10</v>
      </c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32"/>
      <c r="Q148" s="32"/>
      <c r="R148" s="32">
        <v>10</v>
      </c>
      <c r="S148" s="32"/>
      <c r="T148" s="32"/>
      <c r="U148" s="32">
        <v>10</v>
      </c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>
        <v>10</v>
      </c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27</v>
      </c>
      <c r="BR148" s="17">
        <v>4</v>
      </c>
      <c r="BS148" s="17" t="s">
        <v>282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185</v>
      </c>
      <c r="C149" s="1" t="s">
        <v>183</v>
      </c>
      <c r="D149" s="1" t="s">
        <v>162</v>
      </c>
      <c r="E149" s="6">
        <v>10</v>
      </c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32"/>
      <c r="Q149" s="32"/>
      <c r="R149" s="32">
        <v>10</v>
      </c>
      <c r="S149" s="32"/>
      <c r="T149" s="32"/>
      <c r="U149" s="32">
        <v>10</v>
      </c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>
        <v>10</v>
      </c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27</v>
      </c>
      <c r="BR149" s="17">
        <v>4</v>
      </c>
      <c r="BS149" s="17" t="s">
        <v>282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54" x14ac:dyDescent="0.15">
      <c r="A150" s="1"/>
      <c r="B150" s="1" t="s">
        <v>198</v>
      </c>
      <c r="C150" s="1" t="s">
        <v>194</v>
      </c>
      <c r="D150" s="1" t="s">
        <v>162</v>
      </c>
      <c r="E150" s="6">
        <v>10</v>
      </c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32"/>
      <c r="Q150" s="32"/>
      <c r="R150" s="32">
        <v>10</v>
      </c>
      <c r="S150" s="32"/>
      <c r="T150" s="32"/>
      <c r="U150" s="32">
        <v>10</v>
      </c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>
        <v>10</v>
      </c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v>27</v>
      </c>
      <c r="BR150" s="17">
        <v>4</v>
      </c>
      <c r="BS150" s="17" t="s">
        <v>282</v>
      </c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8"/>
    </row>
    <row r="151" spans="1:97" ht="54" x14ac:dyDescent="0.15">
      <c r="A151" s="1"/>
      <c r="B151" s="1" t="s">
        <v>196</v>
      </c>
      <c r="C151" s="1" t="s">
        <v>194</v>
      </c>
      <c r="D151" s="1" t="s">
        <v>162</v>
      </c>
      <c r="E151" s="6"/>
      <c r="F151" s="6"/>
      <c r="G151" s="6"/>
      <c r="H151" s="6">
        <v>10</v>
      </c>
      <c r="I151" s="6"/>
      <c r="J151" s="6"/>
      <c r="K151" s="6"/>
      <c r="L151" s="6"/>
      <c r="M151" s="6"/>
      <c r="N151" s="6"/>
      <c r="O151" s="6"/>
      <c r="P151" s="32"/>
      <c r="Q151" s="32"/>
      <c r="R151" s="32">
        <v>10</v>
      </c>
      <c r="S151" s="32"/>
      <c r="T151" s="32"/>
      <c r="U151" s="32">
        <v>10</v>
      </c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>
        <v>10</v>
      </c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v>32</v>
      </c>
      <c r="BR151" s="17">
        <v>4</v>
      </c>
      <c r="BS151" s="17" t="s">
        <v>238</v>
      </c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8"/>
    </row>
    <row r="152" spans="1:97" ht="54" x14ac:dyDescent="0.15">
      <c r="A152" s="1"/>
      <c r="B152" s="1" t="s">
        <v>124</v>
      </c>
      <c r="C152" s="1" t="s">
        <v>125</v>
      </c>
      <c r="D152" s="1" t="s">
        <v>126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>
        <v>40</v>
      </c>
      <c r="AW152" s="2">
        <v>40</v>
      </c>
      <c r="AX152" s="2"/>
      <c r="AY152" s="2"/>
      <c r="AZ152" s="2"/>
      <c r="BA152" s="2"/>
      <c r="BB152" s="2">
        <v>40</v>
      </c>
      <c r="BC152" s="14">
        <v>10</v>
      </c>
      <c r="BD152" s="1">
        <v>50</v>
      </c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v>58</v>
      </c>
      <c r="BR152" s="17">
        <v>4</v>
      </c>
      <c r="BS152" s="17" t="s">
        <v>241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>
        <v>85</v>
      </c>
      <c r="B153" s="3" t="s">
        <v>76</v>
      </c>
      <c r="C153" s="3" t="s">
        <v>71</v>
      </c>
      <c r="D153" s="1" t="s">
        <v>40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>
        <v>50</v>
      </c>
      <c r="BM153" s="1">
        <v>50</v>
      </c>
      <c r="BN153" s="1">
        <v>50</v>
      </c>
      <c r="BO153" s="1">
        <v>50</v>
      </c>
      <c r="BP153" s="1">
        <f>SUM(E153:BO153)</f>
        <v>200</v>
      </c>
      <c r="BQ153" s="1">
        <v>195</v>
      </c>
      <c r="BR153" s="17">
        <v>4</v>
      </c>
      <c r="BS153" s="17" t="s">
        <v>283</v>
      </c>
      <c r="BT153" s="1" t="str">
        <f t="shared" ref="BT153:CE154" si="43">IF(AQ153&gt;AQ$161, AQ153-AQ$161,"")</f>
        <v/>
      </c>
      <c r="BU153" s="1" t="str">
        <f t="shared" si="43"/>
        <v/>
      </c>
      <c r="BV153" s="1" t="str">
        <f t="shared" si="43"/>
        <v/>
      </c>
      <c r="BW153" s="1" t="str">
        <f t="shared" si="43"/>
        <v/>
      </c>
      <c r="BX153" s="1" t="str">
        <f t="shared" si="43"/>
        <v/>
      </c>
      <c r="BY153" s="1" t="str">
        <f t="shared" si="43"/>
        <v/>
      </c>
      <c r="BZ153" s="1" t="str">
        <f t="shared" si="43"/>
        <v/>
      </c>
      <c r="CA153" s="1" t="str">
        <f t="shared" si="43"/>
        <v/>
      </c>
      <c r="CB153" s="1" t="str">
        <f t="shared" si="43"/>
        <v/>
      </c>
      <c r="CC153" s="1" t="str">
        <f t="shared" si="43"/>
        <v/>
      </c>
      <c r="CD153" s="1" t="str">
        <f t="shared" si="43"/>
        <v/>
      </c>
      <c r="CE153" s="1" t="str">
        <f t="shared" si="43"/>
        <v/>
      </c>
      <c r="CF153" s="1">
        <f>COUNTIF(BT153:CE153, "&gt;0")</f>
        <v>0</v>
      </c>
      <c r="CG153" s="1" t="str">
        <f t="shared" ref="CG153:CR154" si="44">IF($CF153=1,BT153,"")</f>
        <v/>
      </c>
      <c r="CH153" s="1" t="str">
        <f t="shared" si="44"/>
        <v/>
      </c>
      <c r="CI153" s="1" t="str">
        <f t="shared" si="44"/>
        <v/>
      </c>
      <c r="CJ153" s="1" t="str">
        <f t="shared" si="44"/>
        <v/>
      </c>
      <c r="CK153" s="1" t="str">
        <f t="shared" si="44"/>
        <v/>
      </c>
      <c r="CL153" s="1" t="str">
        <f t="shared" si="44"/>
        <v/>
      </c>
      <c r="CM153" s="1" t="str">
        <f t="shared" si="44"/>
        <v/>
      </c>
      <c r="CN153" s="1" t="str">
        <f t="shared" si="44"/>
        <v/>
      </c>
      <c r="CO153" s="1" t="str">
        <f t="shared" si="44"/>
        <v/>
      </c>
      <c r="CP153" s="1" t="str">
        <f t="shared" si="44"/>
        <v/>
      </c>
      <c r="CQ153" s="1" t="str">
        <f t="shared" si="44"/>
        <v/>
      </c>
      <c r="CR153" s="1" t="str">
        <f t="shared" si="44"/>
        <v/>
      </c>
      <c r="CS153" s="18">
        <f>SUM(AE153:BO153)</f>
        <v>200</v>
      </c>
    </row>
    <row r="154" spans="1:97" ht="54" x14ac:dyDescent="0.15">
      <c r="A154" s="1">
        <v>23</v>
      </c>
      <c r="B154" s="1" t="s">
        <v>114</v>
      </c>
      <c r="C154" s="1" t="s">
        <v>32</v>
      </c>
      <c r="D154" s="1" t="s">
        <v>40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>
        <v>50</v>
      </c>
      <c r="BK154" s="1">
        <v>50</v>
      </c>
      <c r="BL154" s="1"/>
      <c r="BM154" s="1"/>
      <c r="BN154" s="1">
        <v>50</v>
      </c>
      <c r="BO154" s="1">
        <v>50</v>
      </c>
      <c r="BP154" s="1">
        <f>SUM(E154:BO154)</f>
        <v>200</v>
      </c>
      <c r="BQ154" s="1">
        <v>195</v>
      </c>
      <c r="BR154" s="17">
        <v>4</v>
      </c>
      <c r="BS154" s="17" t="s">
        <v>242</v>
      </c>
      <c r="BT154" s="1" t="str">
        <f t="shared" si="43"/>
        <v/>
      </c>
      <c r="BU154" s="1" t="str">
        <f t="shared" si="43"/>
        <v/>
      </c>
      <c r="BV154" s="1" t="str">
        <f t="shared" si="43"/>
        <v/>
      </c>
      <c r="BW154" s="1" t="str">
        <f t="shared" si="43"/>
        <v/>
      </c>
      <c r="BX154" s="1" t="str">
        <f t="shared" si="43"/>
        <v/>
      </c>
      <c r="BY154" s="1" t="str">
        <f t="shared" si="43"/>
        <v/>
      </c>
      <c r="BZ154" s="1" t="str">
        <f t="shared" si="43"/>
        <v/>
      </c>
      <c r="CA154" s="1" t="str">
        <f t="shared" si="43"/>
        <v/>
      </c>
      <c r="CB154" s="1" t="str">
        <f t="shared" si="43"/>
        <v/>
      </c>
      <c r="CC154" s="1" t="str">
        <f t="shared" si="43"/>
        <v/>
      </c>
      <c r="CD154" s="1" t="str">
        <f t="shared" si="43"/>
        <v/>
      </c>
      <c r="CE154" s="1" t="str">
        <f t="shared" si="43"/>
        <v/>
      </c>
      <c r="CF154" s="1">
        <f>COUNTIF(BT154:CE154, "&gt;0")</f>
        <v>0</v>
      </c>
      <c r="CG154" s="1" t="str">
        <f t="shared" si="44"/>
        <v/>
      </c>
      <c r="CH154" s="1" t="str">
        <f t="shared" si="44"/>
        <v/>
      </c>
      <c r="CI154" s="1" t="str">
        <f t="shared" si="44"/>
        <v/>
      </c>
      <c r="CJ154" s="1" t="str">
        <f t="shared" si="44"/>
        <v/>
      </c>
      <c r="CK154" s="1" t="str">
        <f t="shared" si="44"/>
        <v/>
      </c>
      <c r="CL154" s="1" t="str">
        <f t="shared" si="44"/>
        <v/>
      </c>
      <c r="CM154" s="1" t="str">
        <f t="shared" si="44"/>
        <v/>
      </c>
      <c r="CN154" s="1" t="str">
        <f t="shared" si="44"/>
        <v/>
      </c>
      <c r="CO154" s="1" t="str">
        <f t="shared" si="44"/>
        <v/>
      </c>
      <c r="CP154" s="1" t="str">
        <f t="shared" si="44"/>
        <v/>
      </c>
      <c r="CQ154" s="1" t="str">
        <f t="shared" si="44"/>
        <v/>
      </c>
      <c r="CR154" s="1" t="str">
        <f t="shared" si="44"/>
        <v/>
      </c>
      <c r="CS154" s="18">
        <f>SUM(AE154:BO154)</f>
        <v>200</v>
      </c>
    </row>
    <row r="155" spans="1:97" ht="54" x14ac:dyDescent="0.15">
      <c r="A155" s="1"/>
      <c r="B155" s="1" t="s">
        <v>138</v>
      </c>
      <c r="C155" s="1" t="s">
        <v>136</v>
      </c>
      <c r="D155" s="1" t="s">
        <v>139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>
        <v>50</v>
      </c>
      <c r="BK155" s="1">
        <v>50</v>
      </c>
      <c r="BL155" s="1"/>
      <c r="BM155" s="1"/>
      <c r="BN155" s="1">
        <v>50</v>
      </c>
      <c r="BO155" s="1">
        <v>50</v>
      </c>
      <c r="BP155" s="1"/>
      <c r="BQ155" s="1">
        <v>195</v>
      </c>
      <c r="BR155" s="17">
        <v>4</v>
      </c>
      <c r="BS155" s="17" t="s">
        <v>242</v>
      </c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8"/>
    </row>
    <row r="156" spans="1:97" ht="54" x14ac:dyDescent="0.15">
      <c r="A156" s="1"/>
      <c r="B156" s="1" t="s">
        <v>153</v>
      </c>
      <c r="C156" s="1" t="s">
        <v>148</v>
      </c>
      <c r="D156" s="1" t="s">
        <v>139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>
        <v>50</v>
      </c>
      <c r="BM156" s="1">
        <v>50</v>
      </c>
      <c r="BN156" s="1">
        <v>50</v>
      </c>
      <c r="BO156" s="1">
        <v>50</v>
      </c>
      <c r="BP156" s="1"/>
      <c r="BQ156" s="1">
        <v>195</v>
      </c>
      <c r="BR156" s="17">
        <v>4</v>
      </c>
      <c r="BS156" s="17" t="s">
        <v>283</v>
      </c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8"/>
    </row>
    <row r="157" spans="1:97" ht="54" x14ac:dyDescent="0.15">
      <c r="A157" s="1"/>
      <c r="B157" s="1" t="s">
        <v>158</v>
      </c>
      <c r="C157" s="1" t="s">
        <v>148</v>
      </c>
      <c r="D157" s="1" t="s">
        <v>139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>
        <v>50</v>
      </c>
      <c r="BM157" s="1">
        <v>50</v>
      </c>
      <c r="BN157" s="1">
        <v>50</v>
      </c>
      <c r="BO157" s="1">
        <v>50</v>
      </c>
      <c r="BP157" s="1"/>
      <c r="BQ157" s="1">
        <v>195</v>
      </c>
      <c r="BR157" s="17">
        <v>4</v>
      </c>
      <c r="BS157" s="17" t="s">
        <v>283</v>
      </c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8"/>
    </row>
    <row r="158" spans="1:97" ht="54" x14ac:dyDescent="0.15">
      <c r="A158" s="1"/>
      <c r="B158" s="1" t="s">
        <v>191</v>
      </c>
      <c r="C158" s="1" t="s">
        <v>192</v>
      </c>
      <c r="D158" s="1" t="s">
        <v>40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>
        <v>50</v>
      </c>
      <c r="BK158" s="1">
        <v>50</v>
      </c>
      <c r="BL158" s="1"/>
      <c r="BM158" s="1"/>
      <c r="BN158" s="1">
        <v>50</v>
      </c>
      <c r="BO158" s="1">
        <v>50</v>
      </c>
      <c r="BP158" s="1"/>
      <c r="BQ158" s="1">
        <v>195</v>
      </c>
      <c r="BR158" s="17">
        <v>4</v>
      </c>
      <c r="BS158" s="17" t="s">
        <v>242</v>
      </c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8"/>
    </row>
    <row r="159" spans="1:97" ht="54" x14ac:dyDescent="0.15">
      <c r="A159" s="1">
        <v>102</v>
      </c>
      <c r="B159" s="3" t="s">
        <v>111</v>
      </c>
      <c r="C159" s="3" t="s">
        <v>78</v>
      </c>
      <c r="D159" s="1" t="s">
        <v>40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>
        <v>50</v>
      </c>
      <c r="BK159" s="1">
        <v>50</v>
      </c>
      <c r="BL159" s="1"/>
      <c r="BM159" s="1"/>
      <c r="BN159" s="1">
        <v>50</v>
      </c>
      <c r="BO159" s="1">
        <v>50</v>
      </c>
      <c r="BP159" s="1">
        <f>SUM(E159:BO159)</f>
        <v>200</v>
      </c>
      <c r="BQ159" s="1">
        <v>195</v>
      </c>
      <c r="BR159" s="17">
        <v>4</v>
      </c>
      <c r="BS159" s="17" t="s">
        <v>242</v>
      </c>
      <c r="BT159" s="1" t="str">
        <f t="shared" ref="BT159:CE159" si="45">IF(AQ159&gt;AQ$161, AQ159-AQ$161,"")</f>
        <v/>
      </c>
      <c r="BU159" s="1" t="str">
        <f t="shared" si="45"/>
        <v/>
      </c>
      <c r="BV159" s="1" t="str">
        <f t="shared" si="45"/>
        <v/>
      </c>
      <c r="BW159" s="1" t="str">
        <f t="shared" si="45"/>
        <v/>
      </c>
      <c r="BX159" s="1" t="str">
        <f t="shared" si="45"/>
        <v/>
      </c>
      <c r="BY159" s="1" t="str">
        <f t="shared" si="45"/>
        <v/>
      </c>
      <c r="BZ159" s="1" t="str">
        <f t="shared" si="45"/>
        <v/>
      </c>
      <c r="CA159" s="1" t="str">
        <f t="shared" si="45"/>
        <v/>
      </c>
      <c r="CB159" s="1" t="str">
        <f t="shared" si="45"/>
        <v/>
      </c>
      <c r="CC159" s="1" t="str">
        <f t="shared" si="45"/>
        <v/>
      </c>
      <c r="CD159" s="1" t="str">
        <f t="shared" si="45"/>
        <v/>
      </c>
      <c r="CE159" s="1" t="str">
        <f t="shared" si="45"/>
        <v/>
      </c>
      <c r="CF159" s="1">
        <f>COUNTIF(BT159:CE159, "&gt;0")</f>
        <v>0</v>
      </c>
      <c r="CG159" s="1" t="str">
        <f t="shared" ref="CG159:CR159" si="46">IF($CF159=1,BT159,"")</f>
        <v/>
      </c>
      <c r="CH159" s="1" t="str">
        <f t="shared" si="46"/>
        <v/>
      </c>
      <c r="CI159" s="1" t="str">
        <f t="shared" si="46"/>
        <v/>
      </c>
      <c r="CJ159" s="1" t="str">
        <f t="shared" si="46"/>
        <v/>
      </c>
      <c r="CK159" s="1" t="str">
        <f t="shared" si="46"/>
        <v/>
      </c>
      <c r="CL159" s="1" t="str">
        <f t="shared" si="46"/>
        <v/>
      </c>
      <c r="CM159" s="1" t="str">
        <f t="shared" si="46"/>
        <v/>
      </c>
      <c r="CN159" s="1" t="str">
        <f t="shared" si="46"/>
        <v/>
      </c>
      <c r="CO159" s="1" t="str">
        <f t="shared" si="46"/>
        <v/>
      </c>
      <c r="CP159" s="1" t="str">
        <f t="shared" si="46"/>
        <v/>
      </c>
      <c r="CQ159" s="1" t="str">
        <f t="shared" si="46"/>
        <v/>
      </c>
      <c r="CR159" s="1" t="str">
        <f t="shared" si="46"/>
        <v/>
      </c>
      <c r="CS159" s="18">
        <f>SUM(AE159:BO159)</f>
        <v>200</v>
      </c>
    </row>
    <row r="160" spans="1:97" x14ac:dyDescent="0.15">
      <c r="A160" s="1"/>
      <c r="B160" s="1" t="s">
        <v>81</v>
      </c>
      <c r="C160" s="1"/>
      <c r="D160" s="1"/>
      <c r="E160" s="6">
        <f>SUM(E2:E159)</f>
        <v>178</v>
      </c>
      <c r="F160" s="6">
        <f>SUM(F2:F159)</f>
        <v>89</v>
      </c>
      <c r="G160" s="6">
        <f>SUM(G2:G159)</f>
        <v>224</v>
      </c>
      <c r="H160" s="6">
        <f>SUM(H2:H159)</f>
        <v>184</v>
      </c>
      <c r="I160" s="6">
        <f>SUM(I2:I159)</f>
        <v>67</v>
      </c>
      <c r="J160" s="6">
        <f>SUM(J2:J159)</f>
        <v>86</v>
      </c>
      <c r="K160" s="6">
        <f>SUM(K2:K159)</f>
        <v>54</v>
      </c>
      <c r="L160" s="6">
        <f>SUM(L2:L159)</f>
        <v>88</v>
      </c>
      <c r="M160" s="6">
        <f>SUM(M2:M159)</f>
        <v>37</v>
      </c>
      <c r="N160" s="6">
        <f>SUM(N2:N159)</f>
        <v>47</v>
      </c>
      <c r="O160" s="6">
        <f>SUM(O2:O159)</f>
        <v>89</v>
      </c>
      <c r="P160" s="32">
        <f>SUM(P2:P159)</f>
        <v>130</v>
      </c>
      <c r="Q160" s="32">
        <f>SUM(Q2:Q159)</f>
        <v>76</v>
      </c>
      <c r="R160" s="32">
        <f>SUM(R2:R159)</f>
        <v>83</v>
      </c>
      <c r="S160" s="32">
        <f>SUM(S2:S159)</f>
        <v>130</v>
      </c>
      <c r="T160" s="32">
        <f>SUM(T2:T159)</f>
        <v>61</v>
      </c>
      <c r="U160" s="32">
        <f>SUM(U2:U159)</f>
        <v>62</v>
      </c>
      <c r="V160" s="32">
        <f>SUM(V2:V159)</f>
        <v>135</v>
      </c>
      <c r="W160" s="32">
        <f>SUM(W2:W159)</f>
        <v>35</v>
      </c>
      <c r="X160" s="32">
        <f>SUM(X2:X159)</f>
        <v>59</v>
      </c>
      <c r="Y160" s="32">
        <f>SUM(Y2:Y159)</f>
        <v>125</v>
      </c>
      <c r="Z160" s="32">
        <f>SUM(Z2:Z159)</f>
        <v>50</v>
      </c>
      <c r="AA160" s="32">
        <f>SUM(AA2:AA159)</f>
        <v>35</v>
      </c>
      <c r="AB160" s="32">
        <f>SUM(AB2:AB159)</f>
        <v>140</v>
      </c>
      <c r="AC160" s="32">
        <f>SUM(AC2:AC159)</f>
        <v>30</v>
      </c>
      <c r="AD160" s="32">
        <f>SUM(AD2:AD159)</f>
        <v>22</v>
      </c>
      <c r="AE160" s="1">
        <f>SUM(AE2:AE159)</f>
        <v>275</v>
      </c>
      <c r="AF160" s="1">
        <f>SUM(AF2:AF159)</f>
        <v>10</v>
      </c>
      <c r="AG160" s="1">
        <f>SUM(AG2:AG159)</f>
        <v>15</v>
      </c>
      <c r="AH160" s="1">
        <f>SUM(AH2:AH159)</f>
        <v>30</v>
      </c>
      <c r="AI160" s="1">
        <f>SUM(AI2:AI159)</f>
        <v>30</v>
      </c>
      <c r="AJ160" s="1">
        <f>SUM(AJ2:AJ159)</f>
        <v>5</v>
      </c>
      <c r="AK160" s="1">
        <f>SUM(AK2:AK159)</f>
        <v>0</v>
      </c>
      <c r="AL160" s="1">
        <f>SUM(AL2:AL159)</f>
        <v>0</v>
      </c>
      <c r="AM160" s="1">
        <f>SUM(AM2:AM159)</f>
        <v>20</v>
      </c>
      <c r="AN160" s="1">
        <f>SUM(AN2:AN159)</f>
        <v>50</v>
      </c>
      <c r="AO160" s="1">
        <f>SUM(AO2:AO159)</f>
        <v>25</v>
      </c>
      <c r="AP160" s="1">
        <f>SUM(AP2:AP159)</f>
        <v>26</v>
      </c>
      <c r="AQ160" s="4">
        <f>SUM(AQ2:AQ159)</f>
        <v>100</v>
      </c>
      <c r="AR160" s="4">
        <f>SUM(AR2:AR159)</f>
        <v>120</v>
      </c>
      <c r="AS160" s="4">
        <f>SUM(AS2:AS159)</f>
        <v>80</v>
      </c>
      <c r="AT160" s="4">
        <f>SUM(AT2:AT159)</f>
        <v>93</v>
      </c>
      <c r="AU160" s="4">
        <f>SUM(AU2:AU159)</f>
        <v>48</v>
      </c>
      <c r="AV160" s="4">
        <f>SUM(AV2:AV159)</f>
        <v>135</v>
      </c>
      <c r="AW160" s="2">
        <f>SUM(AW2:AW159)</f>
        <v>128</v>
      </c>
      <c r="AX160" s="2">
        <f>SUM(AX2:AX159)</f>
        <v>80</v>
      </c>
      <c r="AY160" s="2">
        <f>SUM(AY2:AY159)</f>
        <v>43</v>
      </c>
      <c r="AZ160" s="2">
        <f>SUM(AZ2:AZ159)</f>
        <v>85</v>
      </c>
      <c r="BA160" s="2">
        <f>SUM(BA2:BA159)</f>
        <v>205</v>
      </c>
      <c r="BB160" s="2">
        <f>SUM(BB2:BB159)</f>
        <v>385</v>
      </c>
      <c r="BC160" s="1">
        <f>SUM(BC2:BC159)</f>
        <v>10</v>
      </c>
      <c r="BD160" s="1">
        <f>SUM(BD2:BD159)</f>
        <v>150</v>
      </c>
      <c r="BE160" s="1">
        <f>SUM(BE2:BE159)</f>
        <v>100</v>
      </c>
      <c r="BF160" s="1">
        <f>SUM(BF2:BF159)</f>
        <v>120</v>
      </c>
      <c r="BG160" s="1">
        <f>SUM(BG2:BG159)</f>
        <v>120</v>
      </c>
      <c r="BH160" s="1">
        <f>SUM(BH2:BH159)</f>
        <v>120</v>
      </c>
      <c r="BI160" s="1">
        <f>SUM(BI2:BI159)</f>
        <v>90</v>
      </c>
      <c r="BJ160" s="1">
        <f>SUM(BJ2:BJ159)</f>
        <v>200</v>
      </c>
      <c r="BK160" s="1">
        <f>SUM(BK2:BK159)</f>
        <v>200</v>
      </c>
      <c r="BL160" s="1">
        <f>SUM(BL2:BL159)</f>
        <v>150</v>
      </c>
      <c r="BM160" s="1">
        <f>SUM(BM2:BM159)</f>
        <v>150</v>
      </c>
      <c r="BN160" s="1">
        <f>SUM(BN2:BN159)</f>
        <v>350</v>
      </c>
      <c r="BO160" s="1">
        <f>SUM(BO2:BO159)</f>
        <v>350</v>
      </c>
      <c r="BP160" s="1"/>
      <c r="BQ160" s="1"/>
      <c r="BR160" s="17"/>
      <c r="BS160" s="17"/>
      <c r="BT160" s="1">
        <f>MIN(BT2:BT159)</f>
        <v>4</v>
      </c>
      <c r="BU160" s="1">
        <f>MIN(BU2:BU159)</f>
        <v>0</v>
      </c>
      <c r="BV160" s="1">
        <f>MIN(BV2:BV159)</f>
        <v>3</v>
      </c>
      <c r="BW160" s="1">
        <f>MIN(BW2:BW159)</f>
        <v>5</v>
      </c>
      <c r="BX160" s="1">
        <f>MIN(BX2:BX159)</f>
        <v>5</v>
      </c>
      <c r="BY160" s="1">
        <f>MIN(BY2:BY159)</f>
        <v>0</v>
      </c>
      <c r="BZ160" s="1">
        <f>MIN(BZ2:BZ159)</f>
        <v>1</v>
      </c>
      <c r="CA160" s="1">
        <f>MIN(CA2:CA159)</f>
        <v>0</v>
      </c>
      <c r="CB160" s="1">
        <f>MIN(CB2:CB159)</f>
        <v>0</v>
      </c>
      <c r="CC160" s="1">
        <f>MIN(CC2:CC159)</f>
        <v>0</v>
      </c>
      <c r="CD160" s="1">
        <f>MIN(CD2:CD159)</f>
        <v>3</v>
      </c>
      <c r="CE160" s="1">
        <f>MIN(CE2:CE159)</f>
        <v>0</v>
      </c>
      <c r="CF160" s="1"/>
      <c r="CG160" s="1">
        <f>MIN(CG2:CG159)</f>
        <v>4</v>
      </c>
      <c r="CH160" s="1">
        <f>MIN(CH2:CH159)</f>
        <v>0</v>
      </c>
      <c r="CI160" s="1">
        <f>MIN(CI2:CI159)</f>
        <v>3</v>
      </c>
      <c r="CJ160" s="1">
        <f>MIN(CJ2:CJ159)</f>
        <v>0</v>
      </c>
      <c r="CK160" s="1">
        <f>MIN(CK2:CK159)</f>
        <v>5</v>
      </c>
      <c r="CL160" s="1">
        <f>MIN(CL2:CL159)</f>
        <v>0</v>
      </c>
      <c r="CM160" s="1">
        <f>MIN(CM2:CM159)</f>
        <v>0</v>
      </c>
      <c r="CN160" s="1">
        <f>MIN(CN2:CN159)</f>
        <v>0</v>
      </c>
      <c r="CO160" s="1">
        <f>MIN(CO2:CO159)</f>
        <v>0</v>
      </c>
      <c r="CP160" s="1">
        <f>MIN(CP2:CP159)</f>
        <v>0</v>
      </c>
      <c r="CQ160" s="1">
        <f>MIN(CQ2:CQ159)</f>
        <v>3</v>
      </c>
      <c r="CR160" s="1">
        <f>MIN(CR2:CR159)</f>
        <v>0</v>
      </c>
      <c r="CS160" s="18">
        <f>COUNTIF(CS2:CS159,"=0")</f>
        <v>8</v>
      </c>
    </row>
    <row r="161" spans="1:96" x14ac:dyDescent="0.15">
      <c r="A161" s="1"/>
      <c r="B161" s="3" t="s">
        <v>103</v>
      </c>
      <c r="C161" s="1"/>
      <c r="D161" s="1"/>
      <c r="E161" s="1">
        <v>8</v>
      </c>
      <c r="F161" s="1">
        <v>3</v>
      </c>
      <c r="G161" s="1">
        <v>11</v>
      </c>
      <c r="H161" s="1">
        <v>3</v>
      </c>
      <c r="I161" s="1">
        <v>26</v>
      </c>
      <c r="J161" s="1">
        <v>35</v>
      </c>
      <c r="K161" s="1">
        <v>22</v>
      </c>
      <c r="L161" s="1">
        <v>43</v>
      </c>
      <c r="M161" s="1">
        <v>7</v>
      </c>
      <c r="N161" s="1">
        <v>25</v>
      </c>
      <c r="O161" s="1">
        <v>8</v>
      </c>
      <c r="P161" s="14">
        <v>12</v>
      </c>
      <c r="Q161" s="14">
        <v>1</v>
      </c>
      <c r="R161" s="14">
        <v>2</v>
      </c>
      <c r="S161" s="14">
        <v>11</v>
      </c>
      <c r="T161" s="14">
        <v>5</v>
      </c>
      <c r="U161" s="14">
        <v>0</v>
      </c>
      <c r="V161" s="14">
        <v>12</v>
      </c>
      <c r="W161" s="14">
        <v>2</v>
      </c>
      <c r="X161" s="14">
        <v>6</v>
      </c>
      <c r="Y161" s="14">
        <v>10</v>
      </c>
      <c r="Z161" s="14">
        <v>1</v>
      </c>
      <c r="AA161" s="14">
        <v>1</v>
      </c>
      <c r="AB161" s="14">
        <v>8</v>
      </c>
      <c r="AC161" s="14">
        <v>2</v>
      </c>
      <c r="AD161" s="14">
        <v>4</v>
      </c>
      <c r="AE161" s="1">
        <v>12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33</v>
      </c>
      <c r="AL161" s="1">
        <v>43</v>
      </c>
      <c r="AM161" s="1">
        <v>4</v>
      </c>
      <c r="AN161" s="1">
        <v>0</v>
      </c>
      <c r="AO161" s="1">
        <v>0</v>
      </c>
      <c r="AP161" s="1">
        <v>0</v>
      </c>
      <c r="AQ161" s="14">
        <v>6</v>
      </c>
      <c r="AR161" s="14">
        <v>16</v>
      </c>
      <c r="AS161" s="14">
        <v>2</v>
      </c>
      <c r="AT161" s="14">
        <v>15</v>
      </c>
      <c r="AU161" s="14">
        <v>3</v>
      </c>
      <c r="AV161" s="14">
        <v>15</v>
      </c>
      <c r="AW161" s="14">
        <v>19</v>
      </c>
      <c r="AX161" s="14">
        <v>25</v>
      </c>
      <c r="AY161" s="14">
        <v>13</v>
      </c>
      <c r="AZ161" s="14">
        <v>16</v>
      </c>
      <c r="BA161" s="14">
        <v>12</v>
      </c>
      <c r="BB161" s="14">
        <v>158</v>
      </c>
      <c r="BC161" s="14"/>
      <c r="BD161" s="1">
        <v>48</v>
      </c>
      <c r="BE161" s="1">
        <v>48</v>
      </c>
      <c r="BF161" s="1">
        <v>81</v>
      </c>
      <c r="BG161" s="1">
        <v>90</v>
      </c>
      <c r="BH161" s="1">
        <v>48</v>
      </c>
      <c r="BI161" s="1">
        <v>44</v>
      </c>
      <c r="BJ161" s="1">
        <v>5</v>
      </c>
      <c r="BK161" s="1"/>
      <c r="BL161" s="1">
        <v>5</v>
      </c>
      <c r="BM161" s="1"/>
      <c r="BN161" s="1"/>
      <c r="BO161" s="1"/>
      <c r="BP161" s="1"/>
      <c r="BQ161" s="1"/>
      <c r="BR161" s="17"/>
      <c r="BS161" s="17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</row>
    <row r="162" spans="1:96" x14ac:dyDescent="0.15">
      <c r="A162" s="1"/>
      <c r="B162" s="3" t="s">
        <v>110</v>
      </c>
      <c r="C162" s="1"/>
      <c r="D162" s="1"/>
      <c r="E162" s="1">
        <f t="shared" ref="E162:AJ162" si="47">E161-E160</f>
        <v>-170</v>
      </c>
      <c r="F162" s="1">
        <f t="shared" si="47"/>
        <v>-86</v>
      </c>
      <c r="G162" s="1">
        <f t="shared" si="47"/>
        <v>-213</v>
      </c>
      <c r="H162" s="1">
        <f t="shared" si="47"/>
        <v>-181</v>
      </c>
      <c r="I162" s="1">
        <f t="shared" si="47"/>
        <v>-41</v>
      </c>
      <c r="J162" s="1">
        <f t="shared" si="47"/>
        <v>-51</v>
      </c>
      <c r="K162" s="1">
        <f t="shared" si="47"/>
        <v>-32</v>
      </c>
      <c r="L162" s="1">
        <f t="shared" si="47"/>
        <v>-45</v>
      </c>
      <c r="M162" s="1">
        <f t="shared" si="47"/>
        <v>-30</v>
      </c>
      <c r="N162" s="1">
        <f t="shared" si="47"/>
        <v>-22</v>
      </c>
      <c r="O162" s="1">
        <f t="shared" si="47"/>
        <v>-81</v>
      </c>
      <c r="P162" s="1">
        <f t="shared" si="47"/>
        <v>-118</v>
      </c>
      <c r="Q162" s="1">
        <f t="shared" si="47"/>
        <v>-75</v>
      </c>
      <c r="R162" s="1">
        <f t="shared" si="47"/>
        <v>-81</v>
      </c>
      <c r="S162" s="1">
        <f t="shared" si="47"/>
        <v>-119</v>
      </c>
      <c r="T162" s="1">
        <f t="shared" si="47"/>
        <v>-56</v>
      </c>
      <c r="U162" s="1">
        <f t="shared" si="47"/>
        <v>-62</v>
      </c>
      <c r="V162" s="1">
        <f t="shared" si="47"/>
        <v>-123</v>
      </c>
      <c r="W162" s="1">
        <f t="shared" si="47"/>
        <v>-33</v>
      </c>
      <c r="X162" s="1">
        <f t="shared" si="47"/>
        <v>-53</v>
      </c>
      <c r="Y162" s="1">
        <f t="shared" si="47"/>
        <v>-115</v>
      </c>
      <c r="Z162" s="1">
        <f t="shared" si="47"/>
        <v>-49</v>
      </c>
      <c r="AA162" s="1">
        <f t="shared" si="47"/>
        <v>-34</v>
      </c>
      <c r="AB162" s="1">
        <f t="shared" si="47"/>
        <v>-132</v>
      </c>
      <c r="AC162" s="1">
        <f t="shared" si="47"/>
        <v>-28</v>
      </c>
      <c r="AD162" s="1">
        <f t="shared" si="47"/>
        <v>-18</v>
      </c>
      <c r="AE162" s="1">
        <f t="shared" si="47"/>
        <v>-263</v>
      </c>
      <c r="AF162" s="1">
        <f t="shared" si="47"/>
        <v>-10</v>
      </c>
      <c r="AG162" s="1">
        <f t="shared" si="47"/>
        <v>-15</v>
      </c>
      <c r="AH162" s="1">
        <f t="shared" si="47"/>
        <v>-30</v>
      </c>
      <c r="AI162" s="1">
        <f t="shared" si="47"/>
        <v>-30</v>
      </c>
      <c r="AJ162" s="1">
        <f t="shared" si="47"/>
        <v>-5</v>
      </c>
      <c r="AK162" s="1">
        <f t="shared" ref="AK162:BO162" si="48">AK161-AK160</f>
        <v>33</v>
      </c>
      <c r="AL162" s="1">
        <f t="shared" si="48"/>
        <v>43</v>
      </c>
      <c r="AM162" s="1">
        <f t="shared" si="48"/>
        <v>-16</v>
      </c>
      <c r="AN162" s="1">
        <f t="shared" si="48"/>
        <v>-50</v>
      </c>
      <c r="AO162" s="1">
        <f t="shared" si="48"/>
        <v>-25</v>
      </c>
      <c r="AP162" s="1">
        <f t="shared" si="48"/>
        <v>-26</v>
      </c>
      <c r="AQ162" s="1">
        <f t="shared" si="48"/>
        <v>-94</v>
      </c>
      <c r="AR162" s="1">
        <f t="shared" si="48"/>
        <v>-104</v>
      </c>
      <c r="AS162" s="1">
        <f t="shared" si="48"/>
        <v>-78</v>
      </c>
      <c r="AT162" s="1">
        <f t="shared" si="48"/>
        <v>-78</v>
      </c>
      <c r="AU162" s="1">
        <f t="shared" si="48"/>
        <v>-45</v>
      </c>
      <c r="AV162" s="1">
        <f t="shared" si="48"/>
        <v>-120</v>
      </c>
      <c r="AW162" s="1">
        <f t="shared" si="48"/>
        <v>-109</v>
      </c>
      <c r="AX162" s="1">
        <f t="shared" si="48"/>
        <v>-55</v>
      </c>
      <c r="AY162" s="1">
        <f t="shared" si="48"/>
        <v>-30</v>
      </c>
      <c r="AZ162" s="1">
        <f t="shared" si="48"/>
        <v>-69</v>
      </c>
      <c r="BA162" s="1">
        <f t="shared" si="48"/>
        <v>-193</v>
      </c>
      <c r="BB162" s="1">
        <f t="shared" si="48"/>
        <v>-227</v>
      </c>
      <c r="BC162" s="1">
        <f t="shared" si="48"/>
        <v>-10</v>
      </c>
      <c r="BD162" s="1">
        <f t="shared" si="48"/>
        <v>-102</v>
      </c>
      <c r="BE162" s="1">
        <f t="shared" si="48"/>
        <v>-52</v>
      </c>
      <c r="BF162" s="1">
        <f t="shared" si="48"/>
        <v>-39</v>
      </c>
      <c r="BG162" s="1">
        <f t="shared" si="48"/>
        <v>-30</v>
      </c>
      <c r="BH162" s="1">
        <f t="shared" si="48"/>
        <v>-72</v>
      </c>
      <c r="BI162" s="1">
        <f t="shared" si="48"/>
        <v>-46</v>
      </c>
      <c r="BJ162" s="1">
        <f t="shared" si="48"/>
        <v>-195</v>
      </c>
      <c r="BK162" s="1">
        <f t="shared" si="48"/>
        <v>-200</v>
      </c>
      <c r="BL162" s="1">
        <f t="shared" si="48"/>
        <v>-145</v>
      </c>
      <c r="BM162" s="1">
        <f t="shared" si="48"/>
        <v>-150</v>
      </c>
      <c r="BN162" s="1">
        <f t="shared" si="48"/>
        <v>-350</v>
      </c>
      <c r="BO162" s="1">
        <f t="shared" si="48"/>
        <v>-350</v>
      </c>
      <c r="BP162" s="1"/>
      <c r="BQ162" s="1"/>
      <c r="BR162" s="17"/>
      <c r="BS162" s="17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</row>
  </sheetData>
  <autoFilter ref="A1:BP160"/>
  <sortState ref="A2:CS165">
    <sortCondition ref="BR2:BR165"/>
    <sortCondition ref="BQ2:BQ165"/>
  </sortState>
  <phoneticPr fontId="1" type="noConversion"/>
  <conditionalFormatting sqref="E51">
    <cfRule type="cellIs" dxfId="2" priority="4" operator="greaterThan">
      <formula>$E$161</formula>
    </cfRule>
  </conditionalFormatting>
  <conditionalFormatting sqref="E160">
    <cfRule type="cellIs" dxfId="1" priority="3" operator="greaterThan">
      <formula>$E$161</formula>
    </cfRule>
  </conditionalFormatting>
  <conditionalFormatting sqref="E162:BO1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164</xdr:row>
                    <xdr:rowOff>28575</xdr:rowOff>
                  </from>
                  <to>
                    <xdr:col>1</xdr:col>
                    <xdr:colOff>428625</xdr:colOff>
                    <xdr:row>165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100</v>
      </c>
      <c r="B1" s="5" t="s">
        <v>97</v>
      </c>
      <c r="C1" s="5" t="s">
        <v>101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72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80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72</v>
      </c>
      <c r="K19" s="10" t="s">
        <v>80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107</v>
      </c>
      <c r="B1" s="8" t="s">
        <v>108</v>
      </c>
      <c r="C1" s="8" t="s">
        <v>109</v>
      </c>
    </row>
    <row r="2" spans="1:3" x14ac:dyDescent="0.15">
      <c r="A2" s="1">
        <v>5</v>
      </c>
      <c r="B2" s="10" t="s">
        <v>80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80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2020-02-04T09:17:01Z</dcterms:modified>
</cp:coreProperties>
</file>