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Sheet1!$A$1:$BV$149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139" i="1" l="1"/>
  <c r="BV139" i="1"/>
  <c r="BU54" i="1"/>
  <c r="BV54" i="1"/>
  <c r="BU43" i="1"/>
  <c r="BV43" i="1"/>
  <c r="BU116" i="1"/>
  <c r="BV116" i="1"/>
  <c r="BU76" i="1"/>
  <c r="BV76" i="1"/>
  <c r="BQ54" i="1"/>
  <c r="BQ43" i="1"/>
  <c r="BQ116" i="1"/>
  <c r="BQ76" i="1"/>
  <c r="BQ139" i="1"/>
  <c r="BU79" i="1" l="1"/>
  <c r="BV79" i="1"/>
  <c r="BU41" i="1"/>
  <c r="BV41" i="1"/>
  <c r="BQ79" i="1"/>
  <c r="BQ41" i="1"/>
  <c r="BU34" i="1" l="1"/>
  <c r="BV34" i="1"/>
  <c r="BU83" i="1"/>
  <c r="BV83" i="1"/>
  <c r="BU106" i="1"/>
  <c r="BV106" i="1"/>
  <c r="BU81" i="1"/>
  <c r="BV81" i="1"/>
  <c r="BU129" i="1"/>
  <c r="BV129" i="1"/>
  <c r="BQ34" i="1"/>
  <c r="BQ83" i="1"/>
  <c r="BQ106" i="1"/>
  <c r="BQ81" i="1"/>
  <c r="BQ129" i="1"/>
  <c r="BU3" i="1" l="1"/>
  <c r="BV3" i="1"/>
  <c r="BU4" i="1"/>
  <c r="BV4" i="1"/>
  <c r="BU5" i="1"/>
  <c r="BV5" i="1"/>
  <c r="BU6" i="1"/>
  <c r="BV6" i="1"/>
  <c r="BU7" i="1"/>
  <c r="BV7" i="1"/>
  <c r="BU8" i="1"/>
  <c r="BV8" i="1"/>
  <c r="BU37" i="1"/>
  <c r="BV37" i="1"/>
  <c r="BU38" i="1"/>
  <c r="BV38" i="1"/>
  <c r="BU9" i="1"/>
  <c r="BV9" i="1"/>
  <c r="BU10" i="1"/>
  <c r="BV10" i="1"/>
  <c r="BU11" i="1"/>
  <c r="BV11" i="1"/>
  <c r="BU12" i="1"/>
  <c r="BV12" i="1"/>
  <c r="BU13" i="1"/>
  <c r="BV13" i="1"/>
  <c r="BU14" i="1"/>
  <c r="BV14" i="1"/>
  <c r="BU15" i="1"/>
  <c r="BV15" i="1"/>
  <c r="BU16" i="1"/>
  <c r="BV16" i="1"/>
  <c r="BU17" i="1"/>
  <c r="BV17" i="1"/>
  <c r="BU42" i="1"/>
  <c r="BV42" i="1"/>
  <c r="BU39" i="1"/>
  <c r="BV39" i="1"/>
  <c r="BU18" i="1"/>
  <c r="BV18" i="1"/>
  <c r="BU40" i="1"/>
  <c r="BV40" i="1"/>
  <c r="BU19" i="1"/>
  <c r="BV19" i="1"/>
  <c r="BU20" i="1"/>
  <c r="BV20" i="1"/>
  <c r="BU21" i="1"/>
  <c r="BV21" i="1"/>
  <c r="BU22" i="1"/>
  <c r="BV22" i="1"/>
  <c r="BU23" i="1"/>
  <c r="BV23" i="1"/>
  <c r="BU65" i="1"/>
  <c r="BV65" i="1"/>
  <c r="BU66" i="1"/>
  <c r="BV66" i="1"/>
  <c r="BU99" i="1"/>
  <c r="BV99" i="1"/>
  <c r="BU100" i="1"/>
  <c r="BV100" i="1"/>
  <c r="BU24" i="1"/>
  <c r="BV24" i="1"/>
  <c r="BU25" i="1"/>
  <c r="BV25" i="1"/>
  <c r="BU26" i="1"/>
  <c r="BV26" i="1"/>
  <c r="BU27" i="1"/>
  <c r="BV27" i="1"/>
  <c r="BU28" i="1"/>
  <c r="BV28" i="1"/>
  <c r="BU29" i="1"/>
  <c r="BV29" i="1"/>
  <c r="BU30" i="1"/>
  <c r="BV30" i="1"/>
  <c r="BU31" i="1"/>
  <c r="BV31" i="1"/>
  <c r="BU32" i="1"/>
  <c r="BV32" i="1"/>
  <c r="BU33" i="1"/>
  <c r="BV33" i="1"/>
  <c r="BU45" i="1"/>
  <c r="BV45" i="1"/>
  <c r="BU46" i="1"/>
  <c r="BV46" i="1"/>
  <c r="BU47" i="1"/>
  <c r="BV47" i="1"/>
  <c r="BU48" i="1"/>
  <c r="BV48" i="1"/>
  <c r="BU49" i="1"/>
  <c r="BV49" i="1"/>
  <c r="BU118" i="1"/>
  <c r="BV118" i="1"/>
  <c r="BU50" i="1"/>
  <c r="BV50" i="1"/>
  <c r="BU51" i="1"/>
  <c r="BV51" i="1"/>
  <c r="BU119" i="1"/>
  <c r="BV119" i="1"/>
  <c r="BU103" i="1"/>
  <c r="BV103" i="1"/>
  <c r="BU104" i="1"/>
  <c r="BV104" i="1"/>
  <c r="BU105" i="1"/>
  <c r="BV105" i="1"/>
  <c r="BU80" i="1"/>
  <c r="BV80" i="1"/>
  <c r="BU120" i="1"/>
  <c r="BV120" i="1"/>
  <c r="BU82" i="1"/>
  <c r="BV82" i="1"/>
  <c r="BU84" i="1"/>
  <c r="BV84" i="1"/>
  <c r="BU114" i="1"/>
  <c r="BV114" i="1"/>
  <c r="BU44" i="1"/>
  <c r="BV44" i="1"/>
  <c r="BU91" i="1"/>
  <c r="BV91" i="1"/>
  <c r="BU92" i="1"/>
  <c r="BV92" i="1"/>
  <c r="BU93" i="1"/>
  <c r="BV93" i="1"/>
  <c r="BU94" i="1"/>
  <c r="BV94" i="1"/>
  <c r="BU95" i="1"/>
  <c r="BV95" i="1"/>
  <c r="BU96" i="1"/>
  <c r="BV96" i="1"/>
  <c r="BU52" i="1"/>
  <c r="BV52" i="1"/>
  <c r="BU35" i="1"/>
  <c r="BV35" i="1"/>
  <c r="BU62" i="1"/>
  <c r="BV62" i="1"/>
  <c r="BU55" i="1"/>
  <c r="BV55" i="1"/>
  <c r="BU53" i="1"/>
  <c r="BV53" i="1"/>
  <c r="BU63" i="1"/>
  <c r="BV63" i="1"/>
  <c r="BU56" i="1"/>
  <c r="BV56" i="1"/>
  <c r="BU85" i="1"/>
  <c r="BV85" i="1"/>
  <c r="BU57" i="1"/>
  <c r="BV57" i="1"/>
  <c r="BU58" i="1"/>
  <c r="BV58" i="1"/>
  <c r="BU59" i="1"/>
  <c r="BV59" i="1"/>
  <c r="BU60" i="1"/>
  <c r="BV60" i="1"/>
  <c r="BU61" i="1"/>
  <c r="BV61" i="1"/>
  <c r="BU115" i="1"/>
  <c r="BV115" i="1"/>
  <c r="BU112" i="1"/>
  <c r="BV112" i="1"/>
  <c r="BU135" i="1"/>
  <c r="BV135" i="1"/>
  <c r="BU136" i="1"/>
  <c r="BV136" i="1"/>
  <c r="BU137" i="1"/>
  <c r="BV137" i="1"/>
  <c r="BU138" i="1"/>
  <c r="BV138" i="1"/>
  <c r="BU140" i="1"/>
  <c r="BV140" i="1"/>
  <c r="BU64" i="1"/>
  <c r="BV64" i="1"/>
  <c r="BU67" i="1"/>
  <c r="BV67" i="1"/>
  <c r="BU102" i="1"/>
  <c r="BV102" i="1"/>
  <c r="BU75" i="1"/>
  <c r="BV75" i="1"/>
  <c r="BU78" i="1"/>
  <c r="BV78" i="1"/>
  <c r="BU86" i="1"/>
  <c r="BV86" i="1"/>
  <c r="BU87" i="1"/>
  <c r="BV87" i="1"/>
  <c r="BU97" i="1"/>
  <c r="BV97" i="1"/>
  <c r="BU98" i="1"/>
  <c r="BV98" i="1"/>
  <c r="BU123" i="1"/>
  <c r="BV123" i="1"/>
  <c r="BU124" i="1"/>
  <c r="BV124" i="1"/>
  <c r="BU125" i="1"/>
  <c r="BV125" i="1"/>
  <c r="BU126" i="1"/>
  <c r="BV126" i="1"/>
  <c r="BU127" i="1"/>
  <c r="BV127" i="1"/>
  <c r="BU130" i="1"/>
  <c r="BV130" i="1"/>
  <c r="BU88" i="1"/>
  <c r="BV88" i="1"/>
  <c r="BU89" i="1"/>
  <c r="BV89" i="1"/>
  <c r="BU90" i="1"/>
  <c r="BV90" i="1"/>
  <c r="BU107" i="1"/>
  <c r="BV107" i="1"/>
  <c r="BU108" i="1"/>
  <c r="BV108" i="1"/>
  <c r="BU109" i="1"/>
  <c r="BV109" i="1"/>
  <c r="BU110" i="1"/>
  <c r="BV110" i="1"/>
  <c r="BU111" i="1"/>
  <c r="BV111" i="1"/>
  <c r="BU101" i="1"/>
  <c r="BV101" i="1"/>
  <c r="BU113" i="1"/>
  <c r="BV113" i="1"/>
  <c r="BU36" i="1"/>
  <c r="BV36" i="1"/>
  <c r="BU117" i="1"/>
  <c r="BV117" i="1"/>
  <c r="BU77" i="1"/>
  <c r="BV77" i="1"/>
  <c r="BU133" i="1"/>
  <c r="BV133" i="1"/>
  <c r="BQ133" i="1"/>
  <c r="BQ114" i="1"/>
  <c r="BQ111" i="1"/>
  <c r="BQ77" i="1"/>
  <c r="BQ84" i="1" l="1"/>
  <c r="BQ130" i="1"/>
  <c r="BQ22" i="1" l="1"/>
  <c r="BQ23" i="1"/>
  <c r="BQ65" i="1"/>
  <c r="BQ66" i="1"/>
  <c r="BD146" i="1"/>
  <c r="BD148" i="1" s="1"/>
  <c r="BD145" i="1"/>
  <c r="BD147" i="1" s="1"/>
  <c r="BD142" i="1"/>
  <c r="BD144" i="1" s="1"/>
  <c r="BE142" i="1" l="1"/>
  <c r="BE144" i="1" s="1"/>
  <c r="BF142" i="1"/>
  <c r="BF144" i="1" s="1"/>
  <c r="BG142" i="1"/>
  <c r="BG144" i="1" s="1"/>
  <c r="BH142" i="1"/>
  <c r="BH144" i="1" s="1"/>
  <c r="BI142" i="1"/>
  <c r="BI144" i="1" s="1"/>
  <c r="BJ142" i="1"/>
  <c r="BJ144" i="1" s="1"/>
  <c r="BE145" i="1"/>
  <c r="BE147" i="1" s="1"/>
  <c r="BF145" i="1"/>
  <c r="BF147" i="1" s="1"/>
  <c r="BG145" i="1"/>
  <c r="BG147" i="1" s="1"/>
  <c r="BH145" i="1"/>
  <c r="BH147" i="1" s="1"/>
  <c r="BI145" i="1"/>
  <c r="BI147" i="1" s="1"/>
  <c r="BJ145" i="1"/>
  <c r="BJ147" i="1" s="1"/>
  <c r="BE146" i="1"/>
  <c r="BE148" i="1" s="1"/>
  <c r="BF146" i="1"/>
  <c r="BF148" i="1" s="1"/>
  <c r="BG146" i="1"/>
  <c r="BG148" i="1" s="1"/>
  <c r="BH146" i="1"/>
  <c r="BH148" i="1" s="1"/>
  <c r="BI146" i="1"/>
  <c r="BI148" i="1" s="1"/>
  <c r="BJ146" i="1"/>
  <c r="BJ148" i="1" s="1"/>
  <c r="BQ53" i="1" l="1"/>
  <c r="BU128" i="1" l="1"/>
  <c r="BV128" i="1"/>
  <c r="BU68" i="1"/>
  <c r="BV68" i="1"/>
  <c r="BU69" i="1"/>
  <c r="BV69" i="1"/>
  <c r="BU70" i="1"/>
  <c r="BV70" i="1"/>
  <c r="BU71" i="1"/>
  <c r="BV71" i="1"/>
  <c r="BU122" i="1"/>
  <c r="BV122" i="1"/>
  <c r="BU121" i="1"/>
  <c r="BV121" i="1"/>
  <c r="BU131" i="1"/>
  <c r="BV131" i="1"/>
  <c r="BU132" i="1"/>
  <c r="BV132" i="1"/>
  <c r="BU134" i="1"/>
  <c r="BV134" i="1"/>
  <c r="BU141" i="1"/>
  <c r="BV141" i="1"/>
  <c r="BU72" i="1"/>
  <c r="BV72" i="1"/>
  <c r="BU73" i="1"/>
  <c r="BV73" i="1"/>
  <c r="BU74" i="1"/>
  <c r="BV74" i="1"/>
  <c r="BQ98" i="1"/>
  <c r="BQ33" i="1"/>
  <c r="BQ120" i="1"/>
  <c r="BQ96" i="1"/>
  <c r="BQ16" i="1" l="1"/>
  <c r="BQ17" i="1"/>
  <c r="BQ42" i="1"/>
  <c r="BQ39" i="1"/>
  <c r="BQ138" i="1"/>
  <c r="BQ95" i="1"/>
  <c r="BQ18" i="1"/>
  <c r="BQ80" i="1"/>
  <c r="BQ109" i="1"/>
  <c r="BQ31" i="1"/>
  <c r="BQ40" i="1"/>
  <c r="BQ112" i="1"/>
  <c r="BQ32" i="1"/>
  <c r="BQ49" i="1"/>
  <c r="BQ134" i="1"/>
  <c r="BQ127" i="1"/>
  <c r="BQ119" i="1"/>
  <c r="BQ97" i="1"/>
  <c r="BQ19" i="1"/>
  <c r="BQ20" i="1"/>
  <c r="BQ110" i="1"/>
  <c r="BV2" i="1" l="1"/>
  <c r="BU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Q132" i="1" l="1"/>
  <c r="BQ30" i="1"/>
  <c r="BQ140" i="1"/>
  <c r="BQ126" i="1"/>
  <c r="BQ92" i="1"/>
  <c r="BQ93" i="1"/>
  <c r="BQ94" i="1"/>
  <c r="BQ91" i="1"/>
  <c r="BQ101" i="1"/>
  <c r="BQ113" i="1"/>
  <c r="BQ108" i="1"/>
  <c r="BQ103" i="1"/>
  <c r="BQ104" i="1"/>
  <c r="BQ105" i="1"/>
  <c r="BQ135" i="1"/>
  <c r="BQ136" i="1"/>
  <c r="BQ137" i="1"/>
  <c r="BQ52" i="1"/>
  <c r="BQ14" i="1"/>
  <c r="BQ51" i="1"/>
  <c r="BQ38" i="1"/>
  <c r="BQ48" i="1"/>
  <c r="BQ11" i="1"/>
  <c r="BQ28" i="1"/>
  <c r="BQ118" i="1"/>
  <c r="BQ12" i="1"/>
  <c r="BQ29" i="1"/>
  <c r="BQ6" i="1"/>
  <c r="BQ82" i="1"/>
  <c r="BQ7" i="1"/>
  <c r="BQ8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/>
  <c r="AN146" i="1"/>
  <c r="AO146" i="1"/>
  <c r="AP146" i="1"/>
  <c r="AQ146" i="1"/>
  <c r="AR146" i="1"/>
  <c r="AS146" i="1"/>
  <c r="AT146" i="1"/>
  <c r="AU146" i="1"/>
  <c r="AV146" i="1"/>
  <c r="AW146" i="1"/>
  <c r="AX146" i="1"/>
  <c r="AY146" i="1"/>
  <c r="AZ146" i="1"/>
  <c r="BA146" i="1"/>
  <c r="BB146" i="1"/>
  <c r="BC146" i="1"/>
  <c r="BK146" i="1"/>
  <c r="BL146" i="1"/>
  <c r="BM146" i="1"/>
  <c r="BN146" i="1"/>
  <c r="BO146" i="1"/>
  <c r="BP146" i="1"/>
  <c r="E146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AC145" i="1"/>
  <c r="AD145" i="1"/>
  <c r="AE145" i="1"/>
  <c r="AF145" i="1"/>
  <c r="AG145" i="1"/>
  <c r="AH145" i="1"/>
  <c r="AI145" i="1"/>
  <c r="AJ145" i="1"/>
  <c r="AK145" i="1"/>
  <c r="AL145" i="1"/>
  <c r="AM145" i="1"/>
  <c r="AN145" i="1"/>
  <c r="AO145" i="1"/>
  <c r="AP145" i="1"/>
  <c r="AQ145" i="1"/>
  <c r="AR145" i="1"/>
  <c r="AS145" i="1"/>
  <c r="AT145" i="1"/>
  <c r="AU145" i="1"/>
  <c r="AV145" i="1"/>
  <c r="AW145" i="1"/>
  <c r="AX145" i="1"/>
  <c r="AY145" i="1"/>
  <c r="AZ145" i="1"/>
  <c r="BA145" i="1"/>
  <c r="BB145" i="1"/>
  <c r="BC145" i="1"/>
  <c r="BK145" i="1"/>
  <c r="BL145" i="1"/>
  <c r="BM145" i="1"/>
  <c r="BN145" i="1"/>
  <c r="BO145" i="1"/>
  <c r="BP145" i="1"/>
  <c r="E145" i="1"/>
  <c r="BK142" i="1"/>
  <c r="BL142" i="1"/>
  <c r="BM142" i="1"/>
  <c r="BN142" i="1"/>
  <c r="BO142" i="1"/>
  <c r="BP142" i="1"/>
  <c r="BC142" i="1"/>
  <c r="AX142" i="1"/>
  <c r="AY142" i="1"/>
  <c r="AZ142" i="1"/>
  <c r="BA142" i="1"/>
  <c r="BB142" i="1"/>
  <c r="AW142" i="1"/>
  <c r="AR142" i="1"/>
  <c r="AS142" i="1"/>
  <c r="AT142" i="1"/>
  <c r="AU142" i="1"/>
  <c r="AV142" i="1"/>
  <c r="AQ142" i="1"/>
  <c r="AF142" i="1"/>
  <c r="AG142" i="1"/>
  <c r="AH142" i="1"/>
  <c r="AI142" i="1"/>
  <c r="AJ142" i="1"/>
  <c r="AK142" i="1"/>
  <c r="AL142" i="1"/>
  <c r="AM142" i="1"/>
  <c r="AN142" i="1"/>
  <c r="AO142" i="1"/>
  <c r="AP142" i="1"/>
  <c r="AE142" i="1"/>
  <c r="Q142" i="1"/>
  <c r="R142" i="1"/>
  <c r="S142" i="1"/>
  <c r="T142" i="1"/>
  <c r="U142" i="1"/>
  <c r="V142" i="1"/>
  <c r="W142" i="1"/>
  <c r="X142" i="1"/>
  <c r="Y142" i="1"/>
  <c r="Z142" i="1"/>
  <c r="AA142" i="1"/>
  <c r="AB142" i="1"/>
  <c r="AC142" i="1"/>
  <c r="AD142" i="1"/>
  <c r="P142" i="1"/>
  <c r="F142" i="1"/>
  <c r="G142" i="1"/>
  <c r="H142" i="1"/>
  <c r="I142" i="1"/>
  <c r="J142" i="1"/>
  <c r="K142" i="1"/>
  <c r="L142" i="1"/>
  <c r="M142" i="1"/>
  <c r="N142" i="1"/>
  <c r="O142" i="1"/>
  <c r="E142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Q44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Q87" i="1"/>
  <c r="BQ55" i="1"/>
  <c r="CJ2" i="8" l="1"/>
  <c r="CK2" i="8"/>
  <c r="CR4" i="8"/>
  <c r="CN2" i="8"/>
  <c r="CM2" i="8"/>
  <c r="CG2" i="8"/>
  <c r="CH2" i="8"/>
  <c r="CL2" i="8"/>
  <c r="CQ2" i="8"/>
  <c r="CI2" i="8"/>
  <c r="CO2" i="8"/>
  <c r="CP2" i="8"/>
  <c r="BC147" i="1"/>
  <c r="BK147" i="1"/>
  <c r="BL147" i="1"/>
  <c r="BM147" i="1"/>
  <c r="BN147" i="1"/>
  <c r="BO147" i="1"/>
  <c r="BP147" i="1"/>
  <c r="BC148" i="1"/>
  <c r="BK148" i="1"/>
  <c r="BL148" i="1"/>
  <c r="BM148" i="1"/>
  <c r="BN148" i="1"/>
  <c r="BO148" i="1"/>
  <c r="BP148" i="1"/>
  <c r="BA147" i="1"/>
  <c r="BB147" i="1"/>
  <c r="BA148" i="1"/>
  <c r="BB148" i="1"/>
  <c r="AQ147" i="1"/>
  <c r="AR147" i="1"/>
  <c r="AS147" i="1"/>
  <c r="AT147" i="1"/>
  <c r="AU147" i="1"/>
  <c r="AV147" i="1"/>
  <c r="AW147" i="1"/>
  <c r="AX147" i="1"/>
  <c r="AY147" i="1"/>
  <c r="AZ147" i="1"/>
  <c r="AQ148" i="1"/>
  <c r="AR148" i="1"/>
  <c r="AS148" i="1"/>
  <c r="AT148" i="1"/>
  <c r="AU148" i="1"/>
  <c r="AV148" i="1"/>
  <c r="AW148" i="1"/>
  <c r="AX148" i="1"/>
  <c r="AY148" i="1"/>
  <c r="AZ148" i="1"/>
  <c r="AI147" i="1"/>
  <c r="AJ147" i="1"/>
  <c r="AK147" i="1"/>
  <c r="AL147" i="1"/>
  <c r="AM147" i="1"/>
  <c r="AN147" i="1"/>
  <c r="AO147" i="1"/>
  <c r="AP147" i="1"/>
  <c r="AI148" i="1"/>
  <c r="AJ148" i="1"/>
  <c r="AK148" i="1"/>
  <c r="AL148" i="1"/>
  <c r="AM148" i="1"/>
  <c r="AN148" i="1"/>
  <c r="AO148" i="1"/>
  <c r="AP148" i="1"/>
  <c r="AC147" i="1"/>
  <c r="AD147" i="1"/>
  <c r="AE147" i="1"/>
  <c r="AF147" i="1"/>
  <c r="AG147" i="1"/>
  <c r="AH147" i="1"/>
  <c r="AC148" i="1"/>
  <c r="AD148" i="1"/>
  <c r="AE148" i="1"/>
  <c r="AF148" i="1"/>
  <c r="AG148" i="1"/>
  <c r="AH148" i="1"/>
  <c r="W147" i="1"/>
  <c r="X147" i="1"/>
  <c r="Y147" i="1"/>
  <c r="Z147" i="1"/>
  <c r="AA147" i="1"/>
  <c r="AB147" i="1"/>
  <c r="W148" i="1"/>
  <c r="X148" i="1"/>
  <c r="Y148" i="1"/>
  <c r="Z148" i="1"/>
  <c r="AA148" i="1"/>
  <c r="AB148" i="1"/>
  <c r="P147" i="1"/>
  <c r="Q147" i="1"/>
  <c r="R147" i="1"/>
  <c r="S147" i="1"/>
  <c r="T147" i="1"/>
  <c r="U147" i="1"/>
  <c r="V147" i="1"/>
  <c r="P148" i="1"/>
  <c r="Q148" i="1"/>
  <c r="R148" i="1"/>
  <c r="S148" i="1"/>
  <c r="T148" i="1"/>
  <c r="U148" i="1"/>
  <c r="V148" i="1"/>
  <c r="G147" i="1"/>
  <c r="H147" i="1"/>
  <c r="I147" i="1"/>
  <c r="J147" i="1"/>
  <c r="K147" i="1"/>
  <c r="L147" i="1"/>
  <c r="M147" i="1"/>
  <c r="N147" i="1"/>
  <c r="O147" i="1"/>
  <c r="G148" i="1"/>
  <c r="H148" i="1"/>
  <c r="I148" i="1"/>
  <c r="J148" i="1"/>
  <c r="K148" i="1"/>
  <c r="L148" i="1"/>
  <c r="M148" i="1"/>
  <c r="N148" i="1"/>
  <c r="O148" i="1"/>
  <c r="F147" i="1"/>
  <c r="F148" i="1"/>
  <c r="E148" i="1"/>
  <c r="E147" i="1"/>
  <c r="CH4" i="8" l="1"/>
  <c r="CI4" i="8"/>
  <c r="CK4" i="8"/>
  <c r="CJ4" i="8"/>
  <c r="CL4" i="8"/>
  <c r="CM4" i="8"/>
  <c r="CQ4" i="8"/>
  <c r="CN4" i="8"/>
  <c r="CG4" i="8"/>
  <c r="CO4" i="8"/>
  <c r="CP4" i="8"/>
  <c r="BQ2" i="1"/>
  <c r="BQ57" i="1"/>
  <c r="BQ21" i="1"/>
  <c r="BQ58" i="1"/>
  <c r="BQ59" i="1"/>
  <c r="BQ60" i="1"/>
  <c r="BQ61" i="1"/>
  <c r="BQ67" i="1"/>
  <c r="BQ75" i="1"/>
  <c r="BQ78" i="1"/>
  <c r="BQ86" i="1"/>
  <c r="BQ56" i="1"/>
  <c r="BQ88" i="1"/>
  <c r="BQ45" i="1"/>
  <c r="BQ46" i="1"/>
  <c r="BQ47" i="1"/>
  <c r="BQ50" i="1"/>
  <c r="BQ85" i="1"/>
  <c r="BQ89" i="1"/>
  <c r="BQ90" i="1"/>
  <c r="BQ64" i="1"/>
  <c r="BQ99" i="1"/>
  <c r="BQ100" i="1"/>
  <c r="BQ63" i="1"/>
  <c r="BQ37" i="1"/>
  <c r="BQ62" i="1"/>
  <c r="BQ122" i="1"/>
  <c r="BQ121" i="1"/>
  <c r="BQ123" i="1"/>
  <c r="BQ124" i="1"/>
  <c r="BQ125" i="1"/>
  <c r="BQ115" i="1"/>
  <c r="BQ141" i="1"/>
  <c r="BQ36" i="1"/>
  <c r="BQ15" i="1"/>
  <c r="BQ24" i="1"/>
  <c r="BQ25" i="1"/>
  <c r="BQ26" i="1"/>
  <c r="BQ27" i="1"/>
  <c r="BQ9" i="1"/>
  <c r="BQ10" i="1"/>
  <c r="BQ13" i="1"/>
  <c r="BQ131" i="1"/>
  <c r="BQ107" i="1"/>
  <c r="BQ128" i="1"/>
  <c r="BQ3" i="1"/>
  <c r="BQ4" i="1"/>
  <c r="BQ5" i="1"/>
  <c r="BQ102" i="1"/>
  <c r="BQ117" i="1"/>
  <c r="BQ68" i="1"/>
  <c r="BQ69" i="1"/>
  <c r="BQ70" i="1"/>
  <c r="BQ71" i="1"/>
  <c r="BQ72" i="1"/>
  <c r="BQ73" i="1"/>
  <c r="BQ74" i="1"/>
  <c r="BQ35" i="1" l="1"/>
  <c r="BN144" i="1" l="1"/>
  <c r="AM144" i="1"/>
  <c r="L144" i="1"/>
  <c r="BL144" i="1"/>
  <c r="AJ144" i="1"/>
  <c r="AH144" i="1"/>
  <c r="AL144" i="1"/>
  <c r="BM144" i="1"/>
  <c r="J144" i="1"/>
  <c r="H144" i="1"/>
  <c r="G144" i="1"/>
  <c r="AE144" i="1"/>
  <c r="F144" i="1"/>
  <c r="BK144" i="1"/>
  <c r="AI144" i="1"/>
  <c r="I144" i="1"/>
  <c r="AG144" i="1"/>
  <c r="AF144" i="1"/>
  <c r="O144" i="1"/>
  <c r="BP144" i="1"/>
  <c r="N144" i="1"/>
  <c r="K144" i="1"/>
  <c r="AK144" i="1"/>
  <c r="E144" i="1"/>
  <c r="BO144" i="1"/>
  <c r="AN144" i="1"/>
  <c r="M144" i="1"/>
  <c r="AP144" i="1"/>
  <c r="BC144" i="1"/>
  <c r="AO144" i="1"/>
  <c r="V144" i="1"/>
  <c r="Y144" i="1"/>
  <c r="W144" i="1"/>
  <c r="S144" i="1"/>
  <c r="X144" i="1"/>
  <c r="R144" i="1"/>
  <c r="Z144" i="1"/>
  <c r="U144" i="1"/>
  <c r="T144" i="1"/>
  <c r="AC144" i="1"/>
  <c r="Q144" i="1"/>
  <c r="AB144" i="1"/>
  <c r="P144" i="1"/>
  <c r="AA144" i="1"/>
  <c r="AD144" i="1"/>
  <c r="AR144" i="1" l="1"/>
  <c r="AU144" i="1"/>
  <c r="BB144" i="1"/>
  <c r="AS144" i="1"/>
  <c r="AW144" i="1"/>
  <c r="AT144" i="1"/>
  <c r="AY144" i="1"/>
  <c r="AZ144" i="1"/>
  <c r="AV144" i="1"/>
  <c r="AQ144" i="1"/>
  <c r="AX144" i="1"/>
  <c r="BA144" i="1"/>
</calcChain>
</file>

<file path=xl/sharedStrings.xml><?xml version="1.0" encoding="utf-8"?>
<sst xmlns="http://schemas.openxmlformats.org/spreadsheetml/2006/main" count="839" uniqueCount="347">
  <si>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</si>
  <si>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</si>
  <si>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</si>
  <si>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</si>
  <si>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</si>
  <si>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</si>
  <si>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</si>
  <si>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</si>
  <si>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</si>
  <si>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</si>
  <si>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</si>
  <si>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</si>
  <si>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</si>
  <si>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</si>
  <si>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</si>
  <si>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</si>
  <si>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</si>
  <si>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</si>
  <si>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</si>
  <si>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</si>
  <si>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</si>
  <si>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</si>
  <si>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</si>
  <si>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</si>
  <si>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</si>
  <si>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</si>
  <si>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</si>
  <si>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</si>
  <si>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</si>
  <si>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</si>
  <si>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</si>
  <si>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</si>
  <si>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</si>
  <si>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</si>
  <si>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</si>
  <si>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</si>
  <si>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</si>
  <si>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</si>
  <si>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</si>
  <si>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</si>
  <si>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</si>
  <si>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</si>
  <si>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</si>
  <si>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</si>
  <si>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</si>
  <si>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</si>
  <si>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</si>
  <si>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</si>
  <si>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</si>
  <si>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</si>
  <si>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</si>
  <si>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</si>
  <si>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</si>
  <si>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</si>
  <si>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</si>
  <si>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</si>
  <si>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</si>
  <si>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</si>
  <si>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</si>
  <si>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</si>
  <si>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</si>
  <si>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</si>
  <si>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</si>
  <si>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</si>
  <si>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</si>
  <si>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</si>
  <si>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</si>
  <si>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</si>
  <si>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</si>
  <si>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</si>
  <si>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</si>
  <si>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</si>
  <si>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</si>
  <si>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</si>
  <si>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</si>
  <si>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</si>
  <si>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</si>
  <si>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</si>
  <si>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</si>
  <si>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</si>
  <si>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</si>
  <si>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</si>
  <si>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</si>
  <si>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</si>
  <si>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</si>
  <si>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</si>
  <si>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</si>
  <si>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</si>
  <si>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</si>
  <si>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</si>
  <si>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</si>
  <si>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</si>
  <si>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</si>
  <si>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</si>
  <si>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</si>
  <si>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</si>
  <si>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</si>
  <si>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</si>
  <si>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</si>
  <si>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</si>
  <si>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</si>
  <si>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</si>
  <si>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</si>
  <si>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</si>
  <si>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</si>
  <si>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</si>
  <si>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</si>
  <si>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</si>
  <si>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</si>
  <si>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</si>
  <si>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</si>
  <si>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</si>
  <si>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</si>
  <si>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</si>
  <si>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</si>
  <si>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</si>
  <si>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</si>
  <si>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</si>
  <si>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</si>
  <si>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</si>
  <si>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</si>
  <si>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</si>
  <si>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</si>
  <si>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</si>
  <si>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</si>
  <si>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</si>
  <si>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暗卒</t>
    <phoneticPr fontId="1" type="noConversion"/>
  </si>
  <si>
    <t>壮年</t>
    <phoneticPr fontId="1" type="noConversion"/>
  </si>
  <si>
    <t>樱灵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</si>
  <si>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</si>
  <si>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</si>
  <si>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</si>
  <si>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</si>
  <si>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</si>
  <si>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</si>
  <si>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</si>
  <si>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</si>
  <si>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</si>
  <si>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</si>
  <si>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</si>
  <si>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</si>
  <si>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</si>
  <si>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</si>
  <si>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</si>
  <si>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</si>
  <si>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</si>
  <si>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</si>
  <si>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</si>
  <si>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</si>
  <si>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</si>
  <si>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</si>
  <si>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</si>
  <si>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</si>
  <si>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</si>
  <si>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</si>
  <si>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</si>
  <si>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</si>
  <si>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</si>
  <si>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</si>
  <si>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</si>
  <si>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</si>
  <si>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</si>
  <si>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</si>
  <si>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</si>
  <si>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</si>
  <si>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</si>
  <si>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</si>
  <si>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</si>
  <si>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</si>
  <si>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</si>
  <si>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</si>
  <si>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</si>
  <si>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</si>
  <si>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</si>
  <si>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</si>
  <si>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</si>
  <si>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</si>
  <si>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</si>
  <si>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</si>
  <si>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</si>
  <si>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</si>
  <si>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</si>
  <si>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</si>
  <si>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</si>
  <si>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</si>
  <si>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地</t>
    <phoneticPr fontId="1" type="noConversion"/>
  </si>
  <si>
    <t>火</t>
    <phoneticPr fontId="1" type="noConversion"/>
  </si>
  <si>
    <t>暗炮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</si>
  <si>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</si>
  <si>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</si>
  <si>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</si>
  <si>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</si>
  <si>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</si>
  <si>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</si>
  <si>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</si>
  <si>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</si>
  <si>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</si>
  <si>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</si>
  <si>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</si>
  <si>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</si>
  <si>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</si>
  <si>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</si>
  <si>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</si>
  <si>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</si>
  <si>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</si>
  <si>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</si>
  <si>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</si>
  <si>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</si>
  <si>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</si>
  <si>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</si>
  <si>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</si>
  <si>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</si>
  <si>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厚皮老牛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</si>
  <si>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</si>
  <si>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</si>
  <si>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</si>
  <si>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</si>
  <si>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</si>
  <si>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</si>
  <si>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</si>
  <si>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</si>
  <si>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一万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</si>
  <si>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</si>
  <si>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</si>
  <si>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</si>
  <si>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</si>
  <si>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</si>
  <si>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</si>
  <si>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</si>
  <si>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一条</t>
    <phoneticPr fontId="1" type="noConversion"/>
  </si>
  <si>
    <t>心云猎手</t>
    <phoneticPr fontId="1" type="noConversion"/>
  </si>
  <si>
    <t>狐妮</t>
    <phoneticPr fontId="1" type="noConversion"/>
  </si>
  <si>
    <t>火</t>
    <phoneticPr fontId="1" type="noConversion"/>
  </si>
  <si>
    <t>如来佛祖</t>
    <phoneticPr fontId="1" type="noConversion"/>
  </si>
  <si>
    <t>粘球</t>
    <phoneticPr fontId="1" type="noConversion"/>
  </si>
  <si>
    <t>木</t>
    <phoneticPr fontId="1" type="noConversion"/>
  </si>
  <si>
    <t>地</t>
    <phoneticPr fontId="1" type="noConversion"/>
  </si>
  <si>
    <t>星络典</t>
    <phoneticPr fontId="1" type="noConversion"/>
  </si>
  <si>
    <t>秋灵</t>
    <phoneticPr fontId="1" type="noConversion"/>
  </si>
  <si>
    <t>火</t>
    <phoneticPr fontId="1" type="noConversion"/>
  </si>
  <si>
    <t>地</t>
    <phoneticPr fontId="1" type="noConversion"/>
  </si>
  <si>
    <t>司秋</t>
    <phoneticPr fontId="1" type="noConversion"/>
  </si>
  <si>
    <t>天秤星</t>
    <phoneticPr fontId="1" type="noConversion"/>
  </si>
  <si>
    <t>楔</t>
    <phoneticPr fontId="1" type="noConversion"/>
  </si>
  <si>
    <t>东风</t>
    <phoneticPr fontId="1" type="noConversion"/>
  </si>
  <si>
    <t>青年</t>
    <phoneticPr fontId="1" type="noConversion"/>
  </si>
  <si>
    <t>壮年</t>
    <phoneticPr fontId="1" type="noConversion"/>
  </si>
  <si>
    <t>火</t>
    <phoneticPr fontId="1" type="noConversion"/>
  </si>
  <si>
    <t>女侍</t>
    <phoneticPr fontId="1" type="noConversion"/>
  </si>
  <si>
    <t>女侍</t>
    <phoneticPr fontId="1" type="noConversion"/>
  </si>
  <si>
    <t>九天玄老</t>
    <phoneticPr fontId="1" type="noConversion"/>
  </si>
  <si>
    <t>暗</t>
    <phoneticPr fontId="1" type="noConversion"/>
  </si>
  <si>
    <t>毒尾</t>
    <phoneticPr fontId="1" type="noConversion"/>
  </si>
  <si>
    <t>暗</t>
    <phoneticPr fontId="1" type="noConversion"/>
  </si>
  <si>
    <t>丑牛小侍者</t>
    <phoneticPr fontId="1" type="noConversion"/>
  </si>
  <si>
    <t>丑牛小侍者</t>
    <phoneticPr fontId="1" type="noConversion"/>
  </si>
  <si>
    <t>蟹粉汤包</t>
    <phoneticPr fontId="1" type="noConversion"/>
  </si>
  <si>
    <t>蟹粉汤包</t>
    <phoneticPr fontId="1" type="noConversion"/>
  </si>
  <si>
    <t>幻</t>
    <phoneticPr fontId="1" type="noConversion"/>
  </si>
  <si>
    <t>大司马</t>
    <phoneticPr fontId="1" type="noConversion"/>
  </si>
  <si>
    <t>火</t>
    <phoneticPr fontId="1" type="noConversion"/>
  </si>
  <si>
    <t>壮年</t>
    <phoneticPr fontId="1" type="noConversion"/>
  </si>
  <si>
    <t>七绝散人</t>
    <phoneticPr fontId="1" type="noConversion"/>
  </si>
  <si>
    <t>无名劫匪</t>
    <phoneticPr fontId="1" type="noConversion"/>
  </si>
  <si>
    <t>星燃</t>
    <phoneticPr fontId="1" type="noConversion"/>
  </si>
  <si>
    <t>魔少</t>
    <phoneticPr fontId="1" type="noConversion"/>
  </si>
  <si>
    <t>战马.波妮</t>
    <phoneticPr fontId="1" type="noConversion"/>
  </si>
  <si>
    <t>小山贼</t>
    <phoneticPr fontId="1" type="noConversion"/>
  </si>
  <si>
    <t>小山贼</t>
    <phoneticPr fontId="1" type="noConversion"/>
  </si>
  <si>
    <t>雨梨标</t>
    <phoneticPr fontId="1" type="noConversion"/>
  </si>
  <si>
    <t>枯蛛</t>
    <phoneticPr fontId="1" type="noConversion"/>
  </si>
  <si>
    <t>刺灵</t>
    <phoneticPr fontId="1" type="noConversion"/>
  </si>
  <si>
    <t>刺灵</t>
    <phoneticPr fontId="1" type="noConversion"/>
  </si>
  <si>
    <t>福球</t>
    <phoneticPr fontId="1" type="noConversion"/>
  </si>
  <si>
    <t>福球</t>
    <phoneticPr fontId="1" type="noConversion"/>
  </si>
  <si>
    <t>四遁傀兵</t>
    <phoneticPr fontId="1" type="noConversion"/>
  </si>
  <si>
    <t>三灵珠仔</t>
    <phoneticPr fontId="1" type="noConversion"/>
  </si>
  <si>
    <t>彩运</t>
    <phoneticPr fontId="1" type="noConversion"/>
  </si>
  <si>
    <t>离辰</t>
    <phoneticPr fontId="1" type="noConversion"/>
  </si>
  <si>
    <t>东皇钟(2),</t>
  </si>
  <si>
    <t>幸运符文叉大(2),</t>
  </si>
  <si>
    <t>筹码大(1),</t>
    <phoneticPr fontId="1" type="noConversion"/>
  </si>
  <si>
    <t>筹码大(1),</t>
    <phoneticPr fontId="1" type="noConversion"/>
  </si>
  <si>
    <t>东皇钟(7),_x000D_
女娲石(8),</t>
    <phoneticPr fontId="1" type="noConversion"/>
  </si>
  <si>
    <t>东皇钟(7),_x000D_
女娲石(8),</t>
    <phoneticPr fontId="1" type="noConversion"/>
  </si>
  <si>
    <t>女娲石(2),_x000D_
神农鼎(1),</t>
    <phoneticPr fontId="1" type="noConversion"/>
  </si>
  <si>
    <t>欠条大(2),</t>
    <phoneticPr fontId="1" type="noConversion"/>
  </si>
  <si>
    <t>欠条大(2),</t>
    <phoneticPr fontId="1" type="noConversion"/>
  </si>
  <si>
    <t>骰子大(2),</t>
    <phoneticPr fontId="1" type="noConversion"/>
  </si>
  <si>
    <t>糯米(2),</t>
    <phoneticPr fontId="1" type="noConversion"/>
  </si>
  <si>
    <t>神农鼎(2),</t>
    <phoneticPr fontId="1" type="noConversion"/>
  </si>
  <si>
    <t>糯米(3),</t>
    <phoneticPr fontId="1" type="noConversion"/>
  </si>
  <si>
    <t>神农鼎(3),</t>
    <phoneticPr fontId="1" type="noConversion"/>
  </si>
  <si>
    <t>东皇钟(3),_x000D_
神农鼎(3),</t>
    <phoneticPr fontId="1" type="noConversion"/>
  </si>
  <si>
    <t>螃蟹(3),</t>
    <phoneticPr fontId="1" type="noConversion"/>
  </si>
  <si>
    <t>智慧符文叉大(1),</t>
    <phoneticPr fontId="1" type="noConversion"/>
  </si>
  <si>
    <t>桂花酒(5),</t>
    <phoneticPr fontId="1" type="noConversion"/>
  </si>
  <si>
    <t>桂花(5),</t>
    <phoneticPr fontId="1" type="noConversion"/>
  </si>
  <si>
    <t>桂花酒(5),</t>
    <phoneticPr fontId="1" type="noConversion"/>
  </si>
  <si>
    <t>星络典(10),</t>
    <phoneticPr fontId="1" type="noConversion"/>
  </si>
  <si>
    <t>欠条大(7),</t>
    <phoneticPr fontId="1" type="noConversion"/>
  </si>
  <si>
    <t>骰子大(7),</t>
    <phoneticPr fontId="1" type="noConversion"/>
  </si>
  <si>
    <t>神农鼎(7),</t>
    <phoneticPr fontId="1" type="noConversion"/>
  </si>
  <si>
    <t>彗星(14),</t>
    <phoneticPr fontId="1" type="noConversion"/>
  </si>
  <si>
    <t>魅力符文叉大(34),</t>
    <phoneticPr fontId="1" type="noConversion"/>
  </si>
  <si>
    <t>女娲石(8),_x000D_
彗星(24),</t>
    <phoneticPr fontId="1" type="noConversion"/>
  </si>
  <si>
    <t>幸运符文叉大(32),</t>
    <phoneticPr fontId="1" type="noConversion"/>
  </si>
  <si>
    <t>超进阶素材光(29),</t>
    <phoneticPr fontId="1" type="noConversion"/>
  </si>
  <si>
    <t>超进阶素材光(29),</t>
    <phoneticPr fontId="1" type="noConversion"/>
  </si>
  <si>
    <t>金甲虫(29),</t>
    <phoneticPr fontId="1" type="noConversion"/>
  </si>
  <si>
    <t>金甲虫(179),</t>
    <phoneticPr fontId="1" type="noConversion"/>
  </si>
  <si>
    <t>筹码大(1),_x000D_
庄家令牌大(2),</t>
    <phoneticPr fontId="1" type="noConversion"/>
  </si>
  <si>
    <t>欠条大(2),_x000D_
骰子大(2),</t>
    <phoneticPr fontId="1" type="noConversion"/>
  </si>
  <si>
    <t>欠条大(2),_x000D_
庄家令牌大(2),</t>
    <phoneticPr fontId="1" type="noConversion"/>
  </si>
  <si>
    <t>糯米(5),_x000D_
粽叶(1),</t>
    <phoneticPr fontId="1" type="noConversion"/>
  </si>
  <si>
    <t>糯米(3),_x000D_
粽叶(5),</t>
    <phoneticPr fontId="1" type="noConversion"/>
  </si>
  <si>
    <t>东皇钟(12),_x000D_
女娲石(13),</t>
    <phoneticPr fontId="1" type="noConversion"/>
  </si>
  <si>
    <t>桂花(5),_x000D_
桂花酒(5),</t>
    <phoneticPr fontId="1" type="noConversion"/>
  </si>
  <si>
    <t>钱袋大(4),_x000D_
筹码大(9),</t>
    <phoneticPr fontId="1" type="noConversion"/>
  </si>
  <si>
    <t>钱袋大(4),_x000D_
筹码大(9),</t>
    <phoneticPr fontId="1" type="noConversion"/>
  </si>
  <si>
    <t>神农鼎(12),_x000D_
幸运符文叉大(7),</t>
    <phoneticPr fontId="1" type="noConversion"/>
  </si>
  <si>
    <t>欠条大(10),_x000D_
钱袋大(4),</t>
    <phoneticPr fontId="1" type="noConversion"/>
  </si>
  <si>
    <t>欠条大(10),_x000D_
钱袋大(4),</t>
    <phoneticPr fontId="1" type="noConversion"/>
  </si>
  <si>
    <t>糯米(5),_x000D_
粽叶(10),</t>
    <phoneticPr fontId="1" type="noConversion"/>
  </si>
  <si>
    <t>女娲石(13),_x000D_
神农鼎(12),</t>
    <phoneticPr fontId="1" type="noConversion"/>
  </si>
  <si>
    <t>筹码大(9),_x000D_
庄家令牌大(10),</t>
    <phoneticPr fontId="1" type="noConversion"/>
  </si>
  <si>
    <t>筹码大(9),_x000D_
庄家令牌大(10),</t>
    <phoneticPr fontId="1" type="noConversion"/>
  </si>
  <si>
    <t>欠条大(10),_x000D_
骰子大(10),</t>
    <phoneticPr fontId="1" type="noConversion"/>
  </si>
  <si>
    <t>欠条大(10),_x000D_
骰子大(10),</t>
    <phoneticPr fontId="1" type="noConversion"/>
  </si>
  <si>
    <t>骰子大(10),_x000D_
庄家令牌大(10),</t>
    <phoneticPr fontId="1" type="noConversion"/>
  </si>
  <si>
    <t>女娲石(8),_x000D_
骰子大(10),_x000D_
庄家令牌大(10),</t>
    <phoneticPr fontId="1" type="noConversion"/>
  </si>
  <si>
    <t>女娲石(8),_x000D_
骰子大(10),_x000D_
庄家令牌大(10),</t>
    <phoneticPr fontId="1" type="noConversion"/>
  </si>
  <si>
    <t>糯米(10),_x000D_
粽叶(10),</t>
    <phoneticPr fontId="1" type="noConversion"/>
  </si>
  <si>
    <t>骰子中(12),_x000D_
庄家令牌中(9),</t>
    <phoneticPr fontId="1" type="noConversion"/>
  </si>
  <si>
    <t>骰子大(2),_x000D_
筹码大(1),_x000D_
庄家令牌大(2),</t>
    <phoneticPr fontId="1" type="noConversion"/>
  </si>
  <si>
    <t>欠条大(2),_x000D_
骰子大(2),_x000D_
庄家令牌大(2),</t>
    <phoneticPr fontId="1" type="noConversion"/>
  </si>
  <si>
    <t>螃蟹(3),_x000D_
桂花(5),_x000D_
桂花酒(5),</t>
    <phoneticPr fontId="1" type="noConversion"/>
  </si>
  <si>
    <t>东皇钟(7),_x000D_
欠条大(10),_x000D_
钱袋大(4),</t>
    <phoneticPr fontId="1" type="noConversion"/>
  </si>
  <si>
    <t>东皇钟(7),_x000D_
欠条大(10),_x000D_
钱袋大(4),</t>
    <phoneticPr fontId="1" type="noConversion"/>
  </si>
  <si>
    <t>桂花(5),_x000D_
桂花酒(5),_x000D_
灯笼(5),</t>
    <phoneticPr fontId="1" type="noConversion"/>
  </si>
  <si>
    <t>神农鼎(7),_x000D_
欠条大(10),_x000D_
钱袋大(4),</t>
    <phoneticPr fontId="1" type="noConversion"/>
  </si>
  <si>
    <t>钱袋大(4),_x000D_
筹码大(9),_x000D_
庄家令牌大(10),</t>
    <phoneticPr fontId="1" type="noConversion"/>
  </si>
  <si>
    <t>欠条大(10),_x000D_
钱袋大(4),_x000D_
庄家令牌大(10),</t>
    <phoneticPr fontId="1" type="noConversion"/>
  </si>
  <si>
    <t>神农鼎(7),_x000D_
欠条大(10),_x000D_
骰子大(10),</t>
    <phoneticPr fontId="1" type="noConversion"/>
  </si>
  <si>
    <t>神农鼎(7),_x000D_
欠条大(10),_x000D_
骰子大(10),</t>
    <phoneticPr fontId="1" type="noConversion"/>
  </si>
  <si>
    <t>骰子大(10),_x000D_
筹码大(9),_x000D_
庄家令牌大(10),</t>
    <phoneticPr fontId="1" type="noConversion"/>
  </si>
  <si>
    <t>女娲石(18),_x000D_
神农鼎(17),_x000D_
幸运符文叉大(12),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</si>
</sst>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0" fillId="0" borderId="0" xfId="0" applyNumberFormat="1">
      <alignment vertical="center"/>
    </xf>
    <xf numFmtId="0" fontId="9" fillId="0" borderId="1" xfId="0" applyFont="1" applyBorder="1">
      <alignment vertical="center"/>
    </xf>
    <xf numFmtId="0" fontId="9" fillId="0" borderId="1" xfId="0" applyFont="1" applyFill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</cellXfs>
  <cellStyles count="1">
    <cellStyle name="常规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148</xdr:row>
          <xdr:rowOff>28575</xdr:rowOff>
        </xdr:from>
        <xdr:to>
          <xdr:col>1</xdr:col>
          <xdr:colOff>428625</xdr:colOff>
          <xdr:row>149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V149"/>
  <sheetViews>
    <sheetView tabSelected="1" workbookViewId="0">
      <pane xSplit="2" ySplit="1" topLeftCell="C134" activePane="bottomRight" state="frozen"/>
      <selection pane="topRight" activeCell="C1" sqref="C1"/>
      <selection pane="bottomLeft" activeCell="A3" sqref="A3"/>
      <selection pane="bottomRight" activeCell="E143" sqref="E143"/>
    </sheetView>
  </sheetViews>
  <sheetFormatPr defaultRowHeight="13.5"/>
  <cols>
    <col min="1" max="1" width="9.75" bestFit="1" customWidth="1"/>
    <col min="2" max="2" width="12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49" width="13.125" style="7" customWidth="1"/>
    <col min="50" max="50" width="11.875" style="7" customWidth="1"/>
    <col min="51" max="52" width="18.125" style="7" bestFit="1" customWidth="1"/>
    <col min="53" max="53" width="13.125" style="7" customWidth="1"/>
    <col min="54" max="54" width="15.3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64</v>
      </c>
      <c r="B1" s="8" t="s">
        <v>65</v>
      </c>
      <c r="C1" s="8" t="s">
        <v>67</v>
      </c>
      <c r="D1" s="8" t="s">
        <v>66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63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99</v>
      </c>
      <c r="Q1" s="27" t="s">
        <v>111</v>
      </c>
      <c r="R1" s="27" t="s">
        <v>105</v>
      </c>
      <c r="S1" s="27" t="s">
        <v>100</v>
      </c>
      <c r="T1" s="27" t="s">
        <v>109</v>
      </c>
      <c r="U1" s="27" t="s">
        <v>114</v>
      </c>
      <c r="V1" s="27" t="s">
        <v>101</v>
      </c>
      <c r="W1" s="27" t="s">
        <v>108</v>
      </c>
      <c r="X1" s="27" t="s">
        <v>106</v>
      </c>
      <c r="Y1" s="27" t="s">
        <v>102</v>
      </c>
      <c r="Z1" s="27" t="s">
        <v>110</v>
      </c>
      <c r="AA1" s="27" t="s">
        <v>115</v>
      </c>
      <c r="AB1" s="27" t="s">
        <v>104</v>
      </c>
      <c r="AC1" s="27" t="s">
        <v>103</v>
      </c>
      <c r="AD1" s="27" t="s">
        <v>125</v>
      </c>
      <c r="AE1" s="8" t="s">
        <v>8</v>
      </c>
      <c r="AF1" s="8" t="s">
        <v>27</v>
      </c>
      <c r="AG1" s="8" t="s">
        <v>28</v>
      </c>
      <c r="AH1" s="8" t="s">
        <v>54</v>
      </c>
      <c r="AI1" s="8" t="s">
        <v>55</v>
      </c>
      <c r="AJ1" s="8" t="s">
        <v>57</v>
      </c>
      <c r="AK1" s="8" t="s">
        <v>58</v>
      </c>
      <c r="AL1" s="8" t="s">
        <v>60</v>
      </c>
      <c r="AM1" s="8" t="s">
        <v>47</v>
      </c>
      <c r="AN1" s="8" t="s">
        <v>48</v>
      </c>
      <c r="AO1" s="8" t="s">
        <v>87</v>
      </c>
      <c r="AP1" s="8" t="s">
        <v>88</v>
      </c>
      <c r="AQ1" s="10" t="s">
        <v>37</v>
      </c>
      <c r="AR1" s="10" t="s">
        <v>4</v>
      </c>
      <c r="AS1" s="10" t="s">
        <v>25</v>
      </c>
      <c r="AT1" s="10" t="s">
        <v>50</v>
      </c>
      <c r="AU1" s="10" t="s">
        <v>52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84</v>
      </c>
      <c r="BD1" s="8" t="s">
        <v>237</v>
      </c>
      <c r="BE1" s="8" t="s">
        <v>15</v>
      </c>
      <c r="BF1" s="8" t="s">
        <v>14</v>
      </c>
      <c r="BG1" s="8" t="s">
        <v>12</v>
      </c>
      <c r="BH1" s="8" t="s">
        <v>13</v>
      </c>
      <c r="BI1" s="8" t="s">
        <v>16</v>
      </c>
      <c r="BJ1" s="8" t="s">
        <v>17</v>
      </c>
      <c r="BK1" s="8" t="s">
        <v>30</v>
      </c>
      <c r="BL1" s="8" t="s">
        <v>31</v>
      </c>
      <c r="BM1" s="8" t="s">
        <v>32</v>
      </c>
      <c r="BN1" s="8" t="s">
        <v>33</v>
      </c>
      <c r="BO1" s="8" t="s">
        <v>34</v>
      </c>
      <c r="BP1" s="8" t="s">
        <v>35</v>
      </c>
      <c r="BQ1" s="12" t="s">
        <v>71</v>
      </c>
      <c r="BR1" s="8" t="s">
        <v>72</v>
      </c>
      <c r="BS1" s="16" t="s">
        <v>73</v>
      </c>
      <c r="BT1" s="16"/>
      <c r="BU1" s="13" t="s">
        <v>211</v>
      </c>
    </row>
    <row r="2" spans="1:74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>
        <v>20</v>
      </c>
      <c r="BF2" s="1">
        <v>20</v>
      </c>
      <c r="BG2" s="1"/>
      <c r="BH2" s="1"/>
      <c r="BI2" s="1">
        <v>20</v>
      </c>
      <c r="BJ2" s="1">
        <v>20</v>
      </c>
      <c r="BK2" s="1"/>
      <c r="BL2" s="1"/>
      <c r="BM2" s="1"/>
      <c r="BN2" s="1"/>
      <c r="BO2" s="1"/>
      <c r="BP2" s="1"/>
      <c r="BQ2" s="1">
        <f>SUM(E2:BP2)</f>
        <v>80</v>
      </c>
      <c r="BR2" s="1">
        <v>0</v>
      </c>
      <c r="BS2" s="17">
        <v>0</v>
      </c>
      <c r="BT2" s="17"/>
      <c r="BU2">
        <f>SUM(P2:AD2)</f>
        <v>0</v>
      </c>
      <c r="BV2" s="23">
        <f>AF2+AH2+AI2+AJ2+AO2+AP2</f>
        <v>0</v>
      </c>
    </row>
    <row r="3" spans="1:74">
      <c r="A3" s="1"/>
      <c r="B3" s="1" t="s">
        <v>117</v>
      </c>
      <c r="C3" s="1" t="s">
        <v>116</v>
      </c>
      <c r="D3" s="1" t="s">
        <v>96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>
        <v>10</v>
      </c>
      <c r="Q3" s="28"/>
      <c r="R3" s="28"/>
      <c r="S3" s="28">
        <v>10</v>
      </c>
      <c r="T3" s="28"/>
      <c r="U3" s="28"/>
      <c r="V3" s="28">
        <v>10</v>
      </c>
      <c r="W3" s="28"/>
      <c r="X3" s="28"/>
      <c r="Y3" s="28">
        <v>10</v>
      </c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>SUM(E3:BP3)</f>
        <v>40</v>
      </c>
      <c r="BR3" s="1">
        <v>0</v>
      </c>
      <c r="BS3" s="17">
        <v>0</v>
      </c>
      <c r="BT3" s="17"/>
      <c r="BU3">
        <f>SUM(P3:AD3)</f>
        <v>40</v>
      </c>
      <c r="BV3" s="23">
        <f>AF3+AH3+AI3+AJ3+AO3+AP3</f>
        <v>0</v>
      </c>
    </row>
    <row r="4" spans="1:74" s="39" customFormat="1">
      <c r="A4" s="1"/>
      <c r="B4" s="1" t="s">
        <v>119</v>
      </c>
      <c r="C4" s="1" t="s">
        <v>120</v>
      </c>
      <c r="D4" s="1" t="s">
        <v>96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>
        <v>10</v>
      </c>
      <c r="Q4" s="28"/>
      <c r="R4" s="28"/>
      <c r="S4" s="28">
        <v>10</v>
      </c>
      <c r="T4" s="28"/>
      <c r="U4" s="28"/>
      <c r="V4" s="28">
        <v>10</v>
      </c>
      <c r="W4" s="28"/>
      <c r="X4" s="28"/>
      <c r="Y4" s="28">
        <v>10</v>
      </c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>SUM(E4:BP4)</f>
        <v>40</v>
      </c>
      <c r="BR4" s="1">
        <v>0</v>
      </c>
      <c r="BS4" s="17">
        <v>0</v>
      </c>
      <c r="BT4" s="17"/>
      <c r="BU4">
        <f>SUM(P4:AD4)</f>
        <v>40</v>
      </c>
      <c r="BV4" s="23">
        <f>AF4+AH4+AI4+AJ4+AO4+AP4</f>
        <v>0</v>
      </c>
    </row>
    <row r="5" spans="1:74">
      <c r="A5" s="1"/>
      <c r="B5" s="1" t="s">
        <v>124</v>
      </c>
      <c r="C5" s="1" t="s">
        <v>122</v>
      </c>
      <c r="D5" s="1" t="s">
        <v>96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>
        <v>10</v>
      </c>
      <c r="W5" s="28"/>
      <c r="X5" s="28"/>
      <c r="Y5" s="28">
        <v>10</v>
      </c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>SUM(E5:BP5)</f>
        <v>40</v>
      </c>
      <c r="BR5" s="1">
        <v>0</v>
      </c>
      <c r="BS5" s="17">
        <v>0</v>
      </c>
      <c r="BT5" s="17"/>
      <c r="BU5">
        <f>SUM(P5:AD5)</f>
        <v>40</v>
      </c>
      <c r="BV5" s="23">
        <f>AF5+AH5+AI5+AJ5+AO5+AP5</f>
        <v>0</v>
      </c>
    </row>
    <row r="6" spans="1:74">
      <c r="A6" s="1"/>
      <c r="B6" s="1" t="s">
        <v>126</v>
      </c>
      <c r="C6" s="1" t="s">
        <v>122</v>
      </c>
      <c r="D6" s="1" t="s">
        <v>96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>
        <v>10</v>
      </c>
      <c r="W6" s="28"/>
      <c r="X6" s="28"/>
      <c r="Y6" s="28">
        <v>10</v>
      </c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>SUM(E6:BP6)</f>
        <v>40</v>
      </c>
      <c r="BR6" s="1">
        <v>0</v>
      </c>
      <c r="BS6" s="17">
        <v>0</v>
      </c>
      <c r="BT6" s="17"/>
      <c r="BU6">
        <f>SUM(P6:AD6)</f>
        <v>40</v>
      </c>
      <c r="BV6" s="23">
        <f>AF6+AH6+AI6+AJ6+AO6+AP6</f>
        <v>0</v>
      </c>
    </row>
    <row r="7" spans="1:74">
      <c r="A7" s="1"/>
      <c r="B7" s="3" t="s">
        <v>183</v>
      </c>
      <c r="C7" s="3" t="s">
        <v>49</v>
      </c>
      <c r="D7" s="1" t="s">
        <v>181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>
        <v>10</v>
      </c>
      <c r="W7" s="28"/>
      <c r="X7" s="28"/>
      <c r="Y7" s="28">
        <v>10</v>
      </c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>SUM(E7:BP7)</f>
        <v>40</v>
      </c>
      <c r="BR7" s="1">
        <v>0</v>
      </c>
      <c r="BS7" s="17">
        <v>0</v>
      </c>
      <c r="BT7" s="17"/>
      <c r="BU7">
        <f>SUM(P7:AD7)</f>
        <v>40</v>
      </c>
      <c r="BV7" s="23">
        <f>AF7+AH7+AI7+AJ7+AO7+AP7</f>
        <v>0</v>
      </c>
    </row>
    <row r="8" spans="1:74" s="23" customFormat="1">
      <c r="A8" s="1"/>
      <c r="B8" s="3" t="s">
        <v>187</v>
      </c>
      <c r="C8" s="3" t="s">
        <v>94</v>
      </c>
      <c r="D8" s="1" t="s">
        <v>181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>
        <v>10</v>
      </c>
      <c r="W8" s="28"/>
      <c r="X8" s="28"/>
      <c r="Y8" s="28">
        <v>10</v>
      </c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>SUM(E8:BP8)</f>
        <v>40</v>
      </c>
      <c r="BR8" s="1">
        <v>0</v>
      </c>
      <c r="BS8" s="17">
        <v>0</v>
      </c>
      <c r="BT8" s="17"/>
      <c r="BU8">
        <f>SUM(P8:AD8)</f>
        <v>40</v>
      </c>
      <c r="BV8" s="23">
        <f>AF8+AH8+AI8+AJ8+AO8+AP8</f>
        <v>0</v>
      </c>
    </row>
    <row r="9" spans="1:74">
      <c r="A9" s="1"/>
      <c r="B9" s="1" t="s">
        <v>119</v>
      </c>
      <c r="C9" s="1" t="s">
        <v>120</v>
      </c>
      <c r="D9" s="1" t="s">
        <v>97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/>
      <c r="Q9" s="28"/>
      <c r="R9" s="28"/>
      <c r="S9" s="28"/>
      <c r="T9" s="28"/>
      <c r="U9" s="28"/>
      <c r="V9" s="28">
        <v>10</v>
      </c>
      <c r="W9" s="28"/>
      <c r="X9" s="28"/>
      <c r="Y9" s="28">
        <v>10</v>
      </c>
      <c r="Z9" s="28"/>
      <c r="AA9" s="28"/>
      <c r="AB9" s="28">
        <v>10</v>
      </c>
      <c r="AC9" s="28">
        <v>5</v>
      </c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>SUM(E9:BP9)</f>
        <v>35</v>
      </c>
      <c r="BR9" s="1">
        <v>0</v>
      </c>
      <c r="BS9" s="17">
        <v>0</v>
      </c>
      <c r="BT9" s="17"/>
      <c r="BU9">
        <f>SUM(P9:AD9)</f>
        <v>35</v>
      </c>
      <c r="BV9" s="23">
        <f>AF9+AH9+AI9+AJ9+AO9+AP9</f>
        <v>0</v>
      </c>
    </row>
    <row r="10" spans="1:74">
      <c r="A10" s="1"/>
      <c r="B10" s="1" t="s">
        <v>126</v>
      </c>
      <c r="C10" s="1" t="s">
        <v>122</v>
      </c>
      <c r="D10" s="1" t="s">
        <v>97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/>
      <c r="R10" s="28"/>
      <c r="S10" s="28"/>
      <c r="T10" s="28"/>
      <c r="U10" s="28"/>
      <c r="V10" s="28">
        <v>10</v>
      </c>
      <c r="W10" s="28"/>
      <c r="X10" s="28"/>
      <c r="Y10" s="28">
        <v>10</v>
      </c>
      <c r="Z10" s="28"/>
      <c r="AA10" s="28"/>
      <c r="AB10" s="28">
        <v>10</v>
      </c>
      <c r="AC10" s="28">
        <v>5</v>
      </c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>SUM(E10:BP10)</f>
        <v>35</v>
      </c>
      <c r="BR10" s="1">
        <v>0</v>
      </c>
      <c r="BS10" s="17">
        <v>0</v>
      </c>
      <c r="BT10" s="17"/>
      <c r="BU10">
        <f>SUM(P10:AD10)</f>
        <v>35</v>
      </c>
      <c r="BV10" s="23">
        <f>AF10+AH10+AI10+AJ10+AO10+AP10</f>
        <v>0</v>
      </c>
    </row>
    <row r="11" spans="1:74">
      <c r="A11" s="1"/>
      <c r="B11" s="3" t="s">
        <v>183</v>
      </c>
      <c r="C11" s="3" t="s">
        <v>49</v>
      </c>
      <c r="D11" s="1" t="s">
        <v>0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/>
      <c r="Q11" s="28"/>
      <c r="R11" s="28"/>
      <c r="S11" s="28"/>
      <c r="T11" s="28"/>
      <c r="U11" s="28"/>
      <c r="V11" s="28">
        <v>10</v>
      </c>
      <c r="W11" s="28"/>
      <c r="X11" s="28"/>
      <c r="Y11" s="28">
        <v>10</v>
      </c>
      <c r="Z11" s="28"/>
      <c r="AA11" s="28"/>
      <c r="AB11" s="28">
        <v>10</v>
      </c>
      <c r="AC11" s="28">
        <v>5</v>
      </c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>SUM(E11:BP11)</f>
        <v>35</v>
      </c>
      <c r="BR11" s="1">
        <v>0</v>
      </c>
      <c r="BS11" s="17">
        <v>0</v>
      </c>
      <c r="BT11" s="17"/>
      <c r="BU11">
        <f>SUM(P11:AD11)</f>
        <v>35</v>
      </c>
      <c r="BV11" s="23">
        <f>AF11+AH11+AI11+AJ11+AO11+AP11</f>
        <v>0</v>
      </c>
    </row>
    <row r="12" spans="1:74" s="38" customFormat="1">
      <c r="A12" s="1"/>
      <c r="B12" s="3" t="s">
        <v>187</v>
      </c>
      <c r="C12" s="3" t="s">
        <v>94</v>
      </c>
      <c r="D12" s="1" t="s">
        <v>0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/>
      <c r="Q12" s="28"/>
      <c r="R12" s="28"/>
      <c r="S12" s="28"/>
      <c r="T12" s="28"/>
      <c r="U12" s="28"/>
      <c r="V12" s="28">
        <v>10</v>
      </c>
      <c r="W12" s="28"/>
      <c r="X12" s="28"/>
      <c r="Y12" s="28">
        <v>10</v>
      </c>
      <c r="Z12" s="28"/>
      <c r="AA12" s="28"/>
      <c r="AB12" s="28">
        <v>10</v>
      </c>
      <c r="AC12" s="28">
        <v>5</v>
      </c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>SUM(E12:BP12)</f>
        <v>35</v>
      </c>
      <c r="BR12" s="1">
        <v>0</v>
      </c>
      <c r="BS12" s="17">
        <v>0</v>
      </c>
      <c r="BT12" s="17"/>
      <c r="BU12">
        <f>SUM(P12:AD12)</f>
        <v>35</v>
      </c>
      <c r="BV12" s="23">
        <f>AF12+AH12+AI12+AJ12+AO12+AP12</f>
        <v>0</v>
      </c>
    </row>
    <row r="13" spans="1:74">
      <c r="A13" s="1"/>
      <c r="B13" s="1" t="s">
        <v>117</v>
      </c>
      <c r="C13" s="1" t="s">
        <v>116</v>
      </c>
      <c r="D13" s="1" t="s">
        <v>97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>
        <v>5</v>
      </c>
      <c r="R13" s="28"/>
      <c r="S13" s="28"/>
      <c r="T13" s="28"/>
      <c r="U13" s="28"/>
      <c r="V13" s="28">
        <v>10</v>
      </c>
      <c r="W13" s="28"/>
      <c r="X13" s="28"/>
      <c r="Y13" s="28">
        <v>10</v>
      </c>
      <c r="Z13" s="28"/>
      <c r="AA13" s="28"/>
      <c r="AB13" s="28">
        <v>10</v>
      </c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>SUM(E13:BP13)</f>
        <v>35</v>
      </c>
      <c r="BR13" s="1">
        <v>0</v>
      </c>
      <c r="BS13" s="17">
        <v>0</v>
      </c>
      <c r="BT13" s="17"/>
      <c r="BU13">
        <f>SUM(P13:AD13)</f>
        <v>35</v>
      </c>
      <c r="BV13" s="23">
        <f>AF13+AH13+AI13+AJ13+AO13+AP13</f>
        <v>0</v>
      </c>
    </row>
    <row r="14" spans="1:74">
      <c r="A14" s="1"/>
      <c r="B14" s="3" t="s">
        <v>209</v>
      </c>
      <c r="C14" s="3" t="s">
        <v>49</v>
      </c>
      <c r="D14" s="1" t="s">
        <v>0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>
        <v>5</v>
      </c>
      <c r="R14" s="28"/>
      <c r="S14" s="28"/>
      <c r="T14" s="28"/>
      <c r="U14" s="28"/>
      <c r="V14" s="28">
        <v>10</v>
      </c>
      <c r="W14" s="28"/>
      <c r="X14" s="28"/>
      <c r="Y14" s="28">
        <v>10</v>
      </c>
      <c r="Z14" s="28"/>
      <c r="AA14" s="28"/>
      <c r="AB14" s="28">
        <v>10</v>
      </c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>SUM(E14:BP14)</f>
        <v>35</v>
      </c>
      <c r="BR14" s="1">
        <v>0</v>
      </c>
      <c r="BS14" s="17">
        <v>0</v>
      </c>
      <c r="BT14" s="17"/>
      <c r="BU14">
        <f>SUM(P14:AD14)</f>
        <v>35</v>
      </c>
      <c r="BV14" s="23">
        <f>AF14+AH14+AI14+AJ14+AO14+AP14</f>
        <v>0</v>
      </c>
    </row>
    <row r="15" spans="1:74">
      <c r="A15" s="1"/>
      <c r="B15" s="1" t="s">
        <v>124</v>
      </c>
      <c r="C15" s="1" t="s">
        <v>122</v>
      </c>
      <c r="D15" s="1" t="s">
        <v>97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>
        <v>5</v>
      </c>
      <c r="R15" s="28"/>
      <c r="S15" s="28"/>
      <c r="T15" s="28"/>
      <c r="U15" s="28"/>
      <c r="V15" s="28">
        <v>10</v>
      </c>
      <c r="W15" s="28"/>
      <c r="X15" s="28"/>
      <c r="Y15" s="28"/>
      <c r="Z15" s="28">
        <v>5</v>
      </c>
      <c r="AA15" s="28"/>
      <c r="AB15" s="28">
        <v>10</v>
      </c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>SUM(E15:BP15)</f>
        <v>30</v>
      </c>
      <c r="BR15" s="1">
        <v>0</v>
      </c>
      <c r="BS15" s="17">
        <v>0</v>
      </c>
      <c r="BT15" s="17"/>
      <c r="BU15">
        <f>SUM(P15:AD15)</f>
        <v>30</v>
      </c>
      <c r="BV15" s="23">
        <f>AF15+AH15+AI15+AJ15+AO15+AP15</f>
        <v>0</v>
      </c>
    </row>
    <row r="16" spans="1:74">
      <c r="A16" s="1"/>
      <c r="B16" s="1" t="s">
        <v>229</v>
      </c>
      <c r="C16" s="1" t="s">
        <v>214</v>
      </c>
      <c r="D16" s="1" t="s">
        <v>215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>
        <v>10</v>
      </c>
      <c r="Q16" s="28"/>
      <c r="R16" s="28"/>
      <c r="S16" s="28">
        <v>10</v>
      </c>
      <c r="T16" s="28"/>
      <c r="U16" s="28"/>
      <c r="V16" s="28">
        <v>10</v>
      </c>
      <c r="W16" s="28"/>
      <c r="X16" s="28"/>
      <c r="Y16" s="28">
        <v>10</v>
      </c>
      <c r="Z16" s="28"/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>SUM(E16:BP16)</f>
        <v>40</v>
      </c>
      <c r="BR16" s="1">
        <v>0</v>
      </c>
      <c r="BS16" s="17">
        <v>0</v>
      </c>
      <c r="BT16" s="17"/>
      <c r="BU16">
        <f>SUM(P16:AD16)</f>
        <v>40</v>
      </c>
      <c r="BV16" s="23">
        <f>AF16+AH16+AI16+AJ16+AO16+AP16</f>
        <v>0</v>
      </c>
    </row>
    <row r="17" spans="1:74" s="48" customFormat="1">
      <c r="A17" s="1"/>
      <c r="B17" s="1" t="s">
        <v>213</v>
      </c>
      <c r="C17" s="1" t="s">
        <v>214</v>
      </c>
      <c r="D17" s="1" t="s">
        <v>216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>
        <v>10</v>
      </c>
      <c r="W17" s="28"/>
      <c r="X17" s="28"/>
      <c r="Y17" s="28">
        <v>10</v>
      </c>
      <c r="Z17" s="28"/>
      <c r="AA17" s="28"/>
      <c r="AB17" s="28">
        <v>10</v>
      </c>
      <c r="AC17" s="28">
        <v>5</v>
      </c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>SUM(E17:BP17)</f>
        <v>35</v>
      </c>
      <c r="BR17" s="1">
        <v>0</v>
      </c>
      <c r="BS17" s="17">
        <v>0</v>
      </c>
      <c r="BT17" s="17"/>
      <c r="BU17">
        <f>SUM(P17:AD17)</f>
        <v>35</v>
      </c>
      <c r="BV17" s="23">
        <f>AF17+AH17+AI17+AJ17+AO17+AP17</f>
        <v>0</v>
      </c>
    </row>
    <row r="18" spans="1:74">
      <c r="A18" s="1"/>
      <c r="B18" s="1" t="s">
        <v>218</v>
      </c>
      <c r="C18" s="1" t="s">
        <v>49</v>
      </c>
      <c r="D18" s="1" t="s">
        <v>215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>
        <v>5</v>
      </c>
      <c r="R18" s="28"/>
      <c r="S18" s="28"/>
      <c r="T18" s="28">
        <v>5</v>
      </c>
      <c r="U18" s="28"/>
      <c r="V18" s="28"/>
      <c r="W18" s="28"/>
      <c r="X18" s="28"/>
      <c r="Y18" s="28"/>
      <c r="Z18" s="28">
        <v>5</v>
      </c>
      <c r="AA18" s="28"/>
      <c r="AB18" s="28"/>
      <c r="AC18" s="28">
        <v>5</v>
      </c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>
        <f>SUM(E18:BP18)</f>
        <v>20</v>
      </c>
      <c r="BR18" s="1">
        <v>0</v>
      </c>
      <c r="BS18" s="17">
        <v>0</v>
      </c>
      <c r="BT18" s="17"/>
      <c r="BU18">
        <f>SUM(P18:AD18)</f>
        <v>20</v>
      </c>
      <c r="BV18" s="23">
        <f>AF18+AH18+AI18+AJ18+AO18+AP18</f>
        <v>0</v>
      </c>
    </row>
    <row r="19" spans="1:74">
      <c r="A19" s="1"/>
      <c r="B19" s="1" t="s">
        <v>221</v>
      </c>
      <c r="C19" s="1" t="s">
        <v>51</v>
      </c>
      <c r="D19" s="1" t="s">
        <v>215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>
        <v>10</v>
      </c>
      <c r="Q19" s="28"/>
      <c r="R19" s="28"/>
      <c r="S19" s="28">
        <v>10</v>
      </c>
      <c r="T19" s="28"/>
      <c r="U19" s="28"/>
      <c r="V19" s="28">
        <v>10</v>
      </c>
      <c r="W19" s="28"/>
      <c r="X19" s="28"/>
      <c r="Y19" s="28">
        <v>10</v>
      </c>
      <c r="Z19" s="28"/>
      <c r="AA19" s="28"/>
      <c r="AB19" s="28"/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>SUM(E19:BP19)</f>
        <v>40</v>
      </c>
      <c r="BR19" s="1">
        <v>0</v>
      </c>
      <c r="BS19" s="17">
        <v>0</v>
      </c>
      <c r="BT19" s="17"/>
      <c r="BU19">
        <f>SUM(P19:AD19)</f>
        <v>40</v>
      </c>
      <c r="BV19" s="23">
        <f>AF19+AH19+AI19+AJ19+AO19+AP19</f>
        <v>0</v>
      </c>
    </row>
    <row r="20" spans="1:74">
      <c r="A20" s="1"/>
      <c r="B20" s="1" t="s">
        <v>221</v>
      </c>
      <c r="C20" s="1" t="s">
        <v>51</v>
      </c>
      <c r="D20" s="1" t="s">
        <v>216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/>
      <c r="R20" s="28"/>
      <c r="S20" s="28"/>
      <c r="T20" s="28"/>
      <c r="U20" s="28"/>
      <c r="V20" s="28">
        <v>10</v>
      </c>
      <c r="W20" s="28"/>
      <c r="X20" s="28"/>
      <c r="Y20" s="28">
        <v>10</v>
      </c>
      <c r="Z20" s="28"/>
      <c r="AA20" s="28"/>
      <c r="AB20" s="28">
        <v>10</v>
      </c>
      <c r="AC20" s="28">
        <v>5</v>
      </c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>SUM(E20:BP20)</f>
        <v>35</v>
      </c>
      <c r="BR20" s="1">
        <v>0</v>
      </c>
      <c r="BS20" s="17">
        <v>0</v>
      </c>
      <c r="BT20" s="17"/>
      <c r="BU20">
        <f>SUM(P20:AD20)</f>
        <v>35</v>
      </c>
      <c r="BV20" s="23">
        <f>AF20+AH20+AI20+AJ20+AO20+AP20</f>
        <v>0</v>
      </c>
    </row>
    <row r="21" spans="1:74" s="38" customFormat="1">
      <c r="A21" s="1">
        <v>18</v>
      </c>
      <c r="B21" s="1" t="s">
        <v>26</v>
      </c>
      <c r="C21" s="1" t="s">
        <v>24</v>
      </c>
      <c r="D21" s="1" t="s">
        <v>19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1"/>
      <c r="AF21" s="1"/>
      <c r="AG21" s="1">
        <v>5</v>
      </c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>SUM(E21:BP21)</f>
        <v>5</v>
      </c>
      <c r="BR21" s="1">
        <v>0</v>
      </c>
      <c r="BS21" s="17">
        <v>0</v>
      </c>
      <c r="BT21" s="17"/>
      <c r="BU21">
        <f>SUM(P21:AD21)</f>
        <v>0</v>
      </c>
      <c r="BV21" s="23">
        <f>AF21+AH21+AI21+AJ21+AO21+AP21</f>
        <v>0</v>
      </c>
    </row>
    <row r="22" spans="1:74">
      <c r="A22" s="59"/>
      <c r="B22" s="60" t="s">
        <v>234</v>
      </c>
      <c r="C22" s="59" t="s">
        <v>235</v>
      </c>
      <c r="D22" s="59" t="s">
        <v>0</v>
      </c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59"/>
      <c r="AF22" s="59"/>
      <c r="AG22" s="59"/>
      <c r="AH22" s="59"/>
      <c r="AI22" s="59"/>
      <c r="AJ22" s="59"/>
      <c r="AK22" s="59"/>
      <c r="AL22" s="59"/>
      <c r="AM22" s="59"/>
      <c r="AN22" s="59"/>
      <c r="AO22" s="59"/>
      <c r="AP22" s="59"/>
      <c r="AQ22" s="63"/>
      <c r="AR22" s="63"/>
      <c r="AS22" s="63">
        <v>10</v>
      </c>
      <c r="AT22" s="63"/>
      <c r="AU22" s="63"/>
      <c r="AV22" s="63"/>
      <c r="AW22" s="64"/>
      <c r="AX22" s="64"/>
      <c r="AY22" s="64"/>
      <c r="AZ22" s="64"/>
      <c r="BA22" s="64"/>
      <c r="BB22" s="64">
        <v>10</v>
      </c>
      <c r="BC22" s="65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49">
        <f>SUM(E22:BP22)</f>
        <v>20</v>
      </c>
      <c r="BR22" s="59">
        <v>0</v>
      </c>
      <c r="BS22" s="66">
        <v>0</v>
      </c>
      <c r="BT22" s="66"/>
      <c r="BU22">
        <f>SUM(P22:AD22)</f>
        <v>0</v>
      </c>
      <c r="BV22" s="23">
        <f>AF22+AH22+AI22+AJ22+AO22+AP22</f>
        <v>0</v>
      </c>
    </row>
    <row r="23" spans="1:74">
      <c r="A23" s="59"/>
      <c r="B23" s="60" t="s">
        <v>238</v>
      </c>
      <c r="C23" s="59" t="s">
        <v>236</v>
      </c>
      <c r="D23" s="59" t="s">
        <v>0</v>
      </c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59"/>
      <c r="AF23" s="59"/>
      <c r="AG23" s="59"/>
      <c r="AH23" s="59"/>
      <c r="AI23" s="59"/>
      <c r="AJ23" s="59"/>
      <c r="AK23" s="59"/>
      <c r="AL23" s="59"/>
      <c r="AM23" s="59"/>
      <c r="AN23" s="59"/>
      <c r="AO23" s="59"/>
      <c r="AP23" s="59"/>
      <c r="AQ23" s="63"/>
      <c r="AR23" s="63">
        <v>10</v>
      </c>
      <c r="AS23" s="63"/>
      <c r="AT23" s="63"/>
      <c r="AU23" s="63"/>
      <c r="AV23" s="63"/>
      <c r="AW23" s="64"/>
      <c r="AX23" s="64"/>
      <c r="AY23" s="64"/>
      <c r="AZ23" s="64"/>
      <c r="BA23" s="64"/>
      <c r="BB23" s="64">
        <v>10</v>
      </c>
      <c r="BC23" s="65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49">
        <f>SUM(E23:BP23)</f>
        <v>20</v>
      </c>
      <c r="BR23" s="59">
        <v>0</v>
      </c>
      <c r="BS23" s="66">
        <v>0</v>
      </c>
      <c r="BT23" s="66"/>
      <c r="BU23">
        <f>SUM(P23:AD23)</f>
        <v>0</v>
      </c>
      <c r="BV23" s="23">
        <f>AF23+AH23+AI23+AJ23+AO23+AP23</f>
        <v>0</v>
      </c>
    </row>
    <row r="24" spans="1:74">
      <c r="A24" s="1"/>
      <c r="B24" s="1" t="s">
        <v>107</v>
      </c>
      <c r="C24" s="1" t="s">
        <v>95</v>
      </c>
      <c r="D24" s="1" t="s">
        <v>96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>
        <v>10</v>
      </c>
      <c r="Q24" s="28"/>
      <c r="R24" s="28"/>
      <c r="S24" s="28">
        <v>10</v>
      </c>
      <c r="T24" s="28"/>
      <c r="U24" s="28"/>
      <c r="V24" s="28"/>
      <c r="W24" s="28">
        <v>5</v>
      </c>
      <c r="X24" s="28"/>
      <c r="Y24" s="28"/>
      <c r="Z24" s="28"/>
      <c r="AA24" s="28"/>
      <c r="AB24" s="28">
        <v>10</v>
      </c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>SUM(E24:BP24)</f>
        <v>35</v>
      </c>
      <c r="BR24" s="1">
        <v>0</v>
      </c>
      <c r="BS24" s="17">
        <v>0</v>
      </c>
      <c r="BT24" s="17"/>
      <c r="BU24">
        <f>SUM(P24:AD24)</f>
        <v>35</v>
      </c>
      <c r="BV24" s="23">
        <f>AF24+AH24+AI24+AJ24+AO24+AP24</f>
        <v>0</v>
      </c>
    </row>
    <row r="25" spans="1:74">
      <c r="A25" s="1"/>
      <c r="B25" s="1" t="s">
        <v>112</v>
      </c>
      <c r="C25" s="1" t="s">
        <v>95</v>
      </c>
      <c r="D25" s="1" t="s">
        <v>96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>
        <v>10</v>
      </c>
      <c r="Q25" s="28"/>
      <c r="R25" s="28"/>
      <c r="S25" s="28">
        <v>10</v>
      </c>
      <c r="T25" s="28"/>
      <c r="U25" s="28"/>
      <c r="V25" s="28"/>
      <c r="W25" s="28">
        <v>5</v>
      </c>
      <c r="X25" s="28"/>
      <c r="Y25" s="28"/>
      <c r="Z25" s="28"/>
      <c r="AA25" s="28"/>
      <c r="AB25" s="28">
        <v>10</v>
      </c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>SUM(E25:BP25)</f>
        <v>35</v>
      </c>
      <c r="BR25" s="1">
        <v>0</v>
      </c>
      <c r="BS25" s="17">
        <v>0</v>
      </c>
      <c r="BT25" s="17"/>
      <c r="BU25">
        <f>SUM(P25:AD25)</f>
        <v>35</v>
      </c>
      <c r="BV25" s="23">
        <f>AF25+AH25+AI25+AJ25+AO25+AP25</f>
        <v>0</v>
      </c>
    </row>
    <row r="26" spans="1:74">
      <c r="A26" s="1"/>
      <c r="B26" s="1" t="s">
        <v>118</v>
      </c>
      <c r="C26" s="1" t="s">
        <v>116</v>
      </c>
      <c r="D26" s="1" t="s">
        <v>96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>
        <v>10</v>
      </c>
      <c r="Q26" s="28"/>
      <c r="R26" s="28"/>
      <c r="S26" s="28">
        <v>10</v>
      </c>
      <c r="T26" s="28"/>
      <c r="U26" s="28"/>
      <c r="V26" s="28"/>
      <c r="W26" s="28">
        <v>5</v>
      </c>
      <c r="X26" s="28"/>
      <c r="Y26" s="28"/>
      <c r="Z26" s="28"/>
      <c r="AA26" s="28"/>
      <c r="AB26" s="28">
        <v>10</v>
      </c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>SUM(E26:BP26)</f>
        <v>35</v>
      </c>
      <c r="BR26" s="1">
        <v>0</v>
      </c>
      <c r="BS26" s="17">
        <v>0</v>
      </c>
      <c r="BT26" s="17"/>
      <c r="BU26">
        <f>SUM(P26:AD26)</f>
        <v>35</v>
      </c>
      <c r="BV26" s="23">
        <f>AF26+AH26+AI26+AJ26+AO26+AP26</f>
        <v>0</v>
      </c>
    </row>
    <row r="27" spans="1:74">
      <c r="A27" s="1"/>
      <c r="B27" s="1" t="s">
        <v>123</v>
      </c>
      <c r="C27" s="1" t="s">
        <v>122</v>
      </c>
      <c r="D27" s="1" t="s">
        <v>96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>
        <v>10</v>
      </c>
      <c r="Q27" s="28"/>
      <c r="R27" s="28"/>
      <c r="S27" s="28">
        <v>10</v>
      </c>
      <c r="T27" s="28"/>
      <c r="U27" s="28"/>
      <c r="V27" s="28"/>
      <c r="W27" s="28">
        <v>5</v>
      </c>
      <c r="X27" s="28"/>
      <c r="Y27" s="28"/>
      <c r="Z27" s="28"/>
      <c r="AA27" s="28"/>
      <c r="AB27" s="28">
        <v>10</v>
      </c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>SUM(E27:BP27)</f>
        <v>35</v>
      </c>
      <c r="BR27" s="1">
        <v>0</v>
      </c>
      <c r="BS27" s="17">
        <v>0</v>
      </c>
      <c r="BT27" s="17"/>
      <c r="BU27">
        <f>SUM(P27:AD27)</f>
        <v>35</v>
      </c>
      <c r="BV27" s="23">
        <f>AF27+AH27+AI27+AJ27+AO27+AP27</f>
        <v>0</v>
      </c>
    </row>
    <row r="28" spans="1:74">
      <c r="A28" s="1"/>
      <c r="B28" s="3" t="s">
        <v>184</v>
      </c>
      <c r="C28" s="3" t="s">
        <v>24</v>
      </c>
      <c r="D28" s="1" t="s">
        <v>181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>
        <v>10</v>
      </c>
      <c r="Q28" s="28"/>
      <c r="R28" s="28"/>
      <c r="S28" s="28">
        <v>10</v>
      </c>
      <c r="T28" s="28"/>
      <c r="U28" s="28"/>
      <c r="V28" s="28"/>
      <c r="W28" s="28">
        <v>5</v>
      </c>
      <c r="X28" s="28"/>
      <c r="Y28" s="28"/>
      <c r="Z28" s="28"/>
      <c r="AA28" s="28"/>
      <c r="AB28" s="28">
        <v>10</v>
      </c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>SUM(E28:BP28)</f>
        <v>35</v>
      </c>
      <c r="BR28" s="1">
        <v>0</v>
      </c>
      <c r="BS28" s="17">
        <v>0</v>
      </c>
      <c r="BT28" s="17"/>
      <c r="BU28">
        <f>SUM(P28:AD28)</f>
        <v>35</v>
      </c>
      <c r="BV28" s="23">
        <f>AF28+AH28+AI28+AJ28+AO28+AP28</f>
        <v>0</v>
      </c>
    </row>
    <row r="29" spans="1:74">
      <c r="A29" s="1"/>
      <c r="B29" s="3" t="s">
        <v>188</v>
      </c>
      <c r="C29" s="3" t="s">
        <v>94</v>
      </c>
      <c r="D29" s="1" t="s">
        <v>181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>
        <v>10</v>
      </c>
      <c r="Q29" s="28"/>
      <c r="R29" s="28"/>
      <c r="S29" s="28">
        <v>10</v>
      </c>
      <c r="T29" s="28"/>
      <c r="U29" s="28"/>
      <c r="V29" s="28"/>
      <c r="W29" s="28">
        <v>5</v>
      </c>
      <c r="X29" s="28"/>
      <c r="Y29" s="28"/>
      <c r="Z29" s="28"/>
      <c r="AA29" s="28"/>
      <c r="AB29" s="28">
        <v>10</v>
      </c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>SUM(E29:BP29)</f>
        <v>35</v>
      </c>
      <c r="BR29" s="1">
        <v>0</v>
      </c>
      <c r="BS29" s="17">
        <v>0</v>
      </c>
      <c r="BT29" s="17"/>
      <c r="BU29">
        <f>SUM(P29:AD29)</f>
        <v>35</v>
      </c>
      <c r="BV29" s="23">
        <f>AF29+AH29+AI29+AJ29+AO29+AP29</f>
        <v>0</v>
      </c>
    </row>
    <row r="30" spans="1:74">
      <c r="A30" s="1"/>
      <c r="B30" s="3" t="s">
        <v>180</v>
      </c>
      <c r="C30" s="3" t="s">
        <v>49</v>
      </c>
      <c r="D30" s="1" t="s">
        <v>181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>
        <v>5</v>
      </c>
      <c r="R30" s="28"/>
      <c r="S30" s="28"/>
      <c r="T30" s="28">
        <v>5</v>
      </c>
      <c r="U30" s="28"/>
      <c r="V30" s="28"/>
      <c r="W30" s="28">
        <v>5</v>
      </c>
      <c r="X30" s="28"/>
      <c r="Y30" s="28"/>
      <c r="Z30" s="28"/>
      <c r="AA30" s="28"/>
      <c r="AB30" s="28"/>
      <c r="AC30" s="28">
        <v>5</v>
      </c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>SUM(E30:BP30)</f>
        <v>20</v>
      </c>
      <c r="BR30" s="1">
        <v>0</v>
      </c>
      <c r="BS30" s="17">
        <v>0</v>
      </c>
      <c r="BT30" s="17"/>
      <c r="BU30">
        <f>SUM(P30:AD30)</f>
        <v>20</v>
      </c>
      <c r="BV30" s="23">
        <f>AF30+AH30+AI30+AJ30+AO30+AP30</f>
        <v>0</v>
      </c>
    </row>
    <row r="31" spans="1:74">
      <c r="A31" s="1"/>
      <c r="B31" s="1" t="s">
        <v>219</v>
      </c>
      <c r="C31" s="1" t="s">
        <v>49</v>
      </c>
      <c r="D31" s="1" t="s">
        <v>215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>
        <v>10</v>
      </c>
      <c r="Q31" s="28"/>
      <c r="R31" s="28"/>
      <c r="S31" s="28">
        <v>10</v>
      </c>
      <c r="T31" s="28"/>
      <c r="U31" s="28"/>
      <c r="V31" s="28"/>
      <c r="W31" s="28">
        <v>5</v>
      </c>
      <c r="X31" s="28"/>
      <c r="Y31" s="28"/>
      <c r="Z31" s="28"/>
      <c r="AA31" s="28"/>
      <c r="AB31" s="28">
        <v>10</v>
      </c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>SUM(E31:BP31)</f>
        <v>35</v>
      </c>
      <c r="BR31" s="1">
        <v>0</v>
      </c>
      <c r="BS31" s="17">
        <v>0</v>
      </c>
      <c r="BT31" s="17"/>
      <c r="BU31">
        <f>SUM(P31:AD31)</f>
        <v>35</v>
      </c>
      <c r="BV31" s="23">
        <f>AF31+AH31+AI31+AJ31+AO31+AP31</f>
        <v>0</v>
      </c>
    </row>
    <row r="32" spans="1:74">
      <c r="A32" s="1"/>
      <c r="B32" s="1" t="s">
        <v>220</v>
      </c>
      <c r="C32" s="1" t="s">
        <v>49</v>
      </c>
      <c r="D32" s="1" t="s">
        <v>215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>
        <v>10</v>
      </c>
      <c r="Q32" s="28"/>
      <c r="R32" s="28"/>
      <c r="S32" s="28">
        <v>10</v>
      </c>
      <c r="T32" s="28"/>
      <c r="U32" s="28"/>
      <c r="V32" s="28"/>
      <c r="W32" s="28">
        <v>5</v>
      </c>
      <c r="X32" s="28"/>
      <c r="Y32" s="28"/>
      <c r="Z32" s="28"/>
      <c r="AA32" s="28"/>
      <c r="AB32" s="28">
        <v>10</v>
      </c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f>SUM(E32:BP32)</f>
        <v>35</v>
      </c>
      <c r="BR32" s="1">
        <v>0</v>
      </c>
      <c r="BS32" s="17">
        <v>0</v>
      </c>
      <c r="BT32" s="17"/>
      <c r="BU32">
        <f>SUM(P32:AD32)</f>
        <v>35</v>
      </c>
      <c r="BV32" s="23">
        <f>AF32+AH32+AI32+AJ32+AO32+AP32</f>
        <v>0</v>
      </c>
    </row>
    <row r="33" spans="1:74">
      <c r="A33" s="1"/>
      <c r="B33" s="1" t="s">
        <v>225</v>
      </c>
      <c r="C33" s="1" t="s">
        <v>36</v>
      </c>
      <c r="D33" s="1" t="s">
        <v>222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/>
      <c r="Q33" s="28">
        <v>5</v>
      </c>
      <c r="R33" s="28"/>
      <c r="S33" s="28"/>
      <c r="T33" s="28"/>
      <c r="U33" s="28"/>
      <c r="V33" s="28"/>
      <c r="W33" s="28">
        <v>5</v>
      </c>
      <c r="X33" s="28"/>
      <c r="Y33" s="28"/>
      <c r="Z33" s="28">
        <v>5</v>
      </c>
      <c r="AA33" s="28"/>
      <c r="AB33" s="28"/>
      <c r="AC33" s="28">
        <v>5</v>
      </c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f>SUM(E33:BP33)</f>
        <v>20</v>
      </c>
      <c r="BR33" s="1">
        <v>0</v>
      </c>
      <c r="BS33" s="17">
        <v>0</v>
      </c>
      <c r="BT33" s="17"/>
      <c r="BU33">
        <f>SUM(P33:AD33)</f>
        <v>20</v>
      </c>
      <c r="BV33" s="23">
        <f>AF33+AH33+AI33+AJ33+AO33+AP33</f>
        <v>0</v>
      </c>
    </row>
    <row r="34" spans="1:74" s="56" customFormat="1">
      <c r="A34" s="1"/>
      <c r="B34" s="1" t="s">
        <v>244</v>
      </c>
      <c r="C34" s="1" t="s">
        <v>95</v>
      </c>
      <c r="D34" s="1" t="s">
        <v>245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/>
      <c r="Q34" s="28">
        <v>5</v>
      </c>
      <c r="R34" s="28"/>
      <c r="S34" s="28"/>
      <c r="T34" s="28">
        <v>5</v>
      </c>
      <c r="U34" s="28"/>
      <c r="V34" s="28"/>
      <c r="W34" s="28">
        <v>5</v>
      </c>
      <c r="X34" s="28"/>
      <c r="Y34" s="28"/>
      <c r="Z34" s="28"/>
      <c r="AA34" s="28"/>
      <c r="AB34" s="28"/>
      <c r="AC34" s="28">
        <v>5</v>
      </c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f>SUM(E34:BP34)</f>
        <v>20</v>
      </c>
      <c r="BR34" s="1">
        <v>0</v>
      </c>
      <c r="BS34" s="17">
        <v>0</v>
      </c>
      <c r="BT34" s="17"/>
      <c r="BU34">
        <f>SUM(P34:AD34)</f>
        <v>20</v>
      </c>
      <c r="BV34" s="23">
        <f>AF34+AH34+AI34+AJ34+AO34+AP34</f>
        <v>0</v>
      </c>
    </row>
    <row r="35" spans="1:74">
      <c r="A35" s="49">
        <v>4</v>
      </c>
      <c r="B35" s="49" t="s">
        <v>212</v>
      </c>
      <c r="C35" s="49" t="s">
        <v>1</v>
      </c>
      <c r="D35" s="49" t="s">
        <v>164</v>
      </c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49"/>
      <c r="AF35" s="49"/>
      <c r="AG35" s="49"/>
      <c r="AH35" s="49"/>
      <c r="AI35" s="49"/>
      <c r="AJ35" s="49"/>
      <c r="AK35" s="49"/>
      <c r="AL35" s="49"/>
      <c r="AM35" s="49"/>
      <c r="AN35" s="49"/>
      <c r="AO35" s="49"/>
      <c r="AP35" s="49"/>
      <c r="AQ35" s="52">
        <v>40</v>
      </c>
      <c r="AR35" s="52"/>
      <c r="AS35" s="52"/>
      <c r="AT35" s="52"/>
      <c r="AU35" s="52"/>
      <c r="AV35" s="52"/>
      <c r="AW35" s="53">
        <v>40</v>
      </c>
      <c r="AX35" s="53">
        <v>40</v>
      </c>
      <c r="AY35" s="53"/>
      <c r="AZ35" s="53"/>
      <c r="BA35" s="53"/>
      <c r="BB35" s="53"/>
      <c r="BC35" s="54">
        <v>10</v>
      </c>
      <c r="BD35" s="49"/>
      <c r="BE35" s="49"/>
      <c r="BF35" s="49">
        <v>50</v>
      </c>
      <c r="BG35" s="49"/>
      <c r="BH35" s="49"/>
      <c r="BI35" s="49"/>
      <c r="BJ35" s="49"/>
      <c r="BK35" s="49"/>
      <c r="BL35" s="49"/>
      <c r="BM35" s="49"/>
      <c r="BN35" s="49"/>
      <c r="BO35" s="49"/>
      <c r="BP35" s="49"/>
      <c r="BQ35" s="49">
        <f>SUM(E35:BP35)</f>
        <v>180</v>
      </c>
      <c r="BR35" s="49">
        <v>0</v>
      </c>
      <c r="BS35" s="55">
        <v>0</v>
      </c>
      <c r="BT35" s="55"/>
      <c r="BU35">
        <f>SUM(P35:AD35)</f>
        <v>0</v>
      </c>
      <c r="BV35" s="23">
        <f>AF35+AH35+AI35+AJ35+AO35+AP35</f>
        <v>0</v>
      </c>
    </row>
    <row r="36" spans="1:74">
      <c r="A36" s="1"/>
      <c r="B36" s="1" t="s">
        <v>230</v>
      </c>
      <c r="C36" s="1" t="s">
        <v>82</v>
      </c>
      <c r="D36" s="1" t="s">
        <v>83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>
        <v>40</v>
      </c>
      <c r="AW36" s="2">
        <v>40</v>
      </c>
      <c r="AX36" s="2"/>
      <c r="AY36" s="2"/>
      <c r="AZ36" s="2"/>
      <c r="BA36" s="2"/>
      <c r="BB36" s="2">
        <v>40</v>
      </c>
      <c r="BC36" s="14">
        <v>10</v>
      </c>
      <c r="BD36" s="1"/>
      <c r="BE36" s="1">
        <v>50</v>
      </c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f>SUM(E36:BP36)</f>
        <v>180</v>
      </c>
      <c r="BR36" s="1">
        <v>0</v>
      </c>
      <c r="BS36" s="17">
        <v>0</v>
      </c>
      <c r="BT36" s="17"/>
      <c r="BU36">
        <f>SUM(P36:AD36)</f>
        <v>0</v>
      </c>
      <c r="BV36" s="23">
        <f>AF36+AH36+AI36+AJ36+AO36+AP36</f>
        <v>0</v>
      </c>
    </row>
    <row r="37" spans="1:74">
      <c r="A37" s="1"/>
      <c r="B37" s="1" t="s">
        <v>123</v>
      </c>
      <c r="C37" s="1" t="s">
        <v>122</v>
      </c>
      <c r="D37" s="1" t="s">
        <v>97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/>
      <c r="Q37" s="28">
        <v>5</v>
      </c>
      <c r="R37" s="28"/>
      <c r="S37" s="28"/>
      <c r="T37" s="28">
        <v>5</v>
      </c>
      <c r="U37" s="28"/>
      <c r="V37" s="28"/>
      <c r="W37" s="28"/>
      <c r="X37" s="28"/>
      <c r="Y37" s="28"/>
      <c r="Z37" s="28">
        <v>5</v>
      </c>
      <c r="AA37" s="28">
        <v>2</v>
      </c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f>SUM(E37:BP37)</f>
        <v>17</v>
      </c>
      <c r="BR37" s="1">
        <v>1</v>
      </c>
      <c r="BS37" s="17">
        <v>1</v>
      </c>
      <c r="BT37" s="17" t="s">
        <v>281</v>
      </c>
      <c r="BU37">
        <f>SUM(P37:AD37)</f>
        <v>17</v>
      </c>
      <c r="BV37" s="23">
        <f>AF37+AH37+AI37+AJ37+AO37+AP37</f>
        <v>0</v>
      </c>
    </row>
    <row r="38" spans="1:74">
      <c r="A38" s="1"/>
      <c r="B38" s="3" t="s">
        <v>273</v>
      </c>
      <c r="C38" s="3" t="s">
        <v>186</v>
      </c>
      <c r="D38" s="1" t="s">
        <v>0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8"/>
      <c r="Q38" s="28">
        <v>5</v>
      </c>
      <c r="R38" s="28"/>
      <c r="S38" s="28"/>
      <c r="T38" s="28">
        <v>5</v>
      </c>
      <c r="U38" s="28"/>
      <c r="V38" s="28"/>
      <c r="W38" s="28"/>
      <c r="X38" s="28"/>
      <c r="Y38" s="28"/>
      <c r="Z38" s="28">
        <v>5</v>
      </c>
      <c r="AA38" s="28">
        <v>2</v>
      </c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f>SUM(E38:BP38)</f>
        <v>17</v>
      </c>
      <c r="BR38" s="1">
        <v>1</v>
      </c>
      <c r="BS38" s="17">
        <v>1</v>
      </c>
      <c r="BT38" s="17" t="s">
        <v>281</v>
      </c>
      <c r="BU38">
        <f>SUM(P38:AD38)</f>
        <v>17</v>
      </c>
      <c r="BV38" s="23">
        <f>AF38+AH38+AI38+AJ38+AO38+AP38</f>
        <v>0</v>
      </c>
    </row>
    <row r="39" spans="1:74">
      <c r="A39" s="1"/>
      <c r="B39" s="1" t="s">
        <v>271</v>
      </c>
      <c r="C39" s="1" t="s">
        <v>113</v>
      </c>
      <c r="D39" s="1" t="s">
        <v>216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/>
      <c r="Q39" s="28">
        <v>5</v>
      </c>
      <c r="R39" s="28"/>
      <c r="S39" s="28"/>
      <c r="T39" s="28">
        <v>5</v>
      </c>
      <c r="U39" s="28"/>
      <c r="V39" s="28"/>
      <c r="W39" s="28"/>
      <c r="X39" s="28"/>
      <c r="Y39" s="28"/>
      <c r="Z39" s="28">
        <v>5</v>
      </c>
      <c r="AA39" s="28">
        <v>2</v>
      </c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f>SUM(E39:BP39)</f>
        <v>17</v>
      </c>
      <c r="BR39" s="1">
        <v>1</v>
      </c>
      <c r="BS39" s="17">
        <v>1</v>
      </c>
      <c r="BT39" s="17" t="s">
        <v>281</v>
      </c>
      <c r="BU39">
        <f>SUM(P39:AD39)</f>
        <v>17</v>
      </c>
      <c r="BV39" s="23">
        <f>AF39+AH39+AI39+AJ39+AO39+AP39</f>
        <v>0</v>
      </c>
    </row>
    <row r="40" spans="1:74">
      <c r="A40" s="1"/>
      <c r="B40" s="1" t="s">
        <v>219</v>
      </c>
      <c r="C40" s="1" t="s">
        <v>49</v>
      </c>
      <c r="D40" s="1" t="s">
        <v>216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/>
      <c r="Q40" s="28">
        <v>5</v>
      </c>
      <c r="R40" s="28"/>
      <c r="S40" s="28"/>
      <c r="T40" s="28">
        <v>5</v>
      </c>
      <c r="U40" s="28"/>
      <c r="V40" s="28"/>
      <c r="W40" s="28"/>
      <c r="X40" s="28"/>
      <c r="Y40" s="28"/>
      <c r="Z40" s="28">
        <v>5</v>
      </c>
      <c r="AA40" s="28">
        <v>2</v>
      </c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f>SUM(E40:BP40)</f>
        <v>17</v>
      </c>
      <c r="BR40" s="1">
        <v>1</v>
      </c>
      <c r="BS40" s="17">
        <v>1</v>
      </c>
      <c r="BT40" s="17" t="s">
        <v>282</v>
      </c>
      <c r="BU40">
        <f>SUM(P40:AD40)</f>
        <v>17</v>
      </c>
      <c r="BV40" s="23">
        <f>AF40+AH40+AI40+AJ40+AO40+AP40</f>
        <v>0</v>
      </c>
    </row>
    <row r="41" spans="1:74">
      <c r="A41" s="1"/>
      <c r="B41" s="1" t="s">
        <v>252</v>
      </c>
      <c r="C41" s="1" t="s">
        <v>253</v>
      </c>
      <c r="D41" s="1" t="s">
        <v>9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>
        <v>20</v>
      </c>
      <c r="AV41" s="4"/>
      <c r="AW41" s="2"/>
      <c r="AX41" s="2"/>
      <c r="AY41" s="2">
        <v>20</v>
      </c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f>SUM(E41:BP41)</f>
        <v>40</v>
      </c>
      <c r="BR41" s="1">
        <v>1</v>
      </c>
      <c r="BS41" s="17">
        <v>1</v>
      </c>
      <c r="BT41" s="17" t="s">
        <v>295</v>
      </c>
      <c r="BU41">
        <f>SUM(P41:AD41)</f>
        <v>0</v>
      </c>
      <c r="BV41" s="23">
        <f>AF41+AH41+AI41+AJ41+AO41+AP41</f>
        <v>0</v>
      </c>
    </row>
    <row r="42" spans="1:74">
      <c r="A42" s="1"/>
      <c r="B42" s="1" t="s">
        <v>213</v>
      </c>
      <c r="C42" s="1" t="s">
        <v>214</v>
      </c>
      <c r="D42" s="1" t="s">
        <v>217</v>
      </c>
      <c r="E42" s="6">
        <v>5</v>
      </c>
      <c r="F42" s="6"/>
      <c r="G42" s="6"/>
      <c r="H42" s="6"/>
      <c r="I42" s="6"/>
      <c r="J42" s="6"/>
      <c r="K42" s="6"/>
      <c r="L42" s="6"/>
      <c r="M42" s="6"/>
      <c r="N42" s="6"/>
      <c r="O42" s="6"/>
      <c r="P42" s="28"/>
      <c r="Q42" s="28"/>
      <c r="R42" s="28"/>
      <c r="S42" s="28"/>
      <c r="T42" s="28"/>
      <c r="U42" s="28"/>
      <c r="V42" s="28">
        <v>5</v>
      </c>
      <c r="W42" s="28"/>
      <c r="X42" s="28"/>
      <c r="Y42" s="28">
        <v>5</v>
      </c>
      <c r="Z42" s="28"/>
      <c r="AA42" s="28"/>
      <c r="AB42" s="28"/>
      <c r="AC42" s="28">
        <v>5</v>
      </c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>
        <f>SUM(E42:BP42)</f>
        <v>20</v>
      </c>
      <c r="BR42" s="1">
        <v>2</v>
      </c>
      <c r="BS42" s="17">
        <v>1</v>
      </c>
      <c r="BT42" s="17" t="s">
        <v>279</v>
      </c>
      <c r="BU42">
        <f>SUM(P42:AD42)</f>
        <v>15</v>
      </c>
      <c r="BV42" s="23">
        <f>AF42+AH42+AI42+AJ42+AO42+AP42</f>
        <v>0</v>
      </c>
    </row>
    <row r="43" spans="1:74">
      <c r="A43" s="1"/>
      <c r="B43" s="1" t="s">
        <v>255</v>
      </c>
      <c r="C43" s="3" t="s">
        <v>49</v>
      </c>
      <c r="D43" s="1" t="s">
        <v>9</v>
      </c>
      <c r="E43" s="6"/>
      <c r="F43" s="6"/>
      <c r="G43" s="6"/>
      <c r="H43" s="6"/>
      <c r="I43" s="6"/>
      <c r="J43" s="6"/>
      <c r="K43" s="6">
        <v>10</v>
      </c>
      <c r="L43" s="6"/>
      <c r="M43" s="6"/>
      <c r="N43" s="6"/>
      <c r="O43" s="6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>
        <v>10</v>
      </c>
      <c r="AU43" s="4"/>
      <c r="AV43" s="4"/>
      <c r="AW43" s="2">
        <v>10</v>
      </c>
      <c r="AX43" s="2"/>
      <c r="AY43" s="2"/>
      <c r="AZ43" s="2"/>
      <c r="BA43" s="2">
        <v>10</v>
      </c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f>SUM(E43:BP43)</f>
        <v>40</v>
      </c>
      <c r="BR43" s="1">
        <v>2</v>
      </c>
      <c r="BS43" s="17">
        <v>1</v>
      </c>
      <c r="BT43" s="17" t="s">
        <v>280</v>
      </c>
      <c r="BU43">
        <f>SUM(P43:AD43)</f>
        <v>0</v>
      </c>
      <c r="BV43" s="23">
        <f>AF43+AH43+AI43+AJ43+AO43+AP43</f>
        <v>0</v>
      </c>
    </row>
    <row r="44" spans="1:74">
      <c r="A44" s="1"/>
      <c r="B44" s="1" t="s">
        <v>160</v>
      </c>
      <c r="C44" s="1" t="s">
        <v>161</v>
      </c>
      <c r="D44" s="1" t="s">
        <v>162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>
        <v>15</v>
      </c>
      <c r="AV44" s="4"/>
      <c r="AW44" s="2"/>
      <c r="AX44" s="2"/>
      <c r="AY44" s="2">
        <v>15</v>
      </c>
      <c r="AZ44" s="2"/>
      <c r="BA44" s="2">
        <v>10</v>
      </c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>
        <f>SUM(E44:BP44)</f>
        <v>40</v>
      </c>
      <c r="BR44" s="1">
        <v>2</v>
      </c>
      <c r="BS44" s="17">
        <v>1</v>
      </c>
      <c r="BT44" s="17" t="s">
        <v>280</v>
      </c>
      <c r="BU44">
        <f>SUM(P44:AD44)</f>
        <v>0</v>
      </c>
      <c r="BV44" s="23">
        <f>AF44+AH44+AI44+AJ44+AO44+AP44</f>
        <v>0</v>
      </c>
    </row>
    <row r="45" spans="1:74">
      <c r="A45" s="1"/>
      <c r="B45" s="1" t="s">
        <v>107</v>
      </c>
      <c r="C45" s="1" t="s">
        <v>95</v>
      </c>
      <c r="D45" s="1" t="s">
        <v>97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>
        <v>5</v>
      </c>
      <c r="R45" s="28">
        <v>2</v>
      </c>
      <c r="S45" s="28"/>
      <c r="T45" s="28">
        <v>5</v>
      </c>
      <c r="U45" s="28"/>
      <c r="V45" s="28"/>
      <c r="W45" s="28"/>
      <c r="X45" s="28"/>
      <c r="Y45" s="28"/>
      <c r="Z45" s="28">
        <v>5</v>
      </c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>
        <f>SUM(E45:BP45)</f>
        <v>17</v>
      </c>
      <c r="BR45" s="1">
        <v>2</v>
      </c>
      <c r="BS45" s="17">
        <v>1</v>
      </c>
      <c r="BT45" s="17" t="s">
        <v>286</v>
      </c>
      <c r="BU45">
        <f>SUM(P45:AD45)</f>
        <v>17</v>
      </c>
      <c r="BV45" s="23">
        <f>AF45+AH45+AI45+AJ45+AO45+AP45</f>
        <v>0</v>
      </c>
    </row>
    <row r="46" spans="1:74">
      <c r="A46" s="1"/>
      <c r="B46" s="1" t="s">
        <v>112</v>
      </c>
      <c r="C46" s="1" t="s">
        <v>95</v>
      </c>
      <c r="D46" s="1" t="s">
        <v>97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/>
      <c r="Q46" s="28">
        <v>5</v>
      </c>
      <c r="R46" s="28">
        <v>2</v>
      </c>
      <c r="S46" s="28"/>
      <c r="T46" s="28">
        <v>5</v>
      </c>
      <c r="U46" s="28"/>
      <c r="V46" s="28"/>
      <c r="W46" s="28"/>
      <c r="X46" s="28"/>
      <c r="Y46" s="28"/>
      <c r="Z46" s="28">
        <v>5</v>
      </c>
      <c r="AA46" s="28"/>
      <c r="AB46" s="28"/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>
        <f>SUM(E46:BP46)</f>
        <v>17</v>
      </c>
      <c r="BR46" s="1">
        <v>2</v>
      </c>
      <c r="BS46" s="17">
        <v>1</v>
      </c>
      <c r="BT46" s="17" t="s">
        <v>286</v>
      </c>
      <c r="BU46">
        <f>SUM(P46:AD46)</f>
        <v>17</v>
      </c>
      <c r="BV46" s="23">
        <f>AF46+AH46+AI46+AJ46+AO46+AP46</f>
        <v>0</v>
      </c>
    </row>
    <row r="47" spans="1:74" s="56" customFormat="1">
      <c r="A47" s="1"/>
      <c r="B47" s="1" t="s">
        <v>118</v>
      </c>
      <c r="C47" s="1" t="s">
        <v>116</v>
      </c>
      <c r="D47" s="1" t="s">
        <v>97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>
        <v>5</v>
      </c>
      <c r="R47" s="28">
        <v>2</v>
      </c>
      <c r="S47" s="28"/>
      <c r="T47" s="28">
        <v>5</v>
      </c>
      <c r="U47" s="28"/>
      <c r="V47" s="28"/>
      <c r="W47" s="28"/>
      <c r="X47" s="28"/>
      <c r="Y47" s="28"/>
      <c r="Z47" s="28">
        <v>5</v>
      </c>
      <c r="AA47" s="28"/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f>SUM(E47:BP47)</f>
        <v>17</v>
      </c>
      <c r="BR47" s="1">
        <v>2</v>
      </c>
      <c r="BS47" s="17">
        <v>1</v>
      </c>
      <c r="BT47" s="17" t="s">
        <v>286</v>
      </c>
      <c r="BU47">
        <f>SUM(P47:AD47)</f>
        <v>17</v>
      </c>
      <c r="BV47" s="23">
        <f>AF47+AH47+AI47+AJ47+AO47+AP47</f>
        <v>0</v>
      </c>
    </row>
    <row r="48" spans="1:74">
      <c r="A48" s="1"/>
      <c r="B48" s="3" t="s">
        <v>188</v>
      </c>
      <c r="C48" s="3" t="s">
        <v>94</v>
      </c>
      <c r="D48" s="1" t="s">
        <v>0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>
        <v>5</v>
      </c>
      <c r="R48" s="28">
        <v>2</v>
      </c>
      <c r="S48" s="28"/>
      <c r="T48" s="28">
        <v>5</v>
      </c>
      <c r="U48" s="28"/>
      <c r="V48" s="28"/>
      <c r="W48" s="28"/>
      <c r="X48" s="28"/>
      <c r="Y48" s="28"/>
      <c r="Z48" s="28">
        <v>5</v>
      </c>
      <c r="AA48" s="28"/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>
        <f>SUM(E48:BP48)</f>
        <v>17</v>
      </c>
      <c r="BR48" s="1">
        <v>2</v>
      </c>
      <c r="BS48" s="17">
        <v>1</v>
      </c>
      <c r="BT48" s="17" t="s">
        <v>287</v>
      </c>
      <c r="BU48">
        <f>SUM(P48:AD48)</f>
        <v>17</v>
      </c>
      <c r="BV48" s="23">
        <f>AF48+AH48+AI48+AJ48+AO48+AP48</f>
        <v>0</v>
      </c>
    </row>
    <row r="49" spans="1:74">
      <c r="A49" s="1"/>
      <c r="B49" s="1" t="s">
        <v>220</v>
      </c>
      <c r="C49" s="1" t="s">
        <v>49</v>
      </c>
      <c r="D49" s="1" t="s">
        <v>216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>
        <v>5</v>
      </c>
      <c r="R49" s="28">
        <v>2</v>
      </c>
      <c r="S49" s="28"/>
      <c r="T49" s="28">
        <v>5</v>
      </c>
      <c r="U49" s="28"/>
      <c r="V49" s="28"/>
      <c r="W49" s="28"/>
      <c r="X49" s="28"/>
      <c r="Y49" s="28"/>
      <c r="Z49" s="28">
        <v>5</v>
      </c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f>SUM(E49:BP49)</f>
        <v>17</v>
      </c>
      <c r="BR49" s="1">
        <v>2</v>
      </c>
      <c r="BS49" s="17">
        <v>1</v>
      </c>
      <c r="BT49" s="17" t="s">
        <v>287</v>
      </c>
      <c r="BU49">
        <f>SUM(P49:AD49)</f>
        <v>17</v>
      </c>
      <c r="BV49" s="23">
        <f>AF49+AH49+AI49+AJ49+AO49+AP49</f>
        <v>0</v>
      </c>
    </row>
    <row r="50" spans="1:74">
      <c r="A50" s="1"/>
      <c r="B50" s="1" t="s">
        <v>227</v>
      </c>
      <c r="C50" s="1" t="s">
        <v>120</v>
      </c>
      <c r="D50" s="1" t="s">
        <v>97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>
        <v>5</v>
      </c>
      <c r="R50" s="28"/>
      <c r="S50" s="28"/>
      <c r="T50" s="28">
        <v>5</v>
      </c>
      <c r="U50" s="28"/>
      <c r="V50" s="28"/>
      <c r="W50" s="28"/>
      <c r="X50" s="28">
        <v>2</v>
      </c>
      <c r="Y50" s="28"/>
      <c r="Z50" s="28">
        <v>5</v>
      </c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f>SUM(E50:BP50)</f>
        <v>17</v>
      </c>
      <c r="BR50" s="1">
        <v>2</v>
      </c>
      <c r="BS50" s="17">
        <v>1</v>
      </c>
      <c r="BT50" s="17" t="s">
        <v>288</v>
      </c>
      <c r="BU50">
        <f>SUM(P50:AD50)</f>
        <v>17</v>
      </c>
      <c r="BV50" s="23">
        <f>AF50+AH50+AI50+AJ50+AO50+AP50</f>
        <v>0</v>
      </c>
    </row>
    <row r="51" spans="1:74">
      <c r="A51" s="1"/>
      <c r="B51" s="3" t="s">
        <v>184</v>
      </c>
      <c r="C51" s="3" t="s">
        <v>24</v>
      </c>
      <c r="D51" s="1" t="s">
        <v>0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>
        <v>5</v>
      </c>
      <c r="R51" s="28"/>
      <c r="S51" s="28"/>
      <c r="T51" s="28">
        <v>5</v>
      </c>
      <c r="U51" s="28"/>
      <c r="V51" s="28"/>
      <c r="W51" s="28"/>
      <c r="X51" s="28">
        <v>2</v>
      </c>
      <c r="Y51" s="28"/>
      <c r="Z51" s="28">
        <v>5</v>
      </c>
      <c r="AA51" s="28"/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>
        <f>SUM(E51:BP51)</f>
        <v>17</v>
      </c>
      <c r="BR51" s="1">
        <v>2</v>
      </c>
      <c r="BS51" s="17">
        <v>1</v>
      </c>
      <c r="BT51" s="17" t="s">
        <v>288</v>
      </c>
      <c r="BU51">
        <f>SUM(P51:AD51)</f>
        <v>17</v>
      </c>
      <c r="BV51" s="23">
        <f>AF51+AH51+AI51+AJ51+AO51+AP51</f>
        <v>0</v>
      </c>
    </row>
    <row r="52" spans="1:74">
      <c r="A52" s="18"/>
      <c r="B52" s="18" t="s">
        <v>89</v>
      </c>
      <c r="C52" s="18" t="s">
        <v>82</v>
      </c>
      <c r="D52" s="18" t="s">
        <v>86</v>
      </c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>
        <v>2</v>
      </c>
      <c r="AP52" s="18"/>
      <c r="AQ52" s="20"/>
      <c r="AR52" s="20"/>
      <c r="AS52" s="20"/>
      <c r="AT52" s="20"/>
      <c r="AU52" s="20"/>
      <c r="AV52" s="20"/>
      <c r="AW52" s="21"/>
      <c r="AX52" s="21"/>
      <c r="AY52" s="21"/>
      <c r="AZ52" s="21"/>
      <c r="BA52" s="21"/>
      <c r="BB52" s="21"/>
      <c r="BC52" s="26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">
        <f>SUM(E52:BP52)</f>
        <v>2</v>
      </c>
      <c r="BR52" s="18">
        <v>2</v>
      </c>
      <c r="BS52" s="22">
        <v>1</v>
      </c>
      <c r="BT52" s="22" t="s">
        <v>289</v>
      </c>
      <c r="BU52">
        <f>SUM(P52:AD52)</f>
        <v>0</v>
      </c>
      <c r="BV52" s="23">
        <f>AF52+AH52+AI52+AJ52+AO52+AP52</f>
        <v>2</v>
      </c>
    </row>
    <row r="53" spans="1:74">
      <c r="A53" s="1"/>
      <c r="B53" s="1" t="s">
        <v>231</v>
      </c>
      <c r="C53" s="1" t="s">
        <v>232</v>
      </c>
      <c r="D53" s="1" t="s">
        <v>80</v>
      </c>
      <c r="E53" s="6"/>
      <c r="F53" s="6"/>
      <c r="G53" s="6"/>
      <c r="H53" s="6">
        <v>5</v>
      </c>
      <c r="I53" s="6"/>
      <c r="J53" s="6"/>
      <c r="K53" s="6"/>
      <c r="L53" s="6"/>
      <c r="M53" s="6"/>
      <c r="N53" s="6"/>
      <c r="O53" s="6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f>SUM(E53:BP53)</f>
        <v>5</v>
      </c>
      <c r="BR53" s="1">
        <v>2</v>
      </c>
      <c r="BS53" s="17">
        <v>1</v>
      </c>
      <c r="BT53" s="17" t="s">
        <v>290</v>
      </c>
      <c r="BU53">
        <f>SUM(P53:AD53)</f>
        <v>0</v>
      </c>
      <c r="BV53" s="23">
        <f>AF53+AH53+AI53+AJ53+AO53+AP53</f>
        <v>0</v>
      </c>
    </row>
    <row r="54" spans="1:74">
      <c r="A54" s="1"/>
      <c r="B54" s="1" t="s">
        <v>254</v>
      </c>
      <c r="C54" s="3" t="s">
        <v>49</v>
      </c>
      <c r="D54" s="1" t="s">
        <v>0</v>
      </c>
      <c r="E54" s="6"/>
      <c r="F54" s="6"/>
      <c r="G54" s="6"/>
      <c r="H54" s="6">
        <v>5</v>
      </c>
      <c r="I54" s="6"/>
      <c r="J54" s="6"/>
      <c r="K54" s="6"/>
      <c r="L54" s="6"/>
      <c r="M54" s="6"/>
      <c r="N54" s="6"/>
      <c r="O54" s="6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f>SUM(E54:BP54)</f>
        <v>5</v>
      </c>
      <c r="BR54" s="1">
        <v>2</v>
      </c>
      <c r="BS54" s="17">
        <v>1</v>
      </c>
      <c r="BT54" s="17" t="s">
        <v>290</v>
      </c>
      <c r="BU54">
        <f>SUM(P54:AD54)</f>
        <v>0</v>
      </c>
      <c r="BV54" s="23">
        <f>AF54+AH54+AI54+AJ54+AO54+AP54</f>
        <v>0</v>
      </c>
    </row>
    <row r="55" spans="1:74">
      <c r="A55" s="18"/>
      <c r="B55" s="18" t="s">
        <v>158</v>
      </c>
      <c r="C55" s="18" t="s">
        <v>24</v>
      </c>
      <c r="D55" s="18" t="s">
        <v>159</v>
      </c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>
        <v>3</v>
      </c>
      <c r="AP55" s="18"/>
      <c r="AQ55" s="20"/>
      <c r="AR55" s="20"/>
      <c r="AS55" s="20"/>
      <c r="AT55" s="20"/>
      <c r="AU55" s="20"/>
      <c r="AV55" s="20"/>
      <c r="AW55" s="21"/>
      <c r="AX55" s="21"/>
      <c r="AY55" s="21"/>
      <c r="AZ55" s="21"/>
      <c r="BA55" s="21"/>
      <c r="BB55" s="21"/>
      <c r="BC55" s="26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>
        <f>SUM(E55:BP55)</f>
        <v>3</v>
      </c>
      <c r="BR55" s="18">
        <v>3</v>
      </c>
      <c r="BS55" s="22">
        <v>1</v>
      </c>
      <c r="BT55" s="22" t="s">
        <v>291</v>
      </c>
      <c r="BU55">
        <f>SUM(P55:AD55)</f>
        <v>0</v>
      </c>
      <c r="BV55" s="23">
        <f>AF55+AH55+AI55+AJ55+AO55+AP55</f>
        <v>3</v>
      </c>
    </row>
    <row r="56" spans="1:74">
      <c r="A56" s="1"/>
      <c r="B56" s="1" t="s">
        <v>137</v>
      </c>
      <c r="C56" s="1" t="s">
        <v>79</v>
      </c>
      <c r="D56" s="1" t="s">
        <v>81</v>
      </c>
      <c r="E56" s="6"/>
      <c r="F56" s="6"/>
      <c r="G56" s="6"/>
      <c r="H56" s="6">
        <v>6</v>
      </c>
      <c r="I56" s="6"/>
      <c r="J56" s="6"/>
      <c r="K56" s="6">
        <v>6</v>
      </c>
      <c r="L56" s="6"/>
      <c r="M56" s="6"/>
      <c r="N56" s="6"/>
      <c r="O56" s="6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>
        <v>10</v>
      </c>
      <c r="AR56" s="4"/>
      <c r="AS56" s="4"/>
      <c r="AT56" s="4"/>
      <c r="AU56" s="4"/>
      <c r="AV56" s="4"/>
      <c r="AW56" s="2">
        <v>10</v>
      </c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f>SUM(E56:BP56)</f>
        <v>32</v>
      </c>
      <c r="BR56" s="1">
        <v>3</v>
      </c>
      <c r="BS56" s="17">
        <v>1</v>
      </c>
      <c r="BT56" s="17" t="s">
        <v>292</v>
      </c>
      <c r="BU56">
        <f>SUM(P56:AD56)</f>
        <v>0</v>
      </c>
      <c r="BV56" s="23">
        <f>AF56+AH56+AI56+AJ56+AO56+AP56</f>
        <v>0</v>
      </c>
    </row>
    <row r="57" spans="1:74">
      <c r="A57" s="18">
        <v>17</v>
      </c>
      <c r="B57" s="18" t="s">
        <v>26</v>
      </c>
      <c r="C57" s="18" t="s">
        <v>24</v>
      </c>
      <c r="D57" s="18" t="s">
        <v>18</v>
      </c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18"/>
      <c r="AF57" s="18">
        <v>5</v>
      </c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20"/>
      <c r="AR57" s="20"/>
      <c r="AS57" s="20"/>
      <c r="AT57" s="20"/>
      <c r="AU57" s="20"/>
      <c r="AV57" s="20"/>
      <c r="AW57" s="21"/>
      <c r="AX57" s="21"/>
      <c r="AY57" s="21"/>
      <c r="AZ57" s="21"/>
      <c r="BA57" s="21"/>
      <c r="BB57" s="21"/>
      <c r="BC57" s="26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>
        <f>SUM(E57:BP57)</f>
        <v>5</v>
      </c>
      <c r="BR57" s="18">
        <v>3</v>
      </c>
      <c r="BS57" s="22">
        <v>1</v>
      </c>
      <c r="BT57" s="22" t="s">
        <v>294</v>
      </c>
      <c r="BU57">
        <f>SUM(P57:AD57)</f>
        <v>0</v>
      </c>
      <c r="BV57" s="23">
        <f>AF57+AH57+AI57+AJ57+AO57+AP57</f>
        <v>5</v>
      </c>
    </row>
    <row r="58" spans="1:74">
      <c r="A58" s="18">
        <v>32</v>
      </c>
      <c r="B58" s="18" t="s">
        <v>59</v>
      </c>
      <c r="C58" s="18" t="s">
        <v>24</v>
      </c>
      <c r="D58" s="18" t="s">
        <v>18</v>
      </c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18"/>
      <c r="AF58" s="18"/>
      <c r="AG58" s="18"/>
      <c r="AH58" s="18"/>
      <c r="AI58" s="18">
        <v>5</v>
      </c>
      <c r="AJ58" s="18"/>
      <c r="AK58" s="18"/>
      <c r="AL58" s="18"/>
      <c r="AM58" s="18"/>
      <c r="AN58" s="18"/>
      <c r="AO58" s="18"/>
      <c r="AP58" s="18"/>
      <c r="AQ58" s="20"/>
      <c r="AR58" s="20"/>
      <c r="AS58" s="20"/>
      <c r="AT58" s="20"/>
      <c r="AU58" s="20"/>
      <c r="AV58" s="20"/>
      <c r="AW58" s="21"/>
      <c r="AX58" s="21"/>
      <c r="AY58" s="21"/>
      <c r="AZ58" s="21"/>
      <c r="BA58" s="21"/>
      <c r="BB58" s="21"/>
      <c r="BC58" s="26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>
        <f>SUM(E58:BP58)</f>
        <v>5</v>
      </c>
      <c r="BR58" s="18">
        <v>5</v>
      </c>
      <c r="BS58" s="22">
        <v>1</v>
      </c>
      <c r="BT58" s="22" t="s">
        <v>296</v>
      </c>
      <c r="BU58">
        <f>SUM(P58:AD58)</f>
        <v>0</v>
      </c>
      <c r="BV58" s="23">
        <f>AF58+AH58+AI58+AJ58+AO58+AP58</f>
        <v>5</v>
      </c>
    </row>
    <row r="59" spans="1:74">
      <c r="A59" s="18">
        <v>33</v>
      </c>
      <c r="B59" s="18" t="s">
        <v>59</v>
      </c>
      <c r="C59" s="18" t="s">
        <v>24</v>
      </c>
      <c r="D59" s="18" t="s">
        <v>0</v>
      </c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18"/>
      <c r="AF59" s="18"/>
      <c r="AG59" s="18"/>
      <c r="AH59" s="18">
        <v>5</v>
      </c>
      <c r="AI59" s="18"/>
      <c r="AJ59" s="18"/>
      <c r="AK59" s="18"/>
      <c r="AL59" s="18"/>
      <c r="AM59" s="18"/>
      <c r="AN59" s="18"/>
      <c r="AO59" s="18"/>
      <c r="AP59" s="18"/>
      <c r="AQ59" s="20"/>
      <c r="AR59" s="20"/>
      <c r="AS59" s="20"/>
      <c r="AT59" s="20"/>
      <c r="AU59" s="20"/>
      <c r="AV59" s="20"/>
      <c r="AW59" s="21"/>
      <c r="AX59" s="21"/>
      <c r="AY59" s="21"/>
      <c r="AZ59" s="21"/>
      <c r="BA59" s="21"/>
      <c r="BB59" s="21"/>
      <c r="BC59" s="26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>
        <f>SUM(E59:BP59)</f>
        <v>5</v>
      </c>
      <c r="BR59" s="18">
        <v>5</v>
      </c>
      <c r="BS59" s="22">
        <v>1</v>
      </c>
      <c r="BT59" s="22" t="s">
        <v>297</v>
      </c>
      <c r="BU59">
        <f>SUM(P59:AD59)</f>
        <v>0</v>
      </c>
      <c r="BV59" s="23">
        <f>AF59+AH59+AI59+AJ59+AO59+AP59</f>
        <v>5</v>
      </c>
    </row>
    <row r="60" spans="1:74">
      <c r="A60" s="18"/>
      <c r="B60" s="18" t="s">
        <v>92</v>
      </c>
      <c r="C60" s="18" t="s">
        <v>90</v>
      </c>
      <c r="D60" s="18" t="s">
        <v>86</v>
      </c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18"/>
      <c r="AF60" s="18"/>
      <c r="AG60" s="18"/>
      <c r="AH60" s="18">
        <v>5</v>
      </c>
      <c r="AI60" s="18"/>
      <c r="AJ60" s="18"/>
      <c r="AK60" s="18"/>
      <c r="AL60" s="18"/>
      <c r="AM60" s="18"/>
      <c r="AN60" s="18"/>
      <c r="AO60" s="18"/>
      <c r="AP60" s="18"/>
      <c r="AQ60" s="20"/>
      <c r="AR60" s="20"/>
      <c r="AS60" s="20"/>
      <c r="AT60" s="20"/>
      <c r="AU60" s="20"/>
      <c r="AV60" s="20"/>
      <c r="AW60" s="21"/>
      <c r="AX60" s="21"/>
      <c r="AY60" s="21"/>
      <c r="AZ60" s="21"/>
      <c r="BA60" s="21"/>
      <c r="BB60" s="21"/>
      <c r="BC60" s="26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>
        <f>SUM(E60:BP60)</f>
        <v>5</v>
      </c>
      <c r="BR60" s="18">
        <v>5</v>
      </c>
      <c r="BS60" s="22">
        <v>1</v>
      </c>
      <c r="BT60" s="22" t="s">
        <v>297</v>
      </c>
      <c r="BU60">
        <f>SUM(P60:AD60)</f>
        <v>0</v>
      </c>
      <c r="BV60" s="23">
        <f>AF60+AH60+AI60+AJ60+AO60+AP60</f>
        <v>5</v>
      </c>
    </row>
    <row r="61" spans="1:74">
      <c r="A61" s="18"/>
      <c r="B61" s="18" t="s">
        <v>92</v>
      </c>
      <c r="C61" s="18" t="s">
        <v>90</v>
      </c>
      <c r="D61" s="18" t="s">
        <v>81</v>
      </c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18"/>
      <c r="AF61" s="18"/>
      <c r="AG61" s="18"/>
      <c r="AH61" s="18"/>
      <c r="AI61" s="18">
        <v>5</v>
      </c>
      <c r="AJ61" s="18"/>
      <c r="AK61" s="18"/>
      <c r="AL61" s="18"/>
      <c r="AM61" s="18"/>
      <c r="AN61" s="18"/>
      <c r="AO61" s="18"/>
      <c r="AP61" s="18"/>
      <c r="AQ61" s="20"/>
      <c r="AR61" s="20"/>
      <c r="AS61" s="20"/>
      <c r="AT61" s="20"/>
      <c r="AU61" s="20"/>
      <c r="AV61" s="20"/>
      <c r="AW61" s="21"/>
      <c r="AX61" s="21"/>
      <c r="AY61" s="21"/>
      <c r="AZ61" s="21"/>
      <c r="BA61" s="21"/>
      <c r="BB61" s="21"/>
      <c r="BC61" s="26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>
        <f>SUM(E61:BP61)</f>
        <v>5</v>
      </c>
      <c r="BR61" s="18">
        <v>5</v>
      </c>
      <c r="BS61" s="22">
        <v>1</v>
      </c>
      <c r="BT61" s="22" t="s">
        <v>298</v>
      </c>
      <c r="BU61">
        <f>SUM(P61:AD61)</f>
        <v>0</v>
      </c>
      <c r="BV61" s="23">
        <f>AF61+AH61+AI61+AJ61+AO61+AP61</f>
        <v>5</v>
      </c>
    </row>
    <row r="62" spans="1:74">
      <c r="A62" s="1"/>
      <c r="B62" s="1" t="s">
        <v>118</v>
      </c>
      <c r="C62" s="1" t="s">
        <v>116</v>
      </c>
      <c r="D62" s="1" t="s">
        <v>98</v>
      </c>
      <c r="E62" s="6"/>
      <c r="F62" s="6"/>
      <c r="G62" s="6"/>
      <c r="H62" s="6"/>
      <c r="I62" s="6">
        <v>7</v>
      </c>
      <c r="J62" s="6"/>
      <c r="K62" s="6"/>
      <c r="L62" s="6"/>
      <c r="M62" s="6"/>
      <c r="N62" s="6"/>
      <c r="O62" s="6"/>
      <c r="P62" s="28"/>
      <c r="Q62" s="28">
        <v>7</v>
      </c>
      <c r="R62" s="28">
        <v>7</v>
      </c>
      <c r="S62" s="28"/>
      <c r="T62" s="28">
        <v>7</v>
      </c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>SUM(E62:BP62)</f>
        <v>28</v>
      </c>
      <c r="BR62" s="1">
        <v>7</v>
      </c>
      <c r="BS62" s="17">
        <v>1</v>
      </c>
      <c r="BT62" s="17" t="s">
        <v>300</v>
      </c>
      <c r="BU62">
        <f>SUM(P62:AD62)</f>
        <v>21</v>
      </c>
      <c r="BV62" s="23">
        <f>AF62+AH62+AI62+AJ62+AO62+AP62</f>
        <v>0</v>
      </c>
    </row>
    <row r="63" spans="1:74">
      <c r="A63" s="1"/>
      <c r="B63" s="1" t="s">
        <v>227</v>
      </c>
      <c r="C63" s="1" t="s">
        <v>120</v>
      </c>
      <c r="D63" s="1" t="s">
        <v>98</v>
      </c>
      <c r="E63" s="6"/>
      <c r="F63" s="6"/>
      <c r="G63" s="6"/>
      <c r="H63" s="6"/>
      <c r="I63" s="6"/>
      <c r="J63" s="6"/>
      <c r="K63" s="6"/>
      <c r="L63" s="6">
        <v>7</v>
      </c>
      <c r="M63" s="6"/>
      <c r="N63" s="6"/>
      <c r="O63" s="6"/>
      <c r="P63" s="28"/>
      <c r="Q63" s="28">
        <v>7</v>
      </c>
      <c r="R63" s="28"/>
      <c r="S63" s="28"/>
      <c r="T63" s="28">
        <v>7</v>
      </c>
      <c r="U63" s="28"/>
      <c r="V63" s="28"/>
      <c r="W63" s="28"/>
      <c r="X63" s="28">
        <v>7</v>
      </c>
      <c r="Y63" s="28"/>
      <c r="Z63" s="28"/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>SUM(E63:BP63)</f>
        <v>28</v>
      </c>
      <c r="BR63" s="1">
        <v>7</v>
      </c>
      <c r="BS63" s="17">
        <v>1</v>
      </c>
      <c r="BT63" s="17" t="s">
        <v>301</v>
      </c>
      <c r="BU63">
        <f>SUM(P63:AD63)</f>
        <v>21</v>
      </c>
      <c r="BV63" s="23">
        <f>AF63+AH63+AI63+AJ63+AO63+AP63</f>
        <v>0</v>
      </c>
    </row>
    <row r="64" spans="1:74">
      <c r="A64" s="1"/>
      <c r="B64" s="1" t="s">
        <v>138</v>
      </c>
      <c r="C64" s="1" t="s">
        <v>93</v>
      </c>
      <c r="D64" s="1" t="s">
        <v>81</v>
      </c>
      <c r="E64" s="6"/>
      <c r="F64" s="6"/>
      <c r="G64" s="6"/>
      <c r="H64" s="6">
        <v>10</v>
      </c>
      <c r="I64" s="6"/>
      <c r="J64" s="6">
        <v>10</v>
      </c>
      <c r="K64" s="6"/>
      <c r="L64" s="6"/>
      <c r="M64" s="6"/>
      <c r="N64" s="6"/>
      <c r="O64" s="6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>
        <v>10</v>
      </c>
      <c r="AU64" s="4"/>
      <c r="AV64" s="4"/>
      <c r="AW64" s="2"/>
      <c r="AX64" s="2"/>
      <c r="AY64" s="2">
        <v>10</v>
      </c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>SUM(E64:BP64)</f>
        <v>40</v>
      </c>
      <c r="BR64" s="1">
        <v>7</v>
      </c>
      <c r="BS64" s="17">
        <v>1</v>
      </c>
      <c r="BT64" s="17" t="s">
        <v>302</v>
      </c>
      <c r="BU64">
        <f>SUM(P64:AD64)</f>
        <v>0</v>
      </c>
      <c r="BV64" s="23">
        <f>AF64+AH64+AI64+AJ64+AO64+AP64</f>
        <v>0</v>
      </c>
    </row>
    <row r="65" spans="1:74">
      <c r="A65" s="59"/>
      <c r="B65" s="60" t="s">
        <v>278</v>
      </c>
      <c r="C65" s="59" t="s">
        <v>36</v>
      </c>
      <c r="D65" s="1" t="s">
        <v>217</v>
      </c>
      <c r="E65" s="61"/>
      <c r="F65" s="61"/>
      <c r="G65" s="61"/>
      <c r="H65" s="61"/>
      <c r="I65" s="61"/>
      <c r="J65" s="61"/>
      <c r="K65" s="61"/>
      <c r="L65" s="61"/>
      <c r="M65" s="61"/>
      <c r="N65" s="61">
        <v>10</v>
      </c>
      <c r="O65" s="61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59"/>
      <c r="AF65" s="59"/>
      <c r="AG65" s="59"/>
      <c r="AH65" s="59"/>
      <c r="AI65" s="59"/>
      <c r="AJ65" s="59"/>
      <c r="AK65" s="59"/>
      <c r="AL65" s="59"/>
      <c r="AM65" s="59"/>
      <c r="AN65" s="59"/>
      <c r="AO65" s="59"/>
      <c r="AP65" s="59"/>
      <c r="AQ65" s="63">
        <v>10</v>
      </c>
      <c r="AR65" s="63"/>
      <c r="AS65" s="63"/>
      <c r="AT65" s="63"/>
      <c r="AU65" s="63"/>
      <c r="AV65" s="63"/>
      <c r="AW65" s="64"/>
      <c r="AX65" s="64"/>
      <c r="AY65" s="64"/>
      <c r="AZ65" s="64"/>
      <c r="BA65" s="64"/>
      <c r="BB65" s="64"/>
      <c r="BC65" s="65"/>
      <c r="BD65" s="59">
        <v>10</v>
      </c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49">
        <f>SUM(E65:BP65)</f>
        <v>30</v>
      </c>
      <c r="BR65" s="59">
        <v>10</v>
      </c>
      <c r="BS65" s="66">
        <v>1</v>
      </c>
      <c r="BT65" s="66" t="s">
        <v>299</v>
      </c>
      <c r="BU65">
        <f>SUM(P65:AD65)</f>
        <v>0</v>
      </c>
      <c r="BV65" s="23">
        <f>AF65+AH65+AI65+AJ65+AO65+AP65</f>
        <v>0</v>
      </c>
    </row>
    <row r="66" spans="1:74">
      <c r="A66" s="59"/>
      <c r="B66" s="60" t="s">
        <v>243</v>
      </c>
      <c r="C66" s="59" t="s">
        <v>43</v>
      </c>
      <c r="D66" s="1" t="s">
        <v>217</v>
      </c>
      <c r="E66" s="61"/>
      <c r="F66" s="61"/>
      <c r="G66" s="61"/>
      <c r="H66" s="61"/>
      <c r="I66" s="61"/>
      <c r="J66" s="61"/>
      <c r="K66" s="61">
        <v>10</v>
      </c>
      <c r="L66" s="61"/>
      <c r="M66" s="61"/>
      <c r="N66" s="61"/>
      <c r="O66" s="61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59"/>
      <c r="AF66" s="59"/>
      <c r="AG66" s="59"/>
      <c r="AH66" s="59"/>
      <c r="AI66" s="59"/>
      <c r="AJ66" s="59"/>
      <c r="AK66" s="59"/>
      <c r="AL66" s="59"/>
      <c r="AM66" s="59"/>
      <c r="AN66" s="59"/>
      <c r="AO66" s="59"/>
      <c r="AP66" s="59"/>
      <c r="AQ66" s="63"/>
      <c r="AR66" s="63"/>
      <c r="AS66" s="63"/>
      <c r="AT66" s="63"/>
      <c r="AU66" s="63"/>
      <c r="AV66" s="63">
        <v>10</v>
      </c>
      <c r="AW66" s="64"/>
      <c r="AX66" s="64"/>
      <c r="AY66" s="64"/>
      <c r="AZ66" s="64"/>
      <c r="BA66" s="64"/>
      <c r="BB66" s="64"/>
      <c r="BC66" s="65"/>
      <c r="BD66" s="59">
        <v>10</v>
      </c>
      <c r="BE66" s="59"/>
      <c r="BF66" s="59"/>
      <c r="BG66" s="59"/>
      <c r="BH66" s="59"/>
      <c r="BI66" s="59"/>
      <c r="BJ66" s="59"/>
      <c r="BK66" s="59"/>
      <c r="BL66" s="59"/>
      <c r="BM66" s="59"/>
      <c r="BN66" s="59"/>
      <c r="BO66" s="59"/>
      <c r="BP66" s="59"/>
      <c r="BQ66" s="49">
        <f>SUM(E66:BP66)</f>
        <v>30</v>
      </c>
      <c r="BR66" s="59">
        <v>10</v>
      </c>
      <c r="BS66" s="66">
        <v>1</v>
      </c>
      <c r="BT66" s="66" t="s">
        <v>299</v>
      </c>
      <c r="BU66">
        <f>SUM(P66:AD66)</f>
        <v>0</v>
      </c>
      <c r="BV66" s="23">
        <f>AF66+AH66+AI66+AJ66+AO66+AP66</f>
        <v>0</v>
      </c>
    </row>
    <row r="67" spans="1:74">
      <c r="A67" s="18">
        <v>64</v>
      </c>
      <c r="B67" s="24" t="s">
        <v>248</v>
      </c>
      <c r="C67" s="18" t="s">
        <v>43</v>
      </c>
      <c r="D67" s="18" t="s">
        <v>0</v>
      </c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18"/>
      <c r="AF67" s="18"/>
      <c r="AG67" s="18"/>
      <c r="AH67" s="18"/>
      <c r="AI67" s="18"/>
      <c r="AJ67" s="18"/>
      <c r="AK67" s="18"/>
      <c r="AL67" s="18"/>
      <c r="AM67" s="18"/>
      <c r="AN67" s="18">
        <v>15</v>
      </c>
      <c r="AO67" s="18"/>
      <c r="AP67" s="18"/>
      <c r="AQ67" s="20"/>
      <c r="AR67" s="20"/>
      <c r="AS67" s="20"/>
      <c r="AT67" s="20"/>
      <c r="AU67" s="20"/>
      <c r="AV67" s="20"/>
      <c r="AW67" s="21"/>
      <c r="AX67" s="21"/>
      <c r="AY67" s="21"/>
      <c r="AZ67" s="21"/>
      <c r="BA67" s="21"/>
      <c r="BB67" s="21"/>
      <c r="BC67" s="26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>
        <f>SUM(E67:BP67)</f>
        <v>15</v>
      </c>
      <c r="BR67" s="18">
        <v>14</v>
      </c>
      <c r="BS67" s="22">
        <v>1</v>
      </c>
      <c r="BT67" s="22" t="s">
        <v>303</v>
      </c>
      <c r="BU67">
        <f>SUM(P67:AD67)</f>
        <v>0</v>
      </c>
      <c r="BV67" s="23">
        <f>AF67+AH67+AI67+AJ67+AO67+AP67</f>
        <v>0</v>
      </c>
    </row>
    <row r="68" spans="1:74">
      <c r="A68" s="1">
        <v>23</v>
      </c>
      <c r="B68" s="1" t="s">
        <v>78</v>
      </c>
      <c r="C68" s="1" t="s">
        <v>24</v>
      </c>
      <c r="D68" s="1" t="s">
        <v>29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>
        <v>50</v>
      </c>
      <c r="BL68" s="1">
        <v>50</v>
      </c>
      <c r="BM68" s="1"/>
      <c r="BN68" s="1"/>
      <c r="BO68" s="1">
        <v>50</v>
      </c>
      <c r="BP68" s="1">
        <v>50</v>
      </c>
      <c r="BQ68" s="1">
        <f>SUM(E68:BP68)</f>
        <v>200</v>
      </c>
      <c r="BR68" s="1">
        <v>29</v>
      </c>
      <c r="BS68" s="17">
        <v>1</v>
      </c>
      <c r="BT68" s="17" t="s">
        <v>307</v>
      </c>
      <c r="BU68">
        <f>SUM(P68:AD68)</f>
        <v>0</v>
      </c>
      <c r="BV68" s="23">
        <f>AF68+AH68+AI68+AJ68+AO68+AP68</f>
        <v>0</v>
      </c>
    </row>
    <row r="69" spans="1:74">
      <c r="A69" s="1"/>
      <c r="B69" s="1" t="s">
        <v>134</v>
      </c>
      <c r="C69" s="1" t="s">
        <v>90</v>
      </c>
      <c r="D69" s="1" t="s">
        <v>91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>
        <v>50</v>
      </c>
      <c r="BL69" s="1">
        <v>50</v>
      </c>
      <c r="BM69" s="1"/>
      <c r="BN69" s="1"/>
      <c r="BO69" s="1">
        <v>50</v>
      </c>
      <c r="BP69" s="1">
        <v>50</v>
      </c>
      <c r="BQ69" s="1">
        <f>SUM(E69:BP69)</f>
        <v>200</v>
      </c>
      <c r="BR69" s="1">
        <v>29</v>
      </c>
      <c r="BS69" s="17">
        <v>1</v>
      </c>
      <c r="BT69" s="17" t="s">
        <v>307</v>
      </c>
      <c r="BU69">
        <f>SUM(P69:AD69)</f>
        <v>0</v>
      </c>
      <c r="BV69" s="23">
        <f>AF69+AH69+AI69+AJ69+AO69+AP69</f>
        <v>0</v>
      </c>
    </row>
    <row r="70" spans="1:74">
      <c r="A70" s="1"/>
      <c r="B70" s="1" t="s">
        <v>132</v>
      </c>
      <c r="C70" s="1" t="s">
        <v>121</v>
      </c>
      <c r="D70" s="1" t="s">
        <v>29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>
        <v>50</v>
      </c>
      <c r="BL70" s="1">
        <v>50</v>
      </c>
      <c r="BM70" s="1"/>
      <c r="BN70" s="1"/>
      <c r="BO70" s="1">
        <v>50</v>
      </c>
      <c r="BP70" s="1">
        <v>50</v>
      </c>
      <c r="BQ70" s="1">
        <f>SUM(E70:BP70)</f>
        <v>200</v>
      </c>
      <c r="BR70" s="1">
        <v>29</v>
      </c>
      <c r="BS70" s="17">
        <v>1</v>
      </c>
      <c r="BT70" s="17" t="s">
        <v>308</v>
      </c>
      <c r="BU70">
        <f>SUM(P70:AD70)</f>
        <v>0</v>
      </c>
      <c r="BV70" s="23">
        <f>AF70+AH70+AI70+AJ70+AO70+AP70</f>
        <v>0</v>
      </c>
    </row>
    <row r="71" spans="1:74">
      <c r="A71" s="1">
        <v>102</v>
      </c>
      <c r="B71" s="3" t="s">
        <v>157</v>
      </c>
      <c r="C71" s="3" t="s">
        <v>51</v>
      </c>
      <c r="D71" s="1" t="s">
        <v>29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>
        <v>50</v>
      </c>
      <c r="BL71" s="1">
        <v>50</v>
      </c>
      <c r="BM71" s="1"/>
      <c r="BN71" s="1"/>
      <c r="BO71" s="1">
        <v>50</v>
      </c>
      <c r="BP71" s="1">
        <v>50</v>
      </c>
      <c r="BQ71" s="1">
        <f>SUM(E71:BP71)</f>
        <v>200</v>
      </c>
      <c r="BR71" s="1">
        <v>29</v>
      </c>
      <c r="BS71" s="17">
        <v>1</v>
      </c>
      <c r="BT71" s="17" t="s">
        <v>307</v>
      </c>
      <c r="BU71">
        <f>SUM(P71:AD71)</f>
        <v>0</v>
      </c>
      <c r="BV71" s="23">
        <f>AF71+AH71+AI71+AJ71+AO71+AP71</f>
        <v>0</v>
      </c>
    </row>
    <row r="72" spans="1:74">
      <c r="A72" s="1">
        <v>85</v>
      </c>
      <c r="B72" s="3" t="s">
        <v>233</v>
      </c>
      <c r="C72" s="3" t="s">
        <v>49</v>
      </c>
      <c r="D72" s="1" t="s">
        <v>29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>
        <v>50</v>
      </c>
      <c r="BN72" s="1">
        <v>50</v>
      </c>
      <c r="BO72" s="1">
        <v>50</v>
      </c>
      <c r="BP72" s="1">
        <v>50</v>
      </c>
      <c r="BQ72" s="1">
        <f>SUM(E72:BP72)</f>
        <v>200</v>
      </c>
      <c r="BR72" s="1">
        <v>29</v>
      </c>
      <c r="BS72" s="17">
        <v>1</v>
      </c>
      <c r="BT72" s="17" t="s">
        <v>308</v>
      </c>
      <c r="BU72">
        <f>SUM(P72:AD72)</f>
        <v>0</v>
      </c>
      <c r="BV72" s="23">
        <f>AF72+AH72+AI72+AJ72+AO72+AP72</f>
        <v>0</v>
      </c>
    </row>
    <row r="73" spans="1:74">
      <c r="A73" s="1"/>
      <c r="B73" s="1" t="s">
        <v>139</v>
      </c>
      <c r="C73" s="1" t="s">
        <v>93</v>
      </c>
      <c r="D73" s="1" t="s">
        <v>91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>
        <v>50</v>
      </c>
      <c r="BN73" s="1">
        <v>50</v>
      </c>
      <c r="BO73" s="1">
        <v>50</v>
      </c>
      <c r="BP73" s="1">
        <v>50</v>
      </c>
      <c r="BQ73" s="1">
        <f>SUM(E73:BP73)</f>
        <v>200</v>
      </c>
      <c r="BR73" s="1">
        <v>29</v>
      </c>
      <c r="BS73" s="17">
        <v>1</v>
      </c>
      <c r="BT73" s="17" t="s">
        <v>307</v>
      </c>
      <c r="BU73">
        <f>SUM(P73:AD73)</f>
        <v>0</v>
      </c>
      <c r="BV73" s="23">
        <f>AF73+AH73+AI73+AJ73+AO73+AP73</f>
        <v>0</v>
      </c>
    </row>
    <row r="74" spans="1:74">
      <c r="A74" s="1"/>
      <c r="B74" s="1" t="s">
        <v>156</v>
      </c>
      <c r="C74" s="1" t="s">
        <v>93</v>
      </c>
      <c r="D74" s="1" t="s">
        <v>91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>
        <v>50</v>
      </c>
      <c r="BN74" s="1">
        <v>50</v>
      </c>
      <c r="BO74" s="1">
        <v>50</v>
      </c>
      <c r="BP74" s="1">
        <v>50</v>
      </c>
      <c r="BQ74" s="1">
        <f>SUM(E74:BP74)</f>
        <v>200</v>
      </c>
      <c r="BR74" s="1">
        <v>29</v>
      </c>
      <c r="BS74" s="17">
        <v>1</v>
      </c>
      <c r="BT74" s="17" t="s">
        <v>308</v>
      </c>
      <c r="BU74">
        <f>SUM(P74:AD74)</f>
        <v>0</v>
      </c>
      <c r="BV74" s="23">
        <f>AF74+AH74+AI74+AJ74+AO74+AP74</f>
        <v>0</v>
      </c>
    </row>
    <row r="75" spans="1:74">
      <c r="A75" s="1">
        <v>98</v>
      </c>
      <c r="B75" s="3" t="s">
        <v>129</v>
      </c>
      <c r="C75" s="3" t="s">
        <v>51</v>
      </c>
      <c r="D75" s="1" t="s">
        <v>0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1">
        <v>50</v>
      </c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f>SUM(E75:BP75)</f>
        <v>50</v>
      </c>
      <c r="BR75" s="1">
        <v>29</v>
      </c>
      <c r="BS75" s="17">
        <v>1</v>
      </c>
      <c r="BT75" s="17" t="s">
        <v>309</v>
      </c>
      <c r="BU75">
        <f>SUM(P75:AD75)</f>
        <v>0</v>
      </c>
      <c r="BV75" s="23">
        <f>AF75+AH75+AI75+AJ75+AO75+AP75</f>
        <v>0</v>
      </c>
    </row>
    <row r="76" spans="1:74">
      <c r="A76" s="1"/>
      <c r="B76" s="1" t="s">
        <v>257</v>
      </c>
      <c r="C76" s="1" t="s">
        <v>24</v>
      </c>
      <c r="D76" s="1" t="s">
        <v>258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>
        <v>40</v>
      </c>
      <c r="AR76" s="4"/>
      <c r="AS76" s="4"/>
      <c r="AT76" s="4"/>
      <c r="AU76" s="4"/>
      <c r="AV76" s="4"/>
      <c r="AW76" s="2">
        <v>40</v>
      </c>
      <c r="AX76" s="2"/>
      <c r="AY76" s="2"/>
      <c r="AZ76" s="2"/>
      <c r="BA76" s="2">
        <v>40</v>
      </c>
      <c r="BB76" s="2"/>
      <c r="BC76" s="14">
        <v>10</v>
      </c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f>SUM(E76:BP76)</f>
        <v>130</v>
      </c>
      <c r="BR76" s="1">
        <v>32</v>
      </c>
      <c r="BS76" s="17">
        <v>1</v>
      </c>
      <c r="BT76" s="17" t="s">
        <v>306</v>
      </c>
      <c r="BU76">
        <f>SUM(P76:AD76)</f>
        <v>0</v>
      </c>
      <c r="BV76" s="23">
        <f>AF76+AH76+AI76+AJ76+AO76+AP76</f>
        <v>0</v>
      </c>
    </row>
    <row r="77" spans="1:74">
      <c r="A77" s="1"/>
      <c r="B77" s="3" t="s">
        <v>242</v>
      </c>
      <c r="C77" s="1" t="s">
        <v>49</v>
      </c>
      <c r="D77" s="1" t="s">
        <v>98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>
        <v>50</v>
      </c>
      <c r="AX77" s="2"/>
      <c r="AY77" s="2"/>
      <c r="AZ77" s="2">
        <v>50</v>
      </c>
      <c r="BA77" s="2"/>
      <c r="BB77" s="2"/>
      <c r="BC77" s="14"/>
      <c r="BD77" s="1"/>
      <c r="BE77" s="1"/>
      <c r="BF77" s="1"/>
      <c r="BG77" s="1"/>
      <c r="BH77" s="1"/>
      <c r="BI77" s="1">
        <v>50</v>
      </c>
      <c r="BJ77" s="1">
        <v>50</v>
      </c>
      <c r="BK77" s="1"/>
      <c r="BL77" s="1"/>
      <c r="BM77" s="1"/>
      <c r="BN77" s="1"/>
      <c r="BO77" s="1"/>
      <c r="BP77" s="1"/>
      <c r="BQ77" s="1">
        <f>SUM(E77:BP77)</f>
        <v>200</v>
      </c>
      <c r="BR77" s="1">
        <v>34</v>
      </c>
      <c r="BS77" s="17">
        <v>1</v>
      </c>
      <c r="BT77" s="17" t="s">
        <v>304</v>
      </c>
      <c r="BU77">
        <f>SUM(P77:AD77)</f>
        <v>0</v>
      </c>
      <c r="BV77" s="23">
        <f>AF77+AH77+AI77+AJ77+AO77+AP77</f>
        <v>0</v>
      </c>
    </row>
    <row r="78" spans="1:74">
      <c r="A78" s="1">
        <v>99</v>
      </c>
      <c r="B78" s="3" t="s">
        <v>129</v>
      </c>
      <c r="C78" s="3" t="s">
        <v>51</v>
      </c>
      <c r="D78" s="1" t="s">
        <v>9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1">
        <v>200</v>
      </c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>
        <f>SUM(E78:BP78)</f>
        <v>200</v>
      </c>
      <c r="BR78" s="1">
        <v>179</v>
      </c>
      <c r="BS78" s="17">
        <v>1</v>
      </c>
      <c r="BT78" s="17" t="s">
        <v>310</v>
      </c>
      <c r="BU78">
        <f>SUM(P78:AD78)</f>
        <v>0</v>
      </c>
      <c r="BV78" s="23">
        <f>AF78+AH78+AI78+AJ78+AO78+AP78</f>
        <v>0</v>
      </c>
    </row>
    <row r="79" spans="1:74" ht="27">
      <c r="A79" s="1"/>
      <c r="B79" s="1" t="s">
        <v>265</v>
      </c>
      <c r="C79" s="1" t="s">
        <v>251</v>
      </c>
      <c r="D79" s="1" t="s">
        <v>9</v>
      </c>
      <c r="E79" s="6"/>
      <c r="F79" s="6"/>
      <c r="G79" s="6">
        <v>4</v>
      </c>
      <c r="H79" s="6">
        <v>4</v>
      </c>
      <c r="I79" s="6"/>
      <c r="J79" s="6"/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>
        <v>5</v>
      </c>
      <c r="AV79" s="4"/>
      <c r="AW79" s="2"/>
      <c r="AX79" s="2"/>
      <c r="AY79" s="2">
        <v>5</v>
      </c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f>SUM(E79:BP79)</f>
        <v>18</v>
      </c>
      <c r="BR79" s="1">
        <v>3</v>
      </c>
      <c r="BS79" s="17">
        <v>2</v>
      </c>
      <c r="BT79" s="17" t="s">
        <v>285</v>
      </c>
      <c r="BU79">
        <f>SUM(P79:AD79)</f>
        <v>0</v>
      </c>
      <c r="BV79" s="23">
        <f>AF79+AH79+AI79+AJ79+AO79+AP79</f>
        <v>0</v>
      </c>
    </row>
    <row r="80" spans="1:74" ht="27">
      <c r="A80" s="1"/>
      <c r="B80" s="1" t="s">
        <v>218</v>
      </c>
      <c r="C80" s="1" t="s">
        <v>49</v>
      </c>
      <c r="D80" s="1" t="s">
        <v>216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/>
      <c r="R80" s="28"/>
      <c r="S80" s="28"/>
      <c r="T80" s="28"/>
      <c r="U80" s="28">
        <v>2</v>
      </c>
      <c r="V80" s="28"/>
      <c r="W80" s="28">
        <v>5</v>
      </c>
      <c r="X80" s="28"/>
      <c r="Y80" s="28"/>
      <c r="Z80" s="28"/>
      <c r="AA80" s="28">
        <v>2</v>
      </c>
      <c r="AB80" s="28"/>
      <c r="AC80" s="28"/>
      <c r="AD80" s="28">
        <v>2</v>
      </c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>
        <f>SUM(E80:BP80)</f>
        <v>11</v>
      </c>
      <c r="BR80" s="1">
        <v>3</v>
      </c>
      <c r="BS80" s="17">
        <v>2</v>
      </c>
      <c r="BT80" s="17" t="s">
        <v>311</v>
      </c>
      <c r="BU80">
        <f>SUM(P80:AD80)</f>
        <v>11</v>
      </c>
      <c r="BV80" s="23">
        <f>AF80+AH80+AI80+AJ80+AO80+AP80</f>
        <v>0</v>
      </c>
    </row>
    <row r="81" spans="1:74" ht="27">
      <c r="A81" s="1"/>
      <c r="B81" s="1" t="s">
        <v>269</v>
      </c>
      <c r="C81" s="1" t="s">
        <v>247</v>
      </c>
      <c r="D81" s="1" t="s">
        <v>80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>
        <v>2</v>
      </c>
      <c r="V81" s="28"/>
      <c r="W81" s="28"/>
      <c r="X81" s="28"/>
      <c r="Y81" s="28"/>
      <c r="Z81" s="28"/>
      <c r="AA81" s="28">
        <v>2</v>
      </c>
      <c r="AB81" s="28"/>
      <c r="AC81" s="28">
        <v>5</v>
      </c>
      <c r="AD81" s="28">
        <v>2</v>
      </c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f>SUM(E81:BP81)</f>
        <v>11</v>
      </c>
      <c r="BR81" s="1">
        <v>3</v>
      </c>
      <c r="BS81" s="17">
        <v>2</v>
      </c>
      <c r="BT81" s="17" t="s">
        <v>311</v>
      </c>
      <c r="BU81">
        <f>SUM(P81:AD81)</f>
        <v>11</v>
      </c>
      <c r="BV81" s="23">
        <f>AF81+AH81+AI81+AJ81+AO81+AP81</f>
        <v>0</v>
      </c>
    </row>
    <row r="82" spans="1:74" ht="27">
      <c r="A82" s="1"/>
      <c r="B82" s="3" t="s">
        <v>180</v>
      </c>
      <c r="C82" s="3" t="s">
        <v>49</v>
      </c>
      <c r="D82" s="1" t="s">
        <v>0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28"/>
      <c r="Q82" s="28"/>
      <c r="R82" s="28">
        <v>2</v>
      </c>
      <c r="S82" s="28"/>
      <c r="T82" s="28"/>
      <c r="U82" s="28">
        <v>2</v>
      </c>
      <c r="V82" s="28"/>
      <c r="W82" s="28"/>
      <c r="X82" s="28">
        <v>2</v>
      </c>
      <c r="Y82" s="28"/>
      <c r="Z82" s="28">
        <v>5</v>
      </c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>
        <f>SUM(E82:BP82)</f>
        <v>11</v>
      </c>
      <c r="BR82" s="1">
        <v>4</v>
      </c>
      <c r="BS82" s="17">
        <v>2</v>
      </c>
      <c r="BT82" s="17" t="s">
        <v>312</v>
      </c>
      <c r="BU82">
        <f>SUM(P82:AD82)</f>
        <v>11</v>
      </c>
      <c r="BV82" s="23">
        <f>AF82+AH82+AI82+AJ82+AO82+AP82</f>
        <v>0</v>
      </c>
    </row>
    <row r="83" spans="1:74" ht="27">
      <c r="A83" s="1"/>
      <c r="B83" s="1" t="s">
        <v>244</v>
      </c>
      <c r="C83" s="1" t="s">
        <v>95</v>
      </c>
      <c r="D83" s="1" t="s">
        <v>80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8"/>
      <c r="Q83" s="28"/>
      <c r="R83" s="28">
        <v>2</v>
      </c>
      <c r="S83" s="28"/>
      <c r="T83" s="28"/>
      <c r="U83" s="28">
        <v>2</v>
      </c>
      <c r="V83" s="28"/>
      <c r="W83" s="28"/>
      <c r="X83" s="28">
        <v>2</v>
      </c>
      <c r="Y83" s="28"/>
      <c r="Z83" s="28">
        <v>5</v>
      </c>
      <c r="AA83" s="28"/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>
        <f>SUM(E83:BP83)</f>
        <v>11</v>
      </c>
      <c r="BR83" s="1">
        <v>4</v>
      </c>
      <c r="BS83" s="17">
        <v>2</v>
      </c>
      <c r="BT83" s="17" t="s">
        <v>312</v>
      </c>
      <c r="BU83">
        <f>SUM(P83:AD83)</f>
        <v>11</v>
      </c>
      <c r="BV83" s="23">
        <f>AF83+AH83+AI83+AJ83+AO83+AP83</f>
        <v>0</v>
      </c>
    </row>
    <row r="84" spans="1:74" ht="27">
      <c r="A84" s="1"/>
      <c r="B84" s="3" t="s">
        <v>270</v>
      </c>
      <c r="C84" s="3" t="s">
        <v>239</v>
      </c>
      <c r="D84" s="1" t="s">
        <v>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>
        <v>2</v>
      </c>
      <c r="S84" s="28"/>
      <c r="T84" s="28"/>
      <c r="U84" s="28">
        <v>2</v>
      </c>
      <c r="V84" s="28"/>
      <c r="W84" s="28"/>
      <c r="X84" s="28"/>
      <c r="Y84" s="28"/>
      <c r="Z84" s="28"/>
      <c r="AA84" s="28"/>
      <c r="AB84" s="28"/>
      <c r="AC84" s="28">
        <v>5</v>
      </c>
      <c r="AD84" s="28">
        <v>2</v>
      </c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>
        <f>SUM(E84:BP84)</f>
        <v>11</v>
      </c>
      <c r="BR84" s="1">
        <v>4</v>
      </c>
      <c r="BS84" s="17">
        <v>2</v>
      </c>
      <c r="BT84" s="17" t="s">
        <v>313</v>
      </c>
      <c r="BU84">
        <f>SUM(P84:AD84)</f>
        <v>11</v>
      </c>
      <c r="BV84" s="23">
        <f>AF84+AH84+AI84+AJ84+AO84+AP84</f>
        <v>0</v>
      </c>
    </row>
    <row r="85" spans="1:74" ht="27">
      <c r="A85" s="1">
        <v>8</v>
      </c>
      <c r="B85" s="1" t="s">
        <v>130</v>
      </c>
      <c r="C85" s="1" t="s">
        <v>1</v>
      </c>
      <c r="D85" s="1" t="s">
        <v>20</v>
      </c>
      <c r="E85" s="6">
        <v>6</v>
      </c>
      <c r="F85" s="6"/>
      <c r="G85" s="6"/>
      <c r="H85" s="6">
        <v>6</v>
      </c>
      <c r="I85" s="6"/>
      <c r="J85" s="6"/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>
        <v>10</v>
      </c>
      <c r="AS85" s="4"/>
      <c r="AT85" s="4"/>
      <c r="AU85" s="4"/>
      <c r="AV85" s="4"/>
      <c r="AW85" s="2"/>
      <c r="AX85" s="2"/>
      <c r="AY85" s="2"/>
      <c r="AZ85" s="2"/>
      <c r="BA85" s="2"/>
      <c r="BB85" s="2">
        <v>10</v>
      </c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>
        <f>SUM(E85:BP85)</f>
        <v>32</v>
      </c>
      <c r="BR85" s="1">
        <v>6</v>
      </c>
      <c r="BS85" s="17">
        <v>2</v>
      </c>
      <c r="BT85" s="17" t="s">
        <v>293</v>
      </c>
      <c r="BU85">
        <f>SUM(P85:AD85)</f>
        <v>0</v>
      </c>
      <c r="BV85" s="23">
        <f>AF85+AH85+AI85+AJ85+AO85+AP85</f>
        <v>0</v>
      </c>
    </row>
    <row r="86" spans="1:74" ht="27">
      <c r="A86" s="1"/>
      <c r="B86" s="1" t="s">
        <v>89</v>
      </c>
      <c r="C86" s="1" t="s">
        <v>82</v>
      </c>
      <c r="D86" s="1" t="s">
        <v>80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>
        <v>5</v>
      </c>
      <c r="AP86" s="1">
        <v>1</v>
      </c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>
        <f>SUM(E86:BP86)</f>
        <v>6</v>
      </c>
      <c r="BR86" s="1">
        <v>6</v>
      </c>
      <c r="BS86" s="17">
        <v>2</v>
      </c>
      <c r="BT86" s="17" t="s">
        <v>314</v>
      </c>
      <c r="BU86">
        <f>SUM(P86:AD86)</f>
        <v>0</v>
      </c>
      <c r="BV86" s="23">
        <f>AF86+AH86+AI86+AJ86+AO86+AP86</f>
        <v>6</v>
      </c>
    </row>
    <row r="87" spans="1:74" ht="27">
      <c r="A87" s="1"/>
      <c r="B87" s="1" t="s">
        <v>158</v>
      </c>
      <c r="C87" s="1" t="s">
        <v>24</v>
      </c>
      <c r="D87" s="1" t="s">
        <v>19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>
        <v>5</v>
      </c>
      <c r="AP87" s="1">
        <v>1</v>
      </c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>
        <f>SUM(E87:BP87)</f>
        <v>6</v>
      </c>
      <c r="BR87" s="1">
        <v>6</v>
      </c>
      <c r="BS87" s="17">
        <v>2</v>
      </c>
      <c r="BT87" s="17" t="s">
        <v>314</v>
      </c>
      <c r="BU87">
        <f>SUM(P87:AD87)</f>
        <v>0</v>
      </c>
      <c r="BV87" s="23">
        <f>AF87+AH87+AI87+AJ87+AO87+AP87</f>
        <v>6</v>
      </c>
    </row>
    <row r="88" spans="1:74" ht="27">
      <c r="A88" s="1"/>
      <c r="B88" s="1" t="s">
        <v>85</v>
      </c>
      <c r="C88" s="1" t="s">
        <v>82</v>
      </c>
      <c r="D88" s="1" t="s">
        <v>86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>
        <v>3</v>
      </c>
      <c r="AP88" s="1">
        <v>5</v>
      </c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f>SUM(E88:BP88)</f>
        <v>8</v>
      </c>
      <c r="BR88" s="1">
        <v>8</v>
      </c>
      <c r="BS88" s="17">
        <v>2</v>
      </c>
      <c r="BT88" s="17" t="s">
        <v>315</v>
      </c>
      <c r="BU88">
        <f>SUM(P88:AD88)</f>
        <v>0</v>
      </c>
      <c r="BV88" s="23">
        <f>AF88+AH88+AI88+AJ88+AO88+AP88</f>
        <v>8</v>
      </c>
    </row>
    <row r="89" spans="1:74" ht="27">
      <c r="A89" s="1">
        <v>27</v>
      </c>
      <c r="B89" s="1" t="s">
        <v>56</v>
      </c>
      <c r="C89" s="1" t="s">
        <v>24</v>
      </c>
      <c r="D89" s="1" t="s">
        <v>18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/>
      <c r="AG89" s="1"/>
      <c r="AH89" s="1">
        <v>5</v>
      </c>
      <c r="AI89" s="1">
        <v>5</v>
      </c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f>SUM(E89:BP89)</f>
        <v>10</v>
      </c>
      <c r="BR89" s="1">
        <v>10</v>
      </c>
      <c r="BS89" s="17">
        <v>2</v>
      </c>
      <c r="BT89" s="17" t="s">
        <v>317</v>
      </c>
      <c r="BU89">
        <f>SUM(P89:AD89)</f>
        <v>0</v>
      </c>
      <c r="BV89" s="23">
        <f>AF89+AH89+AI89+AJ89+AO89+AP89</f>
        <v>10</v>
      </c>
    </row>
    <row r="90" spans="1:74" ht="27">
      <c r="A90" s="1">
        <v>88</v>
      </c>
      <c r="B90" s="3" t="s">
        <v>61</v>
      </c>
      <c r="C90" s="3" t="s">
        <v>62</v>
      </c>
      <c r="D90" s="1" t="s">
        <v>18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>
        <v>5</v>
      </c>
      <c r="AI90" s="1">
        <v>5</v>
      </c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f>SUM(E90:BP90)</f>
        <v>10</v>
      </c>
      <c r="BR90" s="1">
        <v>10</v>
      </c>
      <c r="BS90" s="17">
        <v>2</v>
      </c>
      <c r="BT90" s="17" t="s">
        <v>317</v>
      </c>
      <c r="BU90">
        <f>SUM(P90:AD90)</f>
        <v>0</v>
      </c>
      <c r="BV90" s="23">
        <f>AF90+AH90+AI90+AJ90+AO90+AP90</f>
        <v>10</v>
      </c>
    </row>
    <row r="91" spans="1:74" ht="27">
      <c r="A91" s="1"/>
      <c r="B91" s="3" t="s">
        <v>266</v>
      </c>
      <c r="C91" s="3" t="s">
        <v>186</v>
      </c>
      <c r="D91" s="1" t="s">
        <v>182</v>
      </c>
      <c r="E91" s="6"/>
      <c r="F91" s="6"/>
      <c r="G91" s="6"/>
      <c r="H91" s="6"/>
      <c r="I91" s="6"/>
      <c r="J91" s="6"/>
      <c r="K91" s="6">
        <v>10</v>
      </c>
      <c r="L91" s="6"/>
      <c r="M91" s="6"/>
      <c r="N91" s="6"/>
      <c r="O91" s="6"/>
      <c r="P91" s="28"/>
      <c r="Q91" s="28"/>
      <c r="R91" s="28"/>
      <c r="S91" s="28"/>
      <c r="T91" s="28"/>
      <c r="U91" s="28">
        <v>10</v>
      </c>
      <c r="V91" s="28"/>
      <c r="W91" s="28"/>
      <c r="X91" s="28"/>
      <c r="Y91" s="28"/>
      <c r="Z91" s="28"/>
      <c r="AA91" s="28">
        <v>10</v>
      </c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>
        <v>10</v>
      </c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f>SUM(E91:BP91)</f>
        <v>40</v>
      </c>
      <c r="BR91" s="1">
        <v>13</v>
      </c>
      <c r="BS91" s="17">
        <v>2</v>
      </c>
      <c r="BT91" s="17" t="s">
        <v>318</v>
      </c>
      <c r="BU91">
        <f>SUM(P91:AD91)</f>
        <v>20</v>
      </c>
      <c r="BV91" s="23">
        <f>AF91+AH91+AI91+AJ91+AO91+AP91</f>
        <v>0</v>
      </c>
    </row>
    <row r="92" spans="1:74" ht="27">
      <c r="A92" s="1"/>
      <c r="B92" s="1" t="s">
        <v>119</v>
      </c>
      <c r="C92" s="1" t="s">
        <v>120</v>
      </c>
      <c r="D92" s="1" t="s">
        <v>98</v>
      </c>
      <c r="E92" s="6"/>
      <c r="F92" s="6"/>
      <c r="G92" s="6"/>
      <c r="H92" s="6"/>
      <c r="I92" s="6"/>
      <c r="J92" s="6">
        <v>10</v>
      </c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>
        <v>10</v>
      </c>
      <c r="V92" s="28"/>
      <c r="W92" s="28"/>
      <c r="X92" s="28"/>
      <c r="Y92" s="28"/>
      <c r="Z92" s="28"/>
      <c r="AA92" s="28">
        <v>10</v>
      </c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>
        <v>10</v>
      </c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f>SUM(E92:BP92)</f>
        <v>40</v>
      </c>
      <c r="BR92" s="1">
        <v>13</v>
      </c>
      <c r="BS92" s="17">
        <v>2</v>
      </c>
      <c r="BT92" s="17" t="s">
        <v>318</v>
      </c>
      <c r="BU92">
        <f>SUM(P92:AD92)</f>
        <v>20</v>
      </c>
      <c r="BV92" s="23">
        <f>AF92+AH92+AI92+AJ92+AO92+AP92</f>
        <v>0</v>
      </c>
    </row>
    <row r="93" spans="1:74" ht="27">
      <c r="A93" s="1"/>
      <c r="B93" s="1" t="s">
        <v>126</v>
      </c>
      <c r="C93" s="1" t="s">
        <v>122</v>
      </c>
      <c r="D93" s="1" t="s">
        <v>98</v>
      </c>
      <c r="E93" s="6"/>
      <c r="F93" s="6"/>
      <c r="G93" s="6"/>
      <c r="H93" s="6"/>
      <c r="I93" s="6"/>
      <c r="J93" s="6">
        <v>10</v>
      </c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>
        <v>10</v>
      </c>
      <c r="V93" s="28"/>
      <c r="W93" s="28"/>
      <c r="X93" s="28"/>
      <c r="Y93" s="28"/>
      <c r="Z93" s="28"/>
      <c r="AA93" s="28">
        <v>10</v>
      </c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>
        <v>10</v>
      </c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f>SUM(E93:BP93)</f>
        <v>40</v>
      </c>
      <c r="BR93" s="1">
        <v>13</v>
      </c>
      <c r="BS93" s="17">
        <v>2</v>
      </c>
      <c r="BT93" s="17" t="s">
        <v>319</v>
      </c>
      <c r="BU93">
        <f>SUM(P93:AD93)</f>
        <v>20</v>
      </c>
      <c r="BV93" s="23">
        <f>AF93+AH93+AI93+AJ93+AO93+AP93</f>
        <v>0</v>
      </c>
    </row>
    <row r="94" spans="1:74" ht="27">
      <c r="A94" s="1"/>
      <c r="B94" s="3" t="s">
        <v>183</v>
      </c>
      <c r="C94" s="3" t="s">
        <v>49</v>
      </c>
      <c r="D94" s="1" t="s">
        <v>182</v>
      </c>
      <c r="E94" s="6"/>
      <c r="F94" s="6"/>
      <c r="G94" s="6"/>
      <c r="H94" s="6"/>
      <c r="I94" s="6"/>
      <c r="J94" s="6">
        <v>10</v>
      </c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>
        <v>10</v>
      </c>
      <c r="V94" s="28"/>
      <c r="W94" s="28"/>
      <c r="X94" s="28"/>
      <c r="Y94" s="28"/>
      <c r="Z94" s="28"/>
      <c r="AA94" s="28">
        <v>10</v>
      </c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>
        <v>10</v>
      </c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f>SUM(E94:BP94)</f>
        <v>40</v>
      </c>
      <c r="BR94" s="1">
        <v>13</v>
      </c>
      <c r="BS94" s="17">
        <v>2</v>
      </c>
      <c r="BT94" s="17" t="s">
        <v>318</v>
      </c>
      <c r="BU94">
        <f>SUM(P94:AD94)</f>
        <v>20</v>
      </c>
      <c r="BV94" s="23">
        <f>AF94+AH94+AI94+AJ94+AO94+AP94</f>
        <v>0</v>
      </c>
    </row>
    <row r="95" spans="1:74" ht="27">
      <c r="A95" s="1"/>
      <c r="B95" s="1" t="s">
        <v>276</v>
      </c>
      <c r="C95" s="1" t="s">
        <v>113</v>
      </c>
      <c r="D95" s="1" t="s">
        <v>217</v>
      </c>
      <c r="E95" s="6"/>
      <c r="F95" s="6"/>
      <c r="G95" s="6"/>
      <c r="H95" s="6"/>
      <c r="I95" s="6"/>
      <c r="J95" s="6">
        <v>10</v>
      </c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>
        <v>10</v>
      </c>
      <c r="V95" s="28"/>
      <c r="W95" s="28"/>
      <c r="X95" s="28"/>
      <c r="Y95" s="28"/>
      <c r="Z95" s="28"/>
      <c r="AA95" s="28">
        <v>10</v>
      </c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>
        <v>10</v>
      </c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f>SUM(E95:BP95)</f>
        <v>40</v>
      </c>
      <c r="BR95" s="1">
        <v>13</v>
      </c>
      <c r="BS95" s="17">
        <v>2</v>
      </c>
      <c r="BT95" s="17" t="s">
        <v>319</v>
      </c>
      <c r="BU95">
        <f>SUM(P95:AD95)</f>
        <v>20</v>
      </c>
      <c r="BV95" s="23">
        <f>AF95+AH95+AI95+AJ95+AO95+AP95</f>
        <v>0</v>
      </c>
    </row>
    <row r="96" spans="1:74" ht="27">
      <c r="A96" s="1"/>
      <c r="B96" s="1" t="s">
        <v>225</v>
      </c>
      <c r="C96" s="1" t="s">
        <v>36</v>
      </c>
      <c r="D96" s="1" t="s">
        <v>224</v>
      </c>
      <c r="E96" s="6"/>
      <c r="F96" s="6"/>
      <c r="G96" s="6"/>
      <c r="H96" s="6"/>
      <c r="I96" s="6"/>
      <c r="J96" s="6">
        <v>10</v>
      </c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>
        <v>10</v>
      </c>
      <c r="V96" s="28"/>
      <c r="W96" s="28"/>
      <c r="X96" s="28"/>
      <c r="Y96" s="28"/>
      <c r="Z96" s="28"/>
      <c r="AA96" s="28">
        <v>10</v>
      </c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>
        <v>10</v>
      </c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>
        <f>SUM(E96:BP96)</f>
        <v>40</v>
      </c>
      <c r="BR96" s="1">
        <v>13</v>
      </c>
      <c r="BS96" s="17">
        <v>2</v>
      </c>
      <c r="BT96" s="17" t="s">
        <v>318</v>
      </c>
      <c r="BU96">
        <f>SUM(P96:AD96)</f>
        <v>20</v>
      </c>
      <c r="BV96" s="23">
        <f>AF96+AH96+AI96+AJ96+AO96+AP96</f>
        <v>0</v>
      </c>
    </row>
    <row r="97" spans="1:74" ht="27">
      <c r="A97" s="1"/>
      <c r="B97" s="1" t="s">
        <v>264</v>
      </c>
      <c r="C97" s="1" t="s">
        <v>51</v>
      </c>
      <c r="D97" s="1" t="s">
        <v>217</v>
      </c>
      <c r="E97" s="6"/>
      <c r="F97" s="6"/>
      <c r="G97" s="6"/>
      <c r="H97" s="6"/>
      <c r="I97" s="6"/>
      <c r="J97" s="6"/>
      <c r="K97" s="6"/>
      <c r="L97" s="6">
        <v>10</v>
      </c>
      <c r="M97" s="6"/>
      <c r="N97" s="6"/>
      <c r="O97" s="6"/>
      <c r="P97" s="28"/>
      <c r="Q97" s="28"/>
      <c r="R97" s="28">
        <v>10</v>
      </c>
      <c r="S97" s="28"/>
      <c r="T97" s="28"/>
      <c r="U97" s="28">
        <v>10</v>
      </c>
      <c r="V97" s="28"/>
      <c r="W97" s="28"/>
      <c r="X97" s="28"/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>
        <v>10</v>
      </c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f>SUM(E97:BP97)</f>
        <v>40</v>
      </c>
      <c r="BR97" s="1">
        <v>14</v>
      </c>
      <c r="BS97" s="17">
        <v>2</v>
      </c>
      <c r="BT97" s="17" t="s">
        <v>321</v>
      </c>
      <c r="BU97">
        <f>SUM(P97:AD97)</f>
        <v>20</v>
      </c>
      <c r="BV97" s="23">
        <f>AF97+AH97+AI97+AJ97+AO97+AP97</f>
        <v>0</v>
      </c>
    </row>
    <row r="98" spans="1:74" ht="27">
      <c r="A98" s="1"/>
      <c r="B98" s="1" t="s">
        <v>262</v>
      </c>
      <c r="C98" s="1" t="s">
        <v>51</v>
      </c>
      <c r="D98" s="1" t="s">
        <v>224</v>
      </c>
      <c r="E98" s="6"/>
      <c r="F98" s="6"/>
      <c r="G98" s="6"/>
      <c r="H98" s="6"/>
      <c r="I98" s="6"/>
      <c r="J98" s="6"/>
      <c r="K98" s="6"/>
      <c r="L98" s="6">
        <v>10</v>
      </c>
      <c r="M98" s="6"/>
      <c r="N98" s="6"/>
      <c r="O98" s="6"/>
      <c r="P98" s="28"/>
      <c r="Q98" s="28"/>
      <c r="R98" s="28">
        <v>10</v>
      </c>
      <c r="S98" s="28"/>
      <c r="T98" s="28"/>
      <c r="U98" s="28">
        <v>10</v>
      </c>
      <c r="V98" s="28"/>
      <c r="W98" s="28"/>
      <c r="X98" s="28"/>
      <c r="Y98" s="28"/>
      <c r="Z98" s="28"/>
      <c r="AA98" s="28"/>
      <c r="AB98" s="28"/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>
        <v>10</v>
      </c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f>SUM(E98:BP98)</f>
        <v>40</v>
      </c>
      <c r="BR98" s="1">
        <v>14</v>
      </c>
      <c r="BS98" s="17">
        <v>2</v>
      </c>
      <c r="BT98" s="17" t="s">
        <v>322</v>
      </c>
      <c r="BU98">
        <f>SUM(P98:AD98)</f>
        <v>20</v>
      </c>
      <c r="BV98" s="23">
        <f>AF98+AH98+AI98+AJ98+AO98+AP98</f>
        <v>0</v>
      </c>
    </row>
    <row r="99" spans="1:74" s="67" customFormat="1" ht="27">
      <c r="A99" s="1"/>
      <c r="B99" s="1" t="s">
        <v>135</v>
      </c>
      <c r="C99" s="1" t="s">
        <v>90</v>
      </c>
      <c r="D99" s="1" t="s">
        <v>81</v>
      </c>
      <c r="E99" s="6">
        <v>10</v>
      </c>
      <c r="F99" s="6"/>
      <c r="G99" s="6">
        <v>10</v>
      </c>
      <c r="H99" s="6"/>
      <c r="I99" s="6"/>
      <c r="J99" s="6"/>
      <c r="K99" s="6"/>
      <c r="L99" s="6"/>
      <c r="M99" s="6"/>
      <c r="N99" s="6"/>
      <c r="O99" s="6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>
        <v>10</v>
      </c>
      <c r="AS99" s="4"/>
      <c r="AT99" s="4"/>
      <c r="AU99" s="4"/>
      <c r="AV99" s="4"/>
      <c r="AW99" s="2"/>
      <c r="AX99" s="2"/>
      <c r="AY99" s="2"/>
      <c r="AZ99" s="2"/>
      <c r="BA99" s="2"/>
      <c r="BB99" s="2">
        <v>10</v>
      </c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f>SUM(E99:BP99)</f>
        <v>40</v>
      </c>
      <c r="BR99" s="1">
        <v>15</v>
      </c>
      <c r="BS99" s="17">
        <v>2</v>
      </c>
      <c r="BT99" s="17" t="s">
        <v>283</v>
      </c>
      <c r="BU99">
        <f>SUM(P99:AD99)</f>
        <v>0</v>
      </c>
      <c r="BV99" s="23">
        <f>AF99+AH99+AI99+AJ99+AO99+AP99</f>
        <v>0</v>
      </c>
    </row>
    <row r="100" spans="1:74" s="67" customFormat="1" ht="27">
      <c r="A100" s="1"/>
      <c r="B100" s="1" t="s">
        <v>133</v>
      </c>
      <c r="C100" s="1" t="s">
        <v>121</v>
      </c>
      <c r="D100" s="1" t="s">
        <v>98</v>
      </c>
      <c r="E100" s="6">
        <v>10</v>
      </c>
      <c r="F100" s="6"/>
      <c r="G100" s="6">
        <v>10</v>
      </c>
      <c r="H100" s="6"/>
      <c r="I100" s="6"/>
      <c r="J100" s="6"/>
      <c r="K100" s="6"/>
      <c r="L100" s="6"/>
      <c r="M100" s="6"/>
      <c r="N100" s="6"/>
      <c r="O100" s="6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>
        <v>10</v>
      </c>
      <c r="AS100" s="4"/>
      <c r="AT100" s="4"/>
      <c r="AU100" s="4"/>
      <c r="AV100" s="4"/>
      <c r="AW100" s="2"/>
      <c r="AX100" s="2"/>
      <c r="AY100" s="2"/>
      <c r="AZ100" s="2"/>
      <c r="BA100" s="2"/>
      <c r="BB100" s="2">
        <v>10</v>
      </c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>
        <f>SUM(E100:BP100)</f>
        <v>40</v>
      </c>
      <c r="BR100" s="1">
        <v>15</v>
      </c>
      <c r="BS100" s="17">
        <v>2</v>
      </c>
      <c r="BT100" s="17" t="s">
        <v>284</v>
      </c>
      <c r="BU100">
        <f>SUM(P100:AD100)</f>
        <v>0</v>
      </c>
      <c r="BV100" s="23">
        <f>AF100+AH100+AI100+AJ100+AO100+AP100</f>
        <v>0</v>
      </c>
    </row>
    <row r="101" spans="1:74" s="67" customFormat="1" ht="27">
      <c r="A101" s="1"/>
      <c r="B101" s="1" t="s">
        <v>85</v>
      </c>
      <c r="C101" s="1" t="s">
        <v>82</v>
      </c>
      <c r="D101" s="1" t="s">
        <v>80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>
        <v>5</v>
      </c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>
        <v>5</v>
      </c>
      <c r="AP101" s="1">
        <v>10</v>
      </c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>
        <f>SUM(E101:BP101)</f>
        <v>20</v>
      </c>
      <c r="BR101" s="1">
        <v>15</v>
      </c>
      <c r="BS101" s="17">
        <v>2</v>
      </c>
      <c r="BT101" s="17" t="s">
        <v>323</v>
      </c>
      <c r="BU101">
        <f>SUM(P101:AD101)</f>
        <v>0</v>
      </c>
      <c r="BV101" s="23">
        <f>AF101+AH101+AI101+AJ101+AO101+AP101</f>
        <v>15</v>
      </c>
    </row>
    <row r="102" spans="1:74" s="67" customFormat="1" ht="27">
      <c r="A102" s="1">
        <v>54</v>
      </c>
      <c r="B102" s="1" t="s">
        <v>42</v>
      </c>
      <c r="C102" s="1" t="s">
        <v>43</v>
      </c>
      <c r="D102" s="1" t="s">
        <v>0</v>
      </c>
      <c r="E102" s="6"/>
      <c r="F102" s="6">
        <v>15</v>
      </c>
      <c r="G102" s="6"/>
      <c r="H102" s="6">
        <v>15</v>
      </c>
      <c r="I102" s="6"/>
      <c r="J102" s="6"/>
      <c r="K102" s="6"/>
      <c r="L102" s="6"/>
      <c r="M102" s="6"/>
      <c r="N102" s="6"/>
      <c r="O102" s="6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>
        <v>15</v>
      </c>
      <c r="AW102" s="2"/>
      <c r="AX102" s="2"/>
      <c r="AY102" s="2"/>
      <c r="AZ102" s="2"/>
      <c r="BA102" s="2">
        <v>15</v>
      </c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>
        <f>SUM(E102:BP102)</f>
        <v>60</v>
      </c>
      <c r="BR102" s="1">
        <v>19</v>
      </c>
      <c r="BS102" s="17">
        <v>2</v>
      </c>
      <c r="BT102" s="17" t="s">
        <v>320</v>
      </c>
      <c r="BU102">
        <f>SUM(P102:AD102)</f>
        <v>0</v>
      </c>
      <c r="BV102" s="23">
        <f>AF102+AH102+AI102+AJ102+AO102+AP102</f>
        <v>0</v>
      </c>
    </row>
    <row r="103" spans="1:74" s="67" customFormat="1" ht="27">
      <c r="A103" s="1"/>
      <c r="B103" s="3" t="s">
        <v>180</v>
      </c>
      <c r="C103" s="3" t="s">
        <v>49</v>
      </c>
      <c r="D103" s="1" t="s">
        <v>182</v>
      </c>
      <c r="E103" s="6"/>
      <c r="F103" s="6"/>
      <c r="G103" s="6"/>
      <c r="H103" s="6"/>
      <c r="I103" s="6"/>
      <c r="J103" s="6"/>
      <c r="K103" s="6"/>
      <c r="L103" s="6"/>
      <c r="M103" s="6">
        <v>10</v>
      </c>
      <c r="N103" s="6"/>
      <c r="O103" s="6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>
        <v>10</v>
      </c>
      <c r="AB103" s="28"/>
      <c r="AC103" s="28"/>
      <c r="AD103" s="28">
        <v>10</v>
      </c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>
        <v>10</v>
      </c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>
        <f>SUM(E103:BP103)</f>
        <v>40</v>
      </c>
      <c r="BR103" s="1">
        <v>19</v>
      </c>
      <c r="BS103" s="17">
        <v>2</v>
      </c>
      <c r="BT103" s="17" t="s">
        <v>325</v>
      </c>
      <c r="BU103">
        <f>SUM(P103:AD103)</f>
        <v>20</v>
      </c>
      <c r="BV103" s="23">
        <f>AF103+AH103+AI103+AJ103+AO103+AP103</f>
        <v>0</v>
      </c>
    </row>
    <row r="104" spans="1:74" s="67" customFormat="1" ht="27">
      <c r="A104" s="1"/>
      <c r="B104" s="3" t="s">
        <v>184</v>
      </c>
      <c r="C104" s="3" t="s">
        <v>24</v>
      </c>
      <c r="D104" s="1" t="s">
        <v>182</v>
      </c>
      <c r="E104" s="6"/>
      <c r="F104" s="6"/>
      <c r="G104" s="6"/>
      <c r="H104" s="6"/>
      <c r="I104" s="6"/>
      <c r="J104" s="6"/>
      <c r="K104" s="6"/>
      <c r="L104" s="6"/>
      <c r="M104" s="6">
        <v>10</v>
      </c>
      <c r="N104" s="6"/>
      <c r="O104" s="6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>
        <v>10</v>
      </c>
      <c r="AB104" s="28"/>
      <c r="AC104" s="28"/>
      <c r="AD104" s="28">
        <v>10</v>
      </c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>
        <v>10</v>
      </c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>
        <f>SUM(E104:BP104)</f>
        <v>40</v>
      </c>
      <c r="BR104" s="1">
        <v>19</v>
      </c>
      <c r="BS104" s="17">
        <v>2</v>
      </c>
      <c r="BT104" s="17" t="s">
        <v>326</v>
      </c>
      <c r="BU104">
        <f>SUM(P104:AD104)</f>
        <v>20</v>
      </c>
      <c r="BV104" s="23">
        <f>AF104+AH104+AI104+AJ104+AO104+AP104</f>
        <v>0</v>
      </c>
    </row>
    <row r="105" spans="1:74" s="67" customFormat="1" ht="27">
      <c r="A105" s="1"/>
      <c r="B105" s="3" t="s">
        <v>275</v>
      </c>
      <c r="C105" s="3" t="s">
        <v>186</v>
      </c>
      <c r="D105" s="1" t="s">
        <v>182</v>
      </c>
      <c r="E105" s="6"/>
      <c r="F105" s="6"/>
      <c r="G105" s="6"/>
      <c r="H105" s="6"/>
      <c r="I105" s="6"/>
      <c r="J105" s="6"/>
      <c r="K105" s="6"/>
      <c r="L105" s="6"/>
      <c r="M105" s="6">
        <v>10</v>
      </c>
      <c r="N105" s="6"/>
      <c r="O105" s="6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>
        <v>10</v>
      </c>
      <c r="AB105" s="28"/>
      <c r="AC105" s="28"/>
      <c r="AD105" s="28">
        <v>10</v>
      </c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>
        <v>10</v>
      </c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>
        <f>SUM(E105:BP105)</f>
        <v>40</v>
      </c>
      <c r="BR105" s="1">
        <v>19</v>
      </c>
      <c r="BS105" s="17">
        <v>2</v>
      </c>
      <c r="BT105" s="17" t="s">
        <v>326</v>
      </c>
      <c r="BU105">
        <f>SUM(P105:AD105)</f>
        <v>20</v>
      </c>
      <c r="BV105" s="23">
        <f>AF105+AH105+AI105+AJ105+AO105+AP105</f>
        <v>0</v>
      </c>
    </row>
    <row r="106" spans="1:74" s="67" customFormat="1" ht="27">
      <c r="A106" s="1"/>
      <c r="B106" s="1" t="s">
        <v>244</v>
      </c>
      <c r="C106" s="1" t="s">
        <v>95</v>
      </c>
      <c r="D106" s="1" t="s">
        <v>246</v>
      </c>
      <c r="E106" s="6"/>
      <c r="F106" s="6"/>
      <c r="G106" s="6"/>
      <c r="H106" s="6"/>
      <c r="I106" s="6"/>
      <c r="J106" s="6"/>
      <c r="K106" s="6"/>
      <c r="L106" s="6"/>
      <c r="M106" s="6">
        <v>10</v>
      </c>
      <c r="N106" s="6"/>
      <c r="O106" s="6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>
        <v>10</v>
      </c>
      <c r="AB106" s="28"/>
      <c r="AC106" s="28"/>
      <c r="AD106" s="28">
        <v>10</v>
      </c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>
        <v>10</v>
      </c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>
        <f>SUM(E106:BP106)</f>
        <v>40</v>
      </c>
      <c r="BR106" s="1">
        <v>19</v>
      </c>
      <c r="BS106" s="17">
        <v>2</v>
      </c>
      <c r="BT106" s="17" t="s">
        <v>326</v>
      </c>
      <c r="BU106">
        <f>SUM(P106:AD106)</f>
        <v>20</v>
      </c>
      <c r="BV106" s="23">
        <f>AF106+AH106+AI106+AJ106+AO106+AP106</f>
        <v>0</v>
      </c>
    </row>
    <row r="107" spans="1:74" s="67" customFormat="1" ht="27">
      <c r="A107" s="1"/>
      <c r="B107" s="1" t="s">
        <v>107</v>
      </c>
      <c r="C107" s="1" t="s">
        <v>95</v>
      </c>
      <c r="D107" s="1" t="s">
        <v>98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>
        <v>10</v>
      </c>
      <c r="P107" s="28"/>
      <c r="Q107" s="28"/>
      <c r="R107" s="28">
        <v>10</v>
      </c>
      <c r="S107" s="28"/>
      <c r="T107" s="28"/>
      <c r="U107" s="28"/>
      <c r="V107" s="28"/>
      <c r="W107" s="28"/>
      <c r="X107" s="28">
        <v>10</v>
      </c>
      <c r="Y107" s="28"/>
      <c r="Z107" s="28"/>
      <c r="AA107" s="28"/>
      <c r="AB107" s="28"/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>
        <v>10</v>
      </c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>
        <f>SUM(E107:BP107)</f>
        <v>40</v>
      </c>
      <c r="BR107" s="1">
        <v>20</v>
      </c>
      <c r="BS107" s="17">
        <v>2</v>
      </c>
      <c r="BT107" s="17" t="s">
        <v>327</v>
      </c>
      <c r="BU107">
        <f>SUM(P107:AD107)</f>
        <v>20</v>
      </c>
      <c r="BV107" s="23">
        <f>AF107+AH107+AI107+AJ107+AO107+AP107</f>
        <v>0</v>
      </c>
    </row>
    <row r="108" spans="1:74" s="67" customFormat="1" ht="27">
      <c r="A108" s="1"/>
      <c r="B108" s="3" t="s">
        <v>187</v>
      </c>
      <c r="C108" s="3" t="s">
        <v>94</v>
      </c>
      <c r="D108" s="1" t="s">
        <v>182</v>
      </c>
      <c r="E108" s="6"/>
      <c r="F108" s="6"/>
      <c r="G108" s="6"/>
      <c r="H108" s="6"/>
      <c r="I108" s="6">
        <v>10</v>
      </c>
      <c r="J108" s="6"/>
      <c r="K108" s="6"/>
      <c r="L108" s="6"/>
      <c r="M108" s="6"/>
      <c r="N108" s="6"/>
      <c r="O108" s="6"/>
      <c r="P108" s="28"/>
      <c r="Q108" s="28"/>
      <c r="R108" s="28">
        <v>10</v>
      </c>
      <c r="S108" s="28"/>
      <c r="T108" s="28"/>
      <c r="U108" s="28"/>
      <c r="V108" s="28"/>
      <c r="W108" s="28"/>
      <c r="X108" s="28">
        <v>10</v>
      </c>
      <c r="Y108" s="28"/>
      <c r="Z108" s="28"/>
      <c r="AA108" s="28"/>
      <c r="AB108" s="28"/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>
        <v>10</v>
      </c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>
        <f>SUM(E108:BP108)</f>
        <v>40</v>
      </c>
      <c r="BR108" s="1">
        <v>20</v>
      </c>
      <c r="BS108" s="17">
        <v>2</v>
      </c>
      <c r="BT108" s="17" t="s">
        <v>327</v>
      </c>
      <c r="BU108">
        <f>SUM(P108:AD108)</f>
        <v>20</v>
      </c>
      <c r="BV108" s="23">
        <f>AF108+AH108+AI108+AJ108+AO108+AP108</f>
        <v>0</v>
      </c>
    </row>
    <row r="109" spans="1:74" s="67" customFormat="1" ht="27">
      <c r="A109" s="1"/>
      <c r="B109" s="1" t="s">
        <v>218</v>
      </c>
      <c r="C109" s="1" t="s">
        <v>49</v>
      </c>
      <c r="D109" s="1" t="s">
        <v>217</v>
      </c>
      <c r="E109" s="6"/>
      <c r="F109" s="6"/>
      <c r="G109" s="6"/>
      <c r="H109" s="6"/>
      <c r="I109" s="6">
        <v>10</v>
      </c>
      <c r="J109" s="6"/>
      <c r="K109" s="6"/>
      <c r="L109" s="6"/>
      <c r="M109" s="6"/>
      <c r="N109" s="6"/>
      <c r="O109" s="6"/>
      <c r="P109" s="28"/>
      <c r="Q109" s="28"/>
      <c r="R109" s="28">
        <v>10</v>
      </c>
      <c r="S109" s="28"/>
      <c r="T109" s="28"/>
      <c r="U109" s="28"/>
      <c r="V109" s="28"/>
      <c r="W109" s="28"/>
      <c r="X109" s="28">
        <v>10</v>
      </c>
      <c r="Y109" s="28"/>
      <c r="Z109" s="28"/>
      <c r="AA109" s="28"/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>
        <v>10</v>
      </c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>
        <f>SUM(E109:BP109)</f>
        <v>40</v>
      </c>
      <c r="BR109" s="1">
        <v>20</v>
      </c>
      <c r="BS109" s="17">
        <v>2</v>
      </c>
      <c r="BT109" s="17" t="s">
        <v>328</v>
      </c>
      <c r="BU109">
        <f>SUM(P109:AD109)</f>
        <v>20</v>
      </c>
      <c r="BV109" s="23">
        <f>AF109+AH109+AI109+AJ109+AO109+AP109</f>
        <v>0</v>
      </c>
    </row>
    <row r="110" spans="1:74" s="67" customFormat="1" ht="27">
      <c r="A110" s="1"/>
      <c r="B110" s="1" t="s">
        <v>221</v>
      </c>
      <c r="C110" s="1" t="s">
        <v>51</v>
      </c>
      <c r="D110" s="1" t="s">
        <v>217</v>
      </c>
      <c r="E110" s="6"/>
      <c r="F110" s="6"/>
      <c r="G110" s="6"/>
      <c r="H110" s="6"/>
      <c r="I110" s="6">
        <v>10</v>
      </c>
      <c r="J110" s="6"/>
      <c r="K110" s="6"/>
      <c r="L110" s="6"/>
      <c r="M110" s="6"/>
      <c r="N110" s="6"/>
      <c r="O110" s="6"/>
      <c r="P110" s="28"/>
      <c r="Q110" s="28"/>
      <c r="R110" s="28">
        <v>10</v>
      </c>
      <c r="S110" s="28"/>
      <c r="T110" s="28"/>
      <c r="U110" s="28"/>
      <c r="V110" s="28"/>
      <c r="W110" s="28"/>
      <c r="X110" s="28">
        <v>10</v>
      </c>
      <c r="Y110" s="28"/>
      <c r="Z110" s="28"/>
      <c r="AA110" s="28"/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>
        <v>10</v>
      </c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>
        <f>SUM(E110:BP110)</f>
        <v>40</v>
      </c>
      <c r="BR110" s="1">
        <v>20</v>
      </c>
      <c r="BS110" s="17">
        <v>2</v>
      </c>
      <c r="BT110" s="17" t="s">
        <v>328</v>
      </c>
      <c r="BU110">
        <f>SUM(P110:AD110)</f>
        <v>20</v>
      </c>
      <c r="BV110" s="23">
        <f>AF110+AH110+AI110+AJ110+AO110+AP110</f>
        <v>0</v>
      </c>
    </row>
    <row r="111" spans="1:74" s="67" customFormat="1" ht="27">
      <c r="A111" s="1"/>
      <c r="B111" s="3" t="s">
        <v>268</v>
      </c>
      <c r="C111" s="3" t="s">
        <v>43</v>
      </c>
      <c r="D111" s="1" t="s">
        <v>98</v>
      </c>
      <c r="E111" s="6"/>
      <c r="F111" s="6"/>
      <c r="G111" s="6"/>
      <c r="H111" s="6"/>
      <c r="I111" s="6"/>
      <c r="J111" s="6"/>
      <c r="K111" s="6">
        <v>15</v>
      </c>
      <c r="L111" s="6"/>
      <c r="M111" s="6"/>
      <c r="N111" s="6"/>
      <c r="O111" s="6"/>
      <c r="P111" s="28"/>
      <c r="Q111" s="28"/>
      <c r="R111" s="28">
        <v>10</v>
      </c>
      <c r="S111" s="28"/>
      <c r="T111" s="28"/>
      <c r="U111" s="28"/>
      <c r="V111" s="28"/>
      <c r="W111" s="28"/>
      <c r="X111" s="28">
        <v>10</v>
      </c>
      <c r="Y111" s="28"/>
      <c r="Z111" s="28"/>
      <c r="AA111" s="28"/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>
        <v>15</v>
      </c>
      <c r="AX111" s="2">
        <v>15</v>
      </c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>
        <f>SUM(E111:BP111)</f>
        <v>65</v>
      </c>
      <c r="BR111" s="1">
        <v>20</v>
      </c>
      <c r="BS111" s="17">
        <v>2</v>
      </c>
      <c r="BT111" s="17" t="s">
        <v>327</v>
      </c>
      <c r="BU111">
        <f>SUM(P111:AD111)</f>
        <v>20</v>
      </c>
      <c r="BV111" s="23">
        <f>AF111+AH111+AI111+AJ111+AO111+AP111</f>
        <v>0</v>
      </c>
    </row>
    <row r="112" spans="1:74" s="67" customFormat="1" ht="27">
      <c r="A112" s="1"/>
      <c r="B112" s="1" t="s">
        <v>219</v>
      </c>
      <c r="C112" s="1" t="s">
        <v>49</v>
      </c>
      <c r="D112" s="1" t="s">
        <v>217</v>
      </c>
      <c r="E112" s="6"/>
      <c r="F112" s="6"/>
      <c r="G112" s="6"/>
      <c r="H112" s="6"/>
      <c r="I112" s="6"/>
      <c r="J112" s="6"/>
      <c r="K112" s="6"/>
      <c r="L112" s="6">
        <v>10</v>
      </c>
      <c r="M112" s="6"/>
      <c r="N112" s="6"/>
      <c r="O112" s="6"/>
      <c r="P112" s="28"/>
      <c r="Q112" s="28"/>
      <c r="R112" s="28"/>
      <c r="S112" s="28"/>
      <c r="T112" s="28"/>
      <c r="U112" s="28"/>
      <c r="V112" s="28"/>
      <c r="W112" s="28"/>
      <c r="X112" s="28">
        <v>10</v>
      </c>
      <c r="Y112" s="28"/>
      <c r="Z112" s="28"/>
      <c r="AA112" s="28"/>
      <c r="AB112" s="28"/>
      <c r="AC112" s="28"/>
      <c r="AD112" s="28">
        <v>10</v>
      </c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>
        <v>10</v>
      </c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>
        <f>SUM(E112:BP112)</f>
        <v>40</v>
      </c>
      <c r="BR112" s="1">
        <v>20</v>
      </c>
      <c r="BS112" s="17">
        <v>2</v>
      </c>
      <c r="BT112" s="17" t="s">
        <v>329</v>
      </c>
      <c r="BU112">
        <f>SUM(P112:AD112)</f>
        <v>20</v>
      </c>
      <c r="BV112" s="23">
        <f>AF112+AH112+AI112+AJ112+AO112+AP112</f>
        <v>0</v>
      </c>
    </row>
    <row r="113" spans="1:74" s="67" customFormat="1" ht="27">
      <c r="A113" s="1"/>
      <c r="B113" s="1" t="s">
        <v>85</v>
      </c>
      <c r="C113" s="1" t="s">
        <v>82</v>
      </c>
      <c r="D113" s="1" t="s">
        <v>81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>
        <v>10</v>
      </c>
      <c r="AP113" s="1">
        <v>10</v>
      </c>
      <c r="AQ113" s="4"/>
      <c r="AR113" s="4"/>
      <c r="AS113" s="4">
        <v>5</v>
      </c>
      <c r="AT113" s="4"/>
      <c r="AU113" s="4"/>
      <c r="AV113" s="4"/>
      <c r="AW113" s="2"/>
      <c r="AX113" s="2">
        <v>5</v>
      </c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>
        <f>SUM(E113:BP113)</f>
        <v>30</v>
      </c>
      <c r="BR113" s="1">
        <v>20</v>
      </c>
      <c r="BS113" s="17">
        <v>2</v>
      </c>
      <c r="BT113" s="17" t="s">
        <v>332</v>
      </c>
      <c r="BU113">
        <f>SUM(P113:AD113)</f>
        <v>0</v>
      </c>
      <c r="BV113" s="23">
        <f>AF113+AH113+AI113+AJ113+AO113+AP113</f>
        <v>20</v>
      </c>
    </row>
    <row r="114" spans="1:74" s="67" customFormat="1" ht="27">
      <c r="A114" s="1"/>
      <c r="B114" s="3" t="s">
        <v>267</v>
      </c>
      <c r="C114" s="3" t="s">
        <v>43</v>
      </c>
      <c r="D114" s="1" t="s">
        <v>0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28"/>
      <c r="Q114" s="28"/>
      <c r="R114" s="28"/>
      <c r="S114" s="28"/>
      <c r="T114" s="28"/>
      <c r="U114" s="28"/>
      <c r="V114" s="28"/>
      <c r="W114" s="28">
        <v>20</v>
      </c>
      <c r="X114" s="28"/>
      <c r="Y114" s="28"/>
      <c r="Z114" s="28">
        <v>20</v>
      </c>
      <c r="AA114" s="28"/>
      <c r="AB114" s="28"/>
      <c r="AC114" s="28">
        <v>20</v>
      </c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>
        <f>SUM(E114:BP114)</f>
        <v>60</v>
      </c>
      <c r="BR114" s="1">
        <v>21</v>
      </c>
      <c r="BS114" s="17">
        <v>2</v>
      </c>
      <c r="BT114" s="17" t="s">
        <v>333</v>
      </c>
      <c r="BU114">
        <f>SUM(P114:AD114)</f>
        <v>60</v>
      </c>
      <c r="BV114" s="23">
        <f>AF114+AH114+AI114+AJ114+AO114+AP114</f>
        <v>0</v>
      </c>
    </row>
    <row r="115" spans="1:74" s="67" customFormat="1" ht="27">
      <c r="A115" s="49"/>
      <c r="B115" s="49" t="s">
        <v>131</v>
      </c>
      <c r="C115" s="49" t="s">
        <v>90</v>
      </c>
      <c r="D115" s="49" t="s">
        <v>80</v>
      </c>
      <c r="E115" s="50">
        <v>15</v>
      </c>
      <c r="F115" s="50"/>
      <c r="G115" s="50">
        <v>15</v>
      </c>
      <c r="H115" s="50"/>
      <c r="I115" s="50"/>
      <c r="J115" s="50"/>
      <c r="K115" s="50"/>
      <c r="L115" s="50"/>
      <c r="M115" s="50"/>
      <c r="N115" s="50"/>
      <c r="O115" s="50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49"/>
      <c r="AF115" s="49"/>
      <c r="AG115" s="49"/>
      <c r="AH115" s="49"/>
      <c r="AI115" s="49"/>
      <c r="AJ115" s="49"/>
      <c r="AK115" s="49"/>
      <c r="AL115" s="49"/>
      <c r="AM115" s="49"/>
      <c r="AN115" s="49"/>
      <c r="AO115" s="49"/>
      <c r="AP115" s="49"/>
      <c r="AQ115" s="52"/>
      <c r="AR115" s="52">
        <v>15</v>
      </c>
      <c r="AS115" s="52"/>
      <c r="AT115" s="52"/>
      <c r="AU115" s="52"/>
      <c r="AV115" s="52"/>
      <c r="AW115" s="53"/>
      <c r="AX115" s="53"/>
      <c r="AY115" s="53"/>
      <c r="AZ115" s="53"/>
      <c r="BA115" s="53"/>
      <c r="BB115" s="53">
        <v>15</v>
      </c>
      <c r="BC115" s="54"/>
      <c r="BD115" s="49"/>
      <c r="BE115" s="49"/>
      <c r="BF115" s="49"/>
      <c r="BG115" s="49"/>
      <c r="BH115" s="49"/>
      <c r="BI115" s="49"/>
      <c r="BJ115" s="49"/>
      <c r="BK115" s="49"/>
      <c r="BL115" s="49"/>
      <c r="BM115" s="49"/>
      <c r="BN115" s="49"/>
      <c r="BO115" s="49"/>
      <c r="BP115" s="49"/>
      <c r="BQ115" s="49">
        <f>SUM(E115:BP115)</f>
        <v>60</v>
      </c>
      <c r="BR115" s="49">
        <v>25</v>
      </c>
      <c r="BS115" s="55">
        <v>2</v>
      </c>
      <c r="BT115" s="55" t="s">
        <v>316</v>
      </c>
      <c r="BU115">
        <f>SUM(P115:AD115)</f>
        <v>0</v>
      </c>
      <c r="BV115" s="23">
        <f>AF115+AH115+AI115+AJ115+AO115+AP115</f>
        <v>0</v>
      </c>
    </row>
    <row r="116" spans="1:74" s="67" customFormat="1" ht="27">
      <c r="A116" s="1"/>
      <c r="B116" s="1" t="s">
        <v>256</v>
      </c>
      <c r="C116" s="1" t="s">
        <v>24</v>
      </c>
      <c r="D116" s="1" t="s">
        <v>0</v>
      </c>
      <c r="E116" s="6"/>
      <c r="F116" s="6"/>
      <c r="G116" s="6">
        <v>15</v>
      </c>
      <c r="H116" s="6">
        <v>15</v>
      </c>
      <c r="I116" s="6"/>
      <c r="J116" s="6"/>
      <c r="K116" s="6"/>
      <c r="L116" s="6"/>
      <c r="M116" s="6"/>
      <c r="N116" s="6"/>
      <c r="O116" s="6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>
        <v>15</v>
      </c>
      <c r="AT116" s="4"/>
      <c r="AU116" s="4"/>
      <c r="AV116" s="4"/>
      <c r="AW116" s="2"/>
      <c r="AX116" s="2"/>
      <c r="AY116" s="2"/>
      <c r="AZ116" s="2"/>
      <c r="BA116" s="2"/>
      <c r="BB116" s="2">
        <v>15</v>
      </c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>
        <f>SUM(E116:BP116)</f>
        <v>60</v>
      </c>
      <c r="BR116" s="1">
        <v>25</v>
      </c>
      <c r="BS116" s="17">
        <v>2</v>
      </c>
      <c r="BT116" s="17" t="s">
        <v>324</v>
      </c>
      <c r="BU116">
        <f>SUM(P116:AD116)</f>
        <v>0</v>
      </c>
      <c r="BV116" s="23">
        <f>AF116+AH116+AI116+AJ116+AO116+AP116</f>
        <v>0</v>
      </c>
    </row>
    <row r="117" spans="1:74" s="67" customFormat="1" ht="27">
      <c r="A117" s="18">
        <v>65</v>
      </c>
      <c r="B117" s="24" t="s">
        <v>249</v>
      </c>
      <c r="C117" s="18" t="s">
        <v>43</v>
      </c>
      <c r="D117" s="18" t="s">
        <v>9</v>
      </c>
      <c r="E117" s="19"/>
      <c r="F117" s="19"/>
      <c r="G117" s="19">
        <v>10</v>
      </c>
      <c r="H117" s="19"/>
      <c r="I117" s="19"/>
      <c r="J117" s="19"/>
      <c r="K117" s="19"/>
      <c r="L117" s="19"/>
      <c r="M117" s="19"/>
      <c r="N117" s="19"/>
      <c r="O117" s="1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18"/>
      <c r="AF117" s="18"/>
      <c r="AG117" s="18"/>
      <c r="AH117" s="18"/>
      <c r="AI117" s="18"/>
      <c r="AJ117" s="18"/>
      <c r="AK117" s="18"/>
      <c r="AL117" s="18"/>
      <c r="AM117" s="18"/>
      <c r="AN117" s="18">
        <v>25</v>
      </c>
      <c r="AO117" s="18"/>
      <c r="AP117" s="18"/>
      <c r="AQ117" s="20"/>
      <c r="AR117" s="20"/>
      <c r="AS117" s="20"/>
      <c r="AT117" s="20"/>
      <c r="AU117" s="20"/>
      <c r="AV117" s="20">
        <v>10</v>
      </c>
      <c r="AW117" s="21"/>
      <c r="AX117" s="21"/>
      <c r="AY117" s="21"/>
      <c r="AZ117" s="21">
        <v>10</v>
      </c>
      <c r="BA117" s="21"/>
      <c r="BB117" s="21"/>
      <c r="BC117" s="26"/>
      <c r="BD117" s="18"/>
      <c r="BE117" s="18"/>
      <c r="BF117" s="18"/>
      <c r="BG117" s="18"/>
      <c r="BH117" s="18"/>
      <c r="BI117" s="18"/>
      <c r="BJ117" s="18"/>
      <c r="BK117" s="18"/>
      <c r="BL117" s="18"/>
      <c r="BM117" s="18"/>
      <c r="BN117" s="18"/>
      <c r="BO117" s="18"/>
      <c r="BP117" s="18"/>
      <c r="BQ117" s="18">
        <f>SUM(E117:BP117)</f>
        <v>55</v>
      </c>
      <c r="BR117" s="18">
        <v>32</v>
      </c>
      <c r="BS117" s="22">
        <v>2</v>
      </c>
      <c r="BT117" s="22" t="s">
        <v>305</v>
      </c>
      <c r="BU117">
        <f>SUM(P117:AD117)</f>
        <v>0</v>
      </c>
      <c r="BV117" s="23">
        <f>AF117+AH117+AI117+AJ117+AO117+AP117</f>
        <v>0</v>
      </c>
    </row>
    <row r="118" spans="1:74" s="67" customFormat="1" ht="40.5">
      <c r="A118" s="1"/>
      <c r="B118" s="3" t="s">
        <v>228</v>
      </c>
      <c r="C118" s="3" t="s">
        <v>185</v>
      </c>
      <c r="D118" s="1" t="s">
        <v>0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/>
      <c r="Q118" s="28"/>
      <c r="R118" s="28"/>
      <c r="S118" s="28"/>
      <c r="T118" s="28"/>
      <c r="U118" s="28"/>
      <c r="V118" s="28"/>
      <c r="W118" s="28"/>
      <c r="X118" s="28">
        <v>2</v>
      </c>
      <c r="Y118" s="28"/>
      <c r="Z118" s="28"/>
      <c r="AA118" s="28">
        <v>2</v>
      </c>
      <c r="AB118" s="28"/>
      <c r="AC118" s="28">
        <v>5</v>
      </c>
      <c r="AD118" s="28">
        <v>2</v>
      </c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>
        <f>SUM(E118:BP118)</f>
        <v>11</v>
      </c>
      <c r="BR118" s="1">
        <v>5</v>
      </c>
      <c r="BS118" s="17">
        <v>3</v>
      </c>
      <c r="BT118" s="17" t="s">
        <v>334</v>
      </c>
      <c r="BU118">
        <f>SUM(P118:AD118)</f>
        <v>11</v>
      </c>
      <c r="BV118" s="23">
        <f>AF118+AH118+AI118+AJ118+AO118+AP118</f>
        <v>0</v>
      </c>
    </row>
    <row r="119" spans="1:74" s="67" customFormat="1" ht="40.5">
      <c r="A119" s="1"/>
      <c r="B119" s="1" t="s">
        <v>264</v>
      </c>
      <c r="C119" s="1" t="s">
        <v>51</v>
      </c>
      <c r="D119" s="1" t="s">
        <v>216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/>
      <c r="S119" s="28"/>
      <c r="T119" s="28"/>
      <c r="U119" s="28"/>
      <c r="V119" s="28"/>
      <c r="W119" s="28"/>
      <c r="X119" s="28">
        <v>2</v>
      </c>
      <c r="Y119" s="28"/>
      <c r="Z119" s="28"/>
      <c r="AA119" s="28">
        <v>2</v>
      </c>
      <c r="AB119" s="28"/>
      <c r="AC119" s="28">
        <v>5</v>
      </c>
      <c r="AD119" s="28">
        <v>2</v>
      </c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>
        <f>SUM(E119:BP119)</f>
        <v>11</v>
      </c>
      <c r="BR119" s="1">
        <v>5</v>
      </c>
      <c r="BS119" s="17">
        <v>3</v>
      </c>
      <c r="BT119" s="17" t="s">
        <v>334</v>
      </c>
      <c r="BU119">
        <f>SUM(P119:AD119)</f>
        <v>11</v>
      </c>
      <c r="BV119" s="23">
        <f>AF119+AH119+AI119+AJ119+AO119+AP119</f>
        <v>0</v>
      </c>
    </row>
    <row r="120" spans="1:74" s="67" customFormat="1" ht="40.5">
      <c r="A120" s="1"/>
      <c r="B120" s="1" t="s">
        <v>225</v>
      </c>
      <c r="C120" s="1" t="s">
        <v>36</v>
      </c>
      <c r="D120" s="1" t="s">
        <v>223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/>
      <c r="Q120" s="28"/>
      <c r="R120" s="28">
        <v>2</v>
      </c>
      <c r="S120" s="28"/>
      <c r="T120" s="28">
        <v>5</v>
      </c>
      <c r="U120" s="28"/>
      <c r="V120" s="28"/>
      <c r="W120" s="28"/>
      <c r="X120" s="28">
        <v>2</v>
      </c>
      <c r="Y120" s="28"/>
      <c r="Z120" s="28"/>
      <c r="AA120" s="28"/>
      <c r="AB120" s="28"/>
      <c r="AC120" s="28"/>
      <c r="AD120" s="28">
        <v>2</v>
      </c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>
        <f>SUM(E120:BP120)</f>
        <v>11</v>
      </c>
      <c r="BR120" s="1">
        <v>6</v>
      </c>
      <c r="BS120" s="17">
        <v>3</v>
      </c>
      <c r="BT120" s="17" t="s">
        <v>335</v>
      </c>
      <c r="BU120">
        <f>SUM(P120:AD120)</f>
        <v>11</v>
      </c>
      <c r="BV120" s="23">
        <f>AF120+AH120+AI120+AJ120+AO120+AP120</f>
        <v>0</v>
      </c>
    </row>
    <row r="121" spans="1:74" s="67" customFormat="1" ht="40.5">
      <c r="A121" s="1">
        <v>89</v>
      </c>
      <c r="B121" s="3" t="s">
        <v>61</v>
      </c>
      <c r="C121" s="3" t="s">
        <v>62</v>
      </c>
      <c r="D121" s="1" t="s">
        <v>0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1"/>
      <c r="AF121" s="1">
        <v>5</v>
      </c>
      <c r="AG121" s="1"/>
      <c r="AH121" s="1">
        <v>5</v>
      </c>
      <c r="AI121" s="1">
        <v>5</v>
      </c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>
        <f>SUM(E121:BP121)</f>
        <v>15</v>
      </c>
      <c r="BR121" s="1">
        <v>13</v>
      </c>
      <c r="BS121" s="17">
        <v>3</v>
      </c>
      <c r="BT121" s="17" t="s">
        <v>336</v>
      </c>
      <c r="BU121">
        <f>SUM(P121:AD121)</f>
        <v>0</v>
      </c>
      <c r="BV121" s="23">
        <f>AF121+AH121+AI121+AJ121+AO121+AP121</f>
        <v>15</v>
      </c>
    </row>
    <row r="122" spans="1:74" s="67" customFormat="1" ht="40.5">
      <c r="A122" s="1">
        <v>28</v>
      </c>
      <c r="B122" s="1" t="s">
        <v>56</v>
      </c>
      <c r="C122" s="1" t="s">
        <v>24</v>
      </c>
      <c r="D122" s="1" t="s">
        <v>0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1"/>
      <c r="AF122" s="1"/>
      <c r="AG122" s="1"/>
      <c r="AH122" s="1">
        <v>5</v>
      </c>
      <c r="AI122" s="1">
        <v>5</v>
      </c>
      <c r="AJ122" s="1">
        <v>5</v>
      </c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>
        <f>SUM(E122:BP122)</f>
        <v>15</v>
      </c>
      <c r="BR122" s="1">
        <v>15</v>
      </c>
      <c r="BS122" s="17">
        <v>3</v>
      </c>
      <c r="BT122" s="17" t="s">
        <v>339</v>
      </c>
      <c r="BU122">
        <f>SUM(P122:AD122)</f>
        <v>0</v>
      </c>
      <c r="BV122" s="23">
        <f>AF122+AH122+AI122+AJ122+AO122+AP122</f>
        <v>15</v>
      </c>
    </row>
    <row r="123" spans="1:74" s="67" customFormat="1" ht="40.5">
      <c r="A123" s="1"/>
      <c r="B123" s="1" t="s">
        <v>277</v>
      </c>
      <c r="C123" s="1" t="s">
        <v>113</v>
      </c>
      <c r="D123" s="1" t="s">
        <v>98</v>
      </c>
      <c r="E123" s="6">
        <v>10</v>
      </c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28"/>
      <c r="Q123" s="28"/>
      <c r="R123" s="28">
        <v>10</v>
      </c>
      <c r="S123" s="28"/>
      <c r="T123" s="28"/>
      <c r="U123" s="28">
        <v>10</v>
      </c>
      <c r="V123" s="28"/>
      <c r="W123" s="28"/>
      <c r="X123" s="28"/>
      <c r="Y123" s="28"/>
      <c r="Z123" s="28"/>
      <c r="AA123" s="28"/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>
        <v>10</v>
      </c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>
        <f>SUM(E123:BP123)</f>
        <v>40</v>
      </c>
      <c r="BR123" s="1">
        <v>21</v>
      </c>
      <c r="BS123" s="17">
        <v>3</v>
      </c>
      <c r="BT123" s="17" t="s">
        <v>337</v>
      </c>
      <c r="BU123">
        <f>SUM(P123:AD123)</f>
        <v>20</v>
      </c>
      <c r="BV123" s="23">
        <f>AF123+AH123+AI123+AJ123+AO123+AP123</f>
        <v>0</v>
      </c>
    </row>
    <row r="124" spans="1:74" s="67" customFormat="1" ht="40.5">
      <c r="A124" s="1"/>
      <c r="B124" s="1" t="s">
        <v>117</v>
      </c>
      <c r="C124" s="1" t="s">
        <v>116</v>
      </c>
      <c r="D124" s="1" t="s">
        <v>98</v>
      </c>
      <c r="E124" s="6">
        <v>10</v>
      </c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28"/>
      <c r="Q124" s="28"/>
      <c r="R124" s="28">
        <v>10</v>
      </c>
      <c r="S124" s="28"/>
      <c r="T124" s="28"/>
      <c r="U124" s="28">
        <v>10</v>
      </c>
      <c r="V124" s="28"/>
      <c r="W124" s="28"/>
      <c r="X124" s="28"/>
      <c r="Y124" s="28"/>
      <c r="Z124" s="28"/>
      <c r="AA124" s="28"/>
      <c r="AB124" s="28"/>
      <c r="AC124" s="28"/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>
        <v>10</v>
      </c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>
        <f>SUM(E124:BP124)</f>
        <v>40</v>
      </c>
      <c r="BR124" s="1">
        <v>21</v>
      </c>
      <c r="BS124" s="17">
        <v>3</v>
      </c>
      <c r="BT124" s="17" t="s">
        <v>337</v>
      </c>
      <c r="BU124">
        <f>SUM(P124:AD124)</f>
        <v>20</v>
      </c>
      <c r="BV124" s="23">
        <f>AF124+AH124+AI124+AJ124+AO124+AP124</f>
        <v>0</v>
      </c>
    </row>
    <row r="125" spans="1:74" s="67" customFormat="1" ht="40.5">
      <c r="A125" s="49"/>
      <c r="B125" s="49" t="s">
        <v>250</v>
      </c>
      <c r="C125" s="49" t="s">
        <v>122</v>
      </c>
      <c r="D125" s="49" t="s">
        <v>98</v>
      </c>
      <c r="E125" s="50">
        <v>10</v>
      </c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1"/>
      <c r="Q125" s="51"/>
      <c r="R125" s="51">
        <v>10</v>
      </c>
      <c r="S125" s="51"/>
      <c r="T125" s="51"/>
      <c r="U125" s="51">
        <v>10</v>
      </c>
      <c r="V125" s="51"/>
      <c r="W125" s="51"/>
      <c r="X125" s="51"/>
      <c r="Y125" s="51"/>
      <c r="Z125" s="51"/>
      <c r="AA125" s="51"/>
      <c r="AB125" s="51"/>
      <c r="AC125" s="51"/>
      <c r="AD125" s="51"/>
      <c r="AE125" s="49"/>
      <c r="AF125" s="49"/>
      <c r="AG125" s="49"/>
      <c r="AH125" s="49"/>
      <c r="AI125" s="49"/>
      <c r="AJ125" s="49"/>
      <c r="AK125" s="49"/>
      <c r="AL125" s="49"/>
      <c r="AM125" s="49"/>
      <c r="AN125" s="49"/>
      <c r="AO125" s="49"/>
      <c r="AP125" s="49"/>
      <c r="AQ125" s="52"/>
      <c r="AR125" s="52"/>
      <c r="AS125" s="52"/>
      <c r="AT125" s="52"/>
      <c r="AU125" s="52">
        <v>10</v>
      </c>
      <c r="AV125" s="52"/>
      <c r="AW125" s="53"/>
      <c r="AX125" s="53"/>
      <c r="AY125" s="53"/>
      <c r="AZ125" s="53"/>
      <c r="BA125" s="53"/>
      <c r="BB125" s="53"/>
      <c r="BC125" s="54"/>
      <c r="BD125" s="49"/>
      <c r="BE125" s="49"/>
      <c r="BF125" s="49"/>
      <c r="BG125" s="49"/>
      <c r="BH125" s="49"/>
      <c r="BI125" s="49"/>
      <c r="BJ125" s="49"/>
      <c r="BK125" s="49"/>
      <c r="BL125" s="49"/>
      <c r="BM125" s="49"/>
      <c r="BN125" s="49"/>
      <c r="BO125" s="49"/>
      <c r="BP125" s="49"/>
      <c r="BQ125" s="49">
        <f>SUM(E125:BP125)</f>
        <v>40</v>
      </c>
      <c r="BR125" s="49">
        <v>21</v>
      </c>
      <c r="BS125" s="55">
        <v>3</v>
      </c>
      <c r="BT125" s="55" t="s">
        <v>337</v>
      </c>
      <c r="BU125">
        <f>SUM(P125:AD125)</f>
        <v>20</v>
      </c>
      <c r="BV125" s="23">
        <f>AF125+AH125+AI125+AJ125+AO125+AP125</f>
        <v>0</v>
      </c>
    </row>
    <row r="126" spans="1:74" s="67" customFormat="1" ht="40.5">
      <c r="A126" s="1"/>
      <c r="B126" s="3" t="s">
        <v>210</v>
      </c>
      <c r="C126" s="3" t="s">
        <v>49</v>
      </c>
      <c r="D126" s="1" t="s">
        <v>182</v>
      </c>
      <c r="E126" s="6">
        <v>10</v>
      </c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28"/>
      <c r="Q126" s="28"/>
      <c r="R126" s="28">
        <v>10</v>
      </c>
      <c r="S126" s="28"/>
      <c r="T126" s="28"/>
      <c r="U126" s="28">
        <v>10</v>
      </c>
      <c r="V126" s="28"/>
      <c r="W126" s="28"/>
      <c r="X126" s="28"/>
      <c r="Y126" s="28"/>
      <c r="Z126" s="28"/>
      <c r="AA126" s="28"/>
      <c r="AB126" s="28"/>
      <c r="AC126" s="28"/>
      <c r="AD126" s="28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>
        <v>10</v>
      </c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>
        <f>SUM(E126:BP126)</f>
        <v>40</v>
      </c>
      <c r="BR126" s="1">
        <v>21</v>
      </c>
      <c r="BS126" s="17">
        <v>3</v>
      </c>
      <c r="BT126" s="17" t="s">
        <v>338</v>
      </c>
      <c r="BU126">
        <f>SUM(P126:AD126)</f>
        <v>20</v>
      </c>
      <c r="BV126" s="23">
        <f>AF126+AH126+AI126+AJ126+AO126+AP126</f>
        <v>0</v>
      </c>
    </row>
    <row r="127" spans="1:74" s="67" customFormat="1" ht="40.5">
      <c r="A127" s="1"/>
      <c r="B127" s="1" t="s">
        <v>263</v>
      </c>
      <c r="C127" s="1" t="s">
        <v>51</v>
      </c>
      <c r="D127" s="1" t="s">
        <v>217</v>
      </c>
      <c r="E127" s="6">
        <v>10</v>
      </c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28"/>
      <c r="Q127" s="28"/>
      <c r="R127" s="28">
        <v>10</v>
      </c>
      <c r="S127" s="28"/>
      <c r="T127" s="28"/>
      <c r="U127" s="28">
        <v>10</v>
      </c>
      <c r="V127" s="28"/>
      <c r="W127" s="28"/>
      <c r="X127" s="28"/>
      <c r="Y127" s="28"/>
      <c r="Z127" s="28"/>
      <c r="AA127" s="28"/>
      <c r="AB127" s="28"/>
      <c r="AC127" s="28"/>
      <c r="AD127" s="28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>
        <v>10</v>
      </c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>
        <f>SUM(E127:BP127)</f>
        <v>40</v>
      </c>
      <c r="BR127" s="1">
        <v>21</v>
      </c>
      <c r="BS127" s="17">
        <v>3</v>
      </c>
      <c r="BT127" s="17" t="s">
        <v>337</v>
      </c>
      <c r="BU127">
        <f>SUM(P127:AD127)</f>
        <v>20</v>
      </c>
      <c r="BV127" s="23">
        <f>AF127+AH127+AI127+AJ127+AO127+AP127</f>
        <v>0</v>
      </c>
    </row>
    <row r="128" spans="1:74" s="67" customFormat="1" ht="40.5">
      <c r="A128" s="1"/>
      <c r="B128" s="1" t="s">
        <v>124</v>
      </c>
      <c r="C128" s="1" t="s">
        <v>122</v>
      </c>
      <c r="D128" s="1" t="s">
        <v>98</v>
      </c>
      <c r="E128" s="6"/>
      <c r="F128" s="6"/>
      <c r="G128" s="6"/>
      <c r="H128" s="6">
        <v>10</v>
      </c>
      <c r="I128" s="6"/>
      <c r="J128" s="6"/>
      <c r="K128" s="6"/>
      <c r="L128" s="6"/>
      <c r="M128" s="6"/>
      <c r="N128" s="6"/>
      <c r="O128" s="6"/>
      <c r="P128" s="28"/>
      <c r="Q128" s="28"/>
      <c r="R128" s="28">
        <v>10</v>
      </c>
      <c r="S128" s="28"/>
      <c r="T128" s="28"/>
      <c r="U128" s="28">
        <v>10</v>
      </c>
      <c r="V128" s="28"/>
      <c r="W128" s="28"/>
      <c r="X128" s="28"/>
      <c r="Y128" s="28"/>
      <c r="Z128" s="28"/>
      <c r="AA128" s="28"/>
      <c r="AB128" s="28"/>
      <c r="AC128" s="28"/>
      <c r="AD128" s="28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>
        <v>10</v>
      </c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>
        <f>SUM(E128:BP128)</f>
        <v>40</v>
      </c>
      <c r="BR128" s="1">
        <v>21</v>
      </c>
      <c r="BS128" s="17">
        <v>3</v>
      </c>
      <c r="BT128" s="17" t="s">
        <v>340</v>
      </c>
      <c r="BU128">
        <f>SUM(P128:AD128)</f>
        <v>20</v>
      </c>
      <c r="BV128" s="23">
        <f>AF128+AH128+AI128+AJ128+AO128+AP128</f>
        <v>0</v>
      </c>
    </row>
    <row r="129" spans="1:74" s="67" customFormat="1" ht="40.5">
      <c r="A129" s="1"/>
      <c r="B129" s="1" t="s">
        <v>269</v>
      </c>
      <c r="C129" s="1" t="s">
        <v>247</v>
      </c>
      <c r="D129" s="1" t="s">
        <v>246</v>
      </c>
      <c r="E129" s="6"/>
      <c r="F129" s="6"/>
      <c r="G129" s="6"/>
      <c r="H129" s="6"/>
      <c r="I129" s="6"/>
      <c r="J129" s="6"/>
      <c r="K129" s="6"/>
      <c r="L129" s="6"/>
      <c r="M129" s="6">
        <v>10</v>
      </c>
      <c r="N129" s="6"/>
      <c r="O129" s="6"/>
      <c r="P129" s="28"/>
      <c r="Q129" s="28"/>
      <c r="R129" s="28"/>
      <c r="S129" s="28"/>
      <c r="T129" s="28"/>
      <c r="U129" s="28">
        <v>10</v>
      </c>
      <c r="V129" s="28"/>
      <c r="W129" s="28"/>
      <c r="X129" s="28"/>
      <c r="Y129" s="28"/>
      <c r="Z129" s="28"/>
      <c r="AA129" s="28">
        <v>10</v>
      </c>
      <c r="AB129" s="28"/>
      <c r="AC129" s="28"/>
      <c r="AD129" s="28">
        <v>10</v>
      </c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>
        <f>SUM(E129:BP129)</f>
        <v>40</v>
      </c>
      <c r="BR129" s="1">
        <v>23</v>
      </c>
      <c r="BS129" s="17">
        <v>3</v>
      </c>
      <c r="BT129" s="17" t="s">
        <v>341</v>
      </c>
      <c r="BU129">
        <f>SUM(P129:AD129)</f>
        <v>30</v>
      </c>
      <c r="BV129" s="23">
        <f>AF129+AH129+AI129+AJ129+AO129+AP129</f>
        <v>0</v>
      </c>
    </row>
    <row r="130" spans="1:74" s="67" customFormat="1" ht="40.5">
      <c r="A130" s="1"/>
      <c r="B130" s="3" t="s">
        <v>270</v>
      </c>
      <c r="C130" s="3" t="s">
        <v>239</v>
      </c>
      <c r="D130" s="1" t="s">
        <v>98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>
        <v>10</v>
      </c>
      <c r="P130" s="28"/>
      <c r="Q130" s="28"/>
      <c r="R130" s="28">
        <v>10</v>
      </c>
      <c r="S130" s="28"/>
      <c r="T130" s="28"/>
      <c r="U130" s="28">
        <v>10</v>
      </c>
      <c r="V130" s="28"/>
      <c r="W130" s="28"/>
      <c r="X130" s="28"/>
      <c r="Y130" s="28"/>
      <c r="Z130" s="28"/>
      <c r="AA130" s="28"/>
      <c r="AB130" s="28"/>
      <c r="AC130" s="28"/>
      <c r="AD130" s="28">
        <v>10</v>
      </c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>
        <f>SUM(E130:BP130)</f>
        <v>40</v>
      </c>
      <c r="BR130" s="1">
        <v>24</v>
      </c>
      <c r="BS130" s="17">
        <v>3</v>
      </c>
      <c r="BT130" s="17" t="s">
        <v>342</v>
      </c>
      <c r="BU130">
        <f>SUM(P130:AD130)</f>
        <v>30</v>
      </c>
      <c r="BV130" s="23">
        <f>AF130+AH130+AI130+AJ130+AO130+AP130</f>
        <v>0</v>
      </c>
    </row>
    <row r="131" spans="1:74" s="67" customFormat="1" ht="40.5">
      <c r="A131" s="1"/>
      <c r="B131" s="1" t="s">
        <v>112</v>
      </c>
      <c r="C131" s="1" t="s">
        <v>95</v>
      </c>
      <c r="D131" s="1" t="s">
        <v>98</v>
      </c>
      <c r="E131" s="6"/>
      <c r="F131" s="6"/>
      <c r="G131" s="6"/>
      <c r="H131" s="6">
        <v>10</v>
      </c>
      <c r="I131" s="6"/>
      <c r="J131" s="6"/>
      <c r="K131" s="6"/>
      <c r="L131" s="6"/>
      <c r="M131" s="6"/>
      <c r="N131" s="6"/>
      <c r="O131" s="6"/>
      <c r="P131" s="28"/>
      <c r="Q131" s="28"/>
      <c r="R131" s="28">
        <v>10</v>
      </c>
      <c r="S131" s="28"/>
      <c r="T131" s="28"/>
      <c r="U131" s="28"/>
      <c r="V131" s="28"/>
      <c r="W131" s="28"/>
      <c r="X131" s="28">
        <v>10</v>
      </c>
      <c r="Y131" s="28"/>
      <c r="Z131" s="28"/>
      <c r="AA131" s="28"/>
      <c r="AB131" s="28"/>
      <c r="AC131" s="28"/>
      <c r="AD131" s="28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>
        <v>10</v>
      </c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>
        <f>SUM(E131:BP131)</f>
        <v>40</v>
      </c>
      <c r="BR131" s="1">
        <v>27</v>
      </c>
      <c r="BS131" s="17">
        <v>3</v>
      </c>
      <c r="BT131" s="17" t="s">
        <v>343</v>
      </c>
      <c r="BU131">
        <f>SUM(P131:AD131)</f>
        <v>20</v>
      </c>
      <c r="BV131" s="23">
        <f>AF131+AH131+AI131+AJ131+AO131+AP131</f>
        <v>0</v>
      </c>
    </row>
    <row r="132" spans="1:74" s="67" customFormat="1" ht="40.5">
      <c r="A132" s="1"/>
      <c r="B132" s="3" t="s">
        <v>188</v>
      </c>
      <c r="C132" s="3" t="s">
        <v>94</v>
      </c>
      <c r="D132" s="1" t="s">
        <v>182</v>
      </c>
      <c r="E132" s="6"/>
      <c r="F132" s="6"/>
      <c r="G132" s="6"/>
      <c r="H132" s="6">
        <v>10</v>
      </c>
      <c r="I132" s="6"/>
      <c r="J132" s="6"/>
      <c r="K132" s="6"/>
      <c r="L132" s="6"/>
      <c r="M132" s="6"/>
      <c r="N132" s="6"/>
      <c r="O132" s="6"/>
      <c r="P132" s="28"/>
      <c r="Q132" s="28"/>
      <c r="R132" s="28">
        <v>10</v>
      </c>
      <c r="S132" s="28"/>
      <c r="T132" s="28"/>
      <c r="U132" s="28"/>
      <c r="V132" s="28"/>
      <c r="W132" s="28"/>
      <c r="X132" s="28">
        <v>10</v>
      </c>
      <c r="Y132" s="28"/>
      <c r="Z132" s="28"/>
      <c r="AA132" s="28"/>
      <c r="AB132" s="28"/>
      <c r="AC132" s="28"/>
      <c r="AD132" s="28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>
        <v>10</v>
      </c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>
        <f>SUM(E132:BP132)</f>
        <v>40</v>
      </c>
      <c r="BR132" s="1">
        <v>27</v>
      </c>
      <c r="BS132" s="17">
        <v>3</v>
      </c>
      <c r="BT132" s="17" t="s">
        <v>344</v>
      </c>
      <c r="BU132">
        <f>SUM(P132:AD132)</f>
        <v>20</v>
      </c>
      <c r="BV132" s="23">
        <f>AF132+AH132+AI132+AJ132+AO132+AP132</f>
        <v>0</v>
      </c>
    </row>
    <row r="133" spans="1:74" s="67" customFormat="1" ht="40.5">
      <c r="A133" s="1"/>
      <c r="B133" s="3" t="s">
        <v>241</v>
      </c>
      <c r="C133" s="3" t="s">
        <v>240</v>
      </c>
      <c r="D133" s="1" t="s">
        <v>9</v>
      </c>
      <c r="E133" s="6"/>
      <c r="F133" s="6"/>
      <c r="G133" s="6"/>
      <c r="H133" s="6">
        <v>10</v>
      </c>
      <c r="I133" s="6"/>
      <c r="J133" s="6"/>
      <c r="K133" s="6"/>
      <c r="L133" s="6"/>
      <c r="M133" s="6"/>
      <c r="N133" s="6"/>
      <c r="O133" s="6"/>
      <c r="P133" s="28"/>
      <c r="Q133" s="28"/>
      <c r="R133" s="28">
        <v>10</v>
      </c>
      <c r="S133" s="28"/>
      <c r="T133" s="28"/>
      <c r="U133" s="28"/>
      <c r="V133" s="28"/>
      <c r="W133" s="28"/>
      <c r="X133" s="28">
        <v>10</v>
      </c>
      <c r="Y133" s="28"/>
      <c r="Z133" s="28"/>
      <c r="AA133" s="28"/>
      <c r="AB133" s="28"/>
      <c r="AC133" s="28"/>
      <c r="AD133" s="28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>
        <v>10</v>
      </c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>
        <f>SUM(E133:BP133)</f>
        <v>40</v>
      </c>
      <c r="BR133" s="1">
        <v>27</v>
      </c>
      <c r="BS133" s="17">
        <v>3</v>
      </c>
      <c r="BT133" s="17" t="s">
        <v>344</v>
      </c>
      <c r="BU133">
        <f>SUM(P133:AD133)</f>
        <v>20</v>
      </c>
      <c r="BV133" s="23">
        <f>AF133+AH133+AI133+AJ133+AO133+AP133</f>
        <v>0</v>
      </c>
    </row>
    <row r="134" spans="1:74" s="67" customFormat="1" ht="40.5">
      <c r="A134" s="1"/>
      <c r="B134" s="1" t="s">
        <v>220</v>
      </c>
      <c r="C134" s="1" t="s">
        <v>49</v>
      </c>
      <c r="D134" s="1" t="s">
        <v>217</v>
      </c>
      <c r="E134" s="6"/>
      <c r="F134" s="6"/>
      <c r="G134" s="6"/>
      <c r="H134" s="6">
        <v>10</v>
      </c>
      <c r="I134" s="6"/>
      <c r="J134" s="6"/>
      <c r="K134" s="6"/>
      <c r="L134" s="6"/>
      <c r="M134" s="6"/>
      <c r="N134" s="6"/>
      <c r="O134" s="6"/>
      <c r="P134" s="28"/>
      <c r="Q134" s="28"/>
      <c r="R134" s="28">
        <v>10</v>
      </c>
      <c r="S134" s="28"/>
      <c r="T134" s="28"/>
      <c r="U134" s="28"/>
      <c r="V134" s="28"/>
      <c r="W134" s="28"/>
      <c r="X134" s="28">
        <v>10</v>
      </c>
      <c r="Y134" s="28"/>
      <c r="Z134" s="28"/>
      <c r="AA134" s="28"/>
      <c r="AB134" s="28"/>
      <c r="AC134" s="28"/>
      <c r="AD134" s="28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>
        <v>10</v>
      </c>
      <c r="AS134" s="4"/>
      <c r="AT134" s="4"/>
      <c r="AU134" s="4"/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>
        <f>SUM(E134:BP134)</f>
        <v>40</v>
      </c>
      <c r="BR134" s="1">
        <v>27</v>
      </c>
      <c r="BS134" s="17">
        <v>3</v>
      </c>
      <c r="BT134" s="17" t="s">
        <v>343</v>
      </c>
      <c r="BU134">
        <f>SUM(P134:AD134)</f>
        <v>20</v>
      </c>
      <c r="BV134" s="23">
        <f>AF134+AH134+AI134+AJ134+AO134+AP134</f>
        <v>0</v>
      </c>
    </row>
    <row r="135" spans="1:74" s="67" customFormat="1" ht="40.5">
      <c r="A135" s="1"/>
      <c r="B135" s="1" t="s">
        <v>123</v>
      </c>
      <c r="C135" s="1" t="s">
        <v>122</v>
      </c>
      <c r="D135" s="1" t="s">
        <v>98</v>
      </c>
      <c r="E135" s="6"/>
      <c r="F135" s="6"/>
      <c r="G135" s="6">
        <v>10</v>
      </c>
      <c r="H135" s="6"/>
      <c r="I135" s="6"/>
      <c r="J135" s="6"/>
      <c r="K135" s="6"/>
      <c r="L135" s="6"/>
      <c r="M135" s="6"/>
      <c r="N135" s="6"/>
      <c r="O135" s="6"/>
      <c r="P135" s="28"/>
      <c r="Q135" s="28"/>
      <c r="R135" s="28"/>
      <c r="S135" s="28"/>
      <c r="T135" s="28"/>
      <c r="U135" s="28"/>
      <c r="V135" s="28"/>
      <c r="W135" s="28"/>
      <c r="X135" s="28">
        <v>10</v>
      </c>
      <c r="Y135" s="28"/>
      <c r="Z135" s="28"/>
      <c r="AA135" s="28"/>
      <c r="AB135" s="28"/>
      <c r="AC135" s="28"/>
      <c r="AD135" s="28">
        <v>10</v>
      </c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/>
      <c r="AV135" s="4">
        <v>10</v>
      </c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>
        <f>SUM(E135:BP135)</f>
        <v>40</v>
      </c>
      <c r="BR135" s="1">
        <v>28</v>
      </c>
      <c r="BS135" s="17">
        <v>3</v>
      </c>
      <c r="BT135" s="17" t="s">
        <v>330</v>
      </c>
      <c r="BU135">
        <f>SUM(P135:AD135)</f>
        <v>20</v>
      </c>
      <c r="BV135" s="23">
        <f>AF135+AH135+AI135+AJ135+AO135+AP135</f>
        <v>0</v>
      </c>
    </row>
    <row r="136" spans="1:74" s="67" customFormat="1" ht="40.5">
      <c r="A136" s="1"/>
      <c r="B136" s="1" t="s">
        <v>226</v>
      </c>
      <c r="C136" s="1" t="s">
        <v>93</v>
      </c>
      <c r="D136" s="1" t="s">
        <v>127</v>
      </c>
      <c r="E136" s="6"/>
      <c r="F136" s="6"/>
      <c r="G136" s="6">
        <v>10</v>
      </c>
      <c r="H136" s="6"/>
      <c r="I136" s="6"/>
      <c r="J136" s="6"/>
      <c r="K136" s="6"/>
      <c r="L136" s="6"/>
      <c r="M136" s="6"/>
      <c r="N136" s="6"/>
      <c r="O136" s="6"/>
      <c r="P136" s="28"/>
      <c r="Q136" s="28"/>
      <c r="R136" s="28"/>
      <c r="S136" s="28"/>
      <c r="T136" s="28"/>
      <c r="U136" s="28"/>
      <c r="V136" s="28"/>
      <c r="W136" s="28"/>
      <c r="X136" s="28">
        <v>10</v>
      </c>
      <c r="Y136" s="28"/>
      <c r="Z136" s="28"/>
      <c r="AA136" s="28"/>
      <c r="AB136" s="28"/>
      <c r="AC136" s="28"/>
      <c r="AD136" s="28">
        <v>10</v>
      </c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/>
      <c r="AS136" s="4"/>
      <c r="AT136" s="4"/>
      <c r="AU136" s="4"/>
      <c r="AV136" s="4">
        <v>10</v>
      </c>
      <c r="AW136" s="2"/>
      <c r="AX136" s="2"/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>
        <f>SUM(E136:BP136)</f>
        <v>40</v>
      </c>
      <c r="BR136" s="1">
        <v>28</v>
      </c>
      <c r="BS136" s="17">
        <v>3</v>
      </c>
      <c r="BT136" s="17" t="s">
        <v>331</v>
      </c>
      <c r="BU136">
        <f>SUM(P136:AD136)</f>
        <v>20</v>
      </c>
      <c r="BV136" s="23">
        <f>AF136+AH136+AI136+AJ136+AO136+AP136</f>
        <v>0</v>
      </c>
    </row>
    <row r="137" spans="1:74" s="67" customFormat="1" ht="40.5">
      <c r="A137" s="1"/>
      <c r="B137" s="3" t="s">
        <v>274</v>
      </c>
      <c r="C137" s="3" t="s">
        <v>186</v>
      </c>
      <c r="D137" s="1" t="s">
        <v>182</v>
      </c>
      <c r="E137" s="6"/>
      <c r="F137" s="6"/>
      <c r="G137" s="6">
        <v>10</v>
      </c>
      <c r="H137" s="6"/>
      <c r="I137" s="6"/>
      <c r="J137" s="6"/>
      <c r="K137" s="6"/>
      <c r="L137" s="6"/>
      <c r="M137" s="6"/>
      <c r="N137" s="6"/>
      <c r="O137" s="6"/>
      <c r="P137" s="28"/>
      <c r="Q137" s="28"/>
      <c r="R137" s="28"/>
      <c r="S137" s="28"/>
      <c r="T137" s="28"/>
      <c r="U137" s="28"/>
      <c r="V137" s="28"/>
      <c r="W137" s="28"/>
      <c r="X137" s="28">
        <v>10</v>
      </c>
      <c r="Y137" s="28"/>
      <c r="Z137" s="28"/>
      <c r="AA137" s="28"/>
      <c r="AB137" s="28"/>
      <c r="AC137" s="28"/>
      <c r="AD137" s="28">
        <v>10</v>
      </c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/>
      <c r="AS137" s="4"/>
      <c r="AT137" s="4"/>
      <c r="AU137" s="4"/>
      <c r="AV137" s="4">
        <v>10</v>
      </c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>
        <f>SUM(E137:BP137)</f>
        <v>40</v>
      </c>
      <c r="BR137" s="1">
        <v>28</v>
      </c>
      <c r="BS137" s="17">
        <v>3</v>
      </c>
      <c r="BT137" s="17" t="s">
        <v>331</v>
      </c>
      <c r="BU137">
        <f>SUM(P137:AD137)</f>
        <v>20</v>
      </c>
      <c r="BV137" s="23">
        <f>AF137+AH137+AI137+AJ137+AO137+AP137</f>
        <v>0</v>
      </c>
    </row>
    <row r="138" spans="1:74" s="67" customFormat="1" ht="40.5">
      <c r="A138" s="1"/>
      <c r="B138" s="1" t="s">
        <v>272</v>
      </c>
      <c r="C138" s="1" t="s">
        <v>113</v>
      </c>
      <c r="D138" s="1" t="s">
        <v>217</v>
      </c>
      <c r="E138" s="6"/>
      <c r="F138" s="6"/>
      <c r="G138" s="6">
        <v>10</v>
      </c>
      <c r="H138" s="6"/>
      <c r="I138" s="6"/>
      <c r="J138" s="6"/>
      <c r="K138" s="6"/>
      <c r="L138" s="6"/>
      <c r="M138" s="6"/>
      <c r="N138" s="6"/>
      <c r="O138" s="6"/>
      <c r="P138" s="28"/>
      <c r="Q138" s="28"/>
      <c r="R138" s="28"/>
      <c r="S138" s="28"/>
      <c r="T138" s="28"/>
      <c r="U138" s="28"/>
      <c r="V138" s="28"/>
      <c r="W138" s="28"/>
      <c r="X138" s="28">
        <v>10</v>
      </c>
      <c r="Y138" s="28"/>
      <c r="Z138" s="28"/>
      <c r="AA138" s="28"/>
      <c r="AB138" s="28"/>
      <c r="AC138" s="28"/>
      <c r="AD138" s="28">
        <v>10</v>
      </c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/>
      <c r="AR138" s="4"/>
      <c r="AS138" s="4"/>
      <c r="AT138" s="4"/>
      <c r="AU138" s="4"/>
      <c r="AV138" s="4">
        <v>10</v>
      </c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>
        <f>SUM(E138:BP138)</f>
        <v>40</v>
      </c>
      <c r="BR138" s="1">
        <v>28</v>
      </c>
      <c r="BS138" s="17">
        <v>3</v>
      </c>
      <c r="BT138" s="17" t="s">
        <v>330</v>
      </c>
      <c r="BU138">
        <f>SUM(P138:AD138)</f>
        <v>20</v>
      </c>
      <c r="BV138" s="23">
        <f>AF138+AH138+AI138+AJ138+AO138+AP138</f>
        <v>0</v>
      </c>
    </row>
    <row r="139" spans="1:74" s="67" customFormat="1" ht="40.5">
      <c r="A139" s="1"/>
      <c r="B139" s="1" t="s">
        <v>259</v>
      </c>
      <c r="C139" s="1" t="s">
        <v>260</v>
      </c>
      <c r="D139" s="1" t="s">
        <v>261</v>
      </c>
      <c r="E139" s="6"/>
      <c r="F139" s="6"/>
      <c r="G139" s="6">
        <v>10</v>
      </c>
      <c r="H139" s="6"/>
      <c r="I139" s="6"/>
      <c r="J139" s="6"/>
      <c r="K139" s="6"/>
      <c r="L139" s="6"/>
      <c r="M139" s="6"/>
      <c r="N139" s="6"/>
      <c r="O139" s="6"/>
      <c r="P139" s="28"/>
      <c r="Q139" s="28"/>
      <c r="R139" s="28"/>
      <c r="S139" s="28"/>
      <c r="T139" s="28"/>
      <c r="U139" s="28"/>
      <c r="V139" s="28"/>
      <c r="W139" s="28"/>
      <c r="X139" s="28">
        <v>10</v>
      </c>
      <c r="Y139" s="28"/>
      <c r="Z139" s="28"/>
      <c r="AA139" s="28"/>
      <c r="AB139" s="28"/>
      <c r="AC139" s="28"/>
      <c r="AD139" s="28">
        <v>10</v>
      </c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/>
      <c r="AS139" s="4"/>
      <c r="AT139" s="4"/>
      <c r="AU139" s="4"/>
      <c r="AV139" s="4">
        <v>10</v>
      </c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>
        <f>SUM(E139:BP139)</f>
        <v>40</v>
      </c>
      <c r="BR139" s="1">
        <v>28</v>
      </c>
      <c r="BS139" s="17">
        <v>3</v>
      </c>
      <c r="BT139" s="17" t="s">
        <v>331</v>
      </c>
      <c r="BU139">
        <f>SUM(P139:AD139)</f>
        <v>20</v>
      </c>
      <c r="BV139" s="23">
        <f>AF139+AH139+AI139+AJ139+AO139+AP139</f>
        <v>0</v>
      </c>
    </row>
    <row r="140" spans="1:74" s="67" customFormat="1" ht="40.5">
      <c r="A140" s="1"/>
      <c r="B140" s="3" t="s">
        <v>228</v>
      </c>
      <c r="C140" s="3" t="s">
        <v>185</v>
      </c>
      <c r="D140" s="1" t="s">
        <v>182</v>
      </c>
      <c r="E140" s="6"/>
      <c r="F140" s="6"/>
      <c r="G140" s="6"/>
      <c r="H140" s="6"/>
      <c r="I140" s="6"/>
      <c r="J140" s="6"/>
      <c r="K140" s="6"/>
      <c r="L140" s="6"/>
      <c r="M140" s="6"/>
      <c r="N140" s="6">
        <v>10</v>
      </c>
      <c r="O140" s="6"/>
      <c r="P140" s="28"/>
      <c r="Q140" s="28"/>
      <c r="R140" s="28"/>
      <c r="S140" s="28"/>
      <c r="T140" s="28"/>
      <c r="U140" s="28"/>
      <c r="V140" s="28"/>
      <c r="W140" s="28"/>
      <c r="X140" s="28">
        <v>10</v>
      </c>
      <c r="Y140" s="28"/>
      <c r="Z140" s="28"/>
      <c r="AA140" s="28">
        <v>10</v>
      </c>
      <c r="AB140" s="28"/>
      <c r="AC140" s="28"/>
      <c r="AD140" s="28">
        <v>10</v>
      </c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/>
      <c r="AS140" s="4"/>
      <c r="AT140" s="4"/>
      <c r="AU140" s="4"/>
      <c r="AV140" s="4"/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>
        <f>SUM(E140:BP140)</f>
        <v>40</v>
      </c>
      <c r="BR140" s="1">
        <v>29</v>
      </c>
      <c r="BS140" s="17">
        <v>3</v>
      </c>
      <c r="BT140" s="17" t="s">
        <v>345</v>
      </c>
      <c r="BU140">
        <f>SUM(P140:AD140)</f>
        <v>30</v>
      </c>
      <c r="BV140" s="23">
        <f>AF140+AH140+AI140+AJ140+AO140+AP140</f>
        <v>0</v>
      </c>
    </row>
    <row r="141" spans="1:74" ht="40.5">
      <c r="A141" s="1"/>
      <c r="B141" s="1" t="s">
        <v>136</v>
      </c>
      <c r="C141" s="1" t="s">
        <v>93</v>
      </c>
      <c r="D141" s="1" t="s">
        <v>80</v>
      </c>
      <c r="E141" s="6"/>
      <c r="F141" s="6"/>
      <c r="G141" s="6">
        <v>20</v>
      </c>
      <c r="H141" s="6">
        <v>20</v>
      </c>
      <c r="I141" s="6"/>
      <c r="J141" s="6"/>
      <c r="K141" s="6"/>
      <c r="L141" s="6"/>
      <c r="M141" s="6"/>
      <c r="N141" s="6"/>
      <c r="O141" s="6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/>
      <c r="AS141" s="4"/>
      <c r="AT141" s="4"/>
      <c r="AU141" s="4"/>
      <c r="AV141" s="4"/>
      <c r="AW141" s="2"/>
      <c r="AX141" s="2"/>
      <c r="AY141" s="2"/>
      <c r="AZ141" s="2"/>
      <c r="BA141" s="2">
        <v>20</v>
      </c>
      <c r="BB141" s="2">
        <v>20</v>
      </c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>
        <f>SUM(E141:BP141)</f>
        <v>80</v>
      </c>
      <c r="BR141" s="1">
        <v>47</v>
      </c>
      <c r="BS141" s="17">
        <v>3</v>
      </c>
      <c r="BT141" s="17" t="s">
        <v>346</v>
      </c>
      <c r="BU141">
        <f>SUM(P141:AD141)</f>
        <v>0</v>
      </c>
      <c r="BV141" s="23">
        <f>AF141+AH141+AI141+AJ141+AO141+AP141</f>
        <v>0</v>
      </c>
    </row>
    <row r="142" spans="1:74">
      <c r="A142" s="1"/>
      <c r="B142" s="1" t="s">
        <v>53</v>
      </c>
      <c r="C142" s="1"/>
      <c r="D142" s="1"/>
      <c r="E142" s="6">
        <f>SUM(E2:E141)</f>
        <v>96</v>
      </c>
      <c r="F142" s="6">
        <f>SUM(F2:F141)</f>
        <v>15</v>
      </c>
      <c r="G142" s="6">
        <f>SUM(G2:G141)</f>
        <v>134</v>
      </c>
      <c r="H142" s="6">
        <f>SUM(H2:H141)</f>
        <v>136</v>
      </c>
      <c r="I142" s="6">
        <f>SUM(I2:I141)</f>
        <v>37</v>
      </c>
      <c r="J142" s="6">
        <f>SUM(J2:J141)</f>
        <v>60</v>
      </c>
      <c r="K142" s="6">
        <f>SUM(K2:K141)</f>
        <v>51</v>
      </c>
      <c r="L142" s="6">
        <f>SUM(L2:L141)</f>
        <v>37</v>
      </c>
      <c r="M142" s="6">
        <f>SUM(M2:M141)</f>
        <v>50</v>
      </c>
      <c r="N142" s="6">
        <f>SUM(N2:N141)</f>
        <v>20</v>
      </c>
      <c r="O142" s="6">
        <f>SUM(O2:O141)</f>
        <v>25</v>
      </c>
      <c r="P142" s="28">
        <f>SUM(P2:P141)</f>
        <v>160</v>
      </c>
      <c r="Q142" s="28">
        <f>SUM(Q2:Q141)</f>
        <v>104</v>
      </c>
      <c r="R142" s="28">
        <f>SUM(R2:R141)</f>
        <v>205</v>
      </c>
      <c r="S142" s="28">
        <f>SUM(S2:S141)</f>
        <v>160</v>
      </c>
      <c r="T142" s="28">
        <f>SUM(T2:T141)</f>
        <v>89</v>
      </c>
      <c r="U142" s="28">
        <f>SUM(U2:U141)</f>
        <v>170</v>
      </c>
      <c r="V142" s="28">
        <f>SUM(V2:V141)</f>
        <v>175</v>
      </c>
      <c r="W142" s="28">
        <f>SUM(W2:W141)</f>
        <v>80</v>
      </c>
      <c r="X142" s="28">
        <f>SUM(X2:X141)</f>
        <v>181</v>
      </c>
      <c r="Y142" s="28">
        <f>SUM(Y2:Y141)</f>
        <v>165</v>
      </c>
      <c r="Z142" s="28">
        <f>SUM(Z2:Z141)</f>
        <v>100</v>
      </c>
      <c r="AA142" s="28">
        <f>SUM(AA2:AA141)</f>
        <v>136</v>
      </c>
      <c r="AB142" s="28">
        <f>SUM(AB2:AB141)</f>
        <v>170</v>
      </c>
      <c r="AC142" s="28">
        <f>SUM(AC2:AC141)</f>
        <v>95</v>
      </c>
      <c r="AD142" s="28">
        <f>SUM(AD2:AD141)</f>
        <v>142</v>
      </c>
      <c r="AE142" s="1">
        <f>SUM(AE2:AE141)</f>
        <v>250</v>
      </c>
      <c r="AF142" s="1">
        <f>SUM(AF2:AF141)</f>
        <v>10</v>
      </c>
      <c r="AG142" s="1">
        <f>SUM(AG2:AG141)</f>
        <v>5</v>
      </c>
      <c r="AH142" s="1">
        <f>SUM(AH2:AH141)</f>
        <v>30</v>
      </c>
      <c r="AI142" s="1">
        <f>SUM(AI2:AI141)</f>
        <v>30</v>
      </c>
      <c r="AJ142" s="1">
        <f>SUM(AJ2:AJ141)</f>
        <v>5</v>
      </c>
      <c r="AK142" s="1">
        <f>SUM(AK2:AK141)</f>
        <v>0</v>
      </c>
      <c r="AL142" s="1">
        <f>SUM(AL2:AL141)</f>
        <v>0</v>
      </c>
      <c r="AM142" s="1">
        <f>SUM(AM2:AM141)</f>
        <v>0</v>
      </c>
      <c r="AN142" s="1">
        <f>SUM(AN2:AN141)</f>
        <v>40</v>
      </c>
      <c r="AO142" s="1">
        <f>SUM(AO2:AO141)</f>
        <v>33</v>
      </c>
      <c r="AP142" s="1">
        <f>SUM(AP2:AP141)</f>
        <v>27</v>
      </c>
      <c r="AQ142" s="4">
        <f>SUM(AQ2:AQ141)</f>
        <v>150</v>
      </c>
      <c r="AR142" s="4">
        <f>SUM(AR2:AR141)</f>
        <v>95</v>
      </c>
      <c r="AS142" s="4">
        <f>SUM(AS2:AS141)</f>
        <v>80</v>
      </c>
      <c r="AT142" s="4">
        <f>SUM(AT2:AT141)</f>
        <v>60</v>
      </c>
      <c r="AU142" s="4">
        <f>SUM(AU2:AU141)</f>
        <v>100</v>
      </c>
      <c r="AV142" s="4">
        <f>SUM(AV2:AV141)</f>
        <v>155</v>
      </c>
      <c r="AW142" s="2">
        <f>SUM(AW2:AW141)</f>
        <v>205</v>
      </c>
      <c r="AX142" s="2">
        <f>SUM(AX2:AX141)</f>
        <v>60</v>
      </c>
      <c r="AY142" s="2">
        <f>SUM(AY2:AY141)</f>
        <v>50</v>
      </c>
      <c r="AZ142" s="2">
        <f>SUM(AZ2:AZ141)</f>
        <v>60</v>
      </c>
      <c r="BA142" s="2">
        <f>SUM(BA2:BA141)</f>
        <v>95</v>
      </c>
      <c r="BB142" s="2">
        <f>SUM(BB2:BB141)</f>
        <v>140</v>
      </c>
      <c r="BC142" s="1">
        <f>SUM(BC2:BC141)</f>
        <v>30</v>
      </c>
      <c r="BD142" s="1">
        <f>SUM(BD2:BD141)</f>
        <v>20</v>
      </c>
      <c r="BE142" s="1">
        <f>SUM(BE2:BE141)</f>
        <v>70</v>
      </c>
      <c r="BF142" s="1">
        <f>SUM(BF2:BF141)</f>
        <v>70</v>
      </c>
      <c r="BG142" s="1">
        <f>SUM(BG2:BG141)</f>
        <v>0</v>
      </c>
      <c r="BH142" s="1">
        <f>SUM(BH2:BH141)</f>
        <v>0</v>
      </c>
      <c r="BI142" s="1">
        <f>SUM(BI2:BI141)</f>
        <v>70</v>
      </c>
      <c r="BJ142" s="1">
        <f>SUM(BJ2:BJ141)</f>
        <v>70</v>
      </c>
      <c r="BK142" s="1">
        <f>SUM(BK2:BK141)</f>
        <v>200</v>
      </c>
      <c r="BL142" s="1">
        <f>SUM(BL2:BL141)</f>
        <v>200</v>
      </c>
      <c r="BM142" s="1">
        <f>SUM(BM2:BM141)</f>
        <v>150</v>
      </c>
      <c r="BN142" s="1">
        <f>SUM(BN2:BN141)</f>
        <v>150</v>
      </c>
      <c r="BO142" s="1">
        <f>SUM(BO2:BO141)</f>
        <v>350</v>
      </c>
      <c r="BP142" s="1">
        <f>SUM(BP2:BP141)</f>
        <v>350</v>
      </c>
      <c r="BQ142" s="1"/>
      <c r="BR142" s="1"/>
      <c r="BS142" s="17"/>
      <c r="BT142" s="17"/>
    </row>
    <row r="143" spans="1:74">
      <c r="A143" s="1"/>
      <c r="B143" s="3" t="s">
        <v>70</v>
      </c>
      <c r="C143" s="1"/>
      <c r="D143" s="1"/>
      <c r="E143" s="1">
        <v>3</v>
      </c>
      <c r="F143" s="1">
        <v>25</v>
      </c>
      <c r="G143" s="1">
        <v>2</v>
      </c>
      <c r="H143" s="1">
        <v>3</v>
      </c>
      <c r="I143" s="1">
        <v>70</v>
      </c>
      <c r="J143" s="1">
        <v>80</v>
      </c>
      <c r="K143" s="1">
        <v>65</v>
      </c>
      <c r="L143" s="1">
        <v>36</v>
      </c>
      <c r="M143" s="1">
        <v>39</v>
      </c>
      <c r="N143" s="1">
        <v>97</v>
      </c>
      <c r="O143" s="1">
        <v>25</v>
      </c>
      <c r="P143" s="14">
        <v>103</v>
      </c>
      <c r="Q143" s="14">
        <v>12</v>
      </c>
      <c r="R143" s="14">
        <v>0</v>
      </c>
      <c r="S143" s="14">
        <v>163</v>
      </c>
      <c r="T143" s="14">
        <v>26</v>
      </c>
      <c r="U143" s="14">
        <v>6</v>
      </c>
      <c r="V143" s="14">
        <v>95</v>
      </c>
      <c r="W143" s="14">
        <v>8</v>
      </c>
      <c r="X143" s="14">
        <v>0</v>
      </c>
      <c r="Y143" s="14">
        <v>77</v>
      </c>
      <c r="Z143" s="14">
        <v>32</v>
      </c>
      <c r="AA143" s="14">
        <v>1</v>
      </c>
      <c r="AB143" s="14">
        <v>88</v>
      </c>
      <c r="AC143" s="14">
        <v>11</v>
      </c>
      <c r="AD143" s="14">
        <v>0</v>
      </c>
      <c r="AE143" s="1">
        <v>21</v>
      </c>
      <c r="AF143" s="1">
        <v>2</v>
      </c>
      <c r="AG143" s="1">
        <v>8</v>
      </c>
      <c r="AH143" s="1">
        <v>0</v>
      </c>
      <c r="AI143" s="1">
        <v>0</v>
      </c>
      <c r="AJ143" s="1">
        <v>0</v>
      </c>
      <c r="AK143" s="1">
        <v>23</v>
      </c>
      <c r="AL143" s="1">
        <v>33</v>
      </c>
      <c r="AM143" s="1">
        <v>0</v>
      </c>
      <c r="AN143" s="1">
        <v>1</v>
      </c>
      <c r="AO143" s="1">
        <v>0</v>
      </c>
      <c r="AP143" s="1">
        <v>0</v>
      </c>
      <c r="AQ143" s="14">
        <v>77</v>
      </c>
      <c r="AR143" s="14">
        <v>31</v>
      </c>
      <c r="AS143" s="14">
        <v>52</v>
      </c>
      <c r="AT143" s="14">
        <v>28</v>
      </c>
      <c r="AU143" s="14">
        <v>35</v>
      </c>
      <c r="AV143" s="14">
        <v>116</v>
      </c>
      <c r="AW143" s="14">
        <v>106</v>
      </c>
      <c r="AX143" s="14">
        <v>65</v>
      </c>
      <c r="AY143" s="14">
        <v>19</v>
      </c>
      <c r="AZ143" s="14">
        <v>16</v>
      </c>
      <c r="BA143" s="14">
        <v>8</v>
      </c>
      <c r="BB143" s="14">
        <v>47</v>
      </c>
      <c r="BC143" s="14">
        <v>10</v>
      </c>
      <c r="BD143" s="1">
        <v>0</v>
      </c>
      <c r="BE143" s="1">
        <v>255</v>
      </c>
      <c r="BF143" s="1">
        <v>396</v>
      </c>
      <c r="BG143" s="1">
        <v>312</v>
      </c>
      <c r="BH143" s="1">
        <v>330</v>
      </c>
      <c r="BI143" s="1">
        <v>162</v>
      </c>
      <c r="BJ143" s="1">
        <v>195</v>
      </c>
      <c r="BK143" s="1">
        <v>112</v>
      </c>
      <c r="BL143" s="1">
        <v>121</v>
      </c>
      <c r="BM143" s="1">
        <v>193</v>
      </c>
      <c r="BN143" s="1">
        <v>69</v>
      </c>
      <c r="BO143" s="1">
        <v>21</v>
      </c>
      <c r="BP143" s="1">
        <v>51</v>
      </c>
      <c r="BQ143" s="1"/>
      <c r="BR143" s="1"/>
      <c r="BS143" s="17"/>
      <c r="BT143" s="17"/>
    </row>
    <row r="144" spans="1:74">
      <c r="A144" s="1"/>
      <c r="B144" s="3" t="s">
        <v>77</v>
      </c>
      <c r="C144" s="1"/>
      <c r="D144" s="1"/>
      <c r="E144" s="1">
        <f>E143-E142</f>
        <v>-93</v>
      </c>
      <c r="F144" s="1">
        <f>F143-F142</f>
        <v>10</v>
      </c>
      <c r="G144" s="1">
        <f>G143-G142</f>
        <v>-132</v>
      </c>
      <c r="H144" s="1">
        <f>H143-H142</f>
        <v>-133</v>
      </c>
      <c r="I144" s="1">
        <f>I143-I142</f>
        <v>33</v>
      </c>
      <c r="J144" s="1">
        <f>J143-J142</f>
        <v>20</v>
      </c>
      <c r="K144" s="1">
        <f>K143-K142</f>
        <v>14</v>
      </c>
      <c r="L144" s="1">
        <f>L143-L142</f>
        <v>-1</v>
      </c>
      <c r="M144" s="1">
        <f>M143-M142</f>
        <v>-11</v>
      </c>
      <c r="N144" s="1">
        <f>N143-N142</f>
        <v>77</v>
      </c>
      <c r="O144" s="1">
        <f>O143-O142</f>
        <v>0</v>
      </c>
      <c r="P144" s="1">
        <f>P143-P142</f>
        <v>-57</v>
      </c>
      <c r="Q144" s="1">
        <f>Q143-Q142</f>
        <v>-92</v>
      </c>
      <c r="R144" s="1">
        <f>R143-R142</f>
        <v>-205</v>
      </c>
      <c r="S144" s="1">
        <f>S143-S142</f>
        <v>3</v>
      </c>
      <c r="T144" s="1">
        <f>T143-T142</f>
        <v>-63</v>
      </c>
      <c r="U144" s="1">
        <f>U143-U142</f>
        <v>-164</v>
      </c>
      <c r="V144" s="1">
        <f>V143-V142</f>
        <v>-80</v>
      </c>
      <c r="W144" s="1">
        <f>W143-W142</f>
        <v>-72</v>
      </c>
      <c r="X144" s="1">
        <f>X143-X142</f>
        <v>-181</v>
      </c>
      <c r="Y144" s="1">
        <f>Y143-Y142</f>
        <v>-88</v>
      </c>
      <c r="Z144" s="1">
        <f>Z143-Z142</f>
        <v>-68</v>
      </c>
      <c r="AA144" s="1">
        <f>AA143-AA142</f>
        <v>-135</v>
      </c>
      <c r="AB144" s="1">
        <f>AB143-AB142</f>
        <v>-82</v>
      </c>
      <c r="AC144" s="1">
        <f>AC143-AC142</f>
        <v>-84</v>
      </c>
      <c r="AD144" s="1">
        <f>AD143-AD142</f>
        <v>-142</v>
      </c>
      <c r="AE144" s="1">
        <f>AE143-AE142</f>
        <v>-229</v>
      </c>
      <c r="AF144" s="1">
        <f>AF143-AF142</f>
        <v>-8</v>
      </c>
      <c r="AG144" s="1">
        <f>AG143-AG142</f>
        <v>3</v>
      </c>
      <c r="AH144" s="1">
        <f>AH143-AH142</f>
        <v>-30</v>
      </c>
      <c r="AI144" s="1">
        <f>AI143-AI142</f>
        <v>-30</v>
      </c>
      <c r="AJ144" s="1">
        <f>AJ143-AJ142</f>
        <v>-5</v>
      </c>
      <c r="AK144" s="1">
        <f>AK143-AK142</f>
        <v>23</v>
      </c>
      <c r="AL144" s="1">
        <f>AL143-AL142</f>
        <v>33</v>
      </c>
      <c r="AM144" s="1">
        <f>AM143-AM142</f>
        <v>0</v>
      </c>
      <c r="AN144" s="1">
        <f>AN143-AN142</f>
        <v>-39</v>
      </c>
      <c r="AO144" s="1">
        <f>AO143-AO142</f>
        <v>-33</v>
      </c>
      <c r="AP144" s="1">
        <f>AP143-AP142</f>
        <v>-27</v>
      </c>
      <c r="AQ144" s="1">
        <f>AQ143-AQ142</f>
        <v>-73</v>
      </c>
      <c r="AR144" s="1">
        <f>AR143-AR142</f>
        <v>-64</v>
      </c>
      <c r="AS144" s="1">
        <f>AS143-AS142</f>
        <v>-28</v>
      </c>
      <c r="AT144" s="1">
        <f>AT143-AT142</f>
        <v>-32</v>
      </c>
      <c r="AU144" s="1">
        <f>AU143-AU142</f>
        <v>-65</v>
      </c>
      <c r="AV144" s="1">
        <f>AV143-AV142</f>
        <v>-39</v>
      </c>
      <c r="AW144" s="1">
        <f>AW143-AW142</f>
        <v>-99</v>
      </c>
      <c r="AX144" s="1">
        <f>AX143-AX142</f>
        <v>5</v>
      </c>
      <c r="AY144" s="1">
        <f>AY143-AY142</f>
        <v>-31</v>
      </c>
      <c r="AZ144" s="1">
        <f>AZ143-AZ142</f>
        <v>-44</v>
      </c>
      <c r="BA144" s="1">
        <f>BA143-BA142</f>
        <v>-87</v>
      </c>
      <c r="BB144" s="1">
        <f>BB143-BB142</f>
        <v>-93</v>
      </c>
      <c r="BC144" s="1">
        <f>BC143-BC142</f>
        <v>-20</v>
      </c>
      <c r="BD144" s="1">
        <f>BD143-BD142</f>
        <v>-20</v>
      </c>
      <c r="BE144" s="1">
        <f>BE143-BE142</f>
        <v>185</v>
      </c>
      <c r="BF144" s="1">
        <f>BF143-BF142</f>
        <v>326</v>
      </c>
      <c r="BG144" s="1">
        <f>BG143-BG142</f>
        <v>312</v>
      </c>
      <c r="BH144" s="1">
        <f>BH143-BH142</f>
        <v>330</v>
      </c>
      <c r="BI144" s="1">
        <f>BI143-BI142</f>
        <v>92</v>
      </c>
      <c r="BJ144" s="1">
        <f>BJ143-BJ142</f>
        <v>125</v>
      </c>
      <c r="BK144" s="1">
        <f>BK143-BK142</f>
        <v>-88</v>
      </c>
      <c r="BL144" s="1">
        <f>BL143-BL142</f>
        <v>-79</v>
      </c>
      <c r="BM144" s="1">
        <f>BM143-BM142</f>
        <v>43</v>
      </c>
      <c r="BN144" s="1">
        <f>BN143-BN142</f>
        <v>-81</v>
      </c>
      <c r="BO144" s="1">
        <f>BO143-BO142</f>
        <v>-329</v>
      </c>
      <c r="BP144" s="1">
        <f>BP143-BP142</f>
        <v>-299</v>
      </c>
      <c r="BQ144" s="1"/>
      <c r="BR144" s="1"/>
      <c r="BS144" s="17"/>
      <c r="BT144" s="17"/>
    </row>
    <row r="145" spans="1:72">
      <c r="A145" s="1"/>
      <c r="B145" s="3" t="s">
        <v>140</v>
      </c>
      <c r="C145" s="1"/>
      <c r="D145" s="1"/>
      <c r="E145" s="1">
        <f>MAX(E2:E141)</f>
        <v>15</v>
      </c>
      <c r="F145" s="1">
        <f>MAX(F2:F141)</f>
        <v>15</v>
      </c>
      <c r="G145" s="1">
        <f>MAX(G2:G141)</f>
        <v>20</v>
      </c>
      <c r="H145" s="1">
        <f>MAX(H2:H141)</f>
        <v>20</v>
      </c>
      <c r="I145" s="1">
        <f>MAX(I2:I141)</f>
        <v>10</v>
      </c>
      <c r="J145" s="1">
        <f>MAX(J2:J141)</f>
        <v>10</v>
      </c>
      <c r="K145" s="1">
        <f>MAX(K2:K141)</f>
        <v>15</v>
      </c>
      <c r="L145" s="1">
        <f>MAX(L2:L141)</f>
        <v>10</v>
      </c>
      <c r="M145" s="1">
        <f>MAX(M2:M141)</f>
        <v>10</v>
      </c>
      <c r="N145" s="1">
        <f>MAX(N2:N141)</f>
        <v>10</v>
      </c>
      <c r="O145" s="1">
        <f>MAX(O2:O141)</f>
        <v>10</v>
      </c>
      <c r="P145" s="1">
        <f>MAX(P2:P141)</f>
        <v>10</v>
      </c>
      <c r="Q145" s="1">
        <f>MAX(Q2:Q141)</f>
        <v>7</v>
      </c>
      <c r="R145" s="1">
        <f>MAX(R2:R141)</f>
        <v>10</v>
      </c>
      <c r="S145" s="1">
        <f>MAX(S2:S141)</f>
        <v>10</v>
      </c>
      <c r="T145" s="1">
        <f>MAX(T2:T141)</f>
        <v>7</v>
      </c>
      <c r="U145" s="1">
        <f>MAX(U2:U141)</f>
        <v>10</v>
      </c>
      <c r="V145" s="1">
        <f>MAX(V2:V141)</f>
        <v>10</v>
      </c>
      <c r="W145" s="1">
        <f>MAX(W2:W141)</f>
        <v>20</v>
      </c>
      <c r="X145" s="1">
        <f>MAX(X2:X141)</f>
        <v>10</v>
      </c>
      <c r="Y145" s="1">
        <f>MAX(Y2:Y141)</f>
        <v>10</v>
      </c>
      <c r="Z145" s="1">
        <f>MAX(Z2:Z141)</f>
        <v>20</v>
      </c>
      <c r="AA145" s="1">
        <f>MAX(AA2:AA141)</f>
        <v>10</v>
      </c>
      <c r="AB145" s="1">
        <f>MAX(AB2:AB141)</f>
        <v>10</v>
      </c>
      <c r="AC145" s="1">
        <f>MAX(AC2:AC141)</f>
        <v>20</v>
      </c>
      <c r="AD145" s="1">
        <f>MAX(AD2:AD141)</f>
        <v>10</v>
      </c>
      <c r="AE145" s="1">
        <f>MAX(AE2:AE141)</f>
        <v>200</v>
      </c>
      <c r="AF145" s="1">
        <f>MAX(AF2:AF141)</f>
        <v>5</v>
      </c>
      <c r="AG145" s="1">
        <f>MAX(AG2:AG141)</f>
        <v>5</v>
      </c>
      <c r="AH145" s="1">
        <f>MAX(AH2:AH141)</f>
        <v>5</v>
      </c>
      <c r="AI145" s="1">
        <f>MAX(AI2:AI141)</f>
        <v>5</v>
      </c>
      <c r="AJ145" s="1">
        <f>MAX(AJ2:AJ141)</f>
        <v>5</v>
      </c>
      <c r="AK145" s="1">
        <f>MAX(AK2:AK141)</f>
        <v>0</v>
      </c>
      <c r="AL145" s="1">
        <f>MAX(AL2:AL141)</f>
        <v>0</v>
      </c>
      <c r="AM145" s="1">
        <f>MAX(AM2:AM141)</f>
        <v>0</v>
      </c>
      <c r="AN145" s="1">
        <f>MAX(AN2:AN141)</f>
        <v>25</v>
      </c>
      <c r="AO145" s="1">
        <f>MAX(AO2:AO141)</f>
        <v>10</v>
      </c>
      <c r="AP145" s="1">
        <f>MAX(AP2:AP141)</f>
        <v>10</v>
      </c>
      <c r="AQ145" s="1">
        <f>MAX(AQ2:AQ141)</f>
        <v>40</v>
      </c>
      <c r="AR145" s="1">
        <f>MAX(AR2:AR141)</f>
        <v>15</v>
      </c>
      <c r="AS145" s="1">
        <f>MAX(AS2:AS141)</f>
        <v>15</v>
      </c>
      <c r="AT145" s="1">
        <f>MAX(AT2:AT141)</f>
        <v>10</v>
      </c>
      <c r="AU145" s="1">
        <f>MAX(AU2:AU141)</f>
        <v>20</v>
      </c>
      <c r="AV145" s="1">
        <f>MAX(AV2:AV141)</f>
        <v>40</v>
      </c>
      <c r="AW145" s="1">
        <f>MAX(AW2:AW141)</f>
        <v>50</v>
      </c>
      <c r="AX145" s="1">
        <f>MAX(AX2:AX141)</f>
        <v>40</v>
      </c>
      <c r="AY145" s="1">
        <f>MAX(AY2:AY141)</f>
        <v>20</v>
      </c>
      <c r="AZ145" s="1">
        <f>MAX(AZ2:AZ141)</f>
        <v>50</v>
      </c>
      <c r="BA145" s="1">
        <f>MAX(BA2:BA141)</f>
        <v>40</v>
      </c>
      <c r="BB145" s="1">
        <f>MAX(BB2:BB141)</f>
        <v>40</v>
      </c>
      <c r="BC145" s="1">
        <f>MAX(BC2:BC141)</f>
        <v>10</v>
      </c>
      <c r="BD145" s="1">
        <f>MAX(BD2:BD141)</f>
        <v>10</v>
      </c>
      <c r="BE145" s="1">
        <f>MAX(BE2:BE141)</f>
        <v>50</v>
      </c>
      <c r="BF145" s="1">
        <f>MAX(BF2:BF141)</f>
        <v>50</v>
      </c>
      <c r="BG145" s="1">
        <f>MAX(BG2:BG141)</f>
        <v>0</v>
      </c>
      <c r="BH145" s="1">
        <f>MAX(BH2:BH141)</f>
        <v>0</v>
      </c>
      <c r="BI145" s="1">
        <f>MAX(BI2:BI141)</f>
        <v>50</v>
      </c>
      <c r="BJ145" s="1">
        <f>MAX(BJ2:BJ141)</f>
        <v>50</v>
      </c>
      <c r="BK145" s="1">
        <f>MAX(BK2:BK141)</f>
        <v>50</v>
      </c>
      <c r="BL145" s="1">
        <f>MAX(BL2:BL141)</f>
        <v>50</v>
      </c>
      <c r="BM145" s="1">
        <f>MAX(BM2:BM141)</f>
        <v>50</v>
      </c>
      <c r="BN145" s="1">
        <f>MAX(BN2:BN141)</f>
        <v>50</v>
      </c>
      <c r="BO145" s="1">
        <f>MAX(BO2:BO141)</f>
        <v>50</v>
      </c>
      <c r="BP145" s="1">
        <f>MAX(BP2:BP141)</f>
        <v>50</v>
      </c>
      <c r="BQ145" s="1"/>
      <c r="BR145" s="1"/>
      <c r="BS145" s="17"/>
      <c r="BT145" s="17"/>
    </row>
    <row r="146" spans="1:72">
      <c r="A146" s="1"/>
      <c r="B146" s="3" t="s">
        <v>141</v>
      </c>
      <c r="C146" s="1"/>
      <c r="D146" s="1"/>
      <c r="E146" s="1">
        <f>MIN(E2:E141)</f>
        <v>5</v>
      </c>
      <c r="F146" s="1">
        <f>MIN(F2:F141)</f>
        <v>15</v>
      </c>
      <c r="G146" s="1">
        <f>MIN(G2:G141)</f>
        <v>4</v>
      </c>
      <c r="H146" s="1">
        <f>MIN(H2:H141)</f>
        <v>4</v>
      </c>
      <c r="I146" s="1">
        <f>MIN(I2:I141)</f>
        <v>7</v>
      </c>
      <c r="J146" s="1">
        <f>MIN(J2:J141)</f>
        <v>10</v>
      </c>
      <c r="K146" s="1">
        <f>MIN(K2:K141)</f>
        <v>6</v>
      </c>
      <c r="L146" s="1">
        <f>MIN(L2:L141)</f>
        <v>7</v>
      </c>
      <c r="M146" s="1">
        <f>MIN(M2:M141)</f>
        <v>10</v>
      </c>
      <c r="N146" s="1">
        <f>MIN(N2:N141)</f>
        <v>10</v>
      </c>
      <c r="O146" s="1">
        <f>MIN(O2:O141)</f>
        <v>5</v>
      </c>
      <c r="P146" s="1">
        <f>MIN(P2:P141)</f>
        <v>10</v>
      </c>
      <c r="Q146" s="1">
        <f>MIN(Q2:Q141)</f>
        <v>5</v>
      </c>
      <c r="R146" s="1">
        <f>MIN(R2:R141)</f>
        <v>2</v>
      </c>
      <c r="S146" s="1">
        <f>MIN(S2:S141)</f>
        <v>10</v>
      </c>
      <c r="T146" s="1">
        <f>MIN(T2:T141)</f>
        <v>5</v>
      </c>
      <c r="U146" s="1">
        <f>MIN(U2:U141)</f>
        <v>2</v>
      </c>
      <c r="V146" s="1">
        <f>MIN(V2:V141)</f>
        <v>5</v>
      </c>
      <c r="W146" s="1">
        <f>MIN(W2:W141)</f>
        <v>5</v>
      </c>
      <c r="X146" s="1">
        <f>MIN(X2:X141)</f>
        <v>2</v>
      </c>
      <c r="Y146" s="1">
        <f>MIN(Y2:Y141)</f>
        <v>5</v>
      </c>
      <c r="Z146" s="1">
        <f>MIN(Z2:Z141)</f>
        <v>5</v>
      </c>
      <c r="AA146" s="1">
        <f>MIN(AA2:AA141)</f>
        <v>2</v>
      </c>
      <c r="AB146" s="1">
        <f>MIN(AB2:AB141)</f>
        <v>10</v>
      </c>
      <c r="AC146" s="1">
        <f>MIN(AC2:AC141)</f>
        <v>5</v>
      </c>
      <c r="AD146" s="1">
        <f>MIN(AD2:AD141)</f>
        <v>2</v>
      </c>
      <c r="AE146" s="1">
        <f>MIN(AE2:AE141)</f>
        <v>50</v>
      </c>
      <c r="AF146" s="1">
        <f>MIN(AF2:AF141)</f>
        <v>5</v>
      </c>
      <c r="AG146" s="1">
        <f>MIN(AG2:AG141)</f>
        <v>5</v>
      </c>
      <c r="AH146" s="1">
        <f>MIN(AH2:AH141)</f>
        <v>5</v>
      </c>
      <c r="AI146" s="1">
        <f>MIN(AI2:AI141)</f>
        <v>5</v>
      </c>
      <c r="AJ146" s="1">
        <f>MIN(AJ2:AJ141)</f>
        <v>5</v>
      </c>
      <c r="AK146" s="1">
        <f>MIN(AK2:AK141)</f>
        <v>0</v>
      </c>
      <c r="AL146" s="1">
        <f>MIN(AL2:AL141)</f>
        <v>0</v>
      </c>
      <c r="AM146" s="1">
        <f>MIN(AM2:AM141)</f>
        <v>0</v>
      </c>
      <c r="AN146" s="1">
        <f>MIN(AN2:AN141)</f>
        <v>15</v>
      </c>
      <c r="AO146" s="1">
        <f>MIN(AO2:AO141)</f>
        <v>2</v>
      </c>
      <c r="AP146" s="1">
        <f>MIN(AP2:AP141)</f>
        <v>1</v>
      </c>
      <c r="AQ146" s="1">
        <f>MIN(AQ2:AQ141)</f>
        <v>10</v>
      </c>
      <c r="AR146" s="1">
        <f>MIN(AR2:AR141)</f>
        <v>10</v>
      </c>
      <c r="AS146" s="1">
        <f>MIN(AS2:AS141)</f>
        <v>5</v>
      </c>
      <c r="AT146" s="1">
        <f>MIN(AT2:AT141)</f>
        <v>10</v>
      </c>
      <c r="AU146" s="1">
        <f>MIN(AU2:AU141)</f>
        <v>5</v>
      </c>
      <c r="AV146" s="1">
        <f>MIN(AV2:AV141)</f>
        <v>10</v>
      </c>
      <c r="AW146" s="1">
        <f>MIN(AW2:AW141)</f>
        <v>10</v>
      </c>
      <c r="AX146" s="1">
        <f>MIN(AX2:AX141)</f>
        <v>5</v>
      </c>
      <c r="AY146" s="1">
        <f>MIN(AY2:AY141)</f>
        <v>5</v>
      </c>
      <c r="AZ146" s="1">
        <f>MIN(AZ2:AZ141)</f>
        <v>10</v>
      </c>
      <c r="BA146" s="1">
        <f>MIN(BA2:BA141)</f>
        <v>10</v>
      </c>
      <c r="BB146" s="1">
        <f>MIN(BB2:BB141)</f>
        <v>10</v>
      </c>
      <c r="BC146" s="1">
        <f>MIN(BC2:BC141)</f>
        <v>10</v>
      </c>
      <c r="BD146" s="1">
        <f>MIN(BD2:BD141)</f>
        <v>10</v>
      </c>
      <c r="BE146" s="1">
        <f>MIN(BE2:BE141)</f>
        <v>20</v>
      </c>
      <c r="BF146" s="1">
        <f>MIN(BF2:BF141)</f>
        <v>20</v>
      </c>
      <c r="BG146" s="1">
        <f>MIN(BG2:BG141)</f>
        <v>0</v>
      </c>
      <c r="BH146" s="1">
        <f>MIN(BH2:BH141)</f>
        <v>0</v>
      </c>
      <c r="BI146" s="1">
        <f>MIN(BI2:BI141)</f>
        <v>20</v>
      </c>
      <c r="BJ146" s="1">
        <f>MIN(BJ2:BJ141)</f>
        <v>20</v>
      </c>
      <c r="BK146" s="1">
        <f>MIN(BK2:BK141)</f>
        <v>50</v>
      </c>
      <c r="BL146" s="1">
        <f>MIN(BL2:BL141)</f>
        <v>50</v>
      </c>
      <c r="BM146" s="1">
        <f>MIN(BM2:BM141)</f>
        <v>50</v>
      </c>
      <c r="BN146" s="1">
        <f>MIN(BN2:BN141)</f>
        <v>50</v>
      </c>
      <c r="BO146" s="1">
        <f>MIN(BO2:BO141)</f>
        <v>50</v>
      </c>
      <c r="BP146" s="1">
        <f>MIN(BP2:BP141)</f>
        <v>50</v>
      </c>
      <c r="BQ146" s="1"/>
      <c r="BR146" s="1"/>
      <c r="BS146" s="17"/>
      <c r="BT146" s="17"/>
    </row>
    <row r="147" spans="1:72">
      <c r="A147" s="1"/>
      <c r="B147" s="3" t="s">
        <v>142</v>
      </c>
      <c r="C147" s="1"/>
      <c r="D147" s="1"/>
      <c r="E147" s="1">
        <f>E143-E145</f>
        <v>-12</v>
      </c>
      <c r="F147" s="1">
        <f>F143-F145</f>
        <v>10</v>
      </c>
      <c r="G147" s="1">
        <f>G143-G145</f>
        <v>-18</v>
      </c>
      <c r="H147" s="1">
        <f>H143-H145</f>
        <v>-17</v>
      </c>
      <c r="I147" s="1">
        <f>I143-I145</f>
        <v>60</v>
      </c>
      <c r="J147" s="1">
        <f>J143-J145</f>
        <v>70</v>
      </c>
      <c r="K147" s="1">
        <f>K143-K145</f>
        <v>50</v>
      </c>
      <c r="L147" s="1">
        <f>L143-L145</f>
        <v>26</v>
      </c>
      <c r="M147" s="1">
        <f>M143-M145</f>
        <v>29</v>
      </c>
      <c r="N147" s="1">
        <f>N143-N145</f>
        <v>87</v>
      </c>
      <c r="O147" s="1">
        <f>O143-O145</f>
        <v>15</v>
      </c>
      <c r="P147" s="1">
        <f>P143-P145</f>
        <v>93</v>
      </c>
      <c r="Q147" s="1">
        <f>Q143-Q145</f>
        <v>5</v>
      </c>
      <c r="R147" s="1">
        <f>R143-R145</f>
        <v>-10</v>
      </c>
      <c r="S147" s="1">
        <f>S143-S145</f>
        <v>153</v>
      </c>
      <c r="T147" s="1">
        <f>T143-T145</f>
        <v>19</v>
      </c>
      <c r="U147" s="1">
        <f>U143-U145</f>
        <v>-4</v>
      </c>
      <c r="V147" s="1">
        <f>V143-V145</f>
        <v>85</v>
      </c>
      <c r="W147" s="1">
        <f>W143-W145</f>
        <v>-12</v>
      </c>
      <c r="X147" s="1">
        <f>X143-X145</f>
        <v>-10</v>
      </c>
      <c r="Y147" s="1">
        <f>Y143-Y145</f>
        <v>67</v>
      </c>
      <c r="Z147" s="1">
        <f>Z143-Z145</f>
        <v>12</v>
      </c>
      <c r="AA147" s="1">
        <f>AA143-AA145</f>
        <v>-9</v>
      </c>
      <c r="AB147" s="1">
        <f>AB143-AB145</f>
        <v>78</v>
      </c>
      <c r="AC147" s="1">
        <f>AC143-AC145</f>
        <v>-9</v>
      </c>
      <c r="AD147" s="1">
        <f>AD143-AD145</f>
        <v>-10</v>
      </c>
      <c r="AE147" s="1">
        <f>AE143-AE145</f>
        <v>-179</v>
      </c>
      <c r="AF147" s="1">
        <f>AF143-AF145</f>
        <v>-3</v>
      </c>
      <c r="AG147" s="1">
        <f>AG143-AG145</f>
        <v>3</v>
      </c>
      <c r="AH147" s="1">
        <f>AH143-AH145</f>
        <v>-5</v>
      </c>
      <c r="AI147" s="1">
        <f>AI143-AI145</f>
        <v>-5</v>
      </c>
      <c r="AJ147" s="1">
        <f>AJ143-AJ145</f>
        <v>-5</v>
      </c>
      <c r="AK147" s="1">
        <f>AK143-AK145</f>
        <v>23</v>
      </c>
      <c r="AL147" s="1">
        <f>AL143-AL145</f>
        <v>33</v>
      </c>
      <c r="AM147" s="1">
        <f>AM143-AM145</f>
        <v>0</v>
      </c>
      <c r="AN147" s="1">
        <f>AN143-AN145</f>
        <v>-24</v>
      </c>
      <c r="AO147" s="1">
        <f>AO143-AO145</f>
        <v>-10</v>
      </c>
      <c r="AP147" s="1">
        <f>AP143-AP145</f>
        <v>-10</v>
      </c>
      <c r="AQ147" s="1">
        <f>AQ143-AQ145</f>
        <v>37</v>
      </c>
      <c r="AR147" s="1">
        <f>AR143-AR145</f>
        <v>16</v>
      </c>
      <c r="AS147" s="1">
        <f>AS143-AS145</f>
        <v>37</v>
      </c>
      <c r="AT147" s="1">
        <f>AT143-AT145</f>
        <v>18</v>
      </c>
      <c r="AU147" s="1">
        <f>AU143-AU145</f>
        <v>15</v>
      </c>
      <c r="AV147" s="1">
        <f>AV143-AV145</f>
        <v>76</v>
      </c>
      <c r="AW147" s="1">
        <f>AW143-AW145</f>
        <v>56</v>
      </c>
      <c r="AX147" s="1">
        <f>AX143-AX145</f>
        <v>25</v>
      </c>
      <c r="AY147" s="1">
        <f>AY143-AY145</f>
        <v>-1</v>
      </c>
      <c r="AZ147" s="1">
        <f>AZ143-AZ145</f>
        <v>-34</v>
      </c>
      <c r="BA147" s="1">
        <f>BA143-BA145</f>
        <v>-32</v>
      </c>
      <c r="BB147" s="1">
        <f>BB143-BB145</f>
        <v>7</v>
      </c>
      <c r="BC147" s="1">
        <f>BC143-BC145</f>
        <v>0</v>
      </c>
      <c r="BD147" s="1">
        <f>BD143-BD145</f>
        <v>-10</v>
      </c>
      <c r="BE147" s="1">
        <f>BE143-BE145</f>
        <v>205</v>
      </c>
      <c r="BF147" s="1">
        <f>BF143-BF145</f>
        <v>346</v>
      </c>
      <c r="BG147" s="1">
        <f>BG143-BG145</f>
        <v>312</v>
      </c>
      <c r="BH147" s="1">
        <f>BH143-BH145</f>
        <v>330</v>
      </c>
      <c r="BI147" s="1">
        <f>BI143-BI145</f>
        <v>112</v>
      </c>
      <c r="BJ147" s="1">
        <f>BJ143-BJ145</f>
        <v>145</v>
      </c>
      <c r="BK147" s="1">
        <f>BK143-BK145</f>
        <v>62</v>
      </c>
      <c r="BL147" s="1">
        <f>BL143-BL145</f>
        <v>71</v>
      </c>
      <c r="BM147" s="1">
        <f>BM143-BM145</f>
        <v>143</v>
      </c>
      <c r="BN147" s="1">
        <f>BN143-BN145</f>
        <v>19</v>
      </c>
      <c r="BO147" s="1">
        <f>BO143-BO145</f>
        <v>-29</v>
      </c>
      <c r="BP147" s="1">
        <f>BP143-BP145</f>
        <v>1</v>
      </c>
      <c r="BQ147" s="1"/>
      <c r="BR147" s="1"/>
      <c r="BS147" s="17"/>
      <c r="BT147" s="17"/>
    </row>
    <row r="148" spans="1:72" s="13" customFormat="1">
      <c r="A148" s="1"/>
      <c r="B148" s="3" t="s">
        <v>143</v>
      </c>
      <c r="C148" s="1"/>
      <c r="D148" s="1"/>
      <c r="E148" s="1">
        <f>E143-E146</f>
        <v>-2</v>
      </c>
      <c r="F148" s="1">
        <f>F143-F146</f>
        <v>10</v>
      </c>
      <c r="G148" s="1">
        <f>G143-G146</f>
        <v>-2</v>
      </c>
      <c r="H148" s="1">
        <f>H143-H146</f>
        <v>-1</v>
      </c>
      <c r="I148" s="1">
        <f>I143-I146</f>
        <v>63</v>
      </c>
      <c r="J148" s="1">
        <f>J143-J146</f>
        <v>70</v>
      </c>
      <c r="K148" s="1">
        <f>K143-K146</f>
        <v>59</v>
      </c>
      <c r="L148" s="1">
        <f>L143-L146</f>
        <v>29</v>
      </c>
      <c r="M148" s="1">
        <f>M143-M146</f>
        <v>29</v>
      </c>
      <c r="N148" s="1">
        <f>N143-N146</f>
        <v>87</v>
      </c>
      <c r="O148" s="1">
        <f>O143-O146</f>
        <v>20</v>
      </c>
      <c r="P148" s="1">
        <f>P143-P146</f>
        <v>93</v>
      </c>
      <c r="Q148" s="1">
        <f>Q143-Q146</f>
        <v>7</v>
      </c>
      <c r="R148" s="1">
        <f>R143-R146</f>
        <v>-2</v>
      </c>
      <c r="S148" s="1">
        <f>S143-S146</f>
        <v>153</v>
      </c>
      <c r="T148" s="1">
        <f>T143-T146</f>
        <v>21</v>
      </c>
      <c r="U148" s="1">
        <f>U143-U146</f>
        <v>4</v>
      </c>
      <c r="V148" s="1">
        <f>V143-V146</f>
        <v>90</v>
      </c>
      <c r="W148" s="1">
        <f>W143-W146</f>
        <v>3</v>
      </c>
      <c r="X148" s="1">
        <f>X143-X146</f>
        <v>-2</v>
      </c>
      <c r="Y148" s="1">
        <f>Y143-Y146</f>
        <v>72</v>
      </c>
      <c r="Z148" s="1">
        <f>Z143-Z146</f>
        <v>27</v>
      </c>
      <c r="AA148" s="1">
        <f>AA143-AA146</f>
        <v>-1</v>
      </c>
      <c r="AB148" s="1">
        <f>AB143-AB146</f>
        <v>78</v>
      </c>
      <c r="AC148" s="1">
        <f>AC143-AC146</f>
        <v>6</v>
      </c>
      <c r="AD148" s="1">
        <f>AD143-AD146</f>
        <v>-2</v>
      </c>
      <c r="AE148" s="1">
        <f>AE143-AE146</f>
        <v>-29</v>
      </c>
      <c r="AF148" s="1">
        <f>AF143-AF146</f>
        <v>-3</v>
      </c>
      <c r="AG148" s="1">
        <f>AG143-AG146</f>
        <v>3</v>
      </c>
      <c r="AH148" s="1">
        <f>AH143-AH146</f>
        <v>-5</v>
      </c>
      <c r="AI148" s="1">
        <f>AI143-AI146</f>
        <v>-5</v>
      </c>
      <c r="AJ148" s="1">
        <f>AJ143-AJ146</f>
        <v>-5</v>
      </c>
      <c r="AK148" s="1">
        <f>AK143-AK146</f>
        <v>23</v>
      </c>
      <c r="AL148" s="1">
        <f>AL143-AL146</f>
        <v>33</v>
      </c>
      <c r="AM148" s="1">
        <f>AM143-AM146</f>
        <v>0</v>
      </c>
      <c r="AN148" s="1">
        <f>AN143-AN146</f>
        <v>-14</v>
      </c>
      <c r="AO148" s="1">
        <f>AO143-AO146</f>
        <v>-2</v>
      </c>
      <c r="AP148" s="1">
        <f>AP143-AP146</f>
        <v>-1</v>
      </c>
      <c r="AQ148" s="1">
        <f>AQ143-AQ146</f>
        <v>67</v>
      </c>
      <c r="AR148" s="1">
        <f>AR143-AR146</f>
        <v>21</v>
      </c>
      <c r="AS148" s="1">
        <f>AS143-AS146</f>
        <v>47</v>
      </c>
      <c r="AT148" s="1">
        <f>AT143-AT146</f>
        <v>18</v>
      </c>
      <c r="AU148" s="1">
        <f>AU143-AU146</f>
        <v>30</v>
      </c>
      <c r="AV148" s="1">
        <f>AV143-AV146</f>
        <v>106</v>
      </c>
      <c r="AW148" s="1">
        <f>AW143-AW146</f>
        <v>96</v>
      </c>
      <c r="AX148" s="1">
        <f>AX143-AX146</f>
        <v>60</v>
      </c>
      <c r="AY148" s="1">
        <f>AY143-AY146</f>
        <v>14</v>
      </c>
      <c r="AZ148" s="1">
        <f>AZ143-AZ146</f>
        <v>6</v>
      </c>
      <c r="BA148" s="1">
        <f>BA143-BA146</f>
        <v>-2</v>
      </c>
      <c r="BB148" s="1">
        <f>BB143-BB146</f>
        <v>37</v>
      </c>
      <c r="BC148" s="1">
        <f>BC143-BC146</f>
        <v>0</v>
      </c>
      <c r="BD148" s="1">
        <f>BD143-BD146</f>
        <v>-10</v>
      </c>
      <c r="BE148" s="1">
        <f>BE143-BE146</f>
        <v>235</v>
      </c>
      <c r="BF148" s="1">
        <f>BF143-BF146</f>
        <v>376</v>
      </c>
      <c r="BG148" s="1">
        <f>BG143-BG146</f>
        <v>312</v>
      </c>
      <c r="BH148" s="1">
        <f>BH143-BH146</f>
        <v>330</v>
      </c>
      <c r="BI148" s="1">
        <f>BI143-BI146</f>
        <v>142</v>
      </c>
      <c r="BJ148" s="1">
        <f>BJ143-BJ146</f>
        <v>175</v>
      </c>
      <c r="BK148" s="1">
        <f>BK143-BK146</f>
        <v>62</v>
      </c>
      <c r="BL148" s="1">
        <f>BL143-BL146</f>
        <v>71</v>
      </c>
      <c r="BM148" s="1">
        <f>BM143-BM146</f>
        <v>143</v>
      </c>
      <c r="BN148" s="1">
        <f>BN143-BN146</f>
        <v>19</v>
      </c>
      <c r="BO148" s="1">
        <f>BO143-BO146</f>
        <v>-29</v>
      </c>
      <c r="BP148" s="1">
        <f>BP143-BP146</f>
        <v>1</v>
      </c>
      <c r="BQ148" s="1"/>
      <c r="BR148" s="1"/>
      <c r="BS148" s="17"/>
      <c r="BT148" s="17"/>
    </row>
    <row r="149" spans="1:72">
      <c r="AQ149" s="7" t="s">
        <v>166</v>
      </c>
      <c r="AR149" s="7" t="s">
        <v>169</v>
      </c>
      <c r="AS149" s="7" t="s">
        <v>170</v>
      </c>
      <c r="AT149" s="7" t="s">
        <v>167</v>
      </c>
      <c r="AU149" s="7" t="s">
        <v>168</v>
      </c>
      <c r="AV149" s="7" t="s">
        <v>165</v>
      </c>
      <c r="AW149" s="7" t="s">
        <v>171</v>
      </c>
      <c r="AX149" s="7" t="s">
        <v>172</v>
      </c>
      <c r="AY149" s="7" t="s">
        <v>173</v>
      </c>
      <c r="AZ149" s="7" t="s">
        <v>174</v>
      </c>
      <c r="BA149" s="7" t="s">
        <v>175</v>
      </c>
      <c r="BB149" s="7" t="s">
        <v>176</v>
      </c>
    </row>
  </sheetData>
  <autoFilter ref="A1:BV149">
    <sortState ref="A2:BV149">
      <sortCondition ref="BS2:BS149"/>
      <sortCondition ref="BR2:BR149"/>
    </sortState>
  </autoFilter>
  <sortState ref="A2:CT148">
    <sortCondition ref="BS2:BS148"/>
    <sortCondition ref="BR2:BR148"/>
  </sortState>
  <phoneticPr fontId="1" type="noConversion"/>
  <conditionalFormatting sqref="E145:BC145 BE145:BP145">
    <cfRule type="expression" dxfId="8" priority="13">
      <formula>"&lt;=$E$135"</formula>
    </cfRule>
  </conditionalFormatting>
  <conditionalFormatting sqref="E147:BC148 BE147:BP148">
    <cfRule type="cellIs" dxfId="7" priority="4" operator="lessThan">
      <formula>0</formula>
    </cfRule>
  </conditionalFormatting>
  <conditionalFormatting sqref="E144:BC144 BE144:BP144">
    <cfRule type="cellIs" dxfId="6" priority="5" operator="lessThan">
      <formula>0</formula>
    </cfRule>
  </conditionalFormatting>
  <conditionalFormatting sqref="BD145">
    <cfRule type="expression" dxfId="5" priority="3">
      <formula>"&lt;=$E$135"</formula>
    </cfRule>
  </conditionalFormatting>
  <conditionalFormatting sqref="BD147:BD148">
    <cfRule type="cellIs" dxfId="4" priority="1" operator="lessThan">
      <formula>0</formula>
    </cfRule>
  </conditionalFormatting>
  <conditionalFormatting sqref="BD144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148</xdr:row>
                    <xdr:rowOff>28575</xdr:rowOff>
                  </from>
                  <to>
                    <xdr:col>1</xdr:col>
                    <xdr:colOff>428625</xdr:colOff>
                    <xdr:row>149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64</v>
      </c>
      <c r="B1" s="8" t="s">
        <v>65</v>
      </c>
      <c r="C1" s="8" t="s">
        <v>67</v>
      </c>
      <c r="D1" s="8" t="s">
        <v>66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63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99</v>
      </c>
      <c r="Q1" s="27" t="s">
        <v>111</v>
      </c>
      <c r="R1" s="27" t="s">
        <v>105</v>
      </c>
      <c r="S1" s="27" t="s">
        <v>100</v>
      </c>
      <c r="T1" s="27" t="s">
        <v>109</v>
      </c>
      <c r="U1" s="27" t="s">
        <v>114</v>
      </c>
      <c r="V1" s="27" t="s">
        <v>101</v>
      </c>
      <c r="W1" s="27" t="s">
        <v>108</v>
      </c>
      <c r="X1" s="27" t="s">
        <v>106</v>
      </c>
      <c r="Y1" s="27" t="s">
        <v>102</v>
      </c>
      <c r="Z1" s="27" t="s">
        <v>110</v>
      </c>
      <c r="AA1" s="27" t="s">
        <v>115</v>
      </c>
      <c r="AB1" s="27" t="s">
        <v>104</v>
      </c>
      <c r="AC1" s="27" t="s">
        <v>103</v>
      </c>
      <c r="AD1" s="27" t="s">
        <v>125</v>
      </c>
      <c r="AE1" s="8" t="s">
        <v>8</v>
      </c>
      <c r="AF1" s="8" t="s">
        <v>27</v>
      </c>
      <c r="AG1" s="8" t="s">
        <v>28</v>
      </c>
      <c r="AH1" s="8" t="s">
        <v>54</v>
      </c>
      <c r="AI1" s="8" t="s">
        <v>55</v>
      </c>
      <c r="AJ1" s="8" t="s">
        <v>57</v>
      </c>
      <c r="AK1" s="8" t="s">
        <v>58</v>
      </c>
      <c r="AL1" s="8" t="s">
        <v>60</v>
      </c>
      <c r="AM1" s="8" t="s">
        <v>47</v>
      </c>
      <c r="AN1" s="8" t="s">
        <v>48</v>
      </c>
      <c r="AO1" s="8" t="s">
        <v>87</v>
      </c>
      <c r="AP1" s="8" t="s">
        <v>88</v>
      </c>
      <c r="AQ1" s="10" t="s">
        <v>37</v>
      </c>
      <c r="AR1" s="10" t="s">
        <v>4</v>
      </c>
      <c r="AS1" s="10" t="s">
        <v>25</v>
      </c>
      <c r="AT1" s="10" t="s">
        <v>50</v>
      </c>
      <c r="AU1" s="10" t="s">
        <v>52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84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53</v>
      </c>
      <c r="BQ1" s="8" t="s">
        <v>72</v>
      </c>
      <c r="BR1" s="16" t="s">
        <v>73</v>
      </c>
      <c r="BS1" s="16"/>
      <c r="BT1" s="10" t="s">
        <v>37</v>
      </c>
      <c r="BU1" s="10" t="s">
        <v>4</v>
      </c>
      <c r="BV1" s="10" t="s">
        <v>25</v>
      </c>
      <c r="BW1" s="10" t="s">
        <v>50</v>
      </c>
      <c r="BX1" s="10" t="s">
        <v>52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50</v>
      </c>
      <c r="CK1" s="10" t="s">
        <v>52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30">
        <v>77</v>
      </c>
      <c r="B2" s="37" t="s">
        <v>128</v>
      </c>
      <c r="C2" s="37" t="s">
        <v>49</v>
      </c>
      <c r="D2" s="30" t="s">
        <v>9</v>
      </c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3"/>
      <c r="AR2" s="33"/>
      <c r="AS2" s="33"/>
      <c r="AT2" s="33">
        <v>20</v>
      </c>
      <c r="AU2" s="33"/>
      <c r="AV2" s="33"/>
      <c r="AW2" s="34">
        <v>20</v>
      </c>
      <c r="AX2" s="34">
        <v>20</v>
      </c>
      <c r="AY2" s="34"/>
      <c r="AZ2" s="34"/>
      <c r="BA2" s="34"/>
      <c r="BB2" s="34">
        <v>10</v>
      </c>
      <c r="BC2" s="35"/>
      <c r="BD2" s="30"/>
      <c r="BE2" s="30"/>
      <c r="BF2" s="30"/>
      <c r="BG2" s="30"/>
      <c r="BH2" s="30">
        <v>20</v>
      </c>
      <c r="BI2" s="30"/>
      <c r="BJ2" s="30"/>
      <c r="BK2" s="30"/>
      <c r="BL2" s="30"/>
      <c r="BM2" s="30"/>
      <c r="BN2" s="30"/>
      <c r="BO2" s="30"/>
      <c r="BP2" s="30">
        <f>SUM(E2:BO2)</f>
        <v>90</v>
      </c>
      <c r="BQ2" s="30">
        <v>9</v>
      </c>
      <c r="BR2" s="36">
        <v>1</v>
      </c>
      <c r="BS2" s="36" t="s">
        <v>163</v>
      </c>
      <c r="BT2" s="30" t="str">
        <f t="shared" ref="BT2:CE2" si="0">IF(AQ2&gt;AQ$4, AQ2-AQ$4,"")</f>
        <v/>
      </c>
      <c r="BU2" s="30" t="str">
        <f t="shared" si="0"/>
        <v/>
      </c>
      <c r="BV2" s="30" t="str">
        <f t="shared" si="0"/>
        <v/>
      </c>
      <c r="BW2" s="30" t="str">
        <f t="shared" si="0"/>
        <v/>
      </c>
      <c r="BX2" s="30" t="str">
        <f t="shared" si="0"/>
        <v/>
      </c>
      <c r="BY2" s="30" t="str">
        <f t="shared" si="0"/>
        <v/>
      </c>
      <c r="BZ2" s="30" t="str">
        <f t="shared" si="0"/>
        <v/>
      </c>
      <c r="CA2" s="30" t="str">
        <f t="shared" si="0"/>
        <v/>
      </c>
      <c r="CB2" s="30" t="str">
        <f t="shared" si="0"/>
        <v/>
      </c>
      <c r="CC2" s="30" t="str">
        <f t="shared" si="0"/>
        <v/>
      </c>
      <c r="CD2" s="30" t="str">
        <f t="shared" si="0"/>
        <v/>
      </c>
      <c r="CE2" s="30" t="str">
        <f t="shared" si="0"/>
        <v/>
      </c>
      <c r="CF2" s="30">
        <f>COUNTIF(BT2:CE2, "&gt;0")</f>
        <v>0</v>
      </c>
      <c r="CG2" s="30" t="str">
        <f t="shared" ref="CG2:CR2" si="1">IF($CF2=1,BT2,"")</f>
        <v/>
      </c>
      <c r="CH2" s="30" t="str">
        <f t="shared" si="1"/>
        <v/>
      </c>
      <c r="CI2" s="30" t="str">
        <f t="shared" si="1"/>
        <v/>
      </c>
      <c r="CJ2" s="30" t="str">
        <f t="shared" si="1"/>
        <v/>
      </c>
      <c r="CK2" s="30" t="str">
        <f t="shared" si="1"/>
        <v/>
      </c>
      <c r="CL2" s="30" t="str">
        <f t="shared" si="1"/>
        <v/>
      </c>
      <c r="CM2" s="30" t="str">
        <f t="shared" si="1"/>
        <v/>
      </c>
      <c r="CN2" s="30" t="str">
        <f t="shared" si="1"/>
        <v/>
      </c>
      <c r="CO2" s="30" t="str">
        <f t="shared" si="1"/>
        <v/>
      </c>
      <c r="CP2" s="30" t="str">
        <f t="shared" si="1"/>
        <v/>
      </c>
      <c r="CQ2" s="30" t="str">
        <f t="shared" si="1"/>
        <v/>
      </c>
      <c r="CR2" s="30" t="str">
        <f t="shared" si="1"/>
        <v/>
      </c>
      <c r="CS2" s="37">
        <f>SUM(AE2:BO2)</f>
        <v>90</v>
      </c>
    </row>
    <row r="3" spans="1:97" s="48" customFormat="1" ht="27">
      <c r="A3" s="40"/>
      <c r="B3" s="40" t="s">
        <v>179</v>
      </c>
      <c r="C3" s="40" t="s">
        <v>82</v>
      </c>
      <c r="D3" s="40" t="s">
        <v>98</v>
      </c>
      <c r="E3" s="41"/>
      <c r="F3" s="41"/>
      <c r="G3" s="41"/>
      <c r="H3" s="41"/>
      <c r="I3" s="41">
        <v>10</v>
      </c>
      <c r="J3" s="41"/>
      <c r="K3" s="41"/>
      <c r="L3" s="41"/>
      <c r="M3" s="41"/>
      <c r="N3" s="41"/>
      <c r="O3" s="41"/>
      <c r="P3" s="42"/>
      <c r="Q3" s="42"/>
      <c r="R3" s="42">
        <v>10</v>
      </c>
      <c r="S3" s="42"/>
      <c r="T3" s="42"/>
      <c r="U3" s="42"/>
      <c r="V3" s="42"/>
      <c r="W3" s="42"/>
      <c r="X3" s="42">
        <v>10</v>
      </c>
      <c r="Y3" s="42"/>
      <c r="Z3" s="42"/>
      <c r="AA3" s="42"/>
      <c r="AB3" s="42"/>
      <c r="AC3" s="42"/>
      <c r="AD3" s="42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3"/>
      <c r="AR3" s="43"/>
      <c r="AS3" s="43"/>
      <c r="AT3" s="43">
        <v>10</v>
      </c>
      <c r="AU3" s="43"/>
      <c r="AV3" s="43"/>
      <c r="AW3" s="44"/>
      <c r="AX3" s="44"/>
      <c r="AY3" s="44"/>
      <c r="AZ3" s="44"/>
      <c r="BA3" s="44"/>
      <c r="BB3" s="44"/>
      <c r="BC3" s="45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>
        <f>SUM(E3:BO3)</f>
        <v>40</v>
      </c>
      <c r="BQ3" s="40">
        <v>8</v>
      </c>
      <c r="BR3" s="46">
        <v>2</v>
      </c>
      <c r="BS3" s="46" t="s">
        <v>189</v>
      </c>
      <c r="BT3" s="40" t="str">
        <f t="shared" ref="BT3:CE3" si="2">IF(AQ3&gt;AQ$141, AQ3-AQ$141,"")</f>
        <v/>
      </c>
      <c r="BU3" s="40" t="str">
        <f t="shared" si="2"/>
        <v/>
      </c>
      <c r="BV3" s="40" t="str">
        <f t="shared" si="2"/>
        <v/>
      </c>
      <c r="BW3" s="40">
        <f t="shared" si="2"/>
        <v>10</v>
      </c>
      <c r="BX3" s="40" t="str">
        <f t="shared" si="2"/>
        <v/>
      </c>
      <c r="BY3" s="40" t="str">
        <f t="shared" si="2"/>
        <v/>
      </c>
      <c r="BZ3" s="40" t="str">
        <f t="shared" si="2"/>
        <v/>
      </c>
      <c r="CA3" s="40" t="str">
        <f t="shared" si="2"/>
        <v/>
      </c>
      <c r="CB3" s="40" t="str">
        <f t="shared" si="2"/>
        <v/>
      </c>
      <c r="CC3" s="40" t="str">
        <f t="shared" si="2"/>
        <v/>
      </c>
      <c r="CD3" s="40" t="str">
        <f t="shared" si="2"/>
        <v/>
      </c>
      <c r="CE3" s="40" t="str">
        <f t="shared" si="2"/>
        <v/>
      </c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7"/>
    </row>
    <row r="4" spans="1:97">
      <c r="A4" s="1"/>
      <c r="B4" s="1" t="s">
        <v>53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70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77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140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141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142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143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177</v>
      </c>
      <c r="AQ11" s="7" t="s">
        <v>166</v>
      </c>
      <c r="AR11" s="7" t="s">
        <v>169</v>
      </c>
      <c r="AS11" s="7" t="s">
        <v>170</v>
      </c>
      <c r="AT11" s="7" t="s">
        <v>167</v>
      </c>
      <c r="AU11" s="7" t="s">
        <v>168</v>
      </c>
      <c r="AV11" s="7" t="s">
        <v>165</v>
      </c>
      <c r="AW11" s="7" t="s">
        <v>171</v>
      </c>
      <c r="AX11" s="7" t="s">
        <v>172</v>
      </c>
      <c r="AY11" s="7" t="s">
        <v>173</v>
      </c>
      <c r="AZ11" s="7" t="s">
        <v>174</v>
      </c>
      <c r="BA11" s="7" t="s">
        <v>175</v>
      </c>
      <c r="BB11" s="7" t="s">
        <v>176</v>
      </c>
    </row>
    <row r="12" spans="1:97">
      <c r="R12" s="7" t="s">
        <v>178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68</v>
      </c>
      <c r="B1" s="5" t="s">
        <v>65</v>
      </c>
      <c r="C1" s="5" t="s">
        <v>69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50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52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50</v>
      </c>
      <c r="K19" s="10" t="s">
        <v>52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144</v>
      </c>
      <c r="D27" t="s">
        <v>145</v>
      </c>
      <c r="E27" t="s">
        <v>146</v>
      </c>
      <c r="F27" t="s">
        <v>147</v>
      </c>
      <c r="G27" t="s">
        <v>148</v>
      </c>
      <c r="H27" t="s">
        <v>149</v>
      </c>
      <c r="I27" t="s">
        <v>150</v>
      </c>
      <c r="J27" t="s">
        <v>151</v>
      </c>
      <c r="K27" t="s">
        <v>152</v>
      </c>
      <c r="L27" t="s">
        <v>153</v>
      </c>
      <c r="M27" t="s">
        <v>154</v>
      </c>
      <c r="N27" t="s">
        <v>155</v>
      </c>
    </row>
    <row r="31" spans="3:18">
      <c r="C31">
        <v>-3</v>
      </c>
      <c r="D31" t="s">
        <v>144</v>
      </c>
    </row>
    <row r="32" spans="3:18">
      <c r="C32">
        <v>-8</v>
      </c>
      <c r="D32" t="s">
        <v>145</v>
      </c>
    </row>
    <row r="33" spans="3:4">
      <c r="C33">
        <v>-3</v>
      </c>
      <c r="D33" t="s">
        <v>146</v>
      </c>
    </row>
    <row r="34" spans="3:4">
      <c r="C34">
        <v>1</v>
      </c>
      <c r="D34" t="s">
        <v>147</v>
      </c>
    </row>
    <row r="35" spans="3:4">
      <c r="C35">
        <v>3</v>
      </c>
      <c r="D35" t="s">
        <v>148</v>
      </c>
    </row>
    <row r="36" spans="3:4">
      <c r="C36">
        <v>0</v>
      </c>
      <c r="D36" t="s">
        <v>149</v>
      </c>
    </row>
    <row r="37" spans="3:4">
      <c r="C37">
        <v>-3</v>
      </c>
      <c r="D37" t="s">
        <v>150</v>
      </c>
    </row>
    <row r="38" spans="3:4">
      <c r="C38">
        <v>30</v>
      </c>
      <c r="D38" t="s">
        <v>151</v>
      </c>
    </row>
    <row r="39" spans="3:4">
      <c r="C39">
        <v>5</v>
      </c>
      <c r="D39" t="s">
        <v>152</v>
      </c>
    </row>
    <row r="40" spans="3:4">
      <c r="C40">
        <v>-10</v>
      </c>
      <c r="D40" t="s">
        <v>153</v>
      </c>
    </row>
    <row r="41" spans="3:4">
      <c r="C41">
        <v>3</v>
      </c>
      <c r="D41" t="s">
        <v>154</v>
      </c>
    </row>
    <row r="42" spans="3:4">
      <c r="C42">
        <v>138</v>
      </c>
      <c r="D42" t="s">
        <v>155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74</v>
      </c>
      <c r="B1" s="8" t="s">
        <v>75</v>
      </c>
      <c r="C1" s="8" t="s">
        <v>76</v>
      </c>
    </row>
    <row r="2" spans="1:3">
      <c r="A2" s="1">
        <v>5</v>
      </c>
      <c r="B2" s="10" t="s">
        <v>52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50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190</v>
      </c>
      <c r="F3" t="s">
        <v>191</v>
      </c>
      <c r="G3" t="s">
        <v>192</v>
      </c>
      <c r="H3" t="s">
        <v>193</v>
      </c>
      <c r="I3" t="s">
        <v>194</v>
      </c>
      <c r="J3" t="s">
        <v>195</v>
      </c>
    </row>
    <row r="4" spans="3:10">
      <c r="C4" s="57" t="s">
        <v>196</v>
      </c>
      <c r="D4" t="s">
        <v>197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57" t="s">
        <v>198</v>
      </c>
      <c r="D5" t="s">
        <v>199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57" t="s">
        <v>200</v>
      </c>
      <c r="D6" t="s">
        <v>199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57" t="s">
        <v>201</v>
      </c>
      <c r="D7" t="s">
        <v>199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202</v>
      </c>
      <c r="D8" t="s">
        <v>203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57" t="s">
        <v>204</v>
      </c>
      <c r="D9" t="s">
        <v>203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57" t="s">
        <v>205</v>
      </c>
      <c r="D10" t="s">
        <v>203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57" t="s">
        <v>208</v>
      </c>
      <c r="D11" t="s">
        <v>199</v>
      </c>
      <c r="E11" s="58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206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206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206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206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207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203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203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203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44</v>
      </c>
    </row>
    <row r="33" spans="3:3">
      <c r="C33" s="11" t="s">
        <v>10</v>
      </c>
    </row>
    <row r="34" spans="3:3">
      <c r="C34" s="11" t="s">
        <v>5</v>
      </c>
    </row>
    <row r="35" spans="3:3">
      <c r="C35" s="10" t="s">
        <v>37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2020-06-04T01:07:11Z</dcterms:modified>
</cp:coreProperties>
</file>