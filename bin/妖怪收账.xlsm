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Sheet1!$A$1:$BP$162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62" i="1" l="1"/>
  <c r="AD164" i="1" s="1"/>
  <c r="BP161" i="1" l="1"/>
  <c r="BT161" i="1"/>
  <c r="BU161" i="1"/>
  <c r="BV161" i="1"/>
  <c r="BW161" i="1"/>
  <c r="BX161" i="1"/>
  <c r="BY161" i="1"/>
  <c r="BZ161" i="1"/>
  <c r="CA161" i="1"/>
  <c r="CB161" i="1"/>
  <c r="CC161" i="1"/>
  <c r="CD161" i="1"/>
  <c r="CE161" i="1"/>
  <c r="CS161" i="1"/>
  <c r="P162" i="1"/>
  <c r="P164" i="1" s="1"/>
  <c r="Q162" i="1"/>
  <c r="Q164" i="1" s="1"/>
  <c r="R162" i="1"/>
  <c r="R164" i="1" s="1"/>
  <c r="S162" i="1"/>
  <c r="S164" i="1" s="1"/>
  <c r="T162" i="1"/>
  <c r="T164" i="1" s="1"/>
  <c r="U162" i="1"/>
  <c r="U164" i="1" s="1"/>
  <c r="V162" i="1"/>
  <c r="V164" i="1" s="1"/>
  <c r="W162" i="1"/>
  <c r="W164" i="1" s="1"/>
  <c r="X162" i="1"/>
  <c r="X164" i="1" s="1"/>
  <c r="Y162" i="1"/>
  <c r="Y164" i="1" s="1"/>
  <c r="Z162" i="1"/>
  <c r="Z164" i="1" s="1"/>
  <c r="AA162" i="1"/>
  <c r="AA164" i="1" s="1"/>
  <c r="AB162" i="1"/>
  <c r="AB164" i="1" s="1"/>
  <c r="AC162" i="1"/>
  <c r="AC164" i="1" s="1"/>
  <c r="CF161" i="1" l="1"/>
  <c r="CM161" i="1" s="1"/>
  <c r="AO162" i="1"/>
  <c r="AO164" i="1" s="1"/>
  <c r="AP162" i="1"/>
  <c r="AP164" i="1" s="1"/>
  <c r="BC162" i="1"/>
  <c r="BC164" i="1" s="1"/>
  <c r="CO161" i="1" l="1"/>
  <c r="CK161" i="1"/>
  <c r="CI161" i="1"/>
  <c r="CN161" i="1"/>
  <c r="CP161" i="1"/>
  <c r="CJ161" i="1"/>
  <c r="CL161" i="1"/>
  <c r="CG161" i="1"/>
  <c r="CQ161" i="1"/>
  <c r="CH161" i="1"/>
  <c r="CR161" i="1"/>
  <c r="CS3" i="1"/>
  <c r="CS4" i="1"/>
  <c r="CS5" i="1"/>
  <c r="CS64" i="1"/>
  <c r="CS6" i="1"/>
  <c r="CS7" i="1"/>
  <c r="CS8" i="1"/>
  <c r="CS50" i="1"/>
  <c r="CS107" i="1"/>
  <c r="CS44" i="1"/>
  <c r="CS66" i="1"/>
  <c r="CS67" i="1"/>
  <c r="CS68" i="1"/>
  <c r="CS69" i="1"/>
  <c r="CS70" i="1"/>
  <c r="CS71" i="1"/>
  <c r="CS72" i="1"/>
  <c r="CS63" i="1"/>
  <c r="CS105" i="1"/>
  <c r="CS12" i="1"/>
  <c r="CS16" i="1"/>
  <c r="CS17" i="1"/>
  <c r="CS55" i="1"/>
  <c r="CS45" i="1"/>
  <c r="CS43" i="1"/>
  <c r="CS113" i="1"/>
  <c r="CS77" i="1"/>
  <c r="CS62" i="1"/>
  <c r="CS79" i="1"/>
  <c r="CS81" i="1"/>
  <c r="CS20" i="1"/>
  <c r="CS84" i="1"/>
  <c r="CS85" i="1"/>
  <c r="CS9" i="1"/>
  <c r="CS61" i="1"/>
  <c r="CS46" i="1"/>
  <c r="CS10" i="1"/>
  <c r="CS13" i="1"/>
  <c r="CS54" i="1"/>
  <c r="CS18" i="1"/>
  <c r="CS19" i="1"/>
  <c r="CS106" i="1"/>
  <c r="CS115" i="1"/>
  <c r="CS116" i="1"/>
  <c r="CS11" i="1"/>
  <c r="CS14" i="1"/>
  <c r="CS135" i="1"/>
  <c r="CS136" i="1"/>
  <c r="CS122" i="1"/>
  <c r="CS100" i="1"/>
  <c r="CS15" i="1"/>
  <c r="CS114" i="1"/>
  <c r="CS83" i="1"/>
  <c r="CS82" i="1"/>
  <c r="CS58" i="1"/>
  <c r="CS119" i="1"/>
  <c r="CS144" i="1"/>
  <c r="CS138" i="1"/>
  <c r="CS145" i="1"/>
  <c r="CS155" i="1"/>
  <c r="CS156" i="1"/>
  <c r="CS2" i="1"/>
  <c r="CS162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6" i="1"/>
  <c r="BU6" i="1"/>
  <c r="BV6" i="1"/>
  <c r="BW6" i="1"/>
  <c r="BX6" i="1"/>
  <c r="BY6" i="1"/>
  <c r="BZ6" i="1"/>
  <c r="CA6" i="1"/>
  <c r="CB6" i="1"/>
  <c r="CC6" i="1"/>
  <c r="CD6" i="1"/>
  <c r="CE6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9" i="1"/>
  <c r="BU9" i="1"/>
  <c r="BV9" i="1"/>
  <c r="BW9" i="1"/>
  <c r="BX9" i="1"/>
  <c r="BY9" i="1"/>
  <c r="BZ9" i="1"/>
  <c r="CA9" i="1"/>
  <c r="CB9" i="1"/>
  <c r="CC9" i="1"/>
  <c r="CD9" i="1"/>
  <c r="CE9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BU2" i="1"/>
  <c r="BV2" i="1"/>
  <c r="BW2" i="1"/>
  <c r="BX2" i="1"/>
  <c r="BY2" i="1"/>
  <c r="BZ2" i="1"/>
  <c r="CA2" i="1"/>
  <c r="CB2" i="1"/>
  <c r="CC2" i="1"/>
  <c r="CD2" i="1"/>
  <c r="CE2" i="1"/>
  <c r="BT2" i="1"/>
  <c r="CF107" i="1" l="1"/>
  <c r="CR107" i="1" s="1"/>
  <c r="CF67" i="1"/>
  <c r="CR67" i="1" s="1"/>
  <c r="CF66" i="1"/>
  <c r="CN66" i="1" s="1"/>
  <c r="CF50" i="1"/>
  <c r="CH50" i="1" s="1"/>
  <c r="CA162" i="1"/>
  <c r="CC162" i="1"/>
  <c r="BX162" i="1"/>
  <c r="BZ162" i="1"/>
  <c r="BV162" i="1"/>
  <c r="BU162" i="1"/>
  <c r="CD162" i="1"/>
  <c r="BY162" i="1"/>
  <c r="CB162" i="1"/>
  <c r="CE162" i="1"/>
  <c r="CF58" i="1"/>
  <c r="CK58" i="1" s="1"/>
  <c r="CF105" i="1"/>
  <c r="CM105" i="1" s="1"/>
  <c r="CF84" i="1"/>
  <c r="CI84" i="1" s="1"/>
  <c r="CF18" i="1"/>
  <c r="CJ18" i="1" s="1"/>
  <c r="CF114" i="1"/>
  <c r="CG114" i="1" s="1"/>
  <c r="CF5" i="1"/>
  <c r="CN5" i="1" s="1"/>
  <c r="CF4" i="1"/>
  <c r="CN4" i="1" s="1"/>
  <c r="CF3" i="1"/>
  <c r="CN3" i="1" s="1"/>
  <c r="CF156" i="1"/>
  <c r="CG156" i="1" s="1"/>
  <c r="CF119" i="1"/>
  <c r="CK119" i="1" s="1"/>
  <c r="CF144" i="1"/>
  <c r="CK144" i="1" s="1"/>
  <c r="CF82" i="1"/>
  <c r="CR82" i="1" s="1"/>
  <c r="CF136" i="1"/>
  <c r="CJ136" i="1" s="1"/>
  <c r="CF54" i="1"/>
  <c r="CH54" i="1" s="1"/>
  <c r="CF11" i="1"/>
  <c r="CR11" i="1" s="1"/>
  <c r="CF12" i="1"/>
  <c r="CQ12" i="1" s="1"/>
  <c r="CF55" i="1"/>
  <c r="CR55" i="1" s="1"/>
  <c r="CF16" i="1"/>
  <c r="CH16" i="1" s="1"/>
  <c r="CF10" i="1"/>
  <c r="CN10" i="1" s="1"/>
  <c r="CF63" i="1"/>
  <c r="CH63" i="1" s="1"/>
  <c r="CF13" i="1"/>
  <c r="CN13" i="1" s="1"/>
  <c r="CF81" i="1"/>
  <c r="CL81" i="1" s="1"/>
  <c r="CF62" i="1"/>
  <c r="CH62" i="1" s="1"/>
  <c r="CF20" i="1"/>
  <c r="CK20" i="1" s="1"/>
  <c r="CF45" i="1"/>
  <c r="CO45" i="1" s="1"/>
  <c r="CF44" i="1"/>
  <c r="CO44" i="1" s="1"/>
  <c r="CF71" i="1"/>
  <c r="CH71" i="1" s="1"/>
  <c r="CF70" i="1"/>
  <c r="CP70" i="1" s="1"/>
  <c r="CF69" i="1"/>
  <c r="CN69" i="1" s="1"/>
  <c r="CF68" i="1"/>
  <c r="CR68" i="1" s="1"/>
  <c r="CF46" i="1"/>
  <c r="CG46" i="1" s="1"/>
  <c r="CF64" i="1"/>
  <c r="CQ64" i="1" s="1"/>
  <c r="CF6" i="1"/>
  <c r="CL6" i="1" s="1"/>
  <c r="CF19" i="1"/>
  <c r="CJ19" i="1" s="1"/>
  <c r="CF8" i="1"/>
  <c r="CN8" i="1" s="1"/>
  <c r="CF7" i="1"/>
  <c r="CI7" i="1" s="1"/>
  <c r="CF155" i="1"/>
  <c r="CR155" i="1" s="1"/>
  <c r="CF113" i="1"/>
  <c r="CJ113" i="1" s="1"/>
  <c r="CF145" i="1"/>
  <c r="CO145" i="1" s="1"/>
  <c r="CF83" i="1"/>
  <c r="CN83" i="1" s="1"/>
  <c r="CF15" i="1"/>
  <c r="CK15" i="1" s="1"/>
  <c r="CF135" i="1"/>
  <c r="CR135" i="1" s="1"/>
  <c r="CF9" i="1"/>
  <c r="CP9" i="1" s="1"/>
  <c r="CF14" i="1"/>
  <c r="CR14" i="1" s="1"/>
  <c r="CF77" i="1"/>
  <c r="CH77" i="1" s="1"/>
  <c r="CF17" i="1"/>
  <c r="CK17" i="1" s="1"/>
  <c r="CF116" i="1"/>
  <c r="CN116" i="1" s="1"/>
  <c r="CF115" i="1"/>
  <c r="CL115" i="1" s="1"/>
  <c r="CF122" i="1"/>
  <c r="CN122" i="1" s="1"/>
  <c r="CF106" i="1"/>
  <c r="CI106" i="1" s="1"/>
  <c r="CF61" i="1"/>
  <c r="CH61" i="1" s="1"/>
  <c r="CF85" i="1"/>
  <c r="CO85" i="1" s="1"/>
  <c r="CF79" i="1"/>
  <c r="CM79" i="1" s="1"/>
  <c r="CF43" i="1"/>
  <c r="CR43" i="1" s="1"/>
  <c r="CF72" i="1"/>
  <c r="CM72" i="1" s="1"/>
  <c r="CF2" i="1"/>
  <c r="CH2" i="1" s="1"/>
  <c r="CF100" i="1"/>
  <c r="CK100" i="1" s="1"/>
  <c r="CF138" i="1"/>
  <c r="CG138" i="1" s="1"/>
  <c r="BW162" i="1"/>
  <c r="BT162" i="1"/>
  <c r="BP55" i="1"/>
  <c r="BP9" i="1"/>
  <c r="BP11" i="1"/>
  <c r="BP145" i="1"/>
  <c r="BP3" i="1"/>
  <c r="BP66" i="1"/>
  <c r="BP67" i="1"/>
  <c r="BP68" i="1"/>
  <c r="BP106" i="1"/>
  <c r="BP122" i="1"/>
  <c r="BP156" i="1"/>
  <c r="BP61" i="1"/>
  <c r="BP115" i="1"/>
  <c r="BP135" i="1"/>
  <c r="BP69" i="1"/>
  <c r="BP70" i="1"/>
  <c r="BP77" i="1"/>
  <c r="BP4" i="1"/>
  <c r="BP50" i="1"/>
  <c r="BP105" i="1"/>
  <c r="BP7" i="1"/>
  <c r="BP63" i="1"/>
  <c r="BP64" i="1"/>
  <c r="BP144" i="1"/>
  <c r="BP5" i="1"/>
  <c r="BP15" i="1"/>
  <c r="BP13" i="1"/>
  <c r="BP79" i="1"/>
  <c r="BP71" i="1"/>
  <c r="BP81" i="1"/>
  <c r="BP83" i="1"/>
  <c r="BP58" i="1"/>
  <c r="BP54" i="1"/>
  <c r="BP14" i="1"/>
  <c r="BP20" i="1"/>
  <c r="BP100" i="1"/>
  <c r="BP138" i="1"/>
  <c r="BP10" i="1"/>
  <c r="BP12" i="1"/>
  <c r="BP8" i="1"/>
  <c r="BP46" i="1"/>
  <c r="BP155" i="1"/>
  <c r="BP116" i="1"/>
  <c r="BP136" i="1"/>
  <c r="BP72" i="1"/>
  <c r="BP44" i="1"/>
  <c r="BP45" i="1"/>
  <c r="BP82" i="1"/>
  <c r="BP18" i="1"/>
  <c r="BP114" i="1"/>
  <c r="BP19" i="1"/>
  <c r="BP43" i="1"/>
  <c r="BP84" i="1"/>
  <c r="BP85" i="1"/>
  <c r="J162" i="1"/>
  <c r="J164" i="1" s="1"/>
  <c r="K162" i="1"/>
  <c r="K164" i="1" s="1"/>
  <c r="L162" i="1"/>
  <c r="L164" i="1" s="1"/>
  <c r="M162" i="1"/>
  <c r="M164" i="1" s="1"/>
  <c r="N162" i="1"/>
  <c r="N164" i="1" s="1"/>
  <c r="O162" i="1"/>
  <c r="O164" i="1" s="1"/>
  <c r="AE162" i="1"/>
  <c r="AE164" i="1" s="1"/>
  <c r="AF162" i="1"/>
  <c r="AF164" i="1" s="1"/>
  <c r="AG162" i="1"/>
  <c r="AG164" i="1" s="1"/>
  <c r="AH162" i="1"/>
  <c r="AH164" i="1" s="1"/>
  <c r="AI162" i="1"/>
  <c r="AI164" i="1" s="1"/>
  <c r="AJ162" i="1"/>
  <c r="AJ164" i="1" s="1"/>
  <c r="AK162" i="1"/>
  <c r="AK164" i="1" s="1"/>
  <c r="AL162" i="1"/>
  <c r="AL164" i="1" s="1"/>
  <c r="AM162" i="1"/>
  <c r="AM164" i="1" s="1"/>
  <c r="AN162" i="1"/>
  <c r="AN164" i="1" s="1"/>
  <c r="AR162" i="1"/>
  <c r="AR164" i="1" s="1"/>
  <c r="AS162" i="1"/>
  <c r="AS164" i="1" s="1"/>
  <c r="AQ162" i="1"/>
  <c r="AQ164" i="1" s="1"/>
  <c r="AV162" i="1"/>
  <c r="AV164" i="1" s="1"/>
  <c r="AT162" i="1"/>
  <c r="AT164" i="1" s="1"/>
  <c r="AU162" i="1"/>
  <c r="AU164" i="1" s="1"/>
  <c r="BP62" i="1"/>
  <c r="BP119" i="1"/>
  <c r="BP2" i="1"/>
  <c r="BP16" i="1"/>
  <c r="BP17" i="1"/>
  <c r="BP6" i="1"/>
  <c r="BP107" i="1"/>
  <c r="BP113" i="1"/>
  <c r="BF162" i="1"/>
  <c r="BF164" i="1" s="1"/>
  <c r="BG162" i="1"/>
  <c r="BG164" i="1" s="1"/>
  <c r="BE162" i="1"/>
  <c r="BE164" i="1" s="1"/>
  <c r="BD162" i="1"/>
  <c r="BD164" i="1" s="1"/>
  <c r="BH162" i="1"/>
  <c r="BH164" i="1" s="1"/>
  <c r="BI162" i="1"/>
  <c r="BI164" i="1" s="1"/>
  <c r="BJ162" i="1"/>
  <c r="BJ164" i="1" s="1"/>
  <c r="BK162" i="1"/>
  <c r="BK164" i="1" s="1"/>
  <c r="BL162" i="1"/>
  <c r="BL164" i="1" s="1"/>
  <c r="BM162" i="1"/>
  <c r="BM164" i="1" s="1"/>
  <c r="BN162" i="1"/>
  <c r="BN164" i="1" s="1"/>
  <c r="BO162" i="1"/>
  <c r="BO164" i="1" s="1"/>
  <c r="F162" i="1"/>
  <c r="F164" i="1" s="1"/>
  <c r="G162" i="1"/>
  <c r="G164" i="1" s="1"/>
  <c r="H162" i="1"/>
  <c r="H164" i="1" s="1"/>
  <c r="I162" i="1"/>
  <c r="I164" i="1" s="1"/>
  <c r="AW162" i="1"/>
  <c r="AW164" i="1" s="1"/>
  <c r="AX162" i="1"/>
  <c r="AX164" i="1" s="1"/>
  <c r="AZ162" i="1"/>
  <c r="AZ164" i="1" s="1"/>
  <c r="BB162" i="1"/>
  <c r="BB164" i="1" s="1"/>
  <c r="AY162" i="1"/>
  <c r="AY164" i="1" s="1"/>
  <c r="BA162" i="1"/>
  <c r="BA164" i="1" s="1"/>
  <c r="E162" i="1"/>
  <c r="E164" i="1" s="1"/>
  <c r="CO50" i="1" l="1"/>
  <c r="CN71" i="1"/>
  <c r="CH19" i="1"/>
  <c r="CK71" i="1"/>
  <c r="CP4" i="1"/>
  <c r="CP6" i="1"/>
  <c r="CJ55" i="1"/>
  <c r="CI105" i="1"/>
  <c r="CJ5" i="1"/>
  <c r="CQ7" i="1"/>
  <c r="CG50" i="1"/>
  <c r="CM19" i="1"/>
  <c r="CH105" i="1"/>
  <c r="CP105" i="1"/>
  <c r="CG105" i="1"/>
  <c r="CR105" i="1"/>
  <c r="CN12" i="1"/>
  <c r="CK105" i="1"/>
  <c r="CI58" i="1"/>
  <c r="CP58" i="1"/>
  <c r="CQ58" i="1"/>
  <c r="CH58" i="1"/>
  <c r="CL19" i="1"/>
  <c r="CO58" i="1"/>
  <c r="CQ19" i="1"/>
  <c r="CG58" i="1"/>
  <c r="CP44" i="1"/>
  <c r="CO14" i="1"/>
  <c r="CR115" i="1"/>
  <c r="CP71" i="1"/>
  <c r="CN7" i="1"/>
  <c r="CI19" i="1"/>
  <c r="CQ18" i="1"/>
  <c r="CJ4" i="1"/>
  <c r="CL4" i="1"/>
  <c r="CM58" i="1"/>
  <c r="CM115" i="1"/>
  <c r="CK68" i="1"/>
  <c r="CN82" i="1"/>
  <c r="CN18" i="1"/>
  <c r="CO82" i="1"/>
  <c r="CM18" i="1"/>
  <c r="CI18" i="1"/>
  <c r="CR18" i="1"/>
  <c r="CL63" i="1"/>
  <c r="CN2" i="1"/>
  <c r="CK18" i="1"/>
  <c r="CL119" i="1"/>
  <c r="CQ8" i="1"/>
  <c r="CI10" i="1"/>
  <c r="CQ119" i="1"/>
  <c r="CJ119" i="1"/>
  <c r="CH18" i="1"/>
  <c r="CP18" i="1"/>
  <c r="CL13" i="1"/>
  <c r="CH64" i="1"/>
  <c r="CG12" i="1"/>
  <c r="CG18" i="1"/>
  <c r="CO12" i="1"/>
  <c r="CR50" i="1"/>
  <c r="CO18" i="1"/>
  <c r="CG13" i="1"/>
  <c r="CL50" i="1"/>
  <c r="CR3" i="1"/>
  <c r="CJ13" i="1"/>
  <c r="CL18" i="1"/>
  <c r="CR13" i="1"/>
  <c r="CI82" i="1"/>
  <c r="CO13" i="1"/>
  <c r="CO119" i="1"/>
  <c r="CQ82" i="1"/>
  <c r="CM68" i="1"/>
  <c r="CP64" i="1"/>
  <c r="CJ12" i="1"/>
  <c r="CR114" i="1"/>
  <c r="CQ114" i="1"/>
  <c r="CP114" i="1"/>
  <c r="CM45" i="1"/>
  <c r="CN114" i="1"/>
  <c r="CM114" i="1"/>
  <c r="CJ114" i="1"/>
  <c r="CJ84" i="1"/>
  <c r="CO114" i="1"/>
  <c r="CP79" i="1"/>
  <c r="CH114" i="1"/>
  <c r="CG79" i="1"/>
  <c r="CK114" i="1"/>
  <c r="CI114" i="1"/>
  <c r="CR19" i="1"/>
  <c r="CR81" i="1"/>
  <c r="CL136" i="1"/>
  <c r="CQ67" i="1"/>
  <c r="CQ136" i="1"/>
  <c r="CK81" i="1"/>
  <c r="CK113" i="1"/>
  <c r="CN67" i="1"/>
  <c r="CN14" i="1"/>
  <c r="CP67" i="1"/>
  <c r="CL113" i="1"/>
  <c r="CH67" i="1"/>
  <c r="CO113" i="1"/>
  <c r="CO67" i="1"/>
  <c r="CN136" i="1"/>
  <c r="CI113" i="1"/>
  <c r="CK67" i="1"/>
  <c r="CM136" i="1"/>
  <c r="CH113" i="1"/>
  <c r="CO136" i="1"/>
  <c r="CI136" i="1"/>
  <c r="CR113" i="1"/>
  <c r="CI67" i="1"/>
  <c r="CQ81" i="1"/>
  <c r="CH136" i="1"/>
  <c r="CQ113" i="1"/>
  <c r="CP81" i="1"/>
  <c r="CG136" i="1"/>
  <c r="CN113" i="1"/>
  <c r="CR15" i="1"/>
  <c r="CO6" i="1"/>
  <c r="CR2" i="1"/>
  <c r="CM122" i="1"/>
  <c r="CJ81" i="1"/>
  <c r="CM81" i="1"/>
  <c r="CR136" i="1"/>
  <c r="CI100" i="1"/>
  <c r="CJ67" i="1"/>
  <c r="CR7" i="1"/>
  <c r="CO19" i="1"/>
  <c r="CK155" i="1"/>
  <c r="CO64" i="1"/>
  <c r="CR12" i="1"/>
  <c r="CG71" i="1"/>
  <c r="CP45" i="1"/>
  <c r="CL82" i="1"/>
  <c r="CL7" i="1"/>
  <c r="CI44" i="1"/>
  <c r="CR106" i="1"/>
  <c r="CJ58" i="1"/>
  <c r="CL45" i="1"/>
  <c r="CM3" i="1"/>
  <c r="CJ105" i="1"/>
  <c r="CM2" i="1"/>
  <c r="CH13" i="1"/>
  <c r="CK145" i="1"/>
  <c r="CJ2" i="1"/>
  <c r="CM16" i="1"/>
  <c r="CP17" i="1"/>
  <c r="CQ135" i="1"/>
  <c r="CI3" i="1"/>
  <c r="CN105" i="1"/>
  <c r="CP13" i="1"/>
  <c r="CJ50" i="1"/>
  <c r="CI2" i="1"/>
  <c r="CM155" i="1"/>
  <c r="CP14" i="1"/>
  <c r="CL135" i="1"/>
  <c r="CG3" i="1"/>
  <c r="CM106" i="1"/>
  <c r="CG19" i="1"/>
  <c r="CM50" i="1"/>
  <c r="CN64" i="1"/>
  <c r="CK10" i="1"/>
  <c r="CM12" i="1"/>
  <c r="CQ71" i="1"/>
  <c r="CR58" i="1"/>
  <c r="CH82" i="1"/>
  <c r="CP55" i="1"/>
  <c r="CM7" i="1"/>
  <c r="CI138" i="1"/>
  <c r="CO105" i="1"/>
  <c r="CN16" i="1"/>
  <c r="CL138" i="1"/>
  <c r="CL64" i="1"/>
  <c r="CQ10" i="1"/>
  <c r="CO138" i="1"/>
  <c r="CL12" i="1"/>
  <c r="CM6" i="1"/>
  <c r="CO106" i="1"/>
  <c r="CI50" i="1"/>
  <c r="CG54" i="1"/>
  <c r="CH4" i="1"/>
  <c r="CG7" i="1"/>
  <c r="CR138" i="1"/>
  <c r="CL105" i="1"/>
  <c r="CK64" i="1"/>
  <c r="CO10" i="1"/>
  <c r="CK12" i="1"/>
  <c r="CG6" i="1"/>
  <c r="CL106" i="1"/>
  <c r="CQ50" i="1"/>
  <c r="CI71" i="1"/>
  <c r="CR54" i="1"/>
  <c r="CQ66" i="1"/>
  <c r="CN138" i="1"/>
  <c r="CH106" i="1"/>
  <c r="CI54" i="1"/>
  <c r="CK106" i="1"/>
  <c r="CO54" i="1"/>
  <c r="CO7" i="1"/>
  <c r="CP66" i="1"/>
  <c r="CM138" i="1"/>
  <c r="CN19" i="1"/>
  <c r="CN44" i="1"/>
  <c r="CN79" i="1"/>
  <c r="CL114" i="1"/>
  <c r="CK6" i="1"/>
  <c r="CR9" i="1"/>
  <c r="CL54" i="1"/>
  <c r="CM66" i="1"/>
  <c r="CJ138" i="1"/>
  <c r="CI79" i="1"/>
  <c r="CK9" i="1"/>
  <c r="CJ66" i="1"/>
  <c r="CQ145" i="1"/>
  <c r="CM62" i="1"/>
  <c r="CI66" i="1"/>
  <c r="CP145" i="1"/>
  <c r="CI62" i="1"/>
  <c r="CG66" i="1"/>
  <c r="CN145" i="1"/>
  <c r="CL66" i="1"/>
  <c r="CK138" i="1"/>
  <c r="CQ106" i="1"/>
  <c r="CJ145" i="1"/>
  <c r="CN54" i="1"/>
  <c r="CQ54" i="1"/>
  <c r="CK66" i="1"/>
  <c r="CN106" i="1"/>
  <c r="CG145" i="1"/>
  <c r="CP54" i="1"/>
  <c r="CJ54" i="1"/>
  <c r="CG106" i="1"/>
  <c r="CL145" i="1"/>
  <c r="CM54" i="1"/>
  <c r="CJ14" i="1"/>
  <c r="CQ4" i="1"/>
  <c r="CO3" i="1"/>
  <c r="CI144" i="1"/>
  <c r="CK7" i="1"/>
  <c r="CK19" i="1"/>
  <c r="CM44" i="1"/>
  <c r="CP10" i="1"/>
  <c r="CH79" i="1"/>
  <c r="CN156" i="1"/>
  <c r="CJ115" i="1"/>
  <c r="CM71" i="1"/>
  <c r="CN9" i="1"/>
  <c r="CL8" i="1"/>
  <c r="CQ16" i="1"/>
  <c r="CH14" i="1"/>
  <c r="CK135" i="1"/>
  <c r="CO68" i="1"/>
  <c r="CH7" i="1"/>
  <c r="CG155" i="1"/>
  <c r="CJ44" i="1"/>
  <c r="CG10" i="1"/>
  <c r="CQ79" i="1"/>
  <c r="CQ115" i="1"/>
  <c r="CJ71" i="1"/>
  <c r="CH9" i="1"/>
  <c r="CK8" i="1"/>
  <c r="CP16" i="1"/>
  <c r="CQ155" i="1"/>
  <c r="CJ107" i="1"/>
  <c r="CG14" i="1"/>
  <c r="CL68" i="1"/>
  <c r="CL155" i="1"/>
  <c r="CL2" i="1"/>
  <c r="CG44" i="1"/>
  <c r="CL10" i="1"/>
  <c r="CO79" i="1"/>
  <c r="CK115" i="1"/>
  <c r="CR71" i="1"/>
  <c r="CO9" i="1"/>
  <c r="CJ16" i="1"/>
  <c r="CN58" i="1"/>
  <c r="CP82" i="1"/>
  <c r="CI4" i="1"/>
  <c r="CQ3" i="1"/>
  <c r="CK69" i="1"/>
  <c r="CQ6" i="1"/>
  <c r="CL9" i="1"/>
  <c r="CI16" i="1"/>
  <c r="CJ3" i="1"/>
  <c r="CQ43" i="1"/>
  <c r="CG43" i="1"/>
  <c r="CJ79" i="1"/>
  <c r="CM14" i="1"/>
  <c r="CJ135" i="1"/>
  <c r="CL3" i="1"/>
  <c r="CQ68" i="1"/>
  <c r="CP7" i="1"/>
  <c r="CH84" i="1"/>
  <c r="CO155" i="1"/>
  <c r="CM64" i="1"/>
  <c r="CL44" i="1"/>
  <c r="CM10" i="1"/>
  <c r="CQ63" i="1"/>
  <c r="CM9" i="1"/>
  <c r="CP115" i="1"/>
  <c r="CK156" i="1"/>
  <c r="CN6" i="1"/>
  <c r="CO71" i="1"/>
  <c r="CJ9" i="1"/>
  <c r="CQ2" i="1"/>
  <c r="CG16" i="1"/>
  <c r="CP155" i="1"/>
  <c r="CL58" i="1"/>
  <c r="CG17" i="1"/>
  <c r="CL14" i="1"/>
  <c r="CP135" i="1"/>
  <c r="CM4" i="1"/>
  <c r="CK3" i="1"/>
  <c r="CJ68" i="1"/>
  <c r="CM43" i="1"/>
  <c r="CJ7" i="1"/>
  <c r="CO84" i="1"/>
  <c r="CQ105" i="1"/>
  <c r="CP19" i="1"/>
  <c r="CP2" i="1"/>
  <c r="CI64" i="1"/>
  <c r="CK44" i="1"/>
  <c r="CJ10" i="1"/>
  <c r="CM63" i="1"/>
  <c r="CN115" i="1"/>
  <c r="CJ6" i="1"/>
  <c r="CL71" i="1"/>
  <c r="CI9" i="1"/>
  <c r="CO2" i="1"/>
  <c r="CO16" i="1"/>
  <c r="CN155" i="1"/>
  <c r="CR17" i="1"/>
  <c r="CK14" i="1"/>
  <c r="CM135" i="1"/>
  <c r="CR4" i="1"/>
  <c r="CH3" i="1"/>
  <c r="CN68" i="1"/>
  <c r="CJ43" i="1"/>
  <c r="CH10" i="1"/>
  <c r="CQ13" i="1"/>
  <c r="CR10" i="1"/>
  <c r="CI115" i="1"/>
  <c r="CR6" i="1"/>
  <c r="CQ9" i="1"/>
  <c r="CJ155" i="1"/>
  <c r="CI14" i="1"/>
  <c r="CJ82" i="1"/>
  <c r="CN135" i="1"/>
  <c r="CK4" i="1"/>
  <c r="CP3" i="1"/>
  <c r="CI68" i="1"/>
  <c r="CO43" i="1"/>
  <c r="CH115" i="1"/>
  <c r="CG9" i="1"/>
  <c r="CQ14" i="1"/>
  <c r="CO135" i="1"/>
  <c r="CP68" i="1"/>
  <c r="CL43" i="1"/>
  <c r="CK43" i="1"/>
  <c r="CP43" i="1"/>
  <c r="CG2" i="1"/>
  <c r="CI155" i="1"/>
  <c r="CK82" i="1"/>
  <c r="CI135" i="1"/>
  <c r="CI43" i="1"/>
  <c r="CR61" i="1"/>
  <c r="CR83" i="1"/>
  <c r="CO61" i="1"/>
  <c r="CO83" i="1"/>
  <c r="CL61" i="1"/>
  <c r="CP20" i="1"/>
  <c r="CL83" i="1"/>
  <c r="CI46" i="1"/>
  <c r="CK83" i="1"/>
  <c r="CH46" i="1"/>
  <c r="CQ11" i="1"/>
  <c r="CP46" i="1"/>
  <c r="CM11" i="1"/>
  <c r="CH83" i="1"/>
  <c r="CN20" i="1"/>
  <c r="CJ20" i="1"/>
  <c r="CR46" i="1"/>
  <c r="CJ11" i="1"/>
  <c r="CI20" i="1"/>
  <c r="CM46" i="1"/>
  <c r="CL15" i="1"/>
  <c r="CM8" i="1"/>
  <c r="CO46" i="1"/>
  <c r="CH11" i="1"/>
  <c r="CP61" i="1"/>
  <c r="CQ20" i="1"/>
  <c r="CQ85" i="1"/>
  <c r="CJ8" i="1"/>
  <c r="CL46" i="1"/>
  <c r="CP11" i="1"/>
  <c r="CM61" i="1"/>
  <c r="CM20" i="1"/>
  <c r="CJ85" i="1"/>
  <c r="CM85" i="1"/>
  <c r="CG8" i="1"/>
  <c r="CK46" i="1"/>
  <c r="CI122" i="1"/>
  <c r="CO100" i="1"/>
  <c r="CI11" i="1"/>
  <c r="CJ61" i="1"/>
  <c r="CH20" i="1"/>
  <c r="CG20" i="1"/>
  <c r="CQ83" i="1"/>
  <c r="CN46" i="1"/>
  <c r="CR8" i="1"/>
  <c r="CM69" i="1"/>
  <c r="CO11" i="1"/>
  <c r="CI61" i="1"/>
  <c r="CR20" i="1"/>
  <c r="CP83" i="1"/>
  <c r="CO8" i="1"/>
  <c r="CH122" i="1"/>
  <c r="CL67" i="1"/>
  <c r="CL69" i="1"/>
  <c r="CP62" i="1"/>
  <c r="CL11" i="1"/>
  <c r="CG61" i="1"/>
  <c r="CL20" i="1"/>
  <c r="CJ83" i="1"/>
  <c r="CK11" i="1"/>
  <c r="CJ77" i="1"/>
  <c r="CO107" i="1"/>
  <c r="CL84" i="1"/>
  <c r="CR77" i="1"/>
  <c r="CK63" i="1"/>
  <c r="CI85" i="1"/>
  <c r="CI15" i="1"/>
  <c r="CP119" i="1"/>
  <c r="CK45" i="1"/>
  <c r="CL107" i="1"/>
  <c r="CI17" i="1"/>
  <c r="CI5" i="1"/>
  <c r="CJ69" i="1"/>
  <c r="CO55" i="1"/>
  <c r="CK84" i="1"/>
  <c r="CO77" i="1"/>
  <c r="CG119" i="1"/>
  <c r="CG85" i="1"/>
  <c r="CH15" i="1"/>
  <c r="CN119" i="1"/>
  <c r="CK107" i="1"/>
  <c r="CJ17" i="1"/>
  <c r="CR5" i="1"/>
  <c r="CH69" i="1"/>
  <c r="CL55" i="1"/>
  <c r="CQ84" i="1"/>
  <c r="CL77" i="1"/>
  <c r="CL85" i="1"/>
  <c r="CQ15" i="1"/>
  <c r="CM119" i="1"/>
  <c r="CQ17" i="1"/>
  <c r="CL5" i="1"/>
  <c r="CI69" i="1"/>
  <c r="CK55" i="1"/>
  <c r="CN15" i="1"/>
  <c r="CK77" i="1"/>
  <c r="CI156" i="1"/>
  <c r="CK85" i="1"/>
  <c r="CP15" i="1"/>
  <c r="CN17" i="1"/>
  <c r="CK5" i="1"/>
  <c r="CG69" i="1"/>
  <c r="CJ63" i="1"/>
  <c r="CH156" i="1"/>
  <c r="CJ15" i="1"/>
  <c r="CM77" i="1"/>
  <c r="CM17" i="1"/>
  <c r="CH5" i="1"/>
  <c r="CR100" i="1"/>
  <c r="CR69" i="1"/>
  <c r="CM84" i="1"/>
  <c r="CI63" i="1"/>
  <c r="CR156" i="1"/>
  <c r="CG15" i="1"/>
  <c r="CN63" i="1"/>
  <c r="CQ45" i="1"/>
  <c r="CQ107" i="1"/>
  <c r="CH17" i="1"/>
  <c r="CO69" i="1"/>
  <c r="CN43" i="1"/>
  <c r="CP84" i="1"/>
  <c r="CQ156" i="1"/>
  <c r="CM107" i="1"/>
  <c r="CQ55" i="1"/>
  <c r="CN84" i="1"/>
  <c r="CM15" i="1"/>
  <c r="CG63" i="1"/>
  <c r="CI119" i="1"/>
  <c r="CP63" i="1"/>
  <c r="CO156" i="1"/>
  <c r="CJ45" i="1"/>
  <c r="CH107" i="1"/>
  <c r="CO17" i="1"/>
  <c r="CQ5" i="1"/>
  <c r="CP69" i="1"/>
  <c r="CJ70" i="1"/>
  <c r="CH43" i="1"/>
  <c r="CN55" i="1"/>
  <c r="CG84" i="1"/>
  <c r="CQ77" i="1"/>
  <c r="CR63" i="1"/>
  <c r="CP85" i="1"/>
  <c r="CH119" i="1"/>
  <c r="CI45" i="1"/>
  <c r="CP107" i="1"/>
  <c r="CL17" i="1"/>
  <c r="CP5" i="1"/>
  <c r="CQ69" i="1"/>
  <c r="CQ70" i="1"/>
  <c r="CM55" i="1"/>
  <c r="CR84" i="1"/>
  <c r="CP77" i="1"/>
  <c r="CO63" i="1"/>
  <c r="CN45" i="1"/>
  <c r="CN85" i="1"/>
  <c r="CR119" i="1"/>
  <c r="CL156" i="1"/>
  <c r="CG45" i="1"/>
  <c r="CI107" i="1"/>
  <c r="CM5" i="1"/>
  <c r="CI70" i="1"/>
  <c r="CI55" i="1"/>
  <c r="CJ72" i="1"/>
  <c r="CH66" i="1"/>
  <c r="CK61" i="1"/>
  <c r="CH138" i="1"/>
  <c r="CG113" i="1"/>
  <c r="CG81" i="1"/>
  <c r="CK136" i="1"/>
  <c r="CI8" i="1"/>
  <c r="CJ64" i="1"/>
  <c r="CH44" i="1"/>
  <c r="CO20" i="1"/>
  <c r="CK13" i="1"/>
  <c r="CN77" i="1"/>
  <c r="CP113" i="1"/>
  <c r="CR79" i="1"/>
  <c r="CM83" i="1"/>
  <c r="CP156" i="1"/>
  <c r="CH85" i="1"/>
  <c r="CG115" i="1"/>
  <c r="CO15" i="1"/>
  <c r="CM13" i="1"/>
  <c r="CP106" i="1"/>
  <c r="CI145" i="1"/>
  <c r="CN50" i="1"/>
  <c r="CK2" i="1"/>
  <c r="CQ46" i="1"/>
  <c r="CH45" i="1"/>
  <c r="CR16" i="1"/>
  <c r="CK54" i="1"/>
  <c r="CN107" i="1"/>
  <c r="CM82" i="1"/>
  <c r="CG5" i="1"/>
  <c r="CH72" i="1"/>
  <c r="CJ122" i="1"/>
  <c r="CH135" i="1"/>
  <c r="CH100" i="1"/>
  <c r="CG4" i="1"/>
  <c r="CM67" i="1"/>
  <c r="CH68" i="1"/>
  <c r="CN70" i="1"/>
  <c r="CN62" i="1"/>
  <c r="CH55" i="1"/>
  <c r="CN11" i="1"/>
  <c r="CH144" i="1"/>
  <c r="CI116" i="1"/>
  <c r="CN72" i="1"/>
  <c r="CR144" i="1"/>
  <c r="CH81" i="1"/>
  <c r="CR66" i="1"/>
  <c r="CH116" i="1"/>
  <c r="CQ138" i="1"/>
  <c r="CM145" i="1"/>
  <c r="CO81" i="1"/>
  <c r="CH8" i="1"/>
  <c r="CG64" i="1"/>
  <c r="CR44" i="1"/>
  <c r="CI77" i="1"/>
  <c r="CM113" i="1"/>
  <c r="CL79" i="1"/>
  <c r="CI12" i="1"/>
  <c r="CI83" i="1"/>
  <c r="CM156" i="1"/>
  <c r="CR85" i="1"/>
  <c r="CO115" i="1"/>
  <c r="CJ106" i="1"/>
  <c r="CR145" i="1"/>
  <c r="CK50" i="1"/>
  <c r="CN61" i="1"/>
  <c r="CP8" i="1"/>
  <c r="CJ46" i="1"/>
  <c r="CR45" i="1"/>
  <c r="CL16" i="1"/>
  <c r="CH155" i="1"/>
  <c r="CG107" i="1"/>
  <c r="CG82" i="1"/>
  <c r="CO5" i="1"/>
  <c r="CG72" i="1"/>
  <c r="CG122" i="1"/>
  <c r="CG135" i="1"/>
  <c r="CQ100" i="1"/>
  <c r="CO4" i="1"/>
  <c r="CG67" i="1"/>
  <c r="CG68" i="1"/>
  <c r="CG70" i="1"/>
  <c r="CG62" i="1"/>
  <c r="CG55" i="1"/>
  <c r="CG11" i="1"/>
  <c r="CQ144" i="1"/>
  <c r="CO66" i="1"/>
  <c r="CQ61" i="1"/>
  <c r="CQ116" i="1"/>
  <c r="CP138" i="1"/>
  <c r="CH145" i="1"/>
  <c r="CP50" i="1"/>
  <c r="CP136" i="1"/>
  <c r="CQ44" i="1"/>
  <c r="CR64" i="1"/>
  <c r="CI13" i="1"/>
  <c r="CG77" i="1"/>
  <c r="CK79" i="1"/>
  <c r="CG83" i="1"/>
  <c r="CJ156" i="1"/>
  <c r="CK16" i="1"/>
  <c r="CR72" i="1"/>
  <c r="CR122" i="1"/>
  <c r="CP100" i="1"/>
  <c r="CR70" i="1"/>
  <c r="CR62" i="1"/>
  <c r="CP144" i="1"/>
  <c r="CM116" i="1"/>
  <c r="CP116" i="1"/>
  <c r="CO72" i="1"/>
  <c r="CO122" i="1"/>
  <c r="CN100" i="1"/>
  <c r="CO70" i="1"/>
  <c r="CO62" i="1"/>
  <c r="CN144" i="1"/>
  <c r="CI6" i="1"/>
  <c r="CH6" i="1"/>
  <c r="CJ116" i="1"/>
  <c r="CL72" i="1"/>
  <c r="CL122" i="1"/>
  <c r="CM100" i="1"/>
  <c r="CL70" i="1"/>
  <c r="CL62" i="1"/>
  <c r="CM144" i="1"/>
  <c r="CG116" i="1"/>
  <c r="CK72" i="1"/>
  <c r="CK122" i="1"/>
  <c r="CJ100" i="1"/>
  <c r="CK70" i="1"/>
  <c r="CK62" i="1"/>
  <c r="CJ144" i="1"/>
  <c r="CH12" i="1"/>
  <c r="CP12" i="1"/>
  <c r="CR116" i="1"/>
  <c r="CQ72" i="1"/>
  <c r="CP122" i="1"/>
  <c r="CG100" i="1"/>
  <c r="CM70" i="1"/>
  <c r="CQ62" i="1"/>
  <c r="CG144" i="1"/>
  <c r="CO116" i="1"/>
  <c r="CP72" i="1"/>
  <c r="CO144" i="1"/>
  <c r="CL116" i="1"/>
  <c r="CI72" i="1"/>
  <c r="CQ122" i="1"/>
  <c r="CL100" i="1"/>
  <c r="CH70" i="1"/>
  <c r="CJ62" i="1"/>
  <c r="CL144" i="1"/>
  <c r="CI81" i="1"/>
  <c r="CN81" i="1"/>
  <c r="CK116" i="1"/>
  <c r="CR162" i="1" l="1"/>
  <c r="CN162" i="1"/>
  <c r="CJ162" i="1"/>
  <c r="CH162" i="1"/>
  <c r="CM162" i="1"/>
  <c r="CL162" i="1"/>
  <c r="CQ162" i="1"/>
  <c r="CG162" i="1"/>
  <c r="CK162" i="1"/>
  <c r="CP162" i="1"/>
  <c r="CO162" i="1"/>
  <c r="CI162" i="1"/>
</calcChain>
</file>

<file path=xl/sharedStrings.xml><?xml version="1.0" encoding="utf-8"?>
<sst xmlns="http://schemas.openxmlformats.org/spreadsheetml/2006/main" count="749" uniqueCount="289">
  <si>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</si>
  <si>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</si>
  <si>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</si>
  <si>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</si>
  <si>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</si>
  <si>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</si>
  <si>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</si>
  <si>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</si>
  <si>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</si>
  <si>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</si>
  <si>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</si>
  <si>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</si>
  <si>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</si>
  <si>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</si>
  <si>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</si>
  <si>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</si>
  <si>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</si>
  <si>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</si>
  <si>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</si>
  <si>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</si>
  <si>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</si>
  <si>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</si>
  <si>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</si>
  <si>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</si>
  <si>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</si>
  <si>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</si>
  <si>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</si>
  <si>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</si>
  <si>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</si>
  <si>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</si>
  <si>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</si>
  <si>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</si>
  <si>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</si>
  <si>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</si>
  <si>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</si>
  <si>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</si>
  <si>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</si>
  <si>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</si>
  <si>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</si>
  <si>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</si>
  <si>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</si>
  <si>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</si>
  <si>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</si>
  <si>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</si>
  <si>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</si>
  <si>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</si>
  <si>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</si>
  <si>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</si>
  <si>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</si>
  <si>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</si>
  <si>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</si>
  <si>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</si>
  <si>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</si>
  <si>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</si>
  <si>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</si>
  <si>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</si>
  <si>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</si>
  <si>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</si>
  <si>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</si>
  <si>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</si>
  <si>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</si>
  <si>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</si>
  <si>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</si>
  <si>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</si>
  <si>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</si>
  <si>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</si>
  <si>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</si>
  <si>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</si>
  <si>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</si>
  <si>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</si>
  <si>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</si>
  <si>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</si>
  <si>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</si>
  <si>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</si>
  <si>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</si>
  <si>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</si>
  <si>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</si>
  <si>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</si>
  <si>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</si>
  <si>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</si>
  <si>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</si>
  <si>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</si>
  <si>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</si>
  <si>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</si>
  <si>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</si>
  <si>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</si>
  <si>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</si>
  <si>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</si>
  <si>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</si>
  <si>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</si>
  <si>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</si>
  <si>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</si>
  <si>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</si>
  <si>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</si>
  <si>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</si>
  <si>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</si>
  <si>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</si>
  <si>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</si>
  <si>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</si>
  <si>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</si>
  <si>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</si>
  <si>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</si>
  <si>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</si>
  <si>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</si>
  <si>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</si>
  <si>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</si>
  <si>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</si>
  <si>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</si>
  <si>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</si>
  <si>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</si>
  <si>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</si>
  <si>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</si>
  <si>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</si>
  <si>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</si>
  <si>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</si>
  <si>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</si>
  <si>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</si>
  <si>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</si>
  <si>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</si>
  <si>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</si>
  <si>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</si>
  <si>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</si>
  <si>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</si>
  <si>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</si>
  <si>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</si>
  <si>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</si>
  <si>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</si>
  <si>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</si>
  <si>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</si>
  <si>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</si>
  <si>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</si>
  <si>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</si>
  <si>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</si>
  <si>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</si>
  <si>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</si>
  <si>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</si>
  <si>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</si>
  <si>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</si>
  <si>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</si>
  <si>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</si>
  <si>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</si>
  <si>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</si>
  <si>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</si>
  <si>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</si>
  <si>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</si>
  <si>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</si>
  <si>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</si>
  <si>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</si>
  <si>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</si>
  <si>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</si>
  <si>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</si>
  <si>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</si>
  <si>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</si>
  <si>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</si>
  <si>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</si>
  <si>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</si>
  <si>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</si>
  <si>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</si>
  <si>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羽妖仔</t>
    <phoneticPr fontId="1" type="noConversion"/>
  </si>
  <si>
    <t>一饼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</si>
  <si>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</si>
  <si>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</si>
  <si>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</si>
  <si>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</si>
  <si>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</si>
  <si>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</si>
  <si>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</si>
  <si>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</si>
  <si>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</si>
  <si>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</si>
  <si>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</si>
  <si>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</si>
  <si>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</si>
  <si>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</si>
  <si>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</si>
  <si>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</si>
  <si>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</si>
  <si>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</si>
  <si>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</si>
  <si>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</si>
  <si>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</si>
  <si>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</si>
  <si>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</si>
  <si>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</si>
  <si>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</si>
  <si>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</si>
  <si>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</si>
  <si>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</si>
  <si>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</si>
  <si>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</si>
  <si>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</si>
  <si>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</si>
  <si>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</si>
  <si>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</si>
  <si>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</si>
  <si>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</si>
  <si>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</si>
  <si>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</si>
  <si>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</si>
  <si>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</si>
  <si>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</si>
  <si>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</si>
  <si>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</si>
  <si>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梅花4</t>
    <phoneticPr fontId="1" type="noConversion"/>
  </si>
  <si>
    <t>青年</t>
    <phoneticPr fontId="1" type="noConversion"/>
  </si>
  <si>
    <t>成年</t>
    <phoneticPr fontId="1" type="noConversion"/>
  </si>
  <si>
    <t>敖钦</t>
    <phoneticPr fontId="1" type="noConversion"/>
  </si>
  <si>
    <t>糯米(2),</t>
    <phoneticPr fontId="1" type="noConversion"/>
  </si>
  <si>
    <t>崆峒印(3),_x000D_
智慧符文叉大(2),</t>
    <phoneticPr fontId="1" type="noConversion"/>
  </si>
  <si>
    <t>炼妖壶(3),</t>
    <phoneticPr fontId="1" type="noConversion"/>
  </si>
  <si>
    <t>太一之轮(12),_x000D_
幸运符文叉大(8),</t>
    <phoneticPr fontId="1" type="noConversion"/>
  </si>
  <si>
    <t>金钗(1),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</si>
  <si>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</si>
  <si>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</si>
  <si>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</si>
  <si>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女娲石(4),_x000D_
神农鼎(12),_x000D_
幸运符文叉大(3),</t>
    <phoneticPr fontId="1" type="noConversion"/>
  </si>
  <si>
    <t>神农鼎(3),_x000D_
龙灵不朽藤(8),</t>
    <phoneticPr fontId="1" type="noConversion"/>
  </si>
  <si>
    <t>龙灵不朽藤(8),</t>
    <phoneticPr fontId="1" type="noConversion"/>
  </si>
  <si>
    <t>金甲虫(3),</t>
    <phoneticPr fontId="1" type="noConversion"/>
  </si>
  <si>
    <t>金钗(11),</t>
    <phoneticPr fontId="1" type="noConversion"/>
  </si>
  <si>
    <t>彗星(15),</t>
    <phoneticPr fontId="1" type="noConversion"/>
  </si>
  <si>
    <t>金甲虫(38),</t>
    <phoneticPr fontId="1" type="noConversion"/>
  </si>
  <si>
    <t>金甲虫(188),</t>
    <phoneticPr fontId="1" type="noConversion"/>
  </si>
  <si>
    <t>庄家令牌小(2),_x000D_
庄家令牌中(3),</t>
    <phoneticPr fontId="1" type="noConversion"/>
  </si>
  <si>
    <t>糯米(5),_x000D_
粽叶(1),</t>
    <phoneticPr fontId="1" type="noConversion"/>
  </si>
  <si>
    <t>六方天运骰(5),_x000D_
力量符文叉大(1),</t>
    <phoneticPr fontId="1" type="noConversion"/>
  </si>
  <si>
    <t>筹码中(4),_x000D_
庄家令牌小(2),</t>
    <phoneticPr fontId="1" type="noConversion"/>
  </si>
  <si>
    <t>炼妖壶(2),_x000D_
仙丹(5),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</si>
  <si>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</si>
  <si>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</si>
  <si>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欠条大(8),_x000D_
骰子大(4),</t>
    <phoneticPr fontId="1" type="noConversion"/>
  </si>
  <si>
    <t>钱袋大(10),_x000D_
筹码大(9),_x000D_
秘窟冰晶卵(4),</t>
    <phoneticPr fontId="1" type="noConversion"/>
  </si>
  <si>
    <t>女娲石(4),_x000D_
神农鼎(12),_x000D_
龙灵不朽藤(13),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</si>
  <si>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</si>
  <si>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</si>
  <si>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</si>
  <si>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庄家令牌小(2),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</si>
  <si>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</si>
  <si>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</si>
  <si>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神农鼎(7),_x000D_
欠条大(8),_x000D_
骰子大(4),</t>
    <phoneticPr fontId="1" type="noConversion"/>
  </si>
  <si>
    <t>炼妖壶(12),_x000D_
神农鼎(12),_x000D_
幸运符文叉大(3),</t>
    <phoneticPr fontId="1" type="noConversion"/>
  </si>
  <si>
    <t>神农鼎(7),_x000D_
欠条大(8),_x000D_
钱袋大(10),_x000D_
月冕霓晴符(7),</t>
    <phoneticPr fontId="1" type="noConversion"/>
  </si>
  <si>
    <t>太一之轮(2),_x000D_
欠条大(8),_x000D_
骰子大(4),_x000D_
龙灵不朽藤(8),</t>
    <phoneticPr fontId="1" type="noConversion"/>
  </si>
  <si>
    <t>糯米(10),_x000D_
粽叶(10),_x000D_
龙灵不朽藤(3),</t>
    <phoneticPr fontId="1" type="noConversion"/>
  </si>
  <si>
    <t>赤焰十字星(25),_x000D_
力量符文叉大(21),_x000D_
逆鳞(10),_x000D_
星座素材火(2),</t>
    <phoneticPr fontId="1" type="noConversion"/>
  </si>
  <si>
    <t>超进阶素材土(45),_x000D_
超进阶素材木(50),_x000D_
超进阶素材光(50),_x000D_
超进阶素材暗(50),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</si>
  <si>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</si>
  <si>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</si>
  <si>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</si>
  <si>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</si>
  <si>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东皇钟(2),</t>
    <phoneticPr fontId="1" type="noConversion"/>
  </si>
  <si>
    <t>神农鼎(2),</t>
    <phoneticPr fontId="1" type="noConversion"/>
  </si>
  <si>
    <t>炼妖壶(2),</t>
    <phoneticPr fontId="1" type="noConversion"/>
  </si>
  <si>
    <t>神农鼎(3),</t>
    <phoneticPr fontId="1" type="noConversion"/>
  </si>
  <si>
    <t>庄家令牌中(3),</t>
    <phoneticPr fontId="1" type="noConversion"/>
  </si>
  <si>
    <t>龙灵不朽藤(3),</t>
    <phoneticPr fontId="1" type="noConversion"/>
  </si>
  <si>
    <t>秘窟冰晶卵(4),</t>
    <phoneticPr fontId="1" type="noConversion"/>
  </si>
  <si>
    <t>螃蟹(5),</t>
    <phoneticPr fontId="1" type="noConversion"/>
  </si>
  <si>
    <t>桂花(5),</t>
    <phoneticPr fontId="1" type="noConversion"/>
  </si>
  <si>
    <t>神农鼎(7),</t>
    <phoneticPr fontId="1" type="noConversion"/>
  </si>
  <si>
    <t>秘窟冰晶卵(9),</t>
    <phoneticPr fontId="1" type="noConversion"/>
  </si>
  <si>
    <t>东皇钟(12),</t>
    <phoneticPr fontId="1" type="noConversion"/>
  </si>
  <si>
    <t>炼妖壶(17),</t>
    <phoneticPr fontId="1" type="noConversion"/>
  </si>
  <si>
    <t>彗星(25),</t>
    <phoneticPr fontId="1" type="noConversion"/>
  </si>
  <si>
    <t>东皇钟(2),_x000D_
幸运符文叉大(3),</t>
    <phoneticPr fontId="1" type="noConversion"/>
  </si>
  <si>
    <t>骰子中(3),_x000D_
庄家令牌小(2),</t>
  </si>
  <si>
    <t>骰子中(3),_x000D_
庄家令牌小(2),</t>
    <phoneticPr fontId="1" type="noConversion"/>
  </si>
  <si>
    <t>崆峒印(3),_x000D_
太一之轮(2),</t>
    <phoneticPr fontId="1" type="noConversion"/>
  </si>
  <si>
    <t>欠条中(4),_x000D_
庄家令牌小(2),</t>
    <phoneticPr fontId="1" type="noConversion"/>
  </si>
  <si>
    <t>神农鼎(3),_x000D_
秘窟冰晶卵(4),</t>
    <phoneticPr fontId="1" type="noConversion"/>
  </si>
  <si>
    <t>炼妖壶(3),_x000D_
秘窟冰晶卵(4),</t>
    <phoneticPr fontId="1" type="noConversion"/>
  </si>
  <si>
    <t>神农鼎(3),_x000D_
月冕霓晴符(5),</t>
    <phoneticPr fontId="1" type="noConversion"/>
  </si>
  <si>
    <t>糯米(3),_x000D_
粽叶(5),</t>
    <phoneticPr fontId="1" type="noConversion"/>
  </si>
  <si>
    <t>东皇钟(2),_x000D_
炼妖壶(7),</t>
    <phoneticPr fontId="1" type="noConversion"/>
  </si>
  <si>
    <t>太一之轮(7),_x000D_
幸运符文叉大(3),</t>
    <phoneticPr fontId="1" type="noConversion"/>
  </si>
  <si>
    <t>骰子大(4),_x000D_
庄家令牌大(6),</t>
  </si>
  <si>
    <t>骰子大(4),_x000D_
庄家令牌大(6),</t>
    <phoneticPr fontId="1" type="noConversion"/>
  </si>
  <si>
    <t>东皇钟(7),_x000D_
女娲石(4),</t>
    <phoneticPr fontId="1" type="noConversion"/>
  </si>
  <si>
    <t>炼妖壶(3),_x000D_
龙灵不朽藤(8),</t>
    <phoneticPr fontId="1" type="noConversion"/>
  </si>
  <si>
    <t>糯米(5),_x000D_
粽叶(10),</t>
    <phoneticPr fontId="1" type="noConversion"/>
  </si>
  <si>
    <t>欠条中(4),_x000D_
筹码中(4),_x000D_
筹码大(1),</t>
  </si>
  <si>
    <t>桂花(5),_x000D_
桂花酒(5),_x000D_
灯笼(5),</t>
    <phoneticPr fontId="1" type="noConversion"/>
  </si>
  <si>
    <t>螃蟹(5),_x000D_
桂花(5),_x000D_
桂花酒(5),</t>
    <phoneticPr fontId="1" type="noConversion"/>
  </si>
  <si>
    <t>东皇钟(7),_x000D_
崆峒印(8),_x000D_
幸运符文叉大(3),</t>
    <phoneticPr fontId="1" type="noConversion"/>
  </si>
  <si>
    <t>女娲石(9),_x000D_
神农鼎(17),_x000D_
幸运符文叉大(8),</t>
    <phoneticPr fontId="1" type="noConversion"/>
  </si>
  <si>
    <t>神农鼎(4),_x000D_
欠条中(6),_x000D_
钱袋中(2),_x000D_
筹码大(6),</t>
    <phoneticPr fontId="1" type="noConversion"/>
  </si>
  <si>
    <t>东皇钟(2),_x000D_
欠条大(8),_x000D_
钱袋大(10),_x000D_
月冕霓晴符(7),</t>
    <phoneticPr fontId="1" type="noConversion"/>
  </si>
  <si>
    <t>超进阶素材水(45),_x000D_
超进阶素材火(50),_x000D_
超进阶素材光(50),_x000D_
超进阶素材暗(50),</t>
    <phoneticPr fontId="1" type="noConversion"/>
  </si>
  <si>
    <t>猪刚鬣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</si>
</sst>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166</xdr:row>
          <xdr:rowOff>28575</xdr:rowOff>
        </xdr:from>
        <xdr:to>
          <xdr:col>1</xdr:col>
          <xdr:colOff>428625</xdr:colOff>
          <xdr:row>167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64"/>
  <sheetViews>
    <sheetView tabSelected="1" workbookViewId="0">
      <pane xSplit="2" ySplit="1" topLeftCell="C155" activePane="bottomRight" state="frozen"/>
      <selection pane="topRight" activeCell="C1" sqref="C1"/>
      <selection pane="bottomLeft" activeCell="A3" sqref="A3"/>
      <selection pane="bottomRight" activeCell="D87" sqref="D87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96</v>
      </c>
      <c r="B1" s="8" t="s">
        <v>97</v>
      </c>
      <c r="C1" s="8" t="s">
        <v>99</v>
      </c>
      <c r="D1" s="8" t="s">
        <v>98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93</v>
      </c>
      <c r="K1" s="9" t="s">
        <v>30</v>
      </c>
      <c r="L1" s="9" t="s">
        <v>54</v>
      </c>
      <c r="M1" s="9" t="s">
        <v>60</v>
      </c>
      <c r="N1" s="9" t="s">
        <v>66</v>
      </c>
      <c r="O1" s="9" t="s">
        <v>59</v>
      </c>
      <c r="P1" s="31" t="s">
        <v>164</v>
      </c>
      <c r="Q1" s="31" t="s">
        <v>176</v>
      </c>
      <c r="R1" s="31" t="s">
        <v>170</v>
      </c>
      <c r="S1" s="31" t="s">
        <v>165</v>
      </c>
      <c r="T1" s="31" t="s">
        <v>174</v>
      </c>
      <c r="U1" s="31" t="s">
        <v>180</v>
      </c>
      <c r="V1" s="31" t="s">
        <v>166</v>
      </c>
      <c r="W1" s="31" t="s">
        <v>173</v>
      </c>
      <c r="X1" s="31" t="s">
        <v>171</v>
      </c>
      <c r="Y1" s="31" t="s">
        <v>167</v>
      </c>
      <c r="Z1" s="31" t="s">
        <v>175</v>
      </c>
      <c r="AA1" s="31" t="s">
        <v>182</v>
      </c>
      <c r="AB1" s="31" t="s">
        <v>169</v>
      </c>
      <c r="AC1" s="31" t="s">
        <v>168</v>
      </c>
      <c r="AD1" s="31" t="s">
        <v>198</v>
      </c>
      <c r="AE1" s="8" t="s">
        <v>10</v>
      </c>
      <c r="AF1" s="8" t="s">
        <v>36</v>
      </c>
      <c r="AG1" s="8" t="s">
        <v>37</v>
      </c>
      <c r="AH1" s="8" t="s">
        <v>82</v>
      </c>
      <c r="AI1" s="8" t="s">
        <v>83</v>
      </c>
      <c r="AJ1" s="8" t="s">
        <v>85</v>
      </c>
      <c r="AK1" s="8" t="s">
        <v>86</v>
      </c>
      <c r="AL1" s="8" t="s">
        <v>88</v>
      </c>
      <c r="AM1" s="8" t="s">
        <v>67</v>
      </c>
      <c r="AN1" s="8" t="s">
        <v>69</v>
      </c>
      <c r="AO1" s="8" t="s">
        <v>131</v>
      </c>
      <c r="AP1" s="8" t="s">
        <v>132</v>
      </c>
      <c r="AQ1" s="10" t="s">
        <v>50</v>
      </c>
      <c r="AR1" s="10" t="s">
        <v>5</v>
      </c>
      <c r="AS1" s="10" t="s">
        <v>34</v>
      </c>
      <c r="AT1" s="10" t="s">
        <v>72</v>
      </c>
      <c r="AU1" s="10" t="s">
        <v>80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127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104</v>
      </c>
      <c r="BQ1" s="8" t="s">
        <v>105</v>
      </c>
      <c r="BR1" s="16" t="s">
        <v>106</v>
      </c>
      <c r="BS1" s="16"/>
      <c r="BT1" s="10" t="s">
        <v>50</v>
      </c>
      <c r="BU1" s="10" t="s">
        <v>5</v>
      </c>
      <c r="BV1" s="10" t="s">
        <v>34</v>
      </c>
      <c r="BW1" s="10" t="s">
        <v>72</v>
      </c>
      <c r="BX1" s="10" t="s">
        <v>80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72</v>
      </c>
      <c r="CK1" s="10" t="s">
        <v>80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20" si="0">SUM(E2:BO2)</f>
        <v>80</v>
      </c>
      <c r="BQ2" s="1">
        <v>0</v>
      </c>
      <c r="BR2" s="17">
        <v>0</v>
      </c>
      <c r="BS2" s="17"/>
      <c r="BT2" s="1" t="str">
        <f>IF(AQ2&gt;AQ$163, AQ2-AQ$163,"")</f>
        <v/>
      </c>
      <c r="BU2" s="1" t="str">
        <f>IF(AR2&gt;AR$163, AR2-AR$163,"")</f>
        <v/>
      </c>
      <c r="BV2" s="1" t="str">
        <f>IF(AS2&gt;AS$163, AS2-AS$163,"")</f>
        <v/>
      </c>
      <c r="BW2" s="1" t="str">
        <f>IF(AT2&gt;AT$163, AT2-AT$163,"")</f>
        <v/>
      </c>
      <c r="BX2" s="1" t="str">
        <f>IF(AU2&gt;AU$163, AU2-AU$163,"")</f>
        <v/>
      </c>
      <c r="BY2" s="1" t="str">
        <f>IF(AV2&gt;AV$163, AV2-AV$163,"")</f>
        <v/>
      </c>
      <c r="BZ2" s="1" t="str">
        <f>IF(AW2&gt;AW$163, AW2-AW$163,"")</f>
        <v/>
      </c>
      <c r="CA2" s="1" t="str">
        <f>IF(AX2&gt;AX$163, AX2-AX$163,"")</f>
        <v/>
      </c>
      <c r="CB2" s="1" t="str">
        <f>IF(AY2&gt;AY$163, AY2-AY$163,"")</f>
        <v/>
      </c>
      <c r="CC2" s="1" t="str">
        <f>IF(AZ2&gt;AZ$163, AZ2-AZ$163,"")</f>
        <v/>
      </c>
      <c r="CD2" s="1" t="str">
        <f>IF(BA2&gt;BA$163, BA2-BA$163,"")</f>
        <v/>
      </c>
      <c r="CE2" s="1" t="str">
        <f>IF(BB2&gt;BB$163, BB2-BB$163,"")</f>
        <v/>
      </c>
      <c r="CF2" s="1">
        <f>12-COUNTA(BT2:CE2)</f>
        <v>0</v>
      </c>
      <c r="CG2" s="1" t="str">
        <f t="shared" ref="CG2:CG20" si="1">IF($CF2=1,BT2,"")</f>
        <v/>
      </c>
      <c r="CH2" s="1" t="str">
        <f t="shared" ref="CH2:CH20" si="2">IF($CF2=1,BU2,"")</f>
        <v/>
      </c>
      <c r="CI2" s="1" t="str">
        <f t="shared" ref="CI2:CI20" si="3">IF($CF2=1,BV2,"")</f>
        <v/>
      </c>
      <c r="CJ2" s="1" t="str">
        <f t="shared" ref="CJ2:CJ20" si="4">IF($CF2=1,BW2,"")</f>
        <v/>
      </c>
      <c r="CK2" s="1" t="str">
        <f t="shared" ref="CK2:CK20" si="5">IF($CF2=1,BX2,"")</f>
        <v/>
      </c>
      <c r="CL2" s="1" t="str">
        <f t="shared" ref="CL2:CL20" si="6">IF($CF2=1,BY2,"")</f>
        <v/>
      </c>
      <c r="CM2" s="1" t="str">
        <f t="shared" ref="CM2:CM20" si="7">IF($CF2=1,BZ2,"")</f>
        <v/>
      </c>
      <c r="CN2" s="1" t="str">
        <f t="shared" ref="CN2:CN20" si="8">IF($CF2=1,CA2,"")</f>
        <v/>
      </c>
      <c r="CO2" s="1" t="str">
        <f t="shared" ref="CO2:CO20" si="9">IF($CF2=1,CB2,"")</f>
        <v/>
      </c>
      <c r="CP2" s="1" t="str">
        <f t="shared" ref="CP2:CP20" si="10">IF($CF2=1,CC2,"")</f>
        <v/>
      </c>
      <c r="CQ2" s="1" t="str">
        <f t="shared" ref="CQ2:CQ20" si="11">IF($CF2=1,CD2,"")</f>
        <v/>
      </c>
      <c r="CR2" s="1" t="str">
        <f t="shared" ref="CR2:CR20" si="12">IF($CF2=1,CE2,"")</f>
        <v/>
      </c>
      <c r="CS2" s="18">
        <f t="shared" ref="CS2:CS20" si="13"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IF(AQ3&gt;AQ$163, AQ3-AQ$163,"")</f>
        <v/>
      </c>
      <c r="BU3" s="1" t="str">
        <f>IF(AR3&gt;AR$163, AR3-AR$163,"")</f>
        <v/>
      </c>
      <c r="BV3" s="1" t="str">
        <f>IF(AS3&gt;AS$163, AS3-AS$163,"")</f>
        <v/>
      </c>
      <c r="BW3" s="1" t="str">
        <f>IF(AT3&gt;AT$163, AT3-AT$163,"")</f>
        <v/>
      </c>
      <c r="BX3" s="1" t="str">
        <f>IF(AU3&gt;AU$163, AU3-AU$163,"")</f>
        <v/>
      </c>
      <c r="BY3" s="1" t="str">
        <f>IF(AV3&gt;AV$163, AV3-AV$163,"")</f>
        <v/>
      </c>
      <c r="BZ3" s="1" t="str">
        <f>IF(AW3&gt;AW$163, AW3-AW$163,"")</f>
        <v/>
      </c>
      <c r="CA3" s="1" t="str">
        <f>IF(AX3&gt;AX$163, AX3-AX$163,"")</f>
        <v/>
      </c>
      <c r="CB3" s="1" t="str">
        <f>IF(AY3&gt;AY$163, AY3-AY$163,"")</f>
        <v/>
      </c>
      <c r="CC3" s="1" t="str">
        <f>IF(AZ3&gt;AZ$163, AZ3-AZ$163,"")</f>
        <v/>
      </c>
      <c r="CD3" s="1" t="str">
        <f>IF(BA3&gt;BA$163, BA3-BA$163,"")</f>
        <v/>
      </c>
      <c r="CE3" s="1" t="str">
        <f>IF(BB3&gt;BB$163, BB3-BB$163,"")</f>
        <v/>
      </c>
      <c r="CF3" s="1">
        <f>12-COUNTA(BT3:CE3)</f>
        <v>0</v>
      </c>
      <c r="CG3" s="1" t="str">
        <f t="shared" si="1"/>
        <v/>
      </c>
      <c r="CH3" s="1" t="str">
        <f t="shared" si="2"/>
        <v/>
      </c>
      <c r="CI3" s="1" t="str">
        <f t="shared" si="3"/>
        <v/>
      </c>
      <c r="CJ3" s="1" t="str">
        <f t="shared" si="4"/>
        <v/>
      </c>
      <c r="CK3" s="1" t="str">
        <f t="shared" si="5"/>
        <v/>
      </c>
      <c r="CL3" s="1" t="str">
        <f t="shared" si="6"/>
        <v/>
      </c>
      <c r="CM3" s="1" t="str">
        <f t="shared" si="7"/>
        <v/>
      </c>
      <c r="CN3" s="1" t="str">
        <f t="shared" si="8"/>
        <v/>
      </c>
      <c r="CO3" s="1" t="str">
        <f t="shared" si="9"/>
        <v/>
      </c>
      <c r="CP3" s="1" t="str">
        <f t="shared" si="10"/>
        <v/>
      </c>
      <c r="CQ3" s="1" t="str">
        <f t="shared" si="11"/>
        <v/>
      </c>
      <c r="CR3" s="1" t="str">
        <f t="shared" si="12"/>
        <v/>
      </c>
      <c r="CS3" s="18">
        <f t="shared" si="13"/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IF(AQ4&gt;AQ$163, AQ4-AQ$163,"")</f>
        <v/>
      </c>
      <c r="BU4" s="1" t="str">
        <f>IF(AR4&gt;AR$163, AR4-AR$163,"")</f>
        <v/>
      </c>
      <c r="BV4" s="1" t="str">
        <f>IF(AS4&gt;AS$163, AS4-AS$163,"")</f>
        <v/>
      </c>
      <c r="BW4" s="1" t="str">
        <f>IF(AT4&gt;AT$163, AT4-AT$163,"")</f>
        <v/>
      </c>
      <c r="BX4" s="1" t="str">
        <f>IF(AU4&gt;AU$163, AU4-AU$163,"")</f>
        <v/>
      </c>
      <c r="BY4" s="1" t="str">
        <f>IF(AV4&gt;AV$163, AV4-AV$163,"")</f>
        <v/>
      </c>
      <c r="BZ4" s="1" t="str">
        <f>IF(AW4&gt;AW$163, AW4-AW$163,"")</f>
        <v/>
      </c>
      <c r="CA4" s="1" t="str">
        <f>IF(AX4&gt;AX$163, AX4-AX$163,"")</f>
        <v/>
      </c>
      <c r="CB4" s="1" t="str">
        <f>IF(AY4&gt;AY$163, AY4-AY$163,"")</f>
        <v/>
      </c>
      <c r="CC4" s="1" t="str">
        <f>IF(AZ4&gt;AZ$163, AZ4-AZ$163,"")</f>
        <v/>
      </c>
      <c r="CD4" s="1" t="str">
        <f>IF(BA4&gt;BA$163, BA4-BA$163,"")</f>
        <v/>
      </c>
      <c r="CE4" s="1" t="str">
        <f>IF(BB4&gt;BB$163, BB4-BB$163,"")</f>
        <v/>
      </c>
      <c r="CF4" s="1">
        <f>12-COUNTA(BT4:CE4)</f>
        <v>0</v>
      </c>
      <c r="CG4" s="1" t="str">
        <f t="shared" si="1"/>
        <v/>
      </c>
      <c r="CH4" s="1" t="str">
        <f t="shared" si="2"/>
        <v/>
      </c>
      <c r="CI4" s="1" t="str">
        <f t="shared" si="3"/>
        <v/>
      </c>
      <c r="CJ4" s="1" t="str">
        <f t="shared" si="4"/>
        <v/>
      </c>
      <c r="CK4" s="1" t="str">
        <f t="shared" si="5"/>
        <v/>
      </c>
      <c r="CL4" s="1" t="str">
        <f t="shared" si="6"/>
        <v/>
      </c>
      <c r="CM4" s="1" t="str">
        <f t="shared" si="7"/>
        <v/>
      </c>
      <c r="CN4" s="1" t="str">
        <f t="shared" si="8"/>
        <v/>
      </c>
      <c r="CO4" s="1" t="str">
        <f t="shared" si="9"/>
        <v/>
      </c>
      <c r="CP4" s="1" t="str">
        <f t="shared" si="10"/>
        <v/>
      </c>
      <c r="CQ4" s="1" t="str">
        <f t="shared" si="11"/>
        <v/>
      </c>
      <c r="CR4" s="1" t="str">
        <f t="shared" si="12"/>
        <v/>
      </c>
      <c r="CS4" s="18">
        <f t="shared" si="13"/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IF(AQ5&gt;AQ$163, AQ5-AQ$163,"")</f>
        <v/>
      </c>
      <c r="BU5" s="1" t="str">
        <f>IF(AR5&gt;AR$163, AR5-AR$163,"")</f>
        <v/>
      </c>
      <c r="BV5" s="1" t="str">
        <f>IF(AS5&gt;AS$163, AS5-AS$163,"")</f>
        <v/>
      </c>
      <c r="BW5" s="1" t="str">
        <f>IF(AT5&gt;AT$163, AT5-AT$163,"")</f>
        <v/>
      </c>
      <c r="BX5" s="1" t="str">
        <f>IF(AU5&gt;AU$163, AU5-AU$163,"")</f>
        <v/>
      </c>
      <c r="BY5" s="1" t="str">
        <f>IF(AV5&gt;AV$163, AV5-AV$163,"")</f>
        <v/>
      </c>
      <c r="BZ5" s="1" t="str">
        <f>IF(AW5&gt;AW$163, AW5-AW$163,"")</f>
        <v/>
      </c>
      <c r="CA5" s="1" t="str">
        <f>IF(AX5&gt;AX$163, AX5-AX$163,"")</f>
        <v/>
      </c>
      <c r="CB5" s="1" t="str">
        <f>IF(AY5&gt;AY$163, AY5-AY$163,"")</f>
        <v/>
      </c>
      <c r="CC5" s="1" t="str">
        <f>IF(AZ5&gt;AZ$163, AZ5-AZ$163,"")</f>
        <v/>
      </c>
      <c r="CD5" s="1" t="str">
        <f>IF(BA5&gt;BA$163, BA5-BA$163,"")</f>
        <v/>
      </c>
      <c r="CE5" s="1" t="str">
        <f>IF(BB5&gt;BB$163, BB5-BB$163,"")</f>
        <v/>
      </c>
      <c r="CF5" s="1">
        <f>12-COUNTA(BT5:CE5)</f>
        <v>0</v>
      </c>
      <c r="CG5" s="1" t="str">
        <f t="shared" si="1"/>
        <v/>
      </c>
      <c r="CH5" s="1" t="str">
        <f t="shared" si="2"/>
        <v/>
      </c>
      <c r="CI5" s="1" t="str">
        <f t="shared" si="3"/>
        <v/>
      </c>
      <c r="CJ5" s="1" t="str">
        <f t="shared" si="4"/>
        <v/>
      </c>
      <c r="CK5" s="1" t="str">
        <f t="shared" si="5"/>
        <v/>
      </c>
      <c r="CL5" s="1" t="str">
        <f t="shared" si="6"/>
        <v/>
      </c>
      <c r="CM5" s="1" t="str">
        <f t="shared" si="7"/>
        <v/>
      </c>
      <c r="CN5" s="1" t="str">
        <f t="shared" si="8"/>
        <v/>
      </c>
      <c r="CO5" s="1" t="str">
        <f t="shared" si="9"/>
        <v/>
      </c>
      <c r="CP5" s="1" t="str">
        <f t="shared" si="10"/>
        <v/>
      </c>
      <c r="CQ5" s="1" t="str">
        <f t="shared" si="11"/>
        <v/>
      </c>
      <c r="CR5" s="1" t="str">
        <f t="shared" si="12"/>
        <v/>
      </c>
      <c r="CS5" s="18">
        <f t="shared" si="13"/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 t="shared" si="0"/>
        <v>5</v>
      </c>
      <c r="BQ6" s="19">
        <v>0</v>
      </c>
      <c r="BR6" s="23">
        <v>0</v>
      </c>
      <c r="BS6" s="23"/>
      <c r="BT6" s="19" t="str">
        <f>IF(AQ6&gt;AQ$163, AQ6-AQ$163,"")</f>
        <v/>
      </c>
      <c r="BU6" s="19" t="str">
        <f>IF(AR6&gt;AR$163, AR6-AR$163,"")</f>
        <v/>
      </c>
      <c r="BV6" s="19" t="str">
        <f>IF(AS6&gt;AS$163, AS6-AS$163,"")</f>
        <v/>
      </c>
      <c r="BW6" s="19" t="str">
        <f>IF(AT6&gt;AT$163, AT6-AT$163,"")</f>
        <v/>
      </c>
      <c r="BX6" s="19" t="str">
        <f>IF(AU6&gt;AU$163, AU6-AU$163,"")</f>
        <v/>
      </c>
      <c r="BY6" s="19" t="str">
        <f>IF(AV6&gt;AV$163, AV6-AV$163,"")</f>
        <v/>
      </c>
      <c r="BZ6" s="19" t="str">
        <f>IF(AW6&gt;AW$163, AW6-AW$163,"")</f>
        <v/>
      </c>
      <c r="CA6" s="19" t="str">
        <f>IF(AX6&gt;AX$163, AX6-AX$163,"")</f>
        <v/>
      </c>
      <c r="CB6" s="19" t="str">
        <f>IF(AY6&gt;AY$163, AY6-AY$163,"")</f>
        <v/>
      </c>
      <c r="CC6" s="19" t="str">
        <f>IF(AZ6&gt;AZ$163, AZ6-AZ$163,"")</f>
        <v/>
      </c>
      <c r="CD6" s="19" t="str">
        <f>IF(BA6&gt;BA$163, BA6-BA$163,"")</f>
        <v/>
      </c>
      <c r="CE6" s="19" t="str">
        <f>IF(BB6&gt;BB$163, BB6-BB$163,"")</f>
        <v/>
      </c>
      <c r="CF6" s="19">
        <f t="shared" ref="CF6:CF20" si="14">COUNTIF(BT6:CE6, "&gt;0")</f>
        <v>0</v>
      </c>
      <c r="CG6" s="19" t="str">
        <f t="shared" si="1"/>
        <v/>
      </c>
      <c r="CH6" s="19" t="str">
        <f t="shared" si="2"/>
        <v/>
      </c>
      <c r="CI6" s="19" t="str">
        <f t="shared" si="3"/>
        <v/>
      </c>
      <c r="CJ6" s="19" t="str">
        <f t="shared" si="4"/>
        <v/>
      </c>
      <c r="CK6" s="19" t="str">
        <f t="shared" si="5"/>
        <v/>
      </c>
      <c r="CL6" s="19" t="str">
        <f t="shared" si="6"/>
        <v/>
      </c>
      <c r="CM6" s="19" t="str">
        <f t="shared" si="7"/>
        <v/>
      </c>
      <c r="CN6" s="19" t="str">
        <f t="shared" si="8"/>
        <v/>
      </c>
      <c r="CO6" s="19" t="str">
        <f t="shared" si="9"/>
        <v/>
      </c>
      <c r="CP6" s="19" t="str">
        <f t="shared" si="10"/>
        <v/>
      </c>
      <c r="CQ6" s="19" t="str">
        <f t="shared" si="11"/>
        <v/>
      </c>
      <c r="CR6" s="19" t="str">
        <f t="shared" si="12"/>
        <v/>
      </c>
      <c r="CS6" s="24">
        <f t="shared" si="13"/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 t="shared" si="0"/>
        <v>5</v>
      </c>
      <c r="BQ7" s="19">
        <v>0</v>
      </c>
      <c r="BR7" s="23">
        <v>0</v>
      </c>
      <c r="BS7" s="23"/>
      <c r="BT7" s="19" t="str">
        <f>IF(AQ7&gt;AQ$163, AQ7-AQ$163,"")</f>
        <v/>
      </c>
      <c r="BU7" s="19" t="str">
        <f>IF(AR7&gt;AR$163, AR7-AR$163,"")</f>
        <v/>
      </c>
      <c r="BV7" s="19" t="str">
        <f>IF(AS7&gt;AS$163, AS7-AS$163,"")</f>
        <v/>
      </c>
      <c r="BW7" s="19" t="str">
        <f>IF(AT7&gt;AT$163, AT7-AT$163,"")</f>
        <v/>
      </c>
      <c r="BX7" s="19" t="str">
        <f>IF(AU7&gt;AU$163, AU7-AU$163,"")</f>
        <v/>
      </c>
      <c r="BY7" s="19" t="str">
        <f>IF(AV7&gt;AV$163, AV7-AV$163,"")</f>
        <v/>
      </c>
      <c r="BZ7" s="19" t="str">
        <f>IF(AW7&gt;AW$163, AW7-AW$163,"")</f>
        <v/>
      </c>
      <c r="CA7" s="19" t="str">
        <f>IF(AX7&gt;AX$163, AX7-AX$163,"")</f>
        <v/>
      </c>
      <c r="CB7" s="19" t="str">
        <f>IF(AY7&gt;AY$163, AY7-AY$163,"")</f>
        <v/>
      </c>
      <c r="CC7" s="19" t="str">
        <f>IF(AZ7&gt;AZ$163, AZ7-AZ$163,"")</f>
        <v/>
      </c>
      <c r="CD7" s="19" t="str">
        <f>IF(BA7&gt;BA$163, BA7-BA$163,"")</f>
        <v/>
      </c>
      <c r="CE7" s="19" t="str">
        <f>IF(BB7&gt;BB$163, BB7-BB$163,"")</f>
        <v/>
      </c>
      <c r="CF7" s="19">
        <f t="shared" si="14"/>
        <v>0</v>
      </c>
      <c r="CG7" s="19" t="str">
        <f t="shared" si="1"/>
        <v/>
      </c>
      <c r="CH7" s="19" t="str">
        <f t="shared" si="2"/>
        <v/>
      </c>
      <c r="CI7" s="19" t="str">
        <f t="shared" si="3"/>
        <v/>
      </c>
      <c r="CJ7" s="19" t="str">
        <f t="shared" si="4"/>
        <v/>
      </c>
      <c r="CK7" s="19" t="str">
        <f t="shared" si="5"/>
        <v/>
      </c>
      <c r="CL7" s="19" t="str">
        <f t="shared" si="6"/>
        <v/>
      </c>
      <c r="CM7" s="19" t="str">
        <f t="shared" si="7"/>
        <v/>
      </c>
      <c r="CN7" s="19" t="str">
        <f t="shared" si="8"/>
        <v/>
      </c>
      <c r="CO7" s="19" t="str">
        <f t="shared" si="9"/>
        <v/>
      </c>
      <c r="CP7" s="19" t="str">
        <f t="shared" si="10"/>
        <v/>
      </c>
      <c r="CQ7" s="19" t="str">
        <f t="shared" si="11"/>
        <v/>
      </c>
      <c r="CR7" s="19" t="str">
        <f t="shared" si="12"/>
        <v/>
      </c>
      <c r="CS7" s="24">
        <f t="shared" si="13"/>
        <v>0</v>
      </c>
    </row>
    <row r="8" spans="1:97" s="25" customFormat="1" x14ac:dyDescent="0.15">
      <c r="A8" s="19">
        <v>83</v>
      </c>
      <c r="B8" s="26" t="s">
        <v>76</v>
      </c>
      <c r="C8" s="26" t="s">
        <v>71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 t="shared" si="0"/>
        <v>5</v>
      </c>
      <c r="BQ8" s="19">
        <v>0</v>
      </c>
      <c r="BR8" s="23">
        <v>0</v>
      </c>
      <c r="BS8" s="23"/>
      <c r="BT8" s="19" t="str">
        <f>IF(AQ8&gt;AQ$163, AQ8-AQ$163,"")</f>
        <v/>
      </c>
      <c r="BU8" s="19" t="str">
        <f>IF(AR8&gt;AR$163, AR8-AR$163,"")</f>
        <v/>
      </c>
      <c r="BV8" s="19" t="str">
        <f>IF(AS8&gt;AS$163, AS8-AS$163,"")</f>
        <v/>
      </c>
      <c r="BW8" s="19" t="str">
        <f>IF(AT8&gt;AT$163, AT8-AT$163,"")</f>
        <v/>
      </c>
      <c r="BX8" s="19" t="str">
        <f>IF(AU8&gt;AU$163, AU8-AU$163,"")</f>
        <v/>
      </c>
      <c r="BY8" s="19" t="str">
        <f>IF(AV8&gt;AV$163, AV8-AV$163,"")</f>
        <v/>
      </c>
      <c r="BZ8" s="19" t="str">
        <f>IF(AW8&gt;AW$163, AW8-AW$163,"")</f>
        <v/>
      </c>
      <c r="CA8" s="19" t="str">
        <f>IF(AX8&gt;AX$163, AX8-AX$163,"")</f>
        <v/>
      </c>
      <c r="CB8" s="19" t="str">
        <f>IF(AY8&gt;AY$163, AY8-AY$163,"")</f>
        <v/>
      </c>
      <c r="CC8" s="19" t="str">
        <f>IF(AZ8&gt;AZ$163, AZ8-AZ$163,"")</f>
        <v/>
      </c>
      <c r="CD8" s="19" t="str">
        <f>IF(BA8&gt;BA$163, BA8-BA$163,"")</f>
        <v/>
      </c>
      <c r="CE8" s="19" t="str">
        <f>IF(BB8&gt;BB$163, BB8-BB$163,"")</f>
        <v/>
      </c>
      <c r="CF8" s="19">
        <f t="shared" si="14"/>
        <v>0</v>
      </c>
      <c r="CG8" s="19" t="str">
        <f t="shared" si="1"/>
        <v/>
      </c>
      <c r="CH8" s="19" t="str">
        <f t="shared" si="2"/>
        <v/>
      </c>
      <c r="CI8" s="19" t="str">
        <f t="shared" si="3"/>
        <v/>
      </c>
      <c r="CJ8" s="19" t="str">
        <f t="shared" si="4"/>
        <v/>
      </c>
      <c r="CK8" s="19" t="str">
        <f t="shared" si="5"/>
        <v/>
      </c>
      <c r="CL8" s="19" t="str">
        <f t="shared" si="6"/>
        <v/>
      </c>
      <c r="CM8" s="19" t="str">
        <f t="shared" si="7"/>
        <v/>
      </c>
      <c r="CN8" s="19" t="str">
        <f t="shared" si="8"/>
        <v/>
      </c>
      <c r="CO8" s="19" t="str">
        <f t="shared" si="9"/>
        <v/>
      </c>
      <c r="CP8" s="19" t="str">
        <f t="shared" si="10"/>
        <v/>
      </c>
      <c r="CQ8" s="19" t="str">
        <f t="shared" si="11"/>
        <v/>
      </c>
      <c r="CR8" s="19" t="str">
        <f t="shared" si="12"/>
        <v/>
      </c>
      <c r="CS8" s="24">
        <f t="shared" si="13"/>
        <v>0</v>
      </c>
    </row>
    <row r="9" spans="1:97" s="25" customFormat="1" x14ac:dyDescent="0.15">
      <c r="A9" s="1">
        <v>9</v>
      </c>
      <c r="B9" s="1" t="s">
        <v>28</v>
      </c>
      <c r="C9" s="1" t="s">
        <v>2</v>
      </c>
      <c r="D9" s="1" t="s">
        <v>26</v>
      </c>
      <c r="E9" s="6"/>
      <c r="F9" s="6"/>
      <c r="G9" s="6"/>
      <c r="H9" s="6"/>
      <c r="I9" s="6">
        <v>4</v>
      </c>
      <c r="J9" s="6"/>
      <c r="K9" s="6">
        <v>4</v>
      </c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5</v>
      </c>
      <c r="AS9" s="4"/>
      <c r="AT9" s="4"/>
      <c r="AU9" s="4"/>
      <c r="AV9" s="4"/>
      <c r="AW9" s="2">
        <v>5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18</v>
      </c>
      <c r="BQ9" s="1">
        <v>0</v>
      </c>
      <c r="BR9" s="17">
        <v>0</v>
      </c>
      <c r="BS9" s="17"/>
      <c r="BT9" s="1" t="str">
        <f>IF(AQ9&gt;AQ$163, AQ9-AQ$163,"")</f>
        <v/>
      </c>
      <c r="BU9" s="1" t="str">
        <f>IF(AR9&gt;AR$163, AR9-AR$163,"")</f>
        <v/>
      </c>
      <c r="BV9" s="1" t="str">
        <f>IF(AS9&gt;AS$163, AS9-AS$163,"")</f>
        <v/>
      </c>
      <c r="BW9" s="1" t="str">
        <f>IF(AT9&gt;AT$163, AT9-AT$163,"")</f>
        <v/>
      </c>
      <c r="BX9" s="1" t="str">
        <f>IF(AU9&gt;AU$163, AU9-AU$163,"")</f>
        <v/>
      </c>
      <c r="BY9" s="1" t="str">
        <f>IF(AV9&gt;AV$163, AV9-AV$163,"")</f>
        <v/>
      </c>
      <c r="BZ9" s="1" t="str">
        <f>IF(AW9&gt;AW$163, AW9-AW$163,"")</f>
        <v/>
      </c>
      <c r="CA9" s="1" t="str">
        <f>IF(AX9&gt;AX$163, AX9-AX$163,"")</f>
        <v/>
      </c>
      <c r="CB9" s="1" t="str">
        <f>IF(AY9&gt;AY$163, AY9-AY$163,"")</f>
        <v/>
      </c>
      <c r="CC9" s="1" t="str">
        <f>IF(AZ9&gt;AZ$163, AZ9-AZ$163,"")</f>
        <v/>
      </c>
      <c r="CD9" s="1" t="str">
        <f>IF(BA9&gt;BA$163, BA9-BA$163,"")</f>
        <v/>
      </c>
      <c r="CE9" s="1" t="str">
        <f>IF(BB9&gt;BB$163, BB9-BB$163,"")</f>
        <v/>
      </c>
      <c r="CF9" s="1">
        <f t="shared" si="14"/>
        <v>0</v>
      </c>
      <c r="CG9" s="1" t="str">
        <f t="shared" si="1"/>
        <v/>
      </c>
      <c r="CH9" s="1" t="str">
        <f t="shared" si="2"/>
        <v/>
      </c>
      <c r="CI9" s="1" t="str">
        <f t="shared" si="3"/>
        <v/>
      </c>
      <c r="CJ9" s="1" t="str">
        <f t="shared" si="4"/>
        <v/>
      </c>
      <c r="CK9" s="1" t="str">
        <f t="shared" si="5"/>
        <v/>
      </c>
      <c r="CL9" s="1" t="str">
        <f t="shared" si="6"/>
        <v/>
      </c>
      <c r="CM9" s="1" t="str">
        <f t="shared" si="7"/>
        <v/>
      </c>
      <c r="CN9" s="1" t="str">
        <f t="shared" si="8"/>
        <v/>
      </c>
      <c r="CO9" s="1" t="str">
        <f t="shared" si="9"/>
        <v/>
      </c>
      <c r="CP9" s="1" t="str">
        <f t="shared" si="10"/>
        <v/>
      </c>
      <c r="CQ9" s="1" t="str">
        <f t="shared" si="11"/>
        <v/>
      </c>
      <c r="CR9" s="1" t="str">
        <f t="shared" si="12"/>
        <v/>
      </c>
      <c r="CS9" s="18">
        <f t="shared" si="13"/>
        <v>10</v>
      </c>
    </row>
    <row r="10" spans="1:97" s="25" customFormat="1" x14ac:dyDescent="0.15">
      <c r="A10" s="1">
        <v>81</v>
      </c>
      <c r="B10" s="3" t="s">
        <v>74</v>
      </c>
      <c r="C10" s="3" t="s">
        <v>71</v>
      </c>
      <c r="D10" s="1" t="s">
        <v>13</v>
      </c>
      <c r="E10" s="6"/>
      <c r="F10" s="6"/>
      <c r="G10" s="6"/>
      <c r="H10" s="6"/>
      <c r="I10" s="6"/>
      <c r="J10" s="6"/>
      <c r="K10" s="6"/>
      <c r="L10" s="6">
        <v>6</v>
      </c>
      <c r="M10" s="6"/>
      <c r="N10" s="6"/>
      <c r="O10" s="6">
        <v>6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/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32</v>
      </c>
      <c r="BQ10" s="1">
        <v>0</v>
      </c>
      <c r="BR10" s="17">
        <v>0</v>
      </c>
      <c r="BS10" s="17"/>
      <c r="BT10" s="1" t="str">
        <f>IF(AQ10&gt;AQ$163, AQ10-AQ$163,"")</f>
        <v/>
      </c>
      <c r="BU10" s="1" t="str">
        <f>IF(AR10&gt;AR$163, AR10-AR$163,"")</f>
        <v/>
      </c>
      <c r="BV10" s="1" t="str">
        <f>IF(AS10&gt;AS$163, AS10-AS$163,"")</f>
        <v/>
      </c>
      <c r="BW10" s="1" t="str">
        <f>IF(AT10&gt;AT$163, AT10-AT$163,"")</f>
        <v/>
      </c>
      <c r="BX10" s="1" t="str">
        <f>IF(AU10&gt;AU$163, AU10-AU$163,"")</f>
        <v/>
      </c>
      <c r="BY10" s="1" t="str">
        <f>IF(AV10&gt;AV$163, AV10-AV$163,"")</f>
        <v/>
      </c>
      <c r="BZ10" s="1" t="str">
        <f>IF(AW10&gt;AW$163, AW10-AW$163,"")</f>
        <v/>
      </c>
      <c r="CA10" s="1" t="str">
        <f>IF(AX10&gt;AX$163, AX10-AX$163,"")</f>
        <v/>
      </c>
      <c r="CB10" s="1" t="str">
        <f>IF(AY10&gt;AY$163, AY10-AY$163,"")</f>
        <v/>
      </c>
      <c r="CC10" s="1" t="str">
        <f>IF(AZ10&gt;AZ$163, AZ10-AZ$163,"")</f>
        <v/>
      </c>
      <c r="CD10" s="1" t="str">
        <f>IF(BA10&gt;BA$163, BA10-BA$163,"")</f>
        <v/>
      </c>
      <c r="CE10" s="1" t="str">
        <f>IF(BB10&gt;BB$163, BB10-BB$163,"")</f>
        <v/>
      </c>
      <c r="CF10" s="1">
        <f t="shared" si="14"/>
        <v>0</v>
      </c>
      <c r="CG10" s="1" t="str">
        <f t="shared" si="1"/>
        <v/>
      </c>
      <c r="CH10" s="1" t="str">
        <f t="shared" si="2"/>
        <v/>
      </c>
      <c r="CI10" s="1" t="str">
        <f t="shared" si="3"/>
        <v/>
      </c>
      <c r="CJ10" s="1" t="str">
        <f t="shared" si="4"/>
        <v/>
      </c>
      <c r="CK10" s="1" t="str">
        <f t="shared" si="5"/>
        <v/>
      </c>
      <c r="CL10" s="1" t="str">
        <f t="shared" si="6"/>
        <v/>
      </c>
      <c r="CM10" s="1" t="str">
        <f t="shared" si="7"/>
        <v/>
      </c>
      <c r="CN10" s="1" t="str">
        <f t="shared" si="8"/>
        <v/>
      </c>
      <c r="CO10" s="1" t="str">
        <f t="shared" si="9"/>
        <v/>
      </c>
      <c r="CP10" s="1" t="str">
        <f t="shared" si="10"/>
        <v/>
      </c>
      <c r="CQ10" s="1" t="str">
        <f t="shared" si="11"/>
        <v/>
      </c>
      <c r="CR10" s="1" t="str">
        <f t="shared" si="12"/>
        <v/>
      </c>
      <c r="CS10" s="18">
        <f t="shared" si="13"/>
        <v>20</v>
      </c>
    </row>
    <row r="11" spans="1:97" x14ac:dyDescent="0.15">
      <c r="A11" s="19">
        <v>13</v>
      </c>
      <c r="B11" s="19" t="s">
        <v>118</v>
      </c>
      <c r="C11" s="19" t="s">
        <v>2</v>
      </c>
      <c r="D11" s="19" t="s">
        <v>1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1"/>
      <c r="AR11" s="21"/>
      <c r="AS11" s="21"/>
      <c r="AT11" s="21"/>
      <c r="AU11" s="21"/>
      <c r="AV11" s="21"/>
      <c r="AW11" s="22"/>
      <c r="AX11" s="22"/>
      <c r="AY11" s="22"/>
      <c r="AZ11" s="22"/>
      <c r="BA11" s="22"/>
      <c r="BB11" s="22"/>
      <c r="BC11" s="30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>
        <f t="shared" si="0"/>
        <v>0</v>
      </c>
      <c r="BQ11" s="19">
        <v>0</v>
      </c>
      <c r="BR11" s="23">
        <v>0</v>
      </c>
      <c r="BS11" s="23"/>
      <c r="BT11" s="19" t="str">
        <f>IF(AQ11&gt;AQ$163, AQ11-AQ$163,"")</f>
        <v/>
      </c>
      <c r="BU11" s="19" t="str">
        <f>IF(AR11&gt;AR$163, AR11-AR$163,"")</f>
        <v/>
      </c>
      <c r="BV11" s="19" t="str">
        <f>IF(AS11&gt;AS$163, AS11-AS$163,"")</f>
        <v/>
      </c>
      <c r="BW11" s="19" t="str">
        <f>IF(AT11&gt;AT$163, AT11-AT$163,"")</f>
        <v/>
      </c>
      <c r="BX11" s="19" t="str">
        <f>IF(AU11&gt;AU$163, AU11-AU$163,"")</f>
        <v/>
      </c>
      <c r="BY11" s="19" t="str">
        <f>IF(AV11&gt;AV$163, AV11-AV$163,"")</f>
        <v/>
      </c>
      <c r="BZ11" s="19" t="str">
        <f>IF(AW11&gt;AW$163, AW11-AW$163,"")</f>
        <v/>
      </c>
      <c r="CA11" s="19" t="str">
        <f>IF(AX11&gt;AX$163, AX11-AX$163,"")</f>
        <v/>
      </c>
      <c r="CB11" s="19" t="str">
        <f>IF(AY11&gt;AY$163, AY11-AY$163,"")</f>
        <v/>
      </c>
      <c r="CC11" s="19" t="str">
        <f>IF(AZ11&gt;AZ$163, AZ11-AZ$163,"")</f>
        <v/>
      </c>
      <c r="CD11" s="19" t="str">
        <f>IF(BA11&gt;BA$163, BA11-BA$163,"")</f>
        <v/>
      </c>
      <c r="CE11" s="19" t="str">
        <f>IF(BB11&gt;BB$163, BB11-BB$163,"")</f>
        <v/>
      </c>
      <c r="CF11" s="19">
        <f t="shared" si="14"/>
        <v>0</v>
      </c>
      <c r="CG11" s="19" t="str">
        <f t="shared" si="1"/>
        <v/>
      </c>
      <c r="CH11" s="19" t="str">
        <f t="shared" si="2"/>
        <v/>
      </c>
      <c r="CI11" s="19" t="str">
        <f t="shared" si="3"/>
        <v/>
      </c>
      <c r="CJ11" s="19" t="str">
        <f t="shared" si="4"/>
        <v/>
      </c>
      <c r="CK11" s="19" t="str">
        <f t="shared" si="5"/>
        <v/>
      </c>
      <c r="CL11" s="19" t="str">
        <f t="shared" si="6"/>
        <v/>
      </c>
      <c r="CM11" s="19" t="str">
        <f t="shared" si="7"/>
        <v/>
      </c>
      <c r="CN11" s="19" t="str">
        <f t="shared" si="8"/>
        <v/>
      </c>
      <c r="CO11" s="19" t="str">
        <f t="shared" si="9"/>
        <v/>
      </c>
      <c r="CP11" s="19" t="str">
        <f t="shared" si="10"/>
        <v/>
      </c>
      <c r="CQ11" s="19" t="str">
        <f t="shared" si="11"/>
        <v/>
      </c>
      <c r="CR11" s="19" t="str">
        <f t="shared" si="12"/>
        <v/>
      </c>
      <c r="CS11" s="24">
        <f t="shared" si="13"/>
        <v>0</v>
      </c>
    </row>
    <row r="12" spans="1:97" x14ac:dyDescent="0.15">
      <c r="A12" s="1">
        <v>82</v>
      </c>
      <c r="B12" s="3" t="s">
        <v>75</v>
      </c>
      <c r="C12" s="3" t="s">
        <v>71</v>
      </c>
      <c r="D12" s="1" t="s">
        <v>13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32</v>
      </c>
      <c r="BQ12" s="1">
        <v>0</v>
      </c>
      <c r="BR12" s="17">
        <v>0</v>
      </c>
      <c r="BS12" s="17"/>
      <c r="BT12" s="1" t="str">
        <f>IF(AQ12&gt;AQ$163, AQ12-AQ$163,"")</f>
        <v/>
      </c>
      <c r="BU12" s="1" t="str">
        <f>IF(AR12&gt;AR$163, AR12-AR$163,"")</f>
        <v/>
      </c>
      <c r="BV12" s="1" t="str">
        <f>IF(AS12&gt;AS$163, AS12-AS$163,"")</f>
        <v/>
      </c>
      <c r="BW12" s="1" t="str">
        <f>IF(AT12&gt;AT$163, AT12-AT$163,"")</f>
        <v/>
      </c>
      <c r="BX12" s="1" t="str">
        <f>IF(AU12&gt;AU$163, AU12-AU$163,"")</f>
        <v/>
      </c>
      <c r="BY12" s="1" t="str">
        <f>IF(AV12&gt;AV$163, AV12-AV$163,"")</f>
        <v/>
      </c>
      <c r="BZ12" s="1" t="str">
        <f>IF(AW12&gt;AW$163, AW12-AW$163,"")</f>
        <v/>
      </c>
      <c r="CA12" s="1" t="str">
        <f>IF(AX12&gt;AX$163, AX12-AX$163,"")</f>
        <v/>
      </c>
      <c r="CB12" s="1" t="str">
        <f>IF(AY12&gt;AY$163, AY12-AY$163,"")</f>
        <v/>
      </c>
      <c r="CC12" s="1" t="str">
        <f>IF(AZ12&gt;AZ$163, AZ12-AZ$163,"")</f>
        <v/>
      </c>
      <c r="CD12" s="1" t="str">
        <f>IF(BA12&gt;BA$163, BA12-BA$163,"")</f>
        <v/>
      </c>
      <c r="CE12" s="1" t="str">
        <f>IF(BB12&gt;BB$163, BB12-BB$163,"")</f>
        <v/>
      </c>
      <c r="CF12" s="1">
        <f t="shared" si="14"/>
        <v>0</v>
      </c>
      <c r="CG12" s="1" t="str">
        <f t="shared" si="1"/>
        <v/>
      </c>
      <c r="CH12" s="1" t="str">
        <f t="shared" si="2"/>
        <v/>
      </c>
      <c r="CI12" s="1" t="str">
        <f t="shared" si="3"/>
        <v/>
      </c>
      <c r="CJ12" s="1" t="str">
        <f t="shared" si="4"/>
        <v/>
      </c>
      <c r="CK12" s="1" t="str">
        <f t="shared" si="5"/>
        <v/>
      </c>
      <c r="CL12" s="1" t="str">
        <f t="shared" si="6"/>
        <v/>
      </c>
      <c r="CM12" s="1" t="str">
        <f t="shared" si="7"/>
        <v/>
      </c>
      <c r="CN12" s="1" t="str">
        <f t="shared" si="8"/>
        <v/>
      </c>
      <c r="CO12" s="1" t="str">
        <f t="shared" si="9"/>
        <v/>
      </c>
      <c r="CP12" s="1" t="str">
        <f t="shared" si="10"/>
        <v/>
      </c>
      <c r="CQ12" s="1" t="str">
        <f t="shared" si="11"/>
        <v/>
      </c>
      <c r="CR12" s="1" t="str">
        <f t="shared" si="12"/>
        <v/>
      </c>
      <c r="CS12" s="18">
        <f t="shared" si="13"/>
        <v>20</v>
      </c>
    </row>
    <row r="13" spans="1:97" x14ac:dyDescent="0.15">
      <c r="A13" s="19">
        <v>60</v>
      </c>
      <c r="B13" s="19" t="s">
        <v>113</v>
      </c>
      <c r="C13" s="19" t="s">
        <v>62</v>
      </c>
      <c r="D13" s="19" t="s">
        <v>1</v>
      </c>
      <c r="E13" s="20"/>
      <c r="F13" s="20"/>
      <c r="G13" s="20"/>
      <c r="H13" s="20"/>
      <c r="I13" s="20"/>
      <c r="J13" s="20"/>
      <c r="K13" s="20">
        <v>5</v>
      </c>
      <c r="L13" s="20"/>
      <c r="M13" s="20"/>
      <c r="N13" s="20"/>
      <c r="O13" s="20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1"/>
      <c r="AR13" s="21"/>
      <c r="AS13" s="21"/>
      <c r="AT13" s="21"/>
      <c r="AU13" s="21"/>
      <c r="AV13" s="21"/>
      <c r="AW13" s="22"/>
      <c r="AX13" s="22"/>
      <c r="AY13" s="22"/>
      <c r="AZ13" s="22"/>
      <c r="BA13" s="22"/>
      <c r="BB13" s="22"/>
      <c r="BC13" s="30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>
        <f t="shared" si="0"/>
        <v>5</v>
      </c>
      <c r="BQ13" s="19">
        <v>0</v>
      </c>
      <c r="BR13" s="23">
        <v>0</v>
      </c>
      <c r="BS13" s="23"/>
      <c r="BT13" s="19" t="str">
        <f>IF(AQ13&gt;AQ$163, AQ13-AQ$163,"")</f>
        <v/>
      </c>
      <c r="BU13" s="19" t="str">
        <f>IF(AR13&gt;AR$163, AR13-AR$163,"")</f>
        <v/>
      </c>
      <c r="BV13" s="19" t="str">
        <f>IF(AS13&gt;AS$163, AS13-AS$163,"")</f>
        <v/>
      </c>
      <c r="BW13" s="19" t="str">
        <f>IF(AT13&gt;AT$163, AT13-AT$163,"")</f>
        <v/>
      </c>
      <c r="BX13" s="19" t="str">
        <f>IF(AU13&gt;AU$163, AU13-AU$163,"")</f>
        <v/>
      </c>
      <c r="BY13" s="19" t="str">
        <f>IF(AV13&gt;AV$163, AV13-AV$163,"")</f>
        <v/>
      </c>
      <c r="BZ13" s="19" t="str">
        <f>IF(AW13&gt;AW$163, AW13-AW$163,"")</f>
        <v/>
      </c>
      <c r="CA13" s="19" t="str">
        <f>IF(AX13&gt;AX$163, AX13-AX$163,"")</f>
        <v/>
      </c>
      <c r="CB13" s="19" t="str">
        <f>IF(AY13&gt;AY$163, AY13-AY$163,"")</f>
        <v/>
      </c>
      <c r="CC13" s="19" t="str">
        <f>IF(AZ13&gt;AZ$163, AZ13-AZ$163,"")</f>
        <v/>
      </c>
      <c r="CD13" s="19" t="str">
        <f>IF(BA13&gt;BA$163, BA13-BA$163,"")</f>
        <v/>
      </c>
      <c r="CE13" s="19" t="str">
        <f>IF(BB13&gt;BB$163, BB13-BB$163,"")</f>
        <v/>
      </c>
      <c r="CF13" s="19">
        <f t="shared" si="14"/>
        <v>0</v>
      </c>
      <c r="CG13" s="19" t="str">
        <f t="shared" si="1"/>
        <v/>
      </c>
      <c r="CH13" s="19" t="str">
        <f t="shared" si="2"/>
        <v/>
      </c>
      <c r="CI13" s="19" t="str">
        <f t="shared" si="3"/>
        <v/>
      </c>
      <c r="CJ13" s="19" t="str">
        <f t="shared" si="4"/>
        <v/>
      </c>
      <c r="CK13" s="19" t="str">
        <f t="shared" si="5"/>
        <v/>
      </c>
      <c r="CL13" s="19" t="str">
        <f t="shared" si="6"/>
        <v/>
      </c>
      <c r="CM13" s="19" t="str">
        <f t="shared" si="7"/>
        <v/>
      </c>
      <c r="CN13" s="19" t="str">
        <f t="shared" si="8"/>
        <v/>
      </c>
      <c r="CO13" s="19" t="str">
        <f t="shared" si="9"/>
        <v/>
      </c>
      <c r="CP13" s="19" t="str">
        <f t="shared" si="10"/>
        <v/>
      </c>
      <c r="CQ13" s="19" t="str">
        <f t="shared" si="11"/>
        <v/>
      </c>
      <c r="CR13" s="19" t="str">
        <f t="shared" si="12"/>
        <v/>
      </c>
      <c r="CS13" s="24">
        <f t="shared" si="13"/>
        <v>0</v>
      </c>
    </row>
    <row r="14" spans="1:97" x14ac:dyDescent="0.15">
      <c r="A14" s="1">
        <v>72</v>
      </c>
      <c r="B14" s="3" t="s">
        <v>102</v>
      </c>
      <c r="C14" s="1" t="s">
        <v>62</v>
      </c>
      <c r="D14" s="1" t="s">
        <v>13</v>
      </c>
      <c r="E14" s="6"/>
      <c r="F14" s="6"/>
      <c r="G14" s="6"/>
      <c r="H14" s="6"/>
      <c r="I14" s="6"/>
      <c r="J14" s="6"/>
      <c r="K14" s="6"/>
      <c r="L14" s="6">
        <v>6</v>
      </c>
      <c r="M14" s="6">
        <v>6</v>
      </c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>
        <v>10</v>
      </c>
      <c r="AW14" s="2"/>
      <c r="AX14" s="2"/>
      <c r="AY14" s="2"/>
      <c r="AZ14" s="2"/>
      <c r="BA14" s="2">
        <v>10</v>
      </c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32</v>
      </c>
      <c r="BQ14" s="1">
        <v>0</v>
      </c>
      <c r="BR14" s="17">
        <v>0</v>
      </c>
      <c r="BS14" s="17"/>
      <c r="BT14" s="1" t="str">
        <f>IF(AQ14&gt;AQ$163, AQ14-AQ$163,"")</f>
        <v/>
      </c>
      <c r="BU14" s="1" t="str">
        <f>IF(AR14&gt;AR$163, AR14-AR$163,"")</f>
        <v/>
      </c>
      <c r="BV14" s="1" t="str">
        <f>IF(AS14&gt;AS$163, AS14-AS$163,"")</f>
        <v/>
      </c>
      <c r="BW14" s="1" t="str">
        <f>IF(AT14&gt;AT$163, AT14-AT$163,"")</f>
        <v/>
      </c>
      <c r="BX14" s="1" t="str">
        <f>IF(AU14&gt;AU$163, AU14-AU$163,"")</f>
        <v/>
      </c>
      <c r="BY14" s="1" t="str">
        <f>IF(AV14&gt;AV$163, AV14-AV$163,"")</f>
        <v/>
      </c>
      <c r="BZ14" s="1" t="str">
        <f>IF(AW14&gt;AW$163, AW14-AW$163,"")</f>
        <v/>
      </c>
      <c r="CA14" s="1" t="str">
        <f>IF(AX14&gt;AX$163, AX14-AX$163,"")</f>
        <v/>
      </c>
      <c r="CB14" s="1" t="str">
        <f>IF(AY14&gt;AY$163, AY14-AY$163,"")</f>
        <v/>
      </c>
      <c r="CC14" s="1" t="str">
        <f>IF(AZ14&gt;AZ$163, AZ14-AZ$163,"")</f>
        <v/>
      </c>
      <c r="CD14" s="1" t="str">
        <f>IF(BA14&gt;BA$163, BA14-BA$163,"")</f>
        <v/>
      </c>
      <c r="CE14" s="1" t="str">
        <f>IF(BB14&gt;BB$163, BB14-BB$163,"")</f>
        <v/>
      </c>
      <c r="CF14" s="1">
        <f t="shared" si="14"/>
        <v>0</v>
      </c>
      <c r="CG14" s="1" t="str">
        <f t="shared" si="1"/>
        <v/>
      </c>
      <c r="CH14" s="1" t="str">
        <f t="shared" si="2"/>
        <v/>
      </c>
      <c r="CI14" s="1" t="str">
        <f t="shared" si="3"/>
        <v/>
      </c>
      <c r="CJ14" s="1" t="str">
        <f t="shared" si="4"/>
        <v/>
      </c>
      <c r="CK14" s="1" t="str">
        <f t="shared" si="5"/>
        <v/>
      </c>
      <c r="CL14" s="1" t="str">
        <f t="shared" si="6"/>
        <v/>
      </c>
      <c r="CM14" s="1" t="str">
        <f t="shared" si="7"/>
        <v/>
      </c>
      <c r="CN14" s="1" t="str">
        <f t="shared" si="8"/>
        <v/>
      </c>
      <c r="CO14" s="1" t="str">
        <f t="shared" si="9"/>
        <v/>
      </c>
      <c r="CP14" s="1" t="str">
        <f t="shared" si="10"/>
        <v/>
      </c>
      <c r="CQ14" s="1" t="str">
        <f t="shared" si="11"/>
        <v/>
      </c>
      <c r="CR14" s="1" t="str">
        <f t="shared" si="12"/>
        <v/>
      </c>
      <c r="CS14" s="18">
        <f t="shared" si="13"/>
        <v>20</v>
      </c>
    </row>
    <row r="15" spans="1:97" x14ac:dyDescent="0.15">
      <c r="A15" s="1">
        <v>58</v>
      </c>
      <c r="B15" s="1" t="s">
        <v>65</v>
      </c>
      <c r="C15" s="1" t="s">
        <v>62</v>
      </c>
      <c r="D15" s="1" t="s">
        <v>13</v>
      </c>
      <c r="E15" s="6"/>
      <c r="F15" s="6"/>
      <c r="G15" s="6">
        <v>10</v>
      </c>
      <c r="H15" s="6"/>
      <c r="I15" s="6"/>
      <c r="J15" s="6"/>
      <c r="K15" s="6"/>
      <c r="L15" s="6"/>
      <c r="M15" s="6"/>
      <c r="N15" s="6">
        <v>10</v>
      </c>
      <c r="O15" s="6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>
        <v>10</v>
      </c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 t="shared" si="0"/>
        <v>40</v>
      </c>
      <c r="BQ15" s="1">
        <v>0</v>
      </c>
      <c r="BR15" s="17">
        <v>0</v>
      </c>
      <c r="BS15" s="17"/>
      <c r="BT15" s="1" t="str">
        <f>IF(AQ15&gt;AQ$163, AQ15-AQ$163,"")</f>
        <v/>
      </c>
      <c r="BU15" s="1" t="str">
        <f>IF(AR15&gt;AR$163, AR15-AR$163,"")</f>
        <v/>
      </c>
      <c r="BV15" s="1" t="str">
        <f>IF(AS15&gt;AS$163, AS15-AS$163,"")</f>
        <v/>
      </c>
      <c r="BW15" s="1" t="str">
        <f>IF(AT15&gt;AT$163, AT15-AT$163,"")</f>
        <v/>
      </c>
      <c r="BX15" s="1" t="str">
        <f>IF(AU15&gt;AU$163, AU15-AU$163,"")</f>
        <v/>
      </c>
      <c r="BY15" s="1" t="str">
        <f>IF(AV15&gt;AV$163, AV15-AV$163,"")</f>
        <v/>
      </c>
      <c r="BZ15" s="1" t="str">
        <f>IF(AW15&gt;AW$163, AW15-AW$163,"")</f>
        <v/>
      </c>
      <c r="CA15" s="1" t="str">
        <f>IF(AX15&gt;AX$163, AX15-AX$163,"")</f>
        <v/>
      </c>
      <c r="CB15" s="1" t="str">
        <f>IF(AY15&gt;AY$163, AY15-AY$163,"")</f>
        <v/>
      </c>
      <c r="CC15" s="1" t="str">
        <f>IF(AZ15&gt;AZ$163, AZ15-AZ$163,"")</f>
        <v/>
      </c>
      <c r="CD15" s="1" t="str">
        <f>IF(BA15&gt;BA$163, BA15-BA$163,"")</f>
        <v/>
      </c>
      <c r="CE15" s="1" t="str">
        <f>IF(BB15&gt;BB$163, BB15-BB$163,"")</f>
        <v/>
      </c>
      <c r="CF15" s="1">
        <f t="shared" si="14"/>
        <v>0</v>
      </c>
      <c r="CG15" s="1" t="str">
        <f t="shared" si="1"/>
        <v/>
      </c>
      <c r="CH15" s="1" t="str">
        <f t="shared" si="2"/>
        <v/>
      </c>
      <c r="CI15" s="1" t="str">
        <f t="shared" si="3"/>
        <v/>
      </c>
      <c r="CJ15" s="1" t="str">
        <f t="shared" si="4"/>
        <v/>
      </c>
      <c r="CK15" s="1" t="str">
        <f t="shared" si="5"/>
        <v/>
      </c>
      <c r="CL15" s="1" t="str">
        <f t="shared" si="6"/>
        <v/>
      </c>
      <c r="CM15" s="1" t="str">
        <f t="shared" si="7"/>
        <v/>
      </c>
      <c r="CN15" s="1" t="str">
        <f t="shared" si="8"/>
        <v/>
      </c>
      <c r="CO15" s="1" t="str">
        <f t="shared" si="9"/>
        <v/>
      </c>
      <c r="CP15" s="1" t="str">
        <f t="shared" si="10"/>
        <v/>
      </c>
      <c r="CQ15" s="1" t="str">
        <f t="shared" si="11"/>
        <v/>
      </c>
      <c r="CR15" s="1" t="str">
        <f t="shared" si="12"/>
        <v/>
      </c>
      <c r="CS15" s="18">
        <f t="shared" si="13"/>
        <v>20</v>
      </c>
    </row>
    <row r="16" spans="1:97" x14ac:dyDescent="0.15">
      <c r="A16" s="1">
        <v>5</v>
      </c>
      <c r="B16" s="1" t="s">
        <v>22</v>
      </c>
      <c r="C16" s="1" t="s">
        <v>2</v>
      </c>
      <c r="D16" s="1" t="s">
        <v>12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>
        <v>10</v>
      </c>
      <c r="AS16" s="4"/>
      <c r="AT16" s="4"/>
      <c r="AU16" s="4"/>
      <c r="AV16" s="4"/>
      <c r="AW16" s="2"/>
      <c r="AX16" s="2"/>
      <c r="AY16" s="2"/>
      <c r="AZ16" s="2"/>
      <c r="BA16" s="2"/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20</v>
      </c>
      <c r="BQ16" s="1">
        <v>0</v>
      </c>
      <c r="BR16" s="17">
        <v>0</v>
      </c>
      <c r="BS16" s="17"/>
      <c r="BT16" s="1" t="str">
        <f>IF(AQ16&gt;AQ$163, AQ16-AQ$163,"")</f>
        <v/>
      </c>
      <c r="BU16" s="1" t="str">
        <f>IF(AR16&gt;AR$163, AR16-AR$163,"")</f>
        <v/>
      </c>
      <c r="BV16" s="1" t="str">
        <f>IF(AS16&gt;AS$163, AS16-AS$163,"")</f>
        <v/>
      </c>
      <c r="BW16" s="1" t="str">
        <f>IF(AT16&gt;AT$163, AT16-AT$163,"")</f>
        <v/>
      </c>
      <c r="BX16" s="1" t="str">
        <f>IF(AU16&gt;AU$163, AU16-AU$163,"")</f>
        <v/>
      </c>
      <c r="BY16" s="1" t="str">
        <f>IF(AV16&gt;AV$163, AV16-AV$163,"")</f>
        <v/>
      </c>
      <c r="BZ16" s="1" t="str">
        <f>IF(AW16&gt;AW$163, AW16-AW$163,"")</f>
        <v/>
      </c>
      <c r="CA16" s="1" t="str">
        <f>IF(AX16&gt;AX$163, AX16-AX$163,"")</f>
        <v/>
      </c>
      <c r="CB16" s="1" t="str">
        <f>IF(AY16&gt;AY$163, AY16-AY$163,"")</f>
        <v/>
      </c>
      <c r="CC16" s="1" t="str">
        <f>IF(AZ16&gt;AZ$163, AZ16-AZ$163,"")</f>
        <v/>
      </c>
      <c r="CD16" s="1" t="str">
        <f>IF(BA16&gt;BA$163, BA16-BA$163,"")</f>
        <v/>
      </c>
      <c r="CE16" s="1" t="str">
        <f>IF(BB16&gt;BB$163, BB16-BB$163,"")</f>
        <v/>
      </c>
      <c r="CF16" s="1">
        <f t="shared" si="14"/>
        <v>0</v>
      </c>
      <c r="CG16" s="1" t="str">
        <f t="shared" si="1"/>
        <v/>
      </c>
      <c r="CH16" s="1" t="str">
        <f t="shared" si="2"/>
        <v/>
      </c>
      <c r="CI16" s="1" t="str">
        <f t="shared" si="3"/>
        <v/>
      </c>
      <c r="CJ16" s="1" t="str">
        <f t="shared" si="4"/>
        <v/>
      </c>
      <c r="CK16" s="1" t="str">
        <f t="shared" si="5"/>
        <v/>
      </c>
      <c r="CL16" s="1" t="str">
        <f t="shared" si="6"/>
        <v/>
      </c>
      <c r="CM16" s="1" t="str">
        <f t="shared" si="7"/>
        <v/>
      </c>
      <c r="CN16" s="1" t="str">
        <f t="shared" si="8"/>
        <v/>
      </c>
      <c r="CO16" s="1" t="str">
        <f t="shared" si="9"/>
        <v/>
      </c>
      <c r="CP16" s="1" t="str">
        <f t="shared" si="10"/>
        <v/>
      </c>
      <c r="CQ16" s="1" t="str">
        <f t="shared" si="11"/>
        <v/>
      </c>
      <c r="CR16" s="1" t="str">
        <f t="shared" si="12"/>
        <v/>
      </c>
      <c r="CS16" s="18">
        <f t="shared" si="13"/>
        <v>20</v>
      </c>
    </row>
    <row r="17" spans="1:97" x14ac:dyDescent="0.15">
      <c r="A17" s="1">
        <v>6</v>
      </c>
      <c r="B17" s="1" t="s">
        <v>55</v>
      </c>
      <c r="C17" s="1" t="s">
        <v>2</v>
      </c>
      <c r="D17" s="1" t="s">
        <v>23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>
        <v>10</v>
      </c>
      <c r="AS17" s="4"/>
      <c r="AT17" s="4"/>
      <c r="AU17" s="4"/>
      <c r="AV17" s="4"/>
      <c r="AW17" s="2"/>
      <c r="AX17" s="2"/>
      <c r="AY17" s="2"/>
      <c r="AZ17" s="2"/>
      <c r="BA17" s="2"/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20</v>
      </c>
      <c r="BQ17" s="1">
        <v>0</v>
      </c>
      <c r="BR17" s="17">
        <v>0</v>
      </c>
      <c r="BS17" s="17"/>
      <c r="BT17" s="1" t="str">
        <f>IF(AQ17&gt;AQ$163, AQ17-AQ$163,"")</f>
        <v/>
      </c>
      <c r="BU17" s="1" t="str">
        <f>IF(AR17&gt;AR$163, AR17-AR$163,"")</f>
        <v/>
      </c>
      <c r="BV17" s="1" t="str">
        <f>IF(AS17&gt;AS$163, AS17-AS$163,"")</f>
        <v/>
      </c>
      <c r="BW17" s="1" t="str">
        <f>IF(AT17&gt;AT$163, AT17-AT$163,"")</f>
        <v/>
      </c>
      <c r="BX17" s="1" t="str">
        <f>IF(AU17&gt;AU$163, AU17-AU$163,"")</f>
        <v/>
      </c>
      <c r="BY17" s="1" t="str">
        <f>IF(AV17&gt;AV$163, AV17-AV$163,"")</f>
        <v/>
      </c>
      <c r="BZ17" s="1" t="str">
        <f>IF(AW17&gt;AW$163, AW17-AW$163,"")</f>
        <v/>
      </c>
      <c r="CA17" s="1" t="str">
        <f>IF(AX17&gt;AX$163, AX17-AX$163,"")</f>
        <v/>
      </c>
      <c r="CB17" s="1" t="str">
        <f>IF(AY17&gt;AY$163, AY17-AY$163,"")</f>
        <v/>
      </c>
      <c r="CC17" s="1" t="str">
        <f>IF(AZ17&gt;AZ$163, AZ17-AZ$163,"")</f>
        <v/>
      </c>
      <c r="CD17" s="1" t="str">
        <f>IF(BA17&gt;BA$163, BA17-BA$163,"")</f>
        <v/>
      </c>
      <c r="CE17" s="1" t="str">
        <f>IF(BB17&gt;BB$163, BB17-BB$163,"")</f>
        <v/>
      </c>
      <c r="CF17" s="1">
        <f t="shared" si="14"/>
        <v>0</v>
      </c>
      <c r="CG17" s="1" t="str">
        <f t="shared" si="1"/>
        <v/>
      </c>
      <c r="CH17" s="1" t="str">
        <f t="shared" si="2"/>
        <v/>
      </c>
      <c r="CI17" s="1" t="str">
        <f t="shared" si="3"/>
        <v/>
      </c>
      <c r="CJ17" s="1" t="str">
        <f t="shared" si="4"/>
        <v/>
      </c>
      <c r="CK17" s="1" t="str">
        <f t="shared" si="5"/>
        <v/>
      </c>
      <c r="CL17" s="1" t="str">
        <f t="shared" si="6"/>
        <v/>
      </c>
      <c r="CM17" s="1" t="str">
        <f t="shared" si="7"/>
        <v/>
      </c>
      <c r="CN17" s="1" t="str">
        <f t="shared" si="8"/>
        <v/>
      </c>
      <c r="CO17" s="1" t="str">
        <f t="shared" si="9"/>
        <v/>
      </c>
      <c r="CP17" s="1" t="str">
        <f t="shared" si="10"/>
        <v/>
      </c>
      <c r="CQ17" s="1" t="str">
        <f t="shared" si="11"/>
        <v/>
      </c>
      <c r="CR17" s="1" t="str">
        <f t="shared" si="12"/>
        <v/>
      </c>
      <c r="CS17" s="18">
        <f t="shared" si="13"/>
        <v>20</v>
      </c>
    </row>
    <row r="18" spans="1:97" x14ac:dyDescent="0.15">
      <c r="A18" s="1">
        <v>94</v>
      </c>
      <c r="B18" s="3" t="s">
        <v>94</v>
      </c>
      <c r="C18" s="3" t="s">
        <v>78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>
        <v>10</v>
      </c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20</v>
      </c>
      <c r="BQ18" s="1">
        <v>0</v>
      </c>
      <c r="BR18" s="17">
        <v>0</v>
      </c>
      <c r="BS18" s="17"/>
      <c r="BT18" s="1" t="str">
        <f>IF(AQ18&gt;AQ$163, AQ18-AQ$163,"")</f>
        <v/>
      </c>
      <c r="BU18" s="1" t="str">
        <f>IF(AR18&gt;AR$163, AR18-AR$163,"")</f>
        <v/>
      </c>
      <c r="BV18" s="1" t="str">
        <f>IF(AS18&gt;AS$163, AS18-AS$163,"")</f>
        <v/>
      </c>
      <c r="BW18" s="1" t="str">
        <f>IF(AT18&gt;AT$163, AT18-AT$163,"")</f>
        <v/>
      </c>
      <c r="BX18" s="1" t="str">
        <f>IF(AU18&gt;AU$163, AU18-AU$163,"")</f>
        <v/>
      </c>
      <c r="BY18" s="1" t="str">
        <f>IF(AV18&gt;AV$163, AV18-AV$163,"")</f>
        <v/>
      </c>
      <c r="BZ18" s="1" t="str">
        <f>IF(AW18&gt;AW$163, AW18-AW$163,"")</f>
        <v/>
      </c>
      <c r="CA18" s="1" t="str">
        <f>IF(AX18&gt;AX$163, AX18-AX$163,"")</f>
        <v/>
      </c>
      <c r="CB18" s="1" t="str">
        <f>IF(AY18&gt;AY$163, AY18-AY$163,"")</f>
        <v/>
      </c>
      <c r="CC18" s="1" t="str">
        <f>IF(AZ18&gt;AZ$163, AZ18-AZ$163,"")</f>
        <v/>
      </c>
      <c r="CD18" s="1" t="str">
        <f>IF(BA18&gt;BA$163, BA18-BA$163,"")</f>
        <v/>
      </c>
      <c r="CE18" s="1" t="str">
        <f>IF(BB18&gt;BB$163, BB18-BB$163,"")</f>
        <v/>
      </c>
      <c r="CF18" s="1">
        <f t="shared" si="14"/>
        <v>0</v>
      </c>
      <c r="CG18" s="1" t="str">
        <f t="shared" si="1"/>
        <v/>
      </c>
      <c r="CH18" s="1" t="str">
        <f t="shared" si="2"/>
        <v/>
      </c>
      <c r="CI18" s="1" t="str">
        <f t="shared" si="3"/>
        <v/>
      </c>
      <c r="CJ18" s="1" t="str">
        <f t="shared" si="4"/>
        <v/>
      </c>
      <c r="CK18" s="1" t="str">
        <f t="shared" si="5"/>
        <v/>
      </c>
      <c r="CL18" s="1" t="str">
        <f t="shared" si="6"/>
        <v/>
      </c>
      <c r="CM18" s="1" t="str">
        <f t="shared" si="7"/>
        <v/>
      </c>
      <c r="CN18" s="1" t="str">
        <f t="shared" si="8"/>
        <v/>
      </c>
      <c r="CO18" s="1" t="str">
        <f t="shared" si="9"/>
        <v/>
      </c>
      <c r="CP18" s="1" t="str">
        <f t="shared" si="10"/>
        <v/>
      </c>
      <c r="CQ18" s="1" t="str">
        <f t="shared" si="11"/>
        <v/>
      </c>
      <c r="CR18" s="1" t="str">
        <f t="shared" si="12"/>
        <v/>
      </c>
      <c r="CS18" s="18">
        <f t="shared" si="13"/>
        <v>20</v>
      </c>
    </row>
    <row r="19" spans="1:97" x14ac:dyDescent="0.15">
      <c r="A19" s="1">
        <v>96</v>
      </c>
      <c r="B19" s="3" t="s">
        <v>77</v>
      </c>
      <c r="C19" s="3" t="s">
        <v>78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>
        <v>10</v>
      </c>
      <c r="BB19" s="2">
        <v>10</v>
      </c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20</v>
      </c>
      <c r="BQ19" s="1">
        <v>0</v>
      </c>
      <c r="BR19" s="17">
        <v>0</v>
      </c>
      <c r="BS19" s="17"/>
      <c r="BT19" s="1" t="str">
        <f>IF(AQ19&gt;AQ$163, AQ19-AQ$163,"")</f>
        <v/>
      </c>
      <c r="BU19" s="1" t="str">
        <f>IF(AR19&gt;AR$163, AR19-AR$163,"")</f>
        <v/>
      </c>
      <c r="BV19" s="1" t="str">
        <f>IF(AS19&gt;AS$163, AS19-AS$163,"")</f>
        <v/>
      </c>
      <c r="BW19" s="1" t="str">
        <f>IF(AT19&gt;AT$163, AT19-AT$163,"")</f>
        <v/>
      </c>
      <c r="BX19" s="1" t="str">
        <f>IF(AU19&gt;AU$163, AU19-AU$163,"")</f>
        <v/>
      </c>
      <c r="BY19" s="1" t="str">
        <f>IF(AV19&gt;AV$163, AV19-AV$163,"")</f>
        <v/>
      </c>
      <c r="BZ19" s="1" t="str">
        <f>IF(AW19&gt;AW$163, AW19-AW$163,"")</f>
        <v/>
      </c>
      <c r="CA19" s="1" t="str">
        <f>IF(AX19&gt;AX$163, AX19-AX$163,"")</f>
        <v/>
      </c>
      <c r="CB19" s="1" t="str">
        <f>IF(AY19&gt;AY$163, AY19-AY$163,"")</f>
        <v/>
      </c>
      <c r="CC19" s="1" t="str">
        <f>IF(AZ19&gt;AZ$163, AZ19-AZ$163,"")</f>
        <v/>
      </c>
      <c r="CD19" s="1" t="str">
        <f>IF(BA19&gt;BA$163, BA19-BA$163,"")</f>
        <v/>
      </c>
      <c r="CE19" s="1" t="str">
        <f>IF(BB19&gt;BB$163, BB19-BB$163,"")</f>
        <v/>
      </c>
      <c r="CF19" s="1">
        <f t="shared" si="14"/>
        <v>0</v>
      </c>
      <c r="CG19" s="1" t="str">
        <f t="shared" si="1"/>
        <v/>
      </c>
      <c r="CH19" s="1" t="str">
        <f t="shared" si="2"/>
        <v/>
      </c>
      <c r="CI19" s="1" t="str">
        <f t="shared" si="3"/>
        <v/>
      </c>
      <c r="CJ19" s="1" t="str">
        <f t="shared" si="4"/>
        <v/>
      </c>
      <c r="CK19" s="1" t="str">
        <f t="shared" si="5"/>
        <v/>
      </c>
      <c r="CL19" s="1" t="str">
        <f t="shared" si="6"/>
        <v/>
      </c>
      <c r="CM19" s="1" t="str">
        <f t="shared" si="7"/>
        <v/>
      </c>
      <c r="CN19" s="1" t="str">
        <f t="shared" si="8"/>
        <v/>
      </c>
      <c r="CO19" s="1" t="str">
        <f t="shared" si="9"/>
        <v/>
      </c>
      <c r="CP19" s="1" t="str">
        <f t="shared" si="10"/>
        <v/>
      </c>
      <c r="CQ19" s="1" t="str">
        <f t="shared" si="11"/>
        <v/>
      </c>
      <c r="CR19" s="1" t="str">
        <f t="shared" si="12"/>
        <v/>
      </c>
      <c r="CS19" s="18">
        <f t="shared" si="13"/>
        <v>20</v>
      </c>
    </row>
    <row r="20" spans="1:97" x14ac:dyDescent="0.15">
      <c r="A20" s="1">
        <v>76</v>
      </c>
      <c r="B20" s="3" t="s">
        <v>115</v>
      </c>
      <c r="C20" s="3" t="s">
        <v>71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>
        <v>10</v>
      </c>
      <c r="BI20" s="1"/>
      <c r="BJ20" s="1"/>
      <c r="BK20" s="1"/>
      <c r="BL20" s="1"/>
      <c r="BM20" s="1"/>
      <c r="BN20" s="1"/>
      <c r="BO20" s="1"/>
      <c r="BP20" s="1">
        <f t="shared" si="0"/>
        <v>10</v>
      </c>
      <c r="BQ20" s="1">
        <v>0</v>
      </c>
      <c r="BR20" s="17">
        <v>0</v>
      </c>
      <c r="BS20" s="17"/>
      <c r="BT20" s="1" t="str">
        <f>IF(AQ20&gt;AQ$163, AQ20-AQ$163,"")</f>
        <v/>
      </c>
      <c r="BU20" s="1" t="str">
        <f>IF(AR20&gt;AR$163, AR20-AR$163,"")</f>
        <v/>
      </c>
      <c r="BV20" s="1" t="str">
        <f>IF(AS20&gt;AS$163, AS20-AS$163,"")</f>
        <v/>
      </c>
      <c r="BW20" s="1" t="str">
        <f>IF(AT20&gt;AT$163, AT20-AT$163,"")</f>
        <v/>
      </c>
      <c r="BX20" s="1" t="str">
        <f>IF(AU20&gt;AU$163, AU20-AU$163,"")</f>
        <v/>
      </c>
      <c r="BY20" s="1" t="str">
        <f>IF(AV20&gt;AV$163, AV20-AV$163,"")</f>
        <v/>
      </c>
      <c r="BZ20" s="1" t="str">
        <f>IF(AW20&gt;AW$163, AW20-AW$163,"")</f>
        <v/>
      </c>
      <c r="CA20" s="1" t="str">
        <f>IF(AX20&gt;AX$163, AX20-AX$163,"")</f>
        <v/>
      </c>
      <c r="CB20" s="1" t="str">
        <f>IF(AY20&gt;AY$163, AY20-AY$163,"")</f>
        <v/>
      </c>
      <c r="CC20" s="1" t="str">
        <f>IF(AZ20&gt;AZ$163, AZ20-AZ$163,"")</f>
        <v/>
      </c>
      <c r="CD20" s="1" t="str">
        <f>IF(BA20&gt;BA$163, BA20-BA$163,"")</f>
        <v/>
      </c>
      <c r="CE20" s="1" t="str">
        <f>IF(BB20&gt;BB$163, BB20-BB$163,"")</f>
        <v/>
      </c>
      <c r="CF20" s="1">
        <f t="shared" si="14"/>
        <v>0</v>
      </c>
      <c r="CG20" s="1" t="str">
        <f t="shared" si="1"/>
        <v/>
      </c>
      <c r="CH20" s="1" t="str">
        <f t="shared" si="2"/>
        <v/>
      </c>
      <c r="CI20" s="1" t="str">
        <f t="shared" si="3"/>
        <v/>
      </c>
      <c r="CJ20" s="1" t="str">
        <f t="shared" si="4"/>
        <v/>
      </c>
      <c r="CK20" s="1" t="str">
        <f t="shared" si="5"/>
        <v/>
      </c>
      <c r="CL20" s="1" t="str">
        <f t="shared" si="6"/>
        <v/>
      </c>
      <c r="CM20" s="1" t="str">
        <f t="shared" si="7"/>
        <v/>
      </c>
      <c r="CN20" s="1" t="str">
        <f t="shared" si="8"/>
        <v/>
      </c>
      <c r="CO20" s="1" t="str">
        <f t="shared" si="9"/>
        <v/>
      </c>
      <c r="CP20" s="1" t="str">
        <f t="shared" si="10"/>
        <v/>
      </c>
      <c r="CQ20" s="1" t="str">
        <f t="shared" si="11"/>
        <v/>
      </c>
      <c r="CR20" s="1" t="str">
        <f t="shared" si="12"/>
        <v/>
      </c>
      <c r="CS20" s="18">
        <f t="shared" si="13"/>
        <v>10</v>
      </c>
    </row>
    <row r="21" spans="1:97" x14ac:dyDescent="0.15">
      <c r="A21" s="1"/>
      <c r="B21" s="1" t="s">
        <v>124</v>
      </c>
      <c r="C21" s="1" t="s">
        <v>125</v>
      </c>
      <c r="D21" s="1" t="s">
        <v>123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>
        <v>20</v>
      </c>
      <c r="BE21" s="1">
        <v>20</v>
      </c>
      <c r="BF21" s="1">
        <v>20</v>
      </c>
      <c r="BG21" s="1">
        <v>20</v>
      </c>
      <c r="BH21" s="1"/>
      <c r="BI21" s="1"/>
      <c r="BJ21" s="1"/>
      <c r="BK21" s="1"/>
      <c r="BL21" s="1"/>
      <c r="BM21" s="1"/>
      <c r="BN21" s="1"/>
      <c r="BO21" s="1"/>
      <c r="BP21" s="1"/>
      <c r="BQ21" s="1">
        <v>0</v>
      </c>
      <c r="BR21" s="17">
        <v>0</v>
      </c>
      <c r="BS21" s="17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135</v>
      </c>
      <c r="C22" s="1" t="s">
        <v>136</v>
      </c>
      <c r="D22" s="1" t="s">
        <v>123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>
        <v>20</v>
      </c>
      <c r="BG22" s="1">
        <v>20</v>
      </c>
      <c r="BH22" s="1">
        <v>20</v>
      </c>
      <c r="BI22" s="1">
        <v>20</v>
      </c>
      <c r="BJ22" s="1"/>
      <c r="BK22" s="1"/>
      <c r="BL22" s="1"/>
      <c r="BM22" s="1"/>
      <c r="BN22" s="1"/>
      <c r="BO22" s="1"/>
      <c r="BP22" s="1"/>
      <c r="BQ22" s="1">
        <v>0</v>
      </c>
      <c r="BR22" s="17">
        <v>0</v>
      </c>
      <c r="BS22" s="17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x14ac:dyDescent="0.15">
      <c r="A23" s="1"/>
      <c r="B23" s="1" t="s">
        <v>138</v>
      </c>
      <c r="C23" s="1" t="s">
        <v>136</v>
      </c>
      <c r="D23" s="1" t="s">
        <v>122</v>
      </c>
      <c r="E23" s="6"/>
      <c r="F23" s="6"/>
      <c r="G23" s="6"/>
      <c r="H23" s="6"/>
      <c r="I23" s="6"/>
      <c r="J23" s="6"/>
      <c r="K23" s="6"/>
      <c r="L23" s="6"/>
      <c r="M23" s="6"/>
      <c r="N23" s="6">
        <v>5</v>
      </c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v>0</v>
      </c>
      <c r="BR23" s="17">
        <v>0</v>
      </c>
      <c r="BS23" s="17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x14ac:dyDescent="0.15">
      <c r="A24" s="1"/>
      <c r="B24" s="1" t="s">
        <v>141</v>
      </c>
      <c r="C24" s="1" t="s">
        <v>121</v>
      </c>
      <c r="D24" s="1" t="s">
        <v>123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>
        <v>20</v>
      </c>
      <c r="BE24" s="1">
        <v>20</v>
      </c>
      <c r="BF24" s="1">
        <v>20</v>
      </c>
      <c r="BG24" s="1">
        <v>20</v>
      </c>
      <c r="BH24" s="1"/>
      <c r="BI24" s="1"/>
      <c r="BJ24" s="1"/>
      <c r="BK24" s="1"/>
      <c r="BL24" s="1"/>
      <c r="BM24" s="1"/>
      <c r="BN24" s="1"/>
      <c r="BO24" s="1"/>
      <c r="BP24" s="1"/>
      <c r="BQ24" s="1">
        <v>0</v>
      </c>
      <c r="BR24" s="17">
        <v>0</v>
      </c>
      <c r="BS24" s="17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x14ac:dyDescent="0.15">
      <c r="A25" s="1"/>
      <c r="B25" s="1" t="s">
        <v>143</v>
      </c>
      <c r="C25" s="1" t="s">
        <v>121</v>
      </c>
      <c r="D25" s="1" t="s">
        <v>122</v>
      </c>
      <c r="E25" s="6"/>
      <c r="F25" s="6"/>
      <c r="G25" s="6"/>
      <c r="H25" s="6"/>
      <c r="I25" s="6"/>
      <c r="J25" s="6"/>
      <c r="K25" s="6">
        <v>5</v>
      </c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v>0</v>
      </c>
      <c r="BR25" s="17">
        <v>0</v>
      </c>
      <c r="BS25" s="17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8"/>
    </row>
    <row r="26" spans="1:97" s="25" customFormat="1" x14ac:dyDescent="0.15">
      <c r="A26" s="1"/>
      <c r="B26" s="1" t="s">
        <v>144</v>
      </c>
      <c r="C26" s="1" t="s">
        <v>145</v>
      </c>
      <c r="D26" s="1" t="s">
        <v>122</v>
      </c>
      <c r="E26" s="6"/>
      <c r="F26" s="6"/>
      <c r="G26" s="6">
        <v>2</v>
      </c>
      <c r="H26" s="6"/>
      <c r="I26" s="6"/>
      <c r="J26" s="6"/>
      <c r="K26" s="6"/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v>0</v>
      </c>
      <c r="BR26" s="17">
        <v>0</v>
      </c>
      <c r="BS26" s="17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8"/>
    </row>
    <row r="27" spans="1:97" x14ac:dyDescent="0.15">
      <c r="A27" s="1"/>
      <c r="B27" s="1" t="s">
        <v>146</v>
      </c>
      <c r="C27" s="1" t="s">
        <v>145</v>
      </c>
      <c r="D27" s="1" t="s">
        <v>122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150</v>
      </c>
      <c r="C28" s="1" t="s">
        <v>148</v>
      </c>
      <c r="D28" s="1" t="s">
        <v>122</v>
      </c>
      <c r="E28" s="6"/>
      <c r="F28" s="6"/>
      <c r="G28" s="6"/>
      <c r="H28" s="6"/>
      <c r="I28" s="6"/>
      <c r="J28" s="6">
        <v>5</v>
      </c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152</v>
      </c>
      <c r="C29" s="1" t="s">
        <v>148</v>
      </c>
      <c r="D29" s="1" t="s">
        <v>122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>
        <v>5</v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153</v>
      </c>
      <c r="C30" s="1" t="s">
        <v>148</v>
      </c>
      <c r="D30" s="1" t="s">
        <v>122</v>
      </c>
      <c r="E30" s="6"/>
      <c r="F30" s="6"/>
      <c r="G30" s="6"/>
      <c r="H30" s="6"/>
      <c r="I30" s="6"/>
      <c r="J30" s="6"/>
      <c r="K30" s="6">
        <v>5</v>
      </c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155</v>
      </c>
      <c r="C31" s="1" t="s">
        <v>148</v>
      </c>
      <c r="D31" s="1" t="s">
        <v>122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>
        <v>10</v>
      </c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191</v>
      </c>
      <c r="C32" s="1" t="s">
        <v>190</v>
      </c>
      <c r="D32" s="1" t="s">
        <v>162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10</v>
      </c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192</v>
      </c>
      <c r="C33" s="1" t="s">
        <v>193</v>
      </c>
      <c r="D33" s="1" t="s">
        <v>162</v>
      </c>
      <c r="E33" s="6"/>
      <c r="F33" s="6"/>
      <c r="G33" s="6"/>
      <c r="H33" s="6"/>
      <c r="I33" s="6"/>
      <c r="J33" s="6">
        <v>5</v>
      </c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194</v>
      </c>
      <c r="C34" s="1" t="s">
        <v>195</v>
      </c>
      <c r="D34" s="1" t="s">
        <v>163</v>
      </c>
      <c r="E34" s="6"/>
      <c r="F34" s="6"/>
      <c r="G34" s="6"/>
      <c r="H34" s="6"/>
      <c r="I34" s="6"/>
      <c r="J34" s="6"/>
      <c r="K34" s="6"/>
      <c r="L34" s="6">
        <v>6</v>
      </c>
      <c r="M34" s="6"/>
      <c r="N34" s="6"/>
      <c r="O34" s="6">
        <v>6</v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10</v>
      </c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201</v>
      </c>
      <c r="C35" s="1" t="s">
        <v>195</v>
      </c>
      <c r="D35" s="1" t="s">
        <v>162</v>
      </c>
      <c r="E35" s="6"/>
      <c r="F35" s="6"/>
      <c r="G35" s="6"/>
      <c r="H35" s="6"/>
      <c r="I35" s="6"/>
      <c r="J35" s="6"/>
      <c r="K35" s="6">
        <v>5</v>
      </c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159</v>
      </c>
      <c r="C36" s="1" t="s">
        <v>160</v>
      </c>
      <c r="D36" s="1" t="s">
        <v>161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>
        <v>10</v>
      </c>
      <c r="Q36" s="32"/>
      <c r="R36" s="32"/>
      <c r="S36" s="32">
        <v>10</v>
      </c>
      <c r="T36" s="32"/>
      <c r="U36" s="32"/>
      <c r="V36" s="32">
        <v>10</v>
      </c>
      <c r="W36" s="32"/>
      <c r="X36" s="32"/>
      <c r="Y36" s="32">
        <v>10</v>
      </c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s="25" customFormat="1" x14ac:dyDescent="0.15">
      <c r="A37" s="1"/>
      <c r="B37" s="1" t="s">
        <v>178</v>
      </c>
      <c r="C37" s="1" t="s">
        <v>179</v>
      </c>
      <c r="D37" s="1" t="s">
        <v>161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>
        <v>10</v>
      </c>
      <c r="Q37" s="32"/>
      <c r="R37" s="32"/>
      <c r="S37" s="32">
        <v>10</v>
      </c>
      <c r="T37" s="32"/>
      <c r="U37" s="32"/>
      <c r="V37" s="32">
        <v>10</v>
      </c>
      <c r="W37" s="32"/>
      <c r="X37" s="32"/>
      <c r="Y37" s="32">
        <v>10</v>
      </c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186</v>
      </c>
      <c r="C38" s="1" t="s">
        <v>184</v>
      </c>
      <c r="D38" s="1" t="s">
        <v>161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>
        <v>10</v>
      </c>
      <c r="Q38" s="32"/>
      <c r="R38" s="32"/>
      <c r="S38" s="32">
        <v>10</v>
      </c>
      <c r="T38" s="32"/>
      <c r="U38" s="32"/>
      <c r="V38" s="32">
        <v>10</v>
      </c>
      <c r="W38" s="32"/>
      <c r="X38" s="32"/>
      <c r="Y38" s="32">
        <v>10</v>
      </c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188</v>
      </c>
      <c r="C39" s="1" t="s">
        <v>190</v>
      </c>
      <c r="D39" s="1" t="s">
        <v>161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>
        <v>10</v>
      </c>
      <c r="Q39" s="32"/>
      <c r="R39" s="32"/>
      <c r="S39" s="32">
        <v>10</v>
      </c>
      <c r="T39" s="32"/>
      <c r="U39" s="32"/>
      <c r="V39" s="32">
        <v>10</v>
      </c>
      <c r="W39" s="32"/>
      <c r="X39" s="32"/>
      <c r="Y39" s="32">
        <v>10</v>
      </c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v>0</v>
      </c>
      <c r="BR39" s="17">
        <v>0</v>
      </c>
      <c r="BS39" s="17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x14ac:dyDescent="0.15">
      <c r="A40" s="1"/>
      <c r="B40" s="1" t="s">
        <v>197</v>
      </c>
      <c r="C40" s="1" t="s">
        <v>195</v>
      </c>
      <c r="D40" s="1" t="s">
        <v>161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>
        <v>10</v>
      </c>
      <c r="Q40" s="32"/>
      <c r="R40" s="32"/>
      <c r="S40" s="32">
        <v>10</v>
      </c>
      <c r="T40" s="32"/>
      <c r="U40" s="32"/>
      <c r="V40" s="32">
        <v>10</v>
      </c>
      <c r="W40" s="32"/>
      <c r="X40" s="32"/>
      <c r="Y40" s="32">
        <v>10</v>
      </c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v>0</v>
      </c>
      <c r="BR40" s="17">
        <v>0</v>
      </c>
      <c r="BS40" s="17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x14ac:dyDescent="0.15">
      <c r="A41" s="1"/>
      <c r="B41" s="1" t="s">
        <v>200</v>
      </c>
      <c r="C41" s="1" t="s">
        <v>195</v>
      </c>
      <c r="D41" s="1" t="s">
        <v>161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>
        <v>10</v>
      </c>
      <c r="Q41" s="32"/>
      <c r="R41" s="32"/>
      <c r="S41" s="32">
        <v>10</v>
      </c>
      <c r="T41" s="32"/>
      <c r="U41" s="32"/>
      <c r="V41" s="32">
        <v>10</v>
      </c>
      <c r="W41" s="32"/>
      <c r="X41" s="32"/>
      <c r="Y41" s="32">
        <v>10</v>
      </c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v>0</v>
      </c>
      <c r="BR41" s="17">
        <v>0</v>
      </c>
      <c r="BS41" s="17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/>
      <c r="B42" s="1" t="s">
        <v>202</v>
      </c>
      <c r="C42" s="1" t="s">
        <v>195</v>
      </c>
      <c r="D42" s="1" t="s">
        <v>161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>
        <v>10</v>
      </c>
      <c r="Q42" s="32"/>
      <c r="R42" s="32"/>
      <c r="S42" s="32">
        <v>10</v>
      </c>
      <c r="T42" s="32"/>
      <c r="U42" s="32"/>
      <c r="V42" s="32">
        <v>10</v>
      </c>
      <c r="W42" s="32"/>
      <c r="X42" s="32"/>
      <c r="Y42" s="32">
        <v>10</v>
      </c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v>0</v>
      </c>
      <c r="BR42" s="17">
        <v>0</v>
      </c>
      <c r="BS42" s="17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x14ac:dyDescent="0.15">
      <c r="A43" s="1">
        <v>97</v>
      </c>
      <c r="B43" s="3" t="s">
        <v>79</v>
      </c>
      <c r="C43" s="3" t="s">
        <v>78</v>
      </c>
      <c r="D43" s="1" t="s">
        <v>24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>
        <v>10</v>
      </c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10</v>
      </c>
      <c r="BQ43" s="1">
        <v>0</v>
      </c>
      <c r="BR43" s="17">
        <v>0</v>
      </c>
      <c r="BS43" s="17"/>
      <c r="BT43" s="1" t="str">
        <f t="shared" ref="BT43:CE46" si="15">IF(AQ43&gt;AQ$163, AQ43-AQ$163,"")</f>
        <v/>
      </c>
      <c r="BU43" s="1" t="str">
        <f t="shared" si="15"/>
        <v/>
      </c>
      <c r="BV43" s="1" t="str">
        <f t="shared" si="15"/>
        <v/>
      </c>
      <c r="BW43" s="1" t="str">
        <f t="shared" si="15"/>
        <v/>
      </c>
      <c r="BX43" s="1" t="str">
        <f t="shared" si="15"/>
        <v/>
      </c>
      <c r="BY43" s="1" t="str">
        <f t="shared" si="15"/>
        <v/>
      </c>
      <c r="BZ43" s="1" t="str">
        <f t="shared" si="15"/>
        <v/>
      </c>
      <c r="CA43" s="1" t="str">
        <f t="shared" si="15"/>
        <v/>
      </c>
      <c r="CB43" s="1" t="str">
        <f t="shared" si="15"/>
        <v/>
      </c>
      <c r="CC43" s="1" t="str">
        <f t="shared" si="15"/>
        <v/>
      </c>
      <c r="CD43" s="1" t="str">
        <f t="shared" si="15"/>
        <v/>
      </c>
      <c r="CE43" s="1" t="str">
        <f t="shared" si="15"/>
        <v/>
      </c>
      <c r="CF43" s="1">
        <f>COUNTIF(BT43:CE43, "&gt;0")</f>
        <v>0</v>
      </c>
      <c r="CG43" s="1" t="str">
        <f t="shared" ref="CG43:CR46" si="16">IF($CF43=1,BT43,"")</f>
        <v/>
      </c>
      <c r="CH43" s="1" t="str">
        <f t="shared" si="16"/>
        <v/>
      </c>
      <c r="CI43" s="1" t="str">
        <f t="shared" si="16"/>
        <v/>
      </c>
      <c r="CJ43" s="1" t="str">
        <f t="shared" si="16"/>
        <v/>
      </c>
      <c r="CK43" s="1" t="str">
        <f t="shared" si="16"/>
        <v/>
      </c>
      <c r="CL43" s="1" t="str">
        <f t="shared" si="16"/>
        <v/>
      </c>
      <c r="CM43" s="1" t="str">
        <f t="shared" si="16"/>
        <v/>
      </c>
      <c r="CN43" s="1" t="str">
        <f t="shared" si="16"/>
        <v/>
      </c>
      <c r="CO43" s="1" t="str">
        <f t="shared" si="16"/>
        <v/>
      </c>
      <c r="CP43" s="1" t="str">
        <f t="shared" si="16"/>
        <v/>
      </c>
      <c r="CQ43" s="1" t="str">
        <f t="shared" si="16"/>
        <v/>
      </c>
      <c r="CR43" s="1" t="str">
        <f t="shared" si="16"/>
        <v/>
      </c>
      <c r="CS43" s="18">
        <f>SUM(AE43:BO43)</f>
        <v>10</v>
      </c>
    </row>
    <row r="44" spans="1:97" x14ac:dyDescent="0.15">
      <c r="A44" s="1">
        <v>91</v>
      </c>
      <c r="B44" s="3" t="s">
        <v>91</v>
      </c>
      <c r="C44" s="3" t="s">
        <v>90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>
        <v>5</v>
      </c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5</v>
      </c>
      <c r="BQ44" s="1">
        <v>1</v>
      </c>
      <c r="BR44" s="17">
        <v>1</v>
      </c>
      <c r="BS44" s="17" t="s">
        <v>211</v>
      </c>
      <c r="BT44" s="1" t="str">
        <f t="shared" si="15"/>
        <v/>
      </c>
      <c r="BU44" s="1" t="str">
        <f t="shared" si="15"/>
        <v/>
      </c>
      <c r="BV44" s="1" t="str">
        <f t="shared" si="15"/>
        <v/>
      </c>
      <c r="BW44" s="1" t="str">
        <f t="shared" si="15"/>
        <v/>
      </c>
      <c r="BX44" s="1" t="str">
        <f t="shared" si="15"/>
        <v/>
      </c>
      <c r="BY44" s="1" t="str">
        <f t="shared" si="15"/>
        <v/>
      </c>
      <c r="BZ44" s="1" t="str">
        <f t="shared" si="15"/>
        <v/>
      </c>
      <c r="CA44" s="1" t="str">
        <f t="shared" si="15"/>
        <v/>
      </c>
      <c r="CB44" s="1" t="str">
        <f t="shared" si="15"/>
        <v/>
      </c>
      <c r="CC44" s="1" t="str">
        <f t="shared" si="15"/>
        <v/>
      </c>
      <c r="CD44" s="1" t="str">
        <f t="shared" si="15"/>
        <v/>
      </c>
      <c r="CE44" s="1" t="str">
        <f t="shared" si="15"/>
        <v/>
      </c>
      <c r="CF44" s="1">
        <f>COUNTIF(BT44:CE44, "&gt;0")</f>
        <v>0</v>
      </c>
      <c r="CG44" s="1" t="str">
        <f t="shared" si="16"/>
        <v/>
      </c>
      <c r="CH44" s="1" t="str">
        <f t="shared" si="16"/>
        <v/>
      </c>
      <c r="CI44" s="1" t="str">
        <f t="shared" si="16"/>
        <v/>
      </c>
      <c r="CJ44" s="1" t="str">
        <f t="shared" si="16"/>
        <v/>
      </c>
      <c r="CK44" s="1" t="str">
        <f t="shared" si="16"/>
        <v/>
      </c>
      <c r="CL44" s="1" t="str">
        <f t="shared" si="16"/>
        <v/>
      </c>
      <c r="CM44" s="1" t="str">
        <f t="shared" si="16"/>
        <v/>
      </c>
      <c r="CN44" s="1" t="str">
        <f t="shared" si="16"/>
        <v/>
      </c>
      <c r="CO44" s="1" t="str">
        <f t="shared" si="16"/>
        <v/>
      </c>
      <c r="CP44" s="1" t="str">
        <f t="shared" si="16"/>
        <v/>
      </c>
      <c r="CQ44" s="1" t="str">
        <f t="shared" si="16"/>
        <v/>
      </c>
      <c r="CR44" s="1" t="str">
        <f t="shared" si="16"/>
        <v/>
      </c>
      <c r="CS44" s="18">
        <f>SUM(AE44:BO44)</f>
        <v>5</v>
      </c>
    </row>
    <row r="45" spans="1:97" x14ac:dyDescent="0.15">
      <c r="A45" s="19">
        <v>92</v>
      </c>
      <c r="B45" s="27" t="s">
        <v>92</v>
      </c>
      <c r="C45" s="27" t="s">
        <v>90</v>
      </c>
      <c r="D45" s="19" t="s">
        <v>24</v>
      </c>
      <c r="E45" s="20">
        <v>10</v>
      </c>
      <c r="F45" s="20"/>
      <c r="G45" s="20"/>
      <c r="H45" s="20"/>
      <c r="I45" s="20">
        <v>10</v>
      </c>
      <c r="J45" s="20">
        <v>10</v>
      </c>
      <c r="K45" s="20"/>
      <c r="L45" s="20"/>
      <c r="M45" s="20"/>
      <c r="N45" s="20"/>
      <c r="O45" s="20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21"/>
      <c r="AR45" s="21"/>
      <c r="AS45" s="21"/>
      <c r="AT45" s="21"/>
      <c r="AU45" s="21"/>
      <c r="AV45" s="21"/>
      <c r="AW45" s="22"/>
      <c r="AX45" s="22"/>
      <c r="AY45" s="22"/>
      <c r="AZ45" s="22"/>
      <c r="BA45" s="22"/>
      <c r="BB45" s="22"/>
      <c r="BC45" s="30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>
        <f>SUM(E45:BO45)</f>
        <v>30</v>
      </c>
      <c r="BQ45" s="19">
        <v>2</v>
      </c>
      <c r="BR45" s="23">
        <v>1</v>
      </c>
      <c r="BS45" s="23" t="s">
        <v>250</v>
      </c>
      <c r="BT45" s="19" t="str">
        <f t="shared" si="15"/>
        <v/>
      </c>
      <c r="BU45" s="19" t="str">
        <f t="shared" si="15"/>
        <v/>
      </c>
      <c r="BV45" s="19" t="str">
        <f t="shared" si="15"/>
        <v/>
      </c>
      <c r="BW45" s="19" t="str">
        <f t="shared" si="15"/>
        <v/>
      </c>
      <c r="BX45" s="19" t="str">
        <f t="shared" si="15"/>
        <v/>
      </c>
      <c r="BY45" s="19" t="str">
        <f t="shared" si="15"/>
        <v/>
      </c>
      <c r="BZ45" s="19" t="str">
        <f t="shared" si="15"/>
        <v/>
      </c>
      <c r="CA45" s="19" t="str">
        <f t="shared" si="15"/>
        <v/>
      </c>
      <c r="CB45" s="19" t="str">
        <f t="shared" si="15"/>
        <v/>
      </c>
      <c r="CC45" s="19" t="str">
        <f t="shared" si="15"/>
        <v/>
      </c>
      <c r="CD45" s="19" t="str">
        <f t="shared" si="15"/>
        <v/>
      </c>
      <c r="CE45" s="19" t="str">
        <f t="shared" si="15"/>
        <v/>
      </c>
      <c r="CF45" s="19">
        <f>COUNTIF(BT45:CE45, "&gt;0")</f>
        <v>0</v>
      </c>
      <c r="CG45" s="19" t="str">
        <f t="shared" si="16"/>
        <v/>
      </c>
      <c r="CH45" s="19" t="str">
        <f t="shared" si="16"/>
        <v/>
      </c>
      <c r="CI45" s="19" t="str">
        <f t="shared" si="16"/>
        <v/>
      </c>
      <c r="CJ45" s="19" t="str">
        <f t="shared" si="16"/>
        <v/>
      </c>
      <c r="CK45" s="19" t="str">
        <f t="shared" si="16"/>
        <v/>
      </c>
      <c r="CL45" s="19" t="str">
        <f t="shared" si="16"/>
        <v/>
      </c>
      <c r="CM45" s="19" t="str">
        <f t="shared" si="16"/>
        <v/>
      </c>
      <c r="CN45" s="19" t="str">
        <f t="shared" si="16"/>
        <v/>
      </c>
      <c r="CO45" s="19" t="str">
        <f t="shared" si="16"/>
        <v/>
      </c>
      <c r="CP45" s="19" t="str">
        <f t="shared" si="16"/>
        <v/>
      </c>
      <c r="CQ45" s="19" t="str">
        <f t="shared" si="16"/>
        <v/>
      </c>
      <c r="CR45" s="19" t="str">
        <f t="shared" si="16"/>
        <v/>
      </c>
      <c r="CS45" s="24">
        <f>SUM(AE45:BO45)</f>
        <v>0</v>
      </c>
    </row>
    <row r="46" spans="1:97" x14ac:dyDescent="0.15">
      <c r="A46" s="1">
        <v>84</v>
      </c>
      <c r="B46" s="3" t="s">
        <v>76</v>
      </c>
      <c r="C46" s="3" t="s">
        <v>71</v>
      </c>
      <c r="D46" s="1" t="s">
        <v>13</v>
      </c>
      <c r="E46" s="6"/>
      <c r="F46" s="6"/>
      <c r="G46" s="6">
        <v>5</v>
      </c>
      <c r="H46" s="6">
        <v>5</v>
      </c>
      <c r="I46" s="6"/>
      <c r="J46" s="6"/>
      <c r="K46" s="6"/>
      <c r="L46" s="6"/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>
        <v>5</v>
      </c>
      <c r="BB46" s="2">
        <v>5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20</v>
      </c>
      <c r="BQ46" s="1">
        <v>2</v>
      </c>
      <c r="BR46" s="17">
        <v>1</v>
      </c>
      <c r="BS46" s="17" t="s">
        <v>251</v>
      </c>
      <c r="BT46" s="1" t="str">
        <f t="shared" si="15"/>
        <v/>
      </c>
      <c r="BU46" s="1" t="str">
        <f t="shared" si="15"/>
        <v/>
      </c>
      <c r="BV46" s="1" t="str">
        <f t="shared" si="15"/>
        <v/>
      </c>
      <c r="BW46" s="1" t="str">
        <f t="shared" si="15"/>
        <v/>
      </c>
      <c r="BX46" s="1" t="str">
        <f t="shared" si="15"/>
        <v/>
      </c>
      <c r="BY46" s="1" t="str">
        <f t="shared" si="15"/>
        <v/>
      </c>
      <c r="BZ46" s="1" t="str">
        <f t="shared" si="15"/>
        <v/>
      </c>
      <c r="CA46" s="1" t="str">
        <f t="shared" si="15"/>
        <v/>
      </c>
      <c r="CB46" s="1" t="str">
        <f t="shared" si="15"/>
        <v/>
      </c>
      <c r="CC46" s="1" t="str">
        <f t="shared" si="15"/>
        <v/>
      </c>
      <c r="CD46" s="1" t="str">
        <f t="shared" si="15"/>
        <v/>
      </c>
      <c r="CE46" s="1" t="str">
        <f t="shared" si="15"/>
        <v/>
      </c>
      <c r="CF46" s="1">
        <f>COUNTIF(BT46:CE46, "&gt;0")</f>
        <v>0</v>
      </c>
      <c r="CG46" s="1" t="str">
        <f t="shared" si="16"/>
        <v/>
      </c>
      <c r="CH46" s="1" t="str">
        <f t="shared" si="16"/>
        <v/>
      </c>
      <c r="CI46" s="1" t="str">
        <f t="shared" si="16"/>
        <v/>
      </c>
      <c r="CJ46" s="1" t="str">
        <f t="shared" si="16"/>
        <v/>
      </c>
      <c r="CK46" s="1" t="str">
        <f t="shared" si="16"/>
        <v/>
      </c>
      <c r="CL46" s="1" t="str">
        <f t="shared" si="16"/>
        <v/>
      </c>
      <c r="CM46" s="1" t="str">
        <f t="shared" si="16"/>
        <v/>
      </c>
      <c r="CN46" s="1" t="str">
        <f t="shared" si="16"/>
        <v/>
      </c>
      <c r="CO46" s="1" t="str">
        <f t="shared" si="16"/>
        <v/>
      </c>
      <c r="CP46" s="1" t="str">
        <f t="shared" si="16"/>
        <v/>
      </c>
      <c r="CQ46" s="1" t="str">
        <f t="shared" si="16"/>
        <v/>
      </c>
      <c r="CR46" s="1" t="str">
        <f t="shared" si="16"/>
        <v/>
      </c>
      <c r="CS46" s="18">
        <f>SUM(AE46:BO46)</f>
        <v>10</v>
      </c>
    </row>
    <row r="47" spans="1:97" x14ac:dyDescent="0.15">
      <c r="A47" s="1"/>
      <c r="B47" s="1" t="s">
        <v>138</v>
      </c>
      <c r="C47" s="1" t="s">
        <v>136</v>
      </c>
      <c r="D47" s="1" t="s">
        <v>123</v>
      </c>
      <c r="E47" s="6">
        <v>10</v>
      </c>
      <c r="F47" s="6"/>
      <c r="G47" s="6">
        <v>10</v>
      </c>
      <c r="H47" s="6"/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>
        <v>10</v>
      </c>
      <c r="AS47" s="4"/>
      <c r="AT47" s="4"/>
      <c r="AU47" s="4"/>
      <c r="AV47" s="4"/>
      <c r="AW47" s="2"/>
      <c r="AX47" s="2"/>
      <c r="AY47" s="2"/>
      <c r="AZ47" s="2"/>
      <c r="BA47" s="2"/>
      <c r="BB47" s="2">
        <v>10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v>2</v>
      </c>
      <c r="BR47" s="17">
        <v>1</v>
      </c>
      <c r="BS47" s="17" t="s">
        <v>250</v>
      </c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x14ac:dyDescent="0.15">
      <c r="A48" s="1"/>
      <c r="B48" s="1" t="s">
        <v>154</v>
      </c>
      <c r="C48" s="1" t="s">
        <v>148</v>
      </c>
      <c r="D48" s="1" t="s">
        <v>122</v>
      </c>
      <c r="E48" s="6"/>
      <c r="F48" s="6"/>
      <c r="G48" s="6"/>
      <c r="H48" s="6">
        <v>5</v>
      </c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2</v>
      </c>
      <c r="BR48" s="17">
        <v>1</v>
      </c>
      <c r="BS48" s="17" t="s">
        <v>251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192</v>
      </c>
      <c r="C49" s="1" t="s">
        <v>193</v>
      </c>
      <c r="D49" s="1" t="s">
        <v>163</v>
      </c>
      <c r="E49" s="6">
        <v>10</v>
      </c>
      <c r="F49" s="6"/>
      <c r="G49" s="6">
        <v>10</v>
      </c>
      <c r="H49" s="6"/>
      <c r="I49" s="6"/>
      <c r="J49" s="6"/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>
        <v>10</v>
      </c>
      <c r="AS49" s="4"/>
      <c r="AT49" s="4"/>
      <c r="AU49" s="4"/>
      <c r="AV49" s="4"/>
      <c r="AW49" s="2"/>
      <c r="AX49" s="2"/>
      <c r="AY49" s="2"/>
      <c r="AZ49" s="2"/>
      <c r="BA49" s="2"/>
      <c r="BB49" s="2">
        <v>10</v>
      </c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2</v>
      </c>
      <c r="BR49" s="17">
        <v>1</v>
      </c>
      <c r="BS49" s="17" t="s">
        <v>250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9">
        <v>37</v>
      </c>
      <c r="B50" s="19" t="s">
        <v>52</v>
      </c>
      <c r="C50" s="19" t="s">
        <v>49</v>
      </c>
      <c r="D50" s="19" t="s">
        <v>25</v>
      </c>
      <c r="E50" s="20"/>
      <c r="F50" s="20">
        <v>5</v>
      </c>
      <c r="G50" s="20"/>
      <c r="H50" s="20"/>
      <c r="I50" s="20"/>
      <c r="J50" s="20"/>
      <c r="K50" s="20"/>
      <c r="L50" s="20"/>
      <c r="M50" s="20"/>
      <c r="N50" s="20"/>
      <c r="O50" s="20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21"/>
      <c r="AR50" s="21"/>
      <c r="AS50" s="21"/>
      <c r="AT50" s="21"/>
      <c r="AU50" s="21"/>
      <c r="AV50" s="21"/>
      <c r="AW50" s="22"/>
      <c r="AX50" s="22"/>
      <c r="AY50" s="22"/>
      <c r="AZ50" s="22"/>
      <c r="BA50" s="22"/>
      <c r="BB50" s="22"/>
      <c r="BC50" s="30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>
        <f>SUM(E50:BO50)</f>
        <v>5</v>
      </c>
      <c r="BQ50" s="19">
        <v>2</v>
      </c>
      <c r="BR50" s="23">
        <v>1</v>
      </c>
      <c r="BS50" s="23" t="s">
        <v>252</v>
      </c>
      <c r="BT50" s="19" t="str">
        <f t="shared" ref="BT50:CE50" si="17">IF(AQ50&gt;AQ$163, AQ50-AQ$163,"")</f>
        <v/>
      </c>
      <c r="BU50" s="19" t="str">
        <f t="shared" si="17"/>
        <v/>
      </c>
      <c r="BV50" s="19" t="str">
        <f t="shared" si="17"/>
        <v/>
      </c>
      <c r="BW50" s="19" t="str">
        <f t="shared" si="17"/>
        <v/>
      </c>
      <c r="BX50" s="19" t="str">
        <f t="shared" si="17"/>
        <v/>
      </c>
      <c r="BY50" s="19" t="str">
        <f t="shared" si="17"/>
        <v/>
      </c>
      <c r="BZ50" s="19" t="str">
        <f t="shared" si="17"/>
        <v/>
      </c>
      <c r="CA50" s="19" t="str">
        <f t="shared" si="17"/>
        <v/>
      </c>
      <c r="CB50" s="19" t="str">
        <f t="shared" si="17"/>
        <v/>
      </c>
      <c r="CC50" s="19" t="str">
        <f t="shared" si="17"/>
        <v/>
      </c>
      <c r="CD50" s="19" t="str">
        <f t="shared" si="17"/>
        <v/>
      </c>
      <c r="CE50" s="19" t="str">
        <f t="shared" si="17"/>
        <v/>
      </c>
      <c r="CF50" s="19">
        <f>COUNTIF(BT50:CE50, "&gt;0")</f>
        <v>0</v>
      </c>
      <c r="CG50" s="19" t="str">
        <f t="shared" ref="CG50:CR50" si="18">IF($CF50=1,BT50,"")</f>
        <v/>
      </c>
      <c r="CH50" s="19" t="str">
        <f t="shared" si="18"/>
        <v/>
      </c>
      <c r="CI50" s="19" t="str">
        <f t="shared" si="18"/>
        <v/>
      </c>
      <c r="CJ50" s="19" t="str">
        <f t="shared" si="18"/>
        <v/>
      </c>
      <c r="CK50" s="19" t="str">
        <f t="shared" si="18"/>
        <v/>
      </c>
      <c r="CL50" s="19" t="str">
        <f t="shared" si="18"/>
        <v/>
      </c>
      <c r="CM50" s="19" t="str">
        <f t="shared" si="18"/>
        <v/>
      </c>
      <c r="CN50" s="19" t="str">
        <f t="shared" si="18"/>
        <v/>
      </c>
      <c r="CO50" s="19" t="str">
        <f t="shared" si="18"/>
        <v/>
      </c>
      <c r="CP50" s="19" t="str">
        <f t="shared" si="18"/>
        <v/>
      </c>
      <c r="CQ50" s="19" t="str">
        <f t="shared" si="18"/>
        <v/>
      </c>
      <c r="CR50" s="19" t="str">
        <f t="shared" si="18"/>
        <v/>
      </c>
      <c r="CS50" s="24">
        <f>SUM(AE50:BO50)</f>
        <v>0</v>
      </c>
    </row>
    <row r="51" spans="1:97" s="25" customFormat="1" x14ac:dyDescent="0.15">
      <c r="A51" s="1"/>
      <c r="B51" s="1" t="s">
        <v>133</v>
      </c>
      <c r="C51" s="1" t="s">
        <v>125</v>
      </c>
      <c r="D51" s="1" t="s">
        <v>122</v>
      </c>
      <c r="E51" s="6"/>
      <c r="F51" s="6">
        <v>5</v>
      </c>
      <c r="G51" s="6"/>
      <c r="H51" s="6"/>
      <c r="I51" s="6"/>
      <c r="J51" s="6"/>
      <c r="K51" s="6"/>
      <c r="L51" s="6"/>
      <c r="M51" s="6"/>
      <c r="N51" s="6"/>
      <c r="O51" s="6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v>2</v>
      </c>
      <c r="BR51" s="17">
        <v>1</v>
      </c>
      <c r="BS51" s="17" t="s">
        <v>252</v>
      </c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8"/>
    </row>
    <row r="52" spans="1:97" x14ac:dyDescent="0.15">
      <c r="A52" s="1"/>
      <c r="B52" s="1" t="s">
        <v>151</v>
      </c>
      <c r="C52" s="1" t="s">
        <v>148</v>
      </c>
      <c r="D52" s="1" t="s">
        <v>122</v>
      </c>
      <c r="E52" s="6"/>
      <c r="F52" s="6">
        <v>5</v>
      </c>
      <c r="G52" s="6"/>
      <c r="H52" s="6"/>
      <c r="I52" s="6"/>
      <c r="J52" s="6"/>
      <c r="K52" s="6"/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v>2</v>
      </c>
      <c r="BR52" s="17">
        <v>1</v>
      </c>
      <c r="BS52" s="17" t="s">
        <v>252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x14ac:dyDescent="0.15">
      <c r="A53" s="1"/>
      <c r="B53" s="1" t="s">
        <v>134</v>
      </c>
      <c r="C53" s="1" t="s">
        <v>125</v>
      </c>
      <c r="D53" s="1" t="s">
        <v>130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>
        <v>2</v>
      </c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2</v>
      </c>
      <c r="BR53" s="17">
        <v>1</v>
      </c>
      <c r="BS53" s="17" t="s">
        <v>207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x14ac:dyDescent="0.15">
      <c r="A54" s="1">
        <v>69</v>
      </c>
      <c r="B54" s="3" t="s">
        <v>70</v>
      </c>
      <c r="C54" s="1" t="s">
        <v>62</v>
      </c>
      <c r="D54" s="1" t="s">
        <v>13</v>
      </c>
      <c r="E54" s="6"/>
      <c r="F54" s="6"/>
      <c r="G54" s="6"/>
      <c r="H54" s="6">
        <v>6</v>
      </c>
      <c r="I54" s="6">
        <v>6</v>
      </c>
      <c r="J54" s="6"/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>
        <v>10</v>
      </c>
      <c r="AW54" s="2"/>
      <c r="AX54" s="2">
        <v>10</v>
      </c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3</v>
      </c>
      <c r="BR54" s="17">
        <v>1</v>
      </c>
      <c r="BS54" s="17" t="s">
        <v>253</v>
      </c>
      <c r="BT54" s="1" t="str">
        <f t="shared" ref="BT54:CE55" si="19">IF(AQ54&gt;AQ$163, AQ54-AQ$163,"")</f>
        <v/>
      </c>
      <c r="BU54" s="1" t="str">
        <f t="shared" si="19"/>
        <v/>
      </c>
      <c r="BV54" s="1" t="str">
        <f t="shared" si="19"/>
        <v/>
      </c>
      <c r="BW54" s="1" t="str">
        <f t="shared" si="19"/>
        <v/>
      </c>
      <c r="BX54" s="1" t="str">
        <f t="shared" si="19"/>
        <v/>
      </c>
      <c r="BY54" s="1" t="str">
        <f t="shared" si="19"/>
        <v/>
      </c>
      <c r="BZ54" s="1" t="str">
        <f t="shared" si="19"/>
        <v/>
      </c>
      <c r="CA54" s="1" t="str">
        <f t="shared" si="19"/>
        <v/>
      </c>
      <c r="CB54" s="1" t="str">
        <f t="shared" si="19"/>
        <v/>
      </c>
      <c r="CC54" s="1" t="str">
        <f t="shared" si="19"/>
        <v/>
      </c>
      <c r="CD54" s="1" t="str">
        <f t="shared" si="19"/>
        <v/>
      </c>
      <c r="CE54" s="1" t="str">
        <f t="shared" si="19"/>
        <v/>
      </c>
      <c r="CF54" s="1">
        <f>COUNTIF(BT54:CE54, "&gt;0")</f>
        <v>0</v>
      </c>
      <c r="CG54" s="1" t="str">
        <f t="shared" ref="CG54:CR55" si="20">IF($CF54=1,BT54,"")</f>
        <v/>
      </c>
      <c r="CH54" s="1" t="str">
        <f t="shared" si="20"/>
        <v/>
      </c>
      <c r="CI54" s="1" t="str">
        <f t="shared" si="20"/>
        <v/>
      </c>
      <c r="CJ54" s="1" t="str">
        <f t="shared" si="20"/>
        <v/>
      </c>
      <c r="CK54" s="1" t="str">
        <f t="shared" si="20"/>
        <v/>
      </c>
      <c r="CL54" s="1" t="str">
        <f t="shared" si="20"/>
        <v/>
      </c>
      <c r="CM54" s="1" t="str">
        <f t="shared" si="20"/>
        <v/>
      </c>
      <c r="CN54" s="1" t="str">
        <f t="shared" si="20"/>
        <v/>
      </c>
      <c r="CO54" s="1" t="str">
        <f t="shared" si="20"/>
        <v/>
      </c>
      <c r="CP54" s="1" t="str">
        <f t="shared" si="20"/>
        <v/>
      </c>
      <c r="CQ54" s="1" t="str">
        <f t="shared" si="20"/>
        <v/>
      </c>
      <c r="CR54" s="1" t="str">
        <f t="shared" si="20"/>
        <v/>
      </c>
      <c r="CS54" s="18">
        <f>SUM(AE54:BO54)</f>
        <v>20</v>
      </c>
    </row>
    <row r="55" spans="1:97" x14ac:dyDescent="0.15">
      <c r="A55" s="1">
        <v>8</v>
      </c>
      <c r="B55" s="1" t="s">
        <v>56</v>
      </c>
      <c r="C55" s="1" t="s">
        <v>2</v>
      </c>
      <c r="D55" s="1" t="s">
        <v>26</v>
      </c>
      <c r="E55" s="6">
        <v>6</v>
      </c>
      <c r="F55" s="6"/>
      <c r="G55" s="6"/>
      <c r="H55" s="6">
        <v>6</v>
      </c>
      <c r="I55" s="6"/>
      <c r="J55" s="6"/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>
        <v>10</v>
      </c>
      <c r="AS55" s="4"/>
      <c r="AT55" s="4"/>
      <c r="AU55" s="4"/>
      <c r="AV55" s="4"/>
      <c r="AW55" s="2"/>
      <c r="AX55" s="2"/>
      <c r="AY55" s="2"/>
      <c r="AZ55" s="2"/>
      <c r="BA55" s="2"/>
      <c r="BB55" s="2">
        <v>10</v>
      </c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3</v>
      </c>
      <c r="BR55" s="17">
        <v>1</v>
      </c>
      <c r="BS55" s="17" t="s">
        <v>253</v>
      </c>
      <c r="BT55" s="1" t="str">
        <f t="shared" si="19"/>
        <v/>
      </c>
      <c r="BU55" s="1" t="str">
        <f t="shared" si="19"/>
        <v/>
      </c>
      <c r="BV55" s="1" t="str">
        <f t="shared" si="19"/>
        <v/>
      </c>
      <c r="BW55" s="1" t="str">
        <f t="shared" si="19"/>
        <v/>
      </c>
      <c r="BX55" s="1" t="str">
        <f t="shared" si="19"/>
        <v/>
      </c>
      <c r="BY55" s="1" t="str">
        <f t="shared" si="19"/>
        <v/>
      </c>
      <c r="BZ55" s="1" t="str">
        <f t="shared" si="19"/>
        <v/>
      </c>
      <c r="CA55" s="1" t="str">
        <f t="shared" si="19"/>
        <v/>
      </c>
      <c r="CB55" s="1" t="str">
        <f t="shared" si="19"/>
        <v/>
      </c>
      <c r="CC55" s="1" t="str">
        <f t="shared" si="19"/>
        <v/>
      </c>
      <c r="CD55" s="1" t="str">
        <f t="shared" si="19"/>
        <v/>
      </c>
      <c r="CE55" s="1" t="str">
        <f t="shared" si="19"/>
        <v/>
      </c>
      <c r="CF55" s="1">
        <f>COUNTIF(BT55:CE55, "&gt;0")</f>
        <v>0</v>
      </c>
      <c r="CG55" s="1" t="str">
        <f t="shared" si="20"/>
        <v/>
      </c>
      <c r="CH55" s="1" t="str">
        <f t="shared" si="20"/>
        <v/>
      </c>
      <c r="CI55" s="1" t="str">
        <f t="shared" si="20"/>
        <v/>
      </c>
      <c r="CJ55" s="1" t="str">
        <f t="shared" si="20"/>
        <v/>
      </c>
      <c r="CK55" s="1" t="str">
        <f t="shared" si="20"/>
        <v/>
      </c>
      <c r="CL55" s="1" t="str">
        <f t="shared" si="20"/>
        <v/>
      </c>
      <c r="CM55" s="1" t="str">
        <f t="shared" si="20"/>
        <v/>
      </c>
      <c r="CN55" s="1" t="str">
        <f t="shared" si="20"/>
        <v/>
      </c>
      <c r="CO55" s="1" t="str">
        <f t="shared" si="20"/>
        <v/>
      </c>
      <c r="CP55" s="1" t="str">
        <f t="shared" si="20"/>
        <v/>
      </c>
      <c r="CQ55" s="1" t="str">
        <f t="shared" si="20"/>
        <v/>
      </c>
      <c r="CR55" s="1" t="str">
        <f t="shared" si="20"/>
        <v/>
      </c>
      <c r="CS55" s="18">
        <f>SUM(AE55:BO55)</f>
        <v>20</v>
      </c>
    </row>
    <row r="56" spans="1:97" x14ac:dyDescent="0.15">
      <c r="A56" s="1"/>
      <c r="B56" s="1" t="s">
        <v>206</v>
      </c>
      <c r="C56" s="1" t="s">
        <v>145</v>
      </c>
      <c r="D56" s="1" t="s">
        <v>123</v>
      </c>
      <c r="E56" s="6"/>
      <c r="F56" s="6"/>
      <c r="G56" s="6">
        <v>6</v>
      </c>
      <c r="H56" s="6">
        <v>6</v>
      </c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>
        <v>10</v>
      </c>
      <c r="AW56" s="2">
        <v>10</v>
      </c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v>3</v>
      </c>
      <c r="BR56" s="17">
        <v>1</v>
      </c>
      <c r="BS56" s="17" t="s">
        <v>253</v>
      </c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x14ac:dyDescent="0.15">
      <c r="A57" s="1"/>
      <c r="B57" s="1" t="s">
        <v>154</v>
      </c>
      <c r="C57" s="1" t="s">
        <v>148</v>
      </c>
      <c r="D57" s="1" t="s">
        <v>123</v>
      </c>
      <c r="E57" s="6"/>
      <c r="F57" s="6"/>
      <c r="G57" s="6"/>
      <c r="H57" s="6">
        <v>6</v>
      </c>
      <c r="I57" s="6"/>
      <c r="J57" s="6">
        <v>6</v>
      </c>
      <c r="K57" s="6"/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>
        <v>8</v>
      </c>
      <c r="AU57" s="4"/>
      <c r="AV57" s="4"/>
      <c r="AW57" s="2"/>
      <c r="AX57" s="2"/>
      <c r="AY57" s="2">
        <v>8</v>
      </c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v>3</v>
      </c>
      <c r="BR57" s="17">
        <v>1</v>
      </c>
      <c r="BS57" s="17" t="s">
        <v>253</v>
      </c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x14ac:dyDescent="0.15">
      <c r="A58" s="1">
        <v>68</v>
      </c>
      <c r="B58" s="3" t="s">
        <v>117</v>
      </c>
      <c r="C58" s="1" t="s">
        <v>62</v>
      </c>
      <c r="D58" s="1" t="s">
        <v>13</v>
      </c>
      <c r="E58" s="6"/>
      <c r="F58" s="6">
        <v>6</v>
      </c>
      <c r="G58" s="6"/>
      <c r="H58" s="6"/>
      <c r="I58" s="6"/>
      <c r="J58" s="6"/>
      <c r="K58" s="6"/>
      <c r="L58" s="6"/>
      <c r="M58" s="6"/>
      <c r="N58" s="6">
        <v>6</v>
      </c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>
        <v>10</v>
      </c>
      <c r="AW58" s="2"/>
      <c r="AX58" s="2"/>
      <c r="AY58" s="2"/>
      <c r="AZ58" s="2"/>
      <c r="BA58" s="2"/>
      <c r="BB58" s="2">
        <v>10</v>
      </c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32</v>
      </c>
      <c r="BQ58" s="1">
        <v>3</v>
      </c>
      <c r="BR58" s="17">
        <v>1</v>
      </c>
      <c r="BS58" s="17" t="s">
        <v>209</v>
      </c>
      <c r="BT58" s="1" t="str">
        <f t="shared" ref="BT58:CE58" si="21">IF(AQ58&gt;AQ$163, AQ58-AQ$163,"")</f>
        <v/>
      </c>
      <c r="BU58" s="1" t="str">
        <f t="shared" si="21"/>
        <v/>
      </c>
      <c r="BV58" s="1" t="str">
        <f t="shared" si="21"/>
        <v/>
      </c>
      <c r="BW58" s="1" t="str">
        <f t="shared" si="21"/>
        <v/>
      </c>
      <c r="BX58" s="1" t="str">
        <f t="shared" si="21"/>
        <v/>
      </c>
      <c r="BY58" s="1" t="str">
        <f t="shared" si="21"/>
        <v/>
      </c>
      <c r="BZ58" s="1" t="str">
        <f t="shared" si="21"/>
        <v/>
      </c>
      <c r="CA58" s="1" t="str">
        <f t="shared" si="21"/>
        <v/>
      </c>
      <c r="CB58" s="1" t="str">
        <f t="shared" si="21"/>
        <v/>
      </c>
      <c r="CC58" s="1" t="str">
        <f t="shared" si="21"/>
        <v/>
      </c>
      <c r="CD58" s="1" t="str">
        <f t="shared" si="21"/>
        <v/>
      </c>
      <c r="CE58" s="1" t="str">
        <f t="shared" si="21"/>
        <v/>
      </c>
      <c r="CF58" s="1">
        <f>COUNTIF(BT58:CE58, "&gt;0")</f>
        <v>0</v>
      </c>
      <c r="CG58" s="1" t="str">
        <f t="shared" ref="CG58:CR58" si="22">IF($CF58=1,BT58,"")</f>
        <v/>
      </c>
      <c r="CH58" s="1" t="str">
        <f t="shared" si="22"/>
        <v/>
      </c>
      <c r="CI58" s="1" t="str">
        <f t="shared" si="22"/>
        <v/>
      </c>
      <c r="CJ58" s="1" t="str">
        <f t="shared" si="22"/>
        <v/>
      </c>
      <c r="CK58" s="1" t="str">
        <f t="shared" si="22"/>
        <v/>
      </c>
      <c r="CL58" s="1" t="str">
        <f t="shared" si="22"/>
        <v/>
      </c>
      <c r="CM58" s="1" t="str">
        <f t="shared" si="22"/>
        <v/>
      </c>
      <c r="CN58" s="1" t="str">
        <f t="shared" si="22"/>
        <v/>
      </c>
      <c r="CO58" s="1" t="str">
        <f t="shared" si="22"/>
        <v/>
      </c>
      <c r="CP58" s="1" t="str">
        <f t="shared" si="22"/>
        <v/>
      </c>
      <c r="CQ58" s="1" t="str">
        <f t="shared" si="22"/>
        <v/>
      </c>
      <c r="CR58" s="1" t="str">
        <f t="shared" si="22"/>
        <v/>
      </c>
      <c r="CS58" s="18">
        <f>SUM(AE58:BO58)</f>
        <v>20</v>
      </c>
    </row>
    <row r="59" spans="1:97" x14ac:dyDescent="0.15">
      <c r="A59" s="1"/>
      <c r="B59" s="1" t="s">
        <v>152</v>
      </c>
      <c r="C59" s="1" t="s">
        <v>148</v>
      </c>
      <c r="D59" s="1" t="s">
        <v>123</v>
      </c>
      <c r="E59" s="6"/>
      <c r="F59" s="6">
        <v>6</v>
      </c>
      <c r="G59" s="6"/>
      <c r="H59" s="6"/>
      <c r="I59" s="6"/>
      <c r="J59" s="6"/>
      <c r="K59" s="6"/>
      <c r="L59" s="6"/>
      <c r="M59" s="6"/>
      <c r="N59" s="6"/>
      <c r="O59" s="6">
        <v>6</v>
      </c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>
        <v>10</v>
      </c>
      <c r="AU59" s="4"/>
      <c r="AV59" s="4"/>
      <c r="AW59" s="2"/>
      <c r="AX59" s="2"/>
      <c r="AY59" s="2">
        <v>10</v>
      </c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v>3</v>
      </c>
      <c r="BR59" s="17">
        <v>1</v>
      </c>
      <c r="BS59" s="17" t="s">
        <v>209</v>
      </c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x14ac:dyDescent="0.15">
      <c r="A60" s="1"/>
      <c r="B60" s="1" t="s">
        <v>200</v>
      </c>
      <c r="C60" s="1" t="s">
        <v>195</v>
      </c>
      <c r="D60" s="1" t="s">
        <v>163</v>
      </c>
      <c r="E60" s="6"/>
      <c r="F60" s="6"/>
      <c r="G60" s="6">
        <v>5</v>
      </c>
      <c r="H60" s="6"/>
      <c r="I60" s="6"/>
      <c r="J60" s="6"/>
      <c r="K60" s="6"/>
      <c r="L60" s="6"/>
      <c r="M60" s="6"/>
      <c r="N60" s="6"/>
      <c r="O60" s="6"/>
      <c r="P60" s="32"/>
      <c r="Q60" s="32"/>
      <c r="R60" s="32"/>
      <c r="S60" s="32"/>
      <c r="T60" s="32"/>
      <c r="U60" s="32"/>
      <c r="V60" s="32">
        <v>5</v>
      </c>
      <c r="W60" s="32"/>
      <c r="X60" s="32"/>
      <c r="Y60" s="32">
        <v>5</v>
      </c>
      <c r="Z60" s="32"/>
      <c r="AA60" s="32"/>
      <c r="AB60" s="32"/>
      <c r="AC60" s="32">
        <v>5</v>
      </c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v>3</v>
      </c>
      <c r="BR60" s="17">
        <v>1</v>
      </c>
      <c r="BS60" s="17" t="s">
        <v>254</v>
      </c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8"/>
    </row>
    <row r="61" spans="1:97" x14ac:dyDescent="0.15">
      <c r="A61" s="1">
        <v>24</v>
      </c>
      <c r="B61" s="1" t="s">
        <v>47</v>
      </c>
      <c r="C61" s="1" t="s">
        <v>32</v>
      </c>
      <c r="D61" s="1" t="s">
        <v>26</v>
      </c>
      <c r="E61" s="6"/>
      <c r="F61" s="6"/>
      <c r="G61" s="6"/>
      <c r="H61" s="6"/>
      <c r="I61" s="6">
        <v>4</v>
      </c>
      <c r="J61" s="6"/>
      <c r="K61" s="6">
        <v>4</v>
      </c>
      <c r="L61" s="6"/>
      <c r="M61" s="6"/>
      <c r="N61" s="6"/>
      <c r="O61" s="6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>
        <v>5</v>
      </c>
      <c r="AT61" s="4"/>
      <c r="AU61" s="4"/>
      <c r="AV61" s="4"/>
      <c r="AW61" s="2">
        <v>5</v>
      </c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18</v>
      </c>
      <c r="BQ61" s="1">
        <v>3</v>
      </c>
      <c r="BR61" s="17">
        <v>1</v>
      </c>
      <c r="BS61" s="17" t="s">
        <v>255</v>
      </c>
      <c r="BT61" s="1" t="str">
        <f t="shared" ref="BT61:CE64" si="23">IF(AQ61&gt;AQ$163, AQ61-AQ$163,"")</f>
        <v/>
      </c>
      <c r="BU61" s="1" t="str">
        <f t="shared" si="23"/>
        <v/>
      </c>
      <c r="BV61" s="1">
        <f t="shared" si="23"/>
        <v>3</v>
      </c>
      <c r="BW61" s="1" t="str">
        <f t="shared" si="23"/>
        <v/>
      </c>
      <c r="BX61" s="1" t="str">
        <f t="shared" si="23"/>
        <v/>
      </c>
      <c r="BY61" s="1" t="str">
        <f t="shared" si="23"/>
        <v/>
      </c>
      <c r="BZ61" s="1" t="str">
        <f t="shared" si="23"/>
        <v/>
      </c>
      <c r="CA61" s="1" t="str">
        <f t="shared" si="23"/>
        <v/>
      </c>
      <c r="CB61" s="1" t="str">
        <f t="shared" si="23"/>
        <v/>
      </c>
      <c r="CC61" s="1" t="str">
        <f t="shared" si="23"/>
        <v/>
      </c>
      <c r="CD61" s="1" t="str">
        <f t="shared" si="23"/>
        <v/>
      </c>
      <c r="CE61" s="1" t="str">
        <f t="shared" si="23"/>
        <v/>
      </c>
      <c r="CF61" s="1">
        <f>COUNTIF(BT61:CE61, "&gt;0")</f>
        <v>1</v>
      </c>
      <c r="CG61" s="1" t="str">
        <f t="shared" ref="CG61:CR64" si="24">IF($CF61=1,BT61,"")</f>
        <v/>
      </c>
      <c r="CH61" s="1" t="str">
        <f t="shared" si="24"/>
        <v/>
      </c>
      <c r="CI61" s="1">
        <f t="shared" si="24"/>
        <v>3</v>
      </c>
      <c r="CJ61" s="1" t="str">
        <f t="shared" si="24"/>
        <v/>
      </c>
      <c r="CK61" s="1" t="str">
        <f t="shared" si="24"/>
        <v/>
      </c>
      <c r="CL61" s="1" t="str">
        <f t="shared" si="24"/>
        <v/>
      </c>
      <c r="CM61" s="1" t="str">
        <f t="shared" si="24"/>
        <v/>
      </c>
      <c r="CN61" s="1" t="str">
        <f t="shared" si="24"/>
        <v/>
      </c>
      <c r="CO61" s="1" t="str">
        <f t="shared" si="24"/>
        <v/>
      </c>
      <c r="CP61" s="1" t="str">
        <f t="shared" si="24"/>
        <v/>
      </c>
      <c r="CQ61" s="1" t="str">
        <f t="shared" si="24"/>
        <v/>
      </c>
      <c r="CR61" s="1" t="str">
        <f t="shared" si="24"/>
        <v/>
      </c>
      <c r="CS61" s="18">
        <f>SUM(AE61:BO61)</f>
        <v>10</v>
      </c>
    </row>
    <row r="62" spans="1:97" x14ac:dyDescent="0.15">
      <c r="A62" s="1">
        <v>2</v>
      </c>
      <c r="B62" s="1" t="s">
        <v>8</v>
      </c>
      <c r="C62" s="1" t="s">
        <v>2</v>
      </c>
      <c r="D62" s="1" t="s">
        <v>1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>
        <v>15</v>
      </c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>
        <v>15</v>
      </c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30</v>
      </c>
      <c r="BQ62" s="1">
        <v>3</v>
      </c>
      <c r="BR62" s="17">
        <v>1</v>
      </c>
      <c r="BS62" s="17" t="s">
        <v>218</v>
      </c>
      <c r="BT62" s="1" t="str">
        <f t="shared" si="23"/>
        <v/>
      </c>
      <c r="BU62" s="1" t="str">
        <f t="shared" si="23"/>
        <v/>
      </c>
      <c r="BV62" s="1" t="str">
        <f t="shared" si="23"/>
        <v/>
      </c>
      <c r="BW62" s="1" t="str">
        <f t="shared" si="23"/>
        <v/>
      </c>
      <c r="BX62" s="1" t="str">
        <f t="shared" si="23"/>
        <v/>
      </c>
      <c r="BY62" s="1" t="str">
        <f t="shared" si="23"/>
        <v/>
      </c>
      <c r="BZ62" s="1" t="str">
        <f t="shared" si="23"/>
        <v/>
      </c>
      <c r="CA62" s="1" t="str">
        <f t="shared" si="23"/>
        <v/>
      </c>
      <c r="CB62" s="1" t="str">
        <f t="shared" si="23"/>
        <v/>
      </c>
      <c r="CC62" s="1" t="str">
        <f t="shared" si="23"/>
        <v/>
      </c>
      <c r="CD62" s="1" t="str">
        <f t="shared" si="23"/>
        <v/>
      </c>
      <c r="CE62" s="1" t="str">
        <f t="shared" si="23"/>
        <v/>
      </c>
      <c r="CF62" s="1">
        <f>COUNTIF(BT62:CE62, "&gt;0")</f>
        <v>0</v>
      </c>
      <c r="CG62" s="1" t="str">
        <f t="shared" si="24"/>
        <v/>
      </c>
      <c r="CH62" s="1" t="str">
        <f t="shared" si="24"/>
        <v/>
      </c>
      <c r="CI62" s="1" t="str">
        <f t="shared" si="24"/>
        <v/>
      </c>
      <c r="CJ62" s="1" t="str">
        <f t="shared" si="24"/>
        <v/>
      </c>
      <c r="CK62" s="1" t="str">
        <f t="shared" si="24"/>
        <v/>
      </c>
      <c r="CL62" s="1" t="str">
        <f t="shared" si="24"/>
        <v/>
      </c>
      <c r="CM62" s="1" t="str">
        <f t="shared" si="24"/>
        <v/>
      </c>
      <c r="CN62" s="1" t="str">
        <f t="shared" si="24"/>
        <v/>
      </c>
      <c r="CO62" s="1" t="str">
        <f t="shared" si="24"/>
        <v/>
      </c>
      <c r="CP62" s="1" t="str">
        <f t="shared" si="24"/>
        <v/>
      </c>
      <c r="CQ62" s="1" t="str">
        <f t="shared" si="24"/>
        <v/>
      </c>
      <c r="CR62" s="1" t="str">
        <f t="shared" si="24"/>
        <v/>
      </c>
      <c r="CS62" s="18">
        <f>SUM(AE62:BO62)</f>
        <v>30</v>
      </c>
    </row>
    <row r="63" spans="1:97" x14ac:dyDescent="0.15">
      <c r="A63" s="1">
        <v>41</v>
      </c>
      <c r="B63" s="1" t="s">
        <v>57</v>
      </c>
      <c r="C63" s="1" t="s">
        <v>49</v>
      </c>
      <c r="D63" s="1" t="s">
        <v>13</v>
      </c>
      <c r="E63" s="6"/>
      <c r="F63" s="6"/>
      <c r="G63" s="6"/>
      <c r="H63" s="6"/>
      <c r="I63" s="6"/>
      <c r="J63" s="6"/>
      <c r="K63" s="6"/>
      <c r="L63" s="6">
        <v>6</v>
      </c>
      <c r="M63" s="6"/>
      <c r="N63" s="6"/>
      <c r="O63" s="6">
        <v>6</v>
      </c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>
        <v>10</v>
      </c>
      <c r="AR63" s="4"/>
      <c r="AS63" s="4"/>
      <c r="AT63" s="4"/>
      <c r="AU63" s="4"/>
      <c r="AV63" s="4"/>
      <c r="AW63" s="2"/>
      <c r="AX63" s="2">
        <v>10</v>
      </c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32</v>
      </c>
      <c r="BQ63" s="1">
        <v>4</v>
      </c>
      <c r="BR63" s="17">
        <v>1</v>
      </c>
      <c r="BS63" s="17" t="s">
        <v>256</v>
      </c>
      <c r="BT63" s="1">
        <f t="shared" si="23"/>
        <v>4</v>
      </c>
      <c r="BU63" s="1" t="str">
        <f t="shared" si="23"/>
        <v/>
      </c>
      <c r="BV63" s="1" t="str">
        <f t="shared" si="23"/>
        <v/>
      </c>
      <c r="BW63" s="1" t="str">
        <f t="shared" si="23"/>
        <v/>
      </c>
      <c r="BX63" s="1" t="str">
        <f t="shared" si="23"/>
        <v/>
      </c>
      <c r="BY63" s="1" t="str">
        <f t="shared" si="23"/>
        <v/>
      </c>
      <c r="BZ63" s="1" t="str">
        <f t="shared" si="23"/>
        <v/>
      </c>
      <c r="CA63" s="1" t="str">
        <f t="shared" si="23"/>
        <v/>
      </c>
      <c r="CB63" s="1" t="str">
        <f t="shared" si="23"/>
        <v/>
      </c>
      <c r="CC63" s="1" t="str">
        <f t="shared" si="23"/>
        <v/>
      </c>
      <c r="CD63" s="1" t="str">
        <f t="shared" si="23"/>
        <v/>
      </c>
      <c r="CE63" s="1" t="str">
        <f t="shared" si="23"/>
        <v/>
      </c>
      <c r="CF63" s="1">
        <f>COUNTIF(BT63:CE63, "&gt;0")</f>
        <v>1</v>
      </c>
      <c r="CG63" s="1">
        <f t="shared" si="24"/>
        <v>4</v>
      </c>
      <c r="CH63" s="1" t="str">
        <f t="shared" si="24"/>
        <v/>
      </c>
      <c r="CI63" s="1" t="str">
        <f t="shared" si="24"/>
        <v/>
      </c>
      <c r="CJ63" s="1" t="str">
        <f t="shared" si="24"/>
        <v/>
      </c>
      <c r="CK63" s="1" t="str">
        <f t="shared" si="24"/>
        <v/>
      </c>
      <c r="CL63" s="1" t="str">
        <f t="shared" si="24"/>
        <v/>
      </c>
      <c r="CM63" s="1" t="str">
        <f t="shared" si="24"/>
        <v/>
      </c>
      <c r="CN63" s="1" t="str">
        <f t="shared" si="24"/>
        <v/>
      </c>
      <c r="CO63" s="1" t="str">
        <f t="shared" si="24"/>
        <v/>
      </c>
      <c r="CP63" s="1" t="str">
        <f t="shared" si="24"/>
        <v/>
      </c>
      <c r="CQ63" s="1" t="str">
        <f t="shared" si="24"/>
        <v/>
      </c>
      <c r="CR63" s="1" t="str">
        <f t="shared" si="24"/>
        <v/>
      </c>
      <c r="CS63" s="18">
        <f>SUM(AE63:BO63)</f>
        <v>20</v>
      </c>
    </row>
    <row r="64" spans="1:97" x14ac:dyDescent="0.15">
      <c r="A64" s="1">
        <v>45</v>
      </c>
      <c r="B64" s="1" t="s">
        <v>120</v>
      </c>
      <c r="C64" s="1" t="s">
        <v>49</v>
      </c>
      <c r="D64" s="1" t="s">
        <v>13</v>
      </c>
      <c r="E64" s="6">
        <v>6</v>
      </c>
      <c r="F64" s="6"/>
      <c r="G64" s="6"/>
      <c r="H64" s="6"/>
      <c r="I64" s="6"/>
      <c r="J64" s="6"/>
      <c r="K64" s="6"/>
      <c r="L64" s="6"/>
      <c r="M64" s="6">
        <v>6</v>
      </c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>
        <v>10</v>
      </c>
      <c r="AR64" s="4"/>
      <c r="AS64" s="4"/>
      <c r="AT64" s="4"/>
      <c r="AU64" s="4"/>
      <c r="AV64" s="4"/>
      <c r="AW64" s="2"/>
      <c r="AX64" s="2"/>
      <c r="AY64" s="2"/>
      <c r="AZ64" s="2">
        <v>10</v>
      </c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32</v>
      </c>
      <c r="BQ64" s="1">
        <v>4</v>
      </c>
      <c r="BR64" s="17">
        <v>1</v>
      </c>
      <c r="BS64" s="17" t="s">
        <v>256</v>
      </c>
      <c r="BT64" s="1">
        <f t="shared" si="23"/>
        <v>4</v>
      </c>
      <c r="BU64" s="1" t="str">
        <f t="shared" si="23"/>
        <v/>
      </c>
      <c r="BV64" s="1" t="str">
        <f t="shared" si="23"/>
        <v/>
      </c>
      <c r="BW64" s="1" t="str">
        <f t="shared" si="23"/>
        <v/>
      </c>
      <c r="BX64" s="1" t="str">
        <f t="shared" si="23"/>
        <v/>
      </c>
      <c r="BY64" s="1" t="str">
        <f t="shared" si="23"/>
        <v/>
      </c>
      <c r="BZ64" s="1" t="str">
        <f t="shared" si="23"/>
        <v/>
      </c>
      <c r="CA64" s="1" t="str">
        <f t="shared" si="23"/>
        <v/>
      </c>
      <c r="CB64" s="1" t="str">
        <f t="shared" si="23"/>
        <v/>
      </c>
      <c r="CC64" s="1" t="str">
        <f t="shared" si="23"/>
        <v/>
      </c>
      <c r="CD64" s="1" t="str">
        <f t="shared" si="23"/>
        <v/>
      </c>
      <c r="CE64" s="1" t="str">
        <f t="shared" si="23"/>
        <v/>
      </c>
      <c r="CF64" s="1">
        <f>COUNTIF(BT64:CE64, "&gt;0")</f>
        <v>1</v>
      </c>
      <c r="CG64" s="1">
        <f t="shared" si="24"/>
        <v>4</v>
      </c>
      <c r="CH64" s="1" t="str">
        <f t="shared" si="24"/>
        <v/>
      </c>
      <c r="CI64" s="1" t="str">
        <f t="shared" si="24"/>
        <v/>
      </c>
      <c r="CJ64" s="1" t="str">
        <f t="shared" si="24"/>
        <v/>
      </c>
      <c r="CK64" s="1" t="str">
        <f t="shared" si="24"/>
        <v/>
      </c>
      <c r="CL64" s="1" t="str">
        <f t="shared" si="24"/>
        <v/>
      </c>
      <c r="CM64" s="1" t="str">
        <f t="shared" si="24"/>
        <v/>
      </c>
      <c r="CN64" s="1" t="str">
        <f t="shared" si="24"/>
        <v/>
      </c>
      <c r="CO64" s="1" t="str">
        <f t="shared" si="24"/>
        <v/>
      </c>
      <c r="CP64" s="1" t="str">
        <f t="shared" si="24"/>
        <v/>
      </c>
      <c r="CQ64" s="1" t="str">
        <f t="shared" si="24"/>
        <v/>
      </c>
      <c r="CR64" s="1" t="str">
        <f t="shared" si="24"/>
        <v/>
      </c>
      <c r="CS64" s="18">
        <f>SUM(AE64:BO64)</f>
        <v>20</v>
      </c>
    </row>
    <row r="65" spans="1:97" x14ac:dyDescent="0.15">
      <c r="A65" s="1"/>
      <c r="B65" s="1" t="s">
        <v>142</v>
      </c>
      <c r="C65" s="1" t="s">
        <v>121</v>
      </c>
      <c r="D65" s="1" t="s">
        <v>122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>
        <v>10</v>
      </c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>
        <v>10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v>4</v>
      </c>
      <c r="BR65" s="17">
        <v>1</v>
      </c>
      <c r="BS65" s="17" t="s">
        <v>256</v>
      </c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8"/>
    </row>
    <row r="66" spans="1:97" x14ac:dyDescent="0.15">
      <c r="A66" s="1">
        <v>17</v>
      </c>
      <c r="B66" s="1" t="s">
        <v>35</v>
      </c>
      <c r="C66" s="1" t="s">
        <v>32</v>
      </c>
      <c r="D66" s="1" t="s">
        <v>24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>
        <v>5</v>
      </c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ref="BP66:BP72" si="25">SUM(E66:BO66)</f>
        <v>5</v>
      </c>
      <c r="BQ66" s="1">
        <v>5</v>
      </c>
      <c r="BR66" s="17">
        <v>1</v>
      </c>
      <c r="BS66" s="17" t="s">
        <v>257</v>
      </c>
      <c r="BT66" s="1" t="str">
        <f t="shared" ref="BT66:CE72" si="26">IF(AQ66&gt;AQ$163, AQ66-AQ$163,"")</f>
        <v/>
      </c>
      <c r="BU66" s="1" t="str">
        <f t="shared" si="26"/>
        <v/>
      </c>
      <c r="BV66" s="1" t="str">
        <f t="shared" si="26"/>
        <v/>
      </c>
      <c r="BW66" s="1" t="str">
        <f t="shared" si="26"/>
        <v/>
      </c>
      <c r="BX66" s="1" t="str">
        <f t="shared" si="26"/>
        <v/>
      </c>
      <c r="BY66" s="1" t="str">
        <f t="shared" si="26"/>
        <v/>
      </c>
      <c r="BZ66" s="1" t="str">
        <f t="shared" si="26"/>
        <v/>
      </c>
      <c r="CA66" s="1" t="str">
        <f t="shared" si="26"/>
        <v/>
      </c>
      <c r="CB66" s="1" t="str">
        <f t="shared" si="26"/>
        <v/>
      </c>
      <c r="CC66" s="1" t="str">
        <f t="shared" si="26"/>
        <v/>
      </c>
      <c r="CD66" s="1" t="str">
        <f t="shared" si="26"/>
        <v/>
      </c>
      <c r="CE66" s="1" t="str">
        <f t="shared" si="26"/>
        <v/>
      </c>
      <c r="CF66" s="1">
        <f t="shared" ref="CF66:CF72" si="27">COUNTIF(BT66:CE66, "&gt;0")</f>
        <v>0</v>
      </c>
      <c r="CG66" s="1" t="str">
        <f t="shared" ref="CG66:CR72" si="28">IF($CF66=1,BT66,"")</f>
        <v/>
      </c>
      <c r="CH66" s="1" t="str">
        <f t="shared" si="28"/>
        <v/>
      </c>
      <c r="CI66" s="1" t="str">
        <f t="shared" si="28"/>
        <v/>
      </c>
      <c r="CJ66" s="1" t="str">
        <f t="shared" si="28"/>
        <v/>
      </c>
      <c r="CK66" s="1" t="str">
        <f t="shared" si="28"/>
        <v/>
      </c>
      <c r="CL66" s="1" t="str">
        <f t="shared" si="28"/>
        <v/>
      </c>
      <c r="CM66" s="1" t="str">
        <f t="shared" si="28"/>
        <v/>
      </c>
      <c r="CN66" s="1" t="str">
        <f t="shared" si="28"/>
        <v/>
      </c>
      <c r="CO66" s="1" t="str">
        <f t="shared" si="28"/>
        <v/>
      </c>
      <c r="CP66" s="1" t="str">
        <f t="shared" si="28"/>
        <v/>
      </c>
      <c r="CQ66" s="1" t="str">
        <f t="shared" si="28"/>
        <v/>
      </c>
      <c r="CR66" s="1" t="str">
        <f t="shared" si="28"/>
        <v/>
      </c>
      <c r="CS66" s="18">
        <f t="shared" ref="CS66:CS72" si="29">SUM(AE66:BO66)</f>
        <v>5</v>
      </c>
    </row>
    <row r="67" spans="1:97" x14ac:dyDescent="0.15">
      <c r="A67" s="1">
        <v>18</v>
      </c>
      <c r="B67" s="1" t="s">
        <v>35</v>
      </c>
      <c r="C67" s="1" t="s">
        <v>32</v>
      </c>
      <c r="D67" s="1" t="s">
        <v>25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>
        <v>5</v>
      </c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25"/>
        <v>5</v>
      </c>
      <c r="BQ67" s="1">
        <v>5</v>
      </c>
      <c r="BR67" s="17">
        <v>1</v>
      </c>
      <c r="BS67" s="17" t="s">
        <v>212</v>
      </c>
      <c r="BT67" s="1" t="str">
        <f t="shared" si="26"/>
        <v/>
      </c>
      <c r="BU67" s="1" t="str">
        <f t="shared" si="26"/>
        <v/>
      </c>
      <c r="BV67" s="1" t="str">
        <f t="shared" si="26"/>
        <v/>
      </c>
      <c r="BW67" s="1" t="str">
        <f t="shared" si="26"/>
        <v/>
      </c>
      <c r="BX67" s="1" t="str">
        <f t="shared" si="26"/>
        <v/>
      </c>
      <c r="BY67" s="1" t="str">
        <f t="shared" si="26"/>
        <v/>
      </c>
      <c r="BZ67" s="1" t="str">
        <f t="shared" si="26"/>
        <v/>
      </c>
      <c r="CA67" s="1" t="str">
        <f t="shared" si="26"/>
        <v/>
      </c>
      <c r="CB67" s="1" t="str">
        <f t="shared" si="26"/>
        <v/>
      </c>
      <c r="CC67" s="1" t="str">
        <f t="shared" si="26"/>
        <v/>
      </c>
      <c r="CD67" s="1" t="str">
        <f t="shared" si="26"/>
        <v/>
      </c>
      <c r="CE67" s="1" t="str">
        <f t="shared" si="26"/>
        <v/>
      </c>
      <c r="CF67" s="1">
        <f t="shared" si="27"/>
        <v>0</v>
      </c>
      <c r="CG67" s="1" t="str">
        <f t="shared" si="28"/>
        <v/>
      </c>
      <c r="CH67" s="1" t="str">
        <f t="shared" si="28"/>
        <v/>
      </c>
      <c r="CI67" s="1" t="str">
        <f t="shared" si="28"/>
        <v/>
      </c>
      <c r="CJ67" s="1" t="str">
        <f t="shared" si="28"/>
        <v/>
      </c>
      <c r="CK67" s="1" t="str">
        <f t="shared" si="28"/>
        <v/>
      </c>
      <c r="CL67" s="1" t="str">
        <f t="shared" si="28"/>
        <v/>
      </c>
      <c r="CM67" s="1" t="str">
        <f t="shared" si="28"/>
        <v/>
      </c>
      <c r="CN67" s="1" t="str">
        <f t="shared" si="28"/>
        <v/>
      </c>
      <c r="CO67" s="1" t="str">
        <f t="shared" si="28"/>
        <v/>
      </c>
      <c r="CP67" s="1" t="str">
        <f t="shared" si="28"/>
        <v/>
      </c>
      <c r="CQ67" s="1" t="str">
        <f t="shared" si="28"/>
        <v/>
      </c>
      <c r="CR67" s="1" t="str">
        <f t="shared" si="28"/>
        <v/>
      </c>
      <c r="CS67" s="18">
        <f t="shared" si="29"/>
        <v>5</v>
      </c>
    </row>
    <row r="68" spans="1:97" x14ac:dyDescent="0.15">
      <c r="A68" s="1">
        <v>19</v>
      </c>
      <c r="B68" s="1" t="s">
        <v>38</v>
      </c>
      <c r="C68" s="1" t="s">
        <v>32</v>
      </c>
      <c r="D68" s="1" t="s">
        <v>24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>
        <v>5</v>
      </c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25"/>
        <v>5</v>
      </c>
      <c r="BQ68" s="1">
        <v>5</v>
      </c>
      <c r="BR68" s="17">
        <v>1</v>
      </c>
      <c r="BS68" s="17" t="s">
        <v>212</v>
      </c>
      <c r="BT68" s="1" t="str">
        <f t="shared" si="26"/>
        <v/>
      </c>
      <c r="BU68" s="1" t="str">
        <f t="shared" si="26"/>
        <v/>
      </c>
      <c r="BV68" s="1" t="str">
        <f t="shared" si="26"/>
        <v/>
      </c>
      <c r="BW68" s="1" t="str">
        <f t="shared" si="26"/>
        <v/>
      </c>
      <c r="BX68" s="1" t="str">
        <f t="shared" si="26"/>
        <v/>
      </c>
      <c r="BY68" s="1" t="str">
        <f t="shared" si="26"/>
        <v/>
      </c>
      <c r="BZ68" s="1" t="str">
        <f t="shared" si="26"/>
        <v/>
      </c>
      <c r="CA68" s="1" t="str">
        <f t="shared" si="26"/>
        <v/>
      </c>
      <c r="CB68" s="1" t="str">
        <f t="shared" si="26"/>
        <v/>
      </c>
      <c r="CC68" s="1" t="str">
        <f t="shared" si="26"/>
        <v/>
      </c>
      <c r="CD68" s="1" t="str">
        <f t="shared" si="26"/>
        <v/>
      </c>
      <c r="CE68" s="1" t="str">
        <f t="shared" si="26"/>
        <v/>
      </c>
      <c r="CF68" s="1">
        <f t="shared" si="27"/>
        <v>0</v>
      </c>
      <c r="CG68" s="1" t="str">
        <f t="shared" si="28"/>
        <v/>
      </c>
      <c r="CH68" s="1" t="str">
        <f t="shared" si="28"/>
        <v/>
      </c>
      <c r="CI68" s="1" t="str">
        <f t="shared" si="28"/>
        <v/>
      </c>
      <c r="CJ68" s="1" t="str">
        <f t="shared" si="28"/>
        <v/>
      </c>
      <c r="CK68" s="1" t="str">
        <f t="shared" si="28"/>
        <v/>
      </c>
      <c r="CL68" s="1" t="str">
        <f t="shared" si="28"/>
        <v/>
      </c>
      <c r="CM68" s="1" t="str">
        <f t="shared" si="28"/>
        <v/>
      </c>
      <c r="CN68" s="1" t="str">
        <f t="shared" si="28"/>
        <v/>
      </c>
      <c r="CO68" s="1" t="str">
        <f t="shared" si="28"/>
        <v/>
      </c>
      <c r="CP68" s="1" t="str">
        <f t="shared" si="28"/>
        <v/>
      </c>
      <c r="CQ68" s="1" t="str">
        <f t="shared" si="28"/>
        <v/>
      </c>
      <c r="CR68" s="1" t="str">
        <f t="shared" si="28"/>
        <v/>
      </c>
      <c r="CS68" s="18">
        <f t="shared" si="29"/>
        <v>5</v>
      </c>
    </row>
    <row r="69" spans="1:97" x14ac:dyDescent="0.15">
      <c r="A69" s="1">
        <v>32</v>
      </c>
      <c r="B69" s="1" t="s">
        <v>87</v>
      </c>
      <c r="C69" s="1" t="s">
        <v>32</v>
      </c>
      <c r="D69" s="1" t="s">
        <v>24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/>
      <c r="AI69" s="1">
        <v>5</v>
      </c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25"/>
        <v>5</v>
      </c>
      <c r="BQ69" s="1">
        <v>5</v>
      </c>
      <c r="BR69" s="17">
        <v>1</v>
      </c>
      <c r="BS69" s="17" t="s">
        <v>213</v>
      </c>
      <c r="BT69" s="1" t="str">
        <f t="shared" si="26"/>
        <v/>
      </c>
      <c r="BU69" s="1" t="str">
        <f t="shared" si="26"/>
        <v/>
      </c>
      <c r="BV69" s="1" t="str">
        <f t="shared" si="26"/>
        <v/>
      </c>
      <c r="BW69" s="1" t="str">
        <f t="shared" si="26"/>
        <v/>
      </c>
      <c r="BX69" s="1" t="str">
        <f t="shared" si="26"/>
        <v/>
      </c>
      <c r="BY69" s="1" t="str">
        <f t="shared" si="26"/>
        <v/>
      </c>
      <c r="BZ69" s="1" t="str">
        <f t="shared" si="26"/>
        <v/>
      </c>
      <c r="CA69" s="1" t="str">
        <f t="shared" si="26"/>
        <v/>
      </c>
      <c r="CB69" s="1" t="str">
        <f t="shared" si="26"/>
        <v/>
      </c>
      <c r="CC69" s="1" t="str">
        <f t="shared" si="26"/>
        <v/>
      </c>
      <c r="CD69" s="1" t="str">
        <f t="shared" si="26"/>
        <v/>
      </c>
      <c r="CE69" s="1" t="str">
        <f t="shared" si="26"/>
        <v/>
      </c>
      <c r="CF69" s="1">
        <f t="shared" si="27"/>
        <v>0</v>
      </c>
      <c r="CG69" s="1" t="str">
        <f t="shared" si="28"/>
        <v/>
      </c>
      <c r="CH69" s="1" t="str">
        <f t="shared" si="28"/>
        <v/>
      </c>
      <c r="CI69" s="1" t="str">
        <f t="shared" si="28"/>
        <v/>
      </c>
      <c r="CJ69" s="1" t="str">
        <f t="shared" si="28"/>
        <v/>
      </c>
      <c r="CK69" s="1" t="str">
        <f t="shared" si="28"/>
        <v/>
      </c>
      <c r="CL69" s="1" t="str">
        <f t="shared" si="28"/>
        <v/>
      </c>
      <c r="CM69" s="1" t="str">
        <f t="shared" si="28"/>
        <v/>
      </c>
      <c r="CN69" s="1" t="str">
        <f t="shared" si="28"/>
        <v/>
      </c>
      <c r="CO69" s="1" t="str">
        <f t="shared" si="28"/>
        <v/>
      </c>
      <c r="CP69" s="1" t="str">
        <f t="shared" si="28"/>
        <v/>
      </c>
      <c r="CQ69" s="1" t="str">
        <f t="shared" si="28"/>
        <v/>
      </c>
      <c r="CR69" s="1" t="str">
        <f t="shared" si="28"/>
        <v/>
      </c>
      <c r="CS69" s="18">
        <f t="shared" si="29"/>
        <v>5</v>
      </c>
    </row>
    <row r="70" spans="1:97" x14ac:dyDescent="0.15">
      <c r="A70" s="1">
        <v>33</v>
      </c>
      <c r="B70" s="1" t="s">
        <v>87</v>
      </c>
      <c r="C70" s="1" t="s">
        <v>32</v>
      </c>
      <c r="D70" s="1" t="s">
        <v>1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>
        <v>5</v>
      </c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 t="shared" si="25"/>
        <v>5</v>
      </c>
      <c r="BQ70" s="1">
        <v>5</v>
      </c>
      <c r="BR70" s="17">
        <v>1</v>
      </c>
      <c r="BS70" s="17" t="s">
        <v>258</v>
      </c>
      <c r="BT70" s="1" t="str">
        <f t="shared" si="26"/>
        <v/>
      </c>
      <c r="BU70" s="1" t="str">
        <f t="shared" si="26"/>
        <v/>
      </c>
      <c r="BV70" s="1" t="str">
        <f t="shared" si="26"/>
        <v/>
      </c>
      <c r="BW70" s="1" t="str">
        <f t="shared" si="26"/>
        <v/>
      </c>
      <c r="BX70" s="1" t="str">
        <f t="shared" si="26"/>
        <v/>
      </c>
      <c r="BY70" s="1" t="str">
        <f t="shared" si="26"/>
        <v/>
      </c>
      <c r="BZ70" s="1" t="str">
        <f t="shared" si="26"/>
        <v/>
      </c>
      <c r="CA70" s="1" t="str">
        <f t="shared" si="26"/>
        <v/>
      </c>
      <c r="CB70" s="1" t="str">
        <f t="shared" si="26"/>
        <v/>
      </c>
      <c r="CC70" s="1" t="str">
        <f t="shared" si="26"/>
        <v/>
      </c>
      <c r="CD70" s="1" t="str">
        <f t="shared" si="26"/>
        <v/>
      </c>
      <c r="CE70" s="1" t="str">
        <f t="shared" si="26"/>
        <v/>
      </c>
      <c r="CF70" s="1">
        <f t="shared" si="27"/>
        <v>0</v>
      </c>
      <c r="CG70" s="1" t="str">
        <f t="shared" si="28"/>
        <v/>
      </c>
      <c r="CH70" s="1" t="str">
        <f t="shared" si="28"/>
        <v/>
      </c>
      <c r="CI70" s="1" t="str">
        <f t="shared" si="28"/>
        <v/>
      </c>
      <c r="CJ70" s="1" t="str">
        <f t="shared" si="28"/>
        <v/>
      </c>
      <c r="CK70" s="1" t="str">
        <f t="shared" si="28"/>
        <v/>
      </c>
      <c r="CL70" s="1" t="str">
        <f t="shared" si="28"/>
        <v/>
      </c>
      <c r="CM70" s="1" t="str">
        <f t="shared" si="28"/>
        <v/>
      </c>
      <c r="CN70" s="1" t="str">
        <f t="shared" si="28"/>
        <v/>
      </c>
      <c r="CO70" s="1" t="str">
        <f t="shared" si="28"/>
        <v/>
      </c>
      <c r="CP70" s="1" t="str">
        <f t="shared" si="28"/>
        <v/>
      </c>
      <c r="CQ70" s="1" t="str">
        <f t="shared" si="28"/>
        <v/>
      </c>
      <c r="CR70" s="1" t="str">
        <f t="shared" si="28"/>
        <v/>
      </c>
      <c r="CS70" s="18">
        <f t="shared" si="29"/>
        <v>5</v>
      </c>
    </row>
    <row r="71" spans="1:97" x14ac:dyDescent="0.15">
      <c r="A71" s="1">
        <v>63</v>
      </c>
      <c r="B71" s="3" t="s">
        <v>68</v>
      </c>
      <c r="C71" s="1" t="s">
        <v>62</v>
      </c>
      <c r="D71" s="1" t="s">
        <v>24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>
        <v>5</v>
      </c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25"/>
        <v>5</v>
      </c>
      <c r="BQ71" s="1">
        <v>5</v>
      </c>
      <c r="BR71" s="17">
        <v>1</v>
      </c>
      <c r="BS71" s="17" t="s">
        <v>214</v>
      </c>
      <c r="BT71" s="1" t="str">
        <f t="shared" si="26"/>
        <v/>
      </c>
      <c r="BU71" s="1" t="str">
        <f t="shared" si="26"/>
        <v/>
      </c>
      <c r="BV71" s="1" t="str">
        <f t="shared" si="26"/>
        <v/>
      </c>
      <c r="BW71" s="1" t="str">
        <f t="shared" si="26"/>
        <v/>
      </c>
      <c r="BX71" s="1" t="str">
        <f t="shared" si="26"/>
        <v/>
      </c>
      <c r="BY71" s="1" t="str">
        <f t="shared" si="26"/>
        <v/>
      </c>
      <c r="BZ71" s="1" t="str">
        <f t="shared" si="26"/>
        <v/>
      </c>
      <c r="CA71" s="1" t="str">
        <f t="shared" si="26"/>
        <v/>
      </c>
      <c r="CB71" s="1" t="str">
        <f t="shared" si="26"/>
        <v/>
      </c>
      <c r="CC71" s="1" t="str">
        <f t="shared" si="26"/>
        <v/>
      </c>
      <c r="CD71" s="1" t="str">
        <f t="shared" si="26"/>
        <v/>
      </c>
      <c r="CE71" s="1" t="str">
        <f t="shared" si="26"/>
        <v/>
      </c>
      <c r="CF71" s="1">
        <f t="shared" si="27"/>
        <v>0</v>
      </c>
      <c r="CG71" s="1" t="str">
        <f t="shared" si="28"/>
        <v/>
      </c>
      <c r="CH71" s="1" t="str">
        <f t="shared" si="28"/>
        <v/>
      </c>
      <c r="CI71" s="1" t="str">
        <f t="shared" si="28"/>
        <v/>
      </c>
      <c r="CJ71" s="1" t="str">
        <f t="shared" si="28"/>
        <v/>
      </c>
      <c r="CK71" s="1" t="str">
        <f t="shared" si="28"/>
        <v/>
      </c>
      <c r="CL71" s="1" t="str">
        <f t="shared" si="28"/>
        <v/>
      </c>
      <c r="CM71" s="1" t="str">
        <f t="shared" si="28"/>
        <v/>
      </c>
      <c r="CN71" s="1" t="str">
        <f t="shared" si="28"/>
        <v/>
      </c>
      <c r="CO71" s="1" t="str">
        <f t="shared" si="28"/>
        <v/>
      </c>
      <c r="CP71" s="1" t="str">
        <f t="shared" si="28"/>
        <v/>
      </c>
      <c r="CQ71" s="1" t="str">
        <f t="shared" si="28"/>
        <v/>
      </c>
      <c r="CR71" s="1" t="str">
        <f t="shared" si="28"/>
        <v/>
      </c>
      <c r="CS71" s="18">
        <f t="shared" si="29"/>
        <v>5</v>
      </c>
    </row>
    <row r="72" spans="1:97" x14ac:dyDescent="0.15">
      <c r="A72" s="1">
        <v>90</v>
      </c>
      <c r="B72" s="3" t="s">
        <v>91</v>
      </c>
      <c r="C72" s="3" t="s">
        <v>90</v>
      </c>
      <c r="D72" s="1" t="s">
        <v>24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>
        <v>5</v>
      </c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 t="shared" si="25"/>
        <v>5</v>
      </c>
      <c r="BQ72" s="1">
        <v>5</v>
      </c>
      <c r="BR72" s="17">
        <v>1</v>
      </c>
      <c r="BS72" s="17" t="s">
        <v>214</v>
      </c>
      <c r="BT72" s="1" t="str">
        <f t="shared" si="26"/>
        <v/>
      </c>
      <c r="BU72" s="1" t="str">
        <f t="shared" si="26"/>
        <v/>
      </c>
      <c r="BV72" s="1" t="str">
        <f t="shared" si="26"/>
        <v/>
      </c>
      <c r="BW72" s="1" t="str">
        <f t="shared" si="26"/>
        <v/>
      </c>
      <c r="BX72" s="1" t="str">
        <f t="shared" si="26"/>
        <v/>
      </c>
      <c r="BY72" s="1" t="str">
        <f t="shared" si="26"/>
        <v/>
      </c>
      <c r="BZ72" s="1" t="str">
        <f t="shared" si="26"/>
        <v/>
      </c>
      <c r="CA72" s="1" t="str">
        <f t="shared" si="26"/>
        <v/>
      </c>
      <c r="CB72" s="1" t="str">
        <f t="shared" si="26"/>
        <v/>
      </c>
      <c r="CC72" s="1" t="str">
        <f t="shared" si="26"/>
        <v/>
      </c>
      <c r="CD72" s="1" t="str">
        <f t="shared" si="26"/>
        <v/>
      </c>
      <c r="CE72" s="1" t="str">
        <f t="shared" si="26"/>
        <v/>
      </c>
      <c r="CF72" s="1">
        <f t="shared" si="27"/>
        <v>0</v>
      </c>
      <c r="CG72" s="1" t="str">
        <f t="shared" si="28"/>
        <v/>
      </c>
      <c r="CH72" s="1" t="str">
        <f t="shared" si="28"/>
        <v/>
      </c>
      <c r="CI72" s="1" t="str">
        <f t="shared" si="28"/>
        <v/>
      </c>
      <c r="CJ72" s="1" t="str">
        <f t="shared" si="28"/>
        <v/>
      </c>
      <c r="CK72" s="1" t="str">
        <f t="shared" si="28"/>
        <v/>
      </c>
      <c r="CL72" s="1" t="str">
        <f t="shared" si="28"/>
        <v/>
      </c>
      <c r="CM72" s="1" t="str">
        <f t="shared" si="28"/>
        <v/>
      </c>
      <c r="CN72" s="1" t="str">
        <f t="shared" si="28"/>
        <v/>
      </c>
      <c r="CO72" s="1" t="str">
        <f t="shared" si="28"/>
        <v/>
      </c>
      <c r="CP72" s="1" t="str">
        <f t="shared" si="28"/>
        <v/>
      </c>
      <c r="CQ72" s="1" t="str">
        <f t="shared" si="28"/>
        <v/>
      </c>
      <c r="CR72" s="1" t="str">
        <f t="shared" si="28"/>
        <v/>
      </c>
      <c r="CS72" s="18">
        <f t="shared" si="29"/>
        <v>5</v>
      </c>
    </row>
    <row r="73" spans="1:97" x14ac:dyDescent="0.15">
      <c r="A73" s="1"/>
      <c r="B73" s="1" t="s">
        <v>140</v>
      </c>
      <c r="C73" s="1" t="s">
        <v>136</v>
      </c>
      <c r="D73" s="1" t="s">
        <v>130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>
        <v>5</v>
      </c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v>5</v>
      </c>
      <c r="BR73" s="17">
        <v>1</v>
      </c>
      <c r="BS73" s="17" t="s">
        <v>258</v>
      </c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x14ac:dyDescent="0.15">
      <c r="A74" s="1"/>
      <c r="B74" s="1" t="s">
        <v>140</v>
      </c>
      <c r="C74" s="1" t="s">
        <v>136</v>
      </c>
      <c r="D74" s="1" t="s">
        <v>123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>
        <v>5</v>
      </c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v>5</v>
      </c>
      <c r="BR74" s="17">
        <v>1</v>
      </c>
      <c r="BS74" s="17" t="s">
        <v>213</v>
      </c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x14ac:dyDescent="0.15">
      <c r="A75" s="1"/>
      <c r="B75" s="1" t="s">
        <v>153</v>
      </c>
      <c r="C75" s="1" t="s">
        <v>148</v>
      </c>
      <c r="D75" s="1" t="s">
        <v>123</v>
      </c>
      <c r="E75" s="6"/>
      <c r="F75" s="6"/>
      <c r="G75" s="6"/>
      <c r="H75" s="6">
        <v>10</v>
      </c>
      <c r="I75" s="6"/>
      <c r="J75" s="6">
        <v>10</v>
      </c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>
        <v>10</v>
      </c>
      <c r="AU75" s="4"/>
      <c r="AV75" s="4"/>
      <c r="AW75" s="2"/>
      <c r="AX75" s="2"/>
      <c r="AY75" s="2">
        <v>10</v>
      </c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v>7</v>
      </c>
      <c r="BR75" s="17">
        <v>1</v>
      </c>
      <c r="BS75" s="17" t="s">
        <v>259</v>
      </c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x14ac:dyDescent="0.15">
      <c r="A76" s="1"/>
      <c r="B76" s="1" t="s">
        <v>128</v>
      </c>
      <c r="C76" s="1" t="s">
        <v>125</v>
      </c>
      <c r="D76" s="1" t="s">
        <v>122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>
        <v>10</v>
      </c>
      <c r="AT76" s="4"/>
      <c r="AU76" s="4"/>
      <c r="AV76" s="4"/>
      <c r="AW76" s="2"/>
      <c r="AX76" s="2"/>
      <c r="AY76" s="2"/>
      <c r="AZ76" s="2"/>
      <c r="BA76" s="2"/>
      <c r="BB76" s="2">
        <v>10</v>
      </c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v>8</v>
      </c>
      <c r="BR76" s="17">
        <v>1</v>
      </c>
      <c r="BS76" s="17" t="s">
        <v>217</v>
      </c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x14ac:dyDescent="0.15">
      <c r="A77" s="1">
        <v>34</v>
      </c>
      <c r="B77" s="1" t="s">
        <v>48</v>
      </c>
      <c r="C77" s="1" t="s">
        <v>49</v>
      </c>
      <c r="D77" s="1" t="s">
        <v>25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>
        <v>15</v>
      </c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>
        <v>15</v>
      </c>
      <c r="BC77" s="14"/>
      <c r="BD77" s="1"/>
      <c r="BE77" s="1"/>
      <c r="BF77" s="1"/>
      <c r="BG77" s="1"/>
      <c r="BH77" s="1">
        <v>15</v>
      </c>
      <c r="BI77" s="1">
        <v>15</v>
      </c>
      <c r="BJ77" s="1"/>
      <c r="BK77" s="1"/>
      <c r="BL77" s="1"/>
      <c r="BM77" s="1"/>
      <c r="BN77" s="1"/>
      <c r="BO77" s="1"/>
      <c r="BP77" s="1">
        <f>SUM(E77:BO77)</f>
        <v>60</v>
      </c>
      <c r="BQ77" s="1">
        <v>9</v>
      </c>
      <c r="BR77" s="17">
        <v>1</v>
      </c>
      <c r="BS77" s="17" t="s">
        <v>260</v>
      </c>
      <c r="BT77" s="1">
        <f t="shared" ref="BT77:CE77" si="30">IF(AQ77&gt;AQ$163, AQ77-AQ$163,"")</f>
        <v>9</v>
      </c>
      <c r="BU77" s="1" t="str">
        <f t="shared" si="30"/>
        <v/>
      </c>
      <c r="BV77" s="1" t="str">
        <f t="shared" si="30"/>
        <v/>
      </c>
      <c r="BW77" s="1" t="str">
        <f t="shared" si="30"/>
        <v/>
      </c>
      <c r="BX77" s="1" t="str">
        <f t="shared" si="30"/>
        <v/>
      </c>
      <c r="BY77" s="1" t="str">
        <f t="shared" si="30"/>
        <v/>
      </c>
      <c r="BZ77" s="1" t="str">
        <f t="shared" si="30"/>
        <v/>
      </c>
      <c r="CA77" s="1" t="str">
        <f t="shared" si="30"/>
        <v/>
      </c>
      <c r="CB77" s="1" t="str">
        <f t="shared" si="30"/>
        <v/>
      </c>
      <c r="CC77" s="1" t="str">
        <f t="shared" si="30"/>
        <v/>
      </c>
      <c r="CD77" s="1" t="str">
        <f t="shared" si="30"/>
        <v/>
      </c>
      <c r="CE77" s="1" t="str">
        <f t="shared" si="30"/>
        <v/>
      </c>
      <c r="CF77" s="1">
        <f>COUNTIF(BT77:CE77, "&gt;0")</f>
        <v>1</v>
      </c>
      <c r="CG77" s="1">
        <f t="shared" ref="CG77:CR77" si="31">IF($CF77=1,BT77,"")</f>
        <v>9</v>
      </c>
      <c r="CH77" s="1" t="str">
        <f t="shared" si="31"/>
        <v/>
      </c>
      <c r="CI77" s="1" t="str">
        <f t="shared" si="31"/>
        <v/>
      </c>
      <c r="CJ77" s="1" t="str">
        <f t="shared" si="31"/>
        <v/>
      </c>
      <c r="CK77" s="1" t="str">
        <f t="shared" si="31"/>
        <v/>
      </c>
      <c r="CL77" s="1" t="str">
        <f t="shared" si="31"/>
        <v/>
      </c>
      <c r="CM77" s="1" t="str">
        <f t="shared" si="31"/>
        <v/>
      </c>
      <c r="CN77" s="1" t="str">
        <f t="shared" si="31"/>
        <v/>
      </c>
      <c r="CO77" s="1" t="str">
        <f t="shared" si="31"/>
        <v/>
      </c>
      <c r="CP77" s="1" t="str">
        <f t="shared" si="31"/>
        <v/>
      </c>
      <c r="CQ77" s="1" t="str">
        <f t="shared" si="31"/>
        <v/>
      </c>
      <c r="CR77" s="1" t="str">
        <f t="shared" si="31"/>
        <v/>
      </c>
      <c r="CS77" s="18">
        <f>SUM(AE77:BO77)</f>
        <v>60</v>
      </c>
    </row>
    <row r="78" spans="1:97" x14ac:dyDescent="0.15">
      <c r="A78" s="1"/>
      <c r="B78" s="1" t="s">
        <v>141</v>
      </c>
      <c r="C78" s="1" t="s">
        <v>121</v>
      </c>
      <c r="D78" s="1" t="s">
        <v>122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>
        <v>15</v>
      </c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>
        <v>15</v>
      </c>
      <c r="BC78" s="14"/>
      <c r="BD78" s="1"/>
      <c r="BE78" s="1"/>
      <c r="BF78" s="1"/>
      <c r="BG78" s="1"/>
      <c r="BH78" s="1">
        <v>15</v>
      </c>
      <c r="BI78" s="1">
        <v>15</v>
      </c>
      <c r="BJ78" s="1"/>
      <c r="BK78" s="1"/>
      <c r="BL78" s="1"/>
      <c r="BM78" s="1"/>
      <c r="BN78" s="1"/>
      <c r="BO78" s="1"/>
      <c r="BP78" s="1"/>
      <c r="BQ78" s="1">
        <v>9</v>
      </c>
      <c r="BR78" s="17">
        <v>1</v>
      </c>
      <c r="BS78" s="17" t="s">
        <v>260</v>
      </c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x14ac:dyDescent="0.15">
      <c r="A79" s="1">
        <v>62</v>
      </c>
      <c r="B79" s="1" t="s">
        <v>119</v>
      </c>
      <c r="C79" s="1" t="s">
        <v>62</v>
      </c>
      <c r="D79" s="1" t="s">
        <v>1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>
        <v>15</v>
      </c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15</v>
      </c>
      <c r="BQ79" s="1">
        <v>11</v>
      </c>
      <c r="BR79" s="17">
        <v>1</v>
      </c>
      <c r="BS79" s="17" t="s">
        <v>219</v>
      </c>
      <c r="BT79" s="1" t="str">
        <f t="shared" ref="BT79:CE79" si="32">IF(AQ79&gt;AQ$163, AQ79-AQ$163,"")</f>
        <v/>
      </c>
      <c r="BU79" s="1" t="str">
        <f t="shared" si="32"/>
        <v/>
      </c>
      <c r="BV79" s="1" t="str">
        <f t="shared" si="32"/>
        <v/>
      </c>
      <c r="BW79" s="1" t="str">
        <f t="shared" si="32"/>
        <v/>
      </c>
      <c r="BX79" s="1" t="str">
        <f t="shared" si="32"/>
        <v/>
      </c>
      <c r="BY79" s="1" t="str">
        <f t="shared" si="32"/>
        <v/>
      </c>
      <c r="BZ79" s="1" t="str">
        <f t="shared" si="32"/>
        <v/>
      </c>
      <c r="CA79" s="1" t="str">
        <f t="shared" si="32"/>
        <v/>
      </c>
      <c r="CB79" s="1" t="str">
        <f t="shared" si="32"/>
        <v/>
      </c>
      <c r="CC79" s="1" t="str">
        <f t="shared" si="32"/>
        <v/>
      </c>
      <c r="CD79" s="1" t="str">
        <f t="shared" si="32"/>
        <v/>
      </c>
      <c r="CE79" s="1" t="str">
        <f t="shared" si="32"/>
        <v/>
      </c>
      <c r="CF79" s="1">
        <f>COUNTIF(BT79:CE79, "&gt;0")</f>
        <v>0</v>
      </c>
      <c r="CG79" s="1" t="str">
        <f t="shared" ref="CG79:CR79" si="33">IF($CF79=1,BT79,"")</f>
        <v/>
      </c>
      <c r="CH79" s="1" t="str">
        <f t="shared" si="33"/>
        <v/>
      </c>
      <c r="CI79" s="1" t="str">
        <f t="shared" si="33"/>
        <v/>
      </c>
      <c r="CJ79" s="1" t="str">
        <f t="shared" si="33"/>
        <v/>
      </c>
      <c r="CK79" s="1" t="str">
        <f t="shared" si="33"/>
        <v/>
      </c>
      <c r="CL79" s="1" t="str">
        <f t="shared" si="33"/>
        <v/>
      </c>
      <c r="CM79" s="1" t="str">
        <f t="shared" si="33"/>
        <v/>
      </c>
      <c r="CN79" s="1" t="str">
        <f t="shared" si="33"/>
        <v/>
      </c>
      <c r="CO79" s="1" t="str">
        <f t="shared" si="33"/>
        <v/>
      </c>
      <c r="CP79" s="1" t="str">
        <f t="shared" si="33"/>
        <v/>
      </c>
      <c r="CQ79" s="1" t="str">
        <f t="shared" si="33"/>
        <v/>
      </c>
      <c r="CR79" s="1" t="str">
        <f t="shared" si="33"/>
        <v/>
      </c>
      <c r="CS79" s="18">
        <f>SUM(AE79:BO79)</f>
        <v>15</v>
      </c>
    </row>
    <row r="80" spans="1:97" x14ac:dyDescent="0.15">
      <c r="A80" s="1"/>
      <c r="B80" s="1" t="s">
        <v>203</v>
      </c>
      <c r="C80" s="1" t="s">
        <v>32</v>
      </c>
      <c r="D80" s="1" t="s">
        <v>205</v>
      </c>
      <c r="E80" s="6">
        <v>20</v>
      </c>
      <c r="F80" s="6"/>
      <c r="G80" s="6"/>
      <c r="H80" s="6"/>
      <c r="I80" s="6">
        <v>20</v>
      </c>
      <c r="J80" s="6">
        <v>20</v>
      </c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v>12</v>
      </c>
      <c r="BR80" s="17">
        <v>1</v>
      </c>
      <c r="BS80" s="17" t="s">
        <v>261</v>
      </c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8"/>
    </row>
    <row r="81" spans="1:97" x14ac:dyDescent="0.15">
      <c r="A81" s="1">
        <v>64</v>
      </c>
      <c r="B81" s="3" t="s">
        <v>68</v>
      </c>
      <c r="C81" s="1" t="s">
        <v>62</v>
      </c>
      <c r="D81" s="1" t="s">
        <v>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/>
      <c r="AF81" s="1"/>
      <c r="AG81" s="1"/>
      <c r="AH81" s="1"/>
      <c r="AI81" s="1"/>
      <c r="AJ81" s="1"/>
      <c r="AK81" s="1"/>
      <c r="AL81" s="1"/>
      <c r="AM81" s="1"/>
      <c r="AN81" s="1">
        <v>15</v>
      </c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15</v>
      </c>
      <c r="BQ81" s="1">
        <v>15</v>
      </c>
      <c r="BR81" s="17">
        <v>1</v>
      </c>
      <c r="BS81" s="17" t="s">
        <v>220</v>
      </c>
      <c r="BT81" s="1" t="str">
        <f t="shared" ref="BT81:CE85" si="34">IF(AQ81&gt;AQ$163, AQ81-AQ$163,"")</f>
        <v/>
      </c>
      <c r="BU81" s="1" t="str">
        <f t="shared" si="34"/>
        <v/>
      </c>
      <c r="BV81" s="1" t="str">
        <f t="shared" si="34"/>
        <v/>
      </c>
      <c r="BW81" s="1" t="str">
        <f t="shared" si="34"/>
        <v/>
      </c>
      <c r="BX81" s="1" t="str">
        <f t="shared" si="34"/>
        <v/>
      </c>
      <c r="BY81" s="1" t="str">
        <f t="shared" si="34"/>
        <v/>
      </c>
      <c r="BZ81" s="1" t="str">
        <f t="shared" si="34"/>
        <v/>
      </c>
      <c r="CA81" s="1" t="str">
        <f t="shared" si="34"/>
        <v/>
      </c>
      <c r="CB81" s="1" t="str">
        <f t="shared" si="34"/>
        <v/>
      </c>
      <c r="CC81" s="1" t="str">
        <f t="shared" si="34"/>
        <v/>
      </c>
      <c r="CD81" s="1" t="str">
        <f t="shared" si="34"/>
        <v/>
      </c>
      <c r="CE81" s="1" t="str">
        <f t="shared" si="34"/>
        <v/>
      </c>
      <c r="CF81" s="1">
        <f>COUNTIF(BT81:CE81, "&gt;0")</f>
        <v>0</v>
      </c>
      <c r="CG81" s="1" t="str">
        <f t="shared" ref="CG81:CR85" si="35">IF($CF81=1,BT81,"")</f>
        <v/>
      </c>
      <c r="CH81" s="1" t="str">
        <f t="shared" si="35"/>
        <v/>
      </c>
      <c r="CI81" s="1" t="str">
        <f t="shared" si="35"/>
        <v/>
      </c>
      <c r="CJ81" s="1" t="str">
        <f t="shared" si="35"/>
        <v/>
      </c>
      <c r="CK81" s="1" t="str">
        <f t="shared" si="35"/>
        <v/>
      </c>
      <c r="CL81" s="1" t="str">
        <f t="shared" si="35"/>
        <v/>
      </c>
      <c r="CM81" s="1" t="str">
        <f t="shared" si="35"/>
        <v/>
      </c>
      <c r="CN81" s="1" t="str">
        <f t="shared" si="35"/>
        <v/>
      </c>
      <c r="CO81" s="1" t="str">
        <f t="shared" si="35"/>
        <v/>
      </c>
      <c r="CP81" s="1" t="str">
        <f t="shared" si="35"/>
        <v/>
      </c>
      <c r="CQ81" s="1" t="str">
        <f t="shared" si="35"/>
        <v/>
      </c>
      <c r="CR81" s="1" t="str">
        <f t="shared" si="35"/>
        <v/>
      </c>
      <c r="CS81" s="18">
        <f>SUM(AE81:BO81)</f>
        <v>15</v>
      </c>
    </row>
    <row r="82" spans="1:97" x14ac:dyDescent="0.15">
      <c r="A82" s="19">
        <v>93</v>
      </c>
      <c r="B82" s="27" t="s">
        <v>92</v>
      </c>
      <c r="C82" s="27" t="s">
        <v>90</v>
      </c>
      <c r="D82" s="19" t="s">
        <v>1</v>
      </c>
      <c r="E82" s="20"/>
      <c r="F82" s="20">
        <v>20</v>
      </c>
      <c r="G82" s="20"/>
      <c r="H82" s="20"/>
      <c r="I82" s="20"/>
      <c r="J82" s="20"/>
      <c r="K82" s="20">
        <v>20</v>
      </c>
      <c r="L82" s="20"/>
      <c r="M82" s="20"/>
      <c r="N82" s="20">
        <v>20</v>
      </c>
      <c r="O82" s="20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21"/>
      <c r="AR82" s="21"/>
      <c r="AS82" s="21"/>
      <c r="AT82" s="21"/>
      <c r="AU82" s="21"/>
      <c r="AV82" s="21"/>
      <c r="AW82" s="22"/>
      <c r="AX82" s="22"/>
      <c r="AY82" s="22"/>
      <c r="AZ82" s="22"/>
      <c r="BA82" s="22"/>
      <c r="BB82" s="22"/>
      <c r="BC82" s="30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>
        <f>SUM(E82:BO82)</f>
        <v>60</v>
      </c>
      <c r="BQ82" s="19">
        <v>17</v>
      </c>
      <c r="BR82" s="23">
        <v>1</v>
      </c>
      <c r="BS82" s="23" t="s">
        <v>262</v>
      </c>
      <c r="BT82" s="19" t="str">
        <f t="shared" si="34"/>
        <v/>
      </c>
      <c r="BU82" s="19" t="str">
        <f t="shared" si="34"/>
        <v/>
      </c>
      <c r="BV82" s="19" t="str">
        <f t="shared" si="34"/>
        <v/>
      </c>
      <c r="BW82" s="19" t="str">
        <f t="shared" si="34"/>
        <v/>
      </c>
      <c r="BX82" s="19" t="str">
        <f t="shared" si="34"/>
        <v/>
      </c>
      <c r="BY82" s="19" t="str">
        <f t="shared" si="34"/>
        <v/>
      </c>
      <c r="BZ82" s="19" t="str">
        <f t="shared" si="34"/>
        <v/>
      </c>
      <c r="CA82" s="19" t="str">
        <f t="shared" si="34"/>
        <v/>
      </c>
      <c r="CB82" s="19" t="str">
        <f t="shared" si="34"/>
        <v/>
      </c>
      <c r="CC82" s="19" t="str">
        <f t="shared" si="34"/>
        <v/>
      </c>
      <c r="CD82" s="19" t="str">
        <f t="shared" si="34"/>
        <v/>
      </c>
      <c r="CE82" s="19" t="str">
        <f t="shared" si="34"/>
        <v/>
      </c>
      <c r="CF82" s="19">
        <f>COUNTIF(BT82:CE82, "&gt;0")</f>
        <v>0</v>
      </c>
      <c r="CG82" s="19" t="str">
        <f t="shared" si="35"/>
        <v/>
      </c>
      <c r="CH82" s="19" t="str">
        <f t="shared" si="35"/>
        <v/>
      </c>
      <c r="CI82" s="19" t="str">
        <f t="shared" si="35"/>
        <v/>
      </c>
      <c r="CJ82" s="19" t="str">
        <f t="shared" si="35"/>
        <v/>
      </c>
      <c r="CK82" s="19" t="str">
        <f t="shared" si="35"/>
        <v/>
      </c>
      <c r="CL82" s="19" t="str">
        <f t="shared" si="35"/>
        <v/>
      </c>
      <c r="CM82" s="19" t="str">
        <f t="shared" si="35"/>
        <v/>
      </c>
      <c r="CN82" s="19" t="str">
        <f t="shared" si="35"/>
        <v/>
      </c>
      <c r="CO82" s="19" t="str">
        <f t="shared" si="35"/>
        <v/>
      </c>
      <c r="CP82" s="19" t="str">
        <f t="shared" si="35"/>
        <v/>
      </c>
      <c r="CQ82" s="19" t="str">
        <f t="shared" si="35"/>
        <v/>
      </c>
      <c r="CR82" s="19" t="str">
        <f t="shared" si="35"/>
        <v/>
      </c>
      <c r="CS82" s="24">
        <f>SUM(AE82:BO82)</f>
        <v>0</v>
      </c>
    </row>
    <row r="83" spans="1:97" x14ac:dyDescent="0.15">
      <c r="A83" s="1">
        <v>65</v>
      </c>
      <c r="B83" s="3" t="s">
        <v>68</v>
      </c>
      <c r="C83" s="1" t="s">
        <v>62</v>
      </c>
      <c r="D83" s="1" t="s">
        <v>13</v>
      </c>
      <c r="E83" s="6"/>
      <c r="F83" s="6"/>
      <c r="G83" s="6">
        <v>10</v>
      </c>
      <c r="H83" s="6"/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>
        <v>25</v>
      </c>
      <c r="AO83" s="1"/>
      <c r="AP83" s="1"/>
      <c r="AQ83" s="4"/>
      <c r="AR83" s="4"/>
      <c r="AS83" s="4"/>
      <c r="AT83" s="4"/>
      <c r="AU83" s="4"/>
      <c r="AV83" s="4">
        <v>10</v>
      </c>
      <c r="AW83" s="2"/>
      <c r="AX83" s="2"/>
      <c r="AY83" s="2"/>
      <c r="AZ83" s="2">
        <v>10</v>
      </c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55</v>
      </c>
      <c r="BQ83" s="1">
        <v>25</v>
      </c>
      <c r="BR83" s="17">
        <v>1</v>
      </c>
      <c r="BS83" s="17" t="s">
        <v>263</v>
      </c>
      <c r="BT83" s="1" t="str">
        <f t="shared" si="34"/>
        <v/>
      </c>
      <c r="BU83" s="1" t="str">
        <f t="shared" si="34"/>
        <v/>
      </c>
      <c r="BV83" s="1" t="str">
        <f t="shared" si="34"/>
        <v/>
      </c>
      <c r="BW83" s="1" t="str">
        <f t="shared" si="34"/>
        <v/>
      </c>
      <c r="BX83" s="1" t="str">
        <f t="shared" si="34"/>
        <v/>
      </c>
      <c r="BY83" s="1" t="str">
        <f t="shared" si="34"/>
        <v/>
      </c>
      <c r="BZ83" s="1" t="str">
        <f t="shared" si="34"/>
        <v/>
      </c>
      <c r="CA83" s="1" t="str">
        <f t="shared" si="34"/>
        <v/>
      </c>
      <c r="CB83" s="1" t="str">
        <f t="shared" si="34"/>
        <v/>
      </c>
      <c r="CC83" s="1" t="str">
        <f t="shared" si="34"/>
        <v/>
      </c>
      <c r="CD83" s="1" t="str">
        <f t="shared" si="34"/>
        <v/>
      </c>
      <c r="CE83" s="1" t="str">
        <f t="shared" si="34"/>
        <v/>
      </c>
      <c r="CF83" s="1">
        <f>COUNTIF(BT83:CE83, "&gt;0")</f>
        <v>0</v>
      </c>
      <c r="CG83" s="1" t="str">
        <f t="shared" si="35"/>
        <v/>
      </c>
      <c r="CH83" s="1" t="str">
        <f t="shared" si="35"/>
        <v/>
      </c>
      <c r="CI83" s="1" t="str">
        <f t="shared" si="35"/>
        <v/>
      </c>
      <c r="CJ83" s="1" t="str">
        <f t="shared" si="35"/>
        <v/>
      </c>
      <c r="CK83" s="1" t="str">
        <f t="shared" si="35"/>
        <v/>
      </c>
      <c r="CL83" s="1" t="str">
        <f t="shared" si="35"/>
        <v/>
      </c>
      <c r="CM83" s="1" t="str">
        <f t="shared" si="35"/>
        <v/>
      </c>
      <c r="CN83" s="1" t="str">
        <f t="shared" si="35"/>
        <v/>
      </c>
      <c r="CO83" s="1" t="str">
        <f t="shared" si="35"/>
        <v/>
      </c>
      <c r="CP83" s="1" t="str">
        <f t="shared" si="35"/>
        <v/>
      </c>
      <c r="CQ83" s="1" t="str">
        <f t="shared" si="35"/>
        <v/>
      </c>
      <c r="CR83" s="1" t="str">
        <f t="shared" si="35"/>
        <v/>
      </c>
      <c r="CS83" s="18">
        <f>SUM(AE83:BO83)</f>
        <v>45</v>
      </c>
    </row>
    <row r="84" spans="1:97" x14ac:dyDescent="0.15">
      <c r="A84" s="1">
        <v>98</v>
      </c>
      <c r="B84" s="3" t="s">
        <v>79</v>
      </c>
      <c r="C84" s="3" t="s">
        <v>78</v>
      </c>
      <c r="D84" s="1" t="s">
        <v>1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>
        <v>50</v>
      </c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50</v>
      </c>
      <c r="BQ84" s="1">
        <v>38</v>
      </c>
      <c r="BR84" s="17">
        <v>1</v>
      </c>
      <c r="BS84" s="17" t="s">
        <v>221</v>
      </c>
      <c r="BT84" s="1" t="str">
        <f t="shared" si="34"/>
        <v/>
      </c>
      <c r="BU84" s="1" t="str">
        <f t="shared" si="34"/>
        <v/>
      </c>
      <c r="BV84" s="1" t="str">
        <f t="shared" si="34"/>
        <v/>
      </c>
      <c r="BW84" s="1" t="str">
        <f t="shared" si="34"/>
        <v/>
      </c>
      <c r="BX84" s="1" t="str">
        <f t="shared" si="34"/>
        <v/>
      </c>
      <c r="BY84" s="1" t="str">
        <f t="shared" si="34"/>
        <v/>
      </c>
      <c r="BZ84" s="1" t="str">
        <f t="shared" si="34"/>
        <v/>
      </c>
      <c r="CA84" s="1" t="str">
        <f t="shared" si="34"/>
        <v/>
      </c>
      <c r="CB84" s="1" t="str">
        <f t="shared" si="34"/>
        <v/>
      </c>
      <c r="CC84" s="1" t="str">
        <f t="shared" si="34"/>
        <v/>
      </c>
      <c r="CD84" s="1" t="str">
        <f t="shared" si="34"/>
        <v/>
      </c>
      <c r="CE84" s="1" t="str">
        <f t="shared" si="34"/>
        <v/>
      </c>
      <c r="CF84" s="1">
        <f>COUNTIF(BT84:CE84, "&gt;0")</f>
        <v>0</v>
      </c>
      <c r="CG84" s="1" t="str">
        <f t="shared" si="35"/>
        <v/>
      </c>
      <c r="CH84" s="1" t="str">
        <f t="shared" si="35"/>
        <v/>
      </c>
      <c r="CI84" s="1" t="str">
        <f t="shared" si="35"/>
        <v/>
      </c>
      <c r="CJ84" s="1" t="str">
        <f t="shared" si="35"/>
        <v/>
      </c>
      <c r="CK84" s="1" t="str">
        <f t="shared" si="35"/>
        <v/>
      </c>
      <c r="CL84" s="1" t="str">
        <f t="shared" si="35"/>
        <v/>
      </c>
      <c r="CM84" s="1" t="str">
        <f t="shared" si="35"/>
        <v/>
      </c>
      <c r="CN84" s="1" t="str">
        <f t="shared" si="35"/>
        <v/>
      </c>
      <c r="CO84" s="1" t="str">
        <f t="shared" si="35"/>
        <v/>
      </c>
      <c r="CP84" s="1" t="str">
        <f t="shared" si="35"/>
        <v/>
      </c>
      <c r="CQ84" s="1" t="str">
        <f t="shared" si="35"/>
        <v/>
      </c>
      <c r="CR84" s="1" t="str">
        <f t="shared" si="35"/>
        <v/>
      </c>
      <c r="CS84" s="18">
        <f>SUM(AE84:BO84)</f>
        <v>50</v>
      </c>
    </row>
    <row r="85" spans="1:97" x14ac:dyDescent="0.15">
      <c r="A85" s="1">
        <v>99</v>
      </c>
      <c r="B85" s="3" t="s">
        <v>79</v>
      </c>
      <c r="C85" s="3" t="s">
        <v>78</v>
      </c>
      <c r="D85" s="1" t="s">
        <v>13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>
        <v>200</v>
      </c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200</v>
      </c>
      <c r="BQ85" s="1">
        <v>188</v>
      </c>
      <c r="BR85" s="17">
        <v>1</v>
      </c>
      <c r="BS85" s="17" t="s">
        <v>222</v>
      </c>
      <c r="BT85" s="1" t="str">
        <f t="shared" si="34"/>
        <v/>
      </c>
      <c r="BU85" s="1" t="str">
        <f t="shared" si="34"/>
        <v/>
      </c>
      <c r="BV85" s="1" t="str">
        <f t="shared" si="34"/>
        <v/>
      </c>
      <c r="BW85" s="1" t="str">
        <f t="shared" si="34"/>
        <v/>
      </c>
      <c r="BX85" s="1" t="str">
        <f t="shared" si="34"/>
        <v/>
      </c>
      <c r="BY85" s="1" t="str">
        <f t="shared" si="34"/>
        <v/>
      </c>
      <c r="BZ85" s="1" t="str">
        <f t="shared" si="34"/>
        <v/>
      </c>
      <c r="CA85" s="1" t="str">
        <f t="shared" si="34"/>
        <v/>
      </c>
      <c r="CB85" s="1" t="str">
        <f t="shared" si="34"/>
        <v/>
      </c>
      <c r="CC85" s="1" t="str">
        <f t="shared" si="34"/>
        <v/>
      </c>
      <c r="CD85" s="1" t="str">
        <f t="shared" si="34"/>
        <v/>
      </c>
      <c r="CE85" s="1" t="str">
        <f t="shared" si="34"/>
        <v/>
      </c>
      <c r="CF85" s="1">
        <f>COUNTIF(BT85:CE85, "&gt;0")</f>
        <v>0</v>
      </c>
      <c r="CG85" s="1" t="str">
        <f t="shared" si="35"/>
        <v/>
      </c>
      <c r="CH85" s="1" t="str">
        <f t="shared" si="35"/>
        <v/>
      </c>
      <c r="CI85" s="1" t="str">
        <f t="shared" si="35"/>
        <v/>
      </c>
      <c r="CJ85" s="1" t="str">
        <f t="shared" si="35"/>
        <v/>
      </c>
      <c r="CK85" s="1" t="str">
        <f t="shared" si="35"/>
        <v/>
      </c>
      <c r="CL85" s="1" t="str">
        <f t="shared" si="35"/>
        <v/>
      </c>
      <c r="CM85" s="1" t="str">
        <f t="shared" si="35"/>
        <v/>
      </c>
      <c r="CN85" s="1" t="str">
        <f t="shared" si="35"/>
        <v/>
      </c>
      <c r="CO85" s="1" t="str">
        <f t="shared" si="35"/>
        <v/>
      </c>
      <c r="CP85" s="1" t="str">
        <f t="shared" si="35"/>
        <v/>
      </c>
      <c r="CQ85" s="1" t="str">
        <f t="shared" si="35"/>
        <v/>
      </c>
      <c r="CR85" s="1" t="str">
        <f t="shared" si="35"/>
        <v/>
      </c>
      <c r="CS85" s="18">
        <f>SUM(AE85:BO85)</f>
        <v>200</v>
      </c>
    </row>
    <row r="86" spans="1:97" ht="27" x14ac:dyDescent="0.15">
      <c r="A86" s="1"/>
      <c r="B86" s="1" t="s">
        <v>288</v>
      </c>
      <c r="C86" s="1" t="s">
        <v>121</v>
      </c>
      <c r="D86" s="1" t="s">
        <v>123</v>
      </c>
      <c r="E86" s="6">
        <v>10</v>
      </c>
      <c r="F86" s="6"/>
      <c r="G86" s="6">
        <v>10</v>
      </c>
      <c r="H86" s="6"/>
      <c r="I86" s="6"/>
      <c r="J86" s="6"/>
      <c r="K86" s="6"/>
      <c r="L86" s="6"/>
      <c r="M86" s="6"/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>
        <v>15</v>
      </c>
      <c r="AU86" s="4"/>
      <c r="AV86" s="4"/>
      <c r="AW86" s="2"/>
      <c r="AX86" s="2"/>
      <c r="AY86" s="2"/>
      <c r="AZ86" s="2">
        <v>15</v>
      </c>
      <c r="BA86" s="2">
        <v>15</v>
      </c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v>5</v>
      </c>
      <c r="BR86" s="17">
        <v>2</v>
      </c>
      <c r="BS86" s="17" t="s">
        <v>264</v>
      </c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27" x14ac:dyDescent="0.15">
      <c r="A87" s="1"/>
      <c r="B87" s="1" t="s">
        <v>183</v>
      </c>
      <c r="C87" s="1" t="s">
        <v>184</v>
      </c>
      <c r="D87" s="1" t="s">
        <v>162</v>
      </c>
      <c r="E87" s="6"/>
      <c r="F87" s="6"/>
      <c r="G87" s="6"/>
      <c r="H87" s="6"/>
      <c r="I87" s="6"/>
      <c r="J87" s="6">
        <v>10</v>
      </c>
      <c r="K87" s="6"/>
      <c r="L87" s="6">
        <v>10</v>
      </c>
      <c r="M87" s="6">
        <v>10</v>
      </c>
      <c r="N87" s="6"/>
      <c r="O87" s="6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>
        <v>15</v>
      </c>
      <c r="AZ87" s="2">
        <v>15</v>
      </c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v>5</v>
      </c>
      <c r="BR87" s="17">
        <v>2</v>
      </c>
      <c r="BS87" s="17" t="s">
        <v>208</v>
      </c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27" x14ac:dyDescent="0.15">
      <c r="A88" s="1"/>
      <c r="B88" s="1" t="s">
        <v>159</v>
      </c>
      <c r="C88" s="1" t="s">
        <v>160</v>
      </c>
      <c r="D88" s="1" t="s">
        <v>162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>
        <v>10</v>
      </c>
      <c r="W88" s="32"/>
      <c r="X88" s="32"/>
      <c r="Y88" s="32">
        <v>10</v>
      </c>
      <c r="Z88" s="32"/>
      <c r="AA88" s="32"/>
      <c r="AB88" s="32">
        <v>10</v>
      </c>
      <c r="AC88" s="32">
        <v>5</v>
      </c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2</v>
      </c>
      <c r="BS88" s="17" t="s">
        <v>223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27" x14ac:dyDescent="0.15">
      <c r="A89" s="1"/>
      <c r="B89" s="1" t="s">
        <v>172</v>
      </c>
      <c r="C89" s="1" t="s">
        <v>160</v>
      </c>
      <c r="D89" s="1" t="s">
        <v>161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>
        <v>10</v>
      </c>
      <c r="Q89" s="32"/>
      <c r="R89" s="32"/>
      <c r="S89" s="32">
        <v>10</v>
      </c>
      <c r="T89" s="32"/>
      <c r="U89" s="32"/>
      <c r="V89" s="32"/>
      <c r="W89" s="32">
        <v>5</v>
      </c>
      <c r="X89" s="32"/>
      <c r="Y89" s="32"/>
      <c r="Z89" s="32"/>
      <c r="AA89" s="32"/>
      <c r="AB89" s="32">
        <v>10</v>
      </c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v>5</v>
      </c>
      <c r="BR89" s="17">
        <v>2</v>
      </c>
      <c r="BS89" s="17" t="s">
        <v>266</v>
      </c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27" x14ac:dyDescent="0.15">
      <c r="A90" s="1"/>
      <c r="B90" s="1" t="s">
        <v>177</v>
      </c>
      <c r="C90" s="1" t="s">
        <v>160</v>
      </c>
      <c r="D90" s="1" t="s">
        <v>161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32">
        <v>10</v>
      </c>
      <c r="Q90" s="32"/>
      <c r="R90" s="32"/>
      <c r="S90" s="32">
        <v>10</v>
      </c>
      <c r="T90" s="32"/>
      <c r="U90" s="32"/>
      <c r="V90" s="32"/>
      <c r="W90" s="32">
        <v>5</v>
      </c>
      <c r="X90" s="32"/>
      <c r="Y90" s="32"/>
      <c r="Z90" s="32"/>
      <c r="AA90" s="32"/>
      <c r="AB90" s="32">
        <v>10</v>
      </c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v>5</v>
      </c>
      <c r="BR90" s="17">
        <v>2</v>
      </c>
      <c r="BS90" s="17" t="s">
        <v>266</v>
      </c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27" x14ac:dyDescent="0.15">
      <c r="A91" s="1"/>
      <c r="B91" s="1" t="s">
        <v>181</v>
      </c>
      <c r="C91" s="1" t="s">
        <v>179</v>
      </c>
      <c r="D91" s="1" t="s">
        <v>161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32">
        <v>10</v>
      </c>
      <c r="Q91" s="32"/>
      <c r="R91" s="32"/>
      <c r="S91" s="32">
        <v>10</v>
      </c>
      <c r="T91" s="32"/>
      <c r="U91" s="32"/>
      <c r="V91" s="32"/>
      <c r="W91" s="32">
        <v>5</v>
      </c>
      <c r="X91" s="32"/>
      <c r="Y91" s="32"/>
      <c r="Z91" s="32"/>
      <c r="AA91" s="32"/>
      <c r="AB91" s="32">
        <v>10</v>
      </c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5</v>
      </c>
      <c r="BR91" s="17">
        <v>2</v>
      </c>
      <c r="BS91" s="17" t="s">
        <v>266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27" x14ac:dyDescent="0.15">
      <c r="A92" s="1"/>
      <c r="B92" s="1" t="s">
        <v>187</v>
      </c>
      <c r="C92" s="1" t="s">
        <v>184</v>
      </c>
      <c r="D92" s="1" t="s">
        <v>161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>
        <v>10</v>
      </c>
      <c r="Q92" s="32"/>
      <c r="R92" s="32"/>
      <c r="S92" s="32">
        <v>10</v>
      </c>
      <c r="T92" s="32"/>
      <c r="U92" s="32"/>
      <c r="V92" s="32"/>
      <c r="W92" s="32">
        <v>5</v>
      </c>
      <c r="X92" s="32"/>
      <c r="Y92" s="32"/>
      <c r="Z92" s="32"/>
      <c r="AA92" s="32"/>
      <c r="AB92" s="32">
        <v>10</v>
      </c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v>5</v>
      </c>
      <c r="BR92" s="17">
        <v>2</v>
      </c>
      <c r="BS92" s="17" t="s">
        <v>266</v>
      </c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27" x14ac:dyDescent="0.15">
      <c r="A93" s="1"/>
      <c r="B93" s="1" t="s">
        <v>188</v>
      </c>
      <c r="C93" s="1" t="s">
        <v>190</v>
      </c>
      <c r="D93" s="1" t="s">
        <v>162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32"/>
      <c r="Q93" s="32"/>
      <c r="R93" s="32"/>
      <c r="S93" s="32"/>
      <c r="T93" s="32"/>
      <c r="U93" s="32"/>
      <c r="V93" s="32">
        <v>10</v>
      </c>
      <c r="W93" s="32"/>
      <c r="X93" s="32"/>
      <c r="Y93" s="32">
        <v>10</v>
      </c>
      <c r="Z93" s="32"/>
      <c r="AA93" s="32"/>
      <c r="AB93" s="32">
        <v>10</v>
      </c>
      <c r="AC93" s="32">
        <v>5</v>
      </c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v>5</v>
      </c>
      <c r="BR93" s="17">
        <v>2</v>
      </c>
      <c r="BS93" s="17" t="s">
        <v>223</v>
      </c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27" x14ac:dyDescent="0.15">
      <c r="A94" s="1"/>
      <c r="B94" s="1" t="s">
        <v>196</v>
      </c>
      <c r="C94" s="1" t="s">
        <v>195</v>
      </c>
      <c r="D94" s="1" t="s">
        <v>161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>
        <v>10</v>
      </c>
      <c r="Q94" s="32"/>
      <c r="R94" s="32"/>
      <c r="S94" s="32">
        <v>10</v>
      </c>
      <c r="T94" s="32"/>
      <c r="U94" s="32"/>
      <c r="V94" s="32"/>
      <c r="W94" s="32">
        <v>5</v>
      </c>
      <c r="X94" s="32"/>
      <c r="Y94" s="32"/>
      <c r="Z94" s="32"/>
      <c r="AA94" s="32"/>
      <c r="AB94" s="32">
        <v>10</v>
      </c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5</v>
      </c>
      <c r="BR94" s="17">
        <v>2</v>
      </c>
      <c r="BS94" s="17" t="s">
        <v>266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27" x14ac:dyDescent="0.15">
      <c r="A95" s="1"/>
      <c r="B95" s="1" t="s">
        <v>200</v>
      </c>
      <c r="C95" s="1" t="s">
        <v>195</v>
      </c>
      <c r="D95" s="1" t="s">
        <v>162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>
        <v>10</v>
      </c>
      <c r="W95" s="32"/>
      <c r="X95" s="32"/>
      <c r="Y95" s="32">
        <v>10</v>
      </c>
      <c r="Z95" s="32"/>
      <c r="AA95" s="32"/>
      <c r="AB95" s="32">
        <v>10</v>
      </c>
      <c r="AC95" s="32">
        <v>5</v>
      </c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v>5</v>
      </c>
      <c r="BR95" s="17">
        <v>2</v>
      </c>
      <c r="BS95" s="17" t="s">
        <v>223</v>
      </c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27" x14ac:dyDescent="0.15">
      <c r="A96" s="1"/>
      <c r="B96" s="1" t="s">
        <v>202</v>
      </c>
      <c r="C96" s="1" t="s">
        <v>195</v>
      </c>
      <c r="D96" s="1" t="s">
        <v>162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>
        <v>10</v>
      </c>
      <c r="W96" s="32"/>
      <c r="X96" s="32"/>
      <c r="Y96" s="32">
        <v>10</v>
      </c>
      <c r="Z96" s="32"/>
      <c r="AA96" s="32"/>
      <c r="AB96" s="32">
        <v>10</v>
      </c>
      <c r="AC96" s="32">
        <v>5</v>
      </c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v>5</v>
      </c>
      <c r="BR96" s="17">
        <v>2</v>
      </c>
      <c r="BS96" s="17" t="s">
        <v>223</v>
      </c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27" x14ac:dyDescent="0.15">
      <c r="A97" s="1"/>
      <c r="B97" s="1" t="s">
        <v>203</v>
      </c>
      <c r="C97" s="1" t="s">
        <v>32</v>
      </c>
      <c r="D97" s="1" t="s">
        <v>204</v>
      </c>
      <c r="E97" s="6"/>
      <c r="F97" s="6"/>
      <c r="G97" s="6"/>
      <c r="H97" s="6"/>
      <c r="I97" s="6"/>
      <c r="J97" s="6"/>
      <c r="K97" s="6"/>
      <c r="L97" s="6">
        <v>10</v>
      </c>
      <c r="M97" s="6">
        <v>10</v>
      </c>
      <c r="N97" s="6"/>
      <c r="O97" s="6">
        <v>10</v>
      </c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v>5</v>
      </c>
      <c r="BR97" s="17">
        <v>2</v>
      </c>
      <c r="BS97" s="17" t="s">
        <v>267</v>
      </c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27" x14ac:dyDescent="0.15">
      <c r="A98" s="1"/>
      <c r="B98" s="1" t="s">
        <v>246</v>
      </c>
      <c r="C98" s="1" t="s">
        <v>148</v>
      </c>
      <c r="D98" s="1" t="s">
        <v>247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>
        <v>10</v>
      </c>
      <c r="Q98" s="32"/>
      <c r="R98" s="32"/>
      <c r="S98" s="32">
        <v>10</v>
      </c>
      <c r="T98" s="32"/>
      <c r="U98" s="32"/>
      <c r="V98" s="32"/>
      <c r="W98" s="32">
        <v>5</v>
      </c>
      <c r="X98" s="32"/>
      <c r="Y98" s="32"/>
      <c r="Z98" s="32"/>
      <c r="AA98" s="32"/>
      <c r="AB98" s="32">
        <v>10</v>
      </c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v>5</v>
      </c>
      <c r="BR98" s="17">
        <v>2</v>
      </c>
      <c r="BS98" s="17" t="s">
        <v>265</v>
      </c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27" x14ac:dyDescent="0.15">
      <c r="A99" s="1"/>
      <c r="B99" s="1" t="s">
        <v>134</v>
      </c>
      <c r="C99" s="1" t="s">
        <v>125</v>
      </c>
      <c r="D99" s="1" t="s">
        <v>122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>
        <v>5</v>
      </c>
      <c r="AP99" s="1">
        <v>1</v>
      </c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v>6</v>
      </c>
      <c r="BR99" s="17">
        <v>2</v>
      </c>
      <c r="BS99" s="17" t="s">
        <v>224</v>
      </c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27" x14ac:dyDescent="0.15">
      <c r="A100" s="1">
        <v>77</v>
      </c>
      <c r="B100" s="3" t="s">
        <v>116</v>
      </c>
      <c r="C100" s="3" t="s">
        <v>71</v>
      </c>
      <c r="D100" s="1" t="s">
        <v>13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>
        <v>20</v>
      </c>
      <c r="AU100" s="4"/>
      <c r="AV100" s="4"/>
      <c r="AW100" s="2">
        <v>20</v>
      </c>
      <c r="AX100" s="2">
        <v>20</v>
      </c>
      <c r="AY100" s="2"/>
      <c r="AZ100" s="2"/>
      <c r="BA100" s="2"/>
      <c r="BB100" s="2">
        <v>10</v>
      </c>
      <c r="BC100" s="14"/>
      <c r="BD100" s="1"/>
      <c r="BE100" s="1"/>
      <c r="BF100" s="1"/>
      <c r="BG100" s="1"/>
      <c r="BH100" s="1">
        <v>20</v>
      </c>
      <c r="BI100" s="1"/>
      <c r="BJ100" s="1"/>
      <c r="BK100" s="1"/>
      <c r="BL100" s="1"/>
      <c r="BM100" s="1"/>
      <c r="BN100" s="1"/>
      <c r="BO100" s="1"/>
      <c r="BP100" s="1">
        <f>SUM(E100:BO100)</f>
        <v>90</v>
      </c>
      <c r="BQ100" s="1">
        <v>6</v>
      </c>
      <c r="BR100" s="17">
        <v>2</v>
      </c>
      <c r="BS100" s="17" t="s">
        <v>225</v>
      </c>
      <c r="BT100" s="1" t="str">
        <f t="shared" ref="BT100:CE100" si="36">IF(AQ100&gt;AQ$163, AQ100-AQ$163,"")</f>
        <v/>
      </c>
      <c r="BU100" s="1" t="str">
        <f t="shared" si="36"/>
        <v/>
      </c>
      <c r="BV100" s="1" t="str">
        <f t="shared" si="36"/>
        <v/>
      </c>
      <c r="BW100" s="1">
        <f t="shared" si="36"/>
        <v>5</v>
      </c>
      <c r="BX100" s="1" t="str">
        <f t="shared" si="36"/>
        <v/>
      </c>
      <c r="BY100" s="1" t="str">
        <f t="shared" si="36"/>
        <v/>
      </c>
      <c r="BZ100" s="1">
        <f t="shared" si="36"/>
        <v>1</v>
      </c>
      <c r="CA100" s="1" t="str">
        <f t="shared" si="36"/>
        <v/>
      </c>
      <c r="CB100" s="1" t="str">
        <f t="shared" si="36"/>
        <v/>
      </c>
      <c r="CC100" s="1" t="str">
        <f t="shared" si="36"/>
        <v/>
      </c>
      <c r="CD100" s="1" t="str">
        <f t="shared" si="36"/>
        <v/>
      </c>
      <c r="CE100" s="1" t="str">
        <f t="shared" si="36"/>
        <v/>
      </c>
      <c r="CF100" s="1">
        <f>COUNTIF(BT100:CE100, "&gt;0")</f>
        <v>2</v>
      </c>
      <c r="CG100" s="1" t="str">
        <f t="shared" ref="CG100:CR100" si="37">IF($CF100=1,BT100,"")</f>
        <v/>
      </c>
      <c r="CH100" s="1" t="str">
        <f t="shared" si="37"/>
        <v/>
      </c>
      <c r="CI100" s="1" t="str">
        <f t="shared" si="37"/>
        <v/>
      </c>
      <c r="CJ100" s="1" t="str">
        <f t="shared" si="37"/>
        <v/>
      </c>
      <c r="CK100" s="1" t="str">
        <f t="shared" si="37"/>
        <v/>
      </c>
      <c r="CL100" s="1" t="str">
        <f t="shared" si="37"/>
        <v/>
      </c>
      <c r="CM100" s="1" t="str">
        <f t="shared" si="37"/>
        <v/>
      </c>
      <c r="CN100" s="1" t="str">
        <f t="shared" si="37"/>
        <v/>
      </c>
      <c r="CO100" s="1" t="str">
        <f t="shared" si="37"/>
        <v/>
      </c>
      <c r="CP100" s="1" t="str">
        <f t="shared" si="37"/>
        <v/>
      </c>
      <c r="CQ100" s="1" t="str">
        <f t="shared" si="37"/>
        <v/>
      </c>
      <c r="CR100" s="1" t="str">
        <f t="shared" si="37"/>
        <v/>
      </c>
      <c r="CS100" s="18">
        <f>SUM(AE100:BO100)</f>
        <v>90</v>
      </c>
    </row>
    <row r="101" spans="1:97" ht="27" x14ac:dyDescent="0.15">
      <c r="A101" s="1"/>
      <c r="B101" s="1" t="s">
        <v>178</v>
      </c>
      <c r="C101" s="1" t="s">
        <v>179</v>
      </c>
      <c r="D101" s="1" t="s">
        <v>162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>
        <v>5</v>
      </c>
      <c r="R101" s="32"/>
      <c r="S101" s="32"/>
      <c r="T101" s="32"/>
      <c r="U101" s="32"/>
      <c r="V101" s="32">
        <v>10</v>
      </c>
      <c r="W101" s="32"/>
      <c r="X101" s="32"/>
      <c r="Y101" s="32">
        <v>10</v>
      </c>
      <c r="Z101" s="32"/>
      <c r="AA101" s="32"/>
      <c r="AB101" s="32">
        <v>10</v>
      </c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v>6</v>
      </c>
      <c r="BR101" s="17">
        <v>2</v>
      </c>
      <c r="BS101" s="17" t="s">
        <v>268</v>
      </c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8"/>
    </row>
    <row r="102" spans="1:97" ht="27" x14ac:dyDescent="0.15">
      <c r="A102" s="1"/>
      <c r="B102" s="1" t="s">
        <v>186</v>
      </c>
      <c r="C102" s="1" t="s">
        <v>184</v>
      </c>
      <c r="D102" s="1" t="s">
        <v>162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32"/>
      <c r="Q102" s="32">
        <v>5</v>
      </c>
      <c r="R102" s="32"/>
      <c r="S102" s="32"/>
      <c r="T102" s="32"/>
      <c r="U102" s="32"/>
      <c r="V102" s="32">
        <v>10</v>
      </c>
      <c r="W102" s="32"/>
      <c r="X102" s="32"/>
      <c r="Y102" s="32">
        <v>10</v>
      </c>
      <c r="Z102" s="32"/>
      <c r="AA102" s="32"/>
      <c r="AB102" s="32">
        <v>10</v>
      </c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v>6</v>
      </c>
      <c r="BR102" s="17">
        <v>2</v>
      </c>
      <c r="BS102" s="17" t="s">
        <v>268</v>
      </c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27" x14ac:dyDescent="0.15">
      <c r="A103" s="1"/>
      <c r="B103" s="1" t="s">
        <v>189</v>
      </c>
      <c r="C103" s="1" t="s">
        <v>190</v>
      </c>
      <c r="D103" s="1" t="s">
        <v>161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32">
        <v>10</v>
      </c>
      <c r="Q103" s="32"/>
      <c r="R103" s="32"/>
      <c r="S103" s="32">
        <v>10</v>
      </c>
      <c r="T103" s="32"/>
      <c r="U103" s="32"/>
      <c r="V103" s="32"/>
      <c r="W103" s="32"/>
      <c r="X103" s="32"/>
      <c r="Y103" s="32"/>
      <c r="Z103" s="32">
        <v>5</v>
      </c>
      <c r="AA103" s="32"/>
      <c r="AB103" s="32">
        <v>10</v>
      </c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v>6</v>
      </c>
      <c r="BR103" s="17">
        <v>2</v>
      </c>
      <c r="BS103" s="17" t="s">
        <v>226</v>
      </c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27" x14ac:dyDescent="0.15">
      <c r="A104" s="1"/>
      <c r="B104" s="1" t="s">
        <v>143</v>
      </c>
      <c r="C104" s="1" t="s">
        <v>121</v>
      </c>
      <c r="D104" s="1" t="s">
        <v>123</v>
      </c>
      <c r="E104" s="6"/>
      <c r="F104" s="6"/>
      <c r="G104" s="6"/>
      <c r="H104" s="6">
        <v>6</v>
      </c>
      <c r="I104" s="6"/>
      <c r="J104" s="6"/>
      <c r="K104" s="6">
        <v>6</v>
      </c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>
        <v>10</v>
      </c>
      <c r="AR104" s="4"/>
      <c r="AS104" s="4"/>
      <c r="AT104" s="4"/>
      <c r="AU104" s="4"/>
      <c r="AV104" s="4"/>
      <c r="AW104" s="2">
        <v>10</v>
      </c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v>7</v>
      </c>
      <c r="BR104" s="17">
        <v>2</v>
      </c>
      <c r="BS104" s="17" t="s">
        <v>269</v>
      </c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27" x14ac:dyDescent="0.15">
      <c r="A105" s="1">
        <v>39</v>
      </c>
      <c r="B105" s="1" t="s">
        <v>53</v>
      </c>
      <c r="C105" s="1" t="s">
        <v>49</v>
      </c>
      <c r="D105" s="1" t="s">
        <v>26</v>
      </c>
      <c r="E105" s="6"/>
      <c r="F105" s="6">
        <v>6</v>
      </c>
      <c r="G105" s="6"/>
      <c r="H105" s="6"/>
      <c r="I105" s="6"/>
      <c r="J105" s="6"/>
      <c r="K105" s="6"/>
      <c r="L105" s="6">
        <v>6</v>
      </c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/>
      <c r="AX105" s="2">
        <v>10</v>
      </c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32</v>
      </c>
      <c r="BQ105" s="1">
        <v>7</v>
      </c>
      <c r="BR105" s="17">
        <v>2</v>
      </c>
      <c r="BS105" s="17" t="s">
        <v>270</v>
      </c>
      <c r="BT105" s="1">
        <f t="shared" ref="BT105:CE107" si="38">IF(AQ105&gt;AQ$163, AQ105-AQ$163,"")</f>
        <v>4</v>
      </c>
      <c r="BU105" s="1" t="str">
        <f t="shared" si="38"/>
        <v/>
      </c>
      <c r="BV105" s="1" t="str">
        <f t="shared" si="38"/>
        <v/>
      </c>
      <c r="BW105" s="1" t="str">
        <f t="shared" si="38"/>
        <v/>
      </c>
      <c r="BX105" s="1" t="str">
        <f t="shared" si="38"/>
        <v/>
      </c>
      <c r="BY105" s="1" t="str">
        <f t="shared" si="38"/>
        <v/>
      </c>
      <c r="BZ105" s="1" t="str">
        <f t="shared" si="38"/>
        <v/>
      </c>
      <c r="CA105" s="1" t="str">
        <f t="shared" si="38"/>
        <v/>
      </c>
      <c r="CB105" s="1" t="str">
        <f t="shared" si="38"/>
        <v/>
      </c>
      <c r="CC105" s="1" t="str">
        <f t="shared" si="38"/>
        <v/>
      </c>
      <c r="CD105" s="1" t="str">
        <f t="shared" si="38"/>
        <v/>
      </c>
      <c r="CE105" s="1" t="str">
        <f t="shared" si="38"/>
        <v/>
      </c>
      <c r="CF105" s="1">
        <f>COUNTIF(BT105:CE105, "&gt;0")</f>
        <v>1</v>
      </c>
      <c r="CG105" s="1">
        <f t="shared" ref="CG105:CR107" si="39">IF($CF105=1,BT105,"")</f>
        <v>4</v>
      </c>
      <c r="CH105" s="1" t="str">
        <f t="shared" si="39"/>
        <v/>
      </c>
      <c r="CI105" s="1" t="str">
        <f t="shared" si="39"/>
        <v/>
      </c>
      <c r="CJ105" s="1" t="str">
        <f t="shared" si="39"/>
        <v/>
      </c>
      <c r="CK105" s="1" t="str">
        <f t="shared" si="39"/>
        <v/>
      </c>
      <c r="CL105" s="1" t="str">
        <f t="shared" si="39"/>
        <v/>
      </c>
      <c r="CM105" s="1" t="str">
        <f t="shared" si="39"/>
        <v/>
      </c>
      <c r="CN105" s="1" t="str">
        <f t="shared" si="39"/>
        <v/>
      </c>
      <c r="CO105" s="1" t="str">
        <f t="shared" si="39"/>
        <v/>
      </c>
      <c r="CP105" s="1" t="str">
        <f t="shared" si="39"/>
        <v/>
      </c>
      <c r="CQ105" s="1" t="str">
        <f t="shared" si="39"/>
        <v/>
      </c>
      <c r="CR105" s="1" t="str">
        <f t="shared" si="39"/>
        <v/>
      </c>
      <c r="CS105" s="18">
        <f>SUM(AE105:BO105)</f>
        <v>20</v>
      </c>
    </row>
    <row r="106" spans="1:97" ht="27" x14ac:dyDescent="0.15">
      <c r="A106" s="1">
        <v>20</v>
      </c>
      <c r="B106" s="1" t="s">
        <v>38</v>
      </c>
      <c r="C106" s="1" t="s">
        <v>32</v>
      </c>
      <c r="D106" s="1" t="s">
        <v>25</v>
      </c>
      <c r="E106" s="6"/>
      <c r="F106" s="6">
        <v>5</v>
      </c>
      <c r="G106" s="6"/>
      <c r="H106" s="6"/>
      <c r="I106" s="6"/>
      <c r="J106" s="6"/>
      <c r="K106" s="6"/>
      <c r="L106" s="6"/>
      <c r="M106" s="6"/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>
        <v>5</v>
      </c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10</v>
      </c>
      <c r="BQ106" s="1">
        <v>7</v>
      </c>
      <c r="BR106" s="17">
        <v>2</v>
      </c>
      <c r="BS106" s="17" t="s">
        <v>227</v>
      </c>
      <c r="BT106" s="1" t="str">
        <f t="shared" si="38"/>
        <v/>
      </c>
      <c r="BU106" s="1" t="str">
        <f t="shared" si="38"/>
        <v/>
      </c>
      <c r="BV106" s="1" t="str">
        <f t="shared" si="38"/>
        <v/>
      </c>
      <c r="BW106" s="1" t="str">
        <f t="shared" si="38"/>
        <v/>
      </c>
      <c r="BX106" s="1" t="str">
        <f t="shared" si="38"/>
        <v/>
      </c>
      <c r="BY106" s="1" t="str">
        <f t="shared" si="38"/>
        <v/>
      </c>
      <c r="BZ106" s="1" t="str">
        <f t="shared" si="38"/>
        <v/>
      </c>
      <c r="CA106" s="1" t="str">
        <f t="shared" si="38"/>
        <v/>
      </c>
      <c r="CB106" s="1" t="str">
        <f t="shared" si="38"/>
        <v/>
      </c>
      <c r="CC106" s="1" t="str">
        <f t="shared" si="38"/>
        <v/>
      </c>
      <c r="CD106" s="1" t="str">
        <f t="shared" si="38"/>
        <v/>
      </c>
      <c r="CE106" s="1" t="str">
        <f t="shared" si="38"/>
        <v/>
      </c>
      <c r="CF106" s="1">
        <f>COUNTIF(BT106:CE106, "&gt;0")</f>
        <v>0</v>
      </c>
      <c r="CG106" s="1" t="str">
        <f t="shared" si="39"/>
        <v/>
      </c>
      <c r="CH106" s="1" t="str">
        <f t="shared" si="39"/>
        <v/>
      </c>
      <c r="CI106" s="1" t="str">
        <f t="shared" si="39"/>
        <v/>
      </c>
      <c r="CJ106" s="1" t="str">
        <f t="shared" si="39"/>
        <v/>
      </c>
      <c r="CK106" s="1" t="str">
        <f t="shared" si="39"/>
        <v/>
      </c>
      <c r="CL106" s="1" t="str">
        <f t="shared" si="39"/>
        <v/>
      </c>
      <c r="CM106" s="1" t="str">
        <f t="shared" si="39"/>
        <v/>
      </c>
      <c r="CN106" s="1" t="str">
        <f t="shared" si="39"/>
        <v/>
      </c>
      <c r="CO106" s="1" t="str">
        <f t="shared" si="39"/>
        <v/>
      </c>
      <c r="CP106" s="1" t="str">
        <f t="shared" si="39"/>
        <v/>
      </c>
      <c r="CQ106" s="1" t="str">
        <f t="shared" si="39"/>
        <v/>
      </c>
      <c r="CR106" s="1" t="str">
        <f t="shared" si="39"/>
        <v/>
      </c>
      <c r="CS106" s="18">
        <f>SUM(AE106:BO106)</f>
        <v>5</v>
      </c>
    </row>
    <row r="107" spans="1:97" ht="27" x14ac:dyDescent="0.15">
      <c r="A107" s="1">
        <v>101</v>
      </c>
      <c r="B107" s="3" t="s">
        <v>112</v>
      </c>
      <c r="C107" s="3" t="s">
        <v>78</v>
      </c>
      <c r="D107" s="1" t="s">
        <v>13</v>
      </c>
      <c r="E107" s="6"/>
      <c r="F107" s="6"/>
      <c r="G107" s="6"/>
      <c r="H107" s="6">
        <v>6</v>
      </c>
      <c r="I107" s="6">
        <v>6</v>
      </c>
      <c r="J107" s="6"/>
      <c r="K107" s="6"/>
      <c r="L107" s="6"/>
      <c r="M107" s="6"/>
      <c r="N107" s="6"/>
      <c r="O107" s="6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>
        <v>8</v>
      </c>
      <c r="AV107" s="4"/>
      <c r="AW107" s="2">
        <v>8</v>
      </c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28</v>
      </c>
      <c r="BQ107" s="1">
        <v>8</v>
      </c>
      <c r="BR107" s="17">
        <v>2</v>
      </c>
      <c r="BS107" s="17" t="s">
        <v>271</v>
      </c>
      <c r="BT107" s="1" t="str">
        <f t="shared" si="38"/>
        <v/>
      </c>
      <c r="BU107" s="1" t="str">
        <f t="shared" si="38"/>
        <v/>
      </c>
      <c r="BV107" s="1" t="str">
        <f t="shared" si="38"/>
        <v/>
      </c>
      <c r="BW107" s="1" t="str">
        <f t="shared" si="38"/>
        <v/>
      </c>
      <c r="BX107" s="1">
        <f t="shared" si="38"/>
        <v>5</v>
      </c>
      <c r="BY107" s="1" t="str">
        <f t="shared" si="38"/>
        <v/>
      </c>
      <c r="BZ107" s="1" t="str">
        <f t="shared" si="38"/>
        <v/>
      </c>
      <c r="CA107" s="1" t="str">
        <f t="shared" si="38"/>
        <v/>
      </c>
      <c r="CB107" s="1" t="str">
        <f t="shared" si="38"/>
        <v/>
      </c>
      <c r="CC107" s="1" t="str">
        <f t="shared" si="38"/>
        <v/>
      </c>
      <c r="CD107" s="1" t="str">
        <f t="shared" si="38"/>
        <v/>
      </c>
      <c r="CE107" s="1" t="str">
        <f t="shared" si="38"/>
        <v/>
      </c>
      <c r="CF107" s="1">
        <f>COUNTIF(BT107:CE107, "&gt;0")</f>
        <v>1</v>
      </c>
      <c r="CG107" s="1" t="str">
        <f t="shared" si="39"/>
        <v/>
      </c>
      <c r="CH107" s="1" t="str">
        <f t="shared" si="39"/>
        <v/>
      </c>
      <c r="CI107" s="1" t="str">
        <f t="shared" si="39"/>
        <v/>
      </c>
      <c r="CJ107" s="1" t="str">
        <f t="shared" si="39"/>
        <v/>
      </c>
      <c r="CK107" s="1">
        <f t="shared" si="39"/>
        <v>5</v>
      </c>
      <c r="CL107" s="1" t="str">
        <f t="shared" si="39"/>
        <v/>
      </c>
      <c r="CM107" s="1" t="str">
        <f t="shared" si="39"/>
        <v/>
      </c>
      <c r="CN107" s="1" t="str">
        <f t="shared" si="39"/>
        <v/>
      </c>
      <c r="CO107" s="1" t="str">
        <f t="shared" si="39"/>
        <v/>
      </c>
      <c r="CP107" s="1" t="str">
        <f t="shared" si="39"/>
        <v/>
      </c>
      <c r="CQ107" s="1" t="str">
        <f t="shared" si="39"/>
        <v/>
      </c>
      <c r="CR107" s="1" t="str">
        <f t="shared" si="39"/>
        <v/>
      </c>
      <c r="CS107" s="18">
        <f>SUM(AE107:BO107)</f>
        <v>16</v>
      </c>
    </row>
    <row r="108" spans="1:97" ht="27" x14ac:dyDescent="0.15">
      <c r="A108" s="1"/>
      <c r="B108" s="1" t="s">
        <v>129</v>
      </c>
      <c r="C108" s="1" t="s">
        <v>125</v>
      </c>
      <c r="D108" s="1" t="s">
        <v>130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>
        <v>3</v>
      </c>
      <c r="AP108" s="1">
        <v>5</v>
      </c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v>8</v>
      </c>
      <c r="BR108" s="17">
        <v>2</v>
      </c>
      <c r="BS108" s="17" t="s">
        <v>272</v>
      </c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27" x14ac:dyDescent="0.15">
      <c r="A109" s="1"/>
      <c r="B109" s="1" t="s">
        <v>172</v>
      </c>
      <c r="C109" s="1" t="s">
        <v>160</v>
      </c>
      <c r="D109" s="1" t="s">
        <v>162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2"/>
      <c r="Q109" s="32">
        <v>5</v>
      </c>
      <c r="R109" s="32">
        <v>2</v>
      </c>
      <c r="S109" s="32"/>
      <c r="T109" s="32">
        <v>5</v>
      </c>
      <c r="U109" s="32"/>
      <c r="V109" s="32"/>
      <c r="W109" s="32"/>
      <c r="X109" s="32"/>
      <c r="Y109" s="32"/>
      <c r="Z109" s="32">
        <v>5</v>
      </c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v>8</v>
      </c>
      <c r="BR109" s="17">
        <v>2</v>
      </c>
      <c r="BS109" s="17" t="s">
        <v>228</v>
      </c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27" x14ac:dyDescent="0.15">
      <c r="A110" s="1"/>
      <c r="B110" s="1" t="s">
        <v>177</v>
      </c>
      <c r="C110" s="1" t="s">
        <v>160</v>
      </c>
      <c r="D110" s="1" t="s">
        <v>162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/>
      <c r="Q110" s="32">
        <v>5</v>
      </c>
      <c r="R110" s="32">
        <v>2</v>
      </c>
      <c r="S110" s="32"/>
      <c r="T110" s="32">
        <v>5</v>
      </c>
      <c r="U110" s="32"/>
      <c r="V110" s="32"/>
      <c r="W110" s="32"/>
      <c r="X110" s="32"/>
      <c r="Y110" s="32"/>
      <c r="Z110" s="32">
        <v>5</v>
      </c>
      <c r="AA110" s="32"/>
      <c r="AB110" s="32"/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v>8</v>
      </c>
      <c r="BR110" s="17">
        <v>2</v>
      </c>
      <c r="BS110" s="17" t="s">
        <v>228</v>
      </c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27" x14ac:dyDescent="0.15">
      <c r="A111" s="1"/>
      <c r="B111" s="1" t="s">
        <v>187</v>
      </c>
      <c r="C111" s="1" t="s">
        <v>184</v>
      </c>
      <c r="D111" s="1" t="s">
        <v>162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>
        <v>5</v>
      </c>
      <c r="R111" s="32">
        <v>2</v>
      </c>
      <c r="S111" s="32"/>
      <c r="T111" s="32">
        <v>5</v>
      </c>
      <c r="U111" s="32"/>
      <c r="V111" s="32"/>
      <c r="W111" s="32"/>
      <c r="X111" s="32"/>
      <c r="Y111" s="32"/>
      <c r="Z111" s="32">
        <v>5</v>
      </c>
      <c r="AA111" s="32"/>
      <c r="AB111" s="32"/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v>8</v>
      </c>
      <c r="BR111" s="17">
        <v>2</v>
      </c>
      <c r="BS111" s="17" t="s">
        <v>228</v>
      </c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27" x14ac:dyDescent="0.15">
      <c r="A112" s="1"/>
      <c r="B112" s="1" t="s">
        <v>189</v>
      </c>
      <c r="C112" s="1" t="s">
        <v>190</v>
      </c>
      <c r="D112" s="1" t="s">
        <v>162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/>
      <c r="Q112" s="32">
        <v>5</v>
      </c>
      <c r="R112" s="32"/>
      <c r="S112" s="32"/>
      <c r="T112" s="32">
        <v>5</v>
      </c>
      <c r="U112" s="32"/>
      <c r="V112" s="32"/>
      <c r="W112" s="32"/>
      <c r="X112" s="32">
        <v>2</v>
      </c>
      <c r="Y112" s="32"/>
      <c r="Z112" s="32">
        <v>5</v>
      </c>
      <c r="AA112" s="32"/>
      <c r="AB112" s="32"/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v>8</v>
      </c>
      <c r="BR112" s="17">
        <v>2</v>
      </c>
      <c r="BS112" s="17" t="s">
        <v>228</v>
      </c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27" x14ac:dyDescent="0.15">
      <c r="A113" s="1">
        <v>1</v>
      </c>
      <c r="B113" s="1" t="s">
        <v>0</v>
      </c>
      <c r="C113" s="1" t="s">
        <v>2</v>
      </c>
      <c r="D113" s="1" t="s">
        <v>1</v>
      </c>
      <c r="E113" s="6">
        <v>10</v>
      </c>
      <c r="F113" s="6">
        <v>10</v>
      </c>
      <c r="G113" s="6"/>
      <c r="H113" s="6"/>
      <c r="I113" s="6"/>
      <c r="J113" s="6"/>
      <c r="K113" s="6"/>
      <c r="L113" s="6"/>
      <c r="M113" s="6"/>
      <c r="N113" s="6"/>
      <c r="O113" s="6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>
        <v>10</v>
      </c>
      <c r="AS113" s="4"/>
      <c r="AT113" s="4"/>
      <c r="AU113" s="4"/>
      <c r="AV113" s="4"/>
      <c r="AW113" s="2">
        <v>15</v>
      </c>
      <c r="AX113" s="2">
        <v>15</v>
      </c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60</v>
      </c>
      <c r="BQ113" s="1">
        <v>9</v>
      </c>
      <c r="BR113" s="17">
        <v>2</v>
      </c>
      <c r="BS113" s="17" t="s">
        <v>273</v>
      </c>
      <c r="BT113" s="1" t="str">
        <f t="shared" ref="BT113:CE116" si="40">IF(AQ113&gt;AQ$163, AQ113-AQ$163,"")</f>
        <v/>
      </c>
      <c r="BU113" s="1" t="str">
        <f t="shared" si="40"/>
        <v/>
      </c>
      <c r="BV113" s="1" t="str">
        <f t="shared" si="40"/>
        <v/>
      </c>
      <c r="BW113" s="1" t="str">
        <f t="shared" si="40"/>
        <v/>
      </c>
      <c r="BX113" s="1" t="str">
        <f t="shared" si="40"/>
        <v/>
      </c>
      <c r="BY113" s="1" t="str">
        <f t="shared" si="40"/>
        <v/>
      </c>
      <c r="BZ113" s="1" t="str">
        <f t="shared" si="40"/>
        <v/>
      </c>
      <c r="CA113" s="1" t="str">
        <f t="shared" si="40"/>
        <v/>
      </c>
      <c r="CB113" s="1" t="str">
        <f t="shared" si="40"/>
        <v/>
      </c>
      <c r="CC113" s="1" t="str">
        <f t="shared" si="40"/>
        <v/>
      </c>
      <c r="CD113" s="1" t="str">
        <f t="shared" si="40"/>
        <v/>
      </c>
      <c r="CE113" s="1" t="str">
        <f t="shared" si="40"/>
        <v/>
      </c>
      <c r="CF113" s="1">
        <f>COUNTIF(BT113:CE113, "&gt;0")</f>
        <v>0</v>
      </c>
      <c r="CG113" s="1" t="str">
        <f t="shared" ref="CG113:CR116" si="41">IF($CF113=1,BT113,"")</f>
        <v/>
      </c>
      <c r="CH113" s="1" t="str">
        <f t="shared" si="41"/>
        <v/>
      </c>
      <c r="CI113" s="1" t="str">
        <f t="shared" si="41"/>
        <v/>
      </c>
      <c r="CJ113" s="1" t="str">
        <f t="shared" si="41"/>
        <v/>
      </c>
      <c r="CK113" s="1" t="str">
        <f t="shared" si="41"/>
        <v/>
      </c>
      <c r="CL113" s="1" t="str">
        <f t="shared" si="41"/>
        <v/>
      </c>
      <c r="CM113" s="1" t="str">
        <f t="shared" si="41"/>
        <v/>
      </c>
      <c r="CN113" s="1" t="str">
        <f t="shared" si="41"/>
        <v/>
      </c>
      <c r="CO113" s="1" t="str">
        <f t="shared" si="41"/>
        <v/>
      </c>
      <c r="CP113" s="1" t="str">
        <f t="shared" si="41"/>
        <v/>
      </c>
      <c r="CQ113" s="1" t="str">
        <f t="shared" si="41"/>
        <v/>
      </c>
      <c r="CR113" s="1" t="str">
        <f t="shared" si="41"/>
        <v/>
      </c>
      <c r="CS113" s="18">
        <f>SUM(AE113:BO113)</f>
        <v>40</v>
      </c>
    </row>
    <row r="114" spans="1:97" ht="27" x14ac:dyDescent="0.15">
      <c r="A114" s="1">
        <v>95</v>
      </c>
      <c r="B114" s="3" t="s">
        <v>95</v>
      </c>
      <c r="C114" s="3" t="s">
        <v>78</v>
      </c>
      <c r="D114" s="1" t="s">
        <v>1</v>
      </c>
      <c r="E114" s="6"/>
      <c r="F114" s="6"/>
      <c r="G114" s="6"/>
      <c r="H114" s="6"/>
      <c r="I114" s="6"/>
      <c r="J114" s="6"/>
      <c r="K114" s="6"/>
      <c r="L114" s="6">
        <v>15</v>
      </c>
      <c r="M114" s="6"/>
      <c r="N114" s="6"/>
      <c r="O114" s="6">
        <v>15</v>
      </c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>
        <v>15</v>
      </c>
      <c r="BB114" s="2">
        <v>15</v>
      </c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60</v>
      </c>
      <c r="BQ114" s="1">
        <v>10</v>
      </c>
      <c r="BR114" s="17">
        <v>2</v>
      </c>
      <c r="BS114" s="17" t="s">
        <v>274</v>
      </c>
      <c r="BT114" s="1" t="str">
        <f t="shared" si="40"/>
        <v/>
      </c>
      <c r="BU114" s="1" t="str">
        <f t="shared" si="40"/>
        <v/>
      </c>
      <c r="BV114" s="1" t="str">
        <f t="shared" si="40"/>
        <v/>
      </c>
      <c r="BW114" s="1" t="str">
        <f t="shared" si="40"/>
        <v/>
      </c>
      <c r="BX114" s="1" t="str">
        <f t="shared" si="40"/>
        <v/>
      </c>
      <c r="BY114" s="1" t="str">
        <f t="shared" si="40"/>
        <v/>
      </c>
      <c r="BZ114" s="1" t="str">
        <f t="shared" si="40"/>
        <v/>
      </c>
      <c r="CA114" s="1" t="str">
        <f t="shared" si="40"/>
        <v/>
      </c>
      <c r="CB114" s="1" t="str">
        <f t="shared" si="40"/>
        <v/>
      </c>
      <c r="CC114" s="1" t="str">
        <f t="shared" si="40"/>
        <v/>
      </c>
      <c r="CD114" s="1">
        <f t="shared" si="40"/>
        <v>3</v>
      </c>
      <c r="CE114" s="1" t="str">
        <f t="shared" si="40"/>
        <v/>
      </c>
      <c r="CF114" s="1">
        <f>COUNTIF(BT114:CE114, "&gt;0")</f>
        <v>1</v>
      </c>
      <c r="CG114" s="1" t="str">
        <f t="shared" si="41"/>
        <v/>
      </c>
      <c r="CH114" s="1" t="str">
        <f t="shared" si="41"/>
        <v/>
      </c>
      <c r="CI114" s="1" t="str">
        <f t="shared" si="41"/>
        <v/>
      </c>
      <c r="CJ114" s="1" t="str">
        <f t="shared" si="41"/>
        <v/>
      </c>
      <c r="CK114" s="1" t="str">
        <f t="shared" si="41"/>
        <v/>
      </c>
      <c r="CL114" s="1" t="str">
        <f t="shared" si="41"/>
        <v/>
      </c>
      <c r="CM114" s="1" t="str">
        <f t="shared" si="41"/>
        <v/>
      </c>
      <c r="CN114" s="1" t="str">
        <f t="shared" si="41"/>
        <v/>
      </c>
      <c r="CO114" s="1" t="str">
        <f t="shared" si="41"/>
        <v/>
      </c>
      <c r="CP114" s="1" t="str">
        <f t="shared" si="41"/>
        <v/>
      </c>
      <c r="CQ114" s="1">
        <f t="shared" si="41"/>
        <v>3</v>
      </c>
      <c r="CR114" s="1" t="str">
        <f t="shared" si="41"/>
        <v/>
      </c>
      <c r="CS114" s="18">
        <f>SUM(AE114:BO114)</f>
        <v>30</v>
      </c>
    </row>
    <row r="115" spans="1:97" ht="27" x14ac:dyDescent="0.15">
      <c r="A115" s="1">
        <v>27</v>
      </c>
      <c r="B115" s="1" t="s">
        <v>84</v>
      </c>
      <c r="C115" s="1" t="s">
        <v>32</v>
      </c>
      <c r="D115" s="1" t="s">
        <v>24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1"/>
      <c r="AF115" s="1"/>
      <c r="AG115" s="1"/>
      <c r="AH115" s="1">
        <v>5</v>
      </c>
      <c r="AI115" s="1">
        <v>5</v>
      </c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10</v>
      </c>
      <c r="BQ115" s="1">
        <v>10</v>
      </c>
      <c r="BR115" s="17">
        <v>2</v>
      </c>
      <c r="BS115" s="17" t="s">
        <v>229</v>
      </c>
      <c r="BT115" s="1" t="str">
        <f t="shared" si="40"/>
        <v/>
      </c>
      <c r="BU115" s="1" t="str">
        <f t="shared" si="40"/>
        <v/>
      </c>
      <c r="BV115" s="1" t="str">
        <f t="shared" si="40"/>
        <v/>
      </c>
      <c r="BW115" s="1" t="str">
        <f t="shared" si="40"/>
        <v/>
      </c>
      <c r="BX115" s="1" t="str">
        <f t="shared" si="40"/>
        <v/>
      </c>
      <c r="BY115" s="1" t="str">
        <f t="shared" si="40"/>
        <v/>
      </c>
      <c r="BZ115" s="1" t="str">
        <f t="shared" si="40"/>
        <v/>
      </c>
      <c r="CA115" s="1" t="str">
        <f t="shared" si="40"/>
        <v/>
      </c>
      <c r="CB115" s="1" t="str">
        <f t="shared" si="40"/>
        <v/>
      </c>
      <c r="CC115" s="1" t="str">
        <f t="shared" si="40"/>
        <v/>
      </c>
      <c r="CD115" s="1" t="str">
        <f t="shared" si="40"/>
        <v/>
      </c>
      <c r="CE115" s="1" t="str">
        <f t="shared" si="40"/>
        <v/>
      </c>
      <c r="CF115" s="1">
        <f>COUNTIF(BT115:CE115, "&gt;0")</f>
        <v>0</v>
      </c>
      <c r="CG115" s="1" t="str">
        <f t="shared" si="41"/>
        <v/>
      </c>
      <c r="CH115" s="1" t="str">
        <f t="shared" si="41"/>
        <v/>
      </c>
      <c r="CI115" s="1" t="str">
        <f t="shared" si="41"/>
        <v/>
      </c>
      <c r="CJ115" s="1" t="str">
        <f t="shared" si="41"/>
        <v/>
      </c>
      <c r="CK115" s="1" t="str">
        <f t="shared" si="41"/>
        <v/>
      </c>
      <c r="CL115" s="1" t="str">
        <f t="shared" si="41"/>
        <v/>
      </c>
      <c r="CM115" s="1" t="str">
        <f t="shared" si="41"/>
        <v/>
      </c>
      <c r="CN115" s="1" t="str">
        <f t="shared" si="41"/>
        <v/>
      </c>
      <c r="CO115" s="1" t="str">
        <f t="shared" si="41"/>
        <v/>
      </c>
      <c r="CP115" s="1" t="str">
        <f t="shared" si="41"/>
        <v/>
      </c>
      <c r="CQ115" s="1" t="str">
        <f t="shared" si="41"/>
        <v/>
      </c>
      <c r="CR115" s="1" t="str">
        <f t="shared" si="41"/>
        <v/>
      </c>
      <c r="CS115" s="18">
        <f>SUM(AE115:BO115)</f>
        <v>10</v>
      </c>
    </row>
    <row r="116" spans="1:97" ht="27" x14ac:dyDescent="0.15">
      <c r="A116" s="1">
        <v>88</v>
      </c>
      <c r="B116" s="3" t="s">
        <v>89</v>
      </c>
      <c r="C116" s="3" t="s">
        <v>90</v>
      </c>
      <c r="D116" s="1" t="s">
        <v>24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1"/>
      <c r="AF116" s="1"/>
      <c r="AG116" s="1"/>
      <c r="AH116" s="1">
        <v>5</v>
      </c>
      <c r="AI116" s="1">
        <v>5</v>
      </c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10</v>
      </c>
      <c r="BQ116" s="1">
        <v>10</v>
      </c>
      <c r="BR116" s="17">
        <v>2</v>
      </c>
      <c r="BS116" s="17" t="s">
        <v>229</v>
      </c>
      <c r="BT116" s="1" t="str">
        <f t="shared" si="40"/>
        <v/>
      </c>
      <c r="BU116" s="1" t="str">
        <f t="shared" si="40"/>
        <v/>
      </c>
      <c r="BV116" s="1" t="str">
        <f t="shared" si="40"/>
        <v/>
      </c>
      <c r="BW116" s="1" t="str">
        <f t="shared" si="40"/>
        <v/>
      </c>
      <c r="BX116" s="1" t="str">
        <f t="shared" si="40"/>
        <v/>
      </c>
      <c r="BY116" s="1" t="str">
        <f t="shared" si="40"/>
        <v/>
      </c>
      <c r="BZ116" s="1" t="str">
        <f t="shared" si="40"/>
        <v/>
      </c>
      <c r="CA116" s="1" t="str">
        <f t="shared" si="40"/>
        <v/>
      </c>
      <c r="CB116" s="1" t="str">
        <f t="shared" si="40"/>
        <v/>
      </c>
      <c r="CC116" s="1" t="str">
        <f t="shared" si="40"/>
        <v/>
      </c>
      <c r="CD116" s="1" t="str">
        <f t="shared" si="40"/>
        <v/>
      </c>
      <c r="CE116" s="1" t="str">
        <f t="shared" si="40"/>
        <v/>
      </c>
      <c r="CF116" s="1">
        <f>COUNTIF(BT116:CE116, "&gt;0")</f>
        <v>0</v>
      </c>
      <c r="CG116" s="1" t="str">
        <f t="shared" si="41"/>
        <v/>
      </c>
      <c r="CH116" s="1" t="str">
        <f t="shared" si="41"/>
        <v/>
      </c>
      <c r="CI116" s="1" t="str">
        <f t="shared" si="41"/>
        <v/>
      </c>
      <c r="CJ116" s="1" t="str">
        <f t="shared" si="41"/>
        <v/>
      </c>
      <c r="CK116" s="1" t="str">
        <f t="shared" si="41"/>
        <v/>
      </c>
      <c r="CL116" s="1" t="str">
        <f t="shared" si="41"/>
        <v/>
      </c>
      <c r="CM116" s="1" t="str">
        <f t="shared" si="41"/>
        <v/>
      </c>
      <c r="CN116" s="1" t="str">
        <f t="shared" si="41"/>
        <v/>
      </c>
      <c r="CO116" s="1" t="str">
        <f t="shared" si="41"/>
        <v/>
      </c>
      <c r="CP116" s="1" t="str">
        <f t="shared" si="41"/>
        <v/>
      </c>
      <c r="CQ116" s="1" t="str">
        <f t="shared" si="41"/>
        <v/>
      </c>
      <c r="CR116" s="1" t="str">
        <f t="shared" si="41"/>
        <v/>
      </c>
      <c r="CS116" s="18">
        <f>SUM(AE116:BO116)</f>
        <v>10</v>
      </c>
    </row>
    <row r="117" spans="1:97" ht="27" x14ac:dyDescent="0.15">
      <c r="A117" s="1"/>
      <c r="B117" s="1" t="s">
        <v>196</v>
      </c>
      <c r="C117" s="1" t="s">
        <v>195</v>
      </c>
      <c r="D117" s="1" t="s">
        <v>163</v>
      </c>
      <c r="E117" s="6"/>
      <c r="F117" s="6"/>
      <c r="G117" s="6">
        <v>10</v>
      </c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>
        <v>10</v>
      </c>
      <c r="Y117" s="32"/>
      <c r="Z117" s="32"/>
      <c r="AA117" s="32"/>
      <c r="AB117" s="32"/>
      <c r="AC117" s="32"/>
      <c r="AD117" s="32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v>10</v>
      </c>
      <c r="BR117" s="17">
        <v>2</v>
      </c>
      <c r="BS117" s="17" t="s">
        <v>276</v>
      </c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27" x14ac:dyDescent="0.15">
      <c r="A118" s="1"/>
      <c r="B118" s="1" t="s">
        <v>246</v>
      </c>
      <c r="C118" s="1" t="s">
        <v>148</v>
      </c>
      <c r="D118" s="1" t="s">
        <v>249</v>
      </c>
      <c r="E118" s="6"/>
      <c r="F118" s="6"/>
      <c r="G118" s="6">
        <v>10</v>
      </c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>
        <v>10</v>
      </c>
      <c r="Y118" s="32"/>
      <c r="Z118" s="32"/>
      <c r="AA118" s="32"/>
      <c r="AB118" s="32"/>
      <c r="AC118" s="32"/>
      <c r="AD118" s="32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v>10</v>
      </c>
      <c r="BR118" s="17">
        <v>2</v>
      </c>
      <c r="BS118" s="17" t="s">
        <v>275</v>
      </c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27" x14ac:dyDescent="0.15">
      <c r="A119" s="1">
        <v>3</v>
      </c>
      <c r="B119" s="1" t="s">
        <v>11</v>
      </c>
      <c r="C119" s="1" t="s">
        <v>2</v>
      </c>
      <c r="D119" s="1" t="s">
        <v>12</v>
      </c>
      <c r="E119" s="6">
        <v>15</v>
      </c>
      <c r="F119" s="6"/>
      <c r="G119" s="6">
        <v>15</v>
      </c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>
        <v>15</v>
      </c>
      <c r="AS119" s="4"/>
      <c r="AT119" s="4"/>
      <c r="AU119" s="4"/>
      <c r="AV119" s="4"/>
      <c r="AW119" s="2"/>
      <c r="AX119" s="2"/>
      <c r="AY119" s="2"/>
      <c r="AZ119" s="2"/>
      <c r="BA119" s="2"/>
      <c r="BB119" s="2">
        <v>15</v>
      </c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60</v>
      </c>
      <c r="BQ119" s="1">
        <v>11</v>
      </c>
      <c r="BR119" s="17">
        <v>2</v>
      </c>
      <c r="BS119" s="17" t="s">
        <v>277</v>
      </c>
      <c r="BT119" s="1" t="str">
        <f t="shared" ref="BT119:CE119" si="42">IF(AQ119&gt;AQ$163, AQ119-AQ$163,"")</f>
        <v/>
      </c>
      <c r="BU119" s="1" t="str">
        <f t="shared" si="42"/>
        <v/>
      </c>
      <c r="BV119" s="1" t="str">
        <f t="shared" si="42"/>
        <v/>
      </c>
      <c r="BW119" s="1" t="str">
        <f t="shared" si="42"/>
        <v/>
      </c>
      <c r="BX119" s="1" t="str">
        <f t="shared" si="42"/>
        <v/>
      </c>
      <c r="BY119" s="1" t="str">
        <f t="shared" si="42"/>
        <v/>
      </c>
      <c r="BZ119" s="1" t="str">
        <f t="shared" si="42"/>
        <v/>
      </c>
      <c r="CA119" s="1" t="str">
        <f t="shared" si="42"/>
        <v/>
      </c>
      <c r="CB119" s="1" t="str">
        <f t="shared" si="42"/>
        <v/>
      </c>
      <c r="CC119" s="1" t="str">
        <f t="shared" si="42"/>
        <v/>
      </c>
      <c r="CD119" s="1" t="str">
        <f t="shared" si="42"/>
        <v/>
      </c>
      <c r="CE119" s="1" t="str">
        <f t="shared" si="42"/>
        <v/>
      </c>
      <c r="CF119" s="1">
        <f>COUNTIF(BT119:CE119, "&gt;0")</f>
        <v>0</v>
      </c>
      <c r="CG119" s="1" t="str">
        <f t="shared" ref="CG119:CR119" si="43">IF($CF119=1,BT119,"")</f>
        <v/>
      </c>
      <c r="CH119" s="1" t="str">
        <f t="shared" si="43"/>
        <v/>
      </c>
      <c r="CI119" s="1" t="str">
        <f t="shared" si="43"/>
        <v/>
      </c>
      <c r="CJ119" s="1" t="str">
        <f t="shared" si="43"/>
        <v/>
      </c>
      <c r="CK119" s="1" t="str">
        <f t="shared" si="43"/>
        <v/>
      </c>
      <c r="CL119" s="1" t="str">
        <f t="shared" si="43"/>
        <v/>
      </c>
      <c r="CM119" s="1" t="str">
        <f t="shared" si="43"/>
        <v/>
      </c>
      <c r="CN119" s="1" t="str">
        <f t="shared" si="43"/>
        <v/>
      </c>
      <c r="CO119" s="1" t="str">
        <f t="shared" si="43"/>
        <v/>
      </c>
      <c r="CP119" s="1" t="str">
        <f t="shared" si="43"/>
        <v/>
      </c>
      <c r="CQ119" s="1" t="str">
        <f t="shared" si="43"/>
        <v/>
      </c>
      <c r="CR119" s="1" t="str">
        <f t="shared" si="43"/>
        <v/>
      </c>
      <c r="CS119" s="18">
        <f>SUM(AE119:BO119)</f>
        <v>30</v>
      </c>
    </row>
    <row r="120" spans="1:97" ht="27" x14ac:dyDescent="0.15">
      <c r="A120" s="1"/>
      <c r="B120" s="1" t="s">
        <v>135</v>
      </c>
      <c r="C120" s="1" t="s">
        <v>136</v>
      </c>
      <c r="D120" s="1" t="s">
        <v>122</v>
      </c>
      <c r="E120" s="6">
        <v>15</v>
      </c>
      <c r="F120" s="6"/>
      <c r="G120" s="6">
        <v>15</v>
      </c>
      <c r="H120" s="6"/>
      <c r="I120" s="6"/>
      <c r="J120" s="6"/>
      <c r="K120" s="6"/>
      <c r="L120" s="6"/>
      <c r="M120" s="6"/>
      <c r="N120" s="6"/>
      <c r="O120" s="6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>
        <v>15</v>
      </c>
      <c r="AS120" s="4"/>
      <c r="AT120" s="4"/>
      <c r="AU120" s="4"/>
      <c r="AV120" s="4"/>
      <c r="AW120" s="2"/>
      <c r="AX120" s="2"/>
      <c r="AY120" s="2"/>
      <c r="AZ120" s="2"/>
      <c r="BA120" s="2"/>
      <c r="BB120" s="2">
        <v>15</v>
      </c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v>11</v>
      </c>
      <c r="BR120" s="17">
        <v>2</v>
      </c>
      <c r="BS120" s="17" t="s">
        <v>277</v>
      </c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27" x14ac:dyDescent="0.15">
      <c r="A121" s="1"/>
      <c r="B121" s="1" t="s">
        <v>137</v>
      </c>
      <c r="C121" s="1" t="s">
        <v>136</v>
      </c>
      <c r="D121" s="1" t="s">
        <v>122</v>
      </c>
      <c r="E121" s="6">
        <v>15</v>
      </c>
      <c r="F121" s="6"/>
      <c r="G121" s="6">
        <v>15</v>
      </c>
      <c r="H121" s="6"/>
      <c r="I121" s="6"/>
      <c r="J121" s="6"/>
      <c r="K121" s="6"/>
      <c r="L121" s="6"/>
      <c r="M121" s="6"/>
      <c r="N121" s="6"/>
      <c r="O121" s="6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>
        <v>15</v>
      </c>
      <c r="AS121" s="4"/>
      <c r="AT121" s="4"/>
      <c r="AU121" s="4"/>
      <c r="AV121" s="4"/>
      <c r="AW121" s="2"/>
      <c r="AX121" s="2"/>
      <c r="AY121" s="2"/>
      <c r="AZ121" s="2"/>
      <c r="BA121" s="2"/>
      <c r="BB121" s="2">
        <v>15</v>
      </c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11</v>
      </c>
      <c r="BR121" s="17">
        <v>2</v>
      </c>
      <c r="BS121" s="17" t="s">
        <v>277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27" x14ac:dyDescent="0.15">
      <c r="A122" s="1">
        <v>21</v>
      </c>
      <c r="B122" s="1" t="s">
        <v>39</v>
      </c>
      <c r="C122" s="1" t="s">
        <v>32</v>
      </c>
      <c r="D122" s="1" t="s">
        <v>26</v>
      </c>
      <c r="E122" s="6"/>
      <c r="F122" s="6"/>
      <c r="G122" s="6">
        <v>6</v>
      </c>
      <c r="H122" s="6">
        <v>6</v>
      </c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>
        <v>10</v>
      </c>
      <c r="AT122" s="4"/>
      <c r="AU122" s="4"/>
      <c r="AV122" s="4"/>
      <c r="AW122" s="2"/>
      <c r="AX122" s="2"/>
      <c r="AY122" s="2"/>
      <c r="AZ122" s="2"/>
      <c r="BA122" s="2"/>
      <c r="BB122" s="2">
        <v>10</v>
      </c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32</v>
      </c>
      <c r="BQ122" s="1">
        <v>11</v>
      </c>
      <c r="BR122" s="17">
        <v>2</v>
      </c>
      <c r="BS122" s="17" t="s">
        <v>216</v>
      </c>
      <c r="BT122" s="1" t="str">
        <f t="shared" ref="BT122:CE122" si="44">IF(AQ122&gt;AQ$163, AQ122-AQ$163,"")</f>
        <v/>
      </c>
      <c r="BU122" s="1" t="str">
        <f t="shared" si="44"/>
        <v/>
      </c>
      <c r="BV122" s="1">
        <f t="shared" si="44"/>
        <v>8</v>
      </c>
      <c r="BW122" s="1" t="str">
        <f t="shared" si="44"/>
        <v/>
      </c>
      <c r="BX122" s="1" t="str">
        <f t="shared" si="44"/>
        <v/>
      </c>
      <c r="BY122" s="1" t="str">
        <f t="shared" si="44"/>
        <v/>
      </c>
      <c r="BZ122" s="1" t="str">
        <f t="shared" si="44"/>
        <v/>
      </c>
      <c r="CA122" s="1" t="str">
        <f t="shared" si="44"/>
        <v/>
      </c>
      <c r="CB122" s="1" t="str">
        <f t="shared" si="44"/>
        <v/>
      </c>
      <c r="CC122" s="1" t="str">
        <f t="shared" si="44"/>
        <v/>
      </c>
      <c r="CD122" s="1" t="str">
        <f t="shared" si="44"/>
        <v/>
      </c>
      <c r="CE122" s="1" t="str">
        <f t="shared" si="44"/>
        <v/>
      </c>
      <c r="CF122" s="1">
        <f>COUNTIF(BT122:CE122, "&gt;0")</f>
        <v>1</v>
      </c>
      <c r="CG122" s="1" t="str">
        <f t="shared" ref="CG122:CR122" si="45">IF($CF122=1,BT122,"")</f>
        <v/>
      </c>
      <c r="CH122" s="1" t="str">
        <f t="shared" si="45"/>
        <v/>
      </c>
      <c r="CI122" s="1">
        <f t="shared" si="45"/>
        <v>8</v>
      </c>
      <c r="CJ122" s="1" t="str">
        <f t="shared" si="45"/>
        <v/>
      </c>
      <c r="CK122" s="1" t="str">
        <f t="shared" si="45"/>
        <v/>
      </c>
      <c r="CL122" s="1" t="str">
        <f t="shared" si="45"/>
        <v/>
      </c>
      <c r="CM122" s="1" t="str">
        <f t="shared" si="45"/>
        <v/>
      </c>
      <c r="CN122" s="1" t="str">
        <f t="shared" si="45"/>
        <v/>
      </c>
      <c r="CO122" s="1" t="str">
        <f t="shared" si="45"/>
        <v/>
      </c>
      <c r="CP122" s="1" t="str">
        <f t="shared" si="45"/>
        <v/>
      </c>
      <c r="CQ122" s="1" t="str">
        <f t="shared" si="45"/>
        <v/>
      </c>
      <c r="CR122" s="1" t="str">
        <f t="shared" si="45"/>
        <v/>
      </c>
      <c r="CS122" s="18">
        <f>SUM(AE122:BO122)</f>
        <v>20</v>
      </c>
    </row>
    <row r="123" spans="1:97" ht="27" x14ac:dyDescent="0.15">
      <c r="A123" s="1"/>
      <c r="B123" s="1" t="s">
        <v>133</v>
      </c>
      <c r="C123" s="1" t="s">
        <v>125</v>
      </c>
      <c r="D123" s="1" t="s">
        <v>123</v>
      </c>
      <c r="E123" s="6">
        <v>6</v>
      </c>
      <c r="F123" s="6">
        <v>6</v>
      </c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>
        <v>10</v>
      </c>
      <c r="AT123" s="4"/>
      <c r="AU123" s="4"/>
      <c r="AV123" s="4"/>
      <c r="AW123" s="2"/>
      <c r="AX123" s="2">
        <v>10</v>
      </c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v>11</v>
      </c>
      <c r="BR123" s="17">
        <v>2</v>
      </c>
      <c r="BS123" s="17" t="s">
        <v>278</v>
      </c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27" x14ac:dyDescent="0.15">
      <c r="A124" s="1"/>
      <c r="B124" s="1" t="s">
        <v>159</v>
      </c>
      <c r="C124" s="1" t="s">
        <v>160</v>
      </c>
      <c r="D124" s="1" t="s">
        <v>163</v>
      </c>
      <c r="E124" s="6"/>
      <c r="F124" s="6"/>
      <c r="G124" s="6"/>
      <c r="H124" s="6"/>
      <c r="I124" s="6">
        <v>10</v>
      </c>
      <c r="J124" s="6"/>
      <c r="K124" s="6"/>
      <c r="L124" s="6"/>
      <c r="M124" s="6"/>
      <c r="N124" s="6"/>
      <c r="O124" s="6"/>
      <c r="P124" s="32"/>
      <c r="Q124" s="32"/>
      <c r="R124" s="32">
        <v>10</v>
      </c>
      <c r="S124" s="32"/>
      <c r="T124" s="32"/>
      <c r="U124" s="32"/>
      <c r="V124" s="32"/>
      <c r="W124" s="32"/>
      <c r="X124" s="32">
        <v>10</v>
      </c>
      <c r="Y124" s="32"/>
      <c r="Z124" s="32"/>
      <c r="AA124" s="32"/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>
        <v>10</v>
      </c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v>12</v>
      </c>
      <c r="BR124" s="17">
        <v>2</v>
      </c>
      <c r="BS124" s="17" t="s">
        <v>230</v>
      </c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27" x14ac:dyDescent="0.15">
      <c r="A125" s="1"/>
      <c r="B125" s="1" t="s">
        <v>129</v>
      </c>
      <c r="C125" s="1" t="s">
        <v>125</v>
      </c>
      <c r="D125" s="1" t="s">
        <v>122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>
        <v>5</v>
      </c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>
        <v>5</v>
      </c>
      <c r="AP125" s="1">
        <v>10</v>
      </c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15</v>
      </c>
      <c r="BR125" s="17">
        <v>2</v>
      </c>
      <c r="BS125" s="17" t="s">
        <v>279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27" x14ac:dyDescent="0.15">
      <c r="A126" s="1"/>
      <c r="B126" s="1" t="s">
        <v>156</v>
      </c>
      <c r="C126" s="1" t="s">
        <v>157</v>
      </c>
      <c r="D126" s="1" t="s">
        <v>122</v>
      </c>
      <c r="E126" s="6"/>
      <c r="F126" s="6"/>
      <c r="G126" s="6"/>
      <c r="H126" s="6"/>
      <c r="I126" s="6"/>
      <c r="J126" s="6"/>
      <c r="K126" s="6"/>
      <c r="L126" s="6">
        <v>20</v>
      </c>
      <c r="M126" s="6"/>
      <c r="N126" s="6"/>
      <c r="O126" s="6">
        <v>20</v>
      </c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>
        <v>20</v>
      </c>
      <c r="BB126" s="2">
        <v>20</v>
      </c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20</v>
      </c>
      <c r="BR126" s="17">
        <v>2</v>
      </c>
      <c r="BS126" s="17" t="s">
        <v>210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40.5" x14ac:dyDescent="0.15">
      <c r="A127" s="1"/>
      <c r="B127" s="1" t="s">
        <v>199</v>
      </c>
      <c r="C127" s="1" t="s">
        <v>195</v>
      </c>
      <c r="D127" s="1" t="s">
        <v>162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32"/>
      <c r="Q127" s="32"/>
      <c r="R127" s="32"/>
      <c r="S127" s="32"/>
      <c r="T127" s="32"/>
      <c r="U127" s="32">
        <v>2</v>
      </c>
      <c r="V127" s="32"/>
      <c r="W127" s="32"/>
      <c r="X127" s="32"/>
      <c r="Y127" s="32"/>
      <c r="Z127" s="32"/>
      <c r="AA127" s="32">
        <v>2</v>
      </c>
      <c r="AB127" s="32"/>
      <c r="AC127" s="32">
        <v>5</v>
      </c>
      <c r="AD127" s="32">
        <v>2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6</v>
      </c>
      <c r="BR127" s="17">
        <v>3</v>
      </c>
      <c r="BS127" s="17" t="s">
        <v>233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40.5" x14ac:dyDescent="0.15">
      <c r="A128" s="1"/>
      <c r="B128" s="1" t="s">
        <v>189</v>
      </c>
      <c r="C128" s="1" t="s">
        <v>190</v>
      </c>
      <c r="D128" s="1" t="s">
        <v>163</v>
      </c>
      <c r="E128" s="6"/>
      <c r="F128" s="6"/>
      <c r="G128" s="6"/>
      <c r="H128" s="6"/>
      <c r="I128" s="6"/>
      <c r="J128" s="6"/>
      <c r="K128" s="6"/>
      <c r="L128" s="6">
        <v>7</v>
      </c>
      <c r="M128" s="6"/>
      <c r="N128" s="6"/>
      <c r="O128" s="6"/>
      <c r="P128" s="32"/>
      <c r="Q128" s="32">
        <v>7</v>
      </c>
      <c r="R128" s="32"/>
      <c r="S128" s="32"/>
      <c r="T128" s="32">
        <v>7</v>
      </c>
      <c r="U128" s="32"/>
      <c r="V128" s="32"/>
      <c r="W128" s="32"/>
      <c r="X128" s="32">
        <v>7</v>
      </c>
      <c r="Y128" s="32"/>
      <c r="Z128" s="32"/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9</v>
      </c>
      <c r="BR128" s="17">
        <v>3</v>
      </c>
      <c r="BS128" s="17" t="s">
        <v>234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40.5" x14ac:dyDescent="0.15">
      <c r="A129" s="1"/>
      <c r="B129" s="1" t="s">
        <v>181</v>
      </c>
      <c r="C129" s="1" t="s">
        <v>179</v>
      </c>
      <c r="D129" s="1" t="s">
        <v>162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2"/>
      <c r="Q129" s="32">
        <v>5</v>
      </c>
      <c r="R129" s="32"/>
      <c r="S129" s="32"/>
      <c r="T129" s="32">
        <v>5</v>
      </c>
      <c r="U129" s="32"/>
      <c r="V129" s="32"/>
      <c r="W129" s="32"/>
      <c r="X129" s="32"/>
      <c r="Y129" s="32"/>
      <c r="Z129" s="32">
        <v>5</v>
      </c>
      <c r="AA129" s="32">
        <v>2</v>
      </c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9</v>
      </c>
      <c r="BR129" s="17">
        <v>3</v>
      </c>
      <c r="BS129" s="17" t="s">
        <v>235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40.5" x14ac:dyDescent="0.15">
      <c r="A130" s="1"/>
      <c r="B130" s="1" t="s">
        <v>196</v>
      </c>
      <c r="C130" s="1" t="s">
        <v>195</v>
      </c>
      <c r="D130" s="1" t="s">
        <v>162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/>
      <c r="Q130" s="32">
        <v>5</v>
      </c>
      <c r="R130" s="32"/>
      <c r="S130" s="32"/>
      <c r="T130" s="32">
        <v>5</v>
      </c>
      <c r="U130" s="32"/>
      <c r="V130" s="32"/>
      <c r="W130" s="32"/>
      <c r="X130" s="32"/>
      <c r="Y130" s="32"/>
      <c r="Z130" s="32">
        <v>5</v>
      </c>
      <c r="AA130" s="32">
        <v>2</v>
      </c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v>9</v>
      </c>
      <c r="BR130" s="17">
        <v>3</v>
      </c>
      <c r="BS130" s="17" t="s">
        <v>235</v>
      </c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40.5" x14ac:dyDescent="0.15">
      <c r="A131" s="1"/>
      <c r="B131" s="1" t="s">
        <v>246</v>
      </c>
      <c r="C131" s="1" t="s">
        <v>148</v>
      </c>
      <c r="D131" s="1" t="s">
        <v>248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>
        <v>5</v>
      </c>
      <c r="R131" s="32"/>
      <c r="S131" s="32"/>
      <c r="T131" s="32">
        <v>5</v>
      </c>
      <c r="U131" s="32"/>
      <c r="V131" s="32"/>
      <c r="W131" s="32"/>
      <c r="X131" s="32"/>
      <c r="Y131" s="32"/>
      <c r="Z131" s="32">
        <v>5</v>
      </c>
      <c r="AA131" s="32">
        <v>2</v>
      </c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v>9</v>
      </c>
      <c r="BR131" s="17">
        <v>3</v>
      </c>
      <c r="BS131" s="17" t="s">
        <v>280</v>
      </c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40.5" x14ac:dyDescent="0.15">
      <c r="A132" s="1"/>
      <c r="B132" s="1" t="s">
        <v>197</v>
      </c>
      <c r="C132" s="1" t="s">
        <v>195</v>
      </c>
      <c r="D132" s="1" t="s">
        <v>162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/>
      <c r="Q132" s="32">
        <v>5</v>
      </c>
      <c r="R132" s="32"/>
      <c r="S132" s="32"/>
      <c r="T132" s="32"/>
      <c r="U132" s="32"/>
      <c r="V132" s="32">
        <v>10</v>
      </c>
      <c r="W132" s="32"/>
      <c r="X132" s="32"/>
      <c r="Y132" s="32"/>
      <c r="Z132" s="32">
        <v>5</v>
      </c>
      <c r="AA132" s="32"/>
      <c r="AB132" s="32">
        <v>10</v>
      </c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10</v>
      </c>
      <c r="BR132" s="17">
        <v>3</v>
      </c>
      <c r="BS132" s="17" t="s">
        <v>236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40.5" x14ac:dyDescent="0.15">
      <c r="A133" s="1"/>
      <c r="B133" s="1" t="s">
        <v>199</v>
      </c>
      <c r="C133" s="1" t="s">
        <v>195</v>
      </c>
      <c r="D133" s="1" t="s">
        <v>161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2"/>
      <c r="Q133" s="32">
        <v>5</v>
      </c>
      <c r="R133" s="32"/>
      <c r="S133" s="32"/>
      <c r="T133" s="32">
        <v>5</v>
      </c>
      <c r="U133" s="32"/>
      <c r="V133" s="32"/>
      <c r="W133" s="32">
        <v>5</v>
      </c>
      <c r="X133" s="32"/>
      <c r="Y133" s="32"/>
      <c r="Z133" s="32">
        <v>5</v>
      </c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v>11</v>
      </c>
      <c r="BR133" s="17">
        <v>3</v>
      </c>
      <c r="BS133" s="17" t="s">
        <v>237</v>
      </c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40.5" x14ac:dyDescent="0.15">
      <c r="A134" s="1"/>
      <c r="B134" s="1" t="s">
        <v>187</v>
      </c>
      <c r="C134" s="1" t="s">
        <v>184</v>
      </c>
      <c r="D134" s="1" t="s">
        <v>163</v>
      </c>
      <c r="E134" s="6"/>
      <c r="F134" s="6"/>
      <c r="G134" s="6"/>
      <c r="H134" s="6"/>
      <c r="I134" s="6">
        <v>7</v>
      </c>
      <c r="J134" s="6"/>
      <c r="K134" s="6"/>
      <c r="L134" s="6"/>
      <c r="M134" s="6"/>
      <c r="N134" s="6"/>
      <c r="O134" s="6"/>
      <c r="P134" s="32"/>
      <c r="Q134" s="32">
        <v>7</v>
      </c>
      <c r="R134" s="32">
        <v>7</v>
      </c>
      <c r="S134" s="32"/>
      <c r="T134" s="32">
        <v>7</v>
      </c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v>13</v>
      </c>
      <c r="BR134" s="17">
        <v>3</v>
      </c>
      <c r="BS134" s="17" t="s">
        <v>238</v>
      </c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40.5" x14ac:dyDescent="0.15">
      <c r="A135" s="1">
        <v>28</v>
      </c>
      <c r="B135" s="1" t="s">
        <v>84</v>
      </c>
      <c r="C135" s="1" t="s">
        <v>32</v>
      </c>
      <c r="D135" s="1" t="s">
        <v>1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/>
      <c r="AG135" s="1"/>
      <c r="AH135" s="1">
        <v>5</v>
      </c>
      <c r="AI135" s="1">
        <v>5</v>
      </c>
      <c r="AJ135" s="1">
        <v>5</v>
      </c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15</v>
      </c>
      <c r="BQ135" s="1">
        <v>15</v>
      </c>
      <c r="BR135" s="17">
        <v>3</v>
      </c>
      <c r="BS135" s="17" t="s">
        <v>281</v>
      </c>
      <c r="BT135" s="1" t="str">
        <f t="shared" ref="BT135:CE136" si="46">IF(AQ135&gt;AQ$163, AQ135-AQ$163,"")</f>
        <v/>
      </c>
      <c r="BU135" s="1" t="str">
        <f t="shared" si="46"/>
        <v/>
      </c>
      <c r="BV135" s="1" t="str">
        <f t="shared" si="46"/>
        <v/>
      </c>
      <c r="BW135" s="1" t="str">
        <f t="shared" si="46"/>
        <v/>
      </c>
      <c r="BX135" s="1" t="str">
        <f t="shared" si="46"/>
        <v/>
      </c>
      <c r="BY135" s="1" t="str">
        <f t="shared" si="46"/>
        <v/>
      </c>
      <c r="BZ135" s="1" t="str">
        <f t="shared" si="46"/>
        <v/>
      </c>
      <c r="CA135" s="1" t="str">
        <f t="shared" si="46"/>
        <v/>
      </c>
      <c r="CB135" s="1" t="str">
        <f t="shared" si="46"/>
        <v/>
      </c>
      <c r="CC135" s="1" t="str">
        <f t="shared" si="46"/>
        <v/>
      </c>
      <c r="CD135" s="1" t="str">
        <f t="shared" si="46"/>
        <v/>
      </c>
      <c r="CE135" s="1" t="str">
        <f t="shared" si="46"/>
        <v/>
      </c>
      <c r="CF135" s="1">
        <f>COUNTIF(BT135:CE135, "&gt;0")</f>
        <v>0</v>
      </c>
      <c r="CG135" s="1" t="str">
        <f t="shared" ref="CG135:CR136" si="47">IF($CF135=1,BT135,"")</f>
        <v/>
      </c>
      <c r="CH135" s="1" t="str">
        <f t="shared" si="47"/>
        <v/>
      </c>
      <c r="CI135" s="1" t="str">
        <f t="shared" si="47"/>
        <v/>
      </c>
      <c r="CJ135" s="1" t="str">
        <f t="shared" si="47"/>
        <v/>
      </c>
      <c r="CK135" s="1" t="str">
        <f t="shared" si="47"/>
        <v/>
      </c>
      <c r="CL135" s="1" t="str">
        <f t="shared" si="47"/>
        <v/>
      </c>
      <c r="CM135" s="1" t="str">
        <f t="shared" si="47"/>
        <v/>
      </c>
      <c r="CN135" s="1" t="str">
        <f t="shared" si="47"/>
        <v/>
      </c>
      <c r="CO135" s="1" t="str">
        <f t="shared" si="47"/>
        <v/>
      </c>
      <c r="CP135" s="1" t="str">
        <f t="shared" si="47"/>
        <v/>
      </c>
      <c r="CQ135" s="1" t="str">
        <f t="shared" si="47"/>
        <v/>
      </c>
      <c r="CR135" s="1" t="str">
        <f t="shared" si="47"/>
        <v/>
      </c>
      <c r="CS135" s="18">
        <f>SUM(AE135:BO135)</f>
        <v>15</v>
      </c>
    </row>
    <row r="136" spans="1:97" ht="40.5" x14ac:dyDescent="0.15">
      <c r="A136" s="1">
        <v>89</v>
      </c>
      <c r="B136" s="3" t="s">
        <v>89</v>
      </c>
      <c r="C136" s="3" t="s">
        <v>90</v>
      </c>
      <c r="D136" s="1" t="s">
        <v>1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>
        <v>5</v>
      </c>
      <c r="AG136" s="1"/>
      <c r="AH136" s="1">
        <v>5</v>
      </c>
      <c r="AI136" s="1">
        <v>5</v>
      </c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15</v>
      </c>
      <c r="BQ136" s="1">
        <v>15</v>
      </c>
      <c r="BR136" s="17">
        <v>3</v>
      </c>
      <c r="BS136" s="17" t="s">
        <v>282</v>
      </c>
      <c r="BT136" s="1" t="str">
        <f t="shared" si="46"/>
        <v/>
      </c>
      <c r="BU136" s="1" t="str">
        <f t="shared" si="46"/>
        <v/>
      </c>
      <c r="BV136" s="1" t="str">
        <f t="shared" si="46"/>
        <v/>
      </c>
      <c r="BW136" s="1" t="str">
        <f t="shared" si="46"/>
        <v/>
      </c>
      <c r="BX136" s="1" t="str">
        <f t="shared" si="46"/>
        <v/>
      </c>
      <c r="BY136" s="1" t="str">
        <f t="shared" si="46"/>
        <v/>
      </c>
      <c r="BZ136" s="1" t="str">
        <f t="shared" si="46"/>
        <v/>
      </c>
      <c r="CA136" s="1" t="str">
        <f t="shared" si="46"/>
        <v/>
      </c>
      <c r="CB136" s="1" t="str">
        <f t="shared" si="46"/>
        <v/>
      </c>
      <c r="CC136" s="1" t="str">
        <f t="shared" si="46"/>
        <v/>
      </c>
      <c r="CD136" s="1" t="str">
        <f t="shared" si="46"/>
        <v/>
      </c>
      <c r="CE136" s="1" t="str">
        <f t="shared" si="46"/>
        <v/>
      </c>
      <c r="CF136" s="1">
        <f>COUNTIF(BT136:CE136, "&gt;0")</f>
        <v>0</v>
      </c>
      <c r="CG136" s="1" t="str">
        <f t="shared" si="47"/>
        <v/>
      </c>
      <c r="CH136" s="1" t="str">
        <f t="shared" si="47"/>
        <v/>
      </c>
      <c r="CI136" s="1" t="str">
        <f t="shared" si="47"/>
        <v/>
      </c>
      <c r="CJ136" s="1" t="str">
        <f t="shared" si="47"/>
        <v/>
      </c>
      <c r="CK136" s="1" t="str">
        <f t="shared" si="47"/>
        <v/>
      </c>
      <c r="CL136" s="1" t="str">
        <f t="shared" si="47"/>
        <v/>
      </c>
      <c r="CM136" s="1" t="str">
        <f t="shared" si="47"/>
        <v/>
      </c>
      <c r="CN136" s="1" t="str">
        <f t="shared" si="47"/>
        <v/>
      </c>
      <c r="CO136" s="1" t="str">
        <f t="shared" si="47"/>
        <v/>
      </c>
      <c r="CP136" s="1" t="str">
        <f t="shared" si="47"/>
        <v/>
      </c>
      <c r="CQ136" s="1" t="str">
        <f t="shared" si="47"/>
        <v/>
      </c>
      <c r="CR136" s="1" t="str">
        <f t="shared" si="47"/>
        <v/>
      </c>
      <c r="CS136" s="18">
        <f>SUM(AE136:BO136)</f>
        <v>15</v>
      </c>
    </row>
    <row r="137" spans="1:97" ht="40.5" x14ac:dyDescent="0.15">
      <c r="A137" s="1"/>
      <c r="B137" s="1" t="s">
        <v>185</v>
      </c>
      <c r="C137" s="1" t="s">
        <v>184</v>
      </c>
      <c r="D137" s="1" t="s">
        <v>162</v>
      </c>
      <c r="E137" s="6">
        <v>15</v>
      </c>
      <c r="F137" s="6"/>
      <c r="G137" s="6"/>
      <c r="H137" s="6"/>
      <c r="I137" s="6"/>
      <c r="J137" s="6"/>
      <c r="K137" s="6"/>
      <c r="L137" s="6"/>
      <c r="M137" s="6">
        <v>15</v>
      </c>
      <c r="N137" s="6"/>
      <c r="O137" s="6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>
        <v>15</v>
      </c>
      <c r="AX137" s="2"/>
      <c r="AY137" s="2"/>
      <c r="AZ137" s="2"/>
      <c r="BA137" s="2">
        <v>15</v>
      </c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v>18</v>
      </c>
      <c r="BR137" s="17">
        <v>3</v>
      </c>
      <c r="BS137" s="17" t="s">
        <v>283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40.5" x14ac:dyDescent="0.15">
      <c r="A138" s="1">
        <v>78</v>
      </c>
      <c r="B138" s="3" t="s">
        <v>73</v>
      </c>
      <c r="C138" s="3" t="s">
        <v>71</v>
      </c>
      <c r="D138" s="1" t="s">
        <v>1</v>
      </c>
      <c r="E138" s="6"/>
      <c r="F138" s="6"/>
      <c r="G138" s="6">
        <v>15</v>
      </c>
      <c r="H138" s="6">
        <v>15</v>
      </c>
      <c r="I138" s="6"/>
      <c r="J138" s="6"/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>
        <v>15</v>
      </c>
      <c r="BB138" s="2">
        <v>15</v>
      </c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60</v>
      </c>
      <c r="BQ138" s="1">
        <v>19</v>
      </c>
      <c r="BR138" s="17">
        <v>3</v>
      </c>
      <c r="BS138" s="17" t="s">
        <v>215</v>
      </c>
      <c r="BT138" s="1" t="str">
        <f t="shared" ref="BT138:CE138" si="48">IF(AQ138&gt;AQ$163, AQ138-AQ$163,"")</f>
        <v/>
      </c>
      <c r="BU138" s="1" t="str">
        <f t="shared" si="48"/>
        <v/>
      </c>
      <c r="BV138" s="1" t="str">
        <f t="shared" si="48"/>
        <v/>
      </c>
      <c r="BW138" s="1" t="str">
        <f t="shared" si="48"/>
        <v/>
      </c>
      <c r="BX138" s="1" t="str">
        <f t="shared" si="48"/>
        <v/>
      </c>
      <c r="BY138" s="1" t="str">
        <f t="shared" si="48"/>
        <v/>
      </c>
      <c r="BZ138" s="1" t="str">
        <f t="shared" si="48"/>
        <v/>
      </c>
      <c r="CA138" s="1" t="str">
        <f t="shared" si="48"/>
        <v/>
      </c>
      <c r="CB138" s="1" t="str">
        <f t="shared" si="48"/>
        <v/>
      </c>
      <c r="CC138" s="1" t="str">
        <f t="shared" si="48"/>
        <v/>
      </c>
      <c r="CD138" s="1">
        <f t="shared" si="48"/>
        <v>3</v>
      </c>
      <c r="CE138" s="1" t="str">
        <f t="shared" si="48"/>
        <v/>
      </c>
      <c r="CF138" s="1">
        <f>COUNTIF(BT138:CE138, "&gt;0")</f>
        <v>1</v>
      </c>
      <c r="CG138" s="1" t="str">
        <f t="shared" ref="CG138:CR138" si="49">IF($CF138=1,BT138,"")</f>
        <v/>
      </c>
      <c r="CH138" s="1" t="str">
        <f t="shared" si="49"/>
        <v/>
      </c>
      <c r="CI138" s="1" t="str">
        <f t="shared" si="49"/>
        <v/>
      </c>
      <c r="CJ138" s="1" t="str">
        <f t="shared" si="49"/>
        <v/>
      </c>
      <c r="CK138" s="1" t="str">
        <f t="shared" si="49"/>
        <v/>
      </c>
      <c r="CL138" s="1" t="str">
        <f t="shared" si="49"/>
        <v/>
      </c>
      <c r="CM138" s="1" t="str">
        <f t="shared" si="49"/>
        <v/>
      </c>
      <c r="CN138" s="1" t="str">
        <f t="shared" si="49"/>
        <v/>
      </c>
      <c r="CO138" s="1" t="str">
        <f t="shared" si="49"/>
        <v/>
      </c>
      <c r="CP138" s="1" t="str">
        <f t="shared" si="49"/>
        <v/>
      </c>
      <c r="CQ138" s="1">
        <f t="shared" si="49"/>
        <v>3</v>
      </c>
      <c r="CR138" s="1" t="str">
        <f t="shared" si="49"/>
        <v/>
      </c>
      <c r="CS138" s="18">
        <f>SUM(AE138:BO138)</f>
        <v>30</v>
      </c>
    </row>
    <row r="139" spans="1:97" ht="40.5" x14ac:dyDescent="0.15">
      <c r="A139" s="1"/>
      <c r="B139" s="1" t="s">
        <v>149</v>
      </c>
      <c r="C139" s="1" t="s">
        <v>148</v>
      </c>
      <c r="D139" s="1" t="s">
        <v>122</v>
      </c>
      <c r="E139" s="6"/>
      <c r="F139" s="6"/>
      <c r="G139" s="6">
        <v>15</v>
      </c>
      <c r="H139" s="6">
        <v>15</v>
      </c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>
        <v>15</v>
      </c>
      <c r="BB139" s="2">
        <v>15</v>
      </c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v>19</v>
      </c>
      <c r="BR139" s="17">
        <v>3</v>
      </c>
      <c r="BS139" s="17" t="s">
        <v>215</v>
      </c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8"/>
    </row>
    <row r="140" spans="1:97" ht="40.5" x14ac:dyDescent="0.15">
      <c r="A140" s="1"/>
      <c r="B140" s="1" t="s">
        <v>177</v>
      </c>
      <c r="C140" s="1" t="s">
        <v>160</v>
      </c>
      <c r="D140" s="1" t="s">
        <v>163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32"/>
      <c r="Q140" s="32"/>
      <c r="R140" s="32">
        <v>10</v>
      </c>
      <c r="S140" s="32"/>
      <c r="T140" s="32"/>
      <c r="U140" s="32"/>
      <c r="V140" s="32"/>
      <c r="W140" s="32"/>
      <c r="X140" s="32">
        <v>10</v>
      </c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>
        <v>10</v>
      </c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v>19</v>
      </c>
      <c r="BR140" s="17">
        <v>3</v>
      </c>
      <c r="BS140" s="17" t="s">
        <v>239</v>
      </c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8"/>
    </row>
    <row r="141" spans="1:97" ht="40.5" x14ac:dyDescent="0.15">
      <c r="A141" s="1"/>
      <c r="B141" s="1" t="s">
        <v>188</v>
      </c>
      <c r="C141" s="1" t="s">
        <v>190</v>
      </c>
      <c r="D141" s="1" t="s">
        <v>163</v>
      </c>
      <c r="E141" s="6"/>
      <c r="F141" s="6"/>
      <c r="G141" s="6"/>
      <c r="H141" s="6"/>
      <c r="I141" s="6"/>
      <c r="J141" s="6">
        <v>10</v>
      </c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>
        <v>10</v>
      </c>
      <c r="V141" s="32"/>
      <c r="W141" s="32"/>
      <c r="X141" s="32"/>
      <c r="Y141" s="32"/>
      <c r="Z141" s="32"/>
      <c r="AA141" s="32">
        <v>10</v>
      </c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>
        <v>10</v>
      </c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23</v>
      </c>
      <c r="BR141" s="17">
        <v>3</v>
      </c>
      <c r="BS141" s="17" t="s">
        <v>231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/>
      <c r="B142" s="1" t="s">
        <v>202</v>
      </c>
      <c r="C142" s="1" t="s">
        <v>195</v>
      </c>
      <c r="D142" s="1" t="s">
        <v>163</v>
      </c>
      <c r="E142" s="6"/>
      <c r="F142" s="6"/>
      <c r="G142" s="6"/>
      <c r="H142" s="6"/>
      <c r="I142" s="6"/>
      <c r="J142" s="6">
        <v>10</v>
      </c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>
        <v>10</v>
      </c>
      <c r="V142" s="32"/>
      <c r="W142" s="32"/>
      <c r="X142" s="32"/>
      <c r="Y142" s="32"/>
      <c r="Z142" s="32"/>
      <c r="AA142" s="32">
        <v>10</v>
      </c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>
        <v>10</v>
      </c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23</v>
      </c>
      <c r="BR142" s="17">
        <v>3</v>
      </c>
      <c r="BS142" s="17" t="s">
        <v>231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40.5" x14ac:dyDescent="0.15">
      <c r="A143" s="1"/>
      <c r="B143" s="1" t="s">
        <v>129</v>
      </c>
      <c r="C143" s="1" t="s">
        <v>125</v>
      </c>
      <c r="D143" s="1" t="s">
        <v>123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>
        <v>10</v>
      </c>
      <c r="AP143" s="1">
        <v>10</v>
      </c>
      <c r="AQ143" s="4"/>
      <c r="AR143" s="4"/>
      <c r="AS143" s="4">
        <v>5</v>
      </c>
      <c r="AT143" s="4"/>
      <c r="AU143" s="4"/>
      <c r="AV143" s="4"/>
      <c r="AW143" s="2"/>
      <c r="AX143" s="2">
        <v>5</v>
      </c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v>23</v>
      </c>
      <c r="BR143" s="17">
        <v>3</v>
      </c>
      <c r="BS143" s="17" t="s">
        <v>243</v>
      </c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40.5" x14ac:dyDescent="0.15">
      <c r="A144" s="1">
        <v>54</v>
      </c>
      <c r="B144" s="1" t="s">
        <v>61</v>
      </c>
      <c r="C144" s="1" t="s">
        <v>62</v>
      </c>
      <c r="D144" s="1" t="s">
        <v>1</v>
      </c>
      <c r="E144" s="6"/>
      <c r="F144" s="6">
        <v>15</v>
      </c>
      <c r="G144" s="6"/>
      <c r="H144" s="6">
        <v>15</v>
      </c>
      <c r="I144" s="6"/>
      <c r="J144" s="6"/>
      <c r="K144" s="6"/>
      <c r="L144" s="6"/>
      <c r="M144" s="6"/>
      <c r="N144" s="6"/>
      <c r="O144" s="6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>
        <v>15</v>
      </c>
      <c r="AW144" s="2"/>
      <c r="AX144" s="2"/>
      <c r="AY144" s="2"/>
      <c r="AZ144" s="2"/>
      <c r="BA144" s="2">
        <v>15</v>
      </c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60</v>
      </c>
      <c r="BQ144" s="1">
        <v>27</v>
      </c>
      <c r="BR144" s="17">
        <v>3</v>
      </c>
      <c r="BS144" s="17" t="s">
        <v>240</v>
      </c>
      <c r="BT144" s="1" t="str">
        <f t="shared" ref="BT144:CE145" si="50">IF(AQ144&gt;AQ$163, AQ144-AQ$163,"")</f>
        <v/>
      </c>
      <c r="BU144" s="1" t="str">
        <f t="shared" si="50"/>
        <v/>
      </c>
      <c r="BV144" s="1" t="str">
        <f t="shared" si="50"/>
        <v/>
      </c>
      <c r="BW144" s="1" t="str">
        <f t="shared" si="50"/>
        <v/>
      </c>
      <c r="BX144" s="1" t="str">
        <f t="shared" si="50"/>
        <v/>
      </c>
      <c r="BY144" s="1" t="str">
        <f t="shared" si="50"/>
        <v/>
      </c>
      <c r="BZ144" s="1" t="str">
        <f t="shared" si="50"/>
        <v/>
      </c>
      <c r="CA144" s="1" t="str">
        <f t="shared" si="50"/>
        <v/>
      </c>
      <c r="CB144" s="1" t="str">
        <f t="shared" si="50"/>
        <v/>
      </c>
      <c r="CC144" s="1" t="str">
        <f t="shared" si="50"/>
        <v/>
      </c>
      <c r="CD144" s="1">
        <f t="shared" si="50"/>
        <v>3</v>
      </c>
      <c r="CE144" s="1" t="str">
        <f t="shared" si="50"/>
        <v/>
      </c>
      <c r="CF144" s="1">
        <f>COUNTIF(BT144:CE144, "&gt;0")</f>
        <v>1</v>
      </c>
      <c r="CG144" s="1" t="str">
        <f t="shared" ref="CG144:CR145" si="51">IF($CF144=1,BT144,"")</f>
        <v/>
      </c>
      <c r="CH144" s="1" t="str">
        <f t="shared" si="51"/>
        <v/>
      </c>
      <c r="CI144" s="1" t="str">
        <f t="shared" si="51"/>
        <v/>
      </c>
      <c r="CJ144" s="1" t="str">
        <f t="shared" si="51"/>
        <v/>
      </c>
      <c r="CK144" s="1" t="str">
        <f t="shared" si="51"/>
        <v/>
      </c>
      <c r="CL144" s="1" t="str">
        <f t="shared" si="51"/>
        <v/>
      </c>
      <c r="CM144" s="1" t="str">
        <f t="shared" si="51"/>
        <v/>
      </c>
      <c r="CN144" s="1" t="str">
        <f t="shared" si="51"/>
        <v/>
      </c>
      <c r="CO144" s="1" t="str">
        <f t="shared" si="51"/>
        <v/>
      </c>
      <c r="CP144" s="1" t="str">
        <f t="shared" si="51"/>
        <v/>
      </c>
      <c r="CQ144" s="1">
        <f t="shared" si="51"/>
        <v>3</v>
      </c>
      <c r="CR144" s="1" t="str">
        <f t="shared" si="51"/>
        <v/>
      </c>
      <c r="CS144" s="18">
        <f>SUM(AE144:BO144)</f>
        <v>30</v>
      </c>
    </row>
    <row r="145" spans="1:97" ht="40.5" x14ac:dyDescent="0.15">
      <c r="A145" s="1">
        <v>14</v>
      </c>
      <c r="B145" s="1" t="s">
        <v>31</v>
      </c>
      <c r="C145" s="1" t="s">
        <v>32</v>
      </c>
      <c r="D145" s="1" t="s">
        <v>33</v>
      </c>
      <c r="E145" s="6"/>
      <c r="F145" s="6"/>
      <c r="G145" s="6">
        <v>15</v>
      </c>
      <c r="H145" s="6">
        <v>15</v>
      </c>
      <c r="I145" s="6"/>
      <c r="J145" s="6"/>
      <c r="K145" s="6"/>
      <c r="L145" s="6"/>
      <c r="M145" s="6"/>
      <c r="N145" s="6"/>
      <c r="O145" s="6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>
        <v>15</v>
      </c>
      <c r="AT145" s="4"/>
      <c r="AU145" s="4"/>
      <c r="AV145" s="4"/>
      <c r="AW145" s="2"/>
      <c r="AX145" s="2"/>
      <c r="AY145" s="2"/>
      <c r="AZ145" s="2"/>
      <c r="BA145" s="2"/>
      <c r="BB145" s="2">
        <v>15</v>
      </c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60</v>
      </c>
      <c r="BQ145" s="1">
        <v>29</v>
      </c>
      <c r="BR145" s="17">
        <v>3</v>
      </c>
      <c r="BS145" s="17" t="s">
        <v>232</v>
      </c>
      <c r="BT145" s="1" t="str">
        <f t="shared" si="50"/>
        <v/>
      </c>
      <c r="BU145" s="1" t="str">
        <f t="shared" si="50"/>
        <v/>
      </c>
      <c r="BV145" s="1">
        <f t="shared" si="50"/>
        <v>13</v>
      </c>
      <c r="BW145" s="1" t="str">
        <f t="shared" si="50"/>
        <v/>
      </c>
      <c r="BX145" s="1" t="str">
        <f t="shared" si="50"/>
        <v/>
      </c>
      <c r="BY145" s="1" t="str">
        <f t="shared" si="50"/>
        <v/>
      </c>
      <c r="BZ145" s="1" t="str">
        <f t="shared" si="50"/>
        <v/>
      </c>
      <c r="CA145" s="1" t="str">
        <f t="shared" si="50"/>
        <v/>
      </c>
      <c r="CB145" s="1" t="str">
        <f t="shared" si="50"/>
        <v/>
      </c>
      <c r="CC145" s="1" t="str">
        <f t="shared" si="50"/>
        <v/>
      </c>
      <c r="CD145" s="1" t="str">
        <f t="shared" si="50"/>
        <v/>
      </c>
      <c r="CE145" s="1" t="str">
        <f t="shared" si="50"/>
        <v/>
      </c>
      <c r="CF145" s="1">
        <f>COUNTIF(BT145:CE145, "&gt;0")</f>
        <v>1</v>
      </c>
      <c r="CG145" s="1" t="str">
        <f t="shared" si="51"/>
        <v/>
      </c>
      <c r="CH145" s="1" t="str">
        <f t="shared" si="51"/>
        <v/>
      </c>
      <c r="CI145" s="1">
        <f t="shared" si="51"/>
        <v>13</v>
      </c>
      <c r="CJ145" s="1" t="str">
        <f t="shared" si="51"/>
        <v/>
      </c>
      <c r="CK145" s="1" t="str">
        <f t="shared" si="51"/>
        <v/>
      </c>
      <c r="CL145" s="1" t="str">
        <f t="shared" si="51"/>
        <v/>
      </c>
      <c r="CM145" s="1" t="str">
        <f t="shared" si="51"/>
        <v/>
      </c>
      <c r="CN145" s="1" t="str">
        <f t="shared" si="51"/>
        <v/>
      </c>
      <c r="CO145" s="1" t="str">
        <f t="shared" si="51"/>
        <v/>
      </c>
      <c r="CP145" s="1" t="str">
        <f t="shared" si="51"/>
        <v/>
      </c>
      <c r="CQ145" s="1" t="str">
        <f t="shared" si="51"/>
        <v/>
      </c>
      <c r="CR145" s="1" t="str">
        <f t="shared" si="51"/>
        <v/>
      </c>
      <c r="CS145" s="18">
        <f>SUM(AE145:BO145)</f>
        <v>30</v>
      </c>
    </row>
    <row r="146" spans="1:97" ht="40.5" x14ac:dyDescent="0.15">
      <c r="A146" s="1"/>
      <c r="B146" s="1" t="s">
        <v>124</v>
      </c>
      <c r="C146" s="1" t="s">
        <v>125</v>
      </c>
      <c r="D146" s="1" t="s">
        <v>122</v>
      </c>
      <c r="E146" s="6"/>
      <c r="F146" s="6"/>
      <c r="G146" s="6">
        <v>15</v>
      </c>
      <c r="H146" s="6">
        <v>15</v>
      </c>
      <c r="I146" s="6"/>
      <c r="J146" s="6"/>
      <c r="K146" s="6"/>
      <c r="L146" s="6"/>
      <c r="M146" s="6"/>
      <c r="N146" s="6"/>
      <c r="O146" s="6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>
        <v>15</v>
      </c>
      <c r="AT146" s="4"/>
      <c r="AU146" s="4"/>
      <c r="AV146" s="4"/>
      <c r="AW146" s="2"/>
      <c r="AX146" s="2"/>
      <c r="AY146" s="2"/>
      <c r="AZ146" s="2"/>
      <c r="BA146" s="2"/>
      <c r="BB146" s="2">
        <v>15</v>
      </c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v>29</v>
      </c>
      <c r="BR146" s="17">
        <v>3</v>
      </c>
      <c r="BS146" s="17" t="s">
        <v>232</v>
      </c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8"/>
    </row>
    <row r="147" spans="1:97" ht="40.5" x14ac:dyDescent="0.15">
      <c r="A147" s="1"/>
      <c r="B147" s="1" t="s">
        <v>147</v>
      </c>
      <c r="C147" s="1" t="s">
        <v>148</v>
      </c>
      <c r="D147" s="1" t="s">
        <v>122</v>
      </c>
      <c r="E147" s="6"/>
      <c r="F147" s="6"/>
      <c r="G147" s="6">
        <v>20</v>
      </c>
      <c r="H147" s="6">
        <v>20</v>
      </c>
      <c r="I147" s="6"/>
      <c r="J147" s="6"/>
      <c r="K147" s="6"/>
      <c r="L147" s="6"/>
      <c r="M147" s="6"/>
      <c r="N147" s="6"/>
      <c r="O147" s="6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>
        <v>20</v>
      </c>
      <c r="BB147" s="2">
        <v>20</v>
      </c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v>34</v>
      </c>
      <c r="BR147" s="17">
        <v>3</v>
      </c>
      <c r="BS147" s="17" t="s">
        <v>284</v>
      </c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54" x14ac:dyDescent="0.15">
      <c r="A148" s="1"/>
      <c r="B148" s="1" t="s">
        <v>181</v>
      </c>
      <c r="C148" s="1" t="s">
        <v>179</v>
      </c>
      <c r="D148" s="1" t="s">
        <v>163</v>
      </c>
      <c r="E148" s="6"/>
      <c r="F148" s="6"/>
      <c r="G148" s="6"/>
      <c r="H148" s="6">
        <v>7</v>
      </c>
      <c r="I148" s="6"/>
      <c r="J148" s="6"/>
      <c r="K148" s="6"/>
      <c r="L148" s="6"/>
      <c r="M148" s="6"/>
      <c r="N148" s="6"/>
      <c r="O148" s="6"/>
      <c r="P148" s="32"/>
      <c r="Q148" s="32">
        <v>7</v>
      </c>
      <c r="R148" s="32"/>
      <c r="S148" s="32"/>
      <c r="T148" s="32">
        <v>7</v>
      </c>
      <c r="U148" s="32"/>
      <c r="V148" s="32"/>
      <c r="W148" s="32"/>
      <c r="X148" s="32"/>
      <c r="Y148" s="32"/>
      <c r="Z148" s="32"/>
      <c r="AA148" s="32">
        <v>7</v>
      </c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v>18</v>
      </c>
      <c r="BR148" s="17">
        <v>4</v>
      </c>
      <c r="BS148" s="17" t="s">
        <v>285</v>
      </c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54" x14ac:dyDescent="0.15">
      <c r="A149" s="1"/>
      <c r="B149" s="1" t="s">
        <v>172</v>
      </c>
      <c r="C149" s="1" t="s">
        <v>160</v>
      </c>
      <c r="D149" s="1" t="s">
        <v>163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>
        <v>10</v>
      </c>
      <c r="P149" s="32"/>
      <c r="Q149" s="32"/>
      <c r="R149" s="32">
        <v>10</v>
      </c>
      <c r="S149" s="32"/>
      <c r="T149" s="32"/>
      <c r="U149" s="32"/>
      <c r="V149" s="32"/>
      <c r="W149" s="32"/>
      <c r="X149" s="32">
        <v>10</v>
      </c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>
        <v>10</v>
      </c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22</v>
      </c>
      <c r="BR149" s="17">
        <v>4</v>
      </c>
      <c r="BS149" s="17" t="s">
        <v>242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54" x14ac:dyDescent="0.15">
      <c r="A150" s="1"/>
      <c r="B150" s="1" t="s">
        <v>178</v>
      </c>
      <c r="C150" s="1" t="s">
        <v>179</v>
      </c>
      <c r="D150" s="1" t="s">
        <v>163</v>
      </c>
      <c r="E150" s="6">
        <v>10</v>
      </c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32"/>
      <c r="Q150" s="32"/>
      <c r="R150" s="32">
        <v>10</v>
      </c>
      <c r="S150" s="32"/>
      <c r="T150" s="32"/>
      <c r="U150" s="32">
        <v>10</v>
      </c>
      <c r="V150" s="32"/>
      <c r="W150" s="32"/>
      <c r="X150" s="32"/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>
        <v>10</v>
      </c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v>27</v>
      </c>
      <c r="BR150" s="17">
        <v>4</v>
      </c>
      <c r="BS150" s="17" t="s">
        <v>286</v>
      </c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8"/>
    </row>
    <row r="151" spans="1:97" ht="54" x14ac:dyDescent="0.15">
      <c r="A151" s="1"/>
      <c r="B151" s="1" t="s">
        <v>186</v>
      </c>
      <c r="C151" s="1" t="s">
        <v>184</v>
      </c>
      <c r="D151" s="1" t="s">
        <v>163</v>
      </c>
      <c r="E151" s="6">
        <v>10</v>
      </c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32"/>
      <c r="Q151" s="32"/>
      <c r="R151" s="32">
        <v>10</v>
      </c>
      <c r="S151" s="32"/>
      <c r="T151" s="32"/>
      <c r="U151" s="32">
        <v>10</v>
      </c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>
        <v>10</v>
      </c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v>27</v>
      </c>
      <c r="BR151" s="17">
        <v>4</v>
      </c>
      <c r="BS151" s="17" t="s">
        <v>286</v>
      </c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8"/>
    </row>
    <row r="152" spans="1:97" ht="54" x14ac:dyDescent="0.15">
      <c r="A152" s="1"/>
      <c r="B152" s="1" t="s">
        <v>199</v>
      </c>
      <c r="C152" s="1" t="s">
        <v>195</v>
      </c>
      <c r="D152" s="1" t="s">
        <v>163</v>
      </c>
      <c r="E152" s="6">
        <v>10</v>
      </c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32"/>
      <c r="Q152" s="32"/>
      <c r="R152" s="32">
        <v>10</v>
      </c>
      <c r="S152" s="32"/>
      <c r="T152" s="32"/>
      <c r="U152" s="32">
        <v>10</v>
      </c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>
        <v>10</v>
      </c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v>27</v>
      </c>
      <c r="BR152" s="17">
        <v>4</v>
      </c>
      <c r="BS152" s="17" t="s">
        <v>286</v>
      </c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8"/>
    </row>
    <row r="153" spans="1:97" ht="54" x14ac:dyDescent="0.15">
      <c r="A153" s="1"/>
      <c r="B153" s="1" t="s">
        <v>197</v>
      </c>
      <c r="C153" s="1" t="s">
        <v>195</v>
      </c>
      <c r="D153" s="1" t="s">
        <v>163</v>
      </c>
      <c r="E153" s="6"/>
      <c r="F153" s="6"/>
      <c r="G153" s="6"/>
      <c r="H153" s="6">
        <v>10</v>
      </c>
      <c r="I153" s="6"/>
      <c r="J153" s="6"/>
      <c r="K153" s="6"/>
      <c r="L153" s="6"/>
      <c r="M153" s="6"/>
      <c r="N153" s="6"/>
      <c r="O153" s="6"/>
      <c r="P153" s="32"/>
      <c r="Q153" s="32"/>
      <c r="R153" s="32">
        <v>10</v>
      </c>
      <c r="S153" s="32"/>
      <c r="T153" s="32"/>
      <c r="U153" s="32">
        <v>10</v>
      </c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>
        <v>10</v>
      </c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>
        <v>32</v>
      </c>
      <c r="BR153" s="17">
        <v>4</v>
      </c>
      <c r="BS153" s="17" t="s">
        <v>241</v>
      </c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8"/>
    </row>
    <row r="154" spans="1:97" ht="54" x14ac:dyDescent="0.15">
      <c r="A154" s="1"/>
      <c r="B154" s="1" t="s">
        <v>124</v>
      </c>
      <c r="C154" s="1" t="s">
        <v>125</v>
      </c>
      <c r="D154" s="1" t="s">
        <v>126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>
        <v>40</v>
      </c>
      <c r="AW154" s="2">
        <v>40</v>
      </c>
      <c r="AX154" s="2"/>
      <c r="AY154" s="2"/>
      <c r="AZ154" s="2"/>
      <c r="BA154" s="2"/>
      <c r="BB154" s="2">
        <v>40</v>
      </c>
      <c r="BC154" s="14">
        <v>10</v>
      </c>
      <c r="BD154" s="1">
        <v>50</v>
      </c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>
        <v>58</v>
      </c>
      <c r="BR154" s="17">
        <v>4</v>
      </c>
      <c r="BS154" s="17" t="s">
        <v>244</v>
      </c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8"/>
    </row>
    <row r="155" spans="1:97" ht="54" x14ac:dyDescent="0.15">
      <c r="A155" s="1">
        <v>85</v>
      </c>
      <c r="B155" s="3" t="s">
        <v>76</v>
      </c>
      <c r="C155" s="3" t="s">
        <v>71</v>
      </c>
      <c r="D155" s="1" t="s">
        <v>40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>
        <v>50</v>
      </c>
      <c r="BM155" s="1">
        <v>50</v>
      </c>
      <c r="BN155" s="1">
        <v>50</v>
      </c>
      <c r="BO155" s="1">
        <v>50</v>
      </c>
      <c r="BP155" s="1">
        <f>SUM(E155:BO155)</f>
        <v>200</v>
      </c>
      <c r="BQ155" s="1">
        <v>195</v>
      </c>
      <c r="BR155" s="17">
        <v>4</v>
      </c>
      <c r="BS155" s="17" t="s">
        <v>287</v>
      </c>
      <c r="BT155" s="1" t="str">
        <f t="shared" ref="BT155:CE156" si="52">IF(AQ155&gt;AQ$163, AQ155-AQ$163,"")</f>
        <v/>
      </c>
      <c r="BU155" s="1" t="str">
        <f t="shared" si="52"/>
        <v/>
      </c>
      <c r="BV155" s="1" t="str">
        <f t="shared" si="52"/>
        <v/>
      </c>
      <c r="BW155" s="1" t="str">
        <f t="shared" si="52"/>
        <v/>
      </c>
      <c r="BX155" s="1" t="str">
        <f t="shared" si="52"/>
        <v/>
      </c>
      <c r="BY155" s="1" t="str">
        <f t="shared" si="52"/>
        <v/>
      </c>
      <c r="BZ155" s="1" t="str">
        <f t="shared" si="52"/>
        <v/>
      </c>
      <c r="CA155" s="1" t="str">
        <f t="shared" si="52"/>
        <v/>
      </c>
      <c r="CB155" s="1" t="str">
        <f t="shared" si="52"/>
        <v/>
      </c>
      <c r="CC155" s="1" t="str">
        <f t="shared" si="52"/>
        <v/>
      </c>
      <c r="CD155" s="1" t="str">
        <f t="shared" si="52"/>
        <v/>
      </c>
      <c r="CE155" s="1" t="str">
        <f t="shared" si="52"/>
        <v/>
      </c>
      <c r="CF155" s="1">
        <f>COUNTIF(BT155:CE155, "&gt;0")</f>
        <v>0</v>
      </c>
      <c r="CG155" s="1" t="str">
        <f t="shared" ref="CG155:CR156" si="53">IF($CF155=1,BT155,"")</f>
        <v/>
      </c>
      <c r="CH155" s="1" t="str">
        <f t="shared" si="53"/>
        <v/>
      </c>
      <c r="CI155" s="1" t="str">
        <f t="shared" si="53"/>
        <v/>
      </c>
      <c r="CJ155" s="1" t="str">
        <f t="shared" si="53"/>
        <v/>
      </c>
      <c r="CK155" s="1" t="str">
        <f t="shared" si="53"/>
        <v/>
      </c>
      <c r="CL155" s="1" t="str">
        <f t="shared" si="53"/>
        <v/>
      </c>
      <c r="CM155" s="1" t="str">
        <f t="shared" si="53"/>
        <v/>
      </c>
      <c r="CN155" s="1" t="str">
        <f t="shared" si="53"/>
        <v/>
      </c>
      <c r="CO155" s="1" t="str">
        <f t="shared" si="53"/>
        <v/>
      </c>
      <c r="CP155" s="1" t="str">
        <f t="shared" si="53"/>
        <v/>
      </c>
      <c r="CQ155" s="1" t="str">
        <f t="shared" si="53"/>
        <v/>
      </c>
      <c r="CR155" s="1" t="str">
        <f t="shared" si="53"/>
        <v/>
      </c>
      <c r="CS155" s="18">
        <f>SUM(AE155:BO155)</f>
        <v>200</v>
      </c>
    </row>
    <row r="156" spans="1:97" ht="54" x14ac:dyDescent="0.15">
      <c r="A156" s="1">
        <v>23</v>
      </c>
      <c r="B156" s="1" t="s">
        <v>114</v>
      </c>
      <c r="C156" s="1" t="s">
        <v>32</v>
      </c>
      <c r="D156" s="1" t="s">
        <v>40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>
        <v>50</v>
      </c>
      <c r="BK156" s="1">
        <v>50</v>
      </c>
      <c r="BL156" s="1"/>
      <c r="BM156" s="1"/>
      <c r="BN156" s="1">
        <v>50</v>
      </c>
      <c r="BO156" s="1">
        <v>50</v>
      </c>
      <c r="BP156" s="1">
        <f>SUM(E156:BO156)</f>
        <v>200</v>
      </c>
      <c r="BQ156" s="1">
        <v>195</v>
      </c>
      <c r="BR156" s="17">
        <v>4</v>
      </c>
      <c r="BS156" s="17" t="s">
        <v>245</v>
      </c>
      <c r="BT156" s="1" t="str">
        <f t="shared" si="52"/>
        <v/>
      </c>
      <c r="BU156" s="1" t="str">
        <f t="shared" si="52"/>
        <v/>
      </c>
      <c r="BV156" s="1" t="str">
        <f t="shared" si="52"/>
        <v/>
      </c>
      <c r="BW156" s="1" t="str">
        <f t="shared" si="52"/>
        <v/>
      </c>
      <c r="BX156" s="1" t="str">
        <f t="shared" si="52"/>
        <v/>
      </c>
      <c r="BY156" s="1" t="str">
        <f t="shared" si="52"/>
        <v/>
      </c>
      <c r="BZ156" s="1" t="str">
        <f t="shared" si="52"/>
        <v/>
      </c>
      <c r="CA156" s="1" t="str">
        <f t="shared" si="52"/>
        <v/>
      </c>
      <c r="CB156" s="1" t="str">
        <f t="shared" si="52"/>
        <v/>
      </c>
      <c r="CC156" s="1" t="str">
        <f t="shared" si="52"/>
        <v/>
      </c>
      <c r="CD156" s="1" t="str">
        <f t="shared" si="52"/>
        <v/>
      </c>
      <c r="CE156" s="1" t="str">
        <f t="shared" si="52"/>
        <v/>
      </c>
      <c r="CF156" s="1">
        <f>COUNTIF(BT156:CE156, "&gt;0")</f>
        <v>0</v>
      </c>
      <c r="CG156" s="1" t="str">
        <f t="shared" si="53"/>
        <v/>
      </c>
      <c r="CH156" s="1" t="str">
        <f t="shared" si="53"/>
        <v/>
      </c>
      <c r="CI156" s="1" t="str">
        <f t="shared" si="53"/>
        <v/>
      </c>
      <c r="CJ156" s="1" t="str">
        <f t="shared" si="53"/>
        <v/>
      </c>
      <c r="CK156" s="1" t="str">
        <f t="shared" si="53"/>
        <v/>
      </c>
      <c r="CL156" s="1" t="str">
        <f t="shared" si="53"/>
        <v/>
      </c>
      <c r="CM156" s="1" t="str">
        <f t="shared" si="53"/>
        <v/>
      </c>
      <c r="CN156" s="1" t="str">
        <f t="shared" si="53"/>
        <v/>
      </c>
      <c r="CO156" s="1" t="str">
        <f t="shared" si="53"/>
        <v/>
      </c>
      <c r="CP156" s="1" t="str">
        <f t="shared" si="53"/>
        <v/>
      </c>
      <c r="CQ156" s="1" t="str">
        <f t="shared" si="53"/>
        <v/>
      </c>
      <c r="CR156" s="1" t="str">
        <f t="shared" si="53"/>
        <v/>
      </c>
      <c r="CS156" s="18">
        <f>SUM(AE156:BO156)</f>
        <v>200</v>
      </c>
    </row>
    <row r="157" spans="1:97" ht="54" x14ac:dyDescent="0.15">
      <c r="A157" s="1"/>
      <c r="B157" s="1" t="s">
        <v>138</v>
      </c>
      <c r="C157" s="1" t="s">
        <v>136</v>
      </c>
      <c r="D157" s="1" t="s">
        <v>139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>
        <v>50</v>
      </c>
      <c r="BK157" s="1">
        <v>50</v>
      </c>
      <c r="BL157" s="1"/>
      <c r="BM157" s="1"/>
      <c r="BN157" s="1">
        <v>50</v>
      </c>
      <c r="BO157" s="1">
        <v>50</v>
      </c>
      <c r="BP157" s="1"/>
      <c r="BQ157" s="1">
        <v>195</v>
      </c>
      <c r="BR157" s="17">
        <v>4</v>
      </c>
      <c r="BS157" s="17" t="s">
        <v>245</v>
      </c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8"/>
    </row>
    <row r="158" spans="1:97" ht="54" x14ac:dyDescent="0.15">
      <c r="A158" s="1"/>
      <c r="B158" s="1" t="s">
        <v>153</v>
      </c>
      <c r="C158" s="1" t="s">
        <v>148</v>
      </c>
      <c r="D158" s="1" t="s">
        <v>139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>
        <v>50</v>
      </c>
      <c r="BM158" s="1">
        <v>50</v>
      </c>
      <c r="BN158" s="1">
        <v>50</v>
      </c>
      <c r="BO158" s="1">
        <v>50</v>
      </c>
      <c r="BP158" s="1"/>
      <c r="BQ158" s="1">
        <v>195</v>
      </c>
      <c r="BR158" s="17">
        <v>4</v>
      </c>
      <c r="BS158" s="17" t="s">
        <v>287</v>
      </c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8"/>
    </row>
    <row r="159" spans="1:97" ht="54" x14ac:dyDescent="0.15">
      <c r="A159" s="1"/>
      <c r="B159" s="1" t="s">
        <v>158</v>
      </c>
      <c r="C159" s="1" t="s">
        <v>148</v>
      </c>
      <c r="D159" s="1" t="s">
        <v>139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>
        <v>50</v>
      </c>
      <c r="BM159" s="1">
        <v>50</v>
      </c>
      <c r="BN159" s="1">
        <v>50</v>
      </c>
      <c r="BO159" s="1">
        <v>50</v>
      </c>
      <c r="BP159" s="1"/>
      <c r="BQ159" s="1">
        <v>195</v>
      </c>
      <c r="BR159" s="17">
        <v>4</v>
      </c>
      <c r="BS159" s="17" t="s">
        <v>287</v>
      </c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8"/>
    </row>
    <row r="160" spans="1:97" ht="54" x14ac:dyDescent="0.15">
      <c r="A160" s="1"/>
      <c r="B160" s="1" t="s">
        <v>192</v>
      </c>
      <c r="C160" s="1" t="s">
        <v>193</v>
      </c>
      <c r="D160" s="1" t="s">
        <v>40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>
        <v>50</v>
      </c>
      <c r="BK160" s="1">
        <v>50</v>
      </c>
      <c r="BL160" s="1"/>
      <c r="BM160" s="1"/>
      <c r="BN160" s="1">
        <v>50</v>
      </c>
      <c r="BO160" s="1">
        <v>50</v>
      </c>
      <c r="BP160" s="1"/>
      <c r="BQ160" s="1">
        <v>195</v>
      </c>
      <c r="BR160" s="17">
        <v>4</v>
      </c>
      <c r="BS160" s="17" t="s">
        <v>245</v>
      </c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8"/>
    </row>
    <row r="161" spans="1:97" ht="54" x14ac:dyDescent="0.15">
      <c r="A161" s="1">
        <v>102</v>
      </c>
      <c r="B161" s="3" t="s">
        <v>111</v>
      </c>
      <c r="C161" s="3" t="s">
        <v>78</v>
      </c>
      <c r="D161" s="1" t="s">
        <v>40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>
        <v>50</v>
      </c>
      <c r="BK161" s="1">
        <v>50</v>
      </c>
      <c r="BL161" s="1"/>
      <c r="BM161" s="1"/>
      <c r="BN161" s="1">
        <v>50</v>
      </c>
      <c r="BO161" s="1">
        <v>50</v>
      </c>
      <c r="BP161" s="1">
        <f>SUM(E161:BO161)</f>
        <v>200</v>
      </c>
      <c r="BQ161" s="1">
        <v>195</v>
      </c>
      <c r="BR161" s="17">
        <v>4</v>
      </c>
      <c r="BS161" s="17" t="s">
        <v>245</v>
      </c>
      <c r="BT161" s="1" t="str">
        <f t="shared" ref="BT161:CE161" si="54">IF(AQ161&gt;AQ$163, AQ161-AQ$163,"")</f>
        <v/>
      </c>
      <c r="BU161" s="1" t="str">
        <f t="shared" si="54"/>
        <v/>
      </c>
      <c r="BV161" s="1" t="str">
        <f t="shared" si="54"/>
        <v/>
      </c>
      <c r="BW161" s="1" t="str">
        <f t="shared" si="54"/>
        <v/>
      </c>
      <c r="BX161" s="1" t="str">
        <f t="shared" si="54"/>
        <v/>
      </c>
      <c r="BY161" s="1" t="str">
        <f t="shared" si="54"/>
        <v/>
      </c>
      <c r="BZ161" s="1" t="str">
        <f t="shared" si="54"/>
        <v/>
      </c>
      <c r="CA161" s="1" t="str">
        <f t="shared" si="54"/>
        <v/>
      </c>
      <c r="CB161" s="1" t="str">
        <f t="shared" si="54"/>
        <v/>
      </c>
      <c r="CC161" s="1" t="str">
        <f t="shared" si="54"/>
        <v/>
      </c>
      <c r="CD161" s="1" t="str">
        <f t="shared" si="54"/>
        <v/>
      </c>
      <c r="CE161" s="1" t="str">
        <f t="shared" si="54"/>
        <v/>
      </c>
      <c r="CF161" s="1">
        <f>COUNTIF(BT161:CE161, "&gt;0")</f>
        <v>0</v>
      </c>
      <c r="CG161" s="1" t="str">
        <f t="shared" ref="CG161:CR161" si="55">IF($CF161=1,BT161,"")</f>
        <v/>
      </c>
      <c r="CH161" s="1" t="str">
        <f t="shared" si="55"/>
        <v/>
      </c>
      <c r="CI161" s="1" t="str">
        <f t="shared" si="55"/>
        <v/>
      </c>
      <c r="CJ161" s="1" t="str">
        <f t="shared" si="55"/>
        <v/>
      </c>
      <c r="CK161" s="1" t="str">
        <f t="shared" si="55"/>
        <v/>
      </c>
      <c r="CL161" s="1" t="str">
        <f t="shared" si="55"/>
        <v/>
      </c>
      <c r="CM161" s="1" t="str">
        <f t="shared" si="55"/>
        <v/>
      </c>
      <c r="CN161" s="1" t="str">
        <f t="shared" si="55"/>
        <v/>
      </c>
      <c r="CO161" s="1" t="str">
        <f t="shared" si="55"/>
        <v/>
      </c>
      <c r="CP161" s="1" t="str">
        <f t="shared" si="55"/>
        <v/>
      </c>
      <c r="CQ161" s="1" t="str">
        <f t="shared" si="55"/>
        <v/>
      </c>
      <c r="CR161" s="1" t="str">
        <f t="shared" si="55"/>
        <v/>
      </c>
      <c r="CS161" s="18">
        <f>SUM(AE161:BO161)</f>
        <v>200</v>
      </c>
    </row>
    <row r="162" spans="1:97" x14ac:dyDescent="0.15">
      <c r="A162" s="1"/>
      <c r="B162" s="1" t="s">
        <v>81</v>
      </c>
      <c r="C162" s="1"/>
      <c r="D162" s="1"/>
      <c r="E162" s="6">
        <f>SUM(E2:E161)</f>
        <v>178</v>
      </c>
      <c r="F162" s="6">
        <f>SUM(F2:F161)</f>
        <v>89</v>
      </c>
      <c r="G162" s="6">
        <f>SUM(G2:G161)</f>
        <v>224</v>
      </c>
      <c r="H162" s="6">
        <f>SUM(H2:H161)</f>
        <v>184</v>
      </c>
      <c r="I162" s="6">
        <f>SUM(I2:I161)</f>
        <v>67</v>
      </c>
      <c r="J162" s="6">
        <f>SUM(J2:J161)</f>
        <v>86</v>
      </c>
      <c r="K162" s="6">
        <f>SUM(K2:K161)</f>
        <v>54</v>
      </c>
      <c r="L162" s="6">
        <f>SUM(L2:L161)</f>
        <v>98</v>
      </c>
      <c r="M162" s="6">
        <f>SUM(M2:M161)</f>
        <v>47</v>
      </c>
      <c r="N162" s="6">
        <f>SUM(N2:N161)</f>
        <v>47</v>
      </c>
      <c r="O162" s="6">
        <f>SUM(O2:O161)</f>
        <v>99</v>
      </c>
      <c r="P162" s="32">
        <f>SUM(P2:P161)</f>
        <v>140</v>
      </c>
      <c r="Q162" s="32">
        <f>SUM(Q2:Q161)</f>
        <v>76</v>
      </c>
      <c r="R162" s="32">
        <f>SUM(R2:R161)</f>
        <v>83</v>
      </c>
      <c r="S162" s="32">
        <f>SUM(S2:S161)</f>
        <v>140</v>
      </c>
      <c r="T162" s="32">
        <f>SUM(T2:T161)</f>
        <v>61</v>
      </c>
      <c r="U162" s="32">
        <f>SUM(U2:U161)</f>
        <v>62</v>
      </c>
      <c r="V162" s="32">
        <f>SUM(V2:V161)</f>
        <v>145</v>
      </c>
      <c r="W162" s="32">
        <f>SUM(W2:W161)</f>
        <v>35</v>
      </c>
      <c r="X162" s="32">
        <f>SUM(X2:X161)</f>
        <v>59</v>
      </c>
      <c r="Y162" s="32">
        <f>SUM(Y2:Y161)</f>
        <v>135</v>
      </c>
      <c r="Z162" s="32">
        <f>SUM(Z2:Z161)</f>
        <v>50</v>
      </c>
      <c r="AA162" s="32">
        <f>SUM(AA2:AA161)</f>
        <v>35</v>
      </c>
      <c r="AB162" s="32">
        <f>SUM(AB2:AB161)</f>
        <v>140</v>
      </c>
      <c r="AC162" s="32">
        <f>SUM(AC2:AC161)</f>
        <v>30</v>
      </c>
      <c r="AD162" s="32">
        <f>SUM(AD2:AD161)</f>
        <v>22</v>
      </c>
      <c r="AE162" s="1">
        <f>SUM(AE2:AE161)</f>
        <v>275</v>
      </c>
      <c r="AF162" s="1">
        <f>SUM(AF2:AF161)</f>
        <v>10</v>
      </c>
      <c r="AG162" s="1">
        <f>SUM(AG2:AG161)</f>
        <v>15</v>
      </c>
      <c r="AH162" s="1">
        <f>SUM(AH2:AH161)</f>
        <v>30</v>
      </c>
      <c r="AI162" s="1">
        <f>SUM(AI2:AI161)</f>
        <v>30</v>
      </c>
      <c r="AJ162" s="1">
        <f>SUM(AJ2:AJ161)</f>
        <v>5</v>
      </c>
      <c r="AK162" s="1">
        <f>SUM(AK2:AK161)</f>
        <v>0</v>
      </c>
      <c r="AL162" s="1">
        <f>SUM(AL2:AL161)</f>
        <v>0</v>
      </c>
      <c r="AM162" s="1">
        <f>SUM(AM2:AM161)</f>
        <v>20</v>
      </c>
      <c r="AN162" s="1">
        <f>SUM(AN2:AN161)</f>
        <v>50</v>
      </c>
      <c r="AO162" s="1">
        <f>SUM(AO2:AO161)</f>
        <v>25</v>
      </c>
      <c r="AP162" s="1">
        <f>SUM(AP2:AP161)</f>
        <v>26</v>
      </c>
      <c r="AQ162" s="4">
        <f>SUM(AQ2:AQ161)</f>
        <v>100</v>
      </c>
      <c r="AR162" s="4">
        <f>SUM(AR2:AR161)</f>
        <v>120</v>
      </c>
      <c r="AS162" s="4">
        <f>SUM(AS2:AS161)</f>
        <v>80</v>
      </c>
      <c r="AT162" s="4">
        <f>SUM(AT2:AT161)</f>
        <v>93</v>
      </c>
      <c r="AU162" s="4">
        <f>SUM(AU2:AU161)</f>
        <v>48</v>
      </c>
      <c r="AV162" s="4">
        <f>SUM(AV2:AV161)</f>
        <v>135</v>
      </c>
      <c r="AW162" s="2">
        <f>SUM(AW2:AW161)</f>
        <v>128</v>
      </c>
      <c r="AX162" s="2">
        <f>SUM(AX2:AX161)</f>
        <v>80</v>
      </c>
      <c r="AY162" s="2">
        <f>SUM(AY2:AY161)</f>
        <v>43</v>
      </c>
      <c r="AZ162" s="2">
        <f>SUM(AZ2:AZ161)</f>
        <v>85</v>
      </c>
      <c r="BA162" s="2">
        <f>SUM(BA2:BA161)</f>
        <v>205</v>
      </c>
      <c r="BB162" s="2">
        <f>SUM(BB2:BB161)</f>
        <v>385</v>
      </c>
      <c r="BC162" s="1">
        <f>SUM(BC2:BC161)</f>
        <v>10</v>
      </c>
      <c r="BD162" s="1">
        <f>SUM(BD2:BD161)</f>
        <v>150</v>
      </c>
      <c r="BE162" s="1">
        <f>SUM(BE2:BE161)</f>
        <v>100</v>
      </c>
      <c r="BF162" s="1">
        <f>SUM(BF2:BF161)</f>
        <v>120</v>
      </c>
      <c r="BG162" s="1">
        <f>SUM(BG2:BG161)</f>
        <v>120</v>
      </c>
      <c r="BH162" s="1">
        <f>SUM(BH2:BH161)</f>
        <v>120</v>
      </c>
      <c r="BI162" s="1">
        <f>SUM(BI2:BI161)</f>
        <v>90</v>
      </c>
      <c r="BJ162" s="1">
        <f>SUM(BJ2:BJ161)</f>
        <v>200</v>
      </c>
      <c r="BK162" s="1">
        <f>SUM(BK2:BK161)</f>
        <v>200</v>
      </c>
      <c r="BL162" s="1">
        <f>SUM(BL2:BL161)</f>
        <v>150</v>
      </c>
      <c r="BM162" s="1">
        <f>SUM(BM2:BM161)</f>
        <v>150</v>
      </c>
      <c r="BN162" s="1">
        <f>SUM(BN2:BN161)</f>
        <v>350</v>
      </c>
      <c r="BO162" s="1">
        <f>SUM(BO2:BO161)</f>
        <v>350</v>
      </c>
      <c r="BP162" s="1"/>
      <c r="BQ162" s="1"/>
      <c r="BR162" s="17"/>
      <c r="BS162" s="17"/>
      <c r="BT162" s="1">
        <f>MIN(BT2:BT161)</f>
        <v>4</v>
      </c>
      <c r="BU162" s="1">
        <f>MIN(BU2:BU161)</f>
        <v>0</v>
      </c>
      <c r="BV162" s="1">
        <f>MIN(BV2:BV161)</f>
        <v>3</v>
      </c>
      <c r="BW162" s="1">
        <f>MIN(BW2:BW161)</f>
        <v>5</v>
      </c>
      <c r="BX162" s="1">
        <f>MIN(BX2:BX161)</f>
        <v>5</v>
      </c>
      <c r="BY162" s="1">
        <f>MIN(BY2:BY161)</f>
        <v>0</v>
      </c>
      <c r="BZ162" s="1">
        <f>MIN(BZ2:BZ161)</f>
        <v>1</v>
      </c>
      <c r="CA162" s="1">
        <f>MIN(CA2:CA161)</f>
        <v>0</v>
      </c>
      <c r="CB162" s="1">
        <f>MIN(CB2:CB161)</f>
        <v>0</v>
      </c>
      <c r="CC162" s="1">
        <f>MIN(CC2:CC161)</f>
        <v>0</v>
      </c>
      <c r="CD162" s="1">
        <f>MIN(CD2:CD161)</f>
        <v>3</v>
      </c>
      <c r="CE162" s="1">
        <f>MIN(CE2:CE161)</f>
        <v>0</v>
      </c>
      <c r="CF162" s="1"/>
      <c r="CG162" s="1">
        <f>MIN(CG2:CG161)</f>
        <v>4</v>
      </c>
      <c r="CH162" s="1">
        <f>MIN(CH2:CH161)</f>
        <v>0</v>
      </c>
      <c r="CI162" s="1">
        <f>MIN(CI2:CI161)</f>
        <v>3</v>
      </c>
      <c r="CJ162" s="1">
        <f>MIN(CJ2:CJ161)</f>
        <v>0</v>
      </c>
      <c r="CK162" s="1">
        <f>MIN(CK2:CK161)</f>
        <v>5</v>
      </c>
      <c r="CL162" s="1">
        <f>MIN(CL2:CL161)</f>
        <v>0</v>
      </c>
      <c r="CM162" s="1">
        <f>MIN(CM2:CM161)</f>
        <v>0</v>
      </c>
      <c r="CN162" s="1">
        <f>MIN(CN2:CN161)</f>
        <v>0</v>
      </c>
      <c r="CO162" s="1">
        <f>MIN(CO2:CO161)</f>
        <v>0</v>
      </c>
      <c r="CP162" s="1">
        <f>MIN(CP2:CP161)</f>
        <v>0</v>
      </c>
      <c r="CQ162" s="1">
        <f>MIN(CQ2:CQ161)</f>
        <v>3</v>
      </c>
      <c r="CR162" s="1">
        <f>MIN(CR2:CR161)</f>
        <v>0</v>
      </c>
      <c r="CS162" s="18">
        <f>COUNTIF(CS2:CS161,"=0")</f>
        <v>8</v>
      </c>
    </row>
    <row r="163" spans="1:97" x14ac:dyDescent="0.15">
      <c r="A163" s="1"/>
      <c r="B163" s="3" t="s">
        <v>103</v>
      </c>
      <c r="C163" s="1"/>
      <c r="D163" s="1"/>
      <c r="E163" s="1">
        <v>8</v>
      </c>
      <c r="F163" s="1">
        <v>3</v>
      </c>
      <c r="G163" s="1">
        <v>11</v>
      </c>
      <c r="H163" s="1">
        <v>3</v>
      </c>
      <c r="I163" s="1">
        <v>26</v>
      </c>
      <c r="J163" s="1">
        <v>35</v>
      </c>
      <c r="K163" s="1">
        <v>22</v>
      </c>
      <c r="L163" s="1">
        <v>43</v>
      </c>
      <c r="M163" s="1">
        <v>7</v>
      </c>
      <c r="N163" s="1">
        <v>25</v>
      </c>
      <c r="O163" s="1">
        <v>8</v>
      </c>
      <c r="P163" s="14">
        <v>12</v>
      </c>
      <c r="Q163" s="14">
        <v>1</v>
      </c>
      <c r="R163" s="14">
        <v>2</v>
      </c>
      <c r="S163" s="14">
        <v>11</v>
      </c>
      <c r="T163" s="14">
        <v>5</v>
      </c>
      <c r="U163" s="14">
        <v>0</v>
      </c>
      <c r="V163" s="14">
        <v>12</v>
      </c>
      <c r="W163" s="14">
        <v>2</v>
      </c>
      <c r="X163" s="14">
        <v>6</v>
      </c>
      <c r="Y163" s="14">
        <v>10</v>
      </c>
      <c r="Z163" s="14">
        <v>1</v>
      </c>
      <c r="AA163" s="14">
        <v>1</v>
      </c>
      <c r="AB163" s="14">
        <v>8</v>
      </c>
      <c r="AC163" s="14">
        <v>2</v>
      </c>
      <c r="AD163" s="14">
        <v>4</v>
      </c>
      <c r="AE163" s="1">
        <v>12</v>
      </c>
      <c r="AF163" s="1">
        <v>0</v>
      </c>
      <c r="AG163" s="1">
        <v>0</v>
      </c>
      <c r="AH163" s="1">
        <v>0</v>
      </c>
      <c r="AI163" s="1">
        <v>0</v>
      </c>
      <c r="AJ163" s="1">
        <v>0</v>
      </c>
      <c r="AK163" s="1">
        <v>33</v>
      </c>
      <c r="AL163" s="1">
        <v>43</v>
      </c>
      <c r="AM163" s="1">
        <v>4</v>
      </c>
      <c r="AN163" s="1">
        <v>0</v>
      </c>
      <c r="AO163" s="1">
        <v>0</v>
      </c>
      <c r="AP163" s="1">
        <v>0</v>
      </c>
      <c r="AQ163" s="14">
        <v>6</v>
      </c>
      <c r="AR163" s="14">
        <v>16</v>
      </c>
      <c r="AS163" s="14">
        <v>2</v>
      </c>
      <c r="AT163" s="14">
        <v>15</v>
      </c>
      <c r="AU163" s="14">
        <v>3</v>
      </c>
      <c r="AV163" s="14">
        <v>15</v>
      </c>
      <c r="AW163" s="14">
        <v>19</v>
      </c>
      <c r="AX163" s="14">
        <v>25</v>
      </c>
      <c r="AY163" s="14">
        <v>13</v>
      </c>
      <c r="AZ163" s="14">
        <v>16</v>
      </c>
      <c r="BA163" s="14">
        <v>12</v>
      </c>
      <c r="BB163" s="14">
        <v>158</v>
      </c>
      <c r="BC163" s="14"/>
      <c r="BD163" s="1">
        <v>48</v>
      </c>
      <c r="BE163" s="1">
        <v>48</v>
      </c>
      <c r="BF163" s="1">
        <v>81</v>
      </c>
      <c r="BG163" s="1">
        <v>90</v>
      </c>
      <c r="BH163" s="1">
        <v>48</v>
      </c>
      <c r="BI163" s="1">
        <v>44</v>
      </c>
      <c r="BJ163" s="1">
        <v>5</v>
      </c>
      <c r="BK163" s="1"/>
      <c r="BL163" s="1">
        <v>5</v>
      </c>
      <c r="BM163" s="1"/>
      <c r="BN163" s="1"/>
      <c r="BO163" s="1"/>
      <c r="BP163" s="1"/>
      <c r="BQ163" s="1"/>
      <c r="BR163" s="17"/>
      <c r="BS163" s="17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</row>
    <row r="164" spans="1:97" x14ac:dyDescent="0.15">
      <c r="A164" s="1"/>
      <c r="B164" s="3" t="s">
        <v>110</v>
      </c>
      <c r="C164" s="1"/>
      <c r="D164" s="1"/>
      <c r="E164" s="1">
        <f t="shared" ref="E164:AJ164" si="56">E163-E162</f>
        <v>-170</v>
      </c>
      <c r="F164" s="1">
        <f t="shared" si="56"/>
        <v>-86</v>
      </c>
      <c r="G164" s="1">
        <f t="shared" si="56"/>
        <v>-213</v>
      </c>
      <c r="H164" s="1">
        <f t="shared" si="56"/>
        <v>-181</v>
      </c>
      <c r="I164" s="1">
        <f t="shared" si="56"/>
        <v>-41</v>
      </c>
      <c r="J164" s="1">
        <f t="shared" si="56"/>
        <v>-51</v>
      </c>
      <c r="K164" s="1">
        <f t="shared" si="56"/>
        <v>-32</v>
      </c>
      <c r="L164" s="1">
        <f t="shared" si="56"/>
        <v>-55</v>
      </c>
      <c r="M164" s="1">
        <f t="shared" si="56"/>
        <v>-40</v>
      </c>
      <c r="N164" s="1">
        <f t="shared" si="56"/>
        <v>-22</v>
      </c>
      <c r="O164" s="1">
        <f t="shared" si="56"/>
        <v>-91</v>
      </c>
      <c r="P164" s="1">
        <f t="shared" si="56"/>
        <v>-128</v>
      </c>
      <c r="Q164" s="1">
        <f t="shared" si="56"/>
        <v>-75</v>
      </c>
      <c r="R164" s="1">
        <f t="shared" si="56"/>
        <v>-81</v>
      </c>
      <c r="S164" s="1">
        <f t="shared" si="56"/>
        <v>-129</v>
      </c>
      <c r="T164" s="1">
        <f t="shared" si="56"/>
        <v>-56</v>
      </c>
      <c r="U164" s="1">
        <f t="shared" si="56"/>
        <v>-62</v>
      </c>
      <c r="V164" s="1">
        <f t="shared" si="56"/>
        <v>-133</v>
      </c>
      <c r="W164" s="1">
        <f t="shared" si="56"/>
        <v>-33</v>
      </c>
      <c r="X164" s="1">
        <f t="shared" si="56"/>
        <v>-53</v>
      </c>
      <c r="Y164" s="1">
        <f t="shared" si="56"/>
        <v>-125</v>
      </c>
      <c r="Z164" s="1">
        <f t="shared" si="56"/>
        <v>-49</v>
      </c>
      <c r="AA164" s="1">
        <f t="shared" si="56"/>
        <v>-34</v>
      </c>
      <c r="AB164" s="1">
        <f t="shared" si="56"/>
        <v>-132</v>
      </c>
      <c r="AC164" s="1">
        <f t="shared" si="56"/>
        <v>-28</v>
      </c>
      <c r="AD164" s="1">
        <f t="shared" si="56"/>
        <v>-18</v>
      </c>
      <c r="AE164" s="1">
        <f t="shared" si="56"/>
        <v>-263</v>
      </c>
      <c r="AF164" s="1">
        <f t="shared" si="56"/>
        <v>-10</v>
      </c>
      <c r="AG164" s="1">
        <f t="shared" si="56"/>
        <v>-15</v>
      </c>
      <c r="AH164" s="1">
        <f t="shared" si="56"/>
        <v>-30</v>
      </c>
      <c r="AI164" s="1">
        <f t="shared" si="56"/>
        <v>-30</v>
      </c>
      <c r="AJ164" s="1">
        <f t="shared" si="56"/>
        <v>-5</v>
      </c>
      <c r="AK164" s="1">
        <f t="shared" ref="AK164:BP164" si="57">AK163-AK162</f>
        <v>33</v>
      </c>
      <c r="AL164" s="1">
        <f t="shared" si="57"/>
        <v>43</v>
      </c>
      <c r="AM164" s="1">
        <f t="shared" si="57"/>
        <v>-16</v>
      </c>
      <c r="AN164" s="1">
        <f t="shared" si="57"/>
        <v>-50</v>
      </c>
      <c r="AO164" s="1">
        <f t="shared" si="57"/>
        <v>-25</v>
      </c>
      <c r="AP164" s="1">
        <f t="shared" si="57"/>
        <v>-26</v>
      </c>
      <c r="AQ164" s="1">
        <f t="shared" si="57"/>
        <v>-94</v>
      </c>
      <c r="AR164" s="1">
        <f t="shared" si="57"/>
        <v>-104</v>
      </c>
      <c r="AS164" s="1">
        <f t="shared" si="57"/>
        <v>-78</v>
      </c>
      <c r="AT164" s="1">
        <f t="shared" si="57"/>
        <v>-78</v>
      </c>
      <c r="AU164" s="1">
        <f t="shared" si="57"/>
        <v>-45</v>
      </c>
      <c r="AV164" s="1">
        <f t="shared" si="57"/>
        <v>-120</v>
      </c>
      <c r="AW164" s="1">
        <f t="shared" si="57"/>
        <v>-109</v>
      </c>
      <c r="AX164" s="1">
        <f t="shared" si="57"/>
        <v>-55</v>
      </c>
      <c r="AY164" s="1">
        <f t="shared" si="57"/>
        <v>-30</v>
      </c>
      <c r="AZ164" s="1">
        <f t="shared" si="57"/>
        <v>-69</v>
      </c>
      <c r="BA164" s="1">
        <f t="shared" si="57"/>
        <v>-193</v>
      </c>
      <c r="BB164" s="1">
        <f t="shared" si="57"/>
        <v>-227</v>
      </c>
      <c r="BC164" s="1">
        <f t="shared" si="57"/>
        <v>-10</v>
      </c>
      <c r="BD164" s="1">
        <f t="shared" si="57"/>
        <v>-102</v>
      </c>
      <c r="BE164" s="1">
        <f t="shared" si="57"/>
        <v>-52</v>
      </c>
      <c r="BF164" s="1">
        <f t="shared" si="57"/>
        <v>-39</v>
      </c>
      <c r="BG164" s="1">
        <f t="shared" si="57"/>
        <v>-30</v>
      </c>
      <c r="BH164" s="1">
        <f t="shared" si="57"/>
        <v>-72</v>
      </c>
      <c r="BI164" s="1">
        <f t="shared" si="57"/>
        <v>-46</v>
      </c>
      <c r="BJ164" s="1">
        <f t="shared" si="57"/>
        <v>-195</v>
      </c>
      <c r="BK164" s="1">
        <f t="shared" si="57"/>
        <v>-200</v>
      </c>
      <c r="BL164" s="1">
        <f t="shared" si="57"/>
        <v>-145</v>
      </c>
      <c r="BM164" s="1">
        <f t="shared" si="57"/>
        <v>-150</v>
      </c>
      <c r="BN164" s="1">
        <f t="shared" si="57"/>
        <v>-350</v>
      </c>
      <c r="BO164" s="1">
        <f t="shared" si="57"/>
        <v>-350</v>
      </c>
      <c r="BP164" s="1"/>
      <c r="BQ164" s="1"/>
      <c r="BR164" s="17"/>
      <c r="BS164" s="17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</row>
  </sheetData>
  <autoFilter ref="A1:BP162"/>
  <sortState ref="A2:CS165">
    <sortCondition ref="BR2:BR165"/>
    <sortCondition ref="BQ2:BQ165"/>
  </sortState>
  <phoneticPr fontId="1" type="noConversion"/>
  <conditionalFormatting sqref="E52">
    <cfRule type="cellIs" dxfId="2" priority="4" operator="greaterThan">
      <formula>$E$163</formula>
    </cfRule>
  </conditionalFormatting>
  <conditionalFormatting sqref="E162">
    <cfRule type="cellIs" dxfId="1" priority="3" operator="greaterThan">
      <formula>$E$163</formula>
    </cfRule>
  </conditionalFormatting>
  <conditionalFormatting sqref="E164:BO16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166</xdr:row>
                    <xdr:rowOff>28575</xdr:rowOff>
                  </from>
                  <to>
                    <xdr:col>1</xdr:col>
                    <xdr:colOff>428625</xdr:colOff>
                    <xdr:row>167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100</v>
      </c>
      <c r="B1" s="5" t="s">
        <v>97</v>
      </c>
      <c r="C1" s="5" t="s">
        <v>101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72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80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72</v>
      </c>
      <c r="K19" s="10" t="s">
        <v>80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107</v>
      </c>
      <c r="B1" s="8" t="s">
        <v>108</v>
      </c>
      <c r="C1" s="8" t="s">
        <v>109</v>
      </c>
    </row>
    <row r="2" spans="1:3" x14ac:dyDescent="0.15">
      <c r="A2" s="1">
        <v>5</v>
      </c>
      <c r="B2" s="10" t="s">
        <v>80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80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2020-02-04T00:23:25Z</dcterms:modified>
</cp:coreProperties>
</file>