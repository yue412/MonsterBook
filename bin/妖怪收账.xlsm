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5320" windowHeight="13425" tabRatio="364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6" i="4" l="1"/>
  <c r="BQ2" i="1" l="1"/>
  <c r="BU2" i="1"/>
  <c r="BV2" i="1"/>
  <c r="BQ3" i="1" l="1"/>
  <c r="BU3" i="1"/>
  <c r="BV3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U4" i="1" l="1"/>
  <c r="BV4" i="1"/>
  <c r="BQ4" i="1" l="1"/>
  <c r="BO5" i="1" l="1"/>
  <c r="X5" i="1"/>
  <c r="X7" i="1" s="1"/>
  <c r="X9" i="1"/>
  <c r="R5" i="1"/>
  <c r="R7" i="1" s="1"/>
  <c r="R9" i="1"/>
  <c r="W5" i="1"/>
  <c r="W7" i="1" s="1"/>
  <c r="W9" i="1"/>
  <c r="W8" i="1"/>
  <c r="W10" i="1" s="1"/>
  <c r="Z5" i="1"/>
  <c r="Z9" i="1"/>
  <c r="AE5" i="1"/>
  <c r="S5" i="1"/>
  <c r="S7" i="1" s="1"/>
  <c r="S9" i="1"/>
  <c r="AD5" i="1"/>
  <c r="AD7" i="1" s="1"/>
  <c r="AD9" i="1"/>
  <c r="J5" i="1"/>
  <c r="J7" i="1" s="1"/>
  <c r="J9" i="1"/>
  <c r="Y5" i="1"/>
  <c r="BM5" i="1"/>
  <c r="BM7" i="1" s="1"/>
  <c r="BM8" i="1"/>
  <c r="BM10" i="1" s="1"/>
  <c r="BM9" i="1" s="1"/>
  <c r="BM11" i="1" s="1"/>
  <c r="V5" i="1"/>
  <c r="AF5" i="1"/>
  <c r="AF7" i="1" s="1"/>
  <c r="AF9" i="1"/>
  <c r="AF11" i="1" s="1"/>
  <c r="G5" i="1"/>
  <c r="G7" i="1" s="1"/>
  <c r="G9" i="1"/>
  <c r="AH5" i="1"/>
  <c r="AH7" i="1" s="1"/>
  <c r="AH8" i="1"/>
  <c r="AH10" i="1" s="1"/>
  <c r="AH9" i="1"/>
  <c r="AH11" i="1" s="1"/>
  <c r="BN5" i="1"/>
  <c r="BN9" i="1"/>
  <c r="E5" i="1"/>
  <c r="E8" i="1"/>
  <c r="E10" i="1" s="1"/>
  <c r="K5" i="1"/>
  <c r="K7" i="1" s="1"/>
  <c r="K9" i="1"/>
  <c r="N5" i="1"/>
  <c r="N7" i="1" s="1"/>
  <c r="N8" i="1"/>
  <c r="N10" i="1" s="1"/>
  <c r="N9" i="1"/>
  <c r="BP5" i="1"/>
  <c r="BP7" i="1" s="1"/>
  <c r="BP9" i="1"/>
  <c r="P5" i="1"/>
  <c r="P7" i="1" s="1"/>
  <c r="P8" i="1"/>
  <c r="P10" i="1" s="1"/>
  <c r="P9" i="1"/>
  <c r="P11" i="1" s="1"/>
  <c r="O5" i="1"/>
  <c r="AO5" i="1"/>
  <c r="Q5" i="1"/>
  <c r="Q9" i="1"/>
  <c r="AG5" i="1"/>
  <c r="AG7" i="1" s="1"/>
  <c r="AG8" i="1"/>
  <c r="AG10" i="1" s="1"/>
  <c r="AG9" i="1" s="1"/>
  <c r="AG11" i="1" s="1"/>
  <c r="AC5" i="1"/>
  <c r="AC7" i="1" s="1"/>
  <c r="AC9" i="1"/>
  <c r="AC8" i="1"/>
  <c r="AC10" i="1" s="1"/>
  <c r="M5" i="1"/>
  <c r="M7" i="1" s="1"/>
  <c r="M8" i="1"/>
  <c r="M10" i="1" s="1"/>
  <c r="M9" i="1" s="1"/>
  <c r="M11" i="1" s="1"/>
  <c r="L5" i="1"/>
  <c r="F5" i="1"/>
  <c r="AK5" i="1"/>
  <c r="AK7" i="1" s="1"/>
  <c r="AK8" i="1"/>
  <c r="AK10" i="1" s="1"/>
  <c r="AK9" i="1" s="1"/>
  <c r="AK11" i="1" s="1"/>
  <c r="H5" i="1"/>
  <c r="H9" i="1"/>
  <c r="AA5" i="1"/>
  <c r="AA7" i="1" s="1"/>
  <c r="AA9" i="1"/>
  <c r="AL5" i="1"/>
  <c r="AL7" i="1" s="1"/>
  <c r="AL8" i="1"/>
  <c r="AL10" i="1" s="1"/>
  <c r="AL9" i="1"/>
  <c r="AL11" i="1" s="1"/>
  <c r="AB5" i="1"/>
  <c r="AB7" i="1" s="1"/>
  <c r="AB9" i="1"/>
  <c r="AB11" i="1" s="1"/>
  <c r="AB8" i="1"/>
  <c r="AB10" i="1" s="1"/>
  <c r="BC5" i="1"/>
  <c r="BC7" i="1" s="1"/>
  <c r="BC9" i="1"/>
  <c r="BC8" i="1"/>
  <c r="BC10" i="1" s="1"/>
  <c r="AJ5" i="1"/>
  <c r="AJ7" i="1" s="1"/>
  <c r="AJ8" i="1"/>
  <c r="AJ10" i="1" s="1"/>
  <c r="AJ9" i="1" s="1"/>
  <c r="AJ11" i="1" s="1"/>
  <c r="AP5" i="1"/>
  <c r="I5" i="1"/>
  <c r="I7" i="1" s="1"/>
  <c r="I9" i="1"/>
  <c r="BL5" i="1"/>
  <c r="BL9" i="1"/>
  <c r="T5" i="1"/>
  <c r="T9" i="1"/>
  <c r="AI5" i="1"/>
  <c r="AI7" i="1" s="1"/>
  <c r="AI8" i="1"/>
  <c r="AI10" i="1" s="1"/>
  <c r="AI9" i="1" s="1"/>
  <c r="AI11" i="1" s="1"/>
  <c r="U5" i="1"/>
  <c r="U7" i="1" s="1"/>
  <c r="U9" i="1"/>
  <c r="AN5" i="1"/>
  <c r="BK5" i="1"/>
  <c r="BK7" i="1" s="1"/>
  <c r="BK9" i="1"/>
  <c r="BK11" i="1" s="1"/>
  <c r="AM5" i="1"/>
  <c r="AM7" i="1" s="1"/>
  <c r="AM8" i="1"/>
  <c r="AM10" i="1" s="1"/>
  <c r="AM9" i="1" s="1"/>
  <c r="AM11" i="1" s="1"/>
  <c r="BF9" i="1"/>
  <c r="BF8" i="1"/>
  <c r="BF10" i="1" s="1"/>
  <c r="BH8" i="1"/>
  <c r="BH10" i="1" s="1"/>
  <c r="BD9" i="1"/>
  <c r="BD8" i="1"/>
  <c r="BD10" i="1" s="1"/>
  <c r="K8" i="1"/>
  <c r="K10" i="1" s="1"/>
  <c r="AF8" i="1"/>
  <c r="AF10" i="1" s="1"/>
  <c r="I8" i="1"/>
  <c r="I10" i="1" s="1"/>
  <c r="X8" i="1"/>
  <c r="X10" i="1" s="1"/>
  <c r="J8" i="1"/>
  <c r="J10" i="1" s="1"/>
  <c r="U8" i="1"/>
  <c r="U10" i="1" s="1"/>
  <c r="AA8" i="1"/>
  <c r="AA10" i="1" s="1"/>
  <c r="R8" i="1"/>
  <c r="R10" i="1" s="1"/>
  <c r="G8" i="1"/>
  <c r="G10" i="1" s="1"/>
  <c r="AD8" i="1"/>
  <c r="AD10" i="1" s="1"/>
  <c r="BP8" i="1"/>
  <c r="BP10" i="1" s="1"/>
  <c r="S8" i="1"/>
  <c r="S10" i="1" s="1"/>
  <c r="F8" i="1"/>
  <c r="F10" i="1" s="1"/>
  <c r="BK8" i="1"/>
  <c r="BK10" i="1" s="1"/>
  <c r="AN8" i="1" l="1"/>
  <c r="AN10" i="1" s="1"/>
  <c r="AN9" i="1" s="1"/>
  <c r="AN11" i="1" s="1"/>
  <c r="AN7" i="1"/>
  <c r="AE9" i="1"/>
  <c r="AE7" i="1"/>
  <c r="H8" i="1"/>
  <c r="H10" i="1" s="1"/>
  <c r="H7" i="1"/>
  <c r="Q8" i="1"/>
  <c r="Q10" i="1" s="1"/>
  <c r="Q7" i="1"/>
  <c r="V9" i="1"/>
  <c r="V7" i="1"/>
  <c r="Z8" i="1"/>
  <c r="Z10" i="1" s="1"/>
  <c r="Z7" i="1"/>
  <c r="AO8" i="1"/>
  <c r="AO10" i="1" s="1"/>
  <c r="AO9" i="1" s="1"/>
  <c r="AO11" i="1" s="1"/>
  <c r="AO7" i="1"/>
  <c r="F9" i="1"/>
  <c r="F11" i="1" s="1"/>
  <c r="F7" i="1"/>
  <c r="O9" i="1"/>
  <c r="O7" i="1"/>
  <c r="E9" i="1"/>
  <c r="E11" i="1" s="1"/>
  <c r="E7" i="1"/>
  <c r="T8" i="1"/>
  <c r="T10" i="1" s="1"/>
  <c r="T7" i="1"/>
  <c r="L8" i="1"/>
  <c r="L10" i="1" s="1"/>
  <c r="L9" i="1" s="1"/>
  <c r="L11" i="1" s="1"/>
  <c r="L7" i="1"/>
  <c r="Y8" i="1"/>
  <c r="Y10" i="1" s="1"/>
  <c r="Y9" i="1" s="1"/>
  <c r="Y11" i="1" s="1"/>
  <c r="Y7" i="1"/>
  <c r="BN8" i="1"/>
  <c r="BN10" i="1" s="1"/>
  <c r="BN7" i="1"/>
  <c r="BL8" i="1"/>
  <c r="BL10" i="1" s="1"/>
  <c r="BL7" i="1"/>
  <c r="AP8" i="1"/>
  <c r="AP10" i="1" s="1"/>
  <c r="AP9" i="1" s="1"/>
  <c r="AP11" i="1" s="1"/>
  <c r="AP7" i="1"/>
  <c r="BO8" i="1"/>
  <c r="BO10" i="1" s="1"/>
  <c r="BO9" i="1" s="1"/>
  <c r="BO11" i="1" s="1"/>
  <c r="BO7" i="1"/>
  <c r="Z11" i="1"/>
  <c r="AU5" i="1"/>
  <c r="AU9" i="1"/>
  <c r="J11" i="1"/>
  <c r="W11" i="1"/>
  <c r="BF11" i="1"/>
  <c r="H11" i="1"/>
  <c r="BG9" i="1"/>
  <c r="BG11" i="1" s="1"/>
  <c r="T11" i="1"/>
  <c r="BI8" i="1"/>
  <c r="BI10" i="1" s="1"/>
  <c r="BE8" i="1"/>
  <c r="BE10" i="1" s="1"/>
  <c r="AR5" i="1"/>
  <c r="AR9" i="1"/>
  <c r="AR11" i="1" s="1"/>
  <c r="N11" i="1"/>
  <c r="AY5" i="1"/>
  <c r="AY7" i="1" s="1"/>
  <c r="AY9" i="1"/>
  <c r="AY8" i="1"/>
  <c r="AY10" i="1" s="1"/>
  <c r="AW5" i="1"/>
  <c r="AW9" i="1"/>
  <c r="AW11" i="1" s="1"/>
  <c r="BJ8" i="1"/>
  <c r="BJ10" i="1" s="1"/>
  <c r="AS5" i="1"/>
  <c r="AS7" i="1" s="1"/>
  <c r="AS8" i="1"/>
  <c r="AS10" i="1" s="1"/>
  <c r="AS9" i="1" s="1"/>
  <c r="AS11" i="1" s="1"/>
  <c r="BI9" i="1"/>
  <c r="BI11" i="1" s="1"/>
  <c r="BE9" i="1"/>
  <c r="BE11" i="1" s="1"/>
  <c r="G11" i="1"/>
  <c r="AD11" i="1"/>
  <c r="R11" i="1"/>
  <c r="AA11" i="1"/>
  <c r="BD11" i="1"/>
  <c r="AT5" i="1"/>
  <c r="AT9" i="1"/>
  <c r="BG8" i="1"/>
  <c r="BG10" i="1" s="1"/>
  <c r="BB5" i="1"/>
  <c r="BB9" i="1"/>
  <c r="BB11" i="1" s="1"/>
  <c r="BP11" i="1"/>
  <c r="Q11" i="1"/>
  <c r="BL11" i="1"/>
  <c r="BA5" i="1"/>
  <c r="BA7" i="1" s="1"/>
  <c r="BA8" i="1"/>
  <c r="BA10" i="1" s="1"/>
  <c r="BA9" i="1"/>
  <c r="BA11" i="1" s="1"/>
  <c r="AC11" i="1"/>
  <c r="BN11" i="1"/>
  <c r="BJ9" i="1"/>
  <c r="BJ11" i="1" s="1"/>
  <c r="I11" i="1"/>
  <c r="K11" i="1"/>
  <c r="X11" i="1"/>
  <c r="V8" i="1"/>
  <c r="V10" i="1" s="1"/>
  <c r="AV5" i="1"/>
  <c r="AV7" i="1" s="1"/>
  <c r="AV8" i="1"/>
  <c r="AV10" i="1" s="1"/>
  <c r="AV9" i="1" s="1"/>
  <c r="AV11" i="1" s="1"/>
  <c r="O8" i="1"/>
  <c r="O10" i="1" s="1"/>
  <c r="O11" i="1" s="1"/>
  <c r="U11" i="1"/>
  <c r="BC11" i="1"/>
  <c r="AQ5" i="1"/>
  <c r="AQ7" i="1" s="1"/>
  <c r="AQ9" i="1"/>
  <c r="AQ8" i="1"/>
  <c r="AQ10" i="1" s="1"/>
  <c r="S11" i="1"/>
  <c r="BH9" i="1"/>
  <c r="BH11" i="1" s="1"/>
  <c r="AZ5" i="1"/>
  <c r="AZ7" i="1" s="1"/>
  <c r="AZ9" i="1"/>
  <c r="AZ8" i="1"/>
  <c r="AZ10" i="1" s="1"/>
  <c r="AE8" i="1"/>
  <c r="AE10" i="1" s="1"/>
  <c r="AE11" i="1" s="1"/>
  <c r="V11" i="1" l="1"/>
  <c r="AU8" i="1"/>
  <c r="AU10" i="1" s="1"/>
  <c r="AU7" i="1"/>
  <c r="AT8" i="1"/>
  <c r="AT10" i="1" s="1"/>
  <c r="AT7" i="1"/>
  <c r="AW8" i="1"/>
  <c r="AW10" i="1" s="1"/>
  <c r="AW7" i="1"/>
  <c r="BB8" i="1"/>
  <c r="BB10" i="1" s="1"/>
  <c r="BB7" i="1"/>
  <c r="AR8" i="1"/>
  <c r="AR10" i="1" s="1"/>
  <c r="AR7" i="1"/>
  <c r="AQ11" i="1"/>
  <c r="AU11" i="1"/>
  <c r="AT11" i="1"/>
  <c r="AY11" i="1"/>
  <c r="AZ11" i="1"/>
  <c r="AX5" i="1"/>
  <c r="AX7" i="1" s="1"/>
  <c r="AX8" i="1"/>
  <c r="AX10" i="1" s="1"/>
  <c r="AX9" i="1"/>
  <c r="AX11" i="1" s="1"/>
  <c r="BH5" i="1"/>
  <c r="BH7" i="1" s="1"/>
  <c r="BI5" i="1"/>
  <c r="BI7" i="1" s="1"/>
  <c r="BF5" i="1"/>
  <c r="BF7" i="1" s="1"/>
  <c r="BJ5" i="1"/>
  <c r="BJ7" i="1" s="1"/>
  <c r="BG5" i="1"/>
  <c r="BG7" i="1" s="1"/>
  <c r="BD5" i="1"/>
  <c r="BD7" i="1" s="1"/>
  <c r="BE5" i="1"/>
  <c r="BE7" i="1" s="1"/>
</calcChain>
</file>

<file path=xl/sharedStrings.xml><?xml version="1.0" encoding="utf-8"?>
<sst xmlns="http://schemas.openxmlformats.org/spreadsheetml/2006/main" count="297" uniqueCount="132">
  <si>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</si>
  <si>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</si>
  <si>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</si>
  <si>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</si>
  <si>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</si>
  <si>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</si>
  <si>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</si>
  <si>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</si>
  <si>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</si>
  <si>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</si>
  <si>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</si>
  <si>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</si>
  <si>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</si>
  <si>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</si>
  <si>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</si>
  <si>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</si>
  <si>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</si>
  <si>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</si>
  <si>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</si>
  <si>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</si>
  <si>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</si>
  <si>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</si>
  <si>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</si>
  <si>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</si>
  <si>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</si>
  <si>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</si>
  <si>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</si>
  <si>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</si>
  <si>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</si>
  <si>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</si>
  <si>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</si>
  <si>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</si>
  <si>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</si>
  <si>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</si>
  <si>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</si>
  <si>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</si>
  <si>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</si>
  <si>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</si>
  <si>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</si>
  <si>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</si>
  <si>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</si>
  <si>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</si>
  <si>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</si>
  <si>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</si>
  <si>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</si>
  <si>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</si>
  <si>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</si>
  <si>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灯笼</t>
    <phoneticPr fontId="1" type="noConversion"/>
  </si>
  <si>
    <t>红糖</t>
    <phoneticPr fontId="1" type="noConversion"/>
  </si>
  <si>
    <t>圣诞袜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</si>
  <si>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</si>
  <si>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</si>
  <si>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</si>
  <si>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</si>
  <si>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</si>
  <si>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</si>
  <si>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</si>
  <si>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</si>
  <si>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</si>
  <si>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</si>
  <si>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</si>
  <si>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</si>
  <si>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</si>
  <si>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</si>
  <si>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</si>
  <si>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幻</t>
    <phoneticPr fontId="1" type="noConversion"/>
  </si>
  <si>
    <t>逆鳞</t>
    <phoneticPr fontId="1" type="noConversion"/>
  </si>
  <si>
    <t>糯米</t>
    <phoneticPr fontId="1" type="noConversion"/>
  </si>
  <si>
    <t>粽叶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</si>
  <si>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</si>
  <si>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</si>
  <si>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</si>
  <si>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</si>
  <si>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</si>
  <si>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</si>
  <si>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</si>
  <si>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</si>
  <si>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</si>
  <si>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</si>
  <si>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</si>
  <si>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</si>
  <si>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钱袋大</t>
    <phoneticPr fontId="1" type="noConversion"/>
  </si>
  <si>
    <t>筹码大</t>
    <phoneticPr fontId="1" type="noConversion"/>
  </si>
  <si>
    <t>庄家令牌大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</si>
  <si>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</si>
  <si>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</si>
  <si>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</si>
  <si>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</si>
  <si>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</si>
  <si>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</si>
  <si>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</si>
  <si>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</si>
  <si>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</si>
  <si>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</si>
  <si>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</si>
  <si>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</si>
  <si>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</si>
  <si>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</si>
  <si>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</si>
  <si>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</si>
  <si>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</si>
  <si>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</si>
  <si>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</si>
  <si>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</si>
  <si>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</si>
  <si>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</si>
  <si>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</si>
  <si>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</si>
  <si>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</si>
  <si>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</si>
  <si>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</si>
  <si>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</si>
  <si>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壮年</t>
    <phoneticPr fontId="1" type="noConversion"/>
  </si>
  <si>
    <t>四万</t>
    <phoneticPr fontId="1" type="noConversion"/>
  </si>
  <si>
    <t>火</t>
    <phoneticPr fontId="1" type="noConversion"/>
  </si>
  <si>
    <t>麻将</t>
    <phoneticPr fontId="1" type="noConversion"/>
  </si>
  <si>
    <t>星络典</t>
    <phoneticPr fontId="1" type="noConversion"/>
  </si>
  <si>
    <t>福球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</si>
  <si>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</si>
  <si>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</si>
  <si>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</si>
  <si>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</si>
  <si>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人形兵器风间樱</t>
    <phoneticPr fontId="1" type="noConversion"/>
  </si>
  <si>
    <t>光</t>
    <phoneticPr fontId="1" type="noConversion"/>
  </si>
  <si>
    <t>魔法少女小甜甜</t>
    <phoneticPr fontId="1" type="noConversion"/>
  </si>
  <si>
    <t>火</t>
    <phoneticPr fontId="1" type="noConversion"/>
  </si>
  <si>
    <t>幻</t>
    <phoneticPr fontId="1" type="noConversion"/>
  </si>
  <si>
    <t>五福仙子</t>
    <phoneticPr fontId="1" type="noConversion"/>
  </si>
  <si>
    <t>八阿哥</t>
    <phoneticPr fontId="1" type="noConversion"/>
  </si>
  <si>
    <t>逆鳞(1),</t>
    <phoneticPr fontId="1" type="noConversion"/>
  </si>
  <si>
    <t>逆鳞(1),</t>
    <phoneticPr fontId="1" type="noConversion"/>
  </si>
  <si>
    <t>金甲虫(133),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</si>
</sst>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_ * #,##0_ ;_ * \-#,##0_ ;_ * &quot;-&quot;??_ ;_ @_ 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6" fillId="5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8" fillId="0" borderId="0" xfId="0" applyFont="1">
      <alignment vertical="center"/>
    </xf>
    <xf numFmtId="176" fontId="0" fillId="0" borderId="0" xfId="1" applyNumberFormat="1" applyFont="1">
      <alignment vertical="center"/>
    </xf>
    <xf numFmtId="0" fontId="4" fillId="0" borderId="0" xfId="0" applyFont="1">
      <alignment vertical="center"/>
    </xf>
  </cellXfs>
  <cellStyles count="2">
    <cellStyle name="常规" xfId="0" builtinId="0"/>
    <cellStyle name="千位分隔" xfId="1" builtinId="3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11</xdr:row>
          <xdr:rowOff>28575</xdr:rowOff>
        </xdr:from>
        <xdr:to>
          <xdr:col>1</xdr:col>
          <xdr:colOff>428625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2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T3" sqref="BT3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51</v>
      </c>
      <c r="B1" s="8" t="s">
        <v>52</v>
      </c>
      <c r="C1" s="8" t="s">
        <v>54</v>
      </c>
      <c r="D1" s="8" t="s">
        <v>53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50</v>
      </c>
      <c r="K1" s="9" t="s">
        <v>20</v>
      </c>
      <c r="L1" s="9" t="s">
        <v>33</v>
      </c>
      <c r="M1" s="9" t="s">
        <v>35</v>
      </c>
      <c r="N1" s="9" t="s">
        <v>38</v>
      </c>
      <c r="O1" s="9" t="s">
        <v>34</v>
      </c>
      <c r="P1" s="26" t="s">
        <v>69</v>
      </c>
      <c r="Q1" s="26" t="s">
        <v>80</v>
      </c>
      <c r="R1" s="26" t="s">
        <v>75</v>
      </c>
      <c r="S1" s="26" t="s">
        <v>70</v>
      </c>
      <c r="T1" s="26" t="s">
        <v>78</v>
      </c>
      <c r="U1" s="26" t="s">
        <v>81</v>
      </c>
      <c r="V1" s="26" t="s">
        <v>71</v>
      </c>
      <c r="W1" s="26" t="s">
        <v>77</v>
      </c>
      <c r="X1" s="26" t="s">
        <v>76</v>
      </c>
      <c r="Y1" s="26" t="s">
        <v>72</v>
      </c>
      <c r="Z1" s="26" t="s">
        <v>79</v>
      </c>
      <c r="AA1" s="26" t="s">
        <v>82</v>
      </c>
      <c r="AB1" s="26" t="s">
        <v>74</v>
      </c>
      <c r="AC1" s="26" t="s">
        <v>73</v>
      </c>
      <c r="AD1" s="26" t="s">
        <v>83</v>
      </c>
      <c r="AE1" s="8" t="s">
        <v>7</v>
      </c>
      <c r="AF1" s="8" t="s">
        <v>23</v>
      </c>
      <c r="AG1" s="8" t="s">
        <v>24</v>
      </c>
      <c r="AH1" s="8" t="s">
        <v>45</v>
      </c>
      <c r="AI1" s="8" t="s">
        <v>46</v>
      </c>
      <c r="AJ1" s="8" t="s">
        <v>47</v>
      </c>
      <c r="AK1" s="8" t="s">
        <v>48</v>
      </c>
      <c r="AL1" s="8" t="s">
        <v>49</v>
      </c>
      <c r="AM1" s="8" t="s">
        <v>39</v>
      </c>
      <c r="AN1" s="8" t="s">
        <v>40</v>
      </c>
      <c r="AO1" s="8" t="s">
        <v>67</v>
      </c>
      <c r="AP1" s="8" t="s">
        <v>68</v>
      </c>
      <c r="AQ1" s="10" t="s">
        <v>31</v>
      </c>
      <c r="AR1" s="10" t="s">
        <v>3</v>
      </c>
      <c r="AS1" s="10" t="s">
        <v>22</v>
      </c>
      <c r="AT1" s="10" t="s">
        <v>41</v>
      </c>
      <c r="AU1" s="10" t="s">
        <v>43</v>
      </c>
      <c r="AV1" s="10" t="s">
        <v>37</v>
      </c>
      <c r="AW1" s="11" t="s">
        <v>4</v>
      </c>
      <c r="AX1" s="11" t="s">
        <v>5</v>
      </c>
      <c r="AY1" s="11" t="s">
        <v>32</v>
      </c>
      <c r="AZ1" s="11" t="s">
        <v>6</v>
      </c>
      <c r="BA1" s="11" t="s">
        <v>36</v>
      </c>
      <c r="BB1" s="11" t="s">
        <v>9</v>
      </c>
      <c r="BC1" s="24" t="s">
        <v>66</v>
      </c>
      <c r="BD1" s="8" t="s">
        <v>116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25</v>
      </c>
      <c r="BL1" s="8" t="s">
        <v>26</v>
      </c>
      <c r="BM1" s="8" t="s">
        <v>27</v>
      </c>
      <c r="BN1" s="8" t="s">
        <v>28</v>
      </c>
      <c r="BO1" s="8" t="s">
        <v>29</v>
      </c>
      <c r="BP1" s="8" t="s">
        <v>30</v>
      </c>
      <c r="BQ1" s="12" t="s">
        <v>58</v>
      </c>
      <c r="BR1" s="8" t="s">
        <v>59</v>
      </c>
      <c r="BS1" s="16" t="s">
        <v>60</v>
      </c>
      <c r="BT1" s="16"/>
      <c r="BU1" s="13" t="s">
        <v>115</v>
      </c>
    </row>
    <row r="2" spans="1:74" s="23" customFormat="1">
      <c r="A2" s="18"/>
      <c r="B2" s="52" t="s">
        <v>124</v>
      </c>
      <c r="C2" s="52" t="s">
        <v>125</v>
      </c>
      <c r="D2" s="18" t="s">
        <v>126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20"/>
      <c r="AR2" s="20"/>
      <c r="AS2" s="20">
        <v>40</v>
      </c>
      <c r="AT2" s="20"/>
      <c r="AU2" s="20"/>
      <c r="AV2" s="20"/>
      <c r="AW2" s="21">
        <v>40</v>
      </c>
      <c r="AX2" s="21"/>
      <c r="AY2" s="21"/>
      <c r="AZ2" s="21">
        <v>40</v>
      </c>
      <c r="BA2" s="21"/>
      <c r="BB2" s="21"/>
      <c r="BC2" s="25">
        <v>10</v>
      </c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>
        <f t="shared" ref="BQ2:BQ4" si="0">SUM(E2:BP2)</f>
        <v>130</v>
      </c>
      <c r="BR2" s="18">
        <v>1</v>
      </c>
      <c r="BS2" s="22">
        <v>1</v>
      </c>
      <c r="BT2" s="22" t="s">
        <v>129</v>
      </c>
      <c r="BU2" s="23">
        <f t="shared" ref="BU2:BU4" si="1">SUM(P2:AD2)</f>
        <v>0</v>
      </c>
      <c r="BV2" s="23">
        <f t="shared" ref="BV2:BV4" si="2">AF2+AH2+AI2+AJ2+AO2+AP2</f>
        <v>0</v>
      </c>
    </row>
    <row r="3" spans="1:74" s="23" customFormat="1">
      <c r="A3" s="18"/>
      <c r="B3" s="18" t="s">
        <v>122</v>
      </c>
      <c r="C3" s="18" t="s">
        <v>123</v>
      </c>
      <c r="D3" s="18" t="s">
        <v>65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20"/>
      <c r="AR3" s="20"/>
      <c r="AS3" s="20">
        <v>40</v>
      </c>
      <c r="AT3" s="20"/>
      <c r="AU3" s="20"/>
      <c r="AV3" s="20"/>
      <c r="AW3" s="21"/>
      <c r="AX3" s="21">
        <v>40</v>
      </c>
      <c r="AY3" s="21"/>
      <c r="AZ3" s="21"/>
      <c r="BA3" s="21"/>
      <c r="BB3" s="21">
        <v>40</v>
      </c>
      <c r="BC3" s="25">
        <v>10</v>
      </c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>
        <f t="shared" si="0"/>
        <v>130</v>
      </c>
      <c r="BR3" s="18">
        <v>1</v>
      </c>
      <c r="BS3" s="22">
        <v>1</v>
      </c>
      <c r="BT3" s="22" t="s">
        <v>130</v>
      </c>
      <c r="BU3" s="23">
        <f t="shared" si="1"/>
        <v>0</v>
      </c>
      <c r="BV3" s="23">
        <f t="shared" si="2"/>
        <v>0</v>
      </c>
    </row>
    <row r="4" spans="1:74" s="35" customFormat="1">
      <c r="A4" s="1">
        <v>99</v>
      </c>
      <c r="B4" s="3" t="s">
        <v>128</v>
      </c>
      <c r="C4" s="3" t="s">
        <v>42</v>
      </c>
      <c r="D4" s="1" t="s">
        <v>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1">
        <v>200</v>
      </c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200</v>
      </c>
      <c r="BR4" s="1">
        <v>133</v>
      </c>
      <c r="BS4" s="17">
        <v>1</v>
      </c>
      <c r="BT4" s="17" t="s">
        <v>131</v>
      </c>
      <c r="BU4">
        <f t="shared" si="1"/>
        <v>0</v>
      </c>
      <c r="BV4" s="23">
        <f t="shared" si="2"/>
        <v>0</v>
      </c>
    </row>
    <row r="5" spans="1:74">
      <c r="A5" s="1"/>
      <c r="B5" s="1" t="s">
        <v>44</v>
      </c>
      <c r="C5" s="1"/>
      <c r="D5" s="1"/>
      <c r="E5" s="6">
        <f>SUM(E2:E4)</f>
        <v>0</v>
      </c>
      <c r="F5" s="6">
        <f>SUM(F2:F4)</f>
        <v>0</v>
      </c>
      <c r="G5" s="6">
        <f>SUM(G2:G4)</f>
        <v>0</v>
      </c>
      <c r="H5" s="6">
        <f>SUM(H2:H4)</f>
        <v>0</v>
      </c>
      <c r="I5" s="6">
        <f>SUM(I2:I4)</f>
        <v>0</v>
      </c>
      <c r="J5" s="6">
        <f>SUM(J2:J4)</f>
        <v>0</v>
      </c>
      <c r="K5" s="6">
        <f>SUM(K2:K4)</f>
        <v>0</v>
      </c>
      <c r="L5" s="6">
        <f>SUM(L2:L4)</f>
        <v>0</v>
      </c>
      <c r="M5" s="6">
        <f>SUM(M2:M4)</f>
        <v>0</v>
      </c>
      <c r="N5" s="6">
        <f>SUM(N2:N4)</f>
        <v>0</v>
      </c>
      <c r="O5" s="6">
        <f>SUM(O2:O4)</f>
        <v>0</v>
      </c>
      <c r="P5" s="27">
        <f>SUM(P2:P4)</f>
        <v>0</v>
      </c>
      <c r="Q5" s="27">
        <f>SUM(Q2:Q4)</f>
        <v>0</v>
      </c>
      <c r="R5" s="27">
        <f>SUM(R2:R4)</f>
        <v>0</v>
      </c>
      <c r="S5" s="27">
        <f>SUM(S2:S4)</f>
        <v>0</v>
      </c>
      <c r="T5" s="27">
        <f>SUM(T2:T4)</f>
        <v>0</v>
      </c>
      <c r="U5" s="27">
        <f>SUM(U2:U4)</f>
        <v>0</v>
      </c>
      <c r="V5" s="27">
        <f>SUM(V2:V4)</f>
        <v>0</v>
      </c>
      <c r="W5" s="27">
        <f>SUM(W2:W4)</f>
        <v>0</v>
      </c>
      <c r="X5" s="27">
        <f>SUM(X2:X4)</f>
        <v>0</v>
      </c>
      <c r="Y5" s="27">
        <f>SUM(Y2:Y4)</f>
        <v>0</v>
      </c>
      <c r="Z5" s="27">
        <f>SUM(Z2:Z4)</f>
        <v>0</v>
      </c>
      <c r="AA5" s="27">
        <f>SUM(AA2:AA4)</f>
        <v>0</v>
      </c>
      <c r="AB5" s="27">
        <f>SUM(AB2:AB4)</f>
        <v>0</v>
      </c>
      <c r="AC5" s="27">
        <f>SUM(AC2:AC4)</f>
        <v>0</v>
      </c>
      <c r="AD5" s="27">
        <f>SUM(AD2:AD4)</f>
        <v>0</v>
      </c>
      <c r="AE5" s="1">
        <f>SUM(AE2:AE4)</f>
        <v>200</v>
      </c>
      <c r="AF5" s="1">
        <f>SUM(AF2:AF4)</f>
        <v>0</v>
      </c>
      <c r="AG5" s="1">
        <f>SUM(AG2:AG4)</f>
        <v>0</v>
      </c>
      <c r="AH5" s="1">
        <f>SUM(AH2:AH4)</f>
        <v>0</v>
      </c>
      <c r="AI5" s="1">
        <f>SUM(AI2:AI4)</f>
        <v>0</v>
      </c>
      <c r="AJ5" s="1">
        <f>SUM(AJ2:AJ4)</f>
        <v>0</v>
      </c>
      <c r="AK5" s="1">
        <f>SUM(AK2:AK4)</f>
        <v>0</v>
      </c>
      <c r="AL5" s="1">
        <f>SUM(AL2:AL4)</f>
        <v>0</v>
      </c>
      <c r="AM5" s="1">
        <f>SUM(AM2:AM4)</f>
        <v>0</v>
      </c>
      <c r="AN5" s="1">
        <f>SUM(AN2:AN4)</f>
        <v>0</v>
      </c>
      <c r="AO5" s="1">
        <f>SUM(AO2:AO4)</f>
        <v>0</v>
      </c>
      <c r="AP5" s="1">
        <f>SUM(AP2:AP4)</f>
        <v>0</v>
      </c>
      <c r="AQ5" s="4">
        <f>SUM(AQ2:AQ4)</f>
        <v>0</v>
      </c>
      <c r="AR5" s="4">
        <f>SUM(AR2:AR4)</f>
        <v>0</v>
      </c>
      <c r="AS5" s="4">
        <f>SUM(AS2:AS4)</f>
        <v>80</v>
      </c>
      <c r="AT5" s="4">
        <f>SUM(AT2:AT4)</f>
        <v>0</v>
      </c>
      <c r="AU5" s="4">
        <f>SUM(AU2:AU4)</f>
        <v>0</v>
      </c>
      <c r="AV5" s="4">
        <f>SUM(AV2:AV4)</f>
        <v>0</v>
      </c>
      <c r="AW5" s="2">
        <f>SUM(AW2:AW4)</f>
        <v>40</v>
      </c>
      <c r="AX5" s="2">
        <f>SUM(AX2:AX4)</f>
        <v>40</v>
      </c>
      <c r="AY5" s="2">
        <f>SUM(AY2:AY4)</f>
        <v>0</v>
      </c>
      <c r="AZ5" s="2">
        <f>SUM(AZ2:AZ4)</f>
        <v>40</v>
      </c>
      <c r="BA5" s="2">
        <f>SUM(BA2:BA4)</f>
        <v>0</v>
      </c>
      <c r="BB5" s="2">
        <f>SUM(BB2:BB4)</f>
        <v>40</v>
      </c>
      <c r="BC5" s="1">
        <f>SUM(BC2:BC4)</f>
        <v>20</v>
      </c>
      <c r="BD5" s="1">
        <f>SUM(BD2:BD4)</f>
        <v>0</v>
      </c>
      <c r="BE5" s="1">
        <f>SUM(BE2:BE4)</f>
        <v>0</v>
      </c>
      <c r="BF5" s="1">
        <f>SUM(BF2:BF4)</f>
        <v>0</v>
      </c>
      <c r="BG5" s="1">
        <f>SUM(BG2:BG4)</f>
        <v>0</v>
      </c>
      <c r="BH5" s="1">
        <f>SUM(BH2:BH4)</f>
        <v>0</v>
      </c>
      <c r="BI5" s="1">
        <f>SUM(BI2:BI4)</f>
        <v>0</v>
      </c>
      <c r="BJ5" s="1">
        <f>SUM(BJ2:BJ4)</f>
        <v>0</v>
      </c>
      <c r="BK5" s="1">
        <f>SUM(BK2:BK4)</f>
        <v>0</v>
      </c>
      <c r="BL5" s="1">
        <f>SUM(BL2:BL4)</f>
        <v>0</v>
      </c>
      <c r="BM5" s="1">
        <f>SUM(BM2:BM4)</f>
        <v>0</v>
      </c>
      <c r="BN5" s="1">
        <f>SUM(BN2:BN4)</f>
        <v>0</v>
      </c>
      <c r="BO5" s="1">
        <f>SUM(BO2:BO4)</f>
        <v>0</v>
      </c>
      <c r="BP5" s="1">
        <f>SUM(BP2:BP4)</f>
        <v>0</v>
      </c>
      <c r="BQ5" s="1"/>
      <c r="BR5" s="1"/>
      <c r="BS5" s="17"/>
      <c r="BT5" s="17"/>
    </row>
    <row r="6" spans="1:74">
      <c r="A6" s="1"/>
      <c r="B6" s="3" t="s">
        <v>57</v>
      </c>
      <c r="C6" s="1"/>
      <c r="D6" s="1"/>
      <c r="E6" s="1">
        <v>29</v>
      </c>
      <c r="F6" s="1">
        <v>151</v>
      </c>
      <c r="G6" s="1">
        <v>6</v>
      </c>
      <c r="H6" s="1">
        <v>22</v>
      </c>
      <c r="I6" s="1">
        <v>197</v>
      </c>
      <c r="J6" s="1">
        <v>160</v>
      </c>
      <c r="K6" s="1">
        <v>138</v>
      </c>
      <c r="L6" s="1">
        <v>162</v>
      </c>
      <c r="M6" s="1">
        <v>154</v>
      </c>
      <c r="N6" s="1">
        <v>275</v>
      </c>
      <c r="O6" s="1">
        <v>181</v>
      </c>
      <c r="P6" s="14">
        <v>1513</v>
      </c>
      <c r="Q6" s="14">
        <v>692</v>
      </c>
      <c r="R6" s="14">
        <v>0</v>
      </c>
      <c r="S6" s="14">
        <v>1556</v>
      </c>
      <c r="T6" s="14">
        <v>614</v>
      </c>
      <c r="U6" s="14">
        <v>105</v>
      </c>
      <c r="V6" s="14">
        <v>1582</v>
      </c>
      <c r="W6" s="14">
        <v>534</v>
      </c>
      <c r="X6" s="14">
        <v>1</v>
      </c>
      <c r="Y6" s="14">
        <v>1577</v>
      </c>
      <c r="Z6" s="14">
        <v>688</v>
      </c>
      <c r="AA6" s="14">
        <v>27</v>
      </c>
      <c r="AB6" s="14">
        <v>1571</v>
      </c>
      <c r="AC6" s="14">
        <v>700</v>
      </c>
      <c r="AD6" s="14">
        <v>42</v>
      </c>
      <c r="AE6" s="1">
        <v>67</v>
      </c>
      <c r="AF6" s="1">
        <v>25</v>
      </c>
      <c r="AG6" s="1">
        <v>28</v>
      </c>
      <c r="AH6" s="1">
        <v>0</v>
      </c>
      <c r="AI6" s="1">
        <v>4</v>
      </c>
      <c r="AJ6" s="1">
        <v>13</v>
      </c>
      <c r="AK6" s="1">
        <v>23</v>
      </c>
      <c r="AL6" s="1">
        <v>33</v>
      </c>
      <c r="AM6" s="1">
        <v>0</v>
      </c>
      <c r="AN6" s="1">
        <v>11</v>
      </c>
      <c r="AO6" s="1">
        <v>0</v>
      </c>
      <c r="AP6" s="1">
        <v>8</v>
      </c>
      <c r="AQ6" s="14">
        <v>33</v>
      </c>
      <c r="AR6" s="14">
        <v>39</v>
      </c>
      <c r="AS6" s="14">
        <v>97</v>
      </c>
      <c r="AT6" s="14">
        <v>23</v>
      </c>
      <c r="AU6" s="14">
        <v>30</v>
      </c>
      <c r="AV6" s="14">
        <v>13</v>
      </c>
      <c r="AW6" s="14">
        <v>65</v>
      </c>
      <c r="AX6" s="14">
        <v>67</v>
      </c>
      <c r="AY6" s="14">
        <v>50</v>
      </c>
      <c r="AZ6" s="14">
        <v>73</v>
      </c>
      <c r="BA6" s="14">
        <v>23</v>
      </c>
      <c r="BB6" s="14">
        <v>52</v>
      </c>
      <c r="BC6" s="14">
        <v>9</v>
      </c>
      <c r="BD6" s="1">
        <v>109</v>
      </c>
      <c r="BE6" s="1">
        <v>255</v>
      </c>
      <c r="BF6" s="1">
        <v>396</v>
      </c>
      <c r="BG6" s="1">
        <v>312</v>
      </c>
      <c r="BH6" s="1">
        <v>330</v>
      </c>
      <c r="BI6" s="1">
        <v>162</v>
      </c>
      <c r="BJ6" s="1">
        <v>195</v>
      </c>
      <c r="BK6" s="1">
        <v>131</v>
      </c>
      <c r="BL6" s="1">
        <v>127</v>
      </c>
      <c r="BM6" s="1">
        <v>324</v>
      </c>
      <c r="BN6" s="1">
        <v>141</v>
      </c>
      <c r="BO6" s="1">
        <v>36</v>
      </c>
      <c r="BP6" s="1">
        <v>217</v>
      </c>
      <c r="BQ6" s="1"/>
      <c r="BR6" s="1"/>
      <c r="BS6" s="17"/>
      <c r="BT6" s="17"/>
    </row>
    <row r="7" spans="1:74">
      <c r="A7" s="1"/>
      <c r="B7" s="3" t="s">
        <v>64</v>
      </c>
      <c r="C7" s="1"/>
      <c r="D7" s="1"/>
      <c r="E7" s="1">
        <f t="shared" ref="E7:AJ7" si="3">E6-E5</f>
        <v>29</v>
      </c>
      <c r="F7" s="1">
        <f t="shared" si="3"/>
        <v>151</v>
      </c>
      <c r="G7" s="1">
        <f t="shared" si="3"/>
        <v>6</v>
      </c>
      <c r="H7" s="1">
        <f t="shared" si="3"/>
        <v>22</v>
      </c>
      <c r="I7" s="1">
        <f t="shared" si="3"/>
        <v>197</v>
      </c>
      <c r="J7" s="1">
        <f t="shared" si="3"/>
        <v>160</v>
      </c>
      <c r="K7" s="1">
        <f t="shared" si="3"/>
        <v>138</v>
      </c>
      <c r="L7" s="1">
        <f t="shared" si="3"/>
        <v>162</v>
      </c>
      <c r="M7" s="1">
        <f t="shared" si="3"/>
        <v>154</v>
      </c>
      <c r="N7" s="1">
        <f t="shared" si="3"/>
        <v>275</v>
      </c>
      <c r="O7" s="1">
        <f t="shared" si="3"/>
        <v>181</v>
      </c>
      <c r="P7" s="1">
        <f t="shared" si="3"/>
        <v>1513</v>
      </c>
      <c r="Q7" s="1">
        <f t="shared" si="3"/>
        <v>692</v>
      </c>
      <c r="R7" s="1">
        <f t="shared" si="3"/>
        <v>0</v>
      </c>
      <c r="S7" s="1">
        <f t="shared" si="3"/>
        <v>1556</v>
      </c>
      <c r="T7" s="1">
        <f t="shared" si="3"/>
        <v>614</v>
      </c>
      <c r="U7" s="1">
        <f t="shared" si="3"/>
        <v>105</v>
      </c>
      <c r="V7" s="1">
        <f t="shared" si="3"/>
        <v>1582</v>
      </c>
      <c r="W7" s="1">
        <f t="shared" si="3"/>
        <v>534</v>
      </c>
      <c r="X7" s="1">
        <f t="shared" si="3"/>
        <v>1</v>
      </c>
      <c r="Y7" s="1">
        <f t="shared" si="3"/>
        <v>1577</v>
      </c>
      <c r="Z7" s="1">
        <f t="shared" si="3"/>
        <v>688</v>
      </c>
      <c r="AA7" s="1">
        <f t="shared" si="3"/>
        <v>27</v>
      </c>
      <c r="AB7" s="1">
        <f t="shared" si="3"/>
        <v>1571</v>
      </c>
      <c r="AC7" s="1">
        <f t="shared" si="3"/>
        <v>700</v>
      </c>
      <c r="AD7" s="1">
        <f t="shared" si="3"/>
        <v>42</v>
      </c>
      <c r="AE7" s="1">
        <f t="shared" si="3"/>
        <v>-133</v>
      </c>
      <c r="AF7" s="1">
        <f t="shared" si="3"/>
        <v>25</v>
      </c>
      <c r="AG7" s="1">
        <f t="shared" si="3"/>
        <v>28</v>
      </c>
      <c r="AH7" s="1">
        <f t="shared" si="3"/>
        <v>0</v>
      </c>
      <c r="AI7" s="1">
        <f t="shared" si="3"/>
        <v>4</v>
      </c>
      <c r="AJ7" s="1">
        <f t="shared" si="3"/>
        <v>13</v>
      </c>
      <c r="AK7" s="1">
        <f t="shared" ref="AK7:BP7" si="4">AK6-AK5</f>
        <v>23</v>
      </c>
      <c r="AL7" s="1">
        <f t="shared" si="4"/>
        <v>33</v>
      </c>
      <c r="AM7" s="1">
        <f t="shared" si="4"/>
        <v>0</v>
      </c>
      <c r="AN7" s="1">
        <f t="shared" si="4"/>
        <v>11</v>
      </c>
      <c r="AO7" s="1">
        <f t="shared" si="4"/>
        <v>0</v>
      </c>
      <c r="AP7" s="1">
        <f t="shared" si="4"/>
        <v>8</v>
      </c>
      <c r="AQ7" s="1">
        <f t="shared" si="4"/>
        <v>33</v>
      </c>
      <c r="AR7" s="1">
        <f t="shared" si="4"/>
        <v>39</v>
      </c>
      <c r="AS7" s="1">
        <f t="shared" si="4"/>
        <v>17</v>
      </c>
      <c r="AT7" s="1">
        <f t="shared" si="4"/>
        <v>23</v>
      </c>
      <c r="AU7" s="1">
        <f t="shared" si="4"/>
        <v>30</v>
      </c>
      <c r="AV7" s="1">
        <f t="shared" si="4"/>
        <v>13</v>
      </c>
      <c r="AW7" s="1">
        <f t="shared" si="4"/>
        <v>25</v>
      </c>
      <c r="AX7" s="1">
        <f t="shared" si="4"/>
        <v>27</v>
      </c>
      <c r="AY7" s="1">
        <f t="shared" si="4"/>
        <v>50</v>
      </c>
      <c r="AZ7" s="1">
        <f t="shared" si="4"/>
        <v>33</v>
      </c>
      <c r="BA7" s="1">
        <f t="shared" si="4"/>
        <v>23</v>
      </c>
      <c r="BB7" s="1">
        <f t="shared" si="4"/>
        <v>12</v>
      </c>
      <c r="BC7" s="1">
        <f t="shared" si="4"/>
        <v>-11</v>
      </c>
      <c r="BD7" s="1">
        <f t="shared" si="4"/>
        <v>109</v>
      </c>
      <c r="BE7" s="1">
        <f t="shared" si="4"/>
        <v>255</v>
      </c>
      <c r="BF7" s="1">
        <f t="shared" si="4"/>
        <v>396</v>
      </c>
      <c r="BG7" s="1">
        <f t="shared" si="4"/>
        <v>312</v>
      </c>
      <c r="BH7" s="1">
        <f t="shared" si="4"/>
        <v>330</v>
      </c>
      <c r="BI7" s="1">
        <f t="shared" si="4"/>
        <v>162</v>
      </c>
      <c r="BJ7" s="1">
        <f t="shared" si="4"/>
        <v>195</v>
      </c>
      <c r="BK7" s="1">
        <f t="shared" si="4"/>
        <v>131</v>
      </c>
      <c r="BL7" s="1">
        <f t="shared" si="4"/>
        <v>127</v>
      </c>
      <c r="BM7" s="1">
        <f t="shared" si="4"/>
        <v>324</v>
      </c>
      <c r="BN7" s="1">
        <f t="shared" si="4"/>
        <v>141</v>
      </c>
      <c r="BO7" s="1">
        <f t="shared" si="4"/>
        <v>36</v>
      </c>
      <c r="BP7" s="1">
        <f t="shared" si="4"/>
        <v>217</v>
      </c>
      <c r="BQ7" s="1"/>
      <c r="BR7" s="1"/>
      <c r="BS7" s="17"/>
      <c r="BT7" s="17"/>
    </row>
    <row r="8" spans="1:74">
      <c r="A8" s="1"/>
      <c r="B8" s="3" t="s">
        <v>84</v>
      </c>
      <c r="C8" s="1"/>
      <c r="D8" s="1"/>
      <c r="E8" s="1">
        <f>MAX(E2:E4)</f>
        <v>0</v>
      </c>
      <c r="F8" s="1">
        <f>MAX(F2:F4)</f>
        <v>0</v>
      </c>
      <c r="G8" s="1">
        <f>MAX(G2:G4)</f>
        <v>0</v>
      </c>
      <c r="H8" s="1">
        <f>MAX(H2:H4)</f>
        <v>0</v>
      </c>
      <c r="I8" s="1">
        <f>MAX(I2:I4)</f>
        <v>0</v>
      </c>
      <c r="J8" s="1">
        <f>MAX(J2:J4)</f>
        <v>0</v>
      </c>
      <c r="K8" s="1">
        <f>MAX(K2:K4)</f>
        <v>0</v>
      </c>
      <c r="L8" s="1">
        <f>MAX(L2:L4)</f>
        <v>0</v>
      </c>
      <c r="M8" s="1">
        <f>MAX(M2:M4)</f>
        <v>0</v>
      </c>
      <c r="N8" s="1">
        <f>MAX(N2:N4)</f>
        <v>0</v>
      </c>
      <c r="O8" s="1">
        <f>MAX(O2:O4)</f>
        <v>0</v>
      </c>
      <c r="P8" s="1">
        <f>MAX(P2:P4)</f>
        <v>0</v>
      </c>
      <c r="Q8" s="1">
        <f>MAX(Q2:Q4)</f>
        <v>0</v>
      </c>
      <c r="R8" s="1">
        <f>MAX(R2:R4)</f>
        <v>0</v>
      </c>
      <c r="S8" s="1">
        <f>MAX(S2:S4)</f>
        <v>0</v>
      </c>
      <c r="T8" s="1">
        <f>MAX(T2:T4)</f>
        <v>0</v>
      </c>
      <c r="U8" s="1">
        <f>MAX(U2:U4)</f>
        <v>0</v>
      </c>
      <c r="V8" s="1">
        <f>MAX(V2:V4)</f>
        <v>0</v>
      </c>
      <c r="W8" s="1">
        <f>MAX(W2:W4)</f>
        <v>0</v>
      </c>
      <c r="X8" s="1">
        <f>MAX(X2:X4)</f>
        <v>0</v>
      </c>
      <c r="Y8" s="1">
        <f>MAX(Y2:Y4)</f>
        <v>0</v>
      </c>
      <c r="Z8" s="1">
        <f>MAX(Z2:Z4)</f>
        <v>0</v>
      </c>
      <c r="AA8" s="1">
        <f>MAX(AA2:AA4)</f>
        <v>0</v>
      </c>
      <c r="AB8" s="1">
        <f>MAX(AB2:AB4)</f>
        <v>0</v>
      </c>
      <c r="AC8" s="1">
        <f>MAX(AC2:AC4)</f>
        <v>0</v>
      </c>
      <c r="AD8" s="1">
        <f>MAX(AD2:AD4)</f>
        <v>0</v>
      </c>
      <c r="AE8" s="1">
        <f>MAX(AE2:AE4)</f>
        <v>200</v>
      </c>
      <c r="AF8" s="1">
        <f>MAX(AF2:AF4)</f>
        <v>0</v>
      </c>
      <c r="AG8" s="1">
        <f>MAX(AG2:AG4)</f>
        <v>0</v>
      </c>
      <c r="AH8" s="1">
        <f>MAX(AH2:AH4)</f>
        <v>0</v>
      </c>
      <c r="AI8" s="1">
        <f>MAX(AI2:AI4)</f>
        <v>0</v>
      </c>
      <c r="AJ8" s="1">
        <f>MAX(AJ2:AJ4)</f>
        <v>0</v>
      </c>
      <c r="AK8" s="1">
        <f>MAX(AK2:AK4)</f>
        <v>0</v>
      </c>
      <c r="AL8" s="1">
        <f>MAX(AL2:AL4)</f>
        <v>0</v>
      </c>
      <c r="AM8" s="1">
        <f>MAX(AM2:AM4)</f>
        <v>0</v>
      </c>
      <c r="AN8" s="1">
        <f>MAX(AN2:AN4)</f>
        <v>0</v>
      </c>
      <c r="AO8" s="1">
        <f>MAX(AO2:AO4)</f>
        <v>0</v>
      </c>
      <c r="AP8" s="1">
        <f>MAX(AP2:AP4)</f>
        <v>0</v>
      </c>
      <c r="AQ8" s="1">
        <f>MAX(AQ2:AQ4)</f>
        <v>0</v>
      </c>
      <c r="AR8" s="1">
        <f>MAX(AR2:AR4)</f>
        <v>0</v>
      </c>
      <c r="AS8" s="1">
        <f>MAX(AS2:AS4)</f>
        <v>40</v>
      </c>
      <c r="AT8" s="1">
        <f>MAX(AT2:AT4)</f>
        <v>0</v>
      </c>
      <c r="AU8" s="1">
        <f>MAX(AU2:AU4)</f>
        <v>0</v>
      </c>
      <c r="AV8" s="1">
        <f>MAX(AV2:AV4)</f>
        <v>0</v>
      </c>
      <c r="AW8" s="1">
        <f>MAX(AW2:AW4)</f>
        <v>40</v>
      </c>
      <c r="AX8" s="1">
        <f>MAX(AX2:AX4)</f>
        <v>40</v>
      </c>
      <c r="AY8" s="1">
        <f>MAX(AY2:AY4)</f>
        <v>0</v>
      </c>
      <c r="AZ8" s="1">
        <f>MAX(AZ2:AZ4)</f>
        <v>40</v>
      </c>
      <c r="BA8" s="1">
        <f>MAX(BA2:BA4)</f>
        <v>0</v>
      </c>
      <c r="BB8" s="1">
        <f>MAX(BB2:BB4)</f>
        <v>40</v>
      </c>
      <c r="BC8" s="1">
        <f>MAX(BC2:BC4)</f>
        <v>10</v>
      </c>
      <c r="BD8" s="1">
        <f>MAX(BD2:BD4)</f>
        <v>0</v>
      </c>
      <c r="BE8" s="1">
        <f>MAX(BE2:BE4)</f>
        <v>0</v>
      </c>
      <c r="BF8" s="1">
        <f>MAX(BF2:BF4)</f>
        <v>0</v>
      </c>
      <c r="BG8" s="1">
        <f>MAX(BG2:BG4)</f>
        <v>0</v>
      </c>
      <c r="BH8" s="1">
        <f>MAX(BH2:BH4)</f>
        <v>0</v>
      </c>
      <c r="BI8" s="1">
        <f>MAX(BI2:BI4)</f>
        <v>0</v>
      </c>
      <c r="BJ8" s="1">
        <f>MAX(BJ2:BJ4)</f>
        <v>0</v>
      </c>
      <c r="BK8" s="1">
        <f>MAX(BK2:BK4)</f>
        <v>0</v>
      </c>
      <c r="BL8" s="1">
        <f>MAX(BL2:BL4)</f>
        <v>0</v>
      </c>
      <c r="BM8" s="1">
        <f>MAX(BM2:BM4)</f>
        <v>0</v>
      </c>
      <c r="BN8" s="1">
        <f>MAX(BN2:BN4)</f>
        <v>0</v>
      </c>
      <c r="BO8" s="1">
        <f>MAX(BO2:BO4)</f>
        <v>0</v>
      </c>
      <c r="BP8" s="1">
        <f>MAX(BP2:BP4)</f>
        <v>0</v>
      </c>
      <c r="BQ8" s="1"/>
      <c r="BR8" s="1"/>
      <c r="BS8" s="17"/>
      <c r="BT8" s="17"/>
    </row>
    <row r="9" spans="1:74">
      <c r="A9" s="1"/>
      <c r="B9" s="3" t="s">
        <v>85</v>
      </c>
      <c r="C9" s="1"/>
      <c r="D9" s="1"/>
      <c r="E9" s="1">
        <f>MIN(E2:E4)</f>
        <v>0</v>
      </c>
      <c r="F9" s="1">
        <f>MIN(F2:F4)</f>
        <v>0</v>
      </c>
      <c r="G9" s="1">
        <f>MIN(G2:G4)</f>
        <v>0</v>
      </c>
      <c r="H9" s="1">
        <f>MIN(H2:H4)</f>
        <v>0</v>
      </c>
      <c r="I9" s="1">
        <f>MIN(I2:I4)</f>
        <v>0</v>
      </c>
      <c r="J9" s="1">
        <f>MIN(J2:J4)</f>
        <v>0</v>
      </c>
      <c r="K9" s="1">
        <f>MIN(K2:K4)</f>
        <v>0</v>
      </c>
      <c r="L9" s="1">
        <f>MIN(L2:L4)</f>
        <v>0</v>
      </c>
      <c r="M9" s="1">
        <f>MIN(M2:M4)</f>
        <v>0</v>
      </c>
      <c r="N9" s="1">
        <f>MIN(N2:N4)</f>
        <v>0</v>
      </c>
      <c r="O9" s="1">
        <f>MIN(O2:O4)</f>
        <v>0</v>
      </c>
      <c r="P9" s="1">
        <f>MIN(P2:P4)</f>
        <v>0</v>
      </c>
      <c r="Q9" s="1">
        <f>MIN(Q2:Q4)</f>
        <v>0</v>
      </c>
      <c r="R9" s="1">
        <f>MIN(R2:R4)</f>
        <v>0</v>
      </c>
      <c r="S9" s="1">
        <f>MIN(S2:S4)</f>
        <v>0</v>
      </c>
      <c r="T9" s="1">
        <f>MIN(T2:T4)</f>
        <v>0</v>
      </c>
      <c r="U9" s="1">
        <f>MIN(U2:U4)</f>
        <v>0</v>
      </c>
      <c r="V9" s="1">
        <f>MIN(V2:V4)</f>
        <v>0</v>
      </c>
      <c r="W9" s="1">
        <f>MIN(W2:W4)</f>
        <v>0</v>
      </c>
      <c r="X9" s="1">
        <f>MIN(X2:X4)</f>
        <v>0</v>
      </c>
      <c r="Y9" s="1">
        <f>MIN(Y2:Y4)</f>
        <v>0</v>
      </c>
      <c r="Z9" s="1">
        <f>MIN(Z2:Z4)</f>
        <v>0</v>
      </c>
      <c r="AA9" s="1">
        <f>MIN(AA2:AA4)</f>
        <v>0</v>
      </c>
      <c r="AB9" s="1">
        <f>MIN(AB2:AB4)</f>
        <v>0</v>
      </c>
      <c r="AC9" s="1">
        <f>MIN(AC2:AC4)</f>
        <v>0</v>
      </c>
      <c r="AD9" s="1">
        <f>MIN(AD2:AD4)</f>
        <v>0</v>
      </c>
      <c r="AE9" s="1">
        <f>MIN(AE2:AE4)</f>
        <v>200</v>
      </c>
      <c r="AF9" s="1">
        <f>MIN(AF2:AF4)</f>
        <v>0</v>
      </c>
      <c r="AG9" s="1">
        <f>MIN(AG2:AG4)</f>
        <v>0</v>
      </c>
      <c r="AH9" s="1">
        <f>MIN(AH2:AH4)</f>
        <v>0</v>
      </c>
      <c r="AI9" s="1">
        <f>MIN(AI2:AI4)</f>
        <v>0</v>
      </c>
      <c r="AJ9" s="1">
        <f>MIN(AJ2:AJ4)</f>
        <v>0</v>
      </c>
      <c r="AK9" s="1">
        <f>MIN(AK2:AK4)</f>
        <v>0</v>
      </c>
      <c r="AL9" s="1">
        <f>MIN(AL2:AL4)</f>
        <v>0</v>
      </c>
      <c r="AM9" s="1">
        <f>MIN(AM2:AM4)</f>
        <v>0</v>
      </c>
      <c r="AN9" s="1">
        <f>MIN(AN2:AN4)</f>
        <v>0</v>
      </c>
      <c r="AO9" s="1">
        <f>MIN(AO2:AO4)</f>
        <v>0</v>
      </c>
      <c r="AP9" s="1">
        <f>MIN(AP2:AP4)</f>
        <v>0</v>
      </c>
      <c r="AQ9" s="1">
        <f>MIN(AQ2:AQ4)</f>
        <v>0</v>
      </c>
      <c r="AR9" s="1">
        <f>MIN(AR2:AR4)</f>
        <v>0</v>
      </c>
      <c r="AS9" s="1">
        <f>MIN(AS2:AS4)</f>
        <v>40</v>
      </c>
      <c r="AT9" s="1">
        <f>MIN(AT2:AT4)</f>
        <v>0</v>
      </c>
      <c r="AU9" s="1">
        <f>MIN(AU2:AU4)</f>
        <v>0</v>
      </c>
      <c r="AV9" s="1">
        <f>MIN(AV2:AV4)</f>
        <v>0</v>
      </c>
      <c r="AW9" s="1">
        <f>MIN(AW2:AW4)</f>
        <v>40</v>
      </c>
      <c r="AX9" s="1">
        <f>MIN(AX2:AX4)</f>
        <v>40</v>
      </c>
      <c r="AY9" s="1">
        <f>MIN(AY2:AY4)</f>
        <v>0</v>
      </c>
      <c r="AZ9" s="1">
        <f>MIN(AZ2:AZ4)</f>
        <v>40</v>
      </c>
      <c r="BA9" s="1">
        <f>MIN(BA2:BA4)</f>
        <v>0</v>
      </c>
      <c r="BB9" s="1">
        <f>MIN(BB2:BB4)</f>
        <v>40</v>
      </c>
      <c r="BC9" s="1">
        <f>MIN(BC2:BC4)</f>
        <v>10</v>
      </c>
      <c r="BD9" s="1">
        <f>MIN(BD2:BD4)</f>
        <v>0</v>
      </c>
      <c r="BE9" s="1">
        <f>MIN(BE2:BE4)</f>
        <v>0</v>
      </c>
      <c r="BF9" s="1">
        <f>MIN(BF2:BF4)</f>
        <v>0</v>
      </c>
      <c r="BG9" s="1">
        <f>MIN(BG2:BG4)</f>
        <v>0</v>
      </c>
      <c r="BH9" s="1">
        <f>MIN(BH2:BH4)</f>
        <v>0</v>
      </c>
      <c r="BI9" s="1">
        <f>MIN(BI2:BI4)</f>
        <v>0</v>
      </c>
      <c r="BJ9" s="1">
        <f>MIN(BJ2:BJ4)</f>
        <v>0</v>
      </c>
      <c r="BK9" s="1">
        <f>MIN(BK2:BK4)</f>
        <v>0</v>
      </c>
      <c r="BL9" s="1">
        <f>MIN(BL2:BL4)</f>
        <v>0</v>
      </c>
      <c r="BM9" s="1">
        <f>MIN(BM2:BM4)</f>
        <v>0</v>
      </c>
      <c r="BN9" s="1">
        <f>MIN(BN2:BN4)</f>
        <v>0</v>
      </c>
      <c r="BO9" s="1">
        <f>MIN(BO2:BO4)</f>
        <v>0</v>
      </c>
      <c r="BP9" s="1">
        <f>MIN(BP2:BP4)</f>
        <v>0</v>
      </c>
      <c r="BQ9" s="1"/>
      <c r="BR9" s="1"/>
      <c r="BS9" s="17"/>
      <c r="BT9" s="17"/>
    </row>
    <row r="10" spans="1:74">
      <c r="A10" s="1"/>
      <c r="B10" s="3" t="s">
        <v>86</v>
      </c>
      <c r="C10" s="1"/>
      <c r="D10" s="1"/>
      <c r="E10" s="1">
        <f t="shared" ref="E10:AJ10" si="5">E6-E8</f>
        <v>29</v>
      </c>
      <c r="F10" s="1">
        <f t="shared" si="5"/>
        <v>151</v>
      </c>
      <c r="G10" s="1">
        <f t="shared" si="5"/>
        <v>6</v>
      </c>
      <c r="H10" s="1">
        <f t="shared" si="5"/>
        <v>22</v>
      </c>
      <c r="I10" s="1">
        <f t="shared" si="5"/>
        <v>197</v>
      </c>
      <c r="J10" s="1">
        <f t="shared" si="5"/>
        <v>160</v>
      </c>
      <c r="K10" s="1">
        <f t="shared" si="5"/>
        <v>138</v>
      </c>
      <c r="L10" s="1">
        <f t="shared" si="5"/>
        <v>162</v>
      </c>
      <c r="M10" s="1">
        <f t="shared" si="5"/>
        <v>154</v>
      </c>
      <c r="N10" s="1">
        <f t="shared" si="5"/>
        <v>275</v>
      </c>
      <c r="O10" s="1">
        <f t="shared" si="5"/>
        <v>181</v>
      </c>
      <c r="P10" s="1">
        <f t="shared" si="5"/>
        <v>1513</v>
      </c>
      <c r="Q10" s="1">
        <f t="shared" si="5"/>
        <v>692</v>
      </c>
      <c r="R10" s="1">
        <f t="shared" si="5"/>
        <v>0</v>
      </c>
      <c r="S10" s="1">
        <f t="shared" si="5"/>
        <v>1556</v>
      </c>
      <c r="T10" s="1">
        <f t="shared" si="5"/>
        <v>614</v>
      </c>
      <c r="U10" s="1">
        <f t="shared" si="5"/>
        <v>105</v>
      </c>
      <c r="V10" s="1">
        <f t="shared" si="5"/>
        <v>1582</v>
      </c>
      <c r="W10" s="1">
        <f t="shared" si="5"/>
        <v>534</v>
      </c>
      <c r="X10" s="1">
        <f t="shared" si="5"/>
        <v>1</v>
      </c>
      <c r="Y10" s="1">
        <f t="shared" si="5"/>
        <v>1577</v>
      </c>
      <c r="Z10" s="1">
        <f t="shared" si="5"/>
        <v>688</v>
      </c>
      <c r="AA10" s="1">
        <f t="shared" si="5"/>
        <v>27</v>
      </c>
      <c r="AB10" s="1">
        <f t="shared" si="5"/>
        <v>1571</v>
      </c>
      <c r="AC10" s="1">
        <f t="shared" si="5"/>
        <v>700</v>
      </c>
      <c r="AD10" s="1">
        <f t="shared" si="5"/>
        <v>42</v>
      </c>
      <c r="AE10" s="1">
        <f t="shared" si="5"/>
        <v>-133</v>
      </c>
      <c r="AF10" s="1">
        <f t="shared" si="5"/>
        <v>25</v>
      </c>
      <c r="AG10" s="1">
        <f t="shared" si="5"/>
        <v>28</v>
      </c>
      <c r="AH10" s="1">
        <f t="shared" si="5"/>
        <v>0</v>
      </c>
      <c r="AI10" s="1">
        <f t="shared" si="5"/>
        <v>4</v>
      </c>
      <c r="AJ10" s="1">
        <f t="shared" si="5"/>
        <v>13</v>
      </c>
      <c r="AK10" s="1">
        <f t="shared" ref="AK10:BP10" si="6">AK6-AK8</f>
        <v>23</v>
      </c>
      <c r="AL10" s="1">
        <f t="shared" si="6"/>
        <v>33</v>
      </c>
      <c r="AM10" s="1">
        <f t="shared" si="6"/>
        <v>0</v>
      </c>
      <c r="AN10" s="1">
        <f t="shared" si="6"/>
        <v>11</v>
      </c>
      <c r="AO10" s="1">
        <f t="shared" si="6"/>
        <v>0</v>
      </c>
      <c r="AP10" s="1">
        <f t="shared" si="6"/>
        <v>8</v>
      </c>
      <c r="AQ10" s="1">
        <f t="shared" si="6"/>
        <v>33</v>
      </c>
      <c r="AR10" s="1">
        <f t="shared" si="6"/>
        <v>39</v>
      </c>
      <c r="AS10" s="1">
        <f t="shared" si="6"/>
        <v>57</v>
      </c>
      <c r="AT10" s="1">
        <f t="shared" si="6"/>
        <v>23</v>
      </c>
      <c r="AU10" s="1">
        <f t="shared" si="6"/>
        <v>30</v>
      </c>
      <c r="AV10" s="1">
        <f t="shared" si="6"/>
        <v>13</v>
      </c>
      <c r="AW10" s="1">
        <f t="shared" si="6"/>
        <v>25</v>
      </c>
      <c r="AX10" s="1">
        <f t="shared" si="6"/>
        <v>27</v>
      </c>
      <c r="AY10" s="1">
        <f t="shared" si="6"/>
        <v>50</v>
      </c>
      <c r="AZ10" s="1">
        <f t="shared" si="6"/>
        <v>33</v>
      </c>
      <c r="BA10" s="1">
        <f t="shared" si="6"/>
        <v>23</v>
      </c>
      <c r="BB10" s="1">
        <f t="shared" si="6"/>
        <v>12</v>
      </c>
      <c r="BC10" s="1">
        <f t="shared" si="6"/>
        <v>-1</v>
      </c>
      <c r="BD10" s="1">
        <f t="shared" si="6"/>
        <v>109</v>
      </c>
      <c r="BE10" s="1">
        <f t="shared" si="6"/>
        <v>255</v>
      </c>
      <c r="BF10" s="1">
        <f t="shared" si="6"/>
        <v>396</v>
      </c>
      <c r="BG10" s="1">
        <f t="shared" si="6"/>
        <v>312</v>
      </c>
      <c r="BH10" s="1">
        <f t="shared" si="6"/>
        <v>330</v>
      </c>
      <c r="BI10" s="1">
        <f t="shared" si="6"/>
        <v>162</v>
      </c>
      <c r="BJ10" s="1">
        <f t="shared" si="6"/>
        <v>195</v>
      </c>
      <c r="BK10" s="1">
        <f t="shared" si="6"/>
        <v>131</v>
      </c>
      <c r="BL10" s="1">
        <f t="shared" si="6"/>
        <v>127</v>
      </c>
      <c r="BM10" s="1">
        <f t="shared" si="6"/>
        <v>324</v>
      </c>
      <c r="BN10" s="1">
        <f t="shared" si="6"/>
        <v>141</v>
      </c>
      <c r="BO10" s="1">
        <f t="shared" si="6"/>
        <v>36</v>
      </c>
      <c r="BP10" s="1">
        <f t="shared" si="6"/>
        <v>217</v>
      </c>
      <c r="BQ10" s="1"/>
      <c r="BR10" s="1"/>
      <c r="BS10" s="17"/>
      <c r="BT10" s="17"/>
    </row>
    <row r="11" spans="1:74" s="13" customFormat="1">
      <c r="A11" s="1"/>
      <c r="B11" s="3" t="s">
        <v>87</v>
      </c>
      <c r="C11" s="1"/>
      <c r="D11" s="1"/>
      <c r="E11" s="1">
        <f t="shared" ref="E11:AJ11" si="7">E6-E9</f>
        <v>29</v>
      </c>
      <c r="F11" s="1">
        <f t="shared" si="7"/>
        <v>151</v>
      </c>
      <c r="G11" s="1">
        <f t="shared" si="7"/>
        <v>6</v>
      </c>
      <c r="H11" s="1">
        <f t="shared" si="7"/>
        <v>22</v>
      </c>
      <c r="I11" s="1">
        <f t="shared" si="7"/>
        <v>197</v>
      </c>
      <c r="J11" s="1">
        <f t="shared" si="7"/>
        <v>160</v>
      </c>
      <c r="K11" s="1">
        <f t="shared" si="7"/>
        <v>138</v>
      </c>
      <c r="L11" s="1">
        <f t="shared" si="7"/>
        <v>162</v>
      </c>
      <c r="M11" s="1">
        <f t="shared" si="7"/>
        <v>154</v>
      </c>
      <c r="N11" s="1">
        <f t="shared" si="7"/>
        <v>275</v>
      </c>
      <c r="O11" s="1">
        <f t="shared" si="7"/>
        <v>181</v>
      </c>
      <c r="P11" s="1">
        <f t="shared" si="7"/>
        <v>1513</v>
      </c>
      <c r="Q11" s="1">
        <f t="shared" si="7"/>
        <v>692</v>
      </c>
      <c r="R11" s="1">
        <f t="shared" si="7"/>
        <v>0</v>
      </c>
      <c r="S11" s="1">
        <f t="shared" si="7"/>
        <v>1556</v>
      </c>
      <c r="T11" s="1">
        <f t="shared" si="7"/>
        <v>614</v>
      </c>
      <c r="U11" s="1">
        <f t="shared" si="7"/>
        <v>105</v>
      </c>
      <c r="V11" s="1">
        <f t="shared" si="7"/>
        <v>1582</v>
      </c>
      <c r="W11" s="1">
        <f t="shared" si="7"/>
        <v>534</v>
      </c>
      <c r="X11" s="1">
        <f t="shared" si="7"/>
        <v>1</v>
      </c>
      <c r="Y11" s="1">
        <f t="shared" si="7"/>
        <v>1577</v>
      </c>
      <c r="Z11" s="1">
        <f t="shared" si="7"/>
        <v>688</v>
      </c>
      <c r="AA11" s="1">
        <f t="shared" si="7"/>
        <v>27</v>
      </c>
      <c r="AB11" s="1">
        <f t="shared" si="7"/>
        <v>1571</v>
      </c>
      <c r="AC11" s="1">
        <f t="shared" si="7"/>
        <v>700</v>
      </c>
      <c r="AD11" s="1">
        <f t="shared" si="7"/>
        <v>42</v>
      </c>
      <c r="AE11" s="1">
        <f t="shared" si="7"/>
        <v>-133</v>
      </c>
      <c r="AF11" s="1">
        <f t="shared" si="7"/>
        <v>25</v>
      </c>
      <c r="AG11" s="1">
        <f t="shared" si="7"/>
        <v>28</v>
      </c>
      <c r="AH11" s="1">
        <f t="shared" si="7"/>
        <v>0</v>
      </c>
      <c r="AI11" s="1">
        <f t="shared" si="7"/>
        <v>4</v>
      </c>
      <c r="AJ11" s="1">
        <f t="shared" si="7"/>
        <v>13</v>
      </c>
      <c r="AK11" s="1">
        <f t="shared" ref="AK11:BP11" si="8">AK6-AK9</f>
        <v>23</v>
      </c>
      <c r="AL11" s="1">
        <f t="shared" si="8"/>
        <v>33</v>
      </c>
      <c r="AM11" s="1">
        <f t="shared" si="8"/>
        <v>0</v>
      </c>
      <c r="AN11" s="1">
        <f t="shared" si="8"/>
        <v>11</v>
      </c>
      <c r="AO11" s="1">
        <f t="shared" si="8"/>
        <v>0</v>
      </c>
      <c r="AP11" s="1">
        <f t="shared" si="8"/>
        <v>8</v>
      </c>
      <c r="AQ11" s="1">
        <f t="shared" si="8"/>
        <v>33</v>
      </c>
      <c r="AR11" s="1">
        <f t="shared" si="8"/>
        <v>39</v>
      </c>
      <c r="AS11" s="1">
        <f t="shared" si="8"/>
        <v>57</v>
      </c>
      <c r="AT11" s="1">
        <f t="shared" si="8"/>
        <v>23</v>
      </c>
      <c r="AU11" s="1">
        <f t="shared" si="8"/>
        <v>30</v>
      </c>
      <c r="AV11" s="1">
        <f t="shared" si="8"/>
        <v>13</v>
      </c>
      <c r="AW11" s="1">
        <f t="shared" si="8"/>
        <v>25</v>
      </c>
      <c r="AX11" s="1">
        <f t="shared" si="8"/>
        <v>27</v>
      </c>
      <c r="AY11" s="1">
        <f t="shared" si="8"/>
        <v>50</v>
      </c>
      <c r="AZ11" s="1">
        <f t="shared" si="8"/>
        <v>33</v>
      </c>
      <c r="BA11" s="1">
        <f t="shared" si="8"/>
        <v>23</v>
      </c>
      <c r="BB11" s="1">
        <f t="shared" si="8"/>
        <v>12</v>
      </c>
      <c r="BC11" s="1">
        <f t="shared" si="8"/>
        <v>-1</v>
      </c>
      <c r="BD11" s="1">
        <f t="shared" si="8"/>
        <v>109</v>
      </c>
      <c r="BE11" s="1">
        <f t="shared" si="8"/>
        <v>255</v>
      </c>
      <c r="BF11" s="1">
        <f t="shared" si="8"/>
        <v>396</v>
      </c>
      <c r="BG11" s="1">
        <f t="shared" si="8"/>
        <v>312</v>
      </c>
      <c r="BH11" s="1">
        <f t="shared" si="8"/>
        <v>330</v>
      </c>
      <c r="BI11" s="1">
        <f t="shared" si="8"/>
        <v>162</v>
      </c>
      <c r="BJ11" s="1">
        <f t="shared" si="8"/>
        <v>195</v>
      </c>
      <c r="BK11" s="1">
        <f t="shared" si="8"/>
        <v>131</v>
      </c>
      <c r="BL11" s="1">
        <f t="shared" si="8"/>
        <v>127</v>
      </c>
      <c r="BM11" s="1">
        <f t="shared" si="8"/>
        <v>324</v>
      </c>
      <c r="BN11" s="1">
        <f t="shared" si="8"/>
        <v>141</v>
      </c>
      <c r="BO11" s="1">
        <f t="shared" si="8"/>
        <v>36</v>
      </c>
      <c r="BP11" s="1">
        <f t="shared" si="8"/>
        <v>217</v>
      </c>
      <c r="BQ11" s="1"/>
      <c r="BR11" s="1"/>
      <c r="BS11" s="17"/>
      <c r="BT11" s="17"/>
    </row>
    <row r="12" spans="1:74">
      <c r="AQ12" s="7" t="s">
        <v>101</v>
      </c>
      <c r="AR12" s="7" t="s">
        <v>104</v>
      </c>
      <c r="AS12" s="7" t="s">
        <v>105</v>
      </c>
      <c r="AT12" s="7" t="s">
        <v>102</v>
      </c>
      <c r="AU12" s="7" t="s">
        <v>103</v>
      </c>
      <c r="AV12" s="7" t="s">
        <v>100</v>
      </c>
      <c r="AW12" s="7" t="s">
        <v>106</v>
      </c>
      <c r="AX12" s="7" t="s">
        <v>107</v>
      </c>
      <c r="AY12" s="7" t="s">
        <v>108</v>
      </c>
      <c r="AZ12" s="7" t="s">
        <v>109</v>
      </c>
      <c r="BA12" s="7" t="s">
        <v>110</v>
      </c>
      <c r="BB12" s="7" t="s">
        <v>111</v>
      </c>
    </row>
  </sheetData>
  <autoFilter ref="A1:BV12">
    <sortState ref="A2:BV18">
      <sortCondition ref="BS2:BS18"/>
      <sortCondition ref="BR2:BR18"/>
    </sortState>
  </autoFilter>
  <sortState ref="A2:CT148">
    <sortCondition ref="BS2:BS148"/>
    <sortCondition ref="BR2:BR148"/>
  </sortState>
  <phoneticPr fontId="1" type="noConversion"/>
  <conditionalFormatting sqref="E8:BC8 BE8:BP8">
    <cfRule type="expression" dxfId="13" priority="13">
      <formula>"&lt;=$E$135"</formula>
    </cfRule>
  </conditionalFormatting>
  <conditionalFormatting sqref="E10:BC11 BE10:BP11">
    <cfRule type="cellIs" dxfId="12" priority="4" operator="lessThan">
      <formula>0</formula>
    </cfRule>
  </conditionalFormatting>
  <conditionalFormatting sqref="E7:BC7 BE7:BP7">
    <cfRule type="cellIs" dxfId="11" priority="5" operator="lessThan">
      <formula>0</formula>
    </cfRule>
  </conditionalFormatting>
  <conditionalFormatting sqref="BD8">
    <cfRule type="expression" dxfId="10" priority="3">
      <formula>"&lt;=$E$135"</formula>
    </cfRule>
  </conditionalFormatting>
  <conditionalFormatting sqref="BD10:BD11">
    <cfRule type="cellIs" dxfId="9" priority="1" operator="lessThan">
      <formula>0</formula>
    </cfRule>
  </conditionalFormatting>
  <conditionalFormatting sqref="BD7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11</xdr:row>
                    <xdr:rowOff>28575</xdr:rowOff>
                  </from>
                  <to>
                    <xdr:col>1</xdr:col>
                    <xdr:colOff>428625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38" t="s">
        <v>51</v>
      </c>
      <c r="B1" s="38" t="s">
        <v>52</v>
      </c>
      <c r="C1" s="38" t="s">
        <v>54</v>
      </c>
      <c r="D1" s="38" t="s">
        <v>53</v>
      </c>
      <c r="E1" s="39" t="s">
        <v>1</v>
      </c>
      <c r="F1" s="39" t="s">
        <v>2</v>
      </c>
      <c r="G1" s="39" t="s">
        <v>10</v>
      </c>
      <c r="H1" s="39" t="s">
        <v>18</v>
      </c>
      <c r="I1" s="39" t="s">
        <v>19</v>
      </c>
      <c r="J1" s="39" t="s">
        <v>50</v>
      </c>
      <c r="K1" s="39" t="s">
        <v>20</v>
      </c>
      <c r="L1" s="39" t="s">
        <v>33</v>
      </c>
      <c r="M1" s="39" t="s">
        <v>35</v>
      </c>
      <c r="N1" s="39" t="s">
        <v>38</v>
      </c>
      <c r="O1" s="39" t="s">
        <v>34</v>
      </c>
      <c r="P1" s="40" t="s">
        <v>69</v>
      </c>
      <c r="Q1" s="40" t="s">
        <v>80</v>
      </c>
      <c r="R1" s="40" t="s">
        <v>75</v>
      </c>
      <c r="S1" s="40" t="s">
        <v>70</v>
      </c>
      <c r="T1" s="40" t="s">
        <v>78</v>
      </c>
      <c r="U1" s="40" t="s">
        <v>81</v>
      </c>
      <c r="V1" s="40" t="s">
        <v>71</v>
      </c>
      <c r="W1" s="40" t="s">
        <v>77</v>
      </c>
      <c r="X1" s="40" t="s">
        <v>76</v>
      </c>
      <c r="Y1" s="40" t="s">
        <v>72</v>
      </c>
      <c r="Z1" s="40" t="s">
        <v>79</v>
      </c>
      <c r="AA1" s="40" t="s">
        <v>82</v>
      </c>
      <c r="AB1" s="40" t="s">
        <v>74</v>
      </c>
      <c r="AC1" s="40" t="s">
        <v>73</v>
      </c>
      <c r="AD1" s="40" t="s">
        <v>83</v>
      </c>
      <c r="AE1" s="38" t="s">
        <v>7</v>
      </c>
      <c r="AF1" s="38" t="s">
        <v>23</v>
      </c>
      <c r="AG1" s="38" t="s">
        <v>24</v>
      </c>
      <c r="AH1" s="38" t="s">
        <v>45</v>
      </c>
      <c r="AI1" s="38" t="s">
        <v>46</v>
      </c>
      <c r="AJ1" s="38" t="s">
        <v>47</v>
      </c>
      <c r="AK1" s="38" t="s">
        <v>48</v>
      </c>
      <c r="AL1" s="38" t="s">
        <v>49</v>
      </c>
      <c r="AM1" s="38" t="s">
        <v>39</v>
      </c>
      <c r="AN1" s="38" t="s">
        <v>40</v>
      </c>
      <c r="AO1" s="38" t="s">
        <v>67</v>
      </c>
      <c r="AP1" s="38" t="s">
        <v>68</v>
      </c>
      <c r="AQ1" s="41" t="s">
        <v>31</v>
      </c>
      <c r="AR1" s="41" t="s">
        <v>3</v>
      </c>
      <c r="AS1" s="41" t="s">
        <v>22</v>
      </c>
      <c r="AT1" s="41" t="s">
        <v>41</v>
      </c>
      <c r="AU1" s="41" t="s">
        <v>43</v>
      </c>
      <c r="AV1" s="41" t="s">
        <v>37</v>
      </c>
      <c r="AW1" s="42" t="s">
        <v>4</v>
      </c>
      <c r="AX1" s="42" t="s">
        <v>5</v>
      </c>
      <c r="AY1" s="42" t="s">
        <v>32</v>
      </c>
      <c r="AZ1" s="42" t="s">
        <v>6</v>
      </c>
      <c r="BA1" s="42" t="s">
        <v>36</v>
      </c>
      <c r="BB1" s="42" t="s">
        <v>9</v>
      </c>
      <c r="BC1" s="43" t="s">
        <v>66</v>
      </c>
      <c r="BD1" s="38" t="s">
        <v>116</v>
      </c>
      <c r="BE1" s="38" t="s">
        <v>14</v>
      </c>
      <c r="BF1" s="38" t="s">
        <v>13</v>
      </c>
      <c r="BG1" s="38" t="s">
        <v>11</v>
      </c>
      <c r="BH1" s="38" t="s">
        <v>12</v>
      </c>
      <c r="BI1" s="38" t="s">
        <v>15</v>
      </c>
      <c r="BJ1" s="38" t="s">
        <v>16</v>
      </c>
      <c r="BK1" s="38" t="s">
        <v>25</v>
      </c>
      <c r="BL1" s="38" t="s">
        <v>26</v>
      </c>
      <c r="BM1" s="38" t="s">
        <v>27</v>
      </c>
      <c r="BN1" s="38" t="s">
        <v>28</v>
      </c>
      <c r="BO1" s="38" t="s">
        <v>29</v>
      </c>
      <c r="BP1" s="38" t="s">
        <v>30</v>
      </c>
      <c r="BQ1" s="44" t="s">
        <v>58</v>
      </c>
      <c r="BR1" s="38" t="s">
        <v>59</v>
      </c>
      <c r="BS1" s="45" t="s">
        <v>60</v>
      </c>
      <c r="BT1" s="45"/>
      <c r="BU1" s="46" t="s">
        <v>115</v>
      </c>
      <c r="BV1" s="46"/>
    </row>
    <row r="2" spans="1:74" s="53" customFormat="1">
      <c r="A2" s="51"/>
      <c r="B2" s="52" t="s">
        <v>113</v>
      </c>
      <c r="C2" s="52" t="s">
        <v>21</v>
      </c>
      <c r="D2" s="51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>
        <f t="shared" ref="BQ2:BQ3" si="0">SUM(E2:BP2)</f>
        <v>35</v>
      </c>
      <c r="BR2" s="51">
        <v>2</v>
      </c>
      <c r="BS2" s="22">
        <v>1</v>
      </c>
      <c r="BT2" s="22" t="s">
        <v>120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1"/>
      <c r="B3" s="52" t="s">
        <v>113</v>
      </c>
      <c r="C3" s="52" t="s">
        <v>21</v>
      </c>
      <c r="D3" s="51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>
        <f t="shared" si="0"/>
        <v>17</v>
      </c>
      <c r="BR3" s="51">
        <v>7</v>
      </c>
      <c r="BS3" s="22">
        <v>2</v>
      </c>
      <c r="BT3" s="22" t="s">
        <v>118</v>
      </c>
      <c r="BU3" s="23">
        <f t="shared" si="1"/>
        <v>17</v>
      </c>
      <c r="BV3" s="23">
        <f t="shared" si="2"/>
        <v>0</v>
      </c>
    </row>
    <row r="4" spans="1:74" s="23" customFormat="1" ht="27">
      <c r="A4" s="51"/>
      <c r="B4" s="52" t="s">
        <v>113</v>
      </c>
      <c r="C4" s="52" t="s">
        <v>21</v>
      </c>
      <c r="D4" s="51" t="s">
        <v>112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>
        <f t="shared" ref="BQ4:BQ5" si="3">SUM(E4:BP4)</f>
        <v>40</v>
      </c>
      <c r="BR4" s="51">
        <v>19</v>
      </c>
      <c r="BS4" s="22">
        <v>2</v>
      </c>
      <c r="BT4" s="22" t="s">
        <v>119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1"/>
      <c r="B5" s="52" t="s">
        <v>117</v>
      </c>
      <c r="C5" s="52" t="s">
        <v>114</v>
      </c>
      <c r="D5" s="51" t="s">
        <v>112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>
        <f t="shared" si="3"/>
        <v>40</v>
      </c>
      <c r="BR5" s="51">
        <v>30</v>
      </c>
      <c r="BS5" s="22">
        <v>3</v>
      </c>
      <c r="BT5" s="22" t="s">
        <v>121</v>
      </c>
      <c r="BU5" s="23">
        <f t="shared" si="4"/>
        <v>20</v>
      </c>
      <c r="BV5" s="23">
        <f t="shared" si="5"/>
        <v>0</v>
      </c>
    </row>
    <row r="6" spans="1:74">
      <c r="A6" s="47"/>
      <c r="B6" s="47" t="s">
        <v>44</v>
      </c>
      <c r="C6" s="47"/>
      <c r="D6" s="47"/>
      <c r="E6" s="29">
        <f t="shared" ref="E6:AJ6" si="6">SUM(E2:E5)</f>
        <v>0</v>
      </c>
      <c r="F6" s="29">
        <f t="shared" si="6"/>
        <v>0</v>
      </c>
      <c r="G6" s="29">
        <f t="shared" si="6"/>
        <v>10</v>
      </c>
      <c r="H6" s="29">
        <f t="shared" si="6"/>
        <v>0</v>
      </c>
      <c r="I6" s="29">
        <f t="shared" si="6"/>
        <v>0</v>
      </c>
      <c r="J6" s="29">
        <f t="shared" si="6"/>
        <v>0</v>
      </c>
      <c r="K6" s="29">
        <f t="shared" si="6"/>
        <v>0</v>
      </c>
      <c r="L6" s="29">
        <f t="shared" si="6"/>
        <v>0</v>
      </c>
      <c r="M6" s="29">
        <f t="shared" si="6"/>
        <v>10</v>
      </c>
      <c r="N6" s="29">
        <f t="shared" si="6"/>
        <v>0</v>
      </c>
      <c r="O6" s="29">
        <f t="shared" si="6"/>
        <v>0</v>
      </c>
      <c r="P6" s="30">
        <f t="shared" si="6"/>
        <v>10</v>
      </c>
      <c r="Q6" s="30">
        <f t="shared" si="6"/>
        <v>5</v>
      </c>
      <c r="R6" s="30">
        <f t="shared" si="6"/>
        <v>0</v>
      </c>
      <c r="S6" s="30">
        <f t="shared" si="6"/>
        <v>10</v>
      </c>
      <c r="T6" s="30">
        <f t="shared" si="6"/>
        <v>5</v>
      </c>
      <c r="U6" s="30">
        <f t="shared" si="6"/>
        <v>0</v>
      </c>
      <c r="V6" s="30">
        <f t="shared" si="6"/>
        <v>0</v>
      </c>
      <c r="W6" s="30">
        <f t="shared" si="6"/>
        <v>5</v>
      </c>
      <c r="X6" s="30">
        <f t="shared" si="6"/>
        <v>12</v>
      </c>
      <c r="Y6" s="30">
        <f t="shared" si="6"/>
        <v>0</v>
      </c>
      <c r="Z6" s="30">
        <f t="shared" si="6"/>
        <v>5</v>
      </c>
      <c r="AA6" s="30">
        <f t="shared" si="6"/>
        <v>10</v>
      </c>
      <c r="AB6" s="30">
        <f t="shared" si="6"/>
        <v>10</v>
      </c>
      <c r="AC6" s="30">
        <f t="shared" si="6"/>
        <v>0</v>
      </c>
      <c r="AD6" s="30">
        <f t="shared" si="6"/>
        <v>20</v>
      </c>
      <c r="AE6" s="47">
        <f t="shared" si="6"/>
        <v>0</v>
      </c>
      <c r="AF6" s="47">
        <f t="shared" si="6"/>
        <v>0</v>
      </c>
      <c r="AG6" s="47">
        <f t="shared" si="6"/>
        <v>0</v>
      </c>
      <c r="AH6" s="47">
        <f t="shared" si="6"/>
        <v>0</v>
      </c>
      <c r="AI6" s="47">
        <f t="shared" si="6"/>
        <v>0</v>
      </c>
      <c r="AJ6" s="47">
        <f t="shared" si="6"/>
        <v>0</v>
      </c>
      <c r="AK6" s="47">
        <f t="shared" ref="AK6:BP6" si="7">SUM(AK2:AK5)</f>
        <v>0</v>
      </c>
      <c r="AL6" s="47">
        <f t="shared" si="7"/>
        <v>0</v>
      </c>
      <c r="AM6" s="47">
        <f t="shared" si="7"/>
        <v>0</v>
      </c>
      <c r="AN6" s="47">
        <f t="shared" si="7"/>
        <v>0</v>
      </c>
      <c r="AO6" s="47">
        <f t="shared" si="7"/>
        <v>0</v>
      </c>
      <c r="AP6" s="47">
        <f t="shared" si="7"/>
        <v>0</v>
      </c>
      <c r="AQ6" s="31">
        <f t="shared" si="7"/>
        <v>0</v>
      </c>
      <c r="AR6" s="31">
        <f t="shared" si="7"/>
        <v>0</v>
      </c>
      <c r="AS6" s="31">
        <f t="shared" si="7"/>
        <v>10</v>
      </c>
      <c r="AT6" s="31">
        <f t="shared" si="7"/>
        <v>0</v>
      </c>
      <c r="AU6" s="31">
        <f t="shared" si="7"/>
        <v>0</v>
      </c>
      <c r="AV6" s="31">
        <f t="shared" si="7"/>
        <v>10</v>
      </c>
      <c r="AW6" s="32">
        <f t="shared" si="7"/>
        <v>0</v>
      </c>
      <c r="AX6" s="32">
        <f t="shared" si="7"/>
        <v>0</v>
      </c>
      <c r="AY6" s="32">
        <f t="shared" si="7"/>
        <v>0</v>
      </c>
      <c r="AZ6" s="32">
        <f t="shared" si="7"/>
        <v>0</v>
      </c>
      <c r="BA6" s="32">
        <f t="shared" si="7"/>
        <v>0</v>
      </c>
      <c r="BB6" s="32">
        <f t="shared" si="7"/>
        <v>0</v>
      </c>
      <c r="BC6" s="47">
        <f t="shared" si="7"/>
        <v>0</v>
      </c>
      <c r="BD6" s="47">
        <f t="shared" si="7"/>
        <v>0</v>
      </c>
      <c r="BE6" s="47">
        <f t="shared" si="7"/>
        <v>0</v>
      </c>
      <c r="BF6" s="47">
        <f t="shared" si="7"/>
        <v>0</v>
      </c>
      <c r="BG6" s="47">
        <f t="shared" si="7"/>
        <v>0</v>
      </c>
      <c r="BH6" s="47">
        <f t="shared" si="7"/>
        <v>0</v>
      </c>
      <c r="BI6" s="47">
        <f t="shared" si="7"/>
        <v>0</v>
      </c>
      <c r="BJ6" s="47">
        <f t="shared" si="7"/>
        <v>0</v>
      </c>
      <c r="BK6" s="47">
        <f t="shared" si="7"/>
        <v>0</v>
      </c>
      <c r="BL6" s="47">
        <f t="shared" si="7"/>
        <v>0</v>
      </c>
      <c r="BM6" s="47">
        <f t="shared" si="7"/>
        <v>0</v>
      </c>
      <c r="BN6" s="47">
        <f t="shared" si="7"/>
        <v>0</v>
      </c>
      <c r="BO6" s="47">
        <f t="shared" si="7"/>
        <v>0</v>
      </c>
      <c r="BP6" s="47">
        <f t="shared" si="7"/>
        <v>0</v>
      </c>
      <c r="BQ6" s="47"/>
      <c r="BR6" s="47"/>
      <c r="BS6" s="34"/>
      <c r="BT6" s="34"/>
      <c r="BU6" s="35"/>
      <c r="BV6" s="35"/>
    </row>
    <row r="7" spans="1:74">
      <c r="A7" s="47"/>
      <c r="B7" s="48" t="s">
        <v>57</v>
      </c>
      <c r="C7" s="47"/>
      <c r="D7" s="47"/>
      <c r="E7" s="47">
        <v>14</v>
      </c>
      <c r="F7" s="47">
        <v>67</v>
      </c>
      <c r="G7" s="47">
        <v>0</v>
      </c>
      <c r="H7" s="47">
        <v>0</v>
      </c>
      <c r="I7" s="47">
        <v>130</v>
      </c>
      <c r="J7" s="47">
        <v>130</v>
      </c>
      <c r="K7" s="47">
        <v>102</v>
      </c>
      <c r="L7" s="47">
        <v>86</v>
      </c>
      <c r="M7" s="47">
        <v>93</v>
      </c>
      <c r="N7" s="47">
        <v>153</v>
      </c>
      <c r="O7" s="47">
        <v>77</v>
      </c>
      <c r="P7" s="33">
        <v>268</v>
      </c>
      <c r="Q7" s="33">
        <v>97</v>
      </c>
      <c r="R7" s="33">
        <v>30</v>
      </c>
      <c r="S7" s="33">
        <v>328</v>
      </c>
      <c r="T7" s="33">
        <v>114</v>
      </c>
      <c r="U7" s="33">
        <v>31</v>
      </c>
      <c r="V7" s="33">
        <v>229</v>
      </c>
      <c r="W7" s="33">
        <v>100</v>
      </c>
      <c r="X7" s="33">
        <v>22</v>
      </c>
      <c r="Y7" s="33">
        <v>223</v>
      </c>
      <c r="Z7" s="33">
        <v>108</v>
      </c>
      <c r="AA7" s="33">
        <v>23</v>
      </c>
      <c r="AB7" s="33">
        <v>315</v>
      </c>
      <c r="AC7" s="33">
        <v>87</v>
      </c>
      <c r="AD7" s="33">
        <v>18</v>
      </c>
      <c r="AE7" s="47">
        <v>28</v>
      </c>
      <c r="AF7" s="47">
        <v>3</v>
      </c>
      <c r="AG7" s="47">
        <v>3</v>
      </c>
      <c r="AH7" s="47">
        <v>0</v>
      </c>
      <c r="AI7" s="47">
        <v>0</v>
      </c>
      <c r="AJ7" s="47">
        <v>0</v>
      </c>
      <c r="AK7" s="47">
        <v>23</v>
      </c>
      <c r="AL7" s="47">
        <v>33</v>
      </c>
      <c r="AM7" s="47">
        <v>0</v>
      </c>
      <c r="AN7" s="47">
        <v>7</v>
      </c>
      <c r="AO7" s="47">
        <v>2</v>
      </c>
      <c r="AP7" s="47">
        <v>6</v>
      </c>
      <c r="AQ7" s="33">
        <v>66</v>
      </c>
      <c r="AR7" s="33">
        <v>25</v>
      </c>
      <c r="AS7" s="33">
        <v>56</v>
      </c>
      <c r="AT7" s="33">
        <v>40</v>
      </c>
      <c r="AU7" s="33">
        <v>31</v>
      </c>
      <c r="AV7" s="33">
        <v>146</v>
      </c>
      <c r="AW7" s="33">
        <v>34</v>
      </c>
      <c r="AX7" s="33">
        <v>58</v>
      </c>
      <c r="AY7" s="33">
        <v>0</v>
      </c>
      <c r="AZ7" s="33">
        <v>6</v>
      </c>
      <c r="BA7" s="33">
        <v>15</v>
      </c>
      <c r="BB7" s="33">
        <v>14</v>
      </c>
      <c r="BC7" s="33">
        <v>3</v>
      </c>
      <c r="BD7" s="47">
        <v>2</v>
      </c>
      <c r="BE7" s="47">
        <v>255</v>
      </c>
      <c r="BF7" s="47">
        <v>396</v>
      </c>
      <c r="BG7" s="47">
        <v>312</v>
      </c>
      <c r="BH7" s="47">
        <v>330</v>
      </c>
      <c r="BI7" s="47">
        <v>162</v>
      </c>
      <c r="BJ7" s="47">
        <v>195</v>
      </c>
      <c r="BK7" s="47">
        <v>131</v>
      </c>
      <c r="BL7" s="47">
        <v>127</v>
      </c>
      <c r="BM7" s="47">
        <v>241</v>
      </c>
      <c r="BN7" s="47">
        <v>101</v>
      </c>
      <c r="BO7" s="47">
        <v>3</v>
      </c>
      <c r="BP7" s="47">
        <v>73</v>
      </c>
      <c r="BQ7" s="47"/>
      <c r="BR7" s="47"/>
      <c r="BS7" s="34"/>
      <c r="BT7" s="34"/>
      <c r="BU7" s="35"/>
      <c r="BV7" s="35"/>
    </row>
    <row r="8" spans="1:74">
      <c r="A8" s="47"/>
      <c r="B8" s="48" t="s">
        <v>64</v>
      </c>
      <c r="C8" s="47"/>
      <c r="D8" s="47"/>
      <c r="E8" s="47">
        <f t="shared" ref="E8:BP8" si="8">E7-E6</f>
        <v>14</v>
      </c>
      <c r="F8" s="47">
        <f t="shared" si="8"/>
        <v>67</v>
      </c>
      <c r="G8" s="47">
        <f t="shared" si="8"/>
        <v>-10</v>
      </c>
      <c r="H8" s="47">
        <f t="shared" si="8"/>
        <v>0</v>
      </c>
      <c r="I8" s="47">
        <f t="shared" si="8"/>
        <v>130</v>
      </c>
      <c r="J8" s="47">
        <f t="shared" si="8"/>
        <v>130</v>
      </c>
      <c r="K8" s="47">
        <f t="shared" si="8"/>
        <v>102</v>
      </c>
      <c r="L8" s="47">
        <f t="shared" si="8"/>
        <v>86</v>
      </c>
      <c r="M8" s="47">
        <f t="shared" si="8"/>
        <v>83</v>
      </c>
      <c r="N8" s="47">
        <f t="shared" si="8"/>
        <v>153</v>
      </c>
      <c r="O8" s="47">
        <f t="shared" si="8"/>
        <v>77</v>
      </c>
      <c r="P8" s="47">
        <f t="shared" si="8"/>
        <v>258</v>
      </c>
      <c r="Q8" s="47">
        <f t="shared" si="8"/>
        <v>92</v>
      </c>
      <c r="R8" s="47">
        <f t="shared" si="8"/>
        <v>30</v>
      </c>
      <c r="S8" s="47">
        <f t="shared" si="8"/>
        <v>318</v>
      </c>
      <c r="T8" s="47">
        <f t="shared" si="8"/>
        <v>109</v>
      </c>
      <c r="U8" s="47">
        <f t="shared" si="8"/>
        <v>31</v>
      </c>
      <c r="V8" s="47">
        <f t="shared" si="8"/>
        <v>229</v>
      </c>
      <c r="W8" s="47">
        <f t="shared" si="8"/>
        <v>95</v>
      </c>
      <c r="X8" s="47">
        <f t="shared" si="8"/>
        <v>10</v>
      </c>
      <c r="Y8" s="47">
        <f t="shared" si="8"/>
        <v>223</v>
      </c>
      <c r="Z8" s="47">
        <f t="shared" si="8"/>
        <v>103</v>
      </c>
      <c r="AA8" s="47">
        <f t="shared" si="8"/>
        <v>13</v>
      </c>
      <c r="AB8" s="47">
        <f t="shared" si="8"/>
        <v>305</v>
      </c>
      <c r="AC8" s="47">
        <f t="shared" si="8"/>
        <v>87</v>
      </c>
      <c r="AD8" s="47">
        <f t="shared" si="8"/>
        <v>-2</v>
      </c>
      <c r="AE8" s="47">
        <f t="shared" si="8"/>
        <v>28</v>
      </c>
      <c r="AF8" s="47">
        <f t="shared" si="8"/>
        <v>3</v>
      </c>
      <c r="AG8" s="47">
        <f t="shared" si="8"/>
        <v>3</v>
      </c>
      <c r="AH8" s="47">
        <f t="shared" si="8"/>
        <v>0</v>
      </c>
      <c r="AI8" s="47">
        <f t="shared" si="8"/>
        <v>0</v>
      </c>
      <c r="AJ8" s="47">
        <f t="shared" si="8"/>
        <v>0</v>
      </c>
      <c r="AK8" s="47">
        <f t="shared" si="8"/>
        <v>23</v>
      </c>
      <c r="AL8" s="47">
        <f t="shared" si="8"/>
        <v>33</v>
      </c>
      <c r="AM8" s="47">
        <f t="shared" si="8"/>
        <v>0</v>
      </c>
      <c r="AN8" s="47">
        <f t="shared" si="8"/>
        <v>7</v>
      </c>
      <c r="AO8" s="47">
        <f t="shared" si="8"/>
        <v>2</v>
      </c>
      <c r="AP8" s="47">
        <f t="shared" si="8"/>
        <v>6</v>
      </c>
      <c r="AQ8" s="47">
        <f t="shared" si="8"/>
        <v>66</v>
      </c>
      <c r="AR8" s="47">
        <f t="shared" si="8"/>
        <v>25</v>
      </c>
      <c r="AS8" s="47">
        <f t="shared" si="8"/>
        <v>46</v>
      </c>
      <c r="AT8" s="47">
        <f t="shared" si="8"/>
        <v>40</v>
      </c>
      <c r="AU8" s="47">
        <f t="shared" si="8"/>
        <v>31</v>
      </c>
      <c r="AV8" s="47">
        <f t="shared" si="8"/>
        <v>136</v>
      </c>
      <c r="AW8" s="47">
        <f t="shared" si="8"/>
        <v>34</v>
      </c>
      <c r="AX8" s="47">
        <f t="shared" si="8"/>
        <v>58</v>
      </c>
      <c r="AY8" s="47">
        <f t="shared" si="8"/>
        <v>0</v>
      </c>
      <c r="AZ8" s="47">
        <f t="shared" si="8"/>
        <v>6</v>
      </c>
      <c r="BA8" s="47">
        <f t="shared" si="8"/>
        <v>15</v>
      </c>
      <c r="BB8" s="47">
        <f t="shared" si="8"/>
        <v>14</v>
      </c>
      <c r="BC8" s="47">
        <f t="shared" si="8"/>
        <v>3</v>
      </c>
      <c r="BD8" s="47">
        <f t="shared" si="8"/>
        <v>2</v>
      </c>
      <c r="BE8" s="47">
        <f t="shared" si="8"/>
        <v>255</v>
      </c>
      <c r="BF8" s="47">
        <f t="shared" si="8"/>
        <v>396</v>
      </c>
      <c r="BG8" s="47">
        <f t="shared" si="8"/>
        <v>312</v>
      </c>
      <c r="BH8" s="47">
        <f t="shared" si="8"/>
        <v>330</v>
      </c>
      <c r="BI8" s="47">
        <f t="shared" si="8"/>
        <v>162</v>
      </c>
      <c r="BJ8" s="47">
        <f t="shared" si="8"/>
        <v>195</v>
      </c>
      <c r="BK8" s="47">
        <f t="shared" si="8"/>
        <v>131</v>
      </c>
      <c r="BL8" s="47">
        <f t="shared" si="8"/>
        <v>127</v>
      </c>
      <c r="BM8" s="47">
        <f t="shared" si="8"/>
        <v>241</v>
      </c>
      <c r="BN8" s="47">
        <f t="shared" si="8"/>
        <v>101</v>
      </c>
      <c r="BO8" s="47">
        <f t="shared" si="8"/>
        <v>3</v>
      </c>
      <c r="BP8" s="47">
        <f t="shared" si="8"/>
        <v>73</v>
      </c>
      <c r="BQ8" s="47"/>
      <c r="BR8" s="47"/>
      <c r="BS8" s="34"/>
      <c r="BT8" s="34"/>
      <c r="BU8" s="35"/>
      <c r="BV8" s="35"/>
    </row>
    <row r="9" spans="1:74">
      <c r="A9" s="47"/>
      <c r="B9" s="48" t="s">
        <v>84</v>
      </c>
      <c r="C9" s="47"/>
      <c r="D9" s="47"/>
      <c r="E9" s="47">
        <f t="shared" ref="E9:AJ9" si="9">MAX(E2:E5)</f>
        <v>0</v>
      </c>
      <c r="F9" s="47">
        <f t="shared" si="9"/>
        <v>0</v>
      </c>
      <c r="G9" s="47">
        <f t="shared" si="9"/>
        <v>10</v>
      </c>
      <c r="H9" s="47">
        <f t="shared" si="9"/>
        <v>0</v>
      </c>
      <c r="I9" s="47">
        <f t="shared" si="9"/>
        <v>0</v>
      </c>
      <c r="J9" s="47">
        <f t="shared" si="9"/>
        <v>0</v>
      </c>
      <c r="K9" s="47">
        <f t="shared" si="9"/>
        <v>0</v>
      </c>
      <c r="L9" s="47">
        <f t="shared" si="9"/>
        <v>0</v>
      </c>
      <c r="M9" s="47">
        <f t="shared" si="9"/>
        <v>10</v>
      </c>
      <c r="N9" s="47">
        <f t="shared" si="9"/>
        <v>0</v>
      </c>
      <c r="O9" s="47">
        <f t="shared" si="9"/>
        <v>0</v>
      </c>
      <c r="P9" s="47">
        <f t="shared" si="9"/>
        <v>10</v>
      </c>
      <c r="Q9" s="47">
        <f t="shared" si="9"/>
        <v>5</v>
      </c>
      <c r="R9" s="47">
        <f t="shared" si="9"/>
        <v>0</v>
      </c>
      <c r="S9" s="47">
        <f t="shared" si="9"/>
        <v>10</v>
      </c>
      <c r="T9" s="47">
        <f t="shared" si="9"/>
        <v>5</v>
      </c>
      <c r="U9" s="47">
        <f t="shared" si="9"/>
        <v>0</v>
      </c>
      <c r="V9" s="47">
        <f t="shared" si="9"/>
        <v>0</v>
      </c>
      <c r="W9" s="47">
        <f t="shared" si="9"/>
        <v>5</v>
      </c>
      <c r="X9" s="47">
        <f t="shared" si="9"/>
        <v>10</v>
      </c>
      <c r="Y9" s="47">
        <f t="shared" si="9"/>
        <v>0</v>
      </c>
      <c r="Z9" s="47">
        <f t="shared" si="9"/>
        <v>5</v>
      </c>
      <c r="AA9" s="47">
        <f t="shared" si="9"/>
        <v>10</v>
      </c>
      <c r="AB9" s="47">
        <f t="shared" si="9"/>
        <v>10</v>
      </c>
      <c r="AC9" s="47">
        <f t="shared" si="9"/>
        <v>0</v>
      </c>
      <c r="AD9" s="47">
        <f t="shared" si="9"/>
        <v>10</v>
      </c>
      <c r="AE9" s="47">
        <f t="shared" si="9"/>
        <v>0</v>
      </c>
      <c r="AF9" s="47">
        <f t="shared" si="9"/>
        <v>0</v>
      </c>
      <c r="AG9" s="47">
        <f t="shared" si="9"/>
        <v>0</v>
      </c>
      <c r="AH9" s="47">
        <f t="shared" si="9"/>
        <v>0</v>
      </c>
      <c r="AI9" s="47">
        <f t="shared" si="9"/>
        <v>0</v>
      </c>
      <c r="AJ9" s="47">
        <f t="shared" si="9"/>
        <v>0</v>
      </c>
      <c r="AK9" s="47">
        <f t="shared" ref="AK9:BP9" si="10">MAX(AK2:AK5)</f>
        <v>0</v>
      </c>
      <c r="AL9" s="47">
        <f t="shared" si="10"/>
        <v>0</v>
      </c>
      <c r="AM9" s="47">
        <f t="shared" si="10"/>
        <v>0</v>
      </c>
      <c r="AN9" s="47">
        <f t="shared" si="10"/>
        <v>0</v>
      </c>
      <c r="AO9" s="47">
        <f t="shared" si="10"/>
        <v>0</v>
      </c>
      <c r="AP9" s="47">
        <f t="shared" si="10"/>
        <v>0</v>
      </c>
      <c r="AQ9" s="47">
        <f t="shared" si="10"/>
        <v>0</v>
      </c>
      <c r="AR9" s="47">
        <f t="shared" si="10"/>
        <v>0</v>
      </c>
      <c r="AS9" s="47">
        <f t="shared" si="10"/>
        <v>10</v>
      </c>
      <c r="AT9" s="47">
        <f t="shared" si="10"/>
        <v>0</v>
      </c>
      <c r="AU9" s="47">
        <f t="shared" si="10"/>
        <v>0</v>
      </c>
      <c r="AV9" s="47">
        <f t="shared" si="10"/>
        <v>10</v>
      </c>
      <c r="AW9" s="47">
        <f t="shared" si="10"/>
        <v>0</v>
      </c>
      <c r="AX9" s="47">
        <f t="shared" si="10"/>
        <v>0</v>
      </c>
      <c r="AY9" s="47">
        <f t="shared" si="10"/>
        <v>0</v>
      </c>
      <c r="AZ9" s="47">
        <f t="shared" si="10"/>
        <v>0</v>
      </c>
      <c r="BA9" s="47">
        <f t="shared" si="10"/>
        <v>0</v>
      </c>
      <c r="BB9" s="47">
        <f t="shared" si="10"/>
        <v>0</v>
      </c>
      <c r="BC9" s="47">
        <f t="shared" si="10"/>
        <v>0</v>
      </c>
      <c r="BD9" s="47">
        <f t="shared" si="10"/>
        <v>0</v>
      </c>
      <c r="BE9" s="47">
        <f t="shared" si="10"/>
        <v>0</v>
      </c>
      <c r="BF9" s="47">
        <f t="shared" si="10"/>
        <v>0</v>
      </c>
      <c r="BG9" s="47">
        <f t="shared" si="10"/>
        <v>0</v>
      </c>
      <c r="BH9" s="47">
        <f t="shared" si="10"/>
        <v>0</v>
      </c>
      <c r="BI9" s="47">
        <f t="shared" si="10"/>
        <v>0</v>
      </c>
      <c r="BJ9" s="47">
        <f t="shared" si="10"/>
        <v>0</v>
      </c>
      <c r="BK9" s="47">
        <f t="shared" si="10"/>
        <v>0</v>
      </c>
      <c r="BL9" s="47">
        <f t="shared" si="10"/>
        <v>0</v>
      </c>
      <c r="BM9" s="47">
        <f t="shared" si="10"/>
        <v>0</v>
      </c>
      <c r="BN9" s="47">
        <f t="shared" si="10"/>
        <v>0</v>
      </c>
      <c r="BO9" s="47">
        <f t="shared" si="10"/>
        <v>0</v>
      </c>
      <c r="BP9" s="47">
        <f t="shared" si="10"/>
        <v>0</v>
      </c>
      <c r="BQ9" s="47"/>
      <c r="BR9" s="47"/>
      <c r="BS9" s="34"/>
      <c r="BT9" s="34"/>
      <c r="BU9" s="35"/>
      <c r="BV9" s="35"/>
    </row>
    <row r="10" spans="1:74">
      <c r="A10" s="47"/>
      <c r="B10" s="48" t="s">
        <v>85</v>
      </c>
      <c r="C10" s="47"/>
      <c r="D10" s="47"/>
      <c r="E10" s="47">
        <f t="shared" ref="E10:AJ10" si="11">MIN(E2:E5)</f>
        <v>0</v>
      </c>
      <c r="F10" s="47">
        <f t="shared" si="11"/>
        <v>0</v>
      </c>
      <c r="G10" s="47">
        <f t="shared" si="11"/>
        <v>10</v>
      </c>
      <c r="H10" s="47">
        <f t="shared" si="11"/>
        <v>0</v>
      </c>
      <c r="I10" s="47">
        <f t="shared" si="11"/>
        <v>0</v>
      </c>
      <c r="J10" s="47">
        <f t="shared" si="11"/>
        <v>0</v>
      </c>
      <c r="K10" s="47">
        <f t="shared" si="11"/>
        <v>0</v>
      </c>
      <c r="L10" s="47">
        <f t="shared" si="11"/>
        <v>0</v>
      </c>
      <c r="M10" s="47">
        <f t="shared" si="11"/>
        <v>10</v>
      </c>
      <c r="N10" s="47">
        <f t="shared" si="11"/>
        <v>0</v>
      </c>
      <c r="O10" s="47">
        <f t="shared" si="11"/>
        <v>0</v>
      </c>
      <c r="P10" s="47">
        <f t="shared" si="11"/>
        <v>10</v>
      </c>
      <c r="Q10" s="47">
        <f t="shared" si="11"/>
        <v>5</v>
      </c>
      <c r="R10" s="47">
        <f t="shared" si="11"/>
        <v>0</v>
      </c>
      <c r="S10" s="47">
        <f t="shared" si="11"/>
        <v>10</v>
      </c>
      <c r="T10" s="47">
        <f t="shared" si="11"/>
        <v>5</v>
      </c>
      <c r="U10" s="47">
        <f t="shared" si="11"/>
        <v>0</v>
      </c>
      <c r="V10" s="47">
        <f t="shared" si="11"/>
        <v>0</v>
      </c>
      <c r="W10" s="47">
        <f t="shared" si="11"/>
        <v>5</v>
      </c>
      <c r="X10" s="47">
        <f t="shared" si="11"/>
        <v>2</v>
      </c>
      <c r="Y10" s="47">
        <f t="shared" si="11"/>
        <v>0</v>
      </c>
      <c r="Z10" s="47">
        <f t="shared" si="11"/>
        <v>5</v>
      </c>
      <c r="AA10" s="47">
        <f t="shared" si="11"/>
        <v>10</v>
      </c>
      <c r="AB10" s="47">
        <f t="shared" si="11"/>
        <v>10</v>
      </c>
      <c r="AC10" s="47">
        <f t="shared" si="11"/>
        <v>0</v>
      </c>
      <c r="AD10" s="47">
        <f t="shared" si="11"/>
        <v>10</v>
      </c>
      <c r="AE10" s="47">
        <f t="shared" si="11"/>
        <v>0</v>
      </c>
      <c r="AF10" s="47">
        <f t="shared" si="11"/>
        <v>0</v>
      </c>
      <c r="AG10" s="47">
        <f t="shared" si="11"/>
        <v>0</v>
      </c>
      <c r="AH10" s="47">
        <f t="shared" si="11"/>
        <v>0</v>
      </c>
      <c r="AI10" s="47">
        <f t="shared" si="11"/>
        <v>0</v>
      </c>
      <c r="AJ10" s="47">
        <f t="shared" si="11"/>
        <v>0</v>
      </c>
      <c r="AK10" s="47">
        <f t="shared" ref="AK10:BP10" si="12">MIN(AK2:AK5)</f>
        <v>0</v>
      </c>
      <c r="AL10" s="47">
        <f t="shared" si="12"/>
        <v>0</v>
      </c>
      <c r="AM10" s="47">
        <f t="shared" si="12"/>
        <v>0</v>
      </c>
      <c r="AN10" s="47">
        <f t="shared" si="12"/>
        <v>0</v>
      </c>
      <c r="AO10" s="47">
        <f t="shared" si="12"/>
        <v>0</v>
      </c>
      <c r="AP10" s="47">
        <f t="shared" si="12"/>
        <v>0</v>
      </c>
      <c r="AQ10" s="47">
        <f t="shared" si="12"/>
        <v>0</v>
      </c>
      <c r="AR10" s="47">
        <f t="shared" si="12"/>
        <v>0</v>
      </c>
      <c r="AS10" s="47">
        <f t="shared" si="12"/>
        <v>10</v>
      </c>
      <c r="AT10" s="47">
        <f t="shared" si="12"/>
        <v>0</v>
      </c>
      <c r="AU10" s="47">
        <f t="shared" si="12"/>
        <v>0</v>
      </c>
      <c r="AV10" s="47">
        <f t="shared" si="12"/>
        <v>10</v>
      </c>
      <c r="AW10" s="47">
        <f t="shared" si="12"/>
        <v>0</v>
      </c>
      <c r="AX10" s="47">
        <f t="shared" si="12"/>
        <v>0</v>
      </c>
      <c r="AY10" s="47">
        <f t="shared" si="12"/>
        <v>0</v>
      </c>
      <c r="AZ10" s="47">
        <f t="shared" si="12"/>
        <v>0</v>
      </c>
      <c r="BA10" s="47">
        <f t="shared" si="12"/>
        <v>0</v>
      </c>
      <c r="BB10" s="47">
        <f t="shared" si="12"/>
        <v>0</v>
      </c>
      <c r="BC10" s="47">
        <f t="shared" si="12"/>
        <v>0</v>
      </c>
      <c r="BD10" s="47">
        <f t="shared" si="12"/>
        <v>0</v>
      </c>
      <c r="BE10" s="47">
        <f t="shared" si="12"/>
        <v>0</v>
      </c>
      <c r="BF10" s="47">
        <f t="shared" si="12"/>
        <v>0</v>
      </c>
      <c r="BG10" s="47">
        <f t="shared" si="12"/>
        <v>0</v>
      </c>
      <c r="BH10" s="47">
        <f t="shared" si="12"/>
        <v>0</v>
      </c>
      <c r="BI10" s="47">
        <f t="shared" si="12"/>
        <v>0</v>
      </c>
      <c r="BJ10" s="47">
        <f t="shared" si="12"/>
        <v>0</v>
      </c>
      <c r="BK10" s="47">
        <f t="shared" si="12"/>
        <v>0</v>
      </c>
      <c r="BL10" s="47">
        <f t="shared" si="12"/>
        <v>0</v>
      </c>
      <c r="BM10" s="47">
        <f t="shared" si="12"/>
        <v>0</v>
      </c>
      <c r="BN10" s="47">
        <f t="shared" si="12"/>
        <v>0</v>
      </c>
      <c r="BO10" s="47">
        <f t="shared" si="12"/>
        <v>0</v>
      </c>
      <c r="BP10" s="47">
        <f t="shared" si="12"/>
        <v>0</v>
      </c>
      <c r="BQ10" s="47"/>
      <c r="BR10" s="47"/>
      <c r="BS10" s="34"/>
      <c r="BT10" s="34"/>
      <c r="BU10" s="35"/>
      <c r="BV10" s="35"/>
    </row>
    <row r="11" spans="1:74">
      <c r="A11" s="47"/>
      <c r="B11" s="48" t="s">
        <v>86</v>
      </c>
      <c r="C11" s="47"/>
      <c r="D11" s="47"/>
      <c r="E11" s="47">
        <f t="shared" ref="E11:BP11" si="13">E7-E9</f>
        <v>14</v>
      </c>
      <c r="F11" s="47">
        <f t="shared" si="13"/>
        <v>67</v>
      </c>
      <c r="G11" s="47">
        <f t="shared" si="13"/>
        <v>-10</v>
      </c>
      <c r="H11" s="47">
        <f t="shared" si="13"/>
        <v>0</v>
      </c>
      <c r="I11" s="47">
        <f t="shared" si="13"/>
        <v>130</v>
      </c>
      <c r="J11" s="47">
        <f t="shared" si="13"/>
        <v>130</v>
      </c>
      <c r="K11" s="47">
        <f t="shared" si="13"/>
        <v>102</v>
      </c>
      <c r="L11" s="47">
        <f t="shared" si="13"/>
        <v>86</v>
      </c>
      <c r="M11" s="47">
        <f t="shared" si="13"/>
        <v>83</v>
      </c>
      <c r="N11" s="47">
        <f t="shared" si="13"/>
        <v>153</v>
      </c>
      <c r="O11" s="47">
        <f t="shared" si="13"/>
        <v>77</v>
      </c>
      <c r="P11" s="47">
        <f t="shared" si="13"/>
        <v>258</v>
      </c>
      <c r="Q11" s="47">
        <f t="shared" si="13"/>
        <v>92</v>
      </c>
      <c r="R11" s="47">
        <f t="shared" si="13"/>
        <v>30</v>
      </c>
      <c r="S11" s="47">
        <f t="shared" si="13"/>
        <v>318</v>
      </c>
      <c r="T11" s="47">
        <f t="shared" si="13"/>
        <v>109</v>
      </c>
      <c r="U11" s="47">
        <f t="shared" si="13"/>
        <v>31</v>
      </c>
      <c r="V11" s="47">
        <f t="shared" si="13"/>
        <v>229</v>
      </c>
      <c r="W11" s="47">
        <f t="shared" si="13"/>
        <v>95</v>
      </c>
      <c r="X11" s="47">
        <f t="shared" si="13"/>
        <v>12</v>
      </c>
      <c r="Y11" s="47">
        <f t="shared" si="13"/>
        <v>223</v>
      </c>
      <c r="Z11" s="47">
        <f t="shared" si="13"/>
        <v>103</v>
      </c>
      <c r="AA11" s="47">
        <f t="shared" si="13"/>
        <v>13</v>
      </c>
      <c r="AB11" s="47">
        <f t="shared" si="13"/>
        <v>305</v>
      </c>
      <c r="AC11" s="47">
        <f t="shared" si="13"/>
        <v>87</v>
      </c>
      <c r="AD11" s="47">
        <f t="shared" si="13"/>
        <v>8</v>
      </c>
      <c r="AE11" s="47">
        <f t="shared" si="13"/>
        <v>28</v>
      </c>
      <c r="AF11" s="47">
        <f t="shared" si="13"/>
        <v>3</v>
      </c>
      <c r="AG11" s="47">
        <f t="shared" si="13"/>
        <v>3</v>
      </c>
      <c r="AH11" s="47">
        <f t="shared" si="13"/>
        <v>0</v>
      </c>
      <c r="AI11" s="47">
        <f t="shared" si="13"/>
        <v>0</v>
      </c>
      <c r="AJ11" s="47">
        <f t="shared" si="13"/>
        <v>0</v>
      </c>
      <c r="AK11" s="47">
        <f t="shared" si="13"/>
        <v>23</v>
      </c>
      <c r="AL11" s="47">
        <f t="shared" si="13"/>
        <v>33</v>
      </c>
      <c r="AM11" s="47">
        <f t="shared" si="13"/>
        <v>0</v>
      </c>
      <c r="AN11" s="47">
        <f t="shared" si="13"/>
        <v>7</v>
      </c>
      <c r="AO11" s="47">
        <f t="shared" si="13"/>
        <v>2</v>
      </c>
      <c r="AP11" s="47">
        <f t="shared" si="13"/>
        <v>6</v>
      </c>
      <c r="AQ11" s="47">
        <f t="shared" si="13"/>
        <v>66</v>
      </c>
      <c r="AR11" s="47">
        <f t="shared" si="13"/>
        <v>25</v>
      </c>
      <c r="AS11" s="47">
        <f t="shared" si="13"/>
        <v>46</v>
      </c>
      <c r="AT11" s="47">
        <f t="shared" si="13"/>
        <v>40</v>
      </c>
      <c r="AU11" s="47">
        <f t="shared" si="13"/>
        <v>31</v>
      </c>
      <c r="AV11" s="47">
        <f t="shared" si="13"/>
        <v>136</v>
      </c>
      <c r="AW11" s="47">
        <f t="shared" si="13"/>
        <v>34</v>
      </c>
      <c r="AX11" s="47">
        <f t="shared" si="13"/>
        <v>58</v>
      </c>
      <c r="AY11" s="47">
        <f t="shared" si="13"/>
        <v>0</v>
      </c>
      <c r="AZ11" s="47">
        <f t="shared" si="13"/>
        <v>6</v>
      </c>
      <c r="BA11" s="47">
        <f t="shared" si="13"/>
        <v>15</v>
      </c>
      <c r="BB11" s="47">
        <f t="shared" si="13"/>
        <v>14</v>
      </c>
      <c r="BC11" s="47">
        <f t="shared" si="13"/>
        <v>3</v>
      </c>
      <c r="BD11" s="47">
        <f t="shared" si="13"/>
        <v>2</v>
      </c>
      <c r="BE11" s="47">
        <f t="shared" si="13"/>
        <v>255</v>
      </c>
      <c r="BF11" s="47">
        <f t="shared" si="13"/>
        <v>396</v>
      </c>
      <c r="BG11" s="47">
        <f t="shared" si="13"/>
        <v>312</v>
      </c>
      <c r="BH11" s="47">
        <f t="shared" si="13"/>
        <v>330</v>
      </c>
      <c r="BI11" s="47">
        <f t="shared" si="13"/>
        <v>162</v>
      </c>
      <c r="BJ11" s="47">
        <f t="shared" si="13"/>
        <v>195</v>
      </c>
      <c r="BK11" s="47">
        <f t="shared" si="13"/>
        <v>131</v>
      </c>
      <c r="BL11" s="47">
        <f t="shared" si="13"/>
        <v>127</v>
      </c>
      <c r="BM11" s="47">
        <f t="shared" si="13"/>
        <v>241</v>
      </c>
      <c r="BN11" s="47">
        <f t="shared" si="13"/>
        <v>101</v>
      </c>
      <c r="BO11" s="47">
        <f t="shared" si="13"/>
        <v>3</v>
      </c>
      <c r="BP11" s="47">
        <f t="shared" si="13"/>
        <v>73</v>
      </c>
      <c r="BQ11" s="47"/>
      <c r="BR11" s="47"/>
      <c r="BS11" s="34"/>
      <c r="BT11" s="34"/>
      <c r="BU11" s="35"/>
      <c r="BV11" s="35"/>
    </row>
    <row r="12" spans="1:74" s="13" customFormat="1">
      <c r="A12" s="47"/>
      <c r="B12" s="48" t="s">
        <v>87</v>
      </c>
      <c r="C12" s="47"/>
      <c r="D12" s="47"/>
      <c r="E12" s="47">
        <f t="shared" ref="E12:BP12" si="14">E7-E10</f>
        <v>14</v>
      </c>
      <c r="F12" s="47">
        <f t="shared" si="14"/>
        <v>67</v>
      </c>
      <c r="G12" s="47">
        <f t="shared" si="14"/>
        <v>-10</v>
      </c>
      <c r="H12" s="47">
        <f t="shared" si="14"/>
        <v>0</v>
      </c>
      <c r="I12" s="47">
        <f t="shared" si="14"/>
        <v>130</v>
      </c>
      <c r="J12" s="47">
        <f t="shared" si="14"/>
        <v>130</v>
      </c>
      <c r="K12" s="47">
        <f t="shared" si="14"/>
        <v>102</v>
      </c>
      <c r="L12" s="47">
        <f t="shared" si="14"/>
        <v>86</v>
      </c>
      <c r="M12" s="47">
        <f t="shared" si="14"/>
        <v>83</v>
      </c>
      <c r="N12" s="47">
        <f t="shared" si="14"/>
        <v>153</v>
      </c>
      <c r="O12" s="47">
        <f t="shared" si="14"/>
        <v>77</v>
      </c>
      <c r="P12" s="47">
        <f t="shared" si="14"/>
        <v>258</v>
      </c>
      <c r="Q12" s="47">
        <f t="shared" si="14"/>
        <v>92</v>
      </c>
      <c r="R12" s="47">
        <f t="shared" si="14"/>
        <v>30</v>
      </c>
      <c r="S12" s="47">
        <f t="shared" si="14"/>
        <v>318</v>
      </c>
      <c r="T12" s="47">
        <f t="shared" si="14"/>
        <v>109</v>
      </c>
      <c r="U12" s="47">
        <f t="shared" si="14"/>
        <v>31</v>
      </c>
      <c r="V12" s="47">
        <f t="shared" si="14"/>
        <v>229</v>
      </c>
      <c r="W12" s="47">
        <f t="shared" si="14"/>
        <v>95</v>
      </c>
      <c r="X12" s="47">
        <f t="shared" si="14"/>
        <v>20</v>
      </c>
      <c r="Y12" s="47">
        <f t="shared" si="14"/>
        <v>223</v>
      </c>
      <c r="Z12" s="47">
        <f t="shared" si="14"/>
        <v>103</v>
      </c>
      <c r="AA12" s="47">
        <f t="shared" si="14"/>
        <v>13</v>
      </c>
      <c r="AB12" s="47">
        <f t="shared" si="14"/>
        <v>305</v>
      </c>
      <c r="AC12" s="47">
        <f t="shared" si="14"/>
        <v>87</v>
      </c>
      <c r="AD12" s="47">
        <f t="shared" si="14"/>
        <v>8</v>
      </c>
      <c r="AE12" s="47">
        <f t="shared" si="14"/>
        <v>28</v>
      </c>
      <c r="AF12" s="47">
        <f t="shared" si="14"/>
        <v>3</v>
      </c>
      <c r="AG12" s="47">
        <f t="shared" si="14"/>
        <v>3</v>
      </c>
      <c r="AH12" s="47">
        <f t="shared" si="14"/>
        <v>0</v>
      </c>
      <c r="AI12" s="47">
        <f t="shared" si="14"/>
        <v>0</v>
      </c>
      <c r="AJ12" s="47">
        <f t="shared" si="14"/>
        <v>0</v>
      </c>
      <c r="AK12" s="47">
        <f t="shared" si="14"/>
        <v>23</v>
      </c>
      <c r="AL12" s="47">
        <f t="shared" si="14"/>
        <v>33</v>
      </c>
      <c r="AM12" s="47">
        <f t="shared" si="14"/>
        <v>0</v>
      </c>
      <c r="AN12" s="47">
        <f t="shared" si="14"/>
        <v>7</v>
      </c>
      <c r="AO12" s="47">
        <f t="shared" si="14"/>
        <v>2</v>
      </c>
      <c r="AP12" s="47">
        <f t="shared" si="14"/>
        <v>6</v>
      </c>
      <c r="AQ12" s="47">
        <f t="shared" si="14"/>
        <v>66</v>
      </c>
      <c r="AR12" s="47">
        <f t="shared" si="14"/>
        <v>25</v>
      </c>
      <c r="AS12" s="47">
        <f t="shared" si="14"/>
        <v>46</v>
      </c>
      <c r="AT12" s="47">
        <f t="shared" si="14"/>
        <v>40</v>
      </c>
      <c r="AU12" s="47">
        <f t="shared" si="14"/>
        <v>31</v>
      </c>
      <c r="AV12" s="47">
        <f t="shared" si="14"/>
        <v>136</v>
      </c>
      <c r="AW12" s="47">
        <f t="shared" si="14"/>
        <v>34</v>
      </c>
      <c r="AX12" s="47">
        <f t="shared" si="14"/>
        <v>58</v>
      </c>
      <c r="AY12" s="47">
        <f t="shared" si="14"/>
        <v>0</v>
      </c>
      <c r="AZ12" s="47">
        <f t="shared" si="14"/>
        <v>6</v>
      </c>
      <c r="BA12" s="47">
        <f t="shared" si="14"/>
        <v>15</v>
      </c>
      <c r="BB12" s="47">
        <f t="shared" si="14"/>
        <v>14</v>
      </c>
      <c r="BC12" s="47">
        <f t="shared" si="14"/>
        <v>3</v>
      </c>
      <c r="BD12" s="47">
        <f t="shared" si="14"/>
        <v>2</v>
      </c>
      <c r="BE12" s="47">
        <f t="shared" si="14"/>
        <v>255</v>
      </c>
      <c r="BF12" s="47">
        <f t="shared" si="14"/>
        <v>396</v>
      </c>
      <c r="BG12" s="47">
        <f t="shared" si="14"/>
        <v>312</v>
      </c>
      <c r="BH12" s="47">
        <f t="shared" si="14"/>
        <v>330</v>
      </c>
      <c r="BI12" s="47">
        <f t="shared" si="14"/>
        <v>162</v>
      </c>
      <c r="BJ12" s="47">
        <f t="shared" si="14"/>
        <v>195</v>
      </c>
      <c r="BK12" s="47">
        <f t="shared" si="14"/>
        <v>131</v>
      </c>
      <c r="BL12" s="47">
        <f t="shared" si="14"/>
        <v>127</v>
      </c>
      <c r="BM12" s="47">
        <f t="shared" si="14"/>
        <v>241</v>
      </c>
      <c r="BN12" s="47">
        <f t="shared" si="14"/>
        <v>101</v>
      </c>
      <c r="BO12" s="47">
        <f t="shared" si="14"/>
        <v>3</v>
      </c>
      <c r="BP12" s="47">
        <f t="shared" si="14"/>
        <v>73</v>
      </c>
      <c r="BQ12" s="47"/>
      <c r="BR12" s="47"/>
      <c r="BS12" s="34"/>
      <c r="BT12" s="34"/>
      <c r="BU12" s="46"/>
      <c r="BV12" s="46"/>
    </row>
    <row r="13" spans="1:74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49" t="s">
        <v>101</v>
      </c>
      <c r="AR13" s="49" t="s">
        <v>104</v>
      </c>
      <c r="AS13" s="49" t="s">
        <v>105</v>
      </c>
      <c r="AT13" s="49" t="s">
        <v>102</v>
      </c>
      <c r="AU13" s="49" t="s">
        <v>103</v>
      </c>
      <c r="AV13" s="49" t="s">
        <v>100</v>
      </c>
      <c r="AW13" s="49" t="s">
        <v>106</v>
      </c>
      <c r="AX13" s="49" t="s">
        <v>107</v>
      </c>
      <c r="AY13" s="49" t="s">
        <v>108</v>
      </c>
      <c r="AZ13" s="49" t="s">
        <v>109</v>
      </c>
      <c r="BA13" s="49" t="s">
        <v>110</v>
      </c>
      <c r="BB13" s="49" t="s">
        <v>111</v>
      </c>
      <c r="BC13" s="49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50"/>
      <c r="BT13" s="50"/>
      <c r="BU13" s="35"/>
      <c r="BV13" s="35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55</v>
      </c>
      <c r="B1" s="5" t="s">
        <v>52</v>
      </c>
      <c r="C1" s="5" t="s">
        <v>56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36</v>
      </c>
      <c r="C3" s="1">
        <v>120</v>
      </c>
    </row>
    <row r="4" spans="1:3">
      <c r="A4" s="1">
        <v>4</v>
      </c>
      <c r="B4" s="4" t="s">
        <v>37</v>
      </c>
      <c r="C4" s="1">
        <v>85</v>
      </c>
    </row>
    <row r="5" spans="1:3">
      <c r="A5" s="1">
        <v>3</v>
      </c>
      <c r="B5" s="4" t="s">
        <v>31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41</v>
      </c>
      <c r="C11" s="1">
        <v>45</v>
      </c>
    </row>
    <row r="12" spans="1:3">
      <c r="A12" s="1">
        <v>11</v>
      </c>
      <c r="B12" s="2" t="s">
        <v>32</v>
      </c>
      <c r="C12" s="1">
        <v>10</v>
      </c>
    </row>
    <row r="13" spans="1:3">
      <c r="A13" s="1">
        <v>6</v>
      </c>
      <c r="B13" s="4" t="s">
        <v>43</v>
      </c>
      <c r="C13" s="1">
        <v>8</v>
      </c>
    </row>
    <row r="19" spans="3:18">
      <c r="G19" s="10" t="s">
        <v>31</v>
      </c>
      <c r="H19" s="10" t="s">
        <v>3</v>
      </c>
      <c r="I19" s="10" t="s">
        <v>22</v>
      </c>
      <c r="J19" s="10" t="s">
        <v>41</v>
      </c>
      <c r="K19" s="10" t="s">
        <v>43</v>
      </c>
      <c r="L19" s="10" t="s">
        <v>37</v>
      </c>
      <c r="M19" s="11" t="s">
        <v>4</v>
      </c>
      <c r="N19" s="11" t="s">
        <v>5</v>
      </c>
      <c r="O19" s="11" t="s">
        <v>32</v>
      </c>
      <c r="P19" s="11" t="s">
        <v>6</v>
      </c>
      <c r="Q19" s="11" t="s">
        <v>36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88</v>
      </c>
      <c r="D27" t="s">
        <v>89</v>
      </c>
      <c r="E27" t="s">
        <v>90</v>
      </c>
      <c r="F27" t="s">
        <v>91</v>
      </c>
      <c r="G27" t="s">
        <v>92</v>
      </c>
      <c r="H27" t="s">
        <v>93</v>
      </c>
      <c r="I27" t="s">
        <v>94</v>
      </c>
      <c r="J27" t="s">
        <v>95</v>
      </c>
      <c r="K27" t="s">
        <v>96</v>
      </c>
      <c r="L27" t="s">
        <v>97</v>
      </c>
      <c r="M27" t="s">
        <v>98</v>
      </c>
      <c r="N27" t="s">
        <v>99</v>
      </c>
    </row>
    <row r="31" spans="3:18">
      <c r="C31">
        <v>-3</v>
      </c>
      <c r="D31" t="s">
        <v>88</v>
      </c>
    </row>
    <row r="32" spans="3:18">
      <c r="C32">
        <v>-8</v>
      </c>
      <c r="D32" t="s">
        <v>89</v>
      </c>
    </row>
    <row r="33" spans="3:4">
      <c r="C33">
        <v>-3</v>
      </c>
      <c r="D33" t="s">
        <v>90</v>
      </c>
    </row>
    <row r="34" spans="3:4">
      <c r="C34">
        <v>1</v>
      </c>
      <c r="D34" t="s">
        <v>91</v>
      </c>
    </row>
    <row r="35" spans="3:4">
      <c r="C35">
        <v>3</v>
      </c>
      <c r="D35" t="s">
        <v>92</v>
      </c>
    </row>
    <row r="36" spans="3:4">
      <c r="C36">
        <v>0</v>
      </c>
      <c r="D36" t="s">
        <v>93</v>
      </c>
    </row>
    <row r="37" spans="3:4">
      <c r="C37">
        <v>-3</v>
      </c>
      <c r="D37" t="s">
        <v>94</v>
      </c>
    </row>
    <row r="38" spans="3:4">
      <c r="C38">
        <v>30</v>
      </c>
      <c r="D38" t="s">
        <v>95</v>
      </c>
    </row>
    <row r="39" spans="3:4">
      <c r="C39">
        <v>5</v>
      </c>
      <c r="D39" t="s">
        <v>96</v>
      </c>
    </row>
    <row r="40" spans="3:4">
      <c r="C40">
        <v>-10</v>
      </c>
      <c r="D40" t="s">
        <v>97</v>
      </c>
    </row>
    <row r="41" spans="3:4">
      <c r="C41">
        <v>3</v>
      </c>
      <c r="D41" t="s">
        <v>98</v>
      </c>
    </row>
    <row r="42" spans="3:4">
      <c r="C42">
        <v>138</v>
      </c>
      <c r="D42" t="s">
        <v>99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61</v>
      </c>
      <c r="B1" s="8" t="s">
        <v>62</v>
      </c>
      <c r="C1" s="8" t="s">
        <v>63</v>
      </c>
    </row>
    <row r="2" spans="1:3">
      <c r="A2" s="1">
        <v>5</v>
      </c>
      <c r="B2" s="10" t="s">
        <v>43</v>
      </c>
      <c r="C2" s="1">
        <v>0</v>
      </c>
    </row>
    <row r="3" spans="1:3">
      <c r="A3" s="1">
        <v>9</v>
      </c>
      <c r="B3" s="11" t="s">
        <v>32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41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31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36</v>
      </c>
      <c r="C12" s="1">
        <v>5</v>
      </c>
    </row>
    <row r="13" spans="1:3">
      <c r="A13" s="1">
        <v>6</v>
      </c>
      <c r="B13" s="10" t="s">
        <v>37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56"/>
  <sheetViews>
    <sheetView topLeftCell="A39" workbookViewId="0">
      <selection activeCell="D54" sqref="D54"/>
    </sheetView>
  </sheetViews>
  <sheetFormatPr defaultRowHeight="13.5"/>
  <cols>
    <col min="2" max="2" width="9" bestFit="1" customWidth="1"/>
    <col min="4" max="4" width="17.25" bestFit="1" customWidth="1"/>
  </cols>
  <sheetData>
    <row r="40" spans="2:14" ht="27">
      <c r="B40" s="16" t="s">
        <v>52</v>
      </c>
      <c r="C40" s="36" t="s">
        <v>31</v>
      </c>
      <c r="D40" s="36" t="s">
        <v>3</v>
      </c>
      <c r="E40" s="36" t="s">
        <v>22</v>
      </c>
      <c r="F40" s="36" t="s">
        <v>41</v>
      </c>
      <c r="G40" s="36" t="s">
        <v>43</v>
      </c>
      <c r="H40" s="36" t="s">
        <v>37</v>
      </c>
      <c r="I40" s="37" t="s">
        <v>4</v>
      </c>
      <c r="J40" s="37" t="s">
        <v>5</v>
      </c>
      <c r="K40" s="37" t="s">
        <v>32</v>
      </c>
      <c r="L40" s="37" t="s">
        <v>6</v>
      </c>
      <c r="M40" s="37" t="s">
        <v>36</v>
      </c>
      <c r="N40" s="37" t="s">
        <v>9</v>
      </c>
    </row>
    <row r="41" spans="2:14">
      <c r="B41" s="1" t="s">
        <v>44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57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64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84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85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86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87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  <row r="54" spans="3:5" s="55" customFormat="1">
      <c r="C54" s="55" t="s">
        <v>127</v>
      </c>
      <c r="D54" s="55">
        <v>500000</v>
      </c>
      <c r="E54" s="55">
        <v>870000</v>
      </c>
    </row>
    <row r="56" spans="3:5">
      <c r="D56" s="54">
        <f>SUM(D53:H54)</f>
        <v>1370000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2021-02-06T01:13:13Z</dcterms:modified>
</cp:coreProperties>
</file>