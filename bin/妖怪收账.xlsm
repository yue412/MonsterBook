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Sheet1!$A$1:$CB$165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B164" i="1" l="1"/>
  <c r="CF164" i="1"/>
  <c r="CG164" i="1"/>
  <c r="CR164" i="1" s="1"/>
  <c r="CH164" i="1"/>
  <c r="CI164" i="1"/>
  <c r="CJ164" i="1"/>
  <c r="CK164" i="1"/>
  <c r="CL164" i="1"/>
  <c r="CM164" i="1"/>
  <c r="CN164" i="1"/>
  <c r="CO164" i="1"/>
  <c r="CP164" i="1"/>
  <c r="CQ164" i="1"/>
  <c r="DE164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CU164" i="1" l="1"/>
  <c r="CY164" i="1"/>
  <c r="DC164" i="1"/>
  <c r="CV164" i="1"/>
  <c r="CZ164" i="1"/>
  <c r="DD164" i="1"/>
  <c r="CS164" i="1"/>
  <c r="CW164" i="1"/>
  <c r="DA164" i="1"/>
  <c r="CT164" i="1"/>
  <c r="CX164" i="1"/>
  <c r="DB164" i="1"/>
  <c r="BA165" i="1"/>
  <c r="BA167" i="1" s="1"/>
  <c r="BB165" i="1"/>
  <c r="BB167" i="1" s="1"/>
  <c r="BO165" i="1"/>
  <c r="BO167" i="1" s="1"/>
  <c r="DE3" i="1" l="1"/>
  <c r="DE4" i="1"/>
  <c r="DE5" i="1"/>
  <c r="DE83" i="1"/>
  <c r="DE6" i="1"/>
  <c r="DE7" i="1"/>
  <c r="DE8" i="1"/>
  <c r="DE9" i="1"/>
  <c r="DE10" i="1"/>
  <c r="DE68" i="1"/>
  <c r="DE69" i="1"/>
  <c r="DE70" i="1"/>
  <c r="DE71" i="1"/>
  <c r="DE72" i="1"/>
  <c r="DE73" i="1"/>
  <c r="DE74" i="1"/>
  <c r="DE75" i="1"/>
  <c r="DE81" i="1"/>
  <c r="DE82" i="1"/>
  <c r="DE15" i="1"/>
  <c r="DE22" i="1"/>
  <c r="DE23" i="1"/>
  <c r="DE24" i="1"/>
  <c r="DE17" i="1"/>
  <c r="DE84" i="1"/>
  <c r="DE66" i="1"/>
  <c r="DE88" i="1"/>
  <c r="DE87" i="1"/>
  <c r="DE91" i="1"/>
  <c r="DE92" i="1"/>
  <c r="DE27" i="1"/>
  <c r="DE94" i="1"/>
  <c r="DE95" i="1"/>
  <c r="DE11" i="1"/>
  <c r="DE12" i="1"/>
  <c r="DE18" i="1"/>
  <c r="DE13" i="1"/>
  <c r="DE16" i="1"/>
  <c r="DE19" i="1"/>
  <c r="DE25" i="1"/>
  <c r="DE26" i="1"/>
  <c r="DE76" i="1"/>
  <c r="DE100" i="1"/>
  <c r="DE101" i="1"/>
  <c r="DE14" i="1"/>
  <c r="DE20" i="1"/>
  <c r="DE105" i="1"/>
  <c r="DE106" i="1"/>
  <c r="DE62" i="1"/>
  <c r="DE98" i="1"/>
  <c r="DE21" i="1"/>
  <c r="DE29" i="1"/>
  <c r="DE93" i="1"/>
  <c r="DE90" i="1"/>
  <c r="DE28" i="1"/>
  <c r="DE30" i="1"/>
  <c r="DE102" i="1"/>
  <c r="DE31" i="1"/>
  <c r="DE79" i="1"/>
  <c r="DE108" i="1"/>
  <c r="DE109" i="1"/>
  <c r="DE2" i="1"/>
  <c r="DE165" i="1" l="1"/>
  <c r="CF3" i="1"/>
  <c r="CG3" i="1"/>
  <c r="CH3" i="1"/>
  <c r="CI3" i="1"/>
  <c r="CJ3" i="1"/>
  <c r="CK3" i="1"/>
  <c r="CL3" i="1"/>
  <c r="CM3" i="1"/>
  <c r="CN3" i="1"/>
  <c r="CO3" i="1"/>
  <c r="CP3" i="1"/>
  <c r="CQ3" i="1"/>
  <c r="CF4" i="1"/>
  <c r="CG4" i="1"/>
  <c r="CH4" i="1"/>
  <c r="CI4" i="1"/>
  <c r="CJ4" i="1"/>
  <c r="CK4" i="1"/>
  <c r="CL4" i="1"/>
  <c r="CM4" i="1"/>
  <c r="CN4" i="1"/>
  <c r="CO4" i="1"/>
  <c r="CP4" i="1"/>
  <c r="CQ4" i="1"/>
  <c r="CF5" i="1"/>
  <c r="CG5" i="1"/>
  <c r="CH5" i="1"/>
  <c r="CI5" i="1"/>
  <c r="CJ5" i="1"/>
  <c r="CK5" i="1"/>
  <c r="CL5" i="1"/>
  <c r="CM5" i="1"/>
  <c r="CN5" i="1"/>
  <c r="CO5" i="1"/>
  <c r="CP5" i="1"/>
  <c r="CQ5" i="1"/>
  <c r="CF9" i="1"/>
  <c r="CG9" i="1"/>
  <c r="CH9" i="1"/>
  <c r="CI9" i="1"/>
  <c r="CJ9" i="1"/>
  <c r="CK9" i="1"/>
  <c r="CL9" i="1"/>
  <c r="CM9" i="1"/>
  <c r="CN9" i="1"/>
  <c r="CO9" i="1"/>
  <c r="CP9" i="1"/>
  <c r="CQ9" i="1"/>
  <c r="CF7" i="1"/>
  <c r="CG7" i="1"/>
  <c r="CH7" i="1"/>
  <c r="CI7" i="1"/>
  <c r="CJ7" i="1"/>
  <c r="CK7" i="1"/>
  <c r="CL7" i="1"/>
  <c r="CM7" i="1"/>
  <c r="CN7" i="1"/>
  <c r="CO7" i="1"/>
  <c r="CP7" i="1"/>
  <c r="CQ7" i="1"/>
  <c r="CF8" i="1"/>
  <c r="CG8" i="1"/>
  <c r="CH8" i="1"/>
  <c r="CI8" i="1"/>
  <c r="CJ8" i="1"/>
  <c r="CK8" i="1"/>
  <c r="CL8" i="1"/>
  <c r="CM8" i="1"/>
  <c r="CN8" i="1"/>
  <c r="CO8" i="1"/>
  <c r="CP8" i="1"/>
  <c r="CQ8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F6" i="1"/>
  <c r="CG6" i="1"/>
  <c r="CH6" i="1"/>
  <c r="CI6" i="1"/>
  <c r="CJ6" i="1"/>
  <c r="CK6" i="1"/>
  <c r="CL6" i="1"/>
  <c r="CM6" i="1"/>
  <c r="CN6" i="1"/>
  <c r="CO6" i="1"/>
  <c r="CP6" i="1"/>
  <c r="CQ6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G2" i="1"/>
  <c r="CH2" i="1"/>
  <c r="CI2" i="1"/>
  <c r="CJ2" i="1"/>
  <c r="CK2" i="1"/>
  <c r="CL2" i="1"/>
  <c r="CM2" i="1"/>
  <c r="CN2" i="1"/>
  <c r="CO2" i="1"/>
  <c r="CP2" i="1"/>
  <c r="CQ2" i="1"/>
  <c r="CF2" i="1"/>
  <c r="CR10" i="1" l="1"/>
  <c r="DD10" i="1" s="1"/>
  <c r="CR70" i="1"/>
  <c r="DD70" i="1" s="1"/>
  <c r="CR69" i="1"/>
  <c r="CZ69" i="1" s="1"/>
  <c r="CR9" i="1"/>
  <c r="CT9" i="1" s="1"/>
  <c r="CM165" i="1"/>
  <c r="CO165" i="1"/>
  <c r="CJ165" i="1"/>
  <c r="CL165" i="1"/>
  <c r="CH165" i="1"/>
  <c r="CG165" i="1"/>
  <c r="CP165" i="1"/>
  <c r="CK165" i="1"/>
  <c r="CN165" i="1"/>
  <c r="CQ165" i="1"/>
  <c r="CR28" i="1"/>
  <c r="CW28" i="1" s="1"/>
  <c r="CR82" i="1"/>
  <c r="CY82" i="1" s="1"/>
  <c r="CR94" i="1"/>
  <c r="CU94" i="1" s="1"/>
  <c r="CR25" i="1"/>
  <c r="CV25" i="1" s="1"/>
  <c r="CR29" i="1"/>
  <c r="CS29" i="1" s="1"/>
  <c r="CR5" i="1"/>
  <c r="CZ5" i="1" s="1"/>
  <c r="CR4" i="1"/>
  <c r="CZ4" i="1" s="1"/>
  <c r="CR3" i="1"/>
  <c r="CZ3" i="1" s="1"/>
  <c r="CR109" i="1"/>
  <c r="CS109" i="1" s="1"/>
  <c r="CR30" i="1"/>
  <c r="CW30" i="1" s="1"/>
  <c r="CR102" i="1"/>
  <c r="CW102" i="1" s="1"/>
  <c r="CR90" i="1"/>
  <c r="DD90" i="1" s="1"/>
  <c r="CR106" i="1"/>
  <c r="CV106" i="1" s="1"/>
  <c r="CR19" i="1"/>
  <c r="CT19" i="1" s="1"/>
  <c r="CR14" i="1"/>
  <c r="DD14" i="1" s="1"/>
  <c r="CR15" i="1"/>
  <c r="DC15" i="1" s="1"/>
  <c r="CR24" i="1"/>
  <c r="DD24" i="1" s="1"/>
  <c r="CR22" i="1"/>
  <c r="CT22" i="1" s="1"/>
  <c r="CR13" i="1"/>
  <c r="CZ13" i="1" s="1"/>
  <c r="CR81" i="1"/>
  <c r="CT81" i="1" s="1"/>
  <c r="CR16" i="1"/>
  <c r="CZ16" i="1" s="1"/>
  <c r="CR92" i="1"/>
  <c r="CX92" i="1" s="1"/>
  <c r="CR87" i="1"/>
  <c r="CT87" i="1" s="1"/>
  <c r="CR27" i="1"/>
  <c r="CW27" i="1" s="1"/>
  <c r="CR17" i="1"/>
  <c r="DA17" i="1" s="1"/>
  <c r="CR68" i="1"/>
  <c r="DA68" i="1" s="1"/>
  <c r="CR74" i="1"/>
  <c r="CT74" i="1" s="1"/>
  <c r="CR73" i="1"/>
  <c r="DB73" i="1" s="1"/>
  <c r="CR72" i="1"/>
  <c r="CZ72" i="1" s="1"/>
  <c r="CR71" i="1"/>
  <c r="DD71" i="1" s="1"/>
  <c r="CR18" i="1"/>
  <c r="CS18" i="1" s="1"/>
  <c r="CR83" i="1"/>
  <c r="DC83" i="1" s="1"/>
  <c r="CR6" i="1"/>
  <c r="CX6" i="1" s="1"/>
  <c r="CR26" i="1"/>
  <c r="CV26" i="1" s="1"/>
  <c r="CR8" i="1"/>
  <c r="CZ8" i="1" s="1"/>
  <c r="CR7" i="1"/>
  <c r="CU7" i="1" s="1"/>
  <c r="CR108" i="1"/>
  <c r="DD108" i="1" s="1"/>
  <c r="CR66" i="1"/>
  <c r="CV66" i="1" s="1"/>
  <c r="CR79" i="1"/>
  <c r="DA79" i="1" s="1"/>
  <c r="CR93" i="1"/>
  <c r="CZ93" i="1" s="1"/>
  <c r="CR21" i="1"/>
  <c r="CW21" i="1" s="1"/>
  <c r="CR105" i="1"/>
  <c r="DD105" i="1" s="1"/>
  <c r="CR11" i="1"/>
  <c r="DB11" i="1" s="1"/>
  <c r="CR20" i="1"/>
  <c r="DD20" i="1" s="1"/>
  <c r="CR88" i="1"/>
  <c r="CT88" i="1" s="1"/>
  <c r="CR23" i="1"/>
  <c r="CW23" i="1" s="1"/>
  <c r="CR101" i="1"/>
  <c r="CZ101" i="1" s="1"/>
  <c r="CR100" i="1"/>
  <c r="CX100" i="1" s="1"/>
  <c r="CR62" i="1"/>
  <c r="CZ62" i="1" s="1"/>
  <c r="CR76" i="1"/>
  <c r="CU76" i="1" s="1"/>
  <c r="CR12" i="1"/>
  <c r="CT12" i="1" s="1"/>
  <c r="CR95" i="1"/>
  <c r="DA95" i="1" s="1"/>
  <c r="CR91" i="1"/>
  <c r="CY91" i="1" s="1"/>
  <c r="CR84" i="1"/>
  <c r="DD84" i="1" s="1"/>
  <c r="CR75" i="1"/>
  <c r="CY75" i="1" s="1"/>
  <c r="CR2" i="1"/>
  <c r="CT2" i="1" s="1"/>
  <c r="CR98" i="1"/>
  <c r="CW98" i="1" s="1"/>
  <c r="CR31" i="1"/>
  <c r="CS31" i="1" s="1"/>
  <c r="CI165" i="1"/>
  <c r="CF165" i="1"/>
  <c r="CB24" i="1"/>
  <c r="CB11" i="1"/>
  <c r="CB14" i="1"/>
  <c r="CB79" i="1"/>
  <c r="CB3" i="1"/>
  <c r="CB69" i="1"/>
  <c r="CB70" i="1"/>
  <c r="CB71" i="1"/>
  <c r="CB76" i="1"/>
  <c r="CB62" i="1"/>
  <c r="CB109" i="1"/>
  <c r="CB12" i="1"/>
  <c r="CB100" i="1"/>
  <c r="CB105" i="1"/>
  <c r="CB72" i="1"/>
  <c r="CB73" i="1"/>
  <c r="CB88" i="1"/>
  <c r="CB4" i="1"/>
  <c r="CB9" i="1"/>
  <c r="CB82" i="1"/>
  <c r="CB7" i="1"/>
  <c r="CB81" i="1"/>
  <c r="CB83" i="1"/>
  <c r="CB102" i="1"/>
  <c r="CB5" i="1"/>
  <c r="CB21" i="1"/>
  <c r="CB16" i="1"/>
  <c r="CB91" i="1"/>
  <c r="CB74" i="1"/>
  <c r="CB92" i="1"/>
  <c r="CB93" i="1"/>
  <c r="CB28" i="1"/>
  <c r="CB19" i="1"/>
  <c r="CB20" i="1"/>
  <c r="CB27" i="1"/>
  <c r="CB98" i="1"/>
  <c r="CB31" i="1"/>
  <c r="CB13" i="1"/>
  <c r="CB15" i="1"/>
  <c r="CB8" i="1"/>
  <c r="CB18" i="1"/>
  <c r="CB108" i="1"/>
  <c r="CB101" i="1"/>
  <c r="CB106" i="1"/>
  <c r="CB75" i="1"/>
  <c r="CB68" i="1"/>
  <c r="CB17" i="1"/>
  <c r="CB90" i="1"/>
  <c r="CB25" i="1"/>
  <c r="CB29" i="1"/>
  <c r="CB26" i="1"/>
  <c r="CB84" i="1"/>
  <c r="CB94" i="1"/>
  <c r="CB95" i="1"/>
  <c r="J165" i="1"/>
  <c r="J167" i="1" s="1"/>
  <c r="K165" i="1"/>
  <c r="K167" i="1" s="1"/>
  <c r="L165" i="1"/>
  <c r="L167" i="1" s="1"/>
  <c r="M165" i="1"/>
  <c r="M167" i="1" s="1"/>
  <c r="N165" i="1"/>
  <c r="N167" i="1" s="1"/>
  <c r="O165" i="1"/>
  <c r="O167" i="1" s="1"/>
  <c r="P165" i="1"/>
  <c r="P167" i="1" s="1"/>
  <c r="Q165" i="1"/>
  <c r="Q167" i="1" s="1"/>
  <c r="R165" i="1"/>
  <c r="R167" i="1" s="1"/>
  <c r="S165" i="1"/>
  <c r="S167" i="1" s="1"/>
  <c r="T165" i="1"/>
  <c r="T167" i="1" s="1"/>
  <c r="U165" i="1"/>
  <c r="U167" i="1" s="1"/>
  <c r="V165" i="1"/>
  <c r="V167" i="1" s="1"/>
  <c r="W165" i="1"/>
  <c r="W167" i="1" s="1"/>
  <c r="X165" i="1"/>
  <c r="X167" i="1" s="1"/>
  <c r="Y165" i="1"/>
  <c r="Y167" i="1" s="1"/>
  <c r="Z165" i="1"/>
  <c r="Z167" i="1" s="1"/>
  <c r="AA165" i="1"/>
  <c r="AA167" i="1" s="1"/>
  <c r="AQ165" i="1"/>
  <c r="AQ167" i="1" s="1"/>
  <c r="AR165" i="1"/>
  <c r="AR167" i="1" s="1"/>
  <c r="AS165" i="1"/>
  <c r="AS167" i="1" s="1"/>
  <c r="AT165" i="1"/>
  <c r="AT167" i="1" s="1"/>
  <c r="AU165" i="1"/>
  <c r="AU167" i="1" s="1"/>
  <c r="AV165" i="1"/>
  <c r="AV167" i="1" s="1"/>
  <c r="AW165" i="1"/>
  <c r="AW167" i="1" s="1"/>
  <c r="AX165" i="1"/>
  <c r="AX167" i="1" s="1"/>
  <c r="AY165" i="1"/>
  <c r="AY167" i="1" s="1"/>
  <c r="AZ165" i="1"/>
  <c r="AZ167" i="1" s="1"/>
  <c r="BD165" i="1"/>
  <c r="BD167" i="1" s="1"/>
  <c r="BE165" i="1"/>
  <c r="BE167" i="1" s="1"/>
  <c r="BC165" i="1"/>
  <c r="BC167" i="1" s="1"/>
  <c r="BH165" i="1"/>
  <c r="BH167" i="1" s="1"/>
  <c r="BF165" i="1"/>
  <c r="BF167" i="1" s="1"/>
  <c r="BG165" i="1"/>
  <c r="BG167" i="1" s="1"/>
  <c r="CB87" i="1"/>
  <c r="CB30" i="1"/>
  <c r="CB2" i="1"/>
  <c r="CB22" i="1"/>
  <c r="CB23" i="1"/>
  <c r="CB6" i="1"/>
  <c r="CB10" i="1"/>
  <c r="CB66" i="1"/>
  <c r="BR165" i="1"/>
  <c r="BR167" i="1" s="1"/>
  <c r="BS165" i="1"/>
  <c r="BS167" i="1" s="1"/>
  <c r="BQ165" i="1"/>
  <c r="BQ167" i="1" s="1"/>
  <c r="BP165" i="1"/>
  <c r="BP167" i="1" s="1"/>
  <c r="BT165" i="1"/>
  <c r="BT167" i="1" s="1"/>
  <c r="BU165" i="1"/>
  <c r="BU167" i="1" s="1"/>
  <c r="BV165" i="1"/>
  <c r="BV167" i="1" s="1"/>
  <c r="BW165" i="1"/>
  <c r="BW167" i="1" s="1"/>
  <c r="BX165" i="1"/>
  <c r="BX167" i="1" s="1"/>
  <c r="BY165" i="1"/>
  <c r="BY167" i="1" s="1"/>
  <c r="BZ165" i="1"/>
  <c r="BZ167" i="1" s="1"/>
  <c r="CA165" i="1"/>
  <c r="CA167" i="1" s="1"/>
  <c r="F165" i="1"/>
  <c r="F167" i="1" s="1"/>
  <c r="G165" i="1"/>
  <c r="G167" i="1" s="1"/>
  <c r="H165" i="1"/>
  <c r="H167" i="1" s="1"/>
  <c r="I165" i="1"/>
  <c r="I167" i="1" s="1"/>
  <c r="BI165" i="1"/>
  <c r="BI167" i="1" s="1"/>
  <c r="BJ165" i="1"/>
  <c r="BJ167" i="1" s="1"/>
  <c r="BL165" i="1"/>
  <c r="BL167" i="1" s="1"/>
  <c r="BN165" i="1"/>
  <c r="BN167" i="1" s="1"/>
  <c r="BK165" i="1"/>
  <c r="BK167" i="1" s="1"/>
  <c r="BM165" i="1"/>
  <c r="BM167" i="1" s="1"/>
  <c r="E165" i="1"/>
  <c r="E167" i="1" s="1"/>
  <c r="DA9" i="1" l="1"/>
  <c r="CZ74" i="1"/>
  <c r="CT26" i="1"/>
  <c r="CW74" i="1"/>
  <c r="DB4" i="1"/>
  <c r="DB6" i="1"/>
  <c r="CV24" i="1"/>
  <c r="CU82" i="1"/>
  <c r="CV5" i="1"/>
  <c r="DC7" i="1"/>
  <c r="CS9" i="1"/>
  <c r="CY26" i="1"/>
  <c r="CT82" i="1"/>
  <c r="DB82" i="1"/>
  <c r="CS82" i="1"/>
  <c r="DD82" i="1"/>
  <c r="CZ15" i="1"/>
  <c r="CW82" i="1"/>
  <c r="CU28" i="1"/>
  <c r="DB28" i="1"/>
  <c r="DC28" i="1"/>
  <c r="CT28" i="1"/>
  <c r="CX26" i="1"/>
  <c r="DA28" i="1"/>
  <c r="DC26" i="1"/>
  <c r="CS28" i="1"/>
  <c r="DB68" i="1"/>
  <c r="DA20" i="1"/>
  <c r="DD100" i="1"/>
  <c r="DB74" i="1"/>
  <c r="CZ7" i="1"/>
  <c r="CU26" i="1"/>
  <c r="DC25" i="1"/>
  <c r="CV4" i="1"/>
  <c r="CX4" i="1"/>
  <c r="CY28" i="1"/>
  <c r="CY100" i="1"/>
  <c r="CW71" i="1"/>
  <c r="CZ90" i="1"/>
  <c r="CZ25" i="1"/>
  <c r="DA90" i="1"/>
  <c r="CY25" i="1"/>
  <c r="CU25" i="1"/>
  <c r="DD25" i="1"/>
  <c r="CX81" i="1"/>
  <c r="CZ2" i="1"/>
  <c r="CW25" i="1"/>
  <c r="CX30" i="1"/>
  <c r="DC8" i="1"/>
  <c r="CU13" i="1"/>
  <c r="DC30" i="1"/>
  <c r="CV30" i="1"/>
  <c r="CT25" i="1"/>
  <c r="DB25" i="1"/>
  <c r="CX16" i="1"/>
  <c r="CT83" i="1"/>
  <c r="CS15" i="1"/>
  <c r="CS25" i="1"/>
  <c r="DA15" i="1"/>
  <c r="DD9" i="1"/>
  <c r="DA25" i="1"/>
  <c r="CS16" i="1"/>
  <c r="CX9" i="1"/>
  <c r="DD3" i="1"/>
  <c r="CV16" i="1"/>
  <c r="CX25" i="1"/>
  <c r="DD16" i="1"/>
  <c r="CU90" i="1"/>
  <c r="DA16" i="1"/>
  <c r="DA30" i="1"/>
  <c r="DC90" i="1"/>
  <c r="CY71" i="1"/>
  <c r="DB83" i="1"/>
  <c r="CV15" i="1"/>
  <c r="DD29" i="1"/>
  <c r="DC29" i="1"/>
  <c r="DB29" i="1"/>
  <c r="CY17" i="1"/>
  <c r="CZ29" i="1"/>
  <c r="CY29" i="1"/>
  <c r="CV29" i="1"/>
  <c r="CV94" i="1"/>
  <c r="DA29" i="1"/>
  <c r="DB91" i="1"/>
  <c r="CT29" i="1"/>
  <c r="CS91" i="1"/>
  <c r="CW29" i="1"/>
  <c r="CU29" i="1"/>
  <c r="DD26" i="1"/>
  <c r="DD92" i="1"/>
  <c r="CX106" i="1"/>
  <c r="DC70" i="1"/>
  <c r="DC106" i="1"/>
  <c r="CW92" i="1"/>
  <c r="CW66" i="1"/>
  <c r="CZ70" i="1"/>
  <c r="CZ20" i="1"/>
  <c r="DB70" i="1"/>
  <c r="CX66" i="1"/>
  <c r="CT70" i="1"/>
  <c r="DA66" i="1"/>
  <c r="DA70" i="1"/>
  <c r="CZ106" i="1"/>
  <c r="CU66" i="1"/>
  <c r="CW70" i="1"/>
  <c r="CY106" i="1"/>
  <c r="CT66" i="1"/>
  <c r="DA106" i="1"/>
  <c r="CU106" i="1"/>
  <c r="DD66" i="1"/>
  <c r="CU70" i="1"/>
  <c r="DC92" i="1"/>
  <c r="CT106" i="1"/>
  <c r="DC66" i="1"/>
  <c r="DB92" i="1"/>
  <c r="CS106" i="1"/>
  <c r="CZ66" i="1"/>
  <c r="DD21" i="1"/>
  <c r="DA6" i="1"/>
  <c r="DD2" i="1"/>
  <c r="CY62" i="1"/>
  <c r="CV92" i="1"/>
  <c r="CY92" i="1"/>
  <c r="DD106" i="1"/>
  <c r="CU98" i="1"/>
  <c r="CV70" i="1"/>
  <c r="DD7" i="1"/>
  <c r="DA26" i="1"/>
  <c r="CW108" i="1"/>
  <c r="DA83" i="1"/>
  <c r="DD15" i="1"/>
  <c r="CS74" i="1"/>
  <c r="DB17" i="1"/>
  <c r="CX90" i="1"/>
  <c r="CX7" i="1"/>
  <c r="CU68" i="1"/>
  <c r="DD76" i="1"/>
  <c r="CV28" i="1"/>
  <c r="CX17" i="1"/>
  <c r="CY3" i="1"/>
  <c r="CV82" i="1"/>
  <c r="CY2" i="1"/>
  <c r="CT16" i="1"/>
  <c r="CW79" i="1"/>
  <c r="CV2" i="1"/>
  <c r="CY22" i="1"/>
  <c r="DB23" i="1"/>
  <c r="DC105" i="1"/>
  <c r="CU3" i="1"/>
  <c r="CZ82" i="1"/>
  <c r="DB16" i="1"/>
  <c r="CV9" i="1"/>
  <c r="CU2" i="1"/>
  <c r="CY108" i="1"/>
  <c r="DB20" i="1"/>
  <c r="CX105" i="1"/>
  <c r="CS3" i="1"/>
  <c r="CY76" i="1"/>
  <c r="CS26" i="1"/>
  <c r="CY9" i="1"/>
  <c r="CZ83" i="1"/>
  <c r="CW13" i="1"/>
  <c r="CY15" i="1"/>
  <c r="DC74" i="1"/>
  <c r="DD28" i="1"/>
  <c r="CT90" i="1"/>
  <c r="DB24" i="1"/>
  <c r="CY7" i="1"/>
  <c r="CU31" i="1"/>
  <c r="DA82" i="1"/>
  <c r="CZ22" i="1"/>
  <c r="CX31" i="1"/>
  <c r="CX83" i="1"/>
  <c r="DC13" i="1"/>
  <c r="DA31" i="1"/>
  <c r="CX15" i="1"/>
  <c r="CY6" i="1"/>
  <c r="DA76" i="1"/>
  <c r="CU9" i="1"/>
  <c r="CS19" i="1"/>
  <c r="CT4" i="1"/>
  <c r="CS7" i="1"/>
  <c r="DD31" i="1"/>
  <c r="CX82" i="1"/>
  <c r="CW83" i="1"/>
  <c r="DA13" i="1"/>
  <c r="CW15" i="1"/>
  <c r="CS6" i="1"/>
  <c r="CX76" i="1"/>
  <c r="DC9" i="1"/>
  <c r="CU74" i="1"/>
  <c r="DD19" i="1"/>
  <c r="DC69" i="1"/>
  <c r="CZ31" i="1"/>
  <c r="CT76" i="1"/>
  <c r="CU19" i="1"/>
  <c r="CW76" i="1"/>
  <c r="DA19" i="1"/>
  <c r="DA7" i="1"/>
  <c r="DB69" i="1"/>
  <c r="CY31" i="1"/>
  <c r="CZ26" i="1"/>
  <c r="CZ68" i="1"/>
  <c r="CZ91" i="1"/>
  <c r="CX29" i="1"/>
  <c r="CW6" i="1"/>
  <c r="DD11" i="1"/>
  <c r="CX19" i="1"/>
  <c r="CY69" i="1"/>
  <c r="CV31" i="1"/>
  <c r="CU91" i="1"/>
  <c r="CW11" i="1"/>
  <c r="CV69" i="1"/>
  <c r="DC79" i="1"/>
  <c r="CY87" i="1"/>
  <c r="CU69" i="1"/>
  <c r="DB79" i="1"/>
  <c r="CU87" i="1"/>
  <c r="CS69" i="1"/>
  <c r="CZ79" i="1"/>
  <c r="CX69" i="1"/>
  <c r="CW31" i="1"/>
  <c r="DC76" i="1"/>
  <c r="CV79" i="1"/>
  <c r="CZ19" i="1"/>
  <c r="DC19" i="1"/>
  <c r="CW69" i="1"/>
  <c r="CZ76" i="1"/>
  <c r="CS79" i="1"/>
  <c r="DB19" i="1"/>
  <c r="CV19" i="1"/>
  <c r="CS76" i="1"/>
  <c r="CX79" i="1"/>
  <c r="CY19" i="1"/>
  <c r="CV20" i="1"/>
  <c r="DC4" i="1"/>
  <c r="DA3" i="1"/>
  <c r="CU102" i="1"/>
  <c r="CW7" i="1"/>
  <c r="CW26" i="1"/>
  <c r="CY68" i="1"/>
  <c r="DB13" i="1"/>
  <c r="CT91" i="1"/>
  <c r="CZ109" i="1"/>
  <c r="CV100" i="1"/>
  <c r="CY74" i="1"/>
  <c r="CZ11" i="1"/>
  <c r="CX8" i="1"/>
  <c r="DC22" i="1"/>
  <c r="CT20" i="1"/>
  <c r="CW105" i="1"/>
  <c r="DA71" i="1"/>
  <c r="CT7" i="1"/>
  <c r="CS108" i="1"/>
  <c r="CV68" i="1"/>
  <c r="CS13" i="1"/>
  <c r="DC91" i="1"/>
  <c r="DC100" i="1"/>
  <c r="CV74" i="1"/>
  <c r="CT11" i="1"/>
  <c r="CW8" i="1"/>
  <c r="DB22" i="1"/>
  <c r="DC108" i="1"/>
  <c r="CV10" i="1"/>
  <c r="CS20" i="1"/>
  <c r="CX71" i="1"/>
  <c r="CX108" i="1"/>
  <c r="CX2" i="1"/>
  <c r="CS68" i="1"/>
  <c r="CX13" i="1"/>
  <c r="DA91" i="1"/>
  <c r="CW100" i="1"/>
  <c r="DD74" i="1"/>
  <c r="DA11" i="1"/>
  <c r="CV22" i="1"/>
  <c r="CZ28" i="1"/>
  <c r="DB90" i="1"/>
  <c r="CU4" i="1"/>
  <c r="DC3" i="1"/>
  <c r="CW72" i="1"/>
  <c r="DC6" i="1"/>
  <c r="CX11" i="1"/>
  <c r="CU22" i="1"/>
  <c r="CV3" i="1"/>
  <c r="DC84" i="1"/>
  <c r="CS84" i="1"/>
  <c r="CV91" i="1"/>
  <c r="CY20" i="1"/>
  <c r="CV105" i="1"/>
  <c r="CX3" i="1"/>
  <c r="DC71" i="1"/>
  <c r="DB7" i="1"/>
  <c r="CT94" i="1"/>
  <c r="DA108" i="1"/>
  <c r="CY83" i="1"/>
  <c r="CX68" i="1"/>
  <c r="CY13" i="1"/>
  <c r="DC81" i="1"/>
  <c r="CY11" i="1"/>
  <c r="DB100" i="1"/>
  <c r="CW109" i="1"/>
  <c r="CZ6" i="1"/>
  <c r="DA74" i="1"/>
  <c r="CV11" i="1"/>
  <c r="DC2" i="1"/>
  <c r="CS22" i="1"/>
  <c r="DB108" i="1"/>
  <c r="CX28" i="1"/>
  <c r="CS23" i="1"/>
  <c r="CX20" i="1"/>
  <c r="DB105" i="1"/>
  <c r="CY4" i="1"/>
  <c r="CW3" i="1"/>
  <c r="CV71" i="1"/>
  <c r="CY84" i="1"/>
  <c r="CV7" i="1"/>
  <c r="DA94" i="1"/>
  <c r="DC82" i="1"/>
  <c r="DB26" i="1"/>
  <c r="DB2" i="1"/>
  <c r="CU83" i="1"/>
  <c r="CW68" i="1"/>
  <c r="CV13" i="1"/>
  <c r="CY81" i="1"/>
  <c r="CZ100" i="1"/>
  <c r="CV6" i="1"/>
  <c r="CX74" i="1"/>
  <c r="CU11" i="1"/>
  <c r="DA2" i="1"/>
  <c r="DA22" i="1"/>
  <c r="CZ108" i="1"/>
  <c r="DD23" i="1"/>
  <c r="CW20" i="1"/>
  <c r="CY105" i="1"/>
  <c r="DD4" i="1"/>
  <c r="CT3" i="1"/>
  <c r="CZ71" i="1"/>
  <c r="CV84" i="1"/>
  <c r="CT13" i="1"/>
  <c r="DC16" i="1"/>
  <c r="DD13" i="1"/>
  <c r="CU100" i="1"/>
  <c r="DD6" i="1"/>
  <c r="DC11" i="1"/>
  <c r="CV108" i="1"/>
  <c r="CU20" i="1"/>
  <c r="CV90" i="1"/>
  <c r="CZ105" i="1"/>
  <c r="CW4" i="1"/>
  <c r="DB3" i="1"/>
  <c r="CU71" i="1"/>
  <c r="DA84" i="1"/>
  <c r="CT100" i="1"/>
  <c r="CS11" i="1"/>
  <c r="DC20" i="1"/>
  <c r="DA105" i="1"/>
  <c r="DB71" i="1"/>
  <c r="CX84" i="1"/>
  <c r="CW84" i="1"/>
  <c r="DB84" i="1"/>
  <c r="CS2" i="1"/>
  <c r="CU108" i="1"/>
  <c r="CW90" i="1"/>
  <c r="CU105" i="1"/>
  <c r="CU84" i="1"/>
  <c r="DD12" i="1"/>
  <c r="DD93" i="1"/>
  <c r="DA12" i="1"/>
  <c r="DA93" i="1"/>
  <c r="CX12" i="1"/>
  <c r="DB27" i="1"/>
  <c r="CX93" i="1"/>
  <c r="CU18" i="1"/>
  <c r="CW93" i="1"/>
  <c r="CT18" i="1"/>
  <c r="DC14" i="1"/>
  <c r="DB18" i="1"/>
  <c r="CY14" i="1"/>
  <c r="CT93" i="1"/>
  <c r="CZ27" i="1"/>
  <c r="CV27" i="1"/>
  <c r="DD18" i="1"/>
  <c r="CV14" i="1"/>
  <c r="CU27" i="1"/>
  <c r="CY18" i="1"/>
  <c r="CX21" i="1"/>
  <c r="CY8" i="1"/>
  <c r="DA18" i="1"/>
  <c r="CT14" i="1"/>
  <c r="DB12" i="1"/>
  <c r="DC27" i="1"/>
  <c r="DC95" i="1"/>
  <c r="CV8" i="1"/>
  <c r="CX18" i="1"/>
  <c r="DB14" i="1"/>
  <c r="CY12" i="1"/>
  <c r="CY27" i="1"/>
  <c r="CV95" i="1"/>
  <c r="CY95" i="1"/>
  <c r="CS8" i="1"/>
  <c r="CW18" i="1"/>
  <c r="CU62" i="1"/>
  <c r="DA98" i="1"/>
  <c r="CU14" i="1"/>
  <c r="CV12" i="1"/>
  <c r="CT27" i="1"/>
  <c r="CS27" i="1"/>
  <c r="DC93" i="1"/>
  <c r="CZ18" i="1"/>
  <c r="DD8" i="1"/>
  <c r="CY72" i="1"/>
  <c r="DA14" i="1"/>
  <c r="CU12" i="1"/>
  <c r="DD27" i="1"/>
  <c r="DB93" i="1"/>
  <c r="DA8" i="1"/>
  <c r="CT62" i="1"/>
  <c r="CX70" i="1"/>
  <c r="CX72" i="1"/>
  <c r="DB87" i="1"/>
  <c r="CX14" i="1"/>
  <c r="CS12" i="1"/>
  <c r="CX27" i="1"/>
  <c r="CV93" i="1"/>
  <c r="CW14" i="1"/>
  <c r="CV88" i="1"/>
  <c r="DA10" i="1"/>
  <c r="CX94" i="1"/>
  <c r="DD88" i="1"/>
  <c r="CW81" i="1"/>
  <c r="CU95" i="1"/>
  <c r="CU21" i="1"/>
  <c r="DB30" i="1"/>
  <c r="CW17" i="1"/>
  <c r="CX10" i="1"/>
  <c r="CU23" i="1"/>
  <c r="CU5" i="1"/>
  <c r="CV72" i="1"/>
  <c r="DA24" i="1"/>
  <c r="CW94" i="1"/>
  <c r="DA88" i="1"/>
  <c r="CS30" i="1"/>
  <c r="CS95" i="1"/>
  <c r="CT21" i="1"/>
  <c r="CZ30" i="1"/>
  <c r="CW10" i="1"/>
  <c r="CV23" i="1"/>
  <c r="DD5" i="1"/>
  <c r="CT72" i="1"/>
  <c r="CX24" i="1"/>
  <c r="DC94" i="1"/>
  <c r="CX88" i="1"/>
  <c r="CX95" i="1"/>
  <c r="DC21" i="1"/>
  <c r="CY30" i="1"/>
  <c r="DC23" i="1"/>
  <c r="CX5" i="1"/>
  <c r="CU72" i="1"/>
  <c r="CW24" i="1"/>
  <c r="CZ21" i="1"/>
  <c r="CW88" i="1"/>
  <c r="CU109" i="1"/>
  <c r="CW95" i="1"/>
  <c r="DB21" i="1"/>
  <c r="CZ23" i="1"/>
  <c r="CW5" i="1"/>
  <c r="CS72" i="1"/>
  <c r="CV81" i="1"/>
  <c r="CT109" i="1"/>
  <c r="CV21" i="1"/>
  <c r="CY88" i="1"/>
  <c r="CY23" i="1"/>
  <c r="CT5" i="1"/>
  <c r="DD98" i="1"/>
  <c r="DD72" i="1"/>
  <c r="CY94" i="1"/>
  <c r="CU81" i="1"/>
  <c r="DD109" i="1"/>
  <c r="CS21" i="1"/>
  <c r="CZ81" i="1"/>
  <c r="DC17" i="1"/>
  <c r="DC10" i="1"/>
  <c r="CT23" i="1"/>
  <c r="DA72" i="1"/>
  <c r="CZ84" i="1"/>
  <c r="DB94" i="1"/>
  <c r="DC109" i="1"/>
  <c r="CY10" i="1"/>
  <c r="DC24" i="1"/>
  <c r="CZ94" i="1"/>
  <c r="CY21" i="1"/>
  <c r="CS81" i="1"/>
  <c r="CU30" i="1"/>
  <c r="DB81" i="1"/>
  <c r="DA109" i="1"/>
  <c r="CV17" i="1"/>
  <c r="CT10" i="1"/>
  <c r="DA23" i="1"/>
  <c r="DC5" i="1"/>
  <c r="DB72" i="1"/>
  <c r="CV73" i="1"/>
  <c r="CT84" i="1"/>
  <c r="CZ24" i="1"/>
  <c r="CS94" i="1"/>
  <c r="DC88" i="1"/>
  <c r="DD81" i="1"/>
  <c r="DB95" i="1"/>
  <c r="CT30" i="1"/>
  <c r="CU17" i="1"/>
  <c r="DB10" i="1"/>
  <c r="CX23" i="1"/>
  <c r="DB5" i="1"/>
  <c r="DC72" i="1"/>
  <c r="DC73" i="1"/>
  <c r="CY24" i="1"/>
  <c r="DD94" i="1"/>
  <c r="DB88" i="1"/>
  <c r="DA81" i="1"/>
  <c r="CZ17" i="1"/>
  <c r="CZ95" i="1"/>
  <c r="DD30" i="1"/>
  <c r="CX109" i="1"/>
  <c r="CS17" i="1"/>
  <c r="CU10" i="1"/>
  <c r="CY5" i="1"/>
  <c r="CU73" i="1"/>
  <c r="CU24" i="1"/>
  <c r="CV75" i="1"/>
  <c r="CT69" i="1"/>
  <c r="CW12" i="1"/>
  <c r="CT31" i="1"/>
  <c r="CS66" i="1"/>
  <c r="CS92" i="1"/>
  <c r="CW106" i="1"/>
  <c r="CU8" i="1"/>
  <c r="CV83" i="1"/>
  <c r="CT68" i="1"/>
  <c r="DA27" i="1"/>
  <c r="CW16" i="1"/>
  <c r="CZ88" i="1"/>
  <c r="DB66" i="1"/>
  <c r="DD91" i="1"/>
  <c r="CY93" i="1"/>
  <c r="DB109" i="1"/>
  <c r="CT95" i="1"/>
  <c r="CS100" i="1"/>
  <c r="DA21" i="1"/>
  <c r="CY16" i="1"/>
  <c r="DB76" i="1"/>
  <c r="CU79" i="1"/>
  <c r="CZ9" i="1"/>
  <c r="CW2" i="1"/>
  <c r="DC18" i="1"/>
  <c r="CT17" i="1"/>
  <c r="DD22" i="1"/>
  <c r="CW19" i="1"/>
  <c r="CZ10" i="1"/>
  <c r="CY90" i="1"/>
  <c r="CS5" i="1"/>
  <c r="CT75" i="1"/>
  <c r="CV62" i="1"/>
  <c r="CT105" i="1"/>
  <c r="CT98" i="1"/>
  <c r="CS4" i="1"/>
  <c r="CY70" i="1"/>
  <c r="CT71" i="1"/>
  <c r="CZ73" i="1"/>
  <c r="CZ87" i="1"/>
  <c r="CT24" i="1"/>
  <c r="CZ14" i="1"/>
  <c r="CT102" i="1"/>
  <c r="CU101" i="1"/>
  <c r="CZ75" i="1"/>
  <c r="DD102" i="1"/>
  <c r="CT92" i="1"/>
  <c r="DD69" i="1"/>
  <c r="CT101" i="1"/>
  <c r="DC31" i="1"/>
  <c r="CY79" i="1"/>
  <c r="DA92" i="1"/>
  <c r="CT8" i="1"/>
  <c r="CS83" i="1"/>
  <c r="DD68" i="1"/>
  <c r="CU88" i="1"/>
  <c r="CY66" i="1"/>
  <c r="CX91" i="1"/>
  <c r="CU15" i="1"/>
  <c r="CU93" i="1"/>
  <c r="CY109" i="1"/>
  <c r="DD95" i="1"/>
  <c r="DA100" i="1"/>
  <c r="CV76" i="1"/>
  <c r="DD79" i="1"/>
  <c r="CW9" i="1"/>
  <c r="CZ12" i="1"/>
  <c r="DB8" i="1"/>
  <c r="CV18" i="1"/>
  <c r="DD17" i="1"/>
  <c r="CX22" i="1"/>
  <c r="CT108" i="1"/>
  <c r="CS10" i="1"/>
  <c r="CS90" i="1"/>
  <c r="DA5" i="1"/>
  <c r="CS75" i="1"/>
  <c r="CS62" i="1"/>
  <c r="CS105" i="1"/>
  <c r="DC98" i="1"/>
  <c r="DA4" i="1"/>
  <c r="CS70" i="1"/>
  <c r="CS71" i="1"/>
  <c r="CS73" i="1"/>
  <c r="CS87" i="1"/>
  <c r="CS24" i="1"/>
  <c r="CS14" i="1"/>
  <c r="DC102" i="1"/>
  <c r="DA69" i="1"/>
  <c r="DC12" i="1"/>
  <c r="DC101" i="1"/>
  <c r="DB31" i="1"/>
  <c r="CT79" i="1"/>
  <c r="DB9" i="1"/>
  <c r="DB106" i="1"/>
  <c r="DC68" i="1"/>
  <c r="DD83" i="1"/>
  <c r="CU16" i="1"/>
  <c r="CS88" i="1"/>
  <c r="CW91" i="1"/>
  <c r="CS93" i="1"/>
  <c r="CV109" i="1"/>
  <c r="CW22" i="1"/>
  <c r="DD75" i="1"/>
  <c r="DD62" i="1"/>
  <c r="DB98" i="1"/>
  <c r="DD73" i="1"/>
  <c r="DD87" i="1"/>
  <c r="DB102" i="1"/>
  <c r="CY101" i="1"/>
  <c r="DB101" i="1"/>
  <c r="DA75" i="1"/>
  <c r="DA62" i="1"/>
  <c r="CZ98" i="1"/>
  <c r="DA73" i="1"/>
  <c r="DA87" i="1"/>
  <c r="CZ102" i="1"/>
  <c r="CU6" i="1"/>
  <c r="CT6" i="1"/>
  <c r="CV101" i="1"/>
  <c r="CX75" i="1"/>
  <c r="CX62" i="1"/>
  <c r="CY98" i="1"/>
  <c r="CX73" i="1"/>
  <c r="CX87" i="1"/>
  <c r="CY102" i="1"/>
  <c r="CS101" i="1"/>
  <c r="CW75" i="1"/>
  <c r="CW62" i="1"/>
  <c r="CV98" i="1"/>
  <c r="CW73" i="1"/>
  <c r="CW87" i="1"/>
  <c r="CV102" i="1"/>
  <c r="CT15" i="1"/>
  <c r="DB15" i="1"/>
  <c r="DD101" i="1"/>
  <c r="DC75" i="1"/>
  <c r="DB62" i="1"/>
  <c r="CS98" i="1"/>
  <c r="CY73" i="1"/>
  <c r="DC87" i="1"/>
  <c r="CS102" i="1"/>
  <c r="DA101" i="1"/>
  <c r="DB75" i="1"/>
  <c r="DA102" i="1"/>
  <c r="CX101" i="1"/>
  <c r="CU75" i="1"/>
  <c r="DC62" i="1"/>
  <c r="CX98" i="1"/>
  <c r="CT73" i="1"/>
  <c r="CV87" i="1"/>
  <c r="CX102" i="1"/>
  <c r="CU92" i="1"/>
  <c r="CZ92" i="1"/>
  <c r="CW101" i="1"/>
  <c r="DD165" i="1" l="1"/>
  <c r="CZ165" i="1"/>
  <c r="CV165" i="1"/>
  <c r="CT165" i="1"/>
  <c r="CY165" i="1"/>
  <c r="CX165" i="1"/>
  <c r="DC165" i="1"/>
  <c r="CS165" i="1"/>
  <c r="CW165" i="1"/>
  <c r="DB165" i="1"/>
  <c r="DA165" i="1"/>
  <c r="CU165" i="1"/>
</calcChain>
</file>

<file path=xl/sharedStrings.xml><?xml version="1.0" encoding="utf-8"?>
<sst xmlns="http://schemas.openxmlformats.org/spreadsheetml/2006/main" count="705" uniqueCount="263">
  <si>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</si>
  <si>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</si>
  <si>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</si>
  <si>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</si>
  <si>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</si>
  <si>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</si>
  <si>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</si>
  <si>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</si>
  <si>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</si>
  <si>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</si>
  <si>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</si>
  <si>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</si>
  <si>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</si>
  <si>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</si>
  <si>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</si>
  <si>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</si>
  <si>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</si>
  <si>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</si>
  <si>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</si>
  <si>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</si>
  <si>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</si>
  <si>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</si>
  <si>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</si>
  <si>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</si>
  <si>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</si>
  <si>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</si>
  <si>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</si>
  <si>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</si>
  <si>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</si>
  <si>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</si>
  <si>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</si>
  <si>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</si>
  <si>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</si>
  <si>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</si>
  <si>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</si>
  <si>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</si>
  <si>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</si>
  <si>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</si>
  <si>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</si>
  <si>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</si>
  <si>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</si>
  <si>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</si>
  <si>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</si>
  <si>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</si>
  <si>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</si>
  <si>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</si>
  <si>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</si>
  <si>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</si>
  <si>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</si>
  <si>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</si>
  <si>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</si>
  <si>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</si>
  <si>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</si>
  <si>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</si>
  <si>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</si>
  <si>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</si>
  <si>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</si>
  <si>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</si>
  <si>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</si>
  <si>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</si>
  <si>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</si>
  <si>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</si>
  <si>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</si>
  <si>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</si>
  <si>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</si>
  <si>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</si>
  <si>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</si>
  <si>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</si>
  <si>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</si>
  <si>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</si>
  <si>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</si>
  <si>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</si>
  <si>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</si>
  <si>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</si>
  <si>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</si>
  <si>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</si>
  <si>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</si>
  <si>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</si>
  <si>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</si>
  <si>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</si>
  <si>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</si>
  <si>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</si>
  <si>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</si>
  <si>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</si>
  <si>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</si>
  <si>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</si>
  <si>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</si>
  <si>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</si>
  <si>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</si>
  <si>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</si>
  <si>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</si>
  <si>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</si>
  <si>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</si>
  <si>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</si>
  <si>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</si>
  <si>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</si>
  <si>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</si>
  <si>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</si>
  <si>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</si>
  <si>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</si>
  <si>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</si>
  <si>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</si>
  <si>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</si>
  <si>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</si>
  <si>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</si>
  <si>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</si>
  <si>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</si>
  <si>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</si>
  <si>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</si>
  <si>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</si>
  <si>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</si>
  <si>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</si>
  <si>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</si>
  <si>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</si>
  <si>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</si>
  <si>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</si>
  <si>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</si>
  <si>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</si>
  <si>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</si>
  <si>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</si>
  <si>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</si>
  <si>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</si>
  <si>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</si>
  <si>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</si>
  <si>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</si>
  <si>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</si>
  <si>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</si>
  <si>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</si>
  <si>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</si>
  <si>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</si>
  <si>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</si>
  <si>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</si>
  <si>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</si>
  <si>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</si>
  <si>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</si>
  <si>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</si>
  <si>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</si>
  <si>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</si>
  <si>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</si>
  <si>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</si>
  <si>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</si>
  <si>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</si>
  <si>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</si>
  <si>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</si>
  <si>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桂花(5),_x000D_
桂花酒(5),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</si>
  <si>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</si>
  <si>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</si>
  <si>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</si>
  <si>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</si>
  <si>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金甲虫(8),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</si>
  <si>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</si>
  <si>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</si>
  <si>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</si>
  <si>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</si>
  <si>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</si>
  <si>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</si>
  <si>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</si>
  <si>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</si>
  <si>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</si>
  <si>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</si>
  <si>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</si>
  <si>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</si>
  <si>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</si>
  <si>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</si>
  <si>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</si>
  <si>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</si>
  <si>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</si>
  <si>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</si>
  <si>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明珠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</si>
  <si>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</si>
  <si>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</si>
  <si>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</si>
  <si>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</si>
  <si>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</si>
  <si>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</si>
  <si>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</si>
  <si>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付炬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</si>
  <si>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</si>
  <si>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</si>
  <si>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</si>
  <si>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</si>
  <si>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</si>
  <si>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汪仔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</si>
  <si>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</si>
  <si>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</si>
  <si>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</si>
  <si>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</si>
  <si>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</si>
  <si>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</si>
  <si>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</si>
  <si>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</si>
  <si>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夕</t>
    <phoneticPr fontId="1" type="noConversion"/>
  </si>
  <si>
    <t>秘窟冰晶卵(8),</t>
  </si>
  <si>
    <t>炼妖壶(4),</t>
    <phoneticPr fontId="1" type="noConversion"/>
  </si>
  <si>
    <t>桂花酒(5),</t>
  </si>
  <si>
    <t>桂花(5),</t>
  </si>
  <si>
    <t>龙灵不朽藤(2),</t>
  </si>
  <si>
    <t>龙灵不朽藤(2),</t>
    <phoneticPr fontId="1" type="noConversion"/>
  </si>
  <si>
    <t>秘窟冰晶卵(13),</t>
  </si>
  <si>
    <t>秘窟冰晶卵(13),</t>
    <phoneticPr fontId="1" type="noConversion"/>
  </si>
  <si>
    <t>彗星(25),</t>
    <phoneticPr fontId="1" type="noConversion"/>
  </si>
  <si>
    <t>六方天运骰(6),_x000D_
力量符文叉大(2),</t>
    <phoneticPr fontId="1" type="noConversion"/>
  </si>
  <si>
    <t>炼妖壶(9),_x000D_
赤焰十字星(2),</t>
    <phoneticPr fontId="1" type="noConversion"/>
  </si>
  <si>
    <t>炼妖壶(14),</t>
    <phoneticPr fontId="1" type="noConversion"/>
  </si>
  <si>
    <t>龙灵不朽藤(7),</t>
  </si>
  <si>
    <t>龙灵不朽藤(7),</t>
    <phoneticPr fontId="1" type="noConversion"/>
  </si>
  <si>
    <t>超进阶素材水(45),_x000D_
超进阶素材火(50),_x000D_
超进阶素材光(50),_x000D_
超进阶素材暗(50),</t>
  </si>
  <si>
    <t>超进阶素材土(45),_x000D_
超进阶素材木(50),_x000D_
超进阶素材光(50),_x000D_
超进阶素材暗(50),</t>
  </si>
  <si>
    <t>六方天运骰(1),</t>
  </si>
  <si>
    <t>赤焰十字星(27),_x000D_
力量符文叉大(22),_x000D_
逆鳞(10),_x000D_
星座素材火(2),</t>
  </si>
  <si>
    <t>糯米(3),_x000D_
粽叶(5),</t>
  </si>
  <si>
    <t>糯米(5),_x000D_
粽叶(10),</t>
  </si>
  <si>
    <t>糯米(10),_x000D_
粽叶(10),</t>
  </si>
  <si>
    <t>糯米(2),</t>
  </si>
  <si>
    <t>糯米(5),_x000D_
粽叶(1),</t>
  </si>
  <si>
    <t>神农鼎(2),_x000D_
幸运符文叉大(4),</t>
  </si>
  <si>
    <t>幸运符文叉大(4),</t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</si>
  <si>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</si>
  <si>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</si>
  <si>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</si>
  <si>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</si>
  <si>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</si>
  <si>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</si>
  <si>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</si>
  <si>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</si>
  <si>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</si>
  <si>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</si>
  <si>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</si>
  <si>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</si>
  <si>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</si>
  <si>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</si>
  <si>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</si>
  <si>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</si>
  <si>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</si>
  <si>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</si>
  <si>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</si>
  <si>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</si>
  <si>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</si>
  <si>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</si>
  <si>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</si>
  <si>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</si>
  <si>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</si>
  <si>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</si>
  <si>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</si>
  <si>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</si>
  <si>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</si>
  <si>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</si>
  <si>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圆蛋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</si>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</sst>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169</xdr:row>
          <xdr:rowOff>28575</xdr:rowOff>
        </xdr:from>
        <xdr:to>
          <xdr:col>1</xdr:col>
          <xdr:colOff>428625</xdr:colOff>
          <xdr:row>170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E167"/>
  <sheetViews>
    <sheetView tabSelected="1" workbookViewId="0">
      <pane xSplit="2" ySplit="1" topLeftCell="AV145" activePane="bottomRight" state="frozen"/>
      <selection pane="topRight" activeCell="C1" sqref="C1"/>
      <selection pane="bottomLeft" activeCell="A3" sqref="A3"/>
      <selection pane="bottomRight" activeCell="BC163" sqref="BC16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42" width="13.75" style="7" customWidth="1"/>
    <col min="43" max="43" width="11.75" bestFit="1" customWidth="1"/>
    <col min="44" max="46" width="9.75" bestFit="1" customWidth="1"/>
    <col min="47" max="47" width="11.75" bestFit="1" customWidth="1"/>
    <col min="48" max="49" width="9.75" bestFit="1" customWidth="1"/>
    <col min="50" max="50" width="11.75" bestFit="1" customWidth="1"/>
    <col min="51" max="52" width="9.75" bestFit="1" customWidth="1"/>
    <col min="53" max="54" width="9.75" customWidth="1"/>
    <col min="55" max="60" width="15.875" style="7" bestFit="1" customWidth="1"/>
    <col min="61" max="66" width="18.125" style="7" bestFit="1" customWidth="1"/>
    <col min="67" max="67" width="18.125" style="7" customWidth="1"/>
    <col min="68" max="73" width="15.875" bestFit="1" customWidth="1"/>
    <col min="74" max="79" width="18.125" bestFit="1" customWidth="1"/>
    <col min="80" max="80" width="9.75" bestFit="1" customWidth="1"/>
    <col min="81" max="81" width="7.5" customWidth="1"/>
    <col min="82" max="82" width="7.625" style="15" customWidth="1"/>
    <col min="83" max="83" width="18.625" style="15" bestFit="1" customWidth="1"/>
    <col min="84" max="89" width="11.875" bestFit="1" customWidth="1"/>
    <col min="90" max="95" width="14.125" bestFit="1" customWidth="1"/>
  </cols>
  <sheetData>
    <row r="1" spans="1:109" s="13" customFormat="1" x14ac:dyDescent="0.15">
      <c r="A1" s="8" t="s">
        <v>108</v>
      </c>
      <c r="B1" s="8" t="s">
        <v>109</v>
      </c>
      <c r="C1" s="8" t="s">
        <v>111</v>
      </c>
      <c r="D1" s="8" t="s">
        <v>110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105</v>
      </c>
      <c r="K1" s="9" t="s">
        <v>31</v>
      </c>
      <c r="L1" s="9" t="s">
        <v>56</v>
      </c>
      <c r="M1" s="9" t="s">
        <v>62</v>
      </c>
      <c r="N1" s="9" t="s">
        <v>68</v>
      </c>
      <c r="O1" s="9" t="s">
        <v>61</v>
      </c>
      <c r="P1" s="9" t="s">
        <v>27</v>
      </c>
      <c r="Q1" s="9" t="s">
        <v>73</v>
      </c>
      <c r="R1" s="9" t="s">
        <v>99</v>
      </c>
      <c r="S1" s="9" t="s">
        <v>75</v>
      </c>
      <c r="T1" s="9" t="s">
        <v>89</v>
      </c>
      <c r="U1" s="9" t="s">
        <v>76</v>
      </c>
      <c r="V1" s="9" t="s">
        <v>97</v>
      </c>
      <c r="W1" s="9" t="s">
        <v>54</v>
      </c>
      <c r="X1" s="9" t="s">
        <v>69</v>
      </c>
      <c r="Y1" s="9" t="s">
        <v>98</v>
      </c>
      <c r="Z1" s="9" t="s">
        <v>78</v>
      </c>
      <c r="AA1" s="9" t="s">
        <v>90</v>
      </c>
      <c r="AB1" s="31" t="s">
        <v>223</v>
      </c>
      <c r="AC1" s="31" t="s">
        <v>235</v>
      </c>
      <c r="AD1" s="31" t="s">
        <v>229</v>
      </c>
      <c r="AE1" s="31" t="s">
        <v>224</v>
      </c>
      <c r="AF1" s="31" t="s">
        <v>233</v>
      </c>
      <c r="AG1" s="31" t="s">
        <v>239</v>
      </c>
      <c r="AH1" s="31" t="s">
        <v>225</v>
      </c>
      <c r="AI1" s="31" t="s">
        <v>232</v>
      </c>
      <c r="AJ1" s="31" t="s">
        <v>230</v>
      </c>
      <c r="AK1" s="31" t="s">
        <v>226</v>
      </c>
      <c r="AL1" s="31" t="s">
        <v>234</v>
      </c>
      <c r="AM1" s="31" t="s">
        <v>241</v>
      </c>
      <c r="AN1" s="31" t="s">
        <v>228</v>
      </c>
      <c r="AO1" s="31" t="s">
        <v>227</v>
      </c>
      <c r="AP1" s="31" t="s">
        <v>258</v>
      </c>
      <c r="AQ1" s="8" t="s">
        <v>10</v>
      </c>
      <c r="AR1" s="8" t="s">
        <v>37</v>
      </c>
      <c r="AS1" s="8" t="s">
        <v>38</v>
      </c>
      <c r="AT1" s="8" t="s">
        <v>91</v>
      </c>
      <c r="AU1" s="8" t="s">
        <v>92</v>
      </c>
      <c r="AV1" s="8" t="s">
        <v>94</v>
      </c>
      <c r="AW1" s="8" t="s">
        <v>95</v>
      </c>
      <c r="AX1" s="8" t="s">
        <v>100</v>
      </c>
      <c r="AY1" s="8" t="s">
        <v>70</v>
      </c>
      <c r="AZ1" s="8" t="s">
        <v>72</v>
      </c>
      <c r="BA1" s="8" t="s">
        <v>161</v>
      </c>
      <c r="BB1" s="8" t="s">
        <v>162</v>
      </c>
      <c r="BC1" s="10" t="s">
        <v>51</v>
      </c>
      <c r="BD1" s="10" t="s">
        <v>5</v>
      </c>
      <c r="BE1" s="10" t="s">
        <v>35</v>
      </c>
      <c r="BF1" s="10" t="s">
        <v>79</v>
      </c>
      <c r="BG1" s="10" t="s">
        <v>87</v>
      </c>
      <c r="BH1" s="10" t="s">
        <v>66</v>
      </c>
      <c r="BI1" s="11" t="s">
        <v>6</v>
      </c>
      <c r="BJ1" s="11" t="s">
        <v>7</v>
      </c>
      <c r="BK1" s="11" t="s">
        <v>52</v>
      </c>
      <c r="BL1" s="11" t="s">
        <v>9</v>
      </c>
      <c r="BM1" s="11" t="s">
        <v>65</v>
      </c>
      <c r="BN1" s="11" t="s">
        <v>14</v>
      </c>
      <c r="BO1" s="29" t="s">
        <v>157</v>
      </c>
      <c r="BP1" s="8" t="s">
        <v>19</v>
      </c>
      <c r="BQ1" s="8" t="s">
        <v>18</v>
      </c>
      <c r="BR1" s="8" t="s">
        <v>16</v>
      </c>
      <c r="BS1" s="8" t="s">
        <v>17</v>
      </c>
      <c r="BT1" s="8" t="s">
        <v>20</v>
      </c>
      <c r="BU1" s="8" t="s">
        <v>21</v>
      </c>
      <c r="BV1" s="8" t="s">
        <v>42</v>
      </c>
      <c r="BW1" s="8" t="s">
        <v>43</v>
      </c>
      <c r="BX1" s="8" t="s">
        <v>44</v>
      </c>
      <c r="BY1" s="8" t="s">
        <v>45</v>
      </c>
      <c r="BZ1" s="8" t="s">
        <v>46</v>
      </c>
      <c r="CA1" s="8" t="s">
        <v>47</v>
      </c>
      <c r="CB1" s="12" t="s">
        <v>116</v>
      </c>
      <c r="CC1" s="8" t="s">
        <v>117</v>
      </c>
      <c r="CD1" s="16" t="s">
        <v>118</v>
      </c>
      <c r="CE1" s="16"/>
      <c r="CF1" s="10" t="s">
        <v>51</v>
      </c>
      <c r="CG1" s="10" t="s">
        <v>5</v>
      </c>
      <c r="CH1" s="10" t="s">
        <v>35</v>
      </c>
      <c r="CI1" s="10" t="s">
        <v>79</v>
      </c>
      <c r="CJ1" s="10" t="s">
        <v>87</v>
      </c>
      <c r="CK1" s="10" t="s">
        <v>66</v>
      </c>
      <c r="CL1" s="11" t="s">
        <v>6</v>
      </c>
      <c r="CM1" s="11" t="s">
        <v>7</v>
      </c>
      <c r="CN1" s="11" t="s">
        <v>52</v>
      </c>
      <c r="CO1" s="11" t="s">
        <v>9</v>
      </c>
      <c r="CP1" s="11" t="s">
        <v>65</v>
      </c>
      <c r="CQ1" s="11" t="s">
        <v>14</v>
      </c>
      <c r="CR1" s="8"/>
      <c r="CS1" s="10" t="s">
        <v>51</v>
      </c>
      <c r="CT1" s="10" t="s">
        <v>5</v>
      </c>
      <c r="CU1" s="10" t="s">
        <v>35</v>
      </c>
      <c r="CV1" s="10" t="s">
        <v>79</v>
      </c>
      <c r="CW1" s="10" t="s">
        <v>87</v>
      </c>
      <c r="CX1" s="10" t="s">
        <v>66</v>
      </c>
      <c r="CY1" s="11" t="s">
        <v>6</v>
      </c>
      <c r="CZ1" s="11" t="s">
        <v>7</v>
      </c>
      <c r="DA1" s="11" t="s">
        <v>52</v>
      </c>
      <c r="DB1" s="11" t="s">
        <v>9</v>
      </c>
      <c r="DC1" s="11" t="s">
        <v>65</v>
      </c>
      <c r="DD1" s="11" t="s">
        <v>14</v>
      </c>
      <c r="DE1" s="28"/>
    </row>
    <row r="2" spans="1:109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4"/>
      <c r="BD2" s="4"/>
      <c r="BE2" s="4"/>
      <c r="BF2" s="4"/>
      <c r="BG2" s="4"/>
      <c r="BH2" s="4"/>
      <c r="BI2" s="2"/>
      <c r="BJ2" s="2"/>
      <c r="BK2" s="2"/>
      <c r="BL2" s="2"/>
      <c r="BM2" s="2"/>
      <c r="BN2" s="2"/>
      <c r="BO2" s="14"/>
      <c r="BP2" s="1"/>
      <c r="BQ2" s="1"/>
      <c r="BR2" s="1">
        <v>20</v>
      </c>
      <c r="BS2" s="1">
        <v>20</v>
      </c>
      <c r="BT2" s="1">
        <v>20</v>
      </c>
      <c r="BU2" s="1">
        <v>20</v>
      </c>
      <c r="BV2" s="1"/>
      <c r="BW2" s="1"/>
      <c r="BX2" s="1"/>
      <c r="BY2" s="1"/>
      <c r="BZ2" s="1"/>
      <c r="CA2" s="1"/>
      <c r="CB2" s="1">
        <f t="shared" ref="CB2:CB31" si="0">SUM(E2:CA2)</f>
        <v>80</v>
      </c>
      <c r="CC2" s="1">
        <v>0</v>
      </c>
      <c r="CD2" s="17">
        <v>0</v>
      </c>
      <c r="CE2" s="17"/>
      <c r="CF2" s="1" t="str">
        <f>IF(BC2&gt;BC$166, BC2-BC$166,"")</f>
        <v/>
      </c>
      <c r="CG2" s="1" t="str">
        <f>IF(BD2&gt;BD$166, BD2-BD$166,"")</f>
        <v/>
      </c>
      <c r="CH2" s="1" t="str">
        <f>IF(BE2&gt;BE$166, BE2-BE$166,"")</f>
        <v/>
      </c>
      <c r="CI2" s="1" t="str">
        <f>IF(BF2&gt;BF$166, BF2-BF$166,"")</f>
        <v/>
      </c>
      <c r="CJ2" s="1" t="str">
        <f>IF(BG2&gt;BG$166, BG2-BG$166,"")</f>
        <v/>
      </c>
      <c r="CK2" s="1" t="str">
        <f>IF(BH2&gt;BH$166, BH2-BH$166,"")</f>
        <v/>
      </c>
      <c r="CL2" s="1" t="str">
        <f>IF(BI2&gt;BI$166, BI2-BI$166,"")</f>
        <v/>
      </c>
      <c r="CM2" s="1" t="str">
        <f>IF(BJ2&gt;BJ$166, BJ2-BJ$166,"")</f>
        <v/>
      </c>
      <c r="CN2" s="1" t="str">
        <f>IF(BK2&gt;BK$166, BK2-BK$166,"")</f>
        <v/>
      </c>
      <c r="CO2" s="1" t="str">
        <f>IF(BL2&gt;BL$166, BL2-BL$166,"")</f>
        <v/>
      </c>
      <c r="CP2" s="1" t="str">
        <f>IF(BM2&gt;BM$166, BM2-BM$166,"")</f>
        <v/>
      </c>
      <c r="CQ2" s="1" t="str">
        <f>IF(BN2&gt;BN$166, BN2-BN$166,"")</f>
        <v/>
      </c>
      <c r="CR2" s="1">
        <f>12-COUNTA(CF2:CQ2)</f>
        <v>0</v>
      </c>
      <c r="CS2" s="1" t="str">
        <f t="shared" ref="CS2:CS31" si="1">IF($CR2=1,CF2,"")</f>
        <v/>
      </c>
      <c r="CT2" s="1" t="str">
        <f t="shared" ref="CT2:CT31" si="2">IF($CR2=1,CG2,"")</f>
        <v/>
      </c>
      <c r="CU2" s="1" t="str">
        <f t="shared" ref="CU2:CU31" si="3">IF($CR2=1,CH2,"")</f>
        <v/>
      </c>
      <c r="CV2" s="1" t="str">
        <f t="shared" ref="CV2:CV31" si="4">IF($CR2=1,CI2,"")</f>
        <v/>
      </c>
      <c r="CW2" s="1" t="str">
        <f t="shared" ref="CW2:CW31" si="5">IF($CR2=1,CJ2,"")</f>
        <v/>
      </c>
      <c r="CX2" s="1" t="str">
        <f t="shared" ref="CX2:CX31" si="6">IF($CR2=1,CK2,"")</f>
        <v/>
      </c>
      <c r="CY2" s="1" t="str">
        <f t="shared" ref="CY2:CY31" si="7">IF($CR2=1,CL2,"")</f>
        <v/>
      </c>
      <c r="CZ2" s="1" t="str">
        <f t="shared" ref="CZ2:CZ31" si="8">IF($CR2=1,CM2,"")</f>
        <v/>
      </c>
      <c r="DA2" s="1" t="str">
        <f t="shared" ref="DA2:DA31" si="9">IF($CR2=1,CN2,"")</f>
        <v/>
      </c>
      <c r="DB2" s="1" t="str">
        <f t="shared" ref="DB2:DB31" si="10">IF($CR2=1,CO2,"")</f>
        <v/>
      </c>
      <c r="DC2" s="1" t="str">
        <f t="shared" ref="DC2:DC31" si="11">IF($CR2=1,CP2,"")</f>
        <v/>
      </c>
      <c r="DD2" s="1" t="str">
        <f t="shared" ref="DD2:DD31" si="12">IF($CR2=1,CQ2,"")</f>
        <v/>
      </c>
      <c r="DE2" s="18">
        <f t="shared" ref="DE2:DE31" si="13">SUM(AQ2:CA2)</f>
        <v>80</v>
      </c>
    </row>
    <row r="3" spans="1:109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4"/>
      <c r="BD3" s="4"/>
      <c r="BE3" s="4"/>
      <c r="BF3" s="4"/>
      <c r="BG3" s="4"/>
      <c r="BH3" s="4"/>
      <c r="BI3" s="2"/>
      <c r="BJ3" s="2"/>
      <c r="BK3" s="2"/>
      <c r="BL3" s="2"/>
      <c r="BM3" s="2"/>
      <c r="BN3" s="2"/>
      <c r="BO3" s="14"/>
      <c r="BP3" s="1">
        <v>20</v>
      </c>
      <c r="BQ3" s="1">
        <v>20</v>
      </c>
      <c r="BR3" s="1">
        <v>20</v>
      </c>
      <c r="BS3" s="1">
        <v>20</v>
      </c>
      <c r="BT3" s="1"/>
      <c r="BU3" s="1"/>
      <c r="BV3" s="1"/>
      <c r="BW3" s="1"/>
      <c r="BX3" s="1"/>
      <c r="BY3" s="1"/>
      <c r="BZ3" s="1"/>
      <c r="CA3" s="1"/>
      <c r="CB3" s="1">
        <f t="shared" si="0"/>
        <v>80</v>
      </c>
      <c r="CC3" s="1">
        <v>0</v>
      </c>
      <c r="CD3" s="17">
        <v>0</v>
      </c>
      <c r="CE3" s="17"/>
      <c r="CF3" s="1" t="str">
        <f>IF(BC3&gt;BC$166, BC3-BC$166,"")</f>
        <v/>
      </c>
      <c r="CG3" s="1" t="str">
        <f>IF(BD3&gt;BD$166, BD3-BD$166,"")</f>
        <v/>
      </c>
      <c r="CH3" s="1" t="str">
        <f>IF(BE3&gt;BE$166, BE3-BE$166,"")</f>
        <v/>
      </c>
      <c r="CI3" s="1" t="str">
        <f>IF(BF3&gt;BF$166, BF3-BF$166,"")</f>
        <v/>
      </c>
      <c r="CJ3" s="1" t="str">
        <f>IF(BG3&gt;BG$166, BG3-BG$166,"")</f>
        <v/>
      </c>
      <c r="CK3" s="1" t="str">
        <f>IF(BH3&gt;BH$166, BH3-BH$166,"")</f>
        <v/>
      </c>
      <c r="CL3" s="1" t="str">
        <f>IF(BI3&gt;BI$166, BI3-BI$166,"")</f>
        <v/>
      </c>
      <c r="CM3" s="1" t="str">
        <f>IF(BJ3&gt;BJ$166, BJ3-BJ$166,"")</f>
        <v/>
      </c>
      <c r="CN3" s="1" t="str">
        <f>IF(BK3&gt;BK$166, BK3-BK$166,"")</f>
        <v/>
      </c>
      <c r="CO3" s="1" t="str">
        <f>IF(BL3&gt;BL$166, BL3-BL$166,"")</f>
        <v/>
      </c>
      <c r="CP3" s="1" t="str">
        <f>IF(BM3&gt;BM$166, BM3-BM$166,"")</f>
        <v/>
      </c>
      <c r="CQ3" s="1" t="str">
        <f>IF(BN3&gt;BN$166, BN3-BN$166,"")</f>
        <v/>
      </c>
      <c r="CR3" s="1">
        <f>12-COUNTA(CF3:CQ3)</f>
        <v>0</v>
      </c>
      <c r="CS3" s="1" t="str">
        <f t="shared" si="1"/>
        <v/>
      </c>
      <c r="CT3" s="1" t="str">
        <f t="shared" si="2"/>
        <v/>
      </c>
      <c r="CU3" s="1" t="str">
        <f t="shared" si="3"/>
        <v/>
      </c>
      <c r="CV3" s="1" t="str">
        <f t="shared" si="4"/>
        <v/>
      </c>
      <c r="CW3" s="1" t="str">
        <f t="shared" si="5"/>
        <v/>
      </c>
      <c r="CX3" s="1" t="str">
        <f t="shared" si="6"/>
        <v/>
      </c>
      <c r="CY3" s="1" t="str">
        <f t="shared" si="7"/>
        <v/>
      </c>
      <c r="CZ3" s="1" t="str">
        <f t="shared" si="8"/>
        <v/>
      </c>
      <c r="DA3" s="1" t="str">
        <f t="shared" si="9"/>
        <v/>
      </c>
      <c r="DB3" s="1" t="str">
        <f t="shared" si="10"/>
        <v/>
      </c>
      <c r="DC3" s="1" t="str">
        <f t="shared" si="11"/>
        <v/>
      </c>
      <c r="DD3" s="1" t="str">
        <f t="shared" si="12"/>
        <v/>
      </c>
      <c r="DE3" s="18">
        <f t="shared" si="13"/>
        <v>80</v>
      </c>
    </row>
    <row r="4" spans="1:109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4"/>
      <c r="BD4" s="4"/>
      <c r="BE4" s="4"/>
      <c r="BF4" s="4"/>
      <c r="BG4" s="4"/>
      <c r="BH4" s="4"/>
      <c r="BI4" s="2"/>
      <c r="BJ4" s="2"/>
      <c r="BK4" s="2"/>
      <c r="BL4" s="2"/>
      <c r="BM4" s="2"/>
      <c r="BN4" s="2"/>
      <c r="BO4" s="14"/>
      <c r="BP4" s="1">
        <v>20</v>
      </c>
      <c r="BQ4" s="1">
        <v>20</v>
      </c>
      <c r="BR4" s="1">
        <v>20</v>
      </c>
      <c r="BS4" s="1">
        <v>20</v>
      </c>
      <c r="BT4" s="1"/>
      <c r="BU4" s="1"/>
      <c r="BV4" s="1"/>
      <c r="BW4" s="1"/>
      <c r="BX4" s="1"/>
      <c r="BY4" s="1"/>
      <c r="BZ4" s="1"/>
      <c r="CA4" s="1"/>
      <c r="CB4" s="1">
        <f t="shared" si="0"/>
        <v>80</v>
      </c>
      <c r="CC4" s="1">
        <v>0</v>
      </c>
      <c r="CD4" s="17">
        <v>0</v>
      </c>
      <c r="CE4" s="17"/>
      <c r="CF4" s="1" t="str">
        <f>IF(BC4&gt;BC$166, BC4-BC$166,"")</f>
        <v/>
      </c>
      <c r="CG4" s="1" t="str">
        <f>IF(BD4&gt;BD$166, BD4-BD$166,"")</f>
        <v/>
      </c>
      <c r="CH4" s="1" t="str">
        <f>IF(BE4&gt;BE$166, BE4-BE$166,"")</f>
        <v/>
      </c>
      <c r="CI4" s="1" t="str">
        <f>IF(BF4&gt;BF$166, BF4-BF$166,"")</f>
        <v/>
      </c>
      <c r="CJ4" s="1" t="str">
        <f>IF(BG4&gt;BG$166, BG4-BG$166,"")</f>
        <v/>
      </c>
      <c r="CK4" s="1" t="str">
        <f>IF(BH4&gt;BH$166, BH4-BH$166,"")</f>
        <v/>
      </c>
      <c r="CL4" s="1" t="str">
        <f>IF(BI4&gt;BI$166, BI4-BI$166,"")</f>
        <v/>
      </c>
      <c r="CM4" s="1" t="str">
        <f>IF(BJ4&gt;BJ$166, BJ4-BJ$166,"")</f>
        <v/>
      </c>
      <c r="CN4" s="1" t="str">
        <f>IF(BK4&gt;BK$166, BK4-BK$166,"")</f>
        <v/>
      </c>
      <c r="CO4" s="1" t="str">
        <f>IF(BL4&gt;BL$166, BL4-BL$166,"")</f>
        <v/>
      </c>
      <c r="CP4" s="1" t="str">
        <f>IF(BM4&gt;BM$166, BM4-BM$166,"")</f>
        <v/>
      </c>
      <c r="CQ4" s="1" t="str">
        <f>IF(BN4&gt;BN$166, BN4-BN$166,"")</f>
        <v/>
      </c>
      <c r="CR4" s="1">
        <f>12-COUNTA(CF4:CQ4)</f>
        <v>0</v>
      </c>
      <c r="CS4" s="1" t="str">
        <f t="shared" si="1"/>
        <v/>
      </c>
      <c r="CT4" s="1" t="str">
        <f t="shared" si="2"/>
        <v/>
      </c>
      <c r="CU4" s="1" t="str">
        <f t="shared" si="3"/>
        <v/>
      </c>
      <c r="CV4" s="1" t="str">
        <f t="shared" si="4"/>
        <v/>
      </c>
      <c r="CW4" s="1" t="str">
        <f t="shared" si="5"/>
        <v/>
      </c>
      <c r="CX4" s="1" t="str">
        <f t="shared" si="6"/>
        <v/>
      </c>
      <c r="CY4" s="1" t="str">
        <f t="shared" si="7"/>
        <v/>
      </c>
      <c r="CZ4" s="1" t="str">
        <f t="shared" si="8"/>
        <v/>
      </c>
      <c r="DA4" s="1" t="str">
        <f t="shared" si="9"/>
        <v/>
      </c>
      <c r="DB4" s="1" t="str">
        <f t="shared" si="10"/>
        <v/>
      </c>
      <c r="DC4" s="1" t="str">
        <f t="shared" si="11"/>
        <v/>
      </c>
      <c r="DD4" s="1" t="str">
        <f t="shared" si="12"/>
        <v/>
      </c>
      <c r="DE4" s="18">
        <f t="shared" si="13"/>
        <v>80</v>
      </c>
    </row>
    <row r="5" spans="1:109" x14ac:dyDescent="0.15">
      <c r="A5" s="1">
        <v>55</v>
      </c>
      <c r="B5" s="1" t="s">
        <v>63</v>
      </c>
      <c r="C5" s="1" t="s">
        <v>64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4"/>
      <c r="BD5" s="4"/>
      <c r="BE5" s="4"/>
      <c r="BF5" s="4"/>
      <c r="BG5" s="4"/>
      <c r="BH5" s="4"/>
      <c r="BI5" s="2"/>
      <c r="BJ5" s="2"/>
      <c r="BK5" s="2"/>
      <c r="BL5" s="2"/>
      <c r="BM5" s="2"/>
      <c r="BN5" s="2"/>
      <c r="BO5" s="14"/>
      <c r="BP5" s="1">
        <v>20</v>
      </c>
      <c r="BQ5" s="1">
        <v>20</v>
      </c>
      <c r="BR5" s="1"/>
      <c r="BS5" s="1"/>
      <c r="BT5" s="1">
        <v>20</v>
      </c>
      <c r="BU5" s="1">
        <v>20</v>
      </c>
      <c r="BV5" s="1"/>
      <c r="BW5" s="1"/>
      <c r="BX5" s="1"/>
      <c r="BY5" s="1"/>
      <c r="BZ5" s="1"/>
      <c r="CA5" s="1"/>
      <c r="CB5" s="1">
        <f t="shared" si="0"/>
        <v>80</v>
      </c>
      <c r="CC5" s="1">
        <v>0</v>
      </c>
      <c r="CD5" s="17">
        <v>0</v>
      </c>
      <c r="CE5" s="17"/>
      <c r="CF5" s="1" t="str">
        <f>IF(BC5&gt;BC$166, BC5-BC$166,"")</f>
        <v/>
      </c>
      <c r="CG5" s="1" t="str">
        <f>IF(BD5&gt;BD$166, BD5-BD$166,"")</f>
        <v/>
      </c>
      <c r="CH5" s="1" t="str">
        <f>IF(BE5&gt;BE$166, BE5-BE$166,"")</f>
        <v/>
      </c>
      <c r="CI5" s="1" t="str">
        <f>IF(BF5&gt;BF$166, BF5-BF$166,"")</f>
        <v/>
      </c>
      <c r="CJ5" s="1" t="str">
        <f>IF(BG5&gt;BG$166, BG5-BG$166,"")</f>
        <v/>
      </c>
      <c r="CK5" s="1" t="str">
        <f>IF(BH5&gt;BH$166, BH5-BH$166,"")</f>
        <v/>
      </c>
      <c r="CL5" s="1" t="str">
        <f>IF(BI5&gt;BI$166, BI5-BI$166,"")</f>
        <v/>
      </c>
      <c r="CM5" s="1" t="str">
        <f>IF(BJ5&gt;BJ$166, BJ5-BJ$166,"")</f>
        <v/>
      </c>
      <c r="CN5" s="1" t="str">
        <f>IF(BK5&gt;BK$166, BK5-BK$166,"")</f>
        <v/>
      </c>
      <c r="CO5" s="1" t="str">
        <f>IF(BL5&gt;BL$166, BL5-BL$166,"")</f>
        <v/>
      </c>
      <c r="CP5" s="1" t="str">
        <f>IF(BM5&gt;BM$166, BM5-BM$166,"")</f>
        <v/>
      </c>
      <c r="CQ5" s="1" t="str">
        <f>IF(BN5&gt;BN$166, BN5-BN$166,"")</f>
        <v/>
      </c>
      <c r="CR5" s="1">
        <f>12-COUNTA(CF5:CQ5)</f>
        <v>0</v>
      </c>
      <c r="CS5" s="1" t="str">
        <f t="shared" si="1"/>
        <v/>
      </c>
      <c r="CT5" s="1" t="str">
        <f t="shared" si="2"/>
        <v/>
      </c>
      <c r="CU5" s="1" t="str">
        <f t="shared" si="3"/>
        <v/>
      </c>
      <c r="CV5" s="1" t="str">
        <f t="shared" si="4"/>
        <v/>
      </c>
      <c r="CW5" s="1" t="str">
        <f t="shared" si="5"/>
        <v/>
      </c>
      <c r="CX5" s="1" t="str">
        <f t="shared" si="6"/>
        <v/>
      </c>
      <c r="CY5" s="1" t="str">
        <f t="shared" si="7"/>
        <v/>
      </c>
      <c r="CZ5" s="1" t="str">
        <f t="shared" si="8"/>
        <v/>
      </c>
      <c r="DA5" s="1" t="str">
        <f t="shared" si="9"/>
        <v/>
      </c>
      <c r="DB5" s="1" t="str">
        <f t="shared" si="10"/>
        <v/>
      </c>
      <c r="DC5" s="1" t="str">
        <f t="shared" si="11"/>
        <v/>
      </c>
      <c r="DD5" s="1" t="str">
        <f t="shared" si="12"/>
        <v/>
      </c>
      <c r="DE5" s="18">
        <f t="shared" si="13"/>
        <v>80</v>
      </c>
    </row>
    <row r="6" spans="1:109" x14ac:dyDescent="0.15">
      <c r="A6" s="19">
        <v>7</v>
      </c>
      <c r="B6" s="19" t="s">
        <v>58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21"/>
      <c r="BD6" s="21"/>
      <c r="BE6" s="21"/>
      <c r="BF6" s="21"/>
      <c r="BG6" s="21"/>
      <c r="BH6" s="21"/>
      <c r="BI6" s="22"/>
      <c r="BJ6" s="22"/>
      <c r="BK6" s="22"/>
      <c r="BL6" s="22"/>
      <c r="BM6" s="22"/>
      <c r="BN6" s="22"/>
      <c r="BO6" s="30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>
        <f t="shared" si="0"/>
        <v>5</v>
      </c>
      <c r="CC6" s="19">
        <v>0</v>
      </c>
      <c r="CD6" s="23">
        <v>0</v>
      </c>
      <c r="CE6" s="23"/>
      <c r="CF6" s="19" t="str">
        <f>IF(BC6&gt;BC$166, BC6-BC$166,"")</f>
        <v/>
      </c>
      <c r="CG6" s="19" t="str">
        <f>IF(BD6&gt;BD$166, BD6-BD$166,"")</f>
        <v/>
      </c>
      <c r="CH6" s="19" t="str">
        <f>IF(BE6&gt;BE$166, BE6-BE$166,"")</f>
        <v/>
      </c>
      <c r="CI6" s="19" t="str">
        <f>IF(BF6&gt;BF$166, BF6-BF$166,"")</f>
        <v/>
      </c>
      <c r="CJ6" s="19" t="str">
        <f>IF(BG6&gt;BG$166, BG6-BG$166,"")</f>
        <v/>
      </c>
      <c r="CK6" s="19" t="str">
        <f>IF(BH6&gt;BH$166, BH6-BH$166,"")</f>
        <v/>
      </c>
      <c r="CL6" s="19" t="str">
        <f>IF(BI6&gt;BI$166, BI6-BI$166,"")</f>
        <v/>
      </c>
      <c r="CM6" s="19" t="str">
        <f>IF(BJ6&gt;BJ$166, BJ6-BJ$166,"")</f>
        <v/>
      </c>
      <c r="CN6" s="19" t="str">
        <f>IF(BK6&gt;BK$166, BK6-BK$166,"")</f>
        <v/>
      </c>
      <c r="CO6" s="19" t="str">
        <f>IF(BL6&gt;BL$166, BL6-BL$166,"")</f>
        <v/>
      </c>
      <c r="CP6" s="19" t="str">
        <f>IF(BM6&gt;BM$166, BM6-BM$166,"")</f>
        <v/>
      </c>
      <c r="CQ6" s="19" t="str">
        <f>IF(BN6&gt;BN$166, BN6-BN$166,"")</f>
        <v/>
      </c>
      <c r="CR6" s="19">
        <f t="shared" ref="CR6:CR31" si="14">COUNTIF(CF6:CQ6, "&gt;0")</f>
        <v>0</v>
      </c>
      <c r="CS6" s="19" t="str">
        <f t="shared" si="1"/>
        <v/>
      </c>
      <c r="CT6" s="19" t="str">
        <f t="shared" si="2"/>
        <v/>
      </c>
      <c r="CU6" s="19" t="str">
        <f t="shared" si="3"/>
        <v/>
      </c>
      <c r="CV6" s="19" t="str">
        <f t="shared" si="4"/>
        <v/>
      </c>
      <c r="CW6" s="19" t="str">
        <f t="shared" si="5"/>
        <v/>
      </c>
      <c r="CX6" s="19" t="str">
        <f t="shared" si="6"/>
        <v/>
      </c>
      <c r="CY6" s="19" t="str">
        <f t="shared" si="7"/>
        <v/>
      </c>
      <c r="CZ6" s="19" t="str">
        <f t="shared" si="8"/>
        <v/>
      </c>
      <c r="DA6" s="19" t="str">
        <f t="shared" si="9"/>
        <v/>
      </c>
      <c r="DB6" s="19" t="str">
        <f t="shared" si="10"/>
        <v/>
      </c>
      <c r="DC6" s="19" t="str">
        <f t="shared" si="11"/>
        <v/>
      </c>
      <c r="DD6" s="19" t="str">
        <f t="shared" si="12"/>
        <v/>
      </c>
      <c r="DE6" s="24">
        <f t="shared" si="13"/>
        <v>0</v>
      </c>
    </row>
    <row r="7" spans="1:109" s="25" customFormat="1" x14ac:dyDescent="0.15">
      <c r="A7" s="19">
        <v>40</v>
      </c>
      <c r="B7" s="19" t="s">
        <v>59</v>
      </c>
      <c r="C7" s="19" t="s">
        <v>50</v>
      </c>
      <c r="D7" s="19" t="s">
        <v>60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20"/>
      <c r="Q7" s="20"/>
      <c r="R7" s="20"/>
      <c r="S7" s="20"/>
      <c r="T7" s="20"/>
      <c r="U7" s="20"/>
      <c r="V7" s="20"/>
      <c r="W7" s="20">
        <v>5</v>
      </c>
      <c r="X7" s="20"/>
      <c r="Y7" s="20"/>
      <c r="Z7" s="20"/>
      <c r="AA7" s="20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21"/>
      <c r="BD7" s="21"/>
      <c r="BE7" s="21"/>
      <c r="BF7" s="21"/>
      <c r="BG7" s="21"/>
      <c r="BH7" s="21"/>
      <c r="BI7" s="22"/>
      <c r="BJ7" s="22"/>
      <c r="BK7" s="22"/>
      <c r="BL7" s="22"/>
      <c r="BM7" s="22"/>
      <c r="BN7" s="22"/>
      <c r="BO7" s="30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>
        <f t="shared" si="0"/>
        <v>10</v>
      </c>
      <c r="CC7" s="19">
        <v>0</v>
      </c>
      <c r="CD7" s="23">
        <v>0</v>
      </c>
      <c r="CE7" s="23"/>
      <c r="CF7" s="19" t="str">
        <f>IF(BC7&gt;BC$166, BC7-BC$166,"")</f>
        <v/>
      </c>
      <c r="CG7" s="19" t="str">
        <f>IF(BD7&gt;BD$166, BD7-BD$166,"")</f>
        <v/>
      </c>
      <c r="CH7" s="19" t="str">
        <f>IF(BE7&gt;BE$166, BE7-BE$166,"")</f>
        <v/>
      </c>
      <c r="CI7" s="19" t="str">
        <f>IF(BF7&gt;BF$166, BF7-BF$166,"")</f>
        <v/>
      </c>
      <c r="CJ7" s="19" t="str">
        <f>IF(BG7&gt;BG$166, BG7-BG$166,"")</f>
        <v/>
      </c>
      <c r="CK7" s="19" t="str">
        <f>IF(BH7&gt;BH$166, BH7-BH$166,"")</f>
        <v/>
      </c>
      <c r="CL7" s="19" t="str">
        <f>IF(BI7&gt;BI$166, BI7-BI$166,"")</f>
        <v/>
      </c>
      <c r="CM7" s="19" t="str">
        <f>IF(BJ7&gt;BJ$166, BJ7-BJ$166,"")</f>
        <v/>
      </c>
      <c r="CN7" s="19" t="str">
        <f>IF(BK7&gt;BK$166, BK7-BK$166,"")</f>
        <v/>
      </c>
      <c r="CO7" s="19" t="str">
        <f>IF(BL7&gt;BL$166, BL7-BL$166,"")</f>
        <v/>
      </c>
      <c r="CP7" s="19" t="str">
        <f>IF(BM7&gt;BM$166, BM7-BM$166,"")</f>
        <v/>
      </c>
      <c r="CQ7" s="19" t="str">
        <f>IF(BN7&gt;BN$166, BN7-BN$166,"")</f>
        <v/>
      </c>
      <c r="CR7" s="19">
        <f t="shared" si="14"/>
        <v>0</v>
      </c>
      <c r="CS7" s="19" t="str">
        <f t="shared" si="1"/>
        <v/>
      </c>
      <c r="CT7" s="19" t="str">
        <f t="shared" si="2"/>
        <v/>
      </c>
      <c r="CU7" s="19" t="str">
        <f t="shared" si="3"/>
        <v/>
      </c>
      <c r="CV7" s="19" t="str">
        <f t="shared" si="4"/>
        <v/>
      </c>
      <c r="CW7" s="19" t="str">
        <f t="shared" si="5"/>
        <v/>
      </c>
      <c r="CX7" s="19" t="str">
        <f t="shared" si="6"/>
        <v/>
      </c>
      <c r="CY7" s="19" t="str">
        <f t="shared" si="7"/>
        <v/>
      </c>
      <c r="CZ7" s="19" t="str">
        <f t="shared" si="8"/>
        <v/>
      </c>
      <c r="DA7" s="19" t="str">
        <f t="shared" si="9"/>
        <v/>
      </c>
      <c r="DB7" s="19" t="str">
        <f t="shared" si="10"/>
        <v/>
      </c>
      <c r="DC7" s="19" t="str">
        <f t="shared" si="11"/>
        <v/>
      </c>
      <c r="DD7" s="19" t="str">
        <f t="shared" si="12"/>
        <v/>
      </c>
      <c r="DE7" s="24">
        <f t="shared" si="13"/>
        <v>0</v>
      </c>
    </row>
    <row r="8" spans="1:109" s="25" customFormat="1" x14ac:dyDescent="0.15">
      <c r="A8" s="19">
        <v>83</v>
      </c>
      <c r="B8" s="26" t="s">
        <v>83</v>
      </c>
      <c r="C8" s="26" t="s">
        <v>77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21"/>
      <c r="BD8" s="21"/>
      <c r="BE8" s="21"/>
      <c r="BF8" s="21"/>
      <c r="BG8" s="21"/>
      <c r="BH8" s="21"/>
      <c r="BI8" s="22"/>
      <c r="BJ8" s="22"/>
      <c r="BK8" s="22"/>
      <c r="BL8" s="22"/>
      <c r="BM8" s="22"/>
      <c r="BN8" s="22"/>
      <c r="BO8" s="30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>
        <f t="shared" si="0"/>
        <v>5</v>
      </c>
      <c r="CC8" s="19">
        <v>0</v>
      </c>
      <c r="CD8" s="23">
        <v>0</v>
      </c>
      <c r="CE8" s="23"/>
      <c r="CF8" s="19" t="str">
        <f>IF(BC8&gt;BC$166, BC8-BC$166,"")</f>
        <v/>
      </c>
      <c r="CG8" s="19" t="str">
        <f>IF(BD8&gt;BD$166, BD8-BD$166,"")</f>
        <v/>
      </c>
      <c r="CH8" s="19" t="str">
        <f>IF(BE8&gt;BE$166, BE8-BE$166,"")</f>
        <v/>
      </c>
      <c r="CI8" s="19" t="str">
        <f>IF(BF8&gt;BF$166, BF8-BF$166,"")</f>
        <v/>
      </c>
      <c r="CJ8" s="19" t="str">
        <f>IF(BG8&gt;BG$166, BG8-BG$166,"")</f>
        <v/>
      </c>
      <c r="CK8" s="19" t="str">
        <f>IF(BH8&gt;BH$166, BH8-BH$166,"")</f>
        <v/>
      </c>
      <c r="CL8" s="19" t="str">
        <f>IF(BI8&gt;BI$166, BI8-BI$166,"")</f>
        <v/>
      </c>
      <c r="CM8" s="19" t="str">
        <f>IF(BJ8&gt;BJ$166, BJ8-BJ$166,"")</f>
        <v/>
      </c>
      <c r="CN8" s="19" t="str">
        <f>IF(BK8&gt;BK$166, BK8-BK$166,"")</f>
        <v/>
      </c>
      <c r="CO8" s="19" t="str">
        <f>IF(BL8&gt;BL$166, BL8-BL$166,"")</f>
        <v/>
      </c>
      <c r="CP8" s="19" t="str">
        <f>IF(BM8&gt;BM$166, BM8-BM$166,"")</f>
        <v/>
      </c>
      <c r="CQ8" s="19" t="str">
        <f>IF(BN8&gt;BN$166, BN8-BN$166,"")</f>
        <v/>
      </c>
      <c r="CR8" s="19">
        <f t="shared" si="14"/>
        <v>0</v>
      </c>
      <c r="CS8" s="19" t="str">
        <f t="shared" si="1"/>
        <v/>
      </c>
      <c r="CT8" s="19" t="str">
        <f t="shared" si="2"/>
        <v/>
      </c>
      <c r="CU8" s="19" t="str">
        <f t="shared" si="3"/>
        <v/>
      </c>
      <c r="CV8" s="19" t="str">
        <f t="shared" si="4"/>
        <v/>
      </c>
      <c r="CW8" s="19" t="str">
        <f t="shared" si="5"/>
        <v/>
      </c>
      <c r="CX8" s="19" t="str">
        <f t="shared" si="6"/>
        <v/>
      </c>
      <c r="CY8" s="19" t="str">
        <f t="shared" si="7"/>
        <v/>
      </c>
      <c r="CZ8" s="19" t="str">
        <f t="shared" si="8"/>
        <v/>
      </c>
      <c r="DA8" s="19" t="str">
        <f t="shared" si="9"/>
        <v/>
      </c>
      <c r="DB8" s="19" t="str">
        <f t="shared" si="10"/>
        <v/>
      </c>
      <c r="DC8" s="19" t="str">
        <f t="shared" si="11"/>
        <v/>
      </c>
      <c r="DD8" s="19" t="str">
        <f t="shared" si="12"/>
        <v/>
      </c>
      <c r="DE8" s="24">
        <f t="shared" si="13"/>
        <v>0</v>
      </c>
    </row>
    <row r="9" spans="1:109" s="25" customFormat="1" x14ac:dyDescent="0.15">
      <c r="A9" s="19">
        <v>37</v>
      </c>
      <c r="B9" s="19" t="s">
        <v>53</v>
      </c>
      <c r="C9" s="19" t="s">
        <v>50</v>
      </c>
      <c r="D9" s="19" t="s">
        <v>25</v>
      </c>
      <c r="E9" s="20"/>
      <c r="F9" s="20">
        <v>5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>
        <v>5</v>
      </c>
      <c r="X9" s="20"/>
      <c r="Y9" s="20"/>
      <c r="Z9" s="20"/>
      <c r="AA9" s="20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21"/>
      <c r="BD9" s="21"/>
      <c r="BE9" s="21"/>
      <c r="BF9" s="21"/>
      <c r="BG9" s="21"/>
      <c r="BH9" s="21"/>
      <c r="BI9" s="22"/>
      <c r="BJ9" s="22"/>
      <c r="BK9" s="22"/>
      <c r="BL9" s="22"/>
      <c r="BM9" s="22"/>
      <c r="BN9" s="22"/>
      <c r="BO9" s="30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>
        <f t="shared" si="0"/>
        <v>10</v>
      </c>
      <c r="CC9" s="19">
        <v>0</v>
      </c>
      <c r="CD9" s="23">
        <v>0</v>
      </c>
      <c r="CE9" s="23"/>
      <c r="CF9" s="19" t="str">
        <f>IF(BC9&gt;BC$166, BC9-BC$166,"")</f>
        <v/>
      </c>
      <c r="CG9" s="19" t="str">
        <f>IF(BD9&gt;BD$166, BD9-BD$166,"")</f>
        <v/>
      </c>
      <c r="CH9" s="19" t="str">
        <f>IF(BE9&gt;BE$166, BE9-BE$166,"")</f>
        <v/>
      </c>
      <c r="CI9" s="19" t="str">
        <f>IF(BF9&gt;BF$166, BF9-BF$166,"")</f>
        <v/>
      </c>
      <c r="CJ9" s="19" t="str">
        <f>IF(BG9&gt;BG$166, BG9-BG$166,"")</f>
        <v/>
      </c>
      <c r="CK9" s="19" t="str">
        <f>IF(BH9&gt;BH$166, BH9-BH$166,"")</f>
        <v/>
      </c>
      <c r="CL9" s="19" t="str">
        <f>IF(BI9&gt;BI$166, BI9-BI$166,"")</f>
        <v/>
      </c>
      <c r="CM9" s="19" t="str">
        <f>IF(BJ9&gt;BJ$166, BJ9-BJ$166,"")</f>
        <v/>
      </c>
      <c r="CN9" s="19" t="str">
        <f>IF(BK9&gt;BK$166, BK9-BK$166,"")</f>
        <v/>
      </c>
      <c r="CO9" s="19" t="str">
        <f>IF(BL9&gt;BL$166, BL9-BL$166,"")</f>
        <v/>
      </c>
      <c r="CP9" s="19" t="str">
        <f>IF(BM9&gt;BM$166, BM9-BM$166,"")</f>
        <v/>
      </c>
      <c r="CQ9" s="19" t="str">
        <f>IF(BN9&gt;BN$166, BN9-BN$166,"")</f>
        <v/>
      </c>
      <c r="CR9" s="19">
        <f t="shared" si="14"/>
        <v>0</v>
      </c>
      <c r="CS9" s="19" t="str">
        <f t="shared" si="1"/>
        <v/>
      </c>
      <c r="CT9" s="19" t="str">
        <f t="shared" si="2"/>
        <v/>
      </c>
      <c r="CU9" s="19" t="str">
        <f t="shared" si="3"/>
        <v/>
      </c>
      <c r="CV9" s="19" t="str">
        <f t="shared" si="4"/>
        <v/>
      </c>
      <c r="CW9" s="19" t="str">
        <f t="shared" si="5"/>
        <v/>
      </c>
      <c r="CX9" s="19" t="str">
        <f t="shared" si="6"/>
        <v/>
      </c>
      <c r="CY9" s="19" t="str">
        <f t="shared" si="7"/>
        <v/>
      </c>
      <c r="CZ9" s="19" t="str">
        <f t="shared" si="8"/>
        <v/>
      </c>
      <c r="DA9" s="19" t="str">
        <f t="shared" si="9"/>
        <v/>
      </c>
      <c r="DB9" s="19" t="str">
        <f t="shared" si="10"/>
        <v/>
      </c>
      <c r="DC9" s="19" t="str">
        <f t="shared" si="11"/>
        <v/>
      </c>
      <c r="DD9" s="19" t="str">
        <f t="shared" si="12"/>
        <v/>
      </c>
      <c r="DE9" s="24">
        <f t="shared" si="13"/>
        <v>0</v>
      </c>
    </row>
    <row r="10" spans="1:109" s="25" customFormat="1" x14ac:dyDescent="0.15">
      <c r="A10" s="1">
        <v>101</v>
      </c>
      <c r="B10" s="3" t="s">
        <v>124</v>
      </c>
      <c r="C10" s="3" t="s">
        <v>85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4"/>
      <c r="BD10" s="4"/>
      <c r="BE10" s="4"/>
      <c r="BF10" s="4"/>
      <c r="BG10" s="4">
        <v>8</v>
      </c>
      <c r="BH10" s="4"/>
      <c r="BI10" s="2">
        <v>8</v>
      </c>
      <c r="BJ10" s="2"/>
      <c r="BK10" s="2"/>
      <c r="BL10" s="2"/>
      <c r="BM10" s="2"/>
      <c r="BN10" s="2"/>
      <c r="BO10" s="14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>
        <f t="shared" si="0"/>
        <v>28</v>
      </c>
      <c r="CC10" s="1">
        <v>0</v>
      </c>
      <c r="CD10" s="17">
        <v>0</v>
      </c>
      <c r="CE10" s="17"/>
      <c r="CF10" s="1" t="str">
        <f>IF(BC10&gt;BC$166, BC10-BC$166,"")</f>
        <v/>
      </c>
      <c r="CG10" s="1" t="str">
        <f>IF(BD10&gt;BD$166, BD10-BD$166,"")</f>
        <v/>
      </c>
      <c r="CH10" s="1" t="str">
        <f>IF(BE10&gt;BE$166, BE10-BE$166,"")</f>
        <v/>
      </c>
      <c r="CI10" s="1" t="str">
        <f>IF(BF10&gt;BF$166, BF10-BF$166,"")</f>
        <v/>
      </c>
      <c r="CJ10" s="1" t="str">
        <f>IF(BG10&gt;BG$166, BG10-BG$166,"")</f>
        <v/>
      </c>
      <c r="CK10" s="1" t="str">
        <f>IF(BH10&gt;BH$166, BH10-BH$166,"")</f>
        <v/>
      </c>
      <c r="CL10" s="1" t="str">
        <f>IF(BI10&gt;BI$166, BI10-BI$166,"")</f>
        <v/>
      </c>
      <c r="CM10" s="1" t="str">
        <f>IF(BJ10&gt;BJ$166, BJ10-BJ$166,"")</f>
        <v/>
      </c>
      <c r="CN10" s="1" t="str">
        <f>IF(BK10&gt;BK$166, BK10-BK$166,"")</f>
        <v/>
      </c>
      <c r="CO10" s="1" t="str">
        <f>IF(BL10&gt;BL$166, BL10-BL$166,"")</f>
        <v/>
      </c>
      <c r="CP10" s="1" t="str">
        <f>IF(BM10&gt;BM$166, BM10-BM$166,"")</f>
        <v/>
      </c>
      <c r="CQ10" s="1" t="str">
        <f>IF(BN10&gt;BN$166, BN10-BN$166,"")</f>
        <v/>
      </c>
      <c r="CR10" s="1">
        <f t="shared" si="14"/>
        <v>0</v>
      </c>
      <c r="CS10" s="1" t="str">
        <f t="shared" si="1"/>
        <v/>
      </c>
      <c r="CT10" s="1" t="str">
        <f t="shared" si="2"/>
        <v/>
      </c>
      <c r="CU10" s="1" t="str">
        <f t="shared" si="3"/>
        <v/>
      </c>
      <c r="CV10" s="1" t="str">
        <f t="shared" si="4"/>
        <v/>
      </c>
      <c r="CW10" s="1" t="str">
        <f t="shared" si="5"/>
        <v/>
      </c>
      <c r="CX10" s="1" t="str">
        <f t="shared" si="6"/>
        <v/>
      </c>
      <c r="CY10" s="1" t="str">
        <f t="shared" si="7"/>
        <v/>
      </c>
      <c r="CZ10" s="1" t="str">
        <f t="shared" si="8"/>
        <v/>
      </c>
      <c r="DA10" s="1" t="str">
        <f t="shared" si="9"/>
        <v/>
      </c>
      <c r="DB10" s="1" t="str">
        <f t="shared" si="10"/>
        <v/>
      </c>
      <c r="DC10" s="1" t="str">
        <f t="shared" si="11"/>
        <v/>
      </c>
      <c r="DD10" s="1" t="str">
        <f t="shared" si="12"/>
        <v/>
      </c>
      <c r="DE10" s="18">
        <f t="shared" si="13"/>
        <v>16</v>
      </c>
    </row>
    <row r="11" spans="1:109" x14ac:dyDescent="0.15">
      <c r="A11" s="1">
        <v>9</v>
      </c>
      <c r="B11" s="1" t="s">
        <v>29</v>
      </c>
      <c r="C11" s="1" t="s">
        <v>2</v>
      </c>
      <c r="D11" s="1" t="s">
        <v>26</v>
      </c>
      <c r="E11" s="6"/>
      <c r="F11" s="6"/>
      <c r="G11" s="6"/>
      <c r="H11" s="6"/>
      <c r="I11" s="6">
        <v>4</v>
      </c>
      <c r="J11" s="6"/>
      <c r="K11" s="6">
        <v>4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4"/>
      <c r="BD11" s="4">
        <v>5</v>
      </c>
      <c r="BE11" s="4"/>
      <c r="BF11" s="4"/>
      <c r="BG11" s="4"/>
      <c r="BH11" s="4"/>
      <c r="BI11" s="2">
        <v>5</v>
      </c>
      <c r="BJ11" s="2"/>
      <c r="BK11" s="2"/>
      <c r="BL11" s="2"/>
      <c r="BM11" s="2"/>
      <c r="BN11" s="2"/>
      <c r="BO11" s="14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>
        <f t="shared" si="0"/>
        <v>18</v>
      </c>
      <c r="CC11" s="1">
        <v>0</v>
      </c>
      <c r="CD11" s="17">
        <v>0</v>
      </c>
      <c r="CE11" s="17"/>
      <c r="CF11" s="1" t="str">
        <f>IF(BC11&gt;BC$166, BC11-BC$166,"")</f>
        <v/>
      </c>
      <c r="CG11" s="1" t="str">
        <f>IF(BD11&gt;BD$166, BD11-BD$166,"")</f>
        <v/>
      </c>
      <c r="CH11" s="1" t="str">
        <f>IF(BE11&gt;BE$166, BE11-BE$166,"")</f>
        <v/>
      </c>
      <c r="CI11" s="1" t="str">
        <f>IF(BF11&gt;BF$166, BF11-BF$166,"")</f>
        <v/>
      </c>
      <c r="CJ11" s="1" t="str">
        <f>IF(BG11&gt;BG$166, BG11-BG$166,"")</f>
        <v/>
      </c>
      <c r="CK11" s="1" t="str">
        <f>IF(BH11&gt;BH$166, BH11-BH$166,"")</f>
        <v/>
      </c>
      <c r="CL11" s="1" t="str">
        <f>IF(BI11&gt;BI$166, BI11-BI$166,"")</f>
        <v/>
      </c>
      <c r="CM11" s="1" t="str">
        <f>IF(BJ11&gt;BJ$166, BJ11-BJ$166,"")</f>
        <v/>
      </c>
      <c r="CN11" s="1" t="str">
        <f>IF(BK11&gt;BK$166, BK11-BK$166,"")</f>
        <v/>
      </c>
      <c r="CO11" s="1" t="str">
        <f>IF(BL11&gt;BL$166, BL11-BL$166,"")</f>
        <v/>
      </c>
      <c r="CP11" s="1" t="str">
        <f>IF(BM11&gt;BM$166, BM11-BM$166,"")</f>
        <v/>
      </c>
      <c r="CQ11" s="1" t="str">
        <f>IF(BN11&gt;BN$166, BN11-BN$166,"")</f>
        <v/>
      </c>
      <c r="CR11" s="1">
        <f t="shared" si="14"/>
        <v>0</v>
      </c>
      <c r="CS11" s="1" t="str">
        <f t="shared" si="1"/>
        <v/>
      </c>
      <c r="CT11" s="1" t="str">
        <f t="shared" si="2"/>
        <v/>
      </c>
      <c r="CU11" s="1" t="str">
        <f t="shared" si="3"/>
        <v/>
      </c>
      <c r="CV11" s="1" t="str">
        <f t="shared" si="4"/>
        <v/>
      </c>
      <c r="CW11" s="1" t="str">
        <f t="shared" si="5"/>
        <v/>
      </c>
      <c r="CX11" s="1" t="str">
        <f t="shared" si="6"/>
        <v/>
      </c>
      <c r="CY11" s="1" t="str">
        <f t="shared" si="7"/>
        <v/>
      </c>
      <c r="CZ11" s="1" t="str">
        <f t="shared" si="8"/>
        <v/>
      </c>
      <c r="DA11" s="1" t="str">
        <f t="shared" si="9"/>
        <v/>
      </c>
      <c r="DB11" s="1" t="str">
        <f t="shared" si="10"/>
        <v/>
      </c>
      <c r="DC11" s="1" t="str">
        <f t="shared" si="11"/>
        <v/>
      </c>
      <c r="DD11" s="1" t="str">
        <f t="shared" si="12"/>
        <v/>
      </c>
      <c r="DE11" s="18">
        <f t="shared" si="13"/>
        <v>10</v>
      </c>
    </row>
    <row r="12" spans="1:109" x14ac:dyDescent="0.15">
      <c r="A12" s="1">
        <v>24</v>
      </c>
      <c r="B12" s="1" t="s">
        <v>48</v>
      </c>
      <c r="C12" s="1" t="s">
        <v>33</v>
      </c>
      <c r="D12" s="1" t="s">
        <v>26</v>
      </c>
      <c r="E12" s="6"/>
      <c r="F12" s="6"/>
      <c r="G12" s="6"/>
      <c r="H12" s="6"/>
      <c r="I12" s="6">
        <v>4</v>
      </c>
      <c r="J12" s="6"/>
      <c r="K12" s="6">
        <v>4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4"/>
      <c r="BD12" s="4"/>
      <c r="BE12" s="4">
        <v>5</v>
      </c>
      <c r="BF12" s="4"/>
      <c r="BG12" s="4"/>
      <c r="BH12" s="4"/>
      <c r="BI12" s="2">
        <v>5</v>
      </c>
      <c r="BJ12" s="2"/>
      <c r="BK12" s="2"/>
      <c r="BL12" s="2"/>
      <c r="BM12" s="2"/>
      <c r="BN12" s="2"/>
      <c r="BO12" s="14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>
        <f t="shared" si="0"/>
        <v>18</v>
      </c>
      <c r="CC12" s="1">
        <v>0</v>
      </c>
      <c r="CD12" s="17">
        <v>0</v>
      </c>
      <c r="CE12" s="17"/>
      <c r="CF12" s="1" t="str">
        <f>IF(BC12&gt;BC$166, BC12-BC$166,"")</f>
        <v/>
      </c>
      <c r="CG12" s="1" t="str">
        <f>IF(BD12&gt;BD$166, BD12-BD$166,"")</f>
        <v/>
      </c>
      <c r="CH12" s="1" t="str">
        <f>IF(BE12&gt;BE$166, BE12-BE$166,"")</f>
        <v/>
      </c>
      <c r="CI12" s="1" t="str">
        <f>IF(BF12&gt;BF$166, BF12-BF$166,"")</f>
        <v/>
      </c>
      <c r="CJ12" s="1" t="str">
        <f>IF(BG12&gt;BG$166, BG12-BG$166,"")</f>
        <v/>
      </c>
      <c r="CK12" s="1" t="str">
        <f>IF(BH12&gt;BH$166, BH12-BH$166,"")</f>
        <v/>
      </c>
      <c r="CL12" s="1" t="str">
        <f>IF(BI12&gt;BI$166, BI12-BI$166,"")</f>
        <v/>
      </c>
      <c r="CM12" s="1" t="str">
        <f>IF(BJ12&gt;BJ$166, BJ12-BJ$166,"")</f>
        <v/>
      </c>
      <c r="CN12" s="1" t="str">
        <f>IF(BK12&gt;BK$166, BK12-BK$166,"")</f>
        <v/>
      </c>
      <c r="CO12" s="1" t="str">
        <f>IF(BL12&gt;BL$166, BL12-BL$166,"")</f>
        <v/>
      </c>
      <c r="CP12" s="1" t="str">
        <f>IF(BM12&gt;BM$166, BM12-BM$166,"")</f>
        <v/>
      </c>
      <c r="CQ12" s="1" t="str">
        <f>IF(BN12&gt;BN$166, BN12-BN$166,"")</f>
        <v/>
      </c>
      <c r="CR12" s="1">
        <f t="shared" si="14"/>
        <v>0</v>
      </c>
      <c r="CS12" s="1" t="str">
        <f t="shared" si="1"/>
        <v/>
      </c>
      <c r="CT12" s="1" t="str">
        <f t="shared" si="2"/>
        <v/>
      </c>
      <c r="CU12" s="1" t="str">
        <f t="shared" si="3"/>
        <v/>
      </c>
      <c r="CV12" s="1" t="str">
        <f t="shared" si="4"/>
        <v/>
      </c>
      <c r="CW12" s="1" t="str">
        <f t="shared" si="5"/>
        <v/>
      </c>
      <c r="CX12" s="1" t="str">
        <f t="shared" si="6"/>
        <v/>
      </c>
      <c r="CY12" s="1" t="str">
        <f t="shared" si="7"/>
        <v/>
      </c>
      <c r="CZ12" s="1" t="str">
        <f t="shared" si="8"/>
        <v/>
      </c>
      <c r="DA12" s="1" t="str">
        <f t="shared" si="9"/>
        <v/>
      </c>
      <c r="DB12" s="1" t="str">
        <f t="shared" si="10"/>
        <v/>
      </c>
      <c r="DC12" s="1" t="str">
        <f t="shared" si="11"/>
        <v/>
      </c>
      <c r="DD12" s="1" t="str">
        <f t="shared" si="12"/>
        <v/>
      </c>
      <c r="DE12" s="18">
        <f t="shared" si="13"/>
        <v>10</v>
      </c>
    </row>
    <row r="13" spans="1:109" x14ac:dyDescent="0.15">
      <c r="A13" s="1">
        <v>81</v>
      </c>
      <c r="B13" s="3" t="s">
        <v>81</v>
      </c>
      <c r="C13" s="3" t="s">
        <v>77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/>
      <c r="N13" s="6"/>
      <c r="O13" s="6">
        <v>6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4"/>
      <c r="BD13" s="4"/>
      <c r="BE13" s="4"/>
      <c r="BF13" s="4">
        <v>10</v>
      </c>
      <c r="BG13" s="4"/>
      <c r="BH13" s="4"/>
      <c r="BI13" s="2"/>
      <c r="BJ13" s="2"/>
      <c r="BK13" s="2"/>
      <c r="BL13" s="2"/>
      <c r="BM13" s="2">
        <v>10</v>
      </c>
      <c r="BN13" s="2"/>
      <c r="BO13" s="14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>
        <f t="shared" si="0"/>
        <v>32</v>
      </c>
      <c r="CC13" s="1">
        <v>0</v>
      </c>
      <c r="CD13" s="17">
        <v>0</v>
      </c>
      <c r="CE13" s="17"/>
      <c r="CF13" s="1" t="str">
        <f>IF(BC13&gt;BC$166, BC13-BC$166,"")</f>
        <v/>
      </c>
      <c r="CG13" s="1" t="str">
        <f>IF(BD13&gt;BD$166, BD13-BD$166,"")</f>
        <v/>
      </c>
      <c r="CH13" s="1" t="str">
        <f>IF(BE13&gt;BE$166, BE13-BE$166,"")</f>
        <v/>
      </c>
      <c r="CI13" s="1" t="str">
        <f>IF(BF13&gt;BF$166, BF13-BF$166,"")</f>
        <v/>
      </c>
      <c r="CJ13" s="1" t="str">
        <f>IF(BG13&gt;BG$166, BG13-BG$166,"")</f>
        <v/>
      </c>
      <c r="CK13" s="1" t="str">
        <f>IF(BH13&gt;BH$166, BH13-BH$166,"")</f>
        <v/>
      </c>
      <c r="CL13" s="1" t="str">
        <f>IF(BI13&gt;BI$166, BI13-BI$166,"")</f>
        <v/>
      </c>
      <c r="CM13" s="1" t="str">
        <f>IF(BJ13&gt;BJ$166, BJ13-BJ$166,"")</f>
        <v/>
      </c>
      <c r="CN13" s="1" t="str">
        <f>IF(BK13&gt;BK$166, BK13-BK$166,"")</f>
        <v/>
      </c>
      <c r="CO13" s="1" t="str">
        <f>IF(BL13&gt;BL$166, BL13-BL$166,"")</f>
        <v/>
      </c>
      <c r="CP13" s="1" t="str">
        <f>IF(BM13&gt;BM$166, BM13-BM$166,"")</f>
        <v/>
      </c>
      <c r="CQ13" s="1" t="str">
        <f>IF(BN13&gt;BN$166, BN13-BN$166,"")</f>
        <v/>
      </c>
      <c r="CR13" s="1">
        <f t="shared" si="14"/>
        <v>0</v>
      </c>
      <c r="CS13" s="1" t="str">
        <f t="shared" si="1"/>
        <v/>
      </c>
      <c r="CT13" s="1" t="str">
        <f t="shared" si="2"/>
        <v/>
      </c>
      <c r="CU13" s="1" t="str">
        <f t="shared" si="3"/>
        <v/>
      </c>
      <c r="CV13" s="1" t="str">
        <f t="shared" si="4"/>
        <v/>
      </c>
      <c r="CW13" s="1" t="str">
        <f t="shared" si="5"/>
        <v/>
      </c>
      <c r="CX13" s="1" t="str">
        <f t="shared" si="6"/>
        <v/>
      </c>
      <c r="CY13" s="1" t="str">
        <f t="shared" si="7"/>
        <v/>
      </c>
      <c r="CZ13" s="1" t="str">
        <f t="shared" si="8"/>
        <v/>
      </c>
      <c r="DA13" s="1" t="str">
        <f t="shared" si="9"/>
        <v/>
      </c>
      <c r="DB13" s="1" t="str">
        <f t="shared" si="10"/>
        <v/>
      </c>
      <c r="DC13" s="1" t="str">
        <f t="shared" si="11"/>
        <v/>
      </c>
      <c r="DD13" s="1" t="str">
        <f t="shared" si="12"/>
        <v/>
      </c>
      <c r="DE13" s="18">
        <f t="shared" si="13"/>
        <v>20</v>
      </c>
    </row>
    <row r="14" spans="1:109" x14ac:dyDescent="0.15">
      <c r="A14" s="19">
        <v>13</v>
      </c>
      <c r="B14" s="19" t="s">
        <v>130</v>
      </c>
      <c r="C14" s="19" t="s">
        <v>2</v>
      </c>
      <c r="D14" s="19" t="s">
        <v>1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>
        <v>15</v>
      </c>
      <c r="Q14" s="20"/>
      <c r="R14" s="20"/>
      <c r="S14" s="20"/>
      <c r="T14" s="20"/>
      <c r="U14" s="20"/>
      <c r="V14" s="20">
        <v>15</v>
      </c>
      <c r="W14" s="20"/>
      <c r="X14" s="20"/>
      <c r="Y14" s="20"/>
      <c r="Z14" s="20"/>
      <c r="AA14" s="20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21"/>
      <c r="BD14" s="21"/>
      <c r="BE14" s="21"/>
      <c r="BF14" s="21"/>
      <c r="BG14" s="21"/>
      <c r="BH14" s="21"/>
      <c r="BI14" s="22"/>
      <c r="BJ14" s="22"/>
      <c r="BK14" s="22"/>
      <c r="BL14" s="22"/>
      <c r="BM14" s="22"/>
      <c r="BN14" s="22"/>
      <c r="BO14" s="30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>
        <f t="shared" si="0"/>
        <v>30</v>
      </c>
      <c r="CC14" s="19">
        <v>0</v>
      </c>
      <c r="CD14" s="23">
        <v>0</v>
      </c>
      <c r="CE14" s="23"/>
      <c r="CF14" s="19" t="str">
        <f>IF(BC14&gt;BC$166, BC14-BC$166,"")</f>
        <v/>
      </c>
      <c r="CG14" s="19" t="str">
        <f>IF(BD14&gt;BD$166, BD14-BD$166,"")</f>
        <v/>
      </c>
      <c r="CH14" s="19" t="str">
        <f>IF(BE14&gt;BE$166, BE14-BE$166,"")</f>
        <v/>
      </c>
      <c r="CI14" s="19" t="str">
        <f>IF(BF14&gt;BF$166, BF14-BF$166,"")</f>
        <v/>
      </c>
      <c r="CJ14" s="19" t="str">
        <f>IF(BG14&gt;BG$166, BG14-BG$166,"")</f>
        <v/>
      </c>
      <c r="CK14" s="19" t="str">
        <f>IF(BH14&gt;BH$166, BH14-BH$166,"")</f>
        <v/>
      </c>
      <c r="CL14" s="19" t="str">
        <f>IF(BI14&gt;BI$166, BI14-BI$166,"")</f>
        <v/>
      </c>
      <c r="CM14" s="19" t="str">
        <f>IF(BJ14&gt;BJ$166, BJ14-BJ$166,"")</f>
        <v/>
      </c>
      <c r="CN14" s="19" t="str">
        <f>IF(BK14&gt;BK$166, BK14-BK$166,"")</f>
        <v/>
      </c>
      <c r="CO14" s="19" t="str">
        <f>IF(BL14&gt;BL$166, BL14-BL$166,"")</f>
        <v/>
      </c>
      <c r="CP14" s="19" t="str">
        <f>IF(BM14&gt;BM$166, BM14-BM$166,"")</f>
        <v/>
      </c>
      <c r="CQ14" s="19" t="str">
        <f>IF(BN14&gt;BN$166, BN14-BN$166,"")</f>
        <v/>
      </c>
      <c r="CR14" s="19">
        <f t="shared" si="14"/>
        <v>0</v>
      </c>
      <c r="CS14" s="19" t="str">
        <f t="shared" si="1"/>
        <v/>
      </c>
      <c r="CT14" s="19" t="str">
        <f t="shared" si="2"/>
        <v/>
      </c>
      <c r="CU14" s="19" t="str">
        <f t="shared" si="3"/>
        <v/>
      </c>
      <c r="CV14" s="19" t="str">
        <f t="shared" si="4"/>
        <v/>
      </c>
      <c r="CW14" s="19" t="str">
        <f t="shared" si="5"/>
        <v/>
      </c>
      <c r="CX14" s="19" t="str">
        <f t="shared" si="6"/>
        <v/>
      </c>
      <c r="CY14" s="19" t="str">
        <f t="shared" si="7"/>
        <v/>
      </c>
      <c r="CZ14" s="19" t="str">
        <f t="shared" si="8"/>
        <v/>
      </c>
      <c r="DA14" s="19" t="str">
        <f t="shared" si="9"/>
        <v/>
      </c>
      <c r="DB14" s="19" t="str">
        <f t="shared" si="10"/>
        <v/>
      </c>
      <c r="DC14" s="19" t="str">
        <f t="shared" si="11"/>
        <v/>
      </c>
      <c r="DD14" s="19" t="str">
        <f t="shared" si="12"/>
        <v/>
      </c>
      <c r="DE14" s="24">
        <f t="shared" si="13"/>
        <v>0</v>
      </c>
    </row>
    <row r="15" spans="1:109" x14ac:dyDescent="0.15">
      <c r="A15" s="1">
        <v>82</v>
      </c>
      <c r="B15" s="3" t="s">
        <v>82</v>
      </c>
      <c r="C15" s="3" t="s">
        <v>77</v>
      </c>
      <c r="D15" s="1" t="s">
        <v>13</v>
      </c>
      <c r="E15" s="6"/>
      <c r="F15" s="6"/>
      <c r="G15" s="6"/>
      <c r="H15" s="6"/>
      <c r="I15" s="6"/>
      <c r="J15" s="6"/>
      <c r="K15" s="6"/>
      <c r="L15" s="6">
        <v>6</v>
      </c>
      <c r="M15" s="6"/>
      <c r="N15" s="6">
        <v>6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4"/>
      <c r="BD15" s="4"/>
      <c r="BE15" s="4"/>
      <c r="BF15" s="4">
        <v>10</v>
      </c>
      <c r="BG15" s="4"/>
      <c r="BH15" s="4"/>
      <c r="BI15" s="2"/>
      <c r="BJ15" s="2"/>
      <c r="BK15" s="2"/>
      <c r="BL15" s="2">
        <v>10</v>
      </c>
      <c r="BM15" s="2"/>
      <c r="BN15" s="2"/>
      <c r="BO15" s="14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>
        <f t="shared" si="0"/>
        <v>32</v>
      </c>
      <c r="CC15" s="1">
        <v>0</v>
      </c>
      <c r="CD15" s="17">
        <v>0</v>
      </c>
      <c r="CE15" s="17"/>
      <c r="CF15" s="1" t="str">
        <f>IF(BC15&gt;BC$166, BC15-BC$166,"")</f>
        <v/>
      </c>
      <c r="CG15" s="1" t="str">
        <f>IF(BD15&gt;BD$166, BD15-BD$166,"")</f>
        <v/>
      </c>
      <c r="CH15" s="1" t="str">
        <f>IF(BE15&gt;BE$166, BE15-BE$166,"")</f>
        <v/>
      </c>
      <c r="CI15" s="1" t="str">
        <f>IF(BF15&gt;BF$166, BF15-BF$166,"")</f>
        <v/>
      </c>
      <c r="CJ15" s="1" t="str">
        <f>IF(BG15&gt;BG$166, BG15-BG$166,"")</f>
        <v/>
      </c>
      <c r="CK15" s="1" t="str">
        <f>IF(BH15&gt;BH$166, BH15-BH$166,"")</f>
        <v/>
      </c>
      <c r="CL15" s="1" t="str">
        <f>IF(BI15&gt;BI$166, BI15-BI$166,"")</f>
        <v/>
      </c>
      <c r="CM15" s="1" t="str">
        <f>IF(BJ15&gt;BJ$166, BJ15-BJ$166,"")</f>
        <v/>
      </c>
      <c r="CN15" s="1" t="str">
        <f>IF(BK15&gt;BK$166, BK15-BK$166,"")</f>
        <v/>
      </c>
      <c r="CO15" s="1" t="str">
        <f>IF(BL15&gt;BL$166, BL15-BL$166,"")</f>
        <v/>
      </c>
      <c r="CP15" s="1" t="str">
        <f>IF(BM15&gt;BM$166, BM15-BM$166,"")</f>
        <v/>
      </c>
      <c r="CQ15" s="1" t="str">
        <f>IF(BN15&gt;BN$166, BN15-BN$166,"")</f>
        <v/>
      </c>
      <c r="CR15" s="1">
        <f t="shared" si="14"/>
        <v>0</v>
      </c>
      <c r="CS15" s="1" t="str">
        <f t="shared" si="1"/>
        <v/>
      </c>
      <c r="CT15" s="1" t="str">
        <f t="shared" si="2"/>
        <v/>
      </c>
      <c r="CU15" s="1" t="str">
        <f t="shared" si="3"/>
        <v/>
      </c>
      <c r="CV15" s="1" t="str">
        <f t="shared" si="4"/>
        <v/>
      </c>
      <c r="CW15" s="1" t="str">
        <f t="shared" si="5"/>
        <v/>
      </c>
      <c r="CX15" s="1" t="str">
        <f t="shared" si="6"/>
        <v/>
      </c>
      <c r="CY15" s="1" t="str">
        <f t="shared" si="7"/>
        <v/>
      </c>
      <c r="CZ15" s="1" t="str">
        <f t="shared" si="8"/>
        <v/>
      </c>
      <c r="DA15" s="1" t="str">
        <f t="shared" si="9"/>
        <v/>
      </c>
      <c r="DB15" s="1" t="str">
        <f t="shared" si="10"/>
        <v/>
      </c>
      <c r="DC15" s="1" t="str">
        <f t="shared" si="11"/>
        <v/>
      </c>
      <c r="DD15" s="1" t="str">
        <f t="shared" si="12"/>
        <v/>
      </c>
      <c r="DE15" s="18">
        <f t="shared" si="13"/>
        <v>20</v>
      </c>
    </row>
    <row r="16" spans="1:109" x14ac:dyDescent="0.15">
      <c r="A16" s="19">
        <v>60</v>
      </c>
      <c r="B16" s="19" t="s">
        <v>125</v>
      </c>
      <c r="C16" s="19" t="s">
        <v>64</v>
      </c>
      <c r="D16" s="19" t="s">
        <v>1</v>
      </c>
      <c r="E16" s="20"/>
      <c r="F16" s="20"/>
      <c r="G16" s="20"/>
      <c r="H16" s="20"/>
      <c r="I16" s="20"/>
      <c r="J16" s="20"/>
      <c r="K16" s="20">
        <v>5</v>
      </c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>
        <v>5</v>
      </c>
      <c r="Y16" s="20"/>
      <c r="Z16" s="20"/>
      <c r="AA16" s="20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21"/>
      <c r="BD16" s="21"/>
      <c r="BE16" s="21"/>
      <c r="BF16" s="21"/>
      <c r="BG16" s="21"/>
      <c r="BH16" s="21"/>
      <c r="BI16" s="22"/>
      <c r="BJ16" s="22"/>
      <c r="BK16" s="22"/>
      <c r="BL16" s="22"/>
      <c r="BM16" s="22"/>
      <c r="BN16" s="22"/>
      <c r="BO16" s="30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>
        <f t="shared" si="0"/>
        <v>10</v>
      </c>
      <c r="CC16" s="19">
        <v>0</v>
      </c>
      <c r="CD16" s="23">
        <v>0</v>
      </c>
      <c r="CE16" s="23"/>
      <c r="CF16" s="19" t="str">
        <f>IF(BC16&gt;BC$166, BC16-BC$166,"")</f>
        <v/>
      </c>
      <c r="CG16" s="19" t="str">
        <f>IF(BD16&gt;BD$166, BD16-BD$166,"")</f>
        <v/>
      </c>
      <c r="CH16" s="19" t="str">
        <f>IF(BE16&gt;BE$166, BE16-BE$166,"")</f>
        <v/>
      </c>
      <c r="CI16" s="19" t="str">
        <f>IF(BF16&gt;BF$166, BF16-BF$166,"")</f>
        <v/>
      </c>
      <c r="CJ16" s="19" t="str">
        <f>IF(BG16&gt;BG$166, BG16-BG$166,"")</f>
        <v/>
      </c>
      <c r="CK16" s="19" t="str">
        <f>IF(BH16&gt;BH$166, BH16-BH$166,"")</f>
        <v/>
      </c>
      <c r="CL16" s="19" t="str">
        <f>IF(BI16&gt;BI$166, BI16-BI$166,"")</f>
        <v/>
      </c>
      <c r="CM16" s="19" t="str">
        <f>IF(BJ16&gt;BJ$166, BJ16-BJ$166,"")</f>
        <v/>
      </c>
      <c r="CN16" s="19" t="str">
        <f>IF(BK16&gt;BK$166, BK16-BK$166,"")</f>
        <v/>
      </c>
      <c r="CO16" s="19" t="str">
        <f>IF(BL16&gt;BL$166, BL16-BL$166,"")</f>
        <v/>
      </c>
      <c r="CP16" s="19" t="str">
        <f>IF(BM16&gt;BM$166, BM16-BM$166,"")</f>
        <v/>
      </c>
      <c r="CQ16" s="19" t="str">
        <f>IF(BN16&gt;BN$166, BN16-BN$166,"")</f>
        <v/>
      </c>
      <c r="CR16" s="19">
        <f t="shared" si="14"/>
        <v>0</v>
      </c>
      <c r="CS16" s="19" t="str">
        <f t="shared" si="1"/>
        <v/>
      </c>
      <c r="CT16" s="19" t="str">
        <f t="shared" si="2"/>
        <v/>
      </c>
      <c r="CU16" s="19" t="str">
        <f t="shared" si="3"/>
        <v/>
      </c>
      <c r="CV16" s="19" t="str">
        <f t="shared" si="4"/>
        <v/>
      </c>
      <c r="CW16" s="19" t="str">
        <f t="shared" si="5"/>
        <v/>
      </c>
      <c r="CX16" s="19" t="str">
        <f t="shared" si="6"/>
        <v/>
      </c>
      <c r="CY16" s="19" t="str">
        <f t="shared" si="7"/>
        <v/>
      </c>
      <c r="CZ16" s="19" t="str">
        <f t="shared" si="8"/>
        <v/>
      </c>
      <c r="DA16" s="19" t="str">
        <f t="shared" si="9"/>
        <v/>
      </c>
      <c r="DB16" s="19" t="str">
        <f t="shared" si="10"/>
        <v/>
      </c>
      <c r="DC16" s="19" t="str">
        <f t="shared" si="11"/>
        <v/>
      </c>
      <c r="DD16" s="19" t="str">
        <f t="shared" si="12"/>
        <v/>
      </c>
      <c r="DE16" s="24">
        <f t="shared" si="13"/>
        <v>0</v>
      </c>
    </row>
    <row r="17" spans="1:109" x14ac:dyDescent="0.15">
      <c r="A17" s="19">
        <v>92</v>
      </c>
      <c r="B17" s="27" t="s">
        <v>104</v>
      </c>
      <c r="C17" s="27" t="s">
        <v>102</v>
      </c>
      <c r="D17" s="19" t="s">
        <v>24</v>
      </c>
      <c r="E17" s="20">
        <v>10</v>
      </c>
      <c r="F17" s="20"/>
      <c r="G17" s="20"/>
      <c r="H17" s="20"/>
      <c r="I17" s="20">
        <v>10</v>
      </c>
      <c r="J17" s="20">
        <v>10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21"/>
      <c r="BD17" s="21"/>
      <c r="BE17" s="21"/>
      <c r="BF17" s="21"/>
      <c r="BG17" s="21"/>
      <c r="BH17" s="21"/>
      <c r="BI17" s="22"/>
      <c r="BJ17" s="22"/>
      <c r="BK17" s="22"/>
      <c r="BL17" s="22"/>
      <c r="BM17" s="22"/>
      <c r="BN17" s="22"/>
      <c r="BO17" s="30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>
        <f t="shared" si="0"/>
        <v>30</v>
      </c>
      <c r="CC17" s="19">
        <v>0</v>
      </c>
      <c r="CD17" s="23">
        <v>0</v>
      </c>
      <c r="CE17" s="23"/>
      <c r="CF17" s="19" t="str">
        <f>IF(BC17&gt;BC$166, BC17-BC$166,"")</f>
        <v/>
      </c>
      <c r="CG17" s="19" t="str">
        <f>IF(BD17&gt;BD$166, BD17-BD$166,"")</f>
        <v/>
      </c>
      <c r="CH17" s="19" t="str">
        <f>IF(BE17&gt;BE$166, BE17-BE$166,"")</f>
        <v/>
      </c>
      <c r="CI17" s="19" t="str">
        <f>IF(BF17&gt;BF$166, BF17-BF$166,"")</f>
        <v/>
      </c>
      <c r="CJ17" s="19" t="str">
        <f>IF(BG17&gt;BG$166, BG17-BG$166,"")</f>
        <v/>
      </c>
      <c r="CK17" s="19" t="str">
        <f>IF(BH17&gt;BH$166, BH17-BH$166,"")</f>
        <v/>
      </c>
      <c r="CL17" s="19" t="str">
        <f>IF(BI17&gt;BI$166, BI17-BI$166,"")</f>
        <v/>
      </c>
      <c r="CM17" s="19" t="str">
        <f>IF(BJ17&gt;BJ$166, BJ17-BJ$166,"")</f>
        <v/>
      </c>
      <c r="CN17" s="19" t="str">
        <f>IF(BK17&gt;BK$166, BK17-BK$166,"")</f>
        <v/>
      </c>
      <c r="CO17" s="19" t="str">
        <f>IF(BL17&gt;BL$166, BL17-BL$166,"")</f>
        <v/>
      </c>
      <c r="CP17" s="19" t="str">
        <f>IF(BM17&gt;BM$166, BM17-BM$166,"")</f>
        <v/>
      </c>
      <c r="CQ17" s="19" t="str">
        <f>IF(BN17&gt;BN$166, BN17-BN$166,"")</f>
        <v/>
      </c>
      <c r="CR17" s="19">
        <f t="shared" si="14"/>
        <v>0</v>
      </c>
      <c r="CS17" s="19" t="str">
        <f t="shared" si="1"/>
        <v/>
      </c>
      <c r="CT17" s="19" t="str">
        <f t="shared" si="2"/>
        <v/>
      </c>
      <c r="CU17" s="19" t="str">
        <f t="shared" si="3"/>
        <v/>
      </c>
      <c r="CV17" s="19" t="str">
        <f t="shared" si="4"/>
        <v/>
      </c>
      <c r="CW17" s="19" t="str">
        <f t="shared" si="5"/>
        <v/>
      </c>
      <c r="CX17" s="19" t="str">
        <f t="shared" si="6"/>
        <v/>
      </c>
      <c r="CY17" s="19" t="str">
        <f t="shared" si="7"/>
        <v/>
      </c>
      <c r="CZ17" s="19" t="str">
        <f t="shared" si="8"/>
        <v/>
      </c>
      <c r="DA17" s="19" t="str">
        <f t="shared" si="9"/>
        <v/>
      </c>
      <c r="DB17" s="19" t="str">
        <f t="shared" si="10"/>
        <v/>
      </c>
      <c r="DC17" s="19" t="str">
        <f t="shared" si="11"/>
        <v/>
      </c>
      <c r="DD17" s="19" t="str">
        <f t="shared" si="12"/>
        <v/>
      </c>
      <c r="DE17" s="24">
        <f t="shared" si="13"/>
        <v>0</v>
      </c>
    </row>
    <row r="18" spans="1:109" x14ac:dyDescent="0.15">
      <c r="A18" s="1">
        <v>84</v>
      </c>
      <c r="B18" s="3" t="s">
        <v>83</v>
      </c>
      <c r="C18" s="3" t="s">
        <v>77</v>
      </c>
      <c r="D18" s="1" t="s">
        <v>13</v>
      </c>
      <c r="E18" s="6"/>
      <c r="F18" s="6"/>
      <c r="G18" s="6">
        <v>5</v>
      </c>
      <c r="H18" s="6">
        <v>5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4"/>
      <c r="BD18" s="4"/>
      <c r="BE18" s="4"/>
      <c r="BF18" s="4"/>
      <c r="BG18" s="4"/>
      <c r="BH18" s="4"/>
      <c r="BI18" s="2"/>
      <c r="BJ18" s="2"/>
      <c r="BK18" s="2"/>
      <c r="BL18" s="2"/>
      <c r="BM18" s="2">
        <v>5</v>
      </c>
      <c r="BN18" s="2">
        <v>5</v>
      </c>
      <c r="BO18" s="14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>
        <f t="shared" si="0"/>
        <v>20</v>
      </c>
      <c r="CC18" s="1">
        <v>0</v>
      </c>
      <c r="CD18" s="17">
        <v>0</v>
      </c>
      <c r="CE18" s="17"/>
      <c r="CF18" s="1" t="str">
        <f>IF(BC18&gt;BC$166, BC18-BC$166,"")</f>
        <v/>
      </c>
      <c r="CG18" s="1" t="str">
        <f>IF(BD18&gt;BD$166, BD18-BD$166,"")</f>
        <v/>
      </c>
      <c r="CH18" s="1" t="str">
        <f>IF(BE18&gt;BE$166, BE18-BE$166,"")</f>
        <v/>
      </c>
      <c r="CI18" s="1" t="str">
        <f>IF(BF18&gt;BF$166, BF18-BF$166,"")</f>
        <v/>
      </c>
      <c r="CJ18" s="1" t="str">
        <f>IF(BG18&gt;BG$166, BG18-BG$166,"")</f>
        <v/>
      </c>
      <c r="CK18" s="1" t="str">
        <f>IF(BH18&gt;BH$166, BH18-BH$166,"")</f>
        <v/>
      </c>
      <c r="CL18" s="1" t="str">
        <f>IF(BI18&gt;BI$166, BI18-BI$166,"")</f>
        <v/>
      </c>
      <c r="CM18" s="1" t="str">
        <f>IF(BJ18&gt;BJ$166, BJ18-BJ$166,"")</f>
        <v/>
      </c>
      <c r="CN18" s="1" t="str">
        <f>IF(BK18&gt;BK$166, BK18-BK$166,"")</f>
        <v/>
      </c>
      <c r="CO18" s="1" t="str">
        <f>IF(BL18&gt;BL$166, BL18-BL$166,"")</f>
        <v/>
      </c>
      <c r="CP18" s="1" t="str">
        <f>IF(BM18&gt;BM$166, BM18-BM$166,"")</f>
        <v/>
      </c>
      <c r="CQ18" s="1" t="str">
        <f>IF(BN18&gt;BN$166, BN18-BN$166,"")</f>
        <v/>
      </c>
      <c r="CR18" s="1">
        <f t="shared" si="14"/>
        <v>0</v>
      </c>
      <c r="CS18" s="1" t="str">
        <f t="shared" si="1"/>
        <v/>
      </c>
      <c r="CT18" s="1" t="str">
        <f t="shared" si="2"/>
        <v/>
      </c>
      <c r="CU18" s="1" t="str">
        <f t="shared" si="3"/>
        <v/>
      </c>
      <c r="CV18" s="1" t="str">
        <f t="shared" si="4"/>
        <v/>
      </c>
      <c r="CW18" s="1" t="str">
        <f t="shared" si="5"/>
        <v/>
      </c>
      <c r="CX18" s="1" t="str">
        <f t="shared" si="6"/>
        <v/>
      </c>
      <c r="CY18" s="1" t="str">
        <f t="shared" si="7"/>
        <v/>
      </c>
      <c r="CZ18" s="1" t="str">
        <f t="shared" si="8"/>
        <v/>
      </c>
      <c r="DA18" s="1" t="str">
        <f t="shared" si="9"/>
        <v/>
      </c>
      <c r="DB18" s="1" t="str">
        <f t="shared" si="10"/>
        <v/>
      </c>
      <c r="DC18" s="1" t="str">
        <f t="shared" si="11"/>
        <v/>
      </c>
      <c r="DD18" s="1" t="str">
        <f t="shared" si="12"/>
        <v/>
      </c>
      <c r="DE18" s="18">
        <f t="shared" si="13"/>
        <v>10</v>
      </c>
    </row>
    <row r="19" spans="1:109" x14ac:dyDescent="0.15">
      <c r="A19" s="1">
        <v>69</v>
      </c>
      <c r="B19" s="3" t="s">
        <v>74</v>
      </c>
      <c r="C19" s="1" t="s">
        <v>64</v>
      </c>
      <c r="D19" s="1" t="s">
        <v>13</v>
      </c>
      <c r="E19" s="6"/>
      <c r="F19" s="6"/>
      <c r="G19" s="6"/>
      <c r="H19" s="6">
        <v>6</v>
      </c>
      <c r="I19" s="6">
        <v>6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4"/>
      <c r="BD19" s="4"/>
      <c r="BE19" s="4"/>
      <c r="BF19" s="4"/>
      <c r="BG19" s="4"/>
      <c r="BH19" s="4">
        <v>10</v>
      </c>
      <c r="BI19" s="2"/>
      <c r="BJ19" s="2">
        <v>10</v>
      </c>
      <c r="BK19" s="2"/>
      <c r="BL19" s="2"/>
      <c r="BM19" s="2"/>
      <c r="BN19" s="2"/>
      <c r="BO19" s="14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>
        <f t="shared" si="0"/>
        <v>32</v>
      </c>
      <c r="CC19" s="1">
        <v>0</v>
      </c>
      <c r="CD19" s="17">
        <v>0</v>
      </c>
      <c r="CE19" s="17"/>
      <c r="CF19" s="1" t="str">
        <f>IF(BC19&gt;BC$166, BC19-BC$166,"")</f>
        <v/>
      </c>
      <c r="CG19" s="1" t="str">
        <f>IF(BD19&gt;BD$166, BD19-BD$166,"")</f>
        <v/>
      </c>
      <c r="CH19" s="1" t="str">
        <f>IF(BE19&gt;BE$166, BE19-BE$166,"")</f>
        <v/>
      </c>
      <c r="CI19" s="1" t="str">
        <f>IF(BF19&gt;BF$166, BF19-BF$166,"")</f>
        <v/>
      </c>
      <c r="CJ19" s="1" t="str">
        <f>IF(BG19&gt;BG$166, BG19-BG$166,"")</f>
        <v/>
      </c>
      <c r="CK19" s="1" t="str">
        <f>IF(BH19&gt;BH$166, BH19-BH$166,"")</f>
        <v/>
      </c>
      <c r="CL19" s="1" t="str">
        <f>IF(BI19&gt;BI$166, BI19-BI$166,"")</f>
        <v/>
      </c>
      <c r="CM19" s="1" t="str">
        <f>IF(BJ19&gt;BJ$166, BJ19-BJ$166,"")</f>
        <v/>
      </c>
      <c r="CN19" s="1" t="str">
        <f>IF(BK19&gt;BK$166, BK19-BK$166,"")</f>
        <v/>
      </c>
      <c r="CO19" s="1" t="str">
        <f>IF(BL19&gt;BL$166, BL19-BL$166,"")</f>
        <v/>
      </c>
      <c r="CP19" s="1" t="str">
        <f>IF(BM19&gt;BM$166, BM19-BM$166,"")</f>
        <v/>
      </c>
      <c r="CQ19" s="1" t="str">
        <f>IF(BN19&gt;BN$166, BN19-BN$166,"")</f>
        <v/>
      </c>
      <c r="CR19" s="1">
        <f t="shared" si="14"/>
        <v>0</v>
      </c>
      <c r="CS19" s="1" t="str">
        <f t="shared" si="1"/>
        <v/>
      </c>
      <c r="CT19" s="1" t="str">
        <f t="shared" si="2"/>
        <v/>
      </c>
      <c r="CU19" s="1" t="str">
        <f t="shared" si="3"/>
        <v/>
      </c>
      <c r="CV19" s="1" t="str">
        <f t="shared" si="4"/>
        <v/>
      </c>
      <c r="CW19" s="1" t="str">
        <f t="shared" si="5"/>
        <v/>
      </c>
      <c r="CX19" s="1" t="str">
        <f t="shared" si="6"/>
        <v/>
      </c>
      <c r="CY19" s="1" t="str">
        <f t="shared" si="7"/>
        <v/>
      </c>
      <c r="CZ19" s="1" t="str">
        <f t="shared" si="8"/>
        <v/>
      </c>
      <c r="DA19" s="1" t="str">
        <f t="shared" si="9"/>
        <v/>
      </c>
      <c r="DB19" s="1" t="str">
        <f t="shared" si="10"/>
        <v/>
      </c>
      <c r="DC19" s="1" t="str">
        <f t="shared" si="11"/>
        <v/>
      </c>
      <c r="DD19" s="1" t="str">
        <f t="shared" si="12"/>
        <v/>
      </c>
      <c r="DE19" s="18">
        <f t="shared" si="13"/>
        <v>20</v>
      </c>
    </row>
    <row r="20" spans="1:109" x14ac:dyDescent="0.15">
      <c r="A20" s="1">
        <v>72</v>
      </c>
      <c r="B20" s="3" t="s">
        <v>114</v>
      </c>
      <c r="C20" s="1" t="s">
        <v>64</v>
      </c>
      <c r="D20" s="1" t="s">
        <v>13</v>
      </c>
      <c r="E20" s="6"/>
      <c r="F20" s="6"/>
      <c r="G20" s="6"/>
      <c r="H20" s="6"/>
      <c r="I20" s="6"/>
      <c r="J20" s="6"/>
      <c r="K20" s="6"/>
      <c r="L20" s="6">
        <v>6</v>
      </c>
      <c r="M20" s="6">
        <v>6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4"/>
      <c r="BD20" s="4"/>
      <c r="BE20" s="4"/>
      <c r="BF20" s="4"/>
      <c r="BG20" s="4"/>
      <c r="BH20" s="4">
        <v>10</v>
      </c>
      <c r="BI20" s="2"/>
      <c r="BJ20" s="2"/>
      <c r="BK20" s="2"/>
      <c r="BL20" s="2"/>
      <c r="BM20" s="2">
        <v>10</v>
      </c>
      <c r="BN20" s="2"/>
      <c r="BO20" s="14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>
        <f t="shared" si="0"/>
        <v>32</v>
      </c>
      <c r="CC20" s="1">
        <v>0</v>
      </c>
      <c r="CD20" s="17">
        <v>0</v>
      </c>
      <c r="CE20" s="17"/>
      <c r="CF20" s="1" t="str">
        <f>IF(BC20&gt;BC$166, BC20-BC$166,"")</f>
        <v/>
      </c>
      <c r="CG20" s="1" t="str">
        <f>IF(BD20&gt;BD$166, BD20-BD$166,"")</f>
        <v/>
      </c>
      <c r="CH20" s="1" t="str">
        <f>IF(BE20&gt;BE$166, BE20-BE$166,"")</f>
        <v/>
      </c>
      <c r="CI20" s="1" t="str">
        <f>IF(BF20&gt;BF$166, BF20-BF$166,"")</f>
        <v/>
      </c>
      <c r="CJ20" s="1" t="str">
        <f>IF(BG20&gt;BG$166, BG20-BG$166,"")</f>
        <v/>
      </c>
      <c r="CK20" s="1" t="str">
        <f>IF(BH20&gt;BH$166, BH20-BH$166,"")</f>
        <v/>
      </c>
      <c r="CL20" s="1" t="str">
        <f>IF(BI20&gt;BI$166, BI20-BI$166,"")</f>
        <v/>
      </c>
      <c r="CM20" s="1" t="str">
        <f>IF(BJ20&gt;BJ$166, BJ20-BJ$166,"")</f>
        <v/>
      </c>
      <c r="CN20" s="1" t="str">
        <f>IF(BK20&gt;BK$166, BK20-BK$166,"")</f>
        <v/>
      </c>
      <c r="CO20" s="1" t="str">
        <f>IF(BL20&gt;BL$166, BL20-BL$166,"")</f>
        <v/>
      </c>
      <c r="CP20" s="1" t="str">
        <f>IF(BM20&gt;BM$166, BM20-BM$166,"")</f>
        <v/>
      </c>
      <c r="CQ20" s="1" t="str">
        <f>IF(BN20&gt;BN$166, BN20-BN$166,"")</f>
        <v/>
      </c>
      <c r="CR20" s="1">
        <f t="shared" si="14"/>
        <v>0</v>
      </c>
      <c r="CS20" s="1" t="str">
        <f t="shared" si="1"/>
        <v/>
      </c>
      <c r="CT20" s="1" t="str">
        <f t="shared" si="2"/>
        <v/>
      </c>
      <c r="CU20" s="1" t="str">
        <f t="shared" si="3"/>
        <v/>
      </c>
      <c r="CV20" s="1" t="str">
        <f t="shared" si="4"/>
        <v/>
      </c>
      <c r="CW20" s="1" t="str">
        <f t="shared" si="5"/>
        <v/>
      </c>
      <c r="CX20" s="1" t="str">
        <f t="shared" si="6"/>
        <v/>
      </c>
      <c r="CY20" s="1" t="str">
        <f t="shared" si="7"/>
        <v/>
      </c>
      <c r="CZ20" s="1" t="str">
        <f t="shared" si="8"/>
        <v/>
      </c>
      <c r="DA20" s="1" t="str">
        <f t="shared" si="9"/>
        <v/>
      </c>
      <c r="DB20" s="1" t="str">
        <f t="shared" si="10"/>
        <v/>
      </c>
      <c r="DC20" s="1" t="str">
        <f t="shared" si="11"/>
        <v/>
      </c>
      <c r="DD20" s="1" t="str">
        <f t="shared" si="12"/>
        <v/>
      </c>
      <c r="DE20" s="18">
        <f t="shared" si="13"/>
        <v>20</v>
      </c>
    </row>
    <row r="21" spans="1:109" x14ac:dyDescent="0.15">
      <c r="A21" s="1">
        <v>58</v>
      </c>
      <c r="B21" s="1" t="s">
        <v>67</v>
      </c>
      <c r="C21" s="1" t="s">
        <v>64</v>
      </c>
      <c r="D21" s="1" t="s">
        <v>13</v>
      </c>
      <c r="E21" s="6"/>
      <c r="F21" s="6"/>
      <c r="G21" s="6">
        <v>10</v>
      </c>
      <c r="H21" s="6"/>
      <c r="I21" s="6"/>
      <c r="J21" s="6"/>
      <c r="K21" s="6"/>
      <c r="L21" s="6"/>
      <c r="M21" s="6"/>
      <c r="N21" s="6">
        <v>10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4"/>
      <c r="BD21" s="4"/>
      <c r="BE21" s="4"/>
      <c r="BF21" s="4"/>
      <c r="BG21" s="4"/>
      <c r="BH21" s="4">
        <v>10</v>
      </c>
      <c r="BI21" s="2"/>
      <c r="BJ21" s="2"/>
      <c r="BK21" s="2"/>
      <c r="BL21" s="2">
        <v>10</v>
      </c>
      <c r="BM21" s="2"/>
      <c r="BN21" s="2"/>
      <c r="BO21" s="14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>
        <f t="shared" si="0"/>
        <v>40</v>
      </c>
      <c r="CC21" s="1">
        <v>0</v>
      </c>
      <c r="CD21" s="17">
        <v>0</v>
      </c>
      <c r="CE21" s="17"/>
      <c r="CF21" s="1" t="str">
        <f>IF(BC21&gt;BC$166, BC21-BC$166,"")</f>
        <v/>
      </c>
      <c r="CG21" s="1" t="str">
        <f>IF(BD21&gt;BD$166, BD21-BD$166,"")</f>
        <v/>
      </c>
      <c r="CH21" s="1" t="str">
        <f>IF(BE21&gt;BE$166, BE21-BE$166,"")</f>
        <v/>
      </c>
      <c r="CI21" s="1" t="str">
        <f>IF(BF21&gt;BF$166, BF21-BF$166,"")</f>
        <v/>
      </c>
      <c r="CJ21" s="1" t="str">
        <f>IF(BG21&gt;BG$166, BG21-BG$166,"")</f>
        <v/>
      </c>
      <c r="CK21" s="1" t="str">
        <f>IF(BH21&gt;BH$166, BH21-BH$166,"")</f>
        <v/>
      </c>
      <c r="CL21" s="1" t="str">
        <f>IF(BI21&gt;BI$166, BI21-BI$166,"")</f>
        <v/>
      </c>
      <c r="CM21" s="1" t="str">
        <f>IF(BJ21&gt;BJ$166, BJ21-BJ$166,"")</f>
        <v/>
      </c>
      <c r="CN21" s="1" t="str">
        <f>IF(BK21&gt;BK$166, BK21-BK$166,"")</f>
        <v/>
      </c>
      <c r="CO21" s="1" t="str">
        <f>IF(BL21&gt;BL$166, BL21-BL$166,"")</f>
        <v/>
      </c>
      <c r="CP21" s="1" t="str">
        <f>IF(BM21&gt;BM$166, BM21-BM$166,"")</f>
        <v/>
      </c>
      <c r="CQ21" s="1" t="str">
        <f>IF(BN21&gt;BN$166, BN21-BN$166,"")</f>
        <v/>
      </c>
      <c r="CR21" s="1">
        <f t="shared" si="14"/>
        <v>0</v>
      </c>
      <c r="CS21" s="1" t="str">
        <f t="shared" si="1"/>
        <v/>
      </c>
      <c r="CT21" s="1" t="str">
        <f t="shared" si="2"/>
        <v/>
      </c>
      <c r="CU21" s="1" t="str">
        <f t="shared" si="3"/>
        <v/>
      </c>
      <c r="CV21" s="1" t="str">
        <f t="shared" si="4"/>
        <v/>
      </c>
      <c r="CW21" s="1" t="str">
        <f t="shared" si="5"/>
        <v/>
      </c>
      <c r="CX21" s="1" t="str">
        <f t="shared" si="6"/>
        <v/>
      </c>
      <c r="CY21" s="1" t="str">
        <f t="shared" si="7"/>
        <v/>
      </c>
      <c r="CZ21" s="1" t="str">
        <f t="shared" si="8"/>
        <v/>
      </c>
      <c r="DA21" s="1" t="str">
        <f t="shared" si="9"/>
        <v/>
      </c>
      <c r="DB21" s="1" t="str">
        <f t="shared" si="10"/>
        <v/>
      </c>
      <c r="DC21" s="1" t="str">
        <f t="shared" si="11"/>
        <v/>
      </c>
      <c r="DD21" s="1" t="str">
        <f t="shared" si="12"/>
        <v/>
      </c>
      <c r="DE21" s="18">
        <f t="shared" si="13"/>
        <v>20</v>
      </c>
    </row>
    <row r="22" spans="1:109" x14ac:dyDescent="0.15">
      <c r="A22" s="1">
        <v>5</v>
      </c>
      <c r="B22" s="1" t="s">
        <v>22</v>
      </c>
      <c r="C22" s="1" t="s">
        <v>2</v>
      </c>
      <c r="D22" s="1" t="s">
        <v>12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4"/>
      <c r="BD22" s="4">
        <v>10</v>
      </c>
      <c r="BE22" s="4"/>
      <c r="BF22" s="4"/>
      <c r="BG22" s="4"/>
      <c r="BH22" s="4"/>
      <c r="BI22" s="2"/>
      <c r="BJ22" s="2"/>
      <c r="BK22" s="2"/>
      <c r="BL22" s="2"/>
      <c r="BM22" s="2"/>
      <c r="BN22" s="2">
        <v>10</v>
      </c>
      <c r="BO22" s="14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>
        <f t="shared" si="0"/>
        <v>20</v>
      </c>
      <c r="CC22" s="1">
        <v>0</v>
      </c>
      <c r="CD22" s="17">
        <v>0</v>
      </c>
      <c r="CE22" s="17"/>
      <c r="CF22" s="1" t="str">
        <f>IF(BC22&gt;BC$166, BC22-BC$166,"")</f>
        <v/>
      </c>
      <c r="CG22" s="1" t="str">
        <f>IF(BD22&gt;BD$166, BD22-BD$166,"")</f>
        <v/>
      </c>
      <c r="CH22" s="1" t="str">
        <f>IF(BE22&gt;BE$166, BE22-BE$166,"")</f>
        <v/>
      </c>
      <c r="CI22" s="1" t="str">
        <f>IF(BF22&gt;BF$166, BF22-BF$166,"")</f>
        <v/>
      </c>
      <c r="CJ22" s="1" t="str">
        <f>IF(BG22&gt;BG$166, BG22-BG$166,"")</f>
        <v/>
      </c>
      <c r="CK22" s="1" t="str">
        <f>IF(BH22&gt;BH$166, BH22-BH$166,"")</f>
        <v/>
      </c>
      <c r="CL22" s="1" t="str">
        <f>IF(BI22&gt;BI$166, BI22-BI$166,"")</f>
        <v/>
      </c>
      <c r="CM22" s="1" t="str">
        <f>IF(BJ22&gt;BJ$166, BJ22-BJ$166,"")</f>
        <v/>
      </c>
      <c r="CN22" s="1" t="str">
        <f>IF(BK22&gt;BK$166, BK22-BK$166,"")</f>
        <v/>
      </c>
      <c r="CO22" s="1" t="str">
        <f>IF(BL22&gt;BL$166, BL22-BL$166,"")</f>
        <v/>
      </c>
      <c r="CP22" s="1" t="str">
        <f>IF(BM22&gt;BM$166, BM22-BM$166,"")</f>
        <v/>
      </c>
      <c r="CQ22" s="1" t="str">
        <f>IF(BN22&gt;BN$166, BN22-BN$166,"")</f>
        <v/>
      </c>
      <c r="CR22" s="1">
        <f t="shared" si="14"/>
        <v>0</v>
      </c>
      <c r="CS22" s="1" t="str">
        <f t="shared" si="1"/>
        <v/>
      </c>
      <c r="CT22" s="1" t="str">
        <f t="shared" si="2"/>
        <v/>
      </c>
      <c r="CU22" s="1" t="str">
        <f t="shared" si="3"/>
        <v/>
      </c>
      <c r="CV22" s="1" t="str">
        <f t="shared" si="4"/>
        <v/>
      </c>
      <c r="CW22" s="1" t="str">
        <f t="shared" si="5"/>
        <v/>
      </c>
      <c r="CX22" s="1" t="str">
        <f t="shared" si="6"/>
        <v/>
      </c>
      <c r="CY22" s="1" t="str">
        <f t="shared" si="7"/>
        <v/>
      </c>
      <c r="CZ22" s="1" t="str">
        <f t="shared" si="8"/>
        <v/>
      </c>
      <c r="DA22" s="1" t="str">
        <f t="shared" si="9"/>
        <v/>
      </c>
      <c r="DB22" s="1" t="str">
        <f t="shared" si="10"/>
        <v/>
      </c>
      <c r="DC22" s="1" t="str">
        <f t="shared" si="11"/>
        <v/>
      </c>
      <c r="DD22" s="1" t="str">
        <f t="shared" si="12"/>
        <v/>
      </c>
      <c r="DE22" s="18">
        <f t="shared" si="13"/>
        <v>20</v>
      </c>
    </row>
    <row r="23" spans="1:109" x14ac:dyDescent="0.15">
      <c r="A23" s="1">
        <v>6</v>
      </c>
      <c r="B23" s="1" t="s">
        <v>57</v>
      </c>
      <c r="C23" s="1" t="s">
        <v>2</v>
      </c>
      <c r="D23" s="1" t="s">
        <v>23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4"/>
      <c r="BD23" s="4">
        <v>10</v>
      </c>
      <c r="BE23" s="4"/>
      <c r="BF23" s="4"/>
      <c r="BG23" s="4"/>
      <c r="BH23" s="4"/>
      <c r="BI23" s="2"/>
      <c r="BJ23" s="2"/>
      <c r="BK23" s="2"/>
      <c r="BL23" s="2"/>
      <c r="BM23" s="2"/>
      <c r="BN23" s="2">
        <v>10</v>
      </c>
      <c r="BO23" s="14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>
        <f t="shared" si="0"/>
        <v>20</v>
      </c>
      <c r="CC23" s="1">
        <v>0</v>
      </c>
      <c r="CD23" s="17">
        <v>0</v>
      </c>
      <c r="CE23" s="17"/>
      <c r="CF23" s="1" t="str">
        <f>IF(BC23&gt;BC$166, BC23-BC$166,"")</f>
        <v/>
      </c>
      <c r="CG23" s="1" t="str">
        <f>IF(BD23&gt;BD$166, BD23-BD$166,"")</f>
        <v/>
      </c>
      <c r="CH23" s="1" t="str">
        <f>IF(BE23&gt;BE$166, BE23-BE$166,"")</f>
        <v/>
      </c>
      <c r="CI23" s="1" t="str">
        <f>IF(BF23&gt;BF$166, BF23-BF$166,"")</f>
        <v/>
      </c>
      <c r="CJ23" s="1" t="str">
        <f>IF(BG23&gt;BG$166, BG23-BG$166,"")</f>
        <v/>
      </c>
      <c r="CK23" s="1" t="str">
        <f>IF(BH23&gt;BH$166, BH23-BH$166,"")</f>
        <v/>
      </c>
      <c r="CL23" s="1" t="str">
        <f>IF(BI23&gt;BI$166, BI23-BI$166,"")</f>
        <v/>
      </c>
      <c r="CM23" s="1" t="str">
        <f>IF(BJ23&gt;BJ$166, BJ23-BJ$166,"")</f>
        <v/>
      </c>
      <c r="CN23" s="1" t="str">
        <f>IF(BK23&gt;BK$166, BK23-BK$166,"")</f>
        <v/>
      </c>
      <c r="CO23" s="1" t="str">
        <f>IF(BL23&gt;BL$166, BL23-BL$166,"")</f>
        <v/>
      </c>
      <c r="CP23" s="1" t="str">
        <f>IF(BM23&gt;BM$166, BM23-BM$166,"")</f>
        <v/>
      </c>
      <c r="CQ23" s="1" t="str">
        <f>IF(BN23&gt;BN$166, BN23-BN$166,"")</f>
        <v/>
      </c>
      <c r="CR23" s="1">
        <f t="shared" si="14"/>
        <v>0</v>
      </c>
      <c r="CS23" s="1" t="str">
        <f t="shared" si="1"/>
        <v/>
      </c>
      <c r="CT23" s="1" t="str">
        <f t="shared" si="2"/>
        <v/>
      </c>
      <c r="CU23" s="1" t="str">
        <f t="shared" si="3"/>
        <v/>
      </c>
      <c r="CV23" s="1" t="str">
        <f t="shared" si="4"/>
        <v/>
      </c>
      <c r="CW23" s="1" t="str">
        <f t="shared" si="5"/>
        <v/>
      </c>
      <c r="CX23" s="1" t="str">
        <f t="shared" si="6"/>
        <v/>
      </c>
      <c r="CY23" s="1" t="str">
        <f t="shared" si="7"/>
        <v/>
      </c>
      <c r="CZ23" s="1" t="str">
        <f t="shared" si="8"/>
        <v/>
      </c>
      <c r="DA23" s="1" t="str">
        <f t="shared" si="9"/>
        <v/>
      </c>
      <c r="DB23" s="1" t="str">
        <f t="shared" si="10"/>
        <v/>
      </c>
      <c r="DC23" s="1" t="str">
        <f t="shared" si="11"/>
        <v/>
      </c>
      <c r="DD23" s="1" t="str">
        <f t="shared" si="12"/>
        <v/>
      </c>
      <c r="DE23" s="18">
        <f t="shared" si="13"/>
        <v>20</v>
      </c>
    </row>
    <row r="24" spans="1:109" x14ac:dyDescent="0.15">
      <c r="A24" s="1">
        <v>8</v>
      </c>
      <c r="B24" s="1" t="s">
        <v>58</v>
      </c>
      <c r="C24" s="1" t="s">
        <v>2</v>
      </c>
      <c r="D24" s="1" t="s">
        <v>26</v>
      </c>
      <c r="E24" s="6">
        <v>6</v>
      </c>
      <c r="F24" s="6"/>
      <c r="G24" s="6"/>
      <c r="H24" s="6">
        <v>6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4"/>
      <c r="BD24" s="4">
        <v>10</v>
      </c>
      <c r="BE24" s="4"/>
      <c r="BF24" s="4"/>
      <c r="BG24" s="4"/>
      <c r="BH24" s="4"/>
      <c r="BI24" s="2"/>
      <c r="BJ24" s="2"/>
      <c r="BK24" s="2"/>
      <c r="BL24" s="2"/>
      <c r="BM24" s="2"/>
      <c r="BN24" s="2">
        <v>10</v>
      </c>
      <c r="BO24" s="14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>
        <f t="shared" si="0"/>
        <v>32</v>
      </c>
      <c r="CC24" s="1">
        <v>0</v>
      </c>
      <c r="CD24" s="17">
        <v>0</v>
      </c>
      <c r="CE24" s="17"/>
      <c r="CF24" s="1" t="str">
        <f>IF(BC24&gt;BC$166, BC24-BC$166,"")</f>
        <v/>
      </c>
      <c r="CG24" s="1" t="str">
        <f>IF(BD24&gt;BD$166, BD24-BD$166,"")</f>
        <v/>
      </c>
      <c r="CH24" s="1" t="str">
        <f>IF(BE24&gt;BE$166, BE24-BE$166,"")</f>
        <v/>
      </c>
      <c r="CI24" s="1" t="str">
        <f>IF(BF24&gt;BF$166, BF24-BF$166,"")</f>
        <v/>
      </c>
      <c r="CJ24" s="1" t="str">
        <f>IF(BG24&gt;BG$166, BG24-BG$166,"")</f>
        <v/>
      </c>
      <c r="CK24" s="1" t="str">
        <f>IF(BH24&gt;BH$166, BH24-BH$166,"")</f>
        <v/>
      </c>
      <c r="CL24" s="1" t="str">
        <f>IF(BI24&gt;BI$166, BI24-BI$166,"")</f>
        <v/>
      </c>
      <c r="CM24" s="1" t="str">
        <f>IF(BJ24&gt;BJ$166, BJ24-BJ$166,"")</f>
        <v/>
      </c>
      <c r="CN24" s="1" t="str">
        <f>IF(BK24&gt;BK$166, BK24-BK$166,"")</f>
        <v/>
      </c>
      <c r="CO24" s="1" t="str">
        <f>IF(BL24&gt;BL$166, BL24-BL$166,"")</f>
        <v/>
      </c>
      <c r="CP24" s="1" t="str">
        <f>IF(BM24&gt;BM$166, BM24-BM$166,"")</f>
        <v/>
      </c>
      <c r="CQ24" s="1" t="str">
        <f>IF(BN24&gt;BN$166, BN24-BN$166,"")</f>
        <v/>
      </c>
      <c r="CR24" s="1">
        <f t="shared" si="14"/>
        <v>0</v>
      </c>
      <c r="CS24" s="1" t="str">
        <f t="shared" si="1"/>
        <v/>
      </c>
      <c r="CT24" s="1" t="str">
        <f t="shared" si="2"/>
        <v/>
      </c>
      <c r="CU24" s="1" t="str">
        <f t="shared" si="3"/>
        <v/>
      </c>
      <c r="CV24" s="1" t="str">
        <f t="shared" si="4"/>
        <v/>
      </c>
      <c r="CW24" s="1" t="str">
        <f t="shared" si="5"/>
        <v/>
      </c>
      <c r="CX24" s="1" t="str">
        <f t="shared" si="6"/>
        <v/>
      </c>
      <c r="CY24" s="1" t="str">
        <f t="shared" si="7"/>
        <v/>
      </c>
      <c r="CZ24" s="1" t="str">
        <f t="shared" si="8"/>
        <v/>
      </c>
      <c r="DA24" s="1" t="str">
        <f t="shared" si="9"/>
        <v/>
      </c>
      <c r="DB24" s="1" t="str">
        <f t="shared" si="10"/>
        <v/>
      </c>
      <c r="DC24" s="1" t="str">
        <f t="shared" si="11"/>
        <v/>
      </c>
      <c r="DD24" s="1" t="str">
        <f t="shared" si="12"/>
        <v/>
      </c>
      <c r="DE24" s="18">
        <f t="shared" si="13"/>
        <v>20</v>
      </c>
    </row>
    <row r="25" spans="1:109" x14ac:dyDescent="0.15">
      <c r="A25" s="1">
        <v>94</v>
      </c>
      <c r="B25" s="3" t="s">
        <v>106</v>
      </c>
      <c r="C25" s="3" t="s">
        <v>85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4"/>
      <c r="BD25" s="4"/>
      <c r="BE25" s="4"/>
      <c r="BF25" s="4"/>
      <c r="BG25" s="4"/>
      <c r="BH25" s="4"/>
      <c r="BI25" s="2"/>
      <c r="BJ25" s="2"/>
      <c r="BK25" s="2"/>
      <c r="BL25" s="2"/>
      <c r="BM25" s="2">
        <v>10</v>
      </c>
      <c r="BN25" s="2">
        <v>10</v>
      </c>
      <c r="BO25" s="14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>
        <f t="shared" si="0"/>
        <v>20</v>
      </c>
      <c r="CC25" s="1">
        <v>0</v>
      </c>
      <c r="CD25" s="17">
        <v>0</v>
      </c>
      <c r="CE25" s="17"/>
      <c r="CF25" s="1" t="str">
        <f>IF(BC25&gt;BC$166, BC25-BC$166,"")</f>
        <v/>
      </c>
      <c r="CG25" s="1" t="str">
        <f>IF(BD25&gt;BD$166, BD25-BD$166,"")</f>
        <v/>
      </c>
      <c r="CH25" s="1" t="str">
        <f>IF(BE25&gt;BE$166, BE25-BE$166,"")</f>
        <v/>
      </c>
      <c r="CI25" s="1" t="str">
        <f>IF(BF25&gt;BF$166, BF25-BF$166,"")</f>
        <v/>
      </c>
      <c r="CJ25" s="1" t="str">
        <f>IF(BG25&gt;BG$166, BG25-BG$166,"")</f>
        <v/>
      </c>
      <c r="CK25" s="1" t="str">
        <f>IF(BH25&gt;BH$166, BH25-BH$166,"")</f>
        <v/>
      </c>
      <c r="CL25" s="1" t="str">
        <f>IF(BI25&gt;BI$166, BI25-BI$166,"")</f>
        <v/>
      </c>
      <c r="CM25" s="1" t="str">
        <f>IF(BJ25&gt;BJ$166, BJ25-BJ$166,"")</f>
        <v/>
      </c>
      <c r="CN25" s="1" t="str">
        <f>IF(BK25&gt;BK$166, BK25-BK$166,"")</f>
        <v/>
      </c>
      <c r="CO25" s="1" t="str">
        <f>IF(BL25&gt;BL$166, BL25-BL$166,"")</f>
        <v/>
      </c>
      <c r="CP25" s="1" t="str">
        <f>IF(BM25&gt;BM$166, BM25-BM$166,"")</f>
        <v/>
      </c>
      <c r="CQ25" s="1" t="str">
        <f>IF(BN25&gt;BN$166, BN25-BN$166,"")</f>
        <v/>
      </c>
      <c r="CR25" s="1">
        <f t="shared" si="14"/>
        <v>0</v>
      </c>
      <c r="CS25" s="1" t="str">
        <f t="shared" si="1"/>
        <v/>
      </c>
      <c r="CT25" s="1" t="str">
        <f t="shared" si="2"/>
        <v/>
      </c>
      <c r="CU25" s="1" t="str">
        <f t="shared" si="3"/>
        <v/>
      </c>
      <c r="CV25" s="1" t="str">
        <f t="shared" si="4"/>
        <v/>
      </c>
      <c r="CW25" s="1" t="str">
        <f t="shared" si="5"/>
        <v/>
      </c>
      <c r="CX25" s="1" t="str">
        <f t="shared" si="6"/>
        <v/>
      </c>
      <c r="CY25" s="1" t="str">
        <f t="shared" si="7"/>
        <v/>
      </c>
      <c r="CZ25" s="1" t="str">
        <f t="shared" si="8"/>
        <v/>
      </c>
      <c r="DA25" s="1" t="str">
        <f t="shared" si="9"/>
        <v/>
      </c>
      <c r="DB25" s="1" t="str">
        <f t="shared" si="10"/>
        <v/>
      </c>
      <c r="DC25" s="1" t="str">
        <f t="shared" si="11"/>
        <v/>
      </c>
      <c r="DD25" s="1" t="str">
        <f t="shared" si="12"/>
        <v/>
      </c>
      <c r="DE25" s="18">
        <f t="shared" si="13"/>
        <v>20</v>
      </c>
    </row>
    <row r="26" spans="1:109" x14ac:dyDescent="0.15">
      <c r="A26" s="1">
        <v>96</v>
      </c>
      <c r="B26" s="3" t="s">
        <v>84</v>
      </c>
      <c r="C26" s="3" t="s">
        <v>85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4"/>
      <c r="BD26" s="4"/>
      <c r="BE26" s="4"/>
      <c r="BF26" s="4"/>
      <c r="BG26" s="4"/>
      <c r="BH26" s="4"/>
      <c r="BI26" s="2"/>
      <c r="BJ26" s="2"/>
      <c r="BK26" s="2"/>
      <c r="BL26" s="2"/>
      <c r="BM26" s="2">
        <v>10</v>
      </c>
      <c r="BN26" s="2">
        <v>10</v>
      </c>
      <c r="BO26" s="14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>
        <f t="shared" si="0"/>
        <v>20</v>
      </c>
      <c r="CC26" s="1">
        <v>0</v>
      </c>
      <c r="CD26" s="17">
        <v>0</v>
      </c>
      <c r="CE26" s="17"/>
      <c r="CF26" s="1" t="str">
        <f>IF(BC26&gt;BC$166, BC26-BC$166,"")</f>
        <v/>
      </c>
      <c r="CG26" s="1" t="str">
        <f>IF(BD26&gt;BD$166, BD26-BD$166,"")</f>
        <v/>
      </c>
      <c r="CH26" s="1" t="str">
        <f>IF(BE26&gt;BE$166, BE26-BE$166,"")</f>
        <v/>
      </c>
      <c r="CI26" s="1" t="str">
        <f>IF(BF26&gt;BF$166, BF26-BF$166,"")</f>
        <v/>
      </c>
      <c r="CJ26" s="1" t="str">
        <f>IF(BG26&gt;BG$166, BG26-BG$166,"")</f>
        <v/>
      </c>
      <c r="CK26" s="1" t="str">
        <f>IF(BH26&gt;BH$166, BH26-BH$166,"")</f>
        <v/>
      </c>
      <c r="CL26" s="1" t="str">
        <f>IF(BI26&gt;BI$166, BI26-BI$166,"")</f>
        <v/>
      </c>
      <c r="CM26" s="1" t="str">
        <f>IF(BJ26&gt;BJ$166, BJ26-BJ$166,"")</f>
        <v/>
      </c>
      <c r="CN26" s="1" t="str">
        <f>IF(BK26&gt;BK$166, BK26-BK$166,"")</f>
        <v/>
      </c>
      <c r="CO26" s="1" t="str">
        <f>IF(BL26&gt;BL$166, BL26-BL$166,"")</f>
        <v/>
      </c>
      <c r="CP26" s="1" t="str">
        <f>IF(BM26&gt;BM$166, BM26-BM$166,"")</f>
        <v/>
      </c>
      <c r="CQ26" s="1" t="str">
        <f>IF(BN26&gt;BN$166, BN26-BN$166,"")</f>
        <v/>
      </c>
      <c r="CR26" s="1">
        <f t="shared" si="14"/>
        <v>0</v>
      </c>
      <c r="CS26" s="1" t="str">
        <f t="shared" si="1"/>
        <v/>
      </c>
      <c r="CT26" s="1" t="str">
        <f t="shared" si="2"/>
        <v/>
      </c>
      <c r="CU26" s="1" t="str">
        <f t="shared" si="3"/>
        <v/>
      </c>
      <c r="CV26" s="1" t="str">
        <f t="shared" si="4"/>
        <v/>
      </c>
      <c r="CW26" s="1" t="str">
        <f t="shared" si="5"/>
        <v/>
      </c>
      <c r="CX26" s="1" t="str">
        <f t="shared" si="6"/>
        <v/>
      </c>
      <c r="CY26" s="1" t="str">
        <f t="shared" si="7"/>
        <v/>
      </c>
      <c r="CZ26" s="1" t="str">
        <f t="shared" si="8"/>
        <v/>
      </c>
      <c r="DA26" s="1" t="str">
        <f t="shared" si="9"/>
        <v/>
      </c>
      <c r="DB26" s="1" t="str">
        <f t="shared" si="10"/>
        <v/>
      </c>
      <c r="DC26" s="1" t="str">
        <f t="shared" si="11"/>
        <v/>
      </c>
      <c r="DD26" s="1" t="str">
        <f t="shared" si="12"/>
        <v/>
      </c>
      <c r="DE26" s="18">
        <f t="shared" si="13"/>
        <v>20</v>
      </c>
    </row>
    <row r="27" spans="1:109" s="25" customFormat="1" x14ac:dyDescent="0.15">
      <c r="A27" s="1">
        <v>76</v>
      </c>
      <c r="B27" s="3" t="s">
        <v>127</v>
      </c>
      <c r="C27" s="3" t="s">
        <v>77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>
        <v>20</v>
      </c>
      <c r="V27" s="6"/>
      <c r="W27" s="6"/>
      <c r="X27" s="6"/>
      <c r="Y27" s="6"/>
      <c r="Z27" s="6"/>
      <c r="AA27" s="6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4"/>
      <c r="BD27" s="4"/>
      <c r="BE27" s="4"/>
      <c r="BF27" s="4"/>
      <c r="BG27" s="4"/>
      <c r="BH27" s="4"/>
      <c r="BI27" s="2"/>
      <c r="BJ27" s="2"/>
      <c r="BK27" s="2"/>
      <c r="BL27" s="2"/>
      <c r="BM27" s="2"/>
      <c r="BN27" s="2"/>
      <c r="BO27" s="14"/>
      <c r="BP27" s="1"/>
      <c r="BQ27" s="1"/>
      <c r="BR27" s="1"/>
      <c r="BS27" s="1"/>
      <c r="BT27" s="1">
        <v>10</v>
      </c>
      <c r="BU27" s="1"/>
      <c r="BV27" s="1"/>
      <c r="BW27" s="1"/>
      <c r="BX27" s="1"/>
      <c r="BY27" s="1"/>
      <c r="BZ27" s="1"/>
      <c r="CA27" s="1"/>
      <c r="CB27" s="1">
        <f t="shared" si="0"/>
        <v>30</v>
      </c>
      <c r="CC27" s="1">
        <v>0</v>
      </c>
      <c r="CD27" s="17">
        <v>0</v>
      </c>
      <c r="CE27" s="17"/>
      <c r="CF27" s="1" t="str">
        <f>IF(BC27&gt;BC$166, BC27-BC$166,"")</f>
        <v/>
      </c>
      <c r="CG27" s="1" t="str">
        <f>IF(BD27&gt;BD$166, BD27-BD$166,"")</f>
        <v/>
      </c>
      <c r="CH27" s="1" t="str">
        <f>IF(BE27&gt;BE$166, BE27-BE$166,"")</f>
        <v/>
      </c>
      <c r="CI27" s="1" t="str">
        <f>IF(BF27&gt;BF$166, BF27-BF$166,"")</f>
        <v/>
      </c>
      <c r="CJ27" s="1" t="str">
        <f>IF(BG27&gt;BG$166, BG27-BG$166,"")</f>
        <v/>
      </c>
      <c r="CK27" s="1" t="str">
        <f>IF(BH27&gt;BH$166, BH27-BH$166,"")</f>
        <v/>
      </c>
      <c r="CL27" s="1" t="str">
        <f>IF(BI27&gt;BI$166, BI27-BI$166,"")</f>
        <v/>
      </c>
      <c r="CM27" s="1" t="str">
        <f>IF(BJ27&gt;BJ$166, BJ27-BJ$166,"")</f>
        <v/>
      </c>
      <c r="CN27" s="1" t="str">
        <f>IF(BK27&gt;BK$166, BK27-BK$166,"")</f>
        <v/>
      </c>
      <c r="CO27" s="1" t="str">
        <f>IF(BL27&gt;BL$166, BL27-BL$166,"")</f>
        <v/>
      </c>
      <c r="CP27" s="1" t="str">
        <f>IF(BM27&gt;BM$166, BM27-BM$166,"")</f>
        <v/>
      </c>
      <c r="CQ27" s="1" t="str">
        <f>IF(BN27&gt;BN$166, BN27-BN$166,"")</f>
        <v/>
      </c>
      <c r="CR27" s="1">
        <f t="shared" si="14"/>
        <v>0</v>
      </c>
      <c r="CS27" s="1" t="str">
        <f t="shared" si="1"/>
        <v/>
      </c>
      <c r="CT27" s="1" t="str">
        <f t="shared" si="2"/>
        <v/>
      </c>
      <c r="CU27" s="1" t="str">
        <f t="shared" si="3"/>
        <v/>
      </c>
      <c r="CV27" s="1" t="str">
        <f t="shared" si="4"/>
        <v/>
      </c>
      <c r="CW27" s="1" t="str">
        <f t="shared" si="5"/>
        <v/>
      </c>
      <c r="CX27" s="1" t="str">
        <f t="shared" si="6"/>
        <v/>
      </c>
      <c r="CY27" s="1" t="str">
        <f t="shared" si="7"/>
        <v/>
      </c>
      <c r="CZ27" s="1" t="str">
        <f t="shared" si="8"/>
        <v/>
      </c>
      <c r="DA27" s="1" t="str">
        <f t="shared" si="9"/>
        <v/>
      </c>
      <c r="DB27" s="1" t="str">
        <f t="shared" si="10"/>
        <v/>
      </c>
      <c r="DC27" s="1" t="str">
        <f t="shared" si="11"/>
        <v/>
      </c>
      <c r="DD27" s="1" t="str">
        <f t="shared" si="12"/>
        <v/>
      </c>
      <c r="DE27" s="18">
        <f t="shared" si="13"/>
        <v>10</v>
      </c>
    </row>
    <row r="28" spans="1:109" x14ac:dyDescent="0.15">
      <c r="A28" s="1">
        <v>68</v>
      </c>
      <c r="B28" s="3" t="s">
        <v>129</v>
      </c>
      <c r="C28" s="1" t="s">
        <v>64</v>
      </c>
      <c r="D28" s="1" t="s">
        <v>13</v>
      </c>
      <c r="E28" s="6"/>
      <c r="F28" s="6">
        <v>6</v>
      </c>
      <c r="G28" s="6"/>
      <c r="H28" s="6"/>
      <c r="I28" s="6"/>
      <c r="J28" s="6"/>
      <c r="K28" s="6"/>
      <c r="L28" s="6"/>
      <c r="M28" s="6"/>
      <c r="N28" s="6">
        <v>6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4"/>
      <c r="BD28" s="4"/>
      <c r="BE28" s="4"/>
      <c r="BF28" s="4"/>
      <c r="BG28" s="4"/>
      <c r="BH28" s="4">
        <v>10</v>
      </c>
      <c r="BI28" s="2"/>
      <c r="BJ28" s="2"/>
      <c r="BK28" s="2"/>
      <c r="BL28" s="2"/>
      <c r="BM28" s="2"/>
      <c r="BN28" s="2">
        <v>10</v>
      </c>
      <c r="BO28" s="14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>
        <f t="shared" si="0"/>
        <v>32</v>
      </c>
      <c r="CC28" s="1">
        <v>0</v>
      </c>
      <c r="CD28" s="17">
        <v>0</v>
      </c>
      <c r="CE28" s="17"/>
      <c r="CF28" s="1" t="str">
        <f>IF(BC28&gt;BC$166, BC28-BC$166,"")</f>
        <v/>
      </c>
      <c r="CG28" s="1" t="str">
        <f>IF(BD28&gt;BD$166, BD28-BD$166,"")</f>
        <v/>
      </c>
      <c r="CH28" s="1" t="str">
        <f>IF(BE28&gt;BE$166, BE28-BE$166,"")</f>
        <v/>
      </c>
      <c r="CI28" s="1" t="str">
        <f>IF(BF28&gt;BF$166, BF28-BF$166,"")</f>
        <v/>
      </c>
      <c r="CJ28" s="1" t="str">
        <f>IF(BG28&gt;BG$166, BG28-BG$166,"")</f>
        <v/>
      </c>
      <c r="CK28" s="1" t="str">
        <f>IF(BH28&gt;BH$166, BH28-BH$166,"")</f>
        <v/>
      </c>
      <c r="CL28" s="1" t="str">
        <f>IF(BI28&gt;BI$166, BI28-BI$166,"")</f>
        <v/>
      </c>
      <c r="CM28" s="1" t="str">
        <f>IF(BJ28&gt;BJ$166, BJ28-BJ$166,"")</f>
        <v/>
      </c>
      <c r="CN28" s="1" t="str">
        <f>IF(BK28&gt;BK$166, BK28-BK$166,"")</f>
        <v/>
      </c>
      <c r="CO28" s="1" t="str">
        <f>IF(BL28&gt;BL$166, BL28-BL$166,"")</f>
        <v/>
      </c>
      <c r="CP28" s="1" t="str">
        <f>IF(BM28&gt;BM$166, BM28-BM$166,"")</f>
        <v/>
      </c>
      <c r="CQ28" s="1" t="str">
        <f>IF(BN28&gt;BN$166, BN28-BN$166,"")</f>
        <v/>
      </c>
      <c r="CR28" s="1">
        <f t="shared" si="14"/>
        <v>0</v>
      </c>
      <c r="CS28" s="1" t="str">
        <f t="shared" si="1"/>
        <v/>
      </c>
      <c r="CT28" s="1" t="str">
        <f t="shared" si="2"/>
        <v/>
      </c>
      <c r="CU28" s="1" t="str">
        <f t="shared" si="3"/>
        <v/>
      </c>
      <c r="CV28" s="1" t="str">
        <f t="shared" si="4"/>
        <v/>
      </c>
      <c r="CW28" s="1" t="str">
        <f t="shared" si="5"/>
        <v/>
      </c>
      <c r="CX28" s="1" t="str">
        <f t="shared" si="6"/>
        <v/>
      </c>
      <c r="CY28" s="1" t="str">
        <f t="shared" si="7"/>
        <v/>
      </c>
      <c r="CZ28" s="1" t="str">
        <f t="shared" si="8"/>
        <v/>
      </c>
      <c r="DA28" s="1" t="str">
        <f t="shared" si="9"/>
        <v/>
      </c>
      <c r="DB28" s="1" t="str">
        <f t="shared" si="10"/>
        <v/>
      </c>
      <c r="DC28" s="1" t="str">
        <f t="shared" si="11"/>
        <v/>
      </c>
      <c r="DD28" s="1" t="str">
        <f t="shared" si="12"/>
        <v/>
      </c>
      <c r="DE28" s="18">
        <f t="shared" si="13"/>
        <v>20</v>
      </c>
    </row>
    <row r="29" spans="1:109" x14ac:dyDescent="0.15">
      <c r="A29" s="1">
        <v>95</v>
      </c>
      <c r="B29" s="3" t="s">
        <v>107</v>
      </c>
      <c r="C29" s="3" t="s">
        <v>85</v>
      </c>
      <c r="D29" s="1" t="s">
        <v>1</v>
      </c>
      <c r="E29" s="6"/>
      <c r="F29" s="6"/>
      <c r="G29" s="6"/>
      <c r="H29" s="6"/>
      <c r="I29" s="6"/>
      <c r="J29" s="6"/>
      <c r="K29" s="6"/>
      <c r="L29" s="6">
        <v>15</v>
      </c>
      <c r="M29" s="6"/>
      <c r="N29" s="6"/>
      <c r="O29" s="6">
        <v>15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4"/>
      <c r="BD29" s="4"/>
      <c r="BE29" s="4"/>
      <c r="BF29" s="4"/>
      <c r="BG29" s="4"/>
      <c r="BH29" s="4"/>
      <c r="BI29" s="2"/>
      <c r="BJ29" s="2"/>
      <c r="BK29" s="2"/>
      <c r="BL29" s="2"/>
      <c r="BM29" s="2">
        <v>15</v>
      </c>
      <c r="BN29" s="2">
        <v>15</v>
      </c>
      <c r="BO29" s="14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>
        <f t="shared" si="0"/>
        <v>60</v>
      </c>
      <c r="CC29" s="1">
        <v>0</v>
      </c>
      <c r="CD29" s="17">
        <v>0</v>
      </c>
      <c r="CE29" s="17"/>
      <c r="CF29" s="1" t="str">
        <f>IF(BC29&gt;BC$166, BC29-BC$166,"")</f>
        <v/>
      </c>
      <c r="CG29" s="1" t="str">
        <f>IF(BD29&gt;BD$166, BD29-BD$166,"")</f>
        <v/>
      </c>
      <c r="CH29" s="1" t="str">
        <f>IF(BE29&gt;BE$166, BE29-BE$166,"")</f>
        <v/>
      </c>
      <c r="CI29" s="1" t="str">
        <f>IF(BF29&gt;BF$166, BF29-BF$166,"")</f>
        <v/>
      </c>
      <c r="CJ29" s="1" t="str">
        <f>IF(BG29&gt;BG$166, BG29-BG$166,"")</f>
        <v/>
      </c>
      <c r="CK29" s="1" t="str">
        <f>IF(BH29&gt;BH$166, BH29-BH$166,"")</f>
        <v/>
      </c>
      <c r="CL29" s="1" t="str">
        <f>IF(BI29&gt;BI$166, BI29-BI$166,"")</f>
        <v/>
      </c>
      <c r="CM29" s="1" t="str">
        <f>IF(BJ29&gt;BJ$166, BJ29-BJ$166,"")</f>
        <v/>
      </c>
      <c r="CN29" s="1" t="str">
        <f>IF(BK29&gt;BK$166, BK29-BK$166,"")</f>
        <v/>
      </c>
      <c r="CO29" s="1" t="str">
        <f>IF(BL29&gt;BL$166, BL29-BL$166,"")</f>
        <v/>
      </c>
      <c r="CP29" s="1" t="str">
        <f>IF(BM29&gt;BM$166, BM29-BM$166,"")</f>
        <v/>
      </c>
      <c r="CQ29" s="1" t="str">
        <f>IF(BN29&gt;BN$166, BN29-BN$166,"")</f>
        <v/>
      </c>
      <c r="CR29" s="1">
        <f t="shared" si="14"/>
        <v>0</v>
      </c>
      <c r="CS29" s="1" t="str">
        <f t="shared" si="1"/>
        <v/>
      </c>
      <c r="CT29" s="1" t="str">
        <f t="shared" si="2"/>
        <v/>
      </c>
      <c r="CU29" s="1" t="str">
        <f t="shared" si="3"/>
        <v/>
      </c>
      <c r="CV29" s="1" t="str">
        <f t="shared" si="4"/>
        <v/>
      </c>
      <c r="CW29" s="1" t="str">
        <f t="shared" si="5"/>
        <v/>
      </c>
      <c r="CX29" s="1" t="str">
        <f t="shared" si="6"/>
        <v/>
      </c>
      <c r="CY29" s="1" t="str">
        <f t="shared" si="7"/>
        <v/>
      </c>
      <c r="CZ29" s="1" t="str">
        <f t="shared" si="8"/>
        <v/>
      </c>
      <c r="DA29" s="1" t="str">
        <f t="shared" si="9"/>
        <v/>
      </c>
      <c r="DB29" s="1" t="str">
        <f t="shared" si="10"/>
        <v/>
      </c>
      <c r="DC29" s="1" t="str">
        <f t="shared" si="11"/>
        <v/>
      </c>
      <c r="DD29" s="1" t="str">
        <f t="shared" si="12"/>
        <v/>
      </c>
      <c r="DE29" s="18">
        <f t="shared" si="13"/>
        <v>30</v>
      </c>
    </row>
    <row r="30" spans="1:109" x14ac:dyDescent="0.15">
      <c r="A30" s="1">
        <v>3</v>
      </c>
      <c r="B30" s="1" t="s">
        <v>11</v>
      </c>
      <c r="C30" s="1" t="s">
        <v>2</v>
      </c>
      <c r="D30" s="1" t="s">
        <v>12</v>
      </c>
      <c r="E30" s="6">
        <v>15</v>
      </c>
      <c r="F30" s="6"/>
      <c r="G30" s="6">
        <v>15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4"/>
      <c r="BD30" s="4">
        <v>15</v>
      </c>
      <c r="BE30" s="4"/>
      <c r="BF30" s="4"/>
      <c r="BG30" s="4"/>
      <c r="BH30" s="4"/>
      <c r="BI30" s="2"/>
      <c r="BJ30" s="2"/>
      <c r="BK30" s="2"/>
      <c r="BL30" s="2"/>
      <c r="BM30" s="2"/>
      <c r="BN30" s="2">
        <v>15</v>
      </c>
      <c r="BO30" s="14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>
        <f t="shared" si="0"/>
        <v>60</v>
      </c>
      <c r="CC30" s="1">
        <v>0</v>
      </c>
      <c r="CD30" s="17">
        <v>0</v>
      </c>
      <c r="CE30" s="17"/>
      <c r="CF30" s="1" t="str">
        <f>IF(BC30&gt;BC$166, BC30-BC$166,"")</f>
        <v/>
      </c>
      <c r="CG30" s="1" t="str">
        <f>IF(BD30&gt;BD$166, BD30-BD$166,"")</f>
        <v/>
      </c>
      <c r="CH30" s="1" t="str">
        <f>IF(BE30&gt;BE$166, BE30-BE$166,"")</f>
        <v/>
      </c>
      <c r="CI30" s="1" t="str">
        <f>IF(BF30&gt;BF$166, BF30-BF$166,"")</f>
        <v/>
      </c>
      <c r="CJ30" s="1" t="str">
        <f>IF(BG30&gt;BG$166, BG30-BG$166,"")</f>
        <v/>
      </c>
      <c r="CK30" s="1" t="str">
        <f>IF(BH30&gt;BH$166, BH30-BH$166,"")</f>
        <v/>
      </c>
      <c r="CL30" s="1" t="str">
        <f>IF(BI30&gt;BI$166, BI30-BI$166,"")</f>
        <v/>
      </c>
      <c r="CM30" s="1" t="str">
        <f>IF(BJ30&gt;BJ$166, BJ30-BJ$166,"")</f>
        <v/>
      </c>
      <c r="CN30" s="1" t="str">
        <f>IF(BK30&gt;BK$166, BK30-BK$166,"")</f>
        <v/>
      </c>
      <c r="CO30" s="1" t="str">
        <f>IF(BL30&gt;BL$166, BL30-BL$166,"")</f>
        <v/>
      </c>
      <c r="CP30" s="1" t="str">
        <f>IF(BM30&gt;BM$166, BM30-BM$166,"")</f>
        <v/>
      </c>
      <c r="CQ30" s="1" t="str">
        <f>IF(BN30&gt;BN$166, BN30-BN$166,"")</f>
        <v/>
      </c>
      <c r="CR30" s="1">
        <f t="shared" si="14"/>
        <v>0</v>
      </c>
      <c r="CS30" s="1" t="str">
        <f t="shared" si="1"/>
        <v/>
      </c>
      <c r="CT30" s="1" t="str">
        <f t="shared" si="2"/>
        <v/>
      </c>
      <c r="CU30" s="1" t="str">
        <f t="shared" si="3"/>
        <v/>
      </c>
      <c r="CV30" s="1" t="str">
        <f t="shared" si="4"/>
        <v/>
      </c>
      <c r="CW30" s="1" t="str">
        <f t="shared" si="5"/>
        <v/>
      </c>
      <c r="CX30" s="1" t="str">
        <f t="shared" si="6"/>
        <v/>
      </c>
      <c r="CY30" s="1" t="str">
        <f t="shared" si="7"/>
        <v/>
      </c>
      <c r="CZ30" s="1" t="str">
        <f t="shared" si="8"/>
        <v/>
      </c>
      <c r="DA30" s="1" t="str">
        <f t="shared" si="9"/>
        <v/>
      </c>
      <c r="DB30" s="1" t="str">
        <f t="shared" si="10"/>
        <v/>
      </c>
      <c r="DC30" s="1" t="str">
        <f t="shared" si="11"/>
        <v/>
      </c>
      <c r="DD30" s="1" t="str">
        <f t="shared" si="12"/>
        <v/>
      </c>
      <c r="DE30" s="18">
        <f t="shared" si="13"/>
        <v>30</v>
      </c>
    </row>
    <row r="31" spans="1:109" x14ac:dyDescent="0.15">
      <c r="A31" s="1">
        <v>78</v>
      </c>
      <c r="B31" s="3" t="s">
        <v>80</v>
      </c>
      <c r="C31" s="3" t="s">
        <v>77</v>
      </c>
      <c r="D31" s="1" t="s">
        <v>1</v>
      </c>
      <c r="E31" s="6"/>
      <c r="F31" s="6"/>
      <c r="G31" s="6">
        <v>15</v>
      </c>
      <c r="H31" s="6">
        <v>15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4"/>
      <c r="BD31" s="4"/>
      <c r="BE31" s="4"/>
      <c r="BF31" s="4"/>
      <c r="BG31" s="4"/>
      <c r="BH31" s="4"/>
      <c r="BI31" s="2"/>
      <c r="BJ31" s="2"/>
      <c r="BK31" s="2"/>
      <c r="BL31" s="2"/>
      <c r="BM31" s="2">
        <v>15</v>
      </c>
      <c r="BN31" s="2">
        <v>15</v>
      </c>
      <c r="BO31" s="14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>
        <f t="shared" si="0"/>
        <v>60</v>
      </c>
      <c r="CC31" s="1">
        <v>0</v>
      </c>
      <c r="CD31" s="17">
        <v>0</v>
      </c>
      <c r="CE31" s="17"/>
      <c r="CF31" s="1" t="str">
        <f>IF(BC31&gt;BC$166, BC31-BC$166,"")</f>
        <v/>
      </c>
      <c r="CG31" s="1" t="str">
        <f>IF(BD31&gt;BD$166, BD31-BD$166,"")</f>
        <v/>
      </c>
      <c r="CH31" s="1" t="str">
        <f>IF(BE31&gt;BE$166, BE31-BE$166,"")</f>
        <v/>
      </c>
      <c r="CI31" s="1" t="str">
        <f>IF(BF31&gt;BF$166, BF31-BF$166,"")</f>
        <v/>
      </c>
      <c r="CJ31" s="1" t="str">
        <f>IF(BG31&gt;BG$166, BG31-BG$166,"")</f>
        <v/>
      </c>
      <c r="CK31" s="1" t="str">
        <f>IF(BH31&gt;BH$166, BH31-BH$166,"")</f>
        <v/>
      </c>
      <c r="CL31" s="1" t="str">
        <f>IF(BI31&gt;BI$166, BI31-BI$166,"")</f>
        <v/>
      </c>
      <c r="CM31" s="1" t="str">
        <f>IF(BJ31&gt;BJ$166, BJ31-BJ$166,"")</f>
        <v/>
      </c>
      <c r="CN31" s="1" t="str">
        <f>IF(BK31&gt;BK$166, BK31-BK$166,"")</f>
        <v/>
      </c>
      <c r="CO31" s="1" t="str">
        <f>IF(BL31&gt;BL$166, BL31-BL$166,"")</f>
        <v/>
      </c>
      <c r="CP31" s="1" t="str">
        <f>IF(BM31&gt;BM$166, BM31-BM$166,"")</f>
        <v/>
      </c>
      <c r="CQ31" s="1" t="str">
        <f>IF(BN31&gt;BN$166, BN31-BN$166,"")</f>
        <v/>
      </c>
      <c r="CR31" s="1">
        <f t="shared" si="14"/>
        <v>0</v>
      </c>
      <c r="CS31" s="1" t="str">
        <f t="shared" si="1"/>
        <v/>
      </c>
      <c r="CT31" s="1" t="str">
        <f t="shared" si="2"/>
        <v/>
      </c>
      <c r="CU31" s="1" t="str">
        <f t="shared" si="3"/>
        <v/>
      </c>
      <c r="CV31" s="1" t="str">
        <f t="shared" si="4"/>
        <v/>
      </c>
      <c r="CW31" s="1" t="str">
        <f t="shared" si="5"/>
        <v/>
      </c>
      <c r="CX31" s="1" t="str">
        <f t="shared" si="6"/>
        <v/>
      </c>
      <c r="CY31" s="1" t="str">
        <f t="shared" si="7"/>
        <v/>
      </c>
      <c r="CZ31" s="1" t="str">
        <f t="shared" si="8"/>
        <v/>
      </c>
      <c r="DA31" s="1" t="str">
        <f t="shared" si="9"/>
        <v/>
      </c>
      <c r="DB31" s="1" t="str">
        <f t="shared" si="10"/>
        <v/>
      </c>
      <c r="DC31" s="1" t="str">
        <f t="shared" si="11"/>
        <v/>
      </c>
      <c r="DD31" s="1" t="str">
        <f t="shared" si="12"/>
        <v/>
      </c>
      <c r="DE31" s="18">
        <f t="shared" si="13"/>
        <v>30</v>
      </c>
    </row>
    <row r="32" spans="1:109" x14ac:dyDescent="0.15">
      <c r="A32" s="1"/>
      <c r="B32" s="1" t="s">
        <v>150</v>
      </c>
      <c r="C32" s="1" t="s">
        <v>151</v>
      </c>
      <c r="D32" s="1" t="s">
        <v>152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4"/>
      <c r="BD32" s="4">
        <v>10</v>
      </c>
      <c r="BE32" s="4"/>
      <c r="BF32" s="4"/>
      <c r="BG32" s="4"/>
      <c r="BH32" s="4"/>
      <c r="BI32" s="2"/>
      <c r="BJ32" s="2"/>
      <c r="BK32" s="2"/>
      <c r="BL32" s="2"/>
      <c r="BM32" s="2"/>
      <c r="BN32" s="2"/>
      <c r="BO32" s="14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>
        <v>0</v>
      </c>
      <c r="CD32" s="17">
        <v>0</v>
      </c>
      <c r="CE32" s="17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8"/>
    </row>
    <row r="33" spans="1:109" x14ac:dyDescent="0.15">
      <c r="A33" s="1"/>
      <c r="B33" s="1" t="s">
        <v>154</v>
      </c>
      <c r="C33" s="1" t="s">
        <v>155</v>
      </c>
      <c r="D33" s="1" t="s">
        <v>153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4"/>
      <c r="BD33" s="4"/>
      <c r="BE33" s="4"/>
      <c r="BF33" s="4"/>
      <c r="BG33" s="4"/>
      <c r="BH33" s="4"/>
      <c r="BI33" s="2"/>
      <c r="BJ33" s="2"/>
      <c r="BK33" s="2"/>
      <c r="BL33" s="2"/>
      <c r="BM33" s="2"/>
      <c r="BN33" s="2"/>
      <c r="BO33" s="14"/>
      <c r="BP33" s="1">
        <v>20</v>
      </c>
      <c r="BQ33" s="1">
        <v>20</v>
      </c>
      <c r="BR33" s="1">
        <v>20</v>
      </c>
      <c r="BS33" s="1">
        <v>20</v>
      </c>
      <c r="BT33" s="1"/>
      <c r="BU33" s="1"/>
      <c r="BV33" s="1"/>
      <c r="BW33" s="1"/>
      <c r="BX33" s="1"/>
      <c r="BY33" s="1"/>
      <c r="BZ33" s="1"/>
      <c r="CA33" s="1"/>
      <c r="CB33" s="1"/>
      <c r="CC33" s="1">
        <v>0</v>
      </c>
      <c r="CD33" s="17">
        <v>0</v>
      </c>
      <c r="CE33" s="17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8"/>
    </row>
    <row r="34" spans="1:109" x14ac:dyDescent="0.15">
      <c r="A34" s="1"/>
      <c r="B34" s="1" t="s">
        <v>163</v>
      </c>
      <c r="C34" s="1" t="s">
        <v>155</v>
      </c>
      <c r="D34" s="1" t="s">
        <v>152</v>
      </c>
      <c r="E34" s="6"/>
      <c r="F34" s="6">
        <v>5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4"/>
      <c r="BD34" s="4"/>
      <c r="BE34" s="4"/>
      <c r="BF34" s="4"/>
      <c r="BG34" s="4"/>
      <c r="BH34" s="4"/>
      <c r="BI34" s="2"/>
      <c r="BJ34" s="2"/>
      <c r="BK34" s="2"/>
      <c r="BL34" s="2"/>
      <c r="BM34" s="2"/>
      <c r="BN34" s="2"/>
      <c r="BO34" s="14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>
        <v>0</v>
      </c>
      <c r="CD34" s="17">
        <v>0</v>
      </c>
      <c r="CE34" s="17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8"/>
    </row>
    <row r="35" spans="1:109" x14ac:dyDescent="0.15">
      <c r="A35" s="1"/>
      <c r="B35" s="1" t="s">
        <v>165</v>
      </c>
      <c r="C35" s="1" t="s">
        <v>166</v>
      </c>
      <c r="D35" s="1" t="s">
        <v>152</v>
      </c>
      <c r="E35" s="6">
        <v>15</v>
      </c>
      <c r="F35" s="6"/>
      <c r="G35" s="6">
        <v>15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4"/>
      <c r="BD35" s="4">
        <v>15</v>
      </c>
      <c r="BE35" s="4"/>
      <c r="BF35" s="4"/>
      <c r="BG35" s="4"/>
      <c r="BH35" s="4"/>
      <c r="BI35" s="2"/>
      <c r="BJ35" s="2"/>
      <c r="BK35" s="2"/>
      <c r="BL35" s="2"/>
      <c r="BM35" s="2"/>
      <c r="BN35" s="2">
        <v>15</v>
      </c>
      <c r="BO35" s="14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>
        <v>0</v>
      </c>
      <c r="CD35" s="17">
        <v>0</v>
      </c>
      <c r="CE35" s="17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8"/>
    </row>
    <row r="36" spans="1:109" x14ac:dyDescent="0.15">
      <c r="A36" s="1"/>
      <c r="B36" s="1" t="s">
        <v>165</v>
      </c>
      <c r="C36" s="1" t="s">
        <v>166</v>
      </c>
      <c r="D36" s="1" t="s">
        <v>153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4"/>
      <c r="BD36" s="4"/>
      <c r="BE36" s="4"/>
      <c r="BF36" s="4"/>
      <c r="BG36" s="4"/>
      <c r="BH36" s="4"/>
      <c r="BI36" s="2"/>
      <c r="BJ36" s="2"/>
      <c r="BK36" s="2"/>
      <c r="BL36" s="2"/>
      <c r="BM36" s="2"/>
      <c r="BN36" s="2"/>
      <c r="BO36" s="14"/>
      <c r="BP36" s="1"/>
      <c r="BQ36" s="1"/>
      <c r="BR36" s="1">
        <v>20</v>
      </c>
      <c r="BS36" s="1">
        <v>20</v>
      </c>
      <c r="BT36" s="1">
        <v>20</v>
      </c>
      <c r="BU36" s="1">
        <v>20</v>
      </c>
      <c r="BV36" s="1"/>
      <c r="BW36" s="1"/>
      <c r="BX36" s="1"/>
      <c r="BY36" s="1"/>
      <c r="BZ36" s="1"/>
      <c r="CA36" s="1"/>
      <c r="CB36" s="1"/>
      <c r="CC36" s="1">
        <v>0</v>
      </c>
      <c r="CD36" s="17">
        <v>0</v>
      </c>
      <c r="CE36" s="17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8"/>
    </row>
    <row r="37" spans="1:109" x14ac:dyDescent="0.15">
      <c r="A37" s="1"/>
      <c r="B37" s="1" t="s">
        <v>167</v>
      </c>
      <c r="C37" s="1" t="s">
        <v>166</v>
      </c>
      <c r="D37" s="1" t="s">
        <v>152</v>
      </c>
      <c r="E37" s="6">
        <v>15</v>
      </c>
      <c r="F37" s="6"/>
      <c r="G37" s="6">
        <v>15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4"/>
      <c r="BD37" s="4">
        <v>15</v>
      </c>
      <c r="BE37" s="4"/>
      <c r="BF37" s="4"/>
      <c r="BG37" s="4"/>
      <c r="BH37" s="4"/>
      <c r="BI37" s="2"/>
      <c r="BJ37" s="2"/>
      <c r="BK37" s="2"/>
      <c r="BL37" s="2"/>
      <c r="BM37" s="2"/>
      <c r="BN37" s="2">
        <v>15</v>
      </c>
      <c r="BO37" s="14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>
        <v>0</v>
      </c>
      <c r="CD37" s="17">
        <v>0</v>
      </c>
      <c r="CE37" s="17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8"/>
    </row>
    <row r="38" spans="1:109" x14ac:dyDescent="0.15">
      <c r="A38" s="1"/>
      <c r="B38" s="1" t="s">
        <v>168</v>
      </c>
      <c r="C38" s="1" t="s">
        <v>166</v>
      </c>
      <c r="D38" s="1" t="s">
        <v>152</v>
      </c>
      <c r="E38" s="6"/>
      <c r="F38" s="6"/>
      <c r="G38" s="6"/>
      <c r="H38" s="6"/>
      <c r="I38" s="6">
        <v>3</v>
      </c>
      <c r="J38" s="6"/>
      <c r="K38" s="6">
        <v>3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4"/>
      <c r="BD38" s="4"/>
      <c r="BE38" s="4"/>
      <c r="BF38" s="4"/>
      <c r="BG38" s="4"/>
      <c r="BH38" s="4"/>
      <c r="BI38" s="2"/>
      <c r="BJ38" s="2"/>
      <c r="BK38" s="2"/>
      <c r="BL38" s="2"/>
      <c r="BM38" s="2"/>
      <c r="BN38" s="2"/>
      <c r="BO38" s="14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>
        <v>0</v>
      </c>
      <c r="CD38" s="17">
        <v>0</v>
      </c>
      <c r="CE38" s="17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8"/>
    </row>
    <row r="39" spans="1:109" x14ac:dyDescent="0.15">
      <c r="A39" s="1"/>
      <c r="B39" s="1" t="s">
        <v>169</v>
      </c>
      <c r="C39" s="1" t="s">
        <v>166</v>
      </c>
      <c r="D39" s="1" t="s">
        <v>152</v>
      </c>
      <c r="E39" s="6"/>
      <c r="F39" s="6"/>
      <c r="G39" s="6"/>
      <c r="H39" s="6"/>
      <c r="I39" s="6"/>
      <c r="J39" s="6"/>
      <c r="K39" s="6"/>
      <c r="L39" s="6"/>
      <c r="M39" s="6"/>
      <c r="N39" s="6">
        <v>5</v>
      </c>
      <c r="O39" s="6"/>
      <c r="P39" s="6"/>
      <c r="Q39" s="6"/>
      <c r="R39" s="6"/>
      <c r="S39" s="6"/>
      <c r="T39" s="6"/>
      <c r="U39" s="6"/>
      <c r="V39" s="6">
        <v>5</v>
      </c>
      <c r="W39" s="6"/>
      <c r="X39" s="6"/>
      <c r="Y39" s="6"/>
      <c r="Z39" s="6"/>
      <c r="AA39" s="6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4"/>
      <c r="BD39" s="4"/>
      <c r="BE39" s="4"/>
      <c r="BF39" s="4"/>
      <c r="BG39" s="4"/>
      <c r="BH39" s="4"/>
      <c r="BI39" s="2"/>
      <c r="BJ39" s="2"/>
      <c r="BK39" s="2"/>
      <c r="BL39" s="2"/>
      <c r="BM39" s="2"/>
      <c r="BN39" s="2"/>
      <c r="BO39" s="14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>
        <v>0</v>
      </c>
      <c r="CD39" s="17">
        <v>0</v>
      </c>
      <c r="CE39" s="17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8"/>
    </row>
    <row r="40" spans="1:109" x14ac:dyDescent="0.15">
      <c r="A40" s="1"/>
      <c r="B40" s="1" t="s">
        <v>169</v>
      </c>
      <c r="C40" s="1" t="s">
        <v>166</v>
      </c>
      <c r="D40" s="1" t="s">
        <v>153</v>
      </c>
      <c r="E40" s="6">
        <v>10</v>
      </c>
      <c r="F40" s="6"/>
      <c r="G40" s="6">
        <v>10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4"/>
      <c r="BD40" s="4">
        <v>10</v>
      </c>
      <c r="BE40" s="4"/>
      <c r="BF40" s="4"/>
      <c r="BG40" s="4"/>
      <c r="BH40" s="4"/>
      <c r="BI40" s="2"/>
      <c r="BJ40" s="2"/>
      <c r="BK40" s="2"/>
      <c r="BL40" s="2"/>
      <c r="BM40" s="2"/>
      <c r="BN40" s="2">
        <v>10</v>
      </c>
      <c r="BO40" s="14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>
        <v>0</v>
      </c>
      <c r="CD40" s="17">
        <v>0</v>
      </c>
      <c r="CE40" s="17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8"/>
    </row>
    <row r="41" spans="1:109" s="25" customFormat="1" x14ac:dyDescent="0.15">
      <c r="A41" s="1"/>
      <c r="B41" s="1" t="s">
        <v>172</v>
      </c>
      <c r="C41" s="1" t="s">
        <v>151</v>
      </c>
      <c r="D41" s="1" t="s">
        <v>153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4"/>
      <c r="BD41" s="4"/>
      <c r="BE41" s="4"/>
      <c r="BF41" s="4"/>
      <c r="BG41" s="4"/>
      <c r="BH41" s="4"/>
      <c r="BI41" s="2"/>
      <c r="BJ41" s="2"/>
      <c r="BK41" s="2"/>
      <c r="BL41" s="2"/>
      <c r="BM41" s="2"/>
      <c r="BN41" s="2"/>
      <c r="BO41" s="14"/>
      <c r="BP41" s="1">
        <v>20</v>
      </c>
      <c r="BQ41" s="1">
        <v>20</v>
      </c>
      <c r="BR41" s="1">
        <v>20</v>
      </c>
      <c r="BS41" s="1">
        <v>20</v>
      </c>
      <c r="BT41" s="1"/>
      <c r="BU41" s="1"/>
      <c r="BV41" s="1"/>
      <c r="BW41" s="1"/>
      <c r="BX41" s="1"/>
      <c r="BY41" s="1"/>
      <c r="BZ41" s="1"/>
      <c r="CA41" s="1"/>
      <c r="CB41" s="1"/>
      <c r="CC41" s="1">
        <v>0</v>
      </c>
      <c r="CD41" s="17">
        <v>0</v>
      </c>
      <c r="CE41" s="17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8"/>
    </row>
    <row r="42" spans="1:109" x14ac:dyDescent="0.15">
      <c r="A42" s="1"/>
      <c r="B42" s="1" t="s">
        <v>174</v>
      </c>
      <c r="C42" s="1" t="s">
        <v>151</v>
      </c>
      <c r="D42" s="1" t="s">
        <v>152</v>
      </c>
      <c r="E42" s="6"/>
      <c r="F42" s="6"/>
      <c r="G42" s="6"/>
      <c r="H42" s="6"/>
      <c r="I42" s="6"/>
      <c r="J42" s="6"/>
      <c r="K42" s="6">
        <v>5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4"/>
      <c r="BD42" s="4"/>
      <c r="BE42" s="4"/>
      <c r="BF42" s="4"/>
      <c r="BG42" s="4"/>
      <c r="BH42" s="4"/>
      <c r="BI42" s="2"/>
      <c r="BJ42" s="2"/>
      <c r="BK42" s="2"/>
      <c r="BL42" s="2"/>
      <c r="BM42" s="2"/>
      <c r="BN42" s="2"/>
      <c r="BO42" s="14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>
        <v>0</v>
      </c>
      <c r="CD42" s="17">
        <v>0</v>
      </c>
      <c r="CE42" s="17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8"/>
    </row>
    <row r="43" spans="1:109" x14ac:dyDescent="0.15">
      <c r="A43" s="1"/>
      <c r="B43" s="1" t="s">
        <v>175</v>
      </c>
      <c r="C43" s="1" t="s">
        <v>177</v>
      </c>
      <c r="D43" s="1" t="s">
        <v>152</v>
      </c>
      <c r="E43" s="6"/>
      <c r="F43" s="6"/>
      <c r="G43" s="6">
        <v>2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>
        <v>5</v>
      </c>
      <c r="Y43" s="6"/>
      <c r="Z43" s="6"/>
      <c r="AA43" s="6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4"/>
      <c r="BD43" s="4"/>
      <c r="BE43" s="4"/>
      <c r="BF43" s="4"/>
      <c r="BG43" s="4"/>
      <c r="BH43" s="4"/>
      <c r="BI43" s="2"/>
      <c r="BJ43" s="2"/>
      <c r="BK43" s="2"/>
      <c r="BL43" s="2"/>
      <c r="BM43" s="2"/>
      <c r="BN43" s="2"/>
      <c r="BO43" s="14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>
        <v>0</v>
      </c>
      <c r="CD43" s="17">
        <v>0</v>
      </c>
      <c r="CE43" s="17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8"/>
    </row>
    <row r="44" spans="1:109" x14ac:dyDescent="0.15">
      <c r="A44" s="1"/>
      <c r="B44" s="1" t="s">
        <v>176</v>
      </c>
      <c r="C44" s="1" t="s">
        <v>177</v>
      </c>
      <c r="D44" s="1" t="s">
        <v>152</v>
      </c>
      <c r="E44" s="6"/>
      <c r="F44" s="6"/>
      <c r="G44" s="6">
        <v>5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>
        <v>5</v>
      </c>
      <c r="Y44" s="6"/>
      <c r="Z44" s="6"/>
      <c r="AA44" s="6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4"/>
      <c r="BD44" s="4"/>
      <c r="BE44" s="4"/>
      <c r="BF44" s="4"/>
      <c r="BG44" s="4"/>
      <c r="BH44" s="4"/>
      <c r="BI44" s="2"/>
      <c r="BJ44" s="2"/>
      <c r="BK44" s="2"/>
      <c r="BL44" s="2"/>
      <c r="BM44" s="2"/>
      <c r="BN44" s="2"/>
      <c r="BO44" s="14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>
        <v>0</v>
      </c>
      <c r="CD44" s="17">
        <v>0</v>
      </c>
      <c r="CE44" s="17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8"/>
    </row>
    <row r="45" spans="1:109" x14ac:dyDescent="0.15">
      <c r="A45" s="1"/>
      <c r="B45" s="1" t="s">
        <v>176</v>
      </c>
      <c r="C45" s="1" t="s">
        <v>177</v>
      </c>
      <c r="D45" s="1" t="s">
        <v>153</v>
      </c>
      <c r="E45" s="6"/>
      <c r="F45" s="6"/>
      <c r="G45" s="6">
        <v>6</v>
      </c>
      <c r="H45" s="6">
        <v>6</v>
      </c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4"/>
      <c r="BD45" s="4"/>
      <c r="BE45" s="4"/>
      <c r="BF45" s="4"/>
      <c r="BG45" s="4"/>
      <c r="BH45" s="4">
        <v>10</v>
      </c>
      <c r="BI45" s="2">
        <v>10</v>
      </c>
      <c r="BJ45" s="2"/>
      <c r="BK45" s="2"/>
      <c r="BL45" s="2"/>
      <c r="BM45" s="2"/>
      <c r="BN45" s="2"/>
      <c r="BO45" s="14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>
        <v>0</v>
      </c>
      <c r="CD45" s="17">
        <v>0</v>
      </c>
      <c r="CE45" s="17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8"/>
    </row>
    <row r="46" spans="1:109" x14ac:dyDescent="0.15">
      <c r="A46" s="1"/>
      <c r="B46" s="1" t="s">
        <v>178</v>
      </c>
      <c r="C46" s="1" t="s">
        <v>177</v>
      </c>
      <c r="D46" s="1" t="s">
        <v>152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>
        <v>10</v>
      </c>
      <c r="Y46" s="6"/>
      <c r="Z46" s="6"/>
      <c r="AA46" s="6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4"/>
      <c r="BD46" s="4"/>
      <c r="BE46" s="4"/>
      <c r="BF46" s="4"/>
      <c r="BG46" s="4"/>
      <c r="BH46" s="4"/>
      <c r="BI46" s="2"/>
      <c r="BJ46" s="2"/>
      <c r="BK46" s="2"/>
      <c r="BL46" s="2"/>
      <c r="BM46" s="2"/>
      <c r="BN46" s="2"/>
      <c r="BO46" s="14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>
        <v>0</v>
      </c>
      <c r="CD46" s="17">
        <v>0</v>
      </c>
      <c r="CE46" s="17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8"/>
    </row>
    <row r="47" spans="1:109" x14ac:dyDescent="0.15">
      <c r="A47" s="1"/>
      <c r="B47" s="1" t="s">
        <v>181</v>
      </c>
      <c r="C47" s="1" t="s">
        <v>180</v>
      </c>
      <c r="D47" s="1" t="s">
        <v>152</v>
      </c>
      <c r="E47" s="6"/>
      <c r="F47" s="6"/>
      <c r="G47" s="6">
        <v>15</v>
      </c>
      <c r="H47" s="6">
        <v>15</v>
      </c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4"/>
      <c r="BD47" s="4"/>
      <c r="BE47" s="4"/>
      <c r="BF47" s="4"/>
      <c r="BG47" s="4"/>
      <c r="BH47" s="4"/>
      <c r="BI47" s="2"/>
      <c r="BJ47" s="2"/>
      <c r="BK47" s="2"/>
      <c r="BL47" s="2"/>
      <c r="BM47" s="2">
        <v>15</v>
      </c>
      <c r="BN47" s="2">
        <v>15</v>
      </c>
      <c r="BO47" s="14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>
        <v>0</v>
      </c>
      <c r="CD47" s="17">
        <v>0</v>
      </c>
      <c r="CE47" s="17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8"/>
    </row>
    <row r="48" spans="1:109" s="25" customFormat="1" x14ac:dyDescent="0.15">
      <c r="A48" s="1"/>
      <c r="B48" s="1" t="s">
        <v>182</v>
      </c>
      <c r="C48" s="1" t="s">
        <v>180</v>
      </c>
      <c r="D48" s="1" t="s">
        <v>152</v>
      </c>
      <c r="E48" s="6"/>
      <c r="F48" s="6"/>
      <c r="G48" s="6"/>
      <c r="H48" s="6">
        <v>5</v>
      </c>
      <c r="I48" s="6"/>
      <c r="J48" s="6"/>
      <c r="K48" s="6"/>
      <c r="L48" s="6"/>
      <c r="M48" s="6">
        <v>5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4"/>
      <c r="BD48" s="4"/>
      <c r="BE48" s="4"/>
      <c r="BF48" s="4"/>
      <c r="BG48" s="4"/>
      <c r="BH48" s="4"/>
      <c r="BI48" s="2"/>
      <c r="BJ48" s="2"/>
      <c r="BK48" s="2"/>
      <c r="BL48" s="2"/>
      <c r="BM48" s="2"/>
      <c r="BN48" s="2"/>
      <c r="BO48" s="14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>
        <v>0</v>
      </c>
      <c r="CD48" s="17">
        <v>0</v>
      </c>
      <c r="CE48" s="17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8"/>
    </row>
    <row r="49" spans="1:109" x14ac:dyDescent="0.15">
      <c r="A49" s="1"/>
      <c r="B49" s="1" t="s">
        <v>182</v>
      </c>
      <c r="C49" s="1" t="s">
        <v>180</v>
      </c>
      <c r="D49" s="1" t="s">
        <v>153</v>
      </c>
      <c r="E49" s="6"/>
      <c r="F49" s="6"/>
      <c r="G49" s="6"/>
      <c r="H49" s="6">
        <v>6</v>
      </c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4"/>
      <c r="BD49" s="4"/>
      <c r="BE49" s="4"/>
      <c r="BF49" s="4">
        <v>10</v>
      </c>
      <c r="BG49" s="4"/>
      <c r="BH49" s="4"/>
      <c r="BI49" s="2"/>
      <c r="BJ49" s="2"/>
      <c r="BK49" s="2"/>
      <c r="BL49" s="2">
        <v>6</v>
      </c>
      <c r="BM49" s="2">
        <v>6</v>
      </c>
      <c r="BN49" s="2"/>
      <c r="BO49" s="14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>
        <v>0</v>
      </c>
      <c r="CD49" s="17">
        <v>0</v>
      </c>
      <c r="CE49" s="17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8"/>
    </row>
    <row r="50" spans="1:109" x14ac:dyDescent="0.15">
      <c r="A50" s="1"/>
      <c r="B50" s="1" t="s">
        <v>183</v>
      </c>
      <c r="C50" s="1" t="s">
        <v>180</v>
      </c>
      <c r="D50" s="1" t="s">
        <v>152</v>
      </c>
      <c r="E50" s="6"/>
      <c r="F50" s="6"/>
      <c r="G50" s="6"/>
      <c r="H50" s="6"/>
      <c r="I50" s="6"/>
      <c r="J50" s="6">
        <v>5</v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>
        <v>5</v>
      </c>
      <c r="V50" s="6"/>
      <c r="W50" s="6"/>
      <c r="X50" s="6"/>
      <c r="Y50" s="6"/>
      <c r="Z50" s="6"/>
      <c r="AA50" s="6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4"/>
      <c r="BD50" s="4"/>
      <c r="BE50" s="4"/>
      <c r="BF50" s="4"/>
      <c r="BG50" s="4"/>
      <c r="BH50" s="4"/>
      <c r="BI50" s="2"/>
      <c r="BJ50" s="2"/>
      <c r="BK50" s="2"/>
      <c r="BL50" s="2"/>
      <c r="BM50" s="2"/>
      <c r="BN50" s="2"/>
      <c r="BO50" s="14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>
        <v>0</v>
      </c>
      <c r="CD50" s="17">
        <v>0</v>
      </c>
      <c r="CE50" s="17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8"/>
    </row>
    <row r="51" spans="1:109" x14ac:dyDescent="0.15">
      <c r="A51" s="1"/>
      <c r="B51" s="1" t="s">
        <v>184</v>
      </c>
      <c r="C51" s="1" t="s">
        <v>180</v>
      </c>
      <c r="D51" s="1" t="s">
        <v>152</v>
      </c>
      <c r="E51" s="6"/>
      <c r="F51" s="6">
        <v>5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4"/>
      <c r="BD51" s="4"/>
      <c r="BE51" s="4"/>
      <c r="BF51" s="4"/>
      <c r="BG51" s="4"/>
      <c r="BH51" s="4"/>
      <c r="BI51" s="2"/>
      <c r="BJ51" s="2"/>
      <c r="BK51" s="2"/>
      <c r="BL51" s="2"/>
      <c r="BM51" s="2"/>
      <c r="BN51" s="2"/>
      <c r="BO51" s="14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>
        <v>0</v>
      </c>
      <c r="CD51" s="17">
        <v>0</v>
      </c>
      <c r="CE51" s="17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8"/>
    </row>
    <row r="52" spans="1:109" x14ac:dyDescent="0.15">
      <c r="A52" s="1"/>
      <c r="B52" s="1" t="s">
        <v>185</v>
      </c>
      <c r="C52" s="1" t="s">
        <v>180</v>
      </c>
      <c r="D52" s="1" t="s">
        <v>152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>
        <v>5</v>
      </c>
      <c r="P52" s="6"/>
      <c r="Q52" s="6"/>
      <c r="R52" s="6"/>
      <c r="S52" s="6"/>
      <c r="T52" s="6"/>
      <c r="U52" s="6">
        <v>5</v>
      </c>
      <c r="V52" s="6"/>
      <c r="W52" s="6"/>
      <c r="X52" s="6"/>
      <c r="Y52" s="6"/>
      <c r="Z52" s="6"/>
      <c r="AA52" s="6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4"/>
      <c r="BD52" s="4"/>
      <c r="BE52" s="4"/>
      <c r="BF52" s="4"/>
      <c r="BG52" s="4"/>
      <c r="BH52" s="4"/>
      <c r="BI52" s="2"/>
      <c r="BJ52" s="2"/>
      <c r="BK52" s="2"/>
      <c r="BL52" s="2"/>
      <c r="BM52" s="2"/>
      <c r="BN52" s="2"/>
      <c r="BO52" s="14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>
        <v>0</v>
      </c>
      <c r="CD52" s="17">
        <v>0</v>
      </c>
      <c r="CE52" s="17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8"/>
    </row>
    <row r="53" spans="1:109" x14ac:dyDescent="0.15">
      <c r="A53" s="1"/>
      <c r="B53" s="1" t="s">
        <v>185</v>
      </c>
      <c r="C53" s="1" t="s">
        <v>180</v>
      </c>
      <c r="D53" s="1" t="s">
        <v>153</v>
      </c>
      <c r="E53" s="6"/>
      <c r="F53" s="6">
        <v>6</v>
      </c>
      <c r="G53" s="6"/>
      <c r="H53" s="6"/>
      <c r="I53" s="6"/>
      <c r="J53" s="6"/>
      <c r="K53" s="6"/>
      <c r="L53" s="6"/>
      <c r="M53" s="6"/>
      <c r="N53" s="6"/>
      <c r="O53" s="6">
        <v>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4"/>
      <c r="BD53" s="4"/>
      <c r="BE53" s="4"/>
      <c r="BF53" s="4">
        <v>10</v>
      </c>
      <c r="BG53" s="4"/>
      <c r="BH53" s="4"/>
      <c r="BI53" s="2"/>
      <c r="BJ53" s="2"/>
      <c r="BK53" s="2">
        <v>10</v>
      </c>
      <c r="BL53" s="2"/>
      <c r="BM53" s="2"/>
      <c r="BN53" s="2"/>
      <c r="BO53" s="14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>
        <v>0</v>
      </c>
      <c r="CD53" s="17">
        <v>0</v>
      </c>
      <c r="CE53" s="17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8"/>
    </row>
    <row r="54" spans="1:109" x14ac:dyDescent="0.15">
      <c r="A54" s="1"/>
      <c r="B54" s="1" t="s">
        <v>186</v>
      </c>
      <c r="C54" s="1" t="s">
        <v>180</v>
      </c>
      <c r="D54" s="1" t="s">
        <v>152</v>
      </c>
      <c r="E54" s="6"/>
      <c r="F54" s="6"/>
      <c r="G54" s="6"/>
      <c r="H54" s="6"/>
      <c r="I54" s="6"/>
      <c r="J54" s="6"/>
      <c r="K54" s="6">
        <v>5</v>
      </c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4"/>
      <c r="BD54" s="4"/>
      <c r="BE54" s="4"/>
      <c r="BF54" s="4"/>
      <c r="BG54" s="4"/>
      <c r="BH54" s="4"/>
      <c r="BI54" s="2"/>
      <c r="BJ54" s="2"/>
      <c r="BK54" s="2"/>
      <c r="BL54" s="2"/>
      <c r="BM54" s="2"/>
      <c r="BN54" s="2"/>
      <c r="BO54" s="14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>
        <v>0</v>
      </c>
      <c r="CD54" s="17">
        <v>0</v>
      </c>
      <c r="CE54" s="17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8"/>
    </row>
    <row r="55" spans="1:109" x14ac:dyDescent="0.15">
      <c r="A55" s="1"/>
      <c r="B55" s="1" t="s">
        <v>186</v>
      </c>
      <c r="C55" s="1" t="s">
        <v>180</v>
      </c>
      <c r="D55" s="1" t="s">
        <v>153</v>
      </c>
      <c r="E55" s="6"/>
      <c r="F55" s="6"/>
      <c r="G55" s="6"/>
      <c r="H55" s="6">
        <v>10</v>
      </c>
      <c r="I55" s="6"/>
      <c r="J55" s="6">
        <v>10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4"/>
      <c r="BD55" s="4"/>
      <c r="BE55" s="4"/>
      <c r="BF55" s="4">
        <v>10</v>
      </c>
      <c r="BG55" s="4"/>
      <c r="BH55" s="4"/>
      <c r="BI55" s="2"/>
      <c r="BJ55" s="2"/>
      <c r="BK55" s="2">
        <v>10</v>
      </c>
      <c r="BL55" s="2"/>
      <c r="BM55" s="2"/>
      <c r="BN55" s="2"/>
      <c r="BO55" s="14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>
        <v>0</v>
      </c>
      <c r="CD55" s="17">
        <v>0</v>
      </c>
      <c r="CE55" s="17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8"/>
    </row>
    <row r="56" spans="1:109" x14ac:dyDescent="0.15">
      <c r="A56" s="1"/>
      <c r="B56" s="1" t="s">
        <v>187</v>
      </c>
      <c r="C56" s="1" t="s">
        <v>180</v>
      </c>
      <c r="D56" s="1" t="s">
        <v>152</v>
      </c>
      <c r="E56" s="6"/>
      <c r="F56" s="6"/>
      <c r="G56" s="6"/>
      <c r="H56" s="6">
        <v>5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>
        <v>5</v>
      </c>
      <c r="W56" s="6"/>
      <c r="X56" s="6"/>
      <c r="Y56" s="6"/>
      <c r="Z56" s="6"/>
      <c r="AA56" s="6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4"/>
      <c r="BD56" s="4"/>
      <c r="BE56" s="4"/>
      <c r="BF56" s="4"/>
      <c r="BG56" s="4"/>
      <c r="BH56" s="4"/>
      <c r="BI56" s="2"/>
      <c r="BJ56" s="2"/>
      <c r="BK56" s="2"/>
      <c r="BL56" s="2"/>
      <c r="BM56" s="2"/>
      <c r="BN56" s="2"/>
      <c r="BO56" s="14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>
        <v>0</v>
      </c>
      <c r="CD56" s="17">
        <v>0</v>
      </c>
      <c r="CE56" s="17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8"/>
    </row>
    <row r="57" spans="1:109" s="25" customFormat="1" x14ac:dyDescent="0.15">
      <c r="A57" s="1"/>
      <c r="B57" s="1" t="s">
        <v>187</v>
      </c>
      <c r="C57" s="1" t="s">
        <v>180</v>
      </c>
      <c r="D57" s="1" t="s">
        <v>153</v>
      </c>
      <c r="E57" s="6"/>
      <c r="F57" s="6"/>
      <c r="G57" s="6"/>
      <c r="H57" s="6">
        <v>6</v>
      </c>
      <c r="I57" s="6"/>
      <c r="J57" s="6">
        <v>6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4"/>
      <c r="BD57" s="4"/>
      <c r="BE57" s="4"/>
      <c r="BF57" s="4">
        <v>8</v>
      </c>
      <c r="BG57" s="4"/>
      <c r="BH57" s="4"/>
      <c r="BI57" s="2"/>
      <c r="BJ57" s="2"/>
      <c r="BK57" s="2">
        <v>8</v>
      </c>
      <c r="BL57" s="2"/>
      <c r="BM57" s="2"/>
      <c r="BN57" s="2"/>
      <c r="BO57" s="14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>
        <v>0</v>
      </c>
      <c r="CD57" s="17">
        <v>0</v>
      </c>
      <c r="CE57" s="17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8"/>
    </row>
    <row r="58" spans="1:109" x14ac:dyDescent="0.15">
      <c r="A58" s="1"/>
      <c r="B58" s="1" t="s">
        <v>188</v>
      </c>
      <c r="C58" s="1" t="s">
        <v>180</v>
      </c>
      <c r="D58" s="1" t="s">
        <v>152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4"/>
      <c r="BD58" s="4"/>
      <c r="BE58" s="4"/>
      <c r="BF58" s="4"/>
      <c r="BG58" s="4"/>
      <c r="BH58" s="4"/>
      <c r="BI58" s="2"/>
      <c r="BJ58" s="2"/>
      <c r="BK58" s="2"/>
      <c r="BL58" s="2"/>
      <c r="BM58" s="2">
        <v>10</v>
      </c>
      <c r="BN58" s="2">
        <v>10</v>
      </c>
      <c r="BO58" s="14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>
        <v>0</v>
      </c>
      <c r="CD58" s="17">
        <v>0</v>
      </c>
      <c r="CE58" s="17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8"/>
    </row>
    <row r="59" spans="1:109" x14ac:dyDescent="0.15">
      <c r="A59" s="1"/>
      <c r="B59" s="1" t="s">
        <v>191</v>
      </c>
      <c r="C59" s="1" t="s">
        <v>190</v>
      </c>
      <c r="D59" s="1" t="s">
        <v>152</v>
      </c>
      <c r="E59" s="6"/>
      <c r="F59" s="6"/>
      <c r="G59" s="6">
        <v>5</v>
      </c>
      <c r="H59" s="6"/>
      <c r="I59" s="6"/>
      <c r="J59" s="6"/>
      <c r="K59" s="6"/>
      <c r="L59" s="6"/>
      <c r="M59" s="6"/>
      <c r="N59" s="6"/>
      <c r="O59" s="6">
        <v>5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4"/>
      <c r="BD59" s="4"/>
      <c r="BE59" s="4"/>
      <c r="BF59" s="4"/>
      <c r="BG59" s="4"/>
      <c r="BH59" s="4"/>
      <c r="BI59" s="2"/>
      <c r="BJ59" s="2"/>
      <c r="BK59" s="2"/>
      <c r="BL59" s="2"/>
      <c r="BM59" s="2"/>
      <c r="BN59" s="2"/>
      <c r="BO59" s="14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>
        <v>0</v>
      </c>
      <c r="CD59" s="17">
        <v>0</v>
      </c>
      <c r="CE59" s="17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8"/>
    </row>
    <row r="60" spans="1:109" x14ac:dyDescent="0.15">
      <c r="A60" s="1"/>
      <c r="B60" s="1" t="s">
        <v>191</v>
      </c>
      <c r="C60" s="1" t="s">
        <v>190</v>
      </c>
      <c r="D60" s="1" t="s">
        <v>153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>
        <v>6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4"/>
      <c r="BD60" s="4"/>
      <c r="BE60" s="4"/>
      <c r="BF60" s="4"/>
      <c r="BG60" s="4">
        <v>10</v>
      </c>
      <c r="BH60" s="4"/>
      <c r="BI60" s="2"/>
      <c r="BJ60" s="2"/>
      <c r="BK60" s="2"/>
      <c r="BL60" s="2">
        <v>6</v>
      </c>
      <c r="BM60" s="2">
        <v>6</v>
      </c>
      <c r="BN60" s="2"/>
      <c r="BO60" s="14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>
        <v>0</v>
      </c>
      <c r="CD60" s="17">
        <v>0</v>
      </c>
      <c r="CE60" s="17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8"/>
    </row>
    <row r="61" spans="1:109" x14ac:dyDescent="0.15">
      <c r="A61" s="1"/>
      <c r="B61" s="1" t="s">
        <v>150</v>
      </c>
      <c r="C61" s="1" t="s">
        <v>151</v>
      </c>
      <c r="D61" s="1" t="s">
        <v>153</v>
      </c>
      <c r="E61" s="6">
        <v>10</v>
      </c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4"/>
      <c r="BD61" s="4"/>
      <c r="BE61" s="4"/>
      <c r="BF61" s="4">
        <v>15</v>
      </c>
      <c r="BG61" s="4"/>
      <c r="BH61" s="4"/>
      <c r="BI61" s="2"/>
      <c r="BJ61" s="2"/>
      <c r="BK61" s="2"/>
      <c r="BL61" s="2">
        <v>15</v>
      </c>
      <c r="BM61" s="2">
        <v>15</v>
      </c>
      <c r="BN61" s="2"/>
      <c r="BO61" s="14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>
        <v>1</v>
      </c>
      <c r="CD61" s="17">
        <v>1</v>
      </c>
      <c r="CE61" s="17" t="s">
        <v>208</v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8"/>
    </row>
    <row r="62" spans="1:109" x14ac:dyDescent="0.15">
      <c r="A62" s="1">
        <v>21</v>
      </c>
      <c r="B62" s="1" t="s">
        <v>40</v>
      </c>
      <c r="C62" s="1" t="s">
        <v>33</v>
      </c>
      <c r="D62" s="1" t="s">
        <v>26</v>
      </c>
      <c r="E62" s="6"/>
      <c r="F62" s="6"/>
      <c r="G62" s="6">
        <v>6</v>
      </c>
      <c r="H62" s="6">
        <v>6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4"/>
      <c r="BD62" s="4"/>
      <c r="BE62" s="4">
        <v>10</v>
      </c>
      <c r="BF62" s="4"/>
      <c r="BG62" s="4"/>
      <c r="BH62" s="4"/>
      <c r="BI62" s="2"/>
      <c r="BJ62" s="2"/>
      <c r="BK62" s="2"/>
      <c r="BL62" s="2"/>
      <c r="BM62" s="2"/>
      <c r="BN62" s="2">
        <v>10</v>
      </c>
      <c r="BO62" s="14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>
        <f>SUM(E62:CA62)</f>
        <v>32</v>
      </c>
      <c r="CC62" s="1">
        <v>2</v>
      </c>
      <c r="CD62" s="17">
        <v>1</v>
      </c>
      <c r="CE62" s="17" t="s">
        <v>197</v>
      </c>
      <c r="CF62" s="1" t="str">
        <f>IF(BC62&gt;BC$166, BC62-BC$166,"")</f>
        <v/>
      </c>
      <c r="CG62" s="1" t="str">
        <f>IF(BD62&gt;BD$166, BD62-BD$166,"")</f>
        <v/>
      </c>
      <c r="CH62" s="1">
        <f>IF(BE62&gt;BE$166, BE62-BE$166,"")</f>
        <v>2</v>
      </c>
      <c r="CI62" s="1" t="str">
        <f>IF(BF62&gt;BF$166, BF62-BF$166,"")</f>
        <v/>
      </c>
      <c r="CJ62" s="1" t="str">
        <f>IF(BG62&gt;BG$166, BG62-BG$166,"")</f>
        <v/>
      </c>
      <c r="CK62" s="1" t="str">
        <f>IF(BH62&gt;BH$166, BH62-BH$166,"")</f>
        <v/>
      </c>
      <c r="CL62" s="1" t="str">
        <f>IF(BI62&gt;BI$166, BI62-BI$166,"")</f>
        <v/>
      </c>
      <c r="CM62" s="1" t="str">
        <f>IF(BJ62&gt;BJ$166, BJ62-BJ$166,"")</f>
        <v/>
      </c>
      <c r="CN62" s="1" t="str">
        <f>IF(BK62&gt;BK$166, BK62-BK$166,"")</f>
        <v/>
      </c>
      <c r="CO62" s="1" t="str">
        <f>IF(BL62&gt;BL$166, BL62-BL$166,"")</f>
        <v/>
      </c>
      <c r="CP62" s="1" t="str">
        <f>IF(BM62&gt;BM$166, BM62-BM$166,"")</f>
        <v/>
      </c>
      <c r="CQ62" s="1" t="str">
        <f>IF(BN62&gt;BN$166, BN62-BN$166,"")</f>
        <v/>
      </c>
      <c r="CR62" s="1">
        <f>COUNTIF(CF62:CQ62, "&gt;0")</f>
        <v>1</v>
      </c>
      <c r="CS62" s="1" t="str">
        <f t="shared" ref="CS62:DD62" si="15">IF($CR62=1,CF62,"")</f>
        <v/>
      </c>
      <c r="CT62" s="1" t="str">
        <f t="shared" si="15"/>
        <v/>
      </c>
      <c r="CU62" s="1">
        <f t="shared" si="15"/>
        <v>2</v>
      </c>
      <c r="CV62" s="1" t="str">
        <f t="shared" si="15"/>
        <v/>
      </c>
      <c r="CW62" s="1" t="str">
        <f t="shared" si="15"/>
        <v/>
      </c>
      <c r="CX62" s="1" t="str">
        <f t="shared" si="15"/>
        <v/>
      </c>
      <c r="CY62" s="1" t="str">
        <f t="shared" si="15"/>
        <v/>
      </c>
      <c r="CZ62" s="1" t="str">
        <f t="shared" si="15"/>
        <v/>
      </c>
      <c r="DA62" s="1" t="str">
        <f t="shared" si="15"/>
        <v/>
      </c>
      <c r="DB62" s="1" t="str">
        <f t="shared" si="15"/>
        <v/>
      </c>
      <c r="DC62" s="1" t="str">
        <f t="shared" si="15"/>
        <v/>
      </c>
      <c r="DD62" s="1" t="str">
        <f t="shared" si="15"/>
        <v/>
      </c>
      <c r="DE62" s="18">
        <f>SUM(AQ62:CA62)</f>
        <v>20</v>
      </c>
    </row>
    <row r="63" spans="1:109" x14ac:dyDescent="0.15">
      <c r="A63" s="1"/>
      <c r="B63" s="1" t="s">
        <v>158</v>
      </c>
      <c r="C63" s="1" t="s">
        <v>155</v>
      </c>
      <c r="D63" s="1" t="s">
        <v>152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4"/>
      <c r="BD63" s="4"/>
      <c r="BE63" s="4">
        <v>10</v>
      </c>
      <c r="BF63" s="4"/>
      <c r="BG63" s="4"/>
      <c r="BH63" s="4"/>
      <c r="BI63" s="2"/>
      <c r="BJ63" s="2"/>
      <c r="BK63" s="2"/>
      <c r="BL63" s="2"/>
      <c r="BM63" s="2"/>
      <c r="BN63" s="2">
        <v>10</v>
      </c>
      <c r="BO63" s="14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>
        <v>2</v>
      </c>
      <c r="CD63" s="17">
        <v>1</v>
      </c>
      <c r="CE63" s="17" t="s">
        <v>196</v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8"/>
    </row>
    <row r="64" spans="1:109" x14ac:dyDescent="0.15">
      <c r="A64" s="1"/>
      <c r="B64" s="1" t="s">
        <v>163</v>
      </c>
      <c r="C64" s="1" t="s">
        <v>155</v>
      </c>
      <c r="D64" s="1" t="s">
        <v>153</v>
      </c>
      <c r="E64" s="6">
        <v>6</v>
      </c>
      <c r="F64" s="6">
        <v>6</v>
      </c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4"/>
      <c r="BD64" s="4"/>
      <c r="BE64" s="4">
        <v>10</v>
      </c>
      <c r="BF64" s="4"/>
      <c r="BG64" s="4"/>
      <c r="BH64" s="4"/>
      <c r="BI64" s="2"/>
      <c r="BJ64" s="2">
        <v>10</v>
      </c>
      <c r="BK64" s="2"/>
      <c r="BL64" s="2"/>
      <c r="BM64" s="2"/>
      <c r="BN64" s="2"/>
      <c r="BO64" s="14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>
        <v>2</v>
      </c>
      <c r="CD64" s="17">
        <v>1</v>
      </c>
      <c r="CE64" s="17" t="s">
        <v>196</v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8"/>
    </row>
    <row r="65" spans="1:109" x14ac:dyDescent="0.15">
      <c r="A65" s="1"/>
      <c r="B65" s="1" t="s">
        <v>164</v>
      </c>
      <c r="C65" s="1" t="s">
        <v>155</v>
      </c>
      <c r="D65" s="1" t="s">
        <v>160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>
        <v>2</v>
      </c>
      <c r="BB65" s="1"/>
      <c r="BC65" s="4"/>
      <c r="BD65" s="4"/>
      <c r="BE65" s="4"/>
      <c r="BF65" s="4"/>
      <c r="BG65" s="4"/>
      <c r="BH65" s="4"/>
      <c r="BI65" s="2"/>
      <c r="BJ65" s="2"/>
      <c r="BK65" s="2"/>
      <c r="BL65" s="2"/>
      <c r="BM65" s="2"/>
      <c r="BN65" s="2"/>
      <c r="BO65" s="14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>
        <v>2</v>
      </c>
      <c r="CD65" s="17">
        <v>1</v>
      </c>
      <c r="CE65" s="17" t="s">
        <v>213</v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8"/>
    </row>
    <row r="66" spans="1:109" x14ac:dyDescent="0.15">
      <c r="A66" s="1">
        <v>1</v>
      </c>
      <c r="B66" s="1" t="s">
        <v>0</v>
      </c>
      <c r="C66" s="1" t="s">
        <v>2</v>
      </c>
      <c r="D66" s="1" t="s">
        <v>1</v>
      </c>
      <c r="E66" s="6">
        <v>10</v>
      </c>
      <c r="F66" s="6">
        <v>10</v>
      </c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4"/>
      <c r="BD66" s="4">
        <v>10</v>
      </c>
      <c r="BE66" s="4"/>
      <c r="BF66" s="4"/>
      <c r="BG66" s="4"/>
      <c r="BH66" s="4"/>
      <c r="BI66" s="2">
        <v>15</v>
      </c>
      <c r="BJ66" s="2">
        <v>15</v>
      </c>
      <c r="BK66" s="2"/>
      <c r="BL66" s="2"/>
      <c r="BM66" s="2"/>
      <c r="BN66" s="2"/>
      <c r="BO66" s="14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>
        <f>SUM(E66:CA66)</f>
        <v>60</v>
      </c>
      <c r="CC66" s="1">
        <v>4</v>
      </c>
      <c r="CD66" s="17">
        <v>1</v>
      </c>
      <c r="CE66" s="17" t="s">
        <v>193</v>
      </c>
      <c r="CF66" s="1" t="str">
        <f>IF(BC66&gt;BC$166, BC66-BC$166,"")</f>
        <v/>
      </c>
      <c r="CG66" s="1" t="str">
        <f>IF(BD66&gt;BD$166, BD66-BD$166,"")</f>
        <v/>
      </c>
      <c r="CH66" s="1" t="str">
        <f>IF(BE66&gt;BE$166, BE66-BE$166,"")</f>
        <v/>
      </c>
      <c r="CI66" s="1" t="str">
        <f>IF(BF66&gt;BF$166, BF66-BF$166,"")</f>
        <v/>
      </c>
      <c r="CJ66" s="1" t="str">
        <f>IF(BG66&gt;BG$166, BG66-BG$166,"")</f>
        <v/>
      </c>
      <c r="CK66" s="1" t="str">
        <f>IF(BH66&gt;BH$166, BH66-BH$166,"")</f>
        <v/>
      </c>
      <c r="CL66" s="1" t="str">
        <f>IF(BI66&gt;BI$166, BI66-BI$166,"")</f>
        <v/>
      </c>
      <c r="CM66" s="1" t="str">
        <f>IF(BJ66&gt;BJ$166, BJ66-BJ$166,"")</f>
        <v/>
      </c>
      <c r="CN66" s="1" t="str">
        <f>IF(BK66&gt;BK$166, BK66-BK$166,"")</f>
        <v/>
      </c>
      <c r="CO66" s="1" t="str">
        <f>IF(BL66&gt;BL$166, BL66-BL$166,"")</f>
        <v/>
      </c>
      <c r="CP66" s="1" t="str">
        <f>IF(BM66&gt;BM$166, BM66-BM$166,"")</f>
        <v/>
      </c>
      <c r="CQ66" s="1" t="str">
        <f>IF(BN66&gt;BN$166, BN66-BN$166,"")</f>
        <v/>
      </c>
      <c r="CR66" s="1">
        <f>COUNTIF(CF66:CQ66, "&gt;0")</f>
        <v>0</v>
      </c>
      <c r="CS66" s="1" t="str">
        <f t="shared" ref="CS66:DD66" si="16">IF($CR66=1,CF66,"")</f>
        <v/>
      </c>
      <c r="CT66" s="1" t="str">
        <f t="shared" si="16"/>
        <v/>
      </c>
      <c r="CU66" s="1" t="str">
        <f t="shared" si="16"/>
        <v/>
      </c>
      <c r="CV66" s="1" t="str">
        <f t="shared" si="16"/>
        <v/>
      </c>
      <c r="CW66" s="1" t="str">
        <f t="shared" si="16"/>
        <v/>
      </c>
      <c r="CX66" s="1" t="str">
        <f t="shared" si="16"/>
        <v/>
      </c>
      <c r="CY66" s="1" t="str">
        <f t="shared" si="16"/>
        <v/>
      </c>
      <c r="CZ66" s="1" t="str">
        <f t="shared" si="16"/>
        <v/>
      </c>
      <c r="DA66" s="1" t="str">
        <f t="shared" si="16"/>
        <v/>
      </c>
      <c r="DB66" s="1" t="str">
        <f t="shared" si="16"/>
        <v/>
      </c>
      <c r="DC66" s="1" t="str">
        <f t="shared" si="16"/>
        <v/>
      </c>
      <c r="DD66" s="1" t="str">
        <f t="shared" si="16"/>
        <v/>
      </c>
      <c r="DE66" s="18">
        <f>SUM(AQ66:CA66)</f>
        <v>40</v>
      </c>
    </row>
    <row r="67" spans="1:109" x14ac:dyDescent="0.15">
      <c r="A67" s="1"/>
      <c r="B67" s="1" t="s">
        <v>189</v>
      </c>
      <c r="C67" s="1" t="s">
        <v>190</v>
      </c>
      <c r="D67" s="1" t="s">
        <v>152</v>
      </c>
      <c r="E67" s="6"/>
      <c r="F67" s="6"/>
      <c r="G67" s="6"/>
      <c r="H67" s="6"/>
      <c r="I67" s="6"/>
      <c r="J67" s="6"/>
      <c r="K67" s="6"/>
      <c r="L67" s="6">
        <v>20</v>
      </c>
      <c r="M67" s="6"/>
      <c r="N67" s="6"/>
      <c r="O67" s="6">
        <v>20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4"/>
      <c r="BD67" s="4"/>
      <c r="BE67" s="4"/>
      <c r="BF67" s="4"/>
      <c r="BG67" s="4"/>
      <c r="BH67" s="4"/>
      <c r="BI67" s="2"/>
      <c r="BJ67" s="2"/>
      <c r="BK67" s="2"/>
      <c r="BL67" s="2"/>
      <c r="BM67" s="2">
        <v>20</v>
      </c>
      <c r="BN67" s="2">
        <v>20</v>
      </c>
      <c r="BO67" s="14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>
        <v>4</v>
      </c>
      <c r="CD67" s="17">
        <v>1</v>
      </c>
      <c r="CE67" s="17" t="s">
        <v>216</v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8"/>
    </row>
    <row r="68" spans="1:109" x14ac:dyDescent="0.15">
      <c r="A68" s="1">
        <v>91</v>
      </c>
      <c r="B68" s="3" t="s">
        <v>103</v>
      </c>
      <c r="C68" s="3" t="s">
        <v>102</v>
      </c>
      <c r="D68" s="1" t="s">
        <v>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>
        <v>4</v>
      </c>
      <c r="T68" s="6"/>
      <c r="U68" s="6"/>
      <c r="V68" s="6"/>
      <c r="W68" s="6"/>
      <c r="X68" s="6"/>
      <c r="Y68" s="6"/>
      <c r="Z68" s="6"/>
      <c r="AA68" s="6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1"/>
      <c r="AR68" s="1"/>
      <c r="AS68" s="1"/>
      <c r="AT68" s="1"/>
      <c r="AU68" s="1"/>
      <c r="AV68" s="1"/>
      <c r="AW68" s="1"/>
      <c r="AX68" s="1"/>
      <c r="AY68" s="1">
        <v>5</v>
      </c>
      <c r="AZ68" s="1"/>
      <c r="BA68" s="1"/>
      <c r="BB68" s="1"/>
      <c r="BC68" s="4"/>
      <c r="BD68" s="4"/>
      <c r="BE68" s="4"/>
      <c r="BF68" s="4"/>
      <c r="BG68" s="4"/>
      <c r="BH68" s="4"/>
      <c r="BI68" s="2"/>
      <c r="BJ68" s="2"/>
      <c r="BK68" s="2"/>
      <c r="BL68" s="2"/>
      <c r="BM68" s="2"/>
      <c r="BN68" s="2"/>
      <c r="BO68" s="14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>
        <f t="shared" ref="CB68:CB76" si="17">SUM(E68:CA68)</f>
        <v>9</v>
      </c>
      <c r="CC68" s="1">
        <v>5</v>
      </c>
      <c r="CD68" s="17">
        <v>1</v>
      </c>
      <c r="CE68" s="17" t="s">
        <v>134</v>
      </c>
      <c r="CF68" s="1" t="str">
        <f>IF(BC68&gt;BC$166, BC68-BC$166,"")</f>
        <v/>
      </c>
      <c r="CG68" s="1" t="str">
        <f>IF(BD68&gt;BD$166, BD68-BD$166,"")</f>
        <v/>
      </c>
      <c r="CH68" s="1" t="str">
        <f>IF(BE68&gt;BE$166, BE68-BE$166,"")</f>
        <v/>
      </c>
      <c r="CI68" s="1" t="str">
        <f>IF(BF68&gt;BF$166, BF68-BF$166,"")</f>
        <v/>
      </c>
      <c r="CJ68" s="1" t="str">
        <f>IF(BG68&gt;BG$166, BG68-BG$166,"")</f>
        <v/>
      </c>
      <c r="CK68" s="1" t="str">
        <f>IF(BH68&gt;BH$166, BH68-BH$166,"")</f>
        <v/>
      </c>
      <c r="CL68" s="1" t="str">
        <f>IF(BI68&gt;BI$166, BI68-BI$166,"")</f>
        <v/>
      </c>
      <c r="CM68" s="1" t="str">
        <f>IF(BJ68&gt;BJ$166, BJ68-BJ$166,"")</f>
        <v/>
      </c>
      <c r="CN68" s="1" t="str">
        <f>IF(BK68&gt;BK$166, BK68-BK$166,"")</f>
        <v/>
      </c>
      <c r="CO68" s="1" t="str">
        <f>IF(BL68&gt;BL$166, BL68-BL$166,"")</f>
        <v/>
      </c>
      <c r="CP68" s="1" t="str">
        <f>IF(BM68&gt;BM$166, BM68-BM$166,"")</f>
        <v/>
      </c>
      <c r="CQ68" s="1" t="str">
        <f>IF(BN68&gt;BN$166, BN68-BN$166,"")</f>
        <v/>
      </c>
      <c r="CR68" s="1">
        <f t="shared" ref="CR68:CR76" si="18">COUNTIF(CF68:CQ68, "&gt;0")</f>
        <v>0</v>
      </c>
      <c r="CS68" s="1" t="str">
        <f t="shared" ref="CS68:CS76" si="19">IF($CR68=1,CF68,"")</f>
        <v/>
      </c>
      <c r="CT68" s="1" t="str">
        <f t="shared" ref="CT68:CT76" si="20">IF($CR68=1,CG68,"")</f>
        <v/>
      </c>
      <c r="CU68" s="1" t="str">
        <f t="shared" ref="CU68:CU76" si="21">IF($CR68=1,CH68,"")</f>
        <v/>
      </c>
      <c r="CV68" s="1" t="str">
        <f t="shared" ref="CV68:CV76" si="22">IF($CR68=1,CI68,"")</f>
        <v/>
      </c>
      <c r="CW68" s="1" t="str">
        <f t="shared" ref="CW68:CW76" si="23">IF($CR68=1,CJ68,"")</f>
        <v/>
      </c>
      <c r="CX68" s="1" t="str">
        <f t="shared" ref="CX68:CX76" si="24">IF($CR68=1,CK68,"")</f>
        <v/>
      </c>
      <c r="CY68" s="1" t="str">
        <f t="shared" ref="CY68:CY76" si="25">IF($CR68=1,CL68,"")</f>
        <v/>
      </c>
      <c r="CZ68" s="1" t="str">
        <f t="shared" ref="CZ68:CZ76" si="26">IF($CR68=1,CM68,"")</f>
        <v/>
      </c>
      <c r="DA68" s="1" t="str">
        <f t="shared" ref="DA68:DA76" si="27">IF($CR68=1,CN68,"")</f>
        <v/>
      </c>
      <c r="DB68" s="1" t="str">
        <f t="shared" ref="DB68:DB76" si="28">IF($CR68=1,CO68,"")</f>
        <v/>
      </c>
      <c r="DC68" s="1" t="str">
        <f t="shared" ref="DC68:DC76" si="29">IF($CR68=1,CP68,"")</f>
        <v/>
      </c>
      <c r="DD68" s="1" t="str">
        <f t="shared" ref="DD68:DD76" si="30">IF($CR68=1,CQ68,"")</f>
        <v/>
      </c>
      <c r="DE68" s="18">
        <f t="shared" ref="DE68:DE76" si="31">SUM(AQ68:CA68)</f>
        <v>5</v>
      </c>
    </row>
    <row r="69" spans="1:109" x14ac:dyDescent="0.15">
      <c r="A69" s="1">
        <v>17</v>
      </c>
      <c r="B69" s="1" t="s">
        <v>36</v>
      </c>
      <c r="C69" s="1" t="s">
        <v>33</v>
      </c>
      <c r="D69" s="1" t="s">
        <v>24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1"/>
      <c r="AR69" s="1">
        <v>5</v>
      </c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4"/>
      <c r="BD69" s="4"/>
      <c r="BE69" s="4"/>
      <c r="BF69" s="4"/>
      <c r="BG69" s="4"/>
      <c r="BH69" s="4"/>
      <c r="BI69" s="2"/>
      <c r="BJ69" s="2"/>
      <c r="BK69" s="2"/>
      <c r="BL69" s="2"/>
      <c r="BM69" s="2"/>
      <c r="BN69" s="2"/>
      <c r="BO69" s="14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>
        <f t="shared" si="17"/>
        <v>5</v>
      </c>
      <c r="CC69" s="1">
        <v>5</v>
      </c>
      <c r="CD69" s="17">
        <v>1</v>
      </c>
      <c r="CE69" s="17" t="s">
        <v>133</v>
      </c>
      <c r="CF69" s="1" t="str">
        <f>IF(BC69&gt;BC$166, BC69-BC$166,"")</f>
        <v/>
      </c>
      <c r="CG69" s="1" t="str">
        <f>IF(BD69&gt;BD$166, BD69-BD$166,"")</f>
        <v/>
      </c>
      <c r="CH69" s="1" t="str">
        <f>IF(BE69&gt;BE$166, BE69-BE$166,"")</f>
        <v/>
      </c>
      <c r="CI69" s="1" t="str">
        <f>IF(BF69&gt;BF$166, BF69-BF$166,"")</f>
        <v/>
      </c>
      <c r="CJ69" s="1" t="str">
        <f>IF(BG69&gt;BG$166, BG69-BG$166,"")</f>
        <v/>
      </c>
      <c r="CK69" s="1" t="str">
        <f>IF(BH69&gt;BH$166, BH69-BH$166,"")</f>
        <v/>
      </c>
      <c r="CL69" s="1" t="str">
        <f>IF(BI69&gt;BI$166, BI69-BI$166,"")</f>
        <v/>
      </c>
      <c r="CM69" s="1" t="str">
        <f>IF(BJ69&gt;BJ$166, BJ69-BJ$166,"")</f>
        <v/>
      </c>
      <c r="CN69" s="1" t="str">
        <f>IF(BK69&gt;BK$166, BK69-BK$166,"")</f>
        <v/>
      </c>
      <c r="CO69" s="1" t="str">
        <f>IF(BL69&gt;BL$166, BL69-BL$166,"")</f>
        <v/>
      </c>
      <c r="CP69" s="1" t="str">
        <f>IF(BM69&gt;BM$166, BM69-BM$166,"")</f>
        <v/>
      </c>
      <c r="CQ69" s="1" t="str">
        <f>IF(BN69&gt;BN$166, BN69-BN$166,"")</f>
        <v/>
      </c>
      <c r="CR69" s="1">
        <f t="shared" si="18"/>
        <v>0</v>
      </c>
      <c r="CS69" s="1" t="str">
        <f t="shared" si="19"/>
        <v/>
      </c>
      <c r="CT69" s="1" t="str">
        <f t="shared" si="20"/>
        <v/>
      </c>
      <c r="CU69" s="1" t="str">
        <f t="shared" si="21"/>
        <v/>
      </c>
      <c r="CV69" s="1" t="str">
        <f t="shared" si="22"/>
        <v/>
      </c>
      <c r="CW69" s="1" t="str">
        <f t="shared" si="23"/>
        <v/>
      </c>
      <c r="CX69" s="1" t="str">
        <f t="shared" si="24"/>
        <v/>
      </c>
      <c r="CY69" s="1" t="str">
        <f t="shared" si="25"/>
        <v/>
      </c>
      <c r="CZ69" s="1" t="str">
        <f t="shared" si="26"/>
        <v/>
      </c>
      <c r="DA69" s="1" t="str">
        <f t="shared" si="27"/>
        <v/>
      </c>
      <c r="DB69" s="1" t="str">
        <f t="shared" si="28"/>
        <v/>
      </c>
      <c r="DC69" s="1" t="str">
        <f t="shared" si="29"/>
        <v/>
      </c>
      <c r="DD69" s="1" t="str">
        <f t="shared" si="30"/>
        <v/>
      </c>
      <c r="DE69" s="18">
        <f t="shared" si="31"/>
        <v>5</v>
      </c>
    </row>
    <row r="70" spans="1:109" x14ac:dyDescent="0.15">
      <c r="A70" s="1">
        <v>18</v>
      </c>
      <c r="B70" s="1" t="s">
        <v>36</v>
      </c>
      <c r="C70" s="1" t="s">
        <v>33</v>
      </c>
      <c r="D70" s="1" t="s">
        <v>25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1"/>
      <c r="AR70" s="1"/>
      <c r="AS70" s="1">
        <v>5</v>
      </c>
      <c r="AT70" s="1"/>
      <c r="AU70" s="1"/>
      <c r="AV70" s="1"/>
      <c r="AW70" s="1"/>
      <c r="AX70" s="1"/>
      <c r="AY70" s="1"/>
      <c r="AZ70" s="1"/>
      <c r="BA70" s="1"/>
      <c r="BB70" s="1"/>
      <c r="BC70" s="4"/>
      <c r="BD70" s="4"/>
      <c r="BE70" s="4"/>
      <c r="BF70" s="4"/>
      <c r="BG70" s="4"/>
      <c r="BH70" s="4"/>
      <c r="BI70" s="2"/>
      <c r="BJ70" s="2"/>
      <c r="BK70" s="2"/>
      <c r="BL70" s="2"/>
      <c r="BM70" s="2"/>
      <c r="BN70" s="2"/>
      <c r="BO70" s="14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>
        <f t="shared" si="17"/>
        <v>5</v>
      </c>
      <c r="CC70" s="1">
        <v>5</v>
      </c>
      <c r="CD70" s="17">
        <v>1</v>
      </c>
      <c r="CE70" s="17" t="s">
        <v>135</v>
      </c>
      <c r="CF70" s="1" t="str">
        <f>IF(BC70&gt;BC$166, BC70-BC$166,"")</f>
        <v/>
      </c>
      <c r="CG70" s="1" t="str">
        <f>IF(BD70&gt;BD$166, BD70-BD$166,"")</f>
        <v/>
      </c>
      <c r="CH70" s="1" t="str">
        <f>IF(BE70&gt;BE$166, BE70-BE$166,"")</f>
        <v/>
      </c>
      <c r="CI70" s="1" t="str">
        <f>IF(BF70&gt;BF$166, BF70-BF$166,"")</f>
        <v/>
      </c>
      <c r="CJ70" s="1" t="str">
        <f>IF(BG70&gt;BG$166, BG70-BG$166,"")</f>
        <v/>
      </c>
      <c r="CK70" s="1" t="str">
        <f>IF(BH70&gt;BH$166, BH70-BH$166,"")</f>
        <v/>
      </c>
      <c r="CL70" s="1" t="str">
        <f>IF(BI70&gt;BI$166, BI70-BI$166,"")</f>
        <v/>
      </c>
      <c r="CM70" s="1" t="str">
        <f>IF(BJ70&gt;BJ$166, BJ70-BJ$166,"")</f>
        <v/>
      </c>
      <c r="CN70" s="1" t="str">
        <f>IF(BK70&gt;BK$166, BK70-BK$166,"")</f>
        <v/>
      </c>
      <c r="CO70" s="1" t="str">
        <f>IF(BL70&gt;BL$166, BL70-BL$166,"")</f>
        <v/>
      </c>
      <c r="CP70" s="1" t="str">
        <f>IF(BM70&gt;BM$166, BM70-BM$166,"")</f>
        <v/>
      </c>
      <c r="CQ70" s="1" t="str">
        <f>IF(BN70&gt;BN$166, BN70-BN$166,"")</f>
        <v/>
      </c>
      <c r="CR70" s="1">
        <f t="shared" si="18"/>
        <v>0</v>
      </c>
      <c r="CS70" s="1" t="str">
        <f t="shared" si="19"/>
        <v/>
      </c>
      <c r="CT70" s="1" t="str">
        <f t="shared" si="20"/>
        <v/>
      </c>
      <c r="CU70" s="1" t="str">
        <f t="shared" si="21"/>
        <v/>
      </c>
      <c r="CV70" s="1" t="str">
        <f t="shared" si="22"/>
        <v/>
      </c>
      <c r="CW70" s="1" t="str">
        <f t="shared" si="23"/>
        <v/>
      </c>
      <c r="CX70" s="1" t="str">
        <f t="shared" si="24"/>
        <v/>
      </c>
      <c r="CY70" s="1" t="str">
        <f t="shared" si="25"/>
        <v/>
      </c>
      <c r="CZ70" s="1" t="str">
        <f t="shared" si="26"/>
        <v/>
      </c>
      <c r="DA70" s="1" t="str">
        <f t="shared" si="27"/>
        <v/>
      </c>
      <c r="DB70" s="1" t="str">
        <f t="shared" si="28"/>
        <v/>
      </c>
      <c r="DC70" s="1" t="str">
        <f t="shared" si="29"/>
        <v/>
      </c>
      <c r="DD70" s="1" t="str">
        <f t="shared" si="30"/>
        <v/>
      </c>
      <c r="DE70" s="18">
        <f t="shared" si="31"/>
        <v>5</v>
      </c>
    </row>
    <row r="71" spans="1:109" x14ac:dyDescent="0.15">
      <c r="A71" s="1">
        <v>19</v>
      </c>
      <c r="B71" s="1" t="s">
        <v>39</v>
      </c>
      <c r="C71" s="1" t="s">
        <v>33</v>
      </c>
      <c r="D71" s="1" t="s">
        <v>24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1"/>
      <c r="AR71" s="1"/>
      <c r="AS71" s="1">
        <v>5</v>
      </c>
      <c r="AT71" s="1"/>
      <c r="AU71" s="1"/>
      <c r="AV71" s="1"/>
      <c r="AW71" s="1"/>
      <c r="AX71" s="1"/>
      <c r="AY71" s="1"/>
      <c r="AZ71" s="1"/>
      <c r="BA71" s="1"/>
      <c r="BB71" s="1"/>
      <c r="BC71" s="4"/>
      <c r="BD71" s="4"/>
      <c r="BE71" s="4"/>
      <c r="BF71" s="4"/>
      <c r="BG71" s="4"/>
      <c r="BH71" s="4"/>
      <c r="BI71" s="2"/>
      <c r="BJ71" s="2"/>
      <c r="BK71" s="2"/>
      <c r="BL71" s="2"/>
      <c r="BM71" s="2"/>
      <c r="BN71" s="2"/>
      <c r="BO71" s="14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>
        <f t="shared" si="17"/>
        <v>5</v>
      </c>
      <c r="CC71" s="1">
        <v>5</v>
      </c>
      <c r="CD71" s="17">
        <v>1</v>
      </c>
      <c r="CE71" s="17" t="s">
        <v>135</v>
      </c>
      <c r="CF71" s="1" t="str">
        <f>IF(BC71&gt;BC$166, BC71-BC$166,"")</f>
        <v/>
      </c>
      <c r="CG71" s="1" t="str">
        <f>IF(BD71&gt;BD$166, BD71-BD$166,"")</f>
        <v/>
      </c>
      <c r="CH71" s="1" t="str">
        <f>IF(BE71&gt;BE$166, BE71-BE$166,"")</f>
        <v/>
      </c>
      <c r="CI71" s="1" t="str">
        <f>IF(BF71&gt;BF$166, BF71-BF$166,"")</f>
        <v/>
      </c>
      <c r="CJ71" s="1" t="str">
        <f>IF(BG71&gt;BG$166, BG71-BG$166,"")</f>
        <v/>
      </c>
      <c r="CK71" s="1" t="str">
        <f>IF(BH71&gt;BH$166, BH71-BH$166,"")</f>
        <v/>
      </c>
      <c r="CL71" s="1" t="str">
        <f>IF(BI71&gt;BI$166, BI71-BI$166,"")</f>
        <v/>
      </c>
      <c r="CM71" s="1" t="str">
        <f>IF(BJ71&gt;BJ$166, BJ71-BJ$166,"")</f>
        <v/>
      </c>
      <c r="CN71" s="1" t="str">
        <f>IF(BK71&gt;BK$166, BK71-BK$166,"")</f>
        <v/>
      </c>
      <c r="CO71" s="1" t="str">
        <f>IF(BL71&gt;BL$166, BL71-BL$166,"")</f>
        <v/>
      </c>
      <c r="CP71" s="1" t="str">
        <f>IF(BM71&gt;BM$166, BM71-BM$166,"")</f>
        <v/>
      </c>
      <c r="CQ71" s="1" t="str">
        <f>IF(BN71&gt;BN$166, BN71-BN$166,"")</f>
        <v/>
      </c>
      <c r="CR71" s="1">
        <f t="shared" si="18"/>
        <v>0</v>
      </c>
      <c r="CS71" s="1" t="str">
        <f t="shared" si="19"/>
        <v/>
      </c>
      <c r="CT71" s="1" t="str">
        <f t="shared" si="20"/>
        <v/>
      </c>
      <c r="CU71" s="1" t="str">
        <f t="shared" si="21"/>
        <v/>
      </c>
      <c r="CV71" s="1" t="str">
        <f t="shared" si="22"/>
        <v/>
      </c>
      <c r="CW71" s="1" t="str">
        <f t="shared" si="23"/>
        <v/>
      </c>
      <c r="CX71" s="1" t="str">
        <f t="shared" si="24"/>
        <v/>
      </c>
      <c r="CY71" s="1" t="str">
        <f t="shared" si="25"/>
        <v/>
      </c>
      <c r="CZ71" s="1" t="str">
        <f t="shared" si="26"/>
        <v/>
      </c>
      <c r="DA71" s="1" t="str">
        <f t="shared" si="27"/>
        <v/>
      </c>
      <c r="DB71" s="1" t="str">
        <f t="shared" si="28"/>
        <v/>
      </c>
      <c r="DC71" s="1" t="str">
        <f t="shared" si="29"/>
        <v/>
      </c>
      <c r="DD71" s="1" t="str">
        <f t="shared" si="30"/>
        <v/>
      </c>
      <c r="DE71" s="18">
        <f t="shared" si="31"/>
        <v>5</v>
      </c>
    </row>
    <row r="72" spans="1:109" x14ac:dyDescent="0.15">
      <c r="A72" s="1">
        <v>32</v>
      </c>
      <c r="B72" s="1" t="s">
        <v>96</v>
      </c>
      <c r="C72" s="1" t="s">
        <v>33</v>
      </c>
      <c r="D72" s="1" t="s">
        <v>24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1"/>
      <c r="AR72" s="1"/>
      <c r="AS72" s="1"/>
      <c r="AT72" s="1"/>
      <c r="AU72" s="1">
        <v>5</v>
      </c>
      <c r="AV72" s="1"/>
      <c r="AW72" s="1"/>
      <c r="AX72" s="1"/>
      <c r="AY72" s="1"/>
      <c r="AZ72" s="1"/>
      <c r="BA72" s="1"/>
      <c r="BB72" s="1"/>
      <c r="BC72" s="4"/>
      <c r="BD72" s="4"/>
      <c r="BE72" s="4"/>
      <c r="BF72" s="4"/>
      <c r="BG72" s="4"/>
      <c r="BH72" s="4"/>
      <c r="BI72" s="2"/>
      <c r="BJ72" s="2"/>
      <c r="BK72" s="2"/>
      <c r="BL72" s="2"/>
      <c r="BM72" s="2"/>
      <c r="BN72" s="2"/>
      <c r="BO72" s="14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>
        <f t="shared" si="17"/>
        <v>5</v>
      </c>
      <c r="CC72" s="1">
        <v>5</v>
      </c>
      <c r="CD72" s="17">
        <v>1</v>
      </c>
      <c r="CE72" s="17" t="s">
        <v>136</v>
      </c>
      <c r="CF72" s="1" t="str">
        <f>IF(BC72&gt;BC$166, BC72-BC$166,"")</f>
        <v/>
      </c>
      <c r="CG72" s="1" t="str">
        <f>IF(BD72&gt;BD$166, BD72-BD$166,"")</f>
        <v/>
      </c>
      <c r="CH72" s="1" t="str">
        <f>IF(BE72&gt;BE$166, BE72-BE$166,"")</f>
        <v/>
      </c>
      <c r="CI72" s="1" t="str">
        <f>IF(BF72&gt;BF$166, BF72-BF$166,"")</f>
        <v/>
      </c>
      <c r="CJ72" s="1" t="str">
        <f>IF(BG72&gt;BG$166, BG72-BG$166,"")</f>
        <v/>
      </c>
      <c r="CK72" s="1" t="str">
        <f>IF(BH72&gt;BH$166, BH72-BH$166,"")</f>
        <v/>
      </c>
      <c r="CL72" s="1" t="str">
        <f>IF(BI72&gt;BI$166, BI72-BI$166,"")</f>
        <v/>
      </c>
      <c r="CM72" s="1" t="str">
        <f>IF(BJ72&gt;BJ$166, BJ72-BJ$166,"")</f>
        <v/>
      </c>
      <c r="CN72" s="1" t="str">
        <f>IF(BK72&gt;BK$166, BK72-BK$166,"")</f>
        <v/>
      </c>
      <c r="CO72" s="1" t="str">
        <f>IF(BL72&gt;BL$166, BL72-BL$166,"")</f>
        <v/>
      </c>
      <c r="CP72" s="1" t="str">
        <f>IF(BM72&gt;BM$166, BM72-BM$166,"")</f>
        <v/>
      </c>
      <c r="CQ72" s="1" t="str">
        <f>IF(BN72&gt;BN$166, BN72-BN$166,"")</f>
        <v/>
      </c>
      <c r="CR72" s="1">
        <f t="shared" si="18"/>
        <v>0</v>
      </c>
      <c r="CS72" s="1" t="str">
        <f t="shared" si="19"/>
        <v/>
      </c>
      <c r="CT72" s="1" t="str">
        <f t="shared" si="20"/>
        <v/>
      </c>
      <c r="CU72" s="1" t="str">
        <f t="shared" si="21"/>
        <v/>
      </c>
      <c r="CV72" s="1" t="str">
        <f t="shared" si="22"/>
        <v/>
      </c>
      <c r="CW72" s="1" t="str">
        <f t="shared" si="23"/>
        <v/>
      </c>
      <c r="CX72" s="1" t="str">
        <f t="shared" si="24"/>
        <v/>
      </c>
      <c r="CY72" s="1" t="str">
        <f t="shared" si="25"/>
        <v/>
      </c>
      <c r="CZ72" s="1" t="str">
        <f t="shared" si="26"/>
        <v/>
      </c>
      <c r="DA72" s="1" t="str">
        <f t="shared" si="27"/>
        <v/>
      </c>
      <c r="DB72" s="1" t="str">
        <f t="shared" si="28"/>
        <v/>
      </c>
      <c r="DC72" s="1" t="str">
        <f t="shared" si="29"/>
        <v/>
      </c>
      <c r="DD72" s="1" t="str">
        <f t="shared" si="30"/>
        <v/>
      </c>
      <c r="DE72" s="18">
        <f t="shared" si="31"/>
        <v>5</v>
      </c>
    </row>
    <row r="73" spans="1:109" x14ac:dyDescent="0.15">
      <c r="A73" s="1">
        <v>33</v>
      </c>
      <c r="B73" s="1" t="s">
        <v>96</v>
      </c>
      <c r="C73" s="1" t="s">
        <v>33</v>
      </c>
      <c r="D73" s="1" t="s">
        <v>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1"/>
      <c r="AR73" s="1"/>
      <c r="AS73" s="1"/>
      <c r="AT73" s="1">
        <v>5</v>
      </c>
      <c r="AU73" s="1"/>
      <c r="AV73" s="1"/>
      <c r="AW73" s="1"/>
      <c r="AX73" s="1"/>
      <c r="AY73" s="1"/>
      <c r="AZ73" s="1"/>
      <c r="BA73" s="1"/>
      <c r="BB73" s="1"/>
      <c r="BC73" s="4"/>
      <c r="BD73" s="4"/>
      <c r="BE73" s="4"/>
      <c r="BF73" s="4"/>
      <c r="BG73" s="4"/>
      <c r="BH73" s="4"/>
      <c r="BI73" s="2"/>
      <c r="BJ73" s="2"/>
      <c r="BK73" s="2"/>
      <c r="BL73" s="2"/>
      <c r="BM73" s="2"/>
      <c r="BN73" s="2"/>
      <c r="BO73" s="14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>
        <f t="shared" si="17"/>
        <v>5</v>
      </c>
      <c r="CC73" s="1">
        <v>5</v>
      </c>
      <c r="CD73" s="17">
        <v>1</v>
      </c>
      <c r="CE73" s="17" t="s">
        <v>137</v>
      </c>
      <c r="CF73" s="1" t="str">
        <f>IF(BC73&gt;BC$166, BC73-BC$166,"")</f>
        <v/>
      </c>
      <c r="CG73" s="1" t="str">
        <f>IF(BD73&gt;BD$166, BD73-BD$166,"")</f>
        <v/>
      </c>
      <c r="CH73" s="1" t="str">
        <f>IF(BE73&gt;BE$166, BE73-BE$166,"")</f>
        <v/>
      </c>
      <c r="CI73" s="1" t="str">
        <f>IF(BF73&gt;BF$166, BF73-BF$166,"")</f>
        <v/>
      </c>
      <c r="CJ73" s="1" t="str">
        <f>IF(BG73&gt;BG$166, BG73-BG$166,"")</f>
        <v/>
      </c>
      <c r="CK73" s="1" t="str">
        <f>IF(BH73&gt;BH$166, BH73-BH$166,"")</f>
        <v/>
      </c>
      <c r="CL73" s="1" t="str">
        <f>IF(BI73&gt;BI$166, BI73-BI$166,"")</f>
        <v/>
      </c>
      <c r="CM73" s="1" t="str">
        <f>IF(BJ73&gt;BJ$166, BJ73-BJ$166,"")</f>
        <v/>
      </c>
      <c r="CN73" s="1" t="str">
        <f>IF(BK73&gt;BK$166, BK73-BK$166,"")</f>
        <v/>
      </c>
      <c r="CO73" s="1" t="str">
        <f>IF(BL73&gt;BL$166, BL73-BL$166,"")</f>
        <v/>
      </c>
      <c r="CP73" s="1" t="str">
        <f>IF(BM73&gt;BM$166, BM73-BM$166,"")</f>
        <v/>
      </c>
      <c r="CQ73" s="1" t="str">
        <f>IF(BN73&gt;BN$166, BN73-BN$166,"")</f>
        <v/>
      </c>
      <c r="CR73" s="1">
        <f t="shared" si="18"/>
        <v>0</v>
      </c>
      <c r="CS73" s="1" t="str">
        <f t="shared" si="19"/>
        <v/>
      </c>
      <c r="CT73" s="1" t="str">
        <f t="shared" si="20"/>
        <v/>
      </c>
      <c r="CU73" s="1" t="str">
        <f t="shared" si="21"/>
        <v/>
      </c>
      <c r="CV73" s="1" t="str">
        <f t="shared" si="22"/>
        <v/>
      </c>
      <c r="CW73" s="1" t="str">
        <f t="shared" si="23"/>
        <v/>
      </c>
      <c r="CX73" s="1" t="str">
        <f t="shared" si="24"/>
        <v/>
      </c>
      <c r="CY73" s="1" t="str">
        <f t="shared" si="25"/>
        <v/>
      </c>
      <c r="CZ73" s="1" t="str">
        <f t="shared" si="26"/>
        <v/>
      </c>
      <c r="DA73" s="1" t="str">
        <f t="shared" si="27"/>
        <v/>
      </c>
      <c r="DB73" s="1" t="str">
        <f t="shared" si="28"/>
        <v/>
      </c>
      <c r="DC73" s="1" t="str">
        <f t="shared" si="29"/>
        <v/>
      </c>
      <c r="DD73" s="1" t="str">
        <f t="shared" si="30"/>
        <v/>
      </c>
      <c r="DE73" s="18">
        <f t="shared" si="31"/>
        <v>5</v>
      </c>
    </row>
    <row r="74" spans="1:109" x14ac:dyDescent="0.15">
      <c r="A74" s="1">
        <v>63</v>
      </c>
      <c r="B74" s="3" t="s">
        <v>71</v>
      </c>
      <c r="C74" s="1" t="s">
        <v>64</v>
      </c>
      <c r="D74" s="1" t="s">
        <v>24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1"/>
      <c r="AR74" s="1"/>
      <c r="AS74" s="1"/>
      <c r="AT74" s="1"/>
      <c r="AU74" s="1"/>
      <c r="AV74" s="1"/>
      <c r="AW74" s="1"/>
      <c r="AX74" s="1"/>
      <c r="AY74" s="1"/>
      <c r="AZ74" s="1">
        <v>5</v>
      </c>
      <c r="BA74" s="1"/>
      <c r="BB74" s="1"/>
      <c r="BC74" s="4"/>
      <c r="BD74" s="4"/>
      <c r="BE74" s="4"/>
      <c r="BF74" s="4"/>
      <c r="BG74" s="4"/>
      <c r="BH74" s="4"/>
      <c r="BI74" s="2"/>
      <c r="BJ74" s="2"/>
      <c r="BK74" s="2"/>
      <c r="BL74" s="2"/>
      <c r="BM74" s="2"/>
      <c r="BN74" s="2"/>
      <c r="BO74" s="14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>
        <f t="shared" si="17"/>
        <v>5</v>
      </c>
      <c r="CC74" s="1">
        <v>5</v>
      </c>
      <c r="CD74" s="17">
        <v>1</v>
      </c>
      <c r="CE74" s="17" t="s">
        <v>138</v>
      </c>
      <c r="CF74" s="1" t="str">
        <f>IF(BC74&gt;BC$166, BC74-BC$166,"")</f>
        <v/>
      </c>
      <c r="CG74" s="1" t="str">
        <f>IF(BD74&gt;BD$166, BD74-BD$166,"")</f>
        <v/>
      </c>
      <c r="CH74" s="1" t="str">
        <f>IF(BE74&gt;BE$166, BE74-BE$166,"")</f>
        <v/>
      </c>
      <c r="CI74" s="1" t="str">
        <f>IF(BF74&gt;BF$166, BF74-BF$166,"")</f>
        <v/>
      </c>
      <c r="CJ74" s="1" t="str">
        <f>IF(BG74&gt;BG$166, BG74-BG$166,"")</f>
        <v/>
      </c>
      <c r="CK74" s="1" t="str">
        <f>IF(BH74&gt;BH$166, BH74-BH$166,"")</f>
        <v/>
      </c>
      <c r="CL74" s="1" t="str">
        <f>IF(BI74&gt;BI$166, BI74-BI$166,"")</f>
        <v/>
      </c>
      <c r="CM74" s="1" t="str">
        <f>IF(BJ74&gt;BJ$166, BJ74-BJ$166,"")</f>
        <v/>
      </c>
      <c r="CN74" s="1" t="str">
        <f>IF(BK74&gt;BK$166, BK74-BK$166,"")</f>
        <v/>
      </c>
      <c r="CO74" s="1" t="str">
        <f>IF(BL74&gt;BL$166, BL74-BL$166,"")</f>
        <v/>
      </c>
      <c r="CP74" s="1" t="str">
        <f>IF(BM74&gt;BM$166, BM74-BM$166,"")</f>
        <v/>
      </c>
      <c r="CQ74" s="1" t="str">
        <f>IF(BN74&gt;BN$166, BN74-BN$166,"")</f>
        <v/>
      </c>
      <c r="CR74" s="1">
        <f t="shared" si="18"/>
        <v>0</v>
      </c>
      <c r="CS74" s="1" t="str">
        <f t="shared" si="19"/>
        <v/>
      </c>
      <c r="CT74" s="1" t="str">
        <f t="shared" si="20"/>
        <v/>
      </c>
      <c r="CU74" s="1" t="str">
        <f t="shared" si="21"/>
        <v/>
      </c>
      <c r="CV74" s="1" t="str">
        <f t="shared" si="22"/>
        <v/>
      </c>
      <c r="CW74" s="1" t="str">
        <f t="shared" si="23"/>
        <v/>
      </c>
      <c r="CX74" s="1" t="str">
        <f t="shared" si="24"/>
        <v/>
      </c>
      <c r="CY74" s="1" t="str">
        <f t="shared" si="25"/>
        <v/>
      </c>
      <c r="CZ74" s="1" t="str">
        <f t="shared" si="26"/>
        <v/>
      </c>
      <c r="DA74" s="1" t="str">
        <f t="shared" si="27"/>
        <v/>
      </c>
      <c r="DB74" s="1" t="str">
        <f t="shared" si="28"/>
        <v/>
      </c>
      <c r="DC74" s="1" t="str">
        <f t="shared" si="29"/>
        <v/>
      </c>
      <c r="DD74" s="1" t="str">
        <f t="shared" si="30"/>
        <v/>
      </c>
      <c r="DE74" s="18">
        <f t="shared" si="31"/>
        <v>5</v>
      </c>
    </row>
    <row r="75" spans="1:109" x14ac:dyDescent="0.15">
      <c r="A75" s="1">
        <v>90</v>
      </c>
      <c r="B75" s="3" t="s">
        <v>103</v>
      </c>
      <c r="C75" s="3" t="s">
        <v>102</v>
      </c>
      <c r="D75" s="1" t="s">
        <v>24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>
        <v>4</v>
      </c>
      <c r="T75" s="6"/>
      <c r="U75" s="6"/>
      <c r="V75" s="6"/>
      <c r="W75" s="6"/>
      <c r="X75" s="6"/>
      <c r="Y75" s="6"/>
      <c r="Z75" s="6"/>
      <c r="AA75" s="6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1"/>
      <c r="AR75" s="1"/>
      <c r="AS75" s="1"/>
      <c r="AT75" s="1"/>
      <c r="AU75" s="1"/>
      <c r="AV75" s="1"/>
      <c r="AW75" s="1"/>
      <c r="AX75" s="1"/>
      <c r="AY75" s="1"/>
      <c r="AZ75" s="1">
        <v>5</v>
      </c>
      <c r="BA75" s="1"/>
      <c r="BB75" s="1"/>
      <c r="BC75" s="4"/>
      <c r="BD75" s="4"/>
      <c r="BE75" s="4"/>
      <c r="BF75" s="4"/>
      <c r="BG75" s="4"/>
      <c r="BH75" s="4"/>
      <c r="BI75" s="2"/>
      <c r="BJ75" s="2"/>
      <c r="BK75" s="2"/>
      <c r="BL75" s="2"/>
      <c r="BM75" s="2"/>
      <c r="BN75" s="2"/>
      <c r="BO75" s="14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>
        <f t="shared" si="17"/>
        <v>9</v>
      </c>
      <c r="CC75" s="1">
        <v>5</v>
      </c>
      <c r="CD75" s="17">
        <v>1</v>
      </c>
      <c r="CE75" s="17" t="s">
        <v>138</v>
      </c>
      <c r="CF75" s="1" t="str">
        <f>IF(BC75&gt;BC$166, BC75-BC$166,"")</f>
        <v/>
      </c>
      <c r="CG75" s="1" t="str">
        <f>IF(BD75&gt;BD$166, BD75-BD$166,"")</f>
        <v/>
      </c>
      <c r="CH75" s="1" t="str">
        <f>IF(BE75&gt;BE$166, BE75-BE$166,"")</f>
        <v/>
      </c>
      <c r="CI75" s="1" t="str">
        <f>IF(BF75&gt;BF$166, BF75-BF$166,"")</f>
        <v/>
      </c>
      <c r="CJ75" s="1" t="str">
        <f>IF(BG75&gt;BG$166, BG75-BG$166,"")</f>
        <v/>
      </c>
      <c r="CK75" s="1" t="str">
        <f>IF(BH75&gt;BH$166, BH75-BH$166,"")</f>
        <v/>
      </c>
      <c r="CL75" s="1" t="str">
        <f>IF(BI75&gt;BI$166, BI75-BI$166,"")</f>
        <v/>
      </c>
      <c r="CM75" s="1" t="str">
        <f>IF(BJ75&gt;BJ$166, BJ75-BJ$166,"")</f>
        <v/>
      </c>
      <c r="CN75" s="1" t="str">
        <f>IF(BK75&gt;BK$166, BK75-BK$166,"")</f>
        <v/>
      </c>
      <c r="CO75" s="1" t="str">
        <f>IF(BL75&gt;BL$166, BL75-BL$166,"")</f>
        <v/>
      </c>
      <c r="CP75" s="1" t="str">
        <f>IF(BM75&gt;BM$166, BM75-BM$166,"")</f>
        <v/>
      </c>
      <c r="CQ75" s="1" t="str">
        <f>IF(BN75&gt;BN$166, BN75-BN$166,"")</f>
        <v/>
      </c>
      <c r="CR75" s="1">
        <f t="shared" si="18"/>
        <v>0</v>
      </c>
      <c r="CS75" s="1" t="str">
        <f t="shared" si="19"/>
        <v/>
      </c>
      <c r="CT75" s="1" t="str">
        <f t="shared" si="20"/>
        <v/>
      </c>
      <c r="CU75" s="1" t="str">
        <f t="shared" si="21"/>
        <v/>
      </c>
      <c r="CV75" s="1" t="str">
        <f t="shared" si="22"/>
        <v/>
      </c>
      <c r="CW75" s="1" t="str">
        <f t="shared" si="23"/>
        <v/>
      </c>
      <c r="CX75" s="1" t="str">
        <f t="shared" si="24"/>
        <v/>
      </c>
      <c r="CY75" s="1" t="str">
        <f t="shared" si="25"/>
        <v/>
      </c>
      <c r="CZ75" s="1" t="str">
        <f t="shared" si="26"/>
        <v/>
      </c>
      <c r="DA75" s="1" t="str">
        <f t="shared" si="27"/>
        <v/>
      </c>
      <c r="DB75" s="1" t="str">
        <f t="shared" si="28"/>
        <v/>
      </c>
      <c r="DC75" s="1" t="str">
        <f t="shared" si="29"/>
        <v/>
      </c>
      <c r="DD75" s="1" t="str">
        <f t="shared" si="30"/>
        <v/>
      </c>
      <c r="DE75" s="18">
        <f t="shared" si="31"/>
        <v>5</v>
      </c>
    </row>
    <row r="76" spans="1:109" x14ac:dyDescent="0.15">
      <c r="A76" s="1">
        <v>20</v>
      </c>
      <c r="B76" s="1" t="s">
        <v>39</v>
      </c>
      <c r="C76" s="1" t="s">
        <v>33</v>
      </c>
      <c r="D76" s="1" t="s">
        <v>25</v>
      </c>
      <c r="E76" s="6"/>
      <c r="F76" s="6">
        <v>5</v>
      </c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1"/>
      <c r="AR76" s="1"/>
      <c r="AS76" s="1">
        <v>5</v>
      </c>
      <c r="AT76" s="1"/>
      <c r="AU76" s="1"/>
      <c r="AV76" s="1"/>
      <c r="AW76" s="1"/>
      <c r="AX76" s="1"/>
      <c r="AY76" s="1"/>
      <c r="AZ76" s="1"/>
      <c r="BA76" s="1"/>
      <c r="BB76" s="1"/>
      <c r="BC76" s="4"/>
      <c r="BD76" s="4"/>
      <c r="BE76" s="4"/>
      <c r="BF76" s="4"/>
      <c r="BG76" s="4"/>
      <c r="BH76" s="4"/>
      <c r="BI76" s="2"/>
      <c r="BJ76" s="2"/>
      <c r="BK76" s="2"/>
      <c r="BL76" s="2"/>
      <c r="BM76" s="2"/>
      <c r="BN76" s="2"/>
      <c r="BO76" s="14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>
        <f t="shared" si="17"/>
        <v>10</v>
      </c>
      <c r="CC76" s="1">
        <v>5</v>
      </c>
      <c r="CD76" s="17">
        <v>1</v>
      </c>
      <c r="CE76" s="17" t="s">
        <v>135</v>
      </c>
      <c r="CF76" s="1" t="str">
        <f>IF(BC76&gt;BC$166, BC76-BC$166,"")</f>
        <v/>
      </c>
      <c r="CG76" s="1" t="str">
        <f>IF(BD76&gt;BD$166, BD76-BD$166,"")</f>
        <v/>
      </c>
      <c r="CH76" s="1" t="str">
        <f>IF(BE76&gt;BE$166, BE76-BE$166,"")</f>
        <v/>
      </c>
      <c r="CI76" s="1" t="str">
        <f>IF(BF76&gt;BF$166, BF76-BF$166,"")</f>
        <v/>
      </c>
      <c r="CJ76" s="1" t="str">
        <f>IF(BG76&gt;BG$166, BG76-BG$166,"")</f>
        <v/>
      </c>
      <c r="CK76" s="1" t="str">
        <f>IF(BH76&gt;BH$166, BH76-BH$166,"")</f>
        <v/>
      </c>
      <c r="CL76" s="1" t="str">
        <f>IF(BI76&gt;BI$166, BI76-BI$166,"")</f>
        <v/>
      </c>
      <c r="CM76" s="1" t="str">
        <f>IF(BJ76&gt;BJ$166, BJ76-BJ$166,"")</f>
        <v/>
      </c>
      <c r="CN76" s="1" t="str">
        <f>IF(BK76&gt;BK$166, BK76-BK$166,"")</f>
        <v/>
      </c>
      <c r="CO76" s="1" t="str">
        <f>IF(BL76&gt;BL$166, BL76-BL$166,"")</f>
        <v/>
      </c>
      <c r="CP76" s="1" t="str">
        <f>IF(BM76&gt;BM$166, BM76-BM$166,"")</f>
        <v/>
      </c>
      <c r="CQ76" s="1" t="str">
        <f>IF(BN76&gt;BN$166, BN76-BN$166,"")</f>
        <v/>
      </c>
      <c r="CR76" s="1">
        <f t="shared" si="18"/>
        <v>0</v>
      </c>
      <c r="CS76" s="1" t="str">
        <f t="shared" si="19"/>
        <v/>
      </c>
      <c r="CT76" s="1" t="str">
        <f t="shared" si="20"/>
        <v/>
      </c>
      <c r="CU76" s="1" t="str">
        <f t="shared" si="21"/>
        <v/>
      </c>
      <c r="CV76" s="1" t="str">
        <f t="shared" si="22"/>
        <v/>
      </c>
      <c r="CW76" s="1" t="str">
        <f t="shared" si="23"/>
        <v/>
      </c>
      <c r="CX76" s="1" t="str">
        <f t="shared" si="24"/>
        <v/>
      </c>
      <c r="CY76" s="1" t="str">
        <f t="shared" si="25"/>
        <v/>
      </c>
      <c r="CZ76" s="1" t="str">
        <f t="shared" si="26"/>
        <v/>
      </c>
      <c r="DA76" s="1" t="str">
        <f t="shared" si="27"/>
        <v/>
      </c>
      <c r="DB76" s="1" t="str">
        <f t="shared" si="28"/>
        <v/>
      </c>
      <c r="DC76" s="1" t="str">
        <f t="shared" si="29"/>
        <v/>
      </c>
      <c r="DD76" s="1" t="str">
        <f t="shared" si="30"/>
        <v/>
      </c>
      <c r="DE76" s="18">
        <f t="shared" si="31"/>
        <v>5</v>
      </c>
    </row>
    <row r="77" spans="1:109" x14ac:dyDescent="0.15">
      <c r="A77" s="1"/>
      <c r="B77" s="1" t="s">
        <v>171</v>
      </c>
      <c r="C77" s="1" t="s">
        <v>166</v>
      </c>
      <c r="D77" s="1" t="s">
        <v>160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1"/>
      <c r="AR77" s="1"/>
      <c r="AS77" s="1"/>
      <c r="AT77" s="1">
        <v>5</v>
      </c>
      <c r="AU77" s="1"/>
      <c r="AV77" s="1"/>
      <c r="AW77" s="1"/>
      <c r="AX77" s="1"/>
      <c r="AY77" s="1"/>
      <c r="AZ77" s="1"/>
      <c r="BA77" s="1"/>
      <c r="BB77" s="1"/>
      <c r="BC77" s="4"/>
      <c r="BD77" s="4"/>
      <c r="BE77" s="4"/>
      <c r="BF77" s="4"/>
      <c r="BG77" s="4"/>
      <c r="BH77" s="4"/>
      <c r="BI77" s="2"/>
      <c r="BJ77" s="2"/>
      <c r="BK77" s="2"/>
      <c r="BL77" s="2"/>
      <c r="BM77" s="2"/>
      <c r="BN77" s="2"/>
      <c r="BO77" s="14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>
        <v>5</v>
      </c>
      <c r="CD77" s="17">
        <v>1</v>
      </c>
      <c r="CE77" s="17" t="s">
        <v>195</v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8"/>
    </row>
    <row r="78" spans="1:109" x14ac:dyDescent="0.15">
      <c r="A78" s="1"/>
      <c r="B78" s="1" t="s">
        <v>171</v>
      </c>
      <c r="C78" s="1" t="s">
        <v>166</v>
      </c>
      <c r="D78" s="1" t="s">
        <v>153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1"/>
      <c r="AR78" s="1"/>
      <c r="AS78" s="1"/>
      <c r="AT78" s="1"/>
      <c r="AU78" s="1">
        <v>5</v>
      </c>
      <c r="AV78" s="1"/>
      <c r="AW78" s="1"/>
      <c r="AX78" s="1"/>
      <c r="AY78" s="1"/>
      <c r="AZ78" s="1"/>
      <c r="BA78" s="1"/>
      <c r="BB78" s="1"/>
      <c r="BC78" s="4"/>
      <c r="BD78" s="4"/>
      <c r="BE78" s="4"/>
      <c r="BF78" s="4"/>
      <c r="BG78" s="4"/>
      <c r="BH78" s="4"/>
      <c r="BI78" s="2"/>
      <c r="BJ78" s="2"/>
      <c r="BK78" s="2"/>
      <c r="BL78" s="2"/>
      <c r="BM78" s="2"/>
      <c r="BN78" s="2"/>
      <c r="BO78" s="14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>
        <v>5</v>
      </c>
      <c r="CD78" s="17">
        <v>1</v>
      </c>
      <c r="CE78" s="17" t="s">
        <v>194</v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8"/>
    </row>
    <row r="79" spans="1:109" x14ac:dyDescent="0.15">
      <c r="A79" s="1">
        <v>14</v>
      </c>
      <c r="B79" s="1" t="s">
        <v>32</v>
      </c>
      <c r="C79" s="1" t="s">
        <v>33</v>
      </c>
      <c r="D79" s="1" t="s">
        <v>34</v>
      </c>
      <c r="E79" s="6"/>
      <c r="F79" s="6"/>
      <c r="G79" s="6">
        <v>15</v>
      </c>
      <c r="H79" s="6">
        <v>15</v>
      </c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4"/>
      <c r="BD79" s="4"/>
      <c r="BE79" s="4">
        <v>15</v>
      </c>
      <c r="BF79" s="4"/>
      <c r="BG79" s="4"/>
      <c r="BH79" s="4"/>
      <c r="BI79" s="2"/>
      <c r="BJ79" s="2"/>
      <c r="BK79" s="2"/>
      <c r="BL79" s="2"/>
      <c r="BM79" s="2"/>
      <c r="BN79" s="2">
        <v>15</v>
      </c>
      <c r="BO79" s="14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>
        <f>SUM(E79:CA79)</f>
        <v>60</v>
      </c>
      <c r="CC79" s="1">
        <v>7</v>
      </c>
      <c r="CD79" s="17">
        <v>1</v>
      </c>
      <c r="CE79" s="17" t="s">
        <v>205</v>
      </c>
      <c r="CF79" s="1" t="str">
        <f>IF(BC79&gt;BC$166, BC79-BC$166,"")</f>
        <v/>
      </c>
      <c r="CG79" s="1" t="str">
        <f>IF(BD79&gt;BD$166, BD79-BD$166,"")</f>
        <v/>
      </c>
      <c r="CH79" s="1">
        <f>IF(BE79&gt;BE$166, BE79-BE$166,"")</f>
        <v>7</v>
      </c>
      <c r="CI79" s="1" t="str">
        <f>IF(BF79&gt;BF$166, BF79-BF$166,"")</f>
        <v/>
      </c>
      <c r="CJ79" s="1" t="str">
        <f>IF(BG79&gt;BG$166, BG79-BG$166,"")</f>
        <v/>
      </c>
      <c r="CK79" s="1" t="str">
        <f>IF(BH79&gt;BH$166, BH79-BH$166,"")</f>
        <v/>
      </c>
      <c r="CL79" s="1" t="str">
        <f>IF(BI79&gt;BI$166, BI79-BI$166,"")</f>
        <v/>
      </c>
      <c r="CM79" s="1" t="str">
        <f>IF(BJ79&gt;BJ$166, BJ79-BJ$166,"")</f>
        <v/>
      </c>
      <c r="CN79" s="1" t="str">
        <f>IF(BK79&gt;BK$166, BK79-BK$166,"")</f>
        <v/>
      </c>
      <c r="CO79" s="1" t="str">
        <f>IF(BL79&gt;BL$166, BL79-BL$166,"")</f>
        <v/>
      </c>
      <c r="CP79" s="1" t="str">
        <f>IF(BM79&gt;BM$166, BM79-BM$166,"")</f>
        <v/>
      </c>
      <c r="CQ79" s="1" t="str">
        <f>IF(BN79&gt;BN$166, BN79-BN$166,"")</f>
        <v/>
      </c>
      <c r="CR79" s="1">
        <f>COUNTIF(CF79:CQ79, "&gt;0")</f>
        <v>1</v>
      </c>
      <c r="CS79" s="1" t="str">
        <f t="shared" ref="CS79:DD79" si="32">IF($CR79=1,CF79,"")</f>
        <v/>
      </c>
      <c r="CT79" s="1" t="str">
        <f t="shared" si="32"/>
        <v/>
      </c>
      <c r="CU79" s="1">
        <f t="shared" si="32"/>
        <v>7</v>
      </c>
      <c r="CV79" s="1" t="str">
        <f t="shared" si="32"/>
        <v/>
      </c>
      <c r="CW79" s="1" t="str">
        <f t="shared" si="32"/>
        <v/>
      </c>
      <c r="CX79" s="1" t="str">
        <f t="shared" si="32"/>
        <v/>
      </c>
      <c r="CY79" s="1" t="str">
        <f t="shared" si="32"/>
        <v/>
      </c>
      <c r="CZ79" s="1" t="str">
        <f t="shared" si="32"/>
        <v/>
      </c>
      <c r="DA79" s="1" t="str">
        <f t="shared" si="32"/>
        <v/>
      </c>
      <c r="DB79" s="1" t="str">
        <f t="shared" si="32"/>
        <v/>
      </c>
      <c r="DC79" s="1" t="str">
        <f t="shared" si="32"/>
        <v/>
      </c>
      <c r="DD79" s="1" t="str">
        <f t="shared" si="32"/>
        <v/>
      </c>
      <c r="DE79" s="18">
        <f>SUM(AQ79:CA79)</f>
        <v>30</v>
      </c>
    </row>
    <row r="80" spans="1:109" x14ac:dyDescent="0.15">
      <c r="A80" s="1"/>
      <c r="B80" s="1" t="s">
        <v>154</v>
      </c>
      <c r="C80" s="1" t="s">
        <v>155</v>
      </c>
      <c r="D80" s="1" t="s">
        <v>152</v>
      </c>
      <c r="E80" s="6"/>
      <c r="F80" s="6"/>
      <c r="G80" s="6">
        <v>15</v>
      </c>
      <c r="H80" s="6">
        <v>15</v>
      </c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4"/>
      <c r="BD80" s="4"/>
      <c r="BE80" s="4">
        <v>15</v>
      </c>
      <c r="BF80" s="4"/>
      <c r="BG80" s="4"/>
      <c r="BH80" s="4"/>
      <c r="BI80" s="2"/>
      <c r="BJ80" s="2"/>
      <c r="BK80" s="2"/>
      <c r="BL80" s="2"/>
      <c r="BM80" s="2"/>
      <c r="BN80" s="2">
        <v>15</v>
      </c>
      <c r="BO80" s="14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>
        <v>7</v>
      </c>
      <c r="CD80" s="17">
        <v>1</v>
      </c>
      <c r="CE80" s="17" t="s">
        <v>204</v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8"/>
    </row>
    <row r="81" spans="1:109" x14ac:dyDescent="0.15">
      <c r="A81" s="1">
        <v>41</v>
      </c>
      <c r="B81" s="1" t="s">
        <v>59</v>
      </c>
      <c r="C81" s="1" t="s">
        <v>50</v>
      </c>
      <c r="D81" s="1" t="s">
        <v>13</v>
      </c>
      <c r="E81" s="6"/>
      <c r="F81" s="6"/>
      <c r="G81" s="6"/>
      <c r="H81" s="6"/>
      <c r="I81" s="6"/>
      <c r="J81" s="6"/>
      <c r="K81" s="6"/>
      <c r="L81" s="6">
        <v>6</v>
      </c>
      <c r="M81" s="6"/>
      <c r="N81" s="6"/>
      <c r="O81" s="6">
        <v>6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4">
        <v>10</v>
      </c>
      <c r="BD81" s="4"/>
      <c r="BE81" s="4"/>
      <c r="BF81" s="4"/>
      <c r="BG81" s="4"/>
      <c r="BH81" s="4"/>
      <c r="BI81" s="2"/>
      <c r="BJ81" s="2">
        <v>10</v>
      </c>
      <c r="BK81" s="2"/>
      <c r="BL81" s="2"/>
      <c r="BM81" s="2"/>
      <c r="BN81" s="2"/>
      <c r="BO81" s="14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>
        <f>SUM(E81:CA81)</f>
        <v>32</v>
      </c>
      <c r="CC81" s="1">
        <v>8</v>
      </c>
      <c r="CD81" s="17">
        <v>1</v>
      </c>
      <c r="CE81" s="17" t="s">
        <v>192</v>
      </c>
      <c r="CF81" s="1">
        <f>IF(BC81&gt;BC$166, BC81-BC$166,"")</f>
        <v>8</v>
      </c>
      <c r="CG81" s="1" t="str">
        <f>IF(BD81&gt;BD$166, BD81-BD$166,"")</f>
        <v/>
      </c>
      <c r="CH81" s="1" t="str">
        <f>IF(BE81&gt;BE$166, BE81-BE$166,"")</f>
        <v/>
      </c>
      <c r="CI81" s="1" t="str">
        <f>IF(BF81&gt;BF$166, BF81-BF$166,"")</f>
        <v/>
      </c>
      <c r="CJ81" s="1" t="str">
        <f>IF(BG81&gt;BG$166, BG81-BG$166,"")</f>
        <v/>
      </c>
      <c r="CK81" s="1" t="str">
        <f>IF(BH81&gt;BH$166, BH81-BH$166,"")</f>
        <v/>
      </c>
      <c r="CL81" s="1" t="str">
        <f>IF(BI81&gt;BI$166, BI81-BI$166,"")</f>
        <v/>
      </c>
      <c r="CM81" s="1" t="str">
        <f>IF(BJ81&gt;BJ$166, BJ81-BJ$166,"")</f>
        <v/>
      </c>
      <c r="CN81" s="1" t="str">
        <f>IF(BK81&gt;BK$166, BK81-BK$166,"")</f>
        <v/>
      </c>
      <c r="CO81" s="1" t="str">
        <f>IF(BL81&gt;BL$166, BL81-BL$166,"")</f>
        <v/>
      </c>
      <c r="CP81" s="1" t="str">
        <f>IF(BM81&gt;BM$166, BM81-BM$166,"")</f>
        <v/>
      </c>
      <c r="CQ81" s="1" t="str">
        <f>IF(BN81&gt;BN$166, BN81-BN$166,"")</f>
        <v/>
      </c>
      <c r="CR81" s="1">
        <f>COUNTIF(CF81:CQ81, "&gt;0")</f>
        <v>1</v>
      </c>
      <c r="CS81" s="1">
        <f t="shared" ref="CS81:DD84" si="33">IF($CR81=1,CF81,"")</f>
        <v>8</v>
      </c>
      <c r="CT81" s="1" t="str">
        <f t="shared" si="33"/>
        <v/>
      </c>
      <c r="CU81" s="1" t="str">
        <f t="shared" si="33"/>
        <v/>
      </c>
      <c r="CV81" s="1" t="str">
        <f t="shared" si="33"/>
        <v/>
      </c>
      <c r="CW81" s="1" t="str">
        <f t="shared" si="33"/>
        <v/>
      </c>
      <c r="CX81" s="1" t="str">
        <f t="shared" si="33"/>
        <v/>
      </c>
      <c r="CY81" s="1" t="str">
        <f t="shared" si="33"/>
        <v/>
      </c>
      <c r="CZ81" s="1" t="str">
        <f t="shared" si="33"/>
        <v/>
      </c>
      <c r="DA81" s="1" t="str">
        <f t="shared" si="33"/>
        <v/>
      </c>
      <c r="DB81" s="1" t="str">
        <f t="shared" si="33"/>
        <v/>
      </c>
      <c r="DC81" s="1" t="str">
        <f t="shared" si="33"/>
        <v/>
      </c>
      <c r="DD81" s="1" t="str">
        <f t="shared" si="33"/>
        <v/>
      </c>
      <c r="DE81" s="18">
        <f>SUM(AQ81:CA81)</f>
        <v>20</v>
      </c>
    </row>
    <row r="82" spans="1:109" x14ac:dyDescent="0.15">
      <c r="A82" s="1">
        <v>39</v>
      </c>
      <c r="B82" s="1" t="s">
        <v>55</v>
      </c>
      <c r="C82" s="1" t="s">
        <v>50</v>
      </c>
      <c r="D82" s="1" t="s">
        <v>26</v>
      </c>
      <c r="E82" s="6"/>
      <c r="F82" s="6">
        <v>6</v>
      </c>
      <c r="G82" s="6"/>
      <c r="H82" s="6"/>
      <c r="I82" s="6"/>
      <c r="J82" s="6"/>
      <c r="K82" s="6"/>
      <c r="L82" s="6">
        <v>6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4">
        <v>10</v>
      </c>
      <c r="BD82" s="4"/>
      <c r="BE82" s="4"/>
      <c r="BF82" s="4"/>
      <c r="BG82" s="4"/>
      <c r="BH82" s="4"/>
      <c r="BI82" s="2"/>
      <c r="BJ82" s="2">
        <v>10</v>
      </c>
      <c r="BK82" s="2"/>
      <c r="BL82" s="2"/>
      <c r="BM82" s="2"/>
      <c r="BN82" s="2"/>
      <c r="BO82" s="14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>
        <f>SUM(E82:CA82)</f>
        <v>32</v>
      </c>
      <c r="CC82" s="1">
        <v>8</v>
      </c>
      <c r="CD82" s="17">
        <v>1</v>
      </c>
      <c r="CE82" s="17" t="s">
        <v>192</v>
      </c>
      <c r="CF82" s="1">
        <f>IF(BC82&gt;BC$166, BC82-BC$166,"")</f>
        <v>8</v>
      </c>
      <c r="CG82" s="1" t="str">
        <f>IF(BD82&gt;BD$166, BD82-BD$166,"")</f>
        <v/>
      </c>
      <c r="CH82" s="1" t="str">
        <f>IF(BE82&gt;BE$166, BE82-BE$166,"")</f>
        <v/>
      </c>
      <c r="CI82" s="1" t="str">
        <f>IF(BF82&gt;BF$166, BF82-BF$166,"")</f>
        <v/>
      </c>
      <c r="CJ82" s="1" t="str">
        <f>IF(BG82&gt;BG$166, BG82-BG$166,"")</f>
        <v/>
      </c>
      <c r="CK82" s="1" t="str">
        <f>IF(BH82&gt;BH$166, BH82-BH$166,"")</f>
        <v/>
      </c>
      <c r="CL82" s="1" t="str">
        <f>IF(BI82&gt;BI$166, BI82-BI$166,"")</f>
        <v/>
      </c>
      <c r="CM82" s="1" t="str">
        <f>IF(BJ82&gt;BJ$166, BJ82-BJ$166,"")</f>
        <v/>
      </c>
      <c r="CN82" s="1" t="str">
        <f>IF(BK82&gt;BK$166, BK82-BK$166,"")</f>
        <v/>
      </c>
      <c r="CO82" s="1" t="str">
        <f>IF(BL82&gt;BL$166, BL82-BL$166,"")</f>
        <v/>
      </c>
      <c r="CP82" s="1" t="str">
        <f>IF(BM82&gt;BM$166, BM82-BM$166,"")</f>
        <v/>
      </c>
      <c r="CQ82" s="1" t="str">
        <f>IF(BN82&gt;BN$166, BN82-BN$166,"")</f>
        <v/>
      </c>
      <c r="CR82" s="1">
        <f>COUNTIF(CF82:CQ82, "&gt;0")</f>
        <v>1</v>
      </c>
      <c r="CS82" s="1">
        <f t="shared" si="33"/>
        <v>8</v>
      </c>
      <c r="CT82" s="1" t="str">
        <f t="shared" si="33"/>
        <v/>
      </c>
      <c r="CU82" s="1" t="str">
        <f t="shared" si="33"/>
        <v/>
      </c>
      <c r="CV82" s="1" t="str">
        <f t="shared" si="33"/>
        <v/>
      </c>
      <c r="CW82" s="1" t="str">
        <f t="shared" si="33"/>
        <v/>
      </c>
      <c r="CX82" s="1" t="str">
        <f t="shared" si="33"/>
        <v/>
      </c>
      <c r="CY82" s="1" t="str">
        <f t="shared" si="33"/>
        <v/>
      </c>
      <c r="CZ82" s="1" t="str">
        <f t="shared" si="33"/>
        <v/>
      </c>
      <c r="DA82" s="1" t="str">
        <f t="shared" si="33"/>
        <v/>
      </c>
      <c r="DB82" s="1" t="str">
        <f t="shared" si="33"/>
        <v/>
      </c>
      <c r="DC82" s="1" t="str">
        <f t="shared" si="33"/>
        <v/>
      </c>
      <c r="DD82" s="1" t="str">
        <f t="shared" si="33"/>
        <v/>
      </c>
      <c r="DE82" s="18">
        <f>SUM(AQ82:CA82)</f>
        <v>20</v>
      </c>
    </row>
    <row r="83" spans="1:109" x14ac:dyDescent="0.15">
      <c r="A83" s="1">
        <v>45</v>
      </c>
      <c r="B83" s="1" t="s">
        <v>132</v>
      </c>
      <c r="C83" s="1" t="s">
        <v>50</v>
      </c>
      <c r="D83" s="1" t="s">
        <v>13</v>
      </c>
      <c r="E83" s="6">
        <v>6</v>
      </c>
      <c r="F83" s="6"/>
      <c r="G83" s="6"/>
      <c r="H83" s="6"/>
      <c r="I83" s="6"/>
      <c r="J83" s="6"/>
      <c r="K83" s="6"/>
      <c r="L83" s="6"/>
      <c r="M83" s="6">
        <v>6</v>
      </c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4">
        <v>10</v>
      </c>
      <c r="BD83" s="4"/>
      <c r="BE83" s="4"/>
      <c r="BF83" s="4"/>
      <c r="BG83" s="4"/>
      <c r="BH83" s="4"/>
      <c r="BI83" s="2"/>
      <c r="BJ83" s="2"/>
      <c r="BK83" s="2"/>
      <c r="BL83" s="2">
        <v>10</v>
      </c>
      <c r="BM83" s="2"/>
      <c r="BN83" s="2"/>
      <c r="BO83" s="14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>
        <f>SUM(E83:CA83)</f>
        <v>32</v>
      </c>
      <c r="CC83" s="1">
        <v>8</v>
      </c>
      <c r="CD83" s="17">
        <v>1</v>
      </c>
      <c r="CE83" s="17" t="s">
        <v>192</v>
      </c>
      <c r="CF83" s="1">
        <f>IF(BC83&gt;BC$166, BC83-BC$166,"")</f>
        <v>8</v>
      </c>
      <c r="CG83" s="1" t="str">
        <f>IF(BD83&gt;BD$166, BD83-BD$166,"")</f>
        <v/>
      </c>
      <c r="CH83" s="1" t="str">
        <f>IF(BE83&gt;BE$166, BE83-BE$166,"")</f>
        <v/>
      </c>
      <c r="CI83" s="1" t="str">
        <f>IF(BF83&gt;BF$166, BF83-BF$166,"")</f>
        <v/>
      </c>
      <c r="CJ83" s="1" t="str">
        <f>IF(BG83&gt;BG$166, BG83-BG$166,"")</f>
        <v/>
      </c>
      <c r="CK83" s="1" t="str">
        <f>IF(BH83&gt;BH$166, BH83-BH$166,"")</f>
        <v/>
      </c>
      <c r="CL83" s="1" t="str">
        <f>IF(BI83&gt;BI$166, BI83-BI$166,"")</f>
        <v/>
      </c>
      <c r="CM83" s="1" t="str">
        <f>IF(BJ83&gt;BJ$166, BJ83-BJ$166,"")</f>
        <v/>
      </c>
      <c r="CN83" s="1" t="str">
        <f>IF(BK83&gt;BK$166, BK83-BK$166,"")</f>
        <v/>
      </c>
      <c r="CO83" s="1" t="str">
        <f>IF(BL83&gt;BL$166, BL83-BL$166,"")</f>
        <v/>
      </c>
      <c r="CP83" s="1" t="str">
        <f>IF(BM83&gt;BM$166, BM83-BM$166,"")</f>
        <v/>
      </c>
      <c r="CQ83" s="1" t="str">
        <f>IF(BN83&gt;BN$166, BN83-BN$166,"")</f>
        <v/>
      </c>
      <c r="CR83" s="1">
        <f>COUNTIF(CF83:CQ83, "&gt;0")</f>
        <v>1</v>
      </c>
      <c r="CS83" s="1">
        <f t="shared" si="33"/>
        <v>8</v>
      </c>
      <c r="CT83" s="1" t="str">
        <f t="shared" si="33"/>
        <v/>
      </c>
      <c r="CU83" s="1" t="str">
        <f t="shared" si="33"/>
        <v/>
      </c>
      <c r="CV83" s="1" t="str">
        <f t="shared" si="33"/>
        <v/>
      </c>
      <c r="CW83" s="1" t="str">
        <f t="shared" si="33"/>
        <v/>
      </c>
      <c r="CX83" s="1" t="str">
        <f t="shared" si="33"/>
        <v/>
      </c>
      <c r="CY83" s="1" t="str">
        <f t="shared" si="33"/>
        <v/>
      </c>
      <c r="CZ83" s="1" t="str">
        <f t="shared" si="33"/>
        <v/>
      </c>
      <c r="DA83" s="1" t="str">
        <f t="shared" si="33"/>
        <v/>
      </c>
      <c r="DB83" s="1" t="str">
        <f t="shared" si="33"/>
        <v/>
      </c>
      <c r="DC83" s="1" t="str">
        <f t="shared" si="33"/>
        <v/>
      </c>
      <c r="DD83" s="1" t="str">
        <f t="shared" si="33"/>
        <v/>
      </c>
      <c r="DE83" s="18">
        <f>SUM(AQ83:CA83)</f>
        <v>20</v>
      </c>
    </row>
    <row r="84" spans="1:109" x14ac:dyDescent="0.15">
      <c r="A84" s="1">
        <v>97</v>
      </c>
      <c r="B84" s="3" t="s">
        <v>86</v>
      </c>
      <c r="C84" s="3" t="s">
        <v>85</v>
      </c>
      <c r="D84" s="1" t="s">
        <v>24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1">
        <v>10</v>
      </c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4"/>
      <c r="BD84" s="4"/>
      <c r="BE84" s="4"/>
      <c r="BF84" s="4"/>
      <c r="BG84" s="4"/>
      <c r="BH84" s="4"/>
      <c r="BI84" s="2"/>
      <c r="BJ84" s="2"/>
      <c r="BK84" s="2"/>
      <c r="BL84" s="2"/>
      <c r="BM84" s="2"/>
      <c r="BN84" s="2"/>
      <c r="BO84" s="14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>
        <f>SUM(E84:CA84)</f>
        <v>10</v>
      </c>
      <c r="CC84" s="1">
        <v>8</v>
      </c>
      <c r="CD84" s="17">
        <v>1</v>
      </c>
      <c r="CE84" s="17" t="s">
        <v>149</v>
      </c>
      <c r="CF84" s="1" t="str">
        <f>IF(BC84&gt;BC$166, BC84-BC$166,"")</f>
        <v/>
      </c>
      <c r="CG84" s="1" t="str">
        <f>IF(BD84&gt;BD$166, BD84-BD$166,"")</f>
        <v/>
      </c>
      <c r="CH84" s="1" t="str">
        <f>IF(BE84&gt;BE$166, BE84-BE$166,"")</f>
        <v/>
      </c>
      <c r="CI84" s="1" t="str">
        <f>IF(BF84&gt;BF$166, BF84-BF$166,"")</f>
        <v/>
      </c>
      <c r="CJ84" s="1" t="str">
        <f>IF(BG84&gt;BG$166, BG84-BG$166,"")</f>
        <v/>
      </c>
      <c r="CK84" s="1" t="str">
        <f>IF(BH84&gt;BH$166, BH84-BH$166,"")</f>
        <v/>
      </c>
      <c r="CL84" s="1" t="str">
        <f>IF(BI84&gt;BI$166, BI84-BI$166,"")</f>
        <v/>
      </c>
      <c r="CM84" s="1" t="str">
        <f>IF(BJ84&gt;BJ$166, BJ84-BJ$166,"")</f>
        <v/>
      </c>
      <c r="CN84" s="1" t="str">
        <f>IF(BK84&gt;BK$166, BK84-BK$166,"")</f>
        <v/>
      </c>
      <c r="CO84" s="1" t="str">
        <f>IF(BL84&gt;BL$166, BL84-BL$166,"")</f>
        <v/>
      </c>
      <c r="CP84" s="1" t="str">
        <f>IF(BM84&gt;BM$166, BM84-BM$166,"")</f>
        <v/>
      </c>
      <c r="CQ84" s="1" t="str">
        <f>IF(BN84&gt;BN$166, BN84-BN$166,"")</f>
        <v/>
      </c>
      <c r="CR84" s="1">
        <f>COUNTIF(CF84:CQ84, "&gt;0")</f>
        <v>0</v>
      </c>
      <c r="CS84" s="1" t="str">
        <f t="shared" si="33"/>
        <v/>
      </c>
      <c r="CT84" s="1" t="str">
        <f t="shared" si="33"/>
        <v/>
      </c>
      <c r="CU84" s="1" t="str">
        <f t="shared" si="33"/>
        <v/>
      </c>
      <c r="CV84" s="1" t="str">
        <f t="shared" si="33"/>
        <v/>
      </c>
      <c r="CW84" s="1" t="str">
        <f t="shared" si="33"/>
        <v/>
      </c>
      <c r="CX84" s="1" t="str">
        <f t="shared" si="33"/>
        <v/>
      </c>
      <c r="CY84" s="1" t="str">
        <f t="shared" si="33"/>
        <v/>
      </c>
      <c r="CZ84" s="1" t="str">
        <f t="shared" si="33"/>
        <v/>
      </c>
      <c r="DA84" s="1" t="str">
        <f t="shared" si="33"/>
        <v/>
      </c>
      <c r="DB84" s="1" t="str">
        <f t="shared" si="33"/>
        <v/>
      </c>
      <c r="DC84" s="1" t="str">
        <f t="shared" si="33"/>
        <v/>
      </c>
      <c r="DD84" s="1" t="str">
        <f t="shared" si="33"/>
        <v/>
      </c>
      <c r="DE84" s="18">
        <f>SUM(AQ84:CA84)</f>
        <v>10</v>
      </c>
    </row>
    <row r="85" spans="1:109" x14ac:dyDescent="0.15">
      <c r="A85" s="1"/>
      <c r="B85" s="1" t="s">
        <v>173</v>
      </c>
      <c r="C85" s="1" t="s">
        <v>151</v>
      </c>
      <c r="D85" s="1" t="s">
        <v>152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4">
        <v>10</v>
      </c>
      <c r="BD85" s="4"/>
      <c r="BE85" s="4"/>
      <c r="BF85" s="4"/>
      <c r="BG85" s="4"/>
      <c r="BH85" s="4"/>
      <c r="BI85" s="2"/>
      <c r="BJ85" s="2"/>
      <c r="BK85" s="2"/>
      <c r="BL85" s="2"/>
      <c r="BM85" s="2"/>
      <c r="BN85" s="2">
        <v>10</v>
      </c>
      <c r="BO85" s="14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>
        <v>8</v>
      </c>
      <c r="CD85" s="17">
        <v>1</v>
      </c>
      <c r="CE85" s="17" t="s">
        <v>192</v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8"/>
    </row>
    <row r="86" spans="1:109" x14ac:dyDescent="0.15">
      <c r="A86" s="1"/>
      <c r="B86" s="1" t="s">
        <v>174</v>
      </c>
      <c r="C86" s="1" t="s">
        <v>151</v>
      </c>
      <c r="D86" s="1" t="s">
        <v>153</v>
      </c>
      <c r="E86" s="6"/>
      <c r="F86" s="6"/>
      <c r="G86" s="6"/>
      <c r="H86" s="6">
        <v>6</v>
      </c>
      <c r="I86" s="6"/>
      <c r="J86" s="6"/>
      <c r="K86" s="6">
        <v>6</v>
      </c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4">
        <v>10</v>
      </c>
      <c r="BD86" s="4"/>
      <c r="BE86" s="4"/>
      <c r="BF86" s="4"/>
      <c r="BG86" s="4"/>
      <c r="BH86" s="4"/>
      <c r="BI86" s="2">
        <v>10</v>
      </c>
      <c r="BJ86" s="2"/>
      <c r="BK86" s="2"/>
      <c r="BL86" s="2"/>
      <c r="BM86" s="2"/>
      <c r="BN86" s="2"/>
      <c r="BO86" s="14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>
        <v>8</v>
      </c>
      <c r="CD86" s="17">
        <v>1</v>
      </c>
      <c r="CE86" s="17" t="s">
        <v>192</v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8"/>
    </row>
    <row r="87" spans="1:109" x14ac:dyDescent="0.15">
      <c r="A87" s="1">
        <v>2</v>
      </c>
      <c r="B87" s="1" t="s">
        <v>8</v>
      </c>
      <c r="C87" s="1" t="s">
        <v>2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1">
        <v>15</v>
      </c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4"/>
      <c r="BD87" s="4"/>
      <c r="BE87" s="4"/>
      <c r="BF87" s="4"/>
      <c r="BG87" s="4"/>
      <c r="BH87" s="4"/>
      <c r="BI87" s="2"/>
      <c r="BJ87" s="2"/>
      <c r="BK87" s="2"/>
      <c r="BL87" s="2">
        <v>15</v>
      </c>
      <c r="BM87" s="2"/>
      <c r="BN87" s="2"/>
      <c r="BO87" s="14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>
        <f>SUM(E87:CA87)</f>
        <v>30</v>
      </c>
      <c r="CC87" s="1">
        <v>13</v>
      </c>
      <c r="CD87" s="17">
        <v>1</v>
      </c>
      <c r="CE87" s="17" t="s">
        <v>139</v>
      </c>
      <c r="CF87" s="1" t="str">
        <f>IF(BC87&gt;BC$166, BC87-BC$166,"")</f>
        <v/>
      </c>
      <c r="CG87" s="1" t="str">
        <f>IF(BD87&gt;BD$166, BD87-BD$166,"")</f>
        <v/>
      </c>
      <c r="CH87" s="1" t="str">
        <f>IF(BE87&gt;BE$166, BE87-BE$166,"")</f>
        <v/>
      </c>
      <c r="CI87" s="1" t="str">
        <f>IF(BF87&gt;BF$166, BF87-BF$166,"")</f>
        <v/>
      </c>
      <c r="CJ87" s="1" t="str">
        <f>IF(BG87&gt;BG$166, BG87-BG$166,"")</f>
        <v/>
      </c>
      <c r="CK87" s="1" t="str">
        <f>IF(BH87&gt;BH$166, BH87-BH$166,"")</f>
        <v/>
      </c>
      <c r="CL87" s="1" t="str">
        <f>IF(BI87&gt;BI$166, BI87-BI$166,"")</f>
        <v/>
      </c>
      <c r="CM87" s="1" t="str">
        <f>IF(BJ87&gt;BJ$166, BJ87-BJ$166,"")</f>
        <v/>
      </c>
      <c r="CN87" s="1" t="str">
        <f>IF(BK87&gt;BK$166, BK87-BK$166,"")</f>
        <v/>
      </c>
      <c r="CO87" s="1" t="str">
        <f>IF(BL87&gt;BL$166, BL87-BL$166,"")</f>
        <v/>
      </c>
      <c r="CP87" s="1" t="str">
        <f>IF(BM87&gt;BM$166, BM87-BM$166,"")</f>
        <v/>
      </c>
      <c r="CQ87" s="1" t="str">
        <f>IF(BN87&gt;BN$166, BN87-BN$166,"")</f>
        <v/>
      </c>
      <c r="CR87" s="1">
        <f>COUNTIF(CF87:CQ87, "&gt;0")</f>
        <v>0</v>
      </c>
      <c r="CS87" s="1" t="str">
        <f t="shared" ref="CS87:DD88" si="34">IF($CR87=1,CF87,"")</f>
        <v/>
      </c>
      <c r="CT87" s="1" t="str">
        <f t="shared" si="34"/>
        <v/>
      </c>
      <c r="CU87" s="1" t="str">
        <f t="shared" si="34"/>
        <v/>
      </c>
      <c r="CV87" s="1" t="str">
        <f t="shared" si="34"/>
        <v/>
      </c>
      <c r="CW87" s="1" t="str">
        <f t="shared" si="34"/>
        <v/>
      </c>
      <c r="CX87" s="1" t="str">
        <f t="shared" si="34"/>
        <v/>
      </c>
      <c r="CY87" s="1" t="str">
        <f t="shared" si="34"/>
        <v/>
      </c>
      <c r="CZ87" s="1" t="str">
        <f t="shared" si="34"/>
        <v/>
      </c>
      <c r="DA87" s="1" t="str">
        <f t="shared" si="34"/>
        <v/>
      </c>
      <c r="DB87" s="1" t="str">
        <f t="shared" si="34"/>
        <v/>
      </c>
      <c r="DC87" s="1" t="str">
        <f t="shared" si="34"/>
        <v/>
      </c>
      <c r="DD87" s="1" t="str">
        <f t="shared" si="34"/>
        <v/>
      </c>
      <c r="DE87" s="18">
        <f>SUM(AQ87:CA87)</f>
        <v>30</v>
      </c>
    </row>
    <row r="88" spans="1:109" x14ac:dyDescent="0.15">
      <c r="A88" s="1">
        <v>34</v>
      </c>
      <c r="B88" s="1" t="s">
        <v>49</v>
      </c>
      <c r="C88" s="1" t="s">
        <v>50</v>
      </c>
      <c r="D88" s="1" t="s">
        <v>25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4">
        <v>15</v>
      </c>
      <c r="BD88" s="4"/>
      <c r="BE88" s="4"/>
      <c r="BF88" s="4"/>
      <c r="BG88" s="4"/>
      <c r="BH88" s="4"/>
      <c r="BI88" s="2"/>
      <c r="BJ88" s="2"/>
      <c r="BK88" s="2"/>
      <c r="BL88" s="2"/>
      <c r="BM88" s="2"/>
      <c r="BN88" s="2">
        <v>15</v>
      </c>
      <c r="BO88" s="14"/>
      <c r="BP88" s="1"/>
      <c r="BQ88" s="1"/>
      <c r="BR88" s="1"/>
      <c r="BS88" s="1"/>
      <c r="BT88" s="1">
        <v>15</v>
      </c>
      <c r="BU88" s="1">
        <v>15</v>
      </c>
      <c r="BV88" s="1"/>
      <c r="BW88" s="1"/>
      <c r="BX88" s="1"/>
      <c r="BY88" s="1"/>
      <c r="BZ88" s="1"/>
      <c r="CA88" s="1"/>
      <c r="CB88" s="1">
        <f>SUM(E88:CA88)</f>
        <v>60</v>
      </c>
      <c r="CC88" s="1">
        <v>13</v>
      </c>
      <c r="CD88" s="17">
        <v>1</v>
      </c>
      <c r="CE88" s="17" t="s">
        <v>199</v>
      </c>
      <c r="CF88" s="1">
        <f>IF(BC88&gt;BC$166, BC88-BC$166,"")</f>
        <v>13</v>
      </c>
      <c r="CG88" s="1" t="str">
        <f>IF(BD88&gt;BD$166, BD88-BD$166,"")</f>
        <v/>
      </c>
      <c r="CH88" s="1" t="str">
        <f>IF(BE88&gt;BE$166, BE88-BE$166,"")</f>
        <v/>
      </c>
      <c r="CI88" s="1" t="str">
        <f>IF(BF88&gt;BF$166, BF88-BF$166,"")</f>
        <v/>
      </c>
      <c r="CJ88" s="1" t="str">
        <f>IF(BG88&gt;BG$166, BG88-BG$166,"")</f>
        <v/>
      </c>
      <c r="CK88" s="1" t="str">
        <f>IF(BH88&gt;BH$166, BH88-BH$166,"")</f>
        <v/>
      </c>
      <c r="CL88" s="1" t="str">
        <f>IF(BI88&gt;BI$166, BI88-BI$166,"")</f>
        <v/>
      </c>
      <c r="CM88" s="1" t="str">
        <f>IF(BJ88&gt;BJ$166, BJ88-BJ$166,"")</f>
        <v/>
      </c>
      <c r="CN88" s="1" t="str">
        <f>IF(BK88&gt;BK$166, BK88-BK$166,"")</f>
        <v/>
      </c>
      <c r="CO88" s="1" t="str">
        <f>IF(BL88&gt;BL$166, BL88-BL$166,"")</f>
        <v/>
      </c>
      <c r="CP88" s="1" t="str">
        <f>IF(BM88&gt;BM$166, BM88-BM$166,"")</f>
        <v/>
      </c>
      <c r="CQ88" s="1" t="str">
        <f>IF(BN88&gt;BN$166, BN88-BN$166,"")</f>
        <v/>
      </c>
      <c r="CR88" s="1">
        <f>COUNTIF(CF88:CQ88, "&gt;0")</f>
        <v>1</v>
      </c>
      <c r="CS88" s="1">
        <f t="shared" si="34"/>
        <v>13</v>
      </c>
      <c r="CT88" s="1" t="str">
        <f t="shared" si="34"/>
        <v/>
      </c>
      <c r="CU88" s="1" t="str">
        <f t="shared" si="34"/>
        <v/>
      </c>
      <c r="CV88" s="1" t="str">
        <f t="shared" si="34"/>
        <v/>
      </c>
      <c r="CW88" s="1" t="str">
        <f t="shared" si="34"/>
        <v/>
      </c>
      <c r="CX88" s="1" t="str">
        <f t="shared" si="34"/>
        <v/>
      </c>
      <c r="CY88" s="1" t="str">
        <f t="shared" si="34"/>
        <v/>
      </c>
      <c r="CZ88" s="1" t="str">
        <f t="shared" si="34"/>
        <v/>
      </c>
      <c r="DA88" s="1" t="str">
        <f t="shared" si="34"/>
        <v/>
      </c>
      <c r="DB88" s="1" t="str">
        <f t="shared" si="34"/>
        <v/>
      </c>
      <c r="DC88" s="1" t="str">
        <f t="shared" si="34"/>
        <v/>
      </c>
      <c r="DD88" s="1" t="str">
        <f t="shared" si="34"/>
        <v/>
      </c>
      <c r="DE88" s="18">
        <f>SUM(AQ88:CA88)</f>
        <v>60</v>
      </c>
    </row>
    <row r="89" spans="1:109" x14ac:dyDescent="0.15">
      <c r="A89" s="1"/>
      <c r="B89" s="1" t="s">
        <v>172</v>
      </c>
      <c r="C89" s="1" t="s">
        <v>151</v>
      </c>
      <c r="D89" s="1" t="s">
        <v>152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4">
        <v>15</v>
      </c>
      <c r="BD89" s="4"/>
      <c r="BE89" s="4"/>
      <c r="BF89" s="4"/>
      <c r="BG89" s="4"/>
      <c r="BH89" s="4"/>
      <c r="BI89" s="2"/>
      <c r="BJ89" s="2"/>
      <c r="BK89" s="2"/>
      <c r="BL89" s="2"/>
      <c r="BM89" s="2"/>
      <c r="BN89" s="2">
        <v>15</v>
      </c>
      <c r="BO89" s="14"/>
      <c r="BP89" s="1"/>
      <c r="BQ89" s="1"/>
      <c r="BR89" s="1"/>
      <c r="BS89" s="1"/>
      <c r="BT89" s="1">
        <v>15</v>
      </c>
      <c r="BU89" s="1">
        <v>15</v>
      </c>
      <c r="BV89" s="1"/>
      <c r="BW89" s="1"/>
      <c r="BX89" s="1"/>
      <c r="BY89" s="1"/>
      <c r="BZ89" s="1"/>
      <c r="CA89" s="1"/>
      <c r="CB89" s="1"/>
      <c r="CC89" s="1">
        <v>13</v>
      </c>
      <c r="CD89" s="17">
        <v>1</v>
      </c>
      <c r="CE89" s="17" t="s">
        <v>198</v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8"/>
    </row>
    <row r="90" spans="1:109" x14ac:dyDescent="0.15">
      <c r="A90" s="19">
        <v>93</v>
      </c>
      <c r="B90" s="27" t="s">
        <v>104</v>
      </c>
      <c r="C90" s="27" t="s">
        <v>102</v>
      </c>
      <c r="D90" s="19" t="s">
        <v>1</v>
      </c>
      <c r="E90" s="20"/>
      <c r="F90" s="20">
        <v>20</v>
      </c>
      <c r="G90" s="20"/>
      <c r="H90" s="20"/>
      <c r="I90" s="20"/>
      <c r="J90" s="20"/>
      <c r="K90" s="20">
        <v>20</v>
      </c>
      <c r="L90" s="20"/>
      <c r="M90" s="20"/>
      <c r="N90" s="20">
        <v>20</v>
      </c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21"/>
      <c r="BD90" s="21"/>
      <c r="BE90" s="21"/>
      <c r="BF90" s="21"/>
      <c r="BG90" s="21"/>
      <c r="BH90" s="21"/>
      <c r="BI90" s="22"/>
      <c r="BJ90" s="22"/>
      <c r="BK90" s="22"/>
      <c r="BL90" s="22"/>
      <c r="BM90" s="22"/>
      <c r="BN90" s="22"/>
      <c r="BO90" s="30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>
        <f t="shared" ref="CB90:CB95" si="35">SUM(E90:CA90)</f>
        <v>60</v>
      </c>
      <c r="CC90" s="19">
        <v>14</v>
      </c>
      <c r="CD90" s="23">
        <v>1</v>
      </c>
      <c r="CE90" s="23" t="s">
        <v>203</v>
      </c>
      <c r="CF90" s="19" t="str">
        <f>IF(BC90&gt;BC$166, BC90-BC$166,"")</f>
        <v/>
      </c>
      <c r="CG90" s="19" t="str">
        <f>IF(BD90&gt;BD$166, BD90-BD$166,"")</f>
        <v/>
      </c>
      <c r="CH90" s="19" t="str">
        <f>IF(BE90&gt;BE$166, BE90-BE$166,"")</f>
        <v/>
      </c>
      <c r="CI90" s="19" t="str">
        <f>IF(BF90&gt;BF$166, BF90-BF$166,"")</f>
        <v/>
      </c>
      <c r="CJ90" s="19" t="str">
        <f>IF(BG90&gt;BG$166, BG90-BG$166,"")</f>
        <v/>
      </c>
      <c r="CK90" s="19" t="str">
        <f>IF(BH90&gt;BH$166, BH90-BH$166,"")</f>
        <v/>
      </c>
      <c r="CL90" s="19" t="str">
        <f>IF(BI90&gt;BI$166, BI90-BI$166,"")</f>
        <v/>
      </c>
      <c r="CM90" s="19" t="str">
        <f>IF(BJ90&gt;BJ$166, BJ90-BJ$166,"")</f>
        <v/>
      </c>
      <c r="CN90" s="19" t="str">
        <f>IF(BK90&gt;BK$166, BK90-BK$166,"")</f>
        <v/>
      </c>
      <c r="CO90" s="19" t="str">
        <f>IF(BL90&gt;BL$166, BL90-BL$166,"")</f>
        <v/>
      </c>
      <c r="CP90" s="19" t="str">
        <f>IF(BM90&gt;BM$166, BM90-BM$166,"")</f>
        <v/>
      </c>
      <c r="CQ90" s="19" t="str">
        <f>IF(BN90&gt;BN$166, BN90-BN$166,"")</f>
        <v/>
      </c>
      <c r="CR90" s="19">
        <f t="shared" ref="CR90:CR95" si="36">COUNTIF(CF90:CQ90, "&gt;0")</f>
        <v>0</v>
      </c>
      <c r="CS90" s="19" t="str">
        <f t="shared" ref="CS90:DD95" si="37">IF($CR90=1,CF90,"")</f>
        <v/>
      </c>
      <c r="CT90" s="19" t="str">
        <f t="shared" si="37"/>
        <v/>
      </c>
      <c r="CU90" s="19" t="str">
        <f t="shared" si="37"/>
        <v/>
      </c>
      <c r="CV90" s="19" t="str">
        <f t="shared" si="37"/>
        <v/>
      </c>
      <c r="CW90" s="19" t="str">
        <f t="shared" si="37"/>
        <v/>
      </c>
      <c r="CX90" s="19" t="str">
        <f t="shared" si="37"/>
        <v/>
      </c>
      <c r="CY90" s="19" t="str">
        <f t="shared" si="37"/>
        <v/>
      </c>
      <c r="CZ90" s="19" t="str">
        <f t="shared" si="37"/>
        <v/>
      </c>
      <c r="DA90" s="19" t="str">
        <f t="shared" si="37"/>
        <v/>
      </c>
      <c r="DB90" s="19" t="str">
        <f t="shared" si="37"/>
        <v/>
      </c>
      <c r="DC90" s="19" t="str">
        <f t="shared" si="37"/>
        <v/>
      </c>
      <c r="DD90" s="19" t="str">
        <f t="shared" si="37"/>
        <v/>
      </c>
      <c r="DE90" s="24">
        <f t="shared" ref="DE90:DE95" si="38">SUM(AQ90:CA90)</f>
        <v>0</v>
      </c>
    </row>
    <row r="91" spans="1:109" x14ac:dyDescent="0.15">
      <c r="A91" s="1">
        <v>62</v>
      </c>
      <c r="B91" s="1" t="s">
        <v>131</v>
      </c>
      <c r="C91" s="1" t="s">
        <v>64</v>
      </c>
      <c r="D91" s="1" t="s">
        <v>1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1"/>
      <c r="AR91" s="1"/>
      <c r="AS91" s="1"/>
      <c r="AT91" s="1"/>
      <c r="AU91" s="1"/>
      <c r="AV91" s="1"/>
      <c r="AW91" s="1"/>
      <c r="AX91" s="1"/>
      <c r="AY91" s="1">
        <v>15</v>
      </c>
      <c r="AZ91" s="1"/>
      <c r="BA91" s="1"/>
      <c r="BB91" s="1"/>
      <c r="BC91" s="4"/>
      <c r="BD91" s="4"/>
      <c r="BE91" s="4"/>
      <c r="BF91" s="4"/>
      <c r="BG91" s="4"/>
      <c r="BH91" s="4"/>
      <c r="BI91" s="2"/>
      <c r="BJ91" s="2"/>
      <c r="BK91" s="2"/>
      <c r="BL91" s="2"/>
      <c r="BM91" s="2"/>
      <c r="BN91" s="2"/>
      <c r="BO91" s="14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>
        <f t="shared" si="35"/>
        <v>15</v>
      </c>
      <c r="CC91" s="1">
        <v>15</v>
      </c>
      <c r="CD91" s="17">
        <v>1</v>
      </c>
      <c r="CE91" s="17" t="s">
        <v>140</v>
      </c>
      <c r="CF91" s="1" t="str">
        <f>IF(BC91&gt;BC$166, BC91-BC$166,"")</f>
        <v/>
      </c>
      <c r="CG91" s="1" t="str">
        <f>IF(BD91&gt;BD$166, BD91-BD$166,"")</f>
        <v/>
      </c>
      <c r="CH91" s="1" t="str">
        <f>IF(BE91&gt;BE$166, BE91-BE$166,"")</f>
        <v/>
      </c>
      <c r="CI91" s="1" t="str">
        <f>IF(BF91&gt;BF$166, BF91-BF$166,"")</f>
        <v/>
      </c>
      <c r="CJ91" s="1" t="str">
        <f>IF(BG91&gt;BG$166, BG91-BG$166,"")</f>
        <v/>
      </c>
      <c r="CK91" s="1" t="str">
        <f>IF(BH91&gt;BH$166, BH91-BH$166,"")</f>
        <v/>
      </c>
      <c r="CL91" s="1" t="str">
        <f>IF(BI91&gt;BI$166, BI91-BI$166,"")</f>
        <v/>
      </c>
      <c r="CM91" s="1" t="str">
        <f>IF(BJ91&gt;BJ$166, BJ91-BJ$166,"")</f>
        <v/>
      </c>
      <c r="CN91" s="1" t="str">
        <f>IF(BK91&gt;BK$166, BK91-BK$166,"")</f>
        <v/>
      </c>
      <c r="CO91" s="1" t="str">
        <f>IF(BL91&gt;BL$166, BL91-BL$166,"")</f>
        <v/>
      </c>
      <c r="CP91" s="1" t="str">
        <f>IF(BM91&gt;BM$166, BM91-BM$166,"")</f>
        <v/>
      </c>
      <c r="CQ91" s="1" t="str">
        <f>IF(BN91&gt;BN$166, BN91-BN$166,"")</f>
        <v/>
      </c>
      <c r="CR91" s="1">
        <f t="shared" si="36"/>
        <v>0</v>
      </c>
      <c r="CS91" s="1" t="str">
        <f t="shared" si="37"/>
        <v/>
      </c>
      <c r="CT91" s="1" t="str">
        <f t="shared" si="37"/>
        <v/>
      </c>
      <c r="CU91" s="1" t="str">
        <f t="shared" si="37"/>
        <v/>
      </c>
      <c r="CV91" s="1" t="str">
        <f t="shared" si="37"/>
        <v/>
      </c>
      <c r="CW91" s="1" t="str">
        <f t="shared" si="37"/>
        <v/>
      </c>
      <c r="CX91" s="1" t="str">
        <f t="shared" si="37"/>
        <v/>
      </c>
      <c r="CY91" s="1" t="str">
        <f t="shared" si="37"/>
        <v/>
      </c>
      <c r="CZ91" s="1" t="str">
        <f t="shared" si="37"/>
        <v/>
      </c>
      <c r="DA91" s="1" t="str">
        <f t="shared" si="37"/>
        <v/>
      </c>
      <c r="DB91" s="1" t="str">
        <f t="shared" si="37"/>
        <v/>
      </c>
      <c r="DC91" s="1" t="str">
        <f t="shared" si="37"/>
        <v/>
      </c>
      <c r="DD91" s="1" t="str">
        <f t="shared" si="37"/>
        <v/>
      </c>
      <c r="DE91" s="18">
        <f t="shared" si="38"/>
        <v>15</v>
      </c>
    </row>
    <row r="92" spans="1:109" x14ac:dyDescent="0.15">
      <c r="A92" s="1">
        <v>64</v>
      </c>
      <c r="B92" s="3" t="s">
        <v>71</v>
      </c>
      <c r="C92" s="1" t="s">
        <v>64</v>
      </c>
      <c r="D92" s="1" t="s">
        <v>1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1"/>
      <c r="AR92" s="1"/>
      <c r="AS92" s="1"/>
      <c r="AT92" s="1"/>
      <c r="AU92" s="1"/>
      <c r="AV92" s="1"/>
      <c r="AW92" s="1"/>
      <c r="AX92" s="1"/>
      <c r="AY92" s="1"/>
      <c r="AZ92" s="1">
        <v>15</v>
      </c>
      <c r="BA92" s="1"/>
      <c r="BB92" s="1"/>
      <c r="BC92" s="4"/>
      <c r="BD92" s="4"/>
      <c r="BE92" s="4"/>
      <c r="BF92" s="4"/>
      <c r="BG92" s="4"/>
      <c r="BH92" s="4"/>
      <c r="BI92" s="2"/>
      <c r="BJ92" s="2"/>
      <c r="BK92" s="2"/>
      <c r="BL92" s="2"/>
      <c r="BM92" s="2"/>
      <c r="BN92" s="2"/>
      <c r="BO92" s="14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>
        <f t="shared" si="35"/>
        <v>15</v>
      </c>
      <c r="CC92" s="1">
        <v>15</v>
      </c>
      <c r="CD92" s="17">
        <v>1</v>
      </c>
      <c r="CE92" s="17" t="s">
        <v>141</v>
      </c>
      <c r="CF92" s="1" t="str">
        <f>IF(BC92&gt;BC$166, BC92-BC$166,"")</f>
        <v/>
      </c>
      <c r="CG92" s="1" t="str">
        <f>IF(BD92&gt;BD$166, BD92-BD$166,"")</f>
        <v/>
      </c>
      <c r="CH92" s="1" t="str">
        <f>IF(BE92&gt;BE$166, BE92-BE$166,"")</f>
        <v/>
      </c>
      <c r="CI92" s="1" t="str">
        <f>IF(BF92&gt;BF$166, BF92-BF$166,"")</f>
        <v/>
      </c>
      <c r="CJ92" s="1" t="str">
        <f>IF(BG92&gt;BG$166, BG92-BG$166,"")</f>
        <v/>
      </c>
      <c r="CK92" s="1" t="str">
        <f>IF(BH92&gt;BH$166, BH92-BH$166,"")</f>
        <v/>
      </c>
      <c r="CL92" s="1" t="str">
        <f>IF(BI92&gt;BI$166, BI92-BI$166,"")</f>
        <v/>
      </c>
      <c r="CM92" s="1" t="str">
        <f>IF(BJ92&gt;BJ$166, BJ92-BJ$166,"")</f>
        <v/>
      </c>
      <c r="CN92" s="1" t="str">
        <f>IF(BK92&gt;BK$166, BK92-BK$166,"")</f>
        <v/>
      </c>
      <c r="CO92" s="1" t="str">
        <f>IF(BL92&gt;BL$166, BL92-BL$166,"")</f>
        <v/>
      </c>
      <c r="CP92" s="1" t="str">
        <f>IF(BM92&gt;BM$166, BM92-BM$166,"")</f>
        <v/>
      </c>
      <c r="CQ92" s="1" t="str">
        <f>IF(BN92&gt;BN$166, BN92-BN$166,"")</f>
        <v/>
      </c>
      <c r="CR92" s="1">
        <f t="shared" si="36"/>
        <v>0</v>
      </c>
      <c r="CS92" s="1" t="str">
        <f t="shared" si="37"/>
        <v/>
      </c>
      <c r="CT92" s="1" t="str">
        <f t="shared" si="37"/>
        <v/>
      </c>
      <c r="CU92" s="1" t="str">
        <f t="shared" si="37"/>
        <v/>
      </c>
      <c r="CV92" s="1" t="str">
        <f t="shared" si="37"/>
        <v/>
      </c>
      <c r="CW92" s="1" t="str">
        <f t="shared" si="37"/>
        <v/>
      </c>
      <c r="CX92" s="1" t="str">
        <f t="shared" si="37"/>
        <v/>
      </c>
      <c r="CY92" s="1" t="str">
        <f t="shared" si="37"/>
        <v/>
      </c>
      <c r="CZ92" s="1" t="str">
        <f t="shared" si="37"/>
        <v/>
      </c>
      <c r="DA92" s="1" t="str">
        <f t="shared" si="37"/>
        <v/>
      </c>
      <c r="DB92" s="1" t="str">
        <f t="shared" si="37"/>
        <v/>
      </c>
      <c r="DC92" s="1" t="str">
        <f t="shared" si="37"/>
        <v/>
      </c>
      <c r="DD92" s="1" t="str">
        <f t="shared" si="37"/>
        <v/>
      </c>
      <c r="DE92" s="18">
        <f t="shared" si="38"/>
        <v>15</v>
      </c>
    </row>
    <row r="93" spans="1:109" x14ac:dyDescent="0.15">
      <c r="A93" s="1">
        <v>65</v>
      </c>
      <c r="B93" s="3" t="s">
        <v>71</v>
      </c>
      <c r="C93" s="1" t="s">
        <v>64</v>
      </c>
      <c r="D93" s="1" t="s">
        <v>13</v>
      </c>
      <c r="E93" s="6"/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1"/>
      <c r="AR93" s="1"/>
      <c r="AS93" s="1"/>
      <c r="AT93" s="1"/>
      <c r="AU93" s="1"/>
      <c r="AV93" s="1"/>
      <c r="AW93" s="1"/>
      <c r="AX93" s="1"/>
      <c r="AY93" s="1"/>
      <c r="AZ93" s="1">
        <v>25</v>
      </c>
      <c r="BA93" s="1"/>
      <c r="BB93" s="1"/>
      <c r="BC93" s="4"/>
      <c r="BD93" s="4"/>
      <c r="BE93" s="4"/>
      <c r="BF93" s="4"/>
      <c r="BG93" s="4"/>
      <c r="BH93" s="4">
        <v>10</v>
      </c>
      <c r="BI93" s="2"/>
      <c r="BJ93" s="2"/>
      <c r="BK93" s="2"/>
      <c r="BL93" s="2">
        <v>10</v>
      </c>
      <c r="BM93" s="2"/>
      <c r="BN93" s="2"/>
      <c r="BO93" s="14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>
        <f t="shared" si="35"/>
        <v>55</v>
      </c>
      <c r="CC93" s="1">
        <v>25</v>
      </c>
      <c r="CD93" s="17">
        <v>1</v>
      </c>
      <c r="CE93" s="17" t="s">
        <v>200</v>
      </c>
      <c r="CF93" s="1" t="str">
        <f>IF(BC93&gt;BC$166, BC93-BC$166,"")</f>
        <v/>
      </c>
      <c r="CG93" s="1" t="str">
        <f>IF(BD93&gt;BD$166, BD93-BD$166,"")</f>
        <v/>
      </c>
      <c r="CH93" s="1" t="str">
        <f>IF(BE93&gt;BE$166, BE93-BE$166,"")</f>
        <v/>
      </c>
      <c r="CI93" s="1" t="str">
        <f>IF(BF93&gt;BF$166, BF93-BF$166,"")</f>
        <v/>
      </c>
      <c r="CJ93" s="1" t="str">
        <f>IF(BG93&gt;BG$166, BG93-BG$166,"")</f>
        <v/>
      </c>
      <c r="CK93" s="1" t="str">
        <f>IF(BH93&gt;BH$166, BH93-BH$166,"")</f>
        <v/>
      </c>
      <c r="CL93" s="1" t="str">
        <f>IF(BI93&gt;BI$166, BI93-BI$166,"")</f>
        <v/>
      </c>
      <c r="CM93" s="1" t="str">
        <f>IF(BJ93&gt;BJ$166, BJ93-BJ$166,"")</f>
        <v/>
      </c>
      <c r="CN93" s="1" t="str">
        <f>IF(BK93&gt;BK$166, BK93-BK$166,"")</f>
        <v/>
      </c>
      <c r="CO93" s="1" t="str">
        <f>IF(BL93&gt;BL$166, BL93-BL$166,"")</f>
        <v/>
      </c>
      <c r="CP93" s="1" t="str">
        <f>IF(BM93&gt;BM$166, BM93-BM$166,"")</f>
        <v/>
      </c>
      <c r="CQ93" s="1" t="str">
        <f>IF(BN93&gt;BN$166, BN93-BN$166,"")</f>
        <v/>
      </c>
      <c r="CR93" s="1">
        <f t="shared" si="36"/>
        <v>0</v>
      </c>
      <c r="CS93" s="1" t="str">
        <f t="shared" si="37"/>
        <v/>
      </c>
      <c r="CT93" s="1" t="str">
        <f t="shared" si="37"/>
        <v/>
      </c>
      <c r="CU93" s="1" t="str">
        <f t="shared" si="37"/>
        <v/>
      </c>
      <c r="CV93" s="1" t="str">
        <f t="shared" si="37"/>
        <v/>
      </c>
      <c r="CW93" s="1" t="str">
        <f t="shared" si="37"/>
        <v/>
      </c>
      <c r="CX93" s="1" t="str">
        <f t="shared" si="37"/>
        <v/>
      </c>
      <c r="CY93" s="1" t="str">
        <f t="shared" si="37"/>
        <v/>
      </c>
      <c r="CZ93" s="1" t="str">
        <f t="shared" si="37"/>
        <v/>
      </c>
      <c r="DA93" s="1" t="str">
        <f t="shared" si="37"/>
        <v/>
      </c>
      <c r="DB93" s="1" t="str">
        <f t="shared" si="37"/>
        <v/>
      </c>
      <c r="DC93" s="1" t="str">
        <f t="shared" si="37"/>
        <v/>
      </c>
      <c r="DD93" s="1" t="str">
        <f t="shared" si="37"/>
        <v/>
      </c>
      <c r="DE93" s="18">
        <f t="shared" si="38"/>
        <v>45</v>
      </c>
    </row>
    <row r="94" spans="1:109" x14ac:dyDescent="0.15">
      <c r="A94" s="1">
        <v>98</v>
      </c>
      <c r="B94" s="3" t="s">
        <v>86</v>
      </c>
      <c r="C94" s="3" t="s">
        <v>85</v>
      </c>
      <c r="D94" s="1" t="s">
        <v>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1">
        <v>50</v>
      </c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4"/>
      <c r="BD94" s="4"/>
      <c r="BE94" s="4"/>
      <c r="BF94" s="4"/>
      <c r="BG94" s="4"/>
      <c r="BH94" s="4"/>
      <c r="BI94" s="2"/>
      <c r="BJ94" s="2"/>
      <c r="BK94" s="2"/>
      <c r="BL94" s="2"/>
      <c r="BM94" s="2"/>
      <c r="BN94" s="2"/>
      <c r="BO94" s="14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>
        <f t="shared" si="35"/>
        <v>50</v>
      </c>
      <c r="CC94" s="1">
        <v>48</v>
      </c>
      <c r="CD94" s="17">
        <v>1</v>
      </c>
      <c r="CE94" s="17" t="s">
        <v>142</v>
      </c>
      <c r="CF94" s="1" t="str">
        <f>IF(BC94&gt;BC$166, BC94-BC$166,"")</f>
        <v/>
      </c>
      <c r="CG94" s="1" t="str">
        <f>IF(BD94&gt;BD$166, BD94-BD$166,"")</f>
        <v/>
      </c>
      <c r="CH94" s="1" t="str">
        <f>IF(BE94&gt;BE$166, BE94-BE$166,"")</f>
        <v/>
      </c>
      <c r="CI94" s="1" t="str">
        <f>IF(BF94&gt;BF$166, BF94-BF$166,"")</f>
        <v/>
      </c>
      <c r="CJ94" s="1" t="str">
        <f>IF(BG94&gt;BG$166, BG94-BG$166,"")</f>
        <v/>
      </c>
      <c r="CK94" s="1" t="str">
        <f>IF(BH94&gt;BH$166, BH94-BH$166,"")</f>
        <v/>
      </c>
      <c r="CL94" s="1" t="str">
        <f>IF(BI94&gt;BI$166, BI94-BI$166,"")</f>
        <v/>
      </c>
      <c r="CM94" s="1" t="str">
        <f>IF(BJ94&gt;BJ$166, BJ94-BJ$166,"")</f>
        <v/>
      </c>
      <c r="CN94" s="1" t="str">
        <f>IF(BK94&gt;BK$166, BK94-BK$166,"")</f>
        <v/>
      </c>
      <c r="CO94" s="1" t="str">
        <f>IF(BL94&gt;BL$166, BL94-BL$166,"")</f>
        <v/>
      </c>
      <c r="CP94" s="1" t="str">
        <f>IF(BM94&gt;BM$166, BM94-BM$166,"")</f>
        <v/>
      </c>
      <c r="CQ94" s="1" t="str">
        <f>IF(BN94&gt;BN$166, BN94-BN$166,"")</f>
        <v/>
      </c>
      <c r="CR94" s="1">
        <f t="shared" si="36"/>
        <v>0</v>
      </c>
      <c r="CS94" s="1" t="str">
        <f t="shared" si="37"/>
        <v/>
      </c>
      <c r="CT94" s="1" t="str">
        <f t="shared" si="37"/>
        <v/>
      </c>
      <c r="CU94" s="1" t="str">
        <f t="shared" si="37"/>
        <v/>
      </c>
      <c r="CV94" s="1" t="str">
        <f t="shared" si="37"/>
        <v/>
      </c>
      <c r="CW94" s="1" t="str">
        <f t="shared" si="37"/>
        <v/>
      </c>
      <c r="CX94" s="1" t="str">
        <f t="shared" si="37"/>
        <v/>
      </c>
      <c r="CY94" s="1" t="str">
        <f t="shared" si="37"/>
        <v/>
      </c>
      <c r="CZ94" s="1" t="str">
        <f t="shared" si="37"/>
        <v/>
      </c>
      <c r="DA94" s="1" t="str">
        <f t="shared" si="37"/>
        <v/>
      </c>
      <c r="DB94" s="1" t="str">
        <f t="shared" si="37"/>
        <v/>
      </c>
      <c r="DC94" s="1" t="str">
        <f t="shared" si="37"/>
        <v/>
      </c>
      <c r="DD94" s="1" t="str">
        <f t="shared" si="37"/>
        <v/>
      </c>
      <c r="DE94" s="18">
        <f t="shared" si="38"/>
        <v>50</v>
      </c>
    </row>
    <row r="95" spans="1:109" x14ac:dyDescent="0.15">
      <c r="A95" s="1">
        <v>99</v>
      </c>
      <c r="B95" s="3" t="s">
        <v>86</v>
      </c>
      <c r="C95" s="3" t="s">
        <v>85</v>
      </c>
      <c r="D95" s="1" t="s">
        <v>13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1">
        <v>200</v>
      </c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4"/>
      <c r="BD95" s="4"/>
      <c r="BE95" s="4"/>
      <c r="BF95" s="4"/>
      <c r="BG95" s="4"/>
      <c r="BH95" s="4"/>
      <c r="BI95" s="2"/>
      <c r="BJ95" s="2"/>
      <c r="BK95" s="2"/>
      <c r="BL95" s="2"/>
      <c r="BM95" s="2"/>
      <c r="BN95" s="2"/>
      <c r="BO95" s="14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>
        <f t="shared" si="35"/>
        <v>200</v>
      </c>
      <c r="CC95" s="1">
        <v>198</v>
      </c>
      <c r="CD95" s="17">
        <v>1</v>
      </c>
      <c r="CE95" s="17" t="s">
        <v>143</v>
      </c>
      <c r="CF95" s="1" t="str">
        <f>IF(BC95&gt;BC$166, BC95-BC$166,"")</f>
        <v/>
      </c>
      <c r="CG95" s="1" t="str">
        <f>IF(BD95&gt;BD$166, BD95-BD$166,"")</f>
        <v/>
      </c>
      <c r="CH95" s="1" t="str">
        <f>IF(BE95&gt;BE$166, BE95-BE$166,"")</f>
        <v/>
      </c>
      <c r="CI95" s="1" t="str">
        <f>IF(BF95&gt;BF$166, BF95-BF$166,"")</f>
        <v/>
      </c>
      <c r="CJ95" s="1" t="str">
        <f>IF(BG95&gt;BG$166, BG95-BG$166,"")</f>
        <v/>
      </c>
      <c r="CK95" s="1" t="str">
        <f>IF(BH95&gt;BH$166, BH95-BH$166,"")</f>
        <v/>
      </c>
      <c r="CL95" s="1" t="str">
        <f>IF(BI95&gt;BI$166, BI95-BI$166,"")</f>
        <v/>
      </c>
      <c r="CM95" s="1" t="str">
        <f>IF(BJ95&gt;BJ$166, BJ95-BJ$166,"")</f>
        <v/>
      </c>
      <c r="CN95" s="1" t="str">
        <f>IF(BK95&gt;BK$166, BK95-BK$166,"")</f>
        <v/>
      </c>
      <c r="CO95" s="1" t="str">
        <f>IF(BL95&gt;BL$166, BL95-BL$166,"")</f>
        <v/>
      </c>
      <c r="CP95" s="1" t="str">
        <f>IF(BM95&gt;BM$166, BM95-BM$166,"")</f>
        <v/>
      </c>
      <c r="CQ95" s="1" t="str">
        <f>IF(BN95&gt;BN$166, BN95-BN$166,"")</f>
        <v/>
      </c>
      <c r="CR95" s="1">
        <f t="shared" si="36"/>
        <v>0</v>
      </c>
      <c r="CS95" s="1" t="str">
        <f t="shared" si="37"/>
        <v/>
      </c>
      <c r="CT95" s="1" t="str">
        <f t="shared" si="37"/>
        <v/>
      </c>
      <c r="CU95" s="1" t="str">
        <f t="shared" si="37"/>
        <v/>
      </c>
      <c r="CV95" s="1" t="str">
        <f t="shared" si="37"/>
        <v/>
      </c>
      <c r="CW95" s="1" t="str">
        <f t="shared" si="37"/>
        <v/>
      </c>
      <c r="CX95" s="1" t="str">
        <f t="shared" si="37"/>
        <v/>
      </c>
      <c r="CY95" s="1" t="str">
        <f t="shared" si="37"/>
        <v/>
      </c>
      <c r="CZ95" s="1" t="str">
        <f t="shared" si="37"/>
        <v/>
      </c>
      <c r="DA95" s="1" t="str">
        <f t="shared" si="37"/>
        <v/>
      </c>
      <c r="DB95" s="1" t="str">
        <f t="shared" si="37"/>
        <v/>
      </c>
      <c r="DC95" s="1" t="str">
        <f t="shared" si="37"/>
        <v/>
      </c>
      <c r="DD95" s="1" t="str">
        <f t="shared" si="37"/>
        <v/>
      </c>
      <c r="DE95" s="18">
        <f t="shared" si="38"/>
        <v>200</v>
      </c>
    </row>
    <row r="96" spans="1:109" ht="27" x14ac:dyDescent="0.15">
      <c r="A96" s="1"/>
      <c r="B96" s="1" t="s">
        <v>164</v>
      </c>
      <c r="C96" s="1" t="s">
        <v>155</v>
      </c>
      <c r="D96" s="1" t="s">
        <v>152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>
        <v>5</v>
      </c>
      <c r="BB96" s="1">
        <v>1</v>
      </c>
      <c r="BC96" s="4"/>
      <c r="BD96" s="4"/>
      <c r="BE96" s="4"/>
      <c r="BF96" s="4"/>
      <c r="BG96" s="4"/>
      <c r="BH96" s="4"/>
      <c r="BI96" s="2"/>
      <c r="BJ96" s="2"/>
      <c r="BK96" s="2"/>
      <c r="BL96" s="2"/>
      <c r="BM96" s="2"/>
      <c r="BN96" s="2"/>
      <c r="BO96" s="14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>
        <v>6</v>
      </c>
      <c r="CD96" s="17">
        <v>2</v>
      </c>
      <c r="CE96" s="17" t="s">
        <v>214</v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8"/>
    </row>
    <row r="97" spans="1:109" ht="27" x14ac:dyDescent="0.15">
      <c r="A97" s="1"/>
      <c r="B97" s="1" t="s">
        <v>179</v>
      </c>
      <c r="C97" s="1" t="s">
        <v>180</v>
      </c>
      <c r="D97" s="1" t="s">
        <v>152</v>
      </c>
      <c r="E97" s="6"/>
      <c r="F97" s="6"/>
      <c r="G97" s="6">
        <v>20</v>
      </c>
      <c r="H97" s="6">
        <v>20</v>
      </c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4"/>
      <c r="BD97" s="4"/>
      <c r="BE97" s="4"/>
      <c r="BF97" s="4"/>
      <c r="BG97" s="4"/>
      <c r="BH97" s="4"/>
      <c r="BI97" s="2"/>
      <c r="BJ97" s="2"/>
      <c r="BK97" s="2"/>
      <c r="BL97" s="2"/>
      <c r="BM97" s="2">
        <v>20</v>
      </c>
      <c r="BN97" s="2">
        <v>20</v>
      </c>
      <c r="BO97" s="14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>
        <v>6</v>
      </c>
      <c r="CD97" s="17">
        <v>2</v>
      </c>
      <c r="CE97" s="17" t="s">
        <v>215</v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8"/>
    </row>
    <row r="98" spans="1:109" ht="27" x14ac:dyDescent="0.15">
      <c r="A98" s="1">
        <v>77</v>
      </c>
      <c r="B98" s="3" t="s">
        <v>128</v>
      </c>
      <c r="C98" s="3" t="s">
        <v>77</v>
      </c>
      <c r="D98" s="1" t="s">
        <v>13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4"/>
      <c r="BD98" s="4"/>
      <c r="BE98" s="4"/>
      <c r="BF98" s="4">
        <v>20</v>
      </c>
      <c r="BG98" s="4"/>
      <c r="BH98" s="4"/>
      <c r="BI98" s="2">
        <v>20</v>
      </c>
      <c r="BJ98" s="2">
        <v>20</v>
      </c>
      <c r="BK98" s="2"/>
      <c r="BL98" s="2"/>
      <c r="BM98" s="2"/>
      <c r="BN98" s="2">
        <v>10</v>
      </c>
      <c r="BO98" s="14"/>
      <c r="BP98" s="1"/>
      <c r="BQ98" s="1"/>
      <c r="BR98" s="1"/>
      <c r="BS98" s="1"/>
      <c r="BT98" s="1">
        <v>20</v>
      </c>
      <c r="BU98" s="1"/>
      <c r="BV98" s="1"/>
      <c r="BW98" s="1"/>
      <c r="BX98" s="1"/>
      <c r="BY98" s="1"/>
      <c r="BZ98" s="1"/>
      <c r="CA98" s="1"/>
      <c r="CB98" s="1">
        <f>SUM(E98:CA98)</f>
        <v>90</v>
      </c>
      <c r="CC98" s="1">
        <v>8</v>
      </c>
      <c r="CD98" s="17">
        <v>2</v>
      </c>
      <c r="CE98" s="17" t="s">
        <v>201</v>
      </c>
      <c r="CF98" s="1" t="str">
        <f>IF(BC98&gt;BC$166, BC98-BC$166,"")</f>
        <v/>
      </c>
      <c r="CG98" s="1" t="str">
        <f>IF(BD98&gt;BD$166, BD98-BD$166,"")</f>
        <v/>
      </c>
      <c r="CH98" s="1" t="str">
        <f>IF(BE98&gt;BE$166, BE98-BE$166,"")</f>
        <v/>
      </c>
      <c r="CI98" s="1">
        <f>IF(BF98&gt;BF$166, BF98-BF$166,"")</f>
        <v>6</v>
      </c>
      <c r="CJ98" s="1" t="str">
        <f>IF(BG98&gt;BG$166, BG98-BG$166,"")</f>
        <v/>
      </c>
      <c r="CK98" s="1" t="str">
        <f>IF(BH98&gt;BH$166, BH98-BH$166,"")</f>
        <v/>
      </c>
      <c r="CL98" s="1">
        <f>IF(BI98&gt;BI$166, BI98-BI$166,"")</f>
        <v>2</v>
      </c>
      <c r="CM98" s="1" t="str">
        <f>IF(BJ98&gt;BJ$166, BJ98-BJ$166,"")</f>
        <v/>
      </c>
      <c r="CN98" s="1" t="str">
        <f>IF(BK98&gt;BK$166, BK98-BK$166,"")</f>
        <v/>
      </c>
      <c r="CO98" s="1" t="str">
        <f>IF(BL98&gt;BL$166, BL98-BL$166,"")</f>
        <v/>
      </c>
      <c r="CP98" s="1" t="str">
        <f>IF(BM98&gt;BM$166, BM98-BM$166,"")</f>
        <v/>
      </c>
      <c r="CQ98" s="1" t="str">
        <f>IF(BN98&gt;BN$166, BN98-BN$166,"")</f>
        <v/>
      </c>
      <c r="CR98" s="1">
        <f>COUNTIF(CF98:CQ98, "&gt;0")</f>
        <v>2</v>
      </c>
      <c r="CS98" s="1" t="str">
        <f t="shared" ref="CS98:DD98" si="39">IF($CR98=1,CF98,"")</f>
        <v/>
      </c>
      <c r="CT98" s="1" t="str">
        <f t="shared" si="39"/>
        <v/>
      </c>
      <c r="CU98" s="1" t="str">
        <f t="shared" si="39"/>
        <v/>
      </c>
      <c r="CV98" s="1" t="str">
        <f t="shared" si="39"/>
        <v/>
      </c>
      <c r="CW98" s="1" t="str">
        <f t="shared" si="39"/>
        <v/>
      </c>
      <c r="CX98" s="1" t="str">
        <f t="shared" si="39"/>
        <v/>
      </c>
      <c r="CY98" s="1" t="str">
        <f t="shared" si="39"/>
        <v/>
      </c>
      <c r="CZ98" s="1" t="str">
        <f t="shared" si="39"/>
        <v/>
      </c>
      <c r="DA98" s="1" t="str">
        <f t="shared" si="39"/>
        <v/>
      </c>
      <c r="DB98" s="1" t="str">
        <f t="shared" si="39"/>
        <v/>
      </c>
      <c r="DC98" s="1" t="str">
        <f t="shared" si="39"/>
        <v/>
      </c>
      <c r="DD98" s="1" t="str">
        <f t="shared" si="39"/>
        <v/>
      </c>
      <c r="DE98" s="18">
        <f>SUM(AQ98:CA98)</f>
        <v>90</v>
      </c>
    </row>
    <row r="99" spans="1:109" ht="27" x14ac:dyDescent="0.15">
      <c r="A99" s="1"/>
      <c r="B99" s="1" t="s">
        <v>159</v>
      </c>
      <c r="C99" s="1" t="s">
        <v>155</v>
      </c>
      <c r="D99" s="1" t="s">
        <v>160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>
        <v>3</v>
      </c>
      <c r="BB99" s="1">
        <v>5</v>
      </c>
      <c r="BC99" s="4"/>
      <c r="BD99" s="4"/>
      <c r="BE99" s="4"/>
      <c r="BF99" s="4"/>
      <c r="BG99" s="4"/>
      <c r="BH99" s="4"/>
      <c r="BI99" s="2"/>
      <c r="BJ99" s="2"/>
      <c r="BK99" s="2"/>
      <c r="BL99" s="2"/>
      <c r="BM99" s="2"/>
      <c r="BN99" s="2"/>
      <c r="BO99" s="14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>
        <v>8</v>
      </c>
      <c r="CD99" s="17">
        <v>2</v>
      </c>
      <c r="CE99" s="17" t="s">
        <v>210</v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8"/>
    </row>
    <row r="100" spans="1:109" ht="27" x14ac:dyDescent="0.15">
      <c r="A100" s="1">
        <v>27</v>
      </c>
      <c r="B100" s="1" t="s">
        <v>93</v>
      </c>
      <c r="C100" s="1" t="s">
        <v>33</v>
      </c>
      <c r="D100" s="1" t="s">
        <v>24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1"/>
      <c r="AR100" s="1"/>
      <c r="AS100" s="1"/>
      <c r="AT100" s="1">
        <v>5</v>
      </c>
      <c r="AU100" s="1">
        <v>5</v>
      </c>
      <c r="AV100" s="1"/>
      <c r="AW100" s="1"/>
      <c r="AX100" s="1"/>
      <c r="AY100" s="1"/>
      <c r="AZ100" s="1"/>
      <c r="BA100" s="1"/>
      <c r="BB100" s="1"/>
      <c r="BC100" s="4"/>
      <c r="BD100" s="4"/>
      <c r="BE100" s="4"/>
      <c r="BF100" s="4"/>
      <c r="BG100" s="4"/>
      <c r="BH100" s="4"/>
      <c r="BI100" s="2"/>
      <c r="BJ100" s="2"/>
      <c r="BK100" s="2"/>
      <c r="BL100" s="2"/>
      <c r="BM100" s="2"/>
      <c r="BN100" s="2"/>
      <c r="BO100" s="14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>
        <f>SUM(E100:CA100)</f>
        <v>10</v>
      </c>
      <c r="CC100" s="1">
        <v>10</v>
      </c>
      <c r="CD100" s="17">
        <v>2</v>
      </c>
      <c r="CE100" s="17" t="s">
        <v>144</v>
      </c>
      <c r="CF100" s="1" t="str">
        <f>IF(BC100&gt;BC$166, BC100-BC$166,"")</f>
        <v/>
      </c>
      <c r="CG100" s="1" t="str">
        <f>IF(BD100&gt;BD$166, BD100-BD$166,"")</f>
        <v/>
      </c>
      <c r="CH100" s="1" t="str">
        <f>IF(BE100&gt;BE$166, BE100-BE$166,"")</f>
        <v/>
      </c>
      <c r="CI100" s="1" t="str">
        <f>IF(BF100&gt;BF$166, BF100-BF$166,"")</f>
        <v/>
      </c>
      <c r="CJ100" s="1" t="str">
        <f>IF(BG100&gt;BG$166, BG100-BG$166,"")</f>
        <v/>
      </c>
      <c r="CK100" s="1" t="str">
        <f>IF(BH100&gt;BH$166, BH100-BH$166,"")</f>
        <v/>
      </c>
      <c r="CL100" s="1" t="str">
        <f>IF(BI100&gt;BI$166, BI100-BI$166,"")</f>
        <v/>
      </c>
      <c r="CM100" s="1" t="str">
        <f>IF(BJ100&gt;BJ$166, BJ100-BJ$166,"")</f>
        <v/>
      </c>
      <c r="CN100" s="1" t="str">
        <f>IF(BK100&gt;BK$166, BK100-BK$166,"")</f>
        <v/>
      </c>
      <c r="CO100" s="1" t="str">
        <f>IF(BL100&gt;BL$166, BL100-BL$166,"")</f>
        <v/>
      </c>
      <c r="CP100" s="1" t="str">
        <f>IF(BM100&gt;BM$166, BM100-BM$166,"")</f>
        <v/>
      </c>
      <c r="CQ100" s="1" t="str">
        <f>IF(BN100&gt;BN$166, BN100-BN$166,"")</f>
        <v/>
      </c>
      <c r="CR100" s="1">
        <f>COUNTIF(CF100:CQ100, "&gt;0")</f>
        <v>0</v>
      </c>
      <c r="CS100" s="1" t="str">
        <f t="shared" ref="CS100:DD102" si="40">IF($CR100=1,CF100,"")</f>
        <v/>
      </c>
      <c r="CT100" s="1" t="str">
        <f t="shared" si="40"/>
        <v/>
      </c>
      <c r="CU100" s="1" t="str">
        <f t="shared" si="40"/>
        <v/>
      </c>
      <c r="CV100" s="1" t="str">
        <f t="shared" si="40"/>
        <v/>
      </c>
      <c r="CW100" s="1" t="str">
        <f t="shared" si="40"/>
        <v/>
      </c>
      <c r="CX100" s="1" t="str">
        <f t="shared" si="40"/>
        <v/>
      </c>
      <c r="CY100" s="1" t="str">
        <f t="shared" si="40"/>
        <v/>
      </c>
      <c r="CZ100" s="1" t="str">
        <f t="shared" si="40"/>
        <v/>
      </c>
      <c r="DA100" s="1" t="str">
        <f t="shared" si="40"/>
        <v/>
      </c>
      <c r="DB100" s="1" t="str">
        <f t="shared" si="40"/>
        <v/>
      </c>
      <c r="DC100" s="1" t="str">
        <f t="shared" si="40"/>
        <v/>
      </c>
      <c r="DD100" s="1" t="str">
        <f t="shared" si="40"/>
        <v/>
      </c>
      <c r="DE100" s="18">
        <f>SUM(AQ100:CA100)</f>
        <v>10</v>
      </c>
    </row>
    <row r="101" spans="1:109" ht="27" x14ac:dyDescent="0.15">
      <c r="A101" s="1">
        <v>88</v>
      </c>
      <c r="B101" s="3" t="s">
        <v>101</v>
      </c>
      <c r="C101" s="3" t="s">
        <v>102</v>
      </c>
      <c r="D101" s="1" t="s">
        <v>24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1"/>
      <c r="AR101" s="1"/>
      <c r="AS101" s="1"/>
      <c r="AT101" s="1">
        <v>5</v>
      </c>
      <c r="AU101" s="1">
        <v>5</v>
      </c>
      <c r="AV101" s="1"/>
      <c r="AW101" s="1"/>
      <c r="AX101" s="1"/>
      <c r="AY101" s="1"/>
      <c r="AZ101" s="1"/>
      <c r="BA101" s="1"/>
      <c r="BB101" s="1"/>
      <c r="BC101" s="4"/>
      <c r="BD101" s="4"/>
      <c r="BE101" s="4"/>
      <c r="BF101" s="4"/>
      <c r="BG101" s="4"/>
      <c r="BH101" s="4"/>
      <c r="BI101" s="2"/>
      <c r="BJ101" s="2"/>
      <c r="BK101" s="2"/>
      <c r="BL101" s="2"/>
      <c r="BM101" s="2"/>
      <c r="BN101" s="2"/>
      <c r="BO101" s="14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>
        <f>SUM(E101:CA101)</f>
        <v>10</v>
      </c>
      <c r="CC101" s="1">
        <v>10</v>
      </c>
      <c r="CD101" s="17">
        <v>2</v>
      </c>
      <c r="CE101" s="17" t="s">
        <v>144</v>
      </c>
      <c r="CF101" s="1" t="str">
        <f>IF(BC101&gt;BC$166, BC101-BC$166,"")</f>
        <v/>
      </c>
      <c r="CG101" s="1" t="str">
        <f>IF(BD101&gt;BD$166, BD101-BD$166,"")</f>
        <v/>
      </c>
      <c r="CH101" s="1" t="str">
        <f>IF(BE101&gt;BE$166, BE101-BE$166,"")</f>
        <v/>
      </c>
      <c r="CI101" s="1" t="str">
        <f>IF(BF101&gt;BF$166, BF101-BF$166,"")</f>
        <v/>
      </c>
      <c r="CJ101" s="1" t="str">
        <f>IF(BG101&gt;BG$166, BG101-BG$166,"")</f>
        <v/>
      </c>
      <c r="CK101" s="1" t="str">
        <f>IF(BH101&gt;BH$166, BH101-BH$166,"")</f>
        <v/>
      </c>
      <c r="CL101" s="1" t="str">
        <f>IF(BI101&gt;BI$166, BI101-BI$166,"")</f>
        <v/>
      </c>
      <c r="CM101" s="1" t="str">
        <f>IF(BJ101&gt;BJ$166, BJ101-BJ$166,"")</f>
        <v/>
      </c>
      <c r="CN101" s="1" t="str">
        <f>IF(BK101&gt;BK$166, BK101-BK$166,"")</f>
        <v/>
      </c>
      <c r="CO101" s="1" t="str">
        <f>IF(BL101&gt;BL$166, BL101-BL$166,"")</f>
        <v/>
      </c>
      <c r="CP101" s="1" t="str">
        <f>IF(BM101&gt;BM$166, BM101-BM$166,"")</f>
        <v/>
      </c>
      <c r="CQ101" s="1" t="str">
        <f>IF(BN101&gt;BN$166, BN101-BN$166,"")</f>
        <v/>
      </c>
      <c r="CR101" s="1">
        <f>COUNTIF(CF101:CQ101, "&gt;0")</f>
        <v>0</v>
      </c>
      <c r="CS101" s="1" t="str">
        <f t="shared" si="40"/>
        <v/>
      </c>
      <c r="CT101" s="1" t="str">
        <f t="shared" si="40"/>
        <v/>
      </c>
      <c r="CU101" s="1" t="str">
        <f t="shared" si="40"/>
        <v/>
      </c>
      <c r="CV101" s="1" t="str">
        <f t="shared" si="40"/>
        <v/>
      </c>
      <c r="CW101" s="1" t="str">
        <f t="shared" si="40"/>
        <v/>
      </c>
      <c r="CX101" s="1" t="str">
        <f t="shared" si="40"/>
        <v/>
      </c>
      <c r="CY101" s="1" t="str">
        <f t="shared" si="40"/>
        <v/>
      </c>
      <c r="CZ101" s="1" t="str">
        <f t="shared" si="40"/>
        <v/>
      </c>
      <c r="DA101" s="1" t="str">
        <f t="shared" si="40"/>
        <v/>
      </c>
      <c r="DB101" s="1" t="str">
        <f t="shared" si="40"/>
        <v/>
      </c>
      <c r="DC101" s="1" t="str">
        <f t="shared" si="40"/>
        <v/>
      </c>
      <c r="DD101" s="1" t="str">
        <f t="shared" si="40"/>
        <v/>
      </c>
      <c r="DE101" s="18">
        <f>SUM(AQ101:CA101)</f>
        <v>10</v>
      </c>
    </row>
    <row r="102" spans="1:109" ht="27" x14ac:dyDescent="0.15">
      <c r="A102" s="1">
        <v>54</v>
      </c>
      <c r="B102" s="1" t="s">
        <v>63</v>
      </c>
      <c r="C102" s="1" t="s">
        <v>64</v>
      </c>
      <c r="D102" s="1" t="s">
        <v>1</v>
      </c>
      <c r="E102" s="6"/>
      <c r="F102" s="6">
        <v>15</v>
      </c>
      <c r="G102" s="6"/>
      <c r="H102" s="6">
        <v>15</v>
      </c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4"/>
      <c r="BD102" s="4"/>
      <c r="BE102" s="4"/>
      <c r="BF102" s="4"/>
      <c r="BG102" s="4"/>
      <c r="BH102" s="4">
        <v>15</v>
      </c>
      <c r="BI102" s="2"/>
      <c r="BJ102" s="2"/>
      <c r="BK102" s="2"/>
      <c r="BL102" s="2"/>
      <c r="BM102" s="2">
        <v>15</v>
      </c>
      <c r="BN102" s="2"/>
      <c r="BO102" s="14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>
        <f>SUM(E102:CA102)</f>
        <v>60</v>
      </c>
      <c r="CC102" s="1">
        <v>11</v>
      </c>
      <c r="CD102" s="17">
        <v>2</v>
      </c>
      <c r="CE102" s="17" t="s">
        <v>202</v>
      </c>
      <c r="CF102" s="1" t="str">
        <f>IF(BC102&gt;BC$166, BC102-BC$166,"")</f>
        <v/>
      </c>
      <c r="CG102" s="1" t="str">
        <f>IF(BD102&gt;BD$166, BD102-BD$166,"")</f>
        <v/>
      </c>
      <c r="CH102" s="1" t="str">
        <f>IF(BE102&gt;BE$166, BE102-BE$166,"")</f>
        <v/>
      </c>
      <c r="CI102" s="1" t="str">
        <f>IF(BF102&gt;BF$166, BF102-BF$166,"")</f>
        <v/>
      </c>
      <c r="CJ102" s="1" t="str">
        <f>IF(BG102&gt;BG$166, BG102-BG$166,"")</f>
        <v/>
      </c>
      <c r="CK102" s="1">
        <f>IF(BH102&gt;BH$166, BH102-BH$166,"")</f>
        <v>2</v>
      </c>
      <c r="CL102" s="1" t="str">
        <f>IF(BI102&gt;BI$166, BI102-BI$166,"")</f>
        <v/>
      </c>
      <c r="CM102" s="1" t="str">
        <f>IF(BJ102&gt;BJ$166, BJ102-BJ$166,"")</f>
        <v/>
      </c>
      <c r="CN102" s="1" t="str">
        <f>IF(BK102&gt;BK$166, BK102-BK$166,"")</f>
        <v/>
      </c>
      <c r="CO102" s="1" t="str">
        <f>IF(BL102&gt;BL$166, BL102-BL$166,"")</f>
        <v/>
      </c>
      <c r="CP102" s="1" t="str">
        <f>IF(BM102&gt;BM$166, BM102-BM$166,"")</f>
        <v/>
      </c>
      <c r="CQ102" s="1" t="str">
        <f>IF(BN102&gt;BN$166, BN102-BN$166,"")</f>
        <v/>
      </c>
      <c r="CR102" s="1">
        <f>COUNTIF(CF102:CQ102, "&gt;0")</f>
        <v>1</v>
      </c>
      <c r="CS102" s="1" t="str">
        <f t="shared" si="40"/>
        <v/>
      </c>
      <c r="CT102" s="1" t="str">
        <f t="shared" si="40"/>
        <v/>
      </c>
      <c r="CU102" s="1" t="str">
        <f t="shared" si="40"/>
        <v/>
      </c>
      <c r="CV102" s="1" t="str">
        <f t="shared" si="40"/>
        <v/>
      </c>
      <c r="CW102" s="1" t="str">
        <f t="shared" si="40"/>
        <v/>
      </c>
      <c r="CX102" s="1">
        <f t="shared" si="40"/>
        <v>2</v>
      </c>
      <c r="CY102" s="1" t="str">
        <f t="shared" si="40"/>
        <v/>
      </c>
      <c r="CZ102" s="1" t="str">
        <f t="shared" si="40"/>
        <v/>
      </c>
      <c r="DA102" s="1" t="str">
        <f t="shared" si="40"/>
        <v/>
      </c>
      <c r="DB102" s="1" t="str">
        <f t="shared" si="40"/>
        <v/>
      </c>
      <c r="DC102" s="1" t="str">
        <f t="shared" si="40"/>
        <v/>
      </c>
      <c r="DD102" s="1" t="str">
        <f t="shared" si="40"/>
        <v/>
      </c>
      <c r="DE102" s="18">
        <f>SUM(AQ102:CA102)</f>
        <v>30</v>
      </c>
    </row>
    <row r="103" spans="1:109" ht="27" x14ac:dyDescent="0.15">
      <c r="A103" s="1"/>
      <c r="B103" s="1" t="s">
        <v>159</v>
      </c>
      <c r="C103" s="1" t="s">
        <v>155</v>
      </c>
      <c r="D103" s="1" t="s">
        <v>152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>
        <v>5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>
        <v>5</v>
      </c>
      <c r="BB103" s="1">
        <v>10</v>
      </c>
      <c r="BC103" s="4"/>
      <c r="BD103" s="4"/>
      <c r="BE103" s="4"/>
      <c r="BF103" s="4"/>
      <c r="BG103" s="4"/>
      <c r="BH103" s="4"/>
      <c r="BI103" s="2"/>
      <c r="BJ103" s="2"/>
      <c r="BK103" s="2"/>
      <c r="BL103" s="2"/>
      <c r="BM103" s="2"/>
      <c r="BN103" s="2"/>
      <c r="BO103" s="14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>
        <v>15</v>
      </c>
      <c r="CD103" s="17">
        <v>2</v>
      </c>
      <c r="CE103" s="17" t="s">
        <v>211</v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8"/>
    </row>
    <row r="104" spans="1:109" ht="27" x14ac:dyDescent="0.15">
      <c r="A104" s="1"/>
      <c r="B104" s="1" t="s">
        <v>159</v>
      </c>
      <c r="C104" s="1" t="s">
        <v>155</v>
      </c>
      <c r="D104" s="1" t="s">
        <v>153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>
        <v>10</v>
      </c>
      <c r="BB104" s="1">
        <v>10</v>
      </c>
      <c r="BC104" s="4"/>
      <c r="BD104" s="4"/>
      <c r="BE104" s="4">
        <v>5</v>
      </c>
      <c r="BF104" s="4"/>
      <c r="BG104" s="4"/>
      <c r="BH104" s="4"/>
      <c r="BI104" s="2"/>
      <c r="BJ104" s="2">
        <v>5</v>
      </c>
      <c r="BK104" s="2"/>
      <c r="BL104" s="2"/>
      <c r="BM104" s="2"/>
      <c r="BN104" s="2"/>
      <c r="BO104" s="14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>
        <v>20</v>
      </c>
      <c r="CD104" s="17">
        <v>2</v>
      </c>
      <c r="CE104" s="17" t="s">
        <v>212</v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8"/>
    </row>
    <row r="105" spans="1:109" ht="40.5" x14ac:dyDescent="0.15">
      <c r="A105" s="1">
        <v>28</v>
      </c>
      <c r="B105" s="1" t="s">
        <v>93</v>
      </c>
      <c r="C105" s="1" t="s">
        <v>33</v>
      </c>
      <c r="D105" s="1" t="s">
        <v>1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1"/>
      <c r="AR105" s="1"/>
      <c r="AS105" s="1"/>
      <c r="AT105" s="1">
        <v>5</v>
      </c>
      <c r="AU105" s="1">
        <v>5</v>
      </c>
      <c r="AV105" s="1">
        <v>5</v>
      </c>
      <c r="AW105" s="1"/>
      <c r="AX105" s="1"/>
      <c r="AY105" s="1"/>
      <c r="AZ105" s="1"/>
      <c r="BA105" s="1"/>
      <c r="BB105" s="1"/>
      <c r="BC105" s="4"/>
      <c r="BD105" s="4"/>
      <c r="BE105" s="4"/>
      <c r="BF105" s="4"/>
      <c r="BG105" s="4"/>
      <c r="BH105" s="4"/>
      <c r="BI105" s="2"/>
      <c r="BJ105" s="2"/>
      <c r="BK105" s="2"/>
      <c r="BL105" s="2"/>
      <c r="BM105" s="2"/>
      <c r="BN105" s="2"/>
      <c r="BO105" s="14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>
        <f>SUM(E105:CA105)</f>
        <v>15</v>
      </c>
      <c r="CC105" s="1">
        <v>15</v>
      </c>
      <c r="CD105" s="17">
        <v>3</v>
      </c>
      <c r="CE105" s="17" t="s">
        <v>145</v>
      </c>
      <c r="CF105" s="1" t="str">
        <f>IF(BC105&gt;BC$166, BC105-BC$166,"")</f>
        <v/>
      </c>
      <c r="CG105" s="1" t="str">
        <f>IF(BD105&gt;BD$166, BD105-BD$166,"")</f>
        <v/>
      </c>
      <c r="CH105" s="1" t="str">
        <f>IF(BE105&gt;BE$166, BE105-BE$166,"")</f>
        <v/>
      </c>
      <c r="CI105" s="1" t="str">
        <f>IF(BF105&gt;BF$166, BF105-BF$166,"")</f>
        <v/>
      </c>
      <c r="CJ105" s="1" t="str">
        <f>IF(BG105&gt;BG$166, BG105-BG$166,"")</f>
        <v/>
      </c>
      <c r="CK105" s="1" t="str">
        <f>IF(BH105&gt;BH$166, BH105-BH$166,"")</f>
        <v/>
      </c>
      <c r="CL105" s="1" t="str">
        <f>IF(BI105&gt;BI$166, BI105-BI$166,"")</f>
        <v/>
      </c>
      <c r="CM105" s="1" t="str">
        <f>IF(BJ105&gt;BJ$166, BJ105-BJ$166,"")</f>
        <v/>
      </c>
      <c r="CN105" s="1" t="str">
        <f>IF(BK105&gt;BK$166, BK105-BK$166,"")</f>
        <v/>
      </c>
      <c r="CO105" s="1" t="str">
        <f>IF(BL105&gt;BL$166, BL105-BL$166,"")</f>
        <v/>
      </c>
      <c r="CP105" s="1" t="str">
        <f>IF(BM105&gt;BM$166, BM105-BM$166,"")</f>
        <v/>
      </c>
      <c r="CQ105" s="1" t="str">
        <f>IF(BN105&gt;BN$166, BN105-BN$166,"")</f>
        <v/>
      </c>
      <c r="CR105" s="1">
        <f>COUNTIF(CF105:CQ105, "&gt;0")</f>
        <v>0</v>
      </c>
      <c r="CS105" s="1" t="str">
        <f t="shared" ref="CS105:DD106" si="41">IF($CR105=1,CF105,"")</f>
        <v/>
      </c>
      <c r="CT105" s="1" t="str">
        <f t="shared" si="41"/>
        <v/>
      </c>
      <c r="CU105" s="1" t="str">
        <f t="shared" si="41"/>
        <v/>
      </c>
      <c r="CV105" s="1" t="str">
        <f t="shared" si="41"/>
        <v/>
      </c>
      <c r="CW105" s="1" t="str">
        <f t="shared" si="41"/>
        <v/>
      </c>
      <c r="CX105" s="1" t="str">
        <f t="shared" si="41"/>
        <v/>
      </c>
      <c r="CY105" s="1" t="str">
        <f t="shared" si="41"/>
        <v/>
      </c>
      <c r="CZ105" s="1" t="str">
        <f t="shared" si="41"/>
        <v/>
      </c>
      <c r="DA105" s="1" t="str">
        <f t="shared" si="41"/>
        <v/>
      </c>
      <c r="DB105" s="1" t="str">
        <f t="shared" si="41"/>
        <v/>
      </c>
      <c r="DC105" s="1" t="str">
        <f t="shared" si="41"/>
        <v/>
      </c>
      <c r="DD105" s="1" t="str">
        <f t="shared" si="41"/>
        <v/>
      </c>
      <c r="DE105" s="18">
        <f>SUM(AQ105:CA105)</f>
        <v>15</v>
      </c>
    </row>
    <row r="106" spans="1:109" ht="40.5" x14ac:dyDescent="0.15">
      <c r="A106" s="1">
        <v>89</v>
      </c>
      <c r="B106" s="3" t="s">
        <v>101</v>
      </c>
      <c r="C106" s="3" t="s">
        <v>102</v>
      </c>
      <c r="D106" s="1" t="s">
        <v>1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1"/>
      <c r="AR106" s="1">
        <v>5</v>
      </c>
      <c r="AS106" s="1"/>
      <c r="AT106" s="1">
        <v>5</v>
      </c>
      <c r="AU106" s="1">
        <v>5</v>
      </c>
      <c r="AV106" s="1"/>
      <c r="AW106" s="1"/>
      <c r="AX106" s="1"/>
      <c r="AY106" s="1"/>
      <c r="AZ106" s="1"/>
      <c r="BA106" s="1"/>
      <c r="BB106" s="1"/>
      <c r="BC106" s="4"/>
      <c r="BD106" s="4"/>
      <c r="BE106" s="4"/>
      <c r="BF106" s="4"/>
      <c r="BG106" s="4"/>
      <c r="BH106" s="4"/>
      <c r="BI106" s="2"/>
      <c r="BJ106" s="2"/>
      <c r="BK106" s="2"/>
      <c r="BL106" s="2"/>
      <c r="BM106" s="2"/>
      <c r="BN106" s="2"/>
      <c r="BO106" s="14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>
        <f>SUM(E106:CA106)</f>
        <v>15</v>
      </c>
      <c r="CC106" s="1">
        <v>15</v>
      </c>
      <c r="CD106" s="17">
        <v>3</v>
      </c>
      <c r="CE106" s="17" t="s">
        <v>146</v>
      </c>
      <c r="CF106" s="1" t="str">
        <f>IF(BC106&gt;BC$166, BC106-BC$166,"")</f>
        <v/>
      </c>
      <c r="CG106" s="1" t="str">
        <f>IF(BD106&gt;BD$166, BD106-BD$166,"")</f>
        <v/>
      </c>
      <c r="CH106" s="1" t="str">
        <f>IF(BE106&gt;BE$166, BE106-BE$166,"")</f>
        <v/>
      </c>
      <c r="CI106" s="1" t="str">
        <f>IF(BF106&gt;BF$166, BF106-BF$166,"")</f>
        <v/>
      </c>
      <c r="CJ106" s="1" t="str">
        <f>IF(BG106&gt;BG$166, BG106-BG$166,"")</f>
        <v/>
      </c>
      <c r="CK106" s="1" t="str">
        <f>IF(BH106&gt;BH$166, BH106-BH$166,"")</f>
        <v/>
      </c>
      <c r="CL106" s="1" t="str">
        <f>IF(BI106&gt;BI$166, BI106-BI$166,"")</f>
        <v/>
      </c>
      <c r="CM106" s="1" t="str">
        <f>IF(BJ106&gt;BJ$166, BJ106-BJ$166,"")</f>
        <v/>
      </c>
      <c r="CN106" s="1" t="str">
        <f>IF(BK106&gt;BK$166, BK106-BK$166,"")</f>
        <v/>
      </c>
      <c r="CO106" s="1" t="str">
        <f>IF(BL106&gt;BL$166, BL106-BL$166,"")</f>
        <v/>
      </c>
      <c r="CP106" s="1" t="str">
        <f>IF(BM106&gt;BM$166, BM106-BM$166,"")</f>
        <v/>
      </c>
      <c r="CQ106" s="1" t="str">
        <f>IF(BN106&gt;BN$166, BN106-BN$166,"")</f>
        <v/>
      </c>
      <c r="CR106" s="1">
        <f>COUNTIF(CF106:CQ106, "&gt;0")</f>
        <v>0</v>
      </c>
      <c r="CS106" s="1" t="str">
        <f t="shared" si="41"/>
        <v/>
      </c>
      <c r="CT106" s="1" t="str">
        <f t="shared" si="41"/>
        <v/>
      </c>
      <c r="CU106" s="1" t="str">
        <f t="shared" si="41"/>
        <v/>
      </c>
      <c r="CV106" s="1" t="str">
        <f t="shared" si="41"/>
        <v/>
      </c>
      <c r="CW106" s="1" t="str">
        <f t="shared" si="41"/>
        <v/>
      </c>
      <c r="CX106" s="1" t="str">
        <f t="shared" si="41"/>
        <v/>
      </c>
      <c r="CY106" s="1" t="str">
        <f t="shared" si="41"/>
        <v/>
      </c>
      <c r="CZ106" s="1" t="str">
        <f t="shared" si="41"/>
        <v/>
      </c>
      <c r="DA106" s="1" t="str">
        <f t="shared" si="41"/>
        <v/>
      </c>
      <c r="DB106" s="1" t="str">
        <f t="shared" si="41"/>
        <v/>
      </c>
      <c r="DC106" s="1" t="str">
        <f t="shared" si="41"/>
        <v/>
      </c>
      <c r="DD106" s="1" t="str">
        <f t="shared" si="41"/>
        <v/>
      </c>
      <c r="DE106" s="18">
        <f>SUM(AQ106:CA106)</f>
        <v>15</v>
      </c>
    </row>
    <row r="107" spans="1:109" ht="54" x14ac:dyDescent="0.15">
      <c r="A107" s="1"/>
      <c r="B107" s="1" t="s">
        <v>154</v>
      </c>
      <c r="C107" s="1" t="s">
        <v>155</v>
      </c>
      <c r="D107" s="1" t="s">
        <v>156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4"/>
      <c r="BD107" s="4"/>
      <c r="BE107" s="4"/>
      <c r="BF107" s="4"/>
      <c r="BG107" s="4"/>
      <c r="BH107" s="4">
        <v>40</v>
      </c>
      <c r="BI107" s="2">
        <v>40</v>
      </c>
      <c r="BJ107" s="2"/>
      <c r="BK107" s="2"/>
      <c r="BL107" s="2"/>
      <c r="BM107" s="2"/>
      <c r="BN107" s="2">
        <v>40</v>
      </c>
      <c r="BO107" s="14">
        <v>10</v>
      </c>
      <c r="BP107" s="1">
        <v>50</v>
      </c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>
        <v>61</v>
      </c>
      <c r="CD107" s="17">
        <v>4</v>
      </c>
      <c r="CE107" s="17" t="s">
        <v>209</v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8"/>
    </row>
    <row r="108" spans="1:109" ht="54" x14ac:dyDescent="0.15">
      <c r="A108" s="1">
        <v>85</v>
      </c>
      <c r="B108" s="3" t="s">
        <v>83</v>
      </c>
      <c r="C108" s="3" t="s">
        <v>77</v>
      </c>
      <c r="D108" s="1" t="s">
        <v>41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4"/>
      <c r="BD108" s="4"/>
      <c r="BE108" s="4"/>
      <c r="BF108" s="4"/>
      <c r="BG108" s="4"/>
      <c r="BH108" s="4"/>
      <c r="BI108" s="2"/>
      <c r="BJ108" s="2"/>
      <c r="BK108" s="2"/>
      <c r="BL108" s="2"/>
      <c r="BM108" s="2"/>
      <c r="BN108" s="2"/>
      <c r="BO108" s="14"/>
      <c r="BP108" s="1"/>
      <c r="BQ108" s="1"/>
      <c r="BR108" s="1"/>
      <c r="BS108" s="1"/>
      <c r="BT108" s="1"/>
      <c r="BU108" s="1"/>
      <c r="BV108" s="1"/>
      <c r="BW108" s="1"/>
      <c r="BX108" s="1">
        <v>50</v>
      </c>
      <c r="BY108" s="1">
        <v>50</v>
      </c>
      <c r="BZ108" s="1">
        <v>50</v>
      </c>
      <c r="CA108" s="1">
        <v>50</v>
      </c>
      <c r="CB108" s="1">
        <f>SUM(E108:CA108)</f>
        <v>200</v>
      </c>
      <c r="CC108" s="1">
        <v>195</v>
      </c>
      <c r="CD108" s="17">
        <v>4</v>
      </c>
      <c r="CE108" s="17" t="s">
        <v>147</v>
      </c>
      <c r="CF108" s="1" t="str">
        <f>IF(BC108&gt;BC$166, BC108-BC$166,"")</f>
        <v/>
      </c>
      <c r="CG108" s="1" t="str">
        <f>IF(BD108&gt;BD$166, BD108-BD$166,"")</f>
        <v/>
      </c>
      <c r="CH108" s="1" t="str">
        <f>IF(BE108&gt;BE$166, BE108-BE$166,"")</f>
        <v/>
      </c>
      <c r="CI108" s="1" t="str">
        <f>IF(BF108&gt;BF$166, BF108-BF$166,"")</f>
        <v/>
      </c>
      <c r="CJ108" s="1" t="str">
        <f>IF(BG108&gt;BG$166, BG108-BG$166,"")</f>
        <v/>
      </c>
      <c r="CK108" s="1" t="str">
        <f>IF(BH108&gt;BH$166, BH108-BH$166,"")</f>
        <v/>
      </c>
      <c r="CL108" s="1" t="str">
        <f>IF(BI108&gt;BI$166, BI108-BI$166,"")</f>
        <v/>
      </c>
      <c r="CM108" s="1" t="str">
        <f>IF(BJ108&gt;BJ$166, BJ108-BJ$166,"")</f>
        <v/>
      </c>
      <c r="CN108" s="1" t="str">
        <f>IF(BK108&gt;BK$166, BK108-BK$166,"")</f>
        <v/>
      </c>
      <c r="CO108" s="1" t="str">
        <f>IF(BL108&gt;BL$166, BL108-BL$166,"")</f>
        <v/>
      </c>
      <c r="CP108" s="1" t="str">
        <f>IF(BM108&gt;BM$166, BM108-BM$166,"")</f>
        <v/>
      </c>
      <c r="CQ108" s="1" t="str">
        <f>IF(BN108&gt;BN$166, BN108-BN$166,"")</f>
        <v/>
      </c>
      <c r="CR108" s="1">
        <f>COUNTIF(CF108:CQ108, "&gt;0")</f>
        <v>0</v>
      </c>
      <c r="CS108" s="1" t="str">
        <f t="shared" ref="CS108:DD109" si="42">IF($CR108=1,CF108,"")</f>
        <v/>
      </c>
      <c r="CT108" s="1" t="str">
        <f t="shared" si="42"/>
        <v/>
      </c>
      <c r="CU108" s="1" t="str">
        <f t="shared" si="42"/>
        <v/>
      </c>
      <c r="CV108" s="1" t="str">
        <f t="shared" si="42"/>
        <v/>
      </c>
      <c r="CW108" s="1" t="str">
        <f t="shared" si="42"/>
        <v/>
      </c>
      <c r="CX108" s="1" t="str">
        <f t="shared" si="42"/>
        <v/>
      </c>
      <c r="CY108" s="1" t="str">
        <f t="shared" si="42"/>
        <v/>
      </c>
      <c r="CZ108" s="1" t="str">
        <f t="shared" si="42"/>
        <v/>
      </c>
      <c r="DA108" s="1" t="str">
        <f t="shared" si="42"/>
        <v/>
      </c>
      <c r="DB108" s="1" t="str">
        <f t="shared" si="42"/>
        <v/>
      </c>
      <c r="DC108" s="1" t="str">
        <f t="shared" si="42"/>
        <v/>
      </c>
      <c r="DD108" s="1" t="str">
        <f t="shared" si="42"/>
        <v/>
      </c>
      <c r="DE108" s="18">
        <f>SUM(AQ108:CA108)</f>
        <v>200</v>
      </c>
    </row>
    <row r="109" spans="1:109" ht="54" x14ac:dyDescent="0.15">
      <c r="A109" s="1">
        <v>23</v>
      </c>
      <c r="B109" s="1" t="s">
        <v>126</v>
      </c>
      <c r="C109" s="1" t="s">
        <v>33</v>
      </c>
      <c r="D109" s="1" t="s">
        <v>41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4"/>
      <c r="BD109" s="4"/>
      <c r="BE109" s="4"/>
      <c r="BF109" s="4"/>
      <c r="BG109" s="4"/>
      <c r="BH109" s="4"/>
      <c r="BI109" s="2"/>
      <c r="BJ109" s="2"/>
      <c r="BK109" s="2"/>
      <c r="BL109" s="2"/>
      <c r="BM109" s="2"/>
      <c r="BN109" s="2"/>
      <c r="BO109" s="14"/>
      <c r="BP109" s="1"/>
      <c r="BQ109" s="1"/>
      <c r="BR109" s="1"/>
      <c r="BS109" s="1"/>
      <c r="BT109" s="1"/>
      <c r="BU109" s="1"/>
      <c r="BV109" s="1">
        <v>50</v>
      </c>
      <c r="BW109" s="1">
        <v>50</v>
      </c>
      <c r="BX109" s="1"/>
      <c r="BY109" s="1"/>
      <c r="BZ109" s="1">
        <v>50</v>
      </c>
      <c r="CA109" s="1">
        <v>50</v>
      </c>
      <c r="CB109" s="1">
        <f>SUM(E109:CA109)</f>
        <v>200</v>
      </c>
      <c r="CC109" s="1">
        <v>195</v>
      </c>
      <c r="CD109" s="17">
        <v>4</v>
      </c>
      <c r="CE109" s="17" t="s">
        <v>148</v>
      </c>
      <c r="CF109" s="1" t="str">
        <f>IF(BC109&gt;BC$166, BC109-BC$166,"")</f>
        <v/>
      </c>
      <c r="CG109" s="1" t="str">
        <f>IF(BD109&gt;BD$166, BD109-BD$166,"")</f>
        <v/>
      </c>
      <c r="CH109" s="1" t="str">
        <f>IF(BE109&gt;BE$166, BE109-BE$166,"")</f>
        <v/>
      </c>
      <c r="CI109" s="1" t="str">
        <f>IF(BF109&gt;BF$166, BF109-BF$166,"")</f>
        <v/>
      </c>
      <c r="CJ109" s="1" t="str">
        <f>IF(BG109&gt;BG$166, BG109-BG$166,"")</f>
        <v/>
      </c>
      <c r="CK109" s="1" t="str">
        <f>IF(BH109&gt;BH$166, BH109-BH$166,"")</f>
        <v/>
      </c>
      <c r="CL109" s="1" t="str">
        <f>IF(BI109&gt;BI$166, BI109-BI$166,"")</f>
        <v/>
      </c>
      <c r="CM109" s="1" t="str">
        <f>IF(BJ109&gt;BJ$166, BJ109-BJ$166,"")</f>
        <v/>
      </c>
      <c r="CN109" s="1" t="str">
        <f>IF(BK109&gt;BK$166, BK109-BK$166,"")</f>
        <v/>
      </c>
      <c r="CO109" s="1" t="str">
        <f>IF(BL109&gt;BL$166, BL109-BL$166,"")</f>
        <v/>
      </c>
      <c r="CP109" s="1" t="str">
        <f>IF(BM109&gt;BM$166, BM109-BM$166,"")</f>
        <v/>
      </c>
      <c r="CQ109" s="1" t="str">
        <f>IF(BN109&gt;BN$166, BN109-BN$166,"")</f>
        <v/>
      </c>
      <c r="CR109" s="1">
        <f>COUNTIF(CF109:CQ109, "&gt;0")</f>
        <v>0</v>
      </c>
      <c r="CS109" s="1" t="str">
        <f t="shared" si="42"/>
        <v/>
      </c>
      <c r="CT109" s="1" t="str">
        <f t="shared" si="42"/>
        <v/>
      </c>
      <c r="CU109" s="1" t="str">
        <f t="shared" si="42"/>
        <v/>
      </c>
      <c r="CV109" s="1" t="str">
        <f t="shared" si="42"/>
        <v/>
      </c>
      <c r="CW109" s="1" t="str">
        <f t="shared" si="42"/>
        <v/>
      </c>
      <c r="CX109" s="1" t="str">
        <f t="shared" si="42"/>
        <v/>
      </c>
      <c r="CY109" s="1" t="str">
        <f t="shared" si="42"/>
        <v/>
      </c>
      <c r="CZ109" s="1" t="str">
        <f t="shared" si="42"/>
        <v/>
      </c>
      <c r="DA109" s="1" t="str">
        <f t="shared" si="42"/>
        <v/>
      </c>
      <c r="DB109" s="1" t="str">
        <f t="shared" si="42"/>
        <v/>
      </c>
      <c r="DC109" s="1" t="str">
        <f t="shared" si="42"/>
        <v/>
      </c>
      <c r="DD109" s="1" t="str">
        <f t="shared" si="42"/>
        <v/>
      </c>
      <c r="DE109" s="18">
        <f>SUM(AQ109:CA109)</f>
        <v>200</v>
      </c>
    </row>
    <row r="110" spans="1:109" ht="54" x14ac:dyDescent="0.15">
      <c r="A110" s="1"/>
      <c r="B110" s="1" t="s">
        <v>169</v>
      </c>
      <c r="C110" s="1" t="s">
        <v>166</v>
      </c>
      <c r="D110" s="1" t="s">
        <v>170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4"/>
      <c r="BD110" s="4"/>
      <c r="BE110" s="4"/>
      <c r="BF110" s="4"/>
      <c r="BG110" s="4"/>
      <c r="BH110" s="4"/>
      <c r="BI110" s="2"/>
      <c r="BJ110" s="2"/>
      <c r="BK110" s="2"/>
      <c r="BL110" s="2"/>
      <c r="BM110" s="2"/>
      <c r="BN110" s="2"/>
      <c r="BO110" s="14"/>
      <c r="BP110" s="1"/>
      <c r="BQ110" s="1"/>
      <c r="BR110" s="1"/>
      <c r="BS110" s="1"/>
      <c r="BT110" s="1"/>
      <c r="BU110" s="1"/>
      <c r="BV110" s="1">
        <v>50</v>
      </c>
      <c r="BW110" s="1">
        <v>50</v>
      </c>
      <c r="BX110" s="1"/>
      <c r="BY110" s="1"/>
      <c r="BZ110" s="1">
        <v>50</v>
      </c>
      <c r="CA110" s="1">
        <v>50</v>
      </c>
      <c r="CB110" s="1"/>
      <c r="CC110" s="1">
        <v>195</v>
      </c>
      <c r="CD110" s="17">
        <v>4</v>
      </c>
      <c r="CE110" s="17" t="s">
        <v>207</v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8"/>
    </row>
    <row r="111" spans="1:109" ht="54" x14ac:dyDescent="0.15">
      <c r="A111" s="1"/>
      <c r="B111" s="1" t="s">
        <v>186</v>
      </c>
      <c r="C111" s="1" t="s">
        <v>180</v>
      </c>
      <c r="D111" s="1" t="s">
        <v>170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4"/>
      <c r="BD111" s="4"/>
      <c r="BE111" s="4"/>
      <c r="BF111" s="4"/>
      <c r="BG111" s="4"/>
      <c r="BH111" s="4"/>
      <c r="BI111" s="2"/>
      <c r="BJ111" s="2"/>
      <c r="BK111" s="2"/>
      <c r="BL111" s="2"/>
      <c r="BM111" s="2"/>
      <c r="BN111" s="2"/>
      <c r="BO111" s="14"/>
      <c r="BP111" s="1"/>
      <c r="BQ111" s="1"/>
      <c r="BR111" s="1"/>
      <c r="BS111" s="1"/>
      <c r="BT111" s="1"/>
      <c r="BU111" s="1"/>
      <c r="BV111" s="1"/>
      <c r="BW111" s="1"/>
      <c r="BX111" s="1">
        <v>50</v>
      </c>
      <c r="BY111" s="1">
        <v>50</v>
      </c>
      <c r="BZ111" s="1">
        <v>50</v>
      </c>
      <c r="CA111" s="1">
        <v>50</v>
      </c>
      <c r="CB111" s="1"/>
      <c r="CC111" s="1">
        <v>195</v>
      </c>
      <c r="CD111" s="17">
        <v>4</v>
      </c>
      <c r="CE111" s="17" t="s">
        <v>206</v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8"/>
    </row>
    <row r="112" spans="1:109" ht="54" x14ac:dyDescent="0.15">
      <c r="A112" s="1"/>
      <c r="B112" s="1" t="s">
        <v>217</v>
      </c>
      <c r="C112" s="1" t="s">
        <v>180</v>
      </c>
      <c r="D112" s="1" t="s">
        <v>170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4"/>
      <c r="BD112" s="4"/>
      <c r="BE112" s="4"/>
      <c r="BF112" s="4"/>
      <c r="BG112" s="4"/>
      <c r="BH112" s="4"/>
      <c r="BI112" s="2"/>
      <c r="BJ112" s="2"/>
      <c r="BK112" s="2"/>
      <c r="BL112" s="2"/>
      <c r="BM112" s="2"/>
      <c r="BN112" s="2"/>
      <c r="BO112" s="14"/>
      <c r="BP112" s="1"/>
      <c r="BQ112" s="1"/>
      <c r="BR112" s="1"/>
      <c r="BS112" s="1"/>
      <c r="BT112" s="1"/>
      <c r="BU112" s="1"/>
      <c r="BV112" s="1"/>
      <c r="BW112" s="1"/>
      <c r="BX112" s="1">
        <v>50</v>
      </c>
      <c r="BY112" s="1">
        <v>50</v>
      </c>
      <c r="BZ112" s="1">
        <v>50</v>
      </c>
      <c r="CA112" s="1">
        <v>50</v>
      </c>
      <c r="CB112" s="1"/>
      <c r="CC112" s="1">
        <v>195</v>
      </c>
      <c r="CD112" s="17">
        <v>4</v>
      </c>
      <c r="CE112" s="17" t="s">
        <v>206</v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8"/>
    </row>
    <row r="113" spans="1:109" x14ac:dyDescent="0.15">
      <c r="A113" s="1"/>
      <c r="B113" s="1" t="s">
        <v>218</v>
      </c>
      <c r="C113" s="1" t="s">
        <v>219</v>
      </c>
      <c r="D113" s="1" t="s">
        <v>220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32">
        <v>10</v>
      </c>
      <c r="AC113" s="32"/>
      <c r="AD113" s="32"/>
      <c r="AE113" s="32">
        <v>10</v>
      </c>
      <c r="AF113" s="32"/>
      <c r="AG113" s="32"/>
      <c r="AH113" s="32">
        <v>10</v>
      </c>
      <c r="AI113" s="32"/>
      <c r="AJ113" s="32"/>
      <c r="AK113" s="32">
        <v>10</v>
      </c>
      <c r="AL113" s="32"/>
      <c r="AM113" s="32"/>
      <c r="AN113" s="32"/>
      <c r="AO113" s="32"/>
      <c r="AP113" s="32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4"/>
      <c r="BD113" s="4"/>
      <c r="BE113" s="4"/>
      <c r="BF113" s="4"/>
      <c r="BG113" s="4"/>
      <c r="BH113" s="4"/>
      <c r="BI113" s="2"/>
      <c r="BJ113" s="2"/>
      <c r="BK113" s="2"/>
      <c r="BL113" s="2"/>
      <c r="BM113" s="2"/>
      <c r="BN113" s="2"/>
      <c r="BO113" s="14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7"/>
      <c r="CE113" s="17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8"/>
    </row>
    <row r="114" spans="1:109" x14ac:dyDescent="0.15">
      <c r="A114" s="1"/>
      <c r="B114" s="1" t="s">
        <v>218</v>
      </c>
      <c r="C114" s="1" t="s">
        <v>219</v>
      </c>
      <c r="D114" s="1" t="s">
        <v>221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32"/>
      <c r="AC114" s="32"/>
      <c r="AD114" s="32"/>
      <c r="AE114" s="32"/>
      <c r="AF114" s="32"/>
      <c r="AG114" s="32"/>
      <c r="AH114" s="32">
        <v>10</v>
      </c>
      <c r="AI114" s="32"/>
      <c r="AJ114" s="32"/>
      <c r="AK114" s="32">
        <v>10</v>
      </c>
      <c r="AL114" s="32"/>
      <c r="AM114" s="32"/>
      <c r="AN114" s="32">
        <v>10</v>
      </c>
      <c r="AO114" s="32">
        <v>5</v>
      </c>
      <c r="AP114" s="32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4"/>
      <c r="BD114" s="4"/>
      <c r="BE114" s="4"/>
      <c r="BF114" s="4"/>
      <c r="BG114" s="4"/>
      <c r="BH114" s="4"/>
      <c r="BI114" s="2"/>
      <c r="BJ114" s="2"/>
      <c r="BK114" s="2"/>
      <c r="BL114" s="2"/>
      <c r="BM114" s="2"/>
      <c r="BN114" s="2"/>
      <c r="BO114" s="14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7"/>
      <c r="CE114" s="17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8"/>
    </row>
    <row r="115" spans="1:109" x14ac:dyDescent="0.15">
      <c r="A115" s="1"/>
      <c r="B115" s="1" t="s">
        <v>218</v>
      </c>
      <c r="C115" s="1" t="s">
        <v>219</v>
      </c>
      <c r="D115" s="1" t="s">
        <v>222</v>
      </c>
      <c r="E115" s="6"/>
      <c r="F115" s="6"/>
      <c r="G115" s="6"/>
      <c r="H115" s="6"/>
      <c r="I115" s="6">
        <v>10</v>
      </c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32"/>
      <c r="AC115" s="32"/>
      <c r="AD115" s="32">
        <v>10</v>
      </c>
      <c r="AE115" s="32"/>
      <c r="AF115" s="32"/>
      <c r="AG115" s="32"/>
      <c r="AH115" s="32"/>
      <c r="AI115" s="32"/>
      <c r="AJ115" s="32">
        <v>10</v>
      </c>
      <c r="AK115" s="32"/>
      <c r="AL115" s="32"/>
      <c r="AM115" s="32"/>
      <c r="AN115" s="32"/>
      <c r="AO115" s="32"/>
      <c r="AP115" s="32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4"/>
      <c r="BD115" s="4"/>
      <c r="BE115" s="4"/>
      <c r="BF115" s="4">
        <v>10</v>
      </c>
      <c r="BG115" s="4"/>
      <c r="BH115" s="4"/>
      <c r="BI115" s="2"/>
      <c r="BJ115" s="2"/>
      <c r="BK115" s="2"/>
      <c r="BL115" s="2"/>
      <c r="BM115" s="2"/>
      <c r="BN115" s="2"/>
      <c r="BO115" s="14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7"/>
      <c r="CE115" s="17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8"/>
    </row>
    <row r="116" spans="1:109" x14ac:dyDescent="0.15">
      <c r="A116" s="1"/>
      <c r="B116" s="1" t="s">
        <v>231</v>
      </c>
      <c r="C116" s="1" t="s">
        <v>219</v>
      </c>
      <c r="D116" s="1" t="s">
        <v>220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32">
        <v>10</v>
      </c>
      <c r="AC116" s="32"/>
      <c r="AD116" s="32"/>
      <c r="AE116" s="32">
        <v>10</v>
      </c>
      <c r="AF116" s="32"/>
      <c r="AG116" s="32"/>
      <c r="AH116" s="32"/>
      <c r="AI116" s="32">
        <v>5</v>
      </c>
      <c r="AJ116" s="32"/>
      <c r="AK116" s="32"/>
      <c r="AL116" s="32"/>
      <c r="AM116" s="32"/>
      <c r="AN116" s="32">
        <v>10</v>
      </c>
      <c r="AO116" s="32"/>
      <c r="AP116" s="32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4"/>
      <c r="BD116" s="4"/>
      <c r="BE116" s="4"/>
      <c r="BF116" s="4"/>
      <c r="BG116" s="4"/>
      <c r="BH116" s="4"/>
      <c r="BI116" s="2"/>
      <c r="BJ116" s="2"/>
      <c r="BK116" s="2"/>
      <c r="BL116" s="2"/>
      <c r="BM116" s="2"/>
      <c r="BN116" s="2"/>
      <c r="BO116" s="14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7"/>
      <c r="CE116" s="17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8"/>
    </row>
    <row r="117" spans="1:109" x14ac:dyDescent="0.15">
      <c r="A117" s="1"/>
      <c r="B117" s="1" t="s">
        <v>231</v>
      </c>
      <c r="C117" s="1" t="s">
        <v>219</v>
      </c>
      <c r="D117" s="1" t="s">
        <v>221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32"/>
      <c r="AC117" s="32">
        <v>5</v>
      </c>
      <c r="AD117" s="32">
        <v>2</v>
      </c>
      <c r="AE117" s="32"/>
      <c r="AF117" s="32">
        <v>5</v>
      </c>
      <c r="AG117" s="32"/>
      <c r="AH117" s="32"/>
      <c r="AI117" s="32"/>
      <c r="AJ117" s="32"/>
      <c r="AK117" s="32"/>
      <c r="AL117" s="32">
        <v>5</v>
      </c>
      <c r="AM117" s="32"/>
      <c r="AN117" s="32"/>
      <c r="AO117" s="32"/>
      <c r="AP117" s="32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4"/>
      <c r="BD117" s="4"/>
      <c r="BE117" s="4"/>
      <c r="BF117" s="4"/>
      <c r="BG117" s="4"/>
      <c r="BH117" s="4"/>
      <c r="BI117" s="2"/>
      <c r="BJ117" s="2"/>
      <c r="BK117" s="2"/>
      <c r="BL117" s="2"/>
      <c r="BM117" s="2"/>
      <c r="BN117" s="2"/>
      <c r="BO117" s="14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7"/>
      <c r="CE117" s="17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8"/>
    </row>
    <row r="118" spans="1:109" x14ac:dyDescent="0.15">
      <c r="A118" s="1"/>
      <c r="B118" s="1" t="s">
        <v>231</v>
      </c>
      <c r="C118" s="1" t="s">
        <v>219</v>
      </c>
      <c r="D118" s="1" t="s">
        <v>222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>
        <v>10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32"/>
      <c r="AC118" s="32"/>
      <c r="AD118" s="32">
        <v>10</v>
      </c>
      <c r="AE118" s="32"/>
      <c r="AF118" s="32"/>
      <c r="AG118" s="32"/>
      <c r="AH118" s="32"/>
      <c r="AI118" s="32"/>
      <c r="AJ118" s="32">
        <v>10</v>
      </c>
      <c r="AK118" s="32"/>
      <c r="AL118" s="32"/>
      <c r="AM118" s="32"/>
      <c r="AN118" s="32"/>
      <c r="AO118" s="32"/>
      <c r="AP118" s="32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4"/>
      <c r="BD118" s="4"/>
      <c r="BE118" s="4">
        <v>10</v>
      </c>
      <c r="BF118" s="4"/>
      <c r="BG118" s="4"/>
      <c r="BH118" s="4"/>
      <c r="BI118" s="2"/>
      <c r="BJ118" s="2"/>
      <c r="BK118" s="2"/>
      <c r="BL118" s="2"/>
      <c r="BM118" s="2"/>
      <c r="BN118" s="2"/>
      <c r="BO118" s="14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7"/>
      <c r="CE118" s="17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8"/>
    </row>
    <row r="119" spans="1:109" x14ac:dyDescent="0.15">
      <c r="A119" s="1"/>
      <c r="B119" s="1" t="s">
        <v>236</v>
      </c>
      <c r="C119" s="1" t="s">
        <v>219</v>
      </c>
      <c r="D119" s="1" t="s">
        <v>220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32">
        <v>10</v>
      </c>
      <c r="AC119" s="32"/>
      <c r="AD119" s="32"/>
      <c r="AE119" s="32">
        <v>10</v>
      </c>
      <c r="AF119" s="32"/>
      <c r="AG119" s="32"/>
      <c r="AH119" s="32"/>
      <c r="AI119" s="32">
        <v>5</v>
      </c>
      <c r="AJ119" s="32"/>
      <c r="AK119" s="32"/>
      <c r="AL119" s="32"/>
      <c r="AM119" s="32"/>
      <c r="AN119" s="32">
        <v>10</v>
      </c>
      <c r="AO119" s="32"/>
      <c r="AP119" s="32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4"/>
      <c r="BD119" s="4"/>
      <c r="BE119" s="4"/>
      <c r="BF119" s="4"/>
      <c r="BG119" s="4"/>
      <c r="BH119" s="4"/>
      <c r="BI119" s="2"/>
      <c r="BJ119" s="2"/>
      <c r="BK119" s="2"/>
      <c r="BL119" s="2"/>
      <c r="BM119" s="2"/>
      <c r="BN119" s="2"/>
      <c r="BO119" s="14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7"/>
      <c r="CE119" s="17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8"/>
    </row>
    <row r="120" spans="1:109" x14ac:dyDescent="0.15">
      <c r="A120" s="1"/>
      <c r="B120" s="1" t="s">
        <v>236</v>
      </c>
      <c r="C120" s="1" t="s">
        <v>219</v>
      </c>
      <c r="D120" s="1" t="s">
        <v>221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32"/>
      <c r="AC120" s="32">
        <v>5</v>
      </c>
      <c r="AD120" s="32">
        <v>2</v>
      </c>
      <c r="AE120" s="32"/>
      <c r="AF120" s="32">
        <v>5</v>
      </c>
      <c r="AG120" s="32"/>
      <c r="AH120" s="32"/>
      <c r="AI120" s="32"/>
      <c r="AJ120" s="32"/>
      <c r="AK120" s="32"/>
      <c r="AL120" s="32">
        <v>5</v>
      </c>
      <c r="AM120" s="32"/>
      <c r="AN120" s="32"/>
      <c r="AO120" s="32"/>
      <c r="AP120" s="32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4"/>
      <c r="BD120" s="4"/>
      <c r="BE120" s="4"/>
      <c r="BF120" s="4"/>
      <c r="BG120" s="4"/>
      <c r="BH120" s="4"/>
      <c r="BI120" s="2"/>
      <c r="BJ120" s="2"/>
      <c r="BK120" s="2"/>
      <c r="BL120" s="2"/>
      <c r="BM120" s="2"/>
      <c r="BN120" s="2"/>
      <c r="BO120" s="14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7"/>
      <c r="CE120" s="17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8"/>
    </row>
    <row r="121" spans="1:109" x14ac:dyDescent="0.15">
      <c r="A121" s="1"/>
      <c r="B121" s="1" t="s">
        <v>236</v>
      </c>
      <c r="C121" s="1" t="s">
        <v>219</v>
      </c>
      <c r="D121" s="1" t="s">
        <v>222</v>
      </c>
      <c r="E121" s="6"/>
      <c r="F121" s="6"/>
      <c r="G121" s="6"/>
      <c r="H121" s="6">
        <v>10</v>
      </c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32"/>
      <c r="AC121" s="32"/>
      <c r="AD121" s="32">
        <v>10</v>
      </c>
      <c r="AE121" s="32"/>
      <c r="AF121" s="32"/>
      <c r="AG121" s="32"/>
      <c r="AH121" s="32"/>
      <c r="AI121" s="32"/>
      <c r="AJ121" s="32">
        <v>10</v>
      </c>
      <c r="AK121" s="32"/>
      <c r="AL121" s="32"/>
      <c r="AM121" s="32"/>
      <c r="AN121" s="32"/>
      <c r="AO121" s="32"/>
      <c r="AP121" s="32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4"/>
      <c r="BD121" s="4">
        <v>10</v>
      </c>
      <c r="BE121" s="4"/>
      <c r="BF121" s="4"/>
      <c r="BG121" s="4"/>
      <c r="BH121" s="4"/>
      <c r="BI121" s="2"/>
      <c r="BJ121" s="2"/>
      <c r="BK121" s="2"/>
      <c r="BL121" s="2"/>
      <c r="BM121" s="2"/>
      <c r="BN121" s="2"/>
      <c r="BO121" s="14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7"/>
      <c r="CE121" s="17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8"/>
    </row>
    <row r="122" spans="1:109" x14ac:dyDescent="0.15">
      <c r="A122" s="1"/>
      <c r="B122" s="1" t="s">
        <v>237</v>
      </c>
      <c r="C122" s="1" t="s">
        <v>238</v>
      </c>
      <c r="D122" s="1" t="s">
        <v>220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32">
        <v>10</v>
      </c>
      <c r="AC122" s="32"/>
      <c r="AD122" s="32"/>
      <c r="AE122" s="32">
        <v>10</v>
      </c>
      <c r="AF122" s="32"/>
      <c r="AG122" s="32"/>
      <c r="AH122" s="32">
        <v>10</v>
      </c>
      <c r="AI122" s="32"/>
      <c r="AJ122" s="32"/>
      <c r="AK122" s="32">
        <v>10</v>
      </c>
      <c r="AL122" s="32"/>
      <c r="AM122" s="32"/>
      <c r="AN122" s="32"/>
      <c r="AO122" s="32"/>
      <c r="AP122" s="32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4"/>
      <c r="BD122" s="4"/>
      <c r="BE122" s="4"/>
      <c r="BF122" s="4"/>
      <c r="BG122" s="4"/>
      <c r="BH122" s="4"/>
      <c r="BI122" s="2"/>
      <c r="BJ122" s="2"/>
      <c r="BK122" s="2"/>
      <c r="BL122" s="2"/>
      <c r="BM122" s="2"/>
      <c r="BN122" s="2"/>
      <c r="BO122" s="14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7"/>
      <c r="CE122" s="17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8"/>
    </row>
    <row r="123" spans="1:109" x14ac:dyDescent="0.15">
      <c r="A123" s="1"/>
      <c r="B123" s="1" t="s">
        <v>237</v>
      </c>
      <c r="C123" s="1" t="s">
        <v>238</v>
      </c>
      <c r="D123" s="1" t="s">
        <v>221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32"/>
      <c r="AC123" s="32">
        <v>5</v>
      </c>
      <c r="AD123" s="32"/>
      <c r="AE123" s="32"/>
      <c r="AF123" s="32"/>
      <c r="AG123" s="32"/>
      <c r="AH123" s="32">
        <v>10</v>
      </c>
      <c r="AI123" s="32"/>
      <c r="AJ123" s="32"/>
      <c r="AK123" s="32">
        <v>10</v>
      </c>
      <c r="AL123" s="32"/>
      <c r="AM123" s="32"/>
      <c r="AN123" s="32">
        <v>10</v>
      </c>
      <c r="AO123" s="32"/>
      <c r="AP123" s="32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4"/>
      <c r="BD123" s="4"/>
      <c r="BE123" s="4"/>
      <c r="BF123" s="4"/>
      <c r="BG123" s="4"/>
      <c r="BH123" s="4"/>
      <c r="BI123" s="2"/>
      <c r="BJ123" s="2"/>
      <c r="BK123" s="2"/>
      <c r="BL123" s="2"/>
      <c r="BM123" s="2"/>
      <c r="BN123" s="2"/>
      <c r="BO123" s="14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7"/>
      <c r="CE123" s="17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8"/>
    </row>
    <row r="124" spans="1:109" x14ac:dyDescent="0.15">
      <c r="A124" s="1"/>
      <c r="B124" s="1" t="s">
        <v>237</v>
      </c>
      <c r="C124" s="1" t="s">
        <v>238</v>
      </c>
      <c r="D124" s="1" t="s">
        <v>222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32"/>
      <c r="AC124" s="32"/>
      <c r="AD124" s="32">
        <v>10</v>
      </c>
      <c r="AE124" s="32"/>
      <c r="AF124" s="32"/>
      <c r="AG124" s="32">
        <v>10</v>
      </c>
      <c r="AH124" s="32"/>
      <c r="AI124" s="32"/>
      <c r="AJ124" s="32"/>
      <c r="AK124" s="32"/>
      <c r="AL124" s="32"/>
      <c r="AM124" s="32"/>
      <c r="AN124" s="32"/>
      <c r="AO124" s="32"/>
      <c r="AP124" s="32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4"/>
      <c r="BD124" s="4"/>
      <c r="BE124" s="4"/>
      <c r="BF124" s="4"/>
      <c r="BG124" s="4">
        <v>10</v>
      </c>
      <c r="BH124" s="4"/>
      <c r="BI124" s="2"/>
      <c r="BJ124" s="2"/>
      <c r="BK124" s="2"/>
      <c r="BL124" s="2"/>
      <c r="BM124" s="2"/>
      <c r="BN124" s="2"/>
      <c r="BO124" s="14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7"/>
      <c r="CE124" s="17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8"/>
    </row>
    <row r="125" spans="1:109" x14ac:dyDescent="0.15">
      <c r="A125" s="1"/>
      <c r="B125" s="1" t="s">
        <v>240</v>
      </c>
      <c r="C125" s="1" t="s">
        <v>238</v>
      </c>
      <c r="D125" s="1" t="s">
        <v>220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32">
        <v>10</v>
      </c>
      <c r="AC125" s="32"/>
      <c r="AD125" s="32"/>
      <c r="AE125" s="32">
        <v>10</v>
      </c>
      <c r="AF125" s="32"/>
      <c r="AG125" s="32"/>
      <c r="AH125" s="32"/>
      <c r="AI125" s="32">
        <v>5</v>
      </c>
      <c r="AJ125" s="32"/>
      <c r="AK125" s="32"/>
      <c r="AL125" s="32"/>
      <c r="AM125" s="32"/>
      <c r="AN125" s="32">
        <v>10</v>
      </c>
      <c r="AO125" s="32"/>
      <c r="AP125" s="32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4"/>
      <c r="BD125" s="4"/>
      <c r="BE125" s="4"/>
      <c r="BF125" s="4"/>
      <c r="BG125" s="4"/>
      <c r="BH125" s="4"/>
      <c r="BI125" s="2"/>
      <c r="BJ125" s="2"/>
      <c r="BK125" s="2"/>
      <c r="BL125" s="2"/>
      <c r="BM125" s="2"/>
      <c r="BN125" s="2"/>
      <c r="BO125" s="14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7"/>
      <c r="CE125" s="17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8"/>
    </row>
    <row r="126" spans="1:109" x14ac:dyDescent="0.15">
      <c r="A126" s="1"/>
      <c r="B126" s="1" t="s">
        <v>240</v>
      </c>
      <c r="C126" s="1" t="s">
        <v>238</v>
      </c>
      <c r="D126" s="1" t="s">
        <v>221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32"/>
      <c r="AC126" s="32">
        <v>5</v>
      </c>
      <c r="AD126" s="32"/>
      <c r="AE126" s="32"/>
      <c r="AF126" s="32">
        <v>5</v>
      </c>
      <c r="AG126" s="32"/>
      <c r="AH126" s="32"/>
      <c r="AI126" s="32"/>
      <c r="AJ126" s="32"/>
      <c r="AK126" s="32"/>
      <c r="AL126" s="32">
        <v>5</v>
      </c>
      <c r="AM126" s="32">
        <v>2</v>
      </c>
      <c r="AN126" s="32"/>
      <c r="AO126" s="32"/>
      <c r="AP126" s="32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4"/>
      <c r="BD126" s="4"/>
      <c r="BE126" s="4"/>
      <c r="BF126" s="4"/>
      <c r="BG126" s="4"/>
      <c r="BH126" s="4"/>
      <c r="BI126" s="2"/>
      <c r="BJ126" s="2"/>
      <c r="BK126" s="2"/>
      <c r="BL126" s="2"/>
      <c r="BM126" s="2"/>
      <c r="BN126" s="2"/>
      <c r="BO126" s="14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7"/>
      <c r="CE126" s="17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8"/>
    </row>
    <row r="127" spans="1:109" x14ac:dyDescent="0.15">
      <c r="A127" s="1"/>
      <c r="B127" s="1" t="s">
        <v>240</v>
      </c>
      <c r="C127" s="1" t="s">
        <v>238</v>
      </c>
      <c r="D127" s="1" t="s">
        <v>222</v>
      </c>
      <c r="E127" s="6"/>
      <c r="F127" s="6"/>
      <c r="G127" s="6"/>
      <c r="H127" s="6">
        <v>7</v>
      </c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32"/>
      <c r="AC127" s="32">
        <v>7</v>
      </c>
      <c r="AD127" s="32"/>
      <c r="AE127" s="32"/>
      <c r="AF127" s="32">
        <v>7</v>
      </c>
      <c r="AG127" s="32"/>
      <c r="AH127" s="32"/>
      <c r="AI127" s="32"/>
      <c r="AJ127" s="32"/>
      <c r="AK127" s="32"/>
      <c r="AL127" s="32"/>
      <c r="AM127" s="32">
        <v>7</v>
      </c>
      <c r="AN127" s="32"/>
      <c r="AO127" s="32"/>
      <c r="AP127" s="32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4"/>
      <c r="BD127" s="4"/>
      <c r="BE127" s="4"/>
      <c r="BF127" s="4"/>
      <c r="BG127" s="4"/>
      <c r="BH127" s="4"/>
      <c r="BI127" s="2"/>
      <c r="BJ127" s="2"/>
      <c r="BK127" s="2"/>
      <c r="BL127" s="2"/>
      <c r="BM127" s="2"/>
      <c r="BN127" s="2"/>
      <c r="BO127" s="14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7"/>
      <c r="CE127" s="17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8"/>
    </row>
    <row r="128" spans="1:109" x14ac:dyDescent="0.15">
      <c r="A128" s="1"/>
      <c r="B128" s="1" t="s">
        <v>242</v>
      </c>
      <c r="C128" s="1" t="s">
        <v>243</v>
      </c>
      <c r="D128" s="1" t="s">
        <v>221</v>
      </c>
      <c r="E128" s="6"/>
      <c r="F128" s="6"/>
      <c r="G128" s="6"/>
      <c r="H128" s="6"/>
      <c r="I128" s="6"/>
      <c r="J128" s="6">
        <v>10</v>
      </c>
      <c r="K128" s="6"/>
      <c r="L128" s="6">
        <v>10</v>
      </c>
      <c r="M128" s="6">
        <v>10</v>
      </c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4"/>
      <c r="BD128" s="4"/>
      <c r="BE128" s="4"/>
      <c r="BF128" s="4"/>
      <c r="BG128" s="4"/>
      <c r="BH128" s="4"/>
      <c r="BI128" s="2"/>
      <c r="BJ128" s="2"/>
      <c r="BK128" s="2">
        <v>15</v>
      </c>
      <c r="BL128" s="2">
        <v>15</v>
      </c>
      <c r="BM128" s="2"/>
      <c r="BN128" s="2"/>
      <c r="BO128" s="14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7"/>
      <c r="CE128" s="17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8"/>
    </row>
    <row r="129" spans="1:109" x14ac:dyDescent="0.15">
      <c r="A129" s="1"/>
      <c r="B129" s="1" t="s">
        <v>244</v>
      </c>
      <c r="C129" s="1" t="s">
        <v>243</v>
      </c>
      <c r="D129" s="1" t="s">
        <v>221</v>
      </c>
      <c r="E129" s="6">
        <v>15</v>
      </c>
      <c r="F129" s="6"/>
      <c r="G129" s="6"/>
      <c r="H129" s="6"/>
      <c r="I129" s="6"/>
      <c r="J129" s="6"/>
      <c r="K129" s="6"/>
      <c r="L129" s="6"/>
      <c r="M129" s="6">
        <v>15</v>
      </c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4"/>
      <c r="BD129" s="4"/>
      <c r="BE129" s="4"/>
      <c r="BF129" s="4"/>
      <c r="BG129" s="4"/>
      <c r="BH129" s="4"/>
      <c r="BI129" s="2">
        <v>15</v>
      </c>
      <c r="BJ129" s="2"/>
      <c r="BK129" s="2"/>
      <c r="BL129" s="2"/>
      <c r="BM129" s="2">
        <v>15</v>
      </c>
      <c r="BN129" s="2"/>
      <c r="BO129" s="14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7"/>
      <c r="CE129" s="17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8"/>
    </row>
    <row r="130" spans="1:109" x14ac:dyDescent="0.15">
      <c r="A130" s="1"/>
      <c r="B130" s="1" t="s">
        <v>245</v>
      </c>
      <c r="C130" s="1" t="s">
        <v>243</v>
      </c>
      <c r="D130" s="1" t="s">
        <v>220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32">
        <v>10</v>
      </c>
      <c r="AC130" s="32"/>
      <c r="AD130" s="32"/>
      <c r="AE130" s="32">
        <v>10</v>
      </c>
      <c r="AF130" s="32"/>
      <c r="AG130" s="32"/>
      <c r="AH130" s="32">
        <v>10</v>
      </c>
      <c r="AI130" s="32"/>
      <c r="AJ130" s="32"/>
      <c r="AK130" s="32">
        <v>10</v>
      </c>
      <c r="AL130" s="32"/>
      <c r="AM130" s="32"/>
      <c r="AN130" s="32"/>
      <c r="AO130" s="32"/>
      <c r="AP130" s="32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4"/>
      <c r="BD130" s="4"/>
      <c r="BE130" s="4"/>
      <c r="BF130" s="4"/>
      <c r="BG130" s="4"/>
      <c r="BH130" s="4"/>
      <c r="BI130" s="2"/>
      <c r="BJ130" s="2"/>
      <c r="BK130" s="2"/>
      <c r="BL130" s="2"/>
      <c r="BM130" s="2"/>
      <c r="BN130" s="2"/>
      <c r="BO130" s="14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7"/>
      <c r="CE130" s="17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8"/>
    </row>
    <row r="131" spans="1:109" x14ac:dyDescent="0.15">
      <c r="A131" s="1"/>
      <c r="B131" s="1" t="s">
        <v>245</v>
      </c>
      <c r="C131" s="1" t="s">
        <v>243</v>
      </c>
      <c r="D131" s="1" t="s">
        <v>221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32"/>
      <c r="AC131" s="32">
        <v>5</v>
      </c>
      <c r="AD131" s="32"/>
      <c r="AE131" s="32"/>
      <c r="AF131" s="32"/>
      <c r="AG131" s="32"/>
      <c r="AH131" s="32">
        <v>10</v>
      </c>
      <c r="AI131" s="32"/>
      <c r="AJ131" s="32"/>
      <c r="AK131" s="32">
        <v>10</v>
      </c>
      <c r="AL131" s="32"/>
      <c r="AM131" s="32"/>
      <c r="AN131" s="32">
        <v>10</v>
      </c>
      <c r="AO131" s="32"/>
      <c r="AP131" s="32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4"/>
      <c r="BD131" s="4"/>
      <c r="BE131" s="4"/>
      <c r="BF131" s="4"/>
      <c r="BG131" s="4"/>
      <c r="BH131" s="4"/>
      <c r="BI131" s="2"/>
      <c r="BJ131" s="2"/>
      <c r="BK131" s="2"/>
      <c r="BL131" s="2"/>
      <c r="BM131" s="2"/>
      <c r="BN131" s="2"/>
      <c r="BO131" s="14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7"/>
      <c r="CE131" s="17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8"/>
    </row>
    <row r="132" spans="1:109" x14ac:dyDescent="0.15">
      <c r="A132" s="1"/>
      <c r="B132" s="1" t="s">
        <v>245</v>
      </c>
      <c r="C132" s="1" t="s">
        <v>243</v>
      </c>
      <c r="D132" s="1" t="s">
        <v>222</v>
      </c>
      <c r="E132" s="6">
        <v>10</v>
      </c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32"/>
      <c r="AC132" s="32"/>
      <c r="AD132" s="32">
        <v>10</v>
      </c>
      <c r="AE132" s="32"/>
      <c r="AF132" s="32"/>
      <c r="AG132" s="32">
        <v>10</v>
      </c>
      <c r="AH132" s="32"/>
      <c r="AI132" s="32"/>
      <c r="AJ132" s="32"/>
      <c r="AK132" s="32"/>
      <c r="AL132" s="32"/>
      <c r="AM132" s="32"/>
      <c r="AN132" s="32"/>
      <c r="AO132" s="32"/>
      <c r="AP132" s="32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4"/>
      <c r="BD132" s="4"/>
      <c r="BE132" s="4"/>
      <c r="BF132" s="4"/>
      <c r="BG132" s="4">
        <v>10</v>
      </c>
      <c r="BH132" s="4"/>
      <c r="BI132" s="2"/>
      <c r="BJ132" s="2"/>
      <c r="BK132" s="2"/>
      <c r="BL132" s="2"/>
      <c r="BM132" s="2"/>
      <c r="BN132" s="2"/>
      <c r="BO132" s="14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7"/>
      <c r="CE132" s="17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8"/>
    </row>
    <row r="133" spans="1:109" x14ac:dyDescent="0.15">
      <c r="A133" s="1"/>
      <c r="B133" s="1" t="s">
        <v>246</v>
      </c>
      <c r="C133" s="1" t="s">
        <v>243</v>
      </c>
      <c r="D133" s="1" t="s">
        <v>220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32">
        <v>10</v>
      </c>
      <c r="AC133" s="32"/>
      <c r="AD133" s="32"/>
      <c r="AE133" s="32">
        <v>10</v>
      </c>
      <c r="AF133" s="32"/>
      <c r="AG133" s="32"/>
      <c r="AH133" s="32"/>
      <c r="AI133" s="32">
        <v>5</v>
      </c>
      <c r="AJ133" s="32"/>
      <c r="AK133" s="32"/>
      <c r="AL133" s="32"/>
      <c r="AM133" s="32"/>
      <c r="AN133" s="32">
        <v>10</v>
      </c>
      <c r="AO133" s="32"/>
      <c r="AP133" s="32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4"/>
      <c r="BD133" s="4"/>
      <c r="BE133" s="4"/>
      <c r="BF133" s="4"/>
      <c r="BG133" s="4"/>
      <c r="BH133" s="4"/>
      <c r="BI133" s="2"/>
      <c r="BJ133" s="2"/>
      <c r="BK133" s="2"/>
      <c r="BL133" s="2"/>
      <c r="BM133" s="2"/>
      <c r="BN133" s="2"/>
      <c r="BO133" s="14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7"/>
      <c r="CE133" s="17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8"/>
    </row>
    <row r="134" spans="1:109" x14ac:dyDescent="0.15">
      <c r="A134" s="1"/>
      <c r="B134" s="1" t="s">
        <v>246</v>
      </c>
      <c r="C134" s="1" t="s">
        <v>243</v>
      </c>
      <c r="D134" s="1" t="s">
        <v>221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32"/>
      <c r="AC134" s="32">
        <v>5</v>
      </c>
      <c r="AD134" s="32">
        <v>2</v>
      </c>
      <c r="AE134" s="32"/>
      <c r="AF134" s="32">
        <v>5</v>
      </c>
      <c r="AG134" s="32"/>
      <c r="AH134" s="32"/>
      <c r="AI134" s="32"/>
      <c r="AJ134" s="32"/>
      <c r="AK134" s="32"/>
      <c r="AL134" s="32">
        <v>5</v>
      </c>
      <c r="AM134" s="32"/>
      <c r="AN134" s="32"/>
      <c r="AO134" s="32"/>
      <c r="AP134" s="32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4"/>
      <c r="BD134" s="4"/>
      <c r="BE134" s="4"/>
      <c r="BF134" s="4"/>
      <c r="BG134" s="4"/>
      <c r="BH134" s="4"/>
      <c r="BI134" s="2"/>
      <c r="BJ134" s="2"/>
      <c r="BK134" s="2"/>
      <c r="BL134" s="2"/>
      <c r="BM134" s="2"/>
      <c r="BN134" s="2"/>
      <c r="BO134" s="14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7"/>
      <c r="CE134" s="17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8"/>
    </row>
    <row r="135" spans="1:109" x14ac:dyDescent="0.15">
      <c r="A135" s="1"/>
      <c r="B135" s="1" t="s">
        <v>246</v>
      </c>
      <c r="C135" s="1" t="s">
        <v>243</v>
      </c>
      <c r="D135" s="1" t="s">
        <v>222</v>
      </c>
      <c r="E135" s="6"/>
      <c r="F135" s="6"/>
      <c r="G135" s="6"/>
      <c r="H135" s="6"/>
      <c r="I135" s="6">
        <v>7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32"/>
      <c r="AC135" s="32">
        <v>7</v>
      </c>
      <c r="AD135" s="32">
        <v>7</v>
      </c>
      <c r="AE135" s="32"/>
      <c r="AF135" s="32">
        <v>7</v>
      </c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4"/>
      <c r="BD135" s="4"/>
      <c r="BE135" s="4"/>
      <c r="BF135" s="4"/>
      <c r="BG135" s="4"/>
      <c r="BH135" s="4"/>
      <c r="BI135" s="2"/>
      <c r="BJ135" s="2"/>
      <c r="BK135" s="2"/>
      <c r="BL135" s="2"/>
      <c r="BM135" s="2"/>
      <c r="BN135" s="2"/>
      <c r="BO135" s="14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7"/>
      <c r="CE135" s="17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8"/>
    </row>
    <row r="136" spans="1:109" x14ac:dyDescent="0.15">
      <c r="A136" s="1"/>
      <c r="B136" s="1" t="s">
        <v>247</v>
      </c>
      <c r="C136" s="1" t="s">
        <v>243</v>
      </c>
      <c r="D136" s="1" t="s">
        <v>222</v>
      </c>
      <c r="E136" s="6">
        <v>6</v>
      </c>
      <c r="F136" s="6"/>
      <c r="G136" s="6"/>
      <c r="H136" s="6"/>
      <c r="I136" s="6"/>
      <c r="J136" s="6"/>
      <c r="K136" s="6"/>
      <c r="L136" s="6"/>
      <c r="M136" s="6"/>
      <c r="N136" s="6"/>
      <c r="O136" s="6">
        <v>6</v>
      </c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4">
        <v>10</v>
      </c>
      <c r="BD136" s="4"/>
      <c r="BE136" s="4"/>
      <c r="BF136" s="4"/>
      <c r="BG136" s="4"/>
      <c r="BH136" s="4"/>
      <c r="BI136" s="2"/>
      <c r="BJ136" s="2"/>
      <c r="BK136" s="2"/>
      <c r="BL136" s="2"/>
      <c r="BM136" s="2"/>
      <c r="BN136" s="2">
        <v>10</v>
      </c>
      <c r="BO136" s="14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7"/>
      <c r="CE136" s="17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8"/>
    </row>
    <row r="137" spans="1:109" x14ac:dyDescent="0.15">
      <c r="A137" s="1"/>
      <c r="B137" s="1" t="s">
        <v>248</v>
      </c>
      <c r="C137" s="1" t="s">
        <v>250</v>
      </c>
      <c r="D137" s="1" t="s">
        <v>220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32">
        <v>10</v>
      </c>
      <c r="AC137" s="32"/>
      <c r="AD137" s="32"/>
      <c r="AE137" s="32">
        <v>10</v>
      </c>
      <c r="AF137" s="32"/>
      <c r="AG137" s="32"/>
      <c r="AH137" s="32">
        <v>10</v>
      </c>
      <c r="AI137" s="32"/>
      <c r="AJ137" s="32"/>
      <c r="AK137" s="32">
        <v>10</v>
      </c>
      <c r="AL137" s="32"/>
      <c r="AM137" s="32"/>
      <c r="AN137" s="32"/>
      <c r="AO137" s="32"/>
      <c r="AP137" s="32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4"/>
      <c r="BD137" s="4"/>
      <c r="BE137" s="4"/>
      <c r="BF137" s="4"/>
      <c r="BG137" s="4"/>
      <c r="BH137" s="4"/>
      <c r="BI137" s="2"/>
      <c r="BJ137" s="2"/>
      <c r="BK137" s="2"/>
      <c r="BL137" s="2"/>
      <c r="BM137" s="2"/>
      <c r="BN137" s="2"/>
      <c r="BO137" s="14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7"/>
      <c r="CE137" s="17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8"/>
    </row>
    <row r="138" spans="1:109" x14ac:dyDescent="0.15">
      <c r="A138" s="1"/>
      <c r="B138" s="1" t="s">
        <v>248</v>
      </c>
      <c r="C138" s="1" t="s">
        <v>250</v>
      </c>
      <c r="D138" s="1" t="s">
        <v>221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32"/>
      <c r="AC138" s="32"/>
      <c r="AD138" s="32"/>
      <c r="AE138" s="32"/>
      <c r="AF138" s="32"/>
      <c r="AG138" s="32"/>
      <c r="AH138" s="32">
        <v>10</v>
      </c>
      <c r="AI138" s="32"/>
      <c r="AJ138" s="32"/>
      <c r="AK138" s="32">
        <v>10</v>
      </c>
      <c r="AL138" s="32"/>
      <c r="AM138" s="32"/>
      <c r="AN138" s="32">
        <v>10</v>
      </c>
      <c r="AO138" s="32">
        <v>5</v>
      </c>
      <c r="AP138" s="32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4"/>
      <c r="BD138" s="4"/>
      <c r="BE138" s="4"/>
      <c r="BF138" s="4"/>
      <c r="BG138" s="4"/>
      <c r="BH138" s="4"/>
      <c r="BI138" s="2"/>
      <c r="BJ138" s="2"/>
      <c r="BK138" s="2"/>
      <c r="BL138" s="2"/>
      <c r="BM138" s="2"/>
      <c r="BN138" s="2"/>
      <c r="BO138" s="14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7"/>
      <c r="CE138" s="17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8"/>
    </row>
    <row r="139" spans="1:109" x14ac:dyDescent="0.15">
      <c r="A139" s="1"/>
      <c r="B139" s="1" t="s">
        <v>248</v>
      </c>
      <c r="C139" s="1" t="s">
        <v>250</v>
      </c>
      <c r="D139" s="1" t="s">
        <v>222</v>
      </c>
      <c r="E139" s="6"/>
      <c r="F139" s="6"/>
      <c r="G139" s="6"/>
      <c r="H139" s="6"/>
      <c r="I139" s="6"/>
      <c r="J139" s="6">
        <v>10</v>
      </c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32"/>
      <c r="AC139" s="32"/>
      <c r="AD139" s="32"/>
      <c r="AE139" s="32"/>
      <c r="AF139" s="32"/>
      <c r="AG139" s="32">
        <v>10</v>
      </c>
      <c r="AH139" s="32"/>
      <c r="AI139" s="32"/>
      <c r="AJ139" s="32"/>
      <c r="AK139" s="32"/>
      <c r="AL139" s="32"/>
      <c r="AM139" s="32">
        <v>10</v>
      </c>
      <c r="AN139" s="32"/>
      <c r="AO139" s="32"/>
      <c r="AP139" s="32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4">
        <v>10</v>
      </c>
      <c r="BD139" s="4"/>
      <c r="BE139" s="4"/>
      <c r="BF139" s="4"/>
      <c r="BG139" s="4"/>
      <c r="BH139" s="4"/>
      <c r="BI139" s="2"/>
      <c r="BJ139" s="2"/>
      <c r="BK139" s="2"/>
      <c r="BL139" s="2"/>
      <c r="BM139" s="2"/>
      <c r="BN139" s="2"/>
      <c r="BO139" s="14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7"/>
      <c r="CE139" s="17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8"/>
    </row>
    <row r="140" spans="1:109" x14ac:dyDescent="0.15">
      <c r="A140" s="1"/>
      <c r="B140" s="1" t="s">
        <v>249</v>
      </c>
      <c r="C140" s="1" t="s">
        <v>250</v>
      </c>
      <c r="D140" s="1" t="s">
        <v>220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32">
        <v>10</v>
      </c>
      <c r="AC140" s="32"/>
      <c r="AD140" s="32"/>
      <c r="AE140" s="32">
        <v>10</v>
      </c>
      <c r="AF140" s="32"/>
      <c r="AG140" s="32"/>
      <c r="AH140" s="32"/>
      <c r="AI140" s="32"/>
      <c r="AJ140" s="32"/>
      <c r="AK140" s="32"/>
      <c r="AL140" s="32">
        <v>5</v>
      </c>
      <c r="AM140" s="32"/>
      <c r="AN140" s="32">
        <v>10</v>
      </c>
      <c r="AO140" s="32"/>
      <c r="AP140" s="32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4"/>
      <c r="BD140" s="4"/>
      <c r="BE140" s="4"/>
      <c r="BF140" s="4"/>
      <c r="BG140" s="4"/>
      <c r="BH140" s="4"/>
      <c r="BI140" s="2"/>
      <c r="BJ140" s="2"/>
      <c r="BK140" s="2"/>
      <c r="BL140" s="2"/>
      <c r="BM140" s="2"/>
      <c r="BN140" s="2"/>
      <c r="BO140" s="14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7"/>
      <c r="CE140" s="17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8"/>
    </row>
    <row r="141" spans="1:109" x14ac:dyDescent="0.15">
      <c r="A141" s="1"/>
      <c r="B141" s="1" t="s">
        <v>249</v>
      </c>
      <c r="C141" s="1" t="s">
        <v>250</v>
      </c>
      <c r="D141" s="1" t="s">
        <v>221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32"/>
      <c r="AC141" s="32">
        <v>5</v>
      </c>
      <c r="AD141" s="32"/>
      <c r="AE141" s="32"/>
      <c r="AF141" s="32">
        <v>5</v>
      </c>
      <c r="AG141" s="32"/>
      <c r="AH141" s="32"/>
      <c r="AI141" s="32"/>
      <c r="AJ141" s="32">
        <v>2</v>
      </c>
      <c r="AK141" s="32"/>
      <c r="AL141" s="32">
        <v>5</v>
      </c>
      <c r="AM141" s="32"/>
      <c r="AN141" s="32"/>
      <c r="AO141" s="32"/>
      <c r="AP141" s="32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4"/>
      <c r="BD141" s="4"/>
      <c r="BE141" s="4"/>
      <c r="BF141" s="4"/>
      <c r="BG141" s="4"/>
      <c r="BH141" s="4"/>
      <c r="BI141" s="2"/>
      <c r="BJ141" s="2"/>
      <c r="BK141" s="2"/>
      <c r="BL141" s="2"/>
      <c r="BM141" s="2"/>
      <c r="BN141" s="2"/>
      <c r="BO141" s="14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7"/>
      <c r="CE141" s="17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8"/>
    </row>
    <row r="142" spans="1:109" x14ac:dyDescent="0.15">
      <c r="A142" s="1"/>
      <c r="B142" s="1" t="s">
        <v>249</v>
      </c>
      <c r="C142" s="1" t="s">
        <v>250</v>
      </c>
      <c r="D142" s="1" t="s">
        <v>222</v>
      </c>
      <c r="E142" s="6"/>
      <c r="F142" s="6"/>
      <c r="G142" s="6"/>
      <c r="H142" s="6"/>
      <c r="I142" s="6"/>
      <c r="J142" s="6"/>
      <c r="K142" s="6"/>
      <c r="L142" s="6">
        <v>7</v>
      </c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32"/>
      <c r="AC142" s="32">
        <v>7</v>
      </c>
      <c r="AD142" s="32"/>
      <c r="AE142" s="32"/>
      <c r="AF142" s="32">
        <v>7</v>
      </c>
      <c r="AG142" s="32"/>
      <c r="AH142" s="32"/>
      <c r="AI142" s="32"/>
      <c r="AJ142" s="32">
        <v>7</v>
      </c>
      <c r="AK142" s="32"/>
      <c r="AL142" s="32"/>
      <c r="AM142" s="32"/>
      <c r="AN142" s="32"/>
      <c r="AO142" s="32"/>
      <c r="AP142" s="32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4"/>
      <c r="BD142" s="4"/>
      <c r="BE142" s="4"/>
      <c r="BF142" s="4"/>
      <c r="BG142" s="4"/>
      <c r="BH142" s="4"/>
      <c r="BI142" s="2"/>
      <c r="BJ142" s="2"/>
      <c r="BK142" s="2"/>
      <c r="BL142" s="2"/>
      <c r="BM142" s="2"/>
      <c r="BN142" s="2"/>
      <c r="BO142" s="14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7"/>
      <c r="CE142" s="17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8"/>
    </row>
    <row r="143" spans="1:109" x14ac:dyDescent="0.15">
      <c r="A143" s="1"/>
      <c r="B143" s="1" t="s">
        <v>251</v>
      </c>
      <c r="C143" s="1" t="s">
        <v>250</v>
      </c>
      <c r="D143" s="1" t="s">
        <v>221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4"/>
      <c r="BD143" s="4"/>
      <c r="BE143" s="4"/>
      <c r="BF143" s="4"/>
      <c r="BG143" s="4"/>
      <c r="BH143" s="4"/>
      <c r="BI143" s="2"/>
      <c r="BJ143" s="2"/>
      <c r="BK143" s="2"/>
      <c r="BL143" s="2"/>
      <c r="BM143" s="2">
        <v>10</v>
      </c>
      <c r="BN143" s="2">
        <v>10</v>
      </c>
      <c r="BO143" s="14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7"/>
      <c r="CE143" s="17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8"/>
    </row>
    <row r="144" spans="1:109" x14ac:dyDescent="0.15">
      <c r="A144" s="1"/>
      <c r="B144" s="1" t="s">
        <v>252</v>
      </c>
      <c r="C144" s="1" t="s">
        <v>253</v>
      </c>
      <c r="D144" s="1" t="s">
        <v>221</v>
      </c>
      <c r="E144" s="6"/>
      <c r="F144" s="6"/>
      <c r="G144" s="6"/>
      <c r="H144" s="6"/>
      <c r="I144" s="6"/>
      <c r="J144" s="6">
        <v>5</v>
      </c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4"/>
      <c r="BD144" s="4"/>
      <c r="BE144" s="4"/>
      <c r="BF144" s="4"/>
      <c r="BG144" s="4"/>
      <c r="BH144" s="4"/>
      <c r="BI144" s="2"/>
      <c r="BJ144" s="2"/>
      <c r="BK144" s="2"/>
      <c r="BL144" s="2"/>
      <c r="BM144" s="2"/>
      <c r="BN144" s="2"/>
      <c r="BO144" s="14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7"/>
      <c r="CE144" s="17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8"/>
    </row>
    <row r="145" spans="1:109" x14ac:dyDescent="0.15">
      <c r="A145" s="1"/>
      <c r="B145" s="1" t="s">
        <v>252</v>
      </c>
      <c r="C145" s="1" t="s">
        <v>253</v>
      </c>
      <c r="D145" s="1" t="s">
        <v>222</v>
      </c>
      <c r="E145" s="6">
        <v>10</v>
      </c>
      <c r="F145" s="6"/>
      <c r="G145" s="6">
        <v>10</v>
      </c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4"/>
      <c r="BD145" s="4">
        <v>10</v>
      </c>
      <c r="BE145" s="4"/>
      <c r="BF145" s="4"/>
      <c r="BG145" s="4"/>
      <c r="BH145" s="4"/>
      <c r="BI145" s="2"/>
      <c r="BJ145" s="2"/>
      <c r="BK145" s="2"/>
      <c r="BL145" s="2"/>
      <c r="BM145" s="2"/>
      <c r="BN145" s="2">
        <v>10</v>
      </c>
      <c r="BO145" s="14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7"/>
      <c r="CE145" s="17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8"/>
    </row>
    <row r="146" spans="1:109" x14ac:dyDescent="0.15">
      <c r="A146" s="1"/>
      <c r="B146" s="1" t="s">
        <v>252</v>
      </c>
      <c r="C146" s="1" t="s">
        <v>253</v>
      </c>
      <c r="D146" s="1" t="s">
        <v>41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4"/>
      <c r="BD146" s="4"/>
      <c r="BE146" s="4"/>
      <c r="BF146" s="4"/>
      <c r="BG146" s="4"/>
      <c r="BH146" s="4"/>
      <c r="BI146" s="2"/>
      <c r="BJ146" s="2"/>
      <c r="BK146" s="2"/>
      <c r="BL146" s="2"/>
      <c r="BM146" s="2"/>
      <c r="BN146" s="2"/>
      <c r="BO146" s="14"/>
      <c r="BP146" s="1"/>
      <c r="BQ146" s="1"/>
      <c r="BR146" s="1"/>
      <c r="BS146" s="1"/>
      <c r="BT146" s="1"/>
      <c r="BU146" s="1"/>
      <c r="BV146" s="1">
        <v>50</v>
      </c>
      <c r="BW146" s="1">
        <v>50</v>
      </c>
      <c r="BX146" s="1"/>
      <c r="BY146" s="1"/>
      <c r="BZ146" s="1">
        <v>50</v>
      </c>
      <c r="CA146" s="1">
        <v>50</v>
      </c>
      <c r="CB146" s="1"/>
      <c r="CC146" s="1"/>
      <c r="CD146" s="17"/>
      <c r="CE146" s="17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8"/>
    </row>
    <row r="147" spans="1:109" x14ac:dyDescent="0.15">
      <c r="A147" s="1"/>
      <c r="B147" s="1" t="s">
        <v>254</v>
      </c>
      <c r="C147" s="1" t="s">
        <v>255</v>
      </c>
      <c r="D147" s="1" t="s">
        <v>222</v>
      </c>
      <c r="E147" s="6"/>
      <c r="F147" s="6"/>
      <c r="G147" s="6"/>
      <c r="H147" s="6"/>
      <c r="I147" s="6"/>
      <c r="J147" s="6"/>
      <c r="K147" s="6"/>
      <c r="L147" s="6">
        <v>6</v>
      </c>
      <c r="M147" s="6"/>
      <c r="N147" s="6"/>
      <c r="O147" s="6">
        <v>6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4"/>
      <c r="BD147" s="4"/>
      <c r="BE147" s="4"/>
      <c r="BF147" s="4"/>
      <c r="BG147" s="4"/>
      <c r="BH147" s="4"/>
      <c r="BI147" s="2"/>
      <c r="BJ147" s="2"/>
      <c r="BK147" s="2"/>
      <c r="BL147" s="2"/>
      <c r="BM147" s="2">
        <v>10</v>
      </c>
      <c r="BN147" s="2">
        <v>10</v>
      </c>
      <c r="BO147" s="14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7"/>
      <c r="CE147" s="17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8"/>
    </row>
    <row r="148" spans="1:109" x14ac:dyDescent="0.15">
      <c r="A148" s="1"/>
      <c r="B148" s="1" t="s">
        <v>256</v>
      </c>
      <c r="C148" s="1" t="s">
        <v>255</v>
      </c>
      <c r="D148" s="1" t="s">
        <v>220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32">
        <v>10</v>
      </c>
      <c r="AC148" s="32"/>
      <c r="AD148" s="32"/>
      <c r="AE148" s="32">
        <v>10</v>
      </c>
      <c r="AF148" s="32"/>
      <c r="AG148" s="32"/>
      <c r="AH148" s="32"/>
      <c r="AI148" s="32">
        <v>5</v>
      </c>
      <c r="AJ148" s="32"/>
      <c r="AK148" s="32"/>
      <c r="AL148" s="32"/>
      <c r="AM148" s="32"/>
      <c r="AN148" s="32">
        <v>10</v>
      </c>
      <c r="AO148" s="32"/>
      <c r="AP148" s="32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4"/>
      <c r="BD148" s="4"/>
      <c r="BE148" s="4"/>
      <c r="BF148" s="4"/>
      <c r="BG148" s="4"/>
      <c r="BH148" s="4"/>
      <c r="BI148" s="2"/>
      <c r="BJ148" s="2"/>
      <c r="BK148" s="2"/>
      <c r="BL148" s="2"/>
      <c r="BM148" s="2"/>
      <c r="BN148" s="2"/>
      <c r="BO148" s="14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7"/>
      <c r="CE148" s="17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8"/>
    </row>
    <row r="149" spans="1:109" x14ac:dyDescent="0.15">
      <c r="A149" s="1"/>
      <c r="B149" s="1" t="s">
        <v>256</v>
      </c>
      <c r="C149" s="1" t="s">
        <v>255</v>
      </c>
      <c r="D149" s="1" t="s">
        <v>221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32"/>
      <c r="AC149" s="32">
        <v>5</v>
      </c>
      <c r="AD149" s="32"/>
      <c r="AE149" s="32"/>
      <c r="AF149" s="32">
        <v>5</v>
      </c>
      <c r="AG149" s="32"/>
      <c r="AH149" s="32"/>
      <c r="AI149" s="32"/>
      <c r="AJ149" s="32"/>
      <c r="AK149" s="32"/>
      <c r="AL149" s="32">
        <v>5</v>
      </c>
      <c r="AM149" s="32">
        <v>2</v>
      </c>
      <c r="AN149" s="32"/>
      <c r="AO149" s="32"/>
      <c r="AP149" s="32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4"/>
      <c r="BD149" s="4"/>
      <c r="BE149" s="4"/>
      <c r="BF149" s="4"/>
      <c r="BG149" s="4"/>
      <c r="BH149" s="4"/>
      <c r="BI149" s="2"/>
      <c r="BJ149" s="2"/>
      <c r="BK149" s="2"/>
      <c r="BL149" s="2"/>
      <c r="BM149" s="2"/>
      <c r="BN149" s="2"/>
      <c r="BO149" s="14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7"/>
      <c r="CE149" s="17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8"/>
    </row>
    <row r="150" spans="1:109" x14ac:dyDescent="0.15">
      <c r="A150" s="1"/>
      <c r="B150" s="1" t="s">
        <v>256</v>
      </c>
      <c r="C150" s="1" t="s">
        <v>255</v>
      </c>
      <c r="D150" s="1" t="s">
        <v>222</v>
      </c>
      <c r="E150" s="6"/>
      <c r="F150" s="6"/>
      <c r="G150" s="6">
        <v>10</v>
      </c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32"/>
      <c r="AC150" s="32"/>
      <c r="AD150" s="32"/>
      <c r="AE150" s="32"/>
      <c r="AF150" s="32"/>
      <c r="AG150" s="32"/>
      <c r="AH150" s="32"/>
      <c r="AI150" s="32"/>
      <c r="AJ150" s="32">
        <v>10</v>
      </c>
      <c r="AK150" s="32"/>
      <c r="AL150" s="32"/>
      <c r="AM150" s="32"/>
      <c r="AN150" s="32"/>
      <c r="AO150" s="32"/>
      <c r="AP150" s="32">
        <v>10</v>
      </c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4"/>
      <c r="BD150" s="4"/>
      <c r="BE150" s="4"/>
      <c r="BF150" s="4"/>
      <c r="BG150" s="4"/>
      <c r="BH150" s="4">
        <v>10</v>
      </c>
      <c r="BI150" s="2"/>
      <c r="BJ150" s="2"/>
      <c r="BK150" s="2"/>
      <c r="BL150" s="2"/>
      <c r="BM150" s="2"/>
      <c r="BN150" s="2"/>
      <c r="BO150" s="14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7"/>
      <c r="CE150" s="17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8"/>
    </row>
    <row r="151" spans="1:109" x14ac:dyDescent="0.15">
      <c r="A151" s="1"/>
      <c r="B151" s="1" t="s">
        <v>257</v>
      </c>
      <c r="C151" s="1" t="s">
        <v>255</v>
      </c>
      <c r="D151" s="1" t="s">
        <v>220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32">
        <v>10</v>
      </c>
      <c r="AC151" s="32"/>
      <c r="AD151" s="32"/>
      <c r="AE151" s="32">
        <v>10</v>
      </c>
      <c r="AF151" s="32"/>
      <c r="AG151" s="32"/>
      <c r="AH151" s="32">
        <v>10</v>
      </c>
      <c r="AI151" s="32"/>
      <c r="AJ151" s="32"/>
      <c r="AK151" s="32">
        <v>10</v>
      </c>
      <c r="AL151" s="32"/>
      <c r="AM151" s="32"/>
      <c r="AN151" s="32"/>
      <c r="AO151" s="32"/>
      <c r="AP151" s="32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4"/>
      <c r="BD151" s="4"/>
      <c r="BE151" s="4"/>
      <c r="BF151" s="4"/>
      <c r="BG151" s="4"/>
      <c r="BH151" s="4"/>
      <c r="BI151" s="2"/>
      <c r="BJ151" s="2"/>
      <c r="BK151" s="2"/>
      <c r="BL151" s="2"/>
      <c r="BM151" s="2"/>
      <c r="BN151" s="2"/>
      <c r="BO151" s="14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7"/>
      <c r="CE151" s="17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8"/>
    </row>
    <row r="152" spans="1:109" x14ac:dyDescent="0.15">
      <c r="A152" s="1"/>
      <c r="B152" s="1" t="s">
        <v>257</v>
      </c>
      <c r="C152" s="1" t="s">
        <v>255</v>
      </c>
      <c r="D152" s="1" t="s">
        <v>221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32"/>
      <c r="AC152" s="32">
        <v>5</v>
      </c>
      <c r="AD152" s="32"/>
      <c r="AE152" s="32"/>
      <c r="AF152" s="32"/>
      <c r="AG152" s="32"/>
      <c r="AH152" s="32">
        <v>10</v>
      </c>
      <c r="AI152" s="32"/>
      <c r="AJ152" s="32"/>
      <c r="AK152" s="32"/>
      <c r="AL152" s="32">
        <v>5</v>
      </c>
      <c r="AM152" s="32"/>
      <c r="AN152" s="32">
        <v>10</v>
      </c>
      <c r="AO152" s="32"/>
      <c r="AP152" s="32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4"/>
      <c r="BD152" s="4"/>
      <c r="BE152" s="4"/>
      <c r="BF152" s="4"/>
      <c r="BG152" s="4"/>
      <c r="BH152" s="4"/>
      <c r="BI152" s="2"/>
      <c r="BJ152" s="2"/>
      <c r="BK152" s="2"/>
      <c r="BL152" s="2"/>
      <c r="BM152" s="2"/>
      <c r="BN152" s="2"/>
      <c r="BO152" s="14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7"/>
      <c r="CE152" s="17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8"/>
    </row>
    <row r="153" spans="1:109" x14ac:dyDescent="0.15">
      <c r="A153" s="1"/>
      <c r="B153" s="1" t="s">
        <v>257</v>
      </c>
      <c r="C153" s="1" t="s">
        <v>255</v>
      </c>
      <c r="D153" s="1" t="s">
        <v>222</v>
      </c>
      <c r="E153" s="6"/>
      <c r="F153" s="6"/>
      <c r="G153" s="6"/>
      <c r="H153" s="6">
        <v>10</v>
      </c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32"/>
      <c r="AC153" s="32"/>
      <c r="AD153" s="32">
        <v>10</v>
      </c>
      <c r="AE153" s="32"/>
      <c r="AF153" s="32"/>
      <c r="AG153" s="32">
        <v>10</v>
      </c>
      <c r="AH153" s="32"/>
      <c r="AI153" s="32"/>
      <c r="AJ153" s="32"/>
      <c r="AK153" s="32"/>
      <c r="AL153" s="32"/>
      <c r="AM153" s="32"/>
      <c r="AN153" s="32"/>
      <c r="AO153" s="32"/>
      <c r="AP153" s="32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4"/>
      <c r="BD153" s="4"/>
      <c r="BE153" s="4"/>
      <c r="BF153" s="4"/>
      <c r="BG153" s="4">
        <v>10</v>
      </c>
      <c r="BH153" s="4"/>
      <c r="BI153" s="2"/>
      <c r="BJ153" s="2"/>
      <c r="BK153" s="2"/>
      <c r="BL153" s="2"/>
      <c r="BM153" s="2"/>
      <c r="BN153" s="2"/>
      <c r="BO153" s="14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7"/>
      <c r="CE153" s="17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8"/>
    </row>
    <row r="154" spans="1:109" x14ac:dyDescent="0.15">
      <c r="A154" s="1"/>
      <c r="B154" s="1" t="s">
        <v>259</v>
      </c>
      <c r="C154" s="1" t="s">
        <v>255</v>
      </c>
      <c r="D154" s="1" t="s">
        <v>220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32"/>
      <c r="AC154" s="32">
        <v>5</v>
      </c>
      <c r="AD154" s="32"/>
      <c r="AE154" s="32"/>
      <c r="AF154" s="32">
        <v>5</v>
      </c>
      <c r="AG154" s="32"/>
      <c r="AH154" s="32"/>
      <c r="AI154" s="32">
        <v>5</v>
      </c>
      <c r="AJ154" s="32"/>
      <c r="AK154" s="32"/>
      <c r="AL154" s="32">
        <v>5</v>
      </c>
      <c r="AM154" s="32"/>
      <c r="AN154" s="32"/>
      <c r="AO154" s="32"/>
      <c r="AP154" s="32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4"/>
      <c r="BD154" s="4"/>
      <c r="BE154" s="4"/>
      <c r="BF154" s="4"/>
      <c r="BG154" s="4"/>
      <c r="BH154" s="4"/>
      <c r="BI154" s="2"/>
      <c r="BJ154" s="2"/>
      <c r="BK154" s="2"/>
      <c r="BL154" s="2"/>
      <c r="BM154" s="2"/>
      <c r="BN154" s="2"/>
      <c r="BO154" s="14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7"/>
      <c r="CE154" s="17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8"/>
    </row>
    <row r="155" spans="1:109" x14ac:dyDescent="0.15">
      <c r="A155" s="1"/>
      <c r="B155" s="1" t="s">
        <v>259</v>
      </c>
      <c r="C155" s="1" t="s">
        <v>255</v>
      </c>
      <c r="D155" s="1" t="s">
        <v>221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32"/>
      <c r="AC155" s="32"/>
      <c r="AD155" s="32"/>
      <c r="AE155" s="32"/>
      <c r="AF155" s="32"/>
      <c r="AG155" s="32">
        <v>2</v>
      </c>
      <c r="AH155" s="32"/>
      <c r="AI155" s="32"/>
      <c r="AJ155" s="32"/>
      <c r="AK155" s="32"/>
      <c r="AL155" s="32"/>
      <c r="AM155" s="32">
        <v>2</v>
      </c>
      <c r="AN155" s="32"/>
      <c r="AO155" s="32">
        <v>5</v>
      </c>
      <c r="AP155" s="32">
        <v>2</v>
      </c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4"/>
      <c r="BD155" s="4"/>
      <c r="BE155" s="4"/>
      <c r="BF155" s="4"/>
      <c r="BG155" s="4"/>
      <c r="BH155" s="4"/>
      <c r="BI155" s="2"/>
      <c r="BJ155" s="2"/>
      <c r="BK155" s="2"/>
      <c r="BL155" s="2"/>
      <c r="BM155" s="2"/>
      <c r="BN155" s="2"/>
      <c r="BO155" s="14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7"/>
      <c r="CE155" s="17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8"/>
    </row>
    <row r="156" spans="1:109" x14ac:dyDescent="0.15">
      <c r="A156" s="1"/>
      <c r="B156" s="1" t="s">
        <v>259</v>
      </c>
      <c r="C156" s="1" t="s">
        <v>255</v>
      </c>
      <c r="D156" s="1" t="s">
        <v>222</v>
      </c>
      <c r="E156" s="6">
        <v>10</v>
      </c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32"/>
      <c r="AC156" s="32"/>
      <c r="AD156" s="32">
        <v>10</v>
      </c>
      <c r="AE156" s="32"/>
      <c r="AF156" s="32"/>
      <c r="AG156" s="32">
        <v>10</v>
      </c>
      <c r="AH156" s="32"/>
      <c r="AI156" s="32"/>
      <c r="AJ156" s="32"/>
      <c r="AK156" s="32"/>
      <c r="AL156" s="32"/>
      <c r="AM156" s="32"/>
      <c r="AN156" s="32"/>
      <c r="AO156" s="32"/>
      <c r="AP156" s="32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4"/>
      <c r="BD156" s="4"/>
      <c r="BE156" s="4"/>
      <c r="BF156" s="4"/>
      <c r="BG156" s="4">
        <v>10</v>
      </c>
      <c r="BH156" s="4"/>
      <c r="BI156" s="2"/>
      <c r="BJ156" s="2"/>
      <c r="BK156" s="2"/>
      <c r="BL156" s="2"/>
      <c r="BM156" s="2"/>
      <c r="BN156" s="2"/>
      <c r="BO156" s="14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7"/>
      <c r="CE156" s="17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8"/>
    </row>
    <row r="157" spans="1:109" x14ac:dyDescent="0.15">
      <c r="A157" s="1"/>
      <c r="B157" s="1" t="s">
        <v>260</v>
      </c>
      <c r="C157" s="1" t="s">
        <v>255</v>
      </c>
      <c r="D157" s="1" t="s">
        <v>220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32">
        <v>10</v>
      </c>
      <c r="AC157" s="32"/>
      <c r="AD157" s="32"/>
      <c r="AE157" s="32">
        <v>10</v>
      </c>
      <c r="AF157" s="32"/>
      <c r="AG157" s="32"/>
      <c r="AH157" s="32">
        <v>10</v>
      </c>
      <c r="AI157" s="32"/>
      <c r="AJ157" s="32"/>
      <c r="AK157" s="32">
        <v>10</v>
      </c>
      <c r="AL157" s="32"/>
      <c r="AM157" s="32"/>
      <c r="AN157" s="32"/>
      <c r="AO157" s="32"/>
      <c r="AP157" s="32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4"/>
      <c r="BD157" s="4"/>
      <c r="BE157" s="4"/>
      <c r="BF157" s="4"/>
      <c r="BG157" s="4"/>
      <c r="BH157" s="4"/>
      <c r="BI157" s="2"/>
      <c r="BJ157" s="2"/>
      <c r="BK157" s="2"/>
      <c r="BL157" s="2"/>
      <c r="BM157" s="2"/>
      <c r="BN157" s="2"/>
      <c r="BO157" s="14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7"/>
      <c r="CE157" s="17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8"/>
    </row>
    <row r="158" spans="1:109" x14ac:dyDescent="0.15">
      <c r="A158" s="1"/>
      <c r="B158" s="1" t="s">
        <v>260</v>
      </c>
      <c r="C158" s="1" t="s">
        <v>255</v>
      </c>
      <c r="D158" s="1" t="s">
        <v>221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32"/>
      <c r="AC158" s="32"/>
      <c r="AD158" s="32"/>
      <c r="AE158" s="32"/>
      <c r="AF158" s="32"/>
      <c r="AG158" s="32"/>
      <c r="AH158" s="32">
        <v>10</v>
      </c>
      <c r="AI158" s="32"/>
      <c r="AJ158" s="32"/>
      <c r="AK158" s="32">
        <v>10</v>
      </c>
      <c r="AL158" s="32"/>
      <c r="AM158" s="32"/>
      <c r="AN158" s="32">
        <v>10</v>
      </c>
      <c r="AO158" s="32">
        <v>5</v>
      </c>
      <c r="AP158" s="32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4"/>
      <c r="BD158" s="4"/>
      <c r="BE158" s="4"/>
      <c r="BF158" s="4"/>
      <c r="BG158" s="4"/>
      <c r="BH158" s="4"/>
      <c r="BI158" s="2"/>
      <c r="BJ158" s="2"/>
      <c r="BK158" s="2"/>
      <c r="BL158" s="2"/>
      <c r="BM158" s="2"/>
      <c r="BN158" s="2"/>
      <c r="BO158" s="14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7"/>
      <c r="CE158" s="17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8"/>
    </row>
    <row r="159" spans="1:109" x14ac:dyDescent="0.15">
      <c r="A159" s="1"/>
      <c r="B159" s="1" t="s">
        <v>260</v>
      </c>
      <c r="C159" s="1" t="s">
        <v>255</v>
      </c>
      <c r="D159" s="1" t="s">
        <v>222</v>
      </c>
      <c r="E159" s="6"/>
      <c r="F159" s="6"/>
      <c r="G159" s="6">
        <v>5</v>
      </c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32"/>
      <c r="AC159" s="32"/>
      <c r="AD159" s="32"/>
      <c r="AE159" s="32"/>
      <c r="AF159" s="32"/>
      <c r="AG159" s="32"/>
      <c r="AH159" s="32">
        <v>5</v>
      </c>
      <c r="AI159" s="32"/>
      <c r="AJ159" s="32"/>
      <c r="AK159" s="32">
        <v>5</v>
      </c>
      <c r="AL159" s="32"/>
      <c r="AM159" s="32"/>
      <c r="AN159" s="32"/>
      <c r="AO159" s="32">
        <v>5</v>
      </c>
      <c r="AP159" s="32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4"/>
      <c r="BD159" s="4"/>
      <c r="BE159" s="4"/>
      <c r="BF159" s="4"/>
      <c r="BG159" s="4"/>
      <c r="BH159" s="4"/>
      <c r="BI159" s="2"/>
      <c r="BJ159" s="2"/>
      <c r="BK159" s="2"/>
      <c r="BL159" s="2"/>
      <c r="BM159" s="2"/>
      <c r="BN159" s="2"/>
      <c r="BO159" s="14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7"/>
      <c r="CE159" s="17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8"/>
    </row>
    <row r="160" spans="1:109" x14ac:dyDescent="0.15">
      <c r="A160" s="1"/>
      <c r="B160" s="1" t="s">
        <v>261</v>
      </c>
      <c r="C160" s="1" t="s">
        <v>255</v>
      </c>
      <c r="D160" s="1" t="s">
        <v>221</v>
      </c>
      <c r="E160" s="6"/>
      <c r="F160" s="6"/>
      <c r="G160" s="6"/>
      <c r="H160" s="6"/>
      <c r="I160" s="6"/>
      <c r="J160" s="6"/>
      <c r="K160" s="6">
        <v>5</v>
      </c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4"/>
      <c r="BD160" s="4"/>
      <c r="BE160" s="4"/>
      <c r="BF160" s="4"/>
      <c r="BG160" s="4"/>
      <c r="BH160" s="4"/>
      <c r="BI160" s="2"/>
      <c r="BJ160" s="2"/>
      <c r="BK160" s="2"/>
      <c r="BL160" s="2"/>
      <c r="BM160" s="2"/>
      <c r="BN160" s="2"/>
      <c r="BO160" s="14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7"/>
      <c r="CE160" s="17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8"/>
    </row>
    <row r="161" spans="1:109" x14ac:dyDescent="0.15">
      <c r="A161" s="1"/>
      <c r="B161" s="1" t="s">
        <v>262</v>
      </c>
      <c r="C161" s="1" t="s">
        <v>255</v>
      </c>
      <c r="D161" s="1" t="s">
        <v>220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32">
        <v>10</v>
      </c>
      <c r="AC161" s="32"/>
      <c r="AD161" s="32"/>
      <c r="AE161" s="32">
        <v>10</v>
      </c>
      <c r="AF161" s="32"/>
      <c r="AG161" s="32"/>
      <c r="AH161" s="32">
        <v>10</v>
      </c>
      <c r="AI161" s="32"/>
      <c r="AJ161" s="32"/>
      <c r="AK161" s="32">
        <v>10</v>
      </c>
      <c r="AL161" s="32"/>
      <c r="AM161" s="32"/>
      <c r="AN161" s="32"/>
      <c r="AO161" s="32"/>
      <c r="AP161" s="32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4"/>
      <c r="BD161" s="4"/>
      <c r="BE161" s="4"/>
      <c r="BF161" s="4"/>
      <c r="BG161" s="4"/>
      <c r="BH161" s="4"/>
      <c r="BI161" s="2"/>
      <c r="BJ161" s="2"/>
      <c r="BK161" s="2"/>
      <c r="BL161" s="2"/>
      <c r="BM161" s="2"/>
      <c r="BN161" s="2"/>
      <c r="BO161" s="14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7"/>
      <c r="CE161" s="17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8"/>
    </row>
    <row r="162" spans="1:109" x14ac:dyDescent="0.15">
      <c r="A162" s="1"/>
      <c r="B162" s="1" t="s">
        <v>262</v>
      </c>
      <c r="C162" s="1" t="s">
        <v>255</v>
      </c>
      <c r="D162" s="1" t="s">
        <v>221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32"/>
      <c r="AC162" s="32"/>
      <c r="AD162" s="32"/>
      <c r="AE162" s="32"/>
      <c r="AF162" s="32"/>
      <c r="AG162" s="32"/>
      <c r="AH162" s="32">
        <v>10</v>
      </c>
      <c r="AI162" s="32"/>
      <c r="AJ162" s="32"/>
      <c r="AK162" s="32">
        <v>10</v>
      </c>
      <c r="AL162" s="32"/>
      <c r="AM162" s="32"/>
      <c r="AN162" s="32">
        <v>10</v>
      </c>
      <c r="AO162" s="32">
        <v>5</v>
      </c>
      <c r="AP162" s="32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4"/>
      <c r="BD162" s="4"/>
      <c r="BE162" s="4"/>
      <c r="BF162" s="4"/>
      <c r="BG162" s="4"/>
      <c r="BH162" s="4"/>
      <c r="BI162" s="2"/>
      <c r="BJ162" s="2"/>
      <c r="BK162" s="2"/>
      <c r="BL162" s="2"/>
      <c r="BM162" s="2"/>
      <c r="BN162" s="2"/>
      <c r="BO162" s="14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7"/>
      <c r="CE162" s="17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8"/>
    </row>
    <row r="163" spans="1:109" x14ac:dyDescent="0.15">
      <c r="A163" s="1"/>
      <c r="B163" s="1" t="s">
        <v>262</v>
      </c>
      <c r="C163" s="1" t="s">
        <v>255</v>
      </c>
      <c r="D163" s="1" t="s">
        <v>222</v>
      </c>
      <c r="E163" s="6"/>
      <c r="F163" s="6"/>
      <c r="G163" s="6"/>
      <c r="H163" s="6"/>
      <c r="I163" s="6"/>
      <c r="J163" s="6">
        <v>10</v>
      </c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32"/>
      <c r="AC163" s="32"/>
      <c r="AD163" s="32"/>
      <c r="AE163" s="32"/>
      <c r="AF163" s="32"/>
      <c r="AG163" s="32">
        <v>10</v>
      </c>
      <c r="AH163" s="32"/>
      <c r="AI163" s="32"/>
      <c r="AJ163" s="32"/>
      <c r="AK163" s="32"/>
      <c r="AL163" s="32"/>
      <c r="AM163" s="32">
        <v>10</v>
      </c>
      <c r="AN163" s="32"/>
      <c r="AO163" s="32"/>
      <c r="AP163" s="32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4">
        <v>10</v>
      </c>
      <c r="BD163" s="4"/>
      <c r="BE163" s="4"/>
      <c r="BF163" s="4"/>
      <c r="BG163" s="4"/>
      <c r="BH163" s="4"/>
      <c r="BI163" s="2"/>
      <c r="BJ163" s="2"/>
      <c r="BK163" s="2"/>
      <c r="BL163" s="2"/>
      <c r="BM163" s="2"/>
      <c r="BN163" s="2"/>
      <c r="BO163" s="14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7"/>
      <c r="CE163" s="17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8"/>
    </row>
    <row r="164" spans="1:109" ht="54" x14ac:dyDescent="0.15">
      <c r="A164" s="1">
        <v>102</v>
      </c>
      <c r="B164" s="3" t="s">
        <v>123</v>
      </c>
      <c r="C164" s="3" t="s">
        <v>85</v>
      </c>
      <c r="D164" s="1" t="s">
        <v>41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4"/>
      <c r="BD164" s="4"/>
      <c r="BE164" s="4"/>
      <c r="BF164" s="4"/>
      <c r="BG164" s="4"/>
      <c r="BH164" s="4"/>
      <c r="BI164" s="2"/>
      <c r="BJ164" s="2"/>
      <c r="BK164" s="2"/>
      <c r="BL164" s="2"/>
      <c r="BM164" s="2"/>
      <c r="BN164" s="2"/>
      <c r="BO164" s="14"/>
      <c r="BP164" s="1"/>
      <c r="BQ164" s="1"/>
      <c r="BR164" s="1"/>
      <c r="BS164" s="1"/>
      <c r="BT164" s="1"/>
      <c r="BU164" s="1"/>
      <c r="BV164" s="1">
        <v>50</v>
      </c>
      <c r="BW164" s="1">
        <v>50</v>
      </c>
      <c r="BX164" s="1"/>
      <c r="BY164" s="1"/>
      <c r="BZ164" s="1">
        <v>50</v>
      </c>
      <c r="CA164" s="1">
        <v>50</v>
      </c>
      <c r="CB164" s="1">
        <f>SUM(E164:CA164)</f>
        <v>200</v>
      </c>
      <c r="CC164" s="1">
        <v>195</v>
      </c>
      <c r="CD164" s="17">
        <v>4</v>
      </c>
      <c r="CE164" s="17" t="s">
        <v>148</v>
      </c>
      <c r="CF164" s="1" t="str">
        <f t="shared" ref="CF164:CQ164" si="43">IF(BC164&gt;BC$166, BC164-BC$166,"")</f>
        <v/>
      </c>
      <c r="CG164" s="1" t="str">
        <f t="shared" si="43"/>
        <v/>
      </c>
      <c r="CH164" s="1" t="str">
        <f t="shared" si="43"/>
        <v/>
      </c>
      <c r="CI164" s="1" t="str">
        <f t="shared" si="43"/>
        <v/>
      </c>
      <c r="CJ164" s="1" t="str">
        <f t="shared" si="43"/>
        <v/>
      </c>
      <c r="CK164" s="1" t="str">
        <f t="shared" si="43"/>
        <v/>
      </c>
      <c r="CL164" s="1" t="str">
        <f t="shared" si="43"/>
        <v/>
      </c>
      <c r="CM164" s="1" t="str">
        <f t="shared" si="43"/>
        <v/>
      </c>
      <c r="CN164" s="1" t="str">
        <f t="shared" si="43"/>
        <v/>
      </c>
      <c r="CO164" s="1" t="str">
        <f t="shared" si="43"/>
        <v/>
      </c>
      <c r="CP164" s="1" t="str">
        <f t="shared" si="43"/>
        <v/>
      </c>
      <c r="CQ164" s="1" t="str">
        <f t="shared" si="43"/>
        <v/>
      </c>
      <c r="CR164" s="1">
        <f>COUNTIF(CF164:CQ164, "&gt;0")</f>
        <v>0</v>
      </c>
      <c r="CS164" s="1" t="str">
        <f t="shared" ref="CS164:DD164" si="44">IF($CR164=1,CF164,"")</f>
        <v/>
      </c>
      <c r="CT164" s="1" t="str">
        <f t="shared" si="44"/>
        <v/>
      </c>
      <c r="CU164" s="1" t="str">
        <f t="shared" si="44"/>
        <v/>
      </c>
      <c r="CV164" s="1" t="str">
        <f t="shared" si="44"/>
        <v/>
      </c>
      <c r="CW164" s="1" t="str">
        <f t="shared" si="44"/>
        <v/>
      </c>
      <c r="CX164" s="1" t="str">
        <f t="shared" si="44"/>
        <v/>
      </c>
      <c r="CY164" s="1" t="str">
        <f t="shared" si="44"/>
        <v/>
      </c>
      <c r="CZ164" s="1" t="str">
        <f t="shared" si="44"/>
        <v/>
      </c>
      <c r="DA164" s="1" t="str">
        <f t="shared" si="44"/>
        <v/>
      </c>
      <c r="DB164" s="1" t="str">
        <f t="shared" si="44"/>
        <v/>
      </c>
      <c r="DC164" s="1" t="str">
        <f t="shared" si="44"/>
        <v/>
      </c>
      <c r="DD164" s="1" t="str">
        <f t="shared" si="44"/>
        <v/>
      </c>
      <c r="DE164" s="18">
        <f>SUM(AQ164:CA164)</f>
        <v>200</v>
      </c>
    </row>
    <row r="165" spans="1:109" x14ac:dyDescent="0.15">
      <c r="A165" s="1"/>
      <c r="B165" s="1" t="s">
        <v>88</v>
      </c>
      <c r="C165" s="1"/>
      <c r="D165" s="1"/>
      <c r="E165" s="6">
        <f>SUM(E2:E164)</f>
        <v>164</v>
      </c>
      <c r="F165" s="6">
        <f>SUM(F2:F164)</f>
        <v>89</v>
      </c>
      <c r="G165" s="6">
        <f>SUM(G2:G164)</f>
        <v>224</v>
      </c>
      <c r="H165" s="6">
        <f>SUM(H2:H164)</f>
        <v>195</v>
      </c>
      <c r="I165" s="6">
        <f>SUM(I2:I164)</f>
        <v>50</v>
      </c>
      <c r="J165" s="6">
        <f>SUM(J2:J164)</f>
        <v>66</v>
      </c>
      <c r="K165" s="6">
        <f>SUM(K2:K164)</f>
        <v>57</v>
      </c>
      <c r="L165" s="6">
        <f>SUM(L2:L164)</f>
        <v>88</v>
      </c>
      <c r="M165" s="6">
        <f>SUM(M2:M164)</f>
        <v>42</v>
      </c>
      <c r="N165" s="6">
        <f>SUM(N2:N164)</f>
        <v>47</v>
      </c>
      <c r="O165" s="6">
        <f>SUM(O2:O164)</f>
        <v>106</v>
      </c>
      <c r="P165" s="6">
        <f>SUM(P2:P164)</f>
        <v>15</v>
      </c>
      <c r="Q165" s="6">
        <f>SUM(Q2:Q164)</f>
        <v>0</v>
      </c>
      <c r="R165" s="6">
        <f>SUM(R2:R164)</f>
        <v>0</v>
      </c>
      <c r="S165" s="6">
        <f>SUM(S2:S164)</f>
        <v>8</v>
      </c>
      <c r="T165" s="6">
        <f>SUM(T2:T164)</f>
        <v>0</v>
      </c>
      <c r="U165" s="6">
        <f>SUM(U2:U164)</f>
        <v>30</v>
      </c>
      <c r="V165" s="6">
        <f>SUM(V2:V164)</f>
        <v>25</v>
      </c>
      <c r="W165" s="6">
        <f>SUM(W2:W164)</f>
        <v>10</v>
      </c>
      <c r="X165" s="6">
        <f>SUM(X2:X164)</f>
        <v>25</v>
      </c>
      <c r="Y165" s="6">
        <f>SUM(Y2:Y164)</f>
        <v>0</v>
      </c>
      <c r="Z165" s="6">
        <f>SUM(Z2:Z164)</f>
        <v>0</v>
      </c>
      <c r="AA165" s="6">
        <f>SUM(AA2:AA164)</f>
        <v>0</v>
      </c>
      <c r="AB165" s="32">
        <f>SUM(AB2:AB164)</f>
        <v>130</v>
      </c>
      <c r="AC165" s="32">
        <f>SUM(AC2:AC164)</f>
        <v>71</v>
      </c>
      <c r="AD165" s="32">
        <f>SUM(AD2:AD164)</f>
        <v>83</v>
      </c>
      <c r="AE165" s="32">
        <f>SUM(AE2:AE164)</f>
        <v>130</v>
      </c>
      <c r="AF165" s="32">
        <f>SUM(AF2:AF164)</f>
        <v>56</v>
      </c>
      <c r="AG165" s="32">
        <f>SUM(AG2:AG164)</f>
        <v>62</v>
      </c>
      <c r="AH165" s="32">
        <f>SUM(AH2:AH164)</f>
        <v>145</v>
      </c>
      <c r="AI165" s="32">
        <f>SUM(AI2:AI164)</f>
        <v>30</v>
      </c>
      <c r="AJ165" s="32">
        <f>SUM(AJ2:AJ164)</f>
        <v>49</v>
      </c>
      <c r="AK165" s="32">
        <f>SUM(AK2:AK164)</f>
        <v>135</v>
      </c>
      <c r="AL165" s="32">
        <f>SUM(AL2:AL164)</f>
        <v>45</v>
      </c>
      <c r="AM165" s="32">
        <f>SUM(AM2:AM164)</f>
        <v>33</v>
      </c>
      <c r="AN165" s="32">
        <f>SUM(AN2:AN164)</f>
        <v>130</v>
      </c>
      <c r="AO165" s="32">
        <f>SUM(AO2:AO164)</f>
        <v>30</v>
      </c>
      <c r="AP165" s="32"/>
      <c r="AQ165" s="1">
        <f>SUM(AQ2:AQ164)</f>
        <v>275</v>
      </c>
      <c r="AR165" s="1">
        <f>SUM(AR2:AR164)</f>
        <v>10</v>
      </c>
      <c r="AS165" s="1">
        <f>SUM(AS2:AS164)</f>
        <v>15</v>
      </c>
      <c r="AT165" s="1">
        <f>SUM(AT2:AT164)</f>
        <v>30</v>
      </c>
      <c r="AU165" s="1">
        <f>SUM(AU2:AU164)</f>
        <v>30</v>
      </c>
      <c r="AV165" s="1">
        <f>SUM(AV2:AV164)</f>
        <v>5</v>
      </c>
      <c r="AW165" s="1">
        <f>SUM(AW2:AW164)</f>
        <v>0</v>
      </c>
      <c r="AX165" s="1">
        <f>SUM(AX2:AX164)</f>
        <v>0</v>
      </c>
      <c r="AY165" s="1">
        <f>SUM(AY2:AY164)</f>
        <v>20</v>
      </c>
      <c r="AZ165" s="1">
        <f>SUM(AZ2:AZ164)</f>
        <v>50</v>
      </c>
      <c r="BA165" s="1">
        <f>SUM(BA2:BA164)</f>
        <v>25</v>
      </c>
      <c r="BB165" s="1">
        <f>SUM(BB2:BB164)</f>
        <v>26</v>
      </c>
      <c r="BC165" s="4">
        <f>SUM(BC2:BC164)</f>
        <v>110</v>
      </c>
      <c r="BD165" s="4">
        <f>SUM(BD2:BD164)</f>
        <v>130</v>
      </c>
      <c r="BE165" s="4">
        <f>SUM(BE2:BE164)</f>
        <v>80</v>
      </c>
      <c r="BF165" s="4">
        <f>SUM(BF2:BF164)</f>
        <v>103</v>
      </c>
      <c r="BG165" s="4">
        <f>SUM(BG2:BG164)</f>
        <v>58</v>
      </c>
      <c r="BH165" s="4">
        <f>SUM(BH2:BH164)</f>
        <v>125</v>
      </c>
      <c r="BI165" s="2">
        <f>SUM(BI2:BI164)</f>
        <v>128</v>
      </c>
      <c r="BJ165" s="2">
        <f>SUM(BJ2:BJ164)</f>
        <v>80</v>
      </c>
      <c r="BK165" s="2">
        <f>SUM(BK2:BK164)</f>
        <v>43</v>
      </c>
      <c r="BL165" s="2">
        <f>SUM(BL2:BL164)</f>
        <v>97</v>
      </c>
      <c r="BM165" s="2">
        <f>SUM(BM2:BM164)</f>
        <v>217</v>
      </c>
      <c r="BN165" s="2">
        <f>SUM(BN2:BN164)</f>
        <v>395</v>
      </c>
      <c r="BO165" s="1">
        <f>SUM(BO2:BO164)</f>
        <v>10</v>
      </c>
      <c r="BP165" s="1">
        <f>SUM(BP2:BP164)</f>
        <v>150</v>
      </c>
      <c r="BQ165" s="1">
        <f>SUM(BQ2:BQ164)</f>
        <v>100</v>
      </c>
      <c r="BR165" s="1">
        <f>SUM(BR2:BR164)</f>
        <v>120</v>
      </c>
      <c r="BS165" s="1">
        <f>SUM(BS2:BS164)</f>
        <v>120</v>
      </c>
      <c r="BT165" s="1">
        <f>SUM(BT2:BT164)</f>
        <v>120</v>
      </c>
      <c r="BU165" s="1">
        <f>SUM(BU2:BU164)</f>
        <v>90</v>
      </c>
      <c r="BV165" s="1">
        <f>SUM(BV2:BV164)</f>
        <v>200</v>
      </c>
      <c r="BW165" s="1">
        <f>SUM(BW2:BW164)</f>
        <v>200</v>
      </c>
      <c r="BX165" s="1">
        <f>SUM(BX2:BX164)</f>
        <v>150</v>
      </c>
      <c r="BY165" s="1">
        <f>SUM(BY2:BY164)</f>
        <v>150</v>
      </c>
      <c r="BZ165" s="1">
        <f>SUM(BZ2:BZ164)</f>
        <v>350</v>
      </c>
      <c r="CA165" s="1">
        <f>SUM(CA2:CA164)</f>
        <v>350</v>
      </c>
      <c r="CB165" s="1"/>
      <c r="CC165" s="1"/>
      <c r="CD165" s="17"/>
      <c r="CE165" s="17"/>
      <c r="CF165" s="1">
        <f>MIN(CF2:CF164)</f>
        <v>8</v>
      </c>
      <c r="CG165" s="1">
        <f>MIN(CG2:CG164)</f>
        <v>0</v>
      </c>
      <c r="CH165" s="1">
        <f>MIN(CH2:CH164)</f>
        <v>2</v>
      </c>
      <c r="CI165" s="1">
        <f>MIN(CI2:CI164)</f>
        <v>6</v>
      </c>
      <c r="CJ165" s="1">
        <f>MIN(CJ2:CJ164)</f>
        <v>0</v>
      </c>
      <c r="CK165" s="1">
        <f>MIN(CK2:CK164)</f>
        <v>2</v>
      </c>
      <c r="CL165" s="1">
        <f>MIN(CL2:CL164)</f>
        <v>2</v>
      </c>
      <c r="CM165" s="1">
        <f>MIN(CM2:CM164)</f>
        <v>0</v>
      </c>
      <c r="CN165" s="1">
        <f>MIN(CN2:CN164)</f>
        <v>0</v>
      </c>
      <c r="CO165" s="1">
        <f>MIN(CO2:CO164)</f>
        <v>0</v>
      </c>
      <c r="CP165" s="1">
        <f>MIN(CP2:CP164)</f>
        <v>0</v>
      </c>
      <c r="CQ165" s="1">
        <f>MIN(CQ2:CQ164)</f>
        <v>0</v>
      </c>
      <c r="CR165" s="1"/>
      <c r="CS165" s="1">
        <f>MIN(CS2:CS164)</f>
        <v>8</v>
      </c>
      <c r="CT165" s="1">
        <f>MIN(CT2:CT164)</f>
        <v>0</v>
      </c>
      <c r="CU165" s="1">
        <f>MIN(CU2:CU164)</f>
        <v>2</v>
      </c>
      <c r="CV165" s="1">
        <f>MIN(CV2:CV164)</f>
        <v>0</v>
      </c>
      <c r="CW165" s="1">
        <f>MIN(CW2:CW164)</f>
        <v>0</v>
      </c>
      <c r="CX165" s="1">
        <f>MIN(CX2:CX164)</f>
        <v>2</v>
      </c>
      <c r="CY165" s="1">
        <f>MIN(CY2:CY164)</f>
        <v>0</v>
      </c>
      <c r="CZ165" s="1">
        <f>MIN(CZ2:CZ164)</f>
        <v>0</v>
      </c>
      <c r="DA165" s="1">
        <f>MIN(DA2:DA164)</f>
        <v>0</v>
      </c>
      <c r="DB165" s="1">
        <f>MIN(DB2:DB164)</f>
        <v>0</v>
      </c>
      <c r="DC165" s="1">
        <f>MIN(DC2:DC164)</f>
        <v>0</v>
      </c>
      <c r="DD165" s="1">
        <f>MIN(DD2:DD164)</f>
        <v>0</v>
      </c>
      <c r="DE165" s="18">
        <f>COUNTIF(DE2:DE164,"=0")</f>
        <v>8</v>
      </c>
    </row>
    <row r="166" spans="1:109" x14ac:dyDescent="0.15">
      <c r="A166" s="1"/>
      <c r="B166" s="3" t="s">
        <v>115</v>
      </c>
      <c r="C166" s="1"/>
      <c r="D166" s="1"/>
      <c r="E166" s="1">
        <v>34</v>
      </c>
      <c r="F166" s="1">
        <v>6</v>
      </c>
      <c r="G166" s="1">
        <v>25</v>
      </c>
      <c r="H166" s="1">
        <v>18</v>
      </c>
      <c r="I166" s="1">
        <v>27</v>
      </c>
      <c r="J166" s="1">
        <v>43</v>
      </c>
      <c r="K166" s="1">
        <v>23</v>
      </c>
      <c r="L166" s="1">
        <v>39</v>
      </c>
      <c r="M166" s="1">
        <v>19</v>
      </c>
      <c r="N166" s="1">
        <v>20</v>
      </c>
      <c r="O166" s="1">
        <v>21</v>
      </c>
      <c r="P166" s="1">
        <v>53</v>
      </c>
      <c r="Q166" s="1">
        <v>54</v>
      </c>
      <c r="R166" s="1">
        <v>66</v>
      </c>
      <c r="S166" s="1">
        <v>46</v>
      </c>
      <c r="T166" s="1">
        <v>50</v>
      </c>
      <c r="U166" s="1">
        <v>39</v>
      </c>
      <c r="V166" s="1">
        <v>40</v>
      </c>
      <c r="W166" s="1">
        <v>43</v>
      </c>
      <c r="X166" s="1">
        <v>48</v>
      </c>
      <c r="Y166" s="1">
        <v>115</v>
      </c>
      <c r="Z166" s="1">
        <v>139</v>
      </c>
      <c r="AA166" s="1">
        <v>38</v>
      </c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">
        <v>2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>
        <v>33</v>
      </c>
      <c r="AX166" s="1">
        <v>43</v>
      </c>
      <c r="AY166" s="1">
        <v>0</v>
      </c>
      <c r="AZ166" s="1">
        <v>0</v>
      </c>
      <c r="BA166" s="1">
        <v>0</v>
      </c>
      <c r="BB166" s="1">
        <v>0</v>
      </c>
      <c r="BC166" s="14">
        <v>2</v>
      </c>
      <c r="BD166" s="14">
        <v>15</v>
      </c>
      <c r="BE166" s="14">
        <v>8</v>
      </c>
      <c r="BF166" s="14">
        <v>14</v>
      </c>
      <c r="BG166" s="14">
        <v>12</v>
      </c>
      <c r="BH166" s="14">
        <v>13</v>
      </c>
      <c r="BI166" s="14">
        <v>18</v>
      </c>
      <c r="BJ166" s="14">
        <v>24</v>
      </c>
      <c r="BK166" s="14">
        <v>12</v>
      </c>
      <c r="BL166" s="14">
        <v>32</v>
      </c>
      <c r="BM166" s="14">
        <v>16</v>
      </c>
      <c r="BN166" s="14">
        <v>48</v>
      </c>
      <c r="BO166" s="14"/>
      <c r="BP166" s="1">
        <v>48</v>
      </c>
      <c r="BQ166" s="1">
        <v>48</v>
      </c>
      <c r="BR166" s="1">
        <v>81</v>
      </c>
      <c r="BS166" s="1">
        <v>90</v>
      </c>
      <c r="BT166" s="1">
        <v>48</v>
      </c>
      <c r="BU166" s="1">
        <v>44</v>
      </c>
      <c r="BV166" s="1">
        <v>5</v>
      </c>
      <c r="BW166" s="1"/>
      <c r="BX166" s="1">
        <v>5</v>
      </c>
      <c r="BY166" s="1"/>
      <c r="BZ166" s="1"/>
      <c r="CA166" s="1"/>
      <c r="CB166" s="1"/>
      <c r="CC166" s="1"/>
      <c r="CD166" s="17"/>
      <c r="CE166" s="17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</row>
    <row r="167" spans="1:109" x14ac:dyDescent="0.15">
      <c r="A167" s="1"/>
      <c r="B167" s="3" t="s">
        <v>122</v>
      </c>
      <c r="C167" s="1"/>
      <c r="D167" s="1"/>
      <c r="E167" s="1">
        <f t="shared" ref="E167:AY167" si="45">E166-E165</f>
        <v>-130</v>
      </c>
      <c r="F167" s="1">
        <f t="shared" si="45"/>
        <v>-83</v>
      </c>
      <c r="G167" s="1">
        <f t="shared" si="45"/>
        <v>-199</v>
      </c>
      <c r="H167" s="1">
        <f t="shared" si="45"/>
        <v>-177</v>
      </c>
      <c r="I167" s="1">
        <f t="shared" si="45"/>
        <v>-23</v>
      </c>
      <c r="J167" s="1">
        <f t="shared" si="45"/>
        <v>-23</v>
      </c>
      <c r="K167" s="1">
        <f t="shared" si="45"/>
        <v>-34</v>
      </c>
      <c r="L167" s="1">
        <f t="shared" si="45"/>
        <v>-49</v>
      </c>
      <c r="M167" s="1">
        <f t="shared" si="45"/>
        <v>-23</v>
      </c>
      <c r="N167" s="1">
        <f t="shared" si="45"/>
        <v>-27</v>
      </c>
      <c r="O167" s="1">
        <f t="shared" si="45"/>
        <v>-85</v>
      </c>
      <c r="P167" s="1">
        <f t="shared" si="45"/>
        <v>38</v>
      </c>
      <c r="Q167" s="1">
        <f t="shared" si="45"/>
        <v>54</v>
      </c>
      <c r="R167" s="1">
        <f t="shared" si="45"/>
        <v>66</v>
      </c>
      <c r="S167" s="1">
        <f t="shared" si="45"/>
        <v>38</v>
      </c>
      <c r="T167" s="1">
        <f t="shared" si="45"/>
        <v>50</v>
      </c>
      <c r="U167" s="1">
        <f t="shared" si="45"/>
        <v>9</v>
      </c>
      <c r="V167" s="1">
        <f t="shared" si="45"/>
        <v>15</v>
      </c>
      <c r="W167" s="1">
        <f t="shared" si="45"/>
        <v>33</v>
      </c>
      <c r="X167" s="1">
        <f t="shared" si="45"/>
        <v>23</v>
      </c>
      <c r="Y167" s="1">
        <f t="shared" si="45"/>
        <v>115</v>
      </c>
      <c r="Z167" s="1">
        <f t="shared" si="45"/>
        <v>139</v>
      </c>
      <c r="AA167" s="1">
        <f t="shared" si="45"/>
        <v>38</v>
      </c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">
        <f t="shared" si="45"/>
        <v>-273</v>
      </c>
      <c r="AR167" s="1">
        <f t="shared" si="45"/>
        <v>-10</v>
      </c>
      <c r="AS167" s="1">
        <f t="shared" si="45"/>
        <v>-15</v>
      </c>
      <c r="AT167" s="1">
        <f t="shared" si="45"/>
        <v>-30</v>
      </c>
      <c r="AU167" s="1">
        <f t="shared" si="45"/>
        <v>-30</v>
      </c>
      <c r="AV167" s="1">
        <f t="shared" si="45"/>
        <v>-5</v>
      </c>
      <c r="AW167" s="1">
        <f t="shared" si="45"/>
        <v>33</v>
      </c>
      <c r="AX167" s="1">
        <f t="shared" si="45"/>
        <v>43</v>
      </c>
      <c r="AY167" s="1">
        <f t="shared" si="45"/>
        <v>-20</v>
      </c>
      <c r="AZ167" s="1">
        <f t="shared" ref="AZ167:CE167" si="46">AZ166-AZ165</f>
        <v>-50</v>
      </c>
      <c r="BA167" s="1">
        <f t="shared" si="46"/>
        <v>-25</v>
      </c>
      <c r="BB167" s="1">
        <f t="shared" si="46"/>
        <v>-26</v>
      </c>
      <c r="BC167" s="1">
        <f t="shared" si="46"/>
        <v>-108</v>
      </c>
      <c r="BD167" s="1">
        <f t="shared" si="46"/>
        <v>-115</v>
      </c>
      <c r="BE167" s="1">
        <f t="shared" si="46"/>
        <v>-72</v>
      </c>
      <c r="BF167" s="1">
        <f t="shared" si="46"/>
        <v>-89</v>
      </c>
      <c r="BG167" s="1">
        <f t="shared" si="46"/>
        <v>-46</v>
      </c>
      <c r="BH167" s="1">
        <f t="shared" si="46"/>
        <v>-112</v>
      </c>
      <c r="BI167" s="1">
        <f t="shared" si="46"/>
        <v>-110</v>
      </c>
      <c r="BJ167" s="1">
        <f t="shared" si="46"/>
        <v>-56</v>
      </c>
      <c r="BK167" s="1">
        <f t="shared" si="46"/>
        <v>-31</v>
      </c>
      <c r="BL167" s="1">
        <f t="shared" si="46"/>
        <v>-65</v>
      </c>
      <c r="BM167" s="1">
        <f t="shared" si="46"/>
        <v>-201</v>
      </c>
      <c r="BN167" s="1">
        <f t="shared" si="46"/>
        <v>-347</v>
      </c>
      <c r="BO167" s="1">
        <f t="shared" si="46"/>
        <v>-10</v>
      </c>
      <c r="BP167" s="1">
        <f t="shared" si="46"/>
        <v>-102</v>
      </c>
      <c r="BQ167" s="1">
        <f t="shared" si="46"/>
        <v>-52</v>
      </c>
      <c r="BR167" s="1">
        <f t="shared" si="46"/>
        <v>-39</v>
      </c>
      <c r="BS167" s="1">
        <f t="shared" si="46"/>
        <v>-30</v>
      </c>
      <c r="BT167" s="1">
        <f t="shared" si="46"/>
        <v>-72</v>
      </c>
      <c r="BU167" s="1">
        <f t="shared" si="46"/>
        <v>-46</v>
      </c>
      <c r="BV167" s="1">
        <f t="shared" si="46"/>
        <v>-195</v>
      </c>
      <c r="BW167" s="1">
        <f t="shared" si="46"/>
        <v>-200</v>
      </c>
      <c r="BX167" s="1">
        <f t="shared" si="46"/>
        <v>-145</v>
      </c>
      <c r="BY167" s="1">
        <f t="shared" si="46"/>
        <v>-150</v>
      </c>
      <c r="BZ167" s="1">
        <f t="shared" si="46"/>
        <v>-350</v>
      </c>
      <c r="CA167" s="1">
        <f t="shared" si="46"/>
        <v>-350</v>
      </c>
      <c r="CB167" s="1"/>
      <c r="CC167" s="1"/>
      <c r="CD167" s="17"/>
      <c r="CE167" s="17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</row>
  </sheetData>
  <autoFilter ref="A1:CB165"/>
  <sortState ref="A2:DE117">
    <sortCondition ref="CD2:CD117"/>
    <sortCondition ref="CC2:CC117"/>
  </sortState>
  <phoneticPr fontId="1" type="noConversion"/>
  <conditionalFormatting sqref="E58:E59">
    <cfRule type="cellIs" dxfId="2" priority="4" operator="greaterThan">
      <formula>$E$166</formula>
    </cfRule>
  </conditionalFormatting>
  <conditionalFormatting sqref="E165">
    <cfRule type="cellIs" dxfId="1" priority="3" operator="greaterThan">
      <formula>$E$166</formula>
    </cfRule>
  </conditionalFormatting>
  <conditionalFormatting sqref="E167:CA16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169</xdr:row>
                    <xdr:rowOff>28575</xdr:rowOff>
                  </from>
                  <to>
                    <xdr:col>1</xdr:col>
                    <xdr:colOff>428625</xdr:colOff>
                    <xdr:row>170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112</v>
      </c>
      <c r="B1" s="5" t="s">
        <v>109</v>
      </c>
      <c r="C1" s="5" t="s">
        <v>113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65</v>
      </c>
      <c r="C3" s="1">
        <v>120</v>
      </c>
    </row>
    <row r="4" spans="1:3" x14ac:dyDescent="0.15">
      <c r="A4" s="1">
        <v>4</v>
      </c>
      <c r="B4" s="4" t="s">
        <v>66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79</v>
      </c>
      <c r="C11" s="1">
        <v>45</v>
      </c>
    </row>
    <row r="12" spans="1:3" x14ac:dyDescent="0.15">
      <c r="A12" s="1">
        <v>11</v>
      </c>
      <c r="B12" s="2" t="s">
        <v>52</v>
      </c>
      <c r="C12" s="1">
        <v>10</v>
      </c>
    </row>
    <row r="13" spans="1:3" x14ac:dyDescent="0.15">
      <c r="A13" s="1">
        <v>6</v>
      </c>
      <c r="B13" s="4" t="s">
        <v>87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79</v>
      </c>
      <c r="K19" s="10" t="s">
        <v>87</v>
      </c>
      <c r="L19" s="10" t="s">
        <v>66</v>
      </c>
      <c r="M19" s="11" t="s">
        <v>6</v>
      </c>
      <c r="N19" s="11" t="s">
        <v>7</v>
      </c>
      <c r="O19" s="11" t="s">
        <v>52</v>
      </c>
      <c r="P19" s="11" t="s">
        <v>9</v>
      </c>
      <c r="Q19" s="11" t="s">
        <v>65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119</v>
      </c>
      <c r="B1" s="8" t="s">
        <v>120</v>
      </c>
      <c r="C1" s="8" t="s">
        <v>121</v>
      </c>
    </row>
    <row r="2" spans="1:3" x14ac:dyDescent="0.15">
      <c r="A2" s="1">
        <v>5</v>
      </c>
      <c r="B2" s="10" t="s">
        <v>87</v>
      </c>
      <c r="C2" s="1">
        <v>0</v>
      </c>
    </row>
    <row r="3" spans="1:3" x14ac:dyDescent="0.15">
      <c r="A3" s="1">
        <v>9</v>
      </c>
      <c r="B3" s="11" t="s">
        <v>52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65</v>
      </c>
      <c r="C12" s="1">
        <v>5</v>
      </c>
    </row>
    <row r="13" spans="1:3" x14ac:dyDescent="0.15">
      <c r="A13" s="1">
        <v>6</v>
      </c>
      <c r="B13" s="10" t="s">
        <v>66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87</v>
      </c>
      <c r="C5">
        <v>0</v>
      </c>
    </row>
    <row r="6" spans="2:3" x14ac:dyDescent="0.15">
      <c r="B6" s="11" t="s">
        <v>52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65</v>
      </c>
      <c r="C8">
        <v>0</v>
      </c>
    </row>
    <row r="9" spans="2:3" x14ac:dyDescent="0.15">
      <c r="B9" s="10" t="s">
        <v>79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66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2020-01-28T13:52:48Z</dcterms:modified>
</cp:coreProperties>
</file>